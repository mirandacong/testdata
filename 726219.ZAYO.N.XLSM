
<file path=[Content_Types].xml><?xml version="1.0" encoding="utf-8"?>
<Types xmlns="http://schemas.openxmlformats.org/package/2006/content-types">
  <Default ContentType="application/vnd.openxmlformats-officedocument.spreadsheetml.printerSettings" Extension="bin"/>
  <Default ContentType="image/gif" Extension="gif"/>
  <Default ContentType="image/jpeg" Extension="jpeg"/>
  <Default ContentType="image/png" Extension="png"/>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customXmlProperties+xml" PartName="/customXml/itemProps1.xml"/>
  <Override ContentType="application/vnd.openxmlformats-officedocument.customXmlProperties+xml" PartName="/customXml/itemProps2.xml"/>
  <Override ContentType="application/vnd.openxmlformats-officedocument.extended-properties+xml" PartName="/docProps/app.xml"/>
  <Override ContentType="application/vnd.openxmlformats-package.core-properties+xml" PartName="/docProps/core.xml"/>
  <Override ContentType="application/vnd.openxmlformats-officedocument.custom-properties+xml" PartName="/docProps/custom.xml"/>
  <Override ContentType="application/vnd.openxmlformats-officedocument.spreadsheetml.calcChain+xml" PartName="/xl/calcChain.xml"/>
  <Override ContentType="application/vnd.openxmlformats-officedocument.drawingml.chart+xml" PartName="/xl/charts/chart1.xml"/>
  <Override ContentType="application/vnd.openxmlformats-officedocument.drawingml.chart+xml" PartName="/xl/charts/chart10.xml"/>
  <Override ContentType="application/vnd.openxmlformats-officedocument.drawingml.chart+xml" PartName="/xl/charts/chart11.xml"/>
  <Override ContentType="application/vnd.openxmlformats-officedocument.drawingml.chart+xml" PartName="/xl/charts/chart12.xml"/>
  <Override ContentType="application/vnd.openxmlformats-officedocument.drawingml.chart+xml" PartName="/xl/charts/chart13.xml"/>
  <Override ContentType="application/vnd.openxmlformats-officedocument.drawingml.chart+xml" PartName="/xl/charts/chart14.xml"/>
  <Override ContentType="application/vnd.openxmlformats-officedocument.drawingml.chart+xml" PartName="/xl/charts/chart15.xml"/>
  <Override ContentType="application/vnd.openxmlformats-officedocument.drawingml.chart+xml" PartName="/xl/charts/chart16.xml"/>
  <Override ContentType="application/vnd.openxmlformats-officedocument.drawingml.chart+xml" PartName="/xl/charts/chart17.xml"/>
  <Override ContentType="application/vnd.openxmlformats-officedocument.drawingml.chart+xml" PartName="/xl/charts/chart18.xml"/>
  <Override ContentType="application/vnd.openxmlformats-officedocument.drawingml.chart+xml" PartName="/xl/charts/chart19.xml"/>
  <Override ContentType="application/vnd.openxmlformats-officedocument.drawingml.chart+xml" PartName="/xl/charts/chart2.xml"/>
  <Override ContentType="application/vnd.openxmlformats-officedocument.drawingml.chart+xml" PartName="/xl/charts/chart20.xml"/>
  <Override ContentType="application/vnd.openxmlformats-officedocument.drawingml.chart+xml" PartName="/xl/charts/chart21.xml"/>
  <Override ContentType="application/vnd.openxmlformats-officedocument.drawingml.chart+xml" PartName="/xl/charts/chart22.xml"/>
  <Override ContentType="application/vnd.openxmlformats-officedocument.drawingml.chart+xml" PartName="/xl/charts/chart23.xml"/>
  <Override ContentType="application/vnd.openxmlformats-officedocument.drawingml.chart+xml" PartName="/xl/charts/chart24.xml"/>
  <Override ContentType="application/vnd.openxmlformats-officedocument.drawingml.chart+xml" PartName="/xl/charts/chart25.xml"/>
  <Override ContentType="application/vnd.openxmlformats-officedocument.drawingml.chart+xml" PartName="/xl/charts/chart26.xml"/>
  <Override ContentType="application/vnd.openxmlformats-officedocument.drawingml.chart+xml" PartName="/xl/charts/chart27.xml"/>
  <Override ContentType="application/vnd.openxmlformats-officedocument.drawingml.chart+xml" PartName="/xl/charts/chart28.xml"/>
  <Override ContentType="application/vnd.openxmlformats-officedocument.drawingml.chart+xml" PartName="/xl/charts/chart29.xml"/>
  <Override ContentType="application/vnd.openxmlformats-officedocument.drawingml.chart+xml" PartName="/xl/charts/chart3.xml"/>
  <Override ContentType="application/vnd.openxmlformats-officedocument.drawingml.chart+xml" PartName="/xl/charts/chart30.xml"/>
  <Override ContentType="application/vnd.openxmlformats-officedocument.drawingml.chart+xml" PartName="/xl/charts/chart31.xml"/>
  <Override ContentType="application/vnd.openxmlformats-officedocument.drawingml.chart+xml" PartName="/xl/charts/chart32.xml"/>
  <Override ContentType="application/vnd.openxmlformats-officedocument.drawingml.chart+xml" PartName="/xl/charts/chart33.xml"/>
  <Override ContentType="application/vnd.openxmlformats-officedocument.drawingml.chart+xml" PartName="/xl/charts/chart34.xml"/>
  <Override ContentType="application/vnd.openxmlformats-officedocument.drawingml.chart+xml" PartName="/xl/charts/chart35.xml"/>
  <Override ContentType="application/vnd.openxmlformats-officedocument.drawingml.chart+xml" PartName="/xl/charts/chart36.xml"/>
  <Override ContentType="application/vnd.openxmlformats-officedocument.drawingml.chart+xml" PartName="/xl/charts/chart37.xml"/>
  <Override ContentType="application/vnd.openxmlformats-officedocument.drawingml.chart+xml" PartName="/xl/charts/chart38.xml"/>
  <Override ContentType="application/vnd.openxmlformats-officedocument.drawingml.chart+xml" PartName="/xl/charts/chart39.xml"/>
  <Override ContentType="application/vnd.openxmlformats-officedocument.drawingml.chart+xml" PartName="/xl/charts/chart4.xml"/>
  <Override ContentType="application/vnd.openxmlformats-officedocument.drawingml.chart+xml" PartName="/xl/charts/chart40.xml"/>
  <Override ContentType="application/vnd.openxmlformats-officedocument.drawingml.chart+xml" PartName="/xl/charts/chart5.xml"/>
  <Override ContentType="application/vnd.openxmlformats-officedocument.drawingml.chart+xml" PartName="/xl/charts/chart6.xml"/>
  <Override ContentType="application/vnd.openxmlformats-officedocument.drawingml.chart+xml" PartName="/xl/charts/chart7.xml"/>
  <Override ContentType="application/vnd.openxmlformats-officedocument.drawingml.chart+xml" PartName="/xl/charts/chart8.xml"/>
  <Override ContentType="application/vnd.openxmlformats-officedocument.drawingml.chart+xml" PartName="/xl/charts/chart9.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spreadsheetml.comments+xml" PartName="/xl/comments3.xml"/>
  <Override ContentType="application/vnd.openxmlformats-officedocument.spreadsheetml.comments+xml" PartName="/xl/comments4.xml"/>
  <Override ContentType="application/vnd.openxmlformats-officedocument.spreadsheetml.comments+xml" PartName="/xl/comments5.xml"/>
  <Override ContentType="application/vnd.openxmlformats-officedocument.spreadsheetml.comments+xml" PartName="/xl/comments6.xml"/>
  <Override ContentType="application/vnd.openxmlformats-officedocument.spreadsheetml.comments+xml" PartName="/xl/comments7.xml"/>
  <Override ContentType="application/vnd.openxmlformats-officedocument.spreadsheetml.comments+xml" PartName="/xl/comments8.xml"/>
  <Override ContentType="application/vnd.ms-excel.controlproperties+xml" PartName="/xl/ctrlProps/ctrlProp1.xml"/>
  <Override ContentType="application/vnd.ms-excel.controlproperties+xml" PartName="/xl/ctrlProps/ctrlProp2.xml"/>
  <Override ContentType="application/vnd.openxmlformats-officedocument.drawing+xml" PartName="/xl/drawings/drawing1.xml"/>
  <Override ContentType="application/vnd.openxmlformats-officedocument.drawing+xml" PartName="/xl/drawings/drawing2.xml"/>
  <Override ContentType="application/vnd.openxmlformats-officedocument.drawing+xml" PartName="/xl/drawings/drawing3.xml"/>
  <Override ContentType="application/vnd.openxmlformats-officedocument.drawing+xml" PartName="/xl/drawings/drawing4.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spreadsheetml.externalLink+xml" PartName="/xl/externalLinks/externalLink4.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Override ContentType="application/vnd.openxmlformats-officedocument.spreadsheetml.worksheet+xml" PartName="/xl/worksheets/sheet15.xml"/>
  <Override ContentType="application/vnd.openxmlformats-officedocument.spreadsheetml.worksheet+xml" PartName="/xl/worksheets/sheet16.xml"/>
  <Override ContentType="application/vnd.openxmlformats-officedocument.spreadsheetml.worksheet+xml" PartName="/xl/worksheets/sheet17.xml"/>
  <Override ContentType="application/vnd.openxmlformats-officedocument.spreadsheetml.worksheet+xml" PartName="/xl/worksheets/sheet18.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Types>
</file>

<file path=_rels/.rels><?xml version="1.0" encoding="UTF-8" standalone="yes"?>
<Relationships xmlns="http://schemas.openxmlformats.org/package/2006/relationships">
<Relationship Id="rId1" Target="xl/workbook.xml" Type="http://schemas.openxmlformats.org/officeDocument/2006/relationships/officeDocument"/>
<Relationship Id="rId2" Target="docProps/core.xml" Type="http://schemas.openxmlformats.org/package/2006/relationships/metadata/core-properties"/>
<Relationship Id="rId3" Target="docProps/app.xml" Type="http://schemas.openxmlformats.org/officeDocument/2006/relationships/extended-properties"/>
<Relationship Id="rId4" Target="docProps/custom.xml" Type="http://schemas.openxmlformats.org/officeDocument/2006/relationships/custom-properties"/>
</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0" yWindow="1965" windowWidth="8970" windowHeight="6450"/>
  </bookViews>
  <sheets>
    <sheet name="ImportantDisclosures" sheetId="29" r:id="rId1"/>
    <sheet name="SheetVisibilityStatus" sheetId="33" state="veryHidden" r:id="rId2"/>
    <sheet name="CircularReferenceAlert" sheetId="32" r:id="rId3"/>
    <sheet name="Cover" sheetId="20" state="veryHidden" r:id="rId4"/>
    <sheet name="CY Estimates" sheetId="11" state="veryHidden" r:id="rId5"/>
    <sheet name="FY Estimates" sheetId="6" state="veryHidden" r:id="rId6"/>
    <sheet name="Changes" sheetId="23" state="veryHidden" r:id="rId7"/>
    <sheet name="Q" sheetId="19" state="veryHidden" r:id="rId8"/>
    <sheet name="Charts" sheetId="9" state="veryHidden" r:id="rId9"/>
    <sheet name="Rev" sheetId="1" state="veryHidden" r:id="rId10"/>
    <sheet name="IS" sheetId="4" state="veryHidden" r:id="rId11"/>
    <sheet name="BS" sheetId="3" state="veryHidden" r:id="rId12"/>
    <sheet name="CF" sheetId="2" state="veryHidden" r:id="rId13"/>
    <sheet name="MW-Cache" sheetId="16" state="veryHidden" r:id="rId14"/>
    <sheet name="Capital" sheetId="5" state="veryHidden" r:id="rId15"/>
    <sheet name="Valuation" sheetId="7" state="veryHidden" r:id="rId16"/>
    <sheet name="IndexInformation" sheetId="30" state="veryHidden" r:id="rId17"/>
    <sheet name="ModPubIndex" sheetId="31" state="veryHidden" r:id="rId18"/>
  </sheets>
  <externalReferences>
    <externalReference r:id="rId19"/>
    <externalReference r:id="rId20"/>
    <externalReference r:id="rId21"/>
    <externalReference r:id="rId22"/>
  </externalReferences>
  <definedNames>
    <definedName name="__FDS_HYPERLINK_TOGGLE_STATE__" hidden="1">"ON"</definedName>
    <definedName name="_bdm.0D51745E252949468C456DBBC7834D0B.edm" hidden="1">[1]WACC!$A:$IV</definedName>
    <definedName name="_bdm.38BE7551C2DA491A8C4F9B5ED9E7E3B4.edm" hidden="1">'[1]CSCO Report'!$A:$IV</definedName>
    <definedName name="_bdm.3C53AFC3D52F41D59C263C8D34A2E226.edm" hidden="1">[1]Sheet1!$A:$IV</definedName>
    <definedName name="_bdm.4F7C460D5AC14FD187695DB3B0FB54F0.edm" hidden="1">[1]Leverage!$A:$IV</definedName>
    <definedName name="_bdm.5E823412EF174565906A2F2A81F7233F.edm" hidden="1">[1]Revs!$A:$IV</definedName>
    <definedName name="_bdm.646A898CE9DE42B8A9C23B00628316E4.edm" hidden="1">[1]Guidance!$A:$IV</definedName>
    <definedName name="_bdm.6611EB5903214A45B627EC81E5E8FAEF.edm" hidden="1">'[1]LVLT M&amp;A'!$A:$IV</definedName>
    <definedName name="_bdm.709E7BA5F6284304B37C709F1BB1EF9B.edm" hidden="1">[1]GLBC!$A:$IV</definedName>
    <definedName name="_bdm.70D17B1AA44C4BC5AB94CBA00BD39FD7.edm" hidden="1">[1]Summary!$A:$IV</definedName>
    <definedName name="_bdm.7274D56C5197421C990B6F665567F7AD.edm" hidden="1">[1]Timing!$A:$IV</definedName>
    <definedName name="_bdm.77BAEADBA91B41728B455E6D353A0F42.edm" hidden="1">'[1]Fiber &amp; Clec'!$A:$IV</definedName>
    <definedName name="_bdm.8D8B4AF90F464B64B8C23DB614A49C27.edm" hidden="1">[1]transactionCTL_SVVS!$A:$IV</definedName>
    <definedName name="_bdm.9A5C04A62A704EF09CFE327DDCB1F465.edm" hidden="1">'[1]LVLT M&amp;A - FactSet'!$A:$IV</definedName>
    <definedName name="_bdm.A76EE780BE744C67B3B04DBB400FA66C.edm" hidden="1">[1]Approvals!$A:$IV</definedName>
    <definedName name="_bdm.CE0804BD747B44E3898F8C239BE44281.edm" hidden="1">Q!$1:$1048576</definedName>
    <definedName name="_bdm.D11AFB32630C489FA7F0DC5B386C8F37.edm" hidden="1">[2]Sheet1!$A:$IV</definedName>
    <definedName name="_bdm.E4CD4B9794924F0E80FB1F195F11497D.edm" hidden="1">[2]Sheet2!$A:$IV</definedName>
    <definedName name="_bdm.F2C8F36DFE9E4958BF0DC281160F0A3A.edm" hidden="1">[1]Synergies!$A:$IV</definedName>
    <definedName name="_bdm.FBC03688D5884DD9BBED24BD53894500.edm" hidden="1">'[1]PF Mix'!$A:$IV</definedName>
    <definedName name="AdditionalInstructions">IndexInformation!$B$42</definedName>
    <definedName name="Address" localSheetId="0">ImportantDisclosures!$A$2:$A$2</definedName>
    <definedName name="ANA" localSheetId="17">ModPubIndex!$A$7</definedName>
    <definedName name="Authors" localSheetId="0">ImportantDisclosures!$A$7</definedName>
    <definedName name="Authors" localSheetId="16">IndexInformation!$B$18</definedName>
    <definedName name="BRO" localSheetId="17">ModPubIndex!$A$1</definedName>
    <definedName name="Buttons" localSheetId="2">CircularReferenceAlert!$B$13:$B$15</definedName>
    <definedName name="Case">Valuation!$C$5</definedName>
    <definedName name="CopyrightStamp">ImportantDisclosures!$A$27</definedName>
    <definedName name="COU" localSheetId="17">ModPubIndex!$A$5</definedName>
    <definedName name="CQEnd" localSheetId="16">IndexInformation!$B$31</definedName>
    <definedName name="Currency" localSheetId="16">IndexInformation!$B$24</definedName>
    <definedName name="CurrentStockPrice" localSheetId="16">IndexInformation!$B$23</definedName>
    <definedName name="CurrQtrEPS" localSheetId="16">IndexInformation!$B$29</definedName>
    <definedName name="CurrYearEPS" localSheetId="16">IndexInformation!$B$11</definedName>
    <definedName name="CurrYearTotalRevenue" localSheetId="16">IndexInformation!$B$10</definedName>
    <definedName name="CurrYearTotalRevenueActual" localSheetId="16">IndexInformation!$B$32</definedName>
    <definedName name="CUSIP" localSheetId="16">IndexInformation!$B$20</definedName>
    <definedName name="CYEnd" localSheetId="16">IndexInformation!$B$30</definedName>
    <definedName name="dataseries4">OFFSET([3]c1!$G$12,0,0,COUNTA([3]c1!$G$12:$G$31),1)</definedName>
    <definedName name="Date" localSheetId="0">ImportantDisclosures!$A$8</definedName>
    <definedName name="Deleted" localSheetId="16">IndexInformation!$B$27</definedName>
    <definedName name="Description" localSheetId="16">IndexInformation!$B$7</definedName>
    <definedName name="Discipline" localSheetId="16">IndexInformation!$B$3</definedName>
    <definedName name="DISCIPLINE" localSheetId="17">ModPubIndex!$A$12</definedName>
    <definedName name="DisclosuresText">ImportantDisclosures!$A$22</definedName>
    <definedName name="Distribution" localSheetId="16">IndexInformation!$B$26</definedName>
    <definedName name="DistTable" localSheetId="0">ImportantDisclosures!#REF!</definedName>
    <definedName name="DistTablePreamble" localSheetId="0">ImportantDisclosures!#REF!</definedName>
    <definedName name="DOCDAT" localSheetId="17">ModPubIndex!$A$2</definedName>
    <definedName name="DOCTIME" localSheetId="17">ModPubIndex!$A$3</definedName>
    <definedName name="DocType" localSheetId="16">IndexInformation!$B$5</definedName>
    <definedName name="EMAIL_ALERT" localSheetId="17">ModPubIndex!$A$10</definedName>
    <definedName name="EmailAlert" localSheetId="16">IndexInformation!$B$28</definedName>
    <definedName name="ｆ">"iQShowAnnual"</definedName>
    <definedName name="FiveYearGrowthRate" localSheetId="16">IndexInformation!$B$16</definedName>
    <definedName name="FollowingYearEPS" localSheetId="16">IndexInformation!$B$15</definedName>
    <definedName name="FollowingYearTotalRevenue" localSheetId="16">IndexInformation!$B$14</definedName>
    <definedName name="FollowingYearTotalRevenueActual" localSheetId="16">IndexInformation!$B$34</definedName>
    <definedName name="HL" localSheetId="17">ModPubIndex!$A$8</definedName>
    <definedName name="IND" localSheetId="17">ModPubIndex!$A$9</definedName>
    <definedName name="Industry" localSheetId="0">ImportantDisclosures!$A$12</definedName>
    <definedName name="IndustryId">IndexInformation!$B$40</definedName>
    <definedName name="IndustryRating" localSheetId="0">ImportantDisclosures!$A$13</definedName>
    <definedName name="KeepVersions" localSheetId="16">IndexInformation!$B$8</definedName>
    <definedName name="LanguageCode">IndexInformation!$B$38</definedName>
    <definedName name="LastCell" localSheetId="0">ImportantDisclosures!$A$22</definedName>
    <definedName name="Linking_1">BS!$B$2:$AG$70</definedName>
    <definedName name="Linking_10">Q!$D$8:$AS$46</definedName>
    <definedName name="Linking_11">Q!$D$8:$AR$46</definedName>
    <definedName name="Linking_12">IS!$B$2:$AQ$52</definedName>
    <definedName name="Linking_13">BS!$B$2:$AQ$70</definedName>
    <definedName name="Linking_14">CF!$B$2:$AQ$61</definedName>
    <definedName name="Linking_15">Changes!$C$2:$I$11</definedName>
    <definedName name="Linking_2">CF!$B$2:$AG$61</definedName>
    <definedName name="Linking_3">Q!$D$8:$AS$47</definedName>
    <definedName name="Linking_4">IS!$B$2:$AK$52</definedName>
    <definedName name="Linking_5">IS!$B$2:$AM$52</definedName>
    <definedName name="Linking_6">BS!$B$2:$AM$70</definedName>
    <definedName name="Linking_7">CF!$B$2:$AM$68</definedName>
    <definedName name="Linking_8">Q!$D$8:$AT$46</definedName>
    <definedName name="Linking_9">CF!$B$2:$AM$61</definedName>
    <definedName name="Linking_Range_0000">IS!$B$2:$AI$52</definedName>
    <definedName name="Linking_Range_0001">BS!$B$2:$AI$70</definedName>
    <definedName name="Linking_Range_0002">CF!$B$2:$AI$68</definedName>
    <definedName name="Linking_Range_0003">BS!$B$2:$AE$70</definedName>
    <definedName name="Linking_Range_10">BS!$B$2:$AE$76</definedName>
    <definedName name="Linking_Range_11">IS!$B$2:$AE$52</definedName>
    <definedName name="Linking_Range_12">CF!$B$2:$AE$68</definedName>
    <definedName name="Linking_Range_14">Q!$D$8:$AO$45</definedName>
    <definedName name="Linking_Range_15">Q!$D$8:$AO$45</definedName>
    <definedName name="Linking_Range_17">Q!$D$8:$AO$45</definedName>
    <definedName name="Linking_Range_19">CF!$B$2:$AE$59</definedName>
    <definedName name="Linking_Range_2">IS!$B$2:$AE$51</definedName>
    <definedName name="Linking_Range_20">Q!$D$8:$AS$45</definedName>
    <definedName name="Linking_Range_21">Q!$D$8:$AR$45</definedName>
    <definedName name="Linking_Range_22">Changes!$C$2:$C$7</definedName>
    <definedName name="Linking_Range_23">IS!$B$2:$AG$52</definedName>
    <definedName name="Linking_Range_24">BS!$B$2:$AE$78</definedName>
    <definedName name="Linking_Range_25">Q!$D$8:$AT$45</definedName>
    <definedName name="Linking_Range_26">BS!$B$2:$AG$76</definedName>
    <definedName name="Linking_Range_27">CF!$B$2:$AG$68</definedName>
    <definedName name="Linking_Range_37">Q!$D$8:$AS$36</definedName>
    <definedName name="Linking_Range_4">IS!$B$2:$AE$97</definedName>
    <definedName name="Linking_Range_42">Q!$D$8:$AU$42</definedName>
    <definedName name="Linking_Range_43">Q!$D$8:$AU$42</definedName>
    <definedName name="Linking_Range_49">Q!$D$8:$AU$42</definedName>
    <definedName name="Linking_Range_5">IS!$B$58:$AE$108</definedName>
    <definedName name="Linking_Range_50">Q!$D$8:$AU$42</definedName>
    <definedName name="Linking_Range_54">Q!$D$8:$AR$42</definedName>
    <definedName name="Linking_Range_56">Q!$D$8:$AU$36</definedName>
    <definedName name="Linking_Range_57">Q!$D$8:$AS$42</definedName>
    <definedName name="Linking_Range_6">IS!$B$2:$AE$36</definedName>
    <definedName name="Linking_Range_61">Q!$D$8:$AR$36</definedName>
    <definedName name="Linking_Range_7">BS!$B$2:$AE$45</definedName>
    <definedName name="Linking_Range_76">Q!$D$8:$AT$36</definedName>
    <definedName name="Linking_Range_8">CF!$B$2:$AE$67</definedName>
    <definedName name="Linking_Range_9">CF!$B$2:$AE$53</definedName>
    <definedName name="MacroVersion" localSheetId="16">IndexInformation!$B$1</definedName>
    <definedName name="MaxChange" localSheetId="2">CircularReferenceAlert!$B$9</definedName>
    <definedName name="MaxIterations" localSheetId="2">CircularReferenceAlert!$B$8</definedName>
    <definedName name="mode">[4]Valuation!$F$2</definedName>
    <definedName name="ModelPrice" localSheetId="0">ImportantDisclosures!$A$14</definedName>
    <definedName name="Multiplier" localSheetId="16">IndexInformation!$B$35</definedName>
    <definedName name="NextYearEPS" localSheetId="16">IndexInformation!$B$13</definedName>
    <definedName name="NextYearTotalRevenue" localSheetId="16">IndexInformation!$B$12</definedName>
    <definedName name="NextYearTotalRevenueActual" localSheetId="16">IndexInformation!$B$33</definedName>
    <definedName name="Normalized_Income_Statement">"IS_Annual"</definedName>
    <definedName name="ObjectType">IndexInformation!$B$37</definedName>
    <definedName name="PANA" localSheetId="17">ModPubIndex!$A$11</definedName>
    <definedName name="PathName" localSheetId="16">IndexInformation!$B$25</definedName>
    <definedName name="_xlnm.Print_Area" localSheetId="7">Q!$AX$10:$AX$34,Q!$D$8:$AU$42</definedName>
    <definedName name="_xlnm.Print_Area">"Formula removed, name can be deleted."</definedName>
    <definedName name="_xlnm.Print_Titles">#REF!</definedName>
    <definedName name="PRODUCT" localSheetId="17">ModPubIndex!$A$6</definedName>
    <definedName name="ProjectName">{"Client Name or Project Name"}</definedName>
    <definedName name="PSYM" localSheetId="17">ModPubIndex!$A$4</definedName>
    <definedName name="PublishDate" localSheetId="16">IndexInformation!$B$2</definedName>
    <definedName name="Rating" localSheetId="16">IndexInformation!$B$9</definedName>
    <definedName name="RatingsDefined" localSheetId="0">ImportantDisclosures!$A$21</definedName>
    <definedName name="RatingsDefs" localSheetId="0">ImportantDisclosures!#REF!</definedName>
    <definedName name="RegACDisclosure" localSheetId="0">ImportantDisclosures!#REF!</definedName>
    <definedName name="Rem_Bus_ROIC">OFFSET([0]!XRange,11,0)</definedName>
    <definedName name="ResearchTopic" localSheetId="16">IndexInformation!$B$4</definedName>
    <definedName name="RIC" localSheetId="16">IndexInformation!$B$21</definedName>
    <definedName name="SECSettlement" localSheetId="0">ImportantDisclosures!#REF!</definedName>
    <definedName name="SEDOL" localSheetId="16">IndexInformation!$B$22</definedName>
    <definedName name="SourceDefined" localSheetId="0">ImportantDisclosures!$A$19</definedName>
    <definedName name="StockRating" localSheetId="0">ImportantDisclosures!$A$11</definedName>
    <definedName name="SubjectCode" localSheetId="16">IndexInformation!$B$6</definedName>
    <definedName name="SubmitterUserId">IndexInformation!$B$39</definedName>
    <definedName name="SUPPRESSED" localSheetId="17">ModPubIndex!$A$13</definedName>
    <definedName name="TargetPrice" localSheetId="0">ImportantDisclosures!$A$15</definedName>
    <definedName name="TemplateRegion">IndexInformation!$B$36</definedName>
    <definedName name="Ticker" localSheetId="0">ImportantDisclosures!$A$10</definedName>
    <definedName name="TickerRegion">IndexInformation!$B$41</definedName>
    <definedName name="Tickers" localSheetId="16">IndexInformation!$B$19</definedName>
    <definedName name="Total_Bus_ROIC">OFFSET([0]!XRange,12,0)</definedName>
    <definedName name="UpdateReason" localSheetId="16">IndexInformation!$B$17</definedName>
    <definedName name="USRegDisclosures" localSheetId="0">ImportantDisclosures!#REF!</definedName>
    <definedName name="Version">"June 29, 2004"</definedName>
    <definedName name="WACC">OFFSET([0]!XRange,13,0)</definedName>
  </definedNames>
  <calcPr calcId="145621" iterate="1"/>
</workbook>
</file>

<file path=xl/calcChain.xml><?xml version="1.0" encoding="utf-8"?>
<calcChain xmlns="http://schemas.openxmlformats.org/spreadsheetml/2006/main">
  <c r="H3" i="23" l="1"/>
  <c r="I3" i="23"/>
  <c r="F3" i="23"/>
  <c r="G3" i="23"/>
  <c r="AP88" i="1" l="1"/>
  <c r="AP34" i="2"/>
  <c r="AO138" i="5" l="1"/>
  <c r="AO133" i="5"/>
  <c r="AO132" i="5"/>
  <c r="AN138" i="5"/>
  <c r="AN133" i="5"/>
  <c r="AN132" i="5"/>
  <c r="AM133" i="5"/>
  <c r="AM132" i="5"/>
  <c r="AQ117" i="1"/>
  <c r="AR117" i="1" s="1"/>
  <c r="AS117" i="1" s="1"/>
  <c r="AT117" i="1" s="1"/>
  <c r="AU117" i="1" s="1"/>
  <c r="AV117" i="1" s="1"/>
  <c r="AW117" i="1" s="1"/>
  <c r="AX117" i="1" s="1"/>
  <c r="AY117" i="1" s="1"/>
  <c r="AQ109" i="1"/>
  <c r="AR109" i="1" s="1"/>
  <c r="AS109" i="1" s="1"/>
  <c r="AT109" i="1" s="1"/>
  <c r="AU109" i="1" s="1"/>
  <c r="AV109" i="1" s="1"/>
  <c r="AW109" i="1" s="1"/>
  <c r="AX109" i="1" s="1"/>
  <c r="AY109" i="1" s="1"/>
  <c r="AO113" i="3"/>
  <c r="AO109" i="3"/>
  <c r="AO108" i="3"/>
  <c r="AO88" i="3"/>
  <c r="AN113" i="3"/>
  <c r="AN109" i="3"/>
  <c r="AN108" i="3"/>
  <c r="AN88" i="3"/>
  <c r="AR169" i="1"/>
  <c r="AS169" i="1" s="1"/>
  <c r="AQ169" i="1"/>
  <c r="C12" i="7"/>
  <c r="AN119" i="5"/>
  <c r="AN114" i="5"/>
  <c r="AN62" i="3"/>
  <c r="AO80" i="3"/>
  <c r="AO62" i="3"/>
  <c r="AO52" i="3"/>
  <c r="AO57" i="3" s="1"/>
  <c r="AO51" i="3"/>
  <c r="AO56" i="3" s="1"/>
  <c r="AO44" i="3"/>
  <c r="C20" i="7" s="1"/>
  <c r="AO29" i="3"/>
  <c r="AO37" i="3" s="1"/>
  <c r="AO48" i="2"/>
  <c r="AO41" i="2"/>
  <c r="AO34" i="2"/>
  <c r="AO33" i="2"/>
  <c r="AO69" i="3" s="1"/>
  <c r="AO70" i="3" s="1"/>
  <c r="AO26" i="2"/>
  <c r="AO25" i="2"/>
  <c r="AO23" i="2"/>
  <c r="AO20" i="2"/>
  <c r="AO17" i="2"/>
  <c r="AO14" i="2"/>
  <c r="AO13" i="2"/>
  <c r="AO12" i="2"/>
  <c r="AO79" i="2" s="1"/>
  <c r="AO78" i="2"/>
  <c r="AO76" i="2"/>
  <c r="AO75" i="2"/>
  <c r="AO74" i="2"/>
  <c r="AO16" i="2"/>
  <c r="AO7" i="2"/>
  <c r="AO23" i="4"/>
  <c r="AO16" i="4"/>
  <c r="AO45" i="4" s="1"/>
  <c r="AO11" i="4"/>
  <c r="AO151" i="4"/>
  <c r="AO128" i="4"/>
  <c r="AO130" i="4" s="1"/>
  <c r="AO126" i="4"/>
  <c r="AO97" i="4"/>
  <c r="AO67" i="4"/>
  <c r="AO107" i="4" s="1"/>
  <c r="AO66" i="4"/>
  <c r="AO106" i="4" s="1"/>
  <c r="AO65" i="4"/>
  <c r="AO105" i="4" s="1"/>
  <c r="AO64" i="4"/>
  <c r="AO104" i="4" s="1"/>
  <c r="AO63" i="4"/>
  <c r="AO103" i="4" s="1"/>
  <c r="AO62" i="4"/>
  <c r="AO48" i="4"/>
  <c r="AO77" i="2" s="1"/>
  <c r="AO47" i="4"/>
  <c r="AO43" i="4"/>
  <c r="AO42" i="4"/>
  <c r="AO36" i="4"/>
  <c r="AO10" i="4"/>
  <c r="AO112" i="4" s="1"/>
  <c r="AP114" i="4" s="1"/>
  <c r="AO5" i="4"/>
  <c r="AO278" i="1"/>
  <c r="AO273" i="1"/>
  <c r="AO257" i="1"/>
  <c r="AO236" i="1"/>
  <c r="AO239" i="1" s="1"/>
  <c r="AO235" i="1"/>
  <c r="AO269" i="1" s="1"/>
  <c r="AO228" i="1"/>
  <c r="AO224" i="1"/>
  <c r="AO223" i="1"/>
  <c r="AO222" i="1"/>
  <c r="AO207" i="1"/>
  <c r="AO197" i="1"/>
  <c r="AO196" i="1"/>
  <c r="AO193" i="1"/>
  <c r="AO192" i="1"/>
  <c r="AO187" i="1"/>
  <c r="AO186" i="1"/>
  <c r="AO182" i="1"/>
  <c r="AO178" i="1"/>
  <c r="AO177" i="1"/>
  <c r="AO176" i="1"/>
  <c r="AO175" i="1"/>
  <c r="AO161" i="1"/>
  <c r="AO151" i="1"/>
  <c r="AO243" i="1" s="1"/>
  <c r="AO263" i="1" s="1"/>
  <c r="AO232" i="1" s="1"/>
  <c r="AO150" i="1"/>
  <c r="AO242" i="1" s="1"/>
  <c r="AO250" i="1" s="1"/>
  <c r="AO147" i="1"/>
  <c r="AO146" i="1"/>
  <c r="AO141" i="1"/>
  <c r="AO140" i="1"/>
  <c r="AO136" i="1"/>
  <c r="AO132" i="1"/>
  <c r="AO131" i="1"/>
  <c r="AO130" i="1"/>
  <c r="AO115" i="1"/>
  <c r="AO105" i="1"/>
  <c r="AO104" i="1"/>
  <c r="AO101" i="1"/>
  <c r="AO100" i="1"/>
  <c r="AO95" i="1"/>
  <c r="AO94" i="1"/>
  <c r="AO93" i="1" s="1"/>
  <c r="AO92" i="1" s="1"/>
  <c r="AO121" i="1" s="1"/>
  <c r="AO90" i="1"/>
  <c r="AO86" i="1"/>
  <c r="AO85" i="1"/>
  <c r="AO84" i="1"/>
  <c r="AO83" i="1"/>
  <c r="AO69" i="1"/>
  <c r="AO67" i="1"/>
  <c r="AO59" i="1"/>
  <c r="AO58" i="1"/>
  <c r="AO55" i="1"/>
  <c r="AO54" i="1"/>
  <c r="AO49" i="1"/>
  <c r="AO48" i="1"/>
  <c r="AO44" i="1"/>
  <c r="AO42" i="1"/>
  <c r="AO33" i="1"/>
  <c r="AO9" i="1" s="1"/>
  <c r="AO31" i="1"/>
  <c r="AO25" i="1"/>
  <c r="AO23" i="1"/>
  <c r="AO22" i="1"/>
  <c r="AO17" i="1"/>
  <c r="AO16" i="1"/>
  <c r="AO14" i="1"/>
  <c r="AO8" i="1"/>
  <c r="AP16" i="19"/>
  <c r="AO35" i="2" l="1"/>
  <c r="AO73" i="2"/>
  <c r="AO91" i="3"/>
  <c r="AO105" i="3" s="1"/>
  <c r="AO12" i="4"/>
  <c r="AO117" i="4" s="1"/>
  <c r="AO81" i="3"/>
  <c r="AO68" i="4"/>
  <c r="AO70" i="4" s="1"/>
  <c r="AO10" i="2"/>
  <c r="AO54" i="3"/>
  <c r="C62" i="7"/>
  <c r="AO58" i="3"/>
  <c r="AO45" i="3"/>
  <c r="AO55" i="3"/>
  <c r="AO60" i="3"/>
  <c r="AO75" i="3"/>
  <c r="AO76" i="3" s="1"/>
  <c r="AO82" i="3"/>
  <c r="AO59" i="3"/>
  <c r="AO28" i="2"/>
  <c r="AO19" i="4"/>
  <c r="AO25" i="4" s="1"/>
  <c r="AO30" i="4" s="1"/>
  <c r="AO102" i="4"/>
  <c r="AO238" i="1"/>
  <c r="AO268" i="1"/>
  <c r="AO233" i="1"/>
  <c r="AO231" i="1" s="1"/>
  <c r="AO230" i="1" s="1"/>
  <c r="AO258" i="1" s="1"/>
  <c r="AO185" i="1"/>
  <c r="AO184" i="1" s="1"/>
  <c r="AO213" i="1" s="1"/>
  <c r="AO139" i="1"/>
  <c r="AO138" i="1" s="1"/>
  <c r="AO167" i="1" s="1"/>
  <c r="AO47" i="1"/>
  <c r="AO46" i="1" s="1"/>
  <c r="AO75" i="1" s="1"/>
  <c r="AO10" i="1"/>
  <c r="AI41" i="19"/>
  <c r="AJ41" i="19"/>
  <c r="AK41" i="19"/>
  <c r="AL41" i="19"/>
  <c r="AM41" i="19"/>
  <c r="AN41" i="19"/>
  <c r="AI42" i="19"/>
  <c r="AJ42" i="19"/>
  <c r="AK42" i="19"/>
  <c r="AL42" i="19"/>
  <c r="AM42" i="19"/>
  <c r="AN42" i="19"/>
  <c r="AI43" i="19"/>
  <c r="AJ43" i="19"/>
  <c r="AK43" i="19"/>
  <c r="AL43" i="19"/>
  <c r="AM43" i="19"/>
  <c r="AN43" i="19"/>
  <c r="AI45" i="19"/>
  <c r="AJ45" i="19"/>
  <c r="AK45" i="19"/>
  <c r="AL45" i="19"/>
  <c r="AM45" i="19"/>
  <c r="AN45" i="19"/>
  <c r="AL37" i="19"/>
  <c r="AM37" i="19"/>
  <c r="AN37" i="19"/>
  <c r="AR39" i="19" s="1"/>
  <c r="AS39" i="19" s="1"/>
  <c r="AK37" i="19"/>
  <c r="AL34" i="19"/>
  <c r="AM34" i="19"/>
  <c r="AN34" i="19"/>
  <c r="AR36" i="19" s="1"/>
  <c r="AS36" i="19" s="1"/>
  <c r="AK34" i="19"/>
  <c r="AL31" i="19"/>
  <c r="AM31" i="19"/>
  <c r="AN31" i="19"/>
  <c r="AR33" i="19" s="1"/>
  <c r="AS33" i="19" s="1"/>
  <c r="AK31" i="19"/>
  <c r="AL28" i="19"/>
  <c r="AM28" i="19"/>
  <c r="AN28" i="19"/>
  <c r="AR30" i="19" s="1"/>
  <c r="AS30" i="19" s="1"/>
  <c r="AK28" i="19"/>
  <c r="AL25" i="19"/>
  <c r="AM25" i="19"/>
  <c r="AN25" i="19"/>
  <c r="AR27" i="19" s="1"/>
  <c r="AS27" i="19" s="1"/>
  <c r="AK25" i="19"/>
  <c r="AJ14" i="19"/>
  <c r="AK14" i="19"/>
  <c r="AL14" i="19"/>
  <c r="AN14" i="19"/>
  <c r="AL798" i="9"/>
  <c r="AM798" i="9"/>
  <c r="AN798" i="9"/>
  <c r="AN731" i="9"/>
  <c r="AM731" i="9"/>
  <c r="AO72" i="2" l="1"/>
  <c r="AO81" i="2" s="1"/>
  <c r="AO6" i="2"/>
  <c r="AO8" i="2" s="1"/>
  <c r="AO137" i="4"/>
  <c r="AO28" i="4"/>
  <c r="AO40" i="4"/>
  <c r="AO51" i="4" s="1"/>
  <c r="AO33" i="4"/>
  <c r="AR26" i="19"/>
  <c r="AP26" i="19"/>
  <c r="AP29" i="19"/>
  <c r="AR29" i="19"/>
  <c r="AR32" i="19"/>
  <c r="AP32" i="19"/>
  <c r="AR35" i="19"/>
  <c r="AP35" i="19"/>
  <c r="AR38" i="19"/>
  <c r="AP38" i="19"/>
  <c r="AL623" i="9"/>
  <c r="AM623" i="9"/>
  <c r="AN623" i="9"/>
  <c r="AL624" i="9"/>
  <c r="AM624" i="9"/>
  <c r="AN624" i="9"/>
  <c r="AL625" i="9"/>
  <c r="AM625" i="9"/>
  <c r="AN625" i="9"/>
  <c r="AL626" i="9"/>
  <c r="AM626" i="9"/>
  <c r="AN626" i="9"/>
  <c r="AL627" i="9"/>
  <c r="AM627" i="9"/>
  <c r="AN627" i="9"/>
  <c r="AL628" i="9"/>
  <c r="AM628" i="9"/>
  <c r="AN628" i="9"/>
  <c r="AO35" i="4" l="1"/>
  <c r="AO53" i="3"/>
  <c r="AO82" i="2"/>
  <c r="AO88" i="2"/>
  <c r="AO63" i="2"/>
  <c r="AO143" i="5"/>
  <c r="AO108" i="4"/>
  <c r="AO52" i="4"/>
  <c r="AM584" i="9" l="1"/>
  <c r="AN584" i="9"/>
  <c r="AL584" i="9"/>
  <c r="AL583" i="9"/>
  <c r="AM583" i="9"/>
  <c r="AN583" i="9"/>
  <c r="AL582" i="9"/>
  <c r="AM582" i="9"/>
  <c r="AN582" i="9"/>
  <c r="AL581" i="9"/>
  <c r="AM581" i="9"/>
  <c r="AN581" i="9"/>
  <c r="AL580" i="9"/>
  <c r="AM580" i="9"/>
  <c r="AN580" i="9"/>
  <c r="AL579" i="9"/>
  <c r="AM579" i="9"/>
  <c r="AN579" i="9"/>
  <c r="AL578" i="9"/>
  <c r="AM578" i="9"/>
  <c r="AN578" i="9"/>
  <c r="AL16" i="9" l="1"/>
  <c r="AN16" i="9"/>
  <c r="AM16" i="9"/>
  <c r="AM18" i="9" l="1"/>
  <c r="AN18" i="9"/>
  <c r="H143" i="4"/>
  <c r="AL97" i="4" l="1"/>
  <c r="AL629" i="9" s="1"/>
  <c r="AM97" i="4"/>
  <c r="AM629" i="9" s="1"/>
  <c r="AN97" i="4"/>
  <c r="AN629" i="9" s="1"/>
  <c r="AL66" i="4"/>
  <c r="AL106" i="4" s="1"/>
  <c r="AM66" i="4"/>
  <c r="AN66" i="4"/>
  <c r="AN5" i="4"/>
  <c r="AN86" i="4" l="1"/>
  <c r="AO86" i="4"/>
  <c r="AN11" i="19"/>
  <c r="AO7" i="4"/>
  <c r="AN15" i="19"/>
  <c r="AM86" i="4"/>
  <c r="AN106" i="4"/>
  <c r="AM106" i="4"/>
  <c r="K80" i="2"/>
  <c r="J80" i="2"/>
  <c r="I80" i="2"/>
  <c r="H80" i="2"/>
  <c r="Y80" i="3"/>
  <c r="Y82" i="3" s="1"/>
  <c r="Z80" i="3"/>
  <c r="Z82" i="3" s="1"/>
  <c r="AA80" i="3"/>
  <c r="AA82" i="3" s="1"/>
  <c r="AB80" i="3"/>
  <c r="AC80" i="3"/>
  <c r="AC82" i="3" s="1"/>
  <c r="AD80" i="3"/>
  <c r="AD82" i="3" s="1"/>
  <c r="AE80" i="3"/>
  <c r="AE82" i="3" s="1"/>
  <c r="AF80" i="3"/>
  <c r="AF82" i="3" s="1"/>
  <c r="AG80" i="3"/>
  <c r="AG82" i="3" s="1"/>
  <c r="AH80" i="3"/>
  <c r="AH82" i="3" s="1"/>
  <c r="AI80" i="3"/>
  <c r="AI82" i="3" s="1"/>
  <c r="AJ80" i="3"/>
  <c r="AJ82" i="3" s="1"/>
  <c r="AK80" i="3"/>
  <c r="AK82" i="3" s="1"/>
  <c r="AL80" i="3"/>
  <c r="AL82" i="3" s="1"/>
  <c r="AM80" i="3"/>
  <c r="AM82" i="3" s="1"/>
  <c r="AN80" i="3"/>
  <c r="AN82" i="3" s="1"/>
  <c r="X80" i="3"/>
  <c r="X82" i="3" s="1"/>
  <c r="AP74" i="2"/>
  <c r="AQ74" i="2"/>
  <c r="AR74" i="2"/>
  <c r="AS74" i="2"/>
  <c r="AT74" i="2"/>
  <c r="AU74" i="2"/>
  <c r="AV74" i="2"/>
  <c r="AW74" i="2"/>
  <c r="AX74" i="2"/>
  <c r="AY74" i="2"/>
  <c r="AP76" i="2"/>
  <c r="AQ76" i="2"/>
  <c r="AR76" i="2"/>
  <c r="AS76" i="2"/>
  <c r="AT76" i="2"/>
  <c r="AU76" i="2"/>
  <c r="AV76" i="2"/>
  <c r="AW76" i="2"/>
  <c r="AX76" i="2"/>
  <c r="AY76" i="2"/>
  <c r="AP78" i="2"/>
  <c r="AQ78" i="2"/>
  <c r="AR78" i="2"/>
  <c r="AS78" i="2"/>
  <c r="AT78" i="2"/>
  <c r="AU78" i="2"/>
  <c r="AV78" i="2"/>
  <c r="AW78" i="2"/>
  <c r="AX78" i="2"/>
  <c r="AY78" i="2"/>
  <c r="Z79" i="2"/>
  <c r="Y79" i="2"/>
  <c r="X79" i="2"/>
  <c r="AI78" i="2"/>
  <c r="AH78" i="2"/>
  <c r="AG78" i="2"/>
  <c r="AF78" i="2"/>
  <c r="AE78" i="2"/>
  <c r="AD78" i="2"/>
  <c r="AC78" i="2"/>
  <c r="AB78" i="2"/>
  <c r="AA78" i="2"/>
  <c r="Z78" i="2"/>
  <c r="Y78" i="2"/>
  <c r="X78" i="2"/>
  <c r="AI76" i="2"/>
  <c r="AH76" i="2"/>
  <c r="AG76" i="2"/>
  <c r="AF76" i="2"/>
  <c r="AE76" i="2"/>
  <c r="AD76" i="2"/>
  <c r="AC76" i="2"/>
  <c r="AB76" i="2"/>
  <c r="AA76" i="2"/>
  <c r="Z76" i="2"/>
  <c r="Y76" i="2"/>
  <c r="X76" i="2"/>
  <c r="AI75" i="2"/>
  <c r="AH75" i="2"/>
  <c r="AG75" i="2"/>
  <c r="AF75" i="2"/>
  <c r="AE75" i="2"/>
  <c r="AD75" i="2"/>
  <c r="AC75" i="2"/>
  <c r="AB75" i="2"/>
  <c r="AA75" i="2"/>
  <c r="Z75" i="2"/>
  <c r="Y75" i="2"/>
  <c r="X75" i="2"/>
  <c r="AI74" i="2"/>
  <c r="AD74" i="2"/>
  <c r="AC74" i="2"/>
  <c r="AB74" i="2"/>
  <c r="AA74" i="2"/>
  <c r="Z74" i="2"/>
  <c r="Y74" i="2"/>
  <c r="X74" i="2"/>
  <c r="AA73" i="2"/>
  <c r="Z73" i="2"/>
  <c r="Y73" i="2"/>
  <c r="X73" i="2"/>
  <c r="AJ78" i="2"/>
  <c r="AK78" i="2"/>
  <c r="AL78" i="2"/>
  <c r="AM78" i="2"/>
  <c r="AN78" i="2"/>
  <c r="AN49" i="4"/>
  <c r="AN74" i="2" s="1"/>
  <c r="AM49" i="4"/>
  <c r="AM74" i="2" s="1"/>
  <c r="AL49" i="4"/>
  <c r="AL74" i="2" s="1"/>
  <c r="AK49" i="4"/>
  <c r="AK74" i="2" s="1"/>
  <c r="AJ49" i="4"/>
  <c r="AJ74" i="2" s="1"/>
  <c r="AH49" i="4"/>
  <c r="AH74" i="2" s="1"/>
  <c r="AG49" i="4"/>
  <c r="AG74" i="2" s="1"/>
  <c r="AF49" i="4"/>
  <c r="AF74" i="2" s="1"/>
  <c r="AE49" i="4"/>
  <c r="AE74" i="2" s="1"/>
  <c r="I80" i="3" l="1"/>
  <c r="AB82" i="3"/>
  <c r="J80" i="3"/>
  <c r="H74" i="2"/>
  <c r="I74" i="2"/>
  <c r="J74" i="2"/>
  <c r="H75" i="2"/>
  <c r="I75" i="2"/>
  <c r="J75" i="2"/>
  <c r="H76" i="2"/>
  <c r="I76" i="2"/>
  <c r="J76" i="2"/>
  <c r="H78" i="2"/>
  <c r="I78" i="2"/>
  <c r="J78" i="2"/>
  <c r="N76" i="2"/>
  <c r="M76" i="2"/>
  <c r="M74" i="2"/>
  <c r="L74" i="2"/>
  <c r="K74" i="2"/>
  <c r="N78" i="2"/>
  <c r="M78" i="2"/>
  <c r="N74" i="2"/>
  <c r="L78" i="2"/>
  <c r="K78" i="2"/>
  <c r="H73" i="2"/>
  <c r="K80" i="3"/>
  <c r="H80" i="3"/>
  <c r="AJ79" i="2"/>
  <c r="AN79" i="2"/>
  <c r="AJ76" i="2"/>
  <c r="AK76" i="2"/>
  <c r="AL76" i="2"/>
  <c r="AM76" i="2"/>
  <c r="AN76" i="2"/>
  <c r="L76" i="2" s="1"/>
  <c r="AJ75" i="2"/>
  <c r="AK75" i="2"/>
  <c r="AL75" i="2"/>
  <c r="AM75" i="2"/>
  <c r="AN75" i="2"/>
  <c r="K76" i="2" l="1"/>
  <c r="K75" i="2"/>
  <c r="AL673" i="9"/>
  <c r="AK670" i="9"/>
  <c r="AP113" i="4" l="1"/>
  <c r="AP73" i="3"/>
  <c r="AQ73" i="3"/>
  <c r="AY73" i="3"/>
  <c r="AP71" i="3"/>
  <c r="AQ71" i="3"/>
  <c r="AY71" i="3"/>
  <c r="AR72" i="3"/>
  <c r="AM83" i="1"/>
  <c r="AN83" i="1"/>
  <c r="AN69" i="3"/>
  <c r="AN21" i="19" s="1"/>
  <c r="AN22" i="19" s="1"/>
  <c r="AN52" i="3"/>
  <c r="AN57" i="3" s="1"/>
  <c r="AN51" i="3"/>
  <c r="AN60" i="3" s="1"/>
  <c r="AN44" i="3"/>
  <c r="AN29" i="3"/>
  <c r="AN37" i="3" s="1"/>
  <c r="AN43" i="2"/>
  <c r="AO43" i="2" s="1"/>
  <c r="AN38" i="2"/>
  <c r="AO38" i="2" s="1"/>
  <c r="AN18" i="2"/>
  <c r="AO18" i="2" s="1"/>
  <c r="AO29" i="2" s="1"/>
  <c r="AN35" i="2"/>
  <c r="AN28" i="2"/>
  <c r="AN16" i="2"/>
  <c r="AN7" i="2"/>
  <c r="AN23" i="4"/>
  <c r="AN16" i="4"/>
  <c r="AN11" i="4"/>
  <c r="AN16" i="19" s="1"/>
  <c r="AN151" i="4"/>
  <c r="AN128" i="4"/>
  <c r="AN130" i="4" s="1"/>
  <c r="AN126" i="4"/>
  <c r="AN67" i="4"/>
  <c r="AN65" i="4"/>
  <c r="AN64" i="4"/>
  <c r="AN63" i="4"/>
  <c r="AN62" i="4"/>
  <c r="AN47" i="4"/>
  <c r="AN36" i="4"/>
  <c r="AN43" i="4"/>
  <c r="AN48" i="4"/>
  <c r="AN77" i="2" s="1"/>
  <c r="AN42" i="4"/>
  <c r="AN10" i="4"/>
  <c r="AN112" i="4" s="1"/>
  <c r="AN278" i="1"/>
  <c r="AN257" i="1"/>
  <c r="AN732" i="9" s="1"/>
  <c r="AN236" i="1"/>
  <c r="AN235" i="1"/>
  <c r="AN224" i="1"/>
  <c r="AN223" i="1"/>
  <c r="AN222" i="1"/>
  <c r="AN207" i="1"/>
  <c r="AN197" i="1"/>
  <c r="AN775" i="9" s="1"/>
  <c r="AN196" i="1"/>
  <c r="AN672" i="9" s="1"/>
  <c r="AN193" i="1"/>
  <c r="AN192" i="1"/>
  <c r="AN187" i="1"/>
  <c r="AN186" i="1"/>
  <c r="AG193" i="1"/>
  <c r="AG192" i="1"/>
  <c r="AH193" i="1"/>
  <c r="AH192" i="1"/>
  <c r="AI193" i="1"/>
  <c r="AI192" i="1"/>
  <c r="AJ193" i="1"/>
  <c r="AJ192" i="1"/>
  <c r="AK193" i="1"/>
  <c r="AK192" i="1"/>
  <c r="AG187" i="1"/>
  <c r="AG186" i="1"/>
  <c r="AH187" i="1"/>
  <c r="AH186" i="1"/>
  <c r="AI187" i="1"/>
  <c r="AI186" i="1"/>
  <c r="AJ187" i="1"/>
  <c r="AJ186" i="1"/>
  <c r="AK187" i="1"/>
  <c r="AM175" i="1"/>
  <c r="AN175" i="1"/>
  <c r="AI147" i="1"/>
  <c r="AI146" i="1"/>
  <c r="AJ147" i="1"/>
  <c r="AJ146" i="1"/>
  <c r="AK147" i="1"/>
  <c r="AK146" i="1"/>
  <c r="AN176" i="1"/>
  <c r="AN161" i="1"/>
  <c r="AN151" i="1"/>
  <c r="AN150" i="1"/>
  <c r="AN671" i="9" s="1"/>
  <c r="AN147" i="1"/>
  <c r="AN178" i="1"/>
  <c r="AN141" i="1"/>
  <c r="AN140" i="1"/>
  <c r="AK95" i="1"/>
  <c r="AI55" i="1"/>
  <c r="AI54" i="1"/>
  <c r="AJ55" i="1"/>
  <c r="AJ54" i="1"/>
  <c r="AI101" i="1"/>
  <c r="AI100" i="1"/>
  <c r="AJ101" i="1"/>
  <c r="AJ100" i="1"/>
  <c r="AK101" i="1"/>
  <c r="AK100" i="1"/>
  <c r="AN130" i="1"/>
  <c r="AN115" i="1"/>
  <c r="AN105" i="1"/>
  <c r="AN104" i="1"/>
  <c r="AN101" i="1"/>
  <c r="AN131" i="1"/>
  <c r="AN95" i="1"/>
  <c r="AN94" i="1"/>
  <c r="AL74" i="1"/>
  <c r="AK86" i="1"/>
  <c r="AK85" i="1"/>
  <c r="AK49" i="1"/>
  <c r="AK55" i="1"/>
  <c r="AK54" i="1"/>
  <c r="AN84" i="1"/>
  <c r="AN69" i="1"/>
  <c r="AN67" i="1"/>
  <c r="AN59" i="1"/>
  <c r="AN58" i="1"/>
  <c r="AN669" i="9" s="1"/>
  <c r="AN55" i="1"/>
  <c r="AN54" i="1"/>
  <c r="AN49" i="1"/>
  <c r="AN48" i="1"/>
  <c r="AN42" i="1"/>
  <c r="AN33" i="1"/>
  <c r="AN31" i="1"/>
  <c r="AN25" i="1"/>
  <c r="AN23" i="1"/>
  <c r="AN22" i="1"/>
  <c r="AN17" i="1"/>
  <c r="AN16" i="1"/>
  <c r="AN14" i="1"/>
  <c r="AN8" i="1"/>
  <c r="AN105" i="4" l="1"/>
  <c r="AP105" i="4" s="1"/>
  <c r="AQ105" i="4" s="1"/>
  <c r="AR105" i="4" s="1"/>
  <c r="AS105" i="4" s="1"/>
  <c r="AT105" i="4" s="1"/>
  <c r="AU105" i="4" s="1"/>
  <c r="AV105" i="4" s="1"/>
  <c r="AW105" i="4" s="1"/>
  <c r="AX105" i="4" s="1"/>
  <c r="AY105" i="4" s="1"/>
  <c r="AO85" i="4"/>
  <c r="AO57" i="2"/>
  <c r="AI185" i="1"/>
  <c r="AI184" i="1" s="1"/>
  <c r="AN185" i="1"/>
  <c r="AN184" i="1" s="1"/>
  <c r="AN213" i="1" s="1"/>
  <c r="AN102" i="4"/>
  <c r="AP102" i="4" s="1"/>
  <c r="AQ102" i="4" s="1"/>
  <c r="AR102" i="4" s="1"/>
  <c r="AS102" i="4" s="1"/>
  <c r="AT102" i="4" s="1"/>
  <c r="AU102" i="4" s="1"/>
  <c r="AV102" i="4" s="1"/>
  <c r="AW102" i="4" s="1"/>
  <c r="AX102" i="4" s="1"/>
  <c r="AY102" i="4" s="1"/>
  <c r="AO82" i="4"/>
  <c r="AN107" i="4"/>
  <c r="AO87" i="4"/>
  <c r="AO44" i="2"/>
  <c r="AO50" i="2" s="1"/>
  <c r="AN103" i="4"/>
  <c r="AP103" i="4" s="1"/>
  <c r="AQ103" i="4" s="1"/>
  <c r="AR103" i="4" s="1"/>
  <c r="AS103" i="4" s="1"/>
  <c r="AT103" i="4" s="1"/>
  <c r="AU103" i="4" s="1"/>
  <c r="AV103" i="4" s="1"/>
  <c r="AW103" i="4" s="1"/>
  <c r="AX103" i="4" s="1"/>
  <c r="AY103" i="4" s="1"/>
  <c r="AO83" i="4"/>
  <c r="AN73" i="2"/>
  <c r="AN91" i="3"/>
  <c r="AN105" i="3" s="1"/>
  <c r="AN44" i="19"/>
  <c r="AO27" i="1"/>
  <c r="AN45" i="4"/>
  <c r="AN104" i="4"/>
  <c r="AP104" i="4" s="1"/>
  <c r="AQ104" i="4" s="1"/>
  <c r="AR104" i="4" s="1"/>
  <c r="AS104" i="4" s="1"/>
  <c r="AT104" i="4" s="1"/>
  <c r="AU104" i="4" s="1"/>
  <c r="AV104" i="4" s="1"/>
  <c r="AW104" i="4" s="1"/>
  <c r="AX104" i="4" s="1"/>
  <c r="AY104" i="4" s="1"/>
  <c r="AO84" i="4"/>
  <c r="AN9" i="1"/>
  <c r="AN46" i="19"/>
  <c r="AH185" i="1"/>
  <c r="AH184" i="1" s="1"/>
  <c r="AJ185" i="1"/>
  <c r="AJ184" i="1" s="1"/>
  <c r="AN269" i="1"/>
  <c r="AG185" i="1"/>
  <c r="AG184" i="1" s="1"/>
  <c r="AR71" i="3"/>
  <c r="AR73" i="3"/>
  <c r="AS72" i="3"/>
  <c r="AN670" i="9"/>
  <c r="AN242" i="1"/>
  <c r="AN250" i="1" s="1"/>
  <c r="AN243" i="1"/>
  <c r="AN139" i="1"/>
  <c r="AN138" i="1" s="1"/>
  <c r="AN167" i="1" s="1"/>
  <c r="AP107" i="4"/>
  <c r="AQ114" i="4"/>
  <c r="AR114" i="4" s="1"/>
  <c r="AS114" i="4" s="1"/>
  <c r="AT114" i="4" s="1"/>
  <c r="AU114" i="4" s="1"/>
  <c r="AV114" i="4" s="1"/>
  <c r="AW114" i="4" s="1"/>
  <c r="AX114" i="4" s="1"/>
  <c r="AY114" i="4" s="1"/>
  <c r="AN10" i="2"/>
  <c r="AN19" i="4"/>
  <c r="AN25" i="4" s="1"/>
  <c r="AN30" i="4" s="1"/>
  <c r="AN40" i="4" s="1"/>
  <c r="AN81" i="3"/>
  <c r="AN44" i="2"/>
  <c r="AN12" i="4"/>
  <c r="AN117" i="4" s="1"/>
  <c r="AN68" i="4"/>
  <c r="AO88" i="4" s="1"/>
  <c r="AN70" i="3"/>
  <c r="AN45" i="3"/>
  <c r="AN75" i="3"/>
  <c r="AN76" i="3" s="1"/>
  <c r="AN54" i="3"/>
  <c r="AN58" i="3"/>
  <c r="AN55" i="3"/>
  <c r="AN59" i="3"/>
  <c r="AN56" i="3"/>
  <c r="AN238" i="1"/>
  <c r="AN233" i="1"/>
  <c r="AN268" i="1"/>
  <c r="AN239" i="1"/>
  <c r="AN146" i="1"/>
  <c r="AN177" i="1"/>
  <c r="AN93" i="1"/>
  <c r="AN92" i="1" s="1"/>
  <c r="AN121" i="1" s="1"/>
  <c r="AN132" i="1"/>
  <c r="AN100" i="1"/>
  <c r="AN47" i="1"/>
  <c r="AN46" i="1" s="1"/>
  <c r="AN75" i="1" s="1"/>
  <c r="AN85" i="1"/>
  <c r="AN86" i="1"/>
  <c r="AN10" i="1"/>
  <c r="AN263" i="1" l="1"/>
  <c r="AN776" i="9"/>
  <c r="AQ107" i="4"/>
  <c r="AT72" i="3"/>
  <c r="AS71" i="3"/>
  <c r="AS73" i="3"/>
  <c r="AN673" i="9"/>
  <c r="AN51" i="4"/>
  <c r="AN143" i="5" s="1"/>
  <c r="AN33" i="4"/>
  <c r="AN53" i="3" s="1"/>
  <c r="AN6" i="2"/>
  <c r="AN8" i="2" s="1"/>
  <c r="AN29" i="2" s="1"/>
  <c r="AN50" i="2" s="1"/>
  <c r="AN72" i="2"/>
  <c r="AN81" i="2" s="1"/>
  <c r="AN237" i="9" s="1"/>
  <c r="AN137" i="4"/>
  <c r="AN28" i="4"/>
  <c r="AN35" i="4" l="1"/>
  <c r="AN20" i="19" s="1"/>
  <c r="AN232" i="1"/>
  <c r="AN231" i="1" s="1"/>
  <c r="AN230" i="1" s="1"/>
  <c r="AN258" i="1" s="1"/>
  <c r="AN799" i="9"/>
  <c r="AN108" i="4"/>
  <c r="AN18" i="19"/>
  <c r="AU72" i="3"/>
  <c r="AT73" i="3"/>
  <c r="AT71" i="3"/>
  <c r="AR107" i="4"/>
  <c r="AN88" i="2"/>
  <c r="AN82" i="2"/>
  <c r="AN52" i="4"/>
  <c r="AN63" i="2"/>
  <c r="AN57" i="2"/>
  <c r="AN19" i="19" l="1"/>
  <c r="AN17" i="19"/>
  <c r="AV72" i="3"/>
  <c r="AU73" i="3"/>
  <c r="AU71" i="3"/>
  <c r="AS107" i="4"/>
  <c r="AL39" i="19"/>
  <c r="AL36" i="19"/>
  <c r="AL33" i="19"/>
  <c r="AL27" i="19"/>
  <c r="AH41" i="19"/>
  <c r="AH42" i="19"/>
  <c r="AH43" i="19"/>
  <c r="AH45" i="19"/>
  <c r="AH14" i="19"/>
  <c r="AW72" i="3" l="1"/>
  <c r="AV71" i="3"/>
  <c r="AV73" i="3"/>
  <c r="AT107" i="4"/>
  <c r="AR113" i="4"/>
  <c r="AQ113" i="4"/>
  <c r="AS113" i="4"/>
  <c r="AU107" i="4" l="1"/>
  <c r="AX72" i="3"/>
  <c r="AW71" i="3"/>
  <c r="AW73" i="3"/>
  <c r="AT113" i="4"/>
  <c r="AM119" i="5"/>
  <c r="AN115" i="5" l="1"/>
  <c r="AN117" i="5" s="1"/>
  <c r="AN116" i="5"/>
  <c r="AV107" i="4"/>
  <c r="AX73" i="3"/>
  <c r="AX71" i="3"/>
  <c r="AU113" i="4"/>
  <c r="AM113" i="3"/>
  <c r="AM109" i="3"/>
  <c r="AM108" i="3"/>
  <c r="AM88" i="3"/>
  <c r="AM51" i="3"/>
  <c r="AM59" i="3" s="1"/>
  <c r="AM44" i="3"/>
  <c r="AM29" i="3"/>
  <c r="AM37" i="3" s="1"/>
  <c r="AM16" i="2"/>
  <c r="AM7" i="2"/>
  <c r="AM27" i="4"/>
  <c r="AM43" i="4" s="1"/>
  <c r="AM22" i="4"/>
  <c r="AM48" i="4" s="1"/>
  <c r="AM77" i="2" s="1"/>
  <c r="AM21" i="4"/>
  <c r="AM138" i="5" s="1"/>
  <c r="AM16" i="4"/>
  <c r="AM10" i="2" s="1"/>
  <c r="AM9" i="4"/>
  <c r="AM14" i="19" s="1"/>
  <c r="AM151" i="4"/>
  <c r="AM128" i="4"/>
  <c r="AM130" i="4" s="1"/>
  <c r="AM126" i="4"/>
  <c r="AM67" i="4"/>
  <c r="AM65" i="4"/>
  <c r="AM105" i="4" s="1"/>
  <c r="AM64" i="4"/>
  <c r="AM104" i="4" s="1"/>
  <c r="AM63" i="4"/>
  <c r="AM103" i="4" s="1"/>
  <c r="AM62" i="4"/>
  <c r="AM102" i="4" s="1"/>
  <c r="AM47" i="4"/>
  <c r="AM42" i="4"/>
  <c r="AM36" i="4"/>
  <c r="AM5" i="4"/>
  <c r="AM257" i="1"/>
  <c r="AM732" i="9" s="1"/>
  <c r="AO732" i="9"/>
  <c r="AP257" i="1"/>
  <c r="AQ257" i="1"/>
  <c r="AL257" i="1"/>
  <c r="AL732" i="9" s="1"/>
  <c r="AM278" i="1"/>
  <c r="AM222" i="1"/>
  <c r="AM197" i="1"/>
  <c r="AM775" i="9" s="1"/>
  <c r="AM207" i="1"/>
  <c r="AM196" i="1"/>
  <c r="AM672" i="9" s="1"/>
  <c r="AM186" i="1"/>
  <c r="AM176" i="1"/>
  <c r="AM151" i="1"/>
  <c r="AM161" i="1"/>
  <c r="AM150" i="1"/>
  <c r="AM671" i="9" s="1"/>
  <c r="AM140" i="1"/>
  <c r="AM81" i="3" l="1"/>
  <c r="AM11" i="19"/>
  <c r="AM15" i="19"/>
  <c r="AO583" i="9"/>
  <c r="AM45" i="3"/>
  <c r="AM107" i="4"/>
  <c r="AW107" i="4"/>
  <c r="AM45" i="4"/>
  <c r="AM73" i="2"/>
  <c r="AM91" i="3"/>
  <c r="AM105" i="3" s="1"/>
  <c r="AM52" i="3"/>
  <c r="AM57" i="3" s="1"/>
  <c r="AM68" i="4"/>
  <c r="AM70" i="4" s="1"/>
  <c r="AN7" i="4"/>
  <c r="AN13" i="19" s="1"/>
  <c r="AV113" i="4"/>
  <c r="AP276" i="1"/>
  <c r="AP583" i="9" s="1"/>
  <c r="AM58" i="3"/>
  <c r="AM54" i="3"/>
  <c r="AM56" i="3"/>
  <c r="AM60" i="3"/>
  <c r="AM55" i="3"/>
  <c r="AM10" i="4"/>
  <c r="AM112" i="4" s="1"/>
  <c r="AM141" i="1"/>
  <c r="AM139" i="1" s="1"/>
  <c r="AM138" i="1" s="1"/>
  <c r="AM167" i="1" s="1"/>
  <c r="AM187" i="1"/>
  <c r="AM185" i="1" s="1"/>
  <c r="AM184" i="1" s="1"/>
  <c r="AM213" i="1" s="1"/>
  <c r="AM193" i="1"/>
  <c r="AM223" i="1"/>
  <c r="AM192" i="1"/>
  <c r="AM224" i="1"/>
  <c r="AM147" i="1"/>
  <c r="AM177" i="1"/>
  <c r="AM146" i="1"/>
  <c r="AM178" i="1"/>
  <c r="AM273" i="1"/>
  <c r="AM228" i="1"/>
  <c r="AM182" i="1"/>
  <c r="AM136" i="1"/>
  <c r="AM130" i="1"/>
  <c r="AM115" i="1"/>
  <c r="AM104" i="1"/>
  <c r="AM670" i="9" s="1"/>
  <c r="AM94" i="1"/>
  <c r="AM90" i="1"/>
  <c r="AM84" i="1"/>
  <c r="AM69" i="1"/>
  <c r="AM67" i="1"/>
  <c r="AM58" i="1"/>
  <c r="AM48" i="1"/>
  <c r="AM44" i="1"/>
  <c r="AM42" i="1"/>
  <c r="AM33" i="1"/>
  <c r="AM46" i="19" s="1"/>
  <c r="AM31" i="1"/>
  <c r="AM25" i="1"/>
  <c r="AM44" i="19" s="1"/>
  <c r="AM23" i="1"/>
  <c r="AM22" i="1"/>
  <c r="AM17" i="1"/>
  <c r="AM16" i="1"/>
  <c r="AM14" i="1"/>
  <c r="AM8" i="1"/>
  <c r="AS37" i="19" l="1"/>
  <c r="AM9" i="1"/>
  <c r="AM10" i="1" s="1"/>
  <c r="AM242" i="1"/>
  <c r="AM673" i="9" s="1"/>
  <c r="AM669" i="9"/>
  <c r="AN27" i="1"/>
  <c r="AX107" i="4"/>
  <c r="AW113" i="4"/>
  <c r="AQ276" i="1"/>
  <c r="AQ583" i="9" s="1"/>
  <c r="AP277" i="1"/>
  <c r="AM236" i="1"/>
  <c r="AM86" i="1"/>
  <c r="AM235" i="1"/>
  <c r="AM132" i="1"/>
  <c r="AM85" i="1"/>
  <c r="AM131" i="1"/>
  <c r="AM49" i="1"/>
  <c r="AM47" i="1" s="1"/>
  <c r="AM46" i="1" s="1"/>
  <c r="AM75" i="1" s="1"/>
  <c r="AM55" i="1"/>
  <c r="AM95" i="1"/>
  <c r="AM93" i="1" s="1"/>
  <c r="AM92" i="1" s="1"/>
  <c r="AM121" i="1" s="1"/>
  <c r="AM101" i="1"/>
  <c r="AM54" i="1"/>
  <c r="AM59" i="1"/>
  <c r="AM100" i="1"/>
  <c r="AM105" i="1"/>
  <c r="AQ38" i="19" l="1"/>
  <c r="AS38" i="19"/>
  <c r="AM250" i="1"/>
  <c r="AY107" i="4"/>
  <c r="AX113" i="4"/>
  <c r="AQ277" i="1"/>
  <c r="AQ42" i="1"/>
  <c r="AR276" i="1"/>
  <c r="AR583" i="9" s="1"/>
  <c r="AM243" i="1"/>
  <c r="AM776" i="9" s="1"/>
  <c r="AM269" i="1"/>
  <c r="AM233" i="1"/>
  <c r="AM268" i="1"/>
  <c r="AM238" i="1"/>
  <c r="AM239" i="1"/>
  <c r="AY113" i="4" l="1"/>
  <c r="AS276" i="1"/>
  <c r="AS583" i="9" s="1"/>
  <c r="AR277" i="1"/>
  <c r="AR42" i="1"/>
  <c r="AM263" i="1"/>
  <c r="AM799" i="9" s="1"/>
  <c r="AS277" i="1" l="1"/>
  <c r="AS42" i="1"/>
  <c r="AT276" i="1"/>
  <c r="AT583" i="9" s="1"/>
  <c r="AM232" i="1"/>
  <c r="AM231" i="1" s="1"/>
  <c r="AM230" i="1" s="1"/>
  <c r="AM258" i="1" s="1"/>
  <c r="AP17" i="3"/>
  <c r="AQ17" i="3" s="1"/>
  <c r="AR17" i="3" s="1"/>
  <c r="AS17" i="3" s="1"/>
  <c r="AT17" i="3" s="1"/>
  <c r="AU17" i="3" s="1"/>
  <c r="AV17" i="3" s="1"/>
  <c r="AW17" i="3" s="1"/>
  <c r="AX17" i="3" s="1"/>
  <c r="AY17" i="3" s="1"/>
  <c r="AG41" i="19"/>
  <c r="AG42" i="19"/>
  <c r="AG43" i="19"/>
  <c r="AG45" i="19"/>
  <c r="AG14" i="19"/>
  <c r="AT277" i="1" l="1"/>
  <c r="AT42" i="1"/>
  <c r="AU276" i="1"/>
  <c r="AU583" i="9" s="1"/>
  <c r="AM27" i="19"/>
  <c r="AM30" i="19"/>
  <c r="AM36" i="19"/>
  <c r="AM39" i="19"/>
  <c r="AM33" i="19"/>
  <c r="AU277" i="1" l="1"/>
  <c r="AV276" i="1"/>
  <c r="AV583" i="9" s="1"/>
  <c r="AU42" i="1"/>
  <c r="AP70" i="1"/>
  <c r="AG138" i="5"/>
  <c r="AH138" i="5"/>
  <c r="AI138" i="5"/>
  <c r="AJ138" i="5"/>
  <c r="AK138" i="5"/>
  <c r="AL138" i="5"/>
  <c r="AL113" i="3"/>
  <c r="AL109" i="3"/>
  <c r="AL108" i="3"/>
  <c r="AL88" i="3"/>
  <c r="AL52" i="3"/>
  <c r="AL57" i="3" s="1"/>
  <c r="AL51" i="3"/>
  <c r="AL60" i="3" s="1"/>
  <c r="AL44" i="3"/>
  <c r="AL29" i="3"/>
  <c r="AL37" i="3" s="1"/>
  <c r="AL38" i="2"/>
  <c r="AM38" i="2" s="1"/>
  <c r="AL16" i="2"/>
  <c r="AL7" i="2"/>
  <c r="AL36" i="4"/>
  <c r="AL23" i="4"/>
  <c r="AL16" i="4"/>
  <c r="AL45" i="4" s="1"/>
  <c r="AL11" i="4"/>
  <c r="AL16" i="19" s="1"/>
  <c r="AL151" i="4"/>
  <c r="AL128" i="4"/>
  <c r="AL130" i="4" s="1"/>
  <c r="AL126" i="4"/>
  <c r="AL67" i="4"/>
  <c r="AL65" i="4"/>
  <c r="AL64" i="4"/>
  <c r="AL63" i="4"/>
  <c r="AL62" i="4"/>
  <c r="AL48" i="4"/>
  <c r="AL77" i="2" s="1"/>
  <c r="AL47" i="4"/>
  <c r="AL43" i="4"/>
  <c r="AL42" i="4"/>
  <c r="AL5" i="4"/>
  <c r="AL42" i="1"/>
  <c r="AP246" i="1"/>
  <c r="AQ246" i="1"/>
  <c r="AR246" i="1"/>
  <c r="AS246" i="1"/>
  <c r="AT246" i="1"/>
  <c r="AU246" i="1"/>
  <c r="AV246" i="1"/>
  <c r="AW246" i="1"/>
  <c r="AX246" i="1"/>
  <c r="AY246" i="1"/>
  <c r="AP248" i="1"/>
  <c r="AQ248" i="1"/>
  <c r="AR248" i="1"/>
  <c r="AS248" i="1"/>
  <c r="AT248" i="1"/>
  <c r="AU248" i="1"/>
  <c r="AV248" i="1"/>
  <c r="AW248" i="1"/>
  <c r="AX248" i="1"/>
  <c r="AY248" i="1"/>
  <c r="AP253" i="1"/>
  <c r="AQ253" i="1"/>
  <c r="AR253" i="1"/>
  <c r="AS253" i="1"/>
  <c r="AT253" i="1"/>
  <c r="AU253" i="1"/>
  <c r="AV253" i="1"/>
  <c r="AW253" i="1"/>
  <c r="AX253" i="1"/>
  <c r="AY253" i="1"/>
  <c r="AP255" i="1"/>
  <c r="AQ255" i="1"/>
  <c r="AR255" i="1"/>
  <c r="AS255" i="1"/>
  <c r="AT255" i="1"/>
  <c r="AU255" i="1"/>
  <c r="AV255" i="1"/>
  <c r="AW255" i="1"/>
  <c r="AX255" i="1"/>
  <c r="AY255" i="1"/>
  <c r="AP261" i="1"/>
  <c r="AQ261" i="1"/>
  <c r="AR261" i="1"/>
  <c r="AS261" i="1"/>
  <c r="AT261" i="1"/>
  <c r="AU261" i="1"/>
  <c r="AV261" i="1"/>
  <c r="AW261" i="1"/>
  <c r="AX261" i="1"/>
  <c r="AY261" i="1"/>
  <c r="AL228" i="1"/>
  <c r="AN228" i="1"/>
  <c r="AP228" i="1"/>
  <c r="AQ228" i="1"/>
  <c r="AR228" i="1"/>
  <c r="AS228" i="1"/>
  <c r="AT228" i="1"/>
  <c r="AU228" i="1"/>
  <c r="AV228" i="1"/>
  <c r="AW228" i="1"/>
  <c r="AX228" i="1"/>
  <c r="AY228" i="1"/>
  <c r="AK228" i="1"/>
  <c r="AJ228" i="1"/>
  <c r="AI228" i="1"/>
  <c r="AH228" i="1"/>
  <c r="AG228" i="1"/>
  <c r="AF228" i="1"/>
  <c r="AE228" i="1"/>
  <c r="AD228" i="1"/>
  <c r="AC228" i="1"/>
  <c r="AB228" i="1"/>
  <c r="AA228" i="1"/>
  <c r="Z228" i="1"/>
  <c r="Y228" i="1"/>
  <c r="X228" i="1"/>
  <c r="W228" i="1"/>
  <c r="V228" i="1"/>
  <c r="U228" i="1"/>
  <c r="T228" i="1"/>
  <c r="AL33" i="1"/>
  <c r="AL46" i="19" s="1"/>
  <c r="AL31" i="1"/>
  <c r="AL25" i="1"/>
  <c r="AL44" i="19" s="1"/>
  <c r="AL23" i="1"/>
  <c r="AL22" i="1"/>
  <c r="AL17" i="1"/>
  <c r="AL16" i="1"/>
  <c r="AL14" i="1"/>
  <c r="AL9" i="1"/>
  <c r="AL8" i="1"/>
  <c r="AL212" i="1"/>
  <c r="AL731" i="9" s="1"/>
  <c r="AL166" i="1"/>
  <c r="AL151" i="1" s="1"/>
  <c r="AL120" i="1"/>
  <c r="AL105" i="1" s="1"/>
  <c r="AL59" i="1"/>
  <c r="AL81" i="3" l="1"/>
  <c r="AL11" i="19"/>
  <c r="AM84" i="4"/>
  <c r="AL104" i="4"/>
  <c r="AM85" i="4"/>
  <c r="AL105" i="4"/>
  <c r="AM83" i="4"/>
  <c r="AL103" i="4"/>
  <c r="AM82" i="4"/>
  <c r="AL102" i="4"/>
  <c r="AL107" i="4"/>
  <c r="AM87" i="4"/>
  <c r="AL91" i="3"/>
  <c r="AL105" i="3" s="1"/>
  <c r="AL73" i="2"/>
  <c r="AL10" i="4"/>
  <c r="AL112" i="4" s="1"/>
  <c r="AM7" i="4"/>
  <c r="AM13" i="19" s="1"/>
  <c r="AV277" i="1"/>
  <c r="AW276" i="1"/>
  <c r="AW583" i="9" s="1"/>
  <c r="AV42" i="1"/>
  <c r="AL235" i="1"/>
  <c r="AL197" i="1"/>
  <c r="AM27" i="1"/>
  <c r="AL236" i="1"/>
  <c r="AL19" i="4"/>
  <c r="AL25" i="4" s="1"/>
  <c r="AL30" i="4" s="1"/>
  <c r="AL10" i="2"/>
  <c r="AL12" i="4"/>
  <c r="AL117" i="4" s="1"/>
  <c r="AL68" i="4"/>
  <c r="AL45" i="3"/>
  <c r="AL54" i="3"/>
  <c r="AL58" i="3"/>
  <c r="AL55" i="3"/>
  <c r="AL59" i="3"/>
  <c r="AL56" i="3"/>
  <c r="AL10" i="1"/>
  <c r="AL243" i="1" l="1"/>
  <c r="AL776" i="9" s="1"/>
  <c r="AL775" i="9"/>
  <c r="AL15" i="19"/>
  <c r="AL6" i="2"/>
  <c r="AL8" i="2" s="1"/>
  <c r="AL72" i="2"/>
  <c r="AL70" i="4"/>
  <c r="AM88" i="4"/>
  <c r="AW277" i="1"/>
  <c r="AX276" i="1"/>
  <c r="AX583" i="9" s="1"/>
  <c r="AW42" i="1"/>
  <c r="AL239" i="1"/>
  <c r="AP239" i="1" s="1"/>
  <c r="AQ239" i="1" s="1"/>
  <c r="AR239" i="1" s="1"/>
  <c r="AS239" i="1" s="1"/>
  <c r="AT239" i="1" s="1"/>
  <c r="AU239" i="1" s="1"/>
  <c r="AV239" i="1" s="1"/>
  <c r="AW239" i="1" s="1"/>
  <c r="AX239" i="1" s="1"/>
  <c r="AY239" i="1" s="1"/>
  <c r="AL238" i="1"/>
  <c r="AP238" i="1" s="1"/>
  <c r="AQ238" i="1" s="1"/>
  <c r="AR238" i="1" s="1"/>
  <c r="AS238" i="1" s="1"/>
  <c r="AT238" i="1" s="1"/>
  <c r="AU238" i="1" s="1"/>
  <c r="AV238" i="1" s="1"/>
  <c r="AW238" i="1" s="1"/>
  <c r="AX238" i="1" s="1"/>
  <c r="AY238" i="1" s="1"/>
  <c r="AL28" i="4"/>
  <c r="AL137" i="4"/>
  <c r="AL33" i="4"/>
  <c r="AL40" i="4"/>
  <c r="AL269" i="1"/>
  <c r="AP269" i="1" s="1"/>
  <c r="AQ269" i="1" s="1"/>
  <c r="AR269" i="1" s="1"/>
  <c r="AS269" i="1" s="1"/>
  <c r="AT269" i="1" s="1"/>
  <c r="AU269" i="1" s="1"/>
  <c r="AV269" i="1" s="1"/>
  <c r="AW269" i="1" s="1"/>
  <c r="AX269" i="1" s="1"/>
  <c r="AY269" i="1" s="1"/>
  <c r="AL263" i="1"/>
  <c r="AL233" i="1"/>
  <c r="AL268" i="1"/>
  <c r="AL232" i="1" l="1"/>
  <c r="AL799" i="9"/>
  <c r="AL51" i="4"/>
  <c r="AL18" i="19" s="1"/>
  <c r="AX277" i="1"/>
  <c r="AY276" i="1"/>
  <c r="AY583" i="9" s="1"/>
  <c r="AX42" i="1"/>
  <c r="AL35" i="4"/>
  <c r="AL20" i="19" s="1"/>
  <c r="AL53" i="3"/>
  <c r="K269" i="1"/>
  <c r="AL231" i="1"/>
  <c r="AL230" i="1" s="1"/>
  <c r="L269" i="1"/>
  <c r="N269" i="1"/>
  <c r="M269" i="1"/>
  <c r="AL19" i="19" l="1"/>
  <c r="AL17" i="19"/>
  <c r="AL63" i="2"/>
  <c r="AL52" i="4"/>
  <c r="AL108" i="4"/>
  <c r="AL99" i="4"/>
  <c r="AY42" i="1"/>
  <c r="AY277" i="1"/>
  <c r="AL258" i="1"/>
  <c r="K257" i="1"/>
  <c r="AL278" i="1" l="1"/>
  <c r="AL224" i="1"/>
  <c r="AL223" i="1"/>
  <c r="AL222" i="1"/>
  <c r="AL186" i="1"/>
  <c r="AL196" i="1"/>
  <c r="AL672" i="9" s="1"/>
  <c r="AL193" i="1"/>
  <c r="AL192" i="1"/>
  <c r="AL187" i="1"/>
  <c r="AL178" i="1"/>
  <c r="AL177" i="1"/>
  <c r="AL176" i="1"/>
  <c r="AL140" i="1"/>
  <c r="AL150" i="1"/>
  <c r="AL671" i="9" s="1"/>
  <c r="AL147" i="1"/>
  <c r="AL146" i="1"/>
  <c r="AL141" i="1"/>
  <c r="AL132" i="1"/>
  <c r="AL131" i="1"/>
  <c r="AL130" i="1"/>
  <c r="AL104" i="1"/>
  <c r="AL670" i="9" s="1"/>
  <c r="AL101" i="1"/>
  <c r="AL100" i="1"/>
  <c r="AL95" i="1"/>
  <c r="AL86" i="1"/>
  <c r="AL85" i="1"/>
  <c r="AL84" i="1"/>
  <c r="AL48" i="1"/>
  <c r="AL69" i="1"/>
  <c r="AL67" i="1"/>
  <c r="AL58" i="1"/>
  <c r="AL669" i="9" s="1"/>
  <c r="AL55" i="1"/>
  <c r="AL54" i="1"/>
  <c r="AL49" i="1"/>
  <c r="AN71" i="1" l="1"/>
  <c r="AO71" i="1"/>
  <c r="AL71" i="1"/>
  <c r="AM71" i="1"/>
  <c r="AL250" i="1"/>
  <c r="AL185" i="1"/>
  <c r="AL184" i="1" s="1"/>
  <c r="AL139" i="1"/>
  <c r="AL138" i="1" s="1"/>
  <c r="AL47" i="1"/>
  <c r="AL46" i="1" s="1"/>
  <c r="AL75" i="1" l="1"/>
  <c r="AO77" i="1" s="1"/>
  <c r="AL167" i="1"/>
  <c r="AO169" i="1" s="1"/>
  <c r="AL213" i="1"/>
  <c r="AO215" i="1" s="1"/>
  <c r="AP215" i="1" s="1"/>
  <c r="AQ215" i="1" s="1"/>
  <c r="AR215" i="1" s="1"/>
  <c r="AS215" i="1" s="1"/>
  <c r="K250" i="1"/>
  <c r="AO673" i="9" l="1"/>
  <c r="AP250" i="1"/>
  <c r="AP242" i="1" l="1"/>
  <c r="AP673" i="9" s="1"/>
  <c r="AP251" i="1"/>
  <c r="AQ250" i="1"/>
  <c r="AR250" i="1" l="1"/>
  <c r="AQ242" i="1"/>
  <c r="AQ673" i="9" s="1"/>
  <c r="AQ251" i="1"/>
  <c r="L250" i="1"/>
  <c r="AR242" i="1" l="1"/>
  <c r="AR673" i="9" s="1"/>
  <c r="AR251" i="1"/>
  <c r="AS250" i="1"/>
  <c r="AS242" i="1" l="1"/>
  <c r="AS673" i="9" s="1"/>
  <c r="AS251" i="1"/>
  <c r="AT250" i="1"/>
  <c r="AT242" i="1" l="1"/>
  <c r="AT673" i="9" s="1"/>
  <c r="AT251" i="1"/>
  <c r="AU250" i="1"/>
  <c r="M250" i="1" s="1"/>
  <c r="AV250" i="1" l="1"/>
  <c r="AU242" i="1"/>
  <c r="AU673" i="9" s="1"/>
  <c r="AU251" i="1"/>
  <c r="AV251" i="1" l="1"/>
  <c r="AW250" i="1"/>
  <c r="AV242" i="1"/>
  <c r="AV673" i="9" s="1"/>
  <c r="AW251" i="1" l="1"/>
  <c r="AX250" i="1"/>
  <c r="AW242" i="1"/>
  <c r="AW673" i="9" s="1"/>
  <c r="AX242" i="1" l="1"/>
  <c r="AX673" i="9" s="1"/>
  <c r="AX251" i="1"/>
  <c r="AY250" i="1"/>
  <c r="N250" i="1" l="1"/>
  <c r="AY251" i="1"/>
  <c r="AY242" i="1"/>
  <c r="AY673" i="9" s="1"/>
  <c r="AP115" i="4" l="1"/>
  <c r="AN36" i="19" l="1"/>
  <c r="AN33" i="19"/>
  <c r="AN27" i="19"/>
  <c r="AF14" i="19"/>
  <c r="AN39" i="19"/>
  <c r="AF41" i="19"/>
  <c r="AF42" i="19"/>
  <c r="AF43" i="19"/>
  <c r="AF45" i="19"/>
  <c r="AP72" i="1"/>
  <c r="AQ71" i="1"/>
  <c r="AM115" i="5"/>
  <c r="AM114" i="5"/>
  <c r="AM116" i="5"/>
  <c r="AK731" i="9"/>
  <c r="AK775" i="9"/>
  <c r="AK672" i="9"/>
  <c r="AK671" i="9"/>
  <c r="AM117" i="5" l="1"/>
  <c r="AQ115" i="4"/>
  <c r="AQ72" i="1"/>
  <c r="AQ70" i="1"/>
  <c r="AR71" i="1"/>
  <c r="AR70" i="1" s="1"/>
  <c r="AN30" i="19"/>
  <c r="AQ119" i="4" l="1"/>
  <c r="AR119" i="4" s="1"/>
  <c r="AS119" i="4" s="1"/>
  <c r="AT119" i="4" s="1"/>
  <c r="AU119" i="4" s="1"/>
  <c r="AV119" i="4" s="1"/>
  <c r="AW119" i="4" s="1"/>
  <c r="AX119" i="4" s="1"/>
  <c r="AY119" i="4" s="1"/>
  <c r="AP120" i="4"/>
  <c r="AR115" i="4"/>
  <c r="AR72" i="1"/>
  <c r="AS71" i="1"/>
  <c r="AS70" i="1" s="1"/>
  <c r="AS115" i="4" l="1"/>
  <c r="AS72" i="1"/>
  <c r="AT71" i="1"/>
  <c r="AT70" i="1" s="1"/>
  <c r="AK278" i="1"/>
  <c r="AY273" i="1"/>
  <c r="AX273" i="1"/>
  <c r="AW273" i="1"/>
  <c r="AV273" i="1"/>
  <c r="AU273" i="1"/>
  <c r="AT273" i="1"/>
  <c r="AS273" i="1"/>
  <c r="AR273" i="1"/>
  <c r="AQ273" i="1"/>
  <c r="AP273" i="1"/>
  <c r="AN273" i="1"/>
  <c r="AL273" i="1"/>
  <c r="AK273" i="1"/>
  <c r="AJ273" i="1"/>
  <c r="AI273" i="1"/>
  <c r="AH273" i="1"/>
  <c r="AG273" i="1"/>
  <c r="AF273" i="1"/>
  <c r="AE273" i="1"/>
  <c r="AD273" i="1"/>
  <c r="AC273" i="1"/>
  <c r="AB273" i="1"/>
  <c r="AA273" i="1"/>
  <c r="Z273" i="1"/>
  <c r="Y273" i="1"/>
  <c r="X273" i="1"/>
  <c r="W273" i="1"/>
  <c r="V273" i="1"/>
  <c r="U273" i="1"/>
  <c r="T273" i="1"/>
  <c r="AJ224" i="1"/>
  <c r="AJ223" i="1"/>
  <c r="AK222" i="1"/>
  <c r="AK218" i="1"/>
  <c r="AK204" i="1"/>
  <c r="AO205" i="1" s="1"/>
  <c r="AY202" i="1"/>
  <c r="AX202" i="1"/>
  <c r="AW202" i="1"/>
  <c r="AV202" i="1"/>
  <c r="AU202" i="1"/>
  <c r="AT202" i="1"/>
  <c r="AS202" i="1"/>
  <c r="AR202" i="1"/>
  <c r="AQ202" i="1"/>
  <c r="AP202" i="1"/>
  <c r="AY200" i="1"/>
  <c r="AX200" i="1"/>
  <c r="AW200" i="1"/>
  <c r="AV200" i="1"/>
  <c r="AU200" i="1"/>
  <c r="AT200" i="1"/>
  <c r="AS200" i="1"/>
  <c r="AR200" i="1"/>
  <c r="AQ200" i="1"/>
  <c r="AP200" i="1"/>
  <c r="AY199" i="1"/>
  <c r="AX199" i="1"/>
  <c r="AW199" i="1"/>
  <c r="AV199" i="1"/>
  <c r="AU199" i="1"/>
  <c r="AT199" i="1"/>
  <c r="AS199" i="1"/>
  <c r="AR199" i="1"/>
  <c r="AQ199" i="1"/>
  <c r="AP199" i="1"/>
  <c r="AP193" i="1"/>
  <c r="AQ193" i="1" s="1"/>
  <c r="AR193" i="1" s="1"/>
  <c r="AS193" i="1" s="1"/>
  <c r="AT193" i="1" s="1"/>
  <c r="AU193" i="1" s="1"/>
  <c r="AV193" i="1" s="1"/>
  <c r="AW193" i="1" s="1"/>
  <c r="AX193" i="1" s="1"/>
  <c r="AY193" i="1" s="1"/>
  <c r="AP192" i="1"/>
  <c r="AQ192" i="1" s="1"/>
  <c r="AR192" i="1" s="1"/>
  <c r="AS192" i="1" s="1"/>
  <c r="AT192" i="1" s="1"/>
  <c r="AU192" i="1" s="1"/>
  <c r="AV192" i="1" s="1"/>
  <c r="AW192" i="1" s="1"/>
  <c r="AX192" i="1" s="1"/>
  <c r="AY192" i="1" s="1"/>
  <c r="AY182" i="1"/>
  <c r="AX182" i="1"/>
  <c r="AW182" i="1"/>
  <c r="AV182" i="1"/>
  <c r="AU182" i="1"/>
  <c r="AT182" i="1"/>
  <c r="AS182" i="1"/>
  <c r="AR182" i="1"/>
  <c r="AQ182" i="1"/>
  <c r="AP182" i="1"/>
  <c r="AN182" i="1"/>
  <c r="AL182" i="1"/>
  <c r="AK182" i="1"/>
  <c r="AJ182" i="1"/>
  <c r="AI182" i="1"/>
  <c r="AH182" i="1"/>
  <c r="AG182" i="1"/>
  <c r="AF182" i="1"/>
  <c r="AE182" i="1"/>
  <c r="AD182" i="1"/>
  <c r="AC182" i="1"/>
  <c r="AB182" i="1"/>
  <c r="AA182" i="1"/>
  <c r="Z182" i="1"/>
  <c r="Y182" i="1"/>
  <c r="X182" i="1"/>
  <c r="W182" i="1"/>
  <c r="V182" i="1"/>
  <c r="U182" i="1"/>
  <c r="T182" i="1"/>
  <c r="AK177" i="1"/>
  <c r="AK176" i="1"/>
  <c r="AK172" i="1"/>
  <c r="AK140" i="1" s="1"/>
  <c r="AK158" i="1"/>
  <c r="AO159" i="1" s="1"/>
  <c r="AK112" i="1"/>
  <c r="AO113" i="1" s="1"/>
  <c r="AJ132" i="1"/>
  <c r="AJ131" i="1"/>
  <c r="AK130" i="1"/>
  <c r="AK126" i="1"/>
  <c r="AK94" i="1" s="1"/>
  <c r="AK93" i="1" s="1"/>
  <c r="AK92" i="1" s="1"/>
  <c r="AK106" i="1"/>
  <c r="AL103" i="1" s="1"/>
  <c r="AJ86" i="1"/>
  <c r="AJ85" i="1"/>
  <c r="AK84" i="1"/>
  <c r="AK58" i="1"/>
  <c r="AK669" i="9" s="1"/>
  <c r="AK131" i="1"/>
  <c r="AK186" i="1" l="1"/>
  <c r="AK185" i="1" s="1"/>
  <c r="AK184" i="1" s="1"/>
  <c r="AK798" i="9"/>
  <c r="AM205" i="1"/>
  <c r="AN205" i="1"/>
  <c r="AM113" i="1"/>
  <c r="AN113" i="1"/>
  <c r="AM159" i="1"/>
  <c r="AN159" i="1"/>
  <c r="AT115" i="4"/>
  <c r="AL161" i="1"/>
  <c r="AL159" i="1"/>
  <c r="AL205" i="1"/>
  <c r="AL207" i="1"/>
  <c r="AU71" i="1"/>
  <c r="AU70" i="1" s="1"/>
  <c r="AT72" i="1"/>
  <c r="AL113" i="1"/>
  <c r="AL115" i="1"/>
  <c r="AK223" i="1"/>
  <c r="AK141" i="1"/>
  <c r="AK139" i="1" s="1"/>
  <c r="AK138" i="1" s="1"/>
  <c r="AK167" i="1" s="1"/>
  <c r="AN169" i="1" s="1"/>
  <c r="AK107" i="1"/>
  <c r="AN163" i="1" l="1"/>
  <c r="AO163" i="1"/>
  <c r="AN117" i="1"/>
  <c r="AO117" i="1"/>
  <c r="AN209" i="1"/>
  <c r="AO209" i="1"/>
  <c r="AL169" i="1"/>
  <c r="AM169" i="1"/>
  <c r="AL117" i="1"/>
  <c r="AM117" i="1"/>
  <c r="AL209" i="1"/>
  <c r="AM209" i="1"/>
  <c r="AL163" i="1"/>
  <c r="AM163" i="1"/>
  <c r="AU115" i="4"/>
  <c r="AV71" i="1"/>
  <c r="AV70" i="1" s="1"/>
  <c r="AU72" i="1"/>
  <c r="AQ224" i="1"/>
  <c r="AR224" i="1" s="1"/>
  <c r="K224" i="1"/>
  <c r="K204" i="1"/>
  <c r="AK121" i="1"/>
  <c r="AV115" i="4" l="1"/>
  <c r="AW71" i="1"/>
  <c r="AW70" i="1" s="1"/>
  <c r="AV72" i="1"/>
  <c r="AS224" i="1"/>
  <c r="AT224" i="1" s="1"/>
  <c r="AU224" i="1" s="1"/>
  <c r="AV224" i="1" s="1"/>
  <c r="L224" i="1"/>
  <c r="AW115" i="4" l="1"/>
  <c r="AX71" i="1"/>
  <c r="AX70" i="1" s="1"/>
  <c r="AW72" i="1"/>
  <c r="M224" i="1"/>
  <c r="AK213" i="1"/>
  <c r="AN215" i="1" s="1"/>
  <c r="AW224" i="1"/>
  <c r="AX224" i="1" s="1"/>
  <c r="AY224" i="1" s="1"/>
  <c r="AP210" i="1" l="1"/>
  <c r="AP208" i="1"/>
  <c r="AQ209" i="1"/>
  <c r="AP207" i="1"/>
  <c r="AP204" i="1" s="1"/>
  <c r="AQ205" i="1" s="1"/>
  <c r="AL215" i="1"/>
  <c r="AM215" i="1"/>
  <c r="AX115" i="4"/>
  <c r="AY71" i="1"/>
  <c r="AY70" i="1" s="1"/>
  <c r="AX72" i="1"/>
  <c r="N224" i="1"/>
  <c r="AO672" i="9"/>
  <c r="AP205" i="1"/>
  <c r="AA772" i="9"/>
  <c r="AB772" i="9"/>
  <c r="AC772" i="9"/>
  <c r="AD772" i="9"/>
  <c r="AE772" i="9"/>
  <c r="AF772" i="9"/>
  <c r="AG772" i="9"/>
  <c r="AH772" i="9"/>
  <c r="AI772" i="9"/>
  <c r="AJ772" i="9"/>
  <c r="AK772" i="9"/>
  <c r="AA773" i="9"/>
  <c r="AB773" i="9"/>
  <c r="AC773" i="9"/>
  <c r="AD773" i="9"/>
  <c r="AE773" i="9"/>
  <c r="AF773" i="9"/>
  <c r="AG773" i="9"/>
  <c r="AH773" i="9"/>
  <c r="AI773" i="9"/>
  <c r="AJ773" i="9"/>
  <c r="AK773" i="9"/>
  <c r="AA774" i="9"/>
  <c r="AB774" i="9"/>
  <c r="AC774" i="9"/>
  <c r="AD774" i="9"/>
  <c r="AE774" i="9"/>
  <c r="AF774" i="9"/>
  <c r="AG774" i="9"/>
  <c r="AH774" i="9"/>
  <c r="AI774" i="9"/>
  <c r="AJ774" i="9"/>
  <c r="AK774" i="9"/>
  <c r="AA777" i="9"/>
  <c r="AB777" i="9"/>
  <c r="AC777" i="9"/>
  <c r="AD777" i="9"/>
  <c r="AE777" i="9"/>
  <c r="AF777" i="9"/>
  <c r="AG777" i="9"/>
  <c r="AH777" i="9"/>
  <c r="AI777" i="9"/>
  <c r="AJ777" i="9"/>
  <c r="AK777" i="9"/>
  <c r="Z774" i="9"/>
  <c r="Z773" i="9"/>
  <c r="Z772" i="9"/>
  <c r="Z777" i="9"/>
  <c r="AA728" i="9"/>
  <c r="AB728" i="9"/>
  <c r="AC728" i="9"/>
  <c r="AD728" i="9"/>
  <c r="AE728" i="9"/>
  <c r="AF728" i="9"/>
  <c r="AG728" i="9"/>
  <c r="AH728" i="9"/>
  <c r="AI728" i="9"/>
  <c r="AJ728" i="9"/>
  <c r="AA729" i="9"/>
  <c r="AB729" i="9"/>
  <c r="AC729" i="9"/>
  <c r="AD729" i="9"/>
  <c r="AE729" i="9"/>
  <c r="AF729" i="9"/>
  <c r="AG729" i="9"/>
  <c r="AH729" i="9"/>
  <c r="AI729" i="9"/>
  <c r="AJ729" i="9"/>
  <c r="AK729" i="9"/>
  <c r="AA730" i="9"/>
  <c r="AB730" i="9"/>
  <c r="AC730" i="9"/>
  <c r="AD730" i="9"/>
  <c r="AE730" i="9"/>
  <c r="AF730" i="9"/>
  <c r="AG730" i="9"/>
  <c r="AH730" i="9"/>
  <c r="AI730" i="9"/>
  <c r="AJ730" i="9"/>
  <c r="AK730" i="9"/>
  <c r="AA733" i="9"/>
  <c r="AB733" i="9"/>
  <c r="AC733" i="9"/>
  <c r="AD733" i="9"/>
  <c r="AE733" i="9"/>
  <c r="AF733" i="9"/>
  <c r="AG733" i="9"/>
  <c r="AH733" i="9"/>
  <c r="AI733" i="9"/>
  <c r="AJ733" i="9"/>
  <c r="AK733" i="9"/>
  <c r="Z733" i="9"/>
  <c r="Z730" i="9"/>
  <c r="Z729" i="9"/>
  <c r="Z728" i="9"/>
  <c r="AR163" i="1"/>
  <c r="AS163" i="1" s="1"/>
  <c r="AT163" i="1" s="1"/>
  <c r="AU163" i="1" s="1"/>
  <c r="AV163" i="1" s="1"/>
  <c r="AW163" i="1" s="1"/>
  <c r="AX163" i="1" s="1"/>
  <c r="AY163" i="1" s="1"/>
  <c r="AT169" i="1"/>
  <c r="AU169" i="1" s="1"/>
  <c r="AV169" i="1" s="1"/>
  <c r="AW169" i="1" s="1"/>
  <c r="AX169" i="1" s="1"/>
  <c r="AY169" i="1" s="1"/>
  <c r="AQ210" i="1" l="1"/>
  <c r="AQ207" i="1"/>
  <c r="AQ204" i="1" s="1"/>
  <c r="AR205" i="1" s="1"/>
  <c r="AQ208" i="1"/>
  <c r="AR209" i="1"/>
  <c r="AY115" i="4"/>
  <c r="AY72" i="1"/>
  <c r="AP206" i="1"/>
  <c r="AP196" i="1"/>
  <c r="AP672" i="9" s="1"/>
  <c r="AK133" i="5"/>
  <c r="AK132" i="5"/>
  <c r="AK113" i="3"/>
  <c r="AK109" i="3"/>
  <c r="AK108" i="3"/>
  <c r="AK88" i="3"/>
  <c r="AK52" i="3"/>
  <c r="AK57" i="3" s="1"/>
  <c r="AK51" i="3"/>
  <c r="AK59" i="3" s="1"/>
  <c r="AK44" i="3"/>
  <c r="AK29" i="3"/>
  <c r="AK37" i="3" s="1"/>
  <c r="AK48" i="2"/>
  <c r="AK43" i="2"/>
  <c r="AK41" i="2"/>
  <c r="AK34" i="2"/>
  <c r="AK33" i="2"/>
  <c r="AK26" i="2"/>
  <c r="AK23" i="2"/>
  <c r="AK20" i="2"/>
  <c r="AK17" i="2"/>
  <c r="AK14" i="2"/>
  <c r="AK13" i="2"/>
  <c r="AK12" i="2"/>
  <c r="AK79" i="2" s="1"/>
  <c r="AK11" i="2"/>
  <c r="AK16" i="2"/>
  <c r="AK7" i="2"/>
  <c r="AK23" i="4"/>
  <c r="AK16" i="4"/>
  <c r="AK11" i="4"/>
  <c r="AK16" i="19" s="1"/>
  <c r="AK151" i="4"/>
  <c r="AK128" i="4"/>
  <c r="AK130" i="4" s="1"/>
  <c r="AK126" i="4"/>
  <c r="AK48" i="4"/>
  <c r="AK77" i="2" s="1"/>
  <c r="AK47" i="4"/>
  <c r="AK43" i="4"/>
  <c r="AK42" i="4"/>
  <c r="AK36" i="4"/>
  <c r="AK5" i="4"/>
  <c r="AK11" i="19" l="1"/>
  <c r="AO6" i="4"/>
  <c r="AK15" i="19"/>
  <c r="AK45" i="4"/>
  <c r="AK73" i="2"/>
  <c r="AK81" i="3"/>
  <c r="AL12" i="2"/>
  <c r="AL13" i="2"/>
  <c r="AM13" i="2" s="1"/>
  <c r="AL23" i="2"/>
  <c r="AM23" i="2" s="1"/>
  <c r="AL41" i="2"/>
  <c r="AM41" i="2" s="1"/>
  <c r="AL14" i="2"/>
  <c r="AM14" i="2" s="1"/>
  <c r="AL26" i="2"/>
  <c r="AM26" i="2" s="1"/>
  <c r="AL43" i="2"/>
  <c r="AM43" i="2" s="1"/>
  <c r="AL11" i="2"/>
  <c r="AL62" i="3" s="1"/>
  <c r="AL17" i="2"/>
  <c r="AM17" i="2" s="1"/>
  <c r="AL48" i="2"/>
  <c r="AM48" i="2" s="1"/>
  <c r="AR207" i="1"/>
  <c r="AR204" i="1" s="1"/>
  <c r="AS209" i="1"/>
  <c r="AR210" i="1"/>
  <c r="AR208" i="1"/>
  <c r="AK91" i="3"/>
  <c r="AK105" i="3" s="1"/>
  <c r="AK62" i="3"/>
  <c r="AL7" i="4"/>
  <c r="AL13" i="19" s="1"/>
  <c r="AK28" i="2"/>
  <c r="AL20" i="2"/>
  <c r="AK35" i="2"/>
  <c r="AL34" i="2"/>
  <c r="AM34" i="2" s="1"/>
  <c r="AK10" i="2"/>
  <c r="AK69" i="3"/>
  <c r="AK21" i="19" s="1"/>
  <c r="AK22" i="19" s="1"/>
  <c r="AL33" i="2"/>
  <c r="AM33" i="2" s="1"/>
  <c r="AQ196" i="1"/>
  <c r="AQ672" i="9" s="1"/>
  <c r="AQ206" i="1"/>
  <c r="L204" i="1"/>
  <c r="AK12" i="4"/>
  <c r="AK117" i="4" s="1"/>
  <c r="AK44" i="2"/>
  <c r="AK54" i="3"/>
  <c r="AK56" i="3"/>
  <c r="AK60" i="3"/>
  <c r="AK45" i="3"/>
  <c r="AK58" i="3"/>
  <c r="AK55" i="3"/>
  <c r="AK10" i="4"/>
  <c r="AK112" i="4" s="1"/>
  <c r="AK19" i="4"/>
  <c r="AK25" i="4" s="1"/>
  <c r="AK136" i="1"/>
  <c r="AK796" i="9"/>
  <c r="AK90" i="1"/>
  <c r="AK44" i="1"/>
  <c r="AK33" i="1"/>
  <c r="AK46" i="19" s="1"/>
  <c r="AK31" i="1"/>
  <c r="AK17" i="1"/>
  <c r="AK16" i="1"/>
  <c r="AK14" i="1"/>
  <c r="AK8" i="1"/>
  <c r="AP46" i="19"/>
  <c r="AK70" i="3" l="1"/>
  <c r="AL44" i="2"/>
  <c r="AM11" i="2"/>
  <c r="AM62" i="3" s="1"/>
  <c r="AM12" i="2"/>
  <c r="AM79" i="2" s="1"/>
  <c r="AL79" i="2"/>
  <c r="AL28" i="2"/>
  <c r="AM44" i="2"/>
  <c r="AM69" i="3"/>
  <c r="AM21" i="19" s="1"/>
  <c r="AM22" i="19" s="1"/>
  <c r="AM35" i="2"/>
  <c r="AM20" i="2"/>
  <c r="AM28" i="2" s="1"/>
  <c r="AP216" i="1"/>
  <c r="AP213" i="1"/>
  <c r="AP214" i="1"/>
  <c r="AT209" i="1"/>
  <c r="AS208" i="1"/>
  <c r="AS210" i="1"/>
  <c r="AS207" i="1"/>
  <c r="AS204" i="1" s="1"/>
  <c r="AK75" i="3"/>
  <c r="AK76" i="3" s="1"/>
  <c r="AL35" i="2"/>
  <c r="AL69" i="3"/>
  <c r="AL21" i="19" s="1"/>
  <c r="AL22" i="19" s="1"/>
  <c r="AK800" i="9"/>
  <c r="AR196" i="1"/>
  <c r="AR672" i="9" s="1"/>
  <c r="AR206" i="1"/>
  <c r="AS205" i="1"/>
  <c r="AK797" i="9"/>
  <c r="AK9" i="1"/>
  <c r="AK10" i="1" s="1"/>
  <c r="AK137" i="4"/>
  <c r="AK28" i="4"/>
  <c r="AK30" i="4"/>
  <c r="AL81" i="2" l="1"/>
  <c r="K79" i="2"/>
  <c r="AK6" i="2"/>
  <c r="AK8" i="2" s="1"/>
  <c r="AK72" i="2"/>
  <c r="AK81" i="2" s="1"/>
  <c r="AK237" i="9" s="1"/>
  <c r="AM70" i="3"/>
  <c r="AM75" i="3"/>
  <c r="AM76" i="3" s="1"/>
  <c r="AQ216" i="1"/>
  <c r="AQ214" i="1"/>
  <c r="AQ213" i="1"/>
  <c r="AT207" i="1"/>
  <c r="AT204" i="1" s="1"/>
  <c r="AU205" i="1" s="1"/>
  <c r="AT208" i="1"/>
  <c r="AT210" i="1"/>
  <c r="AU209" i="1"/>
  <c r="AL70" i="3"/>
  <c r="AL75" i="3"/>
  <c r="AL76" i="3" s="1"/>
  <c r="AS206" i="1"/>
  <c r="AS196" i="1"/>
  <c r="AS672" i="9" s="1"/>
  <c r="AT205" i="1"/>
  <c r="AK40" i="4"/>
  <c r="AK33" i="4"/>
  <c r="AL88" i="2" l="1"/>
  <c r="AL237" i="9"/>
  <c r="AL82" i="2"/>
  <c r="AK88" i="2"/>
  <c r="AK82" i="2"/>
  <c r="AO83" i="2" s="1"/>
  <c r="AK51" i="4"/>
  <c r="AV209" i="1"/>
  <c r="AU210" i="1"/>
  <c r="AU208" i="1"/>
  <c r="AU207" i="1"/>
  <c r="AU204" i="1" s="1"/>
  <c r="AR214" i="1"/>
  <c r="AR216" i="1"/>
  <c r="AR213" i="1"/>
  <c r="K276" i="1"/>
  <c r="AT206" i="1"/>
  <c r="AT196" i="1"/>
  <c r="AT672" i="9" s="1"/>
  <c r="AK35" i="4"/>
  <c r="AK20" i="19" s="1"/>
  <c r="AK53" i="3"/>
  <c r="AK143" i="5" l="1"/>
  <c r="AK18" i="19"/>
  <c r="AL239" i="9"/>
  <c r="AK52" i="4"/>
  <c r="AK63" i="2"/>
  <c r="AK108" i="4"/>
  <c r="AS216" i="1"/>
  <c r="AT215" i="1"/>
  <c r="AS214" i="1"/>
  <c r="AS213" i="1"/>
  <c r="AW209" i="1"/>
  <c r="AV210" i="1"/>
  <c r="AV207" i="1"/>
  <c r="AV204" i="1" s="1"/>
  <c r="AV208" i="1"/>
  <c r="AU206" i="1"/>
  <c r="AU196" i="1"/>
  <c r="AU672" i="9" s="1"/>
  <c r="M204" i="1"/>
  <c r="AV205" i="1"/>
  <c r="AK99" i="4"/>
  <c r="AL49" i="5"/>
  <c r="AL40" i="5"/>
  <c r="AL31" i="5"/>
  <c r="AY3" i="5"/>
  <c r="AK19" i="19" l="1"/>
  <c r="AK17" i="19"/>
  <c r="AT213" i="1"/>
  <c r="AT216" i="1"/>
  <c r="AU215" i="1"/>
  <c r="AT214" i="1"/>
  <c r="AW207" i="1"/>
  <c r="AW204" i="1" s="1"/>
  <c r="AX205" i="1" s="1"/>
  <c r="AW208" i="1"/>
  <c r="AW210" i="1"/>
  <c r="AX209" i="1"/>
  <c r="AV196" i="1"/>
  <c r="AV672" i="9" s="1"/>
  <c r="AV206" i="1"/>
  <c r="AW205" i="1"/>
  <c r="AL107" i="5"/>
  <c r="AL106" i="5"/>
  <c r="AP62" i="1"/>
  <c r="AQ62" i="1"/>
  <c r="AR62" i="1"/>
  <c r="AS62" i="1"/>
  <c r="AT62" i="1"/>
  <c r="AU62" i="1"/>
  <c r="AV62" i="1"/>
  <c r="AW62" i="1"/>
  <c r="AX62" i="1"/>
  <c r="AY62" i="1"/>
  <c r="AE41" i="19"/>
  <c r="AE42" i="19"/>
  <c r="AE43" i="19"/>
  <c r="AE45" i="19"/>
  <c r="AX208" i="1" l="1"/>
  <c r="AX210" i="1"/>
  <c r="AX207" i="1"/>
  <c r="AX204" i="1" s="1"/>
  <c r="AY205" i="1" s="1"/>
  <c r="AY209" i="1"/>
  <c r="AU213" i="1"/>
  <c r="AV215" i="1"/>
  <c r="AU216" i="1"/>
  <c r="AU214" i="1"/>
  <c r="AK61" i="1"/>
  <c r="AK60" i="1"/>
  <c r="AL57" i="1" s="1"/>
  <c r="AW206" i="1"/>
  <c r="AW196" i="1"/>
  <c r="AW672" i="9" s="1"/>
  <c r="AY208" i="1" l="1"/>
  <c r="AY210" i="1"/>
  <c r="AY207" i="1"/>
  <c r="AY204" i="1" s="1"/>
  <c r="AV216" i="1"/>
  <c r="AV213" i="1"/>
  <c r="AW215" i="1"/>
  <c r="AV214" i="1"/>
  <c r="AL61" i="1"/>
  <c r="AL63" i="1" s="1"/>
  <c r="AL60" i="1"/>
  <c r="AM57" i="1" s="1"/>
  <c r="AK153" i="1"/>
  <c r="AK152" i="1"/>
  <c r="AL149" i="1" s="1"/>
  <c r="AK199" i="1"/>
  <c r="AK198" i="1"/>
  <c r="AL195" i="1" s="1"/>
  <c r="AX196" i="1"/>
  <c r="AX672" i="9" s="1"/>
  <c r="AX206" i="1"/>
  <c r="AL241" i="1" l="1"/>
  <c r="AW213" i="1"/>
  <c r="AX215" i="1"/>
  <c r="AW216" i="1"/>
  <c r="AW214" i="1"/>
  <c r="AM61" i="1"/>
  <c r="AM63" i="1" s="1"/>
  <c r="AM60" i="1"/>
  <c r="AN57" i="1" s="1"/>
  <c r="AL152" i="1"/>
  <c r="AM149" i="1" s="1"/>
  <c r="AL153" i="1"/>
  <c r="AL155" i="1" s="1"/>
  <c r="AL199" i="1"/>
  <c r="AL201" i="1" s="1"/>
  <c r="AL198" i="1"/>
  <c r="AM195" i="1" s="1"/>
  <c r="AY206" i="1"/>
  <c r="AY196" i="1"/>
  <c r="AY672" i="9" s="1"/>
  <c r="N204" i="1"/>
  <c r="AN60" i="1" l="1"/>
  <c r="AO57" i="1" s="1"/>
  <c r="AN61" i="1"/>
  <c r="AN63" i="1" s="1"/>
  <c r="AM152" i="1"/>
  <c r="AN149" i="1" s="1"/>
  <c r="AM153" i="1"/>
  <c r="AM155" i="1" s="1"/>
  <c r="AM198" i="1"/>
  <c r="AN195" i="1" s="1"/>
  <c r="AM199" i="1"/>
  <c r="AM201" i="1" s="1"/>
  <c r="AX214" i="1"/>
  <c r="AX216" i="1"/>
  <c r="AY215" i="1"/>
  <c r="AX213" i="1"/>
  <c r="AL244" i="1"/>
  <c r="AL245" i="1"/>
  <c r="AL247" i="1" s="1"/>
  <c r="AO60" i="1" l="1"/>
  <c r="AO61" i="1"/>
  <c r="AO63" i="1" s="1"/>
  <c r="AN199" i="1"/>
  <c r="AN201" i="1" s="1"/>
  <c r="AN198" i="1"/>
  <c r="AO195" i="1" s="1"/>
  <c r="AN153" i="1"/>
  <c r="AN155" i="1" s="1"/>
  <c r="AN152" i="1"/>
  <c r="AO149" i="1" s="1"/>
  <c r="AY213" i="1"/>
  <c r="AY216" i="1"/>
  <c r="AY214" i="1"/>
  <c r="K197" i="1"/>
  <c r="K212" i="1"/>
  <c r="AJ113" i="3"/>
  <c r="AJ109" i="3"/>
  <c r="AJ108" i="3"/>
  <c r="AJ88" i="3"/>
  <c r="AJ69" i="3"/>
  <c r="AJ21" i="19" s="1"/>
  <c r="AJ62" i="3"/>
  <c r="AJ52" i="3"/>
  <c r="AJ57" i="3" s="1"/>
  <c r="AJ51" i="3"/>
  <c r="AJ56" i="3" s="1"/>
  <c r="AJ44" i="3"/>
  <c r="AJ29" i="3"/>
  <c r="AJ37" i="3" s="1"/>
  <c r="AJ18" i="2"/>
  <c r="AJ44" i="2"/>
  <c r="AJ35" i="2"/>
  <c r="AJ28" i="2"/>
  <c r="AJ16" i="2"/>
  <c r="AJ7" i="2"/>
  <c r="AJ23" i="4"/>
  <c r="AM23" i="4" s="1"/>
  <c r="AJ16" i="4"/>
  <c r="AJ11" i="4"/>
  <c r="AJ16" i="19" s="1"/>
  <c r="AJ151" i="4"/>
  <c r="AJ128" i="4"/>
  <c r="AJ130" i="4" s="1"/>
  <c r="AJ126" i="4"/>
  <c r="AJ48" i="4"/>
  <c r="AJ77" i="2" s="1"/>
  <c r="K77" i="2" s="1"/>
  <c r="AJ47" i="4"/>
  <c r="AJ42" i="4"/>
  <c r="AJ36" i="4"/>
  <c r="AJ43" i="4"/>
  <c r="AJ5" i="4"/>
  <c r="AJ178" i="1"/>
  <c r="AJ177" i="1"/>
  <c r="AJ136" i="1"/>
  <c r="AJ90" i="1"/>
  <c r="AJ44" i="1"/>
  <c r="AJ25" i="1"/>
  <c r="AJ44" i="19" s="1"/>
  <c r="AJ23" i="1"/>
  <c r="AJ22" i="1"/>
  <c r="AJ17" i="1"/>
  <c r="AJ16" i="1"/>
  <c r="AJ14" i="1"/>
  <c r="AJ8" i="1"/>
  <c r="AO198" i="1" l="1"/>
  <c r="AO199" i="1"/>
  <c r="AO201" i="1" s="1"/>
  <c r="AO153" i="1"/>
  <c r="AO155" i="1" s="1"/>
  <c r="AO152" i="1"/>
  <c r="AJ81" i="3"/>
  <c r="AJ11" i="19"/>
  <c r="AN26" i="1"/>
  <c r="AM11" i="4"/>
  <c r="AM16" i="19" s="1"/>
  <c r="AJ45" i="4"/>
  <c r="AJ73" i="2"/>
  <c r="K73" i="2" s="1"/>
  <c r="AN6" i="4"/>
  <c r="AK18" i="2"/>
  <c r="AK29" i="2" s="1"/>
  <c r="AK57" i="2" s="1"/>
  <c r="AJ10" i="2"/>
  <c r="AJ91" i="3"/>
  <c r="AJ105" i="3" s="1"/>
  <c r="AJ12" i="4"/>
  <c r="AJ117" i="4" s="1"/>
  <c r="AJ795" i="9"/>
  <c r="AJ796" i="9"/>
  <c r="AJ797" i="9"/>
  <c r="AK7" i="4"/>
  <c r="AK13" i="19" s="1"/>
  <c r="AJ75" i="3"/>
  <c r="AJ76" i="3" s="1"/>
  <c r="AJ70" i="3"/>
  <c r="AJ45" i="3"/>
  <c r="AJ55" i="3"/>
  <c r="AJ59" i="3"/>
  <c r="AJ60" i="3"/>
  <c r="AJ54" i="3"/>
  <c r="AJ58" i="3"/>
  <c r="AJ19" i="4"/>
  <c r="AJ25" i="4" s="1"/>
  <c r="AJ10" i="4"/>
  <c r="AJ112" i="4" s="1"/>
  <c r="AJ15" i="19" l="1"/>
  <c r="AN12" i="19"/>
  <c r="AJ22" i="19"/>
  <c r="AM19" i="4"/>
  <c r="AM25" i="4" s="1"/>
  <c r="AM12" i="4"/>
  <c r="AM117" i="4" s="1"/>
  <c r="AL18" i="2"/>
  <c r="AL29" i="2" s="1"/>
  <c r="AL57" i="2" s="1"/>
  <c r="AK50" i="2"/>
  <c r="AO775" i="9"/>
  <c r="K218" i="1"/>
  <c r="AJ28" i="4"/>
  <c r="AJ137" i="4"/>
  <c r="AJ30" i="4"/>
  <c r="AM28" i="4" l="1"/>
  <c r="AM30" i="4"/>
  <c r="AM137" i="4"/>
  <c r="AJ6" i="2"/>
  <c r="AJ8" i="2" s="1"/>
  <c r="AJ29" i="2" s="1"/>
  <c r="AJ50" i="2" s="1"/>
  <c r="AJ72" i="2"/>
  <c r="AL50" i="2"/>
  <c r="AM18" i="2"/>
  <c r="K190" i="1"/>
  <c r="K189" i="1"/>
  <c r="AP195" i="1"/>
  <c r="AP197" i="1" s="1"/>
  <c r="AP775" i="9" s="1"/>
  <c r="AJ33" i="4"/>
  <c r="AJ40" i="4"/>
  <c r="AM6" i="2" l="1"/>
  <c r="AM8" i="2" s="1"/>
  <c r="AM29" i="2" s="1"/>
  <c r="AM72" i="2"/>
  <c r="AM81" i="2" s="1"/>
  <c r="AM237" i="9" s="1"/>
  <c r="AM40" i="4"/>
  <c r="AM51" i="4" s="1"/>
  <c r="AM33" i="4"/>
  <c r="AJ51" i="4"/>
  <c r="AJ18" i="19" s="1"/>
  <c r="AJ57" i="2"/>
  <c r="K72" i="2"/>
  <c r="K81" i="2" s="1"/>
  <c r="K237" i="9" s="1"/>
  <c r="AJ81" i="2"/>
  <c r="AJ237" i="9" s="1"/>
  <c r="K223" i="1"/>
  <c r="AP198" i="1"/>
  <c r="AQ195" i="1" s="1"/>
  <c r="AQ197" i="1" s="1"/>
  <c r="AJ35" i="4"/>
  <c r="AJ20" i="19" s="1"/>
  <c r="AJ53" i="3"/>
  <c r="AM18" i="19" l="1"/>
  <c r="AM143" i="5"/>
  <c r="AM19" i="19"/>
  <c r="AM17" i="19"/>
  <c r="AJ19" i="19"/>
  <c r="AJ17" i="19"/>
  <c r="AQ198" i="1"/>
  <c r="AR195" i="1" s="1"/>
  <c r="AR197" i="1" s="1"/>
  <c r="AQ775" i="9"/>
  <c r="AN238" i="9"/>
  <c r="AK239" i="9"/>
  <c r="AM239" i="9"/>
  <c r="AN239" i="9"/>
  <c r="AJ88" i="2"/>
  <c r="AJ82" i="2"/>
  <c r="AM88" i="2"/>
  <c r="AM82" i="2"/>
  <c r="AM50" i="2"/>
  <c r="AM57" i="2"/>
  <c r="AM108" i="4"/>
  <c r="AM63" i="2"/>
  <c r="AM52" i="4"/>
  <c r="AM99" i="4"/>
  <c r="AM35" i="4"/>
  <c r="AM20" i="19" s="1"/>
  <c r="AM53" i="3"/>
  <c r="AJ63" i="2"/>
  <c r="AJ108" i="4"/>
  <c r="AJ52" i="4"/>
  <c r="AO731" i="9"/>
  <c r="L197" i="1"/>
  <c r="K220" i="1"/>
  <c r="AJ99" i="4"/>
  <c r="AR198" i="1" l="1"/>
  <c r="AS195" i="1" s="1"/>
  <c r="AS197" i="1" s="1"/>
  <c r="AR775" i="9"/>
  <c r="AN83" i="2"/>
  <c r="K82" i="2"/>
  <c r="AD14" i="19"/>
  <c r="AD41" i="19"/>
  <c r="AD42" i="19"/>
  <c r="AD43" i="19"/>
  <c r="AD45" i="19"/>
  <c r="AI113" i="3"/>
  <c r="AI109" i="3"/>
  <c r="AI108" i="3"/>
  <c r="J108" i="3" s="1"/>
  <c r="AI88" i="3"/>
  <c r="AI51" i="3"/>
  <c r="AI59" i="3" s="1"/>
  <c r="AI44" i="3"/>
  <c r="J44" i="3" s="1"/>
  <c r="AI29" i="3"/>
  <c r="AI37" i="3" s="1"/>
  <c r="AI16" i="2"/>
  <c r="AI7" i="2"/>
  <c r="AI27" i="4"/>
  <c r="AI43" i="4" s="1"/>
  <c r="AI16" i="4"/>
  <c r="AI9" i="4"/>
  <c r="AI14" i="19" s="1"/>
  <c r="AI151" i="4"/>
  <c r="AI128" i="4"/>
  <c r="AI130" i="4" s="1"/>
  <c r="AI48" i="4"/>
  <c r="AI77" i="2" s="1"/>
  <c r="AI47" i="4"/>
  <c r="AI42" i="4"/>
  <c r="AI36" i="4"/>
  <c r="AI5" i="4"/>
  <c r="AH16" i="1"/>
  <c r="AI16" i="1"/>
  <c r="AH17" i="1"/>
  <c r="AI17" i="1"/>
  <c r="AI14" i="1"/>
  <c r="AH14" i="1"/>
  <c r="AI136" i="1"/>
  <c r="AI796" i="9"/>
  <c r="AI90" i="1"/>
  <c r="AI795" i="9"/>
  <c r="AI44" i="1"/>
  <c r="AI33" i="1"/>
  <c r="AI46" i="19" s="1"/>
  <c r="AI31" i="1"/>
  <c r="AI25" i="1"/>
  <c r="AI44" i="19" s="1"/>
  <c r="AI23" i="1"/>
  <c r="AI22" i="1"/>
  <c r="AI8" i="1"/>
  <c r="AH113" i="3"/>
  <c r="AH109" i="3"/>
  <c r="AH108" i="3"/>
  <c r="AH88" i="3"/>
  <c r="AH52" i="3"/>
  <c r="AH57" i="3" s="1"/>
  <c r="AH51" i="3"/>
  <c r="AH59" i="3" s="1"/>
  <c r="AH44" i="3"/>
  <c r="AH29" i="3"/>
  <c r="AH37" i="3" s="1"/>
  <c r="AH16" i="2"/>
  <c r="AH7" i="2"/>
  <c r="AH36" i="4"/>
  <c r="AH23" i="4"/>
  <c r="AH16" i="4"/>
  <c r="AH11" i="4"/>
  <c r="AH16" i="19" s="1"/>
  <c r="AH151" i="4"/>
  <c r="AH128" i="4"/>
  <c r="AH130" i="4" s="1"/>
  <c r="AH126" i="4"/>
  <c r="AH48" i="4"/>
  <c r="AH77" i="2" s="1"/>
  <c r="AH47" i="4"/>
  <c r="AH43" i="4"/>
  <c r="AH42" i="4"/>
  <c r="AH5" i="4"/>
  <c r="V14" i="1"/>
  <c r="W14" i="1"/>
  <c r="X14" i="1"/>
  <c r="Y14" i="1"/>
  <c r="Z14" i="1"/>
  <c r="AA14" i="1"/>
  <c r="AB14" i="1"/>
  <c r="AC14" i="1"/>
  <c r="AD14" i="1"/>
  <c r="AE14" i="1"/>
  <c r="AF14" i="1"/>
  <c r="U14" i="1"/>
  <c r="AG14" i="1"/>
  <c r="AH797" i="9"/>
  <c r="AH136" i="1"/>
  <c r="AH90" i="1"/>
  <c r="AH44" i="1"/>
  <c r="AH33" i="1"/>
  <c r="AH46" i="19" s="1"/>
  <c r="AH31" i="1"/>
  <c r="AH25" i="1"/>
  <c r="AH23" i="1"/>
  <c r="AH22" i="1"/>
  <c r="AH8" i="1"/>
  <c r="AP154" i="1"/>
  <c r="AQ154" i="1"/>
  <c r="AR154" i="1"/>
  <c r="AS154" i="1"/>
  <c r="AT154" i="1"/>
  <c r="AU154" i="1"/>
  <c r="AV154" i="1"/>
  <c r="AW154" i="1"/>
  <c r="AX154" i="1"/>
  <c r="AY154" i="1"/>
  <c r="AP156" i="1"/>
  <c r="AQ156" i="1"/>
  <c r="AR156" i="1"/>
  <c r="AS156" i="1"/>
  <c r="AT156" i="1"/>
  <c r="AU156" i="1"/>
  <c r="AV156" i="1"/>
  <c r="AW156" i="1"/>
  <c r="AX156" i="1"/>
  <c r="AY156" i="1"/>
  <c r="AA14" i="19"/>
  <c r="AB14" i="19"/>
  <c r="AC14" i="19"/>
  <c r="AA16" i="19"/>
  <c r="AA41" i="19"/>
  <c r="AB41" i="19"/>
  <c r="AC41" i="19"/>
  <c r="AA42" i="19"/>
  <c r="AB42" i="19"/>
  <c r="AC42" i="19"/>
  <c r="AA43" i="19"/>
  <c r="AB43" i="19"/>
  <c r="AC43" i="19"/>
  <c r="AA44" i="19"/>
  <c r="AA45" i="19"/>
  <c r="AB45" i="19"/>
  <c r="AC45" i="19"/>
  <c r="AI99" i="5"/>
  <c r="AI98" i="5"/>
  <c r="AF92" i="5"/>
  <c r="AG113" i="3"/>
  <c r="AG109" i="3"/>
  <c r="AG108" i="3"/>
  <c r="AG88" i="3"/>
  <c r="AG52" i="3"/>
  <c r="AG57" i="3" s="1"/>
  <c r="AG51" i="3"/>
  <c r="AG60" i="3" s="1"/>
  <c r="AG44" i="3"/>
  <c r="AG29" i="3"/>
  <c r="AG37" i="3" s="1"/>
  <c r="AG48" i="2"/>
  <c r="AH48" i="2" s="1"/>
  <c r="AG43" i="2"/>
  <c r="AG40" i="2"/>
  <c r="AG38" i="2"/>
  <c r="AH38" i="2" s="1"/>
  <c r="AG41" i="2"/>
  <c r="AG34" i="2"/>
  <c r="AG33" i="2"/>
  <c r="AG69" i="3" s="1"/>
  <c r="AG21" i="19" s="1"/>
  <c r="AG26" i="2"/>
  <c r="AG23" i="2"/>
  <c r="AG24" i="2"/>
  <c r="AH24" i="2" s="1"/>
  <c r="AG21" i="2"/>
  <c r="AH21" i="2" s="1"/>
  <c r="AI21" i="2" s="1"/>
  <c r="AG20" i="2"/>
  <c r="AG17" i="2"/>
  <c r="AG13" i="2"/>
  <c r="AG14" i="2"/>
  <c r="AG11" i="2"/>
  <c r="AH11" i="2" s="1"/>
  <c r="AH62" i="3" s="1"/>
  <c r="AG16" i="2"/>
  <c r="AG12" i="2"/>
  <c r="AG79" i="2" s="1"/>
  <c r="AG7" i="2"/>
  <c r="AE128" i="4"/>
  <c r="AE130" i="4" s="1"/>
  <c r="AF128" i="4"/>
  <c r="AF130" i="4" s="1"/>
  <c r="AG128" i="4"/>
  <c r="AG130" i="4" s="1"/>
  <c r="AD128" i="4"/>
  <c r="AG36" i="4"/>
  <c r="AG23" i="4"/>
  <c r="AG16" i="4"/>
  <c r="AG73" i="2" s="1"/>
  <c r="AG11" i="4"/>
  <c r="AG16" i="19" s="1"/>
  <c r="AG151" i="4"/>
  <c r="AG126" i="4"/>
  <c r="AG48" i="4"/>
  <c r="AG77" i="2" s="1"/>
  <c r="AG47" i="4"/>
  <c r="AG43" i="4"/>
  <c r="AG42" i="4"/>
  <c r="AG5" i="4"/>
  <c r="AG136" i="1"/>
  <c r="AP101" i="1"/>
  <c r="AQ101" i="1" s="1"/>
  <c r="AR101" i="1" s="1"/>
  <c r="AS101" i="1" s="1"/>
  <c r="AT101" i="1" s="1"/>
  <c r="AU101" i="1" s="1"/>
  <c r="AV101" i="1" s="1"/>
  <c r="AW101" i="1" s="1"/>
  <c r="AX101" i="1" s="1"/>
  <c r="AY101" i="1" s="1"/>
  <c r="AG90" i="1"/>
  <c r="AG44" i="1"/>
  <c r="AG33" i="1"/>
  <c r="AG46" i="19" s="1"/>
  <c r="AG31" i="1"/>
  <c r="AG25" i="1"/>
  <c r="AG23" i="1"/>
  <c r="AG22" i="1"/>
  <c r="AG17" i="1"/>
  <c r="AG16" i="1"/>
  <c r="AG8" i="1"/>
  <c r="AH24" i="5"/>
  <c r="Y363" i="9"/>
  <c r="Y485" i="9"/>
  <c r="Z485" i="9"/>
  <c r="AA485" i="9"/>
  <c r="AB485" i="9"/>
  <c r="AC485" i="9"/>
  <c r="AD485" i="9"/>
  <c r="AE485" i="9"/>
  <c r="AF485" i="9"/>
  <c r="Y480" i="9"/>
  <c r="Z480" i="9"/>
  <c r="AA480" i="9"/>
  <c r="AB480" i="9"/>
  <c r="AC480" i="9"/>
  <c r="AD480" i="9"/>
  <c r="AE480" i="9"/>
  <c r="AF480" i="9"/>
  <c r="AY488" i="9"/>
  <c r="AX488" i="9"/>
  <c r="AW488" i="9"/>
  <c r="AV488" i="9"/>
  <c r="AU488" i="9"/>
  <c r="AT488" i="9"/>
  <c r="AS488" i="9"/>
  <c r="AR488" i="9"/>
  <c r="AQ488" i="9"/>
  <c r="AP488" i="9"/>
  <c r="AO488" i="9"/>
  <c r="AN488" i="9"/>
  <c r="AM488" i="9"/>
  <c r="AL488" i="9"/>
  <c r="AK488" i="9"/>
  <c r="AJ488" i="9"/>
  <c r="AI488" i="9"/>
  <c r="AH488" i="9"/>
  <c r="AG488" i="9"/>
  <c r="AF488" i="9"/>
  <c r="AE488" i="9"/>
  <c r="AD488" i="9"/>
  <c r="AC488" i="9"/>
  <c r="AB488" i="9"/>
  <c r="AA488" i="9"/>
  <c r="Z488" i="9"/>
  <c r="Y488" i="9"/>
  <c r="N488" i="9"/>
  <c r="M488" i="9"/>
  <c r="L488" i="9"/>
  <c r="K488" i="9"/>
  <c r="J488" i="9"/>
  <c r="I488" i="9"/>
  <c r="H488" i="9"/>
  <c r="G488" i="9"/>
  <c r="F488" i="9"/>
  <c r="H485" i="9"/>
  <c r="G485" i="9"/>
  <c r="F485" i="9"/>
  <c r="N480" i="9"/>
  <c r="N489" i="9" s="1"/>
  <c r="M480" i="9"/>
  <c r="M483" i="9" s="1"/>
  <c r="L480" i="9"/>
  <c r="L483" i="9" s="1"/>
  <c r="K480" i="9"/>
  <c r="K483" i="9" s="1"/>
  <c r="J480" i="9"/>
  <c r="J489" i="9" s="1"/>
  <c r="I480" i="9"/>
  <c r="H480" i="9"/>
  <c r="H489" i="9" s="1"/>
  <c r="G480" i="9"/>
  <c r="F480" i="9"/>
  <c r="F483" i="9" s="1"/>
  <c r="AP30" i="19"/>
  <c r="Z797" i="9"/>
  <c r="AF797" i="9"/>
  <c r="AD797" i="9"/>
  <c r="AC797" i="9"/>
  <c r="AB797" i="9"/>
  <c r="AY153" i="1"/>
  <c r="AX153" i="1"/>
  <c r="AW153" i="1"/>
  <c r="AV153" i="1"/>
  <c r="AU153" i="1"/>
  <c r="AT153" i="1"/>
  <c r="AS153" i="1"/>
  <c r="AR153" i="1"/>
  <c r="AQ153" i="1"/>
  <c r="AP153" i="1"/>
  <c r="AP147" i="1"/>
  <c r="AQ147" i="1" s="1"/>
  <c r="AR147" i="1" s="1"/>
  <c r="AS147" i="1" s="1"/>
  <c r="AT147" i="1" s="1"/>
  <c r="AU147" i="1" s="1"/>
  <c r="AV147" i="1" s="1"/>
  <c r="AW147" i="1" s="1"/>
  <c r="AX147" i="1" s="1"/>
  <c r="AY147" i="1" s="1"/>
  <c r="AP146" i="1"/>
  <c r="AQ146" i="1" s="1"/>
  <c r="AR146" i="1" s="1"/>
  <c r="AS146" i="1" s="1"/>
  <c r="AT146" i="1" s="1"/>
  <c r="AU146" i="1" s="1"/>
  <c r="AV146" i="1" s="1"/>
  <c r="AW146" i="1" s="1"/>
  <c r="AX146" i="1" s="1"/>
  <c r="AY146" i="1" s="1"/>
  <c r="AY136" i="1"/>
  <c r="AX136" i="1"/>
  <c r="AW136" i="1"/>
  <c r="AV136" i="1"/>
  <c r="AU136" i="1"/>
  <c r="AT136" i="1"/>
  <c r="AS136" i="1"/>
  <c r="AR136" i="1"/>
  <c r="AQ136" i="1"/>
  <c r="AP136" i="1"/>
  <c r="AN136" i="1"/>
  <c r="AL136" i="1"/>
  <c r="AF136" i="1"/>
  <c r="AE136" i="1"/>
  <c r="AD136" i="1"/>
  <c r="AC136" i="1"/>
  <c r="AB136" i="1"/>
  <c r="AA136" i="1"/>
  <c r="Z136" i="1"/>
  <c r="Y136" i="1"/>
  <c r="X136" i="1"/>
  <c r="W136" i="1"/>
  <c r="V136" i="1"/>
  <c r="U136" i="1"/>
  <c r="T136" i="1"/>
  <c r="I32" i="3"/>
  <c r="AF138" i="5"/>
  <c r="AF133" i="5"/>
  <c r="AF132" i="5"/>
  <c r="G93" i="3"/>
  <c r="H93" i="3"/>
  <c r="I93" i="3"/>
  <c r="J93" i="3"/>
  <c r="K93" i="3"/>
  <c r="G94" i="3"/>
  <c r="H94" i="3"/>
  <c r="I94" i="3"/>
  <c r="J94" i="3"/>
  <c r="K94" i="3"/>
  <c r="G95" i="3"/>
  <c r="H95" i="3"/>
  <c r="I95" i="3"/>
  <c r="J95" i="3"/>
  <c r="K95" i="3"/>
  <c r="G96" i="3"/>
  <c r="H96" i="3"/>
  <c r="I96" i="3"/>
  <c r="J96" i="3"/>
  <c r="K96" i="3"/>
  <c r="G97" i="3"/>
  <c r="H97" i="3"/>
  <c r="I97" i="3"/>
  <c r="J97" i="3"/>
  <c r="K97" i="3"/>
  <c r="G98" i="3"/>
  <c r="H98" i="3"/>
  <c r="I98" i="3"/>
  <c r="J98" i="3"/>
  <c r="K98" i="3"/>
  <c r="G99" i="3"/>
  <c r="H99" i="3"/>
  <c r="I99" i="3"/>
  <c r="J99" i="3"/>
  <c r="K99" i="3"/>
  <c r="G100" i="3"/>
  <c r="H100" i="3"/>
  <c r="I100" i="3"/>
  <c r="J100" i="3"/>
  <c r="K100" i="3"/>
  <c r="G101" i="3"/>
  <c r="H101" i="3"/>
  <c r="I101" i="3"/>
  <c r="J101" i="3"/>
  <c r="K101" i="3"/>
  <c r="G102" i="3"/>
  <c r="H102" i="3"/>
  <c r="I102" i="3"/>
  <c r="J102" i="3"/>
  <c r="K102" i="3"/>
  <c r="AF113" i="3"/>
  <c r="AF109" i="3"/>
  <c r="AF108" i="3"/>
  <c r="AF88" i="3"/>
  <c r="AF69" i="3"/>
  <c r="AF21" i="19" s="1"/>
  <c r="AF62" i="3"/>
  <c r="AF52" i="3"/>
  <c r="AF57" i="3" s="1"/>
  <c r="AF51" i="3"/>
  <c r="AF56" i="3" s="1"/>
  <c r="AF44" i="3"/>
  <c r="AF29" i="3"/>
  <c r="AF37" i="3" s="1"/>
  <c r="AF18" i="2"/>
  <c r="AF44" i="2"/>
  <c r="AF35" i="2"/>
  <c r="AF28" i="2"/>
  <c r="AF38" i="7" s="1"/>
  <c r="AF16" i="2"/>
  <c r="AF12" i="2"/>
  <c r="AF7" i="2"/>
  <c r="AF23" i="4"/>
  <c r="AF16" i="4"/>
  <c r="AF11" i="4"/>
  <c r="AF16" i="19" s="1"/>
  <c r="AF126" i="4"/>
  <c r="AF151" i="4"/>
  <c r="AF47" i="4"/>
  <c r="AF36" i="4"/>
  <c r="AF43" i="4"/>
  <c r="AF48" i="4"/>
  <c r="AF77" i="2" s="1"/>
  <c r="AF42" i="4"/>
  <c r="AF5" i="4"/>
  <c r="AF12" i="4" s="1"/>
  <c r="AF117" i="4" s="1"/>
  <c r="AF796" i="9"/>
  <c r="AF90" i="1"/>
  <c r="AP54" i="1"/>
  <c r="AQ54" i="1" s="1"/>
  <c r="AR54" i="1" s="1"/>
  <c r="AS54" i="1" s="1"/>
  <c r="AT54" i="1" s="1"/>
  <c r="AU54" i="1" s="1"/>
  <c r="AV54" i="1" s="1"/>
  <c r="AW54" i="1" s="1"/>
  <c r="AX54" i="1" s="1"/>
  <c r="AY54" i="1" s="1"/>
  <c r="AF44" i="1"/>
  <c r="AF33" i="1"/>
  <c r="AF46" i="19" s="1"/>
  <c r="AF31" i="1"/>
  <c r="AF25" i="1"/>
  <c r="AF23" i="1"/>
  <c r="AF22" i="1"/>
  <c r="AF17" i="1"/>
  <c r="AF16" i="1"/>
  <c r="AF8" i="1"/>
  <c r="Z14" i="19"/>
  <c r="Z16" i="19"/>
  <c r="Z41" i="19"/>
  <c r="Z42" i="19"/>
  <c r="Z43" i="19"/>
  <c r="Z44" i="19"/>
  <c r="Z45" i="19"/>
  <c r="AA40" i="3"/>
  <c r="W44" i="3"/>
  <c r="G44" i="3" s="1"/>
  <c r="AE25" i="1"/>
  <c r="AE26" i="1" s="1"/>
  <c r="AD138" i="5"/>
  <c r="AC138" i="5"/>
  <c r="AB138" i="5"/>
  <c r="AE76" i="5"/>
  <c r="AE133" i="5"/>
  <c r="AE113" i="3"/>
  <c r="AE109" i="3"/>
  <c r="AE108" i="3"/>
  <c r="AE88" i="3"/>
  <c r="I88" i="3" s="1"/>
  <c r="AE51" i="3"/>
  <c r="AE59" i="3" s="1"/>
  <c r="AE44" i="3"/>
  <c r="AE29" i="3"/>
  <c r="I29" i="3" s="1"/>
  <c r="AE24" i="2"/>
  <c r="I24" i="2" s="1"/>
  <c r="AE16" i="2"/>
  <c r="AE12" i="2"/>
  <c r="AE79" i="2" s="1"/>
  <c r="AE7" i="2"/>
  <c r="AE125" i="4"/>
  <c r="AI126" i="4" s="1"/>
  <c r="AE124" i="4"/>
  <c r="AE151" i="4" s="1"/>
  <c r="AE27" i="4"/>
  <c r="AE43" i="4" s="1"/>
  <c r="AE22" i="4"/>
  <c r="AE21" i="4"/>
  <c r="AE138" i="5" s="1"/>
  <c r="AE9" i="4"/>
  <c r="AE14" i="19" s="1"/>
  <c r="AE47" i="4"/>
  <c r="AE5" i="4"/>
  <c r="AE796" i="9"/>
  <c r="AE90" i="1"/>
  <c r="AE44" i="1"/>
  <c r="AE33" i="1"/>
  <c r="AE9" i="1" s="1"/>
  <c r="AE31" i="1"/>
  <c r="AE23" i="1"/>
  <c r="AE22" i="1"/>
  <c r="AE17" i="1"/>
  <c r="AE16" i="1"/>
  <c r="AE8" i="1"/>
  <c r="AD36" i="4"/>
  <c r="AB28" i="1"/>
  <c r="AD85" i="5"/>
  <c r="AD87" i="5" s="1"/>
  <c r="AD109" i="3"/>
  <c r="AD108" i="3"/>
  <c r="AD88" i="3"/>
  <c r="AD52" i="3"/>
  <c r="AD57" i="3" s="1"/>
  <c r="AD51" i="3"/>
  <c r="AD60" i="3" s="1"/>
  <c r="AD44" i="3"/>
  <c r="AD29" i="3"/>
  <c r="AD37" i="3" s="1"/>
  <c r="AD43" i="2"/>
  <c r="AE43" i="2" s="1"/>
  <c r="I43" i="2" s="1"/>
  <c r="AD16" i="2"/>
  <c r="AD12" i="2"/>
  <c r="AD79" i="2" s="1"/>
  <c r="AD7" i="2"/>
  <c r="AD16" i="4"/>
  <c r="AD73" i="2" s="1"/>
  <c r="AD11" i="4"/>
  <c r="AD130" i="4"/>
  <c r="AD151" i="4"/>
  <c r="AD48" i="4"/>
  <c r="AD77" i="2" s="1"/>
  <c r="AD47" i="4"/>
  <c r="AD43" i="4"/>
  <c r="AD42" i="4"/>
  <c r="AD5" i="4"/>
  <c r="AD796" i="9"/>
  <c r="AD44" i="1"/>
  <c r="AD33" i="1"/>
  <c r="AD31" i="1"/>
  <c r="AD25" i="1"/>
  <c r="AD26" i="1" s="1"/>
  <c r="AD23" i="1"/>
  <c r="AD22" i="1"/>
  <c r="AD17" i="1"/>
  <c r="AD16" i="1"/>
  <c r="AD8" i="1"/>
  <c r="AD90" i="1"/>
  <c r="AE92" i="5"/>
  <c r="AE91" i="5"/>
  <c r="AE90" i="5"/>
  <c r="U44" i="19"/>
  <c r="V44" i="19"/>
  <c r="W44" i="19"/>
  <c r="X44" i="19"/>
  <c r="Y44" i="19"/>
  <c r="X14" i="19"/>
  <c r="Y14" i="19"/>
  <c r="X16" i="19"/>
  <c r="Y16" i="19"/>
  <c r="X41" i="19"/>
  <c r="Y41" i="19"/>
  <c r="X42" i="19"/>
  <c r="Y42" i="19"/>
  <c r="X43" i="19"/>
  <c r="Y43" i="19"/>
  <c r="X45" i="19"/>
  <c r="Y45" i="19"/>
  <c r="AA319" i="9"/>
  <c r="Y674" i="9"/>
  <c r="X674" i="9"/>
  <c r="W674" i="9"/>
  <c r="V674" i="9"/>
  <c r="U674" i="9"/>
  <c r="AA674" i="9"/>
  <c r="Z674" i="9"/>
  <c r="C13" i="7"/>
  <c r="AD133" i="5"/>
  <c r="AD132" i="5"/>
  <c r="AD82" i="5"/>
  <c r="AD74" i="5"/>
  <c r="Z131" i="5"/>
  <c r="Z136" i="5" s="1"/>
  <c r="AD8" i="5"/>
  <c r="AD113" i="3" s="1"/>
  <c r="AC133" i="5"/>
  <c r="AC132" i="5"/>
  <c r="AC131" i="5"/>
  <c r="AC136" i="5" s="1"/>
  <c r="AC109" i="3"/>
  <c r="AC108" i="3"/>
  <c r="AC88" i="3"/>
  <c r="AC52" i="3"/>
  <c r="AC57" i="3" s="1"/>
  <c r="AC51" i="3"/>
  <c r="AC58" i="3" s="1"/>
  <c r="AC44" i="3"/>
  <c r="AC29" i="3"/>
  <c r="AC37" i="3" s="1"/>
  <c r="AC48" i="2"/>
  <c r="AD48" i="2" s="1"/>
  <c r="AC41" i="2"/>
  <c r="AC38" i="2"/>
  <c r="AC40" i="2"/>
  <c r="AC8" i="5" s="1"/>
  <c r="AC33" i="2"/>
  <c r="AC26" i="2"/>
  <c r="AC23" i="2"/>
  <c r="AC22" i="2"/>
  <c r="AD22" i="2" s="1"/>
  <c r="AC21" i="2"/>
  <c r="AC20" i="2"/>
  <c r="AC18" i="2"/>
  <c r="AD18" i="2" s="1"/>
  <c r="AC17" i="2"/>
  <c r="AC14" i="2"/>
  <c r="AC13" i="2"/>
  <c r="AD13" i="2" s="1"/>
  <c r="AC11" i="2"/>
  <c r="AD11" i="2" s="1"/>
  <c r="AC51" i="2"/>
  <c r="AC16" i="2"/>
  <c r="AC12" i="2"/>
  <c r="AC79" i="2" s="1"/>
  <c r="AC7" i="2"/>
  <c r="AC36" i="4"/>
  <c r="AC23" i="4"/>
  <c r="AE23" i="4" s="1"/>
  <c r="AC16" i="4"/>
  <c r="AC73" i="2" s="1"/>
  <c r="AC11" i="4"/>
  <c r="AC16" i="19" s="1"/>
  <c r="AC151" i="4"/>
  <c r="AC48" i="4"/>
  <c r="AC77" i="2" s="1"/>
  <c r="AC47" i="4"/>
  <c r="AC43" i="4"/>
  <c r="AC42" i="4"/>
  <c r="AC5" i="4"/>
  <c r="AG6" i="4" s="1"/>
  <c r="AC17" i="1"/>
  <c r="AC16" i="1"/>
  <c r="AC796" i="9"/>
  <c r="AP100" i="1"/>
  <c r="AQ100" i="1" s="1"/>
  <c r="AR100" i="1" s="1"/>
  <c r="AS100" i="1" s="1"/>
  <c r="AT100" i="1" s="1"/>
  <c r="AU100" i="1" s="1"/>
  <c r="AV100" i="1" s="1"/>
  <c r="AW100" i="1" s="1"/>
  <c r="AX100" i="1" s="1"/>
  <c r="AY100" i="1" s="1"/>
  <c r="AC90" i="1"/>
  <c r="AC44" i="1"/>
  <c r="AC33" i="1"/>
  <c r="AC31" i="1"/>
  <c r="AC25" i="1"/>
  <c r="AC44" i="19" s="1"/>
  <c r="AC23" i="1"/>
  <c r="AC22" i="1"/>
  <c r="AC8" i="1"/>
  <c r="AP19" i="19"/>
  <c r="W14" i="19"/>
  <c r="W16" i="19"/>
  <c r="W41" i="19"/>
  <c r="W42" i="19"/>
  <c r="W43" i="19"/>
  <c r="W45" i="19"/>
  <c r="AR22" i="19"/>
  <c r="AR19" i="19"/>
  <c r="AY298" i="9"/>
  <c r="AX298" i="9"/>
  <c r="AW298" i="9"/>
  <c r="AV298" i="9"/>
  <c r="AU298" i="9"/>
  <c r="AT298" i="9"/>
  <c r="AS298" i="9"/>
  <c r="AR298" i="9"/>
  <c r="AQ298" i="9"/>
  <c r="AP298" i="9"/>
  <c r="AO298" i="9"/>
  <c r="AN298" i="9"/>
  <c r="AM298" i="9"/>
  <c r="AL298" i="9"/>
  <c r="AK298" i="9"/>
  <c r="AJ298" i="9"/>
  <c r="AI298" i="9"/>
  <c r="AH298" i="9"/>
  <c r="AG298" i="9"/>
  <c r="AF298" i="9"/>
  <c r="AE298" i="9"/>
  <c r="AD298" i="9"/>
  <c r="AC298" i="9"/>
  <c r="AB298" i="9"/>
  <c r="V45" i="19"/>
  <c r="U45" i="19"/>
  <c r="U42" i="19"/>
  <c r="V42" i="19"/>
  <c r="U43" i="19"/>
  <c r="V43" i="19"/>
  <c r="U41" i="19"/>
  <c r="V41" i="19"/>
  <c r="AB36" i="4"/>
  <c r="T16" i="19"/>
  <c r="U16" i="19"/>
  <c r="V16" i="19"/>
  <c r="T14" i="19"/>
  <c r="U14" i="19"/>
  <c r="V14" i="19"/>
  <c r="N8" i="5"/>
  <c r="N113" i="3" s="1"/>
  <c r="M8" i="5"/>
  <c r="M113" i="3" s="1"/>
  <c r="L8" i="5"/>
  <c r="L113" i="3" s="1"/>
  <c r="K8" i="5"/>
  <c r="K113" i="3" s="1"/>
  <c r="J8" i="5"/>
  <c r="J113" i="3" s="1"/>
  <c r="H8" i="5"/>
  <c r="H113" i="3" s="1"/>
  <c r="G113" i="3"/>
  <c r="T113" i="3"/>
  <c r="U113" i="3"/>
  <c r="V113" i="3"/>
  <c r="W113" i="3"/>
  <c r="X113" i="3"/>
  <c r="Y113" i="3"/>
  <c r="Z113" i="3"/>
  <c r="AA113" i="3"/>
  <c r="AB113" i="3"/>
  <c r="AP113" i="3"/>
  <c r="AQ113" i="3"/>
  <c r="AR113" i="3"/>
  <c r="AS113" i="3"/>
  <c r="AT113" i="3"/>
  <c r="AU113" i="3"/>
  <c r="AV113" i="3"/>
  <c r="AW113" i="3"/>
  <c r="AX113" i="3"/>
  <c r="AY113" i="3"/>
  <c r="T151" i="4"/>
  <c r="AB151" i="4"/>
  <c r="AB133" i="5"/>
  <c r="AB132" i="5"/>
  <c r="AB131" i="5"/>
  <c r="AB141" i="5" s="1"/>
  <c r="Z44" i="3"/>
  <c r="AB44" i="3"/>
  <c r="AB109" i="3"/>
  <c r="AB108" i="3"/>
  <c r="AB88" i="3"/>
  <c r="AB69" i="3"/>
  <c r="AB52" i="3"/>
  <c r="AB57" i="3" s="1"/>
  <c r="AB51" i="3"/>
  <c r="AB58" i="3" s="1"/>
  <c r="AB29" i="3"/>
  <c r="AB37" i="3" s="1"/>
  <c r="AB5" i="3"/>
  <c r="AB11" i="3" s="1"/>
  <c r="AB19" i="3" s="1"/>
  <c r="AB34" i="2"/>
  <c r="AC34" i="2" s="1"/>
  <c r="AD34" i="2" s="1"/>
  <c r="AB16" i="2"/>
  <c r="AB12" i="2"/>
  <c r="AB79" i="2" s="1"/>
  <c r="I79" i="2" s="1"/>
  <c r="AB7" i="2"/>
  <c r="AB51" i="2"/>
  <c r="AB44" i="2"/>
  <c r="AB28" i="2"/>
  <c r="AB38" i="7" s="1"/>
  <c r="AB42" i="4"/>
  <c r="AB16" i="4"/>
  <c r="AB11" i="4"/>
  <c r="AB16" i="19" s="1"/>
  <c r="AB48" i="4"/>
  <c r="AB77" i="2" s="1"/>
  <c r="AB47" i="4"/>
  <c r="AB43" i="4"/>
  <c r="AB5" i="4"/>
  <c r="AB81" i="3" s="1"/>
  <c r="AB25" i="1"/>
  <c r="AB44" i="19" s="1"/>
  <c r="AB796" i="9"/>
  <c r="AB90" i="1"/>
  <c r="AB795" i="9"/>
  <c r="AB44" i="1"/>
  <c r="AB33" i="1"/>
  <c r="AB31" i="1"/>
  <c r="AB17" i="1"/>
  <c r="AB16" i="1"/>
  <c r="AB8" i="1"/>
  <c r="M72" i="11"/>
  <c r="L72" i="11"/>
  <c r="K72" i="11"/>
  <c r="J72" i="11"/>
  <c r="I72" i="11"/>
  <c r="H72" i="11"/>
  <c r="G72" i="11"/>
  <c r="M67" i="11"/>
  <c r="L67" i="11"/>
  <c r="K67" i="11"/>
  <c r="J67" i="11"/>
  <c r="I67" i="11"/>
  <c r="H67" i="11"/>
  <c r="G67" i="11"/>
  <c r="M61" i="11"/>
  <c r="L61" i="11"/>
  <c r="K61" i="11"/>
  <c r="J61" i="11"/>
  <c r="I61" i="11"/>
  <c r="H61" i="11"/>
  <c r="G61" i="11"/>
  <c r="M48" i="11"/>
  <c r="L48" i="11"/>
  <c r="K48" i="11"/>
  <c r="J48" i="11"/>
  <c r="I48" i="11"/>
  <c r="H48" i="11"/>
  <c r="G48" i="11"/>
  <c r="M43" i="11"/>
  <c r="L43" i="11"/>
  <c r="K43" i="11"/>
  <c r="J43" i="11"/>
  <c r="I43" i="11"/>
  <c r="H43" i="11"/>
  <c r="G43" i="11"/>
  <c r="M37" i="11"/>
  <c r="L37" i="11"/>
  <c r="K37" i="11"/>
  <c r="J37" i="11"/>
  <c r="J44" i="11" s="1"/>
  <c r="I37" i="11"/>
  <c r="H37" i="11"/>
  <c r="G37" i="11"/>
  <c r="M24" i="11"/>
  <c r="L24" i="11"/>
  <c r="K24" i="11"/>
  <c r="J24" i="11"/>
  <c r="I24" i="11"/>
  <c r="H24" i="11"/>
  <c r="G24" i="11"/>
  <c r="M19" i="11"/>
  <c r="L19" i="11"/>
  <c r="K19" i="11"/>
  <c r="J19" i="11"/>
  <c r="I19" i="11"/>
  <c r="H19" i="11"/>
  <c r="G19" i="11"/>
  <c r="M13" i="11"/>
  <c r="L13" i="11"/>
  <c r="L25" i="11" s="1"/>
  <c r="K13" i="11"/>
  <c r="J13" i="11"/>
  <c r="I13" i="11"/>
  <c r="H13" i="11"/>
  <c r="G13" i="11"/>
  <c r="G56" i="11"/>
  <c r="H56" i="11"/>
  <c r="I56" i="11"/>
  <c r="J56" i="11"/>
  <c r="K56" i="11"/>
  <c r="L56" i="11"/>
  <c r="M56" i="11"/>
  <c r="P56" i="11"/>
  <c r="Q56" i="11"/>
  <c r="R56" i="11"/>
  <c r="S56" i="11"/>
  <c r="G32" i="11"/>
  <c r="H32" i="11"/>
  <c r="I32" i="11"/>
  <c r="J32" i="11"/>
  <c r="K32" i="11"/>
  <c r="L32" i="11"/>
  <c r="M32" i="11"/>
  <c r="P32" i="11"/>
  <c r="Q32" i="11"/>
  <c r="R32" i="11"/>
  <c r="S32" i="11"/>
  <c r="G8" i="11"/>
  <c r="H8" i="11"/>
  <c r="I8" i="11"/>
  <c r="J8" i="11"/>
  <c r="K8" i="11"/>
  <c r="L8" i="11"/>
  <c r="M8" i="11"/>
  <c r="P8" i="11"/>
  <c r="Q8" i="11"/>
  <c r="R8" i="11"/>
  <c r="S8" i="11"/>
  <c r="AY73" i="11"/>
  <c r="AX73" i="11"/>
  <c r="AW73" i="11"/>
  <c r="AV73" i="11"/>
  <c r="AU73" i="11"/>
  <c r="AT73" i="11"/>
  <c r="AS73" i="11"/>
  <c r="AR73" i="11"/>
  <c r="AQ73" i="11"/>
  <c r="AP73" i="11"/>
  <c r="AO73" i="11"/>
  <c r="AN73" i="11"/>
  <c r="AM73" i="11"/>
  <c r="AL73" i="11"/>
  <c r="AK73" i="11"/>
  <c r="AJ73" i="11"/>
  <c r="AI73" i="11"/>
  <c r="AH73" i="11"/>
  <c r="AG73" i="11"/>
  <c r="AF73" i="11"/>
  <c r="AE73" i="11"/>
  <c r="AD73" i="11"/>
  <c r="AC73" i="11"/>
  <c r="AB73" i="11"/>
  <c r="AA73" i="11"/>
  <c r="Z73" i="11"/>
  <c r="Y73" i="11"/>
  <c r="X73" i="11"/>
  <c r="W73" i="11"/>
  <c r="V73" i="11"/>
  <c r="U73" i="11"/>
  <c r="T73" i="11"/>
  <c r="AY68" i="11"/>
  <c r="AX68" i="11"/>
  <c r="AW68" i="11"/>
  <c r="AV68" i="11"/>
  <c r="AU68" i="11"/>
  <c r="AT68" i="11"/>
  <c r="AS68" i="11"/>
  <c r="AR68" i="11"/>
  <c r="AQ68" i="11"/>
  <c r="AP68" i="11"/>
  <c r="AO68" i="11"/>
  <c r="AN68" i="11"/>
  <c r="AM68" i="11"/>
  <c r="AL68" i="11"/>
  <c r="AK68" i="11"/>
  <c r="AJ68" i="11"/>
  <c r="AI68" i="11"/>
  <c r="AH68" i="11"/>
  <c r="AG68" i="11"/>
  <c r="AF68" i="11"/>
  <c r="AE68" i="11"/>
  <c r="AD68" i="11"/>
  <c r="AC68" i="11"/>
  <c r="AB68" i="11"/>
  <c r="AA68" i="11"/>
  <c r="Z68" i="11"/>
  <c r="Y68" i="11"/>
  <c r="X68" i="11"/>
  <c r="W68" i="11"/>
  <c r="V68" i="11"/>
  <c r="U68" i="11"/>
  <c r="T68" i="11"/>
  <c r="AY63" i="11"/>
  <c r="AX63" i="11"/>
  <c r="AW63" i="11"/>
  <c r="AV63" i="11"/>
  <c r="AU63" i="11"/>
  <c r="AT63" i="11"/>
  <c r="AS63" i="11"/>
  <c r="AR63" i="11"/>
  <c r="AQ63" i="11"/>
  <c r="AP63" i="11"/>
  <c r="AO63" i="11"/>
  <c r="AN63" i="11"/>
  <c r="AM63" i="11"/>
  <c r="AL63" i="11"/>
  <c r="AK63" i="11"/>
  <c r="AJ63" i="11"/>
  <c r="AI63" i="11"/>
  <c r="AH63" i="11"/>
  <c r="AG63" i="11"/>
  <c r="AF63" i="11"/>
  <c r="AE63" i="11"/>
  <c r="AD63" i="11"/>
  <c r="AC63" i="11"/>
  <c r="AB63" i="11"/>
  <c r="AA63" i="11"/>
  <c r="Z63" i="11"/>
  <c r="Y63" i="11"/>
  <c r="X63" i="11"/>
  <c r="W63" i="11"/>
  <c r="V63" i="11"/>
  <c r="U63" i="11"/>
  <c r="AY62" i="11"/>
  <c r="AX62" i="11"/>
  <c r="AW62" i="11"/>
  <c r="AV62" i="11"/>
  <c r="AU62" i="11"/>
  <c r="AT62" i="11"/>
  <c r="AS62" i="11"/>
  <c r="AR62" i="11"/>
  <c r="AQ62" i="11"/>
  <c r="AP62" i="11"/>
  <c r="AO62" i="11"/>
  <c r="AN62" i="11"/>
  <c r="AM62" i="11"/>
  <c r="AL62" i="11"/>
  <c r="AK62" i="11"/>
  <c r="AJ62" i="11"/>
  <c r="AI62" i="11"/>
  <c r="AH62" i="11"/>
  <c r="AG62" i="11"/>
  <c r="AF62" i="11"/>
  <c r="AE62" i="11"/>
  <c r="AD62" i="11"/>
  <c r="AC62" i="11"/>
  <c r="AB62" i="11"/>
  <c r="AA62" i="11"/>
  <c r="Z62" i="11"/>
  <c r="Y62" i="11"/>
  <c r="X62" i="11"/>
  <c r="AY49" i="11"/>
  <c r="AX49" i="11"/>
  <c r="AW49" i="11"/>
  <c r="AV49" i="11"/>
  <c r="AU49" i="11"/>
  <c r="AT49" i="11"/>
  <c r="AS49" i="11"/>
  <c r="AR49" i="11"/>
  <c r="AQ49" i="11"/>
  <c r="AP49" i="11"/>
  <c r="AO49" i="11"/>
  <c r="AN49" i="11"/>
  <c r="AM49" i="11"/>
  <c r="AL49" i="11"/>
  <c r="AK49" i="11"/>
  <c r="AJ49" i="11"/>
  <c r="AI49" i="11"/>
  <c r="AH49" i="11"/>
  <c r="AG49" i="11"/>
  <c r="AF49" i="11"/>
  <c r="AE49" i="11"/>
  <c r="AD49" i="11"/>
  <c r="AC49" i="11"/>
  <c r="AB49" i="11"/>
  <c r="AA49" i="11"/>
  <c r="Z49" i="11"/>
  <c r="Y49" i="11"/>
  <c r="X49" i="11"/>
  <c r="W49" i="11"/>
  <c r="V49" i="11"/>
  <c r="U49" i="11"/>
  <c r="T49" i="11"/>
  <c r="AY44" i="11"/>
  <c r="AX44" i="11"/>
  <c r="AW44" i="11"/>
  <c r="AV44" i="11"/>
  <c r="AU44" i="11"/>
  <c r="AT44" i="11"/>
  <c r="AS44" i="11"/>
  <c r="AR44" i="11"/>
  <c r="AQ44" i="11"/>
  <c r="AP44" i="11"/>
  <c r="AO44" i="11"/>
  <c r="AN44" i="11"/>
  <c r="AM44" i="11"/>
  <c r="AL44" i="11"/>
  <c r="AK44" i="11"/>
  <c r="AJ44" i="11"/>
  <c r="AI44" i="11"/>
  <c r="AH44" i="11"/>
  <c r="AG44" i="11"/>
  <c r="AF44" i="11"/>
  <c r="AE44" i="11"/>
  <c r="AD44" i="11"/>
  <c r="AC44" i="11"/>
  <c r="AB44" i="11"/>
  <c r="AA44" i="11"/>
  <c r="Z44" i="11"/>
  <c r="Y44" i="11"/>
  <c r="X44" i="11"/>
  <c r="W44" i="11"/>
  <c r="V44" i="11"/>
  <c r="U44" i="11"/>
  <c r="T44" i="11"/>
  <c r="AY39" i="11"/>
  <c r="AX39" i="11"/>
  <c r="AW39" i="11"/>
  <c r="AV39" i="11"/>
  <c r="AU39" i="11"/>
  <c r="AT39" i="11"/>
  <c r="AS39" i="11"/>
  <c r="AR39" i="11"/>
  <c r="AQ39" i="11"/>
  <c r="AP39" i="11"/>
  <c r="AO39" i="11"/>
  <c r="AN39" i="11"/>
  <c r="AM39" i="11"/>
  <c r="AL39" i="11"/>
  <c r="AK39" i="11"/>
  <c r="AJ39" i="11"/>
  <c r="AI39" i="11"/>
  <c r="AH39" i="11"/>
  <c r="AG39" i="11"/>
  <c r="AF39" i="11"/>
  <c r="AE39" i="11"/>
  <c r="AD39" i="11"/>
  <c r="AC39" i="11"/>
  <c r="AB39" i="11"/>
  <c r="AA39" i="11"/>
  <c r="Z39" i="11"/>
  <c r="Y39" i="11"/>
  <c r="X39" i="11"/>
  <c r="W39" i="11"/>
  <c r="V39" i="11"/>
  <c r="U39" i="11"/>
  <c r="AY38" i="11"/>
  <c r="AX38" i="11"/>
  <c r="AW38" i="11"/>
  <c r="AV38" i="11"/>
  <c r="AU38" i="11"/>
  <c r="AT38" i="11"/>
  <c r="AS38" i="11"/>
  <c r="AR38" i="11"/>
  <c r="AQ38" i="11"/>
  <c r="AP38" i="11"/>
  <c r="AO38" i="11"/>
  <c r="AN38" i="11"/>
  <c r="AM38" i="11"/>
  <c r="AL38" i="11"/>
  <c r="AK38" i="11"/>
  <c r="AJ38" i="11"/>
  <c r="AI38" i="11"/>
  <c r="AH38" i="11"/>
  <c r="AG38" i="11"/>
  <c r="AF38" i="11"/>
  <c r="AE38" i="11"/>
  <c r="AD38" i="11"/>
  <c r="AC38" i="11"/>
  <c r="AB38" i="11"/>
  <c r="AA38" i="11"/>
  <c r="Z38" i="11"/>
  <c r="Y38" i="11"/>
  <c r="X38" i="11"/>
  <c r="AY25" i="11"/>
  <c r="AX25" i="11"/>
  <c r="AW25" i="11"/>
  <c r="AV25" i="11"/>
  <c r="AU25" i="11"/>
  <c r="AT25" i="11"/>
  <c r="AS25" i="11"/>
  <c r="AR25" i="11"/>
  <c r="AQ25" i="11"/>
  <c r="AP25" i="11"/>
  <c r="AO25" i="11"/>
  <c r="AN25" i="11"/>
  <c r="AM25" i="11"/>
  <c r="AL25" i="11"/>
  <c r="AK25" i="11"/>
  <c r="AJ25" i="11"/>
  <c r="AI25" i="11"/>
  <c r="AH25" i="11"/>
  <c r="AG25" i="11"/>
  <c r="AF25" i="11"/>
  <c r="AE25" i="11"/>
  <c r="AD25" i="11"/>
  <c r="AC25" i="11"/>
  <c r="AB25" i="11"/>
  <c r="AA25" i="11"/>
  <c r="Z25" i="11"/>
  <c r="Y25" i="11"/>
  <c r="X25" i="11"/>
  <c r="W25" i="11"/>
  <c r="V25" i="11"/>
  <c r="U25" i="11"/>
  <c r="T25" i="11"/>
  <c r="AY20" i="11"/>
  <c r="AX20" i="11"/>
  <c r="AW20" i="11"/>
  <c r="AV20" i="11"/>
  <c r="AU20" i="11"/>
  <c r="AT20" i="11"/>
  <c r="AS20" i="11"/>
  <c r="AR20" i="11"/>
  <c r="AQ20" i="11"/>
  <c r="AP20" i="11"/>
  <c r="AO20" i="11"/>
  <c r="AN20" i="11"/>
  <c r="AM20" i="11"/>
  <c r="AL20" i="11"/>
  <c r="AK20" i="11"/>
  <c r="AJ20" i="11"/>
  <c r="AI20" i="11"/>
  <c r="AH20" i="11"/>
  <c r="AG20" i="11"/>
  <c r="AF20" i="11"/>
  <c r="AE20" i="11"/>
  <c r="AD20" i="11"/>
  <c r="AC20" i="11"/>
  <c r="AB20" i="11"/>
  <c r="AA20" i="11"/>
  <c r="Z20" i="11"/>
  <c r="Y20" i="11"/>
  <c r="X20" i="11"/>
  <c r="W20" i="11"/>
  <c r="V20" i="11"/>
  <c r="U20" i="11"/>
  <c r="T20" i="11"/>
  <c r="M20" i="11"/>
  <c r="AY15" i="11"/>
  <c r="AX15" i="11"/>
  <c r="AW15" i="11"/>
  <c r="AV15" i="11"/>
  <c r="AU15" i="11"/>
  <c r="AT15" i="11"/>
  <c r="AS15" i="11"/>
  <c r="AR15" i="11"/>
  <c r="AQ15" i="11"/>
  <c r="AP15" i="11"/>
  <c r="AO15" i="11"/>
  <c r="AN15" i="11"/>
  <c r="AM15" i="11"/>
  <c r="AL15" i="11"/>
  <c r="AK15" i="11"/>
  <c r="AJ15" i="11"/>
  <c r="AI15" i="11"/>
  <c r="AH15" i="11"/>
  <c r="AG15" i="11"/>
  <c r="AF15" i="11"/>
  <c r="AE15" i="11"/>
  <c r="AD15" i="11"/>
  <c r="AC15" i="11"/>
  <c r="AB15" i="11"/>
  <c r="AA15" i="11"/>
  <c r="Z15" i="11"/>
  <c r="Y15" i="11"/>
  <c r="X15" i="11"/>
  <c r="W15" i="11"/>
  <c r="V15" i="11"/>
  <c r="U15" i="11"/>
  <c r="AY14" i="11"/>
  <c r="AX14" i="11"/>
  <c r="AW14" i="11"/>
  <c r="AV14" i="11"/>
  <c r="AU14" i="11"/>
  <c r="AT14" i="11"/>
  <c r="AS14" i="11"/>
  <c r="AR14" i="11"/>
  <c r="AQ14" i="11"/>
  <c r="AP14" i="11"/>
  <c r="AO14" i="11"/>
  <c r="AN14" i="11"/>
  <c r="AM14" i="11"/>
  <c r="AL14" i="11"/>
  <c r="AK14" i="11"/>
  <c r="AJ14" i="11"/>
  <c r="AI14" i="11"/>
  <c r="AH14" i="11"/>
  <c r="AG14" i="11"/>
  <c r="AF14" i="11"/>
  <c r="AE14" i="11"/>
  <c r="AD14" i="11"/>
  <c r="AC14" i="11"/>
  <c r="AB14" i="11"/>
  <c r="AA14" i="11"/>
  <c r="Z14" i="11"/>
  <c r="Y14" i="11"/>
  <c r="X14" i="11"/>
  <c r="AY3" i="11"/>
  <c r="AX3" i="11"/>
  <c r="AW3" i="11"/>
  <c r="AV3" i="11"/>
  <c r="AU3" i="11"/>
  <c r="AT3" i="11"/>
  <c r="AS3" i="11"/>
  <c r="AR3" i="11"/>
  <c r="AQ3" i="11"/>
  <c r="AP3" i="11"/>
  <c r="AO3" i="11"/>
  <c r="AN3" i="11"/>
  <c r="AM3" i="11"/>
  <c r="AL3" i="11"/>
  <c r="AK3" i="11"/>
  <c r="AJ3" i="11"/>
  <c r="AI3" i="11"/>
  <c r="AH3" i="11"/>
  <c r="AG3" i="11"/>
  <c r="AF3" i="11"/>
  <c r="AE3" i="11"/>
  <c r="AD3" i="11"/>
  <c r="AC3" i="11"/>
  <c r="AB3" i="11"/>
  <c r="AA3" i="11"/>
  <c r="Z3" i="11"/>
  <c r="Y3" i="11"/>
  <c r="X3" i="11"/>
  <c r="W3" i="11"/>
  <c r="V3" i="11"/>
  <c r="U3" i="11"/>
  <c r="T3" i="11"/>
  <c r="T2" i="11"/>
  <c r="T32" i="11" s="1"/>
  <c r="AB22" i="1"/>
  <c r="AB23" i="1"/>
  <c r="K62" i="11"/>
  <c r="K68" i="11"/>
  <c r="H25" i="11"/>
  <c r="J14" i="11"/>
  <c r="AA131" i="5"/>
  <c r="AA141" i="5" s="1"/>
  <c r="AA133" i="5"/>
  <c r="Z133" i="5"/>
  <c r="H32" i="3"/>
  <c r="AA36" i="3"/>
  <c r="H36" i="3" s="1"/>
  <c r="AA48" i="4"/>
  <c r="AA77" i="2" s="1"/>
  <c r="X62" i="3"/>
  <c r="Y62" i="3"/>
  <c r="Z62" i="3"/>
  <c r="AB3" i="4"/>
  <c r="AB59" i="4" s="1"/>
  <c r="AA3" i="4"/>
  <c r="AA59" i="4" s="1"/>
  <c r="F427" i="9"/>
  <c r="F424" i="9"/>
  <c r="F419" i="9"/>
  <c r="G424" i="9"/>
  <c r="F363" i="9"/>
  <c r="F358" i="9"/>
  <c r="G363" i="9"/>
  <c r="F319" i="9"/>
  <c r="G319" i="9"/>
  <c r="F10" i="9"/>
  <c r="G10" i="9"/>
  <c r="D6" i="9"/>
  <c r="E6" i="9"/>
  <c r="F6" i="9"/>
  <c r="F11" i="9" s="1"/>
  <c r="F38" i="1"/>
  <c r="AY48" i="4"/>
  <c r="AY77" i="2" s="1"/>
  <c r="AX48" i="4"/>
  <c r="AW48" i="4"/>
  <c r="AW77" i="2" s="1"/>
  <c r="AV48" i="4"/>
  <c r="AV77" i="2" s="1"/>
  <c r="AU48" i="4"/>
  <c r="AU77" i="2" s="1"/>
  <c r="AT48" i="4"/>
  <c r="AS48" i="4"/>
  <c r="AS77" i="2" s="1"/>
  <c r="AR48" i="4"/>
  <c r="AR77" i="2" s="1"/>
  <c r="AQ48" i="4"/>
  <c r="AQ77" i="2" s="1"/>
  <c r="AP48" i="4"/>
  <c r="AP77" i="2" s="1"/>
  <c r="U48" i="4"/>
  <c r="V48" i="4"/>
  <c r="W48" i="4"/>
  <c r="X48" i="4"/>
  <c r="X77" i="2" s="1"/>
  <c r="Y48" i="4"/>
  <c r="Z48" i="4"/>
  <c r="Z77" i="2" s="1"/>
  <c r="T48" i="4"/>
  <c r="E48" i="4"/>
  <c r="F48" i="4"/>
  <c r="D48" i="4"/>
  <c r="E42" i="4"/>
  <c r="F42" i="4"/>
  <c r="D42" i="4"/>
  <c r="D43" i="4"/>
  <c r="E43" i="4"/>
  <c r="F43" i="4"/>
  <c r="D45" i="4"/>
  <c r="E45" i="4"/>
  <c r="F45" i="4"/>
  <c r="D47" i="4"/>
  <c r="E47" i="4"/>
  <c r="F47" i="4"/>
  <c r="F23" i="4"/>
  <c r="G22" i="4"/>
  <c r="H22" i="4"/>
  <c r="F5" i="4"/>
  <c r="E5" i="4"/>
  <c r="E10" i="4" s="1"/>
  <c r="D5" i="4"/>
  <c r="D19" i="4" s="1"/>
  <c r="D25" i="4" s="1"/>
  <c r="E36" i="1"/>
  <c r="F36" i="1"/>
  <c r="F3" i="6"/>
  <c r="F56" i="6" s="1"/>
  <c r="F2" i="6"/>
  <c r="E3" i="6"/>
  <c r="E56" i="6" s="1"/>
  <c r="E2" i="6"/>
  <c r="D3" i="6"/>
  <c r="D2" i="6"/>
  <c r="D3" i="7"/>
  <c r="D2" i="7"/>
  <c r="G3" i="7"/>
  <c r="G2" i="7"/>
  <c r="F3" i="7"/>
  <c r="F2" i="7"/>
  <c r="E3" i="7"/>
  <c r="E2" i="7"/>
  <c r="F3" i="9"/>
  <c r="F2" i="9"/>
  <c r="E3" i="9"/>
  <c r="E2" i="9"/>
  <c r="D3" i="9"/>
  <c r="D2" i="9"/>
  <c r="F3" i="5"/>
  <c r="F2" i="5"/>
  <c r="E3" i="5"/>
  <c r="E2" i="5"/>
  <c r="D3" i="5"/>
  <c r="D2" i="5"/>
  <c r="F3" i="2"/>
  <c r="F2" i="2"/>
  <c r="E3" i="2"/>
  <c r="E2" i="2"/>
  <c r="D3" i="2"/>
  <c r="D2" i="2"/>
  <c r="F3" i="3"/>
  <c r="F2" i="3"/>
  <c r="E3" i="3"/>
  <c r="E2" i="3"/>
  <c r="D3" i="3"/>
  <c r="D2" i="3"/>
  <c r="F3" i="4"/>
  <c r="F59" i="4" s="1"/>
  <c r="F2" i="4"/>
  <c r="F58" i="4" s="1"/>
  <c r="E3" i="4"/>
  <c r="E59" i="4" s="1"/>
  <c r="E2" i="4"/>
  <c r="E58" i="4" s="1"/>
  <c r="D3" i="4"/>
  <c r="D59" i="4" s="1"/>
  <c r="D2" i="4"/>
  <c r="D58" i="4" s="1"/>
  <c r="G419" i="9"/>
  <c r="G358" i="9"/>
  <c r="AH46" i="7"/>
  <c r="AP78" i="3"/>
  <c r="AQ78" i="3"/>
  <c r="AR78" i="3"/>
  <c r="AS78" i="3"/>
  <c r="AT78" i="3"/>
  <c r="AU78" i="3"/>
  <c r="AV78" i="3"/>
  <c r="AW78" i="3"/>
  <c r="AX78" i="3"/>
  <c r="AY78" i="3"/>
  <c r="AA48" i="2"/>
  <c r="H48" i="2" s="1"/>
  <c r="AA47" i="2"/>
  <c r="H47" i="2" s="1"/>
  <c r="AA40" i="2"/>
  <c r="AA41" i="2"/>
  <c r="AA38" i="2"/>
  <c r="AA43" i="2"/>
  <c r="H43" i="2" s="1"/>
  <c r="AA42" i="2"/>
  <c r="H42" i="2" s="1"/>
  <c r="AA20" i="2"/>
  <c r="AA34" i="2"/>
  <c r="AA33" i="2"/>
  <c r="AA69" i="3" s="1"/>
  <c r="AA27" i="2"/>
  <c r="H27" i="2" s="1"/>
  <c r="AA26" i="2"/>
  <c r="AA24" i="2"/>
  <c r="AA23" i="2"/>
  <c r="AA22" i="2"/>
  <c r="H22" i="2" s="1"/>
  <c r="AA21" i="2"/>
  <c r="AA14" i="2"/>
  <c r="AA15" i="2"/>
  <c r="H15" i="2" s="1"/>
  <c r="AA17" i="2"/>
  <c r="H17" i="2" s="1"/>
  <c r="AA13" i="2"/>
  <c r="AA12" i="2"/>
  <c r="AA79" i="2" s="1"/>
  <c r="H79" i="2" s="1"/>
  <c r="AA11" i="2"/>
  <c r="AA10" i="2"/>
  <c r="H10" i="2" s="1"/>
  <c r="AA7" i="2"/>
  <c r="AA6" i="2"/>
  <c r="AA8" i="2" s="1"/>
  <c r="AA43" i="4"/>
  <c r="G35" i="1"/>
  <c r="G6" i="9" s="1"/>
  <c r="AA427" i="9"/>
  <c r="Z427" i="9"/>
  <c r="Y427" i="9"/>
  <c r="AA366" i="9"/>
  <c r="Z366" i="9"/>
  <c r="Y366" i="9"/>
  <c r="AA424" i="9"/>
  <c r="Z424" i="9"/>
  <c r="Y424" i="9"/>
  <c r="AA419" i="9"/>
  <c r="Z419" i="9"/>
  <c r="Y419" i="9"/>
  <c r="H424" i="9"/>
  <c r="AA363" i="9"/>
  <c r="Z363" i="9"/>
  <c r="AA358" i="9"/>
  <c r="Z358" i="9"/>
  <c r="Z367" i="9" s="1"/>
  <c r="Y358" i="9"/>
  <c r="H363" i="9"/>
  <c r="AA10" i="9"/>
  <c r="Z10" i="9"/>
  <c r="Y10" i="9"/>
  <c r="X10" i="9"/>
  <c r="W10" i="9"/>
  <c r="V10" i="9"/>
  <c r="U10" i="9"/>
  <c r="Z319" i="9"/>
  <c r="Y319" i="9"/>
  <c r="X319" i="9"/>
  <c r="W319" i="9"/>
  <c r="V319" i="9"/>
  <c r="U319" i="9"/>
  <c r="H13" i="1"/>
  <c r="H12" i="1"/>
  <c r="H7" i="1"/>
  <c r="U6" i="9"/>
  <c r="U320" i="9" s="1"/>
  <c r="U321" i="9" s="1"/>
  <c r="V6" i="9"/>
  <c r="V320" i="9" s="1"/>
  <c r="W6" i="9"/>
  <c r="X6" i="9"/>
  <c r="X320" i="9" s="1"/>
  <c r="Y6" i="9"/>
  <c r="Y320" i="9" s="1"/>
  <c r="Y321" i="9" s="1"/>
  <c r="Z6" i="9"/>
  <c r="Z320" i="9" s="1"/>
  <c r="AA6" i="9"/>
  <c r="AA320" i="9" s="1"/>
  <c r="T6" i="9"/>
  <c r="AY3" i="9"/>
  <c r="AX3" i="9"/>
  <c r="AW3" i="9"/>
  <c r="AV3" i="9"/>
  <c r="AU3" i="9"/>
  <c r="AT3" i="9"/>
  <c r="AS3" i="9"/>
  <c r="AR3" i="9"/>
  <c r="AQ3" i="9"/>
  <c r="AP3" i="9"/>
  <c r="AO3" i="9"/>
  <c r="AN3" i="9"/>
  <c r="AM3" i="9"/>
  <c r="AL3" i="9"/>
  <c r="AK3" i="9"/>
  <c r="AJ3" i="9"/>
  <c r="AI3" i="9"/>
  <c r="AH3" i="9"/>
  <c r="AG3" i="9"/>
  <c r="AF3" i="9"/>
  <c r="AE3" i="9"/>
  <c r="AD3" i="9"/>
  <c r="AC3" i="9"/>
  <c r="AB3" i="9"/>
  <c r="AA3" i="9"/>
  <c r="Z3" i="9"/>
  <c r="Y3" i="9"/>
  <c r="X3" i="9"/>
  <c r="W3" i="9"/>
  <c r="V3" i="9"/>
  <c r="U3" i="9"/>
  <c r="T3" i="9"/>
  <c r="G3" i="9"/>
  <c r="T2" i="9"/>
  <c r="G2" i="9"/>
  <c r="H142" i="4"/>
  <c r="I142" i="4"/>
  <c r="AA136" i="4"/>
  <c r="H136" i="4" s="1"/>
  <c r="H35" i="7"/>
  <c r="AA88" i="3"/>
  <c r="H88" i="3" s="1"/>
  <c r="AA5" i="3"/>
  <c r="AA140" i="5" s="1"/>
  <c r="AA109" i="3"/>
  <c r="AA108" i="3"/>
  <c r="H108" i="3" s="1"/>
  <c r="AA91" i="3"/>
  <c r="AA105" i="3" s="1"/>
  <c r="AA52" i="3"/>
  <c r="AA51" i="3"/>
  <c r="AA54" i="3" s="1"/>
  <c r="AA29" i="3"/>
  <c r="AA124" i="5"/>
  <c r="AA68" i="5"/>
  <c r="AA60" i="5"/>
  <c r="AA138" i="5"/>
  <c r="AA132" i="5"/>
  <c r="AA51" i="2"/>
  <c r="AA47" i="4"/>
  <c r="AA45" i="4"/>
  <c r="AA5" i="4"/>
  <c r="AA90" i="1"/>
  <c r="AA44" i="1"/>
  <c r="AA33" i="1"/>
  <c r="AA31" i="1"/>
  <c r="AA27" i="1"/>
  <c r="AA26" i="1"/>
  <c r="AA20" i="1"/>
  <c r="AA23" i="1" s="1"/>
  <c r="AA17" i="1"/>
  <c r="AA16" i="1"/>
  <c r="AA8" i="1"/>
  <c r="T5" i="4"/>
  <c r="T11" i="19" s="1"/>
  <c r="G3" i="5"/>
  <c r="G2" i="5"/>
  <c r="N72" i="6"/>
  <c r="M72" i="6"/>
  <c r="L72" i="6"/>
  <c r="L73" i="6" s="1"/>
  <c r="K72" i="6"/>
  <c r="J72" i="6"/>
  <c r="I72" i="6"/>
  <c r="H72" i="6"/>
  <c r="G72" i="6"/>
  <c r="N67" i="6"/>
  <c r="M67" i="6"/>
  <c r="L67" i="6"/>
  <c r="K67" i="6"/>
  <c r="J67" i="6"/>
  <c r="I67" i="6"/>
  <c r="H67" i="6"/>
  <c r="H68" i="6" s="1"/>
  <c r="G67" i="6"/>
  <c r="N61" i="6"/>
  <c r="N62" i="6" s="1"/>
  <c r="M61" i="6"/>
  <c r="L61" i="6"/>
  <c r="L68" i="6" s="1"/>
  <c r="K61" i="6"/>
  <c r="K73" i="6" s="1"/>
  <c r="J61" i="6"/>
  <c r="I61" i="6"/>
  <c r="H61" i="6"/>
  <c r="H73" i="6" s="1"/>
  <c r="G61" i="6"/>
  <c r="G68" i="6" s="1"/>
  <c r="N48" i="6"/>
  <c r="M48" i="6"/>
  <c r="L48" i="6"/>
  <c r="K48" i="6"/>
  <c r="J48" i="6"/>
  <c r="I48" i="6"/>
  <c r="H48" i="6"/>
  <c r="G48" i="6"/>
  <c r="N43" i="6"/>
  <c r="M43" i="6"/>
  <c r="L43" i="6"/>
  <c r="K43" i="6"/>
  <c r="J43" i="6"/>
  <c r="I43" i="6"/>
  <c r="H43" i="6"/>
  <c r="G43" i="6"/>
  <c r="N37" i="6"/>
  <c r="N38" i="6" s="1"/>
  <c r="M37" i="6"/>
  <c r="L37" i="6"/>
  <c r="M38" i="6" s="1"/>
  <c r="K37" i="6"/>
  <c r="J37" i="6"/>
  <c r="J38" i="6" s="1"/>
  <c r="I37" i="6"/>
  <c r="H37" i="6"/>
  <c r="G37" i="6"/>
  <c r="H13" i="6"/>
  <c r="I13" i="6"/>
  <c r="J13" i="6"/>
  <c r="K13" i="6"/>
  <c r="L13" i="6"/>
  <c r="M13" i="6"/>
  <c r="N13" i="6"/>
  <c r="H19" i="6"/>
  <c r="I19" i="6"/>
  <c r="I20" i="6" s="1"/>
  <c r="J19" i="6"/>
  <c r="J20" i="6"/>
  <c r="K19" i="6"/>
  <c r="L19" i="6"/>
  <c r="L20" i="6" s="1"/>
  <c r="M19" i="6"/>
  <c r="N19" i="6"/>
  <c r="H24" i="6"/>
  <c r="I24" i="6"/>
  <c r="J24" i="6"/>
  <c r="K24" i="6"/>
  <c r="L24" i="6"/>
  <c r="M24" i="6"/>
  <c r="N24" i="6"/>
  <c r="G24" i="6"/>
  <c r="G19" i="6"/>
  <c r="G13" i="6"/>
  <c r="G3" i="6"/>
  <c r="G8" i="6" s="1"/>
  <c r="G2" i="6"/>
  <c r="H13" i="2"/>
  <c r="K13" i="2"/>
  <c r="L13" i="2"/>
  <c r="M13" i="2"/>
  <c r="N13" i="2"/>
  <c r="H14" i="2"/>
  <c r="K14" i="2"/>
  <c r="L14" i="2"/>
  <c r="M14" i="2"/>
  <c r="N14" i="2"/>
  <c r="K34" i="2"/>
  <c r="L34" i="2"/>
  <c r="M34" i="2"/>
  <c r="N34" i="2"/>
  <c r="I42" i="2"/>
  <c r="J42" i="2"/>
  <c r="K42" i="2"/>
  <c r="L42" i="2"/>
  <c r="M42" i="2"/>
  <c r="N42" i="2"/>
  <c r="K43" i="2"/>
  <c r="L43" i="2"/>
  <c r="M43" i="2"/>
  <c r="N43" i="2"/>
  <c r="I47" i="2"/>
  <c r="J47" i="2"/>
  <c r="K47" i="2"/>
  <c r="L47" i="2"/>
  <c r="M47" i="2"/>
  <c r="N47" i="2"/>
  <c r="K48" i="2"/>
  <c r="L48" i="2"/>
  <c r="M48" i="2"/>
  <c r="N48" i="2"/>
  <c r="G53" i="2"/>
  <c r="G48" i="2"/>
  <c r="G47" i="2"/>
  <c r="G43" i="2"/>
  <c r="G42" i="2"/>
  <c r="G41" i="2"/>
  <c r="G40" i="2"/>
  <c r="G39" i="2"/>
  <c r="G38" i="2"/>
  <c r="G34" i="2"/>
  <c r="G33" i="2"/>
  <c r="G27" i="2"/>
  <c r="G26" i="2"/>
  <c r="G25" i="2"/>
  <c r="G24" i="2"/>
  <c r="G23" i="2"/>
  <c r="G22" i="2"/>
  <c r="G21" i="2"/>
  <c r="G20" i="2"/>
  <c r="G18" i="2"/>
  <c r="G17" i="2"/>
  <c r="G15" i="2"/>
  <c r="G14" i="2"/>
  <c r="G13" i="2"/>
  <c r="G12" i="2"/>
  <c r="G11" i="2"/>
  <c r="G3" i="2"/>
  <c r="G2" i="2"/>
  <c r="I103" i="3"/>
  <c r="H7" i="3"/>
  <c r="I7" i="3"/>
  <c r="J7" i="3"/>
  <c r="K7" i="3"/>
  <c r="L7" i="3"/>
  <c r="M7" i="3"/>
  <c r="N7" i="3"/>
  <c r="H10" i="3"/>
  <c r="I10" i="3"/>
  <c r="J10" i="3"/>
  <c r="H17" i="3"/>
  <c r="I17" i="3"/>
  <c r="J17" i="3"/>
  <c r="K17" i="3"/>
  <c r="L17" i="3"/>
  <c r="M17" i="3"/>
  <c r="N17" i="3"/>
  <c r="H23" i="3"/>
  <c r="I23" i="3"/>
  <c r="J23" i="3"/>
  <c r="K23" i="3"/>
  <c r="L23" i="3"/>
  <c r="M23" i="3"/>
  <c r="N23" i="3"/>
  <c r="H25" i="3"/>
  <c r="I25" i="3"/>
  <c r="J25" i="3"/>
  <c r="K25" i="3"/>
  <c r="L25" i="3"/>
  <c r="M25" i="3"/>
  <c r="N25" i="3"/>
  <c r="H28" i="3"/>
  <c r="I28" i="3"/>
  <c r="H39" i="3"/>
  <c r="H103" i="3"/>
  <c r="G87" i="3"/>
  <c r="G86" i="3"/>
  <c r="G103" i="3"/>
  <c r="N13" i="4"/>
  <c r="N14" i="4"/>
  <c r="N22" i="4"/>
  <c r="N32" i="4"/>
  <c r="N44" i="4"/>
  <c r="N46" i="4"/>
  <c r="N49" i="4"/>
  <c r="H3" i="1"/>
  <c r="H3" i="2" s="1"/>
  <c r="G62" i="3"/>
  <c r="G43" i="3"/>
  <c r="G42" i="3"/>
  <c r="G41" i="3"/>
  <c r="G40" i="3"/>
  <c r="G39" i="3"/>
  <c r="G36" i="3"/>
  <c r="G35" i="3"/>
  <c r="G34" i="3"/>
  <c r="G33" i="3"/>
  <c r="G31" i="3"/>
  <c r="G28" i="3"/>
  <c r="G27" i="3"/>
  <c r="G26" i="3"/>
  <c r="G25" i="3"/>
  <c r="G24" i="3"/>
  <c r="G23" i="3"/>
  <c r="G22" i="3"/>
  <c r="G21" i="3"/>
  <c r="G18" i="3"/>
  <c r="G17" i="3"/>
  <c r="G16" i="3"/>
  <c r="G15" i="3"/>
  <c r="G14" i="3"/>
  <c r="G13" i="3"/>
  <c r="G6" i="3"/>
  <c r="G7" i="3"/>
  <c r="G8" i="3"/>
  <c r="G9" i="3"/>
  <c r="G10" i="3"/>
  <c r="G5" i="3"/>
  <c r="G140" i="5" s="1"/>
  <c r="G3" i="3"/>
  <c r="G2" i="3"/>
  <c r="H13" i="4"/>
  <c r="I13" i="4"/>
  <c r="J13" i="4"/>
  <c r="K13" i="4"/>
  <c r="L13" i="4"/>
  <c r="M13" i="4"/>
  <c r="H14" i="4"/>
  <c r="I14" i="4"/>
  <c r="J14" i="4"/>
  <c r="K14" i="4"/>
  <c r="L14" i="4"/>
  <c r="M14" i="4"/>
  <c r="J22" i="4"/>
  <c r="K22" i="4"/>
  <c r="L22" i="4"/>
  <c r="M22" i="4"/>
  <c r="H32" i="4"/>
  <c r="I32" i="4"/>
  <c r="J32" i="4"/>
  <c r="K32" i="4"/>
  <c r="L32" i="4"/>
  <c r="M32" i="4"/>
  <c r="H44" i="4"/>
  <c r="I44" i="4"/>
  <c r="J44" i="4"/>
  <c r="K44" i="4"/>
  <c r="L44" i="4"/>
  <c r="M44" i="4"/>
  <c r="H46" i="4"/>
  <c r="I46" i="4"/>
  <c r="J46" i="4"/>
  <c r="K46" i="4"/>
  <c r="L46" i="4"/>
  <c r="M46" i="4"/>
  <c r="H49" i="4"/>
  <c r="I49" i="4"/>
  <c r="K49" i="4"/>
  <c r="L49" i="4"/>
  <c r="M49" i="4"/>
  <c r="G427" i="9"/>
  <c r="G49" i="4"/>
  <c r="G46" i="4"/>
  <c r="G44" i="4"/>
  <c r="G32" i="4"/>
  <c r="G27" i="4"/>
  <c r="G23" i="4"/>
  <c r="G21" i="4"/>
  <c r="G138" i="5" s="1"/>
  <c r="G17" i="4"/>
  <c r="G16" i="4"/>
  <c r="G15" i="4"/>
  <c r="G14" i="4"/>
  <c r="G13" i="4"/>
  <c r="G11" i="4"/>
  <c r="G9" i="4"/>
  <c r="G2" i="4"/>
  <c r="G58" i="4" s="1"/>
  <c r="G3" i="4"/>
  <c r="G59" i="4" s="1"/>
  <c r="H2" i="1"/>
  <c r="H2" i="5" s="1"/>
  <c r="AP3" i="6"/>
  <c r="AP56" i="6" s="1"/>
  <c r="AQ3" i="6"/>
  <c r="AQ8" i="6" s="1"/>
  <c r="AR3" i="6"/>
  <c r="AR8" i="6" s="1"/>
  <c r="AS3" i="6"/>
  <c r="AS32" i="6" s="1"/>
  <c r="AT3" i="6"/>
  <c r="AT32" i="6" s="1"/>
  <c r="AU3" i="6"/>
  <c r="AU8" i="6" s="1"/>
  <c r="AV3" i="6"/>
  <c r="AV32" i="6" s="1"/>
  <c r="AW3" i="6"/>
  <c r="AX3" i="6"/>
  <c r="AX32" i="6" s="1"/>
  <c r="AY3" i="6"/>
  <c r="AY8" i="6" s="1"/>
  <c r="AP14" i="6"/>
  <c r="AQ14" i="6"/>
  <c r="AR14" i="6"/>
  <c r="AS14" i="6"/>
  <c r="AT14" i="6"/>
  <c r="AU14" i="6"/>
  <c r="AV14" i="6"/>
  <c r="AW14" i="6"/>
  <c r="AX14" i="6"/>
  <c r="AY14" i="6"/>
  <c r="AP15" i="6"/>
  <c r="AQ15" i="6"/>
  <c r="AR15" i="6"/>
  <c r="AS15" i="6"/>
  <c r="AT15" i="6"/>
  <c r="AU15" i="6"/>
  <c r="AV15" i="6"/>
  <c r="AW15" i="6"/>
  <c r="AX15" i="6"/>
  <c r="AY15" i="6"/>
  <c r="AP20" i="6"/>
  <c r="AQ20" i="6"/>
  <c r="AR20" i="6"/>
  <c r="AS20" i="6"/>
  <c r="AT20" i="6"/>
  <c r="AU20" i="6"/>
  <c r="AV20" i="6"/>
  <c r="AW20" i="6"/>
  <c r="AX20" i="6"/>
  <c r="AY20" i="6"/>
  <c r="AP25" i="6"/>
  <c r="AQ25" i="6"/>
  <c r="AR25" i="6"/>
  <c r="AS25" i="6"/>
  <c r="AT25" i="6"/>
  <c r="AU25" i="6"/>
  <c r="AV25" i="6"/>
  <c r="AW25" i="6"/>
  <c r="AX25" i="6"/>
  <c r="AY25" i="6"/>
  <c r="AP38" i="6"/>
  <c r="AQ38" i="6"/>
  <c r="AR38" i="6"/>
  <c r="AS38" i="6"/>
  <c r="AT38" i="6"/>
  <c r="AU38" i="6"/>
  <c r="AV38" i="6"/>
  <c r="AW38" i="6"/>
  <c r="AX38" i="6"/>
  <c r="AY38" i="6"/>
  <c r="AP39" i="6"/>
  <c r="AQ39" i="6"/>
  <c r="AR39" i="6"/>
  <c r="AS39" i="6"/>
  <c r="AT39" i="6"/>
  <c r="AU39" i="6"/>
  <c r="AV39" i="6"/>
  <c r="AW39" i="6"/>
  <c r="AX39" i="6"/>
  <c r="AY39" i="6"/>
  <c r="AP44" i="6"/>
  <c r="AQ44" i="6"/>
  <c r="AR44" i="6"/>
  <c r="AS44" i="6"/>
  <c r="AT44" i="6"/>
  <c r="AU44" i="6"/>
  <c r="AV44" i="6"/>
  <c r="AW44" i="6"/>
  <c r="AX44" i="6"/>
  <c r="AY44" i="6"/>
  <c r="AP49" i="6"/>
  <c r="AQ49" i="6"/>
  <c r="AR49" i="6"/>
  <c r="AS49" i="6"/>
  <c r="AT49" i="6"/>
  <c r="AU49" i="6"/>
  <c r="AV49" i="6"/>
  <c r="AW49" i="6"/>
  <c r="AX49" i="6"/>
  <c r="AY49" i="6"/>
  <c r="AP62" i="6"/>
  <c r="AQ62" i="6"/>
  <c r="AR62" i="6"/>
  <c r="AS62" i="6"/>
  <c r="AT62" i="6"/>
  <c r="AU62" i="6"/>
  <c r="AV62" i="6"/>
  <c r="AW62" i="6"/>
  <c r="AX62" i="6"/>
  <c r="AY62" i="6"/>
  <c r="AP63" i="6"/>
  <c r="AQ63" i="6"/>
  <c r="AR63" i="6"/>
  <c r="AS63" i="6"/>
  <c r="AT63" i="6"/>
  <c r="AU63" i="6"/>
  <c r="AV63" i="6"/>
  <c r="AW63" i="6"/>
  <c r="AX63" i="6"/>
  <c r="AY63" i="6"/>
  <c r="AP68" i="6"/>
  <c r="AQ68" i="6"/>
  <c r="AR68" i="6"/>
  <c r="AS68" i="6"/>
  <c r="AT68" i="6"/>
  <c r="AU68" i="6"/>
  <c r="AV68" i="6"/>
  <c r="AW68" i="6"/>
  <c r="AX68" i="6"/>
  <c r="AY68" i="6"/>
  <c r="AP73" i="6"/>
  <c r="AQ73" i="6"/>
  <c r="AR73" i="6"/>
  <c r="AS73" i="6"/>
  <c r="AT73" i="6"/>
  <c r="AU73" i="6"/>
  <c r="AV73" i="6"/>
  <c r="AW73" i="6"/>
  <c r="AX73" i="6"/>
  <c r="AY73" i="6"/>
  <c r="I2" i="1"/>
  <c r="I2" i="4" s="1"/>
  <c r="I58" i="4" s="1"/>
  <c r="H2" i="9"/>
  <c r="H2" i="7"/>
  <c r="L44" i="6"/>
  <c r="M44" i="6"/>
  <c r="M20" i="6"/>
  <c r="M14" i="6"/>
  <c r="H14" i="6"/>
  <c r="I44" i="6"/>
  <c r="K68" i="6"/>
  <c r="I25" i="6"/>
  <c r="M25" i="6"/>
  <c r="I49" i="6"/>
  <c r="M49" i="6"/>
  <c r="M73" i="6"/>
  <c r="J49" i="6"/>
  <c r="H2" i="3"/>
  <c r="H2" i="4"/>
  <c r="H58" i="4" s="1"/>
  <c r="J3" i="3"/>
  <c r="I3" i="4"/>
  <c r="I59" i="4" s="1"/>
  <c r="I3" i="3"/>
  <c r="J3" i="9"/>
  <c r="J3" i="7"/>
  <c r="J3" i="5"/>
  <c r="J3" i="6"/>
  <c r="J32" i="6" s="1"/>
  <c r="J3" i="2"/>
  <c r="J70" i="2" s="1"/>
  <c r="I3" i="9"/>
  <c r="I3" i="7"/>
  <c r="I3" i="2"/>
  <c r="I3" i="5"/>
  <c r="I3" i="6"/>
  <c r="I56" i="6" s="1"/>
  <c r="J3" i="4"/>
  <c r="K3" i="3"/>
  <c r="K3" i="4"/>
  <c r="L3" i="9"/>
  <c r="L3" i="7"/>
  <c r="L3" i="2"/>
  <c r="L70" i="2" s="1"/>
  <c r="L3" i="5"/>
  <c r="L3" i="6"/>
  <c r="K3" i="9"/>
  <c r="K3" i="7"/>
  <c r="K3" i="2"/>
  <c r="K70" i="2" s="1"/>
  <c r="K3" i="5"/>
  <c r="K3" i="6"/>
  <c r="K8" i="6" s="1"/>
  <c r="L3" i="4"/>
  <c r="L3" i="3"/>
  <c r="M3" i="9"/>
  <c r="M3" i="7"/>
  <c r="M3" i="2"/>
  <c r="M70" i="2" s="1"/>
  <c r="M3" i="5"/>
  <c r="M3" i="6"/>
  <c r="M32" i="6" s="1"/>
  <c r="M3" i="3"/>
  <c r="M3" i="4"/>
  <c r="N3" i="9"/>
  <c r="N3" i="7"/>
  <c r="N3" i="5"/>
  <c r="N3" i="6"/>
  <c r="N56" i="6" s="1"/>
  <c r="N3" i="3"/>
  <c r="N3" i="4"/>
  <c r="N59" i="4" s="1"/>
  <c r="N3" i="2"/>
  <c r="Z5" i="4"/>
  <c r="AO73" i="6"/>
  <c r="AN73" i="6"/>
  <c r="AM73" i="6"/>
  <c r="AL73" i="6"/>
  <c r="AK73" i="6"/>
  <c r="AJ73" i="6"/>
  <c r="AI73" i="6"/>
  <c r="AH73" i="6"/>
  <c r="AG73" i="6"/>
  <c r="AF73" i="6"/>
  <c r="AE73" i="6"/>
  <c r="AD73" i="6"/>
  <c r="AC73" i="6"/>
  <c r="AB73" i="6"/>
  <c r="AA73" i="6"/>
  <c r="Z73" i="6"/>
  <c r="Y73" i="6"/>
  <c r="X73" i="6"/>
  <c r="W73" i="6"/>
  <c r="V73" i="6"/>
  <c r="U73" i="6"/>
  <c r="T73" i="6"/>
  <c r="AO68" i="6"/>
  <c r="AN68" i="6"/>
  <c r="AM68" i="6"/>
  <c r="AL68" i="6"/>
  <c r="AK68" i="6"/>
  <c r="AJ68" i="6"/>
  <c r="AI68" i="6"/>
  <c r="AH68" i="6"/>
  <c r="AG68" i="6"/>
  <c r="AF68" i="6"/>
  <c r="AE68" i="6"/>
  <c r="AD68" i="6"/>
  <c r="AC68" i="6"/>
  <c r="AB68" i="6"/>
  <c r="AA68" i="6"/>
  <c r="Z68" i="6"/>
  <c r="Y68" i="6"/>
  <c r="X68" i="6"/>
  <c r="W68" i="6"/>
  <c r="V68" i="6"/>
  <c r="U68" i="6"/>
  <c r="T68" i="6"/>
  <c r="AO63" i="6"/>
  <c r="AN63" i="6"/>
  <c r="AM63" i="6"/>
  <c r="AL63" i="6"/>
  <c r="AK63" i="6"/>
  <c r="AJ63" i="6"/>
  <c r="AI63" i="6"/>
  <c r="AH63" i="6"/>
  <c r="AG63" i="6"/>
  <c r="AF63" i="6"/>
  <c r="AE63" i="6"/>
  <c r="AD63" i="6"/>
  <c r="AC63" i="6"/>
  <c r="AB63" i="6"/>
  <c r="AA63" i="6"/>
  <c r="Z63" i="6"/>
  <c r="Y63" i="6"/>
  <c r="X63" i="6"/>
  <c r="W63" i="6"/>
  <c r="V63" i="6"/>
  <c r="U63" i="6"/>
  <c r="AO62" i="6"/>
  <c r="AN62" i="6"/>
  <c r="AM62" i="6"/>
  <c r="AL62" i="6"/>
  <c r="AK62" i="6"/>
  <c r="AJ62" i="6"/>
  <c r="AI62" i="6"/>
  <c r="AH62" i="6"/>
  <c r="AG62" i="6"/>
  <c r="AF62" i="6"/>
  <c r="AE62" i="6"/>
  <c r="AD62" i="6"/>
  <c r="AC62" i="6"/>
  <c r="AB62" i="6"/>
  <c r="AA62" i="6"/>
  <c r="Z62" i="6"/>
  <c r="Y62" i="6"/>
  <c r="X62" i="6"/>
  <c r="AO49" i="6"/>
  <c r="AN49" i="6"/>
  <c r="AM49" i="6"/>
  <c r="AL49" i="6"/>
  <c r="AK49" i="6"/>
  <c r="AJ49" i="6"/>
  <c r="AI49" i="6"/>
  <c r="AH49" i="6"/>
  <c r="AG49" i="6"/>
  <c r="AF49" i="6"/>
  <c r="AE49" i="6"/>
  <c r="AD49" i="6"/>
  <c r="AC49" i="6"/>
  <c r="AB49" i="6"/>
  <c r="AA49" i="6"/>
  <c r="Z49" i="6"/>
  <c r="Y49" i="6"/>
  <c r="X49" i="6"/>
  <c r="W49" i="6"/>
  <c r="V49" i="6"/>
  <c r="U49" i="6"/>
  <c r="T49" i="6"/>
  <c r="AO44" i="6"/>
  <c r="AN44" i="6"/>
  <c r="AM44" i="6"/>
  <c r="AL44" i="6"/>
  <c r="AK44" i="6"/>
  <c r="AJ44" i="6"/>
  <c r="AI44" i="6"/>
  <c r="AH44" i="6"/>
  <c r="AG44" i="6"/>
  <c r="AF44" i="6"/>
  <c r="AE44" i="6"/>
  <c r="AD44" i="6"/>
  <c r="AC44" i="6"/>
  <c r="AB44" i="6"/>
  <c r="AA44" i="6"/>
  <c r="Z44" i="6"/>
  <c r="Y44" i="6"/>
  <c r="X44" i="6"/>
  <c r="W44" i="6"/>
  <c r="V44" i="6"/>
  <c r="U44" i="6"/>
  <c r="T44" i="6"/>
  <c r="AO39" i="6"/>
  <c r="AN39" i="6"/>
  <c r="AM39" i="6"/>
  <c r="AL39" i="6"/>
  <c r="AK39" i="6"/>
  <c r="AJ39" i="6"/>
  <c r="AI39" i="6"/>
  <c r="AH39" i="6"/>
  <c r="AG39" i="6"/>
  <c r="AF39" i="6"/>
  <c r="AE39" i="6"/>
  <c r="AD39" i="6"/>
  <c r="AC39" i="6"/>
  <c r="AB39" i="6"/>
  <c r="AA39" i="6"/>
  <c r="Z39" i="6"/>
  <c r="Y39" i="6"/>
  <c r="X39" i="6"/>
  <c r="W39" i="6"/>
  <c r="V39" i="6"/>
  <c r="U39" i="6"/>
  <c r="AO38" i="6"/>
  <c r="AN38" i="6"/>
  <c r="AM38" i="6"/>
  <c r="AL38" i="6"/>
  <c r="AK38" i="6"/>
  <c r="AJ38" i="6"/>
  <c r="AI38" i="6"/>
  <c r="AH38" i="6"/>
  <c r="AG38" i="6"/>
  <c r="AF38" i="6"/>
  <c r="AE38" i="6"/>
  <c r="AD38" i="6"/>
  <c r="AC38" i="6"/>
  <c r="AB38" i="6"/>
  <c r="AA38" i="6"/>
  <c r="Z38" i="6"/>
  <c r="Y38" i="6"/>
  <c r="X38" i="6"/>
  <c r="C51" i="7"/>
  <c r="C15" i="7"/>
  <c r="C26" i="7" s="1"/>
  <c r="H141" i="4" s="1"/>
  <c r="AH42" i="7"/>
  <c r="T29" i="7"/>
  <c r="U29" i="7"/>
  <c r="U37" i="7" s="1"/>
  <c r="V29" i="7"/>
  <c r="V37" i="7" s="1"/>
  <c r="W29" i="7"/>
  <c r="W37" i="7" s="1"/>
  <c r="X29" i="7"/>
  <c r="X30" i="7" s="1"/>
  <c r="Y29" i="7"/>
  <c r="Z29" i="7"/>
  <c r="Z30" i="7" s="1"/>
  <c r="T2" i="7"/>
  <c r="T3" i="7"/>
  <c r="U3" i="7"/>
  <c r="V3" i="7"/>
  <c r="W3" i="7"/>
  <c r="X3" i="7"/>
  <c r="Y3" i="7"/>
  <c r="Z3" i="7"/>
  <c r="AA3" i="7"/>
  <c r="AB3" i="7"/>
  <c r="AC3" i="7"/>
  <c r="AD3" i="7"/>
  <c r="AE3" i="7"/>
  <c r="AF3" i="7"/>
  <c r="AG3" i="7"/>
  <c r="AH3" i="7"/>
  <c r="AI3" i="7"/>
  <c r="AJ3" i="7"/>
  <c r="AK3" i="7"/>
  <c r="AL3" i="7"/>
  <c r="AM3" i="7"/>
  <c r="AN3" i="7"/>
  <c r="AO3" i="7"/>
  <c r="AP3" i="7"/>
  <c r="AQ3" i="7"/>
  <c r="AR3" i="7"/>
  <c r="AS3" i="7"/>
  <c r="AT3" i="7"/>
  <c r="AU3" i="7"/>
  <c r="AV3" i="7"/>
  <c r="AW3" i="7"/>
  <c r="AX3" i="7"/>
  <c r="AY3" i="7"/>
  <c r="AP3" i="5"/>
  <c r="AQ3" i="5"/>
  <c r="AR3" i="5"/>
  <c r="AS3" i="5"/>
  <c r="AT3" i="5"/>
  <c r="AU3" i="5"/>
  <c r="AV3" i="5"/>
  <c r="AW3" i="5"/>
  <c r="AX3" i="5"/>
  <c r="AP3" i="3"/>
  <c r="AQ3" i="3"/>
  <c r="AR3" i="3"/>
  <c r="AS3" i="3"/>
  <c r="AT3" i="3"/>
  <c r="AU3" i="3"/>
  <c r="AV3" i="3"/>
  <c r="AW3" i="3"/>
  <c r="AX3" i="3"/>
  <c r="AY3" i="3"/>
  <c r="AP3" i="2"/>
  <c r="AP70" i="2" s="1"/>
  <c r="AQ3" i="2"/>
  <c r="AQ70" i="2" s="1"/>
  <c r="AR3" i="2"/>
  <c r="AR70" i="2" s="1"/>
  <c r="AS3" i="2"/>
  <c r="AS70" i="2" s="1"/>
  <c r="AT3" i="2"/>
  <c r="AT70" i="2" s="1"/>
  <c r="AU3" i="2"/>
  <c r="AU70" i="2" s="1"/>
  <c r="AV3" i="2"/>
  <c r="AV70" i="2" s="1"/>
  <c r="AW3" i="2"/>
  <c r="AW70" i="2" s="1"/>
  <c r="AX3" i="2"/>
  <c r="AX70" i="2" s="1"/>
  <c r="AY3" i="2"/>
  <c r="AY70" i="2" s="1"/>
  <c r="AP7" i="2"/>
  <c r="AQ7" i="2"/>
  <c r="AR7" i="2"/>
  <c r="AS7" i="2"/>
  <c r="AT7" i="2"/>
  <c r="AU7" i="2"/>
  <c r="AV7" i="2"/>
  <c r="AW7" i="2"/>
  <c r="AX7" i="2"/>
  <c r="AY7" i="2"/>
  <c r="AP24" i="2"/>
  <c r="AQ24" i="2"/>
  <c r="AR24" i="2"/>
  <c r="AS24" i="2"/>
  <c r="AT24" i="2"/>
  <c r="AU24" i="2"/>
  <c r="AV24" i="2"/>
  <c r="AW24" i="2"/>
  <c r="AX24" i="2"/>
  <c r="AY24" i="2"/>
  <c r="AP3" i="4"/>
  <c r="AQ3" i="4"/>
  <c r="AR3" i="4"/>
  <c r="AS3" i="4"/>
  <c r="AT3" i="4"/>
  <c r="AU3" i="4"/>
  <c r="AV3" i="4"/>
  <c r="AW3" i="4"/>
  <c r="AX3" i="4"/>
  <c r="AY3" i="4"/>
  <c r="AP41" i="4"/>
  <c r="AQ41" i="4"/>
  <c r="AR41" i="4"/>
  <c r="AS41" i="4"/>
  <c r="AT41" i="4"/>
  <c r="AU41" i="4"/>
  <c r="AV41" i="4"/>
  <c r="AW41" i="4"/>
  <c r="AX41" i="4"/>
  <c r="AY41" i="4"/>
  <c r="AO15" i="6"/>
  <c r="AN15" i="6"/>
  <c r="AM15" i="6"/>
  <c r="AL15" i="6"/>
  <c r="AK15" i="6"/>
  <c r="AJ15" i="6"/>
  <c r="AI15" i="6"/>
  <c r="AH15" i="6"/>
  <c r="AG15" i="6"/>
  <c r="AF15" i="6"/>
  <c r="AE15" i="6"/>
  <c r="AD15" i="6"/>
  <c r="AC15" i="6"/>
  <c r="AB15" i="6"/>
  <c r="AA15" i="6"/>
  <c r="Z15" i="6"/>
  <c r="Y15" i="6"/>
  <c r="X15" i="6"/>
  <c r="W15" i="6"/>
  <c r="V15" i="6"/>
  <c r="U15" i="6"/>
  <c r="AO14" i="6"/>
  <c r="AN14" i="6"/>
  <c r="AM14" i="6"/>
  <c r="AL14" i="6"/>
  <c r="AK14" i="6"/>
  <c r="AJ14" i="6"/>
  <c r="AI14" i="6"/>
  <c r="AH14" i="6"/>
  <c r="AG14" i="6"/>
  <c r="AF14" i="6"/>
  <c r="AE14" i="6"/>
  <c r="AD14" i="6"/>
  <c r="AC14" i="6"/>
  <c r="AB14" i="6"/>
  <c r="AA14" i="6"/>
  <c r="Z14" i="6"/>
  <c r="Y14" i="6"/>
  <c r="X14" i="6"/>
  <c r="U20" i="6"/>
  <c r="V20" i="6"/>
  <c r="W20" i="6"/>
  <c r="X20" i="6"/>
  <c r="Y20" i="6"/>
  <c r="Z20" i="6"/>
  <c r="AA20" i="6"/>
  <c r="AB20" i="6"/>
  <c r="AC20" i="6"/>
  <c r="AD20" i="6"/>
  <c r="AE20" i="6"/>
  <c r="AF20" i="6"/>
  <c r="AG20" i="6"/>
  <c r="AH20" i="6"/>
  <c r="AI20" i="6"/>
  <c r="AJ20" i="6"/>
  <c r="AK20" i="6"/>
  <c r="AL20" i="6"/>
  <c r="AM20" i="6"/>
  <c r="AN20" i="6"/>
  <c r="AO20" i="6"/>
  <c r="T20" i="6"/>
  <c r="U25" i="6"/>
  <c r="V25" i="6"/>
  <c r="W25" i="6"/>
  <c r="X25" i="6"/>
  <c r="Y25" i="6"/>
  <c r="Z25" i="6"/>
  <c r="AA25" i="6"/>
  <c r="AB25" i="6"/>
  <c r="AC25" i="6"/>
  <c r="AD25" i="6"/>
  <c r="AE25" i="6"/>
  <c r="AF25" i="6"/>
  <c r="AG25" i="6"/>
  <c r="AH25" i="6"/>
  <c r="AI25" i="6"/>
  <c r="AJ25" i="6"/>
  <c r="AK25" i="6"/>
  <c r="AL25" i="6"/>
  <c r="AM25" i="6"/>
  <c r="AN25" i="6"/>
  <c r="AO25" i="6"/>
  <c r="T25" i="6"/>
  <c r="T2" i="6"/>
  <c r="T3" i="6"/>
  <c r="U3" i="6"/>
  <c r="U8" i="6" s="1"/>
  <c r="V3" i="6"/>
  <c r="V32" i="6" s="1"/>
  <c r="W3" i="6"/>
  <c r="W32" i="6" s="1"/>
  <c r="X3" i="6"/>
  <c r="Y3" i="6"/>
  <c r="Y8" i="6" s="1"/>
  <c r="Z3" i="6"/>
  <c r="Z8" i="6" s="1"/>
  <c r="AA3" i="6"/>
  <c r="AB3" i="6"/>
  <c r="AB8" i="6" s="1"/>
  <c r="AC3" i="6"/>
  <c r="AC32" i="6" s="1"/>
  <c r="AD3" i="6"/>
  <c r="AD56" i="6" s="1"/>
  <c r="AE3" i="6"/>
  <c r="AE32" i="6" s="1"/>
  <c r="AF3" i="6"/>
  <c r="AF8" i="6" s="1"/>
  <c r="AG3" i="6"/>
  <c r="AG32" i="6" s="1"/>
  <c r="AH3" i="6"/>
  <c r="AI3" i="6"/>
  <c r="AI8" i="6" s="1"/>
  <c r="AJ3" i="6"/>
  <c r="AJ32" i="6" s="1"/>
  <c r="AK3" i="6"/>
  <c r="AK8" i="6" s="1"/>
  <c r="AL3" i="6"/>
  <c r="AL8" i="6" s="1"/>
  <c r="AM3" i="6"/>
  <c r="AM32" i="6" s="1"/>
  <c r="AN3" i="6"/>
  <c r="AN8" i="6" s="1"/>
  <c r="AO3" i="6"/>
  <c r="AO8" i="6" s="1"/>
  <c r="U131" i="5"/>
  <c r="U141" i="5" s="1"/>
  <c r="V131" i="5"/>
  <c r="V141" i="5" s="1"/>
  <c r="W131" i="5"/>
  <c r="W141" i="5" s="1"/>
  <c r="X131" i="5"/>
  <c r="X141" i="5" s="1"/>
  <c r="Y131" i="5"/>
  <c r="Y141" i="5" s="1"/>
  <c r="T131" i="5"/>
  <c r="T141" i="5" s="1"/>
  <c r="T140" i="5"/>
  <c r="U140" i="5"/>
  <c r="V140" i="5"/>
  <c r="W140" i="5"/>
  <c r="X140" i="5"/>
  <c r="Y140" i="5"/>
  <c r="Z140" i="5"/>
  <c r="T138" i="5"/>
  <c r="U138" i="5"/>
  <c r="V138" i="5"/>
  <c r="W138" i="5"/>
  <c r="X138" i="5"/>
  <c r="Y138" i="5"/>
  <c r="Z138" i="5"/>
  <c r="Z132" i="5"/>
  <c r="Z124" i="5"/>
  <c r="Z123" i="5"/>
  <c r="Z122" i="5"/>
  <c r="Z125" i="5" s="1"/>
  <c r="Z68" i="5"/>
  <c r="Z67" i="5"/>
  <c r="Z66" i="5"/>
  <c r="Z60" i="5"/>
  <c r="Z18" i="5"/>
  <c r="AA15" i="5"/>
  <c r="AA5" i="5"/>
  <c r="AB5" i="5" s="1"/>
  <c r="AC5" i="5" s="1"/>
  <c r="AD5" i="5" s="1"/>
  <c r="AE5" i="5" s="1"/>
  <c r="AF5" i="5" s="1"/>
  <c r="AG5" i="5" s="1"/>
  <c r="AH5" i="5" s="1"/>
  <c r="Z15" i="5"/>
  <c r="H41" i="3"/>
  <c r="H27" i="3"/>
  <c r="T109" i="3"/>
  <c r="U109" i="3"/>
  <c r="V109" i="3"/>
  <c r="W109" i="3"/>
  <c r="X109" i="3"/>
  <c r="Y109" i="3"/>
  <c r="Z109" i="3"/>
  <c r="T108" i="3"/>
  <c r="U108" i="3"/>
  <c r="V108" i="3"/>
  <c r="W108" i="3"/>
  <c r="G108" i="3" s="1"/>
  <c r="X108" i="3"/>
  <c r="Y108" i="3"/>
  <c r="Z108" i="3"/>
  <c r="T91" i="3"/>
  <c r="U91" i="3"/>
  <c r="U105" i="3" s="1"/>
  <c r="V91" i="3"/>
  <c r="V105" i="3" s="1"/>
  <c r="W91" i="3"/>
  <c r="W105" i="3" s="1"/>
  <c r="X91" i="3"/>
  <c r="Y91" i="3"/>
  <c r="Y105" i="3" s="1"/>
  <c r="Z91" i="3"/>
  <c r="Z105" i="3" s="1"/>
  <c r="T69" i="3"/>
  <c r="T21" i="19" s="1"/>
  <c r="U69" i="3"/>
  <c r="U21" i="19" s="1"/>
  <c r="V69" i="3"/>
  <c r="V21" i="19" s="1"/>
  <c r="W69" i="3"/>
  <c r="X69" i="3"/>
  <c r="Y69" i="3"/>
  <c r="Z69" i="3"/>
  <c r="W88" i="3"/>
  <c r="G88" i="3" s="1"/>
  <c r="T52" i="3"/>
  <c r="T57" i="3" s="1"/>
  <c r="U52" i="3"/>
  <c r="U57" i="3" s="1"/>
  <c r="V52" i="3"/>
  <c r="V57" i="3" s="1"/>
  <c r="W52" i="3"/>
  <c r="W57" i="3" s="1"/>
  <c r="X52" i="3"/>
  <c r="X57" i="3" s="1"/>
  <c r="Y52" i="3"/>
  <c r="Y57" i="3" s="1"/>
  <c r="Z52" i="3"/>
  <c r="Z57" i="3" s="1"/>
  <c r="T51" i="3"/>
  <c r="T59" i="3" s="1"/>
  <c r="U51" i="3"/>
  <c r="U55" i="3" s="1"/>
  <c r="V51" i="3"/>
  <c r="V59" i="3" s="1"/>
  <c r="W51" i="3"/>
  <c r="W60" i="3" s="1"/>
  <c r="X51" i="3"/>
  <c r="X54" i="3" s="1"/>
  <c r="Y51" i="3"/>
  <c r="Y55" i="3" s="1"/>
  <c r="Z51" i="3"/>
  <c r="Z55" i="3" s="1"/>
  <c r="B58" i="7"/>
  <c r="J141" i="4"/>
  <c r="H24" i="2"/>
  <c r="H16" i="3"/>
  <c r="H21" i="3"/>
  <c r="H26" i="3"/>
  <c r="H43" i="3"/>
  <c r="H14" i="3"/>
  <c r="Z58" i="5"/>
  <c r="H39" i="2"/>
  <c r="H18" i="2"/>
  <c r="H41" i="2"/>
  <c r="J103" i="3"/>
  <c r="H17" i="4"/>
  <c r="H15" i="3"/>
  <c r="I14" i="3"/>
  <c r="I15" i="2"/>
  <c r="I41" i="3"/>
  <c r="I40" i="3"/>
  <c r="I16" i="3"/>
  <c r="AP41" i="3"/>
  <c r="AQ41" i="3" s="1"/>
  <c r="I21" i="3"/>
  <c r="AE132" i="5"/>
  <c r="I39" i="2"/>
  <c r="K7" i="2"/>
  <c r="T16" i="2"/>
  <c r="U16" i="2"/>
  <c r="V16" i="2"/>
  <c r="W16" i="2"/>
  <c r="X16" i="2"/>
  <c r="Y16" i="2"/>
  <c r="Z16" i="2"/>
  <c r="V51" i="2"/>
  <c r="W51" i="2"/>
  <c r="U44" i="2"/>
  <c r="V44" i="2"/>
  <c r="W44" i="2"/>
  <c r="X44" i="2"/>
  <c r="Y44" i="2"/>
  <c r="Z44" i="2"/>
  <c r="T44" i="2"/>
  <c r="U35" i="2"/>
  <c r="V35" i="2"/>
  <c r="W35" i="2"/>
  <c r="X35" i="2"/>
  <c r="Y35" i="2"/>
  <c r="Z35" i="2"/>
  <c r="T35" i="2"/>
  <c r="U28" i="2"/>
  <c r="V28" i="2"/>
  <c r="V38" i="7" s="1"/>
  <c r="W28" i="2"/>
  <c r="X28" i="2"/>
  <c r="X38" i="7" s="1"/>
  <c r="Y28" i="2"/>
  <c r="Z28" i="2"/>
  <c r="Z38" i="7" s="1"/>
  <c r="T28" i="2"/>
  <c r="AO3" i="5"/>
  <c r="AN3" i="5"/>
  <c r="AM3" i="5"/>
  <c r="AL3" i="5"/>
  <c r="AK3" i="5"/>
  <c r="AJ3" i="5"/>
  <c r="AI3" i="5"/>
  <c r="AH3" i="5"/>
  <c r="AG3" i="5"/>
  <c r="AF3" i="5"/>
  <c r="AE3" i="5"/>
  <c r="AD3" i="5"/>
  <c r="AC3" i="5"/>
  <c r="AB3" i="5"/>
  <c r="AA3" i="5"/>
  <c r="Z3" i="5"/>
  <c r="Y3" i="5"/>
  <c r="X3" i="5"/>
  <c r="W3" i="5"/>
  <c r="V3" i="5"/>
  <c r="U3" i="5"/>
  <c r="T3" i="5"/>
  <c r="T2" i="5"/>
  <c r="AO3" i="2"/>
  <c r="AO70" i="2" s="1"/>
  <c r="AN3" i="2"/>
  <c r="AN70" i="2" s="1"/>
  <c r="AM3" i="2"/>
  <c r="AM70" i="2" s="1"/>
  <c r="AL3" i="2"/>
  <c r="AL70" i="2" s="1"/>
  <c r="AK3" i="2"/>
  <c r="AK70" i="2" s="1"/>
  <c r="AJ3" i="2"/>
  <c r="AJ70" i="2" s="1"/>
  <c r="AI3" i="2"/>
  <c r="AH3" i="2"/>
  <c r="AG3" i="2"/>
  <c r="AF3" i="2"/>
  <c r="AE3" i="2"/>
  <c r="AD3" i="2"/>
  <c r="AC3" i="2"/>
  <c r="AB3" i="2"/>
  <c r="AA3" i="2"/>
  <c r="Z3" i="2"/>
  <c r="Y3" i="2"/>
  <c r="X3" i="2"/>
  <c r="W3" i="2"/>
  <c r="V3" i="2"/>
  <c r="U3" i="2"/>
  <c r="T3" i="2"/>
  <c r="T2" i="2"/>
  <c r="U29" i="3"/>
  <c r="U37" i="3" s="1"/>
  <c r="U45" i="3" s="1"/>
  <c r="V29" i="3"/>
  <c r="V37" i="3" s="1"/>
  <c r="V45" i="3" s="1"/>
  <c r="W29" i="3"/>
  <c r="W37" i="3" s="1"/>
  <c r="G37" i="3" s="1"/>
  <c r="X29" i="3"/>
  <c r="X37" i="3" s="1"/>
  <c r="X45" i="3" s="1"/>
  <c r="Y29" i="3"/>
  <c r="Y37" i="3" s="1"/>
  <c r="Y45" i="3" s="1"/>
  <c r="Z29" i="3"/>
  <c r="Z37" i="3" s="1"/>
  <c r="T29" i="3"/>
  <c r="T37" i="3" s="1"/>
  <c r="T45" i="3" s="1"/>
  <c r="U11" i="3"/>
  <c r="U19" i="3" s="1"/>
  <c r="V11" i="3"/>
  <c r="V19" i="3" s="1"/>
  <c r="W11" i="3"/>
  <c r="G11" i="3" s="1"/>
  <c r="X11" i="3"/>
  <c r="X19" i="3" s="1"/>
  <c r="Y11" i="3"/>
  <c r="Y19" i="3" s="1"/>
  <c r="T11" i="3"/>
  <c r="T19" i="3" s="1"/>
  <c r="AO3" i="3"/>
  <c r="AN3" i="3"/>
  <c r="AM3" i="3"/>
  <c r="AL3" i="3"/>
  <c r="AK3" i="3"/>
  <c r="AJ3" i="3"/>
  <c r="AI3" i="3"/>
  <c r="AH3" i="3"/>
  <c r="AG3" i="3"/>
  <c r="AF3" i="3"/>
  <c r="AE3" i="3"/>
  <c r="AD3" i="3"/>
  <c r="AC3" i="3"/>
  <c r="AB3" i="3"/>
  <c r="AA3" i="3"/>
  <c r="Z3" i="3"/>
  <c r="Y3" i="3"/>
  <c r="X3" i="3"/>
  <c r="W3" i="3"/>
  <c r="V3" i="3"/>
  <c r="U3" i="3"/>
  <c r="T3" i="3"/>
  <c r="T2" i="3"/>
  <c r="T2" i="4"/>
  <c r="T58" i="4" s="1"/>
  <c r="T3" i="4"/>
  <c r="T59" i="4" s="1"/>
  <c r="U3" i="4"/>
  <c r="U59" i="4" s="1"/>
  <c r="V3" i="4"/>
  <c r="V59" i="4" s="1"/>
  <c r="W3" i="4"/>
  <c r="W59" i="4" s="1"/>
  <c r="X3" i="4"/>
  <c r="X59" i="4" s="1"/>
  <c r="Y3" i="4"/>
  <c r="Y59" i="4" s="1"/>
  <c r="Z3" i="4"/>
  <c r="Z59" i="4" s="1"/>
  <c r="AC3" i="4"/>
  <c r="AC59" i="4" s="1"/>
  <c r="AD3" i="4"/>
  <c r="AD59" i="4" s="1"/>
  <c r="AE3" i="4"/>
  <c r="AE59" i="4" s="1"/>
  <c r="AF3" i="4"/>
  <c r="AF59" i="4" s="1"/>
  <c r="AG3" i="4"/>
  <c r="AG59" i="4" s="1"/>
  <c r="AH3" i="4"/>
  <c r="AH59" i="4" s="1"/>
  <c r="AI3" i="4"/>
  <c r="AI59" i="4" s="1"/>
  <c r="AJ3" i="4"/>
  <c r="AK3" i="4"/>
  <c r="AL3" i="4"/>
  <c r="AM3" i="4"/>
  <c r="AN3" i="4"/>
  <c r="AO3" i="4"/>
  <c r="U125" i="4"/>
  <c r="V125" i="4" s="1"/>
  <c r="W125" i="4" s="1"/>
  <c r="X125" i="4" s="1"/>
  <c r="U124" i="4"/>
  <c r="U151" i="4" s="1"/>
  <c r="J41" i="4"/>
  <c r="H7" i="2"/>
  <c r="G7" i="2"/>
  <c r="G10" i="2"/>
  <c r="I41" i="4"/>
  <c r="H15" i="4"/>
  <c r="H34" i="3"/>
  <c r="X51" i="2"/>
  <c r="Y51" i="2"/>
  <c r="Z51" i="2"/>
  <c r="U47" i="4"/>
  <c r="V47" i="4"/>
  <c r="W47" i="4"/>
  <c r="X47" i="4"/>
  <c r="Y47" i="4"/>
  <c r="Z47" i="4"/>
  <c r="U45" i="4"/>
  <c r="V45" i="4"/>
  <c r="W45" i="4"/>
  <c r="X45" i="4"/>
  <c r="Y45" i="4"/>
  <c r="Z45" i="4"/>
  <c r="U43" i="4"/>
  <c r="V43" i="4"/>
  <c r="W43" i="4"/>
  <c r="X43" i="4"/>
  <c r="Y43" i="4"/>
  <c r="Z43" i="4"/>
  <c r="T47" i="4"/>
  <c r="T45" i="4"/>
  <c r="T43" i="4"/>
  <c r="G41" i="4"/>
  <c r="H41" i="4"/>
  <c r="G42" i="4"/>
  <c r="U5" i="4"/>
  <c r="V5" i="4"/>
  <c r="V12" i="4" s="1"/>
  <c r="V117" i="4" s="1"/>
  <c r="W5" i="4"/>
  <c r="W11" i="19" s="1"/>
  <c r="X5" i="4"/>
  <c r="X81" i="3" s="1"/>
  <c r="Y5" i="4"/>
  <c r="Y81" i="3" s="1"/>
  <c r="AN44" i="1"/>
  <c r="AP44" i="1"/>
  <c r="AQ44" i="1"/>
  <c r="AR44" i="1"/>
  <c r="AS44" i="1"/>
  <c r="AT44" i="1"/>
  <c r="AU44" i="1"/>
  <c r="AV44" i="1"/>
  <c r="AW44" i="1"/>
  <c r="AX44" i="1"/>
  <c r="AY44" i="1"/>
  <c r="AN90" i="1"/>
  <c r="AP90" i="1"/>
  <c r="AQ90" i="1"/>
  <c r="AR90" i="1"/>
  <c r="AS90" i="1"/>
  <c r="AT90" i="1"/>
  <c r="AU90" i="1"/>
  <c r="AV90" i="1"/>
  <c r="AW90" i="1"/>
  <c r="AX90" i="1"/>
  <c r="AY90" i="1"/>
  <c r="AL90" i="1"/>
  <c r="Z90" i="1"/>
  <c r="Y90" i="1"/>
  <c r="X90" i="1"/>
  <c r="W90" i="1"/>
  <c r="V90" i="1"/>
  <c r="U90" i="1"/>
  <c r="T90" i="1"/>
  <c r="AL44" i="1"/>
  <c r="Z44" i="1"/>
  <c r="Y44" i="1"/>
  <c r="X44" i="1"/>
  <c r="W44" i="1"/>
  <c r="V44" i="1"/>
  <c r="U44" i="1"/>
  <c r="T44" i="1"/>
  <c r="Z33" i="1"/>
  <c r="Z9" i="1" s="1"/>
  <c r="Y33" i="1"/>
  <c r="Y46" i="19" s="1"/>
  <c r="X33" i="1"/>
  <c r="W33" i="1"/>
  <c r="W46" i="19" s="1"/>
  <c r="V33" i="1"/>
  <c r="V46" i="19" s="1"/>
  <c r="U33" i="1"/>
  <c r="Z31" i="1"/>
  <c r="Y31" i="1"/>
  <c r="X31" i="1"/>
  <c r="W31" i="1"/>
  <c r="V31" i="1"/>
  <c r="U31" i="1"/>
  <c r="Z27" i="1"/>
  <c r="Y27" i="1"/>
  <c r="X27" i="1"/>
  <c r="W27" i="1"/>
  <c r="V27" i="1"/>
  <c r="Z26" i="1"/>
  <c r="Y26" i="1"/>
  <c r="Z20" i="1"/>
  <c r="Z23" i="1" s="1"/>
  <c r="Z17" i="1"/>
  <c r="Y17" i="1"/>
  <c r="X17" i="1"/>
  <c r="W17" i="1"/>
  <c r="V17" i="1"/>
  <c r="U17" i="1"/>
  <c r="Z16" i="1"/>
  <c r="Y16" i="1"/>
  <c r="X16" i="1"/>
  <c r="W16" i="1"/>
  <c r="V16" i="1"/>
  <c r="U16" i="1"/>
  <c r="Z8" i="1"/>
  <c r="Y8" i="1"/>
  <c r="X8" i="1"/>
  <c r="W8" i="1"/>
  <c r="V8" i="1"/>
  <c r="U8" i="1"/>
  <c r="Z795" i="9"/>
  <c r="AP61" i="1"/>
  <c r="AP64" i="1"/>
  <c r="T8" i="2"/>
  <c r="H25" i="1"/>
  <c r="H674" i="9" s="1"/>
  <c r="AQ61" i="1"/>
  <c r="AQ64" i="1"/>
  <c r="Y8" i="2"/>
  <c r="U8" i="2"/>
  <c r="Z8" i="2"/>
  <c r="W8" i="2"/>
  <c r="V8" i="2"/>
  <c r="X8" i="2"/>
  <c r="G6" i="2"/>
  <c r="AR61" i="1"/>
  <c r="AR64" i="1"/>
  <c r="H21" i="1"/>
  <c r="AS61" i="1"/>
  <c r="AS64" i="1"/>
  <c r="G366" i="9"/>
  <c r="AT61" i="1"/>
  <c r="AT64" i="1"/>
  <c r="AU61" i="1"/>
  <c r="AU64" i="1"/>
  <c r="AV61" i="1"/>
  <c r="AV64" i="1"/>
  <c r="AW61" i="1"/>
  <c r="AW64" i="1"/>
  <c r="AX61" i="1"/>
  <c r="AX64" i="1"/>
  <c r="AY61" i="1"/>
  <c r="AY64" i="1"/>
  <c r="U2" i="1"/>
  <c r="V2" i="1" s="1"/>
  <c r="AP55" i="1"/>
  <c r="AQ55" i="1" s="1"/>
  <c r="AR55" i="1" s="1"/>
  <c r="AS55" i="1" s="1"/>
  <c r="AT55" i="1" s="1"/>
  <c r="AU55" i="1" s="1"/>
  <c r="AV55" i="1" s="1"/>
  <c r="AW55" i="1" s="1"/>
  <c r="AX55" i="1" s="1"/>
  <c r="AY55" i="1" s="1"/>
  <c r="H25" i="2"/>
  <c r="Z14" i="5"/>
  <c r="Z59" i="5"/>
  <c r="H27" i="4"/>
  <c r="H21" i="4"/>
  <c r="H138" i="5" s="1"/>
  <c r="H42" i="4"/>
  <c r="H23" i="4"/>
  <c r="H12" i="2"/>
  <c r="AA29" i="7"/>
  <c r="AA37" i="7" s="1"/>
  <c r="H11" i="4"/>
  <c r="H30" i="1"/>
  <c r="H31" i="1" s="1"/>
  <c r="H35" i="1"/>
  <c r="H29" i="7" s="1"/>
  <c r="H358" i="9"/>
  <c r="H427" i="9"/>
  <c r="H366" i="9"/>
  <c r="H9" i="4"/>
  <c r="H35" i="3"/>
  <c r="H9" i="3"/>
  <c r="H33" i="3"/>
  <c r="H18" i="3"/>
  <c r="H26" i="2"/>
  <c r="H8" i="3"/>
  <c r="H21" i="2"/>
  <c r="H24" i="3"/>
  <c r="H6" i="3"/>
  <c r="H22" i="3"/>
  <c r="H20" i="2"/>
  <c r="H16" i="4"/>
  <c r="H13" i="3"/>
  <c r="H6" i="2"/>
  <c r="H42" i="3"/>
  <c r="H38" i="2"/>
  <c r="H53" i="2"/>
  <c r="I51" i="2" s="1"/>
  <c r="H31" i="3"/>
  <c r="Y542" i="9"/>
  <c r="I9" i="3"/>
  <c r="AB6" i="9"/>
  <c r="AB10" i="9"/>
  <c r="AB319" i="9"/>
  <c r="AB358" i="9"/>
  <c r="AB363" i="9"/>
  <c r="AB419" i="9"/>
  <c r="AB424" i="9"/>
  <c r="AB29" i="7"/>
  <c r="AB366" i="9"/>
  <c r="AB427" i="9"/>
  <c r="AB428" i="9" s="1"/>
  <c r="AB35" i="2"/>
  <c r="AB62" i="3"/>
  <c r="Y543" i="9"/>
  <c r="I43" i="3"/>
  <c r="I27" i="3"/>
  <c r="I39" i="3"/>
  <c r="I25" i="2"/>
  <c r="I17" i="4"/>
  <c r="I34" i="3"/>
  <c r="I15" i="4"/>
  <c r="AC6" i="9"/>
  <c r="AC10" i="9"/>
  <c r="AC319" i="9"/>
  <c r="AC358" i="9"/>
  <c r="AC363" i="9"/>
  <c r="AC419" i="9"/>
  <c r="AC424" i="9"/>
  <c r="AC366" i="9"/>
  <c r="AC29" i="7"/>
  <c r="AC427" i="9"/>
  <c r="AD75" i="5"/>
  <c r="AD77" i="5" s="1"/>
  <c r="AD76" i="5"/>
  <c r="I26" i="3"/>
  <c r="I15" i="3"/>
  <c r="I108" i="3"/>
  <c r="I125" i="4"/>
  <c r="I36" i="4" s="1"/>
  <c r="AD674" i="9"/>
  <c r="AG132" i="5"/>
  <c r="AD6" i="9"/>
  <c r="AD320" i="9" s="1"/>
  <c r="AD10" i="9"/>
  <c r="AD319" i="9"/>
  <c r="AD358" i="9"/>
  <c r="AD363" i="9"/>
  <c r="AD29" i="7"/>
  <c r="AD366" i="9"/>
  <c r="AD419" i="9"/>
  <c r="AD424" i="9"/>
  <c r="AD427" i="9"/>
  <c r="K103" i="3"/>
  <c r="AH133" i="5"/>
  <c r="L103" i="3"/>
  <c r="I20" i="1"/>
  <c r="M103" i="3"/>
  <c r="J26" i="3"/>
  <c r="N103" i="3"/>
  <c r="I21" i="1"/>
  <c r="AE6" i="9"/>
  <c r="AE320" i="9" s="1"/>
  <c r="AE10" i="9"/>
  <c r="AE319" i="9"/>
  <c r="AE358" i="9"/>
  <c r="AE363" i="9"/>
  <c r="AE419" i="9"/>
  <c r="AE424" i="9"/>
  <c r="AE366" i="9"/>
  <c r="AE427" i="9"/>
  <c r="I7" i="1"/>
  <c r="I12" i="1"/>
  <c r="I319" i="9" s="1"/>
  <c r="I13" i="1"/>
  <c r="I30" i="1"/>
  <c r="I35" i="1"/>
  <c r="I363" i="9"/>
  <c r="I424" i="9"/>
  <c r="I419" i="9"/>
  <c r="AE29" i="7"/>
  <c r="I366" i="9"/>
  <c r="I35" i="3"/>
  <c r="I36" i="3"/>
  <c r="I18" i="3"/>
  <c r="I24" i="3"/>
  <c r="I27" i="2"/>
  <c r="I9" i="4"/>
  <c r="I6" i="3"/>
  <c r="I8" i="3"/>
  <c r="I33" i="3"/>
  <c r="I22" i="3"/>
  <c r="I13" i="3"/>
  <c r="I21" i="4"/>
  <c r="I138" i="5" s="1"/>
  <c r="I42" i="3"/>
  <c r="I31" i="3"/>
  <c r="K142" i="4"/>
  <c r="J142" i="4"/>
  <c r="M42" i="7"/>
  <c r="N42" i="7" s="1"/>
  <c r="L142" i="4"/>
  <c r="AF6" i="9"/>
  <c r="AF320" i="9" s="1"/>
  <c r="AF10" i="9"/>
  <c r="AF319" i="9"/>
  <c r="AF358" i="9"/>
  <c r="AF363" i="9"/>
  <c r="AF419" i="9"/>
  <c r="AF424" i="9"/>
  <c r="AF427" i="9"/>
  <c r="AF29" i="7"/>
  <c r="AH132" i="5"/>
  <c r="J15" i="2"/>
  <c r="AG133" i="5"/>
  <c r="J32" i="3"/>
  <c r="J124" i="4"/>
  <c r="J151" i="4" s="1"/>
  <c r="AF366" i="9"/>
  <c r="J14" i="3"/>
  <c r="AP39" i="3"/>
  <c r="AQ39" i="3" s="1"/>
  <c r="J39" i="3"/>
  <c r="L95" i="3"/>
  <c r="L96" i="3"/>
  <c r="L97" i="3"/>
  <c r="L98" i="3"/>
  <c r="L99" i="3"/>
  <c r="M99" i="3"/>
  <c r="L100" i="3"/>
  <c r="M100" i="3"/>
  <c r="L101" i="3"/>
  <c r="M101" i="3"/>
  <c r="L102" i="3"/>
  <c r="M102" i="3"/>
  <c r="H2" i="2"/>
  <c r="X542" i="9"/>
  <c r="AB542" i="9"/>
  <c r="I8" i="6"/>
  <c r="Z542" i="9"/>
  <c r="AH56" i="6"/>
  <c r="AL56" i="6"/>
  <c r="AC674" i="9"/>
  <c r="G38" i="1"/>
  <c r="AR56" i="6"/>
  <c r="X543" i="9"/>
  <c r="AB543" i="9"/>
  <c r="AA543" i="9"/>
  <c r="G63" i="4"/>
  <c r="G62" i="4"/>
  <c r="I358" i="9"/>
  <c r="AA542" i="9"/>
  <c r="Z543" i="9"/>
  <c r="H419" i="9"/>
  <c r="I485" i="9"/>
  <c r="AG674" i="9"/>
  <c r="AG6" i="9"/>
  <c r="AG10" i="9"/>
  <c r="AG319" i="9"/>
  <c r="AG358" i="9"/>
  <c r="AG363" i="9"/>
  <c r="AG419" i="9"/>
  <c r="AG424" i="9"/>
  <c r="AG480" i="9"/>
  <c r="AG485" i="9"/>
  <c r="AG366" i="9"/>
  <c r="AG427" i="9"/>
  <c r="AG29" i="7"/>
  <c r="AP22" i="19"/>
  <c r="AI133" i="5"/>
  <c r="J40" i="3"/>
  <c r="J16" i="3"/>
  <c r="AP28" i="3"/>
  <c r="AQ28" i="3" s="1"/>
  <c r="J28" i="3"/>
  <c r="J9" i="3"/>
  <c r="AP9" i="3"/>
  <c r="AQ9" i="3" s="1"/>
  <c r="AP59" i="3"/>
  <c r="AQ59" i="3" s="1"/>
  <c r="AR59" i="3" s="1"/>
  <c r="AS59" i="3" s="1"/>
  <c r="AT59" i="3" s="1"/>
  <c r="AU59" i="3" s="1"/>
  <c r="AV59" i="3" s="1"/>
  <c r="AW59" i="3" s="1"/>
  <c r="AX59" i="3" s="1"/>
  <c r="AY59" i="3" s="1"/>
  <c r="AG10" i="4"/>
  <c r="AG112" i="4" s="1"/>
  <c r="J25" i="2"/>
  <c r="J27" i="3"/>
  <c r="J15" i="4"/>
  <c r="AP15" i="4"/>
  <c r="AQ15" i="4"/>
  <c r="AR15" i="4"/>
  <c r="AR75" i="2" s="1"/>
  <c r="AS15" i="4"/>
  <c r="AT15" i="4"/>
  <c r="AU15" i="4"/>
  <c r="AU16" i="2" s="1"/>
  <c r="AV15" i="4"/>
  <c r="AW15" i="4"/>
  <c r="AW16" i="2" s="1"/>
  <c r="AX15" i="4"/>
  <c r="AX47" i="4" s="1"/>
  <c r="AY15" i="4"/>
  <c r="AY75" i="2" s="1"/>
  <c r="AJ100" i="5"/>
  <c r="AI100" i="5"/>
  <c r="K489" i="9"/>
  <c r="AF91" i="3"/>
  <c r="Y367" i="9"/>
  <c r="Y6" i="4"/>
  <c r="T37" i="7"/>
  <c r="AW8" i="6"/>
  <c r="AW32" i="6"/>
  <c r="AW56" i="6"/>
  <c r="AS8" i="6"/>
  <c r="AS56" i="6"/>
  <c r="AC56" i="6"/>
  <c r="AJ8" i="6"/>
  <c r="AJ56" i="6"/>
  <c r="Y11" i="19"/>
  <c r="Y19" i="4"/>
  <c r="Y12" i="4"/>
  <c r="Y117" i="4" s="1"/>
  <c r="Y10" i="4"/>
  <c r="Y112" i="4" s="1"/>
  <c r="U10" i="4"/>
  <c r="U112" i="4" s="1"/>
  <c r="U12" i="4"/>
  <c r="U117" i="4" s="1"/>
  <c r="F12" i="4"/>
  <c r="U19" i="4"/>
  <c r="U11" i="19"/>
  <c r="Z32" i="6"/>
  <c r="AL32" i="6"/>
  <c r="AG26" i="1"/>
  <c r="AH6" i="9"/>
  <c r="AH358" i="9"/>
  <c r="AH363" i="9"/>
  <c r="AH419" i="9"/>
  <c r="AH424" i="9"/>
  <c r="AH480" i="9"/>
  <c r="AH485" i="9"/>
  <c r="AH29" i="7"/>
  <c r="AH366" i="9"/>
  <c r="AH427" i="9"/>
  <c r="J41" i="3"/>
  <c r="AG260" i="9"/>
  <c r="AI132" i="5"/>
  <c r="J21" i="3"/>
  <c r="J39" i="2"/>
  <c r="J43" i="3"/>
  <c r="J15" i="3"/>
  <c r="L48" i="4"/>
  <c r="V10" i="4"/>
  <c r="V112" i="4" s="1"/>
  <c r="AQ16" i="2"/>
  <c r="AV47" i="4"/>
  <c r="AY16" i="2"/>
  <c r="AY47" i="4"/>
  <c r="AB10" i="2"/>
  <c r="F19" i="4"/>
  <c r="F10" i="4"/>
  <c r="AG45" i="4"/>
  <c r="AG10" i="2"/>
  <c r="AG19" i="4"/>
  <c r="AG25" i="4" s="1"/>
  <c r="AG91" i="3"/>
  <c r="AG105" i="3" s="1"/>
  <c r="AG7" i="4"/>
  <c r="AG13" i="19" s="1"/>
  <c r="K48" i="4"/>
  <c r="K15" i="4"/>
  <c r="K41" i="4"/>
  <c r="J34" i="3"/>
  <c r="AJ132" i="5"/>
  <c r="J125" i="4"/>
  <c r="J36" i="4" s="1"/>
  <c r="J17" i="4"/>
  <c r="J485" i="9"/>
  <c r="J486" i="9" s="1"/>
  <c r="K39" i="3"/>
  <c r="AI320" i="9"/>
  <c r="AI10" i="4"/>
  <c r="AI112" i="4" s="1"/>
  <c r="AP116" i="1"/>
  <c r="AP115" i="1"/>
  <c r="AP118" i="1"/>
  <c r="AI674" i="9"/>
  <c r="AQ118" i="1"/>
  <c r="J20" i="1"/>
  <c r="AR115" i="1"/>
  <c r="AP117" i="4"/>
  <c r="AP118" i="4"/>
  <c r="AQ118" i="4"/>
  <c r="J13" i="1"/>
  <c r="AI480" i="9"/>
  <c r="AI363" i="9"/>
  <c r="AI485" i="9"/>
  <c r="J419" i="9"/>
  <c r="AI424" i="9"/>
  <c r="J363" i="9"/>
  <c r="AI419" i="9"/>
  <c r="AI29" i="7"/>
  <c r="AI6" i="9"/>
  <c r="AI358" i="9"/>
  <c r="J35" i="1"/>
  <c r="J424" i="9"/>
  <c r="J358" i="9"/>
  <c r="J30" i="1"/>
  <c r="J21" i="1"/>
  <c r="J7" i="1"/>
  <c r="J427" i="9"/>
  <c r="AI427" i="9"/>
  <c r="J6" i="3"/>
  <c r="AI366" i="9"/>
  <c r="J8" i="3"/>
  <c r="J35" i="3"/>
  <c r="J33" i="3"/>
  <c r="J18" i="3"/>
  <c r="J22" i="2"/>
  <c r="J9" i="4"/>
  <c r="J24" i="3"/>
  <c r="J27" i="2"/>
  <c r="J36" i="3"/>
  <c r="J21" i="2"/>
  <c r="J22" i="3"/>
  <c r="J13" i="3"/>
  <c r="J88" i="3"/>
  <c r="AH10" i="9"/>
  <c r="AH319" i="9"/>
  <c r="AI10" i="9"/>
  <c r="AI319" i="9"/>
  <c r="J12" i="1"/>
  <c r="J10" i="9" s="1"/>
  <c r="J21" i="4"/>
  <c r="J138" i="5" s="1"/>
  <c r="J42" i="4"/>
  <c r="J42" i="3"/>
  <c r="J31" i="3"/>
  <c r="AG28" i="1" l="1"/>
  <c r="AE8" i="6"/>
  <c r="AC91" i="3"/>
  <c r="AC105" i="3" s="1"/>
  <c r="M56" i="6"/>
  <c r="X37" i="7"/>
  <c r="I32" i="6"/>
  <c r="M62" i="11"/>
  <c r="I47" i="4"/>
  <c r="AH44" i="19"/>
  <c r="AC45" i="4"/>
  <c r="W56" i="6"/>
  <c r="W10" i="4"/>
  <c r="W112" i="4" s="1"/>
  <c r="W59" i="3"/>
  <c r="Z22" i="1"/>
  <c r="AD27" i="1"/>
  <c r="J2" i="1"/>
  <c r="J2" i="6" s="1"/>
  <c r="AC26" i="1"/>
  <c r="X39" i="7"/>
  <c r="J7" i="2"/>
  <c r="AC10" i="2"/>
  <c r="AR32" i="6"/>
  <c r="M8" i="6"/>
  <c r="Z45" i="3"/>
  <c r="Z10" i="3" s="1"/>
  <c r="Z11" i="3" s="1"/>
  <c r="Z19" i="3" s="1"/>
  <c r="Z47" i="3" s="1"/>
  <c r="T15" i="19"/>
  <c r="G73" i="11"/>
  <c r="K73" i="11"/>
  <c r="AO38" i="4"/>
  <c r="AO59" i="4"/>
  <c r="AR116" i="1"/>
  <c r="AQ115" i="1"/>
  <c r="AR118" i="1"/>
  <c r="AQ116" i="1"/>
  <c r="H73" i="11"/>
  <c r="AI81" i="3"/>
  <c r="AI11" i="19"/>
  <c r="H14" i="11"/>
  <c r="L14" i="11"/>
  <c r="G486" i="9"/>
  <c r="AO798" i="9"/>
  <c r="AS198" i="1"/>
  <c r="AT195" i="1" s="1"/>
  <c r="AT197" i="1" s="1"/>
  <c r="AS775" i="9"/>
  <c r="AA482" i="9"/>
  <c r="AP184" i="1"/>
  <c r="AP185" i="1" s="1"/>
  <c r="AI322" i="9"/>
  <c r="AA428" i="9"/>
  <c r="V323" i="9"/>
  <c r="X7" i="9"/>
  <c r="X541" i="9" s="1"/>
  <c r="N41" i="4"/>
  <c r="AA421" i="9"/>
  <c r="G45" i="4"/>
  <c r="H47" i="4"/>
  <c r="G20" i="6"/>
  <c r="L25" i="6"/>
  <c r="H25" i="6"/>
  <c r="H20" i="6"/>
  <c r="H20" i="11"/>
  <c r="L20" i="11"/>
  <c r="J16" i="4"/>
  <c r="J25" i="6"/>
  <c r="H49" i="6"/>
  <c r="Y428" i="9"/>
  <c r="I14" i="11"/>
  <c r="J6" i="9"/>
  <c r="J82" i="3"/>
  <c r="AY59" i="4"/>
  <c r="AY38" i="4"/>
  <c r="M59" i="4"/>
  <c r="M38" i="4"/>
  <c r="AF422" i="9"/>
  <c r="K481" i="9"/>
  <c r="X19" i="4"/>
  <c r="X25" i="4" s="1"/>
  <c r="X28" i="4" s="1"/>
  <c r="AD367" i="9"/>
  <c r="AL59" i="4"/>
  <c r="AL38" i="4"/>
  <c r="AX59" i="4"/>
  <c r="AX38" i="4"/>
  <c r="AT59" i="4"/>
  <c r="AT38" i="4"/>
  <c r="AP59" i="4"/>
  <c r="AP38" i="4"/>
  <c r="J59" i="4"/>
  <c r="J38" i="4"/>
  <c r="M62" i="6"/>
  <c r="L62" i="11"/>
  <c r="M49" i="11"/>
  <c r="J47" i="4"/>
  <c r="AU59" i="4"/>
  <c r="AU38" i="4"/>
  <c r="L59" i="4"/>
  <c r="L38" i="4"/>
  <c r="F25" i="4"/>
  <c r="F30" i="4" s="1"/>
  <c r="H43" i="4"/>
  <c r="W19" i="3"/>
  <c r="G19" i="3" s="1"/>
  <c r="AK59" i="4"/>
  <c r="AK38" i="4"/>
  <c r="AW59" i="4"/>
  <c r="AW38" i="4"/>
  <c r="AS59" i="4"/>
  <c r="AS38" i="4"/>
  <c r="I62" i="6"/>
  <c r="J77" i="2"/>
  <c r="AI27" i="1"/>
  <c r="AM59" i="4"/>
  <c r="AM38" i="4"/>
  <c r="AQ59" i="4"/>
  <c r="AQ38" i="4"/>
  <c r="AF58" i="2"/>
  <c r="AE30" i="7"/>
  <c r="I6" i="9"/>
  <c r="I361" i="9" s="1"/>
  <c r="I82" i="3"/>
  <c r="AN59" i="4"/>
  <c r="AN38" i="4"/>
  <c r="AJ59" i="4"/>
  <c r="AJ38" i="4"/>
  <c r="AV59" i="4"/>
  <c r="AV38" i="4"/>
  <c r="AR59" i="4"/>
  <c r="AR38" i="4"/>
  <c r="K59" i="4"/>
  <c r="K38" i="4"/>
  <c r="H62" i="6"/>
  <c r="L68" i="11"/>
  <c r="AG44" i="19"/>
  <c r="AH323" i="9"/>
  <c r="AG7" i="9"/>
  <c r="AG541" i="9" s="1"/>
  <c r="Z323" i="9"/>
  <c r="E7" i="9"/>
  <c r="AG482" i="9"/>
  <c r="G48" i="4"/>
  <c r="AX16" i="2"/>
  <c r="AX75" i="2"/>
  <c r="AT16" i="2"/>
  <c r="AT75" i="2"/>
  <c r="AP47" i="4"/>
  <c r="AP75" i="2"/>
  <c r="AI91" i="3"/>
  <c r="AI105" i="3" s="1"/>
  <c r="AI73" i="2"/>
  <c r="AW47" i="4"/>
  <c r="AW75" i="2"/>
  <c r="AS16" i="2"/>
  <c r="AS75" i="2"/>
  <c r="H48" i="4"/>
  <c r="Y77" i="2"/>
  <c r="H77" i="2" s="1"/>
  <c r="AV16" i="2"/>
  <c r="N16" i="2" s="1"/>
  <c r="AV75" i="2"/>
  <c r="L77" i="2"/>
  <c r="AB45" i="4"/>
  <c r="AB73" i="2"/>
  <c r="AF45" i="4"/>
  <c r="AF73" i="2"/>
  <c r="AH91" i="3"/>
  <c r="AH105" i="3" s="1"/>
  <c r="AH73" i="2"/>
  <c r="AU47" i="4"/>
  <c r="AU75" i="2"/>
  <c r="AQ47" i="4"/>
  <c r="L47" i="4" s="1"/>
  <c r="AQ75" i="2"/>
  <c r="M48" i="4"/>
  <c r="AT77" i="2"/>
  <c r="M77" i="2" s="1"/>
  <c r="N48" i="4"/>
  <c r="AX77" i="2"/>
  <c r="N77" i="2" s="1"/>
  <c r="I7" i="2"/>
  <c r="F6" i="4"/>
  <c r="AC12" i="4"/>
  <c r="AC117" i="4" s="1"/>
  <c r="X10" i="4"/>
  <c r="X112" i="4" s="1"/>
  <c r="E12" i="4"/>
  <c r="AG11" i="19"/>
  <c r="AK12" i="19" s="1"/>
  <c r="AG81" i="3"/>
  <c r="Z19" i="4"/>
  <c r="Z25" i="4" s="1"/>
  <c r="Z28" i="4" s="1"/>
  <c r="Z81" i="3"/>
  <c r="AC19" i="4"/>
  <c r="AC81" i="3"/>
  <c r="AA12" i="4"/>
  <c r="AA117" i="4" s="1"/>
  <c r="AA81" i="3"/>
  <c r="AD11" i="19"/>
  <c r="AD81" i="3"/>
  <c r="AF11" i="19"/>
  <c r="AJ12" i="19" s="1"/>
  <c r="AF81" i="3"/>
  <c r="AE11" i="19"/>
  <c r="AE81" i="3"/>
  <c r="AH11" i="19"/>
  <c r="AL12" i="19" s="1"/>
  <c r="AH81" i="3"/>
  <c r="AG58" i="3"/>
  <c r="Y29" i="2"/>
  <c r="Y50" i="2" s="1"/>
  <c r="Y52" i="2" s="1"/>
  <c r="AG28" i="2"/>
  <c r="AG38" i="7" s="1"/>
  <c r="AG39" i="7" s="1"/>
  <c r="N7" i="2"/>
  <c r="Z29" i="2"/>
  <c r="AH12" i="2"/>
  <c r="AH79" i="2" s="1"/>
  <c r="AF79" i="2"/>
  <c r="AM6" i="4"/>
  <c r="AA16" i="2"/>
  <c r="H16" i="2" s="1"/>
  <c r="L7" i="2"/>
  <c r="AC8" i="9"/>
  <c r="X105" i="3"/>
  <c r="H105" i="3" s="1"/>
  <c r="Z428" i="9"/>
  <c r="J8" i="6"/>
  <c r="W12" i="4"/>
  <c r="W117" i="4" s="1"/>
  <c r="E19" i="4"/>
  <c r="E25" i="4" s="1"/>
  <c r="E30" i="4" s="1"/>
  <c r="E33" i="4" s="1"/>
  <c r="AF10" i="4"/>
  <c r="AF112" i="4" s="1"/>
  <c r="AH674" i="9"/>
  <c r="AH26" i="1"/>
  <c r="Y7" i="9"/>
  <c r="Y541" i="9" s="1"/>
  <c r="Z37" i="7"/>
  <c r="N8" i="6"/>
  <c r="F8" i="6"/>
  <c r="AA422" i="9"/>
  <c r="Z322" i="9"/>
  <c r="AN56" i="6"/>
  <c r="AD322" i="9"/>
  <c r="AB421" i="9"/>
  <c r="Z39" i="7"/>
  <c r="V39" i="7"/>
  <c r="I8" i="1"/>
  <c r="I29" i="7"/>
  <c r="AC322" i="9"/>
  <c r="J33" i="1"/>
  <c r="AH27" i="1"/>
  <c r="AF482" i="9"/>
  <c r="AT56" i="6"/>
  <c r="AF32" i="6"/>
  <c r="H483" i="9"/>
  <c r="F32" i="6"/>
  <c r="U2" i="4"/>
  <c r="U58" i="4" s="1"/>
  <c r="AB323" i="9"/>
  <c r="W323" i="9"/>
  <c r="AM26" i="1"/>
  <c r="AG261" i="9"/>
  <c r="J2" i="3"/>
  <c r="AF44" i="19"/>
  <c r="G43" i="4"/>
  <c r="N68" i="6"/>
  <c r="N73" i="6"/>
  <c r="Y322" i="9"/>
  <c r="G425" i="9"/>
  <c r="I20" i="11"/>
  <c r="J73" i="11"/>
  <c r="L489" i="9"/>
  <c r="J49" i="4"/>
  <c r="H45" i="4"/>
  <c r="G44" i="6"/>
  <c r="G49" i="6"/>
  <c r="G73" i="6"/>
  <c r="J43" i="4"/>
  <c r="AP16" i="2"/>
  <c r="AT47" i="4"/>
  <c r="L41" i="4"/>
  <c r="G25" i="6"/>
  <c r="H38" i="6"/>
  <c r="H44" i="6"/>
  <c r="L49" i="6"/>
  <c r="AA323" i="9"/>
  <c r="J8" i="1"/>
  <c r="G35" i="2"/>
  <c r="G16" i="2"/>
  <c r="M7" i="2"/>
  <c r="AA44" i="2"/>
  <c r="K34" i="3"/>
  <c r="AP34" i="3"/>
  <c r="AQ34" i="3" s="1"/>
  <c r="AR34" i="3" s="1"/>
  <c r="AS34" i="3" s="1"/>
  <c r="AT34" i="3" s="1"/>
  <c r="AU34" i="3" s="1"/>
  <c r="Z57" i="2"/>
  <c r="Z50" i="2"/>
  <c r="Z52" i="2" s="1"/>
  <c r="AQ120" i="4"/>
  <c r="AE16" i="4"/>
  <c r="AE73" i="2" s="1"/>
  <c r="AA136" i="5"/>
  <c r="W19" i="4"/>
  <c r="W25" i="4" s="1"/>
  <c r="W30" i="4" s="1"/>
  <c r="J2" i="5"/>
  <c r="Y32" i="6"/>
  <c r="I2" i="6"/>
  <c r="AD8" i="9"/>
  <c r="I27" i="4"/>
  <c r="I33" i="7" s="1"/>
  <c r="AD422" i="9"/>
  <c r="Z61" i="5"/>
  <c r="K14" i="11"/>
  <c r="K20" i="11"/>
  <c r="I23" i="4"/>
  <c r="AE93" i="5"/>
  <c r="J27" i="4"/>
  <c r="J33" i="7" s="1"/>
  <c r="J25" i="1"/>
  <c r="J674" i="9" s="1"/>
  <c r="AF19" i="4"/>
  <c r="N15" i="4"/>
  <c r="AB91" i="3"/>
  <c r="AB105" i="3" s="1"/>
  <c r="Z7" i="4"/>
  <c r="Z13" i="19" s="1"/>
  <c r="Z11" i="19"/>
  <c r="AC7" i="9"/>
  <c r="AC541" i="9" s="1"/>
  <c r="AA30" i="7"/>
  <c r="AF56" i="6"/>
  <c r="L481" i="9"/>
  <c r="N32" i="6"/>
  <c r="J56" i="6"/>
  <c r="AF10" i="2"/>
  <c r="AG12" i="4"/>
  <c r="AG117" i="4" s="1"/>
  <c r="AG44" i="2"/>
  <c r="AE37" i="3"/>
  <c r="I37" i="3" s="1"/>
  <c r="AG8" i="6"/>
  <c r="J2" i="2"/>
  <c r="Y56" i="6"/>
  <c r="U32" i="6"/>
  <c r="U56" i="6"/>
  <c r="V8" i="9"/>
  <c r="AE27" i="1"/>
  <c r="U2" i="11"/>
  <c r="U56" i="11" s="1"/>
  <c r="U2" i="3"/>
  <c r="I2" i="7"/>
  <c r="K143" i="4"/>
  <c r="AE674" i="9"/>
  <c r="AC543" i="9"/>
  <c r="V124" i="4"/>
  <c r="G29" i="3"/>
  <c r="H40" i="2"/>
  <c r="L62" i="6"/>
  <c r="I38" i="6"/>
  <c r="H62" i="11"/>
  <c r="M14" i="11"/>
  <c r="G25" i="11"/>
  <c r="K25" i="11"/>
  <c r="H38" i="11"/>
  <c r="J49" i="11"/>
  <c r="J68" i="11"/>
  <c r="AI28" i="1"/>
  <c r="AE36" i="4"/>
  <c r="AI23" i="4"/>
  <c r="J23" i="4" s="1"/>
  <c r="J16" i="2"/>
  <c r="AG15" i="19"/>
  <c r="AG22" i="19"/>
  <c r="AL6" i="4"/>
  <c r="AD361" i="9"/>
  <c r="H8" i="2"/>
  <c r="M41" i="4"/>
  <c r="J48" i="4"/>
  <c r="AF70" i="3"/>
  <c r="AE52" i="3"/>
  <c r="I52" i="3" s="1"/>
  <c r="I57" i="3" s="1"/>
  <c r="Z70" i="3"/>
  <c r="AF260" i="9"/>
  <c r="AF261" i="9" s="1"/>
  <c r="Y8" i="9"/>
  <c r="AD543" i="9"/>
  <c r="Y58" i="3"/>
  <c r="Y361" i="9"/>
  <c r="AD428" i="9"/>
  <c r="AG542" i="9"/>
  <c r="AA22" i="1"/>
  <c r="I19" i="1" s="1"/>
  <c r="I22" i="1" s="1"/>
  <c r="J2" i="9"/>
  <c r="U8" i="9"/>
  <c r="I2" i="5"/>
  <c r="I2" i="3"/>
  <c r="AB56" i="6"/>
  <c r="AN32" i="6"/>
  <c r="AD30" i="7"/>
  <c r="I124" i="4"/>
  <c r="I151" i="4" s="1"/>
  <c r="AB39" i="7"/>
  <c r="H33" i="2"/>
  <c r="I68" i="6"/>
  <c r="M68" i="6"/>
  <c r="F364" i="9"/>
  <c r="AA134" i="5"/>
  <c r="L73" i="11"/>
  <c r="I16" i="2"/>
  <c r="AC25" i="4"/>
  <c r="AC30" i="4" s="1"/>
  <c r="AC44" i="2"/>
  <c r="AH45" i="4"/>
  <c r="AI45" i="4"/>
  <c r="M43" i="7"/>
  <c r="M143" i="4" s="1"/>
  <c r="M142" i="4"/>
  <c r="M46" i="7"/>
  <c r="M47" i="7" s="1"/>
  <c r="Z69" i="5"/>
  <c r="U54" i="3"/>
  <c r="Y56" i="3"/>
  <c r="Y59" i="3"/>
  <c r="L24" i="2"/>
  <c r="AB45" i="3"/>
  <c r="N483" i="9"/>
  <c r="U2" i="5"/>
  <c r="AE421" i="9"/>
  <c r="Y323" i="9"/>
  <c r="AE44" i="19"/>
  <c r="AH9" i="1"/>
  <c r="AH10" i="1" s="1"/>
  <c r="U8" i="11"/>
  <c r="U2" i="2"/>
  <c r="U2" i="7"/>
  <c r="AF543" i="9"/>
  <c r="AI9" i="1"/>
  <c r="AI10" i="1" s="1"/>
  <c r="U2" i="9"/>
  <c r="U2" i="6"/>
  <c r="AE323" i="9"/>
  <c r="G364" i="9"/>
  <c r="E6" i="4"/>
  <c r="AL26" i="1"/>
  <c r="AR117" i="4"/>
  <c r="AQ117" i="4"/>
  <c r="H481" i="9"/>
  <c r="AF39" i="7"/>
  <c r="G483" i="9"/>
  <c r="F321" i="9"/>
  <c r="AA489" i="9"/>
  <c r="AE489" i="9"/>
  <c r="Y7" i="4"/>
  <c r="Y13" i="19" s="1"/>
  <c r="H62" i="4"/>
  <c r="AB7" i="4"/>
  <c r="AB13" i="19" s="1"/>
  <c r="AB483" i="9"/>
  <c r="AE10" i="1"/>
  <c r="F489" i="9"/>
  <c r="J5" i="4"/>
  <c r="AH12" i="4"/>
  <c r="AH117" i="4" s="1"/>
  <c r="AB12" i="4"/>
  <c r="AB117" i="4" s="1"/>
  <c r="X12" i="4"/>
  <c r="X117" i="4" s="1"/>
  <c r="AB11" i="19"/>
  <c r="AA483" i="9"/>
  <c r="AB482" i="9"/>
  <c r="AP8" i="6"/>
  <c r="AX8" i="6"/>
  <c r="AE7" i="9"/>
  <c r="AE541" i="9" s="1"/>
  <c r="AD323" i="9"/>
  <c r="F361" i="9"/>
  <c r="F486" i="9"/>
  <c r="Z482" i="9"/>
  <c r="AI7" i="4"/>
  <c r="AI13" i="19" s="1"/>
  <c r="AB10" i="4"/>
  <c r="AB112" i="4" s="1"/>
  <c r="AF6" i="4"/>
  <c r="AB489" i="9"/>
  <c r="AF489" i="9"/>
  <c r="E8" i="6"/>
  <c r="AA322" i="9"/>
  <c r="AT8" i="6"/>
  <c r="AD542" i="9"/>
  <c r="AI56" i="6"/>
  <c r="AG322" i="9"/>
  <c r="E32" i="6"/>
  <c r="J483" i="9"/>
  <c r="J420" i="9"/>
  <c r="J543" i="9" s="1"/>
  <c r="AH10" i="4"/>
  <c r="AH112" i="4" s="1"/>
  <c r="AH19" i="4"/>
  <c r="AH25" i="4" s="1"/>
  <c r="AH138" i="4" s="1"/>
  <c r="AH7" i="4"/>
  <c r="AH13" i="19" s="1"/>
  <c r="AF7" i="4"/>
  <c r="AF13" i="19" s="1"/>
  <c r="AE10" i="4"/>
  <c r="AE112" i="4" s="1"/>
  <c r="AP32" i="6"/>
  <c r="AX56" i="6"/>
  <c r="G367" i="9"/>
  <c r="F422" i="9"/>
  <c r="Z321" i="9"/>
  <c r="V321" i="9"/>
  <c r="AA361" i="9"/>
  <c r="G322" i="9"/>
  <c r="X7" i="4"/>
  <c r="X13" i="19" s="1"/>
  <c r="H2" i="6"/>
  <c r="AE482" i="9"/>
  <c r="H420" i="9"/>
  <c r="H543" i="9" s="1"/>
  <c r="AB32" i="6"/>
  <c r="AF26" i="1"/>
  <c r="AD6" i="4"/>
  <c r="AH482" i="9"/>
  <c r="AH360" i="9"/>
  <c r="Y483" i="9"/>
  <c r="Z60" i="3"/>
  <c r="AE543" i="9"/>
  <c r="AE56" i="6"/>
  <c r="AD421" i="9"/>
  <c r="W8" i="6"/>
  <c r="AI32" i="6"/>
  <c r="V19" i="4"/>
  <c r="V25" i="4" s="1"/>
  <c r="V30" i="4" s="1"/>
  <c r="V40" i="4" s="1"/>
  <c r="AF7" i="9"/>
  <c r="AF541" i="9" s="1"/>
  <c r="AI543" i="9"/>
  <c r="AB60" i="3"/>
  <c r="AF421" i="9"/>
  <c r="AE428" i="9"/>
  <c r="AM56" i="6"/>
  <c r="AF542" i="9"/>
  <c r="AF483" i="9"/>
  <c r="N481" i="9"/>
  <c r="AM8" i="6"/>
  <c r="K56" i="6"/>
  <c r="D10" i="4"/>
  <c r="D12" i="4"/>
  <c r="AG59" i="3"/>
  <c r="AG543" i="9"/>
  <c r="AG323" i="9"/>
  <c r="AE542" i="9"/>
  <c r="T12" i="4"/>
  <c r="T117" i="4" s="1"/>
  <c r="W8" i="9"/>
  <c r="F7" i="9"/>
  <c r="F425" i="9"/>
  <c r="AF8" i="9"/>
  <c r="AC428" i="9"/>
  <c r="AB422" i="9"/>
  <c r="AB361" i="9"/>
  <c r="U32" i="11"/>
  <c r="G5" i="4"/>
  <c r="G6" i="4" s="1"/>
  <c r="X11" i="19"/>
  <c r="X15" i="19" s="1"/>
  <c r="AH30" i="7"/>
  <c r="AH421" i="9"/>
  <c r="Y422" i="9"/>
  <c r="Z421" i="9"/>
  <c r="AB8" i="9"/>
  <c r="AE422" i="9"/>
  <c r="AC8" i="6"/>
  <c r="X58" i="3"/>
  <c r="AC421" i="9"/>
  <c r="AG30" i="7"/>
  <c r="AB30" i="7"/>
  <c r="AF367" i="9"/>
  <c r="AD483" i="9"/>
  <c r="AU32" i="6"/>
  <c r="AH367" i="9"/>
  <c r="AI7" i="9"/>
  <c r="AI541" i="9" s="1"/>
  <c r="AB6" i="4"/>
  <c r="AA11" i="19"/>
  <c r="AA15" i="19" s="1"/>
  <c r="AG360" i="9"/>
  <c r="AE8" i="9"/>
  <c r="AE483" i="9"/>
  <c r="G36" i="1"/>
  <c r="AF30" i="7"/>
  <c r="I25" i="1"/>
  <c r="I26" i="1" s="1"/>
  <c r="Z10" i="1"/>
  <c r="G428" i="9"/>
  <c r="X321" i="9"/>
  <c r="Y9" i="1"/>
  <c r="AF323" i="9"/>
  <c r="AF321" i="9"/>
  <c r="V9" i="1"/>
  <c r="V10" i="1" s="1"/>
  <c r="I481" i="9"/>
  <c r="H486" i="9"/>
  <c r="AG421" i="9"/>
  <c r="AG428" i="9"/>
  <c r="I2" i="2"/>
  <c r="I31" i="1"/>
  <c r="I2" i="9"/>
  <c r="AI8" i="9"/>
  <c r="J319" i="9"/>
  <c r="J36" i="1"/>
  <c r="H425" i="9"/>
  <c r="AE322" i="9"/>
  <c r="AC483" i="9"/>
  <c r="AC30" i="7"/>
  <c r="AF322" i="9"/>
  <c r="AE367" i="9"/>
  <c r="AC367" i="9"/>
  <c r="AI30" i="7"/>
  <c r="AD19" i="4"/>
  <c r="AD25" i="4" s="1"/>
  <c r="AD28" i="4" s="1"/>
  <c r="AH6" i="4"/>
  <c r="AC11" i="19"/>
  <c r="AC12" i="19" s="1"/>
  <c r="AC6" i="4"/>
  <c r="AA10" i="4"/>
  <c r="AA112" i="4" s="1"/>
  <c r="X6" i="4"/>
  <c r="AC10" i="4"/>
  <c r="AC112" i="4" s="1"/>
  <c r="AC7" i="4"/>
  <c r="AC13" i="19" s="1"/>
  <c r="AH8" i="9"/>
  <c r="AA7" i="9"/>
  <c r="AA541" i="9" s="1"/>
  <c r="V8" i="6"/>
  <c r="AB59" i="3"/>
  <c r="X323" i="9"/>
  <c r="AC323" i="9"/>
  <c r="M481" i="9"/>
  <c r="G32" i="6"/>
  <c r="Y30" i="7"/>
  <c r="AC482" i="9"/>
  <c r="Z483" i="9"/>
  <c r="X8" i="9"/>
  <c r="K32" i="6"/>
  <c r="AG422" i="9"/>
  <c r="AG56" i="6"/>
  <c r="AK32" i="6"/>
  <c r="AB322" i="9"/>
  <c r="AD7" i="9"/>
  <c r="AD541" i="9" s="1"/>
  <c r="T19" i="4"/>
  <c r="T25" i="4" s="1"/>
  <c r="T28" i="4" s="1"/>
  <c r="T22" i="19"/>
  <c r="AD8" i="6"/>
  <c r="AQ56" i="6"/>
  <c r="AA321" i="9"/>
  <c r="W320" i="9"/>
  <c r="W321" i="9" s="1"/>
  <c r="AI542" i="9"/>
  <c r="W7" i="4"/>
  <c r="W13" i="19" s="1"/>
  <c r="AE7" i="4"/>
  <c r="AE13" i="19" s="1"/>
  <c r="I5" i="4"/>
  <c r="H5" i="4"/>
  <c r="H81" i="3" s="1"/>
  <c r="AA19" i="4"/>
  <c r="AA25" i="4" s="1"/>
  <c r="AA137" i="4" s="1"/>
  <c r="V11" i="19"/>
  <c r="Z12" i="19" s="1"/>
  <c r="AH489" i="9"/>
  <c r="V56" i="6"/>
  <c r="Z56" i="6"/>
  <c r="AD10" i="4"/>
  <c r="AD112" i="4" s="1"/>
  <c r="AB55" i="3"/>
  <c r="F428" i="9"/>
  <c r="U7" i="4"/>
  <c r="U13" i="19" s="1"/>
  <c r="G56" i="6"/>
  <c r="Z361" i="9"/>
  <c r="AG361" i="9"/>
  <c r="AG483" i="9"/>
  <c r="AF360" i="9"/>
  <c r="AE360" i="9"/>
  <c r="AD32" i="6"/>
  <c r="Y37" i="7"/>
  <c r="AA8" i="9"/>
  <c r="AO32" i="6"/>
  <c r="H359" i="9"/>
  <c r="H542" i="9" s="1"/>
  <c r="AQ32" i="6"/>
  <c r="AU56" i="6"/>
  <c r="J359" i="9"/>
  <c r="J542" i="9" s="1"/>
  <c r="G65" i="4"/>
  <c r="AA6" i="4"/>
  <c r="H65" i="4"/>
  <c r="AE6" i="4"/>
  <c r="AD7" i="4"/>
  <c r="AD13" i="19" s="1"/>
  <c r="AA7" i="4"/>
  <c r="AA13" i="19" s="1"/>
  <c r="V7" i="4"/>
  <c r="V13" i="19" s="1"/>
  <c r="Z6" i="4"/>
  <c r="AH428" i="9"/>
  <c r="I486" i="9"/>
  <c r="AB56" i="3"/>
  <c r="Z422" i="9"/>
  <c r="Z7" i="9"/>
  <c r="Z541" i="9" s="1"/>
  <c r="AE361" i="9"/>
  <c r="AA360" i="9"/>
  <c r="AK56" i="6"/>
  <c r="AO56" i="6"/>
  <c r="Z8" i="9"/>
  <c r="AD360" i="9"/>
  <c r="T10" i="4"/>
  <c r="T112" i="4" s="1"/>
  <c r="J428" i="9"/>
  <c r="AI483" i="9"/>
  <c r="AP124" i="4"/>
  <c r="N46" i="7"/>
  <c r="N47" i="7" s="1"/>
  <c r="N142" i="4"/>
  <c r="N43" i="7"/>
  <c r="N143" i="4" s="1"/>
  <c r="I420" i="9"/>
  <c r="I543" i="9" s="1"/>
  <c r="I425" i="9"/>
  <c r="D30" i="4"/>
  <c r="D28" i="4"/>
  <c r="Y125" i="4"/>
  <c r="AB126" i="4"/>
  <c r="X126" i="4"/>
  <c r="AI46" i="7"/>
  <c r="AJ46" i="7" s="1"/>
  <c r="AK46" i="7" s="1"/>
  <c r="AL46" i="7" s="1"/>
  <c r="AM46" i="7" s="1"/>
  <c r="AH47" i="7"/>
  <c r="V2" i="4"/>
  <c r="V58" i="4" s="1"/>
  <c r="V2" i="6"/>
  <c r="V2" i="2"/>
  <c r="V2" i="9"/>
  <c r="W2" i="1"/>
  <c r="W2" i="2" s="1"/>
  <c r="V2" i="3"/>
  <c r="V2" i="5"/>
  <c r="V2" i="11"/>
  <c r="V32" i="11" s="1"/>
  <c r="V2" i="7"/>
  <c r="AH22" i="5"/>
  <c r="AI5" i="5"/>
  <c r="AJ5" i="5" s="1"/>
  <c r="AE84" i="5"/>
  <c r="AD83" i="5"/>
  <c r="AI421" i="9"/>
  <c r="AI367" i="9"/>
  <c r="AH7" i="9"/>
  <c r="AH541" i="9" s="1"/>
  <c r="AG8" i="9"/>
  <c r="AS47" i="4"/>
  <c r="AG320" i="9"/>
  <c r="AG321" i="9" s="1"/>
  <c r="J2" i="7"/>
  <c r="K2" i="1"/>
  <c r="U9" i="1"/>
  <c r="U10" i="1" s="1"/>
  <c r="U46" i="19"/>
  <c r="W9" i="1"/>
  <c r="W10" i="1" s="1"/>
  <c r="AA795" i="9"/>
  <c r="J20" i="11"/>
  <c r="J25" i="11"/>
  <c r="G44" i="11"/>
  <c r="H49" i="11"/>
  <c r="L49" i="11"/>
  <c r="G68" i="11"/>
  <c r="AC62" i="3"/>
  <c r="AD44" i="19"/>
  <c r="AK28" i="1"/>
  <c r="AD795" i="9"/>
  <c r="AD17" i="2"/>
  <c r="AE17" i="2" s="1"/>
  <c r="I17" i="2" s="1"/>
  <c r="AE11" i="2"/>
  <c r="AE62" i="3" s="1"/>
  <c r="AJ6" i="4"/>
  <c r="AA797" i="9"/>
  <c r="AG9" i="1"/>
  <c r="AG10" i="1" s="1"/>
  <c r="AG800" i="9"/>
  <c r="AG795" i="9"/>
  <c r="AK6" i="4"/>
  <c r="AP12" i="19"/>
  <c r="K124" i="4"/>
  <c r="K151" i="4" s="1"/>
  <c r="Z796" i="9"/>
  <c r="Z800" i="9"/>
  <c r="Z46" i="19"/>
  <c r="L14" i="6"/>
  <c r="G20" i="11"/>
  <c r="H44" i="11"/>
  <c r="L44" i="11"/>
  <c r="AB9" i="1"/>
  <c r="AB10" i="1" s="1"/>
  <c r="AB800" i="9"/>
  <c r="AB46" i="19"/>
  <c r="AD23" i="2"/>
  <c r="AE23" i="2" s="1"/>
  <c r="I23" i="2" s="1"/>
  <c r="AE800" i="9"/>
  <c r="AE46" i="19"/>
  <c r="AE15" i="19"/>
  <c r="AJ26" i="1"/>
  <c r="AF795" i="9"/>
  <c r="AE797" i="9"/>
  <c r="AH796" i="9"/>
  <c r="AI800" i="9"/>
  <c r="X9" i="1"/>
  <c r="X10" i="1" s="1"/>
  <c r="X46" i="19"/>
  <c r="Y70" i="3"/>
  <c r="J44" i="6"/>
  <c r="N49" i="6"/>
  <c r="I73" i="6"/>
  <c r="H44" i="2"/>
  <c r="M38" i="11"/>
  <c r="M44" i="11"/>
  <c r="AB19" i="4"/>
  <c r="AB25" i="4" s="1"/>
  <c r="AC800" i="9"/>
  <c r="AC46" i="19"/>
  <c r="AC28" i="2"/>
  <c r="AC38" i="7" s="1"/>
  <c r="AC39" i="7" s="1"/>
  <c r="AD9" i="1"/>
  <c r="AD10" i="1" s="1"/>
  <c r="AD800" i="9"/>
  <c r="AD46" i="19"/>
  <c r="AD41" i="2"/>
  <c r="AE41" i="2" s="1"/>
  <c r="I41" i="2" s="1"/>
  <c r="AE795" i="9"/>
  <c r="I12" i="2"/>
  <c r="AE34" i="2"/>
  <c r="I34" i="2" s="1"/>
  <c r="Z489" i="9"/>
  <c r="AD489" i="9"/>
  <c r="AG797" i="9"/>
  <c r="AI101" i="5"/>
  <c r="AI797" i="9"/>
  <c r="AJ7" i="4"/>
  <c r="AJ13" i="19" s="1"/>
  <c r="AI45" i="3"/>
  <c r="J45" i="3" s="1"/>
  <c r="J366" i="9"/>
  <c r="J367" i="9" s="1"/>
  <c r="N47" i="4"/>
  <c r="AH483" i="9"/>
  <c r="AG367" i="9"/>
  <c r="J2" i="4"/>
  <c r="J58" i="4" s="1"/>
  <c r="AF361" i="9"/>
  <c r="I10" i="9"/>
  <c r="H8" i="1"/>
  <c r="G47" i="4"/>
  <c r="X29" i="2"/>
  <c r="X57" i="2" s="1"/>
  <c r="G44" i="2"/>
  <c r="AA800" i="9"/>
  <c r="AA46" i="19"/>
  <c r="AA796" i="9"/>
  <c r="AA28" i="2"/>
  <c r="AA38" i="7" s="1"/>
  <c r="AA39" i="7" s="1"/>
  <c r="I25" i="11"/>
  <c r="M25" i="11"/>
  <c r="G49" i="11"/>
  <c r="M73" i="11"/>
  <c r="AB27" i="1"/>
  <c r="AB70" i="3"/>
  <c r="AC795" i="9"/>
  <c r="I43" i="4"/>
  <c r="AE42" i="4"/>
  <c r="I42" i="4" s="1"/>
  <c r="AF9" i="1"/>
  <c r="AF800" i="9"/>
  <c r="AG796" i="9"/>
  <c r="AH800" i="9"/>
  <c r="AH795" i="9"/>
  <c r="J29" i="3"/>
  <c r="V56" i="3"/>
  <c r="AG55" i="3"/>
  <c r="AD58" i="3"/>
  <c r="U60" i="3"/>
  <c r="AB54" i="3"/>
  <c r="Y54" i="3"/>
  <c r="AE55" i="3"/>
  <c r="AG54" i="3"/>
  <c r="AD56" i="3"/>
  <c r="Z141" i="5"/>
  <c r="Z142" i="5" s="1"/>
  <c r="T260" i="9"/>
  <c r="T261" i="9" s="1"/>
  <c r="T70" i="3"/>
  <c r="AG56" i="3"/>
  <c r="AB47" i="3"/>
  <c r="J109" i="3"/>
  <c r="K9" i="3"/>
  <c r="V55" i="3"/>
  <c r="V54" i="3"/>
  <c r="Z54" i="3"/>
  <c r="AD59" i="3"/>
  <c r="AD54" i="3"/>
  <c r="AG45" i="3"/>
  <c r="AH45" i="3"/>
  <c r="K41" i="3"/>
  <c r="V58" i="3"/>
  <c r="Z56" i="3"/>
  <c r="AD55" i="3"/>
  <c r="AF54" i="3"/>
  <c r="Z59" i="3"/>
  <c r="Z58" i="3"/>
  <c r="U58" i="2"/>
  <c r="T142" i="5"/>
  <c r="G131" i="5"/>
  <c r="G141" i="5" s="1"/>
  <c r="G142" i="5" s="1"/>
  <c r="U70" i="3"/>
  <c r="V60" i="3"/>
  <c r="AA55" i="3"/>
  <c r="AA59" i="3"/>
  <c r="AF58" i="3"/>
  <c r="U260" i="9"/>
  <c r="U261" i="9" s="1"/>
  <c r="AD45" i="3"/>
  <c r="J131" i="5"/>
  <c r="J141" i="5" s="1"/>
  <c r="AG70" i="3"/>
  <c r="AG58" i="2"/>
  <c r="AE58" i="3"/>
  <c r="AE56" i="3"/>
  <c r="T60" i="3"/>
  <c r="I109" i="3"/>
  <c r="AF59" i="3"/>
  <c r="G51" i="3"/>
  <c r="G54" i="3" s="1"/>
  <c r="AB140" i="5"/>
  <c r="AB142" i="5" s="1"/>
  <c r="T56" i="3"/>
  <c r="AE54" i="3"/>
  <c r="AE60" i="3"/>
  <c r="W70" i="3"/>
  <c r="AF60" i="3"/>
  <c r="AF55" i="3"/>
  <c r="T54" i="3"/>
  <c r="W260" i="9"/>
  <c r="W261" i="9" s="1"/>
  <c r="J51" i="3"/>
  <c r="J56" i="3" s="1"/>
  <c r="AB75" i="3"/>
  <c r="AB64" i="2" s="1"/>
  <c r="T55" i="3"/>
  <c r="T58" i="3"/>
  <c r="AF75" i="3"/>
  <c r="AF76" i="3" s="1"/>
  <c r="V47" i="3"/>
  <c r="AF45" i="3"/>
  <c r="W58" i="3"/>
  <c r="W56" i="3"/>
  <c r="V260" i="9"/>
  <c r="V261" i="9" s="1"/>
  <c r="Z134" i="5"/>
  <c r="H91" i="3"/>
  <c r="AC55" i="3"/>
  <c r="H5" i="3"/>
  <c r="H140" i="5" s="1"/>
  <c r="G91" i="3"/>
  <c r="G109" i="3"/>
  <c r="AA11" i="3"/>
  <c r="AA19" i="3" s="1"/>
  <c r="H19" i="3" s="1"/>
  <c r="AH60" i="3"/>
  <c r="V70" i="3"/>
  <c r="Z260" i="9"/>
  <c r="Z261" i="9" s="1"/>
  <c r="V58" i="2"/>
  <c r="W21" i="19"/>
  <c r="W22" i="19" s="1"/>
  <c r="Z21" i="19"/>
  <c r="Z22" i="19" s="1"/>
  <c r="AA70" i="3"/>
  <c r="X260" i="9"/>
  <c r="X261" i="9" s="1"/>
  <c r="U47" i="3"/>
  <c r="AH54" i="3"/>
  <c r="I131" i="5"/>
  <c r="I141" i="5" s="1"/>
  <c r="X60" i="3"/>
  <c r="AC45" i="3"/>
  <c r="AH55" i="3"/>
  <c r="AH56" i="3"/>
  <c r="AH58" i="3"/>
  <c r="AS116" i="1"/>
  <c r="AS118" i="1"/>
  <c r="AS115" i="1"/>
  <c r="AA142" i="5"/>
  <c r="AB134" i="5"/>
  <c r="W142" i="5"/>
  <c r="V142" i="5"/>
  <c r="Y142" i="5"/>
  <c r="U142" i="5"/>
  <c r="X142" i="5"/>
  <c r="AH361" i="9"/>
  <c r="AH422" i="9"/>
  <c r="AH542" i="9"/>
  <c r="AE321" i="9"/>
  <c r="AD321" i="9"/>
  <c r="AI422" i="9"/>
  <c r="AI428" i="9"/>
  <c r="AH543" i="9"/>
  <c r="AI489" i="9"/>
  <c r="AI361" i="9"/>
  <c r="Y489" i="9"/>
  <c r="AI323" i="9"/>
  <c r="AI360" i="9"/>
  <c r="AF428" i="9"/>
  <c r="I489" i="9"/>
  <c r="M489" i="9"/>
  <c r="AG489" i="9"/>
  <c r="AH322" i="9"/>
  <c r="J364" i="9"/>
  <c r="J425" i="9"/>
  <c r="AI482" i="9"/>
  <c r="G489" i="9"/>
  <c r="H367" i="9"/>
  <c r="AA367" i="9"/>
  <c r="Y47" i="3"/>
  <c r="J37" i="3"/>
  <c r="G52" i="3"/>
  <c r="G57" i="3" s="1"/>
  <c r="X70" i="3"/>
  <c r="AB136" i="5"/>
  <c r="AC56" i="3"/>
  <c r="U56" i="3"/>
  <c r="H51" i="3"/>
  <c r="H54" i="3" s="1"/>
  <c r="AA58" i="3"/>
  <c r="X56" i="3"/>
  <c r="X86" i="3"/>
  <c r="X87" i="3" s="1"/>
  <c r="AC54" i="3"/>
  <c r="AC141" i="5"/>
  <c r="T58" i="2"/>
  <c r="G69" i="3"/>
  <c r="U59" i="3"/>
  <c r="T105" i="3"/>
  <c r="G105" i="3" s="1"/>
  <c r="M24" i="2"/>
  <c r="AA56" i="3"/>
  <c r="AA58" i="2"/>
  <c r="AC59" i="3"/>
  <c r="I51" i="3"/>
  <c r="I54" i="3" s="1"/>
  <c r="AC60" i="3"/>
  <c r="U58" i="3"/>
  <c r="W45" i="3"/>
  <c r="W47" i="3" s="1"/>
  <c r="AA60" i="3"/>
  <c r="X55" i="3"/>
  <c r="X58" i="2"/>
  <c r="X21" i="19"/>
  <c r="X22" i="19" s="1"/>
  <c r="W58" i="2"/>
  <c r="Z58" i="2"/>
  <c r="H109" i="3"/>
  <c r="AC134" i="5"/>
  <c r="X59" i="3"/>
  <c r="K14" i="3"/>
  <c r="K132" i="1"/>
  <c r="AP132" i="1"/>
  <c r="AQ132" i="1" s="1"/>
  <c r="AR132" i="1" s="1"/>
  <c r="AS132" i="1" s="1"/>
  <c r="AT132" i="1" s="1"/>
  <c r="AU132" i="1" s="1"/>
  <c r="J31" i="1"/>
  <c r="AJ28" i="1"/>
  <c r="AJ27" i="1"/>
  <c r="U22" i="19"/>
  <c r="U15" i="19"/>
  <c r="Y12" i="19"/>
  <c r="Y15" i="19"/>
  <c r="Z15" i="19"/>
  <c r="AP27" i="19"/>
  <c r="AD15" i="19"/>
  <c r="AP33" i="19"/>
  <c r="L41" i="3"/>
  <c r="AR41" i="3"/>
  <c r="AS41" i="3" s="1"/>
  <c r="AT41" i="3" s="1"/>
  <c r="AU41" i="3" s="1"/>
  <c r="AR9" i="3"/>
  <c r="AS9" i="3" s="1"/>
  <c r="AT9" i="3" s="1"/>
  <c r="AU9" i="3" s="1"/>
  <c r="L9" i="3"/>
  <c r="J11" i="9"/>
  <c r="J422" i="9"/>
  <c r="J361" i="9"/>
  <c r="K40" i="3"/>
  <c r="AR39" i="3"/>
  <c r="AS39" i="3" s="1"/>
  <c r="AT39" i="3" s="1"/>
  <c r="AU39" i="3" s="1"/>
  <c r="L39" i="3"/>
  <c r="L28" i="3"/>
  <c r="AR28" i="3"/>
  <c r="AS28" i="3" s="1"/>
  <c r="AT28" i="3" s="1"/>
  <c r="AU28" i="3" s="1"/>
  <c r="E28" i="4"/>
  <c r="AC33" i="4"/>
  <c r="W15" i="19"/>
  <c r="AC138" i="4"/>
  <c r="AR16" i="2"/>
  <c r="M15" i="4"/>
  <c r="AR47" i="4"/>
  <c r="M47" i="4" s="1"/>
  <c r="L15" i="4"/>
  <c r="AK5" i="5"/>
  <c r="L56" i="6"/>
  <c r="L8" i="6"/>
  <c r="L32" i="6"/>
  <c r="G321" i="9"/>
  <c r="G11" i="9"/>
  <c r="G422" i="9"/>
  <c r="K38" i="11"/>
  <c r="K49" i="11"/>
  <c r="K44" i="11"/>
  <c r="AG18" i="2"/>
  <c r="AH18" i="2" s="1"/>
  <c r="AP43" i="3"/>
  <c r="AQ43" i="3" s="1"/>
  <c r="K43" i="3"/>
  <c r="AF105" i="3"/>
  <c r="G68" i="4"/>
  <c r="I427" i="9"/>
  <c r="I428" i="9" s="1"/>
  <c r="H36" i="1"/>
  <c r="H6" i="9"/>
  <c r="H361" i="9" s="1"/>
  <c r="AA8" i="6"/>
  <c r="AA56" i="6"/>
  <c r="AA32" i="6"/>
  <c r="X56" i="6"/>
  <c r="X32" i="6"/>
  <c r="T8" i="6"/>
  <c r="T56" i="6"/>
  <c r="AE26" i="2"/>
  <c r="I26" i="2" s="1"/>
  <c r="I44" i="3"/>
  <c r="AA44" i="3"/>
  <c r="H44" i="3" s="1"/>
  <c r="H40" i="3"/>
  <c r="AG28" i="4"/>
  <c r="AG137" i="4"/>
  <c r="AG30" i="4"/>
  <c r="AG72" i="2" s="1"/>
  <c r="AG81" i="2" s="1"/>
  <c r="AG237" i="9" s="1"/>
  <c r="AF25" i="4"/>
  <c r="G361" i="9"/>
  <c r="U25" i="4"/>
  <c r="Y25" i="4"/>
  <c r="T32" i="6"/>
  <c r="I359" i="9"/>
  <c r="I542" i="9" s="1"/>
  <c r="I364" i="9"/>
  <c r="AJ133" i="5"/>
  <c r="H3" i="7"/>
  <c r="H3" i="6"/>
  <c r="H3" i="4"/>
  <c r="H59" i="4" s="1"/>
  <c r="H3" i="5"/>
  <c r="H3" i="3"/>
  <c r="H3" i="9"/>
  <c r="AA57" i="3"/>
  <c r="H52" i="3"/>
  <c r="H57" i="3" s="1"/>
  <c r="AD16" i="19"/>
  <c r="AD12" i="4"/>
  <c r="AD117" i="4" s="1"/>
  <c r="AE11" i="4"/>
  <c r="AE16" i="19" s="1"/>
  <c r="AE48" i="4"/>
  <c r="I22" i="4"/>
  <c r="E40" i="4"/>
  <c r="E51" i="4" s="1"/>
  <c r="F28" i="4"/>
  <c r="J29" i="7"/>
  <c r="K28" i="3"/>
  <c r="AH30" i="4"/>
  <c r="AH72" i="2" s="1"/>
  <c r="X8" i="6"/>
  <c r="K47" i="4"/>
  <c r="K16" i="2"/>
  <c r="J19" i="1"/>
  <c r="J22" i="1" s="1"/>
  <c r="I12" i="9"/>
  <c r="I674" i="9"/>
  <c r="I36" i="1"/>
  <c r="U38" i="7"/>
  <c r="U39" i="7" s="1"/>
  <c r="U29" i="2"/>
  <c r="G28" i="2"/>
  <c r="AP10" i="3"/>
  <c r="AQ10" i="3" s="1"/>
  <c r="K10" i="3"/>
  <c r="AL47" i="7"/>
  <c r="H63" i="4"/>
  <c r="X47" i="3"/>
  <c r="W38" i="7"/>
  <c r="W39" i="7" s="1"/>
  <c r="W29" i="2"/>
  <c r="Y21" i="19"/>
  <c r="Y22" i="19" s="1"/>
  <c r="Y58" i="2"/>
  <c r="Y260" i="9"/>
  <c r="Y261" i="9" s="1"/>
  <c r="H69" i="3"/>
  <c r="K20" i="6"/>
  <c r="K14" i="6"/>
  <c r="K25" i="6"/>
  <c r="N44" i="6"/>
  <c r="J68" i="6"/>
  <c r="J73" i="6"/>
  <c r="J62" i="6"/>
  <c r="AA37" i="3"/>
  <c r="H29" i="3"/>
  <c r="H319" i="9"/>
  <c r="H10" i="9"/>
  <c r="AC542" i="9"/>
  <c r="Z360" i="9"/>
  <c r="AA62" i="3"/>
  <c r="H62" i="3" s="1"/>
  <c r="H11" i="2"/>
  <c r="D8" i="6"/>
  <c r="D56" i="6"/>
  <c r="D32" i="6"/>
  <c r="L38" i="11"/>
  <c r="AD21" i="2"/>
  <c r="AE21" i="2" s="1"/>
  <c r="AD10" i="2"/>
  <c r="AD91" i="3"/>
  <c r="AD45" i="4"/>
  <c r="AD14" i="2"/>
  <c r="AI11" i="2"/>
  <c r="AI62" i="3" s="1"/>
  <c r="AH20" i="2"/>
  <c r="AI20" i="2" s="1"/>
  <c r="AH26" i="2"/>
  <c r="AG62" i="3"/>
  <c r="W2" i="5"/>
  <c r="I367" i="9"/>
  <c r="AC320" i="9"/>
  <c r="AC321" i="9" s="1"/>
  <c r="AC422" i="9"/>
  <c r="AB320" i="9"/>
  <c r="AB321" i="9" s="1"/>
  <c r="AB7" i="9"/>
  <c r="AB541" i="9" s="1"/>
  <c r="H23" i="2"/>
  <c r="T47" i="3"/>
  <c r="Y38" i="7"/>
  <c r="Y39" i="7" s="1"/>
  <c r="AI42" i="7"/>
  <c r="AH43" i="7"/>
  <c r="N14" i="6"/>
  <c r="N25" i="6"/>
  <c r="N20" i="6"/>
  <c r="K49" i="6"/>
  <c r="K38" i="6"/>
  <c r="AA9" i="1"/>
  <c r="H33" i="1"/>
  <c r="AA260" i="9"/>
  <c r="AA261" i="9" s="1"/>
  <c r="AA21" i="19"/>
  <c r="T8" i="11"/>
  <c r="T56" i="11"/>
  <c r="I38" i="11"/>
  <c r="J38" i="11"/>
  <c r="I44" i="11"/>
  <c r="I49" i="11"/>
  <c r="AB21" i="19"/>
  <c r="AB58" i="2"/>
  <c r="AB260" i="9"/>
  <c r="AB261" i="9" s="1"/>
  <c r="AC9" i="1"/>
  <c r="I33" i="1"/>
  <c r="I8" i="5"/>
  <c r="I113" i="3" s="1"/>
  <c r="AC113" i="3"/>
  <c r="AI6" i="4"/>
  <c r="W2" i="9"/>
  <c r="Y60" i="3"/>
  <c r="H364" i="9"/>
  <c r="AC361" i="9"/>
  <c r="AB360" i="9"/>
  <c r="AB367" i="9"/>
  <c r="AC360" i="9"/>
  <c r="H428" i="9"/>
  <c r="G8" i="2"/>
  <c r="Y10" i="1"/>
  <c r="H38" i="1"/>
  <c r="T29" i="2"/>
  <c r="T38" i="7"/>
  <c r="T39" i="7" s="1"/>
  <c r="V29" i="2"/>
  <c r="H131" i="5"/>
  <c r="H141" i="5" s="1"/>
  <c r="W54" i="3"/>
  <c r="W55" i="3"/>
  <c r="K24" i="2"/>
  <c r="AH8" i="6"/>
  <c r="AH32" i="6"/>
  <c r="N24" i="2"/>
  <c r="AF47" i="7"/>
  <c r="N141" i="4"/>
  <c r="I141" i="4"/>
  <c r="I143" i="4"/>
  <c r="AF43" i="7"/>
  <c r="L43" i="7"/>
  <c r="L143" i="4" s="1"/>
  <c r="AG47" i="7"/>
  <c r="M141" i="4"/>
  <c r="AG43" i="7"/>
  <c r="L141" i="4"/>
  <c r="K141" i="4"/>
  <c r="J143" i="4"/>
  <c r="Z12" i="4"/>
  <c r="Z117" i="4" s="1"/>
  <c r="Z10" i="4"/>
  <c r="Z112" i="4" s="1"/>
  <c r="K44" i="6"/>
  <c r="L38" i="6"/>
  <c r="K62" i="6"/>
  <c r="AY32" i="6"/>
  <c r="AY56" i="6"/>
  <c r="AV56" i="6"/>
  <c r="AV8" i="6"/>
  <c r="I14" i="6"/>
  <c r="J14" i="6"/>
  <c r="H37" i="7"/>
  <c r="AA35" i="2"/>
  <c r="H35" i="2" s="1"/>
  <c r="H34" i="2"/>
  <c r="J62" i="11"/>
  <c r="I62" i="11"/>
  <c r="I68" i="11"/>
  <c r="I73" i="11"/>
  <c r="AH28" i="1"/>
  <c r="AB26" i="1"/>
  <c r="AF28" i="1"/>
  <c r="AC27" i="1"/>
  <c r="AC28" i="1"/>
  <c r="AD28" i="1"/>
  <c r="AE28" i="1"/>
  <c r="AB674" i="9"/>
  <c r="I11" i="2"/>
  <c r="AD38" i="2"/>
  <c r="AE38" i="2" s="1"/>
  <c r="I38" i="2" s="1"/>
  <c r="AD62" i="3"/>
  <c r="AG27" i="1"/>
  <c r="AF674" i="9"/>
  <c r="AF27" i="1"/>
  <c r="I483" i="9"/>
  <c r="J481" i="9"/>
  <c r="AC489" i="9"/>
  <c r="AD482" i="9"/>
  <c r="AH34" i="2"/>
  <c r="AI34" i="2" s="1"/>
  <c r="J34" i="2" s="1"/>
  <c r="AH43" i="2"/>
  <c r="AI43" i="2" s="1"/>
  <c r="J43" i="2" s="1"/>
  <c r="H68" i="11"/>
  <c r="M68" i="11"/>
  <c r="AD12" i="19"/>
  <c r="AD20" i="2"/>
  <c r="AD33" i="2"/>
  <c r="AD40" i="2"/>
  <c r="AE40" i="2" s="1"/>
  <c r="AE13" i="2"/>
  <c r="I13" i="2" s="1"/>
  <c r="AE48" i="2"/>
  <c r="I48" i="2" s="1"/>
  <c r="AI11" i="4"/>
  <c r="AI16" i="19" s="1"/>
  <c r="AI48" i="2"/>
  <c r="J48" i="2" s="1"/>
  <c r="AH13" i="2"/>
  <c r="AI13" i="2" s="1"/>
  <c r="AH41" i="2"/>
  <c r="AI12" i="2"/>
  <c r="AC69" i="3"/>
  <c r="AE22" i="2"/>
  <c r="I22" i="2" s="1"/>
  <c r="AE18" i="2"/>
  <c r="I18" i="2" s="1"/>
  <c r="AI24" i="2"/>
  <c r="J24" i="2" s="1"/>
  <c r="AI38" i="2"/>
  <c r="AH14" i="2"/>
  <c r="AI14" i="2" s="1"/>
  <c r="AH33" i="2"/>
  <c r="AI33" i="2" s="1"/>
  <c r="AH40" i="2"/>
  <c r="AH320" i="9"/>
  <c r="AI26" i="1"/>
  <c r="AI60" i="3"/>
  <c r="AP60" i="3" s="1"/>
  <c r="AQ60" i="3" s="1"/>
  <c r="AR60" i="3" s="1"/>
  <c r="AS60" i="3" s="1"/>
  <c r="AT60" i="3" s="1"/>
  <c r="AU60" i="3" s="1"/>
  <c r="AV60" i="3" s="1"/>
  <c r="AW60" i="3" s="1"/>
  <c r="AX60" i="3" s="1"/>
  <c r="AY60" i="3" s="1"/>
  <c r="AI54" i="3"/>
  <c r="AP54" i="3" s="1"/>
  <c r="AQ54" i="3" s="1"/>
  <c r="AR54" i="3" s="1"/>
  <c r="AS54" i="3" s="1"/>
  <c r="AT54" i="3" s="1"/>
  <c r="AU54" i="3" s="1"/>
  <c r="AV54" i="3" s="1"/>
  <c r="AW54" i="3" s="1"/>
  <c r="AX54" i="3" s="1"/>
  <c r="AY54" i="3" s="1"/>
  <c r="AI56" i="3"/>
  <c r="AP56" i="3" s="1"/>
  <c r="AQ56" i="3" s="1"/>
  <c r="AR56" i="3" s="1"/>
  <c r="AS56" i="3" s="1"/>
  <c r="AT56" i="3" s="1"/>
  <c r="AU56" i="3" s="1"/>
  <c r="AV56" i="3" s="1"/>
  <c r="AW56" i="3" s="1"/>
  <c r="AX56" i="3" s="1"/>
  <c r="AY56" i="3" s="1"/>
  <c r="AI58" i="3"/>
  <c r="AP58" i="3" s="1"/>
  <c r="AQ58" i="3" s="1"/>
  <c r="AR58" i="3" s="1"/>
  <c r="AS58" i="3" s="1"/>
  <c r="AT58" i="3" s="1"/>
  <c r="AU58" i="3" s="1"/>
  <c r="AV58" i="3" s="1"/>
  <c r="AW58" i="3" s="1"/>
  <c r="AX58" i="3" s="1"/>
  <c r="AY58" i="3" s="1"/>
  <c r="AI55" i="3"/>
  <c r="AP55" i="3" s="1"/>
  <c r="AQ55" i="3" s="1"/>
  <c r="AR55" i="3" s="1"/>
  <c r="AS55" i="3" s="1"/>
  <c r="AT55" i="3" s="1"/>
  <c r="AU55" i="3" s="1"/>
  <c r="AV55" i="3" s="1"/>
  <c r="AW55" i="3" s="1"/>
  <c r="AX55" i="3" s="1"/>
  <c r="AY55" i="3" s="1"/>
  <c r="AC35" i="2"/>
  <c r="AG35" i="2"/>
  <c r="AH10" i="2"/>
  <c r="AH17" i="2"/>
  <c r="AH23" i="2"/>
  <c r="AI52" i="3"/>
  <c r="AI10" i="2"/>
  <c r="AP36" i="19"/>
  <c r="AP13" i="19"/>
  <c r="AP15" i="19"/>
  <c r="AP39" i="19"/>
  <c r="J7" i="9" l="1"/>
  <c r="J541" i="9" s="1"/>
  <c r="I321" i="9"/>
  <c r="I422" i="9"/>
  <c r="I11" i="9"/>
  <c r="AI47" i="7"/>
  <c r="AI12" i="19"/>
  <c r="AM12" i="19"/>
  <c r="AJ47" i="7"/>
  <c r="AK47" i="7"/>
  <c r="Y57" i="2"/>
  <c r="AI15" i="19"/>
  <c r="AS34" i="19"/>
  <c r="AB22" i="19"/>
  <c r="AT198" i="1"/>
  <c r="AU195" i="1" s="1"/>
  <c r="AU197" i="1" s="1"/>
  <c r="AU775" i="9" s="1"/>
  <c r="AT775" i="9"/>
  <c r="AP212" i="1"/>
  <c r="AP218" i="1" s="1"/>
  <c r="AQ184" i="1" s="1"/>
  <c r="AO581" i="9"/>
  <c r="AK238" i="9"/>
  <c r="J321" i="9"/>
  <c r="X30" i="4"/>
  <c r="X72" i="2" s="1"/>
  <c r="X81" i="2" s="1"/>
  <c r="J91" i="3"/>
  <c r="Z30" i="4"/>
  <c r="AH28" i="4"/>
  <c r="J105" i="3"/>
  <c r="M16" i="2"/>
  <c r="AF15" i="19"/>
  <c r="H28" i="2"/>
  <c r="H38" i="7" s="1"/>
  <c r="H39" i="7" s="1"/>
  <c r="AH137" i="4"/>
  <c r="AA29" i="2"/>
  <c r="H29" i="2" s="1"/>
  <c r="AG88" i="2"/>
  <c r="AG82" i="2"/>
  <c r="L75" i="2"/>
  <c r="M75" i="2"/>
  <c r="J73" i="2"/>
  <c r="N75" i="2"/>
  <c r="I48" i="4"/>
  <c r="AE77" i="2"/>
  <c r="I77" i="2" s="1"/>
  <c r="I73" i="2"/>
  <c r="AH12" i="19"/>
  <c r="W28" i="4"/>
  <c r="AF22" i="19"/>
  <c r="AF12" i="19"/>
  <c r="V51" i="4"/>
  <c r="V108" i="4" s="1"/>
  <c r="AH81" i="2"/>
  <c r="AH237" i="9" s="1"/>
  <c r="I81" i="3"/>
  <c r="AC6" i="2"/>
  <c r="AC8" i="2" s="1"/>
  <c r="AC72" i="2"/>
  <c r="AC81" i="2" s="1"/>
  <c r="AC237" i="9" s="1"/>
  <c r="AH15" i="19"/>
  <c r="J81" i="3"/>
  <c r="AE57" i="3"/>
  <c r="H142" i="5"/>
  <c r="H11" i="3"/>
  <c r="J12" i="2"/>
  <c r="AI79" i="2"/>
  <c r="J79" i="2" s="1"/>
  <c r="I62" i="3"/>
  <c r="Y59" i="2"/>
  <c r="L34" i="3"/>
  <c r="AB15" i="19"/>
  <c r="J9" i="1"/>
  <c r="J45" i="4"/>
  <c r="AH44" i="2"/>
  <c r="X2" i="1"/>
  <c r="L16" i="2"/>
  <c r="AG12" i="19"/>
  <c r="H9" i="1"/>
  <c r="J26" i="1"/>
  <c r="H19" i="4"/>
  <c r="AE45" i="3"/>
  <c r="AA28" i="4"/>
  <c r="AC40" i="4"/>
  <c r="Z59" i="2"/>
  <c r="Z200" i="9" s="1"/>
  <c r="V28" i="4"/>
  <c r="V33" i="4"/>
  <c r="V53" i="3" s="1"/>
  <c r="V151" i="4"/>
  <c r="W124" i="4"/>
  <c r="I16" i="4"/>
  <c r="AE91" i="3"/>
  <c r="AE105" i="3" s="1"/>
  <c r="AE10" i="2"/>
  <c r="I10" i="2" s="1"/>
  <c r="AE45" i="4"/>
  <c r="I45" i="4" s="1"/>
  <c r="AC137" i="4"/>
  <c r="AE12" i="19"/>
  <c r="AR120" i="4"/>
  <c r="AR118" i="4"/>
  <c r="J11" i="2"/>
  <c r="AC28" i="4"/>
  <c r="AO626" i="9"/>
  <c r="AB35" i="7"/>
  <c r="AB37" i="7" s="1"/>
  <c r="AF64" i="2"/>
  <c r="AA30" i="4"/>
  <c r="AA40" i="4" s="1"/>
  <c r="AA51" i="4" s="1"/>
  <c r="AA138" i="4"/>
  <c r="H138" i="4" s="1"/>
  <c r="H145" i="4" s="1"/>
  <c r="H56" i="3"/>
  <c r="AB12" i="19"/>
  <c r="X12" i="19"/>
  <c r="V8" i="11"/>
  <c r="AA12" i="19"/>
  <c r="G56" i="3"/>
  <c r="J10" i="4"/>
  <c r="J112" i="4" s="1"/>
  <c r="H6" i="4"/>
  <c r="AA22" i="19"/>
  <c r="H68" i="4"/>
  <c r="H79" i="4" s="1"/>
  <c r="H39" i="1"/>
  <c r="AR12" i="19"/>
  <c r="V22" i="19"/>
  <c r="G10" i="4"/>
  <c r="G112" i="4" s="1"/>
  <c r="J322" i="9"/>
  <c r="G12" i="4"/>
  <c r="G117" i="4" s="1"/>
  <c r="V56" i="11"/>
  <c r="AC15" i="19"/>
  <c r="V15" i="19"/>
  <c r="I6" i="4"/>
  <c r="H76" i="4"/>
  <c r="H12" i="4"/>
  <c r="H117" i="4" s="1"/>
  <c r="H10" i="4"/>
  <c r="H112" i="4" s="1"/>
  <c r="J6" i="4"/>
  <c r="G19" i="4"/>
  <c r="J54" i="3"/>
  <c r="T30" i="4"/>
  <c r="T40" i="4" s="1"/>
  <c r="T51" i="4" s="1"/>
  <c r="AD30" i="4"/>
  <c r="AD72" i="2" s="1"/>
  <c r="AD81" i="2" s="1"/>
  <c r="AD237" i="9" s="1"/>
  <c r="AD137" i="4"/>
  <c r="AD138" i="4"/>
  <c r="J55" i="3"/>
  <c r="I10" i="4"/>
  <c r="I112" i="4" s="1"/>
  <c r="G58" i="3"/>
  <c r="G59" i="3"/>
  <c r="AC29" i="2"/>
  <c r="AC50" i="2" s="1"/>
  <c r="AC53" i="2" s="1"/>
  <c r="H59" i="3"/>
  <c r="H58" i="3"/>
  <c r="X50" i="2"/>
  <c r="X52" i="2" s="1"/>
  <c r="AI18" i="2"/>
  <c r="J18" i="2" s="1"/>
  <c r="AF35" i="7"/>
  <c r="AF37" i="7" s="1"/>
  <c r="K2" i="6"/>
  <c r="K2" i="3"/>
  <c r="K2" i="9"/>
  <c r="K2" i="5"/>
  <c r="K2" i="2"/>
  <c r="K2" i="4"/>
  <c r="K58" i="4" s="1"/>
  <c r="L2" i="1"/>
  <c r="K2" i="7"/>
  <c r="AA10" i="1"/>
  <c r="H10" i="1" s="1"/>
  <c r="I21" i="2"/>
  <c r="J60" i="3"/>
  <c r="H137" i="4"/>
  <c r="AF10" i="1"/>
  <c r="J10" i="1" s="1"/>
  <c r="W2" i="3"/>
  <c r="W2" i="6"/>
  <c r="W2" i="11"/>
  <c r="W2" i="4"/>
  <c r="W58" i="4" s="1"/>
  <c r="W2" i="7"/>
  <c r="AC126" i="4"/>
  <c r="Y126" i="4"/>
  <c r="Z125" i="4"/>
  <c r="D40" i="4"/>
  <c r="D51" i="4" s="1"/>
  <c r="D33" i="4"/>
  <c r="AB76" i="3"/>
  <c r="J58" i="3"/>
  <c r="J59" i="3"/>
  <c r="G60" i="3"/>
  <c r="G55" i="3"/>
  <c r="H58" i="2"/>
  <c r="H60" i="3"/>
  <c r="K40" i="2"/>
  <c r="AT116" i="1"/>
  <c r="AT118" i="1"/>
  <c r="AT115" i="1"/>
  <c r="I56" i="3"/>
  <c r="AQ39" i="19"/>
  <c r="H40" i="1"/>
  <c r="Z158" i="9"/>
  <c r="G260" i="9"/>
  <c r="G261" i="9" s="1"/>
  <c r="G70" i="3"/>
  <c r="Y86" i="3"/>
  <c r="Y87" i="3" s="1"/>
  <c r="G58" i="2"/>
  <c r="G45" i="3"/>
  <c r="G47" i="3" s="1"/>
  <c r="H55" i="3"/>
  <c r="I60" i="3"/>
  <c r="I58" i="3"/>
  <c r="I55" i="3"/>
  <c r="I59" i="3"/>
  <c r="K26" i="3"/>
  <c r="K41" i="2"/>
  <c r="AQ124" i="4"/>
  <c r="AP151" i="4"/>
  <c r="L132" i="1"/>
  <c r="J38" i="2"/>
  <c r="U30" i="4"/>
  <c r="U28" i="4"/>
  <c r="G25" i="4"/>
  <c r="G28" i="4" s="1"/>
  <c r="AI69" i="3"/>
  <c r="AI21" i="19" s="1"/>
  <c r="AI22" i="19" s="1"/>
  <c r="AI35" i="2"/>
  <c r="I40" i="2"/>
  <c r="T57" i="2"/>
  <c r="G29" i="2"/>
  <c r="T50" i="2"/>
  <c r="X2" i="5"/>
  <c r="X2" i="4"/>
  <c r="X58" i="4" s="1"/>
  <c r="X2" i="9"/>
  <c r="X2" i="7"/>
  <c r="Y2" i="1"/>
  <c r="X2" i="2"/>
  <c r="X2" i="3"/>
  <c r="X2" i="11"/>
  <c r="X2" i="6"/>
  <c r="AA45" i="3"/>
  <c r="H37" i="3"/>
  <c r="W50" i="2"/>
  <c r="W57" i="2"/>
  <c r="W59" i="2" s="1"/>
  <c r="AR10" i="3"/>
  <c r="AS10" i="3" s="1"/>
  <c r="AT10" i="3" s="1"/>
  <c r="AU10" i="3" s="1"/>
  <c r="L10" i="3"/>
  <c r="AH6" i="2"/>
  <c r="AH8" i="2" s="1"/>
  <c r="AH33" i="4"/>
  <c r="AH40" i="4"/>
  <c r="H8" i="6"/>
  <c r="H32" i="6"/>
  <c r="H56" i="6"/>
  <c r="H7" i="9"/>
  <c r="H541" i="9" s="1"/>
  <c r="H11" i="9"/>
  <c r="I7" i="9"/>
  <c r="I541" i="9" s="1"/>
  <c r="H422" i="9"/>
  <c r="L43" i="3"/>
  <c r="AR43" i="3"/>
  <c r="AS43" i="3" s="1"/>
  <c r="AT43" i="3" s="1"/>
  <c r="AU43" i="3" s="1"/>
  <c r="M39" i="3"/>
  <c r="AV39" i="3"/>
  <c r="AW39" i="3" s="1"/>
  <c r="AX39" i="3" s="1"/>
  <c r="AY39" i="3" s="1"/>
  <c r="N39" i="3" s="1"/>
  <c r="J14" i="2"/>
  <c r="AE44" i="2"/>
  <c r="AG75" i="3"/>
  <c r="J62" i="3"/>
  <c r="F40" i="4"/>
  <c r="F51" i="4" s="1"/>
  <c r="F33" i="4"/>
  <c r="M9" i="3"/>
  <c r="AV9" i="3"/>
  <c r="AW9" i="3" s="1"/>
  <c r="AX9" i="3" s="1"/>
  <c r="AY9" i="3" s="1"/>
  <c r="N9" i="3" s="1"/>
  <c r="AI23" i="2"/>
  <c r="J23" i="2" s="1"/>
  <c r="AI12" i="4"/>
  <c r="AI117" i="4" s="1"/>
  <c r="J11" i="4"/>
  <c r="J12" i="4" s="1"/>
  <c r="J117" i="4" s="1"/>
  <c r="AI19" i="4"/>
  <c r="AD69" i="3"/>
  <c r="AD35" i="2"/>
  <c r="AD44" i="2"/>
  <c r="AI40" i="2"/>
  <c r="AI43" i="7"/>
  <c r="AJ42" i="7"/>
  <c r="AL132" i="5"/>
  <c r="AI26" i="2"/>
  <c r="J26" i="2" s="1"/>
  <c r="AE33" i="2"/>
  <c r="AE14" i="2"/>
  <c r="I14" i="2" s="1"/>
  <c r="X33" i="4"/>
  <c r="E63" i="2"/>
  <c r="E120" i="9"/>
  <c r="Y30" i="4"/>
  <c r="Y72" i="2" s="1"/>
  <c r="Y81" i="2" s="1"/>
  <c r="Y28" i="4"/>
  <c r="AF137" i="4"/>
  <c r="AF138" i="4"/>
  <c r="AF28" i="4"/>
  <c r="AF30" i="4"/>
  <c r="AF72" i="2" s="1"/>
  <c r="K27" i="3"/>
  <c r="K25" i="2"/>
  <c r="H25" i="4"/>
  <c r="H28" i="4" s="1"/>
  <c r="AB30" i="4"/>
  <c r="AB72" i="2" s="1"/>
  <c r="AB137" i="4"/>
  <c r="AB28" i="4"/>
  <c r="AB138" i="4"/>
  <c r="AL5" i="5"/>
  <c r="AC35" i="4"/>
  <c r="AC20" i="19" s="1"/>
  <c r="AC53" i="3"/>
  <c r="AV28" i="3"/>
  <c r="AW28" i="3" s="1"/>
  <c r="AX28" i="3" s="1"/>
  <c r="AY28" i="3" s="1"/>
  <c r="N28" i="3" s="1"/>
  <c r="M28" i="3"/>
  <c r="M34" i="3"/>
  <c r="AV34" i="3"/>
  <c r="AW34" i="3" s="1"/>
  <c r="AX34" i="3" s="1"/>
  <c r="AY34" i="3" s="1"/>
  <c r="N34" i="3" s="1"/>
  <c r="AP162" i="1"/>
  <c r="AP161" i="1"/>
  <c r="AP164" i="1"/>
  <c r="M41" i="3"/>
  <c r="AV41" i="3"/>
  <c r="AW41" i="3" s="1"/>
  <c r="AX41" i="3" s="1"/>
  <c r="AY41" i="3" s="1"/>
  <c r="N41" i="3" s="1"/>
  <c r="J13" i="2"/>
  <c r="AC10" i="1"/>
  <c r="I10" i="1" s="1"/>
  <c r="I9" i="1"/>
  <c r="AD105" i="3"/>
  <c r="H70" i="3"/>
  <c r="H260" i="9"/>
  <c r="H261" i="9" s="1"/>
  <c r="AG33" i="4"/>
  <c r="AG6" i="2"/>
  <c r="AG8" i="2" s="1"/>
  <c r="AG29" i="2" s="1"/>
  <c r="AG40" i="4"/>
  <c r="AR13" i="19"/>
  <c r="AI57" i="3"/>
  <c r="AP57" i="3" s="1"/>
  <c r="AQ57" i="3" s="1"/>
  <c r="AR57" i="3" s="1"/>
  <c r="AS57" i="3" s="1"/>
  <c r="AT57" i="3" s="1"/>
  <c r="AU57" i="3" s="1"/>
  <c r="AV57" i="3" s="1"/>
  <c r="AW57" i="3" s="1"/>
  <c r="AX57" i="3" s="1"/>
  <c r="AY57" i="3" s="1"/>
  <c r="J52" i="3"/>
  <c r="J57" i="3" s="1"/>
  <c r="J10" i="2"/>
  <c r="AI17" i="2"/>
  <c r="J17" i="2" s="1"/>
  <c r="AH35" i="2"/>
  <c r="J35" i="2" s="1"/>
  <c r="AH69" i="3"/>
  <c r="AH21" i="19" s="1"/>
  <c r="AH22" i="19" s="1"/>
  <c r="J33" i="2"/>
  <c r="AC21" i="19"/>
  <c r="AC22" i="19" s="1"/>
  <c r="AC75" i="3"/>
  <c r="AC58" i="2"/>
  <c r="AC260" i="9"/>
  <c r="AC261" i="9" s="1"/>
  <c r="AC70" i="3"/>
  <c r="AI41" i="2"/>
  <c r="J41" i="2" s="1"/>
  <c r="AD28" i="2"/>
  <c r="AE20" i="2"/>
  <c r="AE28" i="2" s="1"/>
  <c r="V50" i="2"/>
  <c r="V57" i="2"/>
  <c r="V59" i="2" s="1"/>
  <c r="AH28" i="2"/>
  <c r="J20" i="2"/>
  <c r="H321" i="9"/>
  <c r="H322" i="9"/>
  <c r="I322" i="9"/>
  <c r="AN46" i="7"/>
  <c r="AM47" i="7"/>
  <c r="U57" i="2"/>
  <c r="U59" i="2" s="1"/>
  <c r="U50" i="2"/>
  <c r="X59" i="2"/>
  <c r="J12" i="9"/>
  <c r="J13" i="9" s="1"/>
  <c r="K19" i="1"/>
  <c r="AE12" i="4"/>
  <c r="AE117" i="4" s="1"/>
  <c r="I11" i="4"/>
  <c r="I12" i="4" s="1"/>
  <c r="I117" i="4" s="1"/>
  <c r="AE19" i="4"/>
  <c r="W40" i="4"/>
  <c r="W51" i="4" s="1"/>
  <c r="W33" i="4"/>
  <c r="W53" i="3" s="1"/>
  <c r="I45" i="3"/>
  <c r="AA57" i="2"/>
  <c r="AA59" i="2" s="1"/>
  <c r="M132" i="1"/>
  <c r="AV132" i="1"/>
  <c r="AW132" i="1" s="1"/>
  <c r="AX132" i="1" s="1"/>
  <c r="AY132" i="1" s="1"/>
  <c r="AQ178" i="1"/>
  <c r="AR178" i="1" s="1"/>
  <c r="K178" i="1"/>
  <c r="X40" i="4" l="1"/>
  <c r="X51" i="4" s="1"/>
  <c r="AQ35" i="19"/>
  <c r="AS35" i="19"/>
  <c r="AU198" i="1"/>
  <c r="AV195" i="1" s="1"/>
  <c r="AV197" i="1" s="1"/>
  <c r="AV775" i="9" s="1"/>
  <c r="M197" i="1"/>
  <c r="AP731" i="9"/>
  <c r="AP186" i="1"/>
  <c r="AP187" i="1" s="1"/>
  <c r="AP223" i="1" s="1"/>
  <c r="X88" i="2"/>
  <c r="X237" i="9"/>
  <c r="Y88" i="2"/>
  <c r="Y237" i="9"/>
  <c r="AC238" i="9" s="1"/>
  <c r="AD239" i="9"/>
  <c r="AH238" i="9"/>
  <c r="AH239" i="9"/>
  <c r="AL238" i="9"/>
  <c r="AG238" i="9"/>
  <c r="AK83" i="2"/>
  <c r="AA50" i="2"/>
  <c r="AA52" i="2" s="1"/>
  <c r="Z72" i="2"/>
  <c r="Z81" i="2" s="1"/>
  <c r="Z33" i="4"/>
  <c r="Z53" i="3" s="1"/>
  <c r="Z40" i="4"/>
  <c r="Z51" i="4" s="1"/>
  <c r="AC88" i="2"/>
  <c r="AC82" i="2"/>
  <c r="AG83" i="2" s="1"/>
  <c r="AH88" i="2"/>
  <c r="AH82" i="2"/>
  <c r="AD88" i="2"/>
  <c r="AD82" i="2"/>
  <c r="AB81" i="2"/>
  <c r="AB237" i="9" s="1"/>
  <c r="AC239" i="9" s="1"/>
  <c r="AG51" i="4"/>
  <c r="AG18" i="19" s="1"/>
  <c r="AA139" i="4"/>
  <c r="AB136" i="4" s="1"/>
  <c r="AB139" i="4" s="1"/>
  <c r="AC136" i="4" s="1"/>
  <c r="AC139" i="4" s="1"/>
  <c r="AD136" i="4" s="1"/>
  <c r="AD139" i="4" s="1"/>
  <c r="AE136" i="4" s="1"/>
  <c r="V52" i="4"/>
  <c r="V31" i="7"/>
  <c r="V34" i="7" s="1"/>
  <c r="AC51" i="4"/>
  <c r="AC108" i="4" s="1"/>
  <c r="AH51" i="4"/>
  <c r="AH18" i="19" s="1"/>
  <c r="AH19" i="19" s="1"/>
  <c r="V18" i="19"/>
  <c r="V17" i="19" s="1"/>
  <c r="V143" i="5"/>
  <c r="V144" i="5" s="1"/>
  <c r="V120" i="9"/>
  <c r="V121" i="9" s="1"/>
  <c r="V99" i="4"/>
  <c r="AF81" i="2"/>
  <c r="AF237" i="9" s="1"/>
  <c r="AA33" i="4"/>
  <c r="AA53" i="3" s="1"/>
  <c r="AA72" i="2"/>
  <c r="AA81" i="2" s="1"/>
  <c r="I105" i="3"/>
  <c r="Z61" i="2"/>
  <c r="Y158" i="9"/>
  <c r="Z160" i="9" s="1"/>
  <c r="Y61" i="2"/>
  <c r="Y200" i="9"/>
  <c r="Z202" i="9" s="1"/>
  <c r="Y23" i="19"/>
  <c r="I44" i="2"/>
  <c r="X124" i="4"/>
  <c r="W151" i="4"/>
  <c r="Z23" i="19"/>
  <c r="AS120" i="4"/>
  <c r="AS117" i="4"/>
  <c r="AS118" i="4"/>
  <c r="Z86" i="3"/>
  <c r="AA86" i="3" s="1"/>
  <c r="I91" i="3"/>
  <c r="AF36" i="7"/>
  <c r="AQ185" i="1"/>
  <c r="AQ212" i="1"/>
  <c r="AQ731" i="9" s="1"/>
  <c r="K86" i="1"/>
  <c r="T31" i="7"/>
  <c r="T34" i="7" s="1"/>
  <c r="T52" i="4"/>
  <c r="T120" i="9"/>
  <c r="T121" i="9" s="1"/>
  <c r="T99" i="4"/>
  <c r="T143" i="5"/>
  <c r="T144" i="5" s="1"/>
  <c r="T18" i="19"/>
  <c r="T17" i="19" s="1"/>
  <c r="T108" i="4"/>
  <c r="AC57" i="2"/>
  <c r="AC59" i="2" s="1"/>
  <c r="AD6" i="2"/>
  <c r="AD8" i="2" s="1"/>
  <c r="AD29" i="2" s="1"/>
  <c r="AD40" i="4"/>
  <c r="AD51" i="4" s="1"/>
  <c r="AD33" i="4"/>
  <c r="T33" i="4"/>
  <c r="T53" i="3" s="1"/>
  <c r="AA125" i="4"/>
  <c r="AD126" i="4"/>
  <c r="Z126" i="4"/>
  <c r="AA108" i="4"/>
  <c r="AA31" i="7"/>
  <c r="AA18" i="19"/>
  <c r="AA143" i="5"/>
  <c r="AA144" i="5" s="1"/>
  <c r="AA99" i="4"/>
  <c r="AA120" i="9"/>
  <c r="AA121" i="9" s="1"/>
  <c r="AA52" i="4"/>
  <c r="W56" i="11"/>
  <c r="W32" i="11"/>
  <c r="W8" i="11"/>
  <c r="AI44" i="2"/>
  <c r="J44" i="2" s="1"/>
  <c r="D63" i="2"/>
  <c r="D120" i="9"/>
  <c r="D121" i="9" s="1"/>
  <c r="L2" i="9"/>
  <c r="L2" i="2"/>
  <c r="L2" i="5"/>
  <c r="L2" i="4"/>
  <c r="L58" i="4" s="1"/>
  <c r="M2" i="1"/>
  <c r="L2" i="7"/>
  <c r="L2" i="6"/>
  <c r="L2" i="3"/>
  <c r="K18" i="2"/>
  <c r="AU116" i="1"/>
  <c r="AU115" i="1"/>
  <c r="AU118" i="1"/>
  <c r="K15" i="2"/>
  <c r="AQ151" i="4"/>
  <c r="AR124" i="4"/>
  <c r="L124" i="4"/>
  <c r="L151" i="4" s="1"/>
  <c r="AJ674" i="9"/>
  <c r="V23" i="19"/>
  <c r="V200" i="9"/>
  <c r="V158" i="9"/>
  <c r="V61" i="2"/>
  <c r="Z60" i="2"/>
  <c r="AH58" i="2"/>
  <c r="AH75" i="3"/>
  <c r="AH260" i="9"/>
  <c r="AH261" i="9" s="1"/>
  <c r="AH70" i="3"/>
  <c r="J69" i="3"/>
  <c r="AG50" i="2"/>
  <c r="AG57" i="2"/>
  <c r="AG59" i="2" s="1"/>
  <c r="AG23" i="19" s="1"/>
  <c r="K39" i="2"/>
  <c r="K21" i="3"/>
  <c r="J40" i="2"/>
  <c r="AP14" i="3"/>
  <c r="AV10" i="3"/>
  <c r="AW10" i="3" s="1"/>
  <c r="AX10" i="3" s="1"/>
  <c r="AY10" i="3" s="1"/>
  <c r="N10" i="3" s="1"/>
  <c r="M10" i="3"/>
  <c r="W120" i="9"/>
  <c r="W108" i="4"/>
  <c r="W52" i="4"/>
  <c r="W31" i="7"/>
  <c r="W99" i="4"/>
  <c r="W18" i="19"/>
  <c r="W143" i="5"/>
  <c r="W144" i="5" s="1"/>
  <c r="AH29" i="2"/>
  <c r="AH38" i="7"/>
  <c r="AH39" i="7" s="1"/>
  <c r="AQ162" i="1"/>
  <c r="AQ164" i="1"/>
  <c r="AQ161" i="1"/>
  <c r="AP40" i="3"/>
  <c r="AB40" i="4"/>
  <c r="AB51" i="4" s="1"/>
  <c r="AB33" i="4"/>
  <c r="AB6" i="2"/>
  <c r="AF40" i="4"/>
  <c r="AF51" i="4" s="1"/>
  <c r="AF6" i="2"/>
  <c r="AF33" i="4"/>
  <c r="X53" i="3"/>
  <c r="AG35" i="7"/>
  <c r="AG64" i="2"/>
  <c r="AG76" i="3"/>
  <c r="AH53" i="3"/>
  <c r="AH35" i="4"/>
  <c r="AH20" i="19" s="1"/>
  <c r="W158" i="9"/>
  <c r="W61" i="2"/>
  <c r="W200" i="9"/>
  <c r="W23" i="19"/>
  <c r="X56" i="11"/>
  <c r="X32" i="11"/>
  <c r="X8" i="11"/>
  <c r="T53" i="2"/>
  <c r="G50" i="2"/>
  <c r="G30" i="4"/>
  <c r="U33" i="4"/>
  <c r="U40" i="4"/>
  <c r="U51" i="4" s="1"/>
  <c r="AI28" i="2"/>
  <c r="J28" i="2" s="1"/>
  <c r="J38" i="7" s="1"/>
  <c r="J39" i="7" s="1"/>
  <c r="AL133" i="5"/>
  <c r="AI25" i="4"/>
  <c r="J19" i="4"/>
  <c r="F120" i="9"/>
  <c r="F63" i="2"/>
  <c r="AA47" i="3"/>
  <c r="H45" i="3"/>
  <c r="H47" i="3" s="1"/>
  <c r="H57" i="2"/>
  <c r="I20" i="2"/>
  <c r="AM5" i="5"/>
  <c r="E121" i="9"/>
  <c r="H52" i="2"/>
  <c r="AJ43" i="7"/>
  <c r="AK42" i="7"/>
  <c r="AD75" i="3"/>
  <c r="AD21" i="19"/>
  <c r="AD22" i="19" s="1"/>
  <c r="AD260" i="9"/>
  <c r="AD261" i="9" s="1"/>
  <c r="AD58" i="2"/>
  <c r="AD70" i="3"/>
  <c r="AV43" i="3"/>
  <c r="AW43" i="3" s="1"/>
  <c r="AX43" i="3" s="1"/>
  <c r="AY43" i="3" s="1"/>
  <c r="N43" i="3" s="1"/>
  <c r="M43" i="3"/>
  <c r="K16" i="3"/>
  <c r="AA23" i="19"/>
  <c r="AA61" i="2"/>
  <c r="AA60" i="2"/>
  <c r="AA200" i="9"/>
  <c r="AA158" i="9"/>
  <c r="Y2" i="2"/>
  <c r="Y2" i="4"/>
  <c r="Y58" i="4" s="1"/>
  <c r="Z2" i="1"/>
  <c r="Y2" i="11"/>
  <c r="Y2" i="6"/>
  <c r="Y2" i="7"/>
  <c r="Y2" i="5"/>
  <c r="Y2" i="9"/>
  <c r="Y2" i="3"/>
  <c r="AP69" i="1"/>
  <c r="AE25" i="4"/>
  <c r="I19" i="4"/>
  <c r="U200" i="9"/>
  <c r="U158" i="9"/>
  <c r="U23" i="19"/>
  <c r="AE38" i="7"/>
  <c r="AE39" i="7" s="1"/>
  <c r="AC35" i="7"/>
  <c r="AC37" i="7" s="1"/>
  <c r="AC64" i="2"/>
  <c r="AC76" i="3"/>
  <c r="AG35" i="4"/>
  <c r="AG20" i="19" s="1"/>
  <c r="AG53" i="3"/>
  <c r="AQ37" i="19"/>
  <c r="X158" i="9"/>
  <c r="X61" i="2"/>
  <c r="X23" i="19"/>
  <c r="H59" i="2"/>
  <c r="X200" i="9"/>
  <c r="AO46" i="7"/>
  <c r="AN47" i="7"/>
  <c r="AD38" i="7"/>
  <c r="AD39" i="7" s="1"/>
  <c r="I28" i="2"/>
  <c r="I38" i="7" s="1"/>
  <c r="I39" i="7" s="1"/>
  <c r="AD51" i="2"/>
  <c r="AC5" i="3"/>
  <c r="AG63" i="2"/>
  <c r="Y33" i="4"/>
  <c r="Y53" i="3" s="1"/>
  <c r="Y40" i="4"/>
  <c r="Y51" i="4" s="1"/>
  <c r="H30" i="4"/>
  <c r="AE69" i="3"/>
  <c r="AE35" i="2"/>
  <c r="I35" i="2" s="1"/>
  <c r="I33" i="2"/>
  <c r="Y60" i="2"/>
  <c r="G57" i="2"/>
  <c r="T59" i="2"/>
  <c r="AI70" i="3"/>
  <c r="AI75" i="3"/>
  <c r="AI58" i="2"/>
  <c r="AI260" i="9"/>
  <c r="AI261" i="9" s="1"/>
  <c r="L178" i="1"/>
  <c r="N132" i="1"/>
  <c r="AS178" i="1"/>
  <c r="AT178" i="1" s="1"/>
  <c r="AU178" i="1" s="1"/>
  <c r="AV178" i="1" s="1"/>
  <c r="K39" i="1"/>
  <c r="K66" i="1"/>
  <c r="AH108" i="4" l="1"/>
  <c r="AH63" i="2"/>
  <c r="H139" i="4"/>
  <c r="AH120" i="9"/>
  <c r="AH31" i="7"/>
  <c r="AV198" i="1"/>
  <c r="AW195" i="1" s="1"/>
  <c r="AW197" i="1" s="1"/>
  <c r="AW775" i="9" s="1"/>
  <c r="AP190" i="1"/>
  <c r="AP189" i="1"/>
  <c r="Y239" i="9"/>
  <c r="AA88" i="2"/>
  <c r="AA237" i="9"/>
  <c r="AB239" i="9" s="1"/>
  <c r="Z88" i="2"/>
  <c r="Z237" i="9"/>
  <c r="AB238" i="9"/>
  <c r="AF238" i="9"/>
  <c r="AJ238" i="9"/>
  <c r="AG239" i="9"/>
  <c r="AH83" i="2"/>
  <c r="AL83" i="2"/>
  <c r="V19" i="19"/>
  <c r="AH143" i="5"/>
  <c r="Z120" i="9"/>
  <c r="Z121" i="9" s="1"/>
  <c r="Z99" i="4"/>
  <c r="Z18" i="19"/>
  <c r="Z31" i="7"/>
  <c r="Z108" i="4"/>
  <c r="Z52" i="4"/>
  <c r="Z143" i="5"/>
  <c r="Z144" i="5" s="1"/>
  <c r="H50" i="2"/>
  <c r="H51" i="2" s="1"/>
  <c r="AH52" i="4"/>
  <c r="AF88" i="2"/>
  <c r="AF82" i="2"/>
  <c r="AB88" i="2"/>
  <c r="AB82" i="2"/>
  <c r="AH17" i="19"/>
  <c r="AG52" i="4"/>
  <c r="AC31" i="7"/>
  <c r="AC99" i="4"/>
  <c r="AG31" i="7"/>
  <c r="AG32" i="7" s="1"/>
  <c r="AG108" i="4"/>
  <c r="AG143" i="5"/>
  <c r="AG120" i="9"/>
  <c r="AG121" i="9" s="1"/>
  <c r="AC18" i="19"/>
  <c r="AC19" i="19" s="1"/>
  <c r="AG19" i="19"/>
  <c r="AG17" i="19"/>
  <c r="H72" i="2"/>
  <c r="H81" i="2" s="1"/>
  <c r="H237" i="9" s="1"/>
  <c r="V40" i="7"/>
  <c r="V41" i="7" s="1"/>
  <c r="V32" i="7"/>
  <c r="AC52" i="4"/>
  <c r="AC63" i="2"/>
  <c r="AC65" i="2" s="1"/>
  <c r="AC120" i="9"/>
  <c r="AC121" i="9" s="1"/>
  <c r="AC143" i="5"/>
  <c r="Y201" i="9"/>
  <c r="Z87" i="3"/>
  <c r="AC17" i="19"/>
  <c r="Y124" i="4"/>
  <c r="X151" i="4"/>
  <c r="T40" i="7"/>
  <c r="T41" i="7" s="1"/>
  <c r="AT120" i="4"/>
  <c r="AT117" i="4"/>
  <c r="AT118" i="4"/>
  <c r="T32" i="7"/>
  <c r="E122" i="9"/>
  <c r="AP220" i="1"/>
  <c r="AP581" i="9" s="1"/>
  <c r="AQ218" i="1"/>
  <c r="AR184" i="1" s="1"/>
  <c r="L212" i="1"/>
  <c r="T19" i="19"/>
  <c r="AD35" i="4"/>
  <c r="AD20" i="19" s="1"/>
  <c r="AD53" i="3"/>
  <c r="AD18" i="19"/>
  <c r="AD63" i="2"/>
  <c r="AD120" i="9"/>
  <c r="AD52" i="4"/>
  <c r="AD143" i="5"/>
  <c r="AD31" i="7"/>
  <c r="AD108" i="4"/>
  <c r="AA126" i="4"/>
  <c r="AE126" i="4"/>
  <c r="AA17" i="19"/>
  <c r="AA19" i="19"/>
  <c r="M2" i="7"/>
  <c r="N2" i="1"/>
  <c r="M2" i="9"/>
  <c r="M2" i="5"/>
  <c r="M2" i="2"/>
  <c r="M2" i="4"/>
  <c r="M58" i="4" s="1"/>
  <c r="M2" i="6"/>
  <c r="M2" i="3"/>
  <c r="AA32" i="7"/>
  <c r="AA40" i="7"/>
  <c r="AA41" i="7" s="1"/>
  <c r="AA34" i="7"/>
  <c r="W202" i="9"/>
  <c r="AE21" i="19"/>
  <c r="AE22" i="19" s="1"/>
  <c r="AV116" i="1"/>
  <c r="AV115" i="1"/>
  <c r="AV118" i="1"/>
  <c r="J75" i="3"/>
  <c r="J35" i="7" s="1"/>
  <c r="J37" i="7" s="1"/>
  <c r="W160" i="9"/>
  <c r="AG65" i="2"/>
  <c r="AP26" i="3"/>
  <c r="AS124" i="4"/>
  <c r="AR151" i="4"/>
  <c r="AP129" i="4"/>
  <c r="K125" i="4"/>
  <c r="K36" i="4" s="1"/>
  <c r="AD50" i="2"/>
  <c r="AD53" i="2" s="1"/>
  <c r="AD57" i="2"/>
  <c r="AD59" i="2" s="1"/>
  <c r="H40" i="4"/>
  <c r="AE58" i="2"/>
  <c r="I58" i="2" s="1"/>
  <c r="AE260" i="9"/>
  <c r="AE261" i="9" s="1"/>
  <c r="AE70" i="3"/>
  <c r="AE75" i="3"/>
  <c r="I69" i="3"/>
  <c r="AG40" i="7"/>
  <c r="X202" i="9"/>
  <c r="AA2" i="1"/>
  <c r="Z2" i="5"/>
  <c r="Z2" i="9"/>
  <c r="Z2" i="11"/>
  <c r="Z2" i="6"/>
  <c r="Z2" i="2"/>
  <c r="Z2" i="4"/>
  <c r="Z58" i="4" s="1"/>
  <c r="Z2" i="3"/>
  <c r="Z2" i="7"/>
  <c r="Y202" i="9"/>
  <c r="AA202" i="9"/>
  <c r="AA201" i="9"/>
  <c r="AC40" i="7"/>
  <c r="AC41" i="7" s="1"/>
  <c r="AD35" i="7"/>
  <c r="AD76" i="3"/>
  <c r="AD64" i="2"/>
  <c r="AN5" i="5"/>
  <c r="F122" i="9"/>
  <c r="F121" i="9"/>
  <c r="AB86" i="3"/>
  <c r="AA87" i="3"/>
  <c r="H87" i="3" s="1"/>
  <c r="H86" i="3"/>
  <c r="AI38" i="7"/>
  <c r="AI39" i="7" s="1"/>
  <c r="Y159" i="9"/>
  <c r="AF8" i="2"/>
  <c r="AB8" i="2"/>
  <c r="AR164" i="1"/>
  <c r="AR162" i="1"/>
  <c r="AR161" i="1"/>
  <c r="AH57" i="2"/>
  <c r="AH59" i="2" s="1"/>
  <c r="AH23" i="19" s="1"/>
  <c r="AH50" i="2"/>
  <c r="W19" i="19"/>
  <c r="W17" i="19"/>
  <c r="AQ14" i="3"/>
  <c r="AQ15" i="2" s="1"/>
  <c r="J260" i="9"/>
  <c r="J261" i="9" s="1"/>
  <c r="J70" i="3"/>
  <c r="AH76" i="3"/>
  <c r="AH35" i="7"/>
  <c r="AH40" i="7" s="1"/>
  <c r="AH64" i="2"/>
  <c r="AH65" i="2" s="1"/>
  <c r="V160" i="9"/>
  <c r="Z159" i="9"/>
  <c r="AI76" i="3"/>
  <c r="AI35" i="7"/>
  <c r="AI64" i="2"/>
  <c r="Y99" i="4"/>
  <c r="Y143" i="5"/>
  <c r="Y144" i="5" s="1"/>
  <c r="Y52" i="4"/>
  <c r="Y120" i="9"/>
  <c r="Y108" i="4"/>
  <c r="Y31" i="7"/>
  <c r="Y18" i="19"/>
  <c r="I136" i="4"/>
  <c r="T200" i="9"/>
  <c r="U202" i="9" s="1"/>
  <c r="T158" i="9"/>
  <c r="U160" i="9" s="1"/>
  <c r="G59" i="2"/>
  <c r="T23" i="19"/>
  <c r="AG99" i="4"/>
  <c r="X60" i="2"/>
  <c r="X160" i="9"/>
  <c r="U61" i="2"/>
  <c r="AE28" i="4"/>
  <c r="AE137" i="4"/>
  <c r="I137" i="4" s="1"/>
  <c r="AE138" i="4"/>
  <c r="I138" i="4" s="1"/>
  <c r="I145" i="4" s="1"/>
  <c r="AE30" i="4"/>
  <c r="AE72" i="2" s="1"/>
  <c r="I25" i="4"/>
  <c r="I28" i="4" s="1"/>
  <c r="AQ69" i="1"/>
  <c r="AC23" i="19"/>
  <c r="AC60" i="2"/>
  <c r="AC200" i="9"/>
  <c r="AC158" i="9"/>
  <c r="AK43" i="7"/>
  <c r="AL42" i="7"/>
  <c r="F366" i="9"/>
  <c r="F367" i="9" s="1"/>
  <c r="F99" i="4"/>
  <c r="K32" i="3"/>
  <c r="G40" i="4"/>
  <c r="Y160" i="9"/>
  <c r="H53" i="3"/>
  <c r="AF18" i="19"/>
  <c r="AB53" i="3"/>
  <c r="AB35" i="4"/>
  <c r="W121" i="9"/>
  <c r="W123" i="9"/>
  <c r="AA122" i="9"/>
  <c r="J58" i="2"/>
  <c r="V202" i="9"/>
  <c r="Z201" i="9"/>
  <c r="H158" i="9"/>
  <c r="H200" i="9"/>
  <c r="AH34" i="7"/>
  <c r="AH32" i="7"/>
  <c r="AH99" i="4"/>
  <c r="AI137" i="4"/>
  <c r="J137" i="4" s="1"/>
  <c r="AI30" i="4"/>
  <c r="AI72" i="2" s="1"/>
  <c r="AI28" i="4"/>
  <c r="AI138" i="4"/>
  <c r="J25" i="4"/>
  <c r="J28" i="4" s="1"/>
  <c r="U53" i="3"/>
  <c r="G53" i="3" s="1"/>
  <c r="G33" i="4"/>
  <c r="H33" i="4"/>
  <c r="AQ40" i="3"/>
  <c r="AP40" i="2"/>
  <c r="W40" i="7"/>
  <c r="W41" i="7" s="1"/>
  <c r="W34" i="7"/>
  <c r="W32" i="7"/>
  <c r="AG158" i="9"/>
  <c r="AG60" i="2"/>
  <c r="AG200" i="9"/>
  <c r="AC11" i="3"/>
  <c r="AC19" i="3" s="1"/>
  <c r="AC47" i="3" s="1"/>
  <c r="AC140" i="5"/>
  <c r="AC142" i="5" s="1"/>
  <c r="AP46" i="7"/>
  <c r="AO47" i="7"/>
  <c r="Y32" i="11"/>
  <c r="Y56" i="11"/>
  <c r="Y8" i="11"/>
  <c r="X120" i="9"/>
  <c r="X31" i="7"/>
  <c r="X143" i="5"/>
  <c r="X144" i="5" s="1"/>
  <c r="X52" i="4"/>
  <c r="X108" i="4"/>
  <c r="H51" i="4"/>
  <c r="X18" i="19"/>
  <c r="X99" i="4"/>
  <c r="AA160" i="9"/>
  <c r="AA159" i="9"/>
  <c r="AH121" i="9"/>
  <c r="AG37" i="7"/>
  <c r="AG36" i="7"/>
  <c r="AF35" i="4"/>
  <c r="AF20" i="19" s="1"/>
  <c r="AF53" i="3"/>
  <c r="AP27" i="3"/>
  <c r="AP15" i="2"/>
  <c r="M178" i="1"/>
  <c r="AW178" i="1"/>
  <c r="AX178" i="1" s="1"/>
  <c r="AY178" i="1" s="1"/>
  <c r="K58" i="1"/>
  <c r="K112" i="1"/>
  <c r="K158" i="1"/>
  <c r="K485" i="9" s="1"/>
  <c r="K486" i="9" s="1"/>
  <c r="AC144" i="5" l="1"/>
  <c r="AH123" i="9"/>
  <c r="AH122" i="9"/>
  <c r="AW198" i="1"/>
  <c r="AX195" i="1" s="1"/>
  <c r="AX197" i="1" s="1"/>
  <c r="AX775" i="9" s="1"/>
  <c r="AA123" i="9"/>
  <c r="Z239" i="9"/>
  <c r="AD238" i="9"/>
  <c r="AA239" i="9"/>
  <c r="Z122" i="9"/>
  <c r="AG122" i="9"/>
  <c r="AF83" i="2"/>
  <c r="AJ83" i="2"/>
  <c r="AG34" i="7"/>
  <c r="Z40" i="7"/>
  <c r="Z41" i="7" s="1"/>
  <c r="Z34" i="7"/>
  <c r="Z32" i="7"/>
  <c r="Z17" i="19"/>
  <c r="Z19" i="19"/>
  <c r="AC34" i="7"/>
  <c r="AC32" i="7"/>
  <c r="AC179" i="9"/>
  <c r="AC68" i="2"/>
  <c r="AI81" i="2"/>
  <c r="AI237" i="9" s="1"/>
  <c r="J72" i="2"/>
  <c r="J81" i="2" s="1"/>
  <c r="J237" i="9" s="1"/>
  <c r="AE81" i="2"/>
  <c r="AE237" i="9" s="1"/>
  <c r="I72" i="2"/>
  <c r="I81" i="2" s="1"/>
  <c r="I237" i="9" s="1"/>
  <c r="AG68" i="2"/>
  <c r="AG66" i="2"/>
  <c r="AU120" i="4"/>
  <c r="AU117" i="4"/>
  <c r="AU118" i="4"/>
  <c r="AH67" i="2"/>
  <c r="Z124" i="4"/>
  <c r="Y151" i="4"/>
  <c r="AD65" i="2"/>
  <c r="AD179" i="9" s="1"/>
  <c r="AF19" i="19"/>
  <c r="AF17" i="19"/>
  <c r="AP65" i="4"/>
  <c r="AP94" i="4" s="1"/>
  <c r="AP626" i="9" s="1"/>
  <c r="AP222" i="1"/>
  <c r="AP221" i="1"/>
  <c r="AQ186" i="1"/>
  <c r="AQ187" i="1" s="1"/>
  <c r="L218" i="1"/>
  <c r="AP67" i="1"/>
  <c r="AG179" i="9"/>
  <c r="AD99" i="4"/>
  <c r="AD121" i="9"/>
  <c r="AD123" i="9"/>
  <c r="AD122" i="9"/>
  <c r="AD19" i="19"/>
  <c r="AD17" i="19"/>
  <c r="AD34" i="7"/>
  <c r="AD32" i="7"/>
  <c r="N2" i="6"/>
  <c r="N2" i="5"/>
  <c r="N2" i="3"/>
  <c r="N2" i="2"/>
  <c r="N2" i="9"/>
  <c r="N2" i="7"/>
  <c r="N2" i="4"/>
  <c r="N58" i="4" s="1"/>
  <c r="L15" i="2"/>
  <c r="J76" i="3"/>
  <c r="J64" i="2"/>
  <c r="AW115" i="1"/>
  <c r="AW118" i="1"/>
  <c r="AW116" i="1"/>
  <c r="X159" i="9"/>
  <c r="AQ26" i="3"/>
  <c r="AP41" i="2"/>
  <c r="AT124" i="4"/>
  <c r="AS151" i="4"/>
  <c r="AQ129" i="4"/>
  <c r="AP130" i="4"/>
  <c r="X122" i="9"/>
  <c r="X121" i="9"/>
  <c r="X123" i="9"/>
  <c r="X17" i="19"/>
  <c r="X19" i="19"/>
  <c r="AG159" i="9"/>
  <c r="AP21" i="3"/>
  <c r="AI6" i="2"/>
  <c r="AI33" i="4"/>
  <c r="AI40" i="4"/>
  <c r="AI51" i="4" s="1"/>
  <c r="AI18" i="19" s="1"/>
  <c r="J30" i="4"/>
  <c r="AH44" i="7"/>
  <c r="AH48" i="7" s="1"/>
  <c r="AH41" i="7"/>
  <c r="U143" i="5"/>
  <c r="U144" i="5" s="1"/>
  <c r="U31" i="7"/>
  <c r="U120" i="9"/>
  <c r="Y122" i="9" s="1"/>
  <c r="U99" i="4"/>
  <c r="U108" i="4"/>
  <c r="U18" i="19"/>
  <c r="U52" i="4"/>
  <c r="G51" i="4"/>
  <c r="AP25" i="2"/>
  <c r="AQ27" i="3"/>
  <c r="AP47" i="7"/>
  <c r="AQ46" i="7"/>
  <c r="AG201" i="9"/>
  <c r="AB20" i="19"/>
  <c r="Y121" i="9"/>
  <c r="Y123" i="9"/>
  <c r="Z123" i="9"/>
  <c r="AC122" i="9"/>
  <c r="AH36" i="7"/>
  <c r="AH37" i="7"/>
  <c r="X201" i="9"/>
  <c r="AD5" i="3"/>
  <c r="AE51" i="2"/>
  <c r="AB31" i="7"/>
  <c r="AB143" i="5"/>
  <c r="AB144" i="5" s="1"/>
  <c r="AB120" i="9"/>
  <c r="AB63" i="2"/>
  <c r="AB65" i="2" s="1"/>
  <c r="AB108" i="4"/>
  <c r="AB18" i="19"/>
  <c r="AB52" i="4"/>
  <c r="AC159" i="9"/>
  <c r="AR69" i="1"/>
  <c r="AE33" i="4"/>
  <c r="AE6" i="2"/>
  <c r="AE40" i="4"/>
  <c r="AE51" i="4" s="1"/>
  <c r="I30" i="4"/>
  <c r="Y17" i="19"/>
  <c r="Y19" i="19"/>
  <c r="AR14" i="3"/>
  <c r="L14" i="3"/>
  <c r="AS161" i="1"/>
  <c r="AS164" i="1"/>
  <c r="AS162" i="1"/>
  <c r="AF29" i="2"/>
  <c r="Z62" i="5"/>
  <c r="Z17" i="5"/>
  <c r="Z12" i="5" s="1"/>
  <c r="Z13" i="5" s="1"/>
  <c r="Z16" i="5" s="1"/>
  <c r="Z70" i="5"/>
  <c r="Z126" i="5"/>
  <c r="K91" i="3"/>
  <c r="AC201" i="9"/>
  <c r="G158" i="9"/>
  <c r="G200" i="9"/>
  <c r="H201" i="9" s="1"/>
  <c r="AE139" i="4"/>
  <c r="Y32" i="7"/>
  <c r="Y40" i="7"/>
  <c r="Y41" i="7" s="1"/>
  <c r="Y34" i="7"/>
  <c r="AH200" i="9"/>
  <c r="AH158" i="9"/>
  <c r="AH60" i="2"/>
  <c r="AH61" i="2"/>
  <c r="AB87" i="3"/>
  <c r="AC86" i="3"/>
  <c r="AO5" i="5"/>
  <c r="AD37" i="7"/>
  <c r="AD40" i="7"/>
  <c r="AD41" i="7" s="1"/>
  <c r="AA2" i="11"/>
  <c r="AA2" i="5"/>
  <c r="AA2" i="9"/>
  <c r="AA2" i="7"/>
  <c r="AA2" i="2"/>
  <c r="AA2" i="3"/>
  <c r="AA2" i="4"/>
  <c r="AA58" i="4" s="1"/>
  <c r="AA2" i="6"/>
  <c r="AB2" i="1"/>
  <c r="I260" i="9"/>
  <c r="I261" i="9" s="1"/>
  <c r="I70" i="3"/>
  <c r="H52" i="4"/>
  <c r="H99" i="4"/>
  <c r="H143" i="5"/>
  <c r="H144" i="5" s="1"/>
  <c r="H298" i="9" s="1"/>
  <c r="H31" i="7"/>
  <c r="H108" i="4"/>
  <c r="H63" i="2"/>
  <c r="H120" i="9"/>
  <c r="X34" i="7"/>
  <c r="X40" i="7"/>
  <c r="X41" i="7" s="1"/>
  <c r="X32" i="7"/>
  <c r="L40" i="3"/>
  <c r="AQ40" i="2"/>
  <c r="L40" i="2" s="1"/>
  <c r="AR40" i="3"/>
  <c r="AP16" i="3"/>
  <c r="AP18" i="2" s="1"/>
  <c r="H60" i="2"/>
  <c r="AF52" i="4"/>
  <c r="AF31" i="7"/>
  <c r="AF63" i="2"/>
  <c r="AF65" i="2" s="1"/>
  <c r="AG67" i="2" s="1"/>
  <c r="AF108" i="4"/>
  <c r="AF120" i="9"/>
  <c r="AF143" i="5"/>
  <c r="AL43" i="7"/>
  <c r="AM42" i="7"/>
  <c r="AI37" i="7"/>
  <c r="AH179" i="9"/>
  <c r="AH68" i="2"/>
  <c r="AB29" i="2"/>
  <c r="Z32" i="11"/>
  <c r="Z56" i="11"/>
  <c r="Z8" i="11"/>
  <c r="AG44" i="7"/>
  <c r="AG48" i="7" s="1"/>
  <c r="AG41" i="7"/>
  <c r="AE76" i="3"/>
  <c r="AE64" i="2"/>
  <c r="AE35" i="7"/>
  <c r="AE37" i="7" s="1"/>
  <c r="I75" i="3"/>
  <c r="AD23" i="19"/>
  <c r="AD61" i="2"/>
  <c r="AD60" i="2"/>
  <c r="AD200" i="9"/>
  <c r="AD158" i="9"/>
  <c r="N178" i="1"/>
  <c r="AP39" i="1"/>
  <c r="AP66" i="1"/>
  <c r="AO669" i="9"/>
  <c r="AP159" i="1"/>
  <c r="AI19" i="19" l="1"/>
  <c r="AI17" i="19"/>
  <c r="AX198" i="1"/>
  <c r="AY195" i="1" s="1"/>
  <c r="AY197" i="1" s="1"/>
  <c r="N197" i="1" s="1"/>
  <c r="AE239" i="9"/>
  <c r="AE238" i="9"/>
  <c r="AF239" i="9"/>
  <c r="AI239" i="9"/>
  <c r="AI238" i="9"/>
  <c r="AM238" i="9"/>
  <c r="AJ239" i="9"/>
  <c r="J238" i="9"/>
  <c r="I238" i="9"/>
  <c r="AE88" i="2"/>
  <c r="AE82" i="2"/>
  <c r="I82" i="2" s="1"/>
  <c r="AI88" i="2"/>
  <c r="AI82" i="2"/>
  <c r="AG180" i="9"/>
  <c r="AD181" i="9"/>
  <c r="AP125" i="4"/>
  <c r="AP36" i="4" s="1"/>
  <c r="AD68" i="2"/>
  <c r="Z151" i="4"/>
  <c r="AA124" i="4"/>
  <c r="AA151" i="4" s="1"/>
  <c r="AV120" i="4"/>
  <c r="AV117" i="4"/>
  <c r="AV118" i="4"/>
  <c r="AF66" i="2"/>
  <c r="AH66" i="2"/>
  <c r="AR185" i="1"/>
  <c r="AR212" i="1"/>
  <c r="AQ190" i="1"/>
  <c r="L190" i="1" s="1"/>
  <c r="AQ223" i="1"/>
  <c r="AQ189" i="1"/>
  <c r="L189" i="1" s="1"/>
  <c r="AX118" i="1"/>
  <c r="AX115" i="1"/>
  <c r="AX116" i="1"/>
  <c r="AI36" i="7"/>
  <c r="AP70" i="3"/>
  <c r="AQ41" i="2"/>
  <c r="L41" i="2" s="1"/>
  <c r="L26" i="3"/>
  <c r="AR26" i="3"/>
  <c r="AU124" i="4"/>
  <c r="AT151" i="4"/>
  <c r="AR129" i="4"/>
  <c r="AQ130" i="4"/>
  <c r="AF121" i="9"/>
  <c r="AF122" i="9"/>
  <c r="AG123" i="9"/>
  <c r="I76" i="3"/>
  <c r="I35" i="7"/>
  <c r="I37" i="7" s="1"/>
  <c r="I64" i="2"/>
  <c r="AF34" i="7"/>
  <c r="AF32" i="7"/>
  <c r="AF40" i="7"/>
  <c r="H121" i="9"/>
  <c r="AP112" i="4"/>
  <c r="AA70" i="5"/>
  <c r="AA65" i="5" s="1"/>
  <c r="AA62" i="5"/>
  <c r="AA57" i="5" s="1"/>
  <c r="AH201" i="9"/>
  <c r="AH202" i="9"/>
  <c r="AF57" i="2"/>
  <c r="AF50" i="2"/>
  <c r="AS14" i="3"/>
  <c r="AS15" i="2" s="1"/>
  <c r="AE18" i="19"/>
  <c r="I40" i="4"/>
  <c r="K17" i="4"/>
  <c r="AR46" i="7"/>
  <c r="AQ47" i="7"/>
  <c r="U121" i="9"/>
  <c r="U123" i="9"/>
  <c r="V123" i="9"/>
  <c r="AI8" i="2"/>
  <c r="J6" i="2"/>
  <c r="AA32" i="11"/>
  <c r="AA56" i="11"/>
  <c r="AA8" i="11"/>
  <c r="AB50" i="2"/>
  <c r="AB57" i="2"/>
  <c r="AB2" i="5"/>
  <c r="AB2" i="4"/>
  <c r="AB58" i="4" s="1"/>
  <c r="AB2" i="3"/>
  <c r="AC2" i="1"/>
  <c r="AB2" i="6"/>
  <c r="AB2" i="7"/>
  <c r="AB2" i="2"/>
  <c r="AB2" i="11"/>
  <c r="AB2" i="9"/>
  <c r="AF136" i="4"/>
  <c r="AF139" i="4" s="1"/>
  <c r="AG136" i="4" s="1"/>
  <c r="I139" i="4"/>
  <c r="AE8" i="2"/>
  <c r="I6" i="2"/>
  <c r="AS69" i="1"/>
  <c r="AB34" i="7"/>
  <c r="AB40" i="7"/>
  <c r="AB41" i="7" s="1"/>
  <c r="AB32" i="7"/>
  <c r="AD140" i="5"/>
  <c r="AD11" i="3"/>
  <c r="AD19" i="3" s="1"/>
  <c r="AD47" i="3" s="1"/>
  <c r="AP32" i="3"/>
  <c r="U17" i="19"/>
  <c r="U19" i="19"/>
  <c r="U32" i="7"/>
  <c r="U40" i="7"/>
  <c r="U41" i="7" s="1"/>
  <c r="U34" i="7"/>
  <c r="AD159" i="9"/>
  <c r="AD160" i="9"/>
  <c r="AP5" i="5"/>
  <c r="AT162" i="1"/>
  <c r="AT161" i="1"/>
  <c r="AT164" i="1"/>
  <c r="AR15" i="2"/>
  <c r="AE53" i="3"/>
  <c r="I53" i="3" s="1"/>
  <c r="AE35" i="4"/>
  <c r="AE20" i="19" s="1"/>
  <c r="I33" i="4"/>
  <c r="AB19" i="19"/>
  <c r="AB17" i="19"/>
  <c r="AB68" i="2"/>
  <c r="AB179" i="9"/>
  <c r="L27" i="3"/>
  <c r="AQ25" i="2"/>
  <c r="L25" i="2" s="1"/>
  <c r="AR27" i="3"/>
  <c r="J40" i="4"/>
  <c r="AH181" i="9"/>
  <c r="AH180" i="9"/>
  <c r="AQ16" i="3"/>
  <c r="AD202" i="9"/>
  <c r="AD201" i="9"/>
  <c r="AM43" i="7"/>
  <c r="AN42" i="7"/>
  <c r="AF68" i="2"/>
  <c r="AF179" i="9"/>
  <c r="AR40" i="2"/>
  <c r="AS40" i="3"/>
  <c r="H40" i="7"/>
  <c r="H34" i="7"/>
  <c r="H32" i="7"/>
  <c r="AD86" i="3"/>
  <c r="AC87" i="3"/>
  <c r="AH159" i="9"/>
  <c r="AH160" i="9"/>
  <c r="AB122" i="9"/>
  <c r="AB123" i="9"/>
  <c r="AB121" i="9"/>
  <c r="AC123" i="9"/>
  <c r="K109" i="3"/>
  <c r="G143" i="5"/>
  <c r="G144" i="5" s="1"/>
  <c r="G298" i="9" s="1"/>
  <c r="G99" i="4"/>
  <c r="G63" i="2"/>
  <c r="G52" i="4"/>
  <c r="G120" i="9"/>
  <c r="G108" i="4"/>
  <c r="AI53" i="3"/>
  <c r="J53" i="3" s="1"/>
  <c r="AI35" i="4"/>
  <c r="AI20" i="19" s="1"/>
  <c r="J33" i="4"/>
  <c r="AP132" i="5"/>
  <c r="AP39" i="2"/>
  <c r="AQ21" i="3"/>
  <c r="AQ86" i="1"/>
  <c r="AQ39" i="1" s="1"/>
  <c r="AP68" i="1"/>
  <c r="AQ66" i="1"/>
  <c r="AP58" i="1"/>
  <c r="AP669" i="9" s="1"/>
  <c r="AQ67" i="1"/>
  <c r="AP158" i="1"/>
  <c r="AQ159" i="1" s="1"/>
  <c r="AO671" i="9"/>
  <c r="AO670" i="9"/>
  <c r="AP112" i="1"/>
  <c r="AP113" i="1"/>
  <c r="AQ125" i="4" l="1"/>
  <c r="L125" i="4" s="1"/>
  <c r="L36" i="4" s="1"/>
  <c r="AY775" i="9"/>
  <c r="AY198" i="1"/>
  <c r="AR218" i="1"/>
  <c r="AR186" i="1" s="1"/>
  <c r="AR187" i="1" s="1"/>
  <c r="AR189" i="1" s="1"/>
  <c r="AR731" i="9"/>
  <c r="J82" i="2"/>
  <c r="AI83" i="2"/>
  <c r="AM83" i="2"/>
  <c r="AP126" i="4"/>
  <c r="AW120" i="4"/>
  <c r="AW118" i="4"/>
  <c r="AW117" i="4"/>
  <c r="AQ220" i="1"/>
  <c r="AQ581" i="9" s="1"/>
  <c r="L223" i="1"/>
  <c r="AR67" i="1"/>
  <c r="AE19" i="19"/>
  <c r="AE17" i="19"/>
  <c r="AY118" i="1"/>
  <c r="AY115" i="1"/>
  <c r="AY116" i="1"/>
  <c r="AF180" i="9"/>
  <c r="AQ70" i="3"/>
  <c r="AS26" i="3"/>
  <c r="AR41" i="2"/>
  <c r="AV124" i="4"/>
  <c r="M124" i="4"/>
  <c r="M151" i="4" s="1"/>
  <c r="AU151" i="4"/>
  <c r="AR130" i="4"/>
  <c r="AS129" i="4"/>
  <c r="AA58" i="5"/>
  <c r="AA66" i="5"/>
  <c r="H41" i="7"/>
  <c r="H44" i="7"/>
  <c r="AR25" i="2"/>
  <c r="AS27" i="3"/>
  <c r="AU162" i="1"/>
  <c r="AU164" i="1"/>
  <c r="AU161" i="1"/>
  <c r="AQ5" i="5"/>
  <c r="AT69" i="1"/>
  <c r="AB62" i="5"/>
  <c r="AB57" i="5" s="1"/>
  <c r="AB70" i="5"/>
  <c r="AB65" i="5" s="1"/>
  <c r="AB99" i="4"/>
  <c r="AT14" i="3"/>
  <c r="AT15" i="2" s="1"/>
  <c r="AN43" i="7"/>
  <c r="AO42" i="7"/>
  <c r="AI63" i="2"/>
  <c r="AI65" i="2" s="1"/>
  <c r="AI120" i="9"/>
  <c r="AI143" i="5"/>
  <c r="AI31" i="7"/>
  <c r="AI52" i="4"/>
  <c r="AI108" i="4"/>
  <c r="J51" i="4"/>
  <c r="AE29" i="2"/>
  <c r="I8" i="2"/>
  <c r="AG138" i="4"/>
  <c r="J138" i="4" s="1"/>
  <c r="J145" i="4" s="1"/>
  <c r="AS46" i="7"/>
  <c r="AR47" i="7"/>
  <c r="AF59" i="2"/>
  <c r="AF23" i="19" s="1"/>
  <c r="G121" i="9"/>
  <c r="G122" i="9"/>
  <c r="AD87" i="3"/>
  <c r="AE86" i="3"/>
  <c r="AS40" i="2"/>
  <c r="AT40" i="3"/>
  <c r="AG181" i="9"/>
  <c r="L16" i="3"/>
  <c r="AR16" i="3"/>
  <c r="I35" i="4"/>
  <c r="K108" i="3"/>
  <c r="K15" i="3"/>
  <c r="AQ32" i="3"/>
  <c r="AP133" i="5"/>
  <c r="AB56" i="11"/>
  <c r="AB8" i="11"/>
  <c r="AB32" i="11"/>
  <c r="AC2" i="2"/>
  <c r="AC2" i="9"/>
  <c r="AC2" i="6"/>
  <c r="AC2" i="5"/>
  <c r="AC2" i="11"/>
  <c r="AD2" i="1"/>
  <c r="AC2" i="4"/>
  <c r="AC58" i="4" s="1"/>
  <c r="AC2" i="7"/>
  <c r="AC2" i="3"/>
  <c r="AB59" i="2"/>
  <c r="AI29" i="2"/>
  <c r="J8" i="2"/>
  <c r="H122" i="9"/>
  <c r="AF99" i="4"/>
  <c r="AQ132" i="5"/>
  <c r="L21" i="3"/>
  <c r="AR21" i="3"/>
  <c r="AQ39" i="2"/>
  <c r="L39" i="2" s="1"/>
  <c r="J35" i="4"/>
  <c r="AQ18" i="2"/>
  <c r="L18" i="2" s="1"/>
  <c r="AE63" i="2"/>
  <c r="AE65" i="2" s="1"/>
  <c r="AF67" i="2" s="1"/>
  <c r="AE52" i="4"/>
  <c r="AE143" i="5"/>
  <c r="AE120" i="9"/>
  <c r="AE31" i="7"/>
  <c r="AE108" i="4"/>
  <c r="I51" i="4"/>
  <c r="AQ112" i="4"/>
  <c r="AF41" i="7"/>
  <c r="AF44" i="7"/>
  <c r="AF48" i="7" s="1"/>
  <c r="L86" i="1"/>
  <c r="AR86" i="1"/>
  <c r="AR39" i="1" s="1"/>
  <c r="L39" i="1"/>
  <c r="AP114" i="1"/>
  <c r="AQ112" i="1"/>
  <c r="AR113" i="1" s="1"/>
  <c r="AP104" i="1"/>
  <c r="AP670" i="9" s="1"/>
  <c r="AQ113" i="1"/>
  <c r="AP150" i="1"/>
  <c r="AP671" i="9" s="1"/>
  <c r="AQ158" i="1"/>
  <c r="L158" i="1" s="1"/>
  <c r="L485" i="9" s="1"/>
  <c r="L486" i="9" s="1"/>
  <c r="AP160" i="1"/>
  <c r="L66" i="1"/>
  <c r="L669" i="9" s="1"/>
  <c r="AR66" i="1"/>
  <c r="AQ58" i="1"/>
  <c r="AQ669" i="9" s="1"/>
  <c r="AQ68" i="1"/>
  <c r="AR125" i="4" l="1"/>
  <c r="AR126" i="4" s="1"/>
  <c r="AQ36" i="4"/>
  <c r="AQ126" i="4"/>
  <c r="AS44" i="19"/>
  <c r="AS184" i="1"/>
  <c r="AS212" i="1" s="1"/>
  <c r="AS218" i="1" s="1"/>
  <c r="AS186" i="1" s="1"/>
  <c r="J83" i="2"/>
  <c r="K83" i="2"/>
  <c r="AP20" i="1"/>
  <c r="AP25" i="1" s="1"/>
  <c r="D8" i="23" s="1"/>
  <c r="H8" i="23" s="1"/>
  <c r="AI67" i="2"/>
  <c r="AI66" i="2"/>
  <c r="AX120" i="4"/>
  <c r="AX117" i="4"/>
  <c r="AX118" i="4"/>
  <c r="AR223" i="1"/>
  <c r="AR220" i="1" s="1"/>
  <c r="AR190" i="1"/>
  <c r="AQ65" i="4"/>
  <c r="AQ94" i="4" s="1"/>
  <c r="AQ626" i="9" s="1"/>
  <c r="AQ222" i="1"/>
  <c r="AQ221" i="1"/>
  <c r="L220" i="1"/>
  <c r="L221" i="1" s="1"/>
  <c r="L58" i="1"/>
  <c r="AS67" i="1"/>
  <c r="AR70" i="3"/>
  <c r="AS41" i="2"/>
  <c r="AT26" i="3"/>
  <c r="AV151" i="4"/>
  <c r="AW124" i="4"/>
  <c r="AS130" i="4"/>
  <c r="AS125" i="4" s="1"/>
  <c r="AT129" i="4"/>
  <c r="AB66" i="5"/>
  <c r="AR112" i="4"/>
  <c r="I31" i="7"/>
  <c r="I120" i="9"/>
  <c r="I52" i="4"/>
  <c r="I63" i="2"/>
  <c r="I65" i="2" s="1"/>
  <c r="I179" i="9" s="1"/>
  <c r="I108" i="4"/>
  <c r="I143" i="5"/>
  <c r="AE40" i="7"/>
  <c r="AE41" i="7" s="1"/>
  <c r="AE34" i="7"/>
  <c r="AE32" i="7"/>
  <c r="AR39" i="2"/>
  <c r="AR132" i="5"/>
  <c r="AS21" i="3"/>
  <c r="AC8" i="11"/>
  <c r="AC56" i="11"/>
  <c r="AC32" i="11"/>
  <c r="AF200" i="9"/>
  <c r="AF158" i="9"/>
  <c r="AF60" i="2"/>
  <c r="AG61" i="2"/>
  <c r="AE50" i="2"/>
  <c r="AE57" i="2"/>
  <c r="I29" i="2"/>
  <c r="J52" i="4"/>
  <c r="J108" i="4"/>
  <c r="J143" i="5"/>
  <c r="J120" i="9"/>
  <c r="J31" i="7"/>
  <c r="J63" i="2"/>
  <c r="J65" i="2" s="1"/>
  <c r="AU69" i="1"/>
  <c r="AB58" i="5"/>
  <c r="AE179" i="9"/>
  <c r="AE68" i="2"/>
  <c r="I68" i="2" s="1"/>
  <c r="AI68" i="2"/>
  <c r="J68" i="2" s="1"/>
  <c r="AI179" i="9"/>
  <c r="AU14" i="3"/>
  <c r="AP170" i="1"/>
  <c r="AP168" i="1"/>
  <c r="AP167" i="1"/>
  <c r="AS25" i="2"/>
  <c r="AT27" i="3"/>
  <c r="AR5" i="5"/>
  <c r="AV161" i="1"/>
  <c r="AV164" i="1"/>
  <c r="AV162" i="1"/>
  <c r="AI57" i="2"/>
  <c r="AI50" i="2"/>
  <c r="J29" i="2"/>
  <c r="AC65" i="5"/>
  <c r="AC57" i="5"/>
  <c r="I86" i="3"/>
  <c r="AF86" i="3"/>
  <c r="AE87" i="3"/>
  <c r="I87" i="3" s="1"/>
  <c r="AE121" i="9"/>
  <c r="AE122" i="9"/>
  <c r="AE123" i="9"/>
  <c r="AF123" i="9"/>
  <c r="AS16" i="3"/>
  <c r="AG139" i="4"/>
  <c r="AH136" i="4" s="1"/>
  <c r="AH139" i="4" s="1"/>
  <c r="AI136" i="4" s="1"/>
  <c r="AB200" i="9"/>
  <c r="AB61" i="2"/>
  <c r="AB60" i="2"/>
  <c r="AB158" i="9"/>
  <c r="AB23" i="19"/>
  <c r="AC61" i="2"/>
  <c r="AE2" i="1"/>
  <c r="AD2" i="2"/>
  <c r="AD2" i="7"/>
  <c r="AD2" i="4"/>
  <c r="AD58" i="4" s="1"/>
  <c r="AD2" i="5"/>
  <c r="AD2" i="11"/>
  <c r="AD2" i="3"/>
  <c r="AD2" i="9"/>
  <c r="AD2" i="6"/>
  <c r="L32" i="3"/>
  <c r="AR32" i="3"/>
  <c r="AQ133" i="5"/>
  <c r="AR18" i="2"/>
  <c r="AU40" i="3"/>
  <c r="AT40" i="2"/>
  <c r="AT46" i="7"/>
  <c r="AS47" i="7"/>
  <c r="AI40" i="7"/>
  <c r="AI34" i="7"/>
  <c r="AI32" i="7"/>
  <c r="AI122" i="9"/>
  <c r="AI123" i="9"/>
  <c r="AI121" i="9"/>
  <c r="AO43" i="7"/>
  <c r="AP42" i="7"/>
  <c r="AS86" i="1"/>
  <c r="AS39" i="1" s="1"/>
  <c r="AR159" i="1"/>
  <c r="L112" i="1"/>
  <c r="L670" i="9" s="1"/>
  <c r="AR112" i="1"/>
  <c r="AQ114" i="1"/>
  <c r="AQ104" i="1"/>
  <c r="AQ670" i="9" s="1"/>
  <c r="AS66" i="1"/>
  <c r="AR58" i="1"/>
  <c r="AR669" i="9" s="1"/>
  <c r="AR68" i="1"/>
  <c r="AQ160" i="1"/>
  <c r="AR158" i="1"/>
  <c r="AQ150" i="1"/>
  <c r="AQ671" i="9" s="1"/>
  <c r="AP27" i="1" l="1"/>
  <c r="AR36" i="4"/>
  <c r="AQ44" i="19"/>
  <c r="AS185" i="1"/>
  <c r="AS187" i="1" s="1"/>
  <c r="AS223" i="1" s="1"/>
  <c r="AS220" i="1" s="1"/>
  <c r="AS581" i="9" s="1"/>
  <c r="AS731" i="9"/>
  <c r="AT184" i="1"/>
  <c r="AT185" i="1" s="1"/>
  <c r="AR65" i="4"/>
  <c r="AR94" i="4" s="1"/>
  <c r="AR626" i="9" s="1"/>
  <c r="AR581" i="9"/>
  <c r="AP26" i="1"/>
  <c r="AQ20" i="1"/>
  <c r="AQ25" i="1" s="1"/>
  <c r="AQ26" i="1" s="1"/>
  <c r="AY120" i="4"/>
  <c r="AY118" i="4"/>
  <c r="AY117" i="4"/>
  <c r="AR221" i="1"/>
  <c r="AR222" i="1"/>
  <c r="AU26" i="3"/>
  <c r="AT41" i="2"/>
  <c r="AS70" i="3"/>
  <c r="AW151" i="4"/>
  <c r="AX124" i="4"/>
  <c r="AS126" i="4"/>
  <c r="AS36" i="4"/>
  <c r="AT130" i="4"/>
  <c r="AT125" i="4" s="1"/>
  <c r="AU129" i="4"/>
  <c r="AD78" i="5"/>
  <c r="AD57" i="5"/>
  <c r="AD58" i="5" s="1"/>
  <c r="AD70" i="5"/>
  <c r="AD65" i="5" s="1"/>
  <c r="AI44" i="7"/>
  <c r="AI48" i="7" s="1"/>
  <c r="AI41" i="7"/>
  <c r="AT47" i="7"/>
  <c r="AU46" i="7"/>
  <c r="AU40" i="2"/>
  <c r="M40" i="2" s="1"/>
  <c r="M40" i="3"/>
  <c r="AV40" i="3"/>
  <c r="AS32" i="3"/>
  <c r="AR133" i="5"/>
  <c r="I99" i="4"/>
  <c r="AE99" i="4"/>
  <c r="J50" i="2"/>
  <c r="AW164" i="1"/>
  <c r="AW161" i="1"/>
  <c r="AW162" i="1"/>
  <c r="AS5" i="5"/>
  <c r="AU27" i="3"/>
  <c r="AT25" i="2"/>
  <c r="AV69" i="1"/>
  <c r="J122" i="9"/>
  <c r="J121" i="9"/>
  <c r="AE53" i="2"/>
  <c r="I50" i="2"/>
  <c r="AF159" i="9"/>
  <c r="AG160" i="9"/>
  <c r="AT21" i="3"/>
  <c r="AS39" i="2"/>
  <c r="AS132" i="5"/>
  <c r="I121" i="9"/>
  <c r="I122" i="9"/>
  <c r="AP43" i="7"/>
  <c r="AQ42" i="7"/>
  <c r="AD8" i="11"/>
  <c r="AD32" i="11"/>
  <c r="AD56" i="11"/>
  <c r="AB201" i="9"/>
  <c r="AB202" i="9"/>
  <c r="AC202" i="9"/>
  <c r="J136" i="4"/>
  <c r="AI139" i="4"/>
  <c r="AJ136" i="4" s="1"/>
  <c r="AI59" i="2"/>
  <c r="AI23" i="19" s="1"/>
  <c r="J57" i="2"/>
  <c r="AI180" i="9"/>
  <c r="AI181" i="9"/>
  <c r="AE181" i="9"/>
  <c r="AF181" i="9"/>
  <c r="AI99" i="4"/>
  <c r="J99" i="4"/>
  <c r="I34" i="7"/>
  <c r="I32" i="7"/>
  <c r="I40" i="7"/>
  <c r="AE2" i="3"/>
  <c r="AE2" i="4"/>
  <c r="AE58" i="4" s="1"/>
  <c r="AF2" i="1"/>
  <c r="AE2" i="5"/>
  <c r="AE2" i="11"/>
  <c r="AE2" i="7"/>
  <c r="AE2" i="9"/>
  <c r="AE2" i="2"/>
  <c r="AE2" i="6"/>
  <c r="AB160" i="9"/>
  <c r="AB159" i="9"/>
  <c r="AC160" i="9"/>
  <c r="AT16" i="3"/>
  <c r="AT18" i="2" s="1"/>
  <c r="AQ167" i="1"/>
  <c r="AQ168" i="1"/>
  <c r="AQ170" i="1"/>
  <c r="M14" i="3"/>
  <c r="AV14" i="3"/>
  <c r="AV15" i="2" s="1"/>
  <c r="J66" i="2"/>
  <c r="J179" i="9"/>
  <c r="J180" i="9" s="1"/>
  <c r="AF201" i="9"/>
  <c r="AG202" i="9"/>
  <c r="AS112" i="4"/>
  <c r="AS18" i="2"/>
  <c r="AF87" i="3"/>
  <c r="AG86" i="3"/>
  <c r="AU15" i="2"/>
  <c r="M15" i="2" s="1"/>
  <c r="AC58" i="5"/>
  <c r="J32" i="7"/>
  <c r="J40" i="7"/>
  <c r="J34" i="7"/>
  <c r="AE59" i="2"/>
  <c r="AE23" i="19" s="1"/>
  <c r="I57" i="2"/>
  <c r="AC66" i="5"/>
  <c r="AT86" i="1"/>
  <c r="AT39" i="1" s="1"/>
  <c r="AR150" i="1"/>
  <c r="AR671" i="9" s="1"/>
  <c r="AS158" i="1"/>
  <c r="AT159" i="1" s="1"/>
  <c r="AR160" i="1"/>
  <c r="AS159" i="1"/>
  <c r="AR104" i="1"/>
  <c r="AR670" i="9" s="1"/>
  <c r="AS112" i="1"/>
  <c r="AT113" i="1" s="1"/>
  <c r="AR114" i="1"/>
  <c r="AT66" i="1"/>
  <c r="AS68" i="1"/>
  <c r="AS58" i="1"/>
  <c r="AS669" i="9" s="1"/>
  <c r="AT67" i="1"/>
  <c r="AS113" i="1"/>
  <c r="AT212" i="1" l="1"/>
  <c r="AT218" i="1" s="1"/>
  <c r="AT186" i="1" s="1"/>
  <c r="AT187" i="1" s="1"/>
  <c r="AT190" i="1" s="1"/>
  <c r="AS190" i="1"/>
  <c r="AS189" i="1"/>
  <c r="AQ27" i="1"/>
  <c r="AR20" i="1"/>
  <c r="AR25" i="1" s="1"/>
  <c r="AR27" i="1" s="1"/>
  <c r="AS65" i="4"/>
  <c r="AS94" i="4" s="1"/>
  <c r="AS626" i="9" s="1"/>
  <c r="AS221" i="1"/>
  <c r="AS222" i="1"/>
  <c r="AU67" i="1"/>
  <c r="AJ138" i="4"/>
  <c r="AJ139" i="4" s="1"/>
  <c r="AK136" i="4" s="1"/>
  <c r="AT70" i="3"/>
  <c r="AV26" i="3"/>
  <c r="AU41" i="2"/>
  <c r="M41" i="2" s="1"/>
  <c r="M26" i="3"/>
  <c r="AY124" i="4"/>
  <c r="AX151" i="4"/>
  <c r="AT126" i="4"/>
  <c r="AT36" i="4"/>
  <c r="AV129" i="4"/>
  <c r="AU130" i="4"/>
  <c r="AU125" i="4" s="1"/>
  <c r="M125" i="4" s="1"/>
  <c r="M36" i="4" s="1"/>
  <c r="AD66" i="5"/>
  <c r="AR168" i="1"/>
  <c r="AR170" i="1"/>
  <c r="AR167" i="1"/>
  <c r="AE94" i="5"/>
  <c r="AE70" i="5"/>
  <c r="AE65" i="5" s="1"/>
  <c r="AE86" i="5"/>
  <c r="AE85" i="5" s="1"/>
  <c r="AE87" i="5" s="1"/>
  <c r="AE78" i="5"/>
  <c r="AE73" i="5" s="1"/>
  <c r="AE62" i="5"/>
  <c r="AE57" i="5" s="1"/>
  <c r="I44" i="7"/>
  <c r="I41" i="7"/>
  <c r="AT39" i="2"/>
  <c r="AU21" i="3"/>
  <c r="AT132" i="5"/>
  <c r="AT32" i="3"/>
  <c r="AS133" i="5"/>
  <c r="AV46" i="7"/>
  <c r="AU47" i="7"/>
  <c r="AT112" i="4"/>
  <c r="AF2" i="9"/>
  <c r="AF2" i="6"/>
  <c r="AG2" i="1"/>
  <c r="AF2" i="11"/>
  <c r="AF2" i="4"/>
  <c r="AF58" i="4" s="1"/>
  <c r="AF2" i="3"/>
  <c r="AF2" i="7"/>
  <c r="AF2" i="2"/>
  <c r="AF2" i="5"/>
  <c r="J139" i="4"/>
  <c r="AE5" i="3"/>
  <c r="I53" i="2"/>
  <c r="J51" i="2" s="1"/>
  <c r="AF51" i="2"/>
  <c r="AF53" i="2" s="1"/>
  <c r="AW69" i="1"/>
  <c r="AT5" i="5"/>
  <c r="AW40" i="3"/>
  <c r="AV40" i="2"/>
  <c r="AH86" i="3"/>
  <c r="AG87" i="3"/>
  <c r="AX164" i="1"/>
  <c r="AX161" i="1"/>
  <c r="AX162" i="1"/>
  <c r="AE158" i="9"/>
  <c r="AE60" i="2"/>
  <c r="AE61" i="2"/>
  <c r="AE200" i="9"/>
  <c r="AF61" i="2"/>
  <c r="I59" i="2"/>
  <c r="J44" i="7"/>
  <c r="J41" i="7"/>
  <c r="J48" i="7"/>
  <c r="AW14" i="3"/>
  <c r="AU16" i="3"/>
  <c r="AE8" i="11"/>
  <c r="AE56" i="11"/>
  <c r="AE32" i="11"/>
  <c r="AI61" i="2"/>
  <c r="AI158" i="9"/>
  <c r="AI200" i="9"/>
  <c r="AI60" i="2"/>
  <c r="J59" i="2"/>
  <c r="AR42" i="7"/>
  <c r="AQ43" i="7"/>
  <c r="AU25" i="2"/>
  <c r="M25" i="2" s="1"/>
  <c r="AV27" i="3"/>
  <c r="M27" i="3"/>
  <c r="AU86" i="1"/>
  <c r="AU39" i="1" s="1"/>
  <c r="AS150" i="1"/>
  <c r="AS671" i="9" s="1"/>
  <c r="AS160" i="1"/>
  <c r="AT158" i="1"/>
  <c r="AU159" i="1" s="1"/>
  <c r="AS104" i="1"/>
  <c r="AS670" i="9" s="1"/>
  <c r="AS114" i="1"/>
  <c r="AT112" i="1"/>
  <c r="AU113" i="1" s="1"/>
  <c r="AT58" i="1"/>
  <c r="AT669" i="9" s="1"/>
  <c r="AT68" i="1"/>
  <c r="AU66" i="1"/>
  <c r="AT731" i="9" l="1"/>
  <c r="AT223" i="1"/>
  <c r="AT220" i="1" s="1"/>
  <c r="AT65" i="4" s="1"/>
  <c r="AT94" i="4" s="1"/>
  <c r="AT626" i="9" s="1"/>
  <c r="AT189" i="1"/>
  <c r="AU184" i="1"/>
  <c r="AU212" i="1" s="1"/>
  <c r="AU731" i="9" s="1"/>
  <c r="AS20" i="1"/>
  <c r="AS25" i="1" s="1"/>
  <c r="AS27" i="1" s="1"/>
  <c r="AS28" i="1"/>
  <c r="AR26" i="1"/>
  <c r="M86" i="1"/>
  <c r="AV67" i="1"/>
  <c r="AK138" i="4"/>
  <c r="AK139" i="4" s="1"/>
  <c r="AL136" i="4" s="1"/>
  <c r="AE81" i="5"/>
  <c r="AE82" i="5" s="1"/>
  <c r="AU70" i="3"/>
  <c r="AW26" i="3"/>
  <c r="AV41" i="2"/>
  <c r="AY151" i="4"/>
  <c r="N124" i="4"/>
  <c r="N151" i="4" s="1"/>
  <c r="AU36" i="4"/>
  <c r="AU126" i="4"/>
  <c r="AW129" i="4"/>
  <c r="AV130" i="4"/>
  <c r="AV125" i="4" s="1"/>
  <c r="AE58" i="5"/>
  <c r="AW27" i="3"/>
  <c r="AV25" i="2"/>
  <c r="J200" i="9"/>
  <c r="J60" i="2"/>
  <c r="J158" i="9"/>
  <c r="AX14" i="3"/>
  <c r="AX15" i="2" s="1"/>
  <c r="AU5" i="5"/>
  <c r="AU112" i="4"/>
  <c r="AW46" i="7"/>
  <c r="AV47" i="7"/>
  <c r="AE160" i="9"/>
  <c r="AE159" i="9"/>
  <c r="AF160" i="9"/>
  <c r="AG51" i="2"/>
  <c r="AG53" i="2" s="1"/>
  <c r="AF5" i="3"/>
  <c r="AF62" i="5"/>
  <c r="AF57" i="5" s="1"/>
  <c r="AF78" i="5"/>
  <c r="AF73" i="5" s="1"/>
  <c r="AF94" i="5"/>
  <c r="AF89" i="5" s="1"/>
  <c r="AF70" i="5"/>
  <c r="AF65" i="5" s="1"/>
  <c r="AF86" i="5"/>
  <c r="AU39" i="2"/>
  <c r="M39" i="2" s="1"/>
  <c r="AV21" i="3"/>
  <c r="M21" i="3"/>
  <c r="AU132" i="5"/>
  <c r="AE74" i="5"/>
  <c r="AP109" i="3"/>
  <c r="AI201" i="9"/>
  <c r="AI202" i="9"/>
  <c r="AE202" i="9"/>
  <c r="AE201" i="9"/>
  <c r="AF202" i="9"/>
  <c r="AY162" i="1"/>
  <c r="AY161" i="1"/>
  <c r="AY164" i="1"/>
  <c r="AI86" i="3"/>
  <c r="AJ86" i="3" s="1"/>
  <c r="AH87" i="3"/>
  <c r="AW40" i="2"/>
  <c r="AX40" i="3"/>
  <c r="AF32" i="11"/>
  <c r="AF8" i="11"/>
  <c r="AF56" i="11"/>
  <c r="AU32" i="3"/>
  <c r="AT133" i="5"/>
  <c r="AE66" i="5"/>
  <c r="M16" i="3"/>
  <c r="AV16" i="3"/>
  <c r="AV18" i="2" s="1"/>
  <c r="I60" i="2"/>
  <c r="I158" i="9"/>
  <c r="I159" i="9" s="1"/>
  <c r="I200" i="9"/>
  <c r="I201" i="9" s="1"/>
  <c r="AS42" i="7"/>
  <c r="AR43" i="7"/>
  <c r="AI159" i="9"/>
  <c r="AI160" i="9"/>
  <c r="AU18" i="2"/>
  <c r="M18" i="2" s="1"/>
  <c r="AW15" i="2"/>
  <c r="AX69" i="1"/>
  <c r="I5" i="3"/>
  <c r="I140" i="5" s="1"/>
  <c r="I142" i="5" s="1"/>
  <c r="I144" i="5" s="1"/>
  <c r="I298" i="9" s="1"/>
  <c r="AE140" i="5"/>
  <c r="AE146" i="5" s="1"/>
  <c r="AE11" i="3"/>
  <c r="AG2" i="2"/>
  <c r="AG2" i="6"/>
  <c r="AH2" i="1"/>
  <c r="AG2" i="11"/>
  <c r="AG2" i="3"/>
  <c r="AG2" i="9"/>
  <c r="AG2" i="4"/>
  <c r="AG58" i="4" s="1"/>
  <c r="AG2" i="5"/>
  <c r="AG2" i="7"/>
  <c r="AF84" i="5"/>
  <c r="AE83" i="5"/>
  <c r="AS167" i="1"/>
  <c r="AS170" i="1"/>
  <c r="AS168" i="1"/>
  <c r="M39" i="1"/>
  <c r="AV86" i="1"/>
  <c r="AV39" i="1" s="1"/>
  <c r="AU58" i="1"/>
  <c r="AU669" i="9" s="1"/>
  <c r="AV66" i="1"/>
  <c r="AU68" i="1"/>
  <c r="M66" i="1"/>
  <c r="M669" i="9" s="1"/>
  <c r="AT114" i="1"/>
  <c r="AU112" i="1"/>
  <c r="M112" i="1" s="1"/>
  <c r="M670" i="9" s="1"/>
  <c r="AT104" i="1"/>
  <c r="AT670" i="9" s="1"/>
  <c r="AT150" i="1"/>
  <c r="AT671" i="9" s="1"/>
  <c r="AU158" i="1"/>
  <c r="AV159" i="1" s="1"/>
  <c r="AT160" i="1"/>
  <c r="AT221" i="1" l="1"/>
  <c r="AT581" i="9"/>
  <c r="AT222" i="1"/>
  <c r="AU185" i="1"/>
  <c r="AU218" i="1"/>
  <c r="M218" i="1" s="1"/>
  <c r="M212" i="1"/>
  <c r="AT28" i="1"/>
  <c r="AS26" i="1"/>
  <c r="AT20" i="1"/>
  <c r="AT25" i="1" s="1"/>
  <c r="AT26" i="1" s="1"/>
  <c r="AL138" i="4"/>
  <c r="AL139" i="4" s="1"/>
  <c r="AM136" i="4" s="1"/>
  <c r="AF81" i="5"/>
  <c r="AF82" i="5" s="1"/>
  <c r="AW67" i="1"/>
  <c r="M58" i="1"/>
  <c r="AJ87" i="3"/>
  <c r="AK86" i="3"/>
  <c r="AV70" i="3"/>
  <c r="AX26" i="3"/>
  <c r="AW41" i="2"/>
  <c r="AV126" i="4"/>
  <c r="AV36" i="4"/>
  <c r="AX129" i="4"/>
  <c r="AW130" i="4"/>
  <c r="AW125" i="4" s="1"/>
  <c r="AF74" i="5"/>
  <c r="AF90" i="5"/>
  <c r="AF58" i="5"/>
  <c r="AF66" i="5"/>
  <c r="AW16" i="3"/>
  <c r="AW18" i="2" s="1"/>
  <c r="AV39" i="2"/>
  <c r="AW21" i="3"/>
  <c r="AV132" i="5"/>
  <c r="AH51" i="2"/>
  <c r="AH53" i="2" s="1"/>
  <c r="AG5" i="3"/>
  <c r="AV5" i="5"/>
  <c r="AT168" i="1"/>
  <c r="AT170" i="1"/>
  <c r="AT167" i="1"/>
  <c r="I11" i="3"/>
  <c r="AE19" i="3"/>
  <c r="AV32" i="3"/>
  <c r="M32" i="3"/>
  <c r="AU133" i="5"/>
  <c r="J86" i="3"/>
  <c r="AI87" i="3"/>
  <c r="J87" i="3" s="1"/>
  <c r="AP17" i="4"/>
  <c r="AV112" i="4"/>
  <c r="J201" i="9"/>
  <c r="AG70" i="5"/>
  <c r="AG65" i="5" s="1"/>
  <c r="AG66" i="5" s="1"/>
  <c r="AG86" i="5"/>
  <c r="AG94" i="5"/>
  <c r="AG89" i="5" s="1"/>
  <c r="AG62" i="5"/>
  <c r="AG57" i="5" s="1"/>
  <c r="AG78" i="5"/>
  <c r="AG73" i="5" s="1"/>
  <c r="AY69" i="1"/>
  <c r="AY40" i="3"/>
  <c r="AX40" i="2"/>
  <c r="AY14" i="3"/>
  <c r="N14" i="3" s="1"/>
  <c r="AF85" i="5"/>
  <c r="AF87" i="5" s="1"/>
  <c r="AG8" i="11"/>
  <c r="AG32" i="11"/>
  <c r="AG56" i="11"/>
  <c r="AH2" i="5"/>
  <c r="AH2" i="11"/>
  <c r="AH2" i="2"/>
  <c r="AH2" i="4"/>
  <c r="AH58" i="4" s="1"/>
  <c r="AH2" i="7"/>
  <c r="AH2" i="3"/>
  <c r="AH2" i="6"/>
  <c r="AI2" i="1"/>
  <c r="AH2" i="9"/>
  <c r="AT42" i="7"/>
  <c r="AS43" i="7"/>
  <c r="AP108" i="3"/>
  <c r="AF140" i="5"/>
  <c r="AF146" i="5" s="1"/>
  <c r="AF11" i="3"/>
  <c r="AF19" i="3" s="1"/>
  <c r="AF47" i="3" s="1"/>
  <c r="AX46" i="7"/>
  <c r="AW47" i="7"/>
  <c r="J159" i="9"/>
  <c r="AX27" i="3"/>
  <c r="AW25" i="2"/>
  <c r="AW86" i="1"/>
  <c r="AW39" i="1" s="1"/>
  <c r="AU104" i="1"/>
  <c r="AU670" i="9" s="1"/>
  <c r="AV112" i="1"/>
  <c r="AW113" i="1" s="1"/>
  <c r="AU114" i="1"/>
  <c r="AV113" i="1"/>
  <c r="AV68" i="1"/>
  <c r="AW66" i="1"/>
  <c r="AV58" i="1"/>
  <c r="AV669" i="9" s="1"/>
  <c r="AU150" i="1"/>
  <c r="AU671" i="9" s="1"/>
  <c r="AV158" i="1"/>
  <c r="AU160" i="1"/>
  <c r="M158" i="1"/>
  <c r="M485" i="9" s="1"/>
  <c r="M486" i="9" s="1"/>
  <c r="AU186" i="1" l="1"/>
  <c r="AU187" i="1" s="1"/>
  <c r="AU223" i="1" s="1"/>
  <c r="AU220" i="1" s="1"/>
  <c r="AV184" i="1"/>
  <c r="AV212" i="1" s="1"/>
  <c r="AV731" i="9" s="1"/>
  <c r="AM138" i="4"/>
  <c r="AM139" i="4" s="1"/>
  <c r="AN136" i="4" s="1"/>
  <c r="AN138" i="4" s="1"/>
  <c r="AN139" i="4" s="1"/>
  <c r="AO136" i="4" s="1"/>
  <c r="AU28" i="1"/>
  <c r="AT27" i="1"/>
  <c r="AU20" i="1"/>
  <c r="AU25" i="1" s="1"/>
  <c r="AU26" i="1" s="1"/>
  <c r="AG81" i="5"/>
  <c r="AG82" i="5" s="1"/>
  <c r="AK87" i="3"/>
  <c r="AL86" i="3"/>
  <c r="AX67" i="1"/>
  <c r="AL774" i="9"/>
  <c r="AX41" i="2"/>
  <c r="AY26" i="3"/>
  <c r="AW70" i="3"/>
  <c r="AW36" i="4"/>
  <c r="AW126" i="4"/>
  <c r="AY129" i="4"/>
  <c r="AY130" i="4" s="1"/>
  <c r="AX130" i="4"/>
  <c r="AX125" i="4" s="1"/>
  <c r="AG58" i="5"/>
  <c r="AG84" i="5"/>
  <c r="AF83" i="5"/>
  <c r="AG74" i="5"/>
  <c r="AG90" i="5"/>
  <c r="AX47" i="7"/>
  <c r="AY46" i="7"/>
  <c r="AY47" i="7" s="1"/>
  <c r="AY27" i="3"/>
  <c r="AX25" i="2"/>
  <c r="I19" i="3"/>
  <c r="I47" i="3" s="1"/>
  <c r="AE47" i="3"/>
  <c r="AU168" i="1"/>
  <c r="AU170" i="1"/>
  <c r="AU167" i="1"/>
  <c r="AG140" i="5"/>
  <c r="AG146" i="5" s="1"/>
  <c r="AG11" i="3"/>
  <c r="AG19" i="3" s="1"/>
  <c r="AG47" i="3" s="1"/>
  <c r="AI51" i="2"/>
  <c r="AI53" i="2" s="1"/>
  <c r="AJ51" i="2" s="1"/>
  <c r="AJ53" i="2" s="1"/>
  <c r="AH5" i="3"/>
  <c r="AH26" i="5"/>
  <c r="AH62" i="5"/>
  <c r="AH57" i="5" s="1"/>
  <c r="AH70" i="5"/>
  <c r="AH65" i="5" s="1"/>
  <c r="AH78" i="5"/>
  <c r="AH73" i="5" s="1"/>
  <c r="AH94" i="5"/>
  <c r="AH89" i="5" s="1"/>
  <c r="AH86" i="5"/>
  <c r="AY15" i="2"/>
  <c r="N15" i="2" s="1"/>
  <c r="AW32" i="3"/>
  <c r="AV133" i="5"/>
  <c r="AX16" i="3"/>
  <c r="AT43" i="7"/>
  <c r="AU42" i="7"/>
  <c r="AH56" i="11"/>
  <c r="AH8" i="11"/>
  <c r="AH32" i="11"/>
  <c r="AY40" i="2"/>
  <c r="N40" i="2" s="1"/>
  <c r="N40" i="3"/>
  <c r="AQ109" i="3"/>
  <c r="AP15" i="3"/>
  <c r="AI2" i="3"/>
  <c r="AI2" i="11"/>
  <c r="AI2" i="6"/>
  <c r="AI2" i="7"/>
  <c r="AJ2" i="1"/>
  <c r="AI2" i="9"/>
  <c r="AI2" i="5"/>
  <c r="AI2" i="2"/>
  <c r="AI2" i="4"/>
  <c r="AI58" i="4" s="1"/>
  <c r="AW112" i="4"/>
  <c r="AW5" i="5"/>
  <c r="AX21" i="3"/>
  <c r="AW132" i="5"/>
  <c r="AW39" i="2"/>
  <c r="AX86" i="1"/>
  <c r="AX39" i="1" s="1"/>
  <c r="AV160" i="1"/>
  <c r="AW158" i="1"/>
  <c r="AV150" i="1"/>
  <c r="AV671" i="9" s="1"/>
  <c r="AX66" i="1"/>
  <c r="AW68" i="1"/>
  <c r="AW58" i="1"/>
  <c r="AW669" i="9" s="1"/>
  <c r="AW159" i="1"/>
  <c r="AV104" i="1"/>
  <c r="AV670" i="9" s="1"/>
  <c r="AW112" i="1"/>
  <c r="AX113" i="1" s="1"/>
  <c r="AV114" i="1"/>
  <c r="AO138" i="4" l="1"/>
  <c r="AO139" i="4" s="1"/>
  <c r="AU190" i="1"/>
  <c r="M190" i="1" s="1"/>
  <c r="AV218" i="1"/>
  <c r="AW184" i="1" s="1"/>
  <c r="M223" i="1"/>
  <c r="AU189" i="1"/>
  <c r="M189" i="1" s="1"/>
  <c r="AV185" i="1"/>
  <c r="AU65" i="4"/>
  <c r="AU94" i="4" s="1"/>
  <c r="AU626" i="9" s="1"/>
  <c r="AU581" i="9"/>
  <c r="AL87" i="3"/>
  <c r="AM86" i="3"/>
  <c r="AU27" i="1"/>
  <c r="AV28" i="1"/>
  <c r="AV20" i="1"/>
  <c r="AV25" i="1" s="1"/>
  <c r="AV26" i="1" s="1"/>
  <c r="AH81" i="5"/>
  <c r="AH82" i="5" s="1"/>
  <c r="AU222" i="1"/>
  <c r="AU221" i="1"/>
  <c r="M220" i="1"/>
  <c r="M221" i="1" s="1"/>
  <c r="AJ5" i="3"/>
  <c r="AJ11" i="3" s="1"/>
  <c r="AJ19" i="3" s="1"/>
  <c r="AJ47" i="3" s="1"/>
  <c r="AK51" i="2"/>
  <c r="AK53" i="2" s="1"/>
  <c r="AL772" i="9"/>
  <c r="AX70" i="3"/>
  <c r="N26" i="3"/>
  <c r="AY41" i="2"/>
  <c r="N41" i="2" s="1"/>
  <c r="AY125" i="4"/>
  <c r="AX36" i="4"/>
  <c r="AX126" i="4"/>
  <c r="AH74" i="5"/>
  <c r="AH66" i="5"/>
  <c r="AX112" i="4"/>
  <c r="AQ17" i="4"/>
  <c r="L17" i="4" s="1"/>
  <c r="L109" i="3"/>
  <c r="AY16" i="3"/>
  <c r="N16" i="3" s="1"/>
  <c r="AI5" i="3"/>
  <c r="J53" i="2"/>
  <c r="K51" i="2" s="1"/>
  <c r="AV170" i="1"/>
  <c r="AV167" i="1"/>
  <c r="AV168" i="1"/>
  <c r="AG85" i="5"/>
  <c r="AG87" i="5" s="1"/>
  <c r="AX5" i="5"/>
  <c r="AI78" i="5"/>
  <c r="AI73" i="5" s="1"/>
  <c r="AI94" i="5"/>
  <c r="AI89" i="5" s="1"/>
  <c r="AI21" i="5"/>
  <c r="AI102" i="5"/>
  <c r="AI86" i="5"/>
  <c r="AI65" i="5"/>
  <c r="AI66" i="5" s="1"/>
  <c r="AI62" i="5"/>
  <c r="AI57" i="5" s="1"/>
  <c r="AU43" i="7"/>
  <c r="AV42" i="7"/>
  <c r="AI32" i="11"/>
  <c r="AI8" i="11"/>
  <c r="AI56" i="11"/>
  <c r="AX32" i="3"/>
  <c r="AW133" i="5"/>
  <c r="AQ108" i="3"/>
  <c r="AX132" i="5"/>
  <c r="AX39" i="2"/>
  <c r="AY21" i="3"/>
  <c r="AY132" i="5" s="1"/>
  <c r="AJ2" i="6"/>
  <c r="AJ2" i="3"/>
  <c r="AJ2" i="4"/>
  <c r="AJ58" i="4" s="1"/>
  <c r="AJ2" i="5"/>
  <c r="AJ2" i="7"/>
  <c r="AJ2" i="11"/>
  <c r="AJ2" i="2"/>
  <c r="AK2" i="1"/>
  <c r="AJ2" i="9"/>
  <c r="AX18" i="2"/>
  <c r="AH140" i="5"/>
  <c r="AH146" i="5" s="1"/>
  <c r="AH11" i="3"/>
  <c r="AH19" i="3" s="1"/>
  <c r="AH47" i="3" s="1"/>
  <c r="N27" i="3"/>
  <c r="AY25" i="2"/>
  <c r="N25" i="2" s="1"/>
  <c r="AH90" i="5"/>
  <c r="AH58" i="5"/>
  <c r="AY86" i="1"/>
  <c r="AY39" i="1" s="1"/>
  <c r="AX112" i="1"/>
  <c r="AW114" i="1"/>
  <c r="AW104" i="1"/>
  <c r="AW670" i="9" s="1"/>
  <c r="AX158" i="1"/>
  <c r="AY159" i="1" s="1"/>
  <c r="AW160" i="1"/>
  <c r="AW150" i="1"/>
  <c r="AW671" i="9" s="1"/>
  <c r="AX159" i="1"/>
  <c r="AY66" i="1"/>
  <c r="AX68" i="1"/>
  <c r="AX58" i="1"/>
  <c r="AX669" i="9" s="1"/>
  <c r="AY67" i="1"/>
  <c r="AM87" i="3" l="1"/>
  <c r="AN86" i="3"/>
  <c r="AV186" i="1"/>
  <c r="AV187" i="1" s="1"/>
  <c r="AV223" i="1" s="1"/>
  <c r="AI81" i="5"/>
  <c r="AI82" i="5" s="1"/>
  <c r="AV27" i="1"/>
  <c r="AW28" i="1"/>
  <c r="AW20" i="1"/>
  <c r="AW25" i="1" s="1"/>
  <c r="AX28" i="1" s="1"/>
  <c r="AK5" i="3"/>
  <c r="AK140" i="5" s="1"/>
  <c r="AK146" i="5" s="1"/>
  <c r="AL51" i="2"/>
  <c r="AL53" i="2" s="1"/>
  <c r="AW185" i="1"/>
  <c r="AW212" i="1"/>
  <c r="AW731" i="9" s="1"/>
  <c r="AY5" i="5"/>
  <c r="K151" i="1"/>
  <c r="AM774" i="9"/>
  <c r="AJ86" i="5"/>
  <c r="AJ94" i="5"/>
  <c r="AJ89" i="5" s="1"/>
  <c r="AJ90" i="5" s="1"/>
  <c r="AY70" i="3"/>
  <c r="N125" i="4"/>
  <c r="N36" i="4" s="1"/>
  <c r="AY126" i="4"/>
  <c r="AY36" i="4"/>
  <c r="AI90" i="5"/>
  <c r="AH84" i="5"/>
  <c r="AG83" i="5"/>
  <c r="AI58" i="5"/>
  <c r="AJ8" i="11"/>
  <c r="AJ32" i="11"/>
  <c r="AJ56" i="11"/>
  <c r="AW42" i="7"/>
  <c r="AV43" i="7"/>
  <c r="AI22" i="5"/>
  <c r="AW168" i="1"/>
  <c r="AW170" i="1"/>
  <c r="AW167" i="1"/>
  <c r="AI140" i="5"/>
  <c r="AI146" i="5" s="1"/>
  <c r="AI11" i="3"/>
  <c r="J5" i="3"/>
  <c r="J140" i="5" s="1"/>
  <c r="J142" i="5" s="1"/>
  <c r="J144" i="5" s="1"/>
  <c r="J298" i="9" s="1"/>
  <c r="AY32" i="3"/>
  <c r="AY133" i="5" s="1"/>
  <c r="AX133" i="5"/>
  <c r="AY112" i="4"/>
  <c r="AI74" i="5"/>
  <c r="AL2" i="1"/>
  <c r="AK2" i="2"/>
  <c r="AK2" i="6"/>
  <c r="AK2" i="4"/>
  <c r="AK58" i="4" s="1"/>
  <c r="AK2" i="11"/>
  <c r="AK2" i="7"/>
  <c r="AK2" i="5"/>
  <c r="AK2" i="3"/>
  <c r="AK2" i="9"/>
  <c r="AJ70" i="5"/>
  <c r="AJ65" i="5" s="1"/>
  <c r="AJ66" i="5" s="1"/>
  <c r="AJ26" i="5"/>
  <c r="AJ21" i="5" s="1"/>
  <c r="AJ78" i="5"/>
  <c r="AJ73" i="5" s="1"/>
  <c r="AJ102" i="5"/>
  <c r="AJ97" i="5" s="1"/>
  <c r="AJ62" i="5"/>
  <c r="AJ57" i="5" s="1"/>
  <c r="N21" i="3"/>
  <c r="AY39" i="2"/>
  <c r="N39" i="2" s="1"/>
  <c r="AR109" i="3"/>
  <c r="AQ15" i="3"/>
  <c r="L15" i="3" s="1"/>
  <c r="L108" i="3"/>
  <c r="AY18" i="2"/>
  <c r="N18" i="2" s="1"/>
  <c r="N39" i="1"/>
  <c r="N86" i="1"/>
  <c r="AY68" i="1"/>
  <c r="AY58" i="1"/>
  <c r="AY669" i="9" s="1"/>
  <c r="N66" i="1"/>
  <c r="N669" i="9" s="1"/>
  <c r="AX104" i="1"/>
  <c r="AX670" i="9" s="1"/>
  <c r="AY112" i="1"/>
  <c r="AX114" i="1"/>
  <c r="AX160" i="1"/>
  <c r="AY158" i="1"/>
  <c r="N158" i="1" s="1"/>
  <c r="N485" i="9" s="1"/>
  <c r="N486" i="9" s="1"/>
  <c r="AX150" i="1"/>
  <c r="AX671" i="9" s="1"/>
  <c r="AY113" i="1"/>
  <c r="AO86" i="3" l="1"/>
  <c r="AO87" i="3" s="1"/>
  <c r="AN87" i="3"/>
  <c r="AJ81" i="5"/>
  <c r="AJ82" i="5" s="1"/>
  <c r="AK11" i="3"/>
  <c r="AK19" i="3" s="1"/>
  <c r="AK47" i="3" s="1"/>
  <c r="AV189" i="1"/>
  <c r="AV190" i="1"/>
  <c r="AL5" i="3"/>
  <c r="AL11" i="3" s="1"/>
  <c r="AL19" i="3" s="1"/>
  <c r="AL47" i="3" s="1"/>
  <c r="AM51" i="2"/>
  <c r="AM53" i="2" s="1"/>
  <c r="AW27" i="1"/>
  <c r="AW26" i="1"/>
  <c r="AX20" i="1"/>
  <c r="AX25" i="1" s="1"/>
  <c r="AY28" i="1" s="1"/>
  <c r="N58" i="1"/>
  <c r="AW218" i="1"/>
  <c r="AX184" i="1" s="1"/>
  <c r="AV220" i="1"/>
  <c r="AK78" i="5"/>
  <c r="AK73" i="5" s="1"/>
  <c r="AK74" i="5" s="1"/>
  <c r="AK62" i="5"/>
  <c r="AK57" i="5" s="1"/>
  <c r="AK58" i="5" s="1"/>
  <c r="AK94" i="5"/>
  <c r="AK89" i="5" s="1"/>
  <c r="AK90" i="5" s="1"/>
  <c r="AK70" i="5"/>
  <c r="AK26" i="5"/>
  <c r="AK21" i="5" s="1"/>
  <c r="AL26" i="5" s="1"/>
  <c r="AK102" i="5"/>
  <c r="AK97" i="5" s="1"/>
  <c r="AK98" i="5" s="1"/>
  <c r="AK86" i="5"/>
  <c r="AK81" i="5" s="1"/>
  <c r="AK82" i="5" s="1"/>
  <c r="AK65" i="5"/>
  <c r="AK66" i="5" s="1"/>
  <c r="AN774" i="9"/>
  <c r="AJ58" i="5"/>
  <c r="AJ74" i="5"/>
  <c r="AJ22" i="5"/>
  <c r="AR17" i="4"/>
  <c r="AK8" i="11"/>
  <c r="AK32" i="11"/>
  <c r="AK56" i="11"/>
  <c r="AL2" i="3"/>
  <c r="AL2" i="7"/>
  <c r="AL2" i="4"/>
  <c r="AL58" i="4" s="1"/>
  <c r="AL2" i="2"/>
  <c r="AM2" i="1"/>
  <c r="AL2" i="5"/>
  <c r="AL2" i="6"/>
  <c r="AL2" i="9"/>
  <c r="AL2" i="11"/>
  <c r="AI19" i="3"/>
  <c r="J11" i="3"/>
  <c r="N32" i="3"/>
  <c r="AX170" i="1"/>
  <c r="AX167" i="1"/>
  <c r="AX168" i="1"/>
  <c r="AX42" i="7"/>
  <c r="AW43" i="7"/>
  <c r="AR108" i="3"/>
  <c r="AJ98" i="5"/>
  <c r="AY150" i="1"/>
  <c r="AY671" i="9" s="1"/>
  <c r="AY160" i="1"/>
  <c r="AY104" i="1"/>
  <c r="AY670" i="9" s="1"/>
  <c r="AY114" i="1"/>
  <c r="N112" i="1"/>
  <c r="N670" i="9" s="1"/>
  <c r="AV65" i="4" l="1"/>
  <c r="AV94" i="4" s="1"/>
  <c r="AV626" i="9" s="1"/>
  <c r="AV581" i="9"/>
  <c r="AM5" i="3"/>
  <c r="AN51" i="2"/>
  <c r="AN53" i="2" s="1"/>
  <c r="AX27" i="1"/>
  <c r="AX26" i="1"/>
  <c r="AY20" i="1"/>
  <c r="AY25" i="1" s="1"/>
  <c r="AY26" i="1" s="1"/>
  <c r="AO774" i="9"/>
  <c r="AW186" i="1"/>
  <c r="AW187" i="1" s="1"/>
  <c r="AV222" i="1"/>
  <c r="AV221" i="1"/>
  <c r="AP149" i="1"/>
  <c r="AP151" i="1" s="1"/>
  <c r="AK22" i="5"/>
  <c r="AL44" i="5"/>
  <c r="AL35" i="5"/>
  <c r="AL110" i="5"/>
  <c r="AL53" i="5"/>
  <c r="AL52" i="5" s="1"/>
  <c r="AS109" i="3"/>
  <c r="AR15" i="3"/>
  <c r="AI47" i="3"/>
  <c r="J19" i="3"/>
  <c r="J47" i="3" s="1"/>
  <c r="AL62" i="5"/>
  <c r="AL57" i="5" s="1"/>
  <c r="AL86" i="5"/>
  <c r="AL81" i="5" s="1"/>
  <c r="AL102" i="5"/>
  <c r="AL97" i="5" s="1"/>
  <c r="AL98" i="5" s="1"/>
  <c r="AL94" i="5"/>
  <c r="AL89" i="5" s="1"/>
  <c r="AL70" i="5"/>
  <c r="AL65" i="5" s="1"/>
  <c r="AL66" i="5" s="1"/>
  <c r="AL78" i="5"/>
  <c r="AL73" i="5" s="1"/>
  <c r="AL21" i="5"/>
  <c r="AM2" i="2"/>
  <c r="AM2" i="11"/>
  <c r="AM2" i="3"/>
  <c r="AM2" i="4"/>
  <c r="AM58" i="4" s="1"/>
  <c r="AM2" i="6"/>
  <c r="AM2" i="9"/>
  <c r="AN2" i="1"/>
  <c r="AM2" i="5"/>
  <c r="AM2" i="7"/>
  <c r="AY42" i="7"/>
  <c r="AY43" i="7" s="1"/>
  <c r="AX43" i="7"/>
  <c r="AL56" i="11"/>
  <c r="AL32" i="11"/>
  <c r="AL8" i="11"/>
  <c r="AY168" i="1"/>
  <c r="AY170" i="1"/>
  <c r="AY167" i="1"/>
  <c r="AN5" i="3" l="1"/>
  <c r="AN140" i="5" s="1"/>
  <c r="AN146" i="5" s="1"/>
  <c r="AO51" i="2"/>
  <c r="AO53" i="2" s="1"/>
  <c r="AO5" i="3" s="1"/>
  <c r="AM11" i="3"/>
  <c r="AM19" i="3" s="1"/>
  <c r="AM47" i="3" s="1"/>
  <c r="AM140" i="5"/>
  <c r="AM146" i="5" s="1"/>
  <c r="AM118" i="5"/>
  <c r="AM44" i="5"/>
  <c r="AM53" i="5"/>
  <c r="AN11" i="3"/>
  <c r="AN19" i="3" s="1"/>
  <c r="AN47" i="3" s="1"/>
  <c r="AY27" i="1"/>
  <c r="AX185" i="1"/>
  <c r="AX212" i="1"/>
  <c r="AX731" i="9" s="1"/>
  <c r="AW223" i="1"/>
  <c r="AW189" i="1"/>
  <c r="AW190" i="1"/>
  <c r="AP152" i="1"/>
  <c r="AQ149" i="1" s="1"/>
  <c r="AQ151" i="1" s="1"/>
  <c r="AM17" i="5"/>
  <c r="AP774" i="9"/>
  <c r="AM110" i="5"/>
  <c r="AL58" i="5"/>
  <c r="AL22" i="5"/>
  <c r="AS17" i="4"/>
  <c r="AN2" i="3"/>
  <c r="AO2" i="1"/>
  <c r="AN2" i="9"/>
  <c r="AN2" i="5"/>
  <c r="AN2" i="6"/>
  <c r="AN2" i="2"/>
  <c r="AN2" i="7"/>
  <c r="AN2" i="11"/>
  <c r="AN2" i="4"/>
  <c r="AN58" i="4" s="1"/>
  <c r="AL90" i="5"/>
  <c r="AM62" i="5"/>
  <c r="AM57" i="5" s="1"/>
  <c r="AM94" i="5"/>
  <c r="AM89" i="5" s="1"/>
  <c r="AM86" i="5"/>
  <c r="AM81" i="5" s="1"/>
  <c r="AM26" i="5"/>
  <c r="AM21" i="5" s="1"/>
  <c r="AM22" i="5" s="1"/>
  <c r="AM102" i="5"/>
  <c r="AM97" i="5" s="1"/>
  <c r="AM78" i="5"/>
  <c r="AM73" i="5" s="1"/>
  <c r="AM70" i="5"/>
  <c r="AM65" i="5" s="1"/>
  <c r="AM8" i="11"/>
  <c r="AM32" i="11"/>
  <c r="AM56" i="11"/>
  <c r="AS108" i="3"/>
  <c r="AL74" i="5"/>
  <c r="AL82" i="5"/>
  <c r="AO11" i="3" l="1"/>
  <c r="AO19" i="3" s="1"/>
  <c r="AO47" i="3" s="1"/>
  <c r="AO140" i="5"/>
  <c r="AO146" i="5" s="1"/>
  <c r="C8" i="7"/>
  <c r="AN94" i="5"/>
  <c r="AN118" i="5"/>
  <c r="AN89" i="5"/>
  <c r="AN90" i="5" s="1"/>
  <c r="AN86" i="5"/>
  <c r="AN81" i="5" s="1"/>
  <c r="AN82" i="5" s="1"/>
  <c r="AN44" i="5"/>
  <c r="AM105" i="5"/>
  <c r="AM106" i="5" s="1"/>
  <c r="AM49" i="5"/>
  <c r="AQ774" i="9"/>
  <c r="AW220" i="1"/>
  <c r="AX218" i="1"/>
  <c r="AY184" i="1" s="1"/>
  <c r="L151" i="1"/>
  <c r="AQ152" i="1"/>
  <c r="AR149" i="1" s="1"/>
  <c r="AR151" i="1" s="1"/>
  <c r="AN17" i="5"/>
  <c r="AN53" i="5"/>
  <c r="AN110" i="5"/>
  <c r="AM98" i="5"/>
  <c r="AM66" i="5"/>
  <c r="AM74" i="5"/>
  <c r="AN8" i="11"/>
  <c r="AN56" i="11"/>
  <c r="AN32" i="11"/>
  <c r="AN62" i="5"/>
  <c r="AN57" i="5" s="1"/>
  <c r="AN78" i="5"/>
  <c r="AN73" i="5" s="1"/>
  <c r="AN26" i="5"/>
  <c r="AN21" i="5" s="1"/>
  <c r="AN102" i="5"/>
  <c r="AN97" i="5" s="1"/>
  <c r="AN70" i="5"/>
  <c r="AN65" i="5" s="1"/>
  <c r="AM90" i="5"/>
  <c r="AS15" i="3"/>
  <c r="AT109" i="3"/>
  <c r="AT108" i="3" s="1"/>
  <c r="AP2" i="1"/>
  <c r="AO2" i="4"/>
  <c r="AO58" i="4" s="1"/>
  <c r="AO2" i="11"/>
  <c r="AO2" i="7"/>
  <c r="AO2" i="5"/>
  <c r="AO2" i="3"/>
  <c r="AO2" i="9"/>
  <c r="AO2" i="2"/>
  <c r="AO2" i="6"/>
  <c r="AM82" i="5"/>
  <c r="AM58" i="5"/>
  <c r="AW65" i="4" l="1"/>
  <c r="AW94" i="4" s="1"/>
  <c r="AW626" i="9" s="1"/>
  <c r="AW581" i="9"/>
  <c r="AN105" i="5"/>
  <c r="AN106" i="5" s="1"/>
  <c r="AN48" i="5"/>
  <c r="AN49" i="5" s="1"/>
  <c r="AO118" i="5"/>
  <c r="AO113" i="5" s="1"/>
  <c r="AO114" i="5" s="1"/>
  <c r="AR774" i="9"/>
  <c r="AX186" i="1"/>
  <c r="AX187" i="1" s="1"/>
  <c r="AW222" i="1"/>
  <c r="AW221" i="1"/>
  <c r="AR152" i="1"/>
  <c r="AS149" i="1" s="1"/>
  <c r="AS151" i="1" s="1"/>
  <c r="AO17" i="5"/>
  <c r="AO35" i="5"/>
  <c r="AO44" i="5"/>
  <c r="AO53" i="5"/>
  <c r="AO110" i="5"/>
  <c r="AN98" i="5"/>
  <c r="AN22" i="5"/>
  <c r="AN66" i="5"/>
  <c r="AO8" i="11"/>
  <c r="AO56" i="11"/>
  <c r="AO32" i="11"/>
  <c r="AT17" i="4"/>
  <c r="AN74" i="5"/>
  <c r="AU109" i="3"/>
  <c r="AU17" i="4" s="1"/>
  <c r="AT15" i="3"/>
  <c r="AO70" i="5"/>
  <c r="AO65" i="5" s="1"/>
  <c r="AO102" i="5"/>
  <c r="AO97" i="5" s="1"/>
  <c r="AO86" i="5"/>
  <c r="AO81" i="5" s="1"/>
  <c r="AO82" i="5" s="1"/>
  <c r="AO126" i="5"/>
  <c r="AO94" i="5"/>
  <c r="AO89" i="5" s="1"/>
  <c r="AO78" i="5"/>
  <c r="AO73" i="5" s="1"/>
  <c r="AO26" i="5"/>
  <c r="AO21" i="5" s="1"/>
  <c r="AO62" i="5"/>
  <c r="AO57" i="5" s="1"/>
  <c r="AP2" i="2"/>
  <c r="AP2" i="9"/>
  <c r="AP2" i="7"/>
  <c r="AP2" i="5"/>
  <c r="AQ2" i="1"/>
  <c r="AP2" i="3"/>
  <c r="AP2" i="6"/>
  <c r="AP2" i="4"/>
  <c r="AP58" i="4" s="1"/>
  <c r="AP2" i="11"/>
  <c r="AN58" i="5"/>
  <c r="AO105" i="5" l="1"/>
  <c r="AO106" i="5" s="1"/>
  <c r="AO48" i="5"/>
  <c r="AO49" i="5" s="1"/>
  <c r="AP118" i="5"/>
  <c r="AP113" i="5" s="1"/>
  <c r="AP114" i="5" s="1"/>
  <c r="AY185" i="1"/>
  <c r="AY212" i="1"/>
  <c r="AY731" i="9" s="1"/>
  <c r="AX189" i="1"/>
  <c r="AX190" i="1"/>
  <c r="AX223" i="1"/>
  <c r="AS774" i="9"/>
  <c r="AP44" i="5"/>
  <c r="AP17" i="5"/>
  <c r="AP35" i="5"/>
  <c r="AS152" i="1"/>
  <c r="AT149" i="1" s="1"/>
  <c r="AP53" i="5"/>
  <c r="AP110" i="5"/>
  <c r="M109" i="3"/>
  <c r="M17" i="4"/>
  <c r="AU108" i="3"/>
  <c r="AV109" i="3" s="1"/>
  <c r="AV108" i="3" s="1"/>
  <c r="AO66" i="5"/>
  <c r="AO22" i="5"/>
  <c r="AP56" i="11"/>
  <c r="AP8" i="11"/>
  <c r="AP32" i="11"/>
  <c r="AQ2" i="3"/>
  <c r="AQ2" i="2"/>
  <c r="AQ2" i="5"/>
  <c r="AQ2" i="6"/>
  <c r="AR2" i="1"/>
  <c r="AQ2" i="9"/>
  <c r="AQ2" i="4"/>
  <c r="AQ58" i="4" s="1"/>
  <c r="AQ2" i="7"/>
  <c r="AQ2" i="11"/>
  <c r="AP126" i="5"/>
  <c r="AP94" i="5"/>
  <c r="AP89" i="5" s="1"/>
  <c r="AP90" i="5" s="1"/>
  <c r="AP26" i="5"/>
  <c r="AP21" i="5" s="1"/>
  <c r="AP70" i="5"/>
  <c r="AP65" i="5" s="1"/>
  <c r="AP102" i="5"/>
  <c r="AP97" i="5" s="1"/>
  <c r="AP62" i="5"/>
  <c r="AP57" i="5" s="1"/>
  <c r="AP86" i="5"/>
  <c r="AP81" i="5" s="1"/>
  <c r="AP78" i="5"/>
  <c r="AP73" i="5" s="1"/>
  <c r="AO58" i="5"/>
  <c r="AO74" i="5"/>
  <c r="AO90" i="5"/>
  <c r="AO98" i="5"/>
  <c r="AP105" i="5" l="1"/>
  <c r="AP48" i="5"/>
  <c r="AP49" i="5" s="1"/>
  <c r="AQ118" i="5"/>
  <c r="AQ113" i="5" s="1"/>
  <c r="AY218" i="1"/>
  <c r="N212" i="1"/>
  <c r="AX220" i="1"/>
  <c r="AT151" i="1"/>
  <c r="AQ44" i="5"/>
  <c r="AQ17" i="5"/>
  <c r="AQ35" i="5"/>
  <c r="AQ53" i="5"/>
  <c r="AP106" i="5"/>
  <c r="AQ110" i="5"/>
  <c r="AQ105" i="5" s="1"/>
  <c r="AQ106" i="5" s="1"/>
  <c r="AU15" i="3"/>
  <c r="M15" i="3" s="1"/>
  <c r="M108" i="3"/>
  <c r="AP74" i="5"/>
  <c r="AP98" i="5"/>
  <c r="AP66" i="5"/>
  <c r="AQ26" i="5"/>
  <c r="AQ21" i="5" s="1"/>
  <c r="AQ102" i="5"/>
  <c r="AQ97" i="5" s="1"/>
  <c r="AQ62" i="5"/>
  <c r="AQ57" i="5" s="1"/>
  <c r="AQ58" i="5" s="1"/>
  <c r="AQ78" i="5"/>
  <c r="AQ73" i="5" s="1"/>
  <c r="AQ70" i="5"/>
  <c r="AQ65" i="5" s="1"/>
  <c r="AQ86" i="5"/>
  <c r="AQ81" i="5" s="1"/>
  <c r="AQ94" i="5"/>
  <c r="AQ89" i="5" s="1"/>
  <c r="AQ126" i="5"/>
  <c r="AW109" i="3"/>
  <c r="AW17" i="4" s="1"/>
  <c r="AV15" i="3"/>
  <c r="AP82" i="5"/>
  <c r="AP22" i="5"/>
  <c r="AV17" i="4"/>
  <c r="AQ8" i="11"/>
  <c r="AQ56" i="11"/>
  <c r="AQ32" i="11"/>
  <c r="AR2" i="6"/>
  <c r="AR2" i="7"/>
  <c r="AR2" i="11"/>
  <c r="AR2" i="5"/>
  <c r="AS2" i="1"/>
  <c r="AR2" i="4"/>
  <c r="AR58" i="4" s="1"/>
  <c r="AR2" i="2"/>
  <c r="AR2" i="3"/>
  <c r="AR2" i="9"/>
  <c r="AP58" i="5"/>
  <c r="AX65" i="4" l="1"/>
  <c r="AX94" i="4" s="1"/>
  <c r="AX626" i="9" s="1"/>
  <c r="AX581" i="9"/>
  <c r="AQ48" i="5"/>
  <c r="AQ49" i="5" s="1"/>
  <c r="AQ114" i="5"/>
  <c r="AR118" i="5"/>
  <c r="AR113" i="5" s="1"/>
  <c r="AT152" i="1"/>
  <c r="AU149" i="1" s="1"/>
  <c r="AU151" i="1" s="1"/>
  <c r="AY186" i="1"/>
  <c r="AY187" i="1" s="1"/>
  <c r="N218" i="1"/>
  <c r="AX221" i="1"/>
  <c r="AX222" i="1"/>
  <c r="AR17" i="5"/>
  <c r="AR35" i="5"/>
  <c r="AR44" i="5"/>
  <c r="AT774" i="9"/>
  <c r="AR53" i="5"/>
  <c r="AR110" i="5"/>
  <c r="AR105" i="5" s="1"/>
  <c r="AW108" i="3"/>
  <c r="AW15" i="3" s="1"/>
  <c r="AQ66" i="5"/>
  <c r="AQ22" i="5"/>
  <c r="AQ74" i="5"/>
  <c r="AQ90" i="5"/>
  <c r="AQ82" i="5"/>
  <c r="AQ98" i="5"/>
  <c r="AS2" i="6"/>
  <c r="AS2" i="9"/>
  <c r="AS2" i="5"/>
  <c r="AS2" i="3"/>
  <c r="AS2" i="2"/>
  <c r="AT2" i="1"/>
  <c r="AS2" i="4"/>
  <c r="AS58" i="4" s="1"/>
  <c r="AS2" i="7"/>
  <c r="AS2" i="11"/>
  <c r="AR94" i="5"/>
  <c r="AR89" i="5" s="1"/>
  <c r="AR70" i="5"/>
  <c r="AR65" i="5" s="1"/>
  <c r="AR86" i="5"/>
  <c r="AR81" i="5" s="1"/>
  <c r="AR102" i="5"/>
  <c r="AR97" i="5" s="1"/>
  <c r="AR98" i="5" s="1"/>
  <c r="AR126" i="5"/>
  <c r="AR78" i="5"/>
  <c r="AR73" i="5" s="1"/>
  <c r="AR26" i="5"/>
  <c r="AR21" i="5" s="1"/>
  <c r="AR62" i="5"/>
  <c r="AR57" i="5" s="1"/>
  <c r="AR58" i="5" s="1"/>
  <c r="AR56" i="11"/>
  <c r="AR32" i="11"/>
  <c r="AR8" i="11"/>
  <c r="AR48" i="5" l="1"/>
  <c r="AR49" i="5" s="1"/>
  <c r="AS118" i="5"/>
  <c r="AS113" i="5" s="1"/>
  <c r="AS114" i="5" s="1"/>
  <c r="AR114" i="5"/>
  <c r="AU774" i="9"/>
  <c r="AY223" i="1"/>
  <c r="AY190" i="1"/>
  <c r="N190" i="1" s="1"/>
  <c r="AY189" i="1"/>
  <c r="N189" i="1" s="1"/>
  <c r="M151" i="1"/>
  <c r="AS17" i="5"/>
  <c r="AS35" i="5"/>
  <c r="AS44" i="5"/>
  <c r="AU152" i="1"/>
  <c r="AV149" i="1" s="1"/>
  <c r="AS53" i="5"/>
  <c r="AS110" i="5"/>
  <c r="AS105" i="5" s="1"/>
  <c r="AS106" i="5" s="1"/>
  <c r="AR106" i="5"/>
  <c r="AX109" i="3"/>
  <c r="AX108" i="3" s="1"/>
  <c r="AY109" i="3" s="1"/>
  <c r="AY17" i="4" s="1"/>
  <c r="AR66" i="5"/>
  <c r="AR22" i="5"/>
  <c r="AR90" i="5"/>
  <c r="AT2" i="6"/>
  <c r="AT2" i="3"/>
  <c r="AT2" i="11"/>
  <c r="AT2" i="9"/>
  <c r="AT2" i="7"/>
  <c r="AU2" i="1"/>
  <c r="AT2" i="4"/>
  <c r="AT58" i="4" s="1"/>
  <c r="AT2" i="2"/>
  <c r="AT2" i="5"/>
  <c r="AS102" i="5"/>
  <c r="AS97" i="5" s="1"/>
  <c r="AS98" i="5" s="1"/>
  <c r="AS70" i="5"/>
  <c r="AS65" i="5" s="1"/>
  <c r="AS66" i="5" s="1"/>
  <c r="AS78" i="5"/>
  <c r="AS73" i="5" s="1"/>
  <c r="AS94" i="5"/>
  <c r="AS89" i="5" s="1"/>
  <c r="AS26" i="5"/>
  <c r="AS21" i="5" s="1"/>
  <c r="AS126" i="5"/>
  <c r="AS62" i="5"/>
  <c r="AS57" i="5" s="1"/>
  <c r="AS86" i="5"/>
  <c r="AS81" i="5" s="1"/>
  <c r="AS32" i="11"/>
  <c r="AS8" i="11"/>
  <c r="AS56" i="11"/>
  <c r="AR82" i="5"/>
  <c r="AR74" i="5"/>
  <c r="AS48" i="5" l="1"/>
  <c r="AS49" i="5" s="1"/>
  <c r="AT118" i="5"/>
  <c r="AT113" i="5" s="1"/>
  <c r="AY220" i="1"/>
  <c r="N223" i="1"/>
  <c r="AT44" i="5"/>
  <c r="AT17" i="5"/>
  <c r="AT35" i="5"/>
  <c r="AV151" i="1"/>
  <c r="AX17" i="4"/>
  <c r="N17" i="4" s="1"/>
  <c r="AX15" i="3"/>
  <c r="AT53" i="5"/>
  <c r="AT110" i="5"/>
  <c r="AT105" i="5" s="1"/>
  <c r="AS58" i="5"/>
  <c r="AS82" i="5"/>
  <c r="AS74" i="5"/>
  <c r="AS22" i="5"/>
  <c r="AS90" i="5"/>
  <c r="N109" i="3"/>
  <c r="AY108" i="3"/>
  <c r="AT56" i="11"/>
  <c r="AT32" i="11"/>
  <c r="AT8" i="11"/>
  <c r="AV2" i="1"/>
  <c r="AU2" i="7"/>
  <c r="AU2" i="11"/>
  <c r="AU2" i="6"/>
  <c r="AU2" i="3"/>
  <c r="AU2" i="9"/>
  <c r="AU2" i="2"/>
  <c r="AU2" i="4"/>
  <c r="AU58" i="4" s="1"/>
  <c r="AU2" i="5"/>
  <c r="AT86" i="5"/>
  <c r="AT81" i="5" s="1"/>
  <c r="AT102" i="5"/>
  <c r="AT97" i="5" s="1"/>
  <c r="AT62" i="5"/>
  <c r="AT57" i="5" s="1"/>
  <c r="AT70" i="5"/>
  <c r="AT65" i="5" s="1"/>
  <c r="AT66" i="5" s="1"/>
  <c r="AT26" i="5"/>
  <c r="AT21" i="5" s="1"/>
  <c r="AT126" i="5"/>
  <c r="AT78" i="5"/>
  <c r="AT73" i="5" s="1"/>
  <c r="AT94" i="5"/>
  <c r="AT89" i="5" s="1"/>
  <c r="AY65" i="4" l="1"/>
  <c r="AY94" i="4" s="1"/>
  <c r="AY626" i="9" s="1"/>
  <c r="AY581" i="9"/>
  <c r="AT48" i="5"/>
  <c r="AT49" i="5" s="1"/>
  <c r="AU118" i="5"/>
  <c r="AU113" i="5" s="1"/>
  <c r="AU114" i="5" s="1"/>
  <c r="AT114" i="5"/>
  <c r="AY222" i="1"/>
  <c r="AY221" i="1"/>
  <c r="N220" i="1"/>
  <c r="N221" i="1" s="1"/>
  <c r="AU44" i="5"/>
  <c r="AU17" i="5"/>
  <c r="AU35" i="5"/>
  <c r="AV774" i="9"/>
  <c r="AV152" i="1"/>
  <c r="AW149" i="1" s="1"/>
  <c r="AU53" i="5"/>
  <c r="AU110" i="5"/>
  <c r="AU105" i="5" s="1"/>
  <c r="AT106" i="5"/>
  <c r="AT58" i="5"/>
  <c r="AT82" i="5"/>
  <c r="AT90" i="5"/>
  <c r="AT22" i="5"/>
  <c r="AT74" i="5"/>
  <c r="AU8" i="11"/>
  <c r="AU56" i="11"/>
  <c r="AU32" i="11"/>
  <c r="N108" i="3"/>
  <c r="AY15" i="3"/>
  <c r="N15" i="3" s="1"/>
  <c r="AU94" i="5"/>
  <c r="AU89" i="5" s="1"/>
  <c r="AU62" i="5"/>
  <c r="AU70" i="5"/>
  <c r="AU65" i="5" s="1"/>
  <c r="AU66" i="5" s="1"/>
  <c r="AU26" i="5"/>
  <c r="AU21" i="5" s="1"/>
  <c r="AU102" i="5"/>
  <c r="AU97" i="5" s="1"/>
  <c r="AU98" i="5" s="1"/>
  <c r="AU57" i="5"/>
  <c r="AU86" i="5"/>
  <c r="AU81" i="5" s="1"/>
  <c r="AU82" i="5" s="1"/>
  <c r="AU78" i="5"/>
  <c r="AU73" i="5" s="1"/>
  <c r="AU126" i="5"/>
  <c r="AW2" i="1"/>
  <c r="AV2" i="9"/>
  <c r="AV2" i="4"/>
  <c r="AV58" i="4" s="1"/>
  <c r="AV2" i="11"/>
  <c r="AV2" i="6"/>
  <c r="AV2" i="5"/>
  <c r="AV2" i="7"/>
  <c r="AV2" i="3"/>
  <c r="AV2" i="2"/>
  <c r="AT98" i="5"/>
  <c r="AU48" i="5" l="1"/>
  <c r="AU49" i="5" s="1"/>
  <c r="AV118" i="5"/>
  <c r="AV113" i="5" s="1"/>
  <c r="AV114" i="5" s="1"/>
  <c r="AV44" i="5"/>
  <c r="AV17" i="5"/>
  <c r="AV35" i="5"/>
  <c r="AW151" i="1"/>
  <c r="AV53" i="5"/>
  <c r="AV110" i="5"/>
  <c r="AV105" i="5" s="1"/>
  <c r="AV106" i="5" s="1"/>
  <c r="AU106" i="5"/>
  <c r="AU22" i="5"/>
  <c r="AV86" i="5"/>
  <c r="AV81" i="5" s="1"/>
  <c r="AV82" i="5" s="1"/>
  <c r="AV70" i="5"/>
  <c r="AV65" i="5" s="1"/>
  <c r="AV102" i="5"/>
  <c r="AV97" i="5" s="1"/>
  <c r="AV98" i="5" s="1"/>
  <c r="AV26" i="5"/>
  <c r="AV21" i="5" s="1"/>
  <c r="AV94" i="5"/>
  <c r="AV89" i="5" s="1"/>
  <c r="AV78" i="5"/>
  <c r="AV73" i="5" s="1"/>
  <c r="AV62" i="5"/>
  <c r="AV57" i="5" s="1"/>
  <c r="AV126" i="5"/>
  <c r="AX2" i="1"/>
  <c r="AW2" i="6"/>
  <c r="AW2" i="5"/>
  <c r="AW2" i="3"/>
  <c r="AW2" i="11"/>
  <c r="AW2" i="2"/>
  <c r="AW2" i="4"/>
  <c r="AW58" i="4" s="1"/>
  <c r="AW2" i="7"/>
  <c r="AW2" i="9"/>
  <c r="AV8" i="11"/>
  <c r="AV32" i="11"/>
  <c r="AV56" i="11"/>
  <c r="AU74" i="5"/>
  <c r="AU90" i="5"/>
  <c r="AU58" i="5"/>
  <c r="AV48" i="5" l="1"/>
  <c r="AV49" i="5" s="1"/>
  <c r="AW118" i="5"/>
  <c r="AW113" i="5" s="1"/>
  <c r="AW152" i="1"/>
  <c r="AX149" i="1" s="1"/>
  <c r="AX151" i="1" s="1"/>
  <c r="AW17" i="5"/>
  <c r="AW35" i="5"/>
  <c r="AW44" i="5"/>
  <c r="AW774" i="9"/>
  <c r="AW53" i="5"/>
  <c r="AW110" i="5"/>
  <c r="AW105" i="5" s="1"/>
  <c r="AW106" i="5" s="1"/>
  <c r="AV74" i="5"/>
  <c r="AV58" i="5"/>
  <c r="AV90" i="5"/>
  <c r="AV66" i="5"/>
  <c r="AX2" i="11"/>
  <c r="AX2" i="7"/>
  <c r="AX2" i="2"/>
  <c r="AX2" i="6"/>
  <c r="AX2" i="5"/>
  <c r="AX2" i="3"/>
  <c r="AX2" i="4"/>
  <c r="AX58" i="4" s="1"/>
  <c r="AX2" i="9"/>
  <c r="AY2" i="1"/>
  <c r="AY2" i="5" s="1"/>
  <c r="AW102" i="5"/>
  <c r="AW97" i="5" s="1"/>
  <c r="AW94" i="5"/>
  <c r="AW89" i="5" s="1"/>
  <c r="AW26" i="5"/>
  <c r="AW21" i="5" s="1"/>
  <c r="AW126" i="5"/>
  <c r="AW78" i="5"/>
  <c r="AW73" i="5" s="1"/>
  <c r="AW86" i="5"/>
  <c r="AW81" i="5" s="1"/>
  <c r="AW70" i="5"/>
  <c r="AW65" i="5" s="1"/>
  <c r="AW66" i="5" s="1"/>
  <c r="AW62" i="5"/>
  <c r="AW57" i="5" s="1"/>
  <c r="AW58" i="5" s="1"/>
  <c r="AW8" i="11"/>
  <c r="AW32" i="11"/>
  <c r="AW56" i="11"/>
  <c r="AV22" i="5"/>
  <c r="AW48" i="5" l="1"/>
  <c r="AW49" i="5" s="1"/>
  <c r="AY118" i="5"/>
  <c r="AX118" i="5"/>
  <c r="AX113" i="5" s="1"/>
  <c r="AW114" i="5"/>
  <c r="AX774" i="9"/>
  <c r="AY53" i="5"/>
  <c r="AY86" i="5"/>
  <c r="AY126" i="5"/>
  <c r="AY110" i="5"/>
  <c r="AY17" i="5"/>
  <c r="AY26" i="5"/>
  <c r="AY62" i="5"/>
  <c r="AY94" i="5"/>
  <c r="AY78" i="5"/>
  <c r="AY35" i="5"/>
  <c r="AY70" i="5"/>
  <c r="AY102" i="5"/>
  <c r="AY44" i="5"/>
  <c r="AX44" i="5"/>
  <c r="AX17" i="5"/>
  <c r="AX35" i="5"/>
  <c r="AX152" i="1"/>
  <c r="AY149" i="1" s="1"/>
  <c r="AX53" i="5"/>
  <c r="AX110" i="5"/>
  <c r="AX105" i="5" s="1"/>
  <c r="AW82" i="5"/>
  <c r="AY2" i="11"/>
  <c r="AY2" i="2"/>
  <c r="AY2" i="7"/>
  <c r="AY2" i="9"/>
  <c r="AY2" i="3"/>
  <c r="AY2" i="4"/>
  <c r="AY58" i="4" s="1"/>
  <c r="AY2" i="6"/>
  <c r="AX102" i="5"/>
  <c r="AX97" i="5" s="1"/>
  <c r="AX94" i="5"/>
  <c r="AX89" i="5" s="1"/>
  <c r="AX26" i="5"/>
  <c r="AX21" i="5" s="1"/>
  <c r="AX70" i="5"/>
  <c r="AX65" i="5" s="1"/>
  <c r="AX78" i="5"/>
  <c r="AX73" i="5" s="1"/>
  <c r="AX62" i="5"/>
  <c r="AX57" i="5" s="1"/>
  <c r="AX126" i="5"/>
  <c r="AX86" i="5"/>
  <c r="AX81" i="5" s="1"/>
  <c r="AX32" i="11"/>
  <c r="AX56" i="11"/>
  <c r="AX8" i="11"/>
  <c r="AW22" i="5"/>
  <c r="AW90" i="5"/>
  <c r="AW98" i="5"/>
  <c r="AW74" i="5"/>
  <c r="AX48" i="5" l="1"/>
  <c r="AY48" i="5" s="1"/>
  <c r="AY49" i="5" s="1"/>
  <c r="AX114" i="5"/>
  <c r="AY113" i="5"/>
  <c r="AY114" i="5" s="1"/>
  <c r="AY105" i="5"/>
  <c r="AY106" i="5" s="1"/>
  <c r="AY151" i="1"/>
  <c r="AX106" i="5"/>
  <c r="AY57" i="5"/>
  <c r="AY58" i="5" s="1"/>
  <c r="AY89" i="5"/>
  <c r="AY90" i="5" s="1"/>
  <c r="AY73" i="5"/>
  <c r="AY74" i="5" s="1"/>
  <c r="AY97" i="5"/>
  <c r="AY98" i="5" s="1"/>
  <c r="AY81" i="5"/>
  <c r="AY82" i="5" s="1"/>
  <c r="AX66" i="5"/>
  <c r="AY65" i="5"/>
  <c r="AY66" i="5" s="1"/>
  <c r="AY21" i="5"/>
  <c r="AY22" i="5" s="1"/>
  <c r="AX82" i="5"/>
  <c r="AX58" i="5"/>
  <c r="AX74" i="5"/>
  <c r="AX98" i="5"/>
  <c r="AX22" i="5"/>
  <c r="AX90" i="5"/>
  <c r="AY56" i="11"/>
  <c r="AY32" i="11"/>
  <c r="AY8" i="11"/>
  <c r="AX49" i="5" l="1"/>
  <c r="AY152" i="1"/>
  <c r="AY774" i="9"/>
  <c r="N151" i="1"/>
  <c r="AJ6" i="9" l="1"/>
  <c r="AJ10" i="9"/>
  <c r="AJ319" i="9"/>
  <c r="AJ322" i="9" s="1"/>
  <c r="AJ358" i="9"/>
  <c r="AJ360" i="9" s="1"/>
  <c r="AJ363" i="9"/>
  <c r="AJ419" i="9"/>
  <c r="AJ421" i="9" s="1"/>
  <c r="AJ424" i="9"/>
  <c r="AJ480" i="9"/>
  <c r="AJ482" i="9" s="1"/>
  <c r="AJ485" i="9"/>
  <c r="AJ320" i="9"/>
  <c r="AJ366" i="9"/>
  <c r="AJ29" i="7"/>
  <c r="AJ30" i="7" s="1"/>
  <c r="AJ367" i="9" l="1"/>
  <c r="AJ489" i="9"/>
  <c r="AJ361" i="9"/>
  <c r="AJ422" i="9"/>
  <c r="AJ427" i="9"/>
  <c r="AJ428" i="9" s="1"/>
  <c r="AJ58" i="2"/>
  <c r="AJ59" i="2" s="1"/>
  <c r="AJ23" i="19" s="1"/>
  <c r="AJ543" i="9"/>
  <c r="AJ542" i="9"/>
  <c r="AJ323" i="9"/>
  <c r="AJ7" i="9"/>
  <c r="AJ541" i="9" s="1"/>
  <c r="AJ8" i="9"/>
  <c r="AJ483" i="9"/>
  <c r="AJ60" i="2" l="1"/>
  <c r="AJ61" i="2"/>
  <c r="AJ64" i="2"/>
  <c r="AJ65" i="2" s="1"/>
  <c r="AJ260" i="9"/>
  <c r="AJ261" i="9" s="1"/>
  <c r="AJ68" i="2" l="1"/>
  <c r="AJ67" i="2"/>
  <c r="AJ66" i="2"/>
  <c r="AJ35" i="7"/>
  <c r="AJ38" i="7" l="1"/>
  <c r="AJ39" i="7" s="1"/>
  <c r="AJ37" i="7"/>
  <c r="AJ36" i="7"/>
  <c r="AJ143" i="5" l="1"/>
  <c r="AJ120" i="9"/>
  <c r="AJ122" i="9" s="1"/>
  <c r="AJ31" i="7"/>
  <c r="AJ40" i="7" s="1"/>
  <c r="AJ34" i="7" l="1"/>
  <c r="AJ32" i="7"/>
  <c r="AJ121" i="9"/>
  <c r="AJ123" i="9"/>
  <c r="AJ41" i="7"/>
  <c r="AJ44" i="7"/>
  <c r="AJ48" i="7" s="1"/>
  <c r="AJ179" i="9"/>
  <c r="AJ180" i="9" l="1"/>
  <c r="AJ181" i="9"/>
  <c r="AJ158" i="9" l="1"/>
  <c r="AJ200" i="9"/>
  <c r="AJ201" i="9" l="1"/>
  <c r="AJ202" i="9"/>
  <c r="AJ159" i="9"/>
  <c r="AJ160" i="9"/>
  <c r="AJ140" i="5" l="1"/>
  <c r="AJ146" i="5" s="1"/>
  <c r="AJ31" i="1" l="1"/>
  <c r="AJ33" i="1"/>
  <c r="AJ46" i="19" s="1"/>
  <c r="AJ800" i="9" l="1"/>
  <c r="AJ9" i="1"/>
  <c r="AJ10" i="1" s="1"/>
  <c r="AK363" i="9" l="1"/>
  <c r="AK358" i="9" l="1"/>
  <c r="AK360" i="9" l="1"/>
  <c r="AK542" i="9"/>
  <c r="AK366" i="9" l="1"/>
  <c r="AK367" i="9" s="1"/>
  <c r="AK424" i="9" l="1"/>
  <c r="AK419" i="9" l="1"/>
  <c r="AK421" i="9" l="1"/>
  <c r="AK543" i="9"/>
  <c r="AK427" i="9" l="1"/>
  <c r="AK428" i="9" s="1"/>
  <c r="AL729" i="9" l="1"/>
  <c r="AL424" i="9" l="1"/>
  <c r="AL419" i="9" l="1"/>
  <c r="AL543" i="9" l="1"/>
  <c r="AL421" i="9"/>
  <c r="AL427" i="9" l="1"/>
  <c r="AL428" i="9" s="1"/>
  <c r="AM427" i="9" l="1"/>
  <c r="K427" i="9" l="1"/>
  <c r="AN427" i="9" l="1"/>
  <c r="L427" i="9" l="1"/>
  <c r="AK485" i="9" l="1"/>
  <c r="AK480" i="9" l="1"/>
  <c r="AK489" i="9" l="1"/>
  <c r="AK482" i="9"/>
  <c r="AL730" i="9"/>
  <c r="AL797" i="9" l="1"/>
  <c r="AM730" i="9" l="1"/>
  <c r="AL485" i="9"/>
  <c r="AL480" i="9" l="1"/>
  <c r="K166" i="1"/>
  <c r="AM797" i="9" l="1"/>
  <c r="AL489" i="9"/>
  <c r="AL482" i="9"/>
  <c r="K172" i="1"/>
  <c r="K144" i="1" l="1"/>
  <c r="AN730" i="9" l="1"/>
  <c r="AM485" i="9"/>
  <c r="K143" i="1"/>
  <c r="K177" i="1"/>
  <c r="AQ33" i="19" l="1"/>
  <c r="AN797" i="9"/>
  <c r="AM480" i="9"/>
  <c r="K174" i="1"/>
  <c r="AN480" i="9" l="1"/>
  <c r="AN481" i="9" s="1"/>
  <c r="AN485" i="9"/>
  <c r="AM481" i="9"/>
  <c r="AM482" i="9"/>
  <c r="AM489" i="9"/>
  <c r="AO797" i="9" l="1"/>
  <c r="AP138" i="1"/>
  <c r="AP166" i="1" s="1"/>
  <c r="AN489" i="9"/>
  <c r="AN482" i="9"/>
  <c r="AN84" i="4"/>
  <c r="AO730" i="9"/>
  <c r="AO580" i="9" l="1"/>
  <c r="AS31" i="19"/>
  <c r="AO625" i="9"/>
  <c r="AP139" i="1"/>
  <c r="AO485" i="9"/>
  <c r="AP172" i="1"/>
  <c r="AQ138" i="1" s="1"/>
  <c r="AP730" i="9"/>
  <c r="AO480" i="9"/>
  <c r="AO482" i="9" s="1"/>
  <c r="AQ31" i="19" l="1"/>
  <c r="AP140" i="1"/>
  <c r="AP141" i="1" s="1"/>
  <c r="AP177" i="1" s="1"/>
  <c r="AP174" i="1" s="1"/>
  <c r="AP580" i="9" s="1"/>
  <c r="AP797" i="9"/>
  <c r="AQ166" i="1"/>
  <c r="AQ730" i="9" s="1"/>
  <c r="AO481" i="9"/>
  <c r="AO489" i="9"/>
  <c r="AQ32" i="19" l="1"/>
  <c r="AS32" i="19"/>
  <c r="AP143" i="1"/>
  <c r="AP485" i="9" s="1"/>
  <c r="AP144" i="1"/>
  <c r="L166" i="1"/>
  <c r="AQ172" i="1"/>
  <c r="AQ139" i="1"/>
  <c r="AP480" i="9"/>
  <c r="AP64" i="4"/>
  <c r="AP93" i="4" s="1"/>
  <c r="AP625" i="9" s="1"/>
  <c r="AP176" i="1"/>
  <c r="AP175" i="1"/>
  <c r="AQ140" i="1" l="1"/>
  <c r="AQ141" i="1" s="1"/>
  <c r="AQ143" i="1" s="1"/>
  <c r="AR138" i="1"/>
  <c r="AR139" i="1" s="1"/>
  <c r="L172" i="1"/>
  <c r="AQ797" i="9"/>
  <c r="AP481" i="9"/>
  <c r="AP482" i="9"/>
  <c r="AP489" i="9"/>
  <c r="AP75" i="4"/>
  <c r="AP84" i="4"/>
  <c r="AQ177" i="1" l="1"/>
  <c r="AQ174" i="1" s="1"/>
  <c r="AQ580" i="9" s="1"/>
  <c r="AR166" i="1"/>
  <c r="AR730" i="9" s="1"/>
  <c r="AQ144" i="1"/>
  <c r="L144" i="1" s="1"/>
  <c r="AQ485" i="9"/>
  <c r="L143" i="1"/>
  <c r="L177" i="1" l="1"/>
  <c r="AR172" i="1"/>
  <c r="AS138" i="1" s="1"/>
  <c r="AQ480" i="9"/>
  <c r="AQ175" i="1"/>
  <c r="AQ64" i="4"/>
  <c r="AQ93" i="4" s="1"/>
  <c r="AQ625" i="9" s="1"/>
  <c r="AQ176" i="1"/>
  <c r="L174" i="1"/>
  <c r="L175" i="1" s="1"/>
  <c r="AS139" i="1" l="1"/>
  <c r="AR797" i="9"/>
  <c r="AR140" i="1"/>
  <c r="AR141" i="1" s="1"/>
  <c r="AR143" i="1" s="1"/>
  <c r="AQ482" i="9"/>
  <c r="AQ489" i="9"/>
  <c r="AQ481" i="9"/>
  <c r="AQ75" i="4"/>
  <c r="AQ84" i="4"/>
  <c r="AS166" i="1" l="1"/>
  <c r="AS730" i="9" s="1"/>
  <c r="AR177" i="1"/>
  <c r="AR174" i="1" s="1"/>
  <c r="AR580" i="9" s="1"/>
  <c r="AR144" i="1"/>
  <c r="AR485" i="9"/>
  <c r="AS172" i="1" l="1"/>
  <c r="AR480" i="9"/>
  <c r="AR175" i="1"/>
  <c r="AR176" i="1"/>
  <c r="AR64" i="4"/>
  <c r="AR93" i="4" s="1"/>
  <c r="AR625" i="9" s="1"/>
  <c r="AS797" i="9" l="1"/>
  <c r="AT138" i="1"/>
  <c r="AT166" i="1" s="1"/>
  <c r="AT730" i="9" s="1"/>
  <c r="AS140" i="1"/>
  <c r="AS141" i="1" s="1"/>
  <c r="AS143" i="1" s="1"/>
  <c r="AR75" i="4"/>
  <c r="AR84" i="4"/>
  <c r="AR489" i="9"/>
  <c r="AR482" i="9"/>
  <c r="AR481" i="9"/>
  <c r="AT139" i="1" l="1"/>
  <c r="AS177" i="1"/>
  <c r="AS174" i="1" s="1"/>
  <c r="AS580" i="9" s="1"/>
  <c r="AS144" i="1"/>
  <c r="AS485" i="9"/>
  <c r="AT172" i="1"/>
  <c r="AT797" i="9" s="1"/>
  <c r="AU138" i="1" l="1"/>
  <c r="AT140" i="1"/>
  <c r="AT141" i="1" s="1"/>
  <c r="AS480" i="9"/>
  <c r="AS176" i="1"/>
  <c r="AS64" i="4"/>
  <c r="AS93" i="4" s="1"/>
  <c r="AS625" i="9" s="1"/>
  <c r="AS175" i="1"/>
  <c r="AU139" i="1" l="1"/>
  <c r="AU166" i="1"/>
  <c r="AU730" i="9" s="1"/>
  <c r="AS75" i="4"/>
  <c r="AS84" i="4"/>
  <c r="AS481" i="9"/>
  <c r="AS489" i="9"/>
  <c r="AS482" i="9"/>
  <c r="AT143" i="1"/>
  <c r="AT144" i="1"/>
  <c r="AT177" i="1"/>
  <c r="AT485" i="9" l="1"/>
  <c r="AT174" i="1"/>
  <c r="AT580" i="9" s="1"/>
  <c r="AU172" i="1"/>
  <c r="M166" i="1"/>
  <c r="AU797" i="9" l="1"/>
  <c r="AV138" i="1"/>
  <c r="AT480" i="9"/>
  <c r="AT64" i="4"/>
  <c r="AT176" i="1"/>
  <c r="AT175" i="1"/>
  <c r="AU140" i="1"/>
  <c r="AU141" i="1" s="1"/>
  <c r="M172" i="1"/>
  <c r="AT93" i="4" l="1"/>
  <c r="AT625" i="9" s="1"/>
  <c r="AV166" i="1"/>
  <c r="AV730" i="9" s="1"/>
  <c r="AV139" i="1"/>
  <c r="AU144" i="1"/>
  <c r="M144" i="1" s="1"/>
  <c r="AU177" i="1"/>
  <c r="AU143" i="1"/>
  <c r="AT75" i="4"/>
  <c r="AT84" i="4"/>
  <c r="AT481" i="9"/>
  <c r="AT482" i="9"/>
  <c r="AT489" i="9"/>
  <c r="AU485" i="9" l="1"/>
  <c r="M143" i="1"/>
  <c r="AV172" i="1"/>
  <c r="AU174" i="1"/>
  <c r="AU580" i="9" s="1"/>
  <c r="M177" i="1"/>
  <c r="AV797" i="9" l="1"/>
  <c r="AW138" i="1"/>
  <c r="AV140" i="1"/>
  <c r="AV141" i="1" s="1"/>
  <c r="AU480" i="9"/>
  <c r="AU175" i="1"/>
  <c r="AU64" i="4"/>
  <c r="AU176" i="1"/>
  <c r="M174" i="1"/>
  <c r="M175" i="1" s="1"/>
  <c r="AU93" i="4" l="1"/>
  <c r="AU625" i="9" s="1"/>
  <c r="AU482" i="9"/>
  <c r="AU489" i="9"/>
  <c r="AU481" i="9"/>
  <c r="AU75" i="4"/>
  <c r="AU84" i="4"/>
  <c r="AW166" i="1"/>
  <c r="AW730" i="9" s="1"/>
  <c r="AW139" i="1"/>
  <c r="AV144" i="1"/>
  <c r="AV177" i="1"/>
  <c r="AV143" i="1"/>
  <c r="AV485" i="9" l="1"/>
  <c r="AW172" i="1"/>
  <c r="AV174" i="1"/>
  <c r="AV580" i="9" s="1"/>
  <c r="AW797" i="9" l="1"/>
  <c r="AX138" i="1"/>
  <c r="AV480" i="9"/>
  <c r="AV175" i="1"/>
  <c r="AV176" i="1"/>
  <c r="AV64" i="4"/>
  <c r="AW140" i="1"/>
  <c r="AW141" i="1" s="1"/>
  <c r="AV93" i="4" l="1"/>
  <c r="AV625" i="9" s="1"/>
  <c r="AW143" i="1"/>
  <c r="AW177" i="1"/>
  <c r="AW144" i="1"/>
  <c r="AX139" i="1"/>
  <c r="AX166" i="1"/>
  <c r="AX730" i="9" s="1"/>
  <c r="AV75" i="4"/>
  <c r="AV84" i="4"/>
  <c r="AV489" i="9"/>
  <c r="AV482" i="9"/>
  <c r="AV481" i="9"/>
  <c r="AX172" i="1" l="1"/>
  <c r="AW174" i="1"/>
  <c r="AW580" i="9" s="1"/>
  <c r="AW485" i="9"/>
  <c r="AX797" i="9" l="1"/>
  <c r="AY138" i="1"/>
  <c r="AW480" i="9"/>
  <c r="AW176" i="1"/>
  <c r="AW64" i="4"/>
  <c r="AW175" i="1"/>
  <c r="AX140" i="1"/>
  <c r="AX141" i="1" s="1"/>
  <c r="AW93" i="4" l="1"/>
  <c r="AW625" i="9" s="1"/>
  <c r="AY139" i="1"/>
  <c r="AY166" i="1"/>
  <c r="AY730" i="9" s="1"/>
  <c r="AW84" i="4"/>
  <c r="AW75" i="4"/>
  <c r="AX143" i="1"/>
  <c r="AX144" i="1"/>
  <c r="AX177" i="1"/>
  <c r="AW481" i="9"/>
  <c r="AW489" i="9"/>
  <c r="AW482" i="9"/>
  <c r="AX485" i="9" l="1"/>
  <c r="AY172" i="1"/>
  <c r="AY797" i="9" s="1"/>
  <c r="N166" i="1"/>
  <c r="AX174" i="1"/>
  <c r="AX580" i="9" s="1"/>
  <c r="AY140" i="1" l="1"/>
  <c r="AY141" i="1" s="1"/>
  <c r="N172" i="1"/>
  <c r="AX480" i="9"/>
  <c r="AX64" i="4"/>
  <c r="AX93" i="4" s="1"/>
  <c r="AX625" i="9" s="1"/>
  <c r="AX176" i="1"/>
  <c r="AX175" i="1"/>
  <c r="AX75" i="4" l="1"/>
  <c r="AX84" i="4"/>
  <c r="AX481" i="9"/>
  <c r="AX482" i="9"/>
  <c r="AX489" i="9"/>
  <c r="AY144" i="1"/>
  <c r="N144" i="1" s="1"/>
  <c r="AY177" i="1"/>
  <c r="AY143" i="1"/>
  <c r="AY174" i="1" l="1"/>
  <c r="AY580" i="9" s="1"/>
  <c r="N177" i="1"/>
  <c r="AY485" i="9"/>
  <c r="N143" i="1"/>
  <c r="AY480" i="9" l="1"/>
  <c r="AY175" i="1"/>
  <c r="AY64" i="4"/>
  <c r="AY93" i="4" s="1"/>
  <c r="AY625" i="9" s="1"/>
  <c r="AY176" i="1"/>
  <c r="N174" i="1"/>
  <c r="N175" i="1" s="1"/>
  <c r="AY75" i="4" l="1"/>
  <c r="AY84" i="4"/>
  <c r="AY482" i="9"/>
  <c r="AY489" i="9"/>
  <c r="AY481" i="9"/>
  <c r="AM108" i="5" l="1"/>
  <c r="AL109" i="5"/>
  <c r="AL108" i="5"/>
  <c r="AM15" i="5" l="1"/>
  <c r="AM24" i="5"/>
  <c r="AQ34" i="19" l="1"/>
  <c r="AQ36" i="19"/>
  <c r="AK6" i="9"/>
  <c r="AK8" i="9" s="1"/>
  <c r="AK10" i="9"/>
  <c r="AK319" i="9"/>
  <c r="AK322" i="9" s="1"/>
  <c r="AK29" i="7"/>
  <c r="AK30" i="7" s="1"/>
  <c r="AK422" i="9" l="1"/>
  <c r="AK361" i="9"/>
  <c r="AK7" i="9"/>
  <c r="AK541" i="9" s="1"/>
  <c r="AK323" i="9"/>
  <c r="AK58" i="2"/>
  <c r="AK59" i="2" s="1"/>
  <c r="AK23" i="19" s="1"/>
  <c r="AK320" i="9"/>
  <c r="AK483" i="9"/>
  <c r="AK61" i="2" l="1"/>
  <c r="AK60" i="2"/>
  <c r="AK64" i="2"/>
  <c r="AK65" i="2" s="1"/>
  <c r="AK260" i="9"/>
  <c r="AK261" i="9" s="1"/>
  <c r="AK68" i="2" l="1"/>
  <c r="AK67" i="2"/>
  <c r="AK66" i="2"/>
  <c r="AK38" i="7"/>
  <c r="AK39" i="7" s="1"/>
  <c r="AK35" i="7"/>
  <c r="AK37" i="7" l="1"/>
  <c r="AK36" i="7"/>
  <c r="AK120" i="9" l="1"/>
  <c r="AK123" i="9" s="1"/>
  <c r="AK31" i="7"/>
  <c r="AK34" i="7" s="1"/>
  <c r="AK122" i="9" l="1"/>
  <c r="AK121" i="9"/>
  <c r="AK40" i="7"/>
  <c r="AK179" i="9"/>
  <c r="AK181" i="9" s="1"/>
  <c r="AK32" i="7"/>
  <c r="AK180" i="9" l="1"/>
  <c r="AK41" i="7"/>
  <c r="AK44" i="7"/>
  <c r="AK48" i="7" s="1"/>
  <c r="AK158" i="9" l="1"/>
  <c r="AK200" i="9"/>
  <c r="AK159" i="9" l="1"/>
  <c r="AK160" i="9"/>
  <c r="AK202" i="9"/>
  <c r="AK201" i="9"/>
  <c r="AK22" i="1" l="1"/>
  <c r="AK23" i="1"/>
  <c r="AK25" i="1"/>
  <c r="AK44" i="19" l="1"/>
  <c r="AO26" i="1"/>
  <c r="AO28" i="1"/>
  <c r="AN28" i="1"/>
  <c r="AM28" i="1"/>
  <c r="AL27" i="1"/>
  <c r="AL28" i="1"/>
  <c r="AP28" i="1"/>
  <c r="AQ28" i="1"/>
  <c r="AR28" i="1"/>
  <c r="AK674" i="9"/>
  <c r="AK27" i="1"/>
  <c r="AK26" i="1"/>
  <c r="AL674" i="9" l="1"/>
  <c r="K25" i="1"/>
  <c r="K674" i="9" l="1"/>
  <c r="K26" i="1"/>
  <c r="K20" i="1"/>
  <c r="AM674" i="9"/>
  <c r="AN674" i="9" l="1"/>
  <c r="AO674" i="9" l="1"/>
  <c r="L673" i="9" l="1"/>
  <c r="AP674" i="9"/>
  <c r="L20" i="1" l="1"/>
  <c r="L25" i="1"/>
  <c r="E8" i="23" s="1"/>
  <c r="I8" i="23" s="1"/>
  <c r="AQ674" i="9"/>
  <c r="L674" i="9" l="1"/>
  <c r="L26" i="1"/>
  <c r="AR674" i="9"/>
  <c r="AS674" i="9" l="1"/>
  <c r="M673" i="9"/>
  <c r="AT674" i="9" l="1"/>
  <c r="M20" i="1" l="1"/>
  <c r="AU674" i="9"/>
  <c r="M25" i="1"/>
  <c r="AV674" i="9" l="1"/>
  <c r="M674" i="9"/>
  <c r="M26" i="1"/>
  <c r="AW674" i="9" l="1"/>
  <c r="AX674" i="9" l="1"/>
  <c r="N673" i="9"/>
  <c r="N25" i="1" l="1"/>
  <c r="N674" i="9" s="1"/>
  <c r="N20" i="1"/>
  <c r="AY674" i="9"/>
  <c r="N26" i="1" l="1"/>
  <c r="AM772" i="9" l="1"/>
  <c r="K59" i="1"/>
  <c r="AN772" i="9" l="1"/>
  <c r="AP57" i="1" l="1"/>
  <c r="AP59" i="1" s="1"/>
  <c r="AO772" i="9"/>
  <c r="AP772" i="9" l="1"/>
  <c r="AP60" i="1"/>
  <c r="AQ57" i="1" s="1"/>
  <c r="AQ59" i="1" l="1"/>
  <c r="AQ772" i="9" l="1"/>
  <c r="L59" i="1"/>
  <c r="AQ60" i="1"/>
  <c r="AR57" i="1" s="1"/>
  <c r="AR59" i="1" l="1"/>
  <c r="AR60" i="1" l="1"/>
  <c r="AS57" i="1" s="1"/>
  <c r="AS59" i="1" s="1"/>
  <c r="AR772" i="9"/>
  <c r="AS772" i="9" l="1"/>
  <c r="AS60" i="1"/>
  <c r="AT57" i="1" s="1"/>
  <c r="AT59" i="1" l="1"/>
  <c r="AT60" i="1" l="1"/>
  <c r="AU57" i="1" s="1"/>
  <c r="AU59" i="1" s="1"/>
  <c r="AT772" i="9"/>
  <c r="AU60" i="1" l="1"/>
  <c r="AV57" i="1" s="1"/>
  <c r="AV59" i="1" s="1"/>
  <c r="M59" i="1"/>
  <c r="AU772" i="9"/>
  <c r="AV60" i="1" l="1"/>
  <c r="AW57" i="1" s="1"/>
  <c r="AW59" i="1" s="1"/>
  <c r="AV772" i="9"/>
  <c r="AW772" i="9" l="1"/>
  <c r="AW60" i="1"/>
  <c r="AX57" i="1" s="1"/>
  <c r="AX59" i="1" l="1"/>
  <c r="AX60" i="1" l="1"/>
  <c r="AY57" i="1" s="1"/>
  <c r="AY59" i="1" s="1"/>
  <c r="AX772" i="9"/>
  <c r="AY60" i="1" l="1"/>
  <c r="N59" i="1"/>
  <c r="AY772" i="9"/>
  <c r="K65" i="4" l="1"/>
  <c r="AN85" i="4" l="1"/>
  <c r="AP85" i="4" l="1"/>
  <c r="AP76" i="4"/>
  <c r="AQ85" i="4" l="1"/>
  <c r="AQ76" i="4"/>
  <c r="L65" i="4"/>
  <c r="L76" i="4" s="1"/>
  <c r="AR76" i="4" l="1"/>
  <c r="AR85" i="4"/>
  <c r="AS76" i="4" l="1"/>
  <c r="AS85" i="4"/>
  <c r="AT85" i="4" l="1"/>
  <c r="AT76" i="4"/>
  <c r="AU85" i="4" l="1"/>
  <c r="AU76" i="4"/>
  <c r="M65" i="4"/>
  <c r="M76" i="4" s="1"/>
  <c r="AV76" i="4" l="1"/>
  <c r="AV85" i="4"/>
  <c r="AW76" i="4" l="1"/>
  <c r="AW85" i="4"/>
  <c r="AX85" i="4" l="1"/>
  <c r="AX76" i="4"/>
  <c r="AY85" i="4" l="1"/>
  <c r="AY76" i="4"/>
  <c r="N65" i="4"/>
  <c r="N76" i="4" s="1"/>
  <c r="AK728" i="9" l="1"/>
  <c r="AK80" i="1"/>
  <c r="AK795" i="9" s="1"/>
  <c r="AK48" i="1" l="1"/>
  <c r="AK47" i="1" l="1"/>
  <c r="AK46" i="1" s="1"/>
  <c r="AK75" i="1" s="1"/>
  <c r="AN77" i="1" s="1"/>
  <c r="AL77" i="1" l="1"/>
  <c r="AM77" i="1"/>
  <c r="AL728" i="9" l="1"/>
  <c r="AL795" i="9" l="1"/>
  <c r="AL733" i="9"/>
  <c r="AP76" i="1" l="1"/>
  <c r="AP75" i="1"/>
  <c r="AP78" i="1"/>
  <c r="AQ78" i="1" l="1"/>
  <c r="AQ76" i="1"/>
  <c r="AQ75" i="1"/>
  <c r="AM728" i="9"/>
  <c r="K74" i="1"/>
  <c r="AR76" i="1" l="1"/>
  <c r="AR75" i="1"/>
  <c r="AR78" i="1"/>
  <c r="AM795" i="9"/>
  <c r="K80" i="1"/>
  <c r="AL363" i="9"/>
  <c r="AS76" i="1" l="1"/>
  <c r="AS75" i="1"/>
  <c r="AS78" i="1"/>
  <c r="AL10" i="9"/>
  <c r="AL319" i="9"/>
  <c r="AL358" i="9"/>
  <c r="AT76" i="1" l="1"/>
  <c r="AT78" i="1"/>
  <c r="AT75" i="1"/>
  <c r="AL322" i="9"/>
  <c r="AL323" i="9"/>
  <c r="AL360" i="9"/>
  <c r="AL542" i="9"/>
  <c r="AL6" i="9"/>
  <c r="AL29" i="7"/>
  <c r="AL30" i="7" s="1"/>
  <c r="AN728" i="9"/>
  <c r="AU76" i="1" l="1"/>
  <c r="AU78" i="1"/>
  <c r="AU75" i="1"/>
  <c r="AN795" i="9"/>
  <c r="AL8" i="9"/>
  <c r="AL7" i="9"/>
  <c r="AL541" i="9" s="1"/>
  <c r="AL422" i="9"/>
  <c r="AL483" i="9"/>
  <c r="K85" i="1"/>
  <c r="AM363" i="9"/>
  <c r="K51" i="1"/>
  <c r="K363" i="9" s="1"/>
  <c r="AL366" i="9"/>
  <c r="AL367" i="9" s="1"/>
  <c r="AL361" i="9"/>
  <c r="AL320" i="9"/>
  <c r="K52" i="1"/>
  <c r="AQ27" i="19" l="1"/>
  <c r="AL58" i="2"/>
  <c r="AL59" i="2" s="1"/>
  <c r="AL23" i="19" s="1"/>
  <c r="AV75" i="1"/>
  <c r="AV76" i="1"/>
  <c r="AV78" i="1"/>
  <c r="AL64" i="2"/>
  <c r="AL65" i="2" s="1"/>
  <c r="AL260" i="9"/>
  <c r="AL261" i="9" s="1"/>
  <c r="AM358" i="9"/>
  <c r="K82" i="1"/>
  <c r="K358" i="9" s="1"/>
  <c r="AL68" i="2" l="1"/>
  <c r="AL67" i="2"/>
  <c r="AL66" i="2"/>
  <c r="AL61" i="2"/>
  <c r="AL60" i="2"/>
  <c r="AW78" i="1"/>
  <c r="AW76" i="1"/>
  <c r="AW75" i="1"/>
  <c r="AL35" i="7"/>
  <c r="K359" i="9"/>
  <c r="K542" i="9" s="1"/>
  <c r="K364" i="9"/>
  <c r="AM359" i="9"/>
  <c r="AM542" i="9" s="1"/>
  <c r="AM360" i="9"/>
  <c r="AO728" i="9"/>
  <c r="K62" i="4"/>
  <c r="AP46" i="1" l="1"/>
  <c r="AX78" i="1"/>
  <c r="AX76" i="1"/>
  <c r="AX75" i="1"/>
  <c r="AM320" i="9"/>
  <c r="AM366" i="9"/>
  <c r="AM367" i="9" s="1"/>
  <c r="AO795" i="9"/>
  <c r="AL36" i="7"/>
  <c r="AL37" i="7"/>
  <c r="AN363" i="9"/>
  <c r="AY78" i="1" l="1"/>
  <c r="AY76" i="1"/>
  <c r="AY75" i="1"/>
  <c r="AP47" i="1"/>
  <c r="AP74" i="1"/>
  <c r="K366" i="9"/>
  <c r="K367" i="9" s="1"/>
  <c r="AN358" i="9"/>
  <c r="AN359" i="9" l="1"/>
  <c r="AN542" i="9" s="1"/>
  <c r="AN360" i="9"/>
  <c r="AP728" i="9"/>
  <c r="AP80" i="1"/>
  <c r="AN82" i="4"/>
  <c r="AL38" i="7"/>
  <c r="AL39" i="7" s="1"/>
  <c r="AQ46" i="1" l="1"/>
  <c r="AN366" i="9"/>
  <c r="AN367" i="9" s="1"/>
  <c r="AP795" i="9"/>
  <c r="AP48" i="1"/>
  <c r="AN320" i="9"/>
  <c r="AO363" i="9"/>
  <c r="AO578" i="9" l="1"/>
  <c r="AS25" i="19"/>
  <c r="AP49" i="1"/>
  <c r="AQ47" i="1"/>
  <c r="AQ74" i="1"/>
  <c r="AO358" i="9"/>
  <c r="AO623" i="9"/>
  <c r="AQ25" i="19" l="1"/>
  <c r="AP52" i="1"/>
  <c r="AP85" i="1"/>
  <c r="AP51" i="1"/>
  <c r="AQ728" i="9"/>
  <c r="AQ80" i="1"/>
  <c r="L74" i="1"/>
  <c r="AO360" i="9"/>
  <c r="AO359" i="9"/>
  <c r="AO542" i="9" s="1"/>
  <c r="AQ26" i="19" l="1"/>
  <c r="AS26" i="19"/>
  <c r="AR46" i="1"/>
  <c r="AP82" i="1"/>
  <c r="AP578" i="9" s="1"/>
  <c r="AP363" i="9"/>
  <c r="AO320" i="9"/>
  <c r="AO366" i="9"/>
  <c r="AO367" i="9" s="1"/>
  <c r="AQ795" i="9"/>
  <c r="AQ48" i="1"/>
  <c r="L80" i="1"/>
  <c r="AQ49" i="1" l="1"/>
  <c r="AR74" i="1"/>
  <c r="AR47" i="1"/>
  <c r="AP358" i="9"/>
  <c r="AP84" i="1"/>
  <c r="AP83" i="1"/>
  <c r="AP62" i="4"/>
  <c r="AP91" i="4" s="1"/>
  <c r="AP623" i="9" s="1"/>
  <c r="AP73" i="4" l="1"/>
  <c r="AP82" i="4"/>
  <c r="AR728" i="9"/>
  <c r="AR80" i="1"/>
  <c r="AQ85" i="1"/>
  <c r="AQ52" i="1"/>
  <c r="AQ51" i="1"/>
  <c r="AP360" i="9"/>
  <c r="AP359" i="9"/>
  <c r="AP542" i="9" s="1"/>
  <c r="AS46" i="1" l="1"/>
  <c r="L52" i="1"/>
  <c r="AP320" i="9"/>
  <c r="AP366" i="9"/>
  <c r="AP367" i="9" s="1"/>
  <c r="AR795" i="9"/>
  <c r="AR48" i="1"/>
  <c r="AQ82" i="1"/>
  <c r="AQ578" i="9" s="1"/>
  <c r="L85" i="1"/>
  <c r="AQ363" i="9"/>
  <c r="L51" i="1"/>
  <c r="L363" i="9" s="1"/>
  <c r="AQ358" i="9" l="1"/>
  <c r="AQ83" i="1"/>
  <c r="AQ62" i="4"/>
  <c r="AQ91" i="4" s="1"/>
  <c r="AQ623" i="9" s="1"/>
  <c r="AQ84" i="1"/>
  <c r="L82" i="1"/>
  <c r="AS74" i="1"/>
  <c r="AS47" i="1"/>
  <c r="AR49" i="1"/>
  <c r="AS728" i="9" l="1"/>
  <c r="AS80" i="1"/>
  <c r="AQ73" i="4"/>
  <c r="AQ82" i="4"/>
  <c r="L62" i="4"/>
  <c r="L73" i="4" s="1"/>
  <c r="AR51" i="1"/>
  <c r="AR85" i="1"/>
  <c r="AR52" i="1"/>
  <c r="L358" i="9"/>
  <c r="L83" i="1"/>
  <c r="AQ359" i="9"/>
  <c r="AQ542" i="9" s="1"/>
  <c r="AQ360" i="9"/>
  <c r="AT46" i="1" l="1"/>
  <c r="AR363" i="9"/>
  <c r="AS795" i="9"/>
  <c r="AS48" i="1"/>
  <c r="L359" i="9"/>
  <c r="L542" i="9" s="1"/>
  <c r="L364" i="9"/>
  <c r="AR82" i="1"/>
  <c r="AR578" i="9" s="1"/>
  <c r="AQ366" i="9"/>
  <c r="AQ367" i="9" s="1"/>
  <c r="AQ320" i="9"/>
  <c r="L366" i="9" l="1"/>
  <c r="L367" i="9" s="1"/>
  <c r="AS49" i="1"/>
  <c r="AR358" i="9"/>
  <c r="AR62" i="4"/>
  <c r="AR91" i="4" s="1"/>
  <c r="AR623" i="9" s="1"/>
  <c r="AR83" i="1"/>
  <c r="AR84" i="1"/>
  <c r="AT47" i="1"/>
  <c r="AT74" i="1"/>
  <c r="AS51" i="1" l="1"/>
  <c r="AS52" i="1"/>
  <c r="AS85" i="1"/>
  <c r="AT728" i="9"/>
  <c r="AT80" i="1"/>
  <c r="AR82" i="4"/>
  <c r="AR73" i="4"/>
  <c r="AR359" i="9"/>
  <c r="AR542" i="9" s="1"/>
  <c r="AR360" i="9"/>
  <c r="AU46" i="1" l="1"/>
  <c r="AR366" i="9"/>
  <c r="AR367" i="9" s="1"/>
  <c r="AS82" i="1"/>
  <c r="AS578" i="9" s="1"/>
  <c r="AR320" i="9"/>
  <c r="AS363" i="9"/>
  <c r="AT795" i="9"/>
  <c r="AT48" i="1"/>
  <c r="AS358" i="9" l="1"/>
  <c r="AS84" i="1"/>
  <c r="AS62" i="4"/>
  <c r="AS91" i="4" s="1"/>
  <c r="AS623" i="9" s="1"/>
  <c r="AS83" i="1"/>
  <c r="AU47" i="1"/>
  <c r="AU74" i="1"/>
  <c r="AT49" i="1"/>
  <c r="AS360" i="9" l="1"/>
  <c r="AS359" i="9"/>
  <c r="AS542" i="9" s="1"/>
  <c r="AT52" i="1"/>
  <c r="AT85" i="1"/>
  <c r="AT51" i="1"/>
  <c r="AS82" i="4"/>
  <c r="AS73" i="4"/>
  <c r="AU80" i="1"/>
  <c r="AU728" i="9"/>
  <c r="M74" i="1"/>
  <c r="AV46" i="1" l="1"/>
  <c r="AU795" i="9"/>
  <c r="AU48" i="1"/>
  <c r="M80" i="1"/>
  <c r="AS366" i="9"/>
  <c r="AS367" i="9" s="1"/>
  <c r="AT363" i="9"/>
  <c r="AT82" i="1"/>
  <c r="AT578" i="9" s="1"/>
  <c r="AS320" i="9"/>
  <c r="AU49" i="1" l="1"/>
  <c r="AT358" i="9"/>
  <c r="AT84" i="1"/>
  <c r="AT83" i="1"/>
  <c r="AT62" i="4"/>
  <c r="AV74" i="1"/>
  <c r="AV47" i="1"/>
  <c r="AT91" i="4" l="1"/>
  <c r="AT623" i="9" s="1"/>
  <c r="AU85" i="1"/>
  <c r="AU52" i="1"/>
  <c r="AU51" i="1"/>
  <c r="AV728" i="9"/>
  <c r="AV80" i="1"/>
  <c r="AT360" i="9"/>
  <c r="AT359" i="9"/>
  <c r="AT542" i="9" s="1"/>
  <c r="AT73" i="4"/>
  <c r="AT82" i="4"/>
  <c r="AW46" i="1" l="1"/>
  <c r="AU82" i="1"/>
  <c r="AU578" i="9" s="1"/>
  <c r="M85" i="1"/>
  <c r="AT320" i="9"/>
  <c r="AT366" i="9"/>
  <c r="AT367" i="9" s="1"/>
  <c r="M52" i="1"/>
  <c r="AV795" i="9"/>
  <c r="AV48" i="1"/>
  <c r="AU363" i="9"/>
  <c r="M51" i="1"/>
  <c r="M363" i="9" s="1"/>
  <c r="AW74" i="1" l="1"/>
  <c r="AW47" i="1"/>
  <c r="AU358" i="9"/>
  <c r="AU83" i="1"/>
  <c r="AU62" i="4"/>
  <c r="AU84" i="1"/>
  <c r="M82" i="1"/>
  <c r="AV49" i="1"/>
  <c r="AU91" i="4" l="1"/>
  <c r="AU623" i="9" s="1"/>
  <c r="AV51" i="1"/>
  <c r="AV85" i="1"/>
  <c r="AV52" i="1"/>
  <c r="AU73" i="4"/>
  <c r="AU82" i="4"/>
  <c r="M62" i="4"/>
  <c r="M73" i="4" s="1"/>
  <c r="M358" i="9"/>
  <c r="M83" i="1"/>
  <c r="AU359" i="9"/>
  <c r="AU542" i="9" s="1"/>
  <c r="AU360" i="9"/>
  <c r="AW728" i="9"/>
  <c r="AW80" i="1"/>
  <c r="AX46" i="1" l="1"/>
  <c r="AU320" i="9"/>
  <c r="M359" i="9"/>
  <c r="M542" i="9" s="1"/>
  <c r="M364" i="9"/>
  <c r="AU366" i="9"/>
  <c r="AU367" i="9" s="1"/>
  <c r="M91" i="4"/>
  <c r="AV363" i="9"/>
  <c r="AW795" i="9"/>
  <c r="AW48" i="1"/>
  <c r="AV82" i="1"/>
  <c r="AV578" i="9" s="1"/>
  <c r="AX47" i="1" l="1"/>
  <c r="AX74" i="1"/>
  <c r="AV358" i="9"/>
  <c r="AV62" i="4"/>
  <c r="AV83" i="1"/>
  <c r="AV84" i="1"/>
  <c r="AW49" i="1"/>
  <c r="M366" i="9"/>
  <c r="M367" i="9" s="1"/>
  <c r="AV91" i="4" l="1"/>
  <c r="AV623" i="9" s="1"/>
  <c r="AW51" i="1"/>
  <c r="AW52" i="1"/>
  <c r="AW85" i="1"/>
  <c r="AV82" i="4"/>
  <c r="AV73" i="4"/>
  <c r="AV359" i="9"/>
  <c r="AV542" i="9" s="1"/>
  <c r="AV360" i="9"/>
  <c r="AX728" i="9"/>
  <c r="AX80" i="1"/>
  <c r="AY46" i="1" l="1"/>
  <c r="AW363" i="9"/>
  <c r="AX48" i="1"/>
  <c r="AX795" i="9"/>
  <c r="AV320" i="9"/>
  <c r="AV366" i="9"/>
  <c r="AV367" i="9" s="1"/>
  <c r="AW82" i="1"/>
  <c r="AW578" i="9" s="1"/>
  <c r="AW358" i="9" l="1"/>
  <c r="AW84" i="1"/>
  <c r="AW62" i="4"/>
  <c r="AW83" i="1"/>
  <c r="AX49" i="1"/>
  <c r="AY47" i="1"/>
  <c r="AY74" i="1"/>
  <c r="AW91" i="4" l="1"/>
  <c r="AW623" i="9" s="1"/>
  <c r="AW82" i="4"/>
  <c r="AW73" i="4"/>
  <c r="AX52" i="1"/>
  <c r="AX85" i="1"/>
  <c r="AX51" i="1"/>
  <c r="AW360" i="9"/>
  <c r="AW359" i="9"/>
  <c r="AW542" i="9" s="1"/>
  <c r="AY728" i="9"/>
  <c r="AY80" i="1"/>
  <c r="N74" i="1"/>
  <c r="AX363" i="9" l="1"/>
  <c r="AX82" i="1"/>
  <c r="AX578" i="9" s="1"/>
  <c r="AW320" i="9"/>
  <c r="AW366" i="9"/>
  <c r="AW367" i="9" s="1"/>
  <c r="AY795" i="9"/>
  <c r="AY48" i="1"/>
  <c r="N80" i="1"/>
  <c r="AX358" i="9" l="1"/>
  <c r="AX84" i="1"/>
  <c r="AX83" i="1"/>
  <c r="AX62" i="4"/>
  <c r="AX91" i="4" s="1"/>
  <c r="AX623" i="9" s="1"/>
  <c r="AY49" i="1"/>
  <c r="AX360" i="9" l="1"/>
  <c r="AX359" i="9"/>
  <c r="AX542" i="9" s="1"/>
  <c r="AX73" i="4"/>
  <c r="AX82" i="4"/>
  <c r="AY85" i="1"/>
  <c r="AY52" i="1"/>
  <c r="AY51" i="1"/>
  <c r="AY363" i="9" l="1"/>
  <c r="N51" i="1"/>
  <c r="N363" i="9" s="1"/>
  <c r="AY82" i="1"/>
  <c r="AY578" i="9" s="1"/>
  <c r="N85" i="1"/>
  <c r="N52" i="1"/>
  <c r="AX320" i="9"/>
  <c r="AX366" i="9"/>
  <c r="AX367" i="9" s="1"/>
  <c r="AY83" i="1" l="1"/>
  <c r="AY62" i="4"/>
  <c r="AY91" i="4" s="1"/>
  <c r="AY623" i="9" s="1"/>
  <c r="AY84" i="1"/>
  <c r="AY358" i="9"/>
  <c r="N82" i="1"/>
  <c r="AY73" i="4" l="1"/>
  <c r="AY82" i="4"/>
  <c r="N62" i="4"/>
  <c r="N73" i="4" s="1"/>
  <c r="AY359" i="9"/>
  <c r="AY542" i="9" s="1"/>
  <c r="AY360" i="9"/>
  <c r="N358" i="9"/>
  <c r="N83" i="1"/>
  <c r="AY320" i="9" l="1"/>
  <c r="N364" i="9"/>
  <c r="N359" i="9"/>
  <c r="N542" i="9" s="1"/>
  <c r="AY366" i="9"/>
  <c r="AY367" i="9" s="1"/>
  <c r="N91" i="4"/>
  <c r="N366" i="9" l="1"/>
  <c r="N367" i="9" s="1"/>
  <c r="M94" i="4" l="1"/>
  <c r="N94" i="4"/>
  <c r="AL773" i="9" l="1"/>
  <c r="AL777" i="9"/>
  <c r="AL106" i="1"/>
  <c r="AM103" i="1" s="1"/>
  <c r="AL107" i="1"/>
  <c r="AL109" i="1" s="1"/>
  <c r="AL796" i="9"/>
  <c r="AM107" i="1" l="1"/>
  <c r="AM109" i="1" s="1"/>
  <c r="AM106" i="1"/>
  <c r="AN103" i="1" s="1"/>
  <c r="AM241" i="1"/>
  <c r="AL800" i="9"/>
  <c r="AL94" i="1"/>
  <c r="AN106" i="1" l="1"/>
  <c r="AO103" i="1" s="1"/>
  <c r="AN107" i="1"/>
  <c r="AN109" i="1" s="1"/>
  <c r="AN241" i="1"/>
  <c r="AM244" i="1"/>
  <c r="AM245" i="1"/>
  <c r="AM247" i="1" s="1"/>
  <c r="AL93" i="1"/>
  <c r="AM773" i="9"/>
  <c r="K105" i="1"/>
  <c r="AO107" i="1" l="1"/>
  <c r="AO109" i="1" s="1"/>
  <c r="AO106" i="1"/>
  <c r="AO241" i="1"/>
  <c r="AN245" i="1"/>
  <c r="AN247" i="1" s="1"/>
  <c r="AN244" i="1"/>
  <c r="AL92" i="1"/>
  <c r="AO244" i="1" l="1"/>
  <c r="AO245" i="1"/>
  <c r="AO247" i="1" s="1"/>
  <c r="AN773" i="9"/>
  <c r="AP107" i="1"/>
  <c r="AP110" i="1"/>
  <c r="AP108" i="1"/>
  <c r="AL121" i="1"/>
  <c r="AN123" i="1" l="1"/>
  <c r="AO123" i="1"/>
  <c r="AO773" i="9"/>
  <c r="AL123" i="1"/>
  <c r="AM123" i="1"/>
  <c r="AP103" i="1"/>
  <c r="AP105" i="1" s="1"/>
  <c r="K7" i="1"/>
  <c r="AQ107" i="1"/>
  <c r="AQ110" i="1"/>
  <c r="AQ108" i="1"/>
  <c r="AP773" i="9" l="1"/>
  <c r="AP106" i="1"/>
  <c r="AQ103" i="1" s="1"/>
  <c r="K8" i="1"/>
  <c r="AR108" i="1"/>
  <c r="AR107" i="1"/>
  <c r="AR110" i="1"/>
  <c r="AM729" i="9"/>
  <c r="K120" i="1"/>
  <c r="AS107" i="1" l="1"/>
  <c r="AS110" i="1"/>
  <c r="AS108" i="1"/>
  <c r="AQ105" i="1"/>
  <c r="AM796" i="9"/>
  <c r="K126" i="1"/>
  <c r="AM733" i="9"/>
  <c r="K30" i="1"/>
  <c r="K31" i="1" s="1"/>
  <c r="AP123" i="1"/>
  <c r="AT107" i="1" l="1"/>
  <c r="AT110" i="1"/>
  <c r="AT108" i="1"/>
  <c r="AP121" i="1"/>
  <c r="AQ123" i="1"/>
  <c r="AP124" i="1"/>
  <c r="AP122" i="1"/>
  <c r="AQ773" i="9"/>
  <c r="L105" i="1"/>
  <c r="AQ106" i="1"/>
  <c r="AR103" i="1" s="1"/>
  <c r="AN729" i="9" l="1"/>
  <c r="AQ121" i="1"/>
  <c r="AR123" i="1"/>
  <c r="AQ124" i="1"/>
  <c r="AQ122" i="1"/>
  <c r="AU107" i="1"/>
  <c r="AU110" i="1"/>
  <c r="AU108" i="1"/>
  <c r="AR105" i="1"/>
  <c r="AN796" i="9" l="1"/>
  <c r="AV108" i="1"/>
  <c r="AV107" i="1"/>
  <c r="AV110" i="1"/>
  <c r="AR773" i="9"/>
  <c r="K98" i="1"/>
  <c r="AM424" i="9"/>
  <c r="K97" i="1"/>
  <c r="K424" i="9" s="1"/>
  <c r="K131" i="1"/>
  <c r="AR106" i="1"/>
  <c r="AS103" i="1" s="1"/>
  <c r="AR121" i="1"/>
  <c r="AS123" i="1"/>
  <c r="AR124" i="1"/>
  <c r="AR122" i="1"/>
  <c r="AQ30" i="19" l="1"/>
  <c r="AQ41" i="19"/>
  <c r="AS105" i="1"/>
  <c r="AW107" i="1"/>
  <c r="AW110" i="1"/>
  <c r="AW108" i="1"/>
  <c r="AS122" i="1"/>
  <c r="AS121" i="1"/>
  <c r="AT123" i="1"/>
  <c r="AS124" i="1"/>
  <c r="AM419" i="9"/>
  <c r="K128" i="1"/>
  <c r="K419" i="9" s="1"/>
  <c r="AS106" i="1" l="1"/>
  <c r="AT103" i="1" s="1"/>
  <c r="AT105" i="1" s="1"/>
  <c r="AO729" i="9"/>
  <c r="K63" i="4"/>
  <c r="AX107" i="1"/>
  <c r="AX110" i="1"/>
  <c r="AX108" i="1"/>
  <c r="AM420" i="9"/>
  <c r="AM543" i="9" s="1"/>
  <c r="AM428" i="9"/>
  <c r="AM421" i="9"/>
  <c r="AT121" i="1"/>
  <c r="AU123" i="1"/>
  <c r="AT124" i="1"/>
  <c r="AT122" i="1"/>
  <c r="K420" i="9"/>
  <c r="K543" i="9" s="1"/>
  <c r="K425" i="9"/>
  <c r="K428" i="9"/>
  <c r="AS773" i="9"/>
  <c r="AT106" i="1" l="1"/>
  <c r="AU103" i="1" s="1"/>
  <c r="AU105" i="1" s="1"/>
  <c r="AP92" i="1"/>
  <c r="AP93" i="1" s="1"/>
  <c r="AO796" i="9"/>
  <c r="AN424" i="9"/>
  <c r="AY107" i="1"/>
  <c r="AY110" i="1"/>
  <c r="AY108" i="1"/>
  <c r="K68" i="4"/>
  <c r="AU121" i="1"/>
  <c r="AV123" i="1"/>
  <c r="AU124" i="1"/>
  <c r="AU122" i="1"/>
  <c r="AT773" i="9"/>
  <c r="AU106" i="1" l="1"/>
  <c r="AV103" i="1" s="1"/>
  <c r="AV105" i="1" s="1"/>
  <c r="AN419" i="9"/>
  <c r="AP120" i="1"/>
  <c r="AU773" i="9"/>
  <c r="M105" i="1"/>
  <c r="AV121" i="1"/>
  <c r="AW123" i="1"/>
  <c r="AV124" i="1"/>
  <c r="AV122" i="1"/>
  <c r="AO579" i="9" l="1"/>
  <c r="AS28" i="19"/>
  <c r="AP126" i="1"/>
  <c r="AQ92" i="1" s="1"/>
  <c r="AP30" i="1"/>
  <c r="D10" i="23" s="1"/>
  <c r="H10" i="23" s="1"/>
  <c r="AV106" i="1"/>
  <c r="AW103" i="1" s="1"/>
  <c r="AW105" i="1" s="1"/>
  <c r="AN421" i="9"/>
  <c r="AN420" i="9"/>
  <c r="AN543" i="9" s="1"/>
  <c r="AN83" i="4"/>
  <c r="AN428" i="9"/>
  <c r="AP729" i="9"/>
  <c r="AV773" i="9"/>
  <c r="AO424" i="9"/>
  <c r="AW122" i="1"/>
  <c r="AW121" i="1"/>
  <c r="AX123" i="1"/>
  <c r="AW124" i="1"/>
  <c r="AQ28" i="19" l="1"/>
  <c r="AP94" i="1"/>
  <c r="AP95" i="1" s="1"/>
  <c r="AP796" i="9"/>
  <c r="AW106" i="1"/>
  <c r="AX103" i="1" s="1"/>
  <c r="AX105" i="1" s="1"/>
  <c r="AO419" i="9"/>
  <c r="AO624" i="9"/>
  <c r="AX121" i="1"/>
  <c r="AY123" i="1"/>
  <c r="AX124" i="1"/>
  <c r="AX122" i="1"/>
  <c r="AW773" i="9"/>
  <c r="AQ93" i="1"/>
  <c r="AQ120" i="1"/>
  <c r="AQ30" i="1" s="1"/>
  <c r="AQ29" i="19" l="1"/>
  <c r="AS29" i="19"/>
  <c r="AO427" i="9"/>
  <c r="AO428" i="9" s="1"/>
  <c r="AX106" i="1"/>
  <c r="AY103" i="1" s="1"/>
  <c r="AY105" i="1" s="1"/>
  <c r="AY121" i="1"/>
  <c r="AY124" i="1"/>
  <c r="AY122" i="1"/>
  <c r="AQ729" i="9"/>
  <c r="AQ126" i="1"/>
  <c r="AR92" i="1" s="1"/>
  <c r="L120" i="1"/>
  <c r="AP131" i="1"/>
  <c r="AP128" i="1" s="1"/>
  <c r="AP579" i="9" s="1"/>
  <c r="AP97" i="1"/>
  <c r="AP98" i="1"/>
  <c r="AO420" i="9"/>
  <c r="AO543" i="9" s="1"/>
  <c r="AO421" i="9"/>
  <c r="AX773" i="9"/>
  <c r="N105" i="1" l="1"/>
  <c r="AP424" i="9"/>
  <c r="AQ796" i="9"/>
  <c r="AQ94" i="1"/>
  <c r="L126" i="1"/>
  <c r="AY773" i="9"/>
  <c r="AY106" i="1"/>
  <c r="AP419" i="9" l="1"/>
  <c r="AP63" i="4"/>
  <c r="AP92" i="4" s="1"/>
  <c r="AP624" i="9" s="1"/>
  <c r="AP129" i="1"/>
  <c r="AP130" i="1"/>
  <c r="AQ95" i="1"/>
  <c r="AR93" i="1"/>
  <c r="AR120" i="1"/>
  <c r="AP427" i="9" l="1"/>
  <c r="AP428" i="9" s="1"/>
  <c r="AQ98" i="1"/>
  <c r="AQ131" i="1"/>
  <c r="AQ128" i="1" s="1"/>
  <c r="AQ579" i="9" s="1"/>
  <c r="AQ97" i="1"/>
  <c r="AP420" i="9"/>
  <c r="AP543" i="9" s="1"/>
  <c r="AP421" i="9"/>
  <c r="AR729" i="9"/>
  <c r="AR126" i="1"/>
  <c r="AS92" i="1" s="1"/>
  <c r="AP74" i="4"/>
  <c r="AP83" i="4"/>
  <c r="AR796" i="9" l="1"/>
  <c r="AR94" i="1"/>
  <c r="L131" i="1"/>
  <c r="L98" i="1"/>
  <c r="AQ424" i="9"/>
  <c r="L97" i="1"/>
  <c r="L424" i="9" s="1"/>
  <c r="AQ419" i="9" l="1"/>
  <c r="AQ130" i="1"/>
  <c r="AQ63" i="4"/>
  <c r="AQ92" i="4" s="1"/>
  <c r="AQ624" i="9" s="1"/>
  <c r="AQ129" i="1"/>
  <c r="L128" i="1"/>
  <c r="AR95" i="1"/>
  <c r="AS93" i="1"/>
  <c r="AS120" i="1"/>
  <c r="AQ427" i="9" l="1"/>
  <c r="AQ428" i="9" s="1"/>
  <c r="AR97" i="1"/>
  <c r="AR98" i="1"/>
  <c r="AR131" i="1"/>
  <c r="AR128" i="1" s="1"/>
  <c r="AR579" i="9" s="1"/>
  <c r="L419" i="9"/>
  <c r="L129" i="1"/>
  <c r="AQ420" i="9"/>
  <c r="AQ543" i="9" s="1"/>
  <c r="AQ421" i="9"/>
  <c r="AS729" i="9"/>
  <c r="AS126" i="1"/>
  <c r="AT92" i="1" s="1"/>
  <c r="AQ74" i="4"/>
  <c r="AQ83" i="4"/>
  <c r="L63" i="4"/>
  <c r="L74" i="4" s="1"/>
  <c r="AS796" i="9" l="1"/>
  <c r="AS94" i="1"/>
  <c r="L420" i="9"/>
  <c r="L543" i="9" s="1"/>
  <c r="L425" i="9"/>
  <c r="L428" i="9"/>
  <c r="AR424" i="9"/>
  <c r="AT93" i="1" l="1"/>
  <c r="AT120" i="1"/>
  <c r="AS95" i="1"/>
  <c r="AR419" i="9"/>
  <c r="AR129" i="1"/>
  <c r="AR130" i="1"/>
  <c r="AR63" i="4"/>
  <c r="AR92" i="4" s="1"/>
  <c r="AR624" i="9" s="1"/>
  <c r="AR427" i="9" l="1"/>
  <c r="AR428" i="9" s="1"/>
  <c r="AR421" i="9"/>
  <c r="AR420" i="9"/>
  <c r="AR543" i="9" s="1"/>
  <c r="AS97" i="1"/>
  <c r="AS98" i="1"/>
  <c r="AS131" i="1"/>
  <c r="AS128" i="1" s="1"/>
  <c r="AS579" i="9" s="1"/>
  <c r="AR74" i="4"/>
  <c r="AR83" i="4"/>
  <c r="AT729" i="9"/>
  <c r="AT126" i="1"/>
  <c r="AU92" i="1" s="1"/>
  <c r="AS424" i="9" l="1"/>
  <c r="AT796" i="9"/>
  <c r="AT94" i="1"/>
  <c r="AU93" i="1" l="1"/>
  <c r="AU120" i="1"/>
  <c r="AS419" i="9"/>
  <c r="AS129" i="1"/>
  <c r="AS130" i="1"/>
  <c r="AS63" i="4"/>
  <c r="AS92" i="4" s="1"/>
  <c r="AS624" i="9" s="1"/>
  <c r="AT95" i="1"/>
  <c r="AS427" i="9" l="1"/>
  <c r="AS428" i="9" s="1"/>
  <c r="AS420" i="9"/>
  <c r="AS543" i="9" s="1"/>
  <c r="AS421" i="9"/>
  <c r="AU729" i="9"/>
  <c r="AU126" i="1"/>
  <c r="AV92" i="1" s="1"/>
  <c r="M120" i="1"/>
  <c r="AS74" i="4"/>
  <c r="AS83" i="4"/>
  <c r="AT131" i="1"/>
  <c r="AT128" i="1" s="1"/>
  <c r="AT579" i="9" s="1"/>
  <c r="AT97" i="1"/>
  <c r="AT98" i="1"/>
  <c r="AU796" i="9" l="1"/>
  <c r="AU94" i="1"/>
  <c r="M126" i="1"/>
  <c r="AT424" i="9"/>
  <c r="AV93" i="1" l="1"/>
  <c r="AV120" i="1"/>
  <c r="AU95" i="1"/>
  <c r="AT419" i="9"/>
  <c r="AT63" i="4"/>
  <c r="AT129" i="1"/>
  <c r="AT130" i="1"/>
  <c r="AT92" i="4" l="1"/>
  <c r="AT74" i="4"/>
  <c r="AT83" i="4"/>
  <c r="AU98" i="1"/>
  <c r="AU131" i="1"/>
  <c r="AU128" i="1" s="1"/>
  <c r="AU579" i="9" s="1"/>
  <c r="AU97" i="1"/>
  <c r="AT420" i="9"/>
  <c r="AT543" i="9" s="1"/>
  <c r="AT421" i="9"/>
  <c r="AV729" i="9"/>
  <c r="AV126" i="1"/>
  <c r="AW92" i="1" s="1"/>
  <c r="AT427" i="9" l="1"/>
  <c r="AT428" i="9" s="1"/>
  <c r="AT624" i="9"/>
  <c r="AV796" i="9"/>
  <c r="AV94" i="1"/>
  <c r="M131" i="1"/>
  <c r="M98" i="1"/>
  <c r="AU424" i="9"/>
  <c r="M97" i="1"/>
  <c r="M424" i="9" s="1"/>
  <c r="AU419" i="9" l="1"/>
  <c r="AU130" i="1"/>
  <c r="AU63" i="4"/>
  <c r="AU129" i="1"/>
  <c r="M128" i="1"/>
  <c r="AW93" i="1"/>
  <c r="AW120" i="1"/>
  <c r="AV95" i="1"/>
  <c r="AU92" i="4" l="1"/>
  <c r="M419" i="9"/>
  <c r="M129" i="1"/>
  <c r="AU420" i="9"/>
  <c r="AU543" i="9" s="1"/>
  <c r="AU421" i="9"/>
  <c r="AU74" i="4"/>
  <c r="AU83" i="4"/>
  <c r="M63" i="4"/>
  <c r="M74" i="4" s="1"/>
  <c r="AV97" i="1"/>
  <c r="AV98" i="1"/>
  <c r="AV131" i="1"/>
  <c r="AV128" i="1" s="1"/>
  <c r="AV579" i="9" s="1"/>
  <c r="AW729" i="9"/>
  <c r="AW126" i="1"/>
  <c r="AX92" i="1" s="1"/>
  <c r="M92" i="4" l="1"/>
  <c r="M427" i="9" s="1"/>
  <c r="M428" i="9" s="1"/>
  <c r="AU624" i="9"/>
  <c r="AU427" i="9"/>
  <c r="AU428" i="9" s="1"/>
  <c r="AW796" i="9"/>
  <c r="AW94" i="1"/>
  <c r="M420" i="9"/>
  <c r="M543" i="9" s="1"/>
  <c r="M425" i="9"/>
  <c r="AV424" i="9"/>
  <c r="AX93" i="1" l="1"/>
  <c r="AX120" i="1"/>
  <c r="AW95" i="1"/>
  <c r="AV419" i="9"/>
  <c r="AV129" i="1"/>
  <c r="AV130" i="1"/>
  <c r="AV63" i="4"/>
  <c r="AV92" i="4" l="1"/>
  <c r="AW97" i="1"/>
  <c r="AW98" i="1"/>
  <c r="AW131" i="1"/>
  <c r="AW128" i="1" s="1"/>
  <c r="AW579" i="9" s="1"/>
  <c r="AV74" i="4"/>
  <c r="AV83" i="4"/>
  <c r="AV421" i="9"/>
  <c r="AV420" i="9"/>
  <c r="AV543" i="9" s="1"/>
  <c r="AX729" i="9"/>
  <c r="AX126" i="1"/>
  <c r="AY92" i="1" s="1"/>
  <c r="AV427" i="9" l="1"/>
  <c r="AV428" i="9" s="1"/>
  <c r="AV624" i="9"/>
  <c r="AW424" i="9"/>
  <c r="AX796" i="9"/>
  <c r="AX94" i="1"/>
  <c r="AX95" i="1" l="1"/>
  <c r="AY93" i="1"/>
  <c r="AY120" i="1"/>
  <c r="AW419" i="9"/>
  <c r="AW129" i="1"/>
  <c r="AW130" i="1"/>
  <c r="AW63" i="4"/>
  <c r="AW92" i="4" l="1"/>
  <c r="AW624" i="9" s="1"/>
  <c r="AX131" i="1"/>
  <c r="AX128" i="1" s="1"/>
  <c r="AX579" i="9" s="1"/>
  <c r="AX97" i="1"/>
  <c r="AX98" i="1"/>
  <c r="AY729" i="9"/>
  <c r="AY126" i="1"/>
  <c r="N120" i="1"/>
  <c r="AW420" i="9"/>
  <c r="AW543" i="9" s="1"/>
  <c r="AW421" i="9"/>
  <c r="AW74" i="4"/>
  <c r="AW83" i="4"/>
  <c r="AW427" i="9" l="1"/>
  <c r="AW428" i="9" s="1"/>
  <c r="AY796" i="9"/>
  <c r="AY94" i="1"/>
  <c r="N126" i="1"/>
  <c r="AX424" i="9"/>
  <c r="AX419" i="9" l="1"/>
  <c r="AX63" i="4"/>
  <c r="AX92" i="4" s="1"/>
  <c r="AX624" i="9" s="1"/>
  <c r="AX129" i="1"/>
  <c r="AX130" i="1"/>
  <c r="AY95" i="1"/>
  <c r="AX427" i="9" l="1"/>
  <c r="AX428" i="9" s="1"/>
  <c r="AX74" i="4"/>
  <c r="AX83" i="4"/>
  <c r="AY98" i="1"/>
  <c r="AY131" i="1"/>
  <c r="AY128" i="1" s="1"/>
  <c r="AY579" i="9" s="1"/>
  <c r="AY97" i="1"/>
  <c r="AX420" i="9"/>
  <c r="AX543" i="9" s="1"/>
  <c r="AX421" i="9"/>
  <c r="AY424" i="9" l="1"/>
  <c r="N97" i="1"/>
  <c r="N424" i="9" s="1"/>
  <c r="N131" i="1"/>
  <c r="N98" i="1"/>
  <c r="AY419" i="9" l="1"/>
  <c r="AY130" i="1"/>
  <c r="AY63" i="4"/>
  <c r="AY92" i="4" s="1"/>
  <c r="AY624" i="9" s="1"/>
  <c r="AY129" i="1"/>
  <c r="N128" i="1"/>
  <c r="AY427" i="9" l="1"/>
  <c r="AY428" i="9" s="1"/>
  <c r="N92" i="4"/>
  <c r="N427" i="9" s="1"/>
  <c r="AY74" i="4"/>
  <c r="AY83" i="4"/>
  <c r="N63" i="4"/>
  <c r="N74" i="4" s="1"/>
  <c r="N419" i="9"/>
  <c r="N129" i="1"/>
  <c r="AY420" i="9"/>
  <c r="AY543" i="9" s="1"/>
  <c r="AY421" i="9"/>
  <c r="N420" i="9" l="1"/>
  <c r="N543" i="9" s="1"/>
  <c r="N425" i="9"/>
  <c r="N428" i="9"/>
  <c r="K243" i="1" l="1"/>
  <c r="K263" i="1" l="1"/>
  <c r="K9" i="1"/>
  <c r="AM777" i="9"/>
  <c r="K21" i="1"/>
  <c r="K22" i="1" s="1"/>
  <c r="AN777" i="9" l="1"/>
  <c r="K33" i="1"/>
  <c r="AM800" i="9"/>
  <c r="K12" i="9"/>
  <c r="K13" i="9" s="1"/>
  <c r="L19" i="1"/>
  <c r="K10" i="1" l="1"/>
  <c r="K268" i="1"/>
  <c r="AO776" i="9"/>
  <c r="AM10" i="9"/>
  <c r="AM319" i="9"/>
  <c r="K12" i="1"/>
  <c r="AP241" i="1" l="1"/>
  <c r="AP243" i="1" s="1"/>
  <c r="AQ45" i="19"/>
  <c r="K33" i="3"/>
  <c r="K265" i="1"/>
  <c r="K12" i="2"/>
  <c r="K13" i="1"/>
  <c r="K10" i="9"/>
  <c r="K319" i="9"/>
  <c r="AM322" i="9"/>
  <c r="AM323" i="9"/>
  <c r="AP21" i="1" l="1"/>
  <c r="D9" i="23" s="1"/>
  <c r="H9" i="23" s="1"/>
  <c r="AP776" i="9"/>
  <c r="AO777" i="9"/>
  <c r="AP19" i="1"/>
  <c r="K11" i="2"/>
  <c r="K62" i="3"/>
  <c r="K38" i="1"/>
  <c r="AP244" i="1"/>
  <c r="AQ241" i="1" s="1"/>
  <c r="K40" i="1"/>
  <c r="AM6" i="9"/>
  <c r="K35" i="1"/>
  <c r="K82" i="3" s="1"/>
  <c r="AM29" i="7"/>
  <c r="K322" i="9"/>
  <c r="AP777" i="9" l="1"/>
  <c r="AP230" i="1"/>
  <c r="AO799" i="9"/>
  <c r="AP23" i="1"/>
  <c r="AP22" i="1"/>
  <c r="AQ19" i="1" s="1"/>
  <c r="AQ243" i="1"/>
  <c r="AQ776" i="9" s="1"/>
  <c r="AM58" i="2"/>
  <c r="AM59" i="2" s="1"/>
  <c r="AM23" i="19" s="1"/>
  <c r="K5" i="4"/>
  <c r="K81" i="3" s="1"/>
  <c r="AM30" i="7"/>
  <c r="AM483" i="9"/>
  <c r="AM7" i="9"/>
  <c r="AM541" i="9" s="1"/>
  <c r="AM361" i="9"/>
  <c r="AM8" i="9"/>
  <c r="AM422" i="9"/>
  <c r="K51" i="3"/>
  <c r="K36" i="1"/>
  <c r="K6" i="9"/>
  <c r="K29" i="7"/>
  <c r="AM61" i="2" l="1"/>
  <c r="AM60" i="2"/>
  <c r="L243" i="1"/>
  <c r="AQ21" i="1"/>
  <c r="AQ22" i="1" s="1"/>
  <c r="AR19" i="1" s="1"/>
  <c r="AQ244" i="1"/>
  <c r="AR241" i="1" s="1"/>
  <c r="K11" i="4"/>
  <c r="K12" i="4" s="1"/>
  <c r="K117" i="4" s="1"/>
  <c r="K18" i="3"/>
  <c r="K56" i="3" s="1"/>
  <c r="K22" i="2"/>
  <c r="K24" i="3"/>
  <c r="K58" i="3" s="1"/>
  <c r="K27" i="2"/>
  <c r="K9" i="4"/>
  <c r="K10" i="4" s="1"/>
  <c r="K112" i="4" s="1"/>
  <c r="K35" i="3"/>
  <c r="K59" i="3" s="1"/>
  <c r="K17" i="2"/>
  <c r="K6" i="4"/>
  <c r="AP7" i="1"/>
  <c r="AP231" i="1"/>
  <c r="K36" i="3"/>
  <c r="K60" i="3" s="1"/>
  <c r="K26" i="2"/>
  <c r="K361" i="9"/>
  <c r="K422" i="9"/>
  <c r="K7" i="9"/>
  <c r="K541" i="9" s="1"/>
  <c r="K11" i="9"/>
  <c r="K321" i="9"/>
  <c r="K8" i="3"/>
  <c r="K55" i="3" s="1"/>
  <c r="K21" i="2"/>
  <c r="K6" i="3"/>
  <c r="K54" i="3" s="1"/>
  <c r="K69" i="3"/>
  <c r="AM64" i="2"/>
  <c r="AM65" i="2" s="1"/>
  <c r="K58" i="2"/>
  <c r="AM260" i="9"/>
  <c r="AM261" i="9" s="1"/>
  <c r="AM68" i="2" l="1"/>
  <c r="AM67" i="2"/>
  <c r="AM66" i="2"/>
  <c r="AQ777" i="9"/>
  <c r="L21" i="1"/>
  <c r="E9" i="23" s="1"/>
  <c r="I9" i="23" s="1"/>
  <c r="AQ23" i="1"/>
  <c r="AR243" i="1"/>
  <c r="K35" i="2"/>
  <c r="K33" i="2"/>
  <c r="AP263" i="1"/>
  <c r="AQ230" i="1" s="1"/>
  <c r="K86" i="3"/>
  <c r="K75" i="3"/>
  <c r="AM35" i="7"/>
  <c r="K70" i="3"/>
  <c r="K260" i="9"/>
  <c r="K261" i="9" s="1"/>
  <c r="K20" i="2"/>
  <c r="AP8" i="1"/>
  <c r="K52" i="3"/>
  <c r="L22" i="1" l="1"/>
  <c r="L12" i="9" s="1"/>
  <c r="L13" i="9" s="1"/>
  <c r="AR21" i="1"/>
  <c r="AR777" i="9" s="1"/>
  <c r="AR776" i="9"/>
  <c r="AR244" i="1"/>
  <c r="AS241" i="1" s="1"/>
  <c r="K22" i="3"/>
  <c r="K57" i="3" s="1"/>
  <c r="AP232" i="1"/>
  <c r="AM37" i="7"/>
  <c r="AM36" i="7"/>
  <c r="K76" i="3"/>
  <c r="K64" i="2"/>
  <c r="K35" i="7"/>
  <c r="K37" i="7" s="1"/>
  <c r="M19" i="1" l="1"/>
  <c r="AR22" i="1"/>
  <c r="AS19" i="1" s="1"/>
  <c r="AR23" i="1"/>
  <c r="AO582" i="9"/>
  <c r="AS243" i="1"/>
  <c r="AS776" i="9" s="1"/>
  <c r="AQ7" i="1"/>
  <c r="AQ231" i="1"/>
  <c r="K23" i="2"/>
  <c r="K29" i="3"/>
  <c r="AP9" i="1"/>
  <c r="AP233" i="1"/>
  <c r="K105" i="3"/>
  <c r="AS244" i="1" l="1"/>
  <c r="AT241" i="1" s="1"/>
  <c r="AT243" i="1" s="1"/>
  <c r="AS21" i="1"/>
  <c r="K10" i="2"/>
  <c r="K16" i="4"/>
  <c r="K45" i="4"/>
  <c r="AP236" i="1"/>
  <c r="AP13" i="1" s="1"/>
  <c r="AP10" i="1"/>
  <c r="AP235" i="1"/>
  <c r="AP12" i="1" s="1"/>
  <c r="AP268" i="1"/>
  <c r="AP38" i="1" s="1"/>
  <c r="AQ263" i="1"/>
  <c r="AR230" i="1" s="1"/>
  <c r="L257" i="1"/>
  <c r="K28" i="2"/>
  <c r="K38" i="7" s="1"/>
  <c r="K39" i="7" s="1"/>
  <c r="AM38" i="7"/>
  <c r="AM39" i="7" s="1"/>
  <c r="AQ8" i="1"/>
  <c r="L8" i="1" s="1"/>
  <c r="K87" i="3"/>
  <c r="L7" i="1"/>
  <c r="AT21" i="1" l="1"/>
  <c r="AT777" i="9" s="1"/>
  <c r="AT776" i="9"/>
  <c r="AS777" i="9"/>
  <c r="AS23" i="1"/>
  <c r="AS22" i="1"/>
  <c r="AT19" i="1" s="1"/>
  <c r="AT244" i="1"/>
  <c r="AU241" i="1" s="1"/>
  <c r="AQ232" i="1"/>
  <c r="L263" i="1"/>
  <c r="K19" i="4"/>
  <c r="K13" i="3"/>
  <c r="K88" i="3"/>
  <c r="AP265" i="1"/>
  <c r="AT22" i="1" l="1"/>
  <c r="AU19" i="1" s="1"/>
  <c r="AP66" i="4"/>
  <c r="AP86" i="4" s="1"/>
  <c r="AP582" i="9"/>
  <c r="AT23" i="1"/>
  <c r="AU243" i="1"/>
  <c r="AU776" i="9" s="1"/>
  <c r="AR257" i="1"/>
  <c r="AR30" i="1" s="1"/>
  <c r="AR231" i="1"/>
  <c r="AR7" i="1"/>
  <c r="AP266" i="1"/>
  <c r="AP267" i="1"/>
  <c r="AQ9" i="1"/>
  <c r="L9" i="1" s="1"/>
  <c r="AQ233" i="1"/>
  <c r="AP77" i="4" l="1"/>
  <c r="M243" i="1"/>
  <c r="AU21" i="1"/>
  <c r="AU244" i="1"/>
  <c r="AV241" i="1" s="1"/>
  <c r="AR8" i="1"/>
  <c r="AQ235" i="1"/>
  <c r="AQ12" i="1" s="1"/>
  <c r="AQ268" i="1"/>
  <c r="AQ38" i="1" s="1"/>
  <c r="AQ236" i="1"/>
  <c r="AQ13" i="1" s="1"/>
  <c r="AQ10" i="1"/>
  <c r="L10" i="1" s="1"/>
  <c r="AR263" i="1"/>
  <c r="AS230" i="1" s="1"/>
  <c r="AU777" i="9" l="1"/>
  <c r="AU23" i="1"/>
  <c r="M21" i="1"/>
  <c r="M22" i="1" s="1"/>
  <c r="AU22" i="1"/>
  <c r="AV19" i="1" s="1"/>
  <c r="L38" i="1"/>
  <c r="AV243" i="1"/>
  <c r="AQ265" i="1"/>
  <c r="L268" i="1"/>
  <c r="AR232" i="1"/>
  <c r="AV21" i="1" l="1"/>
  <c r="AV777" i="9" s="1"/>
  <c r="AV776" i="9"/>
  <c r="AQ66" i="4"/>
  <c r="AQ86" i="4" s="1"/>
  <c r="AQ582" i="9"/>
  <c r="M12" i="9"/>
  <c r="M13" i="9" s="1"/>
  <c r="N19" i="1"/>
  <c r="AV244" i="1"/>
  <c r="AW241" i="1" s="1"/>
  <c r="AS257" i="1"/>
  <c r="AS30" i="1" s="1"/>
  <c r="AS7" i="1"/>
  <c r="AS231" i="1"/>
  <c r="AQ267" i="1"/>
  <c r="AQ266" i="1"/>
  <c r="L265" i="1"/>
  <c r="L266" i="1" s="1"/>
  <c r="AR9" i="1"/>
  <c r="AR233" i="1"/>
  <c r="AV23" i="1" l="1"/>
  <c r="AV22" i="1"/>
  <c r="AW19" i="1" s="1"/>
  <c r="AQ77" i="4"/>
  <c r="AW243" i="1"/>
  <c r="AS263" i="1"/>
  <c r="AT230" i="1" s="1"/>
  <c r="AR235" i="1"/>
  <c r="AR12" i="1" s="1"/>
  <c r="AR268" i="1"/>
  <c r="AR38" i="1" s="1"/>
  <c r="AR10" i="1"/>
  <c r="AR236" i="1"/>
  <c r="AR13" i="1" s="1"/>
  <c r="AS8" i="1"/>
  <c r="AW21" i="1" l="1"/>
  <c r="AW23" i="1" s="1"/>
  <c r="AW776" i="9"/>
  <c r="AW244" i="1"/>
  <c r="AX241" i="1" s="1"/>
  <c r="AS232" i="1"/>
  <c r="AR265" i="1"/>
  <c r="AW777" i="9" l="1"/>
  <c r="AW22" i="1"/>
  <c r="AX19" i="1" s="1"/>
  <c r="AR66" i="4"/>
  <c r="AR86" i="4" s="1"/>
  <c r="AR582" i="9"/>
  <c r="AX243" i="1"/>
  <c r="AT7" i="1"/>
  <c r="AT231" i="1"/>
  <c r="AT257" i="1"/>
  <c r="AT30" i="1" s="1"/>
  <c r="AR267" i="1"/>
  <c r="AR266" i="1"/>
  <c r="AS9" i="1"/>
  <c r="AS233" i="1"/>
  <c r="AR77" i="4" l="1"/>
  <c r="AX21" i="1"/>
  <c r="AX777" i="9" s="1"/>
  <c r="AX776" i="9"/>
  <c r="AT31" i="1"/>
  <c r="AX244" i="1"/>
  <c r="AY241" i="1" s="1"/>
  <c r="AT263" i="1"/>
  <c r="AU230" i="1" s="1"/>
  <c r="AT8" i="1"/>
  <c r="AS10" i="1"/>
  <c r="AS236" i="1"/>
  <c r="AS13" i="1" s="1"/>
  <c r="AS268" i="1"/>
  <c r="AS38" i="1" s="1"/>
  <c r="AS235" i="1"/>
  <c r="AS12" i="1" s="1"/>
  <c r="AX22" i="1" l="1"/>
  <c r="AY19" i="1" s="1"/>
  <c r="AX23" i="1"/>
  <c r="AY243" i="1"/>
  <c r="AY776" i="9" s="1"/>
  <c r="AS265" i="1"/>
  <c r="AT232" i="1"/>
  <c r="AS66" i="4" l="1"/>
  <c r="AS77" i="4" s="1"/>
  <c r="AS582" i="9"/>
  <c r="N243" i="1"/>
  <c r="AY21" i="1"/>
  <c r="AY244" i="1"/>
  <c r="AS266" i="1"/>
  <c r="AS267" i="1"/>
  <c r="AU7" i="1"/>
  <c r="AU231" i="1"/>
  <c r="AU257" i="1"/>
  <c r="AU30" i="1" s="1"/>
  <c r="AT9" i="1"/>
  <c r="AT233" i="1"/>
  <c r="AS86" i="4" l="1"/>
  <c r="AY777" i="9"/>
  <c r="AY23" i="1"/>
  <c r="N21" i="1"/>
  <c r="N22" i="1" s="1"/>
  <c r="N12" i="9" s="1"/>
  <c r="N13" i="9" s="1"/>
  <c r="AY22" i="1"/>
  <c r="M7" i="1"/>
  <c r="AU263" i="1"/>
  <c r="AV230" i="1" s="1"/>
  <c r="M257" i="1"/>
  <c r="AT236" i="1"/>
  <c r="AT13" i="1" s="1"/>
  <c r="AT10" i="1"/>
  <c r="AT235" i="1"/>
  <c r="AT12" i="1" s="1"/>
  <c r="AT268" i="1"/>
  <c r="AT38" i="1" s="1"/>
  <c r="AU8" i="1"/>
  <c r="M8" i="1" s="1"/>
  <c r="AU232" i="1" l="1"/>
  <c r="M263" i="1"/>
  <c r="AT265" i="1"/>
  <c r="AT66" i="4" l="1"/>
  <c r="AT86" i="4" s="1"/>
  <c r="AT582" i="9"/>
  <c r="AT77" i="4"/>
  <c r="AV257" i="1"/>
  <c r="AV30" i="1" s="1"/>
  <c r="AV231" i="1"/>
  <c r="AV7" i="1"/>
  <c r="AT266" i="1"/>
  <c r="AT267" i="1"/>
  <c r="AU9" i="1"/>
  <c r="M9" i="1" s="1"/>
  <c r="AU233" i="1"/>
  <c r="AV263" i="1" l="1"/>
  <c r="AW230" i="1" s="1"/>
  <c r="AV8" i="1"/>
  <c r="AU235" i="1"/>
  <c r="AU12" i="1" s="1"/>
  <c r="AU268" i="1"/>
  <c r="AU38" i="1" s="1"/>
  <c r="AU236" i="1"/>
  <c r="AU13" i="1" s="1"/>
  <c r="AU10" i="1"/>
  <c r="M10" i="1" s="1"/>
  <c r="M38" i="1" l="1"/>
  <c r="AU265" i="1"/>
  <c r="M268" i="1"/>
  <c r="AV232" i="1"/>
  <c r="AU66" i="4" l="1"/>
  <c r="AU86" i="4" s="1"/>
  <c r="AU582" i="9"/>
  <c r="AV9" i="1"/>
  <c r="AV233" i="1"/>
  <c r="AW257" i="1"/>
  <c r="AW30" i="1" s="1"/>
  <c r="AW7" i="1"/>
  <c r="AW231" i="1"/>
  <c r="AU267" i="1"/>
  <c r="AU266" i="1"/>
  <c r="M265" i="1"/>
  <c r="M266" i="1" s="1"/>
  <c r="AU77" i="4" l="1"/>
  <c r="AW263" i="1"/>
  <c r="AX230" i="1" s="1"/>
  <c r="AW8" i="1"/>
  <c r="AV235" i="1"/>
  <c r="AV12" i="1" s="1"/>
  <c r="AV268" i="1"/>
  <c r="AV38" i="1" s="1"/>
  <c r="AV10" i="1"/>
  <c r="AV236" i="1"/>
  <c r="AV13" i="1" s="1"/>
  <c r="AV265" i="1" l="1"/>
  <c r="AW232" i="1"/>
  <c r="AV66" i="4" l="1"/>
  <c r="AV86" i="4" s="1"/>
  <c r="AV582" i="9"/>
  <c r="AX7" i="1"/>
  <c r="AX231" i="1"/>
  <c r="AX257" i="1"/>
  <c r="AX30" i="1" s="1"/>
  <c r="AV267" i="1"/>
  <c r="AV266" i="1"/>
  <c r="AW9" i="1"/>
  <c r="AW233" i="1"/>
  <c r="AV77" i="4" l="1"/>
  <c r="AX8" i="1"/>
  <c r="AX263" i="1"/>
  <c r="AY230" i="1" s="1"/>
  <c r="AW10" i="1"/>
  <c r="AW236" i="1"/>
  <c r="AW13" i="1" s="1"/>
  <c r="AW235" i="1"/>
  <c r="AW12" i="1" s="1"/>
  <c r="AW268" i="1"/>
  <c r="AW38" i="1" s="1"/>
  <c r="AX232" i="1" l="1"/>
  <c r="AW265" i="1"/>
  <c r="AW66" i="4" l="1"/>
  <c r="AW77" i="4" s="1"/>
  <c r="AW582" i="9"/>
  <c r="AY7" i="1"/>
  <c r="AY231" i="1"/>
  <c r="AY257" i="1"/>
  <c r="AY30" i="1" s="1"/>
  <c r="AW266" i="1"/>
  <c r="AW267" i="1"/>
  <c r="AX9" i="1"/>
  <c r="AX233" i="1"/>
  <c r="AW86" i="4" l="1"/>
  <c r="AY8" i="1"/>
  <c r="N8" i="1" s="1"/>
  <c r="AX236" i="1"/>
  <c r="AX13" i="1" s="1"/>
  <c r="AX10" i="1"/>
  <c r="AX235" i="1"/>
  <c r="AX12" i="1" s="1"/>
  <c r="AX268" i="1"/>
  <c r="AX38" i="1" s="1"/>
  <c r="AY263" i="1"/>
  <c r="N257" i="1"/>
  <c r="N7" i="1"/>
  <c r="AX265" i="1" l="1"/>
  <c r="AY232" i="1"/>
  <c r="N263" i="1"/>
  <c r="AX66" i="4" l="1"/>
  <c r="AX86" i="4" s="1"/>
  <c r="AX582" i="9"/>
  <c r="AY9" i="1"/>
  <c r="N9" i="1" s="1"/>
  <c r="AY233" i="1"/>
  <c r="AX266" i="1"/>
  <c r="AX267" i="1"/>
  <c r="AX77" i="4" l="1"/>
  <c r="AY235" i="1"/>
  <c r="AY12" i="1" s="1"/>
  <c r="AY268" i="1"/>
  <c r="AY38" i="1" s="1"/>
  <c r="AY236" i="1"/>
  <c r="AY13" i="1" s="1"/>
  <c r="AY10" i="1"/>
  <c r="N10" i="1" s="1"/>
  <c r="N38" i="1" l="1"/>
  <c r="AY265" i="1"/>
  <c r="N268" i="1"/>
  <c r="AY66" i="4" l="1"/>
  <c r="AY77" i="4" s="1"/>
  <c r="AY582" i="9"/>
  <c r="AY267" i="1"/>
  <c r="AY266" i="1"/>
  <c r="N265" i="1"/>
  <c r="N266" i="1" s="1"/>
  <c r="AY86" i="4" l="1"/>
  <c r="AL143" i="5"/>
  <c r="AL120" i="9"/>
  <c r="AL121" i="9" s="1"/>
  <c r="K136" i="4"/>
  <c r="AL31" i="7"/>
  <c r="AL34" i="7" s="1"/>
  <c r="AL122" i="9" l="1"/>
  <c r="AL123" i="9"/>
  <c r="AL200" i="9"/>
  <c r="AL158" i="9"/>
  <c r="AL179" i="9"/>
  <c r="AL40" i="7"/>
  <c r="AL32" i="7"/>
  <c r="AL41" i="7" l="1"/>
  <c r="AL44" i="7"/>
  <c r="AL48" i="7" s="1"/>
  <c r="AL159" i="9"/>
  <c r="AL160" i="9"/>
  <c r="AL202" i="9"/>
  <c r="AL201" i="9"/>
  <c r="AL181" i="9"/>
  <c r="AL180" i="9"/>
  <c r="AL140" i="5"/>
  <c r="AL146" i="5" s="1"/>
  <c r="C59" i="7" l="1"/>
  <c r="AL54" i="5"/>
  <c r="AM51" i="5" s="1"/>
  <c r="AM52" i="5" s="1"/>
  <c r="AL50" i="5" l="1"/>
  <c r="AW16" i="1" l="1"/>
  <c r="L13" i="1"/>
  <c r="AP14" i="1"/>
  <c r="M13" i="1"/>
  <c r="AS16" i="1"/>
  <c r="AT14" i="1"/>
  <c r="AV17" i="1"/>
  <c r="AX16" i="1"/>
  <c r="AR16" i="1"/>
  <c r="AN733" i="9"/>
  <c r="AO733" i="9"/>
  <c r="AP733" i="9"/>
  <c r="AQ733" i="9"/>
  <c r="AR733" i="9"/>
  <c r="AS733" i="9"/>
  <c r="AT733" i="9"/>
  <c r="AU733" i="9"/>
  <c r="AV733" i="9"/>
  <c r="AW733" i="9"/>
  <c r="AX733" i="9"/>
  <c r="AY733" i="9"/>
  <c r="AQ31" i="1"/>
  <c r="AU31" i="1"/>
  <c r="M276" i="1"/>
  <c r="AV67" i="4"/>
  <c r="AV96" i="4" s="1"/>
  <c r="AV628" i="9" s="1"/>
  <c r="AV31" i="1" l="1"/>
  <c r="AV33" i="1"/>
  <c r="AV800" i="9" s="1"/>
  <c r="AR33" i="1"/>
  <c r="AR800" i="9" s="1"/>
  <c r="AR31" i="1"/>
  <c r="AV16" i="1"/>
  <c r="AP16" i="1"/>
  <c r="AS14" i="1"/>
  <c r="L12" i="1"/>
  <c r="L10" i="9" s="1"/>
  <c r="AU33" i="1"/>
  <c r="AU800" i="9" s="1"/>
  <c r="AR17" i="1"/>
  <c r="AW14" i="1"/>
  <c r="AY31" i="1"/>
  <c r="AY33" i="1"/>
  <c r="AY800" i="9" s="1"/>
  <c r="AQ33" i="1"/>
  <c r="AQ800" i="9" s="1"/>
  <c r="AW17" i="1"/>
  <c r="AS17" i="1"/>
  <c r="AP31" i="1"/>
  <c r="AP17" i="1"/>
  <c r="AX14" i="1"/>
  <c r="AT17" i="1"/>
  <c r="AS33" i="1"/>
  <c r="AS800" i="9" s="1"/>
  <c r="AX17" i="1"/>
  <c r="AT16" i="1"/>
  <c r="AW33" i="1"/>
  <c r="AW800" i="9" s="1"/>
  <c r="L30" i="1"/>
  <c r="E10" i="23" s="1"/>
  <c r="I10" i="23" s="1"/>
  <c r="N30" i="1"/>
  <c r="N31" i="1" s="1"/>
  <c r="M30" i="1"/>
  <c r="M31" i="1" s="1"/>
  <c r="AW35" i="1"/>
  <c r="AW584" i="9" s="1"/>
  <c r="AW67" i="4"/>
  <c r="AW96" i="4" s="1"/>
  <c r="AW628" i="9" s="1"/>
  <c r="AS35" i="1"/>
  <c r="AS584" i="9" s="1"/>
  <c r="AS67" i="4"/>
  <c r="AS96" i="4" s="1"/>
  <c r="AS628" i="9" s="1"/>
  <c r="AO584" i="9"/>
  <c r="AO628" i="9"/>
  <c r="AV68" i="4"/>
  <c r="AY67" i="4"/>
  <c r="AY96" i="4" s="1"/>
  <c r="AY628" i="9" s="1"/>
  <c r="AY35" i="1"/>
  <c r="AY584" i="9" s="1"/>
  <c r="AU67" i="4"/>
  <c r="AU35" i="1"/>
  <c r="AU584" i="9" s="1"/>
  <c r="AQ67" i="4"/>
  <c r="AQ96" i="4" s="1"/>
  <c r="AQ628" i="9" s="1"/>
  <c r="AQ35" i="1"/>
  <c r="AQ584" i="9" s="1"/>
  <c r="AX35" i="1"/>
  <c r="AX584" i="9" s="1"/>
  <c r="AX67" i="4"/>
  <c r="AX96" i="4" s="1"/>
  <c r="AX628" i="9" s="1"/>
  <c r="AT35" i="1"/>
  <c r="AT584" i="9" s="1"/>
  <c r="AT67" i="4"/>
  <c r="AP42" i="1"/>
  <c r="AP35" i="1" s="1"/>
  <c r="AP584" i="9" s="1"/>
  <c r="AP67" i="4"/>
  <c r="AP96" i="4" s="1"/>
  <c r="AP628" i="9" s="1"/>
  <c r="AN87" i="4"/>
  <c r="L276" i="1"/>
  <c r="L277" i="1" s="1"/>
  <c r="AV35" i="1"/>
  <c r="AV584" i="9" s="1"/>
  <c r="AR35" i="1"/>
  <c r="AR584" i="9" s="1"/>
  <c r="AX63" i="3"/>
  <c r="AX64" i="3" s="1"/>
  <c r="AX62" i="3" s="1"/>
  <c r="AX11" i="2" s="1"/>
  <c r="AX12" i="2"/>
  <c r="AX79" i="2" s="1"/>
  <c r="AT63" i="3"/>
  <c r="AT64" i="3" s="1"/>
  <c r="AT62" i="3" s="1"/>
  <c r="AT11" i="2" s="1"/>
  <c r="AT12" i="2"/>
  <c r="AT79" i="2" s="1"/>
  <c r="AP63" i="3"/>
  <c r="AP64" i="3" s="1"/>
  <c r="AP62" i="3" s="1"/>
  <c r="AP11" i="2" s="1"/>
  <c r="AP12" i="2"/>
  <c r="AP79" i="2" s="1"/>
  <c r="AW10" i="9"/>
  <c r="AW319" i="9"/>
  <c r="AS10" i="9"/>
  <c r="AS319" i="9"/>
  <c r="AO10" i="9"/>
  <c r="AO319" i="9"/>
  <c r="AW63" i="3"/>
  <c r="AW64" i="3" s="1"/>
  <c r="AW62" i="3" s="1"/>
  <c r="AW11" i="2" s="1"/>
  <c r="AW12" i="2"/>
  <c r="AW79" i="2" s="1"/>
  <c r="AS63" i="3"/>
  <c r="AS64" i="3" s="1"/>
  <c r="AS62" i="3" s="1"/>
  <c r="AS11" i="2" s="1"/>
  <c r="AS12" i="2"/>
  <c r="AS79" i="2" s="1"/>
  <c r="AV10" i="9"/>
  <c r="AV319" i="9"/>
  <c r="AR10" i="9"/>
  <c r="AR319" i="9"/>
  <c r="AN10" i="9"/>
  <c r="AN319" i="9"/>
  <c r="N276" i="1"/>
  <c r="N277" i="1" s="1"/>
  <c r="AX31" i="1"/>
  <c r="AV14" i="1"/>
  <c r="AR14" i="1"/>
  <c r="AV63" i="3"/>
  <c r="AV64" i="3" s="1"/>
  <c r="AV62" i="3" s="1"/>
  <c r="AV12" i="2"/>
  <c r="AV79" i="2" s="1"/>
  <c r="AR63" i="3"/>
  <c r="AR64" i="3" s="1"/>
  <c r="AR62" i="3" s="1"/>
  <c r="AR12" i="2"/>
  <c r="AR79" i="2" s="1"/>
  <c r="AY10" i="9"/>
  <c r="AY319" i="9"/>
  <c r="AU10" i="9"/>
  <c r="AU319" i="9"/>
  <c r="AQ10" i="9"/>
  <c r="AQ319" i="9"/>
  <c r="N12" i="1"/>
  <c r="AR67" i="4"/>
  <c r="AR96" i="4" s="1"/>
  <c r="AR628" i="9" s="1"/>
  <c r="AX33" i="1"/>
  <c r="AX800" i="9" s="1"/>
  <c r="AT33" i="1"/>
  <c r="AT800" i="9" s="1"/>
  <c r="AP33" i="1"/>
  <c r="D11" i="23" s="1"/>
  <c r="H11" i="23" s="1"/>
  <c r="AW31" i="1"/>
  <c r="AS31" i="1"/>
  <c r="AY17" i="1"/>
  <c r="AU17" i="1"/>
  <c r="AQ17" i="1"/>
  <c r="AY16" i="1"/>
  <c r="AU16" i="1"/>
  <c r="AQ16" i="1"/>
  <c r="AY14" i="1"/>
  <c r="AU14" i="1"/>
  <c r="AQ14" i="1"/>
  <c r="AY63" i="3"/>
  <c r="AY64" i="3" s="1"/>
  <c r="AY62" i="3" s="1"/>
  <c r="AY11" i="2" s="1"/>
  <c r="AY12" i="2"/>
  <c r="AY79" i="2" s="1"/>
  <c r="AU63" i="3"/>
  <c r="AU64" i="3" s="1"/>
  <c r="AU62" i="3" s="1"/>
  <c r="AU11" i="2" s="1"/>
  <c r="AU12" i="2"/>
  <c r="AU79" i="2" s="1"/>
  <c r="AQ63" i="3"/>
  <c r="AQ64" i="3" s="1"/>
  <c r="AQ62" i="3" s="1"/>
  <c r="AQ11" i="2" s="1"/>
  <c r="AQ12" i="2"/>
  <c r="AQ79" i="2" s="1"/>
  <c r="N13" i="1"/>
  <c r="AX10" i="9"/>
  <c r="AX319" i="9"/>
  <c r="AT10" i="9"/>
  <c r="AT319" i="9"/>
  <c r="AP10" i="9"/>
  <c r="AP319" i="9"/>
  <c r="M12" i="1"/>
  <c r="AP800" i="9" l="1"/>
  <c r="L31" i="1"/>
  <c r="AO800" i="9"/>
  <c r="AS46" i="19"/>
  <c r="AR16" i="9"/>
  <c r="AR17" i="9" s="1"/>
  <c r="AU16" i="9"/>
  <c r="AS16" i="9"/>
  <c r="AT16" i="9"/>
  <c r="AV16" i="9"/>
  <c r="AP16" i="9"/>
  <c r="AP17" i="9" s="1"/>
  <c r="AX16" i="9"/>
  <c r="AQ16" i="9"/>
  <c r="AY16" i="9"/>
  <c r="AO16" i="9"/>
  <c r="AO18" i="9" s="1"/>
  <c r="AW16" i="9"/>
  <c r="AV87" i="4"/>
  <c r="AU96" i="4"/>
  <c r="AU628" i="9" s="1"/>
  <c r="AT96" i="4"/>
  <c r="AT628" i="9" s="1"/>
  <c r="AT80" i="3"/>
  <c r="AT80" i="2" s="1"/>
  <c r="AR80" i="3"/>
  <c r="AR80" i="2" s="1"/>
  <c r="AU80" i="3"/>
  <c r="AU80" i="2" s="1"/>
  <c r="AS80" i="3"/>
  <c r="AS80" i="2" s="1"/>
  <c r="AV80" i="3"/>
  <c r="AV80" i="2" s="1"/>
  <c r="AP80" i="3"/>
  <c r="AP80" i="2" s="1"/>
  <c r="AX80" i="3"/>
  <c r="AX80" i="2" s="1"/>
  <c r="AQ80" i="3"/>
  <c r="AQ80" i="2" s="1"/>
  <c r="AY80" i="3"/>
  <c r="AY80" i="2" s="1"/>
  <c r="AW80" i="3"/>
  <c r="AW80" i="2" s="1"/>
  <c r="M79" i="2"/>
  <c r="N79" i="2"/>
  <c r="L79" i="2"/>
  <c r="AN800" i="9"/>
  <c r="AP33" i="3"/>
  <c r="AQ33" i="3" s="1"/>
  <c r="AR33" i="3" s="1"/>
  <c r="AS33" i="3" s="1"/>
  <c r="AT33" i="3" s="1"/>
  <c r="AU33" i="3" s="1"/>
  <c r="M33" i="1"/>
  <c r="L33" i="1"/>
  <c r="E11" i="23" s="1"/>
  <c r="I11" i="23" s="1"/>
  <c r="N33" i="1"/>
  <c r="L12" i="2"/>
  <c r="N12" i="2"/>
  <c r="M12" i="2"/>
  <c r="L319" i="9"/>
  <c r="L322" i="9" s="1"/>
  <c r="AX322" i="9"/>
  <c r="AX323" i="9"/>
  <c r="AT322" i="9"/>
  <c r="AT323" i="9"/>
  <c r="M10" i="9"/>
  <c r="M319" i="9"/>
  <c r="AQ322" i="9"/>
  <c r="AQ323" i="9"/>
  <c r="AY322" i="9"/>
  <c r="AY323" i="9"/>
  <c r="N62" i="3"/>
  <c r="AV11" i="2"/>
  <c r="N11" i="2" s="1"/>
  <c r="AR322" i="9"/>
  <c r="AR323" i="9"/>
  <c r="AS322" i="9"/>
  <c r="AS323" i="9"/>
  <c r="AR51" i="3"/>
  <c r="AR6" i="9"/>
  <c r="AR14" i="9" s="1"/>
  <c r="AR36" i="1"/>
  <c r="AR37" i="1"/>
  <c r="AR5" i="4"/>
  <c r="M35" i="1"/>
  <c r="AR40" i="1"/>
  <c r="AR29" i="7"/>
  <c r="AP87" i="4"/>
  <c r="AP68" i="4"/>
  <c r="AP78" i="4"/>
  <c r="AT87" i="4"/>
  <c r="AT68" i="4"/>
  <c r="AT78" i="4"/>
  <c r="AX87" i="4"/>
  <c r="AX68" i="4"/>
  <c r="AX78" i="4"/>
  <c r="AV51" i="3"/>
  <c r="AV6" i="9"/>
  <c r="AV14" i="9" s="1"/>
  <c r="N35" i="1"/>
  <c r="AV36" i="1"/>
  <c r="AV37" i="1"/>
  <c r="AV5" i="4"/>
  <c r="AV40" i="1"/>
  <c r="AV29" i="7"/>
  <c r="AN88" i="4"/>
  <c r="AP51" i="3"/>
  <c r="AP6" i="9"/>
  <c r="AP14" i="9" s="1"/>
  <c r="AP40" i="1"/>
  <c r="AP36" i="1"/>
  <c r="AP37" i="1"/>
  <c r="AP5" i="4"/>
  <c r="D4" i="23" s="1"/>
  <c r="H4" i="23" s="1"/>
  <c r="AP29" i="7"/>
  <c r="AP30" i="7" s="1"/>
  <c r="AT51" i="3"/>
  <c r="AT6" i="9"/>
  <c r="AT14" i="9" s="1"/>
  <c r="AT40" i="1"/>
  <c r="AT36" i="1"/>
  <c r="AT37" i="1"/>
  <c r="AT5" i="4"/>
  <c r="AT29" i="7"/>
  <c r="AX51" i="3"/>
  <c r="AX6" i="9"/>
  <c r="AX14" i="9" s="1"/>
  <c r="AX40" i="1"/>
  <c r="AX36" i="1"/>
  <c r="AX37" i="1"/>
  <c r="AX5" i="4"/>
  <c r="AX29" i="7"/>
  <c r="AP322" i="9"/>
  <c r="AP323" i="9"/>
  <c r="AR68" i="4"/>
  <c r="AV79" i="4" s="1"/>
  <c r="AR78" i="4"/>
  <c r="AR87" i="4"/>
  <c r="AU322" i="9"/>
  <c r="AU323" i="9"/>
  <c r="M62" i="3"/>
  <c r="AR11" i="2"/>
  <c r="M11" i="2" s="1"/>
  <c r="AN322" i="9"/>
  <c r="AN323" i="9"/>
  <c r="AV322" i="9"/>
  <c r="AV323" i="9"/>
  <c r="AO322" i="9"/>
  <c r="AO323" i="9"/>
  <c r="AW322" i="9"/>
  <c r="AW323" i="9"/>
  <c r="M277" i="1"/>
  <c r="AQ87" i="4"/>
  <c r="AQ68" i="4"/>
  <c r="AQ78" i="4"/>
  <c r="AU87" i="4"/>
  <c r="AU68" i="4"/>
  <c r="AV88" i="4" s="1"/>
  <c r="AU78" i="4"/>
  <c r="AY87" i="4"/>
  <c r="AY68" i="4"/>
  <c r="AY78" i="4"/>
  <c r="AV78" i="4"/>
  <c r="AS87" i="4"/>
  <c r="AS68" i="4"/>
  <c r="AS78" i="4"/>
  <c r="AW87" i="4"/>
  <c r="AW68" i="4"/>
  <c r="AW78" i="4"/>
  <c r="N10" i="9"/>
  <c r="N319" i="9"/>
  <c r="L62" i="3"/>
  <c r="L11" i="2"/>
  <c r="AN6" i="9"/>
  <c r="AN14" i="9" s="1"/>
  <c r="L35" i="1"/>
  <c r="AN29" i="7"/>
  <c r="AN30" i="7" s="1"/>
  <c r="AQ51" i="3"/>
  <c r="AQ6" i="9"/>
  <c r="AQ14" i="9" s="1"/>
  <c r="AQ15" i="9" s="1"/>
  <c r="AQ5" i="4"/>
  <c r="AQ40" i="1"/>
  <c r="AQ36" i="1"/>
  <c r="AQ37" i="1"/>
  <c r="AQ29" i="7"/>
  <c r="AQ30" i="7" s="1"/>
  <c r="AU51" i="3"/>
  <c r="AU6" i="9"/>
  <c r="AU14" i="9" s="1"/>
  <c r="AU5" i="4"/>
  <c r="AU40" i="1"/>
  <c r="AU36" i="1"/>
  <c r="AU37" i="1"/>
  <c r="AU29" i="7"/>
  <c r="AY51" i="3"/>
  <c r="AY6" i="9"/>
  <c r="AY14" i="9" s="1"/>
  <c r="AY5" i="4"/>
  <c r="AY40" i="1"/>
  <c r="AY36" i="1"/>
  <c r="AY37" i="1"/>
  <c r="AY29" i="7"/>
  <c r="AO6" i="9"/>
  <c r="AO14" i="9" s="1"/>
  <c r="AO29" i="7"/>
  <c r="AO30" i="7" s="1"/>
  <c r="AS51" i="3"/>
  <c r="AS6" i="9"/>
  <c r="AS14" i="9" s="1"/>
  <c r="AS40" i="1"/>
  <c r="AS36" i="1"/>
  <c r="AS37" i="1"/>
  <c r="AS5" i="4"/>
  <c r="AS29" i="7"/>
  <c r="AW51" i="3"/>
  <c r="AW6" i="9"/>
  <c r="AW14" i="9" s="1"/>
  <c r="AW40" i="1"/>
  <c r="AW36" i="1"/>
  <c r="AW37" i="1"/>
  <c r="AW5" i="4"/>
  <c r="AW29" i="7"/>
  <c r="AQ46" i="19" l="1"/>
  <c r="AW17" i="9"/>
  <c r="AU17" i="9"/>
  <c r="AS18" i="9"/>
  <c r="AY18" i="9"/>
  <c r="AT17" i="9"/>
  <c r="AU18" i="9"/>
  <c r="AQ18" i="9"/>
  <c r="AX18" i="9"/>
  <c r="AS17" i="9"/>
  <c r="AW18" i="9"/>
  <c r="AT18" i="9"/>
  <c r="AQ17" i="9"/>
  <c r="AQ21" i="9"/>
  <c r="AX17" i="9"/>
  <c r="AV18" i="9"/>
  <c r="AY17" i="9"/>
  <c r="AY21" i="9"/>
  <c r="AR18" i="9"/>
  <c r="AV17" i="9"/>
  <c r="AU21" i="9"/>
  <c r="AP18" i="9"/>
  <c r="AP81" i="3"/>
  <c r="AQ19" i="9"/>
  <c r="AY19" i="9"/>
  <c r="AU19" i="9"/>
  <c r="AP15" i="9"/>
  <c r="AO15" i="9"/>
  <c r="AW15" i="9"/>
  <c r="AU15" i="9"/>
  <c r="AT15" i="9"/>
  <c r="AR15" i="9"/>
  <c r="AS15" i="9"/>
  <c r="AV15" i="9"/>
  <c r="AY15" i="9"/>
  <c r="AX15" i="9"/>
  <c r="AS81" i="3"/>
  <c r="L80" i="3"/>
  <c r="L82" i="3" s="1"/>
  <c r="AW81" i="3"/>
  <c r="AY81" i="3"/>
  <c r="AT81" i="3"/>
  <c r="M80" i="2"/>
  <c r="N80" i="2"/>
  <c r="AU81" i="3"/>
  <c r="AX81" i="3"/>
  <c r="L80" i="2"/>
  <c r="AQ81" i="3"/>
  <c r="AR81" i="3"/>
  <c r="AV70" i="4"/>
  <c r="AV81" i="3"/>
  <c r="AQ11" i="19"/>
  <c r="AS11" i="19"/>
  <c r="N68" i="4"/>
  <c r="N40" i="1"/>
  <c r="M40" i="1"/>
  <c r="L40" i="1"/>
  <c r="AV30" i="7"/>
  <c r="L33" i="3"/>
  <c r="L68" i="4"/>
  <c r="L79" i="4" s="1"/>
  <c r="AX30" i="7"/>
  <c r="AW30" i="7"/>
  <c r="AW69" i="3"/>
  <c r="AW9" i="4"/>
  <c r="AW6" i="4"/>
  <c r="AW7" i="4"/>
  <c r="AW11" i="4"/>
  <c r="AW12" i="4" s="1"/>
  <c r="AS24" i="3"/>
  <c r="AS18" i="3"/>
  <c r="AS36" i="3"/>
  <c r="AS8" i="3"/>
  <c r="AS35" i="3"/>
  <c r="AS6" i="3"/>
  <c r="AY8" i="3"/>
  <c r="N8" i="3" s="1"/>
  <c r="AY35" i="3"/>
  <c r="AY6" i="3"/>
  <c r="N6" i="3" s="1"/>
  <c r="AY24" i="3"/>
  <c r="AY18" i="3"/>
  <c r="N18" i="3" s="1"/>
  <c r="AY36" i="3"/>
  <c r="AQ69" i="3"/>
  <c r="AQ11" i="4"/>
  <c r="AQ12" i="4" s="1"/>
  <c r="AQ9" i="4"/>
  <c r="AQ6" i="4"/>
  <c r="AQ7" i="4"/>
  <c r="AW79" i="4"/>
  <c r="AW88" i="4"/>
  <c r="AW70" i="4"/>
  <c r="AQ79" i="4"/>
  <c r="AQ88" i="4"/>
  <c r="AQ70" i="4"/>
  <c r="AX6" i="3"/>
  <c r="AX24" i="3"/>
  <c r="AX18" i="3"/>
  <c r="AX36" i="3"/>
  <c r="AX8" i="3"/>
  <c r="AX35" i="3"/>
  <c r="N6" i="9"/>
  <c r="N321" i="9" s="1"/>
  <c r="N36" i="1"/>
  <c r="N29" i="7"/>
  <c r="AX79" i="4"/>
  <c r="AX88" i="4"/>
  <c r="AX70" i="4"/>
  <c r="AR30" i="7"/>
  <c r="AW24" i="3"/>
  <c r="AW18" i="3"/>
  <c r="AW36" i="3"/>
  <c r="AW8" i="3"/>
  <c r="AW35" i="3"/>
  <c r="AW6" i="3"/>
  <c r="AU30" i="7"/>
  <c r="AU69" i="3"/>
  <c r="AU11" i="4"/>
  <c r="AU12" i="4" s="1"/>
  <c r="AU9" i="4"/>
  <c r="AU6" i="4"/>
  <c r="AU7" i="4"/>
  <c r="AQ7" i="9"/>
  <c r="AQ541" i="9" s="1"/>
  <c r="AQ8" i="9"/>
  <c r="AQ422" i="9"/>
  <c r="AQ483" i="9"/>
  <c r="AQ361" i="9"/>
  <c r="L6" i="9"/>
  <c r="L36" i="1"/>
  <c r="L29" i="7"/>
  <c r="AN7" i="9"/>
  <c r="AN541" i="9" s="1"/>
  <c r="AN8" i="9"/>
  <c r="AN422" i="9"/>
  <c r="AN483" i="9"/>
  <c r="AN361" i="9"/>
  <c r="N322" i="9"/>
  <c r="AU79" i="4"/>
  <c r="AU88" i="4"/>
  <c r="AU70" i="4"/>
  <c r="AT30" i="7"/>
  <c r="AP69" i="3"/>
  <c r="AP9" i="4"/>
  <c r="AP6" i="4"/>
  <c r="D5" i="23" s="1"/>
  <c r="H5" i="23" s="1"/>
  <c r="AP7" i="4"/>
  <c r="AP11" i="4"/>
  <c r="AP12" i="4" s="1"/>
  <c r="AP7" i="9"/>
  <c r="AP541" i="9" s="1"/>
  <c r="AP8" i="9"/>
  <c r="AP422" i="9"/>
  <c r="AP483" i="9"/>
  <c r="AP361" i="9"/>
  <c r="AV69" i="3"/>
  <c r="N5" i="4"/>
  <c r="AV6" i="4"/>
  <c r="AV7" i="4"/>
  <c r="AV11" i="4"/>
  <c r="AV9" i="4"/>
  <c r="AV7" i="9"/>
  <c r="AV541" i="9" s="1"/>
  <c r="AV8" i="9"/>
  <c r="AV422" i="9"/>
  <c r="AV483" i="9"/>
  <c r="AV361" i="9"/>
  <c r="AW7" i="9"/>
  <c r="AW541" i="9" s="1"/>
  <c r="AW8" i="9"/>
  <c r="AW361" i="9"/>
  <c r="AW422" i="9"/>
  <c r="AW483" i="9"/>
  <c r="AS30" i="7"/>
  <c r="AO7" i="9"/>
  <c r="AO541" i="9" s="1"/>
  <c r="AO8" i="9"/>
  <c r="AO361" i="9"/>
  <c r="AO422" i="9"/>
  <c r="AO483" i="9"/>
  <c r="AY30" i="7"/>
  <c r="AY69" i="3"/>
  <c r="AY11" i="4"/>
  <c r="AY12" i="4" s="1"/>
  <c r="AY9" i="4"/>
  <c r="AY6" i="4"/>
  <c r="AY7" i="4"/>
  <c r="AU7" i="9"/>
  <c r="AU541" i="9" s="1"/>
  <c r="AU8" i="9"/>
  <c r="AU422" i="9"/>
  <c r="AU483" i="9"/>
  <c r="AU361" i="9"/>
  <c r="AQ8" i="3"/>
  <c r="AQ35" i="3"/>
  <c r="AQ6" i="3"/>
  <c r="AQ24" i="3"/>
  <c r="AQ18" i="3"/>
  <c r="AQ36" i="3"/>
  <c r="L5" i="4"/>
  <c r="E4" i="23" s="1"/>
  <c r="I4" i="23" s="1"/>
  <c r="L51" i="3"/>
  <c r="AY79" i="4"/>
  <c r="AY88" i="4"/>
  <c r="AY70" i="4"/>
  <c r="AR70" i="4"/>
  <c r="M68" i="4"/>
  <c r="AR79" i="4"/>
  <c r="AR88" i="4"/>
  <c r="AT69" i="3"/>
  <c r="AT9" i="4"/>
  <c r="AT6" i="4"/>
  <c r="AT7" i="4"/>
  <c r="AT11" i="4"/>
  <c r="AT12" i="4" s="1"/>
  <c r="AT7" i="9"/>
  <c r="AT541" i="9" s="1"/>
  <c r="AT8" i="9"/>
  <c r="AT422" i="9"/>
  <c r="AT483" i="9"/>
  <c r="AT361" i="9"/>
  <c r="AP6" i="3"/>
  <c r="AP24" i="3"/>
  <c r="AP18" i="3"/>
  <c r="AP36" i="3"/>
  <c r="AP8" i="3"/>
  <c r="AP35" i="3"/>
  <c r="AN70" i="4"/>
  <c r="AV18" i="3"/>
  <c r="AV36" i="3"/>
  <c r="AV8" i="3"/>
  <c r="AV35" i="3"/>
  <c r="AV6" i="3"/>
  <c r="AV24" i="3"/>
  <c r="N51" i="3"/>
  <c r="AP79" i="4"/>
  <c r="AP88" i="4"/>
  <c r="AP70" i="4"/>
  <c r="M6" i="9"/>
  <c r="M321" i="9" s="1"/>
  <c r="M36" i="1"/>
  <c r="M29" i="7"/>
  <c r="AR7" i="9"/>
  <c r="AR541" i="9" s="1"/>
  <c r="AR8" i="9"/>
  <c r="AR422" i="9"/>
  <c r="AR483" i="9"/>
  <c r="AR361" i="9"/>
  <c r="M322" i="9"/>
  <c r="AS69" i="3"/>
  <c r="AS9" i="4"/>
  <c r="AS6" i="4"/>
  <c r="AS7" i="4"/>
  <c r="AS11" i="4"/>
  <c r="AS12" i="4" s="1"/>
  <c r="AS7" i="9"/>
  <c r="AS541" i="9" s="1"/>
  <c r="AS8" i="9"/>
  <c r="AS361" i="9"/>
  <c r="AS422" i="9"/>
  <c r="AS483" i="9"/>
  <c r="AY7" i="9"/>
  <c r="AY541" i="9" s="1"/>
  <c r="AY8" i="9"/>
  <c r="AY422" i="9"/>
  <c r="AY483" i="9"/>
  <c r="AY361" i="9"/>
  <c r="AU8" i="3"/>
  <c r="AU35" i="3"/>
  <c r="AU6" i="3"/>
  <c r="AU24" i="3"/>
  <c r="AU18" i="3"/>
  <c r="AU36" i="3"/>
  <c r="AS79" i="4"/>
  <c r="AS88" i="4"/>
  <c r="AS70" i="4"/>
  <c r="AX69" i="3"/>
  <c r="AX9" i="4"/>
  <c r="AX6" i="4"/>
  <c r="AX7" i="4"/>
  <c r="AX11" i="4"/>
  <c r="AX12" i="4" s="1"/>
  <c r="AX7" i="9"/>
  <c r="AX541" i="9" s="1"/>
  <c r="AX8" i="9"/>
  <c r="AX422" i="9"/>
  <c r="AX483" i="9"/>
  <c r="AX361" i="9"/>
  <c r="AT6" i="3"/>
  <c r="AT24" i="3"/>
  <c r="AT18" i="3"/>
  <c r="AT36" i="3"/>
  <c r="AT8" i="3"/>
  <c r="AT35" i="3"/>
  <c r="AT79" i="4"/>
  <c r="AT88" i="4"/>
  <c r="AT70" i="4"/>
  <c r="AR69" i="3"/>
  <c r="AR6" i="4"/>
  <c r="AR7" i="4"/>
  <c r="AR11" i="4"/>
  <c r="M5" i="4"/>
  <c r="AR9" i="4"/>
  <c r="AR18" i="3"/>
  <c r="AR36" i="3"/>
  <c r="AR8" i="3"/>
  <c r="AR35" i="3"/>
  <c r="AR6" i="3"/>
  <c r="M51" i="3"/>
  <c r="AR24" i="3"/>
  <c r="M33" i="3"/>
  <c r="AV33" i="3"/>
  <c r="AW33" i="3" s="1"/>
  <c r="AX33" i="3" s="1"/>
  <c r="AY33" i="3" s="1"/>
  <c r="N33" i="3" s="1"/>
  <c r="AO58" i="2" l="1"/>
  <c r="AO59" i="2" s="1"/>
  <c r="AQ16" i="19"/>
  <c r="AY22" i="9"/>
  <c r="AU22" i="9"/>
  <c r="AU20" i="9"/>
  <c r="L81" i="3"/>
  <c r="AY20" i="9"/>
  <c r="AN58" i="2"/>
  <c r="AN59" i="2" s="1"/>
  <c r="AN23" i="19" s="1"/>
  <c r="AT17" i="2"/>
  <c r="AT27" i="2"/>
  <c r="AX21" i="2"/>
  <c r="AX22" i="2"/>
  <c r="AQ15" i="19"/>
  <c r="AQ14" i="19"/>
  <c r="AS12" i="19"/>
  <c r="AQ12" i="19"/>
  <c r="AS13" i="19"/>
  <c r="AQ13" i="19"/>
  <c r="AR17" i="2"/>
  <c r="AS20" i="2"/>
  <c r="AS22" i="2"/>
  <c r="AY20" i="2"/>
  <c r="AP22" i="2"/>
  <c r="AS21" i="2"/>
  <c r="AR26" i="2"/>
  <c r="AQ21" i="2"/>
  <c r="AW20" i="2"/>
  <c r="AW22" i="2"/>
  <c r="AU22" i="2"/>
  <c r="M79" i="4"/>
  <c r="AR27" i="2"/>
  <c r="AT26" i="2"/>
  <c r="AP21" i="2"/>
  <c r="AP20" i="2"/>
  <c r="AY21" i="2"/>
  <c r="AW21" i="2"/>
  <c r="AQ20" i="2"/>
  <c r="AU20" i="2"/>
  <c r="AV27" i="2"/>
  <c r="AP26" i="2"/>
  <c r="AX52" i="3"/>
  <c r="AX22" i="3" s="1"/>
  <c r="AX10" i="4"/>
  <c r="AX75" i="3"/>
  <c r="C101" i="3"/>
  <c r="AX58" i="2"/>
  <c r="AX33" i="2"/>
  <c r="AX35" i="2" s="1"/>
  <c r="AX260" i="9"/>
  <c r="AX261" i="9" s="1"/>
  <c r="M36" i="3"/>
  <c r="M60" i="3" s="1"/>
  <c r="AU26" i="2"/>
  <c r="M35" i="3"/>
  <c r="M59" i="3" s="1"/>
  <c r="AU17" i="2"/>
  <c r="AV26" i="2"/>
  <c r="L36" i="3"/>
  <c r="L60" i="3" s="1"/>
  <c r="AQ26" i="2"/>
  <c r="L35" i="3"/>
  <c r="L59" i="3" s="1"/>
  <c r="AQ17" i="2"/>
  <c r="N79" i="4"/>
  <c r="L7" i="9"/>
  <c r="L541" i="9" s="1"/>
  <c r="L11" i="9"/>
  <c r="L361" i="9"/>
  <c r="L422" i="9"/>
  <c r="L321" i="9"/>
  <c r="AU52" i="3"/>
  <c r="AU22" i="3" s="1"/>
  <c r="AU10" i="4"/>
  <c r="AW17" i="2"/>
  <c r="AW27" i="2"/>
  <c r="AX17" i="2"/>
  <c r="AX27" i="2"/>
  <c r="N36" i="3"/>
  <c r="N60" i="3" s="1"/>
  <c r="AY26" i="2"/>
  <c r="N35" i="3"/>
  <c r="N59" i="3" s="1"/>
  <c r="AY17" i="2"/>
  <c r="AT21" i="2"/>
  <c r="AW52" i="3"/>
  <c r="AW22" i="3" s="1"/>
  <c r="AW10" i="4"/>
  <c r="AR12" i="4"/>
  <c r="M11" i="4"/>
  <c r="M12" i="4" s="1"/>
  <c r="M117" i="4" s="1"/>
  <c r="M18" i="3"/>
  <c r="M56" i="3" s="1"/>
  <c r="AV22" i="2"/>
  <c r="M8" i="3"/>
  <c r="M55" i="3" s="1"/>
  <c r="AV21" i="2"/>
  <c r="AS75" i="3"/>
  <c r="C96" i="3"/>
  <c r="AS33" i="2"/>
  <c r="AS35" i="2" s="1"/>
  <c r="AS58" i="2"/>
  <c r="AS260" i="9"/>
  <c r="AS261" i="9" s="1"/>
  <c r="AT52" i="3"/>
  <c r="AT22" i="3" s="1"/>
  <c r="AT10" i="4"/>
  <c r="AT75" i="3"/>
  <c r="C97" i="3"/>
  <c r="AT58" i="2"/>
  <c r="AT33" i="2"/>
  <c r="AT35" i="2" s="1"/>
  <c r="AT260" i="9"/>
  <c r="AT261" i="9" s="1"/>
  <c r="L6" i="4"/>
  <c r="E5" i="23" s="1"/>
  <c r="I5" i="23" s="1"/>
  <c r="L18" i="3"/>
  <c r="L56" i="3" s="1"/>
  <c r="AR22" i="2"/>
  <c r="L8" i="3"/>
  <c r="L55" i="3" s="1"/>
  <c r="AR21" i="2"/>
  <c r="AY52" i="3"/>
  <c r="AY22" i="3" s="1"/>
  <c r="AY10" i="4"/>
  <c r="AO64" i="2"/>
  <c r="AO65" i="2" s="1"/>
  <c r="AO260" i="9"/>
  <c r="AO261" i="9" s="1"/>
  <c r="AV52" i="3"/>
  <c r="N9" i="4"/>
  <c r="N10" i="4" s="1"/>
  <c r="N112" i="4" s="1"/>
  <c r="AV10" i="4"/>
  <c r="N69" i="3"/>
  <c r="AV75" i="3"/>
  <c r="C99" i="3"/>
  <c r="AV33" i="2"/>
  <c r="AV58" i="2"/>
  <c r="AV260" i="9"/>
  <c r="AV261" i="9" s="1"/>
  <c r="AU75" i="3"/>
  <c r="C98" i="3"/>
  <c r="AU58" i="2"/>
  <c r="AU33" i="2"/>
  <c r="AU35" i="2" s="1"/>
  <c r="AU260" i="9"/>
  <c r="AU261" i="9" s="1"/>
  <c r="N56" i="3"/>
  <c r="N55" i="3"/>
  <c r="AS26" i="2"/>
  <c r="AR52" i="3"/>
  <c r="M9" i="4"/>
  <c r="M10" i="4" s="1"/>
  <c r="M112" i="4" s="1"/>
  <c r="AR10" i="4"/>
  <c r="C95" i="3"/>
  <c r="M69" i="3"/>
  <c r="AR75" i="3"/>
  <c r="AR33" i="2"/>
  <c r="AR58" i="2"/>
  <c r="AR260" i="9"/>
  <c r="AR261" i="9" s="1"/>
  <c r="M24" i="3"/>
  <c r="M58" i="3" s="1"/>
  <c r="AU27" i="2"/>
  <c r="AS52" i="3"/>
  <c r="AS22" i="3" s="1"/>
  <c r="AS10" i="4"/>
  <c r="AV17" i="2"/>
  <c r="AQ22" i="2"/>
  <c r="L11" i="4"/>
  <c r="L12" i="4" s="1"/>
  <c r="L117" i="4" s="1"/>
  <c r="L24" i="3"/>
  <c r="L58" i="3" s="1"/>
  <c r="AQ27" i="2"/>
  <c r="AY75" i="3"/>
  <c r="C102" i="3"/>
  <c r="AY102" i="3" s="1"/>
  <c r="N102" i="3" s="1"/>
  <c r="AY58" i="2"/>
  <c r="AY33" i="2"/>
  <c r="AY35" i="2" s="1"/>
  <c r="AY260" i="9"/>
  <c r="AY261" i="9" s="1"/>
  <c r="N6" i="4"/>
  <c r="AP52" i="3"/>
  <c r="AP22" i="3" s="1"/>
  <c r="AP10" i="4"/>
  <c r="AP75" i="3"/>
  <c r="C93" i="3"/>
  <c r="AP58" i="2"/>
  <c r="AP33" i="2"/>
  <c r="AP35" i="2" s="1"/>
  <c r="AP260" i="9"/>
  <c r="AP261" i="9" s="1"/>
  <c r="AW26" i="2"/>
  <c r="AX26" i="2"/>
  <c r="AQ52" i="3"/>
  <c r="AQ22" i="3" s="1"/>
  <c r="AQ10" i="4"/>
  <c r="N24" i="3"/>
  <c r="N58" i="3" s="1"/>
  <c r="AY27" i="2"/>
  <c r="AT20" i="2"/>
  <c r="AT22" i="2"/>
  <c r="M6" i="4"/>
  <c r="AU21" i="2"/>
  <c r="M6" i="3"/>
  <c r="M54" i="3" s="1"/>
  <c r="AV20" i="2"/>
  <c r="M7" i="9"/>
  <c r="M541" i="9" s="1"/>
  <c r="M11" i="9"/>
  <c r="M422" i="9"/>
  <c r="M361" i="9"/>
  <c r="AP17" i="2"/>
  <c r="AP27" i="2"/>
  <c r="L9" i="4"/>
  <c r="L10" i="4" s="1"/>
  <c r="L112" i="4" s="1"/>
  <c r="L69" i="3"/>
  <c r="AN64" i="2"/>
  <c r="AN65" i="2" s="1"/>
  <c r="AN260" i="9"/>
  <c r="AN261" i="9" s="1"/>
  <c r="L6" i="3"/>
  <c r="L54" i="3" s="1"/>
  <c r="AR20" i="2"/>
  <c r="N11" i="4"/>
  <c r="N12" i="4" s="1"/>
  <c r="N117" i="4" s="1"/>
  <c r="AV12" i="4"/>
  <c r="AX20" i="2"/>
  <c r="N11" i="9"/>
  <c r="N7" i="9"/>
  <c r="N541" i="9" s="1"/>
  <c r="N422" i="9"/>
  <c r="N361" i="9"/>
  <c r="AY22" i="2"/>
  <c r="C94" i="3"/>
  <c r="AQ75" i="3"/>
  <c r="AQ58" i="2"/>
  <c r="AQ33" i="2"/>
  <c r="AQ35" i="2" s="1"/>
  <c r="AQ260" i="9"/>
  <c r="AQ261" i="9" s="1"/>
  <c r="N54" i="3"/>
  <c r="AS17" i="2"/>
  <c r="AS27" i="2"/>
  <c r="AW75" i="3"/>
  <c r="C100" i="3"/>
  <c r="AW33" i="2"/>
  <c r="AW35" i="2" s="1"/>
  <c r="AW58" i="2"/>
  <c r="AW260" i="9"/>
  <c r="AW261" i="9" s="1"/>
  <c r="AQ21" i="19" l="1"/>
  <c r="AO61" i="2"/>
  <c r="AO60" i="2"/>
  <c r="AO67" i="2"/>
  <c r="AO66" i="2"/>
  <c r="AO68" i="2"/>
  <c r="AS21" i="19"/>
  <c r="AS22" i="19"/>
  <c r="AN68" i="2"/>
  <c r="AN67" i="2"/>
  <c r="AN66" i="2"/>
  <c r="AN61" i="2"/>
  <c r="AN60" i="2"/>
  <c r="M17" i="2"/>
  <c r="M58" i="2"/>
  <c r="M26" i="2"/>
  <c r="N21" i="2"/>
  <c r="N17" i="2"/>
  <c r="M22" i="2"/>
  <c r="N22" i="2"/>
  <c r="N27" i="2"/>
  <c r="M27" i="2"/>
  <c r="M21" i="2"/>
  <c r="N58" i="2"/>
  <c r="N26" i="2"/>
  <c r="L58" i="2"/>
  <c r="L17" i="2"/>
  <c r="L21" i="2"/>
  <c r="L27" i="2"/>
  <c r="L26" i="2"/>
  <c r="L22" i="2"/>
  <c r="L70" i="3"/>
  <c r="L260" i="9"/>
  <c r="L261" i="9" s="1"/>
  <c r="AO38" i="7"/>
  <c r="AO39" i="7" s="1"/>
  <c r="L52" i="3"/>
  <c r="AP29" i="3"/>
  <c r="AP23" i="2"/>
  <c r="AP28" i="2" s="1"/>
  <c r="AP38" i="7" s="1"/>
  <c r="AP39" i="7" s="1"/>
  <c r="M75" i="3"/>
  <c r="AR76" i="3"/>
  <c r="AR64" i="2"/>
  <c r="AR35" i="7"/>
  <c r="AU76" i="3"/>
  <c r="AU64" i="2"/>
  <c r="AU35" i="7"/>
  <c r="N33" i="2"/>
  <c r="AV35" i="2"/>
  <c r="N35" i="2" s="1"/>
  <c r="L20" i="2"/>
  <c r="AW29" i="3"/>
  <c r="AX101" i="3"/>
  <c r="AW76" i="3"/>
  <c r="AW64" i="2"/>
  <c r="AW35" i="7"/>
  <c r="AQ76" i="3"/>
  <c r="AQ64" i="2"/>
  <c r="AQ35" i="7"/>
  <c r="L33" i="2"/>
  <c r="L35" i="2"/>
  <c r="N20" i="2"/>
  <c r="L22" i="3"/>
  <c r="AQ29" i="3"/>
  <c r="AQ23" i="2"/>
  <c r="AQ28" i="2" s="1"/>
  <c r="AQ38" i="7" s="1"/>
  <c r="AQ39" i="7" s="1"/>
  <c r="AP93" i="3"/>
  <c r="AY76" i="3"/>
  <c r="AY64" i="2"/>
  <c r="AY35" i="7"/>
  <c r="AS29" i="3"/>
  <c r="M70" i="3"/>
  <c r="M260" i="9"/>
  <c r="M261" i="9" s="1"/>
  <c r="AR22" i="3"/>
  <c r="M52" i="3"/>
  <c r="AV99" i="3"/>
  <c r="AO35" i="7"/>
  <c r="AY29" i="3"/>
  <c r="N22" i="3"/>
  <c r="AY23" i="2"/>
  <c r="AY28" i="2" s="1"/>
  <c r="AY38" i="7" s="1"/>
  <c r="AY39" i="7" s="1"/>
  <c r="AT29" i="3"/>
  <c r="AT23" i="2"/>
  <c r="AT28" i="2" s="1"/>
  <c r="AT38" i="7" s="1"/>
  <c r="AT39" i="7" s="1"/>
  <c r="AS96" i="3"/>
  <c r="AX76" i="3"/>
  <c r="AX64" i="2"/>
  <c r="AX35" i="7"/>
  <c r="AQ94" i="3"/>
  <c r="L94" i="3" s="1"/>
  <c r="AP76" i="3"/>
  <c r="AP64" i="2"/>
  <c r="AP35" i="7"/>
  <c r="AR95" i="3"/>
  <c r="N75" i="3"/>
  <c r="N35" i="7" s="1"/>
  <c r="AV76" i="3"/>
  <c r="AV64" i="2"/>
  <c r="AV35" i="7"/>
  <c r="AV22" i="3"/>
  <c r="AW23" i="2" s="1"/>
  <c r="AW28" i="2" s="1"/>
  <c r="AW38" i="7" s="1"/>
  <c r="AW39" i="7" s="1"/>
  <c r="N52" i="3"/>
  <c r="AT97" i="3"/>
  <c r="AS76" i="3"/>
  <c r="AS64" i="2"/>
  <c r="AS35" i="7"/>
  <c r="AU29" i="3"/>
  <c r="M22" i="3"/>
  <c r="AU23" i="2"/>
  <c r="AU28" i="2" s="1"/>
  <c r="AU38" i="7" s="1"/>
  <c r="AU39" i="7" s="1"/>
  <c r="AW100" i="3"/>
  <c r="M20" i="2"/>
  <c r="L75" i="3"/>
  <c r="AN35" i="7"/>
  <c r="M33" i="2"/>
  <c r="AR35" i="2"/>
  <c r="M35" i="2" s="1"/>
  <c r="AU98" i="3"/>
  <c r="M98" i="3" s="1"/>
  <c r="N70" i="3"/>
  <c r="N260" i="9"/>
  <c r="N261" i="9" s="1"/>
  <c r="AT76" i="3"/>
  <c r="AT64" i="2"/>
  <c r="AT35" i="7"/>
  <c r="AX29" i="3"/>
  <c r="AX23" i="2"/>
  <c r="AX28" i="2" s="1"/>
  <c r="AX38" i="7" s="1"/>
  <c r="AX39" i="7" s="1"/>
  <c r="AQ22" i="19" l="1"/>
  <c r="L57" i="3"/>
  <c r="M57" i="3"/>
  <c r="AX100" i="3"/>
  <c r="AU97" i="3"/>
  <c r="AV97" i="3" s="1"/>
  <c r="L76" i="3"/>
  <c r="L64" i="2"/>
  <c r="L35" i="7"/>
  <c r="L37" i="7" s="1"/>
  <c r="M29" i="3"/>
  <c r="AV37" i="7"/>
  <c r="AV36" i="7"/>
  <c r="N29" i="3"/>
  <c r="AP86" i="3"/>
  <c r="M76" i="3"/>
  <c r="M64" i="2"/>
  <c r="M35" i="7"/>
  <c r="M37" i="7" s="1"/>
  <c r="AS36" i="7"/>
  <c r="AS37" i="7"/>
  <c r="N76" i="3"/>
  <c r="N64" i="2"/>
  <c r="N37" i="7"/>
  <c r="AO36" i="7"/>
  <c r="AO37" i="7"/>
  <c r="AY37" i="7"/>
  <c r="AY36" i="7"/>
  <c r="L29" i="3"/>
  <c r="AQ37" i="7"/>
  <c r="AQ36" i="7"/>
  <c r="AQ93" i="3"/>
  <c r="L93" i="3" s="1"/>
  <c r="AW36" i="7"/>
  <c r="AW37" i="7"/>
  <c r="AU37" i="7"/>
  <c r="AU36" i="7"/>
  <c r="AT37" i="7"/>
  <c r="AT36" i="7"/>
  <c r="AV98" i="3"/>
  <c r="AW98" i="3" s="1"/>
  <c r="AN37" i="7"/>
  <c r="AN36" i="7"/>
  <c r="AV29" i="3"/>
  <c r="AV23" i="2"/>
  <c r="AS95" i="3"/>
  <c r="AT95" i="3" s="1"/>
  <c r="AU95" i="3" s="1"/>
  <c r="AP37" i="7"/>
  <c r="AP36" i="7"/>
  <c r="AR94" i="3"/>
  <c r="AS94" i="3" s="1"/>
  <c r="AX37" i="7"/>
  <c r="AX36" i="7"/>
  <c r="AT96" i="3"/>
  <c r="N57" i="3"/>
  <c r="AW99" i="3"/>
  <c r="AR29" i="3"/>
  <c r="AR23" i="2"/>
  <c r="AS23" i="2"/>
  <c r="AS28" i="2" s="1"/>
  <c r="AS38" i="7" s="1"/>
  <c r="AS39" i="7" s="1"/>
  <c r="AY101" i="3"/>
  <c r="N101" i="3" s="1"/>
  <c r="AR37" i="7"/>
  <c r="AR36" i="7"/>
  <c r="AW97" i="3" l="1"/>
  <c r="AX97" i="3" s="1"/>
  <c r="N23" i="2"/>
  <c r="AV28" i="2"/>
  <c r="M97" i="3"/>
  <c r="AX99" i="3"/>
  <c r="AU96" i="3"/>
  <c r="AV96" i="3" s="1"/>
  <c r="M23" i="2"/>
  <c r="AR28" i="2"/>
  <c r="AY100" i="3"/>
  <c r="N100" i="3" s="1"/>
  <c r="M95" i="3"/>
  <c r="AV95" i="3"/>
  <c r="AX98" i="3"/>
  <c r="AT94" i="3"/>
  <c r="AU94" i="3" s="1"/>
  <c r="M94" i="3" s="1"/>
  <c r="L23" i="2"/>
  <c r="AR93" i="3"/>
  <c r="AQ86" i="3"/>
  <c r="AP91" i="3" l="1"/>
  <c r="AQ91" i="3" s="1"/>
  <c r="M96" i="3"/>
  <c r="AW96" i="3"/>
  <c r="AX96" i="3" s="1"/>
  <c r="AY98" i="3"/>
  <c r="N98" i="3" s="1"/>
  <c r="N28" i="2"/>
  <c r="N38" i="7" s="1"/>
  <c r="N39" i="7" s="1"/>
  <c r="AV38" i="7"/>
  <c r="AV39" i="7" s="1"/>
  <c r="M28" i="2"/>
  <c r="M38" i="7" s="1"/>
  <c r="M39" i="7" s="1"/>
  <c r="AR38" i="7"/>
  <c r="AR39" i="7" s="1"/>
  <c r="AY97" i="3"/>
  <c r="N97" i="3" s="1"/>
  <c r="AY99" i="3"/>
  <c r="N99" i="3" s="1"/>
  <c r="AW95" i="3"/>
  <c r="AV94" i="3"/>
  <c r="AW94" i="3" s="1"/>
  <c r="AX94" i="3" s="1"/>
  <c r="AY94" i="3" s="1"/>
  <c r="N94" i="3" s="1"/>
  <c r="AS93" i="3"/>
  <c r="AT93" i="3" s="1"/>
  <c r="AN38" i="7"/>
  <c r="AN39" i="7" s="1"/>
  <c r="L28" i="2"/>
  <c r="L38" i="7" s="1"/>
  <c r="L39" i="7" s="1"/>
  <c r="AR86" i="3"/>
  <c r="L86" i="3"/>
  <c r="AR91" i="3" l="1"/>
  <c r="AY96" i="3"/>
  <c r="N96" i="3" s="1"/>
  <c r="AX95" i="3"/>
  <c r="AY95" i="3" s="1"/>
  <c r="N95" i="3" s="1"/>
  <c r="AU93" i="3"/>
  <c r="AV93" i="3" s="1"/>
  <c r="AS86" i="3"/>
  <c r="AS91" i="3" l="1"/>
  <c r="AT91" i="3" s="1"/>
  <c r="AP105" i="3"/>
  <c r="AP16" i="4" s="1"/>
  <c r="AW93" i="3"/>
  <c r="AX93" i="3" s="1"/>
  <c r="M93" i="3"/>
  <c r="AT86" i="3"/>
  <c r="AU91" i="3" l="1"/>
  <c r="AV91" i="3"/>
  <c r="AW91" i="3" s="1"/>
  <c r="AP10" i="2"/>
  <c r="AP73" i="2"/>
  <c r="L91" i="3"/>
  <c r="AS105" i="3"/>
  <c r="AS16" i="4" s="1"/>
  <c r="AR105" i="3"/>
  <c r="AR16" i="4" s="1"/>
  <c r="AR73" i="2" s="1"/>
  <c r="AQ105" i="3"/>
  <c r="AQ16" i="4" s="1"/>
  <c r="AP19" i="4"/>
  <c r="AP45" i="4"/>
  <c r="AY93" i="3"/>
  <c r="N93" i="3" s="1"/>
  <c r="AU86" i="3"/>
  <c r="AX91" i="3" l="1"/>
  <c r="AY91" i="3" s="1"/>
  <c r="AS10" i="2"/>
  <c r="AS73" i="2"/>
  <c r="AQ19" i="4"/>
  <c r="AQ73" i="2"/>
  <c r="L73" i="2" s="1"/>
  <c r="AS19" i="4"/>
  <c r="AS45" i="4"/>
  <c r="L105" i="3"/>
  <c r="AQ45" i="4"/>
  <c r="AQ10" i="2"/>
  <c r="L16" i="4"/>
  <c r="AP87" i="3"/>
  <c r="AR45" i="4"/>
  <c r="AR10" i="2"/>
  <c r="AR19" i="4"/>
  <c r="AV86" i="3"/>
  <c r="M86" i="3"/>
  <c r="L19" i="4" l="1"/>
  <c r="AT105" i="3"/>
  <c r="AT16" i="4" s="1"/>
  <c r="AT73" i="2" s="1"/>
  <c r="L10" i="2"/>
  <c r="L45" i="4"/>
  <c r="AV105" i="3"/>
  <c r="AV16" i="4" s="1"/>
  <c r="AV73" i="2" s="1"/>
  <c r="AU105" i="3"/>
  <c r="AP88" i="3"/>
  <c r="AP13" i="3" s="1"/>
  <c r="AQ87" i="3"/>
  <c r="M91" i="3"/>
  <c r="AW86" i="3"/>
  <c r="AT10" i="2" l="1"/>
  <c r="AT19" i="4"/>
  <c r="AT45" i="4"/>
  <c r="AU16" i="4"/>
  <c r="AU73" i="2" s="1"/>
  <c r="M73" i="2" s="1"/>
  <c r="M105" i="3"/>
  <c r="L87" i="3"/>
  <c r="AR87" i="3"/>
  <c r="AQ88" i="3"/>
  <c r="AW105" i="3"/>
  <c r="AW16" i="4" s="1"/>
  <c r="AV45" i="4"/>
  <c r="AV19" i="4"/>
  <c r="AV10" i="2"/>
  <c r="AX86" i="3"/>
  <c r="AW45" i="4" l="1"/>
  <c r="AW73" i="2"/>
  <c r="AW10" i="2"/>
  <c r="AS87" i="3"/>
  <c r="AR88" i="3"/>
  <c r="AR13" i="3" s="1"/>
  <c r="AW19" i="4"/>
  <c r="L88" i="3"/>
  <c r="AQ13" i="3"/>
  <c r="L13" i="3" s="1"/>
  <c r="AU19" i="4"/>
  <c r="M19" i="4" s="1"/>
  <c r="AU10" i="2"/>
  <c r="M10" i="2" s="1"/>
  <c r="M16" i="4"/>
  <c r="AU45" i="4"/>
  <c r="M45" i="4" s="1"/>
  <c r="AY86" i="3"/>
  <c r="AY105" i="3" l="1"/>
  <c r="AY16" i="4" s="1"/>
  <c r="AY73" i="2" s="1"/>
  <c r="AX105" i="3"/>
  <c r="AT87" i="3"/>
  <c r="AS88" i="3"/>
  <c r="AS13" i="3" s="1"/>
  <c r="N86" i="3"/>
  <c r="AU87" i="3" l="1"/>
  <c r="AT88" i="3"/>
  <c r="AT13" i="3" s="1"/>
  <c r="AY45" i="4"/>
  <c r="AY19" i="4"/>
  <c r="AY10" i="2"/>
  <c r="N91" i="3"/>
  <c r="AX16" i="4"/>
  <c r="AX73" i="2" s="1"/>
  <c r="N73" i="2" s="1"/>
  <c r="N105" i="3"/>
  <c r="AU88" i="3" l="1"/>
  <c r="M87" i="3"/>
  <c r="AV87" i="3"/>
  <c r="AX10" i="2"/>
  <c r="N10" i="2" s="1"/>
  <c r="AX45" i="4"/>
  <c r="N45" i="4" s="1"/>
  <c r="AX19" i="4"/>
  <c r="N19" i="4" s="1"/>
  <c r="N16" i="4"/>
  <c r="M88" i="3" l="1"/>
  <c r="AU13" i="3"/>
  <c r="M13" i="3" s="1"/>
  <c r="AV88" i="3"/>
  <c r="AV13" i="3" s="1"/>
  <c r="AW87" i="3"/>
  <c r="AX87" i="3" l="1"/>
  <c r="AW88" i="3"/>
  <c r="AW13" i="3" s="1"/>
  <c r="K6" i="2"/>
  <c r="AM120" i="9"/>
  <c r="AM122" i="9" s="1"/>
  <c r="K21" i="4"/>
  <c r="K138" i="5" s="1"/>
  <c r="K23" i="4"/>
  <c r="K25" i="4"/>
  <c r="K27" i="4"/>
  <c r="K33" i="7" s="1"/>
  <c r="K30" i="4"/>
  <c r="K33" i="4"/>
  <c r="K35" i="4"/>
  <c r="K40" i="4"/>
  <c r="K42" i="4"/>
  <c r="K43" i="4"/>
  <c r="K51" i="4"/>
  <c r="K99" i="4" s="1"/>
  <c r="K137" i="4"/>
  <c r="K138" i="4"/>
  <c r="K145" i="4" s="1"/>
  <c r="K139" i="4"/>
  <c r="AM31" i="7"/>
  <c r="AM32" i="7" s="1"/>
  <c r="AY87" i="3" l="1"/>
  <c r="AX88" i="3"/>
  <c r="AX13" i="3" s="1"/>
  <c r="K28" i="4"/>
  <c r="AM40" i="7"/>
  <c r="AM44" i="7" s="1"/>
  <c r="AM48" i="7" s="1"/>
  <c r="AM121" i="9"/>
  <c r="AM123" i="9"/>
  <c r="AM34" i="7"/>
  <c r="K31" i="7"/>
  <c r="K34" i="7" s="1"/>
  <c r="K52" i="4"/>
  <c r="K68" i="2"/>
  <c r="AM179" i="9"/>
  <c r="K108" i="4"/>
  <c r="K63" i="2"/>
  <c r="K65" i="2" s="1"/>
  <c r="K120" i="9"/>
  <c r="K143" i="5"/>
  <c r="K44" i="3"/>
  <c r="K42" i="3"/>
  <c r="K53" i="3"/>
  <c r="N87" i="3" l="1"/>
  <c r="AY88" i="3"/>
  <c r="K32" i="7"/>
  <c r="AM41" i="7"/>
  <c r="K40" i="7"/>
  <c r="K48" i="7" s="1"/>
  <c r="K8" i="2"/>
  <c r="AM180" i="9"/>
  <c r="AM181" i="9"/>
  <c r="K121" i="9"/>
  <c r="K122" i="9"/>
  <c r="K179" i="9"/>
  <c r="K180" i="9" s="1"/>
  <c r="K66" i="2"/>
  <c r="AY13" i="3" l="1"/>
  <c r="N13" i="3" s="1"/>
  <c r="N88" i="3"/>
  <c r="K44" i="7"/>
  <c r="K41" i="7"/>
  <c r="K29" i="2"/>
  <c r="K57" i="2" l="1"/>
  <c r="AM158" i="9" l="1"/>
  <c r="K59" i="2"/>
  <c r="AM200" i="9"/>
  <c r="AM202" i="9" l="1"/>
  <c r="AM201" i="9"/>
  <c r="AM159" i="9"/>
  <c r="AM160" i="9"/>
  <c r="K60" i="2"/>
  <c r="K200" i="9"/>
  <c r="K201" i="9" s="1"/>
  <c r="K158" i="9"/>
  <c r="K159" i="9" s="1"/>
  <c r="K5" i="3"/>
  <c r="K140" i="5" s="1"/>
  <c r="K38" i="2"/>
  <c r="K44" i="2"/>
  <c r="K50" i="2"/>
  <c r="K53" i="2"/>
  <c r="L51" i="2" s="1"/>
  <c r="K11" i="3" l="1"/>
  <c r="K19" i="3" l="1"/>
  <c r="K31" i="3"/>
  <c r="K131" i="5" s="1"/>
  <c r="K141" i="5" s="1"/>
  <c r="K142" i="5" s="1"/>
  <c r="K144" i="5" s="1"/>
  <c r="K298" i="9" s="1"/>
  <c r="K37" i="3"/>
  <c r="K45" i="3"/>
  <c r="K47" i="3" l="1"/>
  <c r="AM39" i="5" l="1"/>
  <c r="AN39" i="5" s="1"/>
  <c r="AN40" i="5" s="1"/>
  <c r="AM40" i="5" l="1"/>
  <c r="AO39" i="5" l="1"/>
  <c r="AP39" i="5" l="1"/>
  <c r="AP40" i="5" s="1"/>
  <c r="AO40" i="5"/>
  <c r="AQ39" i="5" l="1"/>
  <c r="AR39" i="5" l="1"/>
  <c r="AR40" i="5" s="1"/>
  <c r="AQ40" i="5"/>
  <c r="AS39" i="5" l="1"/>
  <c r="AT39" i="5" l="1"/>
  <c r="AT40" i="5" s="1"/>
  <c r="AS40" i="5"/>
  <c r="AU39" i="5" l="1"/>
  <c r="AV39" i="5" l="1"/>
  <c r="AV40" i="5" s="1"/>
  <c r="AU40" i="5"/>
  <c r="AW39" i="5" l="1"/>
  <c r="AX39" i="5" l="1"/>
  <c r="AX40" i="5" s="1"/>
  <c r="AW40" i="5"/>
  <c r="AY39" i="5" l="1"/>
  <c r="AY40" i="5" s="1"/>
  <c r="AM54" i="5"/>
  <c r="AM50" i="5" l="1"/>
  <c r="AN51" i="5"/>
  <c r="AN120" i="9" l="1"/>
  <c r="AN121" i="9" s="1"/>
  <c r="AN31" i="7"/>
  <c r="AN32" i="7" s="1"/>
  <c r="AN179" i="9" l="1"/>
  <c r="AN180" i="9" s="1"/>
  <c r="AN123" i="9"/>
  <c r="AN40" i="7"/>
  <c r="AN44" i="7" s="1"/>
  <c r="AN48" i="7" s="1"/>
  <c r="AN34" i="7"/>
  <c r="AN122" i="9"/>
  <c r="AN158" i="9"/>
  <c r="AN160" i="9" s="1"/>
  <c r="AN200" i="9"/>
  <c r="AN201" i="9" s="1"/>
  <c r="AN159" i="9" l="1"/>
  <c r="AN41" i="7"/>
  <c r="AN181" i="9"/>
  <c r="AN202" i="9"/>
  <c r="K238" i="9" l="1"/>
  <c r="AO120" i="9" l="1"/>
  <c r="AO121" i="9" s="1"/>
  <c r="AO627" i="9"/>
  <c r="AO629" i="9"/>
  <c r="AP136" i="4"/>
  <c r="AQ18" i="19"/>
  <c r="AS20" i="19"/>
  <c r="AO31" i="7"/>
  <c r="AO32" i="7" s="1"/>
  <c r="AO34" i="7" l="1"/>
  <c r="AO179" i="9"/>
  <c r="AO181" i="9" s="1"/>
  <c r="AO40" i="7"/>
  <c r="AO41" i="7" s="1"/>
  <c r="AO122" i="9"/>
  <c r="AO237" i="9"/>
  <c r="AQ17" i="19"/>
  <c r="AS18" i="19"/>
  <c r="AO123" i="9"/>
  <c r="AO180" i="9" l="1"/>
  <c r="AO44" i="7"/>
  <c r="AO48" i="7" s="1"/>
  <c r="AO238" i="9"/>
  <c r="AO239" i="9"/>
  <c r="AS19" i="19"/>
  <c r="AQ19" i="19"/>
  <c r="AO158" i="9" l="1"/>
  <c r="AO200" i="9"/>
  <c r="AQ23" i="19"/>
  <c r="AO202" i="9" l="1"/>
  <c r="AO201" i="9"/>
  <c r="AO160" i="9"/>
  <c r="AO159" i="9"/>
  <c r="AP51" i="2"/>
  <c r="AO116" i="5" l="1"/>
  <c r="T10" i="11" l="1"/>
  <c r="U10" i="11"/>
  <c r="V10" i="11"/>
  <c r="W10" i="11"/>
  <c r="X10" i="11"/>
  <c r="X11" i="11" s="1"/>
  <c r="Y10" i="11"/>
  <c r="Z10" i="11"/>
  <c r="AA10" i="11"/>
  <c r="AB10" i="11"/>
  <c r="AB11" i="11" s="1"/>
  <c r="AC10" i="11"/>
  <c r="AD10" i="11"/>
  <c r="AE10" i="11"/>
  <c r="AF10" i="11"/>
  <c r="AF11" i="11" s="1"/>
  <c r="AG10" i="11"/>
  <c r="AH10" i="11"/>
  <c r="AI10" i="11"/>
  <c r="AJ10" i="11"/>
  <c r="AJ11" i="11" s="1"/>
  <c r="AK10" i="11"/>
  <c r="AL10" i="11"/>
  <c r="AM10" i="11"/>
  <c r="AN10" i="11"/>
  <c r="AN11" i="11" s="1"/>
  <c r="AO10" i="11"/>
  <c r="AP10" i="11"/>
  <c r="AQ10" i="11"/>
  <c r="AQ11" i="11" s="1"/>
  <c r="AR10" i="11"/>
  <c r="AR11" i="11" s="1"/>
  <c r="AS10" i="11"/>
  <c r="AS11" i="11" s="1"/>
  <c r="AT10" i="11"/>
  <c r="AU10" i="11"/>
  <c r="AV10" i="11"/>
  <c r="AW10" i="11"/>
  <c r="AX10" i="11"/>
  <c r="AY10" i="11"/>
  <c r="BA10" i="11"/>
  <c r="Y11" i="11"/>
  <c r="Z11" i="11"/>
  <c r="AA11" i="11"/>
  <c r="AC11" i="11"/>
  <c r="AD11" i="11"/>
  <c r="AE11" i="11"/>
  <c r="AG11" i="11"/>
  <c r="AH11" i="11"/>
  <c r="AI11" i="11"/>
  <c r="AK11" i="11"/>
  <c r="AL11" i="11"/>
  <c r="AM11" i="11"/>
  <c r="AO11" i="11"/>
  <c r="U12" i="11"/>
  <c r="V12" i="11"/>
  <c r="W12" i="11"/>
  <c r="X12" i="11"/>
  <c r="Y12" i="11"/>
  <c r="Z12" i="11"/>
  <c r="AA12" i="11"/>
  <c r="AB12" i="11"/>
  <c r="AC12" i="11"/>
  <c r="AD12" i="11"/>
  <c r="AE12" i="11"/>
  <c r="AF12" i="11"/>
  <c r="AH12" i="11"/>
  <c r="AI12" i="11"/>
  <c r="AJ12" i="11"/>
  <c r="AK12" i="11"/>
  <c r="AL12" i="11"/>
  <c r="AM12" i="11"/>
  <c r="AN12" i="11"/>
  <c r="AO12" i="11"/>
  <c r="T17" i="11"/>
  <c r="T18" i="11" s="1"/>
  <c r="U17" i="11"/>
  <c r="V17" i="11"/>
  <c r="W17" i="11"/>
  <c r="X17" i="11"/>
  <c r="X18" i="11" s="1"/>
  <c r="Y17" i="11"/>
  <c r="Z17" i="11"/>
  <c r="AA17" i="11"/>
  <c r="AB17" i="11"/>
  <c r="AB18" i="11" s="1"/>
  <c r="AC17" i="11"/>
  <c r="AD17" i="11"/>
  <c r="AE17" i="11"/>
  <c r="AF17" i="11"/>
  <c r="BA17" i="11" s="1"/>
  <c r="AG17" i="11"/>
  <c r="AH17" i="11"/>
  <c r="AI17" i="11"/>
  <c r="AJ17" i="11"/>
  <c r="AJ18" i="11" s="1"/>
  <c r="AK17" i="11"/>
  <c r="AL17" i="11"/>
  <c r="AM17" i="11"/>
  <c r="AN17" i="11"/>
  <c r="AN18" i="11" s="1"/>
  <c r="AO17" i="11"/>
  <c r="U18" i="11"/>
  <c r="V18" i="11"/>
  <c r="W18" i="11"/>
  <c r="Y18" i="11"/>
  <c r="Z18" i="11"/>
  <c r="AA18" i="11"/>
  <c r="AC18" i="11"/>
  <c r="AD18" i="11"/>
  <c r="AE18" i="11"/>
  <c r="AG18" i="11"/>
  <c r="AH18" i="11"/>
  <c r="AI18" i="11"/>
  <c r="AK18" i="11"/>
  <c r="AL18" i="11"/>
  <c r="AM18" i="11"/>
  <c r="AO18" i="11"/>
  <c r="T22" i="11"/>
  <c r="U22" i="11"/>
  <c r="V22" i="11"/>
  <c r="W22" i="11"/>
  <c r="X22" i="11"/>
  <c r="Y22" i="11"/>
  <c r="Z22" i="11"/>
  <c r="AA22" i="11"/>
  <c r="AB22" i="11"/>
  <c r="AC22" i="11"/>
  <c r="AD22" i="11"/>
  <c r="AE22" i="11"/>
  <c r="AF22" i="11"/>
  <c r="AG22" i="11"/>
  <c r="AH22" i="11"/>
  <c r="AI22" i="11"/>
  <c r="AJ22" i="11"/>
  <c r="AJ23" i="11" s="1"/>
  <c r="AK22" i="11"/>
  <c r="AL22" i="11"/>
  <c r="AM22" i="11"/>
  <c r="AN22" i="11"/>
  <c r="AN23" i="11" s="1"/>
  <c r="AO22" i="11"/>
  <c r="AP22" i="11"/>
  <c r="AQ22" i="11"/>
  <c r="AR22" i="11"/>
  <c r="AS22" i="11"/>
  <c r="AT22" i="11"/>
  <c r="AU22" i="11"/>
  <c r="AV22" i="11"/>
  <c r="AW22" i="11"/>
  <c r="AX22" i="11"/>
  <c r="AY22" i="11"/>
  <c r="T23" i="11"/>
  <c r="U23" i="11"/>
  <c r="V23" i="11"/>
  <c r="W23" i="11"/>
  <c r="X23" i="11"/>
  <c r="Y23" i="11"/>
  <c r="Z23" i="11"/>
  <c r="AA23" i="11"/>
  <c r="AB23" i="11"/>
  <c r="AC23" i="11"/>
  <c r="AD23" i="11"/>
  <c r="AE23" i="11"/>
  <c r="AF23" i="11"/>
  <c r="AG23" i="11"/>
  <c r="AH23" i="11"/>
  <c r="AI23" i="11"/>
  <c r="AK23" i="11"/>
  <c r="AL23" i="11"/>
  <c r="AM23" i="11"/>
  <c r="AO23" i="11"/>
  <c r="AB27" i="11"/>
  <c r="AC27" i="11"/>
  <c r="AD27" i="11"/>
  <c r="AE27" i="11"/>
  <c r="AF27" i="11"/>
  <c r="AG27" i="11"/>
  <c r="AH27" i="11"/>
  <c r="AI27" i="11"/>
  <c r="AJ27" i="11"/>
  <c r="AK27" i="11"/>
  <c r="AL27" i="11"/>
  <c r="AM27" i="11"/>
  <c r="AN27" i="11"/>
  <c r="AO27" i="11"/>
  <c r="AP27" i="11"/>
  <c r="AQ27" i="11"/>
  <c r="AR27" i="11"/>
  <c r="AS27" i="11"/>
  <c r="AT27" i="11"/>
  <c r="AU27" i="11"/>
  <c r="AV27" i="11"/>
  <c r="AW27" i="11"/>
  <c r="AX27" i="11"/>
  <c r="AY27" i="11"/>
  <c r="AB29" i="11"/>
  <c r="AC29" i="11"/>
  <c r="AD29" i="11"/>
  <c r="AE29" i="11"/>
  <c r="AF29" i="11"/>
  <c r="AG29" i="11"/>
  <c r="AH29" i="11"/>
  <c r="AI29" i="11"/>
  <c r="AJ29" i="11"/>
  <c r="AK29" i="11"/>
  <c r="AL29" i="11"/>
  <c r="AM29" i="11"/>
  <c r="AN29" i="11"/>
  <c r="AO29" i="11"/>
  <c r="D10" i="6"/>
  <c r="E10" i="6"/>
  <c r="F10" i="6"/>
  <c r="G10" i="6"/>
  <c r="H10" i="6"/>
  <c r="I10" i="6"/>
  <c r="J10" i="6"/>
  <c r="K10" i="6"/>
  <c r="L10" i="6"/>
  <c r="M10" i="6"/>
  <c r="N10" i="6"/>
  <c r="T10" i="6"/>
  <c r="U10" i="6"/>
  <c r="V10" i="6"/>
  <c r="W10" i="6"/>
  <c r="X10" i="6"/>
  <c r="Y10" i="6"/>
  <c r="Z10" i="6"/>
  <c r="Z11" i="6" s="1"/>
  <c r="AA10" i="6"/>
  <c r="AB10" i="6"/>
  <c r="AC10" i="6"/>
  <c r="AD10" i="6"/>
  <c r="AD11" i="6" s="1"/>
  <c r="AE10" i="6"/>
  <c r="AF10" i="6"/>
  <c r="AG10" i="6"/>
  <c r="AH10" i="6"/>
  <c r="AH11" i="6" s="1"/>
  <c r="AI10" i="6"/>
  <c r="AJ10" i="6"/>
  <c r="AK10" i="6"/>
  <c r="AL10" i="6"/>
  <c r="AL11" i="6" s="1"/>
  <c r="AM10" i="6"/>
  <c r="AM12" i="6" s="1"/>
  <c r="AN10" i="6"/>
  <c r="AO10" i="6"/>
  <c r="AP10" i="6"/>
  <c r="AP11" i="6" s="1"/>
  <c r="AQ10" i="6"/>
  <c r="AQ11" i="6" s="1"/>
  <c r="AR10" i="6"/>
  <c r="AR11" i="6" s="1"/>
  <c r="AS10" i="6"/>
  <c r="AS11" i="6" s="1"/>
  <c r="AT10" i="6"/>
  <c r="AU10" i="6"/>
  <c r="AV10" i="6"/>
  <c r="AW10" i="6"/>
  <c r="AX10" i="6"/>
  <c r="AY10" i="6"/>
  <c r="H11" i="6"/>
  <c r="K11" i="6"/>
  <c r="X11" i="6"/>
  <c r="Y11" i="6"/>
  <c r="AA11" i="6"/>
  <c r="AB11" i="6"/>
  <c r="AC11" i="6"/>
  <c r="AE11" i="6"/>
  <c r="AF11" i="6"/>
  <c r="AG11" i="6"/>
  <c r="AI11" i="6"/>
  <c r="AJ11" i="6"/>
  <c r="AK11" i="6"/>
  <c r="AM11" i="6"/>
  <c r="AN11" i="6"/>
  <c r="AO11" i="6"/>
  <c r="W12" i="6"/>
  <c r="X12" i="6"/>
  <c r="Z12" i="6"/>
  <c r="AB12" i="6"/>
  <c r="AD12" i="6"/>
  <c r="AE12" i="6"/>
  <c r="AF12" i="6"/>
  <c r="AH12" i="6"/>
  <c r="AI12" i="6"/>
  <c r="AJ12" i="6"/>
  <c r="AN12" i="6"/>
  <c r="D17" i="6"/>
  <c r="D18" i="6" s="1"/>
  <c r="E17" i="6"/>
  <c r="F17" i="6"/>
  <c r="F18" i="6" s="1"/>
  <c r="G17" i="6"/>
  <c r="H17" i="6"/>
  <c r="I17" i="6"/>
  <c r="J17" i="6"/>
  <c r="J18" i="6" s="1"/>
  <c r="K17" i="6"/>
  <c r="T17" i="6"/>
  <c r="U17" i="6"/>
  <c r="V17" i="6"/>
  <c r="W17" i="6"/>
  <c r="W18" i="6" s="1"/>
  <c r="X17" i="6"/>
  <c r="X18" i="6" s="1"/>
  <c r="Y17" i="6"/>
  <c r="Z17" i="6"/>
  <c r="Z18" i="6" s="1"/>
  <c r="AA17" i="6"/>
  <c r="AB17" i="6"/>
  <c r="AB18" i="6" s="1"/>
  <c r="AC17" i="6"/>
  <c r="AD17" i="6"/>
  <c r="AE17" i="6"/>
  <c r="AE18" i="6" s="1"/>
  <c r="AF17" i="6"/>
  <c r="AF18" i="6" s="1"/>
  <c r="AG17" i="6"/>
  <c r="AH17" i="6"/>
  <c r="AI17" i="6"/>
  <c r="AJ17" i="6"/>
  <c r="AJ18" i="6" s="1"/>
  <c r="AK17" i="6"/>
  <c r="AL17" i="6"/>
  <c r="AM17" i="6"/>
  <c r="AN17" i="6"/>
  <c r="AN18" i="6" s="1"/>
  <c r="AO17" i="6"/>
  <c r="E18" i="6"/>
  <c r="G18" i="6"/>
  <c r="H18" i="6"/>
  <c r="I18" i="6"/>
  <c r="K18" i="6"/>
  <c r="T18" i="6"/>
  <c r="V18" i="6"/>
  <c r="AA18" i="6"/>
  <c r="AH18" i="6"/>
  <c r="AI18" i="6"/>
  <c r="AL18" i="6"/>
  <c r="AM18" i="6"/>
  <c r="G22" i="6"/>
  <c r="H22" i="6"/>
  <c r="I22" i="6"/>
  <c r="J22" i="6"/>
  <c r="K22" i="6"/>
  <c r="L22" i="6"/>
  <c r="M22" i="6"/>
  <c r="N22" i="6"/>
  <c r="T22" i="6"/>
  <c r="T23" i="6" s="1"/>
  <c r="U22" i="6"/>
  <c r="V22" i="6"/>
  <c r="V23" i="6" s="1"/>
  <c r="W22" i="6"/>
  <c r="X22" i="6"/>
  <c r="Y22" i="6"/>
  <c r="Z22" i="6"/>
  <c r="Z23" i="6" s="1"/>
  <c r="AA22" i="6"/>
  <c r="AA23" i="6" s="1"/>
  <c r="AB22" i="6"/>
  <c r="AC22" i="6"/>
  <c r="AD22" i="6"/>
  <c r="AD23" i="6" s="1"/>
  <c r="AE22" i="6"/>
  <c r="AE23" i="6" s="1"/>
  <c r="AF22" i="6"/>
  <c r="AG22" i="6"/>
  <c r="AH22" i="6"/>
  <c r="AH23" i="6" s="1"/>
  <c r="AI22" i="6"/>
  <c r="AI23" i="6" s="1"/>
  <c r="AJ22" i="6"/>
  <c r="AK22" i="6"/>
  <c r="AL22" i="6"/>
  <c r="AL23" i="6" s="1"/>
  <c r="AM22" i="6"/>
  <c r="AM23" i="6" s="1"/>
  <c r="AN22" i="6"/>
  <c r="AN23" i="6" s="1"/>
  <c r="AO22" i="6"/>
  <c r="AP22" i="6"/>
  <c r="AQ22" i="6"/>
  <c r="AR22" i="6"/>
  <c r="AS22" i="6"/>
  <c r="AT22" i="6"/>
  <c r="AU22" i="6"/>
  <c r="AV22" i="6"/>
  <c r="AW22" i="6"/>
  <c r="AX22" i="6"/>
  <c r="AY22" i="6"/>
  <c r="G23" i="6"/>
  <c r="H23" i="6"/>
  <c r="I23" i="6"/>
  <c r="J23" i="6"/>
  <c r="K23" i="6"/>
  <c r="W23" i="6"/>
  <c r="X23" i="6"/>
  <c r="AB23" i="6"/>
  <c r="AF23" i="6"/>
  <c r="AJ23" i="6"/>
  <c r="I27" i="6"/>
  <c r="J27" i="6"/>
  <c r="K27" i="6"/>
  <c r="L27" i="6"/>
  <c r="M27" i="6"/>
  <c r="N27" i="6"/>
  <c r="AB27" i="6"/>
  <c r="AC27" i="6"/>
  <c r="AD27" i="6"/>
  <c r="AE27" i="6"/>
  <c r="AF27" i="6"/>
  <c r="AG27" i="6"/>
  <c r="AH27" i="6"/>
  <c r="AI27" i="6"/>
  <c r="AJ27" i="6"/>
  <c r="AK27" i="6"/>
  <c r="AL27" i="6"/>
  <c r="AM27" i="6"/>
  <c r="AN27" i="6"/>
  <c r="AO27" i="6"/>
  <c r="AP27" i="6"/>
  <c r="AQ27" i="6"/>
  <c r="AR27" i="6"/>
  <c r="AS27" i="6"/>
  <c r="AT27" i="6"/>
  <c r="AU27" i="6"/>
  <c r="AV27" i="6"/>
  <c r="AW27" i="6"/>
  <c r="AX27" i="6"/>
  <c r="AY27" i="6"/>
  <c r="I29" i="6"/>
  <c r="J29" i="6"/>
  <c r="K29" i="6"/>
  <c r="AB29" i="6"/>
  <c r="AC29" i="6"/>
  <c r="AD29" i="6"/>
  <c r="AE29" i="6"/>
  <c r="AF29" i="6"/>
  <c r="AG29" i="6"/>
  <c r="AH29" i="6"/>
  <c r="AI29" i="6"/>
  <c r="AJ29" i="6"/>
  <c r="AK29" i="6"/>
  <c r="AL29" i="6"/>
  <c r="AM29" i="6"/>
  <c r="AN29" i="6"/>
  <c r="AO29" i="6"/>
  <c r="L11" i="6" l="1"/>
  <c r="AF18" i="11"/>
  <c r="AG12" i="11"/>
  <c r="K10" i="11"/>
  <c r="V12" i="6"/>
  <c r="BA29" i="11"/>
  <c r="J29" i="11"/>
  <c r="AV11" i="11"/>
  <c r="AL12" i="6"/>
  <c r="K29" i="11"/>
  <c r="I29" i="11"/>
  <c r="J27" i="11"/>
  <c r="I27" i="11"/>
  <c r="K22" i="11"/>
  <c r="J22" i="11"/>
  <c r="I22" i="11"/>
  <c r="H22" i="11"/>
  <c r="BA17" i="6"/>
  <c r="AA12" i="6"/>
  <c r="K27" i="11"/>
  <c r="G22" i="11"/>
  <c r="K17" i="11"/>
  <c r="K18" i="11" s="1"/>
  <c r="J17" i="11"/>
  <c r="I17" i="11"/>
  <c r="H17" i="11"/>
  <c r="G17" i="11"/>
  <c r="J10" i="11"/>
  <c r="I10" i="11"/>
  <c r="H10" i="11"/>
  <c r="G10" i="11"/>
  <c r="AY11" i="11"/>
  <c r="AW11" i="6"/>
  <c r="AX11" i="11"/>
  <c r="AU11" i="11"/>
  <c r="AW11" i="11"/>
  <c r="AU11" i="6"/>
  <c r="AT11" i="11"/>
  <c r="AX11" i="6"/>
  <c r="AY23" i="11"/>
  <c r="AU23" i="11"/>
  <c r="AQ23" i="11"/>
  <c r="AT11" i="6"/>
  <c r="L23" i="6"/>
  <c r="AY11" i="6"/>
  <c r="AW23" i="11"/>
  <c r="AS23" i="11"/>
  <c r="M23" i="6"/>
  <c r="AV23" i="6"/>
  <c r="AR23" i="6"/>
  <c r="AX23" i="6"/>
  <c r="AT23" i="6"/>
  <c r="AP23" i="6"/>
  <c r="AT12" i="6"/>
  <c r="AU12" i="11"/>
  <c r="AQ12" i="11"/>
  <c r="N23" i="6"/>
  <c r="AY23" i="6"/>
  <c r="AV12" i="6"/>
  <c r="AX23" i="11"/>
  <c r="AT23" i="11"/>
  <c r="AY12" i="11"/>
  <c r="AP12" i="11"/>
  <c r="AP11" i="11"/>
  <c r="AT12" i="11"/>
  <c r="AQ23" i="6"/>
  <c r="AU23" i="6"/>
  <c r="AR12" i="11"/>
  <c r="AX12" i="11"/>
  <c r="AY12" i="6"/>
  <c r="AQ12" i="6"/>
  <c r="AV12" i="11"/>
  <c r="AX12" i="6"/>
  <c r="AP12" i="6"/>
  <c r="AU12" i="6"/>
  <c r="AR12" i="6"/>
  <c r="AV11" i="6"/>
  <c r="M22" i="11"/>
  <c r="L22" i="11"/>
  <c r="M10" i="11"/>
  <c r="L10" i="11"/>
  <c r="L11" i="11" s="1"/>
  <c r="M27" i="11"/>
  <c r="L27" i="11"/>
  <c r="AP23" i="11"/>
  <c r="AV23" i="11"/>
  <c r="AR23" i="11"/>
  <c r="AW12" i="11"/>
  <c r="AS12" i="11"/>
  <c r="BA29" i="6"/>
  <c r="AD18" i="6"/>
  <c r="BA10" i="6"/>
  <c r="O10" i="6"/>
  <c r="N11" i="6"/>
  <c r="M11" i="6"/>
  <c r="J11" i="6"/>
  <c r="I11" i="6"/>
  <c r="AW12" i="6"/>
  <c r="AW23" i="6"/>
  <c r="AS12" i="6"/>
  <c r="AS23" i="6"/>
  <c r="AO12" i="6"/>
  <c r="AO18" i="6"/>
  <c r="AO23" i="6"/>
  <c r="AK12" i="6"/>
  <c r="AK18" i="6"/>
  <c r="AK23" i="6"/>
  <c r="AG12" i="6"/>
  <c r="AG18" i="6"/>
  <c r="AG23" i="6"/>
  <c r="AC12" i="6"/>
  <c r="AC18" i="6"/>
  <c r="AC23" i="6"/>
  <c r="Y12" i="6"/>
  <c r="Y18" i="6"/>
  <c r="Y23" i="6"/>
  <c r="U12" i="6"/>
  <c r="U18" i="6"/>
  <c r="U23" i="6"/>
  <c r="K23" i="11"/>
  <c r="J23" i="11"/>
  <c r="I23" i="11"/>
  <c r="H23" i="11"/>
  <c r="J11" i="11" l="1"/>
  <c r="I18" i="11"/>
  <c r="K11" i="11"/>
  <c r="J18" i="11"/>
  <c r="H11" i="11"/>
  <c r="G18" i="11"/>
  <c r="I11" i="11"/>
  <c r="H18" i="11"/>
  <c r="G23" i="11"/>
  <c r="M23" i="11"/>
  <c r="O10" i="11"/>
  <c r="L23" i="11"/>
  <c r="M11" i="11"/>
  <c r="F7" i="23" l="1"/>
  <c r="G7" i="23"/>
  <c r="L5" i="3"/>
  <c r="M5" i="3"/>
  <c r="N5" i="3"/>
  <c r="AP5" i="3"/>
  <c r="AQ5" i="3"/>
  <c r="AR5" i="3"/>
  <c r="AS5" i="3"/>
  <c r="AT5" i="3"/>
  <c r="AU5" i="3"/>
  <c r="AV5" i="3"/>
  <c r="AW5" i="3"/>
  <c r="AX5" i="3"/>
  <c r="AY5" i="3"/>
  <c r="L11" i="3"/>
  <c r="M11" i="3"/>
  <c r="N11" i="3"/>
  <c r="AP11" i="3"/>
  <c r="AQ11" i="3"/>
  <c r="AR11" i="3"/>
  <c r="AS11" i="3"/>
  <c r="AT11" i="3"/>
  <c r="AU11" i="3"/>
  <c r="AV11" i="3"/>
  <c r="AW11" i="3"/>
  <c r="AX11" i="3"/>
  <c r="AY11" i="3"/>
  <c r="L19" i="3"/>
  <c r="M19" i="3"/>
  <c r="N19" i="3"/>
  <c r="AP19" i="3"/>
  <c r="AQ19" i="3"/>
  <c r="AR19" i="3"/>
  <c r="AS19" i="3"/>
  <c r="AT19" i="3"/>
  <c r="AU19" i="3"/>
  <c r="AV19" i="3"/>
  <c r="AW19" i="3"/>
  <c r="AX19" i="3"/>
  <c r="AY19" i="3"/>
  <c r="L31" i="3"/>
  <c r="M31" i="3"/>
  <c r="N31" i="3"/>
  <c r="AP31" i="3"/>
  <c r="AQ31" i="3"/>
  <c r="AR31" i="3"/>
  <c r="AS31" i="3"/>
  <c r="AT31" i="3"/>
  <c r="AU31" i="3"/>
  <c r="AV31" i="3"/>
  <c r="AW31" i="3"/>
  <c r="AX31" i="3"/>
  <c r="AY31" i="3"/>
  <c r="L37" i="3"/>
  <c r="M37" i="3"/>
  <c r="N37" i="3"/>
  <c r="AP37" i="3"/>
  <c r="AQ37" i="3"/>
  <c r="AR37" i="3"/>
  <c r="AS37" i="3"/>
  <c r="AT37" i="3"/>
  <c r="AU37" i="3"/>
  <c r="AV37" i="3"/>
  <c r="AW37" i="3"/>
  <c r="AX37" i="3"/>
  <c r="AY37" i="3"/>
  <c r="L42" i="3"/>
  <c r="M42" i="3"/>
  <c r="N42" i="3"/>
  <c r="AP42" i="3"/>
  <c r="AQ42" i="3"/>
  <c r="AR42" i="3"/>
  <c r="AS42" i="3"/>
  <c r="AT42" i="3"/>
  <c r="AU42" i="3"/>
  <c r="AV42" i="3"/>
  <c r="AW42" i="3"/>
  <c r="AX42" i="3"/>
  <c r="AY42" i="3"/>
  <c r="L44" i="3"/>
  <c r="M44" i="3"/>
  <c r="N44" i="3"/>
  <c r="AP44" i="3"/>
  <c r="AQ44" i="3"/>
  <c r="AR44" i="3"/>
  <c r="AS44" i="3"/>
  <c r="AT44" i="3"/>
  <c r="AU44" i="3"/>
  <c r="AV44" i="3"/>
  <c r="AW44" i="3"/>
  <c r="AX44" i="3"/>
  <c r="AY44" i="3"/>
  <c r="L45" i="3"/>
  <c r="M45" i="3"/>
  <c r="N45" i="3"/>
  <c r="AP45" i="3"/>
  <c r="AQ45" i="3"/>
  <c r="AR45" i="3"/>
  <c r="AS45" i="3"/>
  <c r="AT45" i="3"/>
  <c r="AU45" i="3"/>
  <c r="AV45" i="3"/>
  <c r="AW45" i="3"/>
  <c r="AX45" i="3"/>
  <c r="AY45" i="3"/>
  <c r="L47" i="3"/>
  <c r="M47" i="3"/>
  <c r="N47" i="3"/>
  <c r="AP47" i="3"/>
  <c r="AQ47" i="3"/>
  <c r="AR47" i="3"/>
  <c r="AS47" i="3"/>
  <c r="AT47" i="3"/>
  <c r="AU47" i="3"/>
  <c r="AV47" i="3"/>
  <c r="AW47" i="3"/>
  <c r="AX47" i="3"/>
  <c r="AY47" i="3"/>
  <c r="L53" i="3"/>
  <c r="M53" i="3"/>
  <c r="N53" i="3"/>
  <c r="AP53" i="3"/>
  <c r="AQ53" i="3"/>
  <c r="AR53" i="3"/>
  <c r="AS53" i="3"/>
  <c r="AT53" i="3"/>
  <c r="AU53" i="3"/>
  <c r="AV53" i="3"/>
  <c r="AW53" i="3"/>
  <c r="AX53" i="3"/>
  <c r="AY53" i="3"/>
  <c r="AA12" i="5"/>
  <c r="AB12" i="5"/>
  <c r="AC12" i="5"/>
  <c r="AD12" i="5"/>
  <c r="AE12" i="5"/>
  <c r="AF12" i="5"/>
  <c r="AG12" i="5"/>
  <c r="AH12" i="5"/>
  <c r="AI12" i="5"/>
  <c r="AJ12" i="5"/>
  <c r="AK12" i="5"/>
  <c r="AL12" i="5"/>
  <c r="AM12" i="5"/>
  <c r="AN12" i="5"/>
  <c r="AO12" i="5"/>
  <c r="AP12" i="5"/>
  <c r="AQ12" i="5"/>
  <c r="AR12" i="5"/>
  <c r="AS12" i="5"/>
  <c r="AT12" i="5"/>
  <c r="AU12" i="5"/>
  <c r="AV12" i="5"/>
  <c r="AW12" i="5"/>
  <c r="AX12" i="5"/>
  <c r="AY12" i="5"/>
  <c r="AA13" i="5"/>
  <c r="AB13" i="5"/>
  <c r="AC13" i="5"/>
  <c r="AD13" i="5"/>
  <c r="AE13" i="5"/>
  <c r="AF13" i="5"/>
  <c r="AG13" i="5"/>
  <c r="AH13" i="5"/>
  <c r="AI13" i="5"/>
  <c r="AJ13" i="5"/>
  <c r="AK13" i="5"/>
  <c r="AL13" i="5"/>
  <c r="AM13" i="5"/>
  <c r="AN13" i="5"/>
  <c r="AO13" i="5"/>
  <c r="AP13" i="5"/>
  <c r="AQ13" i="5"/>
  <c r="AR13" i="5"/>
  <c r="AS13" i="5"/>
  <c r="AT13" i="5"/>
  <c r="AU13" i="5"/>
  <c r="AV13" i="5"/>
  <c r="AW13" i="5"/>
  <c r="AX13" i="5"/>
  <c r="AY13" i="5"/>
  <c r="AA14" i="5"/>
  <c r="AB14" i="5"/>
  <c r="AC14" i="5"/>
  <c r="AD14" i="5"/>
  <c r="AE14" i="5"/>
  <c r="AF14" i="5"/>
  <c r="AG14" i="5"/>
  <c r="AH14" i="5"/>
  <c r="AI14" i="5"/>
  <c r="AJ14" i="5"/>
  <c r="AK14" i="5"/>
  <c r="AL14" i="5"/>
  <c r="AM14" i="5"/>
  <c r="AN14" i="5"/>
  <c r="AO14" i="5"/>
  <c r="AP14" i="5"/>
  <c r="AQ14" i="5"/>
  <c r="AR14" i="5"/>
  <c r="AS14" i="5"/>
  <c r="AT14" i="5"/>
  <c r="AU14" i="5"/>
  <c r="AV14" i="5"/>
  <c r="AW14" i="5"/>
  <c r="AX14" i="5"/>
  <c r="AY14" i="5"/>
  <c r="AB15" i="5"/>
  <c r="AC15" i="5"/>
  <c r="AD15" i="5"/>
  <c r="AE15" i="5"/>
  <c r="AF15" i="5"/>
  <c r="AG15" i="5"/>
  <c r="AH15" i="5"/>
  <c r="AI15" i="5"/>
  <c r="AJ15" i="5"/>
  <c r="AK15" i="5"/>
  <c r="AL15" i="5"/>
  <c r="AN15" i="5"/>
  <c r="AO15" i="5"/>
  <c r="AP15" i="5"/>
  <c r="AQ15" i="5"/>
  <c r="AR15" i="5"/>
  <c r="AS15" i="5"/>
  <c r="AT15" i="5"/>
  <c r="AU15" i="5"/>
  <c r="AV15" i="5"/>
  <c r="AW15" i="5"/>
  <c r="AX15" i="5"/>
  <c r="AY15" i="5"/>
  <c r="AA16" i="5"/>
  <c r="AB16" i="5"/>
  <c r="AC16" i="5"/>
  <c r="AD16" i="5"/>
  <c r="AE16" i="5"/>
  <c r="AF16" i="5"/>
  <c r="AG16" i="5"/>
  <c r="AH16" i="5"/>
  <c r="AI16" i="5"/>
  <c r="AJ16" i="5"/>
  <c r="AK16" i="5"/>
  <c r="AL16" i="5"/>
  <c r="AM16" i="5"/>
  <c r="AN16" i="5"/>
  <c r="AO16" i="5"/>
  <c r="AP16" i="5"/>
  <c r="AQ16" i="5"/>
  <c r="AR16" i="5"/>
  <c r="AS16" i="5"/>
  <c r="AT16" i="5"/>
  <c r="AU16" i="5"/>
  <c r="AV16" i="5"/>
  <c r="AW16" i="5"/>
  <c r="AX16" i="5"/>
  <c r="AY16" i="5"/>
  <c r="AA17" i="5"/>
  <c r="AB17" i="5"/>
  <c r="AC17" i="5"/>
  <c r="AD17" i="5"/>
  <c r="AE17" i="5"/>
  <c r="AF17" i="5"/>
  <c r="AG17" i="5"/>
  <c r="AH17" i="5"/>
  <c r="AI17" i="5"/>
  <c r="AJ17" i="5"/>
  <c r="AK17" i="5"/>
  <c r="AL17" i="5"/>
  <c r="AA18" i="5"/>
  <c r="AB18" i="5"/>
  <c r="AC18" i="5"/>
  <c r="AD18" i="5"/>
  <c r="AE18" i="5"/>
  <c r="AF18" i="5"/>
  <c r="AG18" i="5"/>
  <c r="AH18" i="5"/>
  <c r="AI18" i="5"/>
  <c r="AJ18" i="5"/>
  <c r="AK18" i="5"/>
  <c r="AM18" i="5"/>
  <c r="AN18" i="5"/>
  <c r="AO18" i="5"/>
  <c r="AP18" i="5"/>
  <c r="AQ18" i="5"/>
  <c r="AR18" i="5"/>
  <c r="AS18" i="5"/>
  <c r="AT18" i="5"/>
  <c r="AU18" i="5"/>
  <c r="AV18" i="5"/>
  <c r="AW18" i="5"/>
  <c r="AX18" i="5"/>
  <c r="AY18" i="5"/>
  <c r="AH23" i="5"/>
  <c r="AI23" i="5"/>
  <c r="AJ23" i="5"/>
  <c r="AK23" i="5"/>
  <c r="AL23" i="5"/>
  <c r="AM23" i="5"/>
  <c r="AN23" i="5"/>
  <c r="AO23" i="5"/>
  <c r="AP23" i="5"/>
  <c r="AQ23" i="5"/>
  <c r="AR23" i="5"/>
  <c r="AS23" i="5"/>
  <c r="AT23" i="5"/>
  <c r="AU23" i="5"/>
  <c r="AV23" i="5"/>
  <c r="AW23" i="5"/>
  <c r="AX23" i="5"/>
  <c r="AY23" i="5"/>
  <c r="AI24" i="5"/>
  <c r="AJ24" i="5"/>
  <c r="AK24" i="5"/>
  <c r="AL24" i="5"/>
  <c r="AN24" i="5"/>
  <c r="AO24" i="5"/>
  <c r="AP24" i="5"/>
  <c r="AQ24" i="5"/>
  <c r="AR24" i="5"/>
  <c r="AS24" i="5"/>
  <c r="AT24" i="5"/>
  <c r="AU24" i="5"/>
  <c r="AV24" i="5"/>
  <c r="AW24" i="5"/>
  <c r="AX24" i="5"/>
  <c r="AY24" i="5"/>
  <c r="AH25" i="5"/>
  <c r="AI25" i="5"/>
  <c r="AJ25" i="5"/>
  <c r="AK25" i="5"/>
  <c r="AL25" i="5"/>
  <c r="AM25" i="5"/>
  <c r="AN25" i="5"/>
  <c r="AO25" i="5"/>
  <c r="AP25" i="5"/>
  <c r="AQ25" i="5"/>
  <c r="AR25" i="5"/>
  <c r="AS25" i="5"/>
  <c r="AT25" i="5"/>
  <c r="AU25" i="5"/>
  <c r="AV25" i="5"/>
  <c r="AW25" i="5"/>
  <c r="AX25" i="5"/>
  <c r="AY25" i="5"/>
  <c r="AH27" i="5"/>
  <c r="AI27" i="5"/>
  <c r="AJ27" i="5"/>
  <c r="AK27" i="5"/>
  <c r="AM27" i="5"/>
  <c r="AN27" i="5"/>
  <c r="AO27" i="5"/>
  <c r="AP27" i="5"/>
  <c r="AQ27" i="5"/>
  <c r="AR27" i="5"/>
  <c r="AS27" i="5"/>
  <c r="AT27" i="5"/>
  <c r="AU27" i="5"/>
  <c r="AV27" i="5"/>
  <c r="AW27" i="5"/>
  <c r="AX27" i="5"/>
  <c r="AY27" i="5"/>
  <c r="AM30" i="5"/>
  <c r="AN30" i="5"/>
  <c r="AO30" i="5"/>
  <c r="AP30" i="5"/>
  <c r="AQ30" i="5"/>
  <c r="AR30" i="5"/>
  <c r="AS30" i="5"/>
  <c r="AT30" i="5"/>
  <c r="AU30" i="5"/>
  <c r="AV30" i="5"/>
  <c r="AW30" i="5"/>
  <c r="AX30" i="5"/>
  <c r="AY30" i="5"/>
  <c r="AM31" i="5"/>
  <c r="AN31" i="5"/>
  <c r="AO31" i="5"/>
  <c r="AP31" i="5"/>
  <c r="AQ31" i="5"/>
  <c r="AR31" i="5"/>
  <c r="AS31" i="5"/>
  <c r="AT31" i="5"/>
  <c r="AU31" i="5"/>
  <c r="AV31" i="5"/>
  <c r="AW31" i="5"/>
  <c r="AX31" i="5"/>
  <c r="AY31" i="5"/>
  <c r="AL32" i="5"/>
  <c r="AM32" i="5"/>
  <c r="AN32" i="5"/>
  <c r="AO32" i="5"/>
  <c r="AP32" i="5"/>
  <c r="AQ32" i="5"/>
  <c r="AR32" i="5"/>
  <c r="AS32" i="5"/>
  <c r="AT32" i="5"/>
  <c r="AU32" i="5"/>
  <c r="AV32" i="5"/>
  <c r="AW32" i="5"/>
  <c r="AX32" i="5"/>
  <c r="AY32" i="5"/>
  <c r="AM33" i="5"/>
  <c r="AN33" i="5"/>
  <c r="AO33" i="5"/>
  <c r="AP33" i="5"/>
  <c r="AQ33" i="5"/>
  <c r="AR33" i="5"/>
  <c r="AS33" i="5"/>
  <c r="AT33" i="5"/>
  <c r="AU33" i="5"/>
  <c r="AV33" i="5"/>
  <c r="AW33" i="5"/>
  <c r="AX33" i="5"/>
  <c r="AY33" i="5"/>
  <c r="AL34" i="5"/>
  <c r="AM34" i="5"/>
  <c r="AN34" i="5"/>
  <c r="AO34" i="5"/>
  <c r="AP34" i="5"/>
  <c r="AQ34" i="5"/>
  <c r="AR34" i="5"/>
  <c r="AS34" i="5"/>
  <c r="AT34" i="5"/>
  <c r="AU34" i="5"/>
  <c r="AV34" i="5"/>
  <c r="AW34" i="5"/>
  <c r="AX34" i="5"/>
  <c r="AY34" i="5"/>
  <c r="AM35" i="5"/>
  <c r="AN35" i="5"/>
  <c r="AL36" i="5"/>
  <c r="AM36" i="5"/>
  <c r="AN36" i="5"/>
  <c r="AO36" i="5"/>
  <c r="AP36" i="5"/>
  <c r="AQ36" i="5"/>
  <c r="AR36" i="5"/>
  <c r="AS36" i="5"/>
  <c r="AT36" i="5"/>
  <c r="AU36" i="5"/>
  <c r="AV36" i="5"/>
  <c r="AW36" i="5"/>
  <c r="AX36" i="5"/>
  <c r="AY36" i="5"/>
  <c r="AL41" i="5"/>
  <c r="AM41" i="5"/>
  <c r="AN41" i="5"/>
  <c r="AO41" i="5"/>
  <c r="AP41" i="5"/>
  <c r="AQ41" i="5"/>
  <c r="AR41" i="5"/>
  <c r="AS41" i="5"/>
  <c r="AT41" i="5"/>
  <c r="AU41" i="5"/>
  <c r="AV41" i="5"/>
  <c r="AW41" i="5"/>
  <c r="AX41" i="5"/>
  <c r="AY41" i="5"/>
  <c r="AM42" i="5"/>
  <c r="AN42" i="5"/>
  <c r="AO42" i="5"/>
  <c r="AP42" i="5"/>
  <c r="AQ42" i="5"/>
  <c r="AR42" i="5"/>
  <c r="AS42" i="5"/>
  <c r="AT42" i="5"/>
  <c r="AU42" i="5"/>
  <c r="AV42" i="5"/>
  <c r="AW42" i="5"/>
  <c r="AX42" i="5"/>
  <c r="AY42" i="5"/>
  <c r="AL43" i="5"/>
  <c r="AM43" i="5"/>
  <c r="AN43" i="5"/>
  <c r="AO43" i="5"/>
  <c r="AP43" i="5"/>
  <c r="AQ43" i="5"/>
  <c r="AR43" i="5"/>
  <c r="AS43" i="5"/>
  <c r="AT43" i="5"/>
  <c r="AU43" i="5"/>
  <c r="AV43" i="5"/>
  <c r="AW43" i="5"/>
  <c r="AX43" i="5"/>
  <c r="AY43" i="5"/>
  <c r="AL45" i="5"/>
  <c r="AM45" i="5"/>
  <c r="AN45" i="5"/>
  <c r="AO45" i="5"/>
  <c r="AP45" i="5"/>
  <c r="AQ45" i="5"/>
  <c r="AR45" i="5"/>
  <c r="AS45" i="5"/>
  <c r="AT45" i="5"/>
  <c r="AU45" i="5"/>
  <c r="AV45" i="5"/>
  <c r="AW45" i="5"/>
  <c r="AX45" i="5"/>
  <c r="AY45" i="5"/>
  <c r="AN50" i="5"/>
  <c r="AO50" i="5"/>
  <c r="AP50" i="5"/>
  <c r="AQ50" i="5"/>
  <c r="AR50" i="5"/>
  <c r="AS50" i="5"/>
  <c r="AT50" i="5"/>
  <c r="AU50" i="5"/>
  <c r="AV50" i="5"/>
  <c r="AW50" i="5"/>
  <c r="AX50" i="5"/>
  <c r="AY50" i="5"/>
  <c r="AO51" i="5"/>
  <c r="AP51" i="5"/>
  <c r="AQ51" i="5"/>
  <c r="AR51" i="5"/>
  <c r="AS51" i="5"/>
  <c r="AT51" i="5"/>
  <c r="AU51" i="5"/>
  <c r="AV51" i="5"/>
  <c r="AW51" i="5"/>
  <c r="AX51" i="5"/>
  <c r="AY51" i="5"/>
  <c r="AN52" i="5"/>
  <c r="AO52" i="5"/>
  <c r="AP52" i="5"/>
  <c r="AQ52" i="5"/>
  <c r="AR52" i="5"/>
  <c r="AS52" i="5"/>
  <c r="AT52" i="5"/>
  <c r="AU52" i="5"/>
  <c r="AV52" i="5"/>
  <c r="AW52" i="5"/>
  <c r="AX52" i="5"/>
  <c r="AY52" i="5"/>
  <c r="AN54" i="5"/>
  <c r="AO54" i="5"/>
  <c r="AP54" i="5"/>
  <c r="AQ54" i="5"/>
  <c r="AR54" i="5"/>
  <c r="AS54" i="5"/>
  <c r="AT54" i="5"/>
  <c r="AU54" i="5"/>
  <c r="AV54" i="5"/>
  <c r="AW54" i="5"/>
  <c r="AX54" i="5"/>
  <c r="AY54" i="5"/>
  <c r="AA59" i="5"/>
  <c r="AB59" i="5"/>
  <c r="AC59" i="5"/>
  <c r="AD59" i="5"/>
  <c r="AE59" i="5"/>
  <c r="AF59" i="5"/>
  <c r="AG59" i="5"/>
  <c r="AH59" i="5"/>
  <c r="AI59" i="5"/>
  <c r="AJ59" i="5"/>
  <c r="AK59" i="5"/>
  <c r="AL59" i="5"/>
  <c r="AM59" i="5"/>
  <c r="AN59" i="5"/>
  <c r="AO59" i="5"/>
  <c r="AP59" i="5"/>
  <c r="AQ59" i="5"/>
  <c r="AR59" i="5"/>
  <c r="AS59" i="5"/>
  <c r="AT59" i="5"/>
  <c r="AU59" i="5"/>
  <c r="AV59" i="5"/>
  <c r="AW59" i="5"/>
  <c r="AX59" i="5"/>
  <c r="AY59" i="5"/>
  <c r="AB60" i="5"/>
  <c r="AC60" i="5"/>
  <c r="AD60" i="5"/>
  <c r="AE60" i="5"/>
  <c r="AF60" i="5"/>
  <c r="AG60" i="5"/>
  <c r="AH60" i="5"/>
  <c r="AI60" i="5"/>
  <c r="AJ60" i="5"/>
  <c r="AK60" i="5"/>
  <c r="AL60" i="5"/>
  <c r="AM60" i="5"/>
  <c r="AN60" i="5"/>
  <c r="AO60" i="5"/>
  <c r="AP60" i="5"/>
  <c r="AQ60" i="5"/>
  <c r="AR60" i="5"/>
  <c r="AS60" i="5"/>
  <c r="AT60" i="5"/>
  <c r="AU60" i="5"/>
  <c r="AV60" i="5"/>
  <c r="AW60" i="5"/>
  <c r="AX60" i="5"/>
  <c r="AY60" i="5"/>
  <c r="AA61" i="5"/>
  <c r="AB61" i="5"/>
  <c r="AC61" i="5"/>
  <c r="AD61" i="5"/>
  <c r="AE61" i="5"/>
  <c r="AF61" i="5"/>
  <c r="AG61" i="5"/>
  <c r="AH61" i="5"/>
  <c r="AI61" i="5"/>
  <c r="AJ61" i="5"/>
  <c r="AK61" i="5"/>
  <c r="AL61" i="5"/>
  <c r="AM61" i="5"/>
  <c r="AN61" i="5"/>
  <c r="AO61" i="5"/>
  <c r="AP61" i="5"/>
  <c r="AQ61" i="5"/>
  <c r="AR61" i="5"/>
  <c r="AS61" i="5"/>
  <c r="AT61" i="5"/>
  <c r="AU61" i="5"/>
  <c r="AV61" i="5"/>
  <c r="AW61" i="5"/>
  <c r="AX61" i="5"/>
  <c r="AY61" i="5"/>
  <c r="AA63" i="5"/>
  <c r="AB63" i="5"/>
  <c r="AC63" i="5"/>
  <c r="AD63" i="5"/>
  <c r="AE63" i="5"/>
  <c r="AF63" i="5"/>
  <c r="AG63" i="5"/>
  <c r="AH63" i="5"/>
  <c r="AI63" i="5"/>
  <c r="AJ63" i="5"/>
  <c r="AK63" i="5"/>
  <c r="AL63" i="5"/>
  <c r="AM63" i="5"/>
  <c r="AN63" i="5"/>
  <c r="AO63" i="5"/>
  <c r="AP63" i="5"/>
  <c r="AQ63" i="5"/>
  <c r="AR63" i="5"/>
  <c r="AS63" i="5"/>
  <c r="AT63" i="5"/>
  <c r="AU63" i="5"/>
  <c r="AV63" i="5"/>
  <c r="AW63" i="5"/>
  <c r="AX63" i="5"/>
  <c r="AY63" i="5"/>
  <c r="AA67" i="5"/>
  <c r="AB67" i="5"/>
  <c r="AC67" i="5"/>
  <c r="AD67" i="5"/>
  <c r="AE67" i="5"/>
  <c r="AF67" i="5"/>
  <c r="AG67" i="5"/>
  <c r="AH67" i="5"/>
  <c r="AI67" i="5"/>
  <c r="AJ67" i="5"/>
  <c r="AK67" i="5"/>
  <c r="AL67" i="5"/>
  <c r="AM67" i="5"/>
  <c r="AN67" i="5"/>
  <c r="AO67" i="5"/>
  <c r="AP67" i="5"/>
  <c r="AQ67" i="5"/>
  <c r="AR67" i="5"/>
  <c r="AS67" i="5"/>
  <c r="AT67" i="5"/>
  <c r="AU67" i="5"/>
  <c r="AV67" i="5"/>
  <c r="AW67" i="5"/>
  <c r="AX67" i="5"/>
  <c r="AY67" i="5"/>
  <c r="AB68" i="5"/>
  <c r="AC68" i="5"/>
  <c r="AD68" i="5"/>
  <c r="AE68" i="5"/>
  <c r="AF68" i="5"/>
  <c r="AG68" i="5"/>
  <c r="AH68" i="5"/>
  <c r="AI68" i="5"/>
  <c r="AJ68" i="5"/>
  <c r="AK68" i="5"/>
  <c r="AL68" i="5"/>
  <c r="AM68" i="5"/>
  <c r="AN68" i="5"/>
  <c r="AO68" i="5"/>
  <c r="AP68" i="5"/>
  <c r="AQ68" i="5"/>
  <c r="AR68" i="5"/>
  <c r="AS68" i="5"/>
  <c r="AT68" i="5"/>
  <c r="AU68" i="5"/>
  <c r="AV68" i="5"/>
  <c r="AW68" i="5"/>
  <c r="AX68" i="5"/>
  <c r="AY68" i="5"/>
  <c r="AA69" i="5"/>
  <c r="AB69" i="5"/>
  <c r="AC69" i="5"/>
  <c r="AD69" i="5"/>
  <c r="AE69" i="5"/>
  <c r="AF69" i="5"/>
  <c r="AG69" i="5"/>
  <c r="AH69" i="5"/>
  <c r="AI69" i="5"/>
  <c r="AJ69" i="5"/>
  <c r="AK69" i="5"/>
  <c r="AL69" i="5"/>
  <c r="AM69" i="5"/>
  <c r="AN69" i="5"/>
  <c r="AO69" i="5"/>
  <c r="AP69" i="5"/>
  <c r="AQ69" i="5"/>
  <c r="AR69" i="5"/>
  <c r="AS69" i="5"/>
  <c r="AT69" i="5"/>
  <c r="AU69" i="5"/>
  <c r="AV69" i="5"/>
  <c r="AW69" i="5"/>
  <c r="AX69" i="5"/>
  <c r="AY69" i="5"/>
  <c r="AA71" i="5"/>
  <c r="AB71" i="5"/>
  <c r="AC71" i="5"/>
  <c r="AD71" i="5"/>
  <c r="AE71" i="5"/>
  <c r="AF71" i="5"/>
  <c r="AG71" i="5"/>
  <c r="AH71" i="5"/>
  <c r="AI71" i="5"/>
  <c r="AJ71" i="5"/>
  <c r="AK71" i="5"/>
  <c r="AL71" i="5"/>
  <c r="AM71" i="5"/>
  <c r="AN71" i="5"/>
  <c r="AO71" i="5"/>
  <c r="AP71" i="5"/>
  <c r="AQ71" i="5"/>
  <c r="AR71" i="5"/>
  <c r="AS71" i="5"/>
  <c r="AT71" i="5"/>
  <c r="AU71" i="5"/>
  <c r="AV71" i="5"/>
  <c r="AW71" i="5"/>
  <c r="AX71" i="5"/>
  <c r="AY71" i="5"/>
  <c r="AE75" i="5"/>
  <c r="AF75" i="5"/>
  <c r="AG75" i="5"/>
  <c r="AH75" i="5"/>
  <c r="AI75" i="5"/>
  <c r="AJ75" i="5"/>
  <c r="AK75" i="5"/>
  <c r="AL75" i="5"/>
  <c r="AM75" i="5"/>
  <c r="AN75" i="5"/>
  <c r="AO75" i="5"/>
  <c r="AP75" i="5"/>
  <c r="AQ75" i="5"/>
  <c r="AR75" i="5"/>
  <c r="AS75" i="5"/>
  <c r="AT75" i="5"/>
  <c r="AU75" i="5"/>
  <c r="AV75" i="5"/>
  <c r="AW75" i="5"/>
  <c r="AX75" i="5"/>
  <c r="AY75" i="5"/>
  <c r="AF76" i="5"/>
  <c r="AG76" i="5"/>
  <c r="AH76" i="5"/>
  <c r="AI76" i="5"/>
  <c r="AJ76" i="5"/>
  <c r="AK76" i="5"/>
  <c r="AL76" i="5"/>
  <c r="AM76" i="5"/>
  <c r="AN76" i="5"/>
  <c r="AO76" i="5"/>
  <c r="AP76" i="5"/>
  <c r="AQ76" i="5"/>
  <c r="AR76" i="5"/>
  <c r="AS76" i="5"/>
  <c r="AT76" i="5"/>
  <c r="AU76" i="5"/>
  <c r="AV76" i="5"/>
  <c r="AW76" i="5"/>
  <c r="AX76" i="5"/>
  <c r="AY76" i="5"/>
  <c r="AE77" i="5"/>
  <c r="AF77" i="5"/>
  <c r="AG77" i="5"/>
  <c r="AH77" i="5"/>
  <c r="AI77" i="5"/>
  <c r="AJ77" i="5"/>
  <c r="AK77" i="5"/>
  <c r="AL77" i="5"/>
  <c r="AM77" i="5"/>
  <c r="AN77" i="5"/>
  <c r="AO77" i="5"/>
  <c r="AP77" i="5"/>
  <c r="AQ77" i="5"/>
  <c r="AR77" i="5"/>
  <c r="AS77" i="5"/>
  <c r="AT77" i="5"/>
  <c r="AU77" i="5"/>
  <c r="AV77" i="5"/>
  <c r="AW77" i="5"/>
  <c r="AX77" i="5"/>
  <c r="AY77" i="5"/>
  <c r="AE79" i="5"/>
  <c r="AF79" i="5"/>
  <c r="AG79" i="5"/>
  <c r="AH79" i="5"/>
  <c r="AI79" i="5"/>
  <c r="AJ79" i="5"/>
  <c r="AK79" i="5"/>
  <c r="AL79" i="5"/>
  <c r="AM79" i="5"/>
  <c r="AN79" i="5"/>
  <c r="AO79" i="5"/>
  <c r="AP79" i="5"/>
  <c r="AQ79" i="5"/>
  <c r="AR79" i="5"/>
  <c r="AS79" i="5"/>
  <c r="AT79" i="5"/>
  <c r="AU79" i="5"/>
  <c r="AV79" i="5"/>
  <c r="AW79" i="5"/>
  <c r="AX79" i="5"/>
  <c r="AY79" i="5"/>
  <c r="AH83" i="5"/>
  <c r="AI83" i="5"/>
  <c r="AJ83" i="5"/>
  <c r="AK83" i="5"/>
  <c r="AL83" i="5"/>
  <c r="AM83" i="5"/>
  <c r="AN83" i="5"/>
  <c r="AO83" i="5"/>
  <c r="AP83" i="5"/>
  <c r="AQ83" i="5"/>
  <c r="AR83" i="5"/>
  <c r="AS83" i="5"/>
  <c r="AT83" i="5"/>
  <c r="AU83" i="5"/>
  <c r="AV83" i="5"/>
  <c r="AW83" i="5"/>
  <c r="AX83" i="5"/>
  <c r="AY83" i="5"/>
  <c r="AI84" i="5"/>
  <c r="AJ84" i="5"/>
  <c r="AK84" i="5"/>
  <c r="AL84" i="5"/>
  <c r="AM84" i="5"/>
  <c r="AN84" i="5"/>
  <c r="AO84" i="5"/>
  <c r="AP84" i="5"/>
  <c r="AQ84" i="5"/>
  <c r="AR84" i="5"/>
  <c r="AS84" i="5"/>
  <c r="AT84" i="5"/>
  <c r="AU84" i="5"/>
  <c r="AV84" i="5"/>
  <c r="AW84" i="5"/>
  <c r="AX84" i="5"/>
  <c r="AY84" i="5"/>
  <c r="AH85" i="5"/>
  <c r="AI85" i="5"/>
  <c r="AJ85" i="5"/>
  <c r="AK85" i="5"/>
  <c r="AL85" i="5"/>
  <c r="AM85" i="5"/>
  <c r="AN85" i="5"/>
  <c r="AO85" i="5"/>
  <c r="AP85" i="5"/>
  <c r="AQ85" i="5"/>
  <c r="AR85" i="5"/>
  <c r="AS85" i="5"/>
  <c r="AT85" i="5"/>
  <c r="AU85" i="5"/>
  <c r="AV85" i="5"/>
  <c r="AW85" i="5"/>
  <c r="AX85" i="5"/>
  <c r="AY85" i="5"/>
  <c r="AH87" i="5"/>
  <c r="AI87" i="5"/>
  <c r="AJ87" i="5"/>
  <c r="AK87" i="5"/>
  <c r="AL87" i="5"/>
  <c r="AM87" i="5"/>
  <c r="AN87" i="5"/>
  <c r="AO87" i="5"/>
  <c r="AP87" i="5"/>
  <c r="AQ87" i="5"/>
  <c r="AR87" i="5"/>
  <c r="AS87" i="5"/>
  <c r="AT87" i="5"/>
  <c r="AU87" i="5"/>
  <c r="AV87" i="5"/>
  <c r="AW87" i="5"/>
  <c r="AX87" i="5"/>
  <c r="AY87" i="5"/>
  <c r="AF91" i="5"/>
  <c r="AG91" i="5"/>
  <c r="AH91" i="5"/>
  <c r="AI91" i="5"/>
  <c r="AJ91" i="5"/>
  <c r="AK91" i="5"/>
  <c r="AL91" i="5"/>
  <c r="AM91" i="5"/>
  <c r="AN91" i="5"/>
  <c r="AO91" i="5"/>
  <c r="AP91" i="5"/>
  <c r="AQ91" i="5"/>
  <c r="AR91" i="5"/>
  <c r="AS91" i="5"/>
  <c r="AT91" i="5"/>
  <c r="AU91" i="5"/>
  <c r="AV91" i="5"/>
  <c r="AW91" i="5"/>
  <c r="AX91" i="5"/>
  <c r="AY91" i="5"/>
  <c r="AG92" i="5"/>
  <c r="AH92" i="5"/>
  <c r="AI92" i="5"/>
  <c r="AJ92" i="5"/>
  <c r="AK92" i="5"/>
  <c r="AL92" i="5"/>
  <c r="AM92" i="5"/>
  <c r="AN92" i="5"/>
  <c r="AO92" i="5"/>
  <c r="AP92" i="5"/>
  <c r="AQ92" i="5"/>
  <c r="AR92" i="5"/>
  <c r="AS92" i="5"/>
  <c r="AT92" i="5"/>
  <c r="AU92" i="5"/>
  <c r="AV92" i="5"/>
  <c r="AW92" i="5"/>
  <c r="AX92" i="5"/>
  <c r="AY92" i="5"/>
  <c r="AF93" i="5"/>
  <c r="AG93" i="5"/>
  <c r="AH93" i="5"/>
  <c r="AI93" i="5"/>
  <c r="AJ93" i="5"/>
  <c r="AK93" i="5"/>
  <c r="AL93" i="5"/>
  <c r="AM93" i="5"/>
  <c r="AN93" i="5"/>
  <c r="AO93" i="5"/>
  <c r="AP93" i="5"/>
  <c r="AQ93" i="5"/>
  <c r="AR93" i="5"/>
  <c r="AS93" i="5"/>
  <c r="AT93" i="5"/>
  <c r="AU93" i="5"/>
  <c r="AV93" i="5"/>
  <c r="AW93" i="5"/>
  <c r="AX93" i="5"/>
  <c r="AY93" i="5"/>
  <c r="AF95" i="5"/>
  <c r="AG95" i="5"/>
  <c r="AH95" i="5"/>
  <c r="AI95" i="5"/>
  <c r="AJ95" i="5"/>
  <c r="AK95" i="5"/>
  <c r="AL95" i="5"/>
  <c r="AM95" i="5"/>
  <c r="AN95" i="5"/>
  <c r="AO95" i="5"/>
  <c r="AP95" i="5"/>
  <c r="AQ95" i="5"/>
  <c r="AR95" i="5"/>
  <c r="AS95" i="5"/>
  <c r="AT95" i="5"/>
  <c r="AU95" i="5"/>
  <c r="AV95" i="5"/>
  <c r="AW95" i="5"/>
  <c r="AX95" i="5"/>
  <c r="AY95" i="5"/>
  <c r="AJ99" i="5"/>
  <c r="AK99" i="5"/>
  <c r="AL99" i="5"/>
  <c r="AM99" i="5"/>
  <c r="AN99" i="5"/>
  <c r="AO99" i="5"/>
  <c r="AP99" i="5"/>
  <c r="AQ99" i="5"/>
  <c r="AR99" i="5"/>
  <c r="AS99" i="5"/>
  <c r="AT99" i="5"/>
  <c r="AU99" i="5"/>
  <c r="AV99" i="5"/>
  <c r="AW99" i="5"/>
  <c r="AX99" i="5"/>
  <c r="AY99" i="5"/>
  <c r="AK100" i="5"/>
  <c r="AL100" i="5"/>
  <c r="AM100" i="5"/>
  <c r="AN100" i="5"/>
  <c r="AO100" i="5"/>
  <c r="AP100" i="5"/>
  <c r="AQ100" i="5"/>
  <c r="AR100" i="5"/>
  <c r="AS100" i="5"/>
  <c r="AT100" i="5"/>
  <c r="AU100" i="5"/>
  <c r="AV100" i="5"/>
  <c r="AW100" i="5"/>
  <c r="AX100" i="5"/>
  <c r="AY100" i="5"/>
  <c r="AJ101" i="5"/>
  <c r="AK101" i="5"/>
  <c r="AL101" i="5"/>
  <c r="AM101" i="5"/>
  <c r="AN101" i="5"/>
  <c r="AO101" i="5"/>
  <c r="AP101" i="5"/>
  <c r="AQ101" i="5"/>
  <c r="AR101" i="5"/>
  <c r="AS101" i="5"/>
  <c r="AT101" i="5"/>
  <c r="AU101" i="5"/>
  <c r="AV101" i="5"/>
  <c r="AW101" i="5"/>
  <c r="AX101" i="5"/>
  <c r="AY101" i="5"/>
  <c r="AJ103" i="5"/>
  <c r="AK103" i="5"/>
  <c r="AL103" i="5"/>
  <c r="AM103" i="5"/>
  <c r="AN103" i="5"/>
  <c r="AO103" i="5"/>
  <c r="AP103" i="5"/>
  <c r="AQ103" i="5"/>
  <c r="AR103" i="5"/>
  <c r="AS103" i="5"/>
  <c r="AT103" i="5"/>
  <c r="AU103" i="5"/>
  <c r="AV103" i="5"/>
  <c r="AW103" i="5"/>
  <c r="AX103" i="5"/>
  <c r="AY103" i="5"/>
  <c r="AM107" i="5"/>
  <c r="AN107" i="5"/>
  <c r="AO107" i="5"/>
  <c r="AP107" i="5"/>
  <c r="AQ107" i="5"/>
  <c r="AR107" i="5"/>
  <c r="AS107" i="5"/>
  <c r="AT107" i="5"/>
  <c r="AU107" i="5"/>
  <c r="AV107" i="5"/>
  <c r="AW107" i="5"/>
  <c r="AX107" i="5"/>
  <c r="AY107" i="5"/>
  <c r="AN108" i="5"/>
  <c r="AO108" i="5"/>
  <c r="AP108" i="5"/>
  <c r="AQ108" i="5"/>
  <c r="AR108" i="5"/>
  <c r="AS108" i="5"/>
  <c r="AT108" i="5"/>
  <c r="AU108" i="5"/>
  <c r="AV108" i="5"/>
  <c r="AW108" i="5"/>
  <c r="AX108" i="5"/>
  <c r="AY108" i="5"/>
  <c r="AM109" i="5"/>
  <c r="AN109" i="5"/>
  <c r="AO109" i="5"/>
  <c r="AP109" i="5"/>
  <c r="AQ109" i="5"/>
  <c r="AR109" i="5"/>
  <c r="AS109" i="5"/>
  <c r="AT109" i="5"/>
  <c r="AU109" i="5"/>
  <c r="AV109" i="5"/>
  <c r="AW109" i="5"/>
  <c r="AX109" i="5"/>
  <c r="AY109" i="5"/>
  <c r="AM111" i="5"/>
  <c r="AN111" i="5"/>
  <c r="AO111" i="5"/>
  <c r="AP111" i="5"/>
  <c r="AQ111" i="5"/>
  <c r="AR111" i="5"/>
  <c r="AS111" i="5"/>
  <c r="AT111" i="5"/>
  <c r="AU111" i="5"/>
  <c r="AV111" i="5"/>
  <c r="AW111" i="5"/>
  <c r="AX111" i="5"/>
  <c r="AY111" i="5"/>
  <c r="AO115" i="5"/>
  <c r="AP115" i="5"/>
  <c r="AQ115" i="5"/>
  <c r="AR115" i="5"/>
  <c r="AS115" i="5"/>
  <c r="AT115" i="5"/>
  <c r="AU115" i="5"/>
  <c r="AV115" i="5"/>
  <c r="AW115" i="5"/>
  <c r="AX115" i="5"/>
  <c r="AY115" i="5"/>
  <c r="AP116" i="5"/>
  <c r="AQ116" i="5"/>
  <c r="AR116" i="5"/>
  <c r="AS116" i="5"/>
  <c r="AT116" i="5"/>
  <c r="AU116" i="5"/>
  <c r="AV116" i="5"/>
  <c r="AW116" i="5"/>
  <c r="AX116" i="5"/>
  <c r="AY116" i="5"/>
  <c r="AO117" i="5"/>
  <c r="AP117" i="5"/>
  <c r="AQ117" i="5"/>
  <c r="AR117" i="5"/>
  <c r="AS117" i="5"/>
  <c r="AT117" i="5"/>
  <c r="AU117" i="5"/>
  <c r="AV117" i="5"/>
  <c r="AW117" i="5"/>
  <c r="AX117" i="5"/>
  <c r="AY117" i="5"/>
  <c r="AO119" i="5"/>
  <c r="AP119" i="5"/>
  <c r="AQ119" i="5"/>
  <c r="AR119" i="5"/>
  <c r="AS119" i="5"/>
  <c r="AT119" i="5"/>
  <c r="AU119" i="5"/>
  <c r="AV119" i="5"/>
  <c r="AW119" i="5"/>
  <c r="AX119" i="5"/>
  <c r="AY119" i="5"/>
  <c r="AA121" i="5"/>
  <c r="AB121" i="5"/>
  <c r="AC121" i="5"/>
  <c r="AD121" i="5"/>
  <c r="AE121" i="5"/>
  <c r="AF121" i="5"/>
  <c r="AG121" i="5"/>
  <c r="AH121" i="5"/>
  <c r="AI121" i="5"/>
  <c r="AJ121" i="5"/>
  <c r="AK121" i="5"/>
  <c r="AL121" i="5"/>
  <c r="AM121" i="5"/>
  <c r="AN121" i="5"/>
  <c r="AO121" i="5"/>
  <c r="AP121" i="5"/>
  <c r="AQ121" i="5"/>
  <c r="AR121" i="5"/>
  <c r="AS121" i="5"/>
  <c r="AT121" i="5"/>
  <c r="AU121" i="5"/>
  <c r="AV121" i="5"/>
  <c r="AW121" i="5"/>
  <c r="AX121" i="5"/>
  <c r="AY121" i="5"/>
  <c r="AA122" i="5"/>
  <c r="AB122" i="5"/>
  <c r="AC122" i="5"/>
  <c r="AD122" i="5"/>
  <c r="AE122" i="5"/>
  <c r="AF122" i="5"/>
  <c r="AG122" i="5"/>
  <c r="AH122" i="5"/>
  <c r="AI122" i="5"/>
  <c r="AJ122" i="5"/>
  <c r="AK122" i="5"/>
  <c r="AL122" i="5"/>
  <c r="AM122" i="5"/>
  <c r="AN122" i="5"/>
  <c r="AO122" i="5"/>
  <c r="AP122" i="5"/>
  <c r="AQ122" i="5"/>
  <c r="AR122" i="5"/>
  <c r="AS122" i="5"/>
  <c r="AT122" i="5"/>
  <c r="AU122" i="5"/>
  <c r="AV122" i="5"/>
  <c r="AW122" i="5"/>
  <c r="AX122" i="5"/>
  <c r="AY122" i="5"/>
  <c r="AA123" i="5"/>
  <c r="AB123" i="5"/>
  <c r="AC123" i="5"/>
  <c r="AD123" i="5"/>
  <c r="AE123" i="5"/>
  <c r="AF123" i="5"/>
  <c r="AG123" i="5"/>
  <c r="AH123" i="5"/>
  <c r="AI123" i="5"/>
  <c r="AJ123" i="5"/>
  <c r="AK123" i="5"/>
  <c r="AL123" i="5"/>
  <c r="AM123" i="5"/>
  <c r="AN123" i="5"/>
  <c r="AO123" i="5"/>
  <c r="AP123" i="5"/>
  <c r="AQ123" i="5"/>
  <c r="AR123" i="5"/>
  <c r="AS123" i="5"/>
  <c r="AT123" i="5"/>
  <c r="AU123" i="5"/>
  <c r="AV123" i="5"/>
  <c r="AW123" i="5"/>
  <c r="AX123" i="5"/>
  <c r="AY123" i="5"/>
  <c r="AB124" i="5"/>
  <c r="AC124" i="5"/>
  <c r="AD124" i="5"/>
  <c r="AE124" i="5"/>
  <c r="AF124" i="5"/>
  <c r="AG124" i="5"/>
  <c r="AH124" i="5"/>
  <c r="AI124" i="5"/>
  <c r="AJ124" i="5"/>
  <c r="AK124" i="5"/>
  <c r="AL124" i="5"/>
  <c r="AM124" i="5"/>
  <c r="AN124" i="5"/>
  <c r="AO124" i="5"/>
  <c r="AP124" i="5"/>
  <c r="AQ124" i="5"/>
  <c r="AR124" i="5"/>
  <c r="AS124" i="5"/>
  <c r="AT124" i="5"/>
  <c r="AU124" i="5"/>
  <c r="AV124" i="5"/>
  <c r="AW124" i="5"/>
  <c r="AX124" i="5"/>
  <c r="AY124" i="5"/>
  <c r="AA125" i="5"/>
  <c r="AB125" i="5"/>
  <c r="AC125" i="5"/>
  <c r="AD125" i="5"/>
  <c r="AE125" i="5"/>
  <c r="AF125" i="5"/>
  <c r="AG125" i="5"/>
  <c r="AH125" i="5"/>
  <c r="AI125" i="5"/>
  <c r="AJ125" i="5"/>
  <c r="AK125" i="5"/>
  <c r="AL125" i="5"/>
  <c r="AM125" i="5"/>
  <c r="AN125" i="5"/>
  <c r="AO125" i="5"/>
  <c r="AP125" i="5"/>
  <c r="AQ125" i="5"/>
  <c r="AR125" i="5"/>
  <c r="AS125" i="5"/>
  <c r="AT125" i="5"/>
  <c r="AU125" i="5"/>
  <c r="AV125" i="5"/>
  <c r="AW125" i="5"/>
  <c r="AX125" i="5"/>
  <c r="AY125" i="5"/>
  <c r="AA126" i="5"/>
  <c r="AB126" i="5"/>
  <c r="AC126" i="5"/>
  <c r="AD126" i="5"/>
  <c r="AE126" i="5"/>
  <c r="AF126" i="5"/>
  <c r="AG126" i="5"/>
  <c r="AH126" i="5"/>
  <c r="AI126" i="5"/>
  <c r="AJ126" i="5"/>
  <c r="AK126" i="5"/>
  <c r="AL126" i="5"/>
  <c r="AM126" i="5"/>
  <c r="AN126" i="5"/>
  <c r="AA127" i="5"/>
  <c r="AB127" i="5"/>
  <c r="AC127" i="5"/>
  <c r="AD127" i="5"/>
  <c r="AE127" i="5"/>
  <c r="AF127" i="5"/>
  <c r="AG127" i="5"/>
  <c r="AH127" i="5"/>
  <c r="AI127" i="5"/>
  <c r="AJ127" i="5"/>
  <c r="AK127" i="5"/>
  <c r="AL127" i="5"/>
  <c r="AM127" i="5"/>
  <c r="AN127" i="5"/>
  <c r="AO127" i="5"/>
  <c r="AP127" i="5"/>
  <c r="AQ127" i="5"/>
  <c r="AR127" i="5"/>
  <c r="AS127" i="5"/>
  <c r="AT127" i="5"/>
  <c r="AU127" i="5"/>
  <c r="AV127" i="5"/>
  <c r="AW127" i="5"/>
  <c r="AX127" i="5"/>
  <c r="AY127" i="5"/>
  <c r="L131" i="5"/>
  <c r="M131" i="5"/>
  <c r="N131" i="5"/>
  <c r="AD131" i="5"/>
  <c r="AE131" i="5"/>
  <c r="AF131" i="5"/>
  <c r="AG131" i="5"/>
  <c r="AH131" i="5"/>
  <c r="AI131" i="5"/>
  <c r="AJ131" i="5"/>
  <c r="AK131" i="5"/>
  <c r="AL131" i="5"/>
  <c r="AM131" i="5"/>
  <c r="AN131" i="5"/>
  <c r="AO131" i="5"/>
  <c r="AP131" i="5"/>
  <c r="AQ131" i="5"/>
  <c r="AR131" i="5"/>
  <c r="AS131" i="5"/>
  <c r="AT131" i="5"/>
  <c r="AU131" i="5"/>
  <c r="AV131" i="5"/>
  <c r="AW131" i="5"/>
  <c r="AX131" i="5"/>
  <c r="AY131" i="5"/>
  <c r="AD134" i="5"/>
  <c r="AE134" i="5"/>
  <c r="AF134" i="5"/>
  <c r="AG134" i="5"/>
  <c r="AH134" i="5"/>
  <c r="AI134" i="5"/>
  <c r="AJ134" i="5"/>
  <c r="AK134" i="5"/>
  <c r="AL134" i="5"/>
  <c r="AM134" i="5"/>
  <c r="AN134" i="5"/>
  <c r="AO134" i="5"/>
  <c r="AP134" i="5"/>
  <c r="AQ134" i="5"/>
  <c r="AR134" i="5"/>
  <c r="AS134" i="5"/>
  <c r="AT134" i="5"/>
  <c r="AU134" i="5"/>
  <c r="AV134" i="5"/>
  <c r="AW134" i="5"/>
  <c r="AX134" i="5"/>
  <c r="AY134" i="5"/>
  <c r="AD136" i="5"/>
  <c r="AE136" i="5"/>
  <c r="AF136" i="5"/>
  <c r="AG136" i="5"/>
  <c r="AH136" i="5"/>
  <c r="AI136" i="5"/>
  <c r="AJ136" i="5"/>
  <c r="AK136" i="5"/>
  <c r="AL136" i="5"/>
  <c r="AM136" i="5"/>
  <c r="AN136" i="5"/>
  <c r="AO136" i="5"/>
  <c r="AP136" i="5"/>
  <c r="AQ136" i="5"/>
  <c r="AR136" i="5"/>
  <c r="AS136" i="5"/>
  <c r="AT136" i="5"/>
  <c r="AU136" i="5"/>
  <c r="AV136" i="5"/>
  <c r="AW136" i="5"/>
  <c r="AX136" i="5"/>
  <c r="AY136" i="5"/>
  <c r="L138" i="5"/>
  <c r="M138" i="5"/>
  <c r="N138" i="5"/>
  <c r="AP138" i="5"/>
  <c r="AQ138" i="5"/>
  <c r="AR138" i="5"/>
  <c r="AS138" i="5"/>
  <c r="AT138" i="5"/>
  <c r="AU138" i="5"/>
  <c r="AV138" i="5"/>
  <c r="AW138" i="5"/>
  <c r="AX138" i="5"/>
  <c r="AY138" i="5"/>
  <c r="L140" i="5"/>
  <c r="M140" i="5"/>
  <c r="N140" i="5"/>
  <c r="AP140" i="5"/>
  <c r="AQ140" i="5"/>
  <c r="AR140" i="5"/>
  <c r="AS140" i="5"/>
  <c r="AT140" i="5"/>
  <c r="AU140" i="5"/>
  <c r="AV140" i="5"/>
  <c r="AW140" i="5"/>
  <c r="AX140" i="5"/>
  <c r="AY140" i="5"/>
  <c r="L141" i="5"/>
  <c r="M141" i="5"/>
  <c r="N141" i="5"/>
  <c r="AD141" i="5"/>
  <c r="AE141" i="5"/>
  <c r="AF141" i="5"/>
  <c r="AG141" i="5"/>
  <c r="AH141" i="5"/>
  <c r="AI141" i="5"/>
  <c r="AJ141" i="5"/>
  <c r="AK141" i="5"/>
  <c r="AL141" i="5"/>
  <c r="AM141" i="5"/>
  <c r="AN141" i="5"/>
  <c r="AO141" i="5"/>
  <c r="AP141" i="5"/>
  <c r="AQ141" i="5"/>
  <c r="AR141" i="5"/>
  <c r="AS141" i="5"/>
  <c r="AT141" i="5"/>
  <c r="AU141" i="5"/>
  <c r="AV141" i="5"/>
  <c r="AW141" i="5"/>
  <c r="AX141" i="5"/>
  <c r="AY141" i="5"/>
  <c r="L142" i="5"/>
  <c r="M142" i="5"/>
  <c r="N142" i="5"/>
  <c r="AD142" i="5"/>
  <c r="AE142" i="5"/>
  <c r="AF142" i="5"/>
  <c r="AG142" i="5"/>
  <c r="AH142" i="5"/>
  <c r="AI142" i="5"/>
  <c r="AJ142" i="5"/>
  <c r="AK142" i="5"/>
  <c r="AL142" i="5"/>
  <c r="AM142" i="5"/>
  <c r="AN142" i="5"/>
  <c r="AO142" i="5"/>
  <c r="AP142" i="5"/>
  <c r="AQ142" i="5"/>
  <c r="AR142" i="5"/>
  <c r="AS142" i="5"/>
  <c r="AT142" i="5"/>
  <c r="AU142" i="5"/>
  <c r="AV142" i="5"/>
  <c r="AW142" i="5"/>
  <c r="AX142" i="5"/>
  <c r="AY142" i="5"/>
  <c r="L143" i="5"/>
  <c r="M143" i="5"/>
  <c r="N143" i="5"/>
  <c r="AP143" i="5"/>
  <c r="AQ143" i="5"/>
  <c r="AR143" i="5"/>
  <c r="AS143" i="5"/>
  <c r="AT143" i="5"/>
  <c r="AU143" i="5"/>
  <c r="AV143" i="5"/>
  <c r="AW143" i="5"/>
  <c r="AX143" i="5"/>
  <c r="AY143" i="5"/>
  <c r="L144" i="5"/>
  <c r="M144" i="5"/>
  <c r="N144" i="5"/>
  <c r="AD144" i="5"/>
  <c r="AE144" i="5"/>
  <c r="AF144" i="5"/>
  <c r="AG144" i="5"/>
  <c r="AH144" i="5"/>
  <c r="AI144" i="5"/>
  <c r="AJ144" i="5"/>
  <c r="AK144" i="5"/>
  <c r="AL144" i="5"/>
  <c r="AM144" i="5"/>
  <c r="AN144" i="5"/>
  <c r="AO144" i="5"/>
  <c r="AP144" i="5"/>
  <c r="AQ144" i="5"/>
  <c r="AR144" i="5"/>
  <c r="AS144" i="5"/>
  <c r="AT144" i="5"/>
  <c r="AU144" i="5"/>
  <c r="AV144" i="5"/>
  <c r="AW144" i="5"/>
  <c r="AX144" i="5"/>
  <c r="AY144" i="5"/>
  <c r="AP146" i="5"/>
  <c r="AQ146" i="5"/>
  <c r="AR146" i="5"/>
  <c r="AS146" i="5"/>
  <c r="AT146" i="5"/>
  <c r="AU146" i="5"/>
  <c r="AV146" i="5"/>
  <c r="AW146" i="5"/>
  <c r="AX146" i="5"/>
  <c r="AY146" i="5"/>
  <c r="L6" i="2"/>
  <c r="M6" i="2"/>
  <c r="N6" i="2"/>
  <c r="AP6" i="2"/>
  <c r="AQ6" i="2"/>
  <c r="AR6" i="2"/>
  <c r="AS6" i="2"/>
  <c r="AT6" i="2"/>
  <c r="AU6" i="2"/>
  <c r="AV6" i="2"/>
  <c r="AW6" i="2"/>
  <c r="AX6" i="2"/>
  <c r="AY6" i="2"/>
  <c r="L8" i="2"/>
  <c r="M8" i="2"/>
  <c r="N8" i="2"/>
  <c r="AP8" i="2"/>
  <c r="AQ8" i="2"/>
  <c r="AR8" i="2"/>
  <c r="AS8" i="2"/>
  <c r="AT8" i="2"/>
  <c r="AU8" i="2"/>
  <c r="AV8" i="2"/>
  <c r="AW8" i="2"/>
  <c r="AX8" i="2"/>
  <c r="AY8" i="2"/>
  <c r="L29" i="2"/>
  <c r="M29" i="2"/>
  <c r="N29" i="2"/>
  <c r="AP29" i="2"/>
  <c r="AQ29" i="2"/>
  <c r="AR29" i="2"/>
  <c r="AS29" i="2"/>
  <c r="AT29" i="2"/>
  <c r="AU29" i="2"/>
  <c r="AV29" i="2"/>
  <c r="AW29" i="2"/>
  <c r="AX29" i="2"/>
  <c r="AY29" i="2"/>
  <c r="L38" i="2"/>
  <c r="M38" i="2"/>
  <c r="N38" i="2"/>
  <c r="AP38" i="2"/>
  <c r="AQ38" i="2"/>
  <c r="AR38" i="2"/>
  <c r="AS38" i="2"/>
  <c r="AT38" i="2"/>
  <c r="AU38" i="2"/>
  <c r="AV38" i="2"/>
  <c r="AW38" i="2"/>
  <c r="AX38" i="2"/>
  <c r="AY38" i="2"/>
  <c r="L44" i="2"/>
  <c r="M44" i="2"/>
  <c r="N44" i="2"/>
  <c r="AP44" i="2"/>
  <c r="AQ44" i="2"/>
  <c r="AR44" i="2"/>
  <c r="AS44" i="2"/>
  <c r="AT44" i="2"/>
  <c r="AU44" i="2"/>
  <c r="AV44" i="2"/>
  <c r="AW44" i="2"/>
  <c r="AX44" i="2"/>
  <c r="AY44" i="2"/>
  <c r="L50" i="2"/>
  <c r="M50" i="2"/>
  <c r="N50" i="2"/>
  <c r="AP50" i="2"/>
  <c r="AQ50" i="2"/>
  <c r="AR50" i="2"/>
  <c r="AS50" i="2"/>
  <c r="AT50" i="2"/>
  <c r="AU50" i="2"/>
  <c r="AV50" i="2"/>
  <c r="AW50" i="2"/>
  <c r="AX50" i="2"/>
  <c r="AY50" i="2"/>
  <c r="M51" i="2"/>
  <c r="N51" i="2"/>
  <c r="AQ51" i="2"/>
  <c r="AR51" i="2"/>
  <c r="AS51" i="2"/>
  <c r="AT51" i="2"/>
  <c r="AU51" i="2"/>
  <c r="AV51" i="2"/>
  <c r="AW51" i="2"/>
  <c r="AX51" i="2"/>
  <c r="AY51" i="2"/>
  <c r="L53" i="2"/>
  <c r="M53" i="2"/>
  <c r="N53" i="2"/>
  <c r="AP53" i="2"/>
  <c r="AQ53" i="2"/>
  <c r="AR53" i="2"/>
  <c r="AS53" i="2"/>
  <c r="AT53" i="2"/>
  <c r="AU53" i="2"/>
  <c r="AV53" i="2"/>
  <c r="AW53" i="2"/>
  <c r="AX53" i="2"/>
  <c r="AY53" i="2"/>
  <c r="L57" i="2"/>
  <c r="M57" i="2"/>
  <c r="N57" i="2"/>
  <c r="AP57" i="2"/>
  <c r="AQ57" i="2"/>
  <c r="AR57" i="2"/>
  <c r="AS57" i="2"/>
  <c r="AT57" i="2"/>
  <c r="AU57" i="2"/>
  <c r="AV57" i="2"/>
  <c r="AW57" i="2"/>
  <c r="AX57" i="2"/>
  <c r="AY57" i="2"/>
  <c r="L59" i="2"/>
  <c r="M59" i="2"/>
  <c r="N59" i="2"/>
  <c r="AP59" i="2"/>
  <c r="AQ59" i="2"/>
  <c r="AR59" i="2"/>
  <c r="AS59" i="2"/>
  <c r="AT59" i="2"/>
  <c r="AU59" i="2"/>
  <c r="AV59" i="2"/>
  <c r="AW59" i="2"/>
  <c r="AX59" i="2"/>
  <c r="AY59" i="2"/>
  <c r="L60" i="2"/>
  <c r="M60" i="2"/>
  <c r="N60" i="2"/>
  <c r="AP60" i="2"/>
  <c r="AQ60" i="2"/>
  <c r="AR60" i="2"/>
  <c r="AS60" i="2"/>
  <c r="AT60" i="2"/>
  <c r="AU60" i="2"/>
  <c r="AV60" i="2"/>
  <c r="AW60" i="2"/>
  <c r="AX60" i="2"/>
  <c r="AY60" i="2"/>
  <c r="AP61" i="2"/>
  <c r="AQ61" i="2"/>
  <c r="AR61" i="2"/>
  <c r="AS61" i="2"/>
  <c r="AT61" i="2"/>
  <c r="AU61" i="2"/>
  <c r="AV61" i="2"/>
  <c r="AW61" i="2"/>
  <c r="AX61" i="2"/>
  <c r="AY61" i="2"/>
  <c r="L63" i="2"/>
  <c r="M63" i="2"/>
  <c r="N63" i="2"/>
  <c r="AP63" i="2"/>
  <c r="AQ63" i="2"/>
  <c r="AR63" i="2"/>
  <c r="AS63" i="2"/>
  <c r="AT63" i="2"/>
  <c r="AU63" i="2"/>
  <c r="AV63" i="2"/>
  <c r="AW63" i="2"/>
  <c r="AX63" i="2"/>
  <c r="AY63" i="2"/>
  <c r="L65" i="2"/>
  <c r="M65" i="2"/>
  <c r="N65" i="2"/>
  <c r="AP65" i="2"/>
  <c r="AQ65" i="2"/>
  <c r="AR65" i="2"/>
  <c r="AS65" i="2"/>
  <c r="AT65" i="2"/>
  <c r="AU65" i="2"/>
  <c r="AV65" i="2"/>
  <c r="AW65" i="2"/>
  <c r="AX65" i="2"/>
  <c r="AY65" i="2"/>
  <c r="L66" i="2"/>
  <c r="M66" i="2"/>
  <c r="N66" i="2"/>
  <c r="AP66" i="2"/>
  <c r="AQ66" i="2"/>
  <c r="AR66" i="2"/>
  <c r="AS66" i="2"/>
  <c r="AT66" i="2"/>
  <c r="AU66" i="2"/>
  <c r="AV66" i="2"/>
  <c r="AW66" i="2"/>
  <c r="AX66" i="2"/>
  <c r="AY66" i="2"/>
  <c r="AP67" i="2"/>
  <c r="AQ67" i="2"/>
  <c r="AR67" i="2"/>
  <c r="AS67" i="2"/>
  <c r="AT67" i="2"/>
  <c r="AU67" i="2"/>
  <c r="AV67" i="2"/>
  <c r="AW67" i="2"/>
  <c r="AX67" i="2"/>
  <c r="AY67" i="2"/>
  <c r="L68" i="2"/>
  <c r="M68" i="2"/>
  <c r="N68" i="2"/>
  <c r="AP68" i="2"/>
  <c r="AQ68" i="2"/>
  <c r="AR68" i="2"/>
  <c r="AS68" i="2"/>
  <c r="AT68" i="2"/>
  <c r="AU68" i="2"/>
  <c r="AV68" i="2"/>
  <c r="AW68" i="2"/>
  <c r="AX68" i="2"/>
  <c r="AY68" i="2"/>
  <c r="L72" i="2"/>
  <c r="M72" i="2"/>
  <c r="N72" i="2"/>
  <c r="AP72" i="2"/>
  <c r="AQ72" i="2"/>
  <c r="AR72" i="2"/>
  <c r="AS72" i="2"/>
  <c r="AT72" i="2"/>
  <c r="AU72" i="2"/>
  <c r="AV72" i="2"/>
  <c r="AW72" i="2"/>
  <c r="AX72" i="2"/>
  <c r="AY72" i="2"/>
  <c r="L81" i="2"/>
  <c r="M81" i="2"/>
  <c r="N81" i="2"/>
  <c r="AP81" i="2"/>
  <c r="AQ81" i="2"/>
  <c r="AR81" i="2"/>
  <c r="AS81" i="2"/>
  <c r="AT81" i="2"/>
  <c r="AU81" i="2"/>
  <c r="AV81" i="2"/>
  <c r="AW81" i="2"/>
  <c r="AX81" i="2"/>
  <c r="AY81" i="2"/>
  <c r="L82" i="2"/>
  <c r="M82" i="2"/>
  <c r="N82" i="2"/>
  <c r="AP82" i="2"/>
  <c r="AQ82" i="2"/>
  <c r="AR82" i="2"/>
  <c r="AS82" i="2"/>
  <c r="AT82" i="2"/>
  <c r="AU82" i="2"/>
  <c r="AV82" i="2"/>
  <c r="AW82" i="2"/>
  <c r="AX82" i="2"/>
  <c r="AY82" i="2"/>
  <c r="L83" i="2"/>
  <c r="M83" i="2"/>
  <c r="N83" i="2"/>
  <c r="AP83" i="2"/>
  <c r="AQ83" i="2"/>
  <c r="AR83" i="2"/>
  <c r="AS83" i="2"/>
  <c r="AT83" i="2"/>
  <c r="AU83" i="2"/>
  <c r="AV83" i="2"/>
  <c r="AW83" i="2"/>
  <c r="AX83" i="2"/>
  <c r="AY83" i="2"/>
  <c r="D6" i="23"/>
  <c r="E6" i="23"/>
  <c r="H6" i="23"/>
  <c r="I6" i="23"/>
  <c r="D7" i="23"/>
  <c r="E7" i="23"/>
  <c r="H7" i="23"/>
  <c r="I7" i="23"/>
  <c r="L120" i="9"/>
  <c r="M120" i="9"/>
  <c r="N120" i="9"/>
  <c r="AP120" i="9"/>
  <c r="AQ120" i="9"/>
  <c r="AR120" i="9"/>
  <c r="AS120" i="9"/>
  <c r="AT120" i="9"/>
  <c r="AU120" i="9"/>
  <c r="AV120" i="9"/>
  <c r="AW120" i="9"/>
  <c r="AX120" i="9"/>
  <c r="AY120" i="9"/>
  <c r="L121" i="9"/>
  <c r="M121" i="9"/>
  <c r="N121" i="9"/>
  <c r="AP121" i="9"/>
  <c r="AQ121" i="9"/>
  <c r="AR121" i="9"/>
  <c r="AS121" i="9"/>
  <c r="AT121" i="9"/>
  <c r="AU121" i="9"/>
  <c r="AV121" i="9"/>
  <c r="AW121" i="9"/>
  <c r="AX121" i="9"/>
  <c r="AY121" i="9"/>
  <c r="L122" i="9"/>
  <c r="M122" i="9"/>
  <c r="N122" i="9"/>
  <c r="AP122" i="9"/>
  <c r="AQ122" i="9"/>
  <c r="AR122" i="9"/>
  <c r="AS122" i="9"/>
  <c r="AT122" i="9"/>
  <c r="AU122" i="9"/>
  <c r="AV122" i="9"/>
  <c r="AW122" i="9"/>
  <c r="AX122" i="9"/>
  <c r="AY122" i="9"/>
  <c r="AP123" i="9"/>
  <c r="AQ123" i="9"/>
  <c r="AR123" i="9"/>
  <c r="AS123" i="9"/>
  <c r="AT123" i="9"/>
  <c r="AU123" i="9"/>
  <c r="AV123" i="9"/>
  <c r="AW123" i="9"/>
  <c r="AX123" i="9"/>
  <c r="AY123" i="9"/>
  <c r="L158" i="9"/>
  <c r="M158" i="9"/>
  <c r="N158" i="9"/>
  <c r="AP158" i="9"/>
  <c r="AQ158" i="9"/>
  <c r="AR158" i="9"/>
  <c r="AS158" i="9"/>
  <c r="AT158" i="9"/>
  <c r="AU158" i="9"/>
  <c r="AV158" i="9"/>
  <c r="AW158" i="9"/>
  <c r="AX158" i="9"/>
  <c r="AY158" i="9"/>
  <c r="L159" i="9"/>
  <c r="M159" i="9"/>
  <c r="N159" i="9"/>
  <c r="AP159" i="9"/>
  <c r="AQ159" i="9"/>
  <c r="AR159" i="9"/>
  <c r="AS159" i="9"/>
  <c r="AT159" i="9"/>
  <c r="AU159" i="9"/>
  <c r="AV159" i="9"/>
  <c r="AW159" i="9"/>
  <c r="AX159" i="9"/>
  <c r="AY159" i="9"/>
  <c r="AP160" i="9"/>
  <c r="AQ160" i="9"/>
  <c r="AR160" i="9"/>
  <c r="AS160" i="9"/>
  <c r="AT160" i="9"/>
  <c r="AU160" i="9"/>
  <c r="AV160" i="9"/>
  <c r="AW160" i="9"/>
  <c r="AX160" i="9"/>
  <c r="AY160" i="9"/>
  <c r="L179" i="9"/>
  <c r="M179" i="9"/>
  <c r="N179" i="9"/>
  <c r="AP179" i="9"/>
  <c r="AQ179" i="9"/>
  <c r="AR179" i="9"/>
  <c r="AS179" i="9"/>
  <c r="AT179" i="9"/>
  <c r="AU179" i="9"/>
  <c r="AV179" i="9"/>
  <c r="AW179" i="9"/>
  <c r="AX179" i="9"/>
  <c r="AY179" i="9"/>
  <c r="L180" i="9"/>
  <c r="M180" i="9"/>
  <c r="N180" i="9"/>
  <c r="AP180" i="9"/>
  <c r="AQ180" i="9"/>
  <c r="AR180" i="9"/>
  <c r="AS180" i="9"/>
  <c r="AT180" i="9"/>
  <c r="AU180" i="9"/>
  <c r="AV180" i="9"/>
  <c r="AW180" i="9"/>
  <c r="AX180" i="9"/>
  <c r="AY180" i="9"/>
  <c r="AP181" i="9"/>
  <c r="AQ181" i="9"/>
  <c r="AR181" i="9"/>
  <c r="AS181" i="9"/>
  <c r="AT181" i="9"/>
  <c r="AU181" i="9"/>
  <c r="AV181" i="9"/>
  <c r="AW181" i="9"/>
  <c r="AX181" i="9"/>
  <c r="AY181" i="9"/>
  <c r="L200" i="9"/>
  <c r="M200" i="9"/>
  <c r="N200" i="9"/>
  <c r="AP200" i="9"/>
  <c r="AQ200" i="9"/>
  <c r="AR200" i="9"/>
  <c r="AS200" i="9"/>
  <c r="AT200" i="9"/>
  <c r="AU200" i="9"/>
  <c r="AV200" i="9"/>
  <c r="AW200" i="9"/>
  <c r="AX200" i="9"/>
  <c r="AY200" i="9"/>
  <c r="L201" i="9"/>
  <c r="M201" i="9"/>
  <c r="N201" i="9"/>
  <c r="AP201" i="9"/>
  <c r="AQ201" i="9"/>
  <c r="AR201" i="9"/>
  <c r="AS201" i="9"/>
  <c r="AT201" i="9"/>
  <c r="AU201" i="9"/>
  <c r="AV201" i="9"/>
  <c r="AW201" i="9"/>
  <c r="AX201" i="9"/>
  <c r="AY201" i="9"/>
  <c r="AP202" i="9"/>
  <c r="AQ202" i="9"/>
  <c r="AR202" i="9"/>
  <c r="AS202" i="9"/>
  <c r="AT202" i="9"/>
  <c r="AU202" i="9"/>
  <c r="AV202" i="9"/>
  <c r="AW202" i="9"/>
  <c r="AX202" i="9"/>
  <c r="AY202" i="9"/>
  <c r="L237" i="9"/>
  <c r="M237" i="9"/>
  <c r="N237" i="9"/>
  <c r="AP237" i="9"/>
  <c r="AQ237" i="9"/>
  <c r="AR237" i="9"/>
  <c r="AS237" i="9"/>
  <c r="AT237" i="9"/>
  <c r="AU237" i="9"/>
  <c r="AV237" i="9"/>
  <c r="AW237" i="9"/>
  <c r="AX237" i="9"/>
  <c r="AY237" i="9"/>
  <c r="L238" i="9"/>
  <c r="M238" i="9"/>
  <c r="N238" i="9"/>
  <c r="AP238" i="9"/>
  <c r="AQ238" i="9"/>
  <c r="AR238" i="9"/>
  <c r="AS238" i="9"/>
  <c r="AT238" i="9"/>
  <c r="AU238" i="9"/>
  <c r="AV238" i="9"/>
  <c r="AW238" i="9"/>
  <c r="AX238" i="9"/>
  <c r="AY238" i="9"/>
  <c r="AP239" i="9"/>
  <c r="AQ239" i="9"/>
  <c r="AR239" i="9"/>
  <c r="AS239" i="9"/>
  <c r="AT239" i="9"/>
  <c r="AU239" i="9"/>
  <c r="AV239" i="9"/>
  <c r="AW239" i="9"/>
  <c r="AX239" i="9"/>
  <c r="AY239" i="9"/>
  <c r="L298" i="9"/>
  <c r="M298" i="9"/>
  <c r="N298" i="9"/>
  <c r="AP627" i="9"/>
  <c r="AQ627" i="9"/>
  <c r="AR627" i="9"/>
  <c r="AS627" i="9"/>
  <c r="AT627" i="9"/>
  <c r="AU627" i="9"/>
  <c r="AV627" i="9"/>
  <c r="AW627" i="9"/>
  <c r="AX627" i="9"/>
  <c r="AY627" i="9"/>
  <c r="AP629" i="9"/>
  <c r="AQ629" i="9"/>
  <c r="AR629" i="9"/>
  <c r="AS629" i="9"/>
  <c r="AT629" i="9"/>
  <c r="AU629" i="9"/>
  <c r="AV629" i="9"/>
  <c r="AW629" i="9"/>
  <c r="AX629" i="9"/>
  <c r="AY629" i="9"/>
  <c r="L17" i="11"/>
  <c r="M17" i="11"/>
  <c r="O17" i="11"/>
  <c r="AP17" i="11"/>
  <c r="AQ17" i="11"/>
  <c r="AR17" i="11"/>
  <c r="AS17" i="11"/>
  <c r="AT17" i="11"/>
  <c r="AU17" i="11"/>
  <c r="AV17" i="11"/>
  <c r="AW17" i="11"/>
  <c r="AX17" i="11"/>
  <c r="AY17" i="11"/>
  <c r="L18" i="11"/>
  <c r="M18" i="11"/>
  <c r="AP18" i="11"/>
  <c r="AQ18" i="11"/>
  <c r="AR18" i="11"/>
  <c r="AS18" i="11"/>
  <c r="AT18" i="11"/>
  <c r="AU18" i="11"/>
  <c r="AV18" i="11"/>
  <c r="AW18" i="11"/>
  <c r="AX18" i="11"/>
  <c r="AY18" i="11"/>
  <c r="L29" i="11"/>
  <c r="M29" i="11"/>
  <c r="O29" i="11"/>
  <c r="AP29" i="11"/>
  <c r="AQ29" i="11"/>
  <c r="AR29" i="11"/>
  <c r="AS29" i="11"/>
  <c r="AT29" i="11"/>
  <c r="AU29" i="11"/>
  <c r="AV29" i="11"/>
  <c r="AW29" i="11"/>
  <c r="AX29" i="11"/>
  <c r="AY29" i="11"/>
  <c r="G34" i="11"/>
  <c r="H34" i="11"/>
  <c r="I34" i="11"/>
  <c r="J34" i="11"/>
  <c r="K34" i="11"/>
  <c r="L34" i="11"/>
  <c r="M34" i="11"/>
  <c r="O34" i="11"/>
  <c r="T34" i="11"/>
  <c r="U34" i="11"/>
  <c r="V34" i="11"/>
  <c r="W34" i="11"/>
  <c r="X34" i="11"/>
  <c r="Y34" i="11"/>
  <c r="Z34" i="11"/>
  <c r="AA34" i="11"/>
  <c r="AB34" i="11"/>
  <c r="AC34" i="11"/>
  <c r="AD34" i="11"/>
  <c r="AE34" i="11"/>
  <c r="AF34" i="11"/>
  <c r="AG34" i="11"/>
  <c r="AH34" i="11"/>
  <c r="AI34" i="11"/>
  <c r="AJ34" i="11"/>
  <c r="AK34" i="11"/>
  <c r="AL34" i="11"/>
  <c r="AM34" i="11"/>
  <c r="AN34" i="11"/>
  <c r="AO34" i="11"/>
  <c r="AP34" i="11"/>
  <c r="AQ34" i="11"/>
  <c r="AR34" i="11"/>
  <c r="AS34" i="11"/>
  <c r="AT34" i="11"/>
  <c r="AU34" i="11"/>
  <c r="AV34" i="11"/>
  <c r="AW34" i="11"/>
  <c r="AX34" i="11"/>
  <c r="AY34" i="11"/>
  <c r="H35" i="11"/>
  <c r="I35" i="11"/>
  <c r="J35" i="11"/>
  <c r="K35" i="11"/>
  <c r="L35" i="11"/>
  <c r="M35" i="11"/>
  <c r="X35" i="11"/>
  <c r="Y35" i="11"/>
  <c r="Z35" i="11"/>
  <c r="AA35" i="11"/>
  <c r="AB35" i="11"/>
  <c r="AC35" i="11"/>
  <c r="AD35" i="11"/>
  <c r="AE35" i="11"/>
  <c r="AF35" i="11"/>
  <c r="AG35" i="11"/>
  <c r="AH35" i="11"/>
  <c r="AI35" i="11"/>
  <c r="AJ35" i="11"/>
  <c r="AK35" i="11"/>
  <c r="AL35" i="11"/>
  <c r="AM35" i="11"/>
  <c r="AN35" i="11"/>
  <c r="AO35" i="11"/>
  <c r="AP35" i="11"/>
  <c r="AQ35" i="11"/>
  <c r="AR35" i="11"/>
  <c r="AS35" i="11"/>
  <c r="AT35" i="11"/>
  <c r="AU35" i="11"/>
  <c r="AV35" i="11"/>
  <c r="AW35" i="11"/>
  <c r="AX35" i="11"/>
  <c r="AY35" i="11"/>
  <c r="U36" i="11"/>
  <c r="V36" i="11"/>
  <c r="W36" i="11"/>
  <c r="X36" i="11"/>
  <c r="Y36" i="11"/>
  <c r="Z36" i="11"/>
  <c r="AA36" i="11"/>
  <c r="AB36" i="11"/>
  <c r="AC36" i="11"/>
  <c r="AD36" i="11"/>
  <c r="AE36" i="11"/>
  <c r="AF36" i="11"/>
  <c r="AG36" i="11"/>
  <c r="AH36" i="11"/>
  <c r="AI36" i="11"/>
  <c r="AJ36" i="11"/>
  <c r="AK36" i="11"/>
  <c r="AL36" i="11"/>
  <c r="AM36" i="11"/>
  <c r="AN36" i="11"/>
  <c r="AO36" i="11"/>
  <c r="AP36" i="11"/>
  <c r="AQ36" i="11"/>
  <c r="AR36" i="11"/>
  <c r="AS36" i="11"/>
  <c r="AT36" i="11"/>
  <c r="AU36" i="11"/>
  <c r="AV36" i="11"/>
  <c r="AW36" i="11"/>
  <c r="AX36" i="11"/>
  <c r="AY36" i="11"/>
  <c r="G41" i="11"/>
  <c r="H41" i="11"/>
  <c r="I41" i="11"/>
  <c r="J41" i="11"/>
  <c r="K41" i="11"/>
  <c r="L41" i="11"/>
  <c r="M41" i="11"/>
  <c r="O41" i="11"/>
  <c r="T41" i="11"/>
  <c r="U41" i="11"/>
  <c r="V41" i="11"/>
  <c r="W41" i="11"/>
  <c r="X41" i="11"/>
  <c r="Y41" i="11"/>
  <c r="Z41" i="11"/>
  <c r="AA41" i="11"/>
  <c r="AB41" i="11"/>
  <c r="AC41" i="11"/>
  <c r="AD41" i="11"/>
  <c r="AE41" i="11"/>
  <c r="AF41" i="11"/>
  <c r="AG41" i="11"/>
  <c r="AH41" i="11"/>
  <c r="AI41" i="11"/>
  <c r="AJ41" i="11"/>
  <c r="AK41" i="11"/>
  <c r="AL41" i="11"/>
  <c r="AM41" i="11"/>
  <c r="AN41" i="11"/>
  <c r="AO41" i="11"/>
  <c r="AP41" i="11"/>
  <c r="AQ41" i="11"/>
  <c r="AR41" i="11"/>
  <c r="AS41" i="11"/>
  <c r="AT41" i="11"/>
  <c r="AU41" i="11"/>
  <c r="AV41" i="11"/>
  <c r="AW41" i="11"/>
  <c r="AX41" i="11"/>
  <c r="AY41" i="11"/>
  <c r="G42" i="11"/>
  <c r="H42" i="11"/>
  <c r="I42" i="11"/>
  <c r="J42" i="11"/>
  <c r="K42" i="11"/>
  <c r="L42" i="11"/>
  <c r="M42" i="11"/>
  <c r="T42" i="11"/>
  <c r="U42" i="11"/>
  <c r="V42" i="11"/>
  <c r="W42" i="11"/>
  <c r="X42" i="11"/>
  <c r="Y42" i="11"/>
  <c r="Z42" i="11"/>
  <c r="AA42" i="11"/>
  <c r="AB42" i="11"/>
  <c r="AC42" i="11"/>
  <c r="AD42" i="11"/>
  <c r="AE42" i="11"/>
  <c r="AF42" i="11"/>
  <c r="AG42" i="11"/>
  <c r="AH42" i="11"/>
  <c r="AI42" i="11"/>
  <c r="AJ42" i="11"/>
  <c r="AK42" i="11"/>
  <c r="AL42" i="11"/>
  <c r="AM42" i="11"/>
  <c r="AN42" i="11"/>
  <c r="AO42" i="11"/>
  <c r="AP42" i="11"/>
  <c r="AQ42" i="11"/>
  <c r="AR42" i="11"/>
  <c r="AS42" i="11"/>
  <c r="AT42" i="11"/>
  <c r="AU42" i="11"/>
  <c r="AV42" i="11"/>
  <c r="AW42" i="11"/>
  <c r="AX42" i="11"/>
  <c r="AY42" i="11"/>
  <c r="G46" i="11"/>
  <c r="H46" i="11"/>
  <c r="I46" i="11"/>
  <c r="J46" i="11"/>
  <c r="K46" i="11"/>
  <c r="L46" i="11"/>
  <c r="M46" i="11"/>
  <c r="T46" i="11"/>
  <c r="U46" i="11"/>
  <c r="V46" i="11"/>
  <c r="W46" i="11"/>
  <c r="X46" i="11"/>
  <c r="Y46" i="11"/>
  <c r="Z46" i="11"/>
  <c r="AA46" i="11"/>
  <c r="AB46" i="11"/>
  <c r="AC46" i="11"/>
  <c r="AD46" i="11"/>
  <c r="AE46" i="11"/>
  <c r="AF46" i="11"/>
  <c r="AG46" i="11"/>
  <c r="AH46" i="11"/>
  <c r="AI46" i="11"/>
  <c r="AJ46" i="11"/>
  <c r="AK46" i="11"/>
  <c r="AL46" i="11"/>
  <c r="AM46" i="11"/>
  <c r="AN46" i="11"/>
  <c r="AO46" i="11"/>
  <c r="AP46" i="11"/>
  <c r="AQ46" i="11"/>
  <c r="AR46" i="11"/>
  <c r="AS46" i="11"/>
  <c r="AT46" i="11"/>
  <c r="AU46" i="11"/>
  <c r="AV46" i="11"/>
  <c r="AW46" i="11"/>
  <c r="AX46" i="11"/>
  <c r="AY46" i="11"/>
  <c r="G47" i="11"/>
  <c r="H47" i="11"/>
  <c r="I47" i="11"/>
  <c r="J47" i="11"/>
  <c r="K47" i="11"/>
  <c r="L47" i="11"/>
  <c r="M47" i="11"/>
  <c r="T47" i="11"/>
  <c r="U47" i="11"/>
  <c r="V47" i="11"/>
  <c r="W47" i="11"/>
  <c r="X47" i="11"/>
  <c r="Y47" i="11"/>
  <c r="Z47" i="11"/>
  <c r="AA47" i="11"/>
  <c r="AB47" i="11"/>
  <c r="AC47" i="11"/>
  <c r="AD47" i="11"/>
  <c r="AE47" i="11"/>
  <c r="AF47" i="11"/>
  <c r="AG47" i="11"/>
  <c r="AH47" i="11"/>
  <c r="AI47" i="11"/>
  <c r="AJ47" i="11"/>
  <c r="AK47" i="11"/>
  <c r="AL47" i="11"/>
  <c r="AM47" i="11"/>
  <c r="AN47" i="11"/>
  <c r="AO47" i="11"/>
  <c r="AP47" i="11"/>
  <c r="AQ47" i="11"/>
  <c r="AR47" i="11"/>
  <c r="AS47" i="11"/>
  <c r="AT47" i="11"/>
  <c r="AU47" i="11"/>
  <c r="AV47" i="11"/>
  <c r="AW47" i="11"/>
  <c r="AX47" i="11"/>
  <c r="AY47" i="11"/>
  <c r="I51" i="11"/>
  <c r="J51" i="11"/>
  <c r="K51" i="11"/>
  <c r="L51" i="11"/>
  <c r="M51" i="11"/>
  <c r="AB51" i="11"/>
  <c r="AC51" i="11"/>
  <c r="AD51" i="11"/>
  <c r="AE51" i="11"/>
  <c r="AF51" i="11"/>
  <c r="AG51" i="11"/>
  <c r="AH51" i="11"/>
  <c r="AI51" i="11"/>
  <c r="AJ51" i="11"/>
  <c r="AK51" i="11"/>
  <c r="AL51" i="11"/>
  <c r="AM51" i="11"/>
  <c r="AN51" i="11"/>
  <c r="AO51" i="11"/>
  <c r="AP51" i="11"/>
  <c r="AQ51" i="11"/>
  <c r="AR51" i="11"/>
  <c r="AS51" i="11"/>
  <c r="AT51" i="11"/>
  <c r="AU51" i="11"/>
  <c r="AV51" i="11"/>
  <c r="AW51" i="11"/>
  <c r="AX51" i="11"/>
  <c r="AY51" i="11"/>
  <c r="I53" i="11"/>
  <c r="J53" i="11"/>
  <c r="K53" i="11"/>
  <c r="L53" i="11"/>
  <c r="M53" i="11"/>
  <c r="O53" i="11"/>
  <c r="AB53" i="11"/>
  <c r="AC53" i="11"/>
  <c r="AD53" i="11"/>
  <c r="AE53" i="11"/>
  <c r="AF53" i="11"/>
  <c r="AG53" i="11"/>
  <c r="AH53" i="11"/>
  <c r="AI53" i="11"/>
  <c r="AJ53" i="11"/>
  <c r="AK53" i="11"/>
  <c r="AL53" i="11"/>
  <c r="AM53" i="11"/>
  <c r="AN53" i="11"/>
  <c r="AO53" i="11"/>
  <c r="AP53" i="11"/>
  <c r="AQ53" i="11"/>
  <c r="AR53" i="11"/>
  <c r="AS53" i="11"/>
  <c r="AT53" i="11"/>
  <c r="AU53" i="11"/>
  <c r="AV53" i="11"/>
  <c r="AW53" i="11"/>
  <c r="AX53" i="11"/>
  <c r="AY53" i="11"/>
  <c r="G58" i="11"/>
  <c r="H58" i="11"/>
  <c r="I58" i="11"/>
  <c r="J58" i="11"/>
  <c r="K58" i="11"/>
  <c r="L58" i="11"/>
  <c r="M58" i="11"/>
  <c r="O58" i="11"/>
  <c r="T58" i="11"/>
  <c r="U58" i="11"/>
  <c r="V58" i="11"/>
  <c r="W58" i="11"/>
  <c r="X58" i="11"/>
  <c r="Y58" i="11"/>
  <c r="Z58" i="11"/>
  <c r="AA58" i="11"/>
  <c r="AB58" i="11"/>
  <c r="AC58" i="11"/>
  <c r="AD58" i="11"/>
  <c r="AE58" i="11"/>
  <c r="AF58" i="11"/>
  <c r="AG58" i="11"/>
  <c r="AH58" i="11"/>
  <c r="AI58" i="11"/>
  <c r="AJ58" i="11"/>
  <c r="AK58" i="11"/>
  <c r="AL58" i="11"/>
  <c r="AM58" i="11"/>
  <c r="AN58" i="11"/>
  <c r="AO58" i="11"/>
  <c r="AP58" i="11"/>
  <c r="AQ58" i="11"/>
  <c r="AR58" i="11"/>
  <c r="AS58" i="11"/>
  <c r="AT58" i="11"/>
  <c r="AU58" i="11"/>
  <c r="AV58" i="11"/>
  <c r="AW58" i="11"/>
  <c r="AX58" i="11"/>
  <c r="AY58" i="11"/>
  <c r="H59" i="11"/>
  <c r="I59" i="11"/>
  <c r="J59" i="11"/>
  <c r="K59" i="11"/>
  <c r="L59" i="11"/>
  <c r="M59" i="11"/>
  <c r="X59" i="11"/>
  <c r="Y59" i="11"/>
  <c r="Z59" i="11"/>
  <c r="AA59" i="11"/>
  <c r="AB59" i="11"/>
  <c r="AC59" i="11"/>
  <c r="AD59" i="11"/>
  <c r="AE59" i="11"/>
  <c r="AF59" i="11"/>
  <c r="AG59" i="11"/>
  <c r="AH59" i="11"/>
  <c r="AI59" i="11"/>
  <c r="AJ59" i="11"/>
  <c r="AK59" i="11"/>
  <c r="AL59" i="11"/>
  <c r="AM59" i="11"/>
  <c r="AN59" i="11"/>
  <c r="AO59" i="11"/>
  <c r="AP59" i="11"/>
  <c r="AQ59" i="11"/>
  <c r="AR59" i="11"/>
  <c r="AS59" i="11"/>
  <c r="AT59" i="11"/>
  <c r="AU59" i="11"/>
  <c r="AV59" i="11"/>
  <c r="AW59" i="11"/>
  <c r="AX59" i="11"/>
  <c r="AY59" i="11"/>
  <c r="U60" i="11"/>
  <c r="V60" i="11"/>
  <c r="W60" i="11"/>
  <c r="X60" i="11"/>
  <c r="Y60" i="11"/>
  <c r="Z60" i="11"/>
  <c r="AA60" i="11"/>
  <c r="AB60" i="11"/>
  <c r="AC60" i="11"/>
  <c r="AD60" i="11"/>
  <c r="AE60" i="11"/>
  <c r="AF60" i="11"/>
  <c r="AG60" i="11"/>
  <c r="AH60" i="11"/>
  <c r="AI60" i="11"/>
  <c r="AJ60" i="11"/>
  <c r="AK60" i="11"/>
  <c r="AL60" i="11"/>
  <c r="AM60" i="11"/>
  <c r="AN60" i="11"/>
  <c r="AO60" i="11"/>
  <c r="AP60" i="11"/>
  <c r="AQ60" i="11"/>
  <c r="AR60" i="11"/>
  <c r="AS60" i="11"/>
  <c r="AT60" i="11"/>
  <c r="AU60" i="11"/>
  <c r="AV60" i="11"/>
  <c r="AW60" i="11"/>
  <c r="AX60" i="11"/>
  <c r="AY60" i="11"/>
  <c r="G65" i="11"/>
  <c r="H65" i="11"/>
  <c r="I65" i="11"/>
  <c r="J65" i="11"/>
  <c r="K65" i="11"/>
  <c r="L65" i="11"/>
  <c r="M65" i="11"/>
  <c r="O65" i="11"/>
  <c r="T65" i="11"/>
  <c r="U65" i="11"/>
  <c r="V65" i="11"/>
  <c r="W65" i="11"/>
  <c r="X65" i="11"/>
  <c r="Y65" i="11"/>
  <c r="Z65" i="11"/>
  <c r="AA65" i="11"/>
  <c r="AB65" i="11"/>
  <c r="AC65" i="11"/>
  <c r="AD65" i="11"/>
  <c r="AE65" i="11"/>
  <c r="AF65" i="11"/>
  <c r="AG65" i="11"/>
  <c r="AH65" i="11"/>
  <c r="AI65" i="11"/>
  <c r="AJ65" i="11"/>
  <c r="AK65" i="11"/>
  <c r="AL65" i="11"/>
  <c r="AM65" i="11"/>
  <c r="AN65" i="11"/>
  <c r="AO65" i="11"/>
  <c r="AP65" i="11"/>
  <c r="AQ65" i="11"/>
  <c r="AR65" i="11"/>
  <c r="AS65" i="11"/>
  <c r="AT65" i="11"/>
  <c r="AU65" i="11"/>
  <c r="AV65" i="11"/>
  <c r="AW65" i="11"/>
  <c r="AX65" i="11"/>
  <c r="AY65" i="11"/>
  <c r="G66" i="11"/>
  <c r="H66" i="11"/>
  <c r="I66" i="11"/>
  <c r="J66" i="11"/>
  <c r="K66" i="11"/>
  <c r="L66" i="11"/>
  <c r="M66" i="11"/>
  <c r="T66" i="11"/>
  <c r="U66" i="11"/>
  <c r="V66" i="11"/>
  <c r="W66" i="11"/>
  <c r="X66" i="11"/>
  <c r="Y66" i="11"/>
  <c r="Z66" i="11"/>
  <c r="AA66" i="11"/>
  <c r="AB66" i="11"/>
  <c r="AC66" i="11"/>
  <c r="AD66" i="11"/>
  <c r="AE66" i="11"/>
  <c r="AF66" i="11"/>
  <c r="AG66" i="11"/>
  <c r="AH66" i="11"/>
  <c r="AI66" i="11"/>
  <c r="AJ66" i="11"/>
  <c r="AK66" i="11"/>
  <c r="AL66" i="11"/>
  <c r="AM66" i="11"/>
  <c r="AN66" i="11"/>
  <c r="AO66" i="11"/>
  <c r="AP66" i="11"/>
  <c r="AQ66" i="11"/>
  <c r="AR66" i="11"/>
  <c r="AS66" i="11"/>
  <c r="AT66" i="11"/>
  <c r="AU66" i="11"/>
  <c r="AV66" i="11"/>
  <c r="AW66" i="11"/>
  <c r="AX66" i="11"/>
  <c r="AY66" i="11"/>
  <c r="G70" i="11"/>
  <c r="H70" i="11"/>
  <c r="I70" i="11"/>
  <c r="J70" i="11"/>
  <c r="K70" i="11"/>
  <c r="L70" i="11"/>
  <c r="M70" i="11"/>
  <c r="T70" i="11"/>
  <c r="U70" i="11"/>
  <c r="V70" i="11"/>
  <c r="W70" i="11"/>
  <c r="X70" i="11"/>
  <c r="Y70" i="11"/>
  <c r="Z70" i="11"/>
  <c r="AA70" i="11"/>
  <c r="AB70" i="11"/>
  <c r="AC70" i="11"/>
  <c r="AD70" i="11"/>
  <c r="AE70" i="11"/>
  <c r="AF70" i="11"/>
  <c r="AG70" i="11"/>
  <c r="AH70" i="11"/>
  <c r="AI70" i="11"/>
  <c r="AJ70" i="11"/>
  <c r="AK70" i="11"/>
  <c r="AL70" i="11"/>
  <c r="AM70" i="11"/>
  <c r="AN70" i="11"/>
  <c r="AO70" i="11"/>
  <c r="AP70" i="11"/>
  <c r="AQ70" i="11"/>
  <c r="AR70" i="11"/>
  <c r="AS70" i="11"/>
  <c r="AT70" i="11"/>
  <c r="AU70" i="11"/>
  <c r="AV70" i="11"/>
  <c r="AW70" i="11"/>
  <c r="AX70" i="11"/>
  <c r="AY70" i="11"/>
  <c r="G71" i="11"/>
  <c r="H71" i="11"/>
  <c r="I71" i="11"/>
  <c r="J71" i="11"/>
  <c r="K71" i="11"/>
  <c r="L71" i="11"/>
  <c r="M71" i="11"/>
  <c r="T71" i="11"/>
  <c r="U71" i="11"/>
  <c r="V71" i="11"/>
  <c r="W71" i="11"/>
  <c r="X71" i="11"/>
  <c r="Y71" i="11"/>
  <c r="Z71" i="11"/>
  <c r="AA71" i="11"/>
  <c r="AB71" i="11"/>
  <c r="AC71" i="11"/>
  <c r="AD71" i="11"/>
  <c r="AE71" i="11"/>
  <c r="AF71" i="11"/>
  <c r="AG71" i="11"/>
  <c r="AH71" i="11"/>
  <c r="AI71" i="11"/>
  <c r="AJ71" i="11"/>
  <c r="AK71" i="11"/>
  <c r="AL71" i="11"/>
  <c r="AM71" i="11"/>
  <c r="AN71" i="11"/>
  <c r="AO71" i="11"/>
  <c r="AP71" i="11"/>
  <c r="AQ71" i="11"/>
  <c r="AR71" i="11"/>
  <c r="AS71" i="11"/>
  <c r="AT71" i="11"/>
  <c r="AU71" i="11"/>
  <c r="AV71" i="11"/>
  <c r="AW71" i="11"/>
  <c r="AX71" i="11"/>
  <c r="AY71" i="11"/>
  <c r="I75" i="11"/>
  <c r="J75" i="11"/>
  <c r="K75" i="11"/>
  <c r="L75" i="11"/>
  <c r="M75" i="11"/>
  <c r="AB75" i="11"/>
  <c r="AC75" i="11"/>
  <c r="AD75" i="11"/>
  <c r="AE75" i="11"/>
  <c r="AF75" i="11"/>
  <c r="AG75" i="11"/>
  <c r="AH75" i="11"/>
  <c r="AI75" i="11"/>
  <c r="AJ75" i="11"/>
  <c r="AK75" i="11"/>
  <c r="AL75" i="11"/>
  <c r="AM75" i="11"/>
  <c r="AN75" i="11"/>
  <c r="AO75" i="11"/>
  <c r="AP75" i="11"/>
  <c r="AQ75" i="11"/>
  <c r="AR75" i="11"/>
  <c r="AS75" i="11"/>
  <c r="AT75" i="11"/>
  <c r="AU75" i="11"/>
  <c r="AV75" i="11"/>
  <c r="AW75" i="11"/>
  <c r="AX75" i="11"/>
  <c r="AY75" i="11"/>
  <c r="I77" i="11"/>
  <c r="J77" i="11"/>
  <c r="K77" i="11"/>
  <c r="L77" i="11"/>
  <c r="M77" i="11"/>
  <c r="O77" i="11"/>
  <c r="AB77" i="11"/>
  <c r="AC77" i="11"/>
  <c r="AD77" i="11"/>
  <c r="AE77" i="11"/>
  <c r="AF77" i="11"/>
  <c r="AG77" i="11"/>
  <c r="AH77" i="11"/>
  <c r="AI77" i="11"/>
  <c r="AJ77" i="11"/>
  <c r="AK77" i="11"/>
  <c r="AL77" i="11"/>
  <c r="AM77" i="11"/>
  <c r="AN77" i="11"/>
  <c r="AO77" i="11"/>
  <c r="AP77" i="11"/>
  <c r="AQ77" i="11"/>
  <c r="AR77" i="11"/>
  <c r="AS77" i="11"/>
  <c r="AT77" i="11"/>
  <c r="AU77" i="11"/>
  <c r="AV77" i="11"/>
  <c r="AW77" i="11"/>
  <c r="AX77" i="11"/>
  <c r="AY77" i="11"/>
  <c r="L17" i="6"/>
  <c r="M17" i="6"/>
  <c r="N17" i="6"/>
  <c r="O17" i="6"/>
  <c r="AP17" i="6"/>
  <c r="AQ17" i="6"/>
  <c r="AR17" i="6"/>
  <c r="AS17" i="6"/>
  <c r="AT17" i="6"/>
  <c r="AU17" i="6"/>
  <c r="AV17" i="6"/>
  <c r="AW17" i="6"/>
  <c r="AX17" i="6"/>
  <c r="AY17" i="6"/>
  <c r="L18" i="6"/>
  <c r="M18" i="6"/>
  <c r="N18" i="6"/>
  <c r="AP18" i="6"/>
  <c r="AQ18" i="6"/>
  <c r="AR18" i="6"/>
  <c r="AS18" i="6"/>
  <c r="AT18" i="6"/>
  <c r="AU18" i="6"/>
  <c r="AV18" i="6"/>
  <c r="AW18" i="6"/>
  <c r="AX18" i="6"/>
  <c r="AY18" i="6"/>
  <c r="L29" i="6"/>
  <c r="M29" i="6"/>
  <c r="N29" i="6"/>
  <c r="O29" i="6"/>
  <c r="AP29" i="6"/>
  <c r="AQ29" i="6"/>
  <c r="AR29" i="6"/>
  <c r="AS29" i="6"/>
  <c r="AT29" i="6"/>
  <c r="AU29" i="6"/>
  <c r="AV29" i="6"/>
  <c r="AW29" i="6"/>
  <c r="AX29" i="6"/>
  <c r="AY29" i="6"/>
  <c r="D34" i="6"/>
  <c r="E34" i="6"/>
  <c r="F34" i="6"/>
  <c r="G34" i="6"/>
  <c r="H34" i="6"/>
  <c r="I34" i="6"/>
  <c r="J34" i="6"/>
  <c r="K34" i="6"/>
  <c r="L34" i="6"/>
  <c r="M34" i="6"/>
  <c r="N34" i="6"/>
  <c r="O34" i="6"/>
  <c r="T34" i="6"/>
  <c r="U34" i="6"/>
  <c r="V34" i="6"/>
  <c r="W34" i="6"/>
  <c r="X34" i="6"/>
  <c r="Y34" i="6"/>
  <c r="Z34" i="6"/>
  <c r="AA34" i="6"/>
  <c r="AB34" i="6"/>
  <c r="AC34" i="6"/>
  <c r="AD34" i="6"/>
  <c r="AE34" i="6"/>
  <c r="AF34" i="6"/>
  <c r="AG34" i="6"/>
  <c r="AH34" i="6"/>
  <c r="AI34" i="6"/>
  <c r="AJ34" i="6"/>
  <c r="AK34" i="6"/>
  <c r="AL34" i="6"/>
  <c r="AM34" i="6"/>
  <c r="AN34" i="6"/>
  <c r="AO34" i="6"/>
  <c r="AP34" i="6"/>
  <c r="AQ34" i="6"/>
  <c r="AR34" i="6"/>
  <c r="AS34" i="6"/>
  <c r="AT34" i="6"/>
  <c r="AU34" i="6"/>
  <c r="AV34" i="6"/>
  <c r="AW34" i="6"/>
  <c r="AX34" i="6"/>
  <c r="AY34" i="6"/>
  <c r="H35" i="6"/>
  <c r="I35" i="6"/>
  <c r="J35" i="6"/>
  <c r="K35" i="6"/>
  <c r="L35" i="6"/>
  <c r="M35" i="6"/>
  <c r="N35" i="6"/>
  <c r="X35" i="6"/>
  <c r="Y35" i="6"/>
  <c r="Z35" i="6"/>
  <c r="AA35" i="6"/>
  <c r="AB35" i="6"/>
  <c r="AC35" i="6"/>
  <c r="AD35" i="6"/>
  <c r="AE35" i="6"/>
  <c r="AF35" i="6"/>
  <c r="AG35" i="6"/>
  <c r="AH35" i="6"/>
  <c r="AI35" i="6"/>
  <c r="AJ35" i="6"/>
  <c r="AK35" i="6"/>
  <c r="AL35" i="6"/>
  <c r="AM35" i="6"/>
  <c r="AN35" i="6"/>
  <c r="AO35" i="6"/>
  <c r="AP35" i="6"/>
  <c r="AQ35" i="6"/>
  <c r="AR35" i="6"/>
  <c r="AS35" i="6"/>
  <c r="AT35" i="6"/>
  <c r="AU35" i="6"/>
  <c r="AV35" i="6"/>
  <c r="AW35" i="6"/>
  <c r="AX35" i="6"/>
  <c r="AY35" i="6"/>
  <c r="U36" i="6"/>
  <c r="V36" i="6"/>
  <c r="W36" i="6"/>
  <c r="X36" i="6"/>
  <c r="Y36" i="6"/>
  <c r="Z36" i="6"/>
  <c r="AA36" i="6"/>
  <c r="AB36" i="6"/>
  <c r="AC36" i="6"/>
  <c r="AD36" i="6"/>
  <c r="AE36" i="6"/>
  <c r="AF36" i="6"/>
  <c r="AG36" i="6"/>
  <c r="AH36" i="6"/>
  <c r="AI36" i="6"/>
  <c r="AJ36" i="6"/>
  <c r="AK36" i="6"/>
  <c r="AL36" i="6"/>
  <c r="AM36" i="6"/>
  <c r="AN36" i="6"/>
  <c r="AO36" i="6"/>
  <c r="AP36" i="6"/>
  <c r="AQ36" i="6"/>
  <c r="AR36" i="6"/>
  <c r="AS36" i="6"/>
  <c r="AT36" i="6"/>
  <c r="AU36" i="6"/>
  <c r="AV36" i="6"/>
  <c r="AW36" i="6"/>
  <c r="AX36" i="6"/>
  <c r="AY36" i="6"/>
  <c r="D41" i="6"/>
  <c r="E41" i="6"/>
  <c r="F41" i="6"/>
  <c r="G41" i="6"/>
  <c r="H41" i="6"/>
  <c r="I41" i="6"/>
  <c r="J41" i="6"/>
  <c r="K41" i="6"/>
  <c r="L41" i="6"/>
  <c r="M41" i="6"/>
  <c r="N41" i="6"/>
  <c r="O41" i="6"/>
  <c r="T41" i="6"/>
  <c r="U41" i="6"/>
  <c r="V41" i="6"/>
  <c r="W41" i="6"/>
  <c r="X41" i="6"/>
  <c r="Y41" i="6"/>
  <c r="Z41" i="6"/>
  <c r="AA41" i="6"/>
  <c r="AB41" i="6"/>
  <c r="AC41" i="6"/>
  <c r="AD41" i="6"/>
  <c r="AE41" i="6"/>
  <c r="AF41" i="6"/>
  <c r="AG41" i="6"/>
  <c r="AH41" i="6"/>
  <c r="AI41" i="6"/>
  <c r="AJ41" i="6"/>
  <c r="AK41" i="6"/>
  <c r="AL41" i="6"/>
  <c r="AM41" i="6"/>
  <c r="AN41" i="6"/>
  <c r="AO41" i="6"/>
  <c r="AP41" i="6"/>
  <c r="AQ41" i="6"/>
  <c r="AR41" i="6"/>
  <c r="AS41" i="6"/>
  <c r="AT41" i="6"/>
  <c r="AU41" i="6"/>
  <c r="AV41" i="6"/>
  <c r="AW41" i="6"/>
  <c r="AX41" i="6"/>
  <c r="AY41" i="6"/>
  <c r="D42" i="6"/>
  <c r="E42" i="6"/>
  <c r="F42" i="6"/>
  <c r="G42" i="6"/>
  <c r="H42" i="6"/>
  <c r="I42" i="6"/>
  <c r="J42" i="6"/>
  <c r="K42" i="6"/>
  <c r="L42" i="6"/>
  <c r="M42" i="6"/>
  <c r="N42" i="6"/>
  <c r="T42" i="6"/>
  <c r="U42" i="6"/>
  <c r="V42" i="6"/>
  <c r="W42" i="6"/>
  <c r="X42" i="6"/>
  <c r="Y42" i="6"/>
  <c r="Z42" i="6"/>
  <c r="AA42" i="6"/>
  <c r="AB42" i="6"/>
  <c r="AC42" i="6"/>
  <c r="AD42" i="6"/>
  <c r="AE42" i="6"/>
  <c r="AF42" i="6"/>
  <c r="AG42" i="6"/>
  <c r="AH42" i="6"/>
  <c r="AI42" i="6"/>
  <c r="AJ42" i="6"/>
  <c r="AK42" i="6"/>
  <c r="AL42" i="6"/>
  <c r="AM42" i="6"/>
  <c r="AN42" i="6"/>
  <c r="AO42" i="6"/>
  <c r="AP42" i="6"/>
  <c r="AQ42" i="6"/>
  <c r="AR42" i="6"/>
  <c r="AS42" i="6"/>
  <c r="AT42" i="6"/>
  <c r="AU42" i="6"/>
  <c r="AV42" i="6"/>
  <c r="AW42" i="6"/>
  <c r="AX42" i="6"/>
  <c r="AY42" i="6"/>
  <c r="G46" i="6"/>
  <c r="H46" i="6"/>
  <c r="I46" i="6"/>
  <c r="J46" i="6"/>
  <c r="K46" i="6"/>
  <c r="L46" i="6"/>
  <c r="M46" i="6"/>
  <c r="N46" i="6"/>
  <c r="T46" i="6"/>
  <c r="U46" i="6"/>
  <c r="V46" i="6"/>
  <c r="W46" i="6"/>
  <c r="X46" i="6"/>
  <c r="Y46" i="6"/>
  <c r="Z46" i="6"/>
  <c r="AA46" i="6"/>
  <c r="AB46" i="6"/>
  <c r="AC46" i="6"/>
  <c r="AD46" i="6"/>
  <c r="AE46" i="6"/>
  <c r="AF46" i="6"/>
  <c r="AG46" i="6"/>
  <c r="AH46" i="6"/>
  <c r="AI46" i="6"/>
  <c r="AJ46" i="6"/>
  <c r="AK46" i="6"/>
  <c r="AL46" i="6"/>
  <c r="AM46" i="6"/>
  <c r="AN46" i="6"/>
  <c r="AO46" i="6"/>
  <c r="AP46" i="6"/>
  <c r="AQ46" i="6"/>
  <c r="AR46" i="6"/>
  <c r="AS46" i="6"/>
  <c r="AT46" i="6"/>
  <c r="AU46" i="6"/>
  <c r="AV46" i="6"/>
  <c r="AW46" i="6"/>
  <c r="AX46" i="6"/>
  <c r="AY46" i="6"/>
  <c r="G47" i="6"/>
  <c r="H47" i="6"/>
  <c r="I47" i="6"/>
  <c r="J47" i="6"/>
  <c r="K47" i="6"/>
  <c r="L47" i="6"/>
  <c r="M47" i="6"/>
  <c r="N47" i="6"/>
  <c r="T47" i="6"/>
  <c r="U47" i="6"/>
  <c r="V47" i="6"/>
  <c r="W47" i="6"/>
  <c r="X47" i="6"/>
  <c r="Y47" i="6"/>
  <c r="Z47" i="6"/>
  <c r="AA47" i="6"/>
  <c r="AB47" i="6"/>
  <c r="AC47" i="6"/>
  <c r="AD47" i="6"/>
  <c r="AE47" i="6"/>
  <c r="AF47" i="6"/>
  <c r="AG47" i="6"/>
  <c r="AH47" i="6"/>
  <c r="AI47" i="6"/>
  <c r="AJ47" i="6"/>
  <c r="AK47" i="6"/>
  <c r="AL47" i="6"/>
  <c r="AM47" i="6"/>
  <c r="AN47" i="6"/>
  <c r="AO47" i="6"/>
  <c r="AP47" i="6"/>
  <c r="AQ47" i="6"/>
  <c r="AR47" i="6"/>
  <c r="AS47" i="6"/>
  <c r="AT47" i="6"/>
  <c r="AU47" i="6"/>
  <c r="AV47" i="6"/>
  <c r="AW47" i="6"/>
  <c r="AX47" i="6"/>
  <c r="AY47" i="6"/>
  <c r="I51" i="6"/>
  <c r="J51" i="6"/>
  <c r="K51" i="6"/>
  <c r="L51" i="6"/>
  <c r="M51" i="6"/>
  <c r="N51" i="6"/>
  <c r="AB51" i="6"/>
  <c r="AC51" i="6"/>
  <c r="AD51" i="6"/>
  <c r="AE51" i="6"/>
  <c r="AF51" i="6"/>
  <c r="AG51" i="6"/>
  <c r="AH51" i="6"/>
  <c r="AI51" i="6"/>
  <c r="AJ51" i="6"/>
  <c r="AK51" i="6"/>
  <c r="AL51" i="6"/>
  <c r="AM51" i="6"/>
  <c r="AN51" i="6"/>
  <c r="AO51" i="6"/>
  <c r="AP51" i="6"/>
  <c r="AQ51" i="6"/>
  <c r="AR51" i="6"/>
  <c r="AS51" i="6"/>
  <c r="AT51" i="6"/>
  <c r="AU51" i="6"/>
  <c r="AV51" i="6"/>
  <c r="AW51" i="6"/>
  <c r="AX51" i="6"/>
  <c r="AY51" i="6"/>
  <c r="I53" i="6"/>
  <c r="J53" i="6"/>
  <c r="K53" i="6"/>
  <c r="L53" i="6"/>
  <c r="M53" i="6"/>
  <c r="N53" i="6"/>
  <c r="O53" i="6"/>
  <c r="AB53" i="6"/>
  <c r="AC53" i="6"/>
  <c r="AD53" i="6"/>
  <c r="AE53" i="6"/>
  <c r="AF53" i="6"/>
  <c r="AG53" i="6"/>
  <c r="AH53" i="6"/>
  <c r="AI53" i="6"/>
  <c r="AJ53" i="6"/>
  <c r="AK53" i="6"/>
  <c r="AL53" i="6"/>
  <c r="AM53" i="6"/>
  <c r="AN53" i="6"/>
  <c r="AO53" i="6"/>
  <c r="AP53" i="6"/>
  <c r="AQ53" i="6"/>
  <c r="AR53" i="6"/>
  <c r="AS53" i="6"/>
  <c r="AT53" i="6"/>
  <c r="AU53" i="6"/>
  <c r="AV53" i="6"/>
  <c r="AW53" i="6"/>
  <c r="AX53" i="6"/>
  <c r="AY53" i="6"/>
  <c r="D58" i="6"/>
  <c r="E58" i="6"/>
  <c r="F58" i="6"/>
  <c r="G58" i="6"/>
  <c r="H58" i="6"/>
  <c r="I58" i="6"/>
  <c r="J58" i="6"/>
  <c r="K58" i="6"/>
  <c r="L58" i="6"/>
  <c r="M58" i="6"/>
  <c r="N58" i="6"/>
  <c r="O58" i="6"/>
  <c r="T58" i="6"/>
  <c r="U58" i="6"/>
  <c r="V58" i="6"/>
  <c r="W58" i="6"/>
  <c r="X58" i="6"/>
  <c r="Y58" i="6"/>
  <c r="Z58" i="6"/>
  <c r="AA58" i="6"/>
  <c r="AB58" i="6"/>
  <c r="AC58" i="6"/>
  <c r="AD58" i="6"/>
  <c r="AE58" i="6"/>
  <c r="AF58" i="6"/>
  <c r="AG58" i="6"/>
  <c r="AH58" i="6"/>
  <c r="AI58" i="6"/>
  <c r="AJ58" i="6"/>
  <c r="AK58" i="6"/>
  <c r="AL58" i="6"/>
  <c r="AM58" i="6"/>
  <c r="AN58" i="6"/>
  <c r="AO58" i="6"/>
  <c r="AP58" i="6"/>
  <c r="AQ58" i="6"/>
  <c r="AR58" i="6"/>
  <c r="AS58" i="6"/>
  <c r="AT58" i="6"/>
  <c r="AU58" i="6"/>
  <c r="AV58" i="6"/>
  <c r="AW58" i="6"/>
  <c r="AX58" i="6"/>
  <c r="AY58" i="6"/>
  <c r="H59" i="6"/>
  <c r="I59" i="6"/>
  <c r="J59" i="6"/>
  <c r="K59" i="6"/>
  <c r="L59" i="6"/>
  <c r="M59" i="6"/>
  <c r="N59" i="6"/>
  <c r="X59" i="6"/>
  <c r="Y59" i="6"/>
  <c r="Z59" i="6"/>
  <c r="AA59" i="6"/>
  <c r="AB59" i="6"/>
  <c r="AC59" i="6"/>
  <c r="AD59" i="6"/>
  <c r="AE59" i="6"/>
  <c r="AF59" i="6"/>
  <c r="AG59" i="6"/>
  <c r="AH59" i="6"/>
  <c r="AI59" i="6"/>
  <c r="AJ59" i="6"/>
  <c r="AK59" i="6"/>
  <c r="AL59" i="6"/>
  <c r="AM59" i="6"/>
  <c r="AN59" i="6"/>
  <c r="AO59" i="6"/>
  <c r="AP59" i="6"/>
  <c r="AQ59" i="6"/>
  <c r="AR59" i="6"/>
  <c r="AS59" i="6"/>
  <c r="AT59" i="6"/>
  <c r="AU59" i="6"/>
  <c r="AV59" i="6"/>
  <c r="AW59" i="6"/>
  <c r="AX59" i="6"/>
  <c r="AY59" i="6"/>
  <c r="U60" i="6"/>
  <c r="V60" i="6"/>
  <c r="W60" i="6"/>
  <c r="X60" i="6"/>
  <c r="Y60" i="6"/>
  <c r="Z60" i="6"/>
  <c r="AA60" i="6"/>
  <c r="AB60" i="6"/>
  <c r="AC60" i="6"/>
  <c r="AD60" i="6"/>
  <c r="AE60" i="6"/>
  <c r="AF60" i="6"/>
  <c r="AG60" i="6"/>
  <c r="AH60" i="6"/>
  <c r="AI60" i="6"/>
  <c r="AJ60" i="6"/>
  <c r="AK60" i="6"/>
  <c r="AL60" i="6"/>
  <c r="AM60" i="6"/>
  <c r="AN60" i="6"/>
  <c r="AO60" i="6"/>
  <c r="AP60" i="6"/>
  <c r="AQ60" i="6"/>
  <c r="AR60" i="6"/>
  <c r="AS60" i="6"/>
  <c r="AT60" i="6"/>
  <c r="AU60" i="6"/>
  <c r="AV60" i="6"/>
  <c r="AW60" i="6"/>
  <c r="AX60" i="6"/>
  <c r="AY60" i="6"/>
  <c r="D65" i="6"/>
  <c r="E65" i="6"/>
  <c r="F65" i="6"/>
  <c r="G65" i="6"/>
  <c r="H65" i="6"/>
  <c r="I65" i="6"/>
  <c r="J65" i="6"/>
  <c r="K65" i="6"/>
  <c r="L65" i="6"/>
  <c r="M65" i="6"/>
  <c r="N65" i="6"/>
  <c r="O65" i="6"/>
  <c r="T65" i="6"/>
  <c r="U65" i="6"/>
  <c r="V65" i="6"/>
  <c r="W65" i="6"/>
  <c r="X65" i="6"/>
  <c r="Y65" i="6"/>
  <c r="Z65" i="6"/>
  <c r="AA65" i="6"/>
  <c r="AB65" i="6"/>
  <c r="AC65" i="6"/>
  <c r="AD65" i="6"/>
  <c r="AE65" i="6"/>
  <c r="AF65" i="6"/>
  <c r="AG65" i="6"/>
  <c r="AH65" i="6"/>
  <c r="AI65" i="6"/>
  <c r="AJ65" i="6"/>
  <c r="AK65" i="6"/>
  <c r="AL65" i="6"/>
  <c r="AM65" i="6"/>
  <c r="AN65" i="6"/>
  <c r="AO65" i="6"/>
  <c r="AP65" i="6"/>
  <c r="AQ65" i="6"/>
  <c r="AR65" i="6"/>
  <c r="AS65" i="6"/>
  <c r="AT65" i="6"/>
  <c r="AU65" i="6"/>
  <c r="AV65" i="6"/>
  <c r="AW65" i="6"/>
  <c r="AX65" i="6"/>
  <c r="AY65" i="6"/>
  <c r="D66" i="6"/>
  <c r="E66" i="6"/>
  <c r="F66" i="6"/>
  <c r="G66" i="6"/>
  <c r="H66" i="6"/>
  <c r="I66" i="6"/>
  <c r="J66" i="6"/>
  <c r="K66" i="6"/>
  <c r="L66" i="6"/>
  <c r="M66" i="6"/>
  <c r="N66" i="6"/>
  <c r="T66" i="6"/>
  <c r="U66" i="6"/>
  <c r="V66" i="6"/>
  <c r="W66" i="6"/>
  <c r="X66" i="6"/>
  <c r="Y66" i="6"/>
  <c r="Z66" i="6"/>
  <c r="AA66" i="6"/>
  <c r="AB66" i="6"/>
  <c r="AC66" i="6"/>
  <c r="AD66" i="6"/>
  <c r="AE66" i="6"/>
  <c r="AF66" i="6"/>
  <c r="AG66" i="6"/>
  <c r="AH66" i="6"/>
  <c r="AI66" i="6"/>
  <c r="AJ66" i="6"/>
  <c r="AK66" i="6"/>
  <c r="AL66" i="6"/>
  <c r="AM66" i="6"/>
  <c r="AN66" i="6"/>
  <c r="AO66" i="6"/>
  <c r="AP66" i="6"/>
  <c r="AQ66" i="6"/>
  <c r="AR66" i="6"/>
  <c r="AS66" i="6"/>
  <c r="AT66" i="6"/>
  <c r="AU66" i="6"/>
  <c r="AV66" i="6"/>
  <c r="AW66" i="6"/>
  <c r="AX66" i="6"/>
  <c r="AY66" i="6"/>
  <c r="G70" i="6"/>
  <c r="H70" i="6"/>
  <c r="I70" i="6"/>
  <c r="J70" i="6"/>
  <c r="K70" i="6"/>
  <c r="L70" i="6"/>
  <c r="M70" i="6"/>
  <c r="N70" i="6"/>
  <c r="T70" i="6"/>
  <c r="U70" i="6"/>
  <c r="V70" i="6"/>
  <c r="W70" i="6"/>
  <c r="X70" i="6"/>
  <c r="Y70" i="6"/>
  <c r="Z70" i="6"/>
  <c r="AA70" i="6"/>
  <c r="AB70" i="6"/>
  <c r="AC70" i="6"/>
  <c r="AD70" i="6"/>
  <c r="AE70" i="6"/>
  <c r="AF70" i="6"/>
  <c r="AG70" i="6"/>
  <c r="AH70" i="6"/>
  <c r="AI70" i="6"/>
  <c r="AJ70" i="6"/>
  <c r="AK70" i="6"/>
  <c r="AL70" i="6"/>
  <c r="AM70" i="6"/>
  <c r="AN70" i="6"/>
  <c r="AO70" i="6"/>
  <c r="AP70" i="6"/>
  <c r="AQ70" i="6"/>
  <c r="AR70" i="6"/>
  <c r="AS70" i="6"/>
  <c r="AT70" i="6"/>
  <c r="AU70" i="6"/>
  <c r="AV70" i="6"/>
  <c r="AW70" i="6"/>
  <c r="AX70" i="6"/>
  <c r="AY70" i="6"/>
  <c r="G71" i="6"/>
  <c r="H71" i="6"/>
  <c r="I71" i="6"/>
  <c r="J71" i="6"/>
  <c r="K71" i="6"/>
  <c r="L71" i="6"/>
  <c r="M71" i="6"/>
  <c r="N71" i="6"/>
  <c r="T71" i="6"/>
  <c r="U71" i="6"/>
  <c r="V71" i="6"/>
  <c r="W71" i="6"/>
  <c r="X71" i="6"/>
  <c r="Y71" i="6"/>
  <c r="Z71" i="6"/>
  <c r="AA71" i="6"/>
  <c r="AB71" i="6"/>
  <c r="AC71" i="6"/>
  <c r="AD71" i="6"/>
  <c r="AE71" i="6"/>
  <c r="AF71" i="6"/>
  <c r="AG71" i="6"/>
  <c r="AH71" i="6"/>
  <c r="AI71" i="6"/>
  <c r="AJ71" i="6"/>
  <c r="AK71" i="6"/>
  <c r="AL71" i="6"/>
  <c r="AM71" i="6"/>
  <c r="AN71" i="6"/>
  <c r="AO71" i="6"/>
  <c r="AP71" i="6"/>
  <c r="AQ71" i="6"/>
  <c r="AR71" i="6"/>
  <c r="AS71" i="6"/>
  <c r="AT71" i="6"/>
  <c r="AU71" i="6"/>
  <c r="AV71" i="6"/>
  <c r="AW71" i="6"/>
  <c r="AX71" i="6"/>
  <c r="AY71" i="6"/>
  <c r="I75" i="6"/>
  <c r="J75" i="6"/>
  <c r="K75" i="6"/>
  <c r="L75" i="6"/>
  <c r="M75" i="6"/>
  <c r="N75" i="6"/>
  <c r="AB75" i="6"/>
  <c r="AC75" i="6"/>
  <c r="AD75" i="6"/>
  <c r="AE75" i="6"/>
  <c r="AF75" i="6"/>
  <c r="AG75" i="6"/>
  <c r="AH75" i="6"/>
  <c r="AI75" i="6"/>
  <c r="AJ75" i="6"/>
  <c r="AK75" i="6"/>
  <c r="AL75" i="6"/>
  <c r="AM75" i="6"/>
  <c r="AN75" i="6"/>
  <c r="AO75" i="6"/>
  <c r="AP75" i="6"/>
  <c r="AQ75" i="6"/>
  <c r="AR75" i="6"/>
  <c r="AS75" i="6"/>
  <c r="AT75" i="6"/>
  <c r="AU75" i="6"/>
  <c r="AV75" i="6"/>
  <c r="AW75" i="6"/>
  <c r="AX75" i="6"/>
  <c r="AY75" i="6"/>
  <c r="I77" i="6"/>
  <c r="J77" i="6"/>
  <c r="K77" i="6"/>
  <c r="L77" i="6"/>
  <c r="M77" i="6"/>
  <c r="N77" i="6"/>
  <c r="O77" i="6"/>
  <c r="AB77" i="6"/>
  <c r="AC77" i="6"/>
  <c r="AD77" i="6"/>
  <c r="AE77" i="6"/>
  <c r="AF77" i="6"/>
  <c r="AG77" i="6"/>
  <c r="AH77" i="6"/>
  <c r="AI77" i="6"/>
  <c r="AJ77" i="6"/>
  <c r="AK77" i="6"/>
  <c r="AL77" i="6"/>
  <c r="AM77" i="6"/>
  <c r="AN77" i="6"/>
  <c r="AO77" i="6"/>
  <c r="AP77" i="6"/>
  <c r="AQ77" i="6"/>
  <c r="AR77" i="6"/>
  <c r="AS77" i="6"/>
  <c r="AT77" i="6"/>
  <c r="AU77" i="6"/>
  <c r="AV77" i="6"/>
  <c r="AW77" i="6"/>
  <c r="AX77" i="6"/>
  <c r="AY77" i="6"/>
  <c r="L21" i="4"/>
  <c r="M21" i="4"/>
  <c r="N21" i="4"/>
  <c r="AP21" i="4"/>
  <c r="AQ21" i="4"/>
  <c r="AR21" i="4"/>
  <c r="AS21" i="4"/>
  <c r="AT21" i="4"/>
  <c r="AU21" i="4"/>
  <c r="AV21" i="4"/>
  <c r="AW21" i="4"/>
  <c r="AX21" i="4"/>
  <c r="AY21" i="4"/>
  <c r="L23" i="4"/>
  <c r="M23" i="4"/>
  <c r="N23" i="4"/>
  <c r="AP23" i="4"/>
  <c r="AQ23" i="4"/>
  <c r="AR23" i="4"/>
  <c r="AS23" i="4"/>
  <c r="AT23" i="4"/>
  <c r="AU23" i="4"/>
  <c r="AV23" i="4"/>
  <c r="AW23" i="4"/>
  <c r="AX23" i="4"/>
  <c r="AY23" i="4"/>
  <c r="L25" i="4"/>
  <c r="M25" i="4"/>
  <c r="N25" i="4"/>
  <c r="AP25" i="4"/>
  <c r="AQ25" i="4"/>
  <c r="AR25" i="4"/>
  <c r="AS25" i="4"/>
  <c r="AT25" i="4"/>
  <c r="AU25" i="4"/>
  <c r="AV25" i="4"/>
  <c r="AW25" i="4"/>
  <c r="AX25" i="4"/>
  <c r="AY25" i="4"/>
  <c r="L27" i="4"/>
  <c r="M27" i="4"/>
  <c r="N27" i="4"/>
  <c r="AP27" i="4"/>
  <c r="AQ27" i="4"/>
  <c r="AR27" i="4"/>
  <c r="AS27" i="4"/>
  <c r="AT27" i="4"/>
  <c r="AU27" i="4"/>
  <c r="AV27" i="4"/>
  <c r="AW27" i="4"/>
  <c r="AX27" i="4"/>
  <c r="AY27" i="4"/>
  <c r="L28" i="4"/>
  <c r="M28" i="4"/>
  <c r="N28" i="4"/>
  <c r="L30" i="4"/>
  <c r="M30" i="4"/>
  <c r="N30" i="4"/>
  <c r="AP30" i="4"/>
  <c r="AQ30" i="4"/>
  <c r="AR30" i="4"/>
  <c r="AS30" i="4"/>
  <c r="AT30" i="4"/>
  <c r="AU30" i="4"/>
  <c r="AV30" i="4"/>
  <c r="AW30" i="4"/>
  <c r="AX30" i="4"/>
  <c r="AY30" i="4"/>
  <c r="L33" i="4"/>
  <c r="M33" i="4"/>
  <c r="N33" i="4"/>
  <c r="AP33" i="4"/>
  <c r="AQ33" i="4"/>
  <c r="AR33" i="4"/>
  <c r="AS33" i="4"/>
  <c r="AT33" i="4"/>
  <c r="AU33" i="4"/>
  <c r="AV33" i="4"/>
  <c r="AW33" i="4"/>
  <c r="AX33" i="4"/>
  <c r="AY33" i="4"/>
  <c r="L35" i="4"/>
  <c r="M35" i="4"/>
  <c r="N35" i="4"/>
  <c r="AP35" i="4"/>
  <c r="AQ35" i="4"/>
  <c r="AR35" i="4"/>
  <c r="AS35" i="4"/>
  <c r="AT35" i="4"/>
  <c r="AU35" i="4"/>
  <c r="AV35" i="4"/>
  <c r="AW35" i="4"/>
  <c r="AX35" i="4"/>
  <c r="AY35" i="4"/>
  <c r="L40" i="4"/>
  <c r="M40" i="4"/>
  <c r="N40" i="4"/>
  <c r="AP40" i="4"/>
  <c r="AQ40" i="4"/>
  <c r="AR40" i="4"/>
  <c r="AS40" i="4"/>
  <c r="AT40" i="4"/>
  <c r="AU40" i="4"/>
  <c r="AV40" i="4"/>
  <c r="AW40" i="4"/>
  <c r="AX40" i="4"/>
  <c r="AY40" i="4"/>
  <c r="L42" i="4"/>
  <c r="M42" i="4"/>
  <c r="N42" i="4"/>
  <c r="AP42" i="4"/>
  <c r="AQ42" i="4"/>
  <c r="AR42" i="4"/>
  <c r="AS42" i="4"/>
  <c r="AT42" i="4"/>
  <c r="AU42" i="4"/>
  <c r="AV42" i="4"/>
  <c r="AW42" i="4"/>
  <c r="AX42" i="4"/>
  <c r="AY42" i="4"/>
  <c r="L43" i="4"/>
  <c r="M43" i="4"/>
  <c r="N43" i="4"/>
  <c r="AP43" i="4"/>
  <c r="AQ43" i="4"/>
  <c r="AR43" i="4"/>
  <c r="AS43" i="4"/>
  <c r="AT43" i="4"/>
  <c r="AU43" i="4"/>
  <c r="AV43" i="4"/>
  <c r="AW43" i="4"/>
  <c r="AX43" i="4"/>
  <c r="AY43" i="4"/>
  <c r="L51" i="4"/>
  <c r="M51" i="4"/>
  <c r="N51" i="4"/>
  <c r="AP51" i="4"/>
  <c r="AQ51" i="4"/>
  <c r="AR51" i="4"/>
  <c r="AS51" i="4"/>
  <c r="AT51" i="4"/>
  <c r="AU51" i="4"/>
  <c r="AV51" i="4"/>
  <c r="AW51" i="4"/>
  <c r="AX51" i="4"/>
  <c r="AY51" i="4"/>
  <c r="L52" i="4"/>
  <c r="M52" i="4"/>
  <c r="N52" i="4"/>
  <c r="AP52" i="4"/>
  <c r="AQ52" i="4"/>
  <c r="AR52" i="4"/>
  <c r="AS52" i="4"/>
  <c r="AT52" i="4"/>
  <c r="AU52" i="4"/>
  <c r="AV52" i="4"/>
  <c r="AW52" i="4"/>
  <c r="AX52" i="4"/>
  <c r="AY52" i="4"/>
  <c r="AP95" i="4"/>
  <c r="AQ95" i="4"/>
  <c r="AR95" i="4"/>
  <c r="AS95" i="4"/>
  <c r="AT95" i="4"/>
  <c r="AU95" i="4"/>
  <c r="AV95" i="4"/>
  <c r="AW95" i="4"/>
  <c r="AX95" i="4"/>
  <c r="AY95" i="4"/>
  <c r="M97" i="4"/>
  <c r="N97" i="4"/>
  <c r="AP97" i="4"/>
  <c r="AQ97" i="4"/>
  <c r="AR97" i="4"/>
  <c r="AS97" i="4"/>
  <c r="AT97" i="4"/>
  <c r="AU97" i="4"/>
  <c r="AV97" i="4"/>
  <c r="AW97" i="4"/>
  <c r="AX97" i="4"/>
  <c r="AY97" i="4"/>
  <c r="L99" i="4"/>
  <c r="M99" i="4"/>
  <c r="N99" i="4"/>
  <c r="L108" i="4"/>
  <c r="M108" i="4"/>
  <c r="N108" i="4"/>
  <c r="AP108" i="4"/>
  <c r="AQ108" i="4"/>
  <c r="AR108" i="4"/>
  <c r="AS108" i="4"/>
  <c r="AT108" i="4"/>
  <c r="AU108" i="4"/>
  <c r="AV108" i="4"/>
  <c r="AW108" i="4"/>
  <c r="AX108" i="4"/>
  <c r="AY108" i="4"/>
  <c r="L136" i="4"/>
  <c r="M136" i="4"/>
  <c r="N136" i="4"/>
  <c r="AQ136" i="4"/>
  <c r="AR136" i="4"/>
  <c r="AS136" i="4"/>
  <c r="AT136" i="4"/>
  <c r="AU136" i="4"/>
  <c r="AV136" i="4"/>
  <c r="AW136" i="4"/>
  <c r="AX136" i="4"/>
  <c r="AY136" i="4"/>
  <c r="L137" i="4"/>
  <c r="M137" i="4"/>
  <c r="N137" i="4"/>
  <c r="AP137" i="4"/>
  <c r="AQ137" i="4"/>
  <c r="AR137" i="4"/>
  <c r="AS137" i="4"/>
  <c r="AT137" i="4"/>
  <c r="AU137" i="4"/>
  <c r="AV137" i="4"/>
  <c r="AW137" i="4"/>
  <c r="AX137" i="4"/>
  <c r="AY137" i="4"/>
  <c r="L138" i="4"/>
  <c r="M138" i="4"/>
  <c r="N138" i="4"/>
  <c r="AP138" i="4"/>
  <c r="AQ138" i="4"/>
  <c r="AR138" i="4"/>
  <c r="AS138" i="4"/>
  <c r="AT138" i="4"/>
  <c r="AU138" i="4"/>
  <c r="AV138" i="4"/>
  <c r="AW138" i="4"/>
  <c r="AX138" i="4"/>
  <c r="AY138" i="4"/>
  <c r="L139" i="4"/>
  <c r="M139" i="4"/>
  <c r="N139" i="4"/>
  <c r="AP139" i="4"/>
  <c r="AQ139" i="4"/>
  <c r="AR139" i="4"/>
  <c r="AS139" i="4"/>
  <c r="AT139" i="4"/>
  <c r="AU139" i="4"/>
  <c r="AV139" i="4"/>
  <c r="AW139" i="4"/>
  <c r="AX139" i="4"/>
  <c r="AY139" i="4"/>
  <c r="L145" i="4"/>
  <c r="M145" i="4"/>
  <c r="N145" i="4"/>
  <c r="H146" i="4"/>
  <c r="H147" i="4"/>
  <c r="H148" i="4"/>
  <c r="C9" i="7"/>
  <c r="C10" i="7"/>
  <c r="C14" i="7"/>
  <c r="C21" i="7"/>
  <c r="L31" i="7"/>
  <c r="M31" i="7"/>
  <c r="N31" i="7"/>
  <c r="AP31" i="7"/>
  <c r="AQ31" i="7"/>
  <c r="AR31" i="7"/>
  <c r="AS31" i="7"/>
  <c r="AT31" i="7"/>
  <c r="AU31" i="7"/>
  <c r="AV31" i="7"/>
  <c r="AW31" i="7"/>
  <c r="AX31" i="7"/>
  <c r="AY31" i="7"/>
  <c r="L32" i="7"/>
  <c r="M32" i="7"/>
  <c r="N32" i="7"/>
  <c r="AP32" i="7"/>
  <c r="AQ32" i="7"/>
  <c r="AR32" i="7"/>
  <c r="AS32" i="7"/>
  <c r="AT32" i="7"/>
  <c r="AU32" i="7"/>
  <c r="AV32" i="7"/>
  <c r="AW32" i="7"/>
  <c r="AX32" i="7"/>
  <c r="AY32" i="7"/>
  <c r="L33" i="7"/>
  <c r="M33" i="7"/>
  <c r="L34" i="7"/>
  <c r="M34" i="7"/>
  <c r="N34" i="7"/>
  <c r="AP34" i="7"/>
  <c r="AQ34" i="7"/>
  <c r="AR34" i="7"/>
  <c r="AS34" i="7"/>
  <c r="AT34" i="7"/>
  <c r="AU34" i="7"/>
  <c r="AV34" i="7"/>
  <c r="AW34" i="7"/>
  <c r="AX34" i="7"/>
  <c r="AY34" i="7"/>
  <c r="L40" i="7"/>
  <c r="M40" i="7"/>
  <c r="N40" i="7"/>
  <c r="AP40" i="7"/>
  <c r="AQ40" i="7"/>
  <c r="AR40" i="7"/>
  <c r="AS40" i="7"/>
  <c r="AT40" i="7"/>
  <c r="AU40" i="7"/>
  <c r="AV40" i="7"/>
  <c r="AW40" i="7"/>
  <c r="AX40" i="7"/>
  <c r="AY40" i="7"/>
  <c r="L41" i="7"/>
  <c r="M41" i="7"/>
  <c r="N41" i="7"/>
  <c r="AP41" i="7"/>
  <c r="AQ41" i="7"/>
  <c r="AR41" i="7"/>
  <c r="AS41" i="7"/>
  <c r="AT41" i="7"/>
  <c r="AU41" i="7"/>
  <c r="AV41" i="7"/>
  <c r="AW41" i="7"/>
  <c r="AX41" i="7"/>
  <c r="AY41" i="7"/>
  <c r="L44" i="7"/>
  <c r="M44" i="7"/>
  <c r="N44" i="7"/>
  <c r="AP44" i="7"/>
  <c r="AQ44" i="7"/>
  <c r="AR44" i="7"/>
  <c r="AS44" i="7"/>
  <c r="AT44" i="7"/>
  <c r="AU44" i="7"/>
  <c r="AV44" i="7"/>
  <c r="AW44" i="7"/>
  <c r="AX44" i="7"/>
  <c r="AY44" i="7"/>
  <c r="L48" i="7"/>
  <c r="M48" i="7"/>
  <c r="N48" i="7"/>
  <c r="AP48" i="7"/>
  <c r="AQ48" i="7"/>
  <c r="AR48" i="7"/>
  <c r="AS48" i="7"/>
  <c r="AT48" i="7"/>
  <c r="AU48" i="7"/>
  <c r="AV48" i="7"/>
  <c r="AW48" i="7"/>
  <c r="AX48" i="7"/>
  <c r="AY48" i="7"/>
  <c r="C52" i="7"/>
  <c r="C53" i="7"/>
  <c r="C56" i="7"/>
  <c r="C57" i="7"/>
  <c r="C58" i="7"/>
  <c r="C60" i="7"/>
  <c r="C61" i="7"/>
  <c r="C63" i="7"/>
  <c r="C66" i="7"/>
  <c r="C67" i="7"/>
  <c r="C69" i="7"/>
  <c r="C70" i="7"/>
  <c r="C71" i="7"/>
  <c r="C76" i="7"/>
  <c r="D76" i="7"/>
  <c r="E76" i="7"/>
  <c r="F76" i="7"/>
  <c r="C77" i="7"/>
  <c r="D77" i="7"/>
  <c r="E77" i="7"/>
  <c r="F77" i="7"/>
  <c r="C78" i="7"/>
  <c r="D78" i="7"/>
  <c r="E78" i="7"/>
  <c r="F78" i="7"/>
</calcChain>
</file>

<file path=xl/comments1.xml><?xml version="1.0" encoding="utf-8"?>
<comments xmlns="http://schemas.openxmlformats.org/spreadsheetml/2006/main">
  <authors>
    <author>Lam, Lisa (Research)</author>
  </authors>
  <commentList>
    <comment ref="AP44" authorId="0">
      <text>
        <r>
          <rPr>
            <sz val="9"/>
            <color indexed="81"/>
            <rFont val="Tahoma"/>
            <family val="2"/>
          </rPr>
          <t>"net new sales" in presentation</t>
        </r>
      </text>
    </comment>
  </commentList>
</comments>
</file>

<file path=xl/comments2.xml><?xml version="1.0" encoding="utf-8"?>
<comments xmlns="http://schemas.openxmlformats.org/spreadsheetml/2006/main">
  <authors>
    <author>Lam, Lisa (Research)</author>
  </authors>
  <commentList>
    <comment ref="AK14" authorId="0">
      <text>
        <r>
          <rPr>
            <sz val="9"/>
            <color indexed="81"/>
            <rFont val="Tahoma"/>
            <family val="2"/>
          </rPr>
          <t>3Q17 presentation
w/ ELI</t>
        </r>
      </text>
    </comment>
    <comment ref="AL14" authorId="0">
      <text>
        <r>
          <rPr>
            <sz val="9"/>
            <color indexed="81"/>
            <rFont val="Tahoma"/>
            <family val="2"/>
          </rPr>
          <t>3Q17 presentation
w/ ELI</t>
        </r>
      </text>
    </comment>
    <comment ref="AM14" authorId="0">
      <text>
        <r>
          <rPr>
            <sz val="9"/>
            <color indexed="81"/>
            <rFont val="Tahoma"/>
            <family val="2"/>
          </rPr>
          <t>4Q17 presentation
w/ ELI
w/ KIO</t>
        </r>
      </text>
    </comment>
    <comment ref="AL16" authorId="0">
      <text>
        <r>
          <rPr>
            <sz val="9"/>
            <color indexed="81"/>
            <rFont val="Tahoma"/>
            <family val="2"/>
          </rPr>
          <t xml:space="preserve">assume $128.9M for Allstream (June 2017 as proxy)  </t>
        </r>
      </text>
    </comment>
  </commentList>
</comments>
</file>

<file path=xl/comments3.xml><?xml version="1.0" encoding="utf-8"?>
<comments xmlns="http://schemas.openxmlformats.org/spreadsheetml/2006/main">
  <authors>
    <author>Lam, Lisa (Research)</author>
  </authors>
  <commentList>
    <comment ref="B9" authorId="0">
      <text>
        <r>
          <rPr>
            <sz val="9"/>
            <color indexed="81"/>
            <rFont val="Tahoma"/>
            <family val="2"/>
          </rPr>
          <t>use 5/3 as timing convention</t>
        </r>
      </text>
    </comment>
    <comment ref="Z19" authorId="0">
      <text>
        <r>
          <rPr>
            <sz val="9"/>
            <color indexed="81"/>
            <rFont val="Tahoma"/>
            <family val="2"/>
          </rPr>
          <t>earnings supplemental</t>
        </r>
      </text>
    </comment>
    <comment ref="AA19" authorId="0">
      <text>
        <r>
          <rPr>
            <sz val="9"/>
            <color indexed="81"/>
            <rFont val="Tahoma"/>
            <family val="2"/>
          </rPr>
          <t>earnings supplemental</t>
        </r>
      </text>
    </comment>
    <comment ref="AB19" authorId="0">
      <text>
        <r>
          <rPr>
            <sz val="9"/>
            <color indexed="81"/>
            <rFont val="Tahoma"/>
            <family val="2"/>
          </rPr>
          <t>earnings supplemental</t>
        </r>
      </text>
    </comment>
    <comment ref="AC19" authorId="0">
      <text>
        <r>
          <rPr>
            <sz val="9"/>
            <color indexed="81"/>
            <rFont val="Tahoma"/>
            <family val="2"/>
          </rPr>
          <t>earnings supplemental</t>
        </r>
      </text>
    </comment>
    <comment ref="AD19" authorId="0">
      <text>
        <r>
          <rPr>
            <sz val="9"/>
            <color indexed="81"/>
            <rFont val="Tahoma"/>
            <family val="2"/>
          </rPr>
          <t>earnings supplemental</t>
        </r>
      </text>
    </comment>
    <comment ref="AE19" authorId="0">
      <text>
        <r>
          <rPr>
            <sz val="9"/>
            <color indexed="81"/>
            <rFont val="Tahoma"/>
            <family val="2"/>
          </rPr>
          <t>includes M&amp;A</t>
        </r>
      </text>
    </comment>
    <comment ref="AF19" authorId="0">
      <text>
        <r>
          <rPr>
            <sz val="9"/>
            <color indexed="81"/>
            <rFont val="Tahoma"/>
            <family val="2"/>
          </rPr>
          <t>includes M&amp;A</t>
        </r>
      </text>
    </comment>
    <comment ref="AG19" authorId="0">
      <text>
        <r>
          <rPr>
            <sz val="9"/>
            <color indexed="81"/>
            <rFont val="Tahoma"/>
            <family val="2"/>
          </rPr>
          <t>includes M&amp;A</t>
        </r>
      </text>
    </comment>
    <comment ref="AH19" authorId="0">
      <text>
        <r>
          <rPr>
            <sz val="9"/>
            <color indexed="81"/>
            <rFont val="Tahoma"/>
            <family val="2"/>
          </rPr>
          <t>includes M&amp;A</t>
        </r>
      </text>
    </comment>
    <comment ref="AI19" authorId="0">
      <text>
        <r>
          <rPr>
            <sz val="9"/>
            <color indexed="81"/>
            <rFont val="Tahoma"/>
            <family val="2"/>
          </rPr>
          <t>includes M&amp;A</t>
        </r>
      </text>
    </comment>
    <comment ref="AJ19" authorId="0">
      <text>
        <r>
          <rPr>
            <sz val="9"/>
            <color indexed="81"/>
            <rFont val="Tahoma"/>
            <family val="2"/>
          </rPr>
          <t>includes M&amp;A</t>
        </r>
      </text>
    </comment>
    <comment ref="AK19" authorId="0">
      <text>
        <r>
          <rPr>
            <sz val="9"/>
            <color indexed="81"/>
            <rFont val="Tahoma"/>
            <family val="2"/>
          </rPr>
          <t>includes M&amp;A</t>
        </r>
      </text>
    </comment>
    <comment ref="AL19" authorId="0">
      <text>
        <r>
          <rPr>
            <sz val="9"/>
            <color indexed="81"/>
            <rFont val="Tahoma"/>
            <family val="2"/>
          </rPr>
          <t>includes M&amp;A</t>
        </r>
      </text>
    </comment>
    <comment ref="AM19" authorId="0">
      <text>
        <r>
          <rPr>
            <sz val="9"/>
            <color indexed="81"/>
            <rFont val="Tahoma"/>
            <family val="2"/>
          </rPr>
          <t>includes M&amp;A</t>
        </r>
      </text>
    </comment>
    <comment ref="AN19" authorId="0">
      <text>
        <r>
          <rPr>
            <sz val="9"/>
            <color indexed="81"/>
            <rFont val="Tahoma"/>
            <family val="2"/>
          </rPr>
          <t>includes M&amp;A</t>
        </r>
      </text>
    </comment>
    <comment ref="AO19" authorId="0">
      <text>
        <r>
          <rPr>
            <sz val="9"/>
            <color indexed="81"/>
            <rFont val="Tahoma"/>
            <family val="2"/>
          </rPr>
          <t>includes M&amp;A</t>
        </r>
      </text>
    </comment>
    <comment ref="AE30" authorId="0">
      <text>
        <r>
          <rPr>
            <sz val="10"/>
            <color theme="1"/>
            <rFont val="Calibri"/>
            <family val="2"/>
            <scheme val="minor"/>
          </rPr>
          <t>"churn processed"</t>
        </r>
      </text>
    </comment>
    <comment ref="AF30" authorId="0">
      <text>
        <r>
          <rPr>
            <sz val="10"/>
            <color theme="1"/>
            <rFont val="Calibri"/>
            <family val="2"/>
            <scheme val="minor"/>
          </rPr>
          <t>"churn processed"</t>
        </r>
      </text>
    </comment>
    <comment ref="AG30" authorId="0">
      <text>
        <r>
          <rPr>
            <sz val="10"/>
            <color theme="1"/>
            <rFont val="Calibri"/>
            <family val="2"/>
            <scheme val="minor"/>
          </rPr>
          <t>"churn processed"</t>
        </r>
      </text>
    </comment>
    <comment ref="AH30" authorId="0">
      <text>
        <r>
          <rPr>
            <sz val="10"/>
            <color theme="1"/>
            <rFont val="Calibri"/>
            <family val="2"/>
            <scheme val="minor"/>
          </rPr>
          <t>"churn processed"</t>
        </r>
      </text>
    </comment>
    <comment ref="AI30" authorId="0">
      <text>
        <r>
          <rPr>
            <sz val="10"/>
            <color theme="1"/>
            <rFont val="Calibri"/>
            <family val="2"/>
            <scheme val="minor"/>
          </rPr>
          <t>"churn processed"</t>
        </r>
      </text>
    </comment>
    <comment ref="AN30" authorId="0">
      <text>
        <r>
          <rPr>
            <sz val="10"/>
            <color theme="1"/>
            <rFont val="Calibri"/>
            <family val="2"/>
            <scheme val="minor"/>
          </rPr>
          <t xml:space="preserve">$480k from bankruptcy of cloud customer
1.1% churn excluding </t>
        </r>
      </text>
    </comment>
    <comment ref="AO30" authorId="0">
      <text>
        <r>
          <rPr>
            <sz val="10"/>
            <color theme="1"/>
            <rFont val="Calibri"/>
            <family val="2"/>
            <scheme val="minor"/>
          </rPr>
          <t xml:space="preserve">$480k from bankruptcy of cloud customer
1.1% churn excluding </t>
        </r>
      </text>
    </comment>
    <comment ref="B31" authorId="0">
      <text>
        <r>
          <rPr>
            <sz val="9"/>
            <color indexed="81"/>
            <rFont val="Tahoma"/>
            <family val="2"/>
          </rPr>
          <t>Percentage of MRR and MAR</t>
        </r>
      </text>
    </comment>
    <comment ref="AH35" authorId="0">
      <text>
        <r>
          <rPr>
            <sz val="9"/>
            <color indexed="81"/>
            <rFont val="Tahoma"/>
            <family val="2"/>
          </rPr>
          <t>includes Allstream</t>
        </r>
      </text>
    </comment>
    <comment ref="AI35" authorId="0">
      <text>
        <r>
          <rPr>
            <sz val="9"/>
            <color indexed="81"/>
            <rFont val="Tahoma"/>
            <family val="2"/>
          </rPr>
          <t>includes Allstream</t>
        </r>
      </text>
    </comment>
    <comment ref="AJ35" authorId="0">
      <text>
        <r>
          <rPr>
            <sz val="9"/>
            <color indexed="81"/>
            <rFont val="Tahoma"/>
            <family val="2"/>
          </rPr>
          <t>includes Allstream</t>
        </r>
      </text>
    </comment>
    <comment ref="AK35" authorId="0">
      <text>
        <r>
          <rPr>
            <sz val="9"/>
            <color indexed="81"/>
            <rFont val="Tahoma"/>
            <family val="2"/>
          </rPr>
          <t>includes Allstream</t>
        </r>
      </text>
    </comment>
    <comment ref="AH42" authorId="0">
      <text>
        <r>
          <rPr>
            <sz val="10"/>
            <color indexed="81"/>
            <rFont val="Tahoma"/>
            <family val="2"/>
          </rPr>
          <t xml:space="preserve">Allstream - closed Jan 15th
5/6 in the quarter </t>
        </r>
      </text>
    </comment>
    <comment ref="AL42" authorId="0">
      <text>
        <r>
          <rPr>
            <sz val="10"/>
            <color indexed="81"/>
            <rFont val="Tahoma"/>
            <family val="2"/>
          </rPr>
          <t>Allstream - not in metrics</t>
        </r>
      </text>
    </comment>
    <comment ref="AM42" authorId="0">
      <text>
        <r>
          <rPr>
            <sz val="10"/>
            <color indexed="81"/>
            <rFont val="Tahoma"/>
            <family val="2"/>
          </rPr>
          <t>Allstream - not in metrics</t>
        </r>
      </text>
    </comment>
    <comment ref="AN42" authorId="0">
      <text>
        <r>
          <rPr>
            <sz val="10"/>
            <color indexed="81"/>
            <rFont val="Tahoma"/>
            <family val="2"/>
          </rPr>
          <t>Allstream - not in metrics</t>
        </r>
      </text>
    </comment>
    <comment ref="AO42" authorId="0">
      <text>
        <r>
          <rPr>
            <sz val="10"/>
            <color indexed="81"/>
            <rFont val="Tahoma"/>
            <family val="2"/>
          </rPr>
          <t>Allstream - not in metrics</t>
        </r>
      </text>
    </comment>
    <comment ref="B48" authorId="0">
      <text>
        <r>
          <rPr>
            <sz val="9"/>
            <color indexed="81"/>
            <rFont val="Tahoma"/>
            <family val="2"/>
          </rPr>
          <t>use 5/3 as timing convention</t>
        </r>
      </text>
    </comment>
    <comment ref="AK57" authorId="0">
      <text>
        <r>
          <rPr>
            <sz val="10"/>
            <color indexed="81"/>
            <rFont val="Tahoma"/>
            <family val="2"/>
          </rPr>
          <t>placeholder</t>
        </r>
      </text>
    </comment>
    <comment ref="AL74" authorId="0">
      <text>
        <r>
          <rPr>
            <sz val="10"/>
            <color indexed="81"/>
            <rFont val="Tahoma"/>
            <family val="2"/>
          </rPr>
          <t>0.6% churn / revenue
historical average of "dark fiber solutions" segment</t>
        </r>
      </text>
    </comment>
    <comment ref="B75" authorId="0">
      <text>
        <r>
          <rPr>
            <sz val="9"/>
            <color indexed="81"/>
            <rFont val="Tahoma"/>
            <family val="2"/>
          </rPr>
          <t>Percentage of MRR and MAR</t>
        </r>
      </text>
    </comment>
    <comment ref="B82" authorId="0">
      <text>
        <r>
          <rPr>
            <sz val="9"/>
            <color indexed="81"/>
            <rFont val="Tahoma"/>
            <family val="2"/>
          </rPr>
          <t>excludes corporate eliminations</t>
        </r>
      </text>
    </comment>
    <comment ref="AP88" authorId="0">
      <text>
        <r>
          <rPr>
            <sz val="10"/>
            <color indexed="81"/>
            <rFont val="Tahoma"/>
            <family val="2"/>
          </rPr>
          <t>annualized EBITDA of acquisitions, assume 50% margin (same as consolidated margins)
CAD 1.9M Optic Zoo Networks (assume 1.25 USD/CAD)
$2.1M Neutral Path</t>
        </r>
      </text>
    </comment>
    <comment ref="B94" authorId="0">
      <text>
        <r>
          <rPr>
            <sz val="9"/>
            <color indexed="81"/>
            <rFont val="Tahoma"/>
            <family val="2"/>
          </rPr>
          <t>use 5/3 as timing convention</t>
        </r>
      </text>
    </comment>
    <comment ref="AK103" authorId="0">
      <text>
        <r>
          <rPr>
            <sz val="10"/>
            <color indexed="81"/>
            <rFont val="Tahoma"/>
            <family val="2"/>
          </rPr>
          <t>placeholder</t>
        </r>
      </text>
    </comment>
    <comment ref="AL120" authorId="0">
      <text>
        <r>
          <rPr>
            <sz val="10"/>
            <color indexed="81"/>
            <rFont val="Tahoma"/>
            <family val="2"/>
          </rPr>
          <t>1.1% churn / revenue
historical average of "colocation and cloud" segment</t>
        </r>
      </text>
    </comment>
    <comment ref="B121" authorId="0">
      <text>
        <r>
          <rPr>
            <sz val="9"/>
            <color indexed="81"/>
            <rFont val="Tahoma"/>
            <family val="2"/>
          </rPr>
          <t>Percentage of MRR and MAR</t>
        </r>
      </text>
    </comment>
    <comment ref="B128" authorId="0">
      <text>
        <r>
          <rPr>
            <sz val="9"/>
            <color indexed="81"/>
            <rFont val="Tahoma"/>
            <family val="2"/>
          </rPr>
          <t>does not include corporate eliminations</t>
        </r>
      </text>
    </comment>
    <comment ref="AK131" authorId="0">
      <text>
        <r>
          <rPr>
            <sz val="10"/>
            <color indexed="81"/>
            <rFont val="Tahoma"/>
            <family val="2"/>
          </rPr>
          <t>assume same as historical "dark fiber solutions" segment</t>
        </r>
      </text>
    </comment>
    <comment ref="AK132" authorId="0">
      <text>
        <r>
          <rPr>
            <sz val="10"/>
            <color indexed="81"/>
            <rFont val="Tahoma"/>
            <family val="2"/>
          </rPr>
          <t>placeholder</t>
        </r>
      </text>
    </comment>
    <comment ref="B140" authorId="0">
      <text>
        <r>
          <rPr>
            <sz val="9"/>
            <color indexed="81"/>
            <rFont val="Tahoma"/>
            <family val="2"/>
          </rPr>
          <t>use 5/3 as timing convention</t>
        </r>
      </text>
    </comment>
    <comment ref="AK149" authorId="0">
      <text>
        <r>
          <rPr>
            <sz val="10"/>
            <color indexed="81"/>
            <rFont val="Tahoma"/>
            <family val="2"/>
          </rPr>
          <t>placeholder
use 1/2 of legacy "network services" as proxy
divide btw "transport" and "enterprise networks"</t>
        </r>
      </text>
    </comment>
    <comment ref="AK150" authorId="0">
      <text>
        <r>
          <rPr>
            <sz val="10"/>
            <color indexed="81"/>
            <rFont val="Tahoma"/>
            <family val="2"/>
          </rPr>
          <t>use 1/2 of legacy "network services" as proxy
divide btw "transport" and "enterprise networks"</t>
        </r>
      </text>
    </comment>
    <comment ref="AK151" authorId="0">
      <text>
        <r>
          <rPr>
            <sz val="10"/>
            <color indexed="81"/>
            <rFont val="Tahoma"/>
            <family val="2"/>
          </rPr>
          <t>use 1/2 of legacy "network services" as proxy
divide btw "transport" and "enterprise networks"</t>
        </r>
      </text>
    </comment>
    <comment ref="AK166" authorId="0">
      <text>
        <r>
          <rPr>
            <sz val="10"/>
            <color indexed="81"/>
            <rFont val="Tahoma"/>
            <family val="2"/>
          </rPr>
          <t>use 1/2 of legacy "network services" as proxy
divide btw "transport" and "enterprise networks"</t>
        </r>
      </text>
    </comment>
    <comment ref="AL166" authorId="0">
      <text>
        <r>
          <rPr>
            <sz val="10"/>
            <color indexed="81"/>
            <rFont val="Tahoma"/>
            <family val="2"/>
          </rPr>
          <t>1.6% churn / revenue
historical average of "network services" segment</t>
        </r>
      </text>
    </comment>
    <comment ref="B167" authorId="0">
      <text>
        <r>
          <rPr>
            <sz val="9"/>
            <color indexed="81"/>
            <rFont val="Tahoma"/>
            <family val="2"/>
          </rPr>
          <t>Percentage of MRR and MAR</t>
        </r>
      </text>
    </comment>
    <comment ref="B174" authorId="0">
      <text>
        <r>
          <rPr>
            <sz val="9"/>
            <color indexed="81"/>
            <rFont val="Tahoma"/>
            <family val="2"/>
          </rPr>
          <t>does not include corporate eliminations</t>
        </r>
      </text>
    </comment>
    <comment ref="AK177" authorId="0">
      <text>
        <r>
          <rPr>
            <sz val="10"/>
            <color indexed="81"/>
            <rFont val="Tahoma"/>
            <family val="2"/>
          </rPr>
          <t>assume same as historical "dark fiber solutions" segment</t>
        </r>
      </text>
    </comment>
    <comment ref="AK178" authorId="0">
      <text>
        <r>
          <rPr>
            <sz val="10"/>
            <color indexed="81"/>
            <rFont val="Tahoma"/>
            <family val="2"/>
          </rPr>
          <t>placeholder</t>
        </r>
      </text>
    </comment>
    <comment ref="B186" authorId="0">
      <text>
        <r>
          <rPr>
            <sz val="9"/>
            <color indexed="81"/>
            <rFont val="Tahoma"/>
            <family val="2"/>
          </rPr>
          <t>use 5/3 as timing convention</t>
        </r>
      </text>
    </comment>
    <comment ref="AK195" authorId="0">
      <text>
        <r>
          <rPr>
            <sz val="10"/>
            <color indexed="81"/>
            <rFont val="Tahoma"/>
            <family val="2"/>
          </rPr>
          <t>placeholder
use 1/2 of legacy "network services" as proxy
divide btw "transport" and "enterprise networks"</t>
        </r>
      </text>
    </comment>
    <comment ref="AK196" authorId="0">
      <text>
        <r>
          <rPr>
            <sz val="10"/>
            <color indexed="81"/>
            <rFont val="Tahoma"/>
            <family val="2"/>
          </rPr>
          <t>use 1/2 of legacy "network services" as proxy
divide btw "transport" and "enterprise networks"</t>
        </r>
      </text>
    </comment>
    <comment ref="AK197" authorId="0">
      <text>
        <r>
          <rPr>
            <sz val="10"/>
            <color indexed="81"/>
            <rFont val="Tahoma"/>
            <family val="2"/>
          </rPr>
          <t>use 1/2 of legacy "network services" as proxy
divide btw "transport" and "enterprise networks"</t>
        </r>
      </text>
    </comment>
    <comment ref="AK212" authorId="0">
      <text>
        <r>
          <rPr>
            <sz val="10"/>
            <color indexed="81"/>
            <rFont val="Tahoma"/>
            <family val="2"/>
          </rPr>
          <t>use 1/2 of legacy "network services" as proxy
divide btw "transport" and "enterprise networks"</t>
        </r>
      </text>
    </comment>
    <comment ref="AL212" authorId="0">
      <text>
        <r>
          <rPr>
            <sz val="10"/>
            <color indexed="81"/>
            <rFont val="Tahoma"/>
            <family val="2"/>
          </rPr>
          <t>1.6% churn / revenue
historical average of "network services" segment</t>
        </r>
      </text>
    </comment>
    <comment ref="B213" authorId="0">
      <text>
        <r>
          <rPr>
            <sz val="9"/>
            <color indexed="81"/>
            <rFont val="Tahoma"/>
            <family val="2"/>
          </rPr>
          <t>Percentage of MRR and MAR</t>
        </r>
      </text>
    </comment>
    <comment ref="B220" authorId="0">
      <text>
        <r>
          <rPr>
            <sz val="9"/>
            <color indexed="81"/>
            <rFont val="Tahoma"/>
            <family val="2"/>
          </rPr>
          <t>does not include corporate eliminations</t>
        </r>
      </text>
    </comment>
    <comment ref="AK223" authorId="0">
      <text>
        <r>
          <rPr>
            <sz val="10"/>
            <color indexed="81"/>
            <rFont val="Tahoma"/>
            <family val="2"/>
          </rPr>
          <t>assume same as historical "dark fiber solutions" segment</t>
        </r>
      </text>
    </comment>
    <comment ref="AK224" authorId="0">
      <text>
        <r>
          <rPr>
            <sz val="10"/>
            <color indexed="81"/>
            <rFont val="Tahoma"/>
            <family val="2"/>
          </rPr>
          <t>placeholder</t>
        </r>
      </text>
    </comment>
    <comment ref="B232" authorId="0">
      <text>
        <r>
          <rPr>
            <sz val="9"/>
            <color indexed="81"/>
            <rFont val="Tahoma"/>
            <family val="2"/>
          </rPr>
          <t>use 5/3 as timing convention</t>
        </r>
      </text>
    </comment>
    <comment ref="AL242" authorId="0">
      <text>
        <r>
          <rPr>
            <sz val="10"/>
            <color indexed="81"/>
            <rFont val="Tahoma"/>
            <family val="2"/>
          </rPr>
          <t>rounding</t>
        </r>
      </text>
    </comment>
    <comment ref="B258" authorId="0">
      <text>
        <r>
          <rPr>
            <sz val="9"/>
            <color indexed="81"/>
            <rFont val="Tahoma"/>
            <family val="2"/>
          </rPr>
          <t>Percentage of MRR and MAR</t>
        </r>
      </text>
    </comment>
    <comment ref="B276" authorId="0">
      <text>
        <r>
          <rPr>
            <sz val="9"/>
            <color indexed="81"/>
            <rFont val="Tahoma"/>
            <family val="2"/>
          </rPr>
          <t>does not include corporate eliminations</t>
        </r>
      </text>
    </comment>
  </commentList>
</comments>
</file>

<file path=xl/comments4.xml><?xml version="1.0" encoding="utf-8"?>
<comments xmlns="http://schemas.openxmlformats.org/spreadsheetml/2006/main">
  <authors>
    <author>Lam, Lisa (Research)</author>
  </authors>
  <commentList>
    <comment ref="AO5" authorId="0">
      <text>
        <r>
          <rPr>
            <sz val="10"/>
            <color indexed="81"/>
            <rFont val="Tahoma"/>
            <family val="2"/>
          </rPr>
          <t>~$7M benefit from customer bankruptcy settlement.  In enterprise solutions</t>
        </r>
      </text>
    </comment>
    <comment ref="T42" authorId="0">
      <text>
        <r>
          <rPr>
            <sz val="9"/>
            <color indexed="81"/>
            <rFont val="Tahoma"/>
            <family val="2"/>
          </rPr>
          <t>to match company model</t>
        </r>
      </text>
    </comment>
    <comment ref="AO94" authorId="0">
      <text>
        <r>
          <rPr>
            <sz val="10"/>
            <color indexed="81"/>
            <rFont val="Tahoma"/>
            <family val="2"/>
          </rPr>
          <t>~$5M benefit from customer bankruptcy settlement</t>
        </r>
      </text>
    </comment>
    <comment ref="AB124" authorId="0">
      <text>
        <r>
          <rPr>
            <sz val="10"/>
            <color indexed="81"/>
            <rFont val="Tahoma"/>
            <family val="2"/>
          </rPr>
          <t>per 10-Q</t>
        </r>
      </text>
    </comment>
    <comment ref="AC124" authorId="0">
      <text>
        <r>
          <rPr>
            <sz val="10"/>
            <color indexed="81"/>
            <rFont val="Tahoma"/>
            <family val="2"/>
          </rPr>
          <t>per 10-Q</t>
        </r>
      </text>
    </comment>
    <comment ref="AD124" authorId="0">
      <text>
        <r>
          <rPr>
            <sz val="10"/>
            <color indexed="81"/>
            <rFont val="Tahoma"/>
            <family val="2"/>
          </rPr>
          <t>per 10-Q</t>
        </r>
      </text>
    </comment>
    <comment ref="AE124" authorId="0">
      <text>
        <r>
          <rPr>
            <sz val="10"/>
            <color indexed="81"/>
            <rFont val="Tahoma"/>
            <family val="2"/>
          </rPr>
          <t>only annual weighted shares reported in 10-K</t>
        </r>
      </text>
    </comment>
    <comment ref="AF124" authorId="0">
      <text>
        <r>
          <rPr>
            <sz val="10"/>
            <color indexed="81"/>
            <rFont val="Tahoma"/>
            <family val="2"/>
          </rPr>
          <t>per 10-Q</t>
        </r>
      </text>
    </comment>
    <comment ref="B128" authorId="0">
      <text>
        <r>
          <rPr>
            <sz val="9"/>
            <color indexed="81"/>
            <rFont val="Tahoma"/>
            <family val="2"/>
          </rPr>
          <t>$25-30M quarterly
~1.5-2% annual share dilution</t>
        </r>
      </text>
    </comment>
    <comment ref="AD132" authorId="0">
      <text>
        <r>
          <rPr>
            <sz val="10"/>
            <color indexed="81"/>
            <rFont val="Tahoma"/>
            <family val="2"/>
          </rPr>
          <t>follow-on offering
4M primary shares
17.85M secondary shares
$27.35 per share
completed 3/17/15</t>
        </r>
      </text>
    </comment>
  </commentList>
</comments>
</file>

<file path=xl/comments5.xml><?xml version="1.0" encoding="utf-8"?>
<comments xmlns="http://schemas.openxmlformats.org/spreadsheetml/2006/main">
  <authors>
    <author>Lam, Lisa (Research)</author>
  </authors>
  <commentList>
    <comment ref="Z10" authorId="0">
      <text>
        <r>
          <rPr>
            <sz val="9"/>
            <color indexed="81"/>
            <rFont val="Tahoma"/>
            <family val="2"/>
          </rPr>
          <t>plug, company model does not balance</t>
        </r>
      </text>
    </comment>
    <comment ref="C64" authorId="0">
      <text>
        <r>
          <rPr>
            <sz val="9"/>
            <color indexed="81"/>
            <rFont val="Tahoma"/>
            <family val="2"/>
          </rPr>
          <t>average life (in years) of MAR signed contract</t>
        </r>
      </text>
    </comment>
  </commentList>
</comments>
</file>

<file path=xl/comments6.xml><?xml version="1.0" encoding="utf-8"?>
<comments xmlns="http://schemas.openxmlformats.org/spreadsheetml/2006/main">
  <authors>
    <author>Lam, Lisa (Research)</author>
  </authors>
  <commentList>
    <comment ref="T6" authorId="0">
      <text>
        <r>
          <rPr>
            <sz val="9"/>
            <color indexed="81"/>
            <rFont val="Tahoma"/>
            <family val="2"/>
          </rPr>
          <t>does not match I/S</t>
        </r>
      </text>
    </comment>
    <comment ref="U6" authorId="0">
      <text>
        <r>
          <rPr>
            <sz val="9"/>
            <color indexed="81"/>
            <rFont val="Tahoma"/>
            <family val="2"/>
          </rPr>
          <t>does not match I/S</t>
        </r>
      </text>
    </comment>
    <comment ref="V6" authorId="0">
      <text>
        <r>
          <rPr>
            <sz val="9"/>
            <color indexed="81"/>
            <rFont val="Tahoma"/>
            <family val="2"/>
          </rPr>
          <t>does not match I/S</t>
        </r>
      </text>
    </comment>
    <comment ref="W6" authorId="0">
      <text>
        <r>
          <rPr>
            <sz val="9"/>
            <color indexed="81"/>
            <rFont val="Tahoma"/>
            <family val="2"/>
          </rPr>
          <t>does not match I/S</t>
        </r>
      </text>
    </comment>
    <comment ref="X6" authorId="0">
      <text>
        <r>
          <rPr>
            <sz val="9"/>
            <color indexed="81"/>
            <rFont val="Tahoma"/>
            <family val="2"/>
          </rPr>
          <t>does not match I/S</t>
        </r>
      </text>
    </comment>
    <comment ref="Y6" authorId="0">
      <text>
        <r>
          <rPr>
            <sz val="9"/>
            <color indexed="81"/>
            <rFont val="Tahoma"/>
            <family val="2"/>
          </rPr>
          <t>does not match I/S</t>
        </r>
      </text>
    </comment>
    <comment ref="Z6" authorId="0">
      <text>
        <r>
          <rPr>
            <sz val="9"/>
            <color indexed="81"/>
            <rFont val="Tahoma"/>
            <family val="2"/>
          </rPr>
          <t>does not match I/S</t>
        </r>
      </text>
    </comment>
    <comment ref="AA6" authorId="0">
      <text>
        <r>
          <rPr>
            <sz val="9"/>
            <color indexed="81"/>
            <rFont val="Tahoma"/>
            <family val="2"/>
          </rPr>
          <t>to match S-1/A</t>
        </r>
      </text>
    </comment>
    <comment ref="T7" authorId="0">
      <text>
        <r>
          <rPr>
            <sz val="9"/>
            <color indexed="81"/>
            <rFont val="Tahoma"/>
            <family val="2"/>
          </rPr>
          <t>does not match I/S</t>
        </r>
      </text>
    </comment>
    <comment ref="U7" authorId="0">
      <text>
        <r>
          <rPr>
            <sz val="9"/>
            <color indexed="81"/>
            <rFont val="Tahoma"/>
            <family val="2"/>
          </rPr>
          <t>does not match I/S</t>
        </r>
      </text>
    </comment>
    <comment ref="V7" authorId="0">
      <text>
        <r>
          <rPr>
            <sz val="9"/>
            <color indexed="81"/>
            <rFont val="Tahoma"/>
            <family val="2"/>
          </rPr>
          <t>does not match I/S</t>
        </r>
      </text>
    </comment>
    <comment ref="W7" authorId="0">
      <text>
        <r>
          <rPr>
            <sz val="9"/>
            <color indexed="81"/>
            <rFont val="Tahoma"/>
            <family val="2"/>
          </rPr>
          <t>does not match I/S</t>
        </r>
      </text>
    </comment>
    <comment ref="X7" authorId="0">
      <text>
        <r>
          <rPr>
            <sz val="9"/>
            <color indexed="81"/>
            <rFont val="Tahoma"/>
            <family val="2"/>
          </rPr>
          <t>does not match I/S</t>
        </r>
      </text>
    </comment>
    <comment ref="Y7" authorId="0">
      <text>
        <r>
          <rPr>
            <sz val="9"/>
            <color indexed="81"/>
            <rFont val="Tahoma"/>
            <family val="2"/>
          </rPr>
          <t>does not match I/S</t>
        </r>
      </text>
    </comment>
    <comment ref="Z7" authorId="0">
      <text>
        <r>
          <rPr>
            <sz val="9"/>
            <color indexed="81"/>
            <rFont val="Tahoma"/>
            <family val="2"/>
          </rPr>
          <t>does not match I/S</t>
        </r>
      </text>
    </comment>
    <comment ref="AA7" authorId="0">
      <text>
        <r>
          <rPr>
            <sz val="9"/>
            <color indexed="81"/>
            <rFont val="Tahoma"/>
            <family val="2"/>
          </rPr>
          <t>to match S-1/A</t>
        </r>
      </text>
    </comment>
    <comment ref="T10" authorId="0">
      <text>
        <r>
          <rPr>
            <sz val="9"/>
            <color indexed="81"/>
            <rFont val="Tahoma"/>
            <family val="2"/>
          </rPr>
          <t>does not match I/S</t>
        </r>
      </text>
    </comment>
    <comment ref="U10" authorId="0">
      <text>
        <r>
          <rPr>
            <sz val="9"/>
            <color indexed="81"/>
            <rFont val="Tahoma"/>
            <family val="2"/>
          </rPr>
          <t>does not match I/S</t>
        </r>
      </text>
    </comment>
    <comment ref="V10" authorId="0">
      <text>
        <r>
          <rPr>
            <sz val="9"/>
            <color indexed="81"/>
            <rFont val="Tahoma"/>
            <family val="2"/>
          </rPr>
          <t>does not match I/S</t>
        </r>
      </text>
    </comment>
    <comment ref="W10" authorId="0">
      <text>
        <r>
          <rPr>
            <sz val="9"/>
            <color indexed="81"/>
            <rFont val="Tahoma"/>
            <family val="2"/>
          </rPr>
          <t>does not match I/S</t>
        </r>
      </text>
    </comment>
    <comment ref="X10" authorId="0">
      <text>
        <r>
          <rPr>
            <sz val="9"/>
            <color indexed="81"/>
            <rFont val="Tahoma"/>
            <family val="2"/>
          </rPr>
          <t>does not match I/S</t>
        </r>
      </text>
    </comment>
    <comment ref="Y10" authorId="0">
      <text>
        <r>
          <rPr>
            <sz val="9"/>
            <color indexed="81"/>
            <rFont val="Tahoma"/>
            <family val="2"/>
          </rPr>
          <t>does not match I/S</t>
        </r>
      </text>
    </comment>
    <comment ref="Z10" authorId="0">
      <text>
        <r>
          <rPr>
            <sz val="9"/>
            <color indexed="81"/>
            <rFont val="Tahoma"/>
            <family val="2"/>
          </rPr>
          <t>does not match I/S</t>
        </r>
      </text>
    </comment>
    <comment ref="AA10" authorId="0">
      <text>
        <r>
          <rPr>
            <sz val="9"/>
            <color indexed="81"/>
            <rFont val="Tahoma"/>
            <family val="2"/>
          </rPr>
          <t>to match S-1/A</t>
        </r>
      </text>
    </comment>
    <comment ref="AA11" authorId="0">
      <text>
        <r>
          <rPr>
            <sz val="9"/>
            <color indexed="81"/>
            <rFont val="Tahoma"/>
            <family val="2"/>
          </rPr>
          <t>to match S-1/A</t>
        </r>
      </text>
    </comment>
    <comment ref="AA12" authorId="0">
      <text>
        <r>
          <rPr>
            <sz val="9"/>
            <color indexed="81"/>
            <rFont val="Tahoma"/>
            <family val="2"/>
          </rPr>
          <t>to match S-1/A</t>
        </r>
      </text>
    </comment>
    <comment ref="AA13" authorId="0">
      <text>
        <r>
          <rPr>
            <sz val="9"/>
            <color indexed="81"/>
            <rFont val="Tahoma"/>
            <family val="2"/>
          </rPr>
          <t>to match S-1/A</t>
        </r>
      </text>
    </comment>
    <comment ref="AA14" authorId="0">
      <text>
        <r>
          <rPr>
            <sz val="9"/>
            <color indexed="81"/>
            <rFont val="Tahoma"/>
            <family val="2"/>
          </rPr>
          <t>to match S-1/A
loss on extinguishment of debt</t>
        </r>
      </text>
    </comment>
    <comment ref="AA15" authorId="0">
      <text>
        <r>
          <rPr>
            <sz val="9"/>
            <color indexed="81"/>
            <rFont val="Tahoma"/>
            <family val="2"/>
          </rPr>
          <t>to match S-1/A</t>
        </r>
      </text>
    </comment>
    <comment ref="AA16" authorId="0">
      <text>
        <r>
          <rPr>
            <sz val="9"/>
            <color indexed="81"/>
            <rFont val="Tahoma"/>
            <family val="2"/>
          </rPr>
          <t>to match S-1/A</t>
        </r>
      </text>
    </comment>
    <comment ref="AA17" authorId="0">
      <text>
        <r>
          <rPr>
            <sz val="9"/>
            <color indexed="81"/>
            <rFont val="Tahoma"/>
            <family val="2"/>
          </rPr>
          <t>to match S-1/A</t>
        </r>
      </text>
    </comment>
    <comment ref="AA20" authorId="0">
      <text>
        <r>
          <rPr>
            <sz val="9"/>
            <color indexed="81"/>
            <rFont val="Tahoma"/>
            <family val="2"/>
          </rPr>
          <t>to match S-1/A</t>
        </r>
      </text>
    </comment>
    <comment ref="AA21" authorId="0">
      <text>
        <r>
          <rPr>
            <sz val="9"/>
            <color indexed="81"/>
            <rFont val="Tahoma"/>
            <family val="2"/>
          </rPr>
          <t>to match S-1/A</t>
        </r>
      </text>
    </comment>
    <comment ref="AA22" authorId="0">
      <text>
        <r>
          <rPr>
            <sz val="9"/>
            <color indexed="81"/>
            <rFont val="Tahoma"/>
            <family val="2"/>
          </rPr>
          <t>to match S-1/A</t>
        </r>
      </text>
    </comment>
    <comment ref="AA23" authorId="0">
      <text>
        <r>
          <rPr>
            <sz val="9"/>
            <color indexed="81"/>
            <rFont val="Tahoma"/>
            <family val="2"/>
          </rPr>
          <t>to match S-1/A</t>
        </r>
      </text>
    </comment>
    <comment ref="AA24" authorId="0">
      <text>
        <r>
          <rPr>
            <sz val="9"/>
            <color indexed="81"/>
            <rFont val="Tahoma"/>
            <family val="2"/>
          </rPr>
          <t>to match S-1/A</t>
        </r>
      </text>
    </comment>
    <comment ref="AA26" authorId="0">
      <text>
        <r>
          <rPr>
            <sz val="9"/>
            <color indexed="81"/>
            <rFont val="Tahoma"/>
            <family val="2"/>
          </rPr>
          <t>to match S-1/A</t>
        </r>
      </text>
    </comment>
    <comment ref="AA27" authorId="0">
      <text>
        <r>
          <rPr>
            <sz val="9"/>
            <color indexed="81"/>
            <rFont val="Tahoma"/>
            <family val="2"/>
          </rPr>
          <t>to match S-1/A</t>
        </r>
      </text>
    </comment>
    <comment ref="AA33" authorId="0">
      <text>
        <r>
          <rPr>
            <sz val="9"/>
            <color indexed="81"/>
            <rFont val="Tahoma"/>
            <family val="2"/>
          </rPr>
          <t>to match S-1/A</t>
        </r>
      </text>
    </comment>
    <comment ref="X34" authorId="0">
      <text>
        <r>
          <rPr>
            <sz val="9"/>
            <color indexed="81"/>
            <rFont val="Tahoma"/>
            <family val="2"/>
          </rPr>
          <t>Corelink Data Centers
some Core NAP</t>
        </r>
      </text>
    </comment>
    <comment ref="Y34" authorId="0">
      <text>
        <r>
          <rPr>
            <sz val="9"/>
            <color indexed="81"/>
            <rFont val="Tahoma"/>
            <family val="2"/>
          </rPr>
          <t>Access Communications
Fiberlink, LLC</t>
        </r>
      </text>
    </comment>
    <comment ref="Z34" authorId="0">
      <text>
        <r>
          <rPr>
            <sz val="9"/>
            <color indexed="81"/>
            <rFont val="Tahoma"/>
            <family val="2"/>
          </rPr>
          <t>CoreXchange acquisition</t>
        </r>
      </text>
    </comment>
    <comment ref="AA34" authorId="0">
      <text>
        <r>
          <rPr>
            <sz val="9"/>
            <color indexed="81"/>
            <rFont val="Tahoma"/>
            <family val="2"/>
          </rPr>
          <t>mostly Geo acquisition 
to match S-1/A</t>
        </r>
      </text>
    </comment>
    <comment ref="AB34" authorId="0">
      <text>
        <r>
          <rPr>
            <sz val="10"/>
            <color indexed="81"/>
            <rFont val="Tahoma"/>
            <family val="2"/>
          </rPr>
          <t>acquisitions of Neo Telecoms, Colo Facilities Atlanta, Access Communications</t>
        </r>
      </text>
    </comment>
    <comment ref="AC34" authorId="0">
      <text>
        <r>
          <rPr>
            <sz val="10"/>
            <color indexed="81"/>
            <rFont val="Tahoma"/>
            <family val="2"/>
          </rPr>
          <t>acquisitions of Neo Telecoms, Colo Facilities Atlanta, Access Communications</t>
        </r>
      </text>
    </comment>
    <comment ref="AD34" authorId="0">
      <text>
        <r>
          <rPr>
            <sz val="10"/>
            <color indexed="81"/>
            <rFont val="Tahoma"/>
            <family val="2"/>
          </rPr>
          <t>acquisitions of Neo Telecoms, Colo Facilities Atlanta, Access Communications</t>
        </r>
      </text>
    </comment>
    <comment ref="AE34" authorId="0">
      <text>
        <r>
          <rPr>
            <sz val="10"/>
            <color indexed="81"/>
            <rFont val="Tahoma"/>
            <family val="2"/>
          </rPr>
          <t>acquisitions of Neo Telecoms, Colo Facilities Atlanta, Access Communications</t>
        </r>
      </text>
    </comment>
    <comment ref="AG34" authorId="0">
      <text>
        <r>
          <rPr>
            <sz val="10"/>
            <color indexed="81"/>
            <rFont val="Tahoma"/>
            <family val="2"/>
          </rPr>
          <t>Viatel
Dallas data center
other</t>
        </r>
      </text>
    </comment>
    <comment ref="AH34" authorId="0">
      <text>
        <r>
          <rPr>
            <sz val="10"/>
            <color indexed="81"/>
            <rFont val="Tahoma"/>
            <family val="2"/>
          </rPr>
          <t xml:space="preserve">Allstream.  Closed 1/11/16
CAD 465M 
</t>
        </r>
      </text>
    </comment>
    <comment ref="AI34" authorId="0">
      <text>
        <r>
          <rPr>
            <sz val="10"/>
            <color indexed="81"/>
            <rFont val="Tahoma"/>
            <family val="2"/>
          </rPr>
          <t>Clearview International LLC - Texas data center
BOULDER, Colo.--(BUSINESS WIRE)-- Zayo Group Holdings, Inc. (NYSE: ZAYO), the global leader in Communications Infrastructure, today completed the $18.9 million acquisition of Clearview International LLC (“Clearview”), a leader in Texas colocation and cloud infrastructure services. Clearview operates two data centers, located at 6606 LBJ Freeway in Dallas and 700 Austin Avenue in Waco, totaling approximately 30,000 square feet of colocation space. The Clearview acquisition builds on the 66,000 square feet of Dallas data center capacity at 1100 Empire Central Place acquired by Zayo on December 31, 2015.
Zayo continues to experience strong demand resulting from the interplay between data center and fiber needs across its markets and particularly in the greater Dallas-Fort Worth metropolitan area. This hybrid demand has been boosted by the kick-off of a 2,000+ route miles Dallas area fiber-to-the-tower (FTT) deployment, announced in May 2015. A recent example is a global SaaS provider securing colocation in Zayo’s Dallas Empire Central facility plus four diverse 10G wavelengths tethering to a Zayo presence in the primary Dallas carrier hotel.
“Enterprise, content, and technology customers increasingly require solutions that involve network connectivity, colocation and cloud infrastructure,” said Greg Friedman, executive vice president of Colocation and Cloud Infrastructure. “Zayo’s acquisition of Clearview ensures we continue to be well-positioned to capitalize on these opportunities and we expect to exceed a 30 percent internal rate of return on this investment.”
“Both Clearview’s customers and delivery team will benefit from integrating into Zayo’s global communications infrastructure,” said TJ Karklins, CEO of Clearview. “In turn, the Texas market will also benefit from a strong, high-scale provider of integrated cloud, data center and network solutions.”
Zayo now owns and operates seven data centers in Texas, and a total of 57 facilities in North America and Europe. Zayo’s dense fiber backbone in Dallas spans more than 3,500 miles, inclusive of the in-process FTT deployment. In addition, Zayo’s Phoenix-Dallas longhaul fiber build will provide additional connectivity between Dallas and Waco. This network enables Zayo to interconnect the new Clearview data centers to Zayo’s key points-of-presence (PoPs) in its other Texas data centers, including 1950 North Stemmons Freeway in Dallas (Infomart) and 1301 Fanning in Houston.
The acquisition was funded with cash on hand and will contribute over $2 million in incremental annualized adjusted EBITDA, before the benefit of any realized cost synergies.</t>
        </r>
      </text>
    </comment>
    <comment ref="AL34" authorId="0">
      <text>
        <r>
          <rPr>
            <sz val="10"/>
            <color indexed="81"/>
            <rFont val="Tahoma"/>
            <family val="2"/>
          </rPr>
          <t>Electric Lightwave</t>
        </r>
      </text>
    </comment>
    <comment ref="AP34" authorId="0">
      <text>
        <r>
          <rPr>
            <sz val="10"/>
            <color indexed="81"/>
            <rFont val="Tahoma"/>
            <family val="2"/>
          </rPr>
          <t>CAD 31M Optic Zoo.  Assume 1.25 USD/CAD
$31.5M Neutral Path
$127M Spread Network</t>
        </r>
      </text>
    </comment>
    <comment ref="AA38" authorId="0">
      <text>
        <r>
          <rPr>
            <sz val="9"/>
            <color indexed="81"/>
            <rFont val="Tahoma"/>
            <family val="2"/>
          </rPr>
          <t>to match S-1/A</t>
        </r>
      </text>
    </comment>
    <comment ref="AA40" authorId="0">
      <text>
        <r>
          <rPr>
            <sz val="9"/>
            <color indexed="81"/>
            <rFont val="Tahoma"/>
            <family val="2"/>
          </rPr>
          <t>to match S-1/A</t>
        </r>
      </text>
    </comment>
    <comment ref="AC40" authorId="0">
      <text>
        <r>
          <rPr>
            <sz val="10"/>
            <color theme="1"/>
            <rFont val="Calibri"/>
            <family val="2"/>
            <scheme val="minor"/>
          </rPr>
          <t>IPO</t>
        </r>
      </text>
    </comment>
    <comment ref="AD40" authorId="0">
      <text>
        <r>
          <rPr>
            <sz val="10"/>
            <color theme="1"/>
            <rFont val="Calibri"/>
            <family val="2"/>
            <scheme val="minor"/>
          </rPr>
          <t>follow on, net of costs</t>
        </r>
      </text>
    </comment>
    <comment ref="AE40" authorId="0">
      <text>
        <r>
          <rPr>
            <sz val="10"/>
            <color theme="1"/>
            <rFont val="Calibri"/>
            <family val="2"/>
            <scheme val="minor"/>
          </rPr>
          <t>follow on, net of costs</t>
        </r>
      </text>
    </comment>
    <comment ref="AH40" authorId="0">
      <text>
        <r>
          <rPr>
            <sz val="10"/>
            <color indexed="81"/>
            <rFont val="Tahoma"/>
            <family val="2"/>
          </rPr>
          <t>buyback</t>
        </r>
      </text>
    </comment>
    <comment ref="AI40" authorId="0">
      <text>
        <r>
          <rPr>
            <sz val="10"/>
            <color indexed="81"/>
            <rFont val="Tahoma"/>
            <family val="2"/>
          </rPr>
          <t>buyback</t>
        </r>
      </text>
    </comment>
    <comment ref="AA41" authorId="0">
      <text>
        <r>
          <rPr>
            <sz val="9"/>
            <color indexed="81"/>
            <rFont val="Tahoma"/>
            <family val="2"/>
          </rPr>
          <t>to match S-1/A</t>
        </r>
      </text>
    </comment>
    <comment ref="AA42" authorId="0">
      <text>
        <r>
          <rPr>
            <sz val="9"/>
            <color indexed="81"/>
            <rFont val="Tahoma"/>
            <family val="2"/>
          </rPr>
          <t>to match S-1/A</t>
        </r>
      </text>
    </comment>
    <comment ref="AA43" authorId="0">
      <text>
        <r>
          <rPr>
            <sz val="9"/>
            <color indexed="81"/>
            <rFont val="Tahoma"/>
            <family val="2"/>
          </rPr>
          <t>to match S-1/A</t>
        </r>
      </text>
    </comment>
    <comment ref="AD43" authorId="0">
      <text>
        <r>
          <rPr>
            <sz val="9"/>
            <color indexed="81"/>
            <rFont val="Tahoma"/>
            <family val="2"/>
          </rPr>
          <t>debt extinguishment fees, debt issuance costs, equity issuance costs</t>
        </r>
      </text>
    </comment>
    <comment ref="AE43" authorId="0">
      <text>
        <r>
          <rPr>
            <sz val="9"/>
            <color indexed="81"/>
            <rFont val="Tahoma"/>
            <family val="2"/>
          </rPr>
          <t>debt extinguishment fees, debt issuance costs, equity issuance costs</t>
        </r>
      </text>
    </comment>
    <comment ref="AA47" authorId="0">
      <text>
        <r>
          <rPr>
            <sz val="9"/>
            <color indexed="81"/>
            <rFont val="Tahoma"/>
            <family val="2"/>
          </rPr>
          <t>to match S-1/A</t>
        </r>
      </text>
    </comment>
    <comment ref="AA48" authorId="0">
      <text>
        <r>
          <rPr>
            <sz val="9"/>
            <color indexed="81"/>
            <rFont val="Tahoma"/>
            <family val="2"/>
          </rPr>
          <t>to match S-1/A</t>
        </r>
      </text>
    </comment>
    <comment ref="H51" authorId="0">
      <text>
        <r>
          <rPr>
            <sz val="9"/>
            <color indexed="81"/>
            <rFont val="Tahoma"/>
            <family val="2"/>
          </rPr>
          <t>plug</t>
        </r>
      </text>
    </comment>
    <comment ref="U53" authorId="0">
      <text>
        <r>
          <rPr>
            <sz val="9"/>
            <color indexed="81"/>
            <rFont val="Tahoma"/>
            <family val="2"/>
          </rPr>
          <t>to match company model</t>
        </r>
      </text>
    </comment>
    <comment ref="V53" authorId="0">
      <text>
        <r>
          <rPr>
            <sz val="9"/>
            <color indexed="81"/>
            <rFont val="Tahoma"/>
            <family val="2"/>
          </rPr>
          <t>to match company model</t>
        </r>
      </text>
    </comment>
    <comment ref="W53" authorId="0">
      <text>
        <r>
          <rPr>
            <sz val="9"/>
            <color indexed="81"/>
            <rFont val="Tahoma"/>
            <family val="2"/>
          </rPr>
          <t>to match company model</t>
        </r>
      </text>
    </comment>
    <comment ref="X53" authorId="0">
      <text>
        <r>
          <rPr>
            <sz val="9"/>
            <color indexed="81"/>
            <rFont val="Tahoma"/>
            <family val="2"/>
          </rPr>
          <t>to match company model</t>
        </r>
      </text>
    </comment>
    <comment ref="Y53" authorId="0">
      <text>
        <r>
          <rPr>
            <sz val="9"/>
            <color indexed="81"/>
            <rFont val="Tahoma"/>
            <family val="2"/>
          </rPr>
          <t>to match company model</t>
        </r>
      </text>
    </comment>
    <comment ref="Z53" authorId="0">
      <text>
        <r>
          <rPr>
            <sz val="9"/>
            <color indexed="81"/>
            <rFont val="Tahoma"/>
            <family val="2"/>
          </rPr>
          <t>to match company model</t>
        </r>
      </text>
    </comment>
    <comment ref="AA53" authorId="0">
      <text>
        <r>
          <rPr>
            <sz val="9"/>
            <color indexed="81"/>
            <rFont val="Tahoma"/>
            <family val="2"/>
          </rPr>
          <t>to match company model</t>
        </r>
      </text>
    </comment>
    <comment ref="AB53" authorId="0">
      <text>
        <r>
          <rPr>
            <sz val="9"/>
            <color indexed="81"/>
            <rFont val="Tahoma"/>
            <family val="2"/>
          </rPr>
          <t>to match rounding of 10-Q</t>
        </r>
      </text>
    </comment>
    <comment ref="AO87" authorId="0">
      <text>
        <r>
          <rPr>
            <sz val="9"/>
            <color indexed="81"/>
            <rFont val="Tahoma"/>
            <family val="2"/>
          </rPr>
          <t>for rounding</t>
        </r>
      </text>
    </comment>
  </commentList>
</comments>
</file>

<file path=xl/comments7.xml><?xml version="1.0" encoding="utf-8"?>
<comments xmlns="http://schemas.openxmlformats.org/spreadsheetml/2006/main">
  <authors>
    <author>Lam, Lisa (Research)</author>
  </authors>
  <commentList>
    <comment ref="AD8" authorId="0">
      <text>
        <r>
          <rPr>
            <sz val="10"/>
            <color indexed="81"/>
            <rFont val="Tahoma"/>
            <family val="2"/>
          </rPr>
          <t>follow-on offering
4M primary shares
17.85M secondary shares
$27.35 per share
completed 3/17/15</t>
        </r>
      </text>
    </comment>
    <comment ref="B12" authorId="0">
      <text>
        <r>
          <rPr>
            <sz val="9"/>
            <color indexed="81"/>
            <rFont val="Tahoma"/>
            <family val="2"/>
          </rPr>
          <t>refinanced in 5/6/15
L+300bps
100bps floor</t>
        </r>
      </text>
    </comment>
    <comment ref="C12" authorId="0">
      <text>
        <r>
          <rPr>
            <sz val="9"/>
            <color indexed="81"/>
            <rFont val="Tahoma"/>
            <family val="2"/>
          </rPr>
          <t>extended 7 years on 1/27/17</t>
        </r>
      </text>
    </comment>
    <comment ref="C14" authorId="0">
      <text>
        <r>
          <rPr>
            <sz val="9"/>
            <color indexed="81"/>
            <rFont val="Tahoma"/>
            <family val="2"/>
          </rPr>
          <t>placeholder, carrying discount</t>
        </r>
      </text>
    </comment>
    <comment ref="AC16" authorId="0">
      <text>
        <r>
          <rPr>
            <sz val="9"/>
            <color indexed="81"/>
            <rFont val="Tahoma"/>
            <family val="2"/>
          </rPr>
          <t>to match 10-Q</t>
        </r>
      </text>
    </comment>
    <comment ref="AD16" authorId="0">
      <text>
        <r>
          <rPr>
            <sz val="9"/>
            <color indexed="81"/>
            <rFont val="Tahoma"/>
            <family val="2"/>
          </rPr>
          <t>to match 10-Q</t>
        </r>
      </text>
    </comment>
    <comment ref="AE16" authorId="0">
      <text>
        <r>
          <rPr>
            <sz val="9"/>
            <color indexed="81"/>
            <rFont val="Tahoma"/>
            <family val="2"/>
          </rPr>
          <t>to match 10-Q
includes $71M of unamortized debt issuance costs</t>
        </r>
      </text>
    </comment>
    <comment ref="AF16" authorId="0">
      <text>
        <r>
          <rPr>
            <sz val="9"/>
            <color indexed="81"/>
            <rFont val="Tahoma"/>
            <family val="2"/>
          </rPr>
          <t>to match 10-Q
includes $71M of unamortized debt issuance costs</t>
        </r>
      </text>
    </comment>
    <comment ref="AG16" authorId="0">
      <text>
        <r>
          <rPr>
            <sz val="9"/>
            <color indexed="81"/>
            <rFont val="Tahoma"/>
            <family val="2"/>
          </rPr>
          <t>to match 10-Q
includes unamortized debt issuance costs</t>
        </r>
      </text>
    </comment>
    <comment ref="AH16" authorId="0">
      <text>
        <r>
          <rPr>
            <sz val="9"/>
            <color indexed="81"/>
            <rFont val="Tahoma"/>
            <family val="2"/>
          </rPr>
          <t>to match 10-Q
includes unamortized debt issuance costs</t>
        </r>
      </text>
    </comment>
    <comment ref="AI16" authorId="0">
      <text>
        <r>
          <rPr>
            <sz val="9"/>
            <color indexed="81"/>
            <rFont val="Tahoma"/>
            <family val="2"/>
          </rPr>
          <t>to match 10-Q
includes unamortized debt issuance costs</t>
        </r>
      </text>
    </comment>
    <comment ref="AJ16" authorId="0">
      <text>
        <r>
          <rPr>
            <sz val="9"/>
            <color indexed="81"/>
            <rFont val="Tahoma"/>
            <family val="2"/>
          </rPr>
          <t>to match 10-Q
includes unamortized debt issuance costs</t>
        </r>
      </text>
    </comment>
    <comment ref="AK16" authorId="0">
      <text>
        <r>
          <rPr>
            <sz val="9"/>
            <color indexed="81"/>
            <rFont val="Tahoma"/>
            <family val="2"/>
          </rPr>
          <t>to match 10-Q
includes unamortized debt issuance costs</t>
        </r>
      </text>
    </comment>
    <comment ref="AA17" authorId="0">
      <text>
        <r>
          <rPr>
            <sz val="9"/>
            <color indexed="81"/>
            <rFont val="Tahoma"/>
            <family val="2"/>
          </rPr>
          <t>to match S-1</t>
        </r>
      </text>
    </comment>
    <comment ref="AB17" authorId="0">
      <text>
        <r>
          <rPr>
            <sz val="9"/>
            <color indexed="81"/>
            <rFont val="Tahoma"/>
            <family val="2"/>
          </rPr>
          <t>to match S-1</t>
        </r>
      </text>
    </comment>
    <comment ref="AC17" authorId="0">
      <text>
        <r>
          <rPr>
            <sz val="9"/>
            <color indexed="81"/>
            <rFont val="Tahoma"/>
            <family val="2"/>
          </rPr>
          <t>to match 10-Q</t>
        </r>
      </text>
    </comment>
    <comment ref="AD17" authorId="0">
      <text>
        <r>
          <rPr>
            <sz val="9"/>
            <color indexed="81"/>
            <rFont val="Tahoma"/>
            <family val="2"/>
          </rPr>
          <t>to match 10-Q</t>
        </r>
      </text>
    </comment>
    <comment ref="AE17" authorId="0">
      <text>
        <r>
          <rPr>
            <sz val="9"/>
            <color indexed="81"/>
            <rFont val="Tahoma"/>
            <family val="2"/>
          </rPr>
          <t>per 5/6/15 press release
adjusted to match B/S</t>
        </r>
      </text>
    </comment>
    <comment ref="AF17" authorId="0">
      <text>
        <r>
          <rPr>
            <sz val="9"/>
            <color indexed="81"/>
            <rFont val="Tahoma"/>
            <family val="2"/>
          </rPr>
          <t>to match 10-Q</t>
        </r>
      </text>
    </comment>
    <comment ref="AG17" authorId="0">
      <text>
        <r>
          <rPr>
            <sz val="9"/>
            <color indexed="81"/>
            <rFont val="Tahoma"/>
            <family val="2"/>
          </rPr>
          <t>to match 10-Q</t>
        </r>
      </text>
    </comment>
    <comment ref="AH17" authorId="0">
      <text>
        <r>
          <rPr>
            <sz val="9"/>
            <color indexed="81"/>
            <rFont val="Tahoma"/>
            <family val="2"/>
          </rPr>
          <t>to match 10-Q</t>
        </r>
      </text>
    </comment>
    <comment ref="AI17" authorId="0">
      <text>
        <r>
          <rPr>
            <sz val="9"/>
            <color indexed="81"/>
            <rFont val="Tahoma"/>
            <family val="2"/>
          </rPr>
          <t>to match 10-Q</t>
        </r>
      </text>
    </comment>
    <comment ref="AJ17" authorId="0">
      <text>
        <r>
          <rPr>
            <sz val="9"/>
            <color indexed="81"/>
            <rFont val="Tahoma"/>
            <family val="2"/>
          </rPr>
          <t>to match 10-Q</t>
        </r>
      </text>
    </comment>
    <comment ref="AK17" authorId="0">
      <text>
        <r>
          <rPr>
            <sz val="9"/>
            <color indexed="81"/>
            <rFont val="Tahoma"/>
            <family val="2"/>
          </rPr>
          <t>to match 10-Q</t>
        </r>
      </text>
    </comment>
    <comment ref="AL17" authorId="0">
      <text>
        <r>
          <rPr>
            <sz val="10"/>
            <color indexed="81"/>
            <rFont val="Tahoma"/>
            <family val="2"/>
          </rPr>
          <t>amended on 1/27/17</t>
        </r>
      </text>
    </comment>
    <comment ref="B21" authorId="0">
      <text>
        <r>
          <rPr>
            <sz val="10"/>
            <color indexed="81"/>
            <rFont val="Tahoma"/>
            <family val="2"/>
          </rPr>
          <t>completed in 1/15/16
L+350bps
100bps floor</t>
        </r>
      </text>
    </comment>
    <comment ref="C21" authorId="0">
      <text>
        <r>
          <rPr>
            <sz val="9"/>
            <color indexed="81"/>
            <rFont val="Tahoma"/>
            <family val="2"/>
          </rPr>
          <t>extended 7 years on 1/27/17</t>
        </r>
      </text>
    </comment>
    <comment ref="C23" authorId="0">
      <text>
        <r>
          <rPr>
            <sz val="9"/>
            <color indexed="81"/>
            <rFont val="Tahoma"/>
            <family val="2"/>
          </rPr>
          <t>placeholder, 99% of par</t>
        </r>
      </text>
    </comment>
    <comment ref="AI26" authorId="0">
      <text>
        <r>
          <rPr>
            <sz val="10"/>
            <color indexed="81"/>
            <rFont val="Tahoma"/>
            <family val="2"/>
          </rPr>
          <t>announced to be redeemed w/ $550M 6.375% due 2025</t>
        </r>
      </text>
    </comment>
    <comment ref="AL26" authorId="0">
      <text>
        <r>
          <rPr>
            <sz val="10"/>
            <color indexed="81"/>
            <rFont val="Tahoma"/>
            <family val="2"/>
          </rPr>
          <t>amended on 1/27/17</t>
        </r>
      </text>
    </comment>
    <comment ref="B30" authorId="0">
      <text>
        <r>
          <rPr>
            <sz val="10"/>
            <color indexed="81"/>
            <rFont val="Tahoma"/>
            <family val="2"/>
          </rPr>
          <t>completed in 1/15/16
L+350bps
100bps floor</t>
        </r>
      </text>
    </comment>
    <comment ref="C30" authorId="0">
      <text>
        <r>
          <rPr>
            <sz val="9"/>
            <color indexed="81"/>
            <rFont val="Tahoma"/>
            <family val="2"/>
          </rPr>
          <t>extended 7 years on 1/27/17</t>
        </r>
      </text>
    </comment>
    <comment ref="AL31" authorId="0">
      <text>
        <r>
          <rPr>
            <sz val="10"/>
            <color indexed="81"/>
            <rFont val="Tahoma"/>
            <family val="2"/>
          </rPr>
          <t>2 months interest</t>
        </r>
      </text>
    </comment>
    <comment ref="C32" authorId="0">
      <text>
        <r>
          <rPr>
            <sz val="9"/>
            <color indexed="81"/>
            <rFont val="Tahoma"/>
            <family val="2"/>
          </rPr>
          <t>placeholder, 99.75% of par</t>
        </r>
      </text>
    </comment>
    <comment ref="AL32" authorId="0">
      <text>
        <r>
          <rPr>
            <sz val="10"/>
            <color indexed="81"/>
            <rFont val="Tahoma"/>
            <family val="2"/>
          </rPr>
          <t>2 months interest</t>
        </r>
      </text>
    </comment>
    <comment ref="AM35" authorId="0">
      <text>
        <r>
          <rPr>
            <sz val="10"/>
            <color indexed="81"/>
            <rFont val="Tahoma"/>
            <family val="2"/>
          </rPr>
          <t>to match 10-q</t>
        </r>
      </text>
    </comment>
    <comment ref="AN35" authorId="0">
      <text>
        <r>
          <rPr>
            <sz val="10"/>
            <color indexed="81"/>
            <rFont val="Tahoma"/>
            <family val="2"/>
          </rPr>
          <t>to match 10-q</t>
        </r>
      </text>
    </comment>
    <comment ref="B39" authorId="0">
      <text>
        <r>
          <rPr>
            <sz val="10"/>
            <color indexed="81"/>
            <rFont val="Tahoma"/>
            <family val="2"/>
          </rPr>
          <t>completed in 1/15/16
L+350bps
100bps floor</t>
        </r>
      </text>
    </comment>
    <comment ref="C39" authorId="0">
      <text>
        <r>
          <rPr>
            <sz val="9"/>
            <color indexed="81"/>
            <rFont val="Tahoma"/>
            <family val="2"/>
          </rPr>
          <t>extended 7 years on 1/27/17</t>
        </r>
      </text>
    </comment>
    <comment ref="AL40" authorId="0">
      <text>
        <r>
          <rPr>
            <sz val="10"/>
            <color indexed="81"/>
            <rFont val="Tahoma"/>
            <family val="2"/>
          </rPr>
          <t>2 months interest</t>
        </r>
      </text>
    </comment>
    <comment ref="C41" authorId="0">
      <text>
        <r>
          <rPr>
            <sz val="9"/>
            <color indexed="81"/>
            <rFont val="Tahoma"/>
            <family val="2"/>
          </rPr>
          <t>placeholder, 99.75% of par</t>
        </r>
      </text>
    </comment>
    <comment ref="AL41" authorId="0">
      <text>
        <r>
          <rPr>
            <sz val="10"/>
            <color indexed="81"/>
            <rFont val="Tahoma"/>
            <family val="2"/>
          </rPr>
          <t>2 months interest</t>
        </r>
      </text>
    </comment>
    <comment ref="AM43" authorId="0">
      <text>
        <r>
          <rPr>
            <sz val="9"/>
            <color indexed="81"/>
            <rFont val="Tahoma"/>
            <family val="2"/>
          </rPr>
          <t>to match 10-Q
include all debt issuance costs</t>
        </r>
      </text>
    </comment>
    <comment ref="AN43" authorId="0">
      <text>
        <r>
          <rPr>
            <sz val="9"/>
            <color indexed="81"/>
            <rFont val="Tahoma"/>
            <family val="2"/>
          </rPr>
          <t>to match 10-Q
include all debt issuance costs</t>
        </r>
      </text>
    </comment>
    <comment ref="B48" authorId="0">
      <text>
        <r>
          <rPr>
            <sz val="10"/>
            <color indexed="81"/>
            <rFont val="Tahoma"/>
            <family val="2"/>
          </rPr>
          <t>completed in 1/15/16
L+350bps
100bps floor</t>
        </r>
      </text>
    </comment>
    <comment ref="C48" authorId="0">
      <text>
        <r>
          <rPr>
            <sz val="9"/>
            <color indexed="81"/>
            <rFont val="Tahoma"/>
            <family val="2"/>
          </rPr>
          <t>extended 7 years on 1/27/17</t>
        </r>
      </text>
    </comment>
    <comment ref="AL49" authorId="0">
      <text>
        <r>
          <rPr>
            <sz val="10"/>
            <color indexed="81"/>
            <rFont val="Tahoma"/>
            <family val="2"/>
          </rPr>
          <t>2 months interest</t>
        </r>
      </text>
    </comment>
    <comment ref="C50" authorId="0">
      <text>
        <r>
          <rPr>
            <sz val="9"/>
            <color indexed="81"/>
            <rFont val="Tahoma"/>
            <family val="2"/>
          </rPr>
          <t>placeholder, 99.75% of par</t>
        </r>
      </text>
    </comment>
    <comment ref="AL50" authorId="0">
      <text>
        <r>
          <rPr>
            <sz val="10"/>
            <color indexed="81"/>
            <rFont val="Tahoma"/>
            <family val="2"/>
          </rPr>
          <t>2 months interest</t>
        </r>
      </text>
    </comment>
    <comment ref="AL52" authorId="0">
      <text>
        <r>
          <rPr>
            <sz val="9"/>
            <color indexed="81"/>
            <rFont val="Tahoma"/>
            <family val="2"/>
          </rPr>
          <t xml:space="preserve">to match 10-Q
</t>
        </r>
      </text>
    </comment>
    <comment ref="AM52" authorId="0">
      <text>
        <r>
          <rPr>
            <sz val="9"/>
            <color indexed="81"/>
            <rFont val="Tahoma"/>
            <family val="2"/>
          </rPr>
          <t xml:space="preserve">to match 10-Q
</t>
        </r>
      </text>
    </comment>
    <comment ref="AC62" authorId="0">
      <text>
        <r>
          <rPr>
            <sz val="9"/>
            <color indexed="81"/>
            <rFont val="Tahoma"/>
            <family val="2"/>
          </rPr>
          <t>10-Q</t>
        </r>
      </text>
    </comment>
    <comment ref="AD62" authorId="0">
      <text>
        <r>
          <rPr>
            <sz val="9"/>
            <color indexed="81"/>
            <rFont val="Tahoma"/>
            <family val="2"/>
          </rPr>
          <t>redeemed w/ March 2015 offering</t>
        </r>
      </text>
    </comment>
    <comment ref="B65" authorId="0">
      <text>
        <r>
          <rPr>
            <sz val="10"/>
            <color indexed="81"/>
            <rFont val="Tahoma"/>
            <family val="2"/>
          </rPr>
          <t>Callable July 2016
announced to be redeemed w/ $550M 6.375% due 2025</t>
        </r>
      </text>
    </comment>
    <comment ref="AC70" authorId="0">
      <text>
        <r>
          <rPr>
            <sz val="9"/>
            <color indexed="81"/>
            <rFont val="Tahoma"/>
            <family val="2"/>
          </rPr>
          <t>10-Q</t>
        </r>
      </text>
    </comment>
    <comment ref="AI70" authorId="0">
      <text>
        <r>
          <rPr>
            <sz val="10"/>
            <color indexed="81"/>
            <rFont val="Tahoma"/>
            <family val="2"/>
          </rPr>
          <t>announced to be redeemed w/ $550M 6.375% due 2025</t>
        </r>
      </text>
    </comment>
    <comment ref="B73" authorId="0">
      <text>
        <r>
          <rPr>
            <sz val="10"/>
            <color indexed="81"/>
            <rFont val="Tahoma"/>
            <family val="2"/>
          </rPr>
          <t>$700M
Due 2023
Closed:  1/23/15
UoP:  Latisys acquisition
senior unsecured</t>
        </r>
      </text>
    </comment>
    <comment ref="AD74" authorId="0">
      <text>
        <r>
          <rPr>
            <sz val="9"/>
            <color indexed="81"/>
            <rFont val="Tahoma"/>
            <family val="2"/>
          </rPr>
          <t>2 months of interest</t>
        </r>
      </text>
    </comment>
    <comment ref="AD75" authorId="0">
      <text>
        <r>
          <rPr>
            <sz val="9"/>
            <color indexed="81"/>
            <rFont val="Tahoma"/>
            <family val="2"/>
          </rPr>
          <t>2 months of interest</t>
        </r>
      </text>
    </comment>
    <comment ref="B81" authorId="0">
      <text>
        <r>
          <rPr>
            <sz val="10"/>
            <color indexed="81"/>
            <rFont val="Tahoma"/>
            <family val="2"/>
          </rPr>
          <t>$730M
Due 2023
Closed:  3/4/15
UoP: refi 8.125% notes due 7/1/2020
senior unsecured</t>
        </r>
      </text>
    </comment>
    <comment ref="AD82" authorId="0">
      <text>
        <r>
          <rPr>
            <sz val="9"/>
            <color indexed="81"/>
            <rFont val="Tahoma"/>
            <family val="2"/>
          </rPr>
          <t>one month of interest</t>
        </r>
      </text>
    </comment>
    <comment ref="C83" authorId="0">
      <text>
        <r>
          <rPr>
            <sz val="9"/>
            <color indexed="81"/>
            <rFont val="Tahoma"/>
            <family val="2"/>
          </rPr>
          <t>carries a premium on B/S</t>
        </r>
      </text>
    </comment>
    <comment ref="AD83" authorId="0">
      <text>
        <r>
          <rPr>
            <sz val="9"/>
            <color indexed="81"/>
            <rFont val="Tahoma"/>
            <family val="2"/>
          </rPr>
          <t>one month of interest</t>
        </r>
      </text>
    </comment>
    <comment ref="AD85" authorId="0">
      <text>
        <r>
          <rPr>
            <sz val="9"/>
            <color indexed="81"/>
            <rFont val="Tahoma"/>
            <family val="2"/>
          </rPr>
          <t>to match 10-Q</t>
        </r>
      </text>
    </comment>
    <comment ref="AE85" authorId="0">
      <text>
        <r>
          <rPr>
            <sz val="9"/>
            <color indexed="81"/>
            <rFont val="Tahoma"/>
            <family val="2"/>
          </rPr>
          <t xml:space="preserve">to match 10-Q
</t>
        </r>
      </text>
    </comment>
    <comment ref="AF85" authorId="0">
      <text>
        <r>
          <rPr>
            <sz val="9"/>
            <color indexed="81"/>
            <rFont val="Tahoma"/>
            <family val="2"/>
          </rPr>
          <t xml:space="preserve">to match 10-Q
</t>
        </r>
      </text>
    </comment>
    <comment ref="AG85" authorId="0">
      <text>
        <r>
          <rPr>
            <sz val="9"/>
            <color indexed="81"/>
            <rFont val="Tahoma"/>
            <family val="2"/>
          </rPr>
          <t xml:space="preserve">to match 10-Q
</t>
        </r>
      </text>
    </comment>
    <comment ref="AI85" authorId="0">
      <text>
        <r>
          <rPr>
            <sz val="9"/>
            <color indexed="81"/>
            <rFont val="Tahoma"/>
            <family val="2"/>
          </rPr>
          <t xml:space="preserve">to match 10-Q
</t>
        </r>
      </text>
    </comment>
    <comment ref="AJ85" authorId="0">
      <text>
        <r>
          <rPr>
            <sz val="9"/>
            <color indexed="81"/>
            <rFont val="Tahoma"/>
            <family val="2"/>
          </rPr>
          <t xml:space="preserve">to match 10-Q
</t>
        </r>
      </text>
    </comment>
    <comment ref="AK85" authorId="0">
      <text>
        <r>
          <rPr>
            <sz val="9"/>
            <color indexed="81"/>
            <rFont val="Tahoma"/>
            <family val="2"/>
          </rPr>
          <t xml:space="preserve">to match 10-Q
</t>
        </r>
      </text>
    </comment>
    <comment ref="AL85" authorId="0">
      <text>
        <r>
          <rPr>
            <sz val="9"/>
            <color indexed="81"/>
            <rFont val="Tahoma"/>
            <family val="2"/>
          </rPr>
          <t xml:space="preserve">to match 10-Q
</t>
        </r>
      </text>
    </comment>
    <comment ref="AM85" authorId="0">
      <text>
        <r>
          <rPr>
            <sz val="9"/>
            <color indexed="81"/>
            <rFont val="Tahoma"/>
            <family val="2"/>
          </rPr>
          <t xml:space="preserve">to match 10-Q
</t>
        </r>
      </text>
    </comment>
    <comment ref="AN85" authorId="0">
      <text>
        <r>
          <rPr>
            <sz val="9"/>
            <color indexed="81"/>
            <rFont val="Tahoma"/>
            <family val="2"/>
          </rPr>
          <t xml:space="preserve">to match 10-Q
</t>
        </r>
      </text>
    </comment>
    <comment ref="AD86" authorId="0">
      <text>
        <r>
          <rPr>
            <sz val="9"/>
            <color indexed="81"/>
            <rFont val="Tahoma"/>
            <family val="2"/>
          </rPr>
          <t>to match 10-Q</t>
        </r>
      </text>
    </comment>
    <comment ref="B89" authorId="0">
      <text>
        <r>
          <rPr>
            <sz val="10"/>
            <color indexed="81"/>
            <rFont val="Tahoma"/>
            <family val="2"/>
          </rPr>
          <t>$350M
Due 2025
Closed:  5/6/15
UoP: repay $345M term loan outstanding</t>
        </r>
      </text>
    </comment>
    <comment ref="AE90" authorId="0">
      <text>
        <r>
          <rPr>
            <sz val="9"/>
            <color indexed="81"/>
            <rFont val="Tahoma"/>
            <family val="2"/>
          </rPr>
          <t>one month of interest</t>
        </r>
      </text>
    </comment>
    <comment ref="AE91" authorId="0">
      <text>
        <r>
          <rPr>
            <sz val="9"/>
            <color indexed="81"/>
            <rFont val="Tahoma"/>
            <family val="2"/>
          </rPr>
          <t>one month of interest</t>
        </r>
      </text>
    </comment>
    <comment ref="AI93" authorId="0">
      <text>
        <r>
          <rPr>
            <sz val="9"/>
            <color indexed="81"/>
            <rFont val="Tahoma"/>
            <family val="2"/>
          </rPr>
          <t xml:space="preserve">to match 10-Q
</t>
        </r>
      </text>
    </comment>
    <comment ref="AJ93" authorId="0">
      <text>
        <r>
          <rPr>
            <sz val="9"/>
            <color indexed="81"/>
            <rFont val="Tahoma"/>
            <family val="2"/>
          </rPr>
          <t xml:space="preserve">to match 10-Q
</t>
        </r>
      </text>
    </comment>
    <comment ref="AK93" authorId="0">
      <text>
        <r>
          <rPr>
            <sz val="9"/>
            <color indexed="81"/>
            <rFont val="Tahoma"/>
            <family val="2"/>
          </rPr>
          <t xml:space="preserve">to match 10-Q
</t>
        </r>
      </text>
    </comment>
    <comment ref="AL93" authorId="0">
      <text>
        <r>
          <rPr>
            <sz val="9"/>
            <color indexed="81"/>
            <rFont val="Tahoma"/>
            <family val="2"/>
          </rPr>
          <t xml:space="preserve">to match 10-Q
</t>
        </r>
      </text>
    </comment>
    <comment ref="AM93" authorId="0">
      <text>
        <r>
          <rPr>
            <sz val="9"/>
            <color indexed="81"/>
            <rFont val="Tahoma"/>
            <family val="2"/>
          </rPr>
          <t xml:space="preserve">to match 10-Q
</t>
        </r>
      </text>
    </comment>
    <comment ref="AN93" authorId="0">
      <text>
        <r>
          <rPr>
            <sz val="9"/>
            <color indexed="81"/>
            <rFont val="Tahoma"/>
            <family val="2"/>
          </rPr>
          <t xml:space="preserve">to match 10-Q
</t>
        </r>
      </text>
    </comment>
    <comment ref="B97" authorId="0">
      <text>
        <r>
          <rPr>
            <sz val="10"/>
            <color indexed="81"/>
            <rFont val="Tahoma"/>
            <family val="2"/>
          </rPr>
          <t>$550M
Due 2025
Closed:  4/14/16
UoP: 1) repay $326M 10.125% senior notes due 2020 outstanding, 2) repay $197M under TL</t>
        </r>
      </text>
    </comment>
    <comment ref="B105" authorId="0">
      <text>
        <r>
          <rPr>
            <sz val="10"/>
            <color indexed="81"/>
            <rFont val="Tahoma"/>
            <family val="2"/>
          </rPr>
          <t>$800M
Due 2027
Closed:  1/27/17
UoP: ELI acquisition</t>
        </r>
      </text>
    </comment>
    <comment ref="AL106" authorId="0">
      <text>
        <r>
          <rPr>
            <sz val="10"/>
            <color indexed="81"/>
            <rFont val="Tahoma"/>
            <family val="2"/>
          </rPr>
          <t>2 months interest</t>
        </r>
      </text>
    </comment>
    <comment ref="AL107" authorId="0">
      <text>
        <r>
          <rPr>
            <sz val="10"/>
            <color indexed="81"/>
            <rFont val="Tahoma"/>
            <family val="2"/>
          </rPr>
          <t>2 months interest</t>
        </r>
      </text>
    </comment>
    <comment ref="B113" authorId="0">
      <text>
        <r>
          <rPr>
            <sz val="10"/>
            <color indexed="81"/>
            <rFont val="Tahoma"/>
            <family val="2"/>
          </rPr>
          <t>$800M
Due 2027
Closed:  1/27/17
UoP: ELI acquisition</t>
        </r>
      </text>
    </comment>
    <comment ref="C115" authorId="0">
      <text>
        <r>
          <rPr>
            <sz val="10"/>
            <color indexed="81"/>
            <rFont val="Tahoma"/>
            <family val="2"/>
          </rPr>
          <t>priced at 104%</t>
        </r>
      </text>
    </comment>
    <comment ref="C121" authorId="0">
      <text>
        <r>
          <rPr>
            <sz val="9"/>
            <color indexed="81"/>
            <rFont val="Tahoma"/>
            <family val="2"/>
          </rPr>
          <t>placeholder</t>
        </r>
      </text>
    </comment>
    <comment ref="C122" authorId="0">
      <text>
        <r>
          <rPr>
            <sz val="9"/>
            <color indexed="81"/>
            <rFont val="Tahoma"/>
            <family val="2"/>
          </rPr>
          <t>placeholder</t>
        </r>
      </text>
    </comment>
    <comment ref="C123" authorId="0">
      <text>
        <r>
          <rPr>
            <sz val="9"/>
            <color indexed="81"/>
            <rFont val="Tahoma"/>
            <family val="2"/>
          </rPr>
          <t>placeholder</t>
        </r>
      </text>
    </comment>
    <comment ref="AA126" authorId="0">
      <text>
        <r>
          <rPr>
            <sz val="9"/>
            <color indexed="81"/>
            <rFont val="Tahoma"/>
            <family val="2"/>
          </rPr>
          <t>to match company model</t>
        </r>
      </text>
    </comment>
    <comment ref="AB126" authorId="0">
      <text>
        <r>
          <rPr>
            <sz val="9"/>
            <color indexed="81"/>
            <rFont val="Tahoma"/>
            <family val="2"/>
          </rPr>
          <t>to match company model</t>
        </r>
      </text>
    </comment>
    <comment ref="AC126" authorId="0">
      <text>
        <r>
          <rPr>
            <sz val="9"/>
            <color indexed="81"/>
            <rFont val="Tahoma"/>
            <family val="2"/>
          </rPr>
          <t>10-Q</t>
        </r>
      </text>
    </comment>
    <comment ref="AD126" authorId="0">
      <text>
        <r>
          <rPr>
            <sz val="9"/>
            <color indexed="81"/>
            <rFont val="Tahoma"/>
            <family val="2"/>
          </rPr>
          <t>10-Q</t>
        </r>
      </text>
    </comment>
    <comment ref="AE126" authorId="0">
      <text>
        <r>
          <rPr>
            <sz val="9"/>
            <color indexed="81"/>
            <rFont val="Tahoma"/>
            <family val="2"/>
          </rPr>
          <t>10-Q</t>
        </r>
      </text>
    </comment>
    <comment ref="AF126" authorId="0">
      <text>
        <r>
          <rPr>
            <sz val="9"/>
            <color indexed="81"/>
            <rFont val="Tahoma"/>
            <family val="2"/>
          </rPr>
          <t>10-Q</t>
        </r>
      </text>
    </comment>
    <comment ref="AG126" authorId="0">
      <text>
        <r>
          <rPr>
            <sz val="9"/>
            <color indexed="81"/>
            <rFont val="Tahoma"/>
            <family val="2"/>
          </rPr>
          <t>10-Q</t>
        </r>
      </text>
    </comment>
    <comment ref="AH126" authorId="0">
      <text>
        <r>
          <rPr>
            <sz val="9"/>
            <color indexed="81"/>
            <rFont val="Tahoma"/>
            <family val="2"/>
          </rPr>
          <t>10-Q</t>
        </r>
      </text>
    </comment>
    <comment ref="AI126" authorId="0">
      <text>
        <r>
          <rPr>
            <sz val="9"/>
            <color indexed="81"/>
            <rFont val="Tahoma"/>
            <family val="2"/>
          </rPr>
          <t>10-Q</t>
        </r>
      </text>
    </comment>
    <comment ref="AJ126" authorId="0">
      <text>
        <r>
          <rPr>
            <sz val="9"/>
            <color indexed="81"/>
            <rFont val="Tahoma"/>
            <family val="2"/>
          </rPr>
          <t>10-Q</t>
        </r>
      </text>
    </comment>
    <comment ref="AK126" authorId="0">
      <text>
        <r>
          <rPr>
            <sz val="9"/>
            <color indexed="81"/>
            <rFont val="Tahoma"/>
            <family val="2"/>
          </rPr>
          <t>10-Q</t>
        </r>
      </text>
    </comment>
    <comment ref="AL126" authorId="0">
      <text>
        <r>
          <rPr>
            <sz val="9"/>
            <color indexed="81"/>
            <rFont val="Tahoma"/>
            <family val="2"/>
          </rPr>
          <t>10-Q</t>
        </r>
      </text>
    </comment>
    <comment ref="AM126" authorId="0">
      <text>
        <r>
          <rPr>
            <sz val="9"/>
            <color indexed="81"/>
            <rFont val="Tahoma"/>
            <family val="2"/>
          </rPr>
          <t>10-Q</t>
        </r>
      </text>
    </comment>
    <comment ref="AN126" authorId="0">
      <text>
        <r>
          <rPr>
            <sz val="9"/>
            <color indexed="81"/>
            <rFont val="Tahoma"/>
            <family val="2"/>
          </rPr>
          <t>10-Q</t>
        </r>
      </text>
    </comment>
    <comment ref="B144" authorId="0">
      <text>
        <r>
          <rPr>
            <sz val="9"/>
            <color indexed="81"/>
            <rFont val="Tahoma"/>
            <family val="2"/>
          </rPr>
          <t>3-4x target</t>
        </r>
      </text>
    </comment>
  </commentList>
</comments>
</file>

<file path=xl/comments8.xml><?xml version="1.0" encoding="utf-8"?>
<comments xmlns="http://schemas.openxmlformats.org/spreadsheetml/2006/main">
  <authors>
    <author>Lam, Lisa (Research)</author>
  </authors>
  <commentList>
    <comment ref="C5" authorId="0">
      <text>
        <r>
          <rPr>
            <b/>
            <sz val="9"/>
            <color indexed="81"/>
            <rFont val="Tahoma"/>
            <family val="2"/>
          </rPr>
          <t>Scenarios</t>
        </r>
        <r>
          <rPr>
            <sz val="9"/>
            <color indexed="81"/>
            <rFont val="Tahoma"/>
            <family val="2"/>
          </rPr>
          <t xml:space="preserve">
1 - Bull
2 - Base
3 - Bear</t>
        </r>
      </text>
    </comment>
  </commentList>
</comments>
</file>

<file path=xl/sharedStrings.xml><?xml version="1.0" encoding="utf-8"?>
<sst xmlns="http://schemas.openxmlformats.org/spreadsheetml/2006/main" count="1577" uniqueCount="836">
  <si>
    <t>1Q13</t>
  </si>
  <si>
    <t>Fiscal Year</t>
  </si>
  <si>
    <t>Calendar Year</t>
  </si>
  <si>
    <t>2Q13</t>
  </si>
  <si>
    <t>3Q13</t>
  </si>
  <si>
    <t>4Q13</t>
  </si>
  <si>
    <t>1Q14</t>
  </si>
  <si>
    <t>2Q14</t>
  </si>
  <si>
    <t>3Q14</t>
  </si>
  <si>
    <t>4Q14</t>
  </si>
  <si>
    <t>1Q15</t>
  </si>
  <si>
    <t>2Q15</t>
  </si>
  <si>
    <t>3Q15</t>
  </si>
  <si>
    <t>4Q15</t>
  </si>
  <si>
    <t>1Q16</t>
  </si>
  <si>
    <t>2Q16</t>
  </si>
  <si>
    <t>3Q16</t>
  </si>
  <si>
    <t>4Q16</t>
  </si>
  <si>
    <t>Monthly amortized revenue (MAR)</t>
  </si>
  <si>
    <t>Monthly recurring revenue (MRR)</t>
  </si>
  <si>
    <t>1Q17</t>
  </si>
  <si>
    <t>2Q17</t>
  </si>
  <si>
    <t>3Q17</t>
  </si>
  <si>
    <t>4Q17</t>
  </si>
  <si>
    <t>Churn</t>
  </si>
  <si>
    <t>Net installs</t>
  </si>
  <si>
    <t>Bull</t>
  </si>
  <si>
    <t>Base</t>
  </si>
  <si>
    <t>Bear</t>
  </si>
  <si>
    <t>Gross sales</t>
  </si>
  <si>
    <t>% Churn</t>
  </si>
  <si>
    <t>Revenues</t>
  </si>
  <si>
    <t>% MRR to MRR+MAR</t>
  </si>
  <si>
    <t>% MAR to MRR+MAR</t>
  </si>
  <si>
    <t>Non-recurring revenue</t>
  </si>
  <si>
    <t>Recurring / amortized revenue</t>
  </si>
  <si>
    <t>% Y/Y</t>
  </si>
  <si>
    <t>% Q/Q</t>
  </si>
  <si>
    <t>Zayo Other</t>
  </si>
  <si>
    <t>Corporate eliminations</t>
  </si>
  <si>
    <t>x</t>
  </si>
  <si>
    <t>Beginning billable runrate (MRR / MAR)</t>
  </si>
  <si>
    <t>Quarterly billable MRR/MAR runrate</t>
  </si>
  <si>
    <t>Revenue from net installs</t>
  </si>
  <si>
    <t>Ending billable runrate (MRR / MAR)</t>
  </si>
  <si>
    <t>Gross installs</t>
  </si>
  <si>
    <t>Service activation pipeline (beginning)</t>
  </si>
  <si>
    <t>Service activation pipeline (ending)</t>
  </si>
  <si>
    <t>% installed</t>
  </si>
  <si>
    <t>Zayo Group Holdings (consolidated)</t>
  </si>
  <si>
    <t>1Q18</t>
  </si>
  <si>
    <t>2Q18</t>
  </si>
  <si>
    <t>Acquired revenues</t>
  </si>
  <si>
    <t>Revenue</t>
  </si>
  <si>
    <t>Operating costs (excl D&amp;A)</t>
  </si>
  <si>
    <t>SG&amp;A (excl SBC)</t>
  </si>
  <si>
    <t>Stock based compensation</t>
  </si>
  <si>
    <t>Depreciation</t>
  </si>
  <si>
    <t>Amortization</t>
  </si>
  <si>
    <t>Synergies</t>
  </si>
  <si>
    <t>Acquired costs</t>
  </si>
  <si>
    <t>Operating income</t>
  </si>
  <si>
    <t>Interest expense</t>
  </si>
  <si>
    <t>Loss on extinguishment of debt</t>
  </si>
  <si>
    <t>Loss from continuing operations, before tax</t>
  </si>
  <si>
    <t>Provision/(benefit) for income taxes</t>
  </si>
  <si>
    <t>Loss from continuing operations</t>
  </si>
  <si>
    <t>Earnings from discontinued operations</t>
  </si>
  <si>
    <t>Net loss</t>
  </si>
  <si>
    <t>Adjusted EBITDA</t>
  </si>
  <si>
    <t>Interest Expense</t>
  </si>
  <si>
    <t>Other non-recurring expenses/(income)</t>
  </si>
  <si>
    <t>Depreciation &amp; Amortization</t>
  </si>
  <si>
    <t>Transaction costs</t>
  </si>
  <si>
    <t>Stock-based compensation</t>
  </si>
  <si>
    <t>Check</t>
  </si>
  <si>
    <t>Total</t>
  </si>
  <si>
    <t>Segment adjusted EBITDA margins</t>
  </si>
  <si>
    <t>Segment EBITDA</t>
  </si>
  <si>
    <t>Segment Revenue</t>
  </si>
  <si>
    <t>% of revenues</t>
  </si>
  <si>
    <t>FORECAST</t>
  </si>
  <si>
    <t>ADJUSTED EBITDA</t>
  </si>
  <si>
    <t>Operating costs (% of revenue)</t>
  </si>
  <si>
    <t>SHARE COUNT</t>
  </si>
  <si>
    <t>SG&amp;A (% of revenues)</t>
  </si>
  <si>
    <t>Effective tax rate</t>
  </si>
  <si>
    <t>Stock compensation</t>
  </si>
  <si>
    <t>Stock price</t>
  </si>
  <si>
    <t>Shares issued</t>
  </si>
  <si>
    <t>Shares for dilution</t>
  </si>
  <si>
    <t>Cash</t>
  </si>
  <si>
    <t>Accounts receivable</t>
  </si>
  <si>
    <t>Due from related parties</t>
  </si>
  <si>
    <t>Prepaid</t>
  </si>
  <si>
    <t>Deferred income taxes</t>
  </si>
  <si>
    <t>Other assets</t>
  </si>
  <si>
    <t>Total current assets</t>
  </si>
  <si>
    <t>Net PPE</t>
  </si>
  <si>
    <t>Debt issuance costs</t>
  </si>
  <si>
    <t>Intangible assets</t>
  </si>
  <si>
    <t>Goodwill</t>
  </si>
  <si>
    <t>Deferred tax asset</t>
  </si>
  <si>
    <t>Total assets</t>
  </si>
  <si>
    <t>Current portion of long-term debt</t>
  </si>
  <si>
    <t xml:space="preserve">Accounts payable </t>
  </si>
  <si>
    <t>Income taxes payable</t>
  </si>
  <si>
    <t>Accrued liabilities</t>
  </si>
  <si>
    <t>Due to affiliates</t>
  </si>
  <si>
    <t>Capital lease obligations</t>
  </si>
  <si>
    <t>Deferred revenue, current</t>
  </si>
  <si>
    <t>Other current liabilities</t>
  </si>
  <si>
    <t xml:space="preserve">Total current liabilities </t>
  </si>
  <si>
    <t xml:space="preserve">Long-term debt, non-current </t>
  </si>
  <si>
    <t>Deferred revenue, non-current</t>
  </si>
  <si>
    <t>Stock-based compensation liability</t>
  </si>
  <si>
    <t>Deferred income taxes, net</t>
  </si>
  <si>
    <t>Other liabilities</t>
  </si>
  <si>
    <t>Total liabilities</t>
  </si>
  <si>
    <t>Equity</t>
  </si>
  <si>
    <t>Total liabilities and equity</t>
  </si>
  <si>
    <t>Common stock</t>
  </si>
  <si>
    <t>Additional paid-in capital</t>
  </si>
  <si>
    <t>Accumulated other comprehensive inc.</t>
  </si>
  <si>
    <t>Accumulated deficit</t>
  </si>
  <si>
    <t>Note receivable from CII</t>
  </si>
  <si>
    <t>Depreciation &amp; amortization</t>
  </si>
  <si>
    <t>Additions to deferred revenue</t>
  </si>
  <si>
    <t>Amortization of deferred revenue</t>
  </si>
  <si>
    <t>Bad debt expense</t>
  </si>
  <si>
    <t>Non-Cash Interest adjustment</t>
  </si>
  <si>
    <t>Amortization of deferred financing costs</t>
  </si>
  <si>
    <t>Other</t>
  </si>
  <si>
    <t xml:space="preserve">Prepaid </t>
  </si>
  <si>
    <t>Accounts payable</t>
  </si>
  <si>
    <t>Deferred revenue</t>
  </si>
  <si>
    <t>Other operating activities</t>
  </si>
  <si>
    <t>Net working capital</t>
  </si>
  <si>
    <t xml:space="preserve">Net cash from operating activities </t>
  </si>
  <si>
    <t>Cash flows from investing activities</t>
  </si>
  <si>
    <t>Purchases of PP&amp;E</t>
  </si>
  <si>
    <t>Other (acquisition / investment)</t>
  </si>
  <si>
    <t>Net cash from Investing Activities</t>
  </si>
  <si>
    <t>Cash flows from financing activities</t>
  </si>
  <si>
    <t xml:space="preserve">Proceeds from (repayment of) long-term debt </t>
  </si>
  <si>
    <t xml:space="preserve">Equity contributions </t>
  </si>
  <si>
    <t>Principal repayments on capital lease obligations</t>
  </si>
  <si>
    <t>Deferred financing costs</t>
  </si>
  <si>
    <t xml:space="preserve">Other </t>
  </si>
  <si>
    <t>Net cash from financing activities</t>
  </si>
  <si>
    <t>Cash flows from discontinued operations</t>
  </si>
  <si>
    <t xml:space="preserve">Effect of changes in foreign exchange rates on cash </t>
  </si>
  <si>
    <t xml:space="preserve">Net increase in cash and cash equivalents </t>
  </si>
  <si>
    <t>Cash and cash equivalents, beginning of period</t>
  </si>
  <si>
    <t>Ending cash balance</t>
  </si>
  <si>
    <t>Cash flow from operating activities</t>
  </si>
  <si>
    <t>FREE CASH FLOW</t>
  </si>
  <si>
    <t>OCF</t>
  </si>
  <si>
    <t>Capex</t>
  </si>
  <si>
    <t>CAPEX</t>
  </si>
  <si>
    <t>Capital expenditures</t>
  </si>
  <si>
    <t>DSOs</t>
  </si>
  <si>
    <t>Prepaid (% of rev)</t>
  </si>
  <si>
    <t>DPOs</t>
  </si>
  <si>
    <t>COGS</t>
  </si>
  <si>
    <t>Accrued liabilities (% of rev)</t>
  </si>
  <si>
    <t>Deferred income taxes - liab (% of rev)</t>
  </si>
  <si>
    <t>Net income</t>
  </si>
  <si>
    <t>DEPRECIATION &amp; AMORTIZATION</t>
  </si>
  <si>
    <t>Gross PPE</t>
  </si>
  <si>
    <t>Existing depreciation</t>
  </si>
  <si>
    <t>Accumulated depreciation</t>
  </si>
  <si>
    <t>Total depreciation</t>
  </si>
  <si>
    <t>Existing amortization</t>
  </si>
  <si>
    <t>Proceeds from revolving credit facility</t>
  </si>
  <si>
    <t>Other assets - non-current (% of rev)</t>
  </si>
  <si>
    <t>Other liabilities - non-current (% of rev)</t>
  </si>
  <si>
    <t>Due to / from affiliates</t>
  </si>
  <si>
    <t>Total Interest Expense</t>
  </si>
  <si>
    <t>Income Statement</t>
  </si>
  <si>
    <t>Beginning Balance</t>
  </si>
  <si>
    <t>Scheduled Amortization</t>
  </si>
  <si>
    <t>Prepayment / Additions</t>
  </si>
  <si>
    <t>Ending Balance</t>
  </si>
  <si>
    <t>LIBOR floor</t>
  </si>
  <si>
    <t>Adjustment</t>
  </si>
  <si>
    <t>LIBOR</t>
  </si>
  <si>
    <t>Senior Notes (8.125%)</t>
  </si>
  <si>
    <t>Senior Notes (10.125%)</t>
  </si>
  <si>
    <t>FINANCIAL METRICS</t>
  </si>
  <si>
    <t>Current portion of debt</t>
  </si>
  <si>
    <t>Total debt</t>
  </si>
  <si>
    <t>LT debt (excluding capital leases)</t>
  </si>
  <si>
    <t>Capital leases</t>
  </si>
  <si>
    <t>CHECK</t>
  </si>
  <si>
    <t>Total interest expense</t>
  </si>
  <si>
    <t>Total cash</t>
  </si>
  <si>
    <t>Net debt</t>
  </si>
  <si>
    <t>Net leverage (annualized adj. EBITDA)</t>
  </si>
  <si>
    <t>Interest income</t>
  </si>
  <si>
    <t>Morgan Stanley estimates</t>
  </si>
  <si>
    <t>Company model</t>
  </si>
  <si>
    <t>% of rev</t>
  </si>
  <si>
    <t>% margin</t>
  </si>
  <si>
    <t>BASE CASE</t>
  </si>
  <si>
    <t>Deferred revenue - plug</t>
  </si>
  <si>
    <t>DEBT</t>
  </si>
  <si>
    <t>EQUITY</t>
  </si>
  <si>
    <t>Common stock - primary</t>
  </si>
  <si>
    <t>EBITDA (1)</t>
  </si>
  <si>
    <t xml:space="preserve">Cash Taxes from Operations </t>
  </si>
  <si>
    <t>Cash Taxes as % of EBITDA</t>
  </si>
  <si>
    <t>Change in Net Working Capital</t>
  </si>
  <si>
    <t>Unlevered Free Cash Flow</t>
  </si>
  <si>
    <t>Period Count</t>
  </si>
  <si>
    <t>Discount Factor</t>
  </si>
  <si>
    <t>Present Value of Unlevered FCF</t>
  </si>
  <si>
    <t>% Y/Y growth</t>
  </si>
  <si>
    <t>% of Revenue</t>
  </si>
  <si>
    <t>Inputs</t>
  </si>
  <si>
    <t>Current Cash Balance</t>
  </si>
  <si>
    <t>Current Total Debt</t>
  </si>
  <si>
    <t>Net Debt</t>
  </si>
  <si>
    <t>Current Share Price</t>
  </si>
  <si>
    <t>Current Diluted Shares</t>
  </si>
  <si>
    <t>Market Capitalization</t>
  </si>
  <si>
    <t>Enterprise Value</t>
  </si>
  <si>
    <t>Equity Beta</t>
  </si>
  <si>
    <t>Equity Market Cost of Capital</t>
  </si>
  <si>
    <t>Debt Cost of Capital</t>
  </si>
  <si>
    <t>Risk-free Rate</t>
  </si>
  <si>
    <t>Tax Rate</t>
  </si>
  <si>
    <t>Shareholders' Equity</t>
  </si>
  <si>
    <t>Total Capital</t>
  </si>
  <si>
    <t>Debt / Total Capital (Target)</t>
  </si>
  <si>
    <t>NPV NOLs</t>
  </si>
  <si>
    <t>Low Perpetuity Growth Rate</t>
  </si>
  <si>
    <t>High Perpetuity Growth Rate</t>
  </si>
  <si>
    <t>Base WACC</t>
  </si>
  <si>
    <t>Net Present Value of Cash Flows</t>
  </si>
  <si>
    <t>Net Present Value of Remaining NOLs</t>
  </si>
  <si>
    <t>Implied Equity Value</t>
  </si>
  <si>
    <t>Fully Diluted Shares Outstanding (MM)</t>
  </si>
  <si>
    <t>Implied Equity Value per Share (1)</t>
  </si>
  <si>
    <t>Upside to Current Share Price</t>
  </si>
  <si>
    <t>Terminal value</t>
  </si>
  <si>
    <t>Midpoint growth</t>
  </si>
  <si>
    <t>BULL CASE</t>
  </si>
  <si>
    <t>BEAR CASE</t>
  </si>
  <si>
    <t>Net capex</t>
  </si>
  <si>
    <t>Price</t>
  </si>
  <si>
    <t>Total capex</t>
  </si>
  <si>
    <t>Levered FCF</t>
  </si>
  <si>
    <t>Capital Lease</t>
  </si>
  <si>
    <t>Net Capital Expenditures</t>
  </si>
  <si>
    <t>Implied terminal multiple</t>
  </si>
  <si>
    <t>NOLS</t>
  </si>
  <si>
    <t>NOL (beginning)</t>
  </si>
  <si>
    <t>NOL (ending)</t>
  </si>
  <si>
    <t>Additions</t>
  </si>
  <si>
    <t>Uses</t>
  </si>
  <si>
    <t>WACC</t>
  </si>
  <si>
    <t>Tax rate</t>
  </si>
  <si>
    <t>Cash, Equivalents and Equity Investments</t>
  </si>
  <si>
    <t>Debt and Minority Interest</t>
  </si>
  <si>
    <t>% Margin</t>
  </si>
  <si>
    <t>Churn (quarterly)</t>
  </si>
  <si>
    <t>% of Total</t>
  </si>
  <si>
    <t>MRR</t>
  </si>
  <si>
    <t>CAGR</t>
  </si>
  <si>
    <t>% of Total Revenues</t>
  </si>
  <si>
    <t xml:space="preserve">% Y/Y </t>
  </si>
  <si>
    <t>Acquisitions</t>
  </si>
  <si>
    <t>12-MONTH FORWARD</t>
  </si>
  <si>
    <t>Period Count (TODAY)</t>
  </si>
  <si>
    <t>Period Count (12-MONTH FORWARD)</t>
  </si>
  <si>
    <t>2015-2018</t>
  </si>
  <si>
    <t>Segments</t>
  </si>
  <si>
    <t>EBITDA</t>
  </si>
  <si>
    <t>EV /</t>
  </si>
  <si>
    <t>Unlevered FCF</t>
  </si>
  <si>
    <t>2015E</t>
  </si>
  <si>
    <t>2016E</t>
  </si>
  <si>
    <t>2017E</t>
  </si>
  <si>
    <t>2018E</t>
  </si>
  <si>
    <t>2019E</t>
  </si>
  <si>
    <t>2020E</t>
  </si>
  <si>
    <t>2Q18E</t>
  </si>
  <si>
    <t>3Q18E</t>
  </si>
  <si>
    <t>4Q18E</t>
  </si>
  <si>
    <t>1Q19E</t>
  </si>
  <si>
    <t>2Q19E</t>
  </si>
  <si>
    <t>3Q19E</t>
  </si>
  <si>
    <t>4Q19E</t>
  </si>
  <si>
    <t>1Q20E</t>
  </si>
  <si>
    <t>2Q20E</t>
  </si>
  <si>
    <t>3Q20E</t>
  </si>
  <si>
    <t>4Q20E</t>
  </si>
  <si>
    <t>Unlevered FCF (Adj EBITDA less net capex)</t>
  </si>
  <si>
    <t>2014E</t>
  </si>
  <si>
    <t xml:space="preserve">EV / </t>
  </si>
  <si>
    <t>UFCF</t>
  </si>
  <si>
    <t>Earnings per diluted share</t>
  </si>
  <si>
    <t>Diluted shares outstanding (avg)</t>
  </si>
  <si>
    <t>Basic shares outstanding (avg)</t>
  </si>
  <si>
    <t>Diluted shares (avg)</t>
  </si>
  <si>
    <t>Segment Revenue (% Y/Y)</t>
  </si>
  <si>
    <t>Segment Revenue (% Q/Q)</t>
  </si>
  <si>
    <t>Capital lease, non-current</t>
  </si>
  <si>
    <t>Calendar Year (12/31 YE)</t>
  </si>
  <si>
    <t>Unlevered FCF per share</t>
  </si>
  <si>
    <t>Other expenses (income)</t>
  </si>
  <si>
    <t>laml</t>
  </si>
  <si>
    <t>USD</t>
  </si>
  <si>
    <t>ZAYO.N</t>
  </si>
  <si>
    <t>Zayo Group Holdings, Inc.</t>
  </si>
  <si>
    <t>Basic shares (EOP)</t>
  </si>
  <si>
    <t>Statutory tax rate</t>
  </si>
  <si>
    <t>REQUIRED FOR MODELWARE</t>
  </si>
  <si>
    <t>Unrecorded goodwill</t>
  </si>
  <si>
    <t>NM</t>
  </si>
  <si>
    <t>Issuance of common stock</t>
  </si>
  <si>
    <t>for modelware</t>
  </si>
  <si>
    <t>-</t>
  </si>
  <si>
    <t>ZAYO.N,mscalc:targetPrice,,,,USD</t>
  </si>
  <si>
    <t>ZAYO.N,mscalc:sedolCodeCalc</t>
  </si>
  <si>
    <t>ZAYO.N,mscalc:closePriceCurrencyCalc</t>
  </si>
  <si>
    <t>$F$2</t>
  </si>
  <si>
    <t>ZPI</t>
  </si>
  <si>
    <t>ZLS</t>
  </si>
  <si>
    <t>Actual</t>
  </si>
  <si>
    <t>Diff Pos./</t>
  </si>
  <si>
    <t>+ / –</t>
  </si>
  <si>
    <t>WHAT WE LIKED / WHAT WE DID NOT LIKE</t>
  </si>
  <si>
    <t xml:space="preserve"> (Neg.)</t>
  </si>
  <si>
    <t>Cons.</t>
  </si>
  <si>
    <t>FINANCIALS</t>
  </si>
  <si>
    <t>Total Revenue ($MM)</t>
  </si>
  <si>
    <t xml:space="preserve">% y/y growth </t>
  </si>
  <si>
    <t xml:space="preserve">% q/q growth </t>
  </si>
  <si>
    <t>% gross margin</t>
  </si>
  <si>
    <t>Diluted EPS</t>
  </si>
  <si>
    <t>SEGMENT REVENUE</t>
  </si>
  <si>
    <t>OTHER</t>
  </si>
  <si>
    <t>Gross Capex</t>
  </si>
  <si>
    <t>MAR</t>
  </si>
  <si>
    <t>Levered FCF (OCF less capex)</t>
  </si>
  <si>
    <t>Reconciliations</t>
  </si>
  <si>
    <t>Levered FCF (OCF less gross capex)</t>
  </si>
  <si>
    <t>Net leverage</t>
  </si>
  <si>
    <t>Three Months Ended</t>
  </si>
  <si>
    <t>CASE</t>
  </si>
  <si>
    <t>Telecom Services - North America</t>
  </si>
  <si>
    <t>Simon Flannery</t>
  </si>
  <si>
    <t>Lisa Lam</t>
  </si>
  <si>
    <t>212 - 761 - 6432</t>
  </si>
  <si>
    <t>212 - 761 - 4487</t>
  </si>
  <si>
    <t>simon.flannery@morganstanley.com</t>
  </si>
  <si>
    <t>lisa.lam@morganstanley.com</t>
  </si>
  <si>
    <t>BRJ3H07</t>
  </si>
  <si>
    <t>=</t>
  </si>
  <si>
    <t>+</t>
  </si>
  <si>
    <t>Senior Notes (6.000%)</t>
  </si>
  <si>
    <t>Sum of NPV NOLs (2014-2020)</t>
  </si>
  <si>
    <t>NPV remaining NOL (2020)</t>
  </si>
  <si>
    <t>Bookings</t>
  </si>
  <si>
    <t>% Revenue</t>
  </si>
  <si>
    <t>Currency</t>
  </si>
  <si>
    <t>Current Stock Price</t>
  </si>
  <si>
    <t>Count</t>
  </si>
  <si>
    <t>Current</t>
  </si>
  <si>
    <t>Prior</t>
  </si>
  <si>
    <t>Change</t>
  </si>
  <si>
    <t>Rolling 8 quarter average</t>
  </si>
  <si>
    <t>Senior Notes (6.375%)</t>
  </si>
  <si>
    <t>Term loan facility (L+275; 100 floor)</t>
  </si>
  <si>
    <t>2016-2019</t>
  </si>
  <si>
    <t>3Q18</t>
  </si>
  <si>
    <t>4Q18</t>
  </si>
  <si>
    <t>1Q19</t>
  </si>
  <si>
    <t>2Q19</t>
  </si>
  <si>
    <t>3Q19</t>
  </si>
  <si>
    <t>4Q19</t>
  </si>
  <si>
    <t>1Q20</t>
  </si>
  <si>
    <t>2Q20</t>
  </si>
  <si>
    <t>3Q20</t>
  </si>
  <si>
    <t>4Q20</t>
  </si>
  <si>
    <t>CY 2017</t>
  </si>
  <si>
    <t>FY 2017</t>
  </si>
  <si>
    <t>LTM average</t>
  </si>
  <si>
    <t>Zayo Network Connectivity</t>
  </si>
  <si>
    <t>Zayo Colocation &amp; Cloud</t>
  </si>
  <si>
    <t>Zayo Dark Fiber</t>
  </si>
  <si>
    <t>Allstream</t>
  </si>
  <si>
    <t>Term loan facility (L+350; 100 floor)</t>
  </si>
  <si>
    <t>Acquisitions - NOT in segments</t>
  </si>
  <si>
    <t>Adjusted EBITDA - Zayo (ex. Allstream)</t>
  </si>
  <si>
    <t>Revenues - Zayo (ex. Allstream)</t>
  </si>
  <si>
    <t>Revenues (ex Allstream)</t>
  </si>
  <si>
    <t>Organic growth Y/Y (company reported)</t>
  </si>
  <si>
    <t>Gross sales (bookings)</t>
  </si>
  <si>
    <t>Senior Notes (5.750%)</t>
  </si>
  <si>
    <t>Term loan facility (L+200; 0 floor)</t>
  </si>
  <si>
    <t>Term loan facility (L+250; 0 floor)</t>
  </si>
  <si>
    <t>Gross Installs</t>
  </si>
  <si>
    <t>Net Installs</t>
  </si>
  <si>
    <t>Zayo Fiber Solutions</t>
  </si>
  <si>
    <t>Zayo Colocation</t>
  </si>
  <si>
    <t>Zayo Transport</t>
  </si>
  <si>
    <t>Zayo Enterprise Networks</t>
  </si>
  <si>
    <t>Zayo Allstream</t>
  </si>
  <si>
    <t>Zayo Enterprise Solutions</t>
  </si>
  <si>
    <t xml:space="preserve"> </t>
  </si>
  <si>
    <t>Implied CY 2018 EV/EBITDA</t>
  </si>
  <si>
    <t>Implied CY 2018 EV / Unlevered FCF</t>
  </si>
  <si>
    <t>Implied FY 2018 EV/EBITDA</t>
  </si>
  <si>
    <t>Implied FY 2018 EV / Unlevered FCF</t>
  </si>
  <si>
    <t>Implied FY 2018 Levered FCF / Equity</t>
  </si>
  <si>
    <t>Transport</t>
  </si>
  <si>
    <t>Colocation</t>
  </si>
  <si>
    <t>Enterprise Networks</t>
  </si>
  <si>
    <t>Fiber Solutions</t>
  </si>
  <si>
    <t>AFFO</t>
  </si>
  <si>
    <t>D&amp;A</t>
  </si>
  <si>
    <t>FX loss / (gain) on intercompany loans</t>
  </si>
  <si>
    <t>Stock-based comp</t>
  </si>
  <si>
    <t>Non-cash loss on investments</t>
  </si>
  <si>
    <t>Maintenance capex</t>
  </si>
  <si>
    <t>Upfront customer payments on &lt;12 mth payback</t>
  </si>
  <si>
    <t>Capex for &lt;12 mth payback</t>
  </si>
  <si>
    <t>Capex for network capacity</t>
  </si>
  <si>
    <t>Net AFFO</t>
  </si>
  <si>
    <t>FX gain on intercompany loans</t>
  </si>
  <si>
    <t>Net income (from continuing ops)</t>
  </si>
  <si>
    <t>% of total revenues</t>
  </si>
  <si>
    <t>% of core revenues</t>
  </si>
  <si>
    <t>Organic revenue (total)</t>
  </si>
  <si>
    <t>Organic revenue (ex Allstream)</t>
  </si>
  <si>
    <t>AFFO per share</t>
  </si>
  <si>
    <t>Revenues by segment</t>
  </si>
  <si>
    <t>Adjusted EBITDA by segment</t>
  </si>
  <si>
    <t>40</t>
  </si>
  <si>
    <t>Research</t>
  </si>
  <si>
    <t>e = Morgan Stanley Research estimates unless otherwise noted</t>
  </si>
  <si>
    <t>Source: Morgan Stanley Research unless otherwise noted</t>
  </si>
  <si>
    <t>Stocks ratings are relative to the analyst's industry coverage universe.</t>
  </si>
  <si>
    <t>1585 Broadway</t>
  </si>
  <si>
    <t>New York, NY  10036-8293</t>
  </si>
  <si>
    <t>United States</t>
  </si>
  <si>
    <t>Tel: +1 (1)212 761 4000</t>
  </si>
  <si>
    <t>Authors: Simon Flannery, Lisa Lam</t>
  </si>
  <si>
    <t>Date: 08 Feb 2018</t>
  </si>
  <si>
    <t>Ticker: ZAYO.N</t>
  </si>
  <si>
    <t>Stock Rating: Overweight</t>
  </si>
  <si>
    <t>Industry: Telecom Services</t>
  </si>
  <si>
    <t>Industry View: Cautious</t>
  </si>
  <si>
    <t>Price as of 08 Feb 2018: 36.31</t>
  </si>
  <si>
    <t>Target Price: 43</t>
  </si>
  <si>
    <t>Analyst Certification</t>
  </si>
  <si>
    <t>Unless otherwise stated, the individuals listed on the cover page of this report are research analysts.</t>
  </si>
  <si>
    <t>Global Research Conflict Management Policy</t>
  </si>
  <si>
    <t>Important US Regulatory Disclosures on Subject Companies</t>
  </si>
  <si>
    <t>Morgan Stanley &amp; Co. LLC makes a market in the securities of Zayo Group Holdings, Inc..</t>
  </si>
  <si>
    <t>STOCK RATINGS</t>
  </si>
  <si>
    <t>Global Stock Ratings Distribution</t>
  </si>
  <si>
    <t>(as of January 31, 2018)</t>
  </si>
  <si>
    <t>Coverage Universe</t>
  </si>
  <si>
    <t>Investment Banking Clients (IBC)</t>
  </si>
  <si>
    <t>Other Material Investment Services Clients (MISC)</t>
  </si>
  <si>
    <t>Stock Rating Category</t>
  </si>
  <si>
    <t>% of Total IBC</t>
  </si>
  <si>
    <t>% of Rating Category</t>
  </si>
  <si>
    <t>% of Total Other MISC</t>
  </si>
  <si>
    <t>Overweight/Buy</t>
  </si>
  <si>
    <t>Equal-weight/Hold</t>
  </si>
  <si>
    <t>Not-Rated/Hold</t>
  </si>
  <si>
    <t>Underweight/Sell</t>
  </si>
  <si>
    <t>Analyst Stock Ratings</t>
  </si>
  <si>
    <t>Analyst Industry Views</t>
  </si>
  <si>
    <t>.</t>
  </si>
  <si>
    <t>Stock Price, Price Target and Rating History (See Rating Definitions)</t>
  </si>
  <si>
    <t>Important Disclosures for Morgan Stanley Smith Barney LLC Customers</t>
  </si>
  <si>
    <t>Other Important Disclosures</t>
  </si>
  <si>
    <t>Morgan Stanley Research, or any portion thereof may not be reprinted, sold or redistributed without the</t>
  </si>
  <si>
    <t>written consent of Morgan Stanley.</t>
  </si>
  <si>
    <t>The trademarks and service marks contained in Morgan Stanley Research are the property of their</t>
  </si>
  <si>
    <t>respective owners. Third-party data providers make no warranties or representations relating to the</t>
  </si>
  <si>
    <t>accuracy, completeness, or timeliness of the data they provide and shall not have liability for any</t>
  </si>
  <si>
    <t>damages relating to such data. The Global Industry Classification Standard (GICS) was developed by and</t>
  </si>
  <si>
    <t>is the exclusive property of MSCI and S&amp;P.</t>
  </si>
  <si>
    <t>As required by the Capital Markets Board of Turkey, investment information, comments and recommendations</t>
  </si>
  <si>
    <t>stated here, are not within the scope of investment advisory activity. Investment advisory service is</t>
  </si>
  <si>
    <t>provided exclusively to persons based on their risk and income preferences by the authorized firms.</t>
  </si>
  <si>
    <t>Comments and recommendations stated here are general in nature. These opinions may not fit to your</t>
  </si>
  <si>
    <t>financial status, risk and return preferences. For this reason, to make an investment decision by</t>
  </si>
  <si>
    <t>relying solely to this information stated here may not bring about outcomes that fit your expectations.</t>
  </si>
  <si>
    <t>The information in Morgan Stanley Research is being communicated by Morgan Stanley &amp; Co. International</t>
  </si>
  <si>
    <t>plc (QFC Branch), regulated by the Qatar Financial Centre Regulatory Authority (the QFCRA), and is</t>
  </si>
  <si>
    <t>directed at business customers and market counterparties only and is not intended for Retail Customers</t>
  </si>
  <si>
    <t>as defined by the QFCRA.</t>
  </si>
  <si>
    <t>plc (DIFC Branch), regulated by the Dubai Financial Services Authority (the DFSA), and is directed at</t>
  </si>
  <si>
    <t>Professional Clients only, as defined by the DFSA. The financial products or financial services to which</t>
  </si>
  <si>
    <t>this research relates will only be made available to a customer who we are satisfied meets the</t>
  </si>
  <si>
    <t>regulatory criteria to be a Professional Client.</t>
  </si>
  <si>
    <t>Morgan Stanley Research is disseminated in Brazil by Morgan Stanley C.T.V.M. S.A.; in Mexico by Morgan</t>
  </si>
  <si>
    <t>Stanley México, Casa de Bolsa, S.A. de C.V which is regulated by Comision Nacional Bancaria y de</t>
  </si>
  <si>
    <t>Valores. Paseo de los Tamarindos 90, Torre 1, Col. Bosques de las Lomas Floor 29, 05120 Mexico City; in</t>
  </si>
  <si>
    <t>Japan by Morgan Stanley MUFG Securities Co., Ltd. and, for Commodities related research reports only,</t>
  </si>
  <si>
    <t>Morgan Stanley Capital Group Japan Co., Ltd; in Hong Kong by Morgan Stanley Asia Limited (which accepts</t>
  </si>
  <si>
    <t>responsibility for its contents) and by Morgan Stanley Asia International Limited, Hong Kong Branch; in</t>
  </si>
  <si>
    <t>Singapore by Morgan Stanley Asia (Singapore) Pte. (Registration number 199206298Z) and/or Morgan Stanley</t>
  </si>
  <si>
    <t>Asia (Singapore) Securities Pte Ltd (Registration number 200008434H), regulated by the Monetary</t>
  </si>
  <si>
    <t>Authority of Singapore (which accepts legal responsibility for its contents and should be contacted with</t>
  </si>
  <si>
    <t>respect to any matters arising from, or in connection with, Morgan Stanley Research) and by Morgan</t>
  </si>
  <si>
    <t>Stanley Asia International Limited, Singapore Branch (Registration number T11FC0207F); in Australia to</t>
  </si>
  <si>
    <t>"wholesale clients" within the meaning of the Australian Corporations Act by Morgan Stanley Australia</t>
  </si>
  <si>
    <t>Limited A.B.N. 67 003 734 576, holder of Australian financial services license No. 233742, which accepts</t>
  </si>
  <si>
    <t>responsibility for its contents; in Australia to "wholesale clients" and "retail clients" within the</t>
  </si>
  <si>
    <t>meaning of the Australian Corporations Act by Morgan Stanley Wealth Management Australia Pty Ltd (A.B.N.</t>
  </si>
  <si>
    <t>19 009 145 555, holder of Australian financial services license No. 240813, which accepts responsibility</t>
  </si>
  <si>
    <t>for its contents; in Korea by Morgan Stanley &amp; Co International plc, Seoul Branch; in India by Morgan</t>
  </si>
  <si>
    <t>Stanley India Company Private Limited; in Indonesia by PT. Morgan Stanley Sekuritas Indonesia; in Canada</t>
  </si>
  <si>
    <t>by Morgan Stanley Canada Limited, which has approved of and takes responsibility for its contents in</t>
  </si>
  <si>
    <t>Canada; in Germany by Morgan Stanley Bank AG, Frankfurt am Main and Morgan Stanley Private Wealth</t>
  </si>
  <si>
    <t>Management Limited, Niederlassung Deutschland, regulated by Bundesanstalt fuer</t>
  </si>
  <si>
    <t>Finanzdienstleistungsaufsicht (BaFin); in Spain by Morgan Stanley, S.V., S.A., a Morgan Stanley group</t>
  </si>
  <si>
    <t>company, which is supervised by the Spanish Securities Markets Commission (CNMV) and states that Morgan</t>
  </si>
  <si>
    <t>Stanley Research has been written and distributed in accordance with the rules of conduct applicable to</t>
  </si>
  <si>
    <t>financial research as established under Spanish regulations; in the US by Morgan Stanley &amp; Co. LLC,</t>
  </si>
  <si>
    <t>which accepts responsibility for its contents. Morgan Stanley &amp; Co. International plc, authorized by the</t>
  </si>
  <si>
    <t>Prudential Regulatory Authority and regulated by the Financial Conduct Authority and the Prudential</t>
  </si>
  <si>
    <t>Regulatory Authority, disseminates in the UK research that it has prepared, and approves solely for the</t>
  </si>
  <si>
    <t>purposes of section 21 of the Financial Services and Markets Act 2000, research which has been prepared</t>
  </si>
  <si>
    <t>by any of its affiliates. RMB Morgan Stanley Proprietary Limited is a member of the JSE Limited and</t>
  </si>
  <si>
    <t>regulated by the Financial Services Board in South Africa. RMB Morgan Stanley Proprietary Limited is a</t>
  </si>
  <si>
    <t>joint venture owned equally by Morgan Stanley International Holdings Inc. and RMB Investment Advisory</t>
  </si>
  <si>
    <t>(Proprietary) Limited, which is wholly owned by FirstRand Limited. The information in Morgan Stanley</t>
  </si>
  <si>
    <t>Research is being disseminated by Morgan Stanley Saudi Arabia, regulated by the Capital Market Authority</t>
  </si>
  <si>
    <t>in the Kingdom of Saudi Arabia , and is directed at Sophisticated investors only.</t>
  </si>
  <si>
    <t>Morgan Stanley is not incorporated under PRC law and the research in relation to this report is</t>
  </si>
  <si>
    <t>conducted outside the PRC. Morgan Stanley Research does not constitute an offer to sell or the</t>
  </si>
  <si>
    <t>solicitation of an offer to buy any securities in the PRC. PRC investors shall have the relevant</t>
  </si>
  <si>
    <t>qualifications to invest in such securities and shall be responsible for obtaining all relevant</t>
  </si>
  <si>
    <t>approvals, licenses, verifications and/or registrations from the relevant governmental authorities</t>
  </si>
  <si>
    <t>themselves. Neither this report nor any part of it is intended as, or shall constitute, provision of any</t>
  </si>
  <si>
    <t>consultancy or advisory service of securities investment as defined under PRC law. Such information is</t>
  </si>
  <si>
    <t>provided for your reference only.</t>
  </si>
  <si>
    <t>To our readers based in Taiwan or trading in Taiwan securities/instruments: Information on</t>
  </si>
  <si>
    <t>securities/instruments that trade in Taiwan is distributed by Morgan Stanley Taiwan Limited ("MSTL").</t>
  </si>
  <si>
    <t>Such information is for your reference only. The reader should independently evaluate the investment</t>
  </si>
  <si>
    <t>risks and is solely responsible for their investment decisions. Morgan Stanley Research may not be</t>
  </si>
  <si>
    <t>distributed to the public media or quoted or used by the public media without the express written</t>
  </si>
  <si>
    <t>consent of Morgan Stanley. Any non-customer reader within the scope of Article 7-1 of the Taiwan Stock</t>
  </si>
  <si>
    <t>Exchange Recommendation Regulations accessing and/or receiving Morgan Stanley Research is not permitted</t>
  </si>
  <si>
    <t>to provide Morgan Stanley Research to any third party (including but not limited to related parties,</t>
  </si>
  <si>
    <t>affiliated companies and any other third parties) or engage in any activities regarding Morgan Stanley</t>
  </si>
  <si>
    <t>Research which may create or give the appearance of creating a conflict of interest. Information on</t>
  </si>
  <si>
    <t>securities/instruments that do not trade in Taiwan is for informational purposes only and is not to be</t>
  </si>
  <si>
    <t>construed as a recommendation or a solicitation to trade in such securities/instruments. MSTL may not</t>
  </si>
  <si>
    <t>execute transactions for clients in these securities/instruments.</t>
  </si>
  <si>
    <t>Morgan Stanley may make investment decisions that are inconsistent with the recommendations or views in</t>
  </si>
  <si>
    <t>this report.</t>
  </si>
  <si>
    <t>Morgan Stanley Research personnel may participate in company events such as site visits and are</t>
  </si>
  <si>
    <t>generally prohibited from accepting payment by the company of associated expenses unless pre-approved by</t>
  </si>
  <si>
    <t>authorized members of Research management.</t>
  </si>
  <si>
    <t>With the exception of information regarding Morgan Stanley, Morgan Stanley Research is based on public</t>
  </si>
  <si>
    <t>information. Morgan Stanley makes every effort to use reliable, comprehensive information, but we make</t>
  </si>
  <si>
    <t>no representation that it is accurate or complete. We have no obligation to tell you when opinions or</t>
  </si>
  <si>
    <t>information in Morgan Stanley Research change apart from when we intend to discontinue equity research</t>
  </si>
  <si>
    <t>coverage of a subject company. Facts and views presented in Morgan Stanley Research have not been</t>
  </si>
  <si>
    <t>reviewed by, and may not reflect information known to, professionals in other Morgan Stanley business</t>
  </si>
  <si>
    <t>areas, including investment banking personnel.</t>
  </si>
  <si>
    <t>The "Important US Regulatory Disclosures on Subject Companies" section in Morgan Stanley Research lists</t>
  </si>
  <si>
    <t>all companies mentioned where Morgan Stanley owns 1% or more of a class of common equity securities of</t>
  </si>
  <si>
    <t>the companies. For all other companies mentioned in Morgan Stanley Research, Morgan Stanley may have an</t>
  </si>
  <si>
    <t>investment of less than 1% in securities/instruments or derivatives of securities/instruments of</t>
  </si>
  <si>
    <t>companies and may trade them in ways different from those discussed in Morgan Stanley Research.</t>
  </si>
  <si>
    <t>Employees of Morgan Stanley not involved in the preparation of Morgan Stanley Research may have</t>
  </si>
  <si>
    <t>investments in securities/instruments or derivatives of securities/instruments of companies mentioned</t>
  </si>
  <si>
    <t>and may trade them in ways different from those discussed in Morgan Stanley Research. Derivatives may be</t>
  </si>
  <si>
    <t>issued by Morgan Stanley or associated persons.</t>
  </si>
  <si>
    <t>The fixed income research analysts, strategists or economists principally responsible for the</t>
  </si>
  <si>
    <t>preparation of Morgan Stanley Research have received compensation based upon various factors, including</t>
  </si>
  <si>
    <t>quality, accuracy and value of research, firm profitability or revenues (which include fixed income</t>
  </si>
  <si>
    <t>trading and capital markets profitability or revenues), client feedback and competitive factors. Fixed</t>
  </si>
  <si>
    <t>Income Research analysts', strategists' or economists' compensation is not linked to investment banking</t>
  </si>
  <si>
    <t>or capital markets transactions performed by Morgan Stanley or the profitability or revenues of</t>
  </si>
  <si>
    <t>particular trading desks.</t>
  </si>
  <si>
    <t>Morgan Stanley Research does not provide individually tailored investment advice. Morgan Stanley</t>
  </si>
  <si>
    <t>Research has been prepared without regard to the circumstances and objectives of those who receive it.</t>
  </si>
  <si>
    <t>Morgan Stanley recommends that investors independently evaluate particular investments and strategies,</t>
  </si>
  <si>
    <t>and encourages investors to seek the advice of a financial adviser. The appropriateness of an investment</t>
  </si>
  <si>
    <t>or strategy will depend on an investor's circumstances and objectives. The securities, instruments, or</t>
  </si>
  <si>
    <t>strategies discussed in Morgan Stanley Research may not be suitable for all investors, and certain</t>
  </si>
  <si>
    <t>investors may not be eligible to purchase or participate in some or all of them. Morgan Stanley Research</t>
  </si>
  <si>
    <t>is not an offer to buy or sell or the solicitation of an offer to buy or sell any security/instrument or</t>
  </si>
  <si>
    <t>to participate in any particular trading strategy. The value of and income from your investments may</t>
  </si>
  <si>
    <t>vary because of changes in interest rates, foreign exchange rates, default rates, prepayment rates,</t>
  </si>
  <si>
    <t>securities/instruments prices, market indexes, operational or financial conditions of companies or other</t>
  </si>
  <si>
    <t>factors. There may be time limitations on the exercise of options or other rights in</t>
  </si>
  <si>
    <t>securities/instruments transactions. Past performance is not necessarily a guide to future performance.</t>
  </si>
  <si>
    <t>Estimates of future performance are based on assumptions that may not be realized. If provided, and</t>
  </si>
  <si>
    <t>unless otherwise stated, the closing price on the cover page is that of the primary exchange for the</t>
  </si>
  <si>
    <t>subject company's securities/instruments.</t>
  </si>
  <si>
    <t>If you do not agree to our Terms of Use and/or if you do not wish to provide your consent to Morgan</t>
  </si>
  <si>
    <t>Stanley processing your personal data or using cookies please do not access our research.</t>
  </si>
  <si>
    <t>Any access and/or use of Morgan Stanley Research is subject to Morgan Stanley's Terms of Use</t>
  </si>
  <si>
    <t>(http://www.morganstanley.com/terms.html). By accessing and/or using Morgan Stanley Research, you are</t>
  </si>
  <si>
    <t>indicating that you have read and agree to be bound by our Terms of Use</t>
  </si>
  <si>
    <t>(http://www.morganstanley.com/terms.html). In addition you consent to Morgan Stanley processing your</t>
  </si>
  <si>
    <t>personal data and using cookies in accordance with our Privacy Policy and our Global Cookies Policy</t>
  </si>
  <si>
    <t>(http://www.morganstanley.com/privacy_pledge.html), including for the purposes of setting your</t>
  </si>
  <si>
    <t>preferences and to collect readership data so that we can deliver better and more personalized service</t>
  </si>
  <si>
    <t>and products to you. To find out more information about how Morgan Stanley processes personal data, how</t>
  </si>
  <si>
    <t>we use cookies and how to reject cookies see our Privacy Policy and our Global Cookies Policy</t>
  </si>
  <si>
    <t>(http://www.morganstanley.com/privacy_pledge.html).</t>
  </si>
  <si>
    <t>Morgan Stanley Research is provided to our clients through our proprietary research portal on Matrix and</t>
  </si>
  <si>
    <t>also distributed electronically by Morgan Stanley to clients. Certain, but not all, Morgan Stanley</t>
  </si>
  <si>
    <t>Research products are also made available to clients through third-party vendors or redistributed to</t>
  </si>
  <si>
    <t>clients through alternate electronic means as a convenience. For access to all available Morgan Stanley</t>
  </si>
  <si>
    <t>Research, please contact your sales representative or go to Matrix at</t>
  </si>
  <si>
    <t>http://www.morganstanley.com/matrix.</t>
  </si>
  <si>
    <t>Morgan Stanley produces an equity research product called a "Tactical Idea." Views contained in a</t>
  </si>
  <si>
    <t>"Tactical Idea" on a particular stock may be contrary to the recommendations or views expressed in</t>
  </si>
  <si>
    <t>research on the same stock. This may be the result of differing time horizons, methodologies, market</t>
  </si>
  <si>
    <t>events, or other factors. For all research available on a particular stock, please contact your sales</t>
  </si>
  <si>
    <t>representative or go to Matrix at http://www.morganstanley.com/matrix.</t>
  </si>
  <si>
    <t>Morgan Stanley is not acting as a municipal advisor and the opinions or views contained herein are not</t>
  </si>
  <si>
    <t>intended to be, and do not constitute, advice within the meaning of Section 975 of the Dodd-Frank Wall</t>
  </si>
  <si>
    <t>Street Reform and Consumer Protection Act.</t>
  </si>
  <si>
    <t>Morgan Stanley Research policy is to update research reports as and when the Research Analyst and</t>
  </si>
  <si>
    <t>Research Management deem appropriate, based on developments with the issuer, the sector, or the market</t>
  </si>
  <si>
    <t>that may have a material impact on the research views or opinions stated therein. In addition, certain</t>
  </si>
  <si>
    <t>Research publications are intended to be updated on a regular periodic basis</t>
  </si>
  <si>
    <t>(weekly/monthly/quarterly/annual) and will ordinarily be updated with that frequency, unless the</t>
  </si>
  <si>
    <t>Research Analyst and Research Management determine that a different publication schedule is appropriate</t>
  </si>
  <si>
    <t>based on current conditions.</t>
  </si>
  <si>
    <t>Each Morgan Stanley Equity Research report is reviewed and approved on behalf of Morgan Stanley Smith</t>
  </si>
  <si>
    <t>Barney LLC. This review and approval is conducted by the same person who reviews the Equity Research</t>
  </si>
  <si>
    <t>report on behalf of Morgan Stanley. This could create a conflict of interest.</t>
  </si>
  <si>
    <t>Important disclosures regarding the relationship between the companies that are the subject of Morgan</t>
  </si>
  <si>
    <t>Stanley Research and Morgan Stanley Smith Barney LLC or Morgan Stanley or any of their affiliates, are</t>
  </si>
  <si>
    <t>available on the Morgan Stanley Wealth Management disclosure website at</t>
  </si>
  <si>
    <t>www.morganstanley.com/online/researchdisclosures. For Morgan Stanley specific disclosures, you may refer</t>
  </si>
  <si>
    <t>to www.morganstanley.com/researchdisclosures.</t>
  </si>
  <si>
    <t>Benchmarks for each region are as follows: North America - S&amp;P 500; Latin America - relevant MSCI</t>
  </si>
  <si>
    <t>country index or MSCI Latin America Index; Europe - MSCI Europe; Japan - TOPIX; Asia - relevant MSCI</t>
  </si>
  <si>
    <t>country index or MSCI sub-regional index or MSCI AC Asia Pacific ex Japan Index.</t>
  </si>
  <si>
    <t>Cautious (C): The analyst views the performance of his or her industry coverage universe over the next</t>
  </si>
  <si>
    <t>12-18 months with caution vs. the relevant broad market benchmark, as indicated below.</t>
  </si>
  <si>
    <t>In-Line (I): The analyst expects the performance of his or her industry coverage universe over the next</t>
  </si>
  <si>
    <t>12-18 months to be in line with the relevant broad market benchmark, as indicated below.</t>
  </si>
  <si>
    <t>Attractive (A): The analyst expects the performance of his or her industry coverage universe over the</t>
  </si>
  <si>
    <t>next 12-18 months to be attractive vs. the relevant broad market benchmark, as indicated below.</t>
  </si>
  <si>
    <t>Unless otherwise specified, the time frame for price targets included in Morgan Stanley Research is 12</t>
  </si>
  <si>
    <t>to 18 months.</t>
  </si>
  <si>
    <t>Underweight (U). The stock's total return is expected to be below the average total return of the</t>
  </si>
  <si>
    <t>analyst's industry (or industry team's) coverage universe, on a risk-adjusted basis, over the next 12-18</t>
  </si>
  <si>
    <t>months.</t>
  </si>
  <si>
    <t>Not-Rated (NR). Currently the analyst does not have adequate conviction about the stock's total return</t>
  </si>
  <si>
    <t>relative to the average total return of the analyst's industry (or industry team's) coverage universe,</t>
  </si>
  <si>
    <t>on a risk-adjusted basis, over the next 12-18 months.</t>
  </si>
  <si>
    <t>Equal-weight (E). The stock's total return is expected to be in line with the average total return of</t>
  </si>
  <si>
    <t>the analyst's industry (or industry team's) coverage universe, on a risk-adjusted basis, over the next</t>
  </si>
  <si>
    <t>12-18 months.</t>
  </si>
  <si>
    <t>Overweight (O). The stock's total return is expected to exceed the average total return of the analyst's</t>
  </si>
  <si>
    <t>industry (or industry team's) coverage universe, on a risk-adjusted basis, over the next 12-18 months.</t>
  </si>
  <si>
    <t>Data include common stock and ADRs currently assigned ratings. Investment Banking Clients are companies</t>
  </si>
  <si>
    <t>from whom Morgan Stanley received investment banking compensation in the last 12 months. Due to rounding</t>
  </si>
  <si>
    <t>off of decimals, the percentages provided in the "% of total" column may not add up to exactly 100</t>
  </si>
  <si>
    <t>percent.</t>
  </si>
  <si>
    <t>For disclosure purposes only (in accordance with NASD and NYSE requirements), we include the category</t>
  </si>
  <si>
    <t>headings of Buy, Hold, and Sell alongside our ratings of Overweight, Equal-weight, Not-Rated and</t>
  </si>
  <si>
    <t>Underweight. Morgan Stanley does not assign ratings of Buy, Hold or Sell to the stocks we cover.</t>
  </si>
  <si>
    <t>Overweight, Equal-weight, Not-Rated and Underweight are not the equivalent of buy, hold, and sell but</t>
  </si>
  <si>
    <t>represent recommended relative weightings (see definitions below). To satisfy regulatory requirements,</t>
  </si>
  <si>
    <t>we correspond Overweight, our most positive stock rating, with a buy recommendation; we correspond</t>
  </si>
  <si>
    <t>Equal-weight and Not-Rated to hold and Underweight to sell recommendations, respectively.</t>
  </si>
  <si>
    <t>The Stock Ratings described below apply to Morgan Stanley's Fundamental Equity Research and do not apply</t>
  </si>
  <si>
    <t>to Debt Research produced by the Firm.</t>
  </si>
  <si>
    <t>Morgan Stanley uses a relative rating system using terms such as Overweight, Equal-weight, Not-Rated or</t>
  </si>
  <si>
    <t>Underweight (see definitions below). Morgan Stanley does not assign ratings of Buy, Hold or Sell to the</t>
  </si>
  <si>
    <t>stocks we cover. Overweight, Equal-weight, Not-Rated and Underweight are not the equivalent of buy, hold</t>
  </si>
  <si>
    <t>and sell. Investors should carefully read the definitions of all ratings used in Morgan Stanley</t>
  </si>
  <si>
    <t>Research. In addition, since Morgan Stanley Research contains more complete information concerning the</t>
  </si>
  <si>
    <t>analyst's views, investors should carefully read Morgan Stanley Research, in its entirety, and not infer</t>
  </si>
  <si>
    <t>the contents from the rating alone. In any case, ratings (or research) should not be used or relied upon</t>
  </si>
  <si>
    <t>as investment advice. An investor's decision to buy or sell a stock should depend on individual</t>
  </si>
  <si>
    <t>circumstances (such as the investor's existing holdings) and other considerations.</t>
  </si>
  <si>
    <t>Certain disclosures listed above are also for compliance with applicable regulations in non-US</t>
  </si>
  <si>
    <t>jurisdictions.</t>
  </si>
  <si>
    <t>Morgan Stanley and its affiliates do business that relates to companies/instruments covered in Morgan</t>
  </si>
  <si>
    <t>Stanley Research, including market making, providing liquidity, fund management, commercial banking,</t>
  </si>
  <si>
    <t>extension of credit, investment services and investment banking. Morgan Stanley sells to and buys from</t>
  </si>
  <si>
    <t>customers the securities/instruments of companies covered in Morgan Stanley Research on a principal</t>
  </si>
  <si>
    <t>basis. Morgan Stanley may have a position in the debt of the Company or instruments discussed in this</t>
  </si>
  <si>
    <t>report. Morgan Stanley trades or may trade as principal in the debt securities (or in related</t>
  </si>
  <si>
    <t>derivatives) that are the subject of the debt research report.</t>
  </si>
  <si>
    <t>The equity research analysts or strategists principally responsible for the preparation of Morgan</t>
  </si>
  <si>
    <t>Stanley Research have received compensation based upon various factors, including quality of research,</t>
  </si>
  <si>
    <t>investor client feedback, stock picking, competitive factors, firm revenues and overall investment</t>
  </si>
  <si>
    <t>banking revenues. Equity Research analysts' or strategists' compensation is not linked to investment</t>
  </si>
  <si>
    <t>banking or capital markets transactions performed by Morgan Stanley or the profitability or revenues of</t>
  </si>
  <si>
    <t>Within the last 12 months, Morgan Stanley has either provided or is providing non-investment banking,</t>
  </si>
  <si>
    <t>securities-related services to and/or in the past has entered into an agreement to provide services or</t>
  </si>
  <si>
    <t>has a client relationship with the following company: Zayo Group Holdings, Inc..</t>
  </si>
  <si>
    <t>Within the last 12 months, Morgan Stanley has provided or is providing investment banking services to,</t>
  </si>
  <si>
    <t>or has an investment banking client relationship with, the following company: Zayo Group Holdings, Inc..</t>
  </si>
  <si>
    <t>Within the last 12 months, Morgan Stanley has received compensation for products and services other than</t>
  </si>
  <si>
    <t>investment banking services from Zayo Group Holdings, Inc..</t>
  </si>
  <si>
    <t>In the next 3 months, Morgan Stanley expects to receive or intends to seek compensation for investment</t>
  </si>
  <si>
    <t>banking services from Zayo Group Holdings, Inc..</t>
  </si>
  <si>
    <t>Within the last 12 months, Morgan Stanley has received compensation for investment banking services from</t>
  </si>
  <si>
    <t>Zayo Group Holdings, Inc..</t>
  </si>
  <si>
    <t>Within the last 12 months, Morgan Stanley managed or co-managed a public offering (or 144A offering) of</t>
  </si>
  <si>
    <t>securities of Zayo Group Holdings, Inc..</t>
  </si>
  <si>
    <t>Morgan Stanley Research has been published in accordance with our conflict management policy, which is</t>
  </si>
  <si>
    <t>available at www.morganstanley.com/institutional/research/conflictpolicies.</t>
  </si>
  <si>
    <t>The following analysts hereby certify that their views about the companies and their securities</t>
  </si>
  <si>
    <t>discussed in this report are accurately expressed and that they have not received and will not receive</t>
  </si>
  <si>
    <t>direct or indirect compensation in exchange for expressing specific recommendations or views in this</t>
  </si>
  <si>
    <t>report: Simon Flannery.</t>
  </si>
  <si>
    <t>For valuation methodology and risks associated with any recommendation, rating or price target</t>
  </si>
  <si>
    <t>referenced in this research report, please contact the Client Support Team as follows: US/Canada +1 800</t>
  </si>
  <si>
    <t>303-2495; Hong Kong +852 2848-5999; Latin America +1 718 754-5444 (U.S.); London +44 (0)20-7425-8169;</t>
  </si>
  <si>
    <t>Singapore +65 6834-6860; Sydney +61 (0)2-9770-1505; Tokyo +81 (0)3-6836-9000. Alternatively you may</t>
  </si>
  <si>
    <t>contact your investment representative or Morgan Stanley Research at 1585 Broadway, (Attention: Research</t>
  </si>
  <si>
    <t>Management), New York, NY 10036 USA.</t>
  </si>
  <si>
    <t>For important disclosures, stock price charts and equity rating histories regarding companies that are</t>
  </si>
  <si>
    <t>the subject of this report, please see the Morgan Stanley Research Disclosure Website at</t>
  </si>
  <si>
    <t>www.morganstanley.com/researchdisclosures, or contact your investment representative or Morgan Stanley</t>
  </si>
  <si>
    <t>Research at 1585 Broadway, (Attention: Research Management), New York, NY, 10036 USA.</t>
  </si>
  <si>
    <t>The information and opinions in Morgan Stanley Research were prepared by Morgan Stanley &amp; Co. LLC,</t>
  </si>
  <si>
    <t>and/or Morgan Stanley C.T.V.M. S.A., and/or Morgan Stanley Mexico, Casa de Bolsa, S.A. de C.V., and/or</t>
  </si>
  <si>
    <t>Morgan Stanley Canada Limited. As used in this disclosure section, "Morgan Stanley" includes Morgan</t>
  </si>
  <si>
    <t>Stanley &amp; Co. LLC, Morgan Stanley C.T.V.M. S.A., Morgan Stanley Mexico, Casa de Bolsa, S.A. de C.V.,</t>
  </si>
  <si>
    <t>Morgan Stanley Canada Limited and their affiliates as necessary.</t>
  </si>
  <si>
    <t>Morgan Stanley does and seeks to do business with companies covered in Morgan Stanley Research. As a</t>
  </si>
  <si>
    <t>result, investors should be aware that the firm may have a conflict of interest that could affect the</t>
  </si>
  <si>
    <t>objectivity of Morgan Stanley Research. Investors should consider Morgan Stanley Research as only a</t>
  </si>
  <si>
    <t>single factor in making their investment decision.</t>
  </si>
  <si>
    <t>© Copyright 2018 Morgan Stanley</t>
  </si>
  <si>
    <t>MacroVersion</t>
  </si>
  <si>
    <t>PublishDate</t>
  </si>
  <si>
    <t>Discipline</t>
  </si>
  <si>
    <t>ResearchTopic</t>
  </si>
  <si>
    <t>Company</t>
  </si>
  <si>
    <t>DocType</t>
  </si>
  <si>
    <t>Model</t>
  </si>
  <si>
    <t>SubjectCode</t>
  </si>
  <si>
    <t>Description</t>
  </si>
  <si>
    <t>KeepVersions</t>
  </si>
  <si>
    <t>All</t>
  </si>
  <si>
    <t>Rating</t>
  </si>
  <si>
    <t>CurrYearTotalRevenue*</t>
  </si>
  <si>
    <t>CurrYearEPS*</t>
  </si>
  <si>
    <t>NextYearTotalRevenue*</t>
  </si>
  <si>
    <t>NextYearEPS*</t>
  </si>
  <si>
    <t>FollowingYearTotalRevenue*</t>
  </si>
  <si>
    <t>FollowingYearEPS*</t>
  </si>
  <si>
    <t>5YearGrowthRate</t>
  </si>
  <si>
    <t>UpdateReason</t>
  </si>
  <si>
    <t>Authors</t>
  </si>
  <si>
    <t>Tickers</t>
  </si>
  <si>
    <t>CUSIP</t>
  </si>
  <si>
    <t>RIC</t>
  </si>
  <si>
    <t>SEDOL</t>
  </si>
  <si>
    <t>PathName</t>
  </si>
  <si>
    <t>Distribution</t>
  </si>
  <si>
    <t>Deleted</t>
  </si>
  <si>
    <t>NO</t>
  </si>
  <si>
    <t>EmailAlert</t>
  </si>
  <si>
    <t>YES</t>
  </si>
  <si>
    <t>CurrQtrEPS</t>
  </si>
  <si>
    <t>CYEnd</t>
  </si>
  <si>
    <t>CQEnd</t>
  </si>
  <si>
    <t>CurrYearTotalRevenueActual*</t>
  </si>
  <si>
    <t>NextYearTotalRevenueActual*</t>
  </si>
  <si>
    <t>FollowingYearTotalRevenueActual*</t>
  </si>
  <si>
    <t>Multiplier</t>
  </si>
  <si>
    <t>TemplateRegion</t>
  </si>
  <si>
    <t>ObjectType</t>
  </si>
  <si>
    <t>excel</t>
  </si>
  <si>
    <t>LanguageCode</t>
  </si>
  <si>
    <t>en-US</t>
  </si>
  <si>
    <t>SubmitterUserId</t>
  </si>
  <si>
    <t>IndustryId</t>
  </si>
  <si>
    <t>TickerRegion</t>
  </si>
  <si>
    <t>AdditionalInstructions</t>
  </si>
  <si>
    <t>*Estimated</t>
  </si>
  <si>
    <t>Overweight / Cautious</t>
  </si>
  <si>
    <t>Quarterly Update</t>
  </si>
  <si>
    <t>NorthAmerica</t>
  </si>
  <si>
    <t>MSA10787, MSA79FGL</t>
  </si>
  <si>
    <t>98919V105</t>
  </si>
  <si>
    <t>L:\ER13\CLECs\CLEC\ZAYO\Model\ZAYO Morgan Stanley - v5.xlsm</t>
  </si>
  <si>
    <t>[BRO MSA]</t>
  </si>
  <si>
    <t>[PRODUCT MODEL]</t>
  </si>
  <si>
    <t>[EMAIL_ALERT YES]</t>
  </si>
  <si>
    <t>[DISCIPLINE Company]</t>
  </si>
  <si>
    <t>[SUPPRESSED NO]</t>
  </si>
  <si>
    <t>[DOCDAT 2018-02-08]</t>
  </si>
  <si>
    <t>[DOCTIME 09:45]</t>
  </si>
  <si>
    <t>[PSYM ZAYO.N(S&amp;P) (None)]</t>
  </si>
  <si>
    <t>[COU 1]</t>
  </si>
  <si>
    <t>[ANA MSA79FGL]</t>
  </si>
  <si>
    <t>[HL ZAYO.N Model]</t>
  </si>
  <si>
    <t>[IND UTITEL DIVTEC TELEPH]</t>
  </si>
  <si>
    <t>[PANA MSA10787]</t>
  </si>
  <si>
    <r>
      <t xml:space="preserve">This workbook contains formulas which </t>
    </r>
    <r>
      <rPr>
        <u/>
        <sz val="14"/>
        <rFont val="Arial"/>
        <family val="2"/>
      </rPr>
      <t>intentionally</t>
    </r>
    <r>
      <rPr>
        <sz val="14"/>
        <rFont val="Arial"/>
        <family val="2"/>
      </rPr>
      <t xml:space="preserve"> use circular reference calculation. These calculations can be resolved as intended by the originating analyst by selecting the Apply Circular Settings button below.</t>
    </r>
  </si>
  <si>
    <r>
      <t xml:space="preserve">This workbook contains formulas which </t>
    </r>
    <r>
      <rPr>
        <u/>
        <sz val="14"/>
        <rFont val="Arial"/>
        <family val="2"/>
      </rPr>
      <t>intentionally</t>
    </r>
    <r>
      <rPr>
        <sz val="14"/>
        <rFont val="Arial"/>
        <family val="2"/>
      </rPr>
      <t xml:space="preserve"> use circular reference calculation. These calculations can be resolved as intended by the originating analyst by applying the following settings in the Tools &gt;&gt; Options &gt;&gt; Calculation dialog box:</t>
    </r>
  </si>
  <si>
    <t>Clicking the Apply Circular Settings button will display the model worksheets and make the following settings changes in the Tools &gt;&gt; Options &gt;&gt; Calculation dialog box:</t>
  </si>
  <si>
    <t>1) Select the Iteration check box</t>
  </si>
  <si>
    <t>Failure to apply these settings can result in incorrect calculation or unexpected termination of your Microsoft Excel session.</t>
  </si>
  <si>
    <t>2) Set Maximum Iterations = 100</t>
  </si>
  <si>
    <t>3) Set Maximum Change = 0.001</t>
  </si>
  <si>
    <t>Sheet Name</t>
  </si>
  <si>
    <t>Visible Status</t>
  </si>
  <si>
    <t>ImportantDisclosures</t>
  </si>
  <si>
    <t>SheetVisibilityStatus</t>
  </si>
  <si>
    <t>CircularReferenceAlert</t>
  </si>
  <si>
    <t>Cover</t>
  </si>
  <si>
    <t>CY Estimates</t>
  </si>
  <si>
    <t>FY Estimates</t>
  </si>
  <si>
    <t>Changes</t>
  </si>
  <si>
    <t>Q</t>
  </si>
  <si>
    <t>Charts</t>
  </si>
  <si>
    <t>Rev</t>
  </si>
  <si>
    <t>IS</t>
  </si>
  <si>
    <t>BS</t>
  </si>
  <si>
    <t>CF</t>
  </si>
  <si>
    <t>MW-Cache</t>
  </si>
  <si>
    <t>Capital</t>
  </si>
  <si>
    <t>Valuation</t>
  </si>
  <si>
    <t>IndexInformation</t>
  </si>
  <si>
    <t>ModPubIndex</t>
  </si>
</sst>
</file>

<file path=xl/styles.xml><?xml version="1.0" encoding="utf-8"?>
<styleSheet xmlns="http://schemas.openxmlformats.org/spreadsheetml/2006/main" xmlns:mc="http://schemas.openxmlformats.org/markup-compatibility/2006" xmlns:x14ac="http://schemas.microsoft.com/office/spreadsheetml/2009/9/ac" mc:Ignorable="x14ac">
  <numFmts count="19">
    <numFmt numFmtId="5" formatCode="&quot;$&quot;#,##0_);\(&quot;$&quot;#,##0\)"/>
    <numFmt numFmtId="7" formatCode="&quot;$&quot;#,##0.00_);\(&quot;$&quot;#,##0.00\)"/>
    <numFmt numFmtId="41" formatCode="_(* #,##0_);_(* \(#,##0\);_(* &quot;-&quot;_);_(@_)"/>
    <numFmt numFmtId="44" formatCode="_(&quot;$&quot;* #,##0.00_);_(&quot;$&quot;* \(#,##0.00\);_(&quot;$&quot;* &quot;-&quot;??_);_(@_)"/>
    <numFmt numFmtId="164" formatCode="m/d/yy;@"/>
    <numFmt numFmtId="165" formatCode="0.0%"/>
    <numFmt numFmtId="166" formatCode="#,##0.0_);\(#,##0.0\)"/>
    <numFmt numFmtId="167" formatCode="0.0%_);\(0.0%\);&quot;–&quot;_)"/>
    <numFmt numFmtId="168" formatCode="0.00&quot;E&quot;"/>
    <numFmt numFmtId="169" formatCode="#,##0.000_);\(#,##0.000\)"/>
    <numFmt numFmtId="170" formatCode="0.000%"/>
    <numFmt numFmtId="171" formatCode="0.0\x"/>
    <numFmt numFmtId="172" formatCode="0_);\(0\)"/>
    <numFmt numFmtId="174" formatCode="&quot;E&quot;"/>
    <numFmt numFmtId="182" formatCode="0.0"/>
    <numFmt numFmtId="183" formatCode="#,##0\ &quot;bps&quot;"/>
    <numFmt numFmtId="184" formatCode="_ * #,##0_ ;_ * \-#,##0_ ;_ * &quot;-&quot;_ ;_ @_ "/>
    <numFmt numFmtId="185" formatCode="0.0_);\(0.0\)"/>
    <numFmt numFmtId="193" formatCode="mm/dd/yy\ hh:mm"/>
  </numFmts>
  <fonts count="54">
    <font>
      <sz val="10"/>
      <color theme="1"/>
      <name val="Calibri"/>
      <family val="2"/>
      <scheme val="minor"/>
    </font>
    <font>
      <sz val="9"/>
      <color indexed="81"/>
      <name val="Tahoma"/>
      <family val="2"/>
    </font>
    <font>
      <b/>
      <sz val="9"/>
      <color indexed="81"/>
      <name val="Tahoma"/>
      <family val="2"/>
    </font>
    <font>
      <sz val="10"/>
      <name val="Arial"/>
      <family val="2"/>
    </font>
    <font>
      <i/>
      <sz val="10"/>
      <name val="Arial"/>
      <family val="2"/>
    </font>
    <font>
      <sz val="10"/>
      <color indexed="81"/>
      <name val="Tahoma"/>
      <family val="2"/>
    </font>
    <font>
      <b/>
      <sz val="9"/>
      <name val="Arial"/>
      <family val="2"/>
    </font>
    <font>
      <sz val="12"/>
      <name val="Arial"/>
      <family val="2"/>
    </font>
    <font>
      <sz val="10"/>
      <name val="MS Sans Serif"/>
      <family val="2"/>
    </font>
    <font>
      <b/>
      <sz val="10"/>
      <color indexed="8"/>
      <name val="Times New Roman"/>
      <family val="1"/>
    </font>
    <font>
      <sz val="9"/>
      <name val="Times New Roman"/>
      <family val="1"/>
    </font>
    <font>
      <sz val="10"/>
      <color indexed="8"/>
      <name val="Times New Roman"/>
      <family val="1"/>
    </font>
    <font>
      <i/>
      <sz val="8"/>
      <name val="Times New Roman"/>
      <family val="1"/>
    </font>
    <font>
      <u/>
      <sz val="9"/>
      <name val="Arial"/>
      <family val="2"/>
    </font>
    <font>
      <sz val="9"/>
      <name val="Arial"/>
      <family val="2"/>
    </font>
    <font>
      <b/>
      <sz val="16"/>
      <name val="Helvetica"/>
      <family val="2"/>
    </font>
    <font>
      <b/>
      <sz val="9"/>
      <name val="Helvetica"/>
      <family val="2"/>
    </font>
    <font>
      <b/>
      <sz val="9"/>
      <color indexed="9"/>
      <name val="Arial"/>
      <family val="2"/>
    </font>
    <font>
      <b/>
      <sz val="16"/>
      <color indexed="9"/>
      <name val="Helvetica"/>
      <family val="2"/>
    </font>
    <font>
      <b/>
      <sz val="9"/>
      <color indexed="52"/>
      <name val="Arial"/>
      <family val="2"/>
    </font>
    <font>
      <b/>
      <sz val="9"/>
      <color indexed="19"/>
      <name val="Arial"/>
      <family val="2"/>
    </font>
    <font>
      <sz val="9"/>
      <name val="AGaramond"/>
    </font>
    <font>
      <b/>
      <sz val="14"/>
      <name val="Arial"/>
      <family val="2"/>
    </font>
    <font>
      <sz val="9"/>
      <color indexed="52"/>
      <name val="Arial"/>
      <family val="2"/>
    </font>
    <font>
      <sz val="9"/>
      <color indexed="19"/>
      <name val="Arial"/>
      <family val="2"/>
    </font>
    <font>
      <b/>
      <sz val="9"/>
      <color indexed="11"/>
      <name val="Arial"/>
      <family val="2"/>
    </font>
    <font>
      <sz val="12"/>
      <name val="바탕체"/>
      <family val="1"/>
      <charset val="129"/>
    </font>
    <font>
      <sz val="10"/>
      <name val="Arial"/>
      <family val="2"/>
    </font>
    <font>
      <sz val="10"/>
      <color theme="1"/>
      <name val="Calibri"/>
      <family val="2"/>
      <scheme val="minor"/>
    </font>
    <font>
      <b/>
      <sz val="10"/>
      <color theme="1"/>
      <name val="Calibri"/>
      <family val="2"/>
      <scheme val="minor"/>
    </font>
    <font>
      <sz val="10"/>
      <color rgb="FFFF0000"/>
      <name val="Calibri"/>
      <family val="2"/>
      <scheme val="minor"/>
    </font>
    <font>
      <sz val="10"/>
      <name val="Calibri"/>
      <family val="2"/>
      <scheme val="minor"/>
    </font>
    <font>
      <sz val="10"/>
      <color rgb="FF0070C0"/>
      <name val="Calibri"/>
      <family val="2"/>
      <scheme val="minor"/>
    </font>
    <font>
      <i/>
      <sz val="10"/>
      <color theme="1"/>
      <name val="Calibri"/>
      <family val="2"/>
      <scheme val="minor"/>
    </font>
    <font>
      <sz val="10"/>
      <color rgb="FF00B050"/>
      <name val="Calibri"/>
      <family val="2"/>
      <scheme val="minor"/>
    </font>
    <font>
      <u/>
      <sz val="10"/>
      <color theme="1"/>
      <name val="Calibri"/>
      <family val="2"/>
      <scheme val="minor"/>
    </font>
    <font>
      <b/>
      <u/>
      <sz val="10"/>
      <color theme="1"/>
      <name val="Calibri"/>
      <family val="2"/>
      <scheme val="minor"/>
    </font>
    <font>
      <b/>
      <sz val="9"/>
      <color rgb="FF00B050"/>
      <name val="Arial"/>
      <family val="2"/>
    </font>
    <font>
      <sz val="9"/>
      <color rgb="FF00B050"/>
      <name val="Arial"/>
      <family val="2"/>
    </font>
    <font>
      <b/>
      <sz val="16"/>
      <color rgb="FFFBFBFB"/>
      <name val="Calibri"/>
      <family val="2"/>
      <scheme val="minor"/>
    </font>
    <font>
      <sz val="10"/>
      <color rgb="FFFBFBFB"/>
      <name val="Calibri"/>
      <family val="2"/>
      <scheme val="minor"/>
    </font>
    <font>
      <sz val="12"/>
      <color rgb="FFFBFBFB"/>
      <name val="Calibri"/>
      <family val="2"/>
      <scheme val="minor"/>
    </font>
    <font>
      <b/>
      <sz val="9"/>
      <color rgb="FF0070C0"/>
      <name val="Arial"/>
      <family val="2"/>
    </font>
    <font>
      <sz val="9"/>
      <color rgb="FF0070C0"/>
      <name val="Arial"/>
      <family val="2"/>
    </font>
    <font>
      <u/>
      <sz val="10"/>
      <color rgb="FF0070C0"/>
      <name val="Calibri"/>
      <family val="2"/>
      <scheme val="minor"/>
    </font>
    <font>
      <sz val="10"/>
      <name val="Courier"/>
      <family val="3"/>
    </font>
    <font>
      <sz val="10"/>
      <name val="Arial"/>
    </font>
    <font>
      <sz val="11"/>
      <name val="Arial"/>
      <family val="2"/>
    </font>
    <font>
      <sz val="10"/>
      <color rgb="FF000000"/>
      <name val="Arial"/>
      <family val="2"/>
    </font>
    <font>
      <b/>
      <sz val="12"/>
      <color rgb="FF000080"/>
      <name val="Arial"/>
      <family val="2"/>
    </font>
    <font>
      <sz val="14"/>
      <name val="Arial"/>
      <family val="2"/>
    </font>
    <font>
      <u/>
      <sz val="14"/>
      <name val="Arial"/>
      <family val="2"/>
    </font>
    <font>
      <b/>
      <u/>
      <sz val="14"/>
      <color indexed="10"/>
      <name val="Arial"/>
      <family val="2"/>
    </font>
    <font>
      <b/>
      <sz val="18"/>
      <color theme="1"/>
      <name val="Calibri"/>
      <family val="2"/>
      <scheme val="minor"/>
    </font>
  </fonts>
  <fills count="12">
    <fill>
      <patternFill patternType="none"/>
    </fill>
    <fill>
      <patternFill patternType="gray125"/>
    </fill>
    <fill>
      <patternFill patternType="solid">
        <fgColor indexed="43"/>
        <bgColor indexed="64"/>
      </patternFill>
    </fill>
    <fill>
      <patternFill patternType="solid">
        <fgColor theme="0" tint="-0.249977111117893"/>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theme="0" tint="-9.9978637043366805E-2"/>
        <bgColor indexed="64"/>
      </patternFill>
    </fill>
    <fill>
      <patternFill patternType="solid">
        <fgColor rgb="FF1275A6"/>
        <bgColor indexed="64"/>
      </patternFill>
    </fill>
    <fill>
      <patternFill patternType="solid">
        <fgColor theme="1"/>
        <bgColor indexed="64"/>
      </patternFill>
    </fill>
    <fill>
      <patternFill patternType="solid">
        <fgColor rgb="FFFFFF00"/>
        <bgColor indexed="64"/>
      </patternFill>
    </fill>
    <fill>
      <patternFill patternType="solid">
        <fgColor theme="9" tint="0.39997558519241921"/>
        <bgColor indexed="64"/>
      </patternFill>
    </fill>
    <fill>
      <patternFill patternType="solid">
        <fgColor indexed="65"/>
        <bgColor indexed="64"/>
      </patternFill>
    </fill>
  </fills>
  <borders count="30">
    <border>
      <left/>
      <right/>
      <top/>
      <bottom/>
      <diagonal/>
    </border>
    <border>
      <left/>
      <right/>
      <top/>
      <bottom style="thin">
        <color indexed="8"/>
      </bottom>
      <diagonal/>
    </border>
    <border>
      <left/>
      <right style="thin">
        <color indexed="64"/>
      </right>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bottom style="thin">
        <color indexed="55"/>
      </bottom>
      <diagonal/>
    </border>
    <border>
      <left style="thin">
        <color indexed="64"/>
      </left>
      <right style="thin">
        <color indexed="64"/>
      </right>
      <top/>
      <bottom style="thin">
        <color indexed="55"/>
      </bottom>
      <diagonal/>
    </border>
    <border>
      <left/>
      <right/>
      <top style="thin">
        <color indexed="55"/>
      </top>
      <bottom/>
      <diagonal/>
    </border>
    <border>
      <left/>
      <right style="thin">
        <color indexed="64"/>
      </right>
      <top style="thin">
        <color indexed="55"/>
      </top>
      <bottom/>
      <diagonal/>
    </border>
    <border>
      <left style="thin">
        <color indexed="64"/>
      </left>
      <right style="thin">
        <color indexed="64"/>
      </right>
      <top style="thin">
        <color indexed="55"/>
      </top>
      <bottom/>
      <diagonal/>
    </border>
    <border>
      <left style="thin">
        <color indexed="64"/>
      </left>
      <right/>
      <top style="thin">
        <color indexed="55"/>
      </top>
      <bottom/>
      <diagonal/>
    </border>
    <border>
      <left style="thin">
        <color indexed="64"/>
      </left>
      <right/>
      <top style="thin">
        <color indexed="64"/>
      </top>
      <bottom/>
      <diagonal/>
    </border>
    <border>
      <left style="thin">
        <color indexed="64"/>
      </left>
      <right/>
      <top/>
      <bottom/>
      <diagonal/>
    </border>
    <border>
      <left/>
      <right style="thin">
        <color indexed="64"/>
      </right>
      <top/>
      <bottom style="thin">
        <color indexed="55"/>
      </bottom>
      <diagonal/>
    </border>
    <border>
      <left style="thin">
        <color indexed="64"/>
      </left>
      <right/>
      <top/>
      <bottom style="thin">
        <color indexed="55"/>
      </bottom>
      <diagonal/>
    </border>
    <border>
      <left style="thin">
        <color indexed="64"/>
      </left>
      <right/>
      <top/>
      <bottom style="thin">
        <color indexed="64"/>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right/>
      <top style="thin">
        <color rgb="FF000000"/>
      </top>
      <bottom style="thin">
        <color rgb="FF000000"/>
      </bottom>
      <diagonal/>
    </border>
    <border>
      <left/>
      <right/>
      <top/>
      <bottom style="thin">
        <color rgb="FF000000"/>
      </bottom>
      <diagonal/>
    </border>
    <border>
      <left/>
      <right/>
      <top style="thin">
        <color rgb="FF000000"/>
      </top>
      <bottom/>
      <diagonal/>
    </border>
  </borders>
  <cellStyleXfs count="33">
    <xf numFmtId="0" fontId="0" fillId="0" borderId="0"/>
    <xf numFmtId="0" fontId="3" fillId="0" borderId="0"/>
    <xf numFmtId="0" fontId="3" fillId="0" borderId="0"/>
    <xf numFmtId="0" fontId="3" fillId="0" borderId="0" applyNumberFormat="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8" fillId="0" borderId="0"/>
    <xf numFmtId="0" fontId="8" fillId="0" borderId="0"/>
    <xf numFmtId="0" fontId="9" fillId="0" borderId="0"/>
    <xf numFmtId="44" fontId="3" fillId="0" borderId="0" applyFont="0" applyFill="0" applyBorder="0" applyAlignment="0" applyProtection="0"/>
    <xf numFmtId="5" fontId="3" fillId="0" borderId="0" applyFont="0" applyFill="0" applyBorder="0" applyAlignment="0" applyProtection="0"/>
    <xf numFmtId="44" fontId="27" fillId="0" borderId="0" applyFont="0" applyFill="0" applyBorder="0" applyAlignment="0" applyProtection="0"/>
    <xf numFmtId="0" fontId="3" fillId="0" borderId="0"/>
    <xf numFmtId="0" fontId="3" fillId="0" borderId="0" applyNumberFormat="0" applyFont="0" applyFill="0" applyBorder="0" applyAlignment="0" applyProtection="0"/>
    <xf numFmtId="0" fontId="27" fillId="0" borderId="0"/>
    <xf numFmtId="0" fontId="21" fillId="0" borderId="0"/>
    <xf numFmtId="182" fontId="3" fillId="0" borderId="0"/>
    <xf numFmtId="0" fontId="10" fillId="0" borderId="0">
      <alignment vertical="center"/>
    </xf>
    <xf numFmtId="165" fontId="3" fillId="0" borderId="0" applyFont="0" applyFill="0" applyBorder="0" applyAlignment="0" applyProtection="0"/>
    <xf numFmtId="0" fontId="3" fillId="2" borderId="0" applyNumberFormat="0" applyFont="0" applyBorder="0" applyAlignment="0" applyProtection="0"/>
    <xf numFmtId="0" fontId="3" fillId="2" borderId="0" applyNumberFormat="0" applyFont="0" applyBorder="0" applyAlignment="0" applyProtection="0"/>
    <xf numFmtId="0" fontId="3" fillId="2" borderId="0" applyNumberFormat="0" applyFont="0" applyBorder="0" applyAlignment="0" applyProtection="0"/>
    <xf numFmtId="0" fontId="11" fillId="0" borderId="0"/>
    <xf numFmtId="0" fontId="11" fillId="0" borderId="1">
      <alignment horizontal="centerContinuous"/>
    </xf>
    <xf numFmtId="0" fontId="12" fillId="0" borderId="1"/>
    <xf numFmtId="0" fontId="7" fillId="0" borderId="0"/>
    <xf numFmtId="184" fontId="26" fillId="0" borderId="0" applyFont="0" applyFill="0" applyBorder="0" applyAlignment="0" applyProtection="0"/>
    <xf numFmtId="0" fontId="26" fillId="0" borderId="0" applyFont="0" applyFill="0" applyBorder="0" applyAlignment="0" applyProtection="0"/>
    <xf numFmtId="0" fontId="45" fillId="0" borderId="0"/>
    <xf numFmtId="0" fontId="46" fillId="0" borderId="0"/>
  </cellStyleXfs>
  <cellXfs count="391">
    <xf numFmtId="0" fontId="0" fillId="0" borderId="0" xfId="0"/>
    <xf numFmtId="0" fontId="0" fillId="3" borderId="0" xfId="0" applyFill="1"/>
    <xf numFmtId="165" fontId="0" fillId="0" borderId="0" xfId="0" applyNumberFormat="1"/>
    <xf numFmtId="0" fontId="0" fillId="0" borderId="0" xfId="0" applyFill="1"/>
    <xf numFmtId="10" fontId="0" fillId="0" borderId="0" xfId="0" applyNumberFormat="1" applyFill="1"/>
    <xf numFmtId="0" fontId="0" fillId="4" borderId="0" xfId="0" applyFill="1"/>
    <xf numFmtId="166" fontId="0" fillId="0" borderId="0" xfId="0" applyNumberFormat="1"/>
    <xf numFmtId="0" fontId="0" fillId="0" borderId="0" xfId="0" applyAlignment="1">
      <alignment horizontal="left" indent="1"/>
    </xf>
    <xf numFmtId="166" fontId="0" fillId="0" borderId="2" xfId="0" applyNumberFormat="1" applyBorder="1"/>
    <xf numFmtId="0" fontId="0" fillId="0" borderId="2" xfId="0" applyBorder="1"/>
    <xf numFmtId="0" fontId="0" fillId="0" borderId="0" xfId="0" applyFill="1" applyAlignment="1">
      <alignment horizontal="left" indent="1"/>
    </xf>
    <xf numFmtId="0" fontId="0" fillId="5" borderId="0" xfId="0" applyFill="1"/>
    <xf numFmtId="166" fontId="0" fillId="5" borderId="0" xfId="0" applyNumberFormat="1" applyFill="1"/>
    <xf numFmtId="0" fontId="0" fillId="0" borderId="3" xfId="0" applyBorder="1"/>
    <xf numFmtId="164" fontId="0" fillId="0" borderId="3" xfId="0" applyNumberFormat="1" applyBorder="1" applyAlignment="1">
      <alignment horizontal="right"/>
    </xf>
    <xf numFmtId="0" fontId="0" fillId="0" borderId="0" xfId="0" applyBorder="1"/>
    <xf numFmtId="0" fontId="0" fillId="0" borderId="0" xfId="0" applyBorder="1" applyAlignment="1">
      <alignment horizontal="right"/>
    </xf>
    <xf numFmtId="0" fontId="0" fillId="0" borderId="4" xfId="0" applyBorder="1"/>
    <xf numFmtId="166" fontId="31" fillId="0" borderId="0" xfId="0" applyNumberFormat="1" applyFont="1"/>
    <xf numFmtId="166" fontId="32" fillId="0" borderId="0" xfId="0" applyNumberFormat="1" applyFont="1"/>
    <xf numFmtId="166" fontId="32" fillId="0" borderId="2" xfId="0" applyNumberFormat="1" applyFont="1" applyBorder="1"/>
    <xf numFmtId="10" fontId="0" fillId="5" borderId="0" xfId="0" applyNumberFormat="1" applyFill="1"/>
    <xf numFmtId="166" fontId="32" fillId="5" borderId="0" xfId="0" applyNumberFormat="1" applyFont="1" applyFill="1"/>
    <xf numFmtId="165" fontId="31" fillId="0" borderId="0" xfId="0" applyNumberFormat="1" applyFont="1"/>
    <xf numFmtId="165" fontId="31" fillId="0" borderId="2" xfId="0" applyNumberFormat="1" applyFont="1" applyBorder="1"/>
    <xf numFmtId="39" fontId="32" fillId="0" borderId="0" xfId="0" applyNumberFormat="1" applyFont="1"/>
    <xf numFmtId="39" fontId="0" fillId="0" borderId="0" xfId="0" applyNumberFormat="1"/>
    <xf numFmtId="0" fontId="29" fillId="3" borderId="0" xfId="0" applyFont="1" applyFill="1"/>
    <xf numFmtId="10" fontId="32" fillId="5" borderId="0" xfId="0" applyNumberFormat="1" applyFont="1" applyFill="1"/>
    <xf numFmtId="167" fontId="31" fillId="0" borderId="0" xfId="0" applyNumberFormat="1" applyFont="1" applyBorder="1"/>
    <xf numFmtId="165" fontId="0" fillId="5" borderId="0" xfId="0" applyNumberFormat="1" applyFill="1"/>
    <xf numFmtId="165" fontId="32" fillId="5" borderId="0" xfId="0" applyNumberFormat="1" applyFont="1" applyFill="1"/>
    <xf numFmtId="167" fontId="33" fillId="0" borderId="0" xfId="0" applyNumberFormat="1" applyFont="1"/>
    <xf numFmtId="0" fontId="0" fillId="3" borderId="0" xfId="0" applyFill="1" applyBorder="1" applyAlignment="1">
      <alignment horizontal="right"/>
    </xf>
    <xf numFmtId="166" fontId="30" fillId="0" borderId="0" xfId="0" applyNumberFormat="1" applyFont="1"/>
    <xf numFmtId="167" fontId="0" fillId="0" borderId="0" xfId="0" applyNumberFormat="1" applyFont="1"/>
    <xf numFmtId="166" fontId="30" fillId="4" borderId="0" xfId="0" applyNumberFormat="1" applyFont="1" applyFill="1"/>
    <xf numFmtId="166" fontId="0" fillId="4" borderId="0" xfId="0" applyNumberFormat="1" applyFill="1"/>
    <xf numFmtId="166" fontId="32" fillId="4" borderId="0" xfId="0" applyNumberFormat="1" applyFont="1" applyFill="1"/>
    <xf numFmtId="165" fontId="0" fillId="0" borderId="0" xfId="0" applyNumberFormat="1" applyFill="1"/>
    <xf numFmtId="166" fontId="0" fillId="0" borderId="0" xfId="0" applyNumberFormat="1" applyFill="1"/>
    <xf numFmtId="166" fontId="34" fillId="0" borderId="0" xfId="0" applyNumberFormat="1" applyFont="1"/>
    <xf numFmtId="0" fontId="29" fillId="0" borderId="0" xfId="0" applyFont="1"/>
    <xf numFmtId="166" fontId="29" fillId="0" borderId="0" xfId="0" applyNumberFormat="1" applyFont="1"/>
    <xf numFmtId="0" fontId="35" fillId="0" borderId="0" xfId="0" applyFont="1"/>
    <xf numFmtId="0" fontId="36" fillId="0" borderId="0" xfId="0" applyFont="1"/>
    <xf numFmtId="169" fontId="0" fillId="0" borderId="0" xfId="0" applyNumberFormat="1"/>
    <xf numFmtId="165" fontId="32" fillId="0" borderId="0" xfId="0" applyNumberFormat="1" applyFont="1"/>
    <xf numFmtId="165" fontId="31" fillId="0" borderId="0" xfId="0" applyNumberFormat="1" applyFont="1" applyBorder="1"/>
    <xf numFmtId="0" fontId="0" fillId="3" borderId="0" xfId="0" applyFont="1" applyFill="1"/>
    <xf numFmtId="166" fontId="32" fillId="0" borderId="0" xfId="0" applyNumberFormat="1" applyFont="1" applyFill="1"/>
    <xf numFmtId="166" fontId="30" fillId="0" borderId="0" xfId="0" applyNumberFormat="1" applyFont="1" applyFill="1"/>
    <xf numFmtId="164" fontId="34" fillId="0" borderId="3" xfId="0" applyNumberFormat="1" applyFont="1" applyBorder="1" applyAlignment="1">
      <alignment horizontal="right"/>
    </xf>
    <xf numFmtId="164" fontId="34" fillId="0" borderId="4" xfId="0" applyNumberFormat="1" applyFont="1" applyBorder="1" applyAlignment="1">
      <alignment horizontal="right"/>
    </xf>
    <xf numFmtId="0" fontId="34" fillId="0" borderId="0" xfId="0" applyFont="1" applyBorder="1" applyAlignment="1">
      <alignment horizontal="right"/>
    </xf>
    <xf numFmtId="0" fontId="34" fillId="0" borderId="2" xfId="0" applyFont="1" applyBorder="1" applyAlignment="1">
      <alignment horizontal="right"/>
    </xf>
    <xf numFmtId="168" fontId="34" fillId="0" borderId="0" xfId="0" applyNumberFormat="1" applyFont="1" applyBorder="1" applyAlignment="1">
      <alignment horizontal="right"/>
    </xf>
    <xf numFmtId="0" fontId="35" fillId="0" borderId="0" xfId="0" applyFont="1" applyBorder="1"/>
    <xf numFmtId="164" fontId="32" fillId="0" borderId="3" xfId="0" applyNumberFormat="1" applyFont="1" applyBorder="1" applyAlignment="1">
      <alignment horizontal="right"/>
    </xf>
    <xf numFmtId="0" fontId="32" fillId="0" borderId="0" xfId="0" applyFont="1" applyBorder="1" applyAlignment="1">
      <alignment horizontal="right"/>
    </xf>
    <xf numFmtId="168" fontId="32" fillId="0" borderId="0" xfId="0" applyNumberFormat="1" applyFont="1" applyBorder="1" applyAlignment="1">
      <alignment horizontal="right"/>
    </xf>
    <xf numFmtId="0" fontId="31" fillId="0" borderId="0" xfId="0" applyFont="1"/>
    <xf numFmtId="166" fontId="34" fillId="0" borderId="0" xfId="0" applyNumberFormat="1" applyFont="1" applyFill="1"/>
    <xf numFmtId="0" fontId="0" fillId="6" borderId="0" xfId="0" applyFont="1" applyFill="1"/>
    <xf numFmtId="0" fontId="0" fillId="6" borderId="0" xfId="0" applyFill="1"/>
    <xf numFmtId="37" fontId="0" fillId="0" borderId="0" xfId="0" applyNumberFormat="1"/>
    <xf numFmtId="37" fontId="4" fillId="0" borderId="0" xfId="3" applyNumberFormat="1" applyFont="1" applyAlignment="1">
      <alignment horizontal="left" indent="1"/>
    </xf>
    <xf numFmtId="14" fontId="32" fillId="6" borderId="0" xfId="0" applyNumberFormat="1" applyFont="1" applyFill="1"/>
    <xf numFmtId="170" fontId="32" fillId="0" borderId="0" xfId="0" applyNumberFormat="1" applyFont="1"/>
    <xf numFmtId="170" fontId="0" fillId="0" borderId="0" xfId="0" applyNumberFormat="1"/>
    <xf numFmtId="166" fontId="28" fillId="0" borderId="0" xfId="3" applyNumberFormat="1" applyFont="1"/>
    <xf numFmtId="166" fontId="32" fillId="6" borderId="0" xfId="0" applyNumberFormat="1" applyFont="1" applyFill="1"/>
    <xf numFmtId="0" fontId="0" fillId="5" borderId="0" xfId="0" applyFill="1" applyBorder="1"/>
    <xf numFmtId="170" fontId="0" fillId="5" borderId="0" xfId="0" applyNumberFormat="1" applyFill="1" applyBorder="1"/>
    <xf numFmtId="170" fontId="32" fillId="5" borderId="0" xfId="0" applyNumberFormat="1" applyFont="1" applyFill="1" applyBorder="1"/>
    <xf numFmtId="166" fontId="28" fillId="6" borderId="0" xfId="3" applyNumberFormat="1" applyFont="1" applyFill="1"/>
    <xf numFmtId="37" fontId="28" fillId="6" borderId="0" xfId="3" applyNumberFormat="1" applyFont="1" applyFill="1"/>
    <xf numFmtId="37" fontId="29" fillId="3" borderId="0" xfId="0" applyNumberFormat="1" applyFont="1" applyFill="1"/>
    <xf numFmtId="171" fontId="0" fillId="0" borderId="0" xfId="0" applyNumberFormat="1"/>
    <xf numFmtId="166" fontId="0" fillId="5" borderId="0" xfId="0" applyNumberFormat="1" applyFill="1" applyBorder="1"/>
    <xf numFmtId="0" fontId="0" fillId="0" borderId="0" xfId="0" applyFill="1" applyBorder="1"/>
    <xf numFmtId="166" fontId="0" fillId="0" borderId="0" xfId="0" applyNumberFormat="1" applyBorder="1"/>
    <xf numFmtId="166" fontId="34" fillId="0" borderId="0" xfId="0" applyNumberFormat="1" applyFont="1" applyBorder="1"/>
    <xf numFmtId="166" fontId="0" fillId="0" borderId="3" xfId="0" applyNumberFormat="1" applyBorder="1"/>
    <xf numFmtId="166" fontId="0" fillId="0" borderId="0" xfId="0" applyNumberFormat="1" applyFont="1" applyBorder="1"/>
    <xf numFmtId="166" fontId="33" fillId="0" borderId="0" xfId="0" applyNumberFormat="1" applyFont="1" applyFill="1" applyBorder="1" applyAlignment="1">
      <alignment horizontal="left" indent="1"/>
    </xf>
    <xf numFmtId="166" fontId="33" fillId="0" borderId="0" xfId="0" applyNumberFormat="1" applyFont="1" applyAlignment="1">
      <alignment horizontal="left" indent="1"/>
    </xf>
    <xf numFmtId="166" fontId="0" fillId="0" borderId="4" xfId="0" applyNumberFormat="1" applyBorder="1"/>
    <xf numFmtId="166" fontId="34" fillId="0" borderId="2" xfId="0" applyNumberFormat="1" applyFont="1" applyBorder="1"/>
    <xf numFmtId="166" fontId="0" fillId="5" borderId="0" xfId="0" applyNumberFormat="1" applyFill="1" applyBorder="1" applyAlignment="1">
      <alignment horizontal="right"/>
    </xf>
    <xf numFmtId="166" fontId="0" fillId="5" borderId="2" xfId="0" applyNumberFormat="1" applyFill="1" applyBorder="1" applyAlignment="1">
      <alignment horizontal="right"/>
    </xf>
    <xf numFmtId="0" fontId="36" fillId="0" borderId="0" xfId="0" applyFont="1" applyBorder="1"/>
    <xf numFmtId="165" fontId="32" fillId="0" borderId="0" xfId="0" applyNumberFormat="1" applyFont="1" applyFill="1" applyBorder="1"/>
    <xf numFmtId="165" fontId="32" fillId="0" borderId="0" xfId="0" applyNumberFormat="1" applyFont="1" applyBorder="1"/>
    <xf numFmtId="39" fontId="32" fillId="0" borderId="0" xfId="0" applyNumberFormat="1" applyFont="1" applyBorder="1"/>
    <xf numFmtId="7" fontId="32" fillId="0" borderId="0" xfId="0" applyNumberFormat="1" applyFont="1" applyBorder="1"/>
    <xf numFmtId="166" fontId="0" fillId="4" borderId="0" xfId="0" applyNumberFormat="1" applyFill="1" applyBorder="1"/>
    <xf numFmtId="37" fontId="0" fillId="0" borderId="3" xfId="0" applyNumberFormat="1" applyBorder="1"/>
    <xf numFmtId="37" fontId="0" fillId="0" borderId="0" xfId="0" applyNumberFormat="1" applyBorder="1"/>
    <xf numFmtId="37" fontId="32" fillId="5" borderId="0" xfId="0" applyNumberFormat="1" applyFont="1" applyFill="1" applyBorder="1"/>
    <xf numFmtId="166" fontId="31" fillId="0" borderId="0" xfId="0" applyNumberFormat="1" applyFont="1" applyFill="1"/>
    <xf numFmtId="0" fontId="32" fillId="0" borderId="0" xfId="0" applyFont="1" applyBorder="1"/>
    <xf numFmtId="166" fontId="0" fillId="0" borderId="2" xfId="0" applyNumberFormat="1" applyFill="1" applyBorder="1"/>
    <xf numFmtId="0" fontId="34" fillId="0" borderId="0" xfId="0" applyFont="1" applyBorder="1"/>
    <xf numFmtId="172" fontId="0" fillId="5" borderId="0" xfId="0" applyNumberFormat="1" applyFill="1" applyBorder="1" applyAlignment="1">
      <alignment horizontal="right"/>
    </xf>
    <xf numFmtId="37" fontId="0" fillId="0" borderId="0" xfId="0" applyNumberFormat="1" applyFill="1"/>
    <xf numFmtId="166" fontId="0" fillId="0" borderId="0" xfId="0" applyNumberFormat="1" applyFill="1" applyBorder="1" applyAlignment="1">
      <alignment horizontal="right"/>
    </xf>
    <xf numFmtId="0" fontId="35" fillId="0" borderId="0" xfId="0" applyFont="1" applyAlignment="1">
      <alignment horizontal="center"/>
    </xf>
    <xf numFmtId="166" fontId="34" fillId="0" borderId="0" xfId="0" applyNumberFormat="1" applyFont="1" applyFill="1" applyBorder="1"/>
    <xf numFmtId="0" fontId="0" fillId="3" borderId="0" xfId="0" applyFill="1" applyBorder="1"/>
    <xf numFmtId="166" fontId="32" fillId="0" borderId="0" xfId="0" applyNumberFormat="1" applyFont="1" applyBorder="1"/>
    <xf numFmtId="166" fontId="31" fillId="0" borderId="0" xfId="0" applyNumberFormat="1" applyFont="1" applyBorder="1"/>
    <xf numFmtId="165" fontId="0" fillId="0" borderId="0" xfId="0" applyNumberFormat="1" applyBorder="1"/>
    <xf numFmtId="167" fontId="0" fillId="0" borderId="0" xfId="0" applyNumberFormat="1" applyFont="1" applyBorder="1"/>
    <xf numFmtId="10" fontId="0" fillId="0" borderId="0" xfId="0" applyNumberFormat="1" applyFill="1" applyBorder="1"/>
    <xf numFmtId="166" fontId="0" fillId="0" borderId="0" xfId="0" applyNumberFormat="1" applyFill="1" applyBorder="1"/>
    <xf numFmtId="166" fontId="30" fillId="0" borderId="0" xfId="0" applyNumberFormat="1" applyFont="1" applyBorder="1"/>
    <xf numFmtId="166" fontId="29" fillId="0" borderId="0" xfId="0" applyNumberFormat="1" applyFont="1" applyBorder="1"/>
    <xf numFmtId="169" fontId="0" fillId="0" borderId="0" xfId="0" applyNumberFormat="1" applyBorder="1"/>
    <xf numFmtId="165" fontId="0" fillId="0" borderId="0" xfId="0" applyNumberFormat="1" applyFont="1" applyBorder="1"/>
    <xf numFmtId="166" fontId="32" fillId="0" borderId="0" xfId="3" applyNumberFormat="1" applyFont="1"/>
    <xf numFmtId="37" fontId="0" fillId="0" borderId="2" xfId="0" applyNumberFormat="1" applyBorder="1"/>
    <xf numFmtId="168" fontId="34" fillId="0" borderId="2" xfId="0" applyNumberFormat="1" applyFont="1" applyBorder="1" applyAlignment="1">
      <alignment horizontal="right"/>
    </xf>
    <xf numFmtId="171" fontId="30" fillId="0" borderId="0" xfId="0" applyNumberFormat="1" applyFont="1"/>
    <xf numFmtId="165" fontId="34" fillId="0" borderId="0" xfId="0" applyNumberFormat="1" applyFont="1"/>
    <xf numFmtId="39" fontId="34" fillId="0" borderId="0" xfId="0" applyNumberFormat="1" applyFont="1"/>
    <xf numFmtId="165" fontId="0" fillId="0" borderId="0" xfId="0" applyNumberFormat="1" applyFont="1"/>
    <xf numFmtId="165" fontId="32" fillId="6" borderId="0" xfId="0" applyNumberFormat="1" applyFont="1" applyFill="1"/>
    <xf numFmtId="0" fontId="32" fillId="0" borderId="0" xfId="0" applyFont="1"/>
    <xf numFmtId="167" fontId="31" fillId="0" borderId="0" xfId="0" applyNumberFormat="1" applyFont="1"/>
    <xf numFmtId="166" fontId="30" fillId="0" borderId="0" xfId="3" applyNumberFormat="1" applyFont="1"/>
    <xf numFmtId="165" fontId="0" fillId="4" borderId="0" xfId="0" applyNumberFormat="1" applyFill="1"/>
    <xf numFmtId="0" fontId="29" fillId="0" borderId="0" xfId="0" applyFont="1" applyAlignment="1">
      <alignment horizontal="centerContinuous"/>
    </xf>
    <xf numFmtId="171" fontId="0" fillId="5" borderId="0" xfId="0" applyNumberFormat="1" applyFill="1" applyAlignment="1">
      <alignment horizontal="center"/>
    </xf>
    <xf numFmtId="5" fontId="0" fillId="5" borderId="0" xfId="0" applyNumberFormat="1" applyFill="1" applyAlignment="1">
      <alignment horizontal="center"/>
    </xf>
    <xf numFmtId="174" fontId="34" fillId="0" borderId="0" xfId="0" applyNumberFormat="1" applyFont="1" applyBorder="1" applyAlignment="1">
      <alignment horizontal="right"/>
    </xf>
    <xf numFmtId="164" fontId="34" fillId="0" borderId="0" xfId="0" applyNumberFormat="1" applyFont="1" applyBorder="1"/>
    <xf numFmtId="164" fontId="34" fillId="0" borderId="0" xfId="0" applyNumberFormat="1" applyFont="1" applyBorder="1" applyAlignment="1">
      <alignment horizontal="right"/>
    </xf>
    <xf numFmtId="37" fontId="0" fillId="0" borderId="0" xfId="0" applyNumberFormat="1" applyBorder="1" applyAlignment="1">
      <alignment horizontal="right"/>
    </xf>
    <xf numFmtId="37" fontId="32" fillId="5" borderId="0" xfId="0" applyNumberFormat="1" applyFont="1" applyFill="1" applyBorder="1" applyAlignment="1">
      <alignment horizontal="right"/>
    </xf>
    <xf numFmtId="0" fontId="34" fillId="0" borderId="3" xfId="0" applyFont="1" applyBorder="1" applyAlignment="1">
      <alignment horizontal="right"/>
    </xf>
    <xf numFmtId="164" fontId="0" fillId="5" borderId="0" xfId="0" applyNumberFormat="1" applyFill="1" applyBorder="1" applyAlignment="1">
      <alignment horizontal="right"/>
    </xf>
    <xf numFmtId="164" fontId="0" fillId="5" borderId="2" xfId="0" applyNumberFormat="1" applyFill="1" applyBorder="1" applyAlignment="1">
      <alignment horizontal="right"/>
    </xf>
    <xf numFmtId="7" fontId="0" fillId="0" borderId="0" xfId="0" applyNumberFormat="1"/>
    <xf numFmtId="166" fontId="32" fillId="0" borderId="0" xfId="0" applyNumberFormat="1" applyFont="1" applyFill="1" applyBorder="1"/>
    <xf numFmtId="39" fontId="31" fillId="0" borderId="0" xfId="0" applyNumberFormat="1" applyFont="1" applyFill="1"/>
    <xf numFmtId="166" fontId="31" fillId="0" borderId="0" xfId="0" applyNumberFormat="1" applyFont="1" applyFill="1" applyBorder="1"/>
    <xf numFmtId="9" fontId="32" fillId="0" borderId="0" xfId="0" applyNumberFormat="1" applyFont="1"/>
    <xf numFmtId="166" fontId="32" fillId="0" borderId="0" xfId="0" applyNumberFormat="1" applyFont="1" applyAlignment="1">
      <alignment horizontal="right"/>
    </xf>
    <xf numFmtId="0" fontId="31" fillId="3" borderId="0" xfId="0" applyFont="1" applyFill="1"/>
    <xf numFmtId="49" fontId="0" fillId="0" borderId="0" xfId="0" applyNumberFormat="1"/>
    <xf numFmtId="0" fontId="0" fillId="0" borderId="0" xfId="0" applyFont="1" applyAlignment="1">
      <alignment horizontal="left" indent="1"/>
    </xf>
    <xf numFmtId="167" fontId="3" fillId="0" borderId="0" xfId="3" applyNumberFormat="1" applyFont="1"/>
    <xf numFmtId="37" fontId="3" fillId="0" borderId="0" xfId="16" applyNumberFormat="1"/>
    <xf numFmtId="167" fontId="4" fillId="0" borderId="0" xfId="16" applyNumberFormat="1" applyFont="1"/>
    <xf numFmtId="0" fontId="13" fillId="0" borderId="0" xfId="3" applyFont="1" applyFill="1" applyBorder="1" applyAlignment="1">
      <alignment horizontal="center"/>
    </xf>
    <xf numFmtId="0" fontId="14" fillId="0" borderId="0" xfId="3" applyFont="1" applyFill="1" applyBorder="1" applyAlignment="1">
      <alignment horizontal="center"/>
    </xf>
    <xf numFmtId="0" fontId="6" fillId="0" borderId="3" xfId="3" applyFont="1" applyFill="1" applyBorder="1" applyAlignment="1">
      <alignment horizontal="center" vertical="center"/>
    </xf>
    <xf numFmtId="0" fontId="6" fillId="0" borderId="4" xfId="3" applyFont="1" applyFill="1" applyBorder="1" applyAlignment="1">
      <alignment horizontal="right" vertical="center"/>
    </xf>
    <xf numFmtId="0" fontId="6" fillId="0" borderId="5" xfId="3" applyFont="1" applyFill="1" applyBorder="1" applyAlignment="1">
      <alignment horizontal="center" vertical="center"/>
    </xf>
    <xf numFmtId="0" fontId="6" fillId="0" borderId="6" xfId="3" applyFont="1" applyFill="1" applyBorder="1" applyAlignment="1">
      <alignment horizontal="center" vertical="center"/>
    </xf>
    <xf numFmtId="0" fontId="6" fillId="0" borderId="6" xfId="3" applyFont="1" applyFill="1" applyBorder="1" applyAlignment="1">
      <alignment horizontal="right" vertical="center"/>
    </xf>
    <xf numFmtId="0" fontId="6" fillId="0" borderId="7" xfId="3" applyFont="1" applyFill="1" applyBorder="1" applyAlignment="1">
      <alignment horizontal="right" vertical="center"/>
    </xf>
    <xf numFmtId="0" fontId="6" fillId="0" borderId="8" xfId="3" applyFont="1" applyFill="1" applyBorder="1" applyAlignment="1">
      <alignment horizontal="right" vertical="center"/>
    </xf>
    <xf numFmtId="0" fontId="14" fillId="0" borderId="0" xfId="3" applyFont="1" applyFill="1" applyAlignment="1">
      <alignment horizontal="center"/>
    </xf>
    <xf numFmtId="7" fontId="6" fillId="0" borderId="0" xfId="3" applyNumberFormat="1" applyFont="1" applyFill="1" applyBorder="1" applyAlignment="1">
      <alignment vertical="center"/>
    </xf>
    <xf numFmtId="41" fontId="19" fillId="0" borderId="0" xfId="21" applyNumberFormat="1" applyFont="1" applyFill="1" applyBorder="1" applyAlignment="1">
      <alignment vertical="center"/>
    </xf>
    <xf numFmtId="41" fontId="19" fillId="0" borderId="0" xfId="21" applyNumberFormat="1" applyFont="1" applyFill="1" applyBorder="1" applyAlignment="1">
      <alignment horizontal="right" vertical="center"/>
    </xf>
    <xf numFmtId="41" fontId="6" fillId="0" borderId="9" xfId="21" applyNumberFormat="1" applyFont="1" applyFill="1" applyBorder="1" applyAlignment="1">
      <alignment vertical="center"/>
    </xf>
    <xf numFmtId="165" fontId="14" fillId="0" borderId="0" xfId="3" applyNumberFormat="1" applyFont="1" applyFill="1" applyBorder="1" applyAlignment="1">
      <alignment vertical="center"/>
    </xf>
    <xf numFmtId="165" fontId="23" fillId="0" borderId="0" xfId="3" applyNumberFormat="1" applyFont="1" applyFill="1" applyBorder="1" applyAlignment="1">
      <alignment vertical="center"/>
    </xf>
    <xf numFmtId="165" fontId="23" fillId="0" borderId="0" xfId="3" applyNumberFormat="1" applyFont="1" applyFill="1" applyBorder="1" applyAlignment="1">
      <alignment horizontal="right" vertical="center"/>
    </xf>
    <xf numFmtId="165" fontId="14" fillId="0" borderId="0" xfId="3" applyNumberFormat="1" applyFont="1" applyFill="1" applyBorder="1" applyAlignment="1">
      <alignment horizontal="right" vertical="center"/>
    </xf>
    <xf numFmtId="183" fontId="14" fillId="0" borderId="9" xfId="21" applyNumberFormat="1" applyFont="1" applyFill="1" applyBorder="1" applyAlignment="1">
      <alignment vertical="center"/>
    </xf>
    <xf numFmtId="165" fontId="14" fillId="0" borderId="9" xfId="3" applyNumberFormat="1" applyFont="1" applyFill="1" applyBorder="1" applyAlignment="1">
      <alignment horizontal="right" vertical="center"/>
    </xf>
    <xf numFmtId="5" fontId="23" fillId="0" borderId="0" xfId="18" applyNumberFormat="1" applyFont="1" applyFill="1" applyBorder="1" applyAlignment="1">
      <alignment horizontal="center" vertical="center"/>
    </xf>
    <xf numFmtId="165" fontId="14" fillId="0" borderId="10" xfId="3" applyNumberFormat="1" applyFont="1" applyFill="1" applyBorder="1" applyAlignment="1">
      <alignment vertical="center"/>
    </xf>
    <xf numFmtId="165" fontId="23" fillId="0" borderId="10" xfId="3" applyNumberFormat="1" applyFont="1" applyFill="1" applyBorder="1" applyAlignment="1">
      <alignment vertical="center"/>
    </xf>
    <xf numFmtId="165" fontId="23" fillId="0" borderId="10" xfId="3" applyNumberFormat="1" applyFont="1" applyFill="1" applyBorder="1" applyAlignment="1">
      <alignment horizontal="right" vertical="center"/>
    </xf>
    <xf numFmtId="165" fontId="14" fillId="0" borderId="10" xfId="3" applyNumberFormat="1" applyFont="1" applyFill="1" applyBorder="1" applyAlignment="1">
      <alignment horizontal="right" vertical="center"/>
    </xf>
    <xf numFmtId="183" fontId="14" fillId="0" borderId="11" xfId="21" applyNumberFormat="1" applyFont="1" applyFill="1" applyBorder="1" applyAlignment="1">
      <alignment vertical="center"/>
    </xf>
    <xf numFmtId="165" fontId="14" fillId="0" borderId="11" xfId="3" applyNumberFormat="1" applyFont="1" applyFill="1" applyBorder="1" applyAlignment="1">
      <alignment horizontal="right" vertical="center"/>
    </xf>
    <xf numFmtId="165" fontId="14" fillId="0" borderId="12" xfId="3" applyNumberFormat="1" applyFont="1" applyFill="1" applyBorder="1" applyAlignment="1">
      <alignment vertical="center"/>
    </xf>
    <xf numFmtId="41" fontId="23" fillId="0" borderId="12" xfId="21" applyNumberFormat="1" applyFont="1" applyFill="1" applyBorder="1" applyAlignment="1">
      <alignment vertical="center"/>
    </xf>
    <xf numFmtId="41" fontId="23" fillId="0" borderId="12" xfId="21" applyNumberFormat="1" applyFont="1" applyFill="1" applyBorder="1" applyAlignment="1">
      <alignment horizontal="right" vertical="center"/>
    </xf>
    <xf numFmtId="41" fontId="14" fillId="0" borderId="13" xfId="21" applyNumberFormat="1" applyFont="1" applyFill="1" applyBorder="1" applyAlignment="1">
      <alignment horizontal="right" vertical="center"/>
    </xf>
    <xf numFmtId="167" fontId="14" fillId="0" borderId="0" xfId="18" applyNumberFormat="1" applyFont="1" applyFill="1" applyBorder="1" applyAlignment="1">
      <alignment horizontal="center" vertical="center"/>
    </xf>
    <xf numFmtId="41" fontId="19" fillId="0" borderId="12" xfId="21" applyNumberFormat="1" applyFont="1" applyFill="1" applyBorder="1" applyAlignment="1">
      <alignment vertical="center"/>
    </xf>
    <xf numFmtId="41" fontId="19" fillId="0" borderId="12" xfId="21" applyNumberFormat="1" applyFont="1" applyFill="1" applyBorder="1" applyAlignment="1">
      <alignment horizontal="right" vertical="center"/>
    </xf>
    <xf numFmtId="41" fontId="25" fillId="0" borderId="13" xfId="21" applyNumberFormat="1" applyFont="1" applyFill="1" applyBorder="1" applyAlignment="1">
      <alignment horizontal="right" vertical="center"/>
    </xf>
    <xf numFmtId="37" fontId="6" fillId="0" borderId="14" xfId="21" applyNumberFormat="1" applyFont="1" applyFill="1" applyBorder="1" applyAlignment="1">
      <alignment vertical="center"/>
    </xf>
    <xf numFmtId="165" fontId="14" fillId="0" borderId="0" xfId="21" applyNumberFormat="1" applyFont="1" applyFill="1" applyBorder="1" applyAlignment="1">
      <alignment vertical="center"/>
    </xf>
    <xf numFmtId="165" fontId="14" fillId="0" borderId="0" xfId="21" applyNumberFormat="1" applyFont="1" applyFill="1" applyBorder="1" applyAlignment="1">
      <alignment horizontal="right" vertical="center"/>
    </xf>
    <xf numFmtId="165" fontId="14" fillId="0" borderId="2" xfId="21" applyNumberFormat="1" applyFont="1" applyFill="1" applyBorder="1" applyAlignment="1">
      <alignment horizontal="right" vertical="center"/>
    </xf>
    <xf numFmtId="165" fontId="14" fillId="0" borderId="9" xfId="21" applyNumberFormat="1" applyFont="1" applyFill="1" applyBorder="1" applyAlignment="1">
      <alignment horizontal="right" vertical="center"/>
    </xf>
    <xf numFmtId="165" fontId="24" fillId="0" borderId="9" xfId="21" applyNumberFormat="1" applyFont="1" applyFill="1" applyBorder="1" applyAlignment="1">
      <alignment horizontal="right" vertical="center"/>
    </xf>
    <xf numFmtId="165" fontId="14" fillId="0" borderId="12" xfId="21" applyNumberFormat="1" applyFont="1" applyFill="1" applyBorder="1" applyAlignment="1">
      <alignment vertical="center"/>
    </xf>
    <xf numFmtId="37" fontId="20" fillId="0" borderId="14" xfId="21" applyNumberFormat="1" applyFont="1" applyFill="1" applyBorder="1" applyAlignment="1">
      <alignment horizontal="right" vertical="center"/>
    </xf>
    <xf numFmtId="9" fontId="22" fillId="0" borderId="14" xfId="18" applyNumberFormat="1" applyFont="1" applyFill="1" applyBorder="1" applyAlignment="1">
      <alignment horizontal="center" vertical="center"/>
    </xf>
    <xf numFmtId="0" fontId="14" fillId="0" borderId="15" xfId="3" applyFont="1" applyBorder="1" applyAlignment="1">
      <alignment horizontal="left" vertical="center"/>
    </xf>
    <xf numFmtId="41" fontId="6" fillId="0" borderId="12" xfId="21" applyNumberFormat="1" applyFont="1" applyFill="1" applyBorder="1" applyAlignment="1">
      <alignment vertical="center"/>
    </xf>
    <xf numFmtId="41" fontId="6" fillId="0" borderId="12" xfId="21" applyNumberFormat="1" applyFont="1" applyFill="1" applyBorder="1" applyAlignment="1">
      <alignment horizontal="right" vertical="center"/>
    </xf>
    <xf numFmtId="9" fontId="28" fillId="0" borderId="0" xfId="3" applyNumberFormat="1" applyFont="1"/>
    <xf numFmtId="7" fontId="23" fillId="0" borderId="12" xfId="21" applyNumberFormat="1" applyFont="1" applyFill="1" applyBorder="1" applyAlignment="1">
      <alignment vertical="center"/>
    </xf>
    <xf numFmtId="7" fontId="23" fillId="0" borderId="12" xfId="21" applyNumberFormat="1" applyFont="1" applyFill="1" applyBorder="1" applyAlignment="1">
      <alignment horizontal="right" vertical="center"/>
    </xf>
    <xf numFmtId="7" fontId="14" fillId="0" borderId="14" xfId="21" applyNumberFormat="1" applyFont="1" applyFill="1" applyBorder="1" applyAlignment="1">
      <alignment vertical="center"/>
    </xf>
    <xf numFmtId="37" fontId="14" fillId="0" borderId="14" xfId="21" applyNumberFormat="1" applyFont="1" applyFill="1" applyBorder="1" applyAlignment="1">
      <alignment vertical="center"/>
    </xf>
    <xf numFmtId="0" fontId="14" fillId="0" borderId="15" xfId="3" applyFont="1" applyBorder="1" applyAlignment="1">
      <alignment horizontal="left" vertical="center" wrapText="1"/>
    </xf>
    <xf numFmtId="165" fontId="6" fillId="0" borderId="0" xfId="21" applyNumberFormat="1" applyFont="1" applyFill="1" applyBorder="1" applyAlignment="1">
      <alignment vertical="center"/>
    </xf>
    <xf numFmtId="37" fontId="19" fillId="0" borderId="0" xfId="21" applyNumberFormat="1" applyFont="1" applyFill="1" applyBorder="1" applyAlignment="1">
      <alignment vertical="center"/>
    </xf>
    <xf numFmtId="37" fontId="19" fillId="0" borderId="0" xfId="21" applyNumberFormat="1" applyFont="1" applyFill="1" applyBorder="1" applyAlignment="1">
      <alignment horizontal="right" vertical="center"/>
    </xf>
    <xf numFmtId="37" fontId="6" fillId="0" borderId="0" xfId="21" applyNumberFormat="1" applyFont="1" applyFill="1" applyBorder="1" applyAlignment="1">
      <alignment horizontal="right" vertical="center"/>
    </xf>
    <xf numFmtId="37" fontId="6" fillId="0" borderId="2" xfId="21" applyNumberFormat="1" applyFont="1" applyFill="1" applyBorder="1" applyAlignment="1">
      <alignment vertical="center"/>
    </xf>
    <xf numFmtId="37" fontId="23" fillId="0" borderId="0" xfId="21" applyNumberFormat="1" applyFont="1" applyFill="1" applyBorder="1" applyAlignment="1">
      <alignment vertical="center"/>
    </xf>
    <xf numFmtId="37" fontId="23" fillId="0" borderId="0" xfId="21" applyNumberFormat="1" applyFont="1" applyFill="1" applyBorder="1" applyAlignment="1">
      <alignment horizontal="right" vertical="center"/>
    </xf>
    <xf numFmtId="37" fontId="14" fillId="0" borderId="9" xfId="21" applyNumberFormat="1" applyFont="1" applyFill="1" applyBorder="1" applyAlignment="1">
      <alignment vertical="center"/>
    </xf>
    <xf numFmtId="165" fontId="6" fillId="0" borderId="12" xfId="21" applyNumberFormat="1" applyFont="1" applyFill="1" applyBorder="1" applyAlignment="1">
      <alignment vertical="center"/>
    </xf>
    <xf numFmtId="37" fontId="19" fillId="0" borderId="12" xfId="21" applyNumberFormat="1" applyFont="1" applyFill="1" applyBorder="1" applyAlignment="1">
      <alignment vertical="center"/>
    </xf>
    <xf numFmtId="37" fontId="19" fillId="0" borderId="12" xfId="21" applyNumberFormat="1" applyFont="1" applyFill="1" applyBorder="1" applyAlignment="1">
      <alignment horizontal="right" vertical="center"/>
    </xf>
    <xf numFmtId="37" fontId="6" fillId="0" borderId="13" xfId="21" applyNumberFormat="1" applyFont="1" applyFill="1" applyBorder="1" applyAlignment="1">
      <alignment vertical="center"/>
    </xf>
    <xf numFmtId="37" fontId="24" fillId="0" borderId="0" xfId="21" applyNumberFormat="1" applyFont="1" applyFill="1" applyBorder="1" applyAlignment="1">
      <alignment vertical="center"/>
    </xf>
    <xf numFmtId="167" fontId="3" fillId="0" borderId="0" xfId="16" applyNumberFormat="1" applyFont="1"/>
    <xf numFmtId="0" fontId="17" fillId="7" borderId="3" xfId="3" applyFont="1" applyFill="1" applyBorder="1" applyAlignment="1">
      <alignment horizontal="right" vertical="center"/>
    </xf>
    <xf numFmtId="0" fontId="17" fillId="7" borderId="4" xfId="3" applyFont="1" applyFill="1" applyBorder="1" applyAlignment="1">
      <alignment horizontal="right" vertical="center"/>
    </xf>
    <xf numFmtId="0" fontId="17" fillId="7" borderId="5" xfId="3" applyFont="1" applyFill="1" applyBorder="1" applyAlignment="1">
      <alignment horizontal="right" vertical="center"/>
    </xf>
    <xf numFmtId="0" fontId="17" fillId="7" borderId="5" xfId="3" applyFont="1" applyFill="1" applyBorder="1" applyAlignment="1">
      <alignment horizontal="center" vertical="center"/>
    </xf>
    <xf numFmtId="182" fontId="18" fillId="7" borderId="3" xfId="13" applyNumberFormat="1" applyFont="1" applyFill="1" applyBorder="1" applyAlignment="1">
      <alignment horizontal="center" vertical="center"/>
    </xf>
    <xf numFmtId="0" fontId="14" fillId="7" borderId="16" xfId="3" applyFont="1" applyFill="1" applyBorder="1" applyAlignment="1">
      <alignment vertical="center"/>
    </xf>
    <xf numFmtId="165" fontId="17" fillId="7" borderId="0" xfId="21" applyNumberFormat="1" applyFont="1" applyFill="1" applyBorder="1" applyAlignment="1">
      <alignment horizontal="right" vertical="center"/>
    </xf>
    <xf numFmtId="165" fontId="6" fillId="7" borderId="0" xfId="21" applyNumberFormat="1" applyFont="1" applyFill="1" applyBorder="1" applyAlignment="1">
      <alignment horizontal="right" vertical="center"/>
    </xf>
    <xf numFmtId="165" fontId="6" fillId="7" borderId="2" xfId="21" applyNumberFormat="1" applyFont="1" applyFill="1" applyBorder="1" applyAlignment="1">
      <alignment horizontal="right" vertical="center"/>
    </xf>
    <xf numFmtId="165" fontId="6" fillId="7" borderId="9" xfId="21" applyNumberFormat="1" applyFont="1" applyFill="1" applyBorder="1" applyAlignment="1">
      <alignment horizontal="right" vertical="center"/>
    </xf>
    <xf numFmtId="165" fontId="6" fillId="7" borderId="9" xfId="21" applyNumberFormat="1" applyFont="1" applyFill="1" applyBorder="1" applyAlignment="1">
      <alignment vertical="center"/>
    </xf>
    <xf numFmtId="0" fontId="14" fillId="7" borderId="0" xfId="3" applyFont="1" applyFill="1" applyBorder="1" applyAlignment="1">
      <alignment vertical="center"/>
    </xf>
    <xf numFmtId="0" fontId="14" fillId="7" borderId="17" xfId="3" applyFont="1" applyFill="1" applyBorder="1" applyAlignment="1">
      <alignment vertical="center"/>
    </xf>
    <xf numFmtId="41" fontId="37" fillId="0" borderId="0" xfId="21" applyNumberFormat="1" applyFont="1" applyFill="1" applyBorder="1" applyAlignment="1">
      <alignment horizontal="right" vertical="center"/>
    </xf>
    <xf numFmtId="41" fontId="37" fillId="0" borderId="2" xfId="21" applyNumberFormat="1" applyFont="1" applyFill="1" applyBorder="1" applyAlignment="1">
      <alignment horizontal="right" vertical="center"/>
    </xf>
    <xf numFmtId="165" fontId="38" fillId="0" borderId="10" xfId="3" applyNumberFormat="1" applyFont="1" applyFill="1" applyBorder="1" applyAlignment="1">
      <alignment horizontal="right" vertical="center"/>
    </xf>
    <xf numFmtId="165" fontId="38" fillId="0" borderId="18" xfId="3" applyNumberFormat="1" applyFont="1" applyFill="1" applyBorder="1" applyAlignment="1">
      <alignment horizontal="right" vertical="center"/>
    </xf>
    <xf numFmtId="165" fontId="38" fillId="0" borderId="0" xfId="3" applyNumberFormat="1" applyFont="1" applyFill="1" applyBorder="1" applyAlignment="1">
      <alignment horizontal="right" vertical="center"/>
    </xf>
    <xf numFmtId="41" fontId="37" fillId="0" borderId="12" xfId="21" applyNumberFormat="1" applyFont="1" applyFill="1" applyBorder="1" applyAlignment="1">
      <alignment horizontal="right" vertical="center"/>
    </xf>
    <xf numFmtId="41" fontId="37" fillId="0" borderId="13" xfId="21" applyNumberFormat="1" applyFont="1" applyFill="1" applyBorder="1" applyAlignment="1">
      <alignment horizontal="right" vertical="center"/>
    </xf>
    <xf numFmtId="37" fontId="37" fillId="0" borderId="0" xfId="21" applyNumberFormat="1" applyFont="1" applyFill="1" applyBorder="1" applyAlignment="1">
      <alignment horizontal="right" vertical="center"/>
    </xf>
    <xf numFmtId="37" fontId="37" fillId="0" borderId="2" xfId="21" applyNumberFormat="1" applyFont="1" applyFill="1" applyBorder="1" applyAlignment="1">
      <alignment horizontal="right" vertical="center"/>
    </xf>
    <xf numFmtId="164" fontId="6" fillId="0" borderId="3" xfId="3" applyNumberFormat="1" applyFont="1" applyFill="1" applyBorder="1" applyAlignment="1">
      <alignment horizontal="center" vertical="center"/>
    </xf>
    <xf numFmtId="164" fontId="6" fillId="0" borderId="4" xfId="3" applyNumberFormat="1" applyFont="1" applyFill="1" applyBorder="1" applyAlignment="1">
      <alignment horizontal="center" vertical="center"/>
    </xf>
    <xf numFmtId="0" fontId="17" fillId="7" borderId="17" xfId="3" applyFont="1" applyFill="1" applyBorder="1" applyAlignment="1">
      <alignment vertical="center"/>
    </xf>
    <xf numFmtId="0" fontId="6" fillId="0" borderId="17" xfId="3" applyFont="1" applyFill="1" applyBorder="1" applyAlignment="1">
      <alignment vertical="center"/>
    </xf>
    <xf numFmtId="0" fontId="14" fillId="0" borderId="17" xfId="3" applyFont="1" applyFill="1" applyBorder="1" applyAlignment="1">
      <alignment horizontal="left" vertical="center" indent="1"/>
    </xf>
    <xf numFmtId="0" fontId="14" fillId="0" borderId="19" xfId="3" applyFont="1" applyFill="1" applyBorder="1" applyAlignment="1">
      <alignment horizontal="left" vertical="center" indent="1"/>
    </xf>
    <xf numFmtId="0" fontId="6" fillId="0" borderId="15" xfId="3" applyFont="1" applyFill="1" applyBorder="1" applyAlignment="1">
      <alignment vertical="center"/>
    </xf>
    <xf numFmtId="0" fontId="6" fillId="0" borderId="15" xfId="3" applyFont="1" applyFill="1" applyBorder="1" applyAlignment="1">
      <alignment horizontal="left" vertical="center"/>
    </xf>
    <xf numFmtId="0" fontId="14" fillId="0" borderId="15" xfId="3" applyFont="1" applyFill="1" applyBorder="1" applyAlignment="1">
      <alignment horizontal="left" vertical="center"/>
    </xf>
    <xf numFmtId="0" fontId="6" fillId="0" borderId="17" xfId="3" applyFont="1" applyFill="1" applyBorder="1" applyAlignment="1">
      <alignment horizontal="left" vertical="center"/>
    </xf>
    <xf numFmtId="0" fontId="14" fillId="0" borderId="17" xfId="3" applyFont="1" applyFill="1" applyBorder="1" applyAlignment="1">
      <alignment horizontal="left" vertical="center"/>
    </xf>
    <xf numFmtId="0" fontId="14" fillId="0" borderId="20" xfId="3" applyFont="1" applyFill="1" applyBorder="1" applyAlignment="1">
      <alignment horizontal="left" vertical="center"/>
    </xf>
    <xf numFmtId="37" fontId="3" fillId="0" borderId="6" xfId="16" applyNumberFormat="1" applyBorder="1"/>
    <xf numFmtId="41" fontId="14" fillId="0" borderId="12" xfId="21" applyNumberFormat="1" applyFont="1" applyFill="1" applyBorder="1" applyAlignment="1">
      <alignment horizontal="right" vertical="center"/>
    </xf>
    <xf numFmtId="171" fontId="34" fillId="0" borderId="0" xfId="0" applyNumberFormat="1" applyFont="1"/>
    <xf numFmtId="171" fontId="29" fillId="0" borderId="0" xfId="0" applyNumberFormat="1" applyFont="1" applyAlignment="1">
      <alignment horizontal="center"/>
    </xf>
    <xf numFmtId="0" fontId="29" fillId="0" borderId="0" xfId="0" applyFont="1" applyAlignment="1">
      <alignment horizontal="center"/>
    </xf>
    <xf numFmtId="0" fontId="6" fillId="0" borderId="20" xfId="3" applyFont="1" applyFill="1" applyBorder="1" applyAlignment="1">
      <alignment horizontal="left" vertical="center"/>
    </xf>
    <xf numFmtId="0" fontId="6" fillId="0" borderId="16" xfId="3" applyFont="1" applyFill="1" applyBorder="1" applyAlignment="1">
      <alignment horizontal="left" vertical="center"/>
    </xf>
    <xf numFmtId="171" fontId="0" fillId="0" borderId="0" xfId="0" applyNumberFormat="1" applyFill="1"/>
    <xf numFmtId="171" fontId="31" fillId="0" borderId="0" xfId="0" applyNumberFormat="1" applyFont="1"/>
    <xf numFmtId="0" fontId="39" fillId="8" borderId="0" xfId="0" applyFont="1" applyFill="1"/>
    <xf numFmtId="0" fontId="40" fillId="8" borderId="0" xfId="0" applyFont="1" applyFill="1"/>
    <xf numFmtId="0" fontId="41" fillId="8" borderId="0" xfId="0" applyFont="1" applyFill="1"/>
    <xf numFmtId="0" fontId="41" fillId="8" borderId="0" xfId="0" applyFont="1" applyFill="1" applyAlignment="1">
      <alignment horizontal="center"/>
    </xf>
    <xf numFmtId="41" fontId="42" fillId="0" borderId="9" xfId="21" applyNumberFormat="1" applyFont="1" applyFill="1" applyBorder="1" applyAlignment="1">
      <alignment horizontal="right" vertical="center"/>
    </xf>
    <xf numFmtId="37" fontId="42" fillId="0" borderId="14" xfId="21" applyNumberFormat="1" applyFont="1" applyFill="1" applyBorder="1" applyAlignment="1">
      <alignment vertical="center"/>
    </xf>
    <xf numFmtId="7" fontId="43" fillId="0" borderId="14" xfId="21" applyNumberFormat="1" applyFont="1" applyFill="1" applyBorder="1" applyAlignment="1">
      <alignment horizontal="right" vertical="center"/>
    </xf>
    <xf numFmtId="37" fontId="3" fillId="0" borderId="9" xfId="16" applyNumberFormat="1" applyBorder="1"/>
    <xf numFmtId="37" fontId="3" fillId="0" borderId="8" xfId="16" applyNumberFormat="1" applyBorder="1"/>
    <xf numFmtId="165" fontId="14" fillId="0" borderId="2" xfId="3" applyNumberFormat="1" applyFont="1" applyFill="1" applyBorder="1" applyAlignment="1">
      <alignment horizontal="right" vertical="center"/>
    </xf>
    <xf numFmtId="9" fontId="22" fillId="0" borderId="9" xfId="18" applyNumberFormat="1" applyFont="1" applyFill="1" applyBorder="1" applyAlignment="1">
      <alignment horizontal="center" vertical="center"/>
    </xf>
    <xf numFmtId="41" fontId="42" fillId="0" borderId="0" xfId="21" applyNumberFormat="1" applyFont="1" applyFill="1" applyBorder="1" applyAlignment="1">
      <alignment horizontal="right" vertical="center"/>
    </xf>
    <xf numFmtId="41" fontId="42" fillId="0" borderId="13" xfId="21" applyNumberFormat="1" applyFont="1" applyFill="1" applyBorder="1" applyAlignment="1">
      <alignment horizontal="right" vertical="center"/>
    </xf>
    <xf numFmtId="41" fontId="42" fillId="0" borderId="12" xfId="21" applyNumberFormat="1" applyFont="1" applyFill="1" applyBorder="1" applyAlignment="1">
      <alignment horizontal="right" vertical="center"/>
    </xf>
    <xf numFmtId="7" fontId="43" fillId="0" borderId="13" xfId="21" applyNumberFormat="1" applyFont="1" applyFill="1" applyBorder="1" applyAlignment="1">
      <alignment horizontal="right" vertical="center"/>
    </xf>
    <xf numFmtId="9" fontId="22" fillId="0" borderId="8" xfId="18" applyNumberFormat="1" applyFont="1" applyFill="1" applyBorder="1" applyAlignment="1">
      <alignment horizontal="center" vertical="center"/>
    </xf>
    <xf numFmtId="166" fontId="32" fillId="9" borderId="0" xfId="3" applyNumberFormat="1" applyFont="1" applyFill="1"/>
    <xf numFmtId="169" fontId="32" fillId="0" borderId="0" xfId="0" applyNumberFormat="1" applyFont="1"/>
    <xf numFmtId="37" fontId="28" fillId="6" borderId="0" xfId="3" applyNumberFormat="1" applyFont="1" applyFill="1"/>
    <xf numFmtId="166" fontId="38" fillId="0" borderId="0" xfId="21" applyNumberFormat="1" applyFont="1" applyFill="1" applyBorder="1" applyAlignment="1">
      <alignment horizontal="right" vertical="center"/>
    </xf>
    <xf numFmtId="166" fontId="38" fillId="0" borderId="2" xfId="21" applyNumberFormat="1" applyFont="1" applyFill="1" applyBorder="1" applyAlignment="1">
      <alignment horizontal="right" vertical="center"/>
    </xf>
    <xf numFmtId="166" fontId="38" fillId="0" borderId="6" xfId="21" applyNumberFormat="1" applyFont="1" applyFill="1" applyBorder="1" applyAlignment="1">
      <alignment horizontal="right" vertical="center"/>
    </xf>
    <xf numFmtId="166" fontId="38" fillId="0" borderId="7" xfId="21" applyNumberFormat="1" applyFont="1" applyFill="1" applyBorder="1" applyAlignment="1">
      <alignment horizontal="right" vertical="center"/>
    </xf>
    <xf numFmtId="166" fontId="14" fillId="0" borderId="9" xfId="21" applyNumberFormat="1" applyFont="1" applyFill="1" applyBorder="1" applyAlignment="1">
      <alignment vertical="center"/>
    </xf>
    <xf numFmtId="166" fontId="14" fillId="0" borderId="8" xfId="21" applyNumberFormat="1" applyFont="1" applyFill="1" applyBorder="1" applyAlignment="1">
      <alignment horizontal="right" vertical="center"/>
    </xf>
    <xf numFmtId="185" fontId="4" fillId="0" borderId="0" xfId="16" applyNumberFormat="1" applyFont="1"/>
    <xf numFmtId="166" fontId="31" fillId="4" borderId="0" xfId="0" applyNumberFormat="1" applyFont="1" applyFill="1"/>
    <xf numFmtId="37" fontId="28" fillId="6" borderId="0" xfId="3" applyNumberFormat="1" applyFont="1" applyFill="1"/>
    <xf numFmtId="0" fontId="32" fillId="5" borderId="0" xfId="0" applyFont="1" applyFill="1"/>
    <xf numFmtId="0" fontId="30" fillId="0" borderId="0" xfId="0" applyFont="1"/>
    <xf numFmtId="0" fontId="31" fillId="0" borderId="0" xfId="0" applyFont="1" applyAlignment="1">
      <alignment horizontal="left" indent="1"/>
    </xf>
    <xf numFmtId="0" fontId="31" fillId="5" borderId="0" xfId="0" applyFont="1" applyFill="1"/>
    <xf numFmtId="0" fontId="31" fillId="0" borderId="0" xfId="0" applyFont="1" applyFill="1" applyAlignment="1">
      <alignment horizontal="left" indent="1"/>
    </xf>
    <xf numFmtId="0" fontId="31" fillId="4" borderId="0" xfId="0" applyFont="1" applyFill="1"/>
    <xf numFmtId="166" fontId="30" fillId="0" borderId="0" xfId="0" applyNumberFormat="1" applyFont="1" applyFill="1" applyBorder="1"/>
    <xf numFmtId="165" fontId="14" fillId="0" borderId="18" xfId="3" applyNumberFormat="1" applyFont="1" applyFill="1" applyBorder="1" applyAlignment="1">
      <alignment horizontal="right" vertical="center"/>
    </xf>
    <xf numFmtId="0" fontId="0" fillId="0" borderId="0" xfId="0" applyFont="1"/>
    <xf numFmtId="166" fontId="30" fillId="5" borderId="0" xfId="3" applyNumberFormat="1" applyFont="1" applyFill="1"/>
    <xf numFmtId="166" fontId="43" fillId="0" borderId="2" xfId="21" applyNumberFormat="1" applyFont="1" applyFill="1" applyBorder="1" applyAlignment="1">
      <alignment horizontal="right" vertical="center"/>
    </xf>
    <xf numFmtId="166" fontId="0" fillId="6" borderId="0" xfId="0" applyNumberFormat="1" applyFont="1" applyFill="1"/>
    <xf numFmtId="167" fontId="0" fillId="6" borderId="0" xfId="0" applyNumberFormat="1" applyFont="1" applyFill="1"/>
    <xf numFmtId="0" fontId="0" fillId="6" borderId="0" xfId="0" applyFont="1" applyFill="1" applyAlignment="1">
      <alignment horizontal="left" indent="1"/>
    </xf>
    <xf numFmtId="0" fontId="29" fillId="6" borderId="0" xfId="0" applyFont="1" applyFill="1"/>
    <xf numFmtId="166" fontId="29" fillId="6" borderId="0" xfId="0" applyNumberFormat="1" applyFont="1" applyFill="1"/>
    <xf numFmtId="7" fontId="38" fillId="0" borderId="12" xfId="21" applyNumberFormat="1" applyFont="1" applyFill="1" applyBorder="1" applyAlignment="1">
      <alignment horizontal="right" vertical="center"/>
    </xf>
    <xf numFmtId="7" fontId="38" fillId="0" borderId="13" xfId="21" applyNumberFormat="1" applyFont="1" applyFill="1" applyBorder="1" applyAlignment="1">
      <alignment horizontal="right" vertical="center"/>
    </xf>
    <xf numFmtId="165" fontId="31" fillId="0" borderId="0" xfId="0" applyNumberFormat="1" applyFont="1" applyFill="1"/>
    <xf numFmtId="165" fontId="31" fillId="0" borderId="0" xfId="0" applyNumberFormat="1" applyFont="1" applyFill="1" applyBorder="1"/>
    <xf numFmtId="0" fontId="29" fillId="0" borderId="0" xfId="0" applyFont="1" applyFill="1"/>
    <xf numFmtId="39" fontId="0" fillId="0" borderId="0" xfId="0" applyNumberFormat="1" applyFill="1"/>
    <xf numFmtId="9" fontId="22" fillId="0" borderId="9" xfId="18" applyNumberFormat="1" applyFont="1" applyFill="1" applyBorder="1" applyAlignment="1">
      <alignment horizontal="center" vertical="center"/>
    </xf>
    <xf numFmtId="37" fontId="3" fillId="0" borderId="0" xfId="16" applyNumberFormat="1" applyBorder="1"/>
    <xf numFmtId="166" fontId="14" fillId="0" borderId="9" xfId="21" applyNumberFormat="1" applyFont="1" applyFill="1" applyBorder="1" applyAlignment="1">
      <alignment horizontal="right" vertical="center"/>
    </xf>
    <xf numFmtId="165" fontId="14" fillId="0" borderId="0" xfId="3" applyNumberFormat="1" applyFont="1" applyFill="1" applyAlignment="1">
      <alignment horizontal="center"/>
    </xf>
    <xf numFmtId="0" fontId="0" fillId="10" borderId="0" xfId="0" applyFill="1"/>
    <xf numFmtId="37" fontId="0" fillId="6" borderId="0" xfId="3" applyNumberFormat="1" applyFont="1" applyFill="1"/>
    <xf numFmtId="166" fontId="14" fillId="0" borderId="7" xfId="21" applyNumberFormat="1" applyFont="1" applyFill="1" applyBorder="1" applyAlignment="1">
      <alignment horizontal="right" vertical="center"/>
    </xf>
    <xf numFmtId="0" fontId="31" fillId="0" borderId="0" xfId="0" applyFont="1" applyFill="1"/>
    <xf numFmtId="166" fontId="32" fillId="10" borderId="0" xfId="0" applyNumberFormat="1" applyFont="1" applyFill="1"/>
    <xf numFmtId="0" fontId="3" fillId="0" borderId="0" xfId="15"/>
    <xf numFmtId="41" fontId="14" fillId="0" borderId="0" xfId="3" applyNumberFormat="1" applyFont="1" applyFill="1" applyAlignment="1">
      <alignment horizontal="center"/>
    </xf>
    <xf numFmtId="166" fontId="0" fillId="3" borderId="0" xfId="0" applyNumberFormat="1" applyFill="1"/>
    <xf numFmtId="0" fontId="0" fillId="3" borderId="0" xfId="0" applyNumberFormat="1" applyFill="1" applyBorder="1" applyAlignment="1">
      <alignment horizontal="center"/>
    </xf>
    <xf numFmtId="0" fontId="0" fillId="3" borderId="0" xfId="0" applyNumberFormat="1" applyFill="1" applyAlignment="1">
      <alignment horizontal="center"/>
    </xf>
    <xf numFmtId="164" fontId="6" fillId="0" borderId="4" xfId="3" applyNumberFormat="1" applyFont="1" applyFill="1" applyBorder="1" applyAlignment="1">
      <alignment horizontal="right" vertical="center"/>
    </xf>
    <xf numFmtId="37" fontId="42" fillId="0" borderId="9" xfId="21" applyNumberFormat="1" applyFont="1" applyFill="1" applyBorder="1" applyAlignment="1">
      <alignment horizontal="right" vertical="center"/>
    </xf>
    <xf numFmtId="37" fontId="42" fillId="0" borderId="14" xfId="21" applyNumberFormat="1" applyFont="1" applyFill="1" applyBorder="1" applyAlignment="1">
      <alignment horizontal="right" vertical="center"/>
    </xf>
    <xf numFmtId="166" fontId="43" fillId="0" borderId="7" xfId="21" applyNumberFormat="1" applyFont="1" applyFill="1" applyBorder="1" applyAlignment="1">
      <alignment horizontal="right" vertical="center"/>
    </xf>
    <xf numFmtId="10" fontId="30" fillId="5" borderId="0" xfId="0" applyNumberFormat="1" applyFont="1" applyFill="1"/>
    <xf numFmtId="182" fontId="15" fillId="0" borderId="5" xfId="13" quotePrefix="1" applyNumberFormat="1" applyFont="1" applyFill="1" applyBorder="1" applyAlignment="1">
      <alignment horizontal="center" vertical="center"/>
    </xf>
    <xf numFmtId="182" fontId="15" fillId="0" borderId="8" xfId="13" applyNumberFormat="1" applyFont="1" applyFill="1" applyBorder="1" applyAlignment="1">
      <alignment horizontal="center" vertical="center"/>
    </xf>
    <xf numFmtId="182" fontId="16" fillId="0" borderId="4" xfId="13" applyNumberFormat="1" applyFont="1" applyFill="1" applyBorder="1" applyAlignment="1">
      <alignment horizontal="center" vertical="center"/>
    </xf>
    <xf numFmtId="182" fontId="16" fillId="0" borderId="7" xfId="13" applyNumberFormat="1" applyFont="1" applyFill="1" applyBorder="1" applyAlignment="1">
      <alignment horizontal="center" vertical="center"/>
    </xf>
    <xf numFmtId="9" fontId="22" fillId="0" borderId="9" xfId="18" applyNumberFormat="1" applyFont="1" applyFill="1" applyBorder="1" applyAlignment="1">
      <alignment horizontal="center" vertical="center"/>
    </xf>
    <xf numFmtId="37" fontId="28" fillId="0" borderId="11" xfId="3" applyNumberFormat="1" applyFont="1" applyBorder="1" applyAlignment="1">
      <alignment horizontal="center" vertical="center"/>
    </xf>
    <xf numFmtId="0" fontId="14" fillId="0" borderId="17" xfId="3" applyFont="1" applyBorder="1" applyAlignment="1">
      <alignment horizontal="left" vertical="center" wrapText="1"/>
    </xf>
    <xf numFmtId="37" fontId="28" fillId="0" borderId="17" xfId="3" applyNumberFormat="1" applyFont="1" applyBorder="1" applyAlignment="1">
      <alignment horizontal="left" vertical="center" wrapText="1"/>
    </xf>
    <xf numFmtId="37" fontId="28" fillId="0" borderId="19" xfId="3" applyNumberFormat="1" applyFont="1" applyBorder="1" applyAlignment="1">
      <alignment horizontal="left" vertical="center" wrapText="1"/>
    </xf>
    <xf numFmtId="9" fontId="22" fillId="0" borderId="11" xfId="18" applyNumberFormat="1" applyFont="1" applyFill="1" applyBorder="1" applyAlignment="1">
      <alignment horizontal="center" vertical="center"/>
    </xf>
    <xf numFmtId="9" fontId="22" fillId="0" borderId="14" xfId="18" applyNumberFormat="1" applyFont="1" applyFill="1" applyBorder="1" applyAlignment="1">
      <alignment horizontal="center" vertical="center"/>
    </xf>
    <xf numFmtId="0" fontId="14" fillId="0" borderId="15" xfId="3" applyFont="1" applyBorder="1" applyAlignment="1">
      <alignment horizontal="left" vertical="center" wrapText="1"/>
    </xf>
    <xf numFmtId="0" fontId="14" fillId="0" borderId="19" xfId="3" applyFont="1" applyBorder="1" applyAlignment="1">
      <alignment horizontal="left" vertical="center" wrapText="1"/>
    </xf>
    <xf numFmtId="37" fontId="28" fillId="0" borderId="9" xfId="3" applyNumberFormat="1" applyFont="1" applyBorder="1" applyAlignment="1">
      <alignment horizontal="center" vertical="center"/>
    </xf>
    <xf numFmtId="168" fontId="0" fillId="3" borderId="0" xfId="0" applyNumberFormat="1" applyFill="1" applyAlignment="1">
      <alignment horizontal="center"/>
    </xf>
    <xf numFmtId="167" fontId="34" fillId="0" borderId="0" xfId="0" applyNumberFormat="1" applyFont="1"/>
    <xf numFmtId="0" fontId="44" fillId="0" borderId="0" xfId="0" applyFont="1" applyAlignment="1">
      <alignment horizontal="center"/>
    </xf>
    <xf numFmtId="183" fontId="0" fillId="0" borderId="0" xfId="0" applyNumberFormat="1"/>
    <xf numFmtId="0" fontId="44" fillId="0" borderId="2" xfId="0" applyFont="1" applyBorder="1" applyAlignment="1">
      <alignment horizontal="center"/>
    </xf>
    <xf numFmtId="167" fontId="34" fillId="0" borderId="2" xfId="0" applyNumberFormat="1" applyFont="1" applyBorder="1"/>
    <xf numFmtId="167" fontId="0" fillId="0" borderId="2" xfId="0" applyNumberFormat="1" applyFont="1" applyBorder="1"/>
    <xf numFmtId="0" fontId="35" fillId="0" borderId="2" xfId="0" applyFont="1" applyBorder="1" applyAlignment="1">
      <alignment horizontal="center"/>
    </xf>
    <xf numFmtId="0" fontId="0" fillId="0" borderId="21" xfId="0" applyBorder="1" applyAlignment="1">
      <alignment horizontal="centerContinuous"/>
    </xf>
    <xf numFmtId="0" fontId="0" fillId="0" borderId="22" xfId="0" applyBorder="1" applyAlignment="1">
      <alignment horizontal="centerContinuous"/>
    </xf>
    <xf numFmtId="0" fontId="0" fillId="3" borderId="22" xfId="0" applyFill="1" applyBorder="1" applyAlignment="1">
      <alignment horizontal="centerContinuous"/>
    </xf>
    <xf numFmtId="0" fontId="0" fillId="0" borderId="23" xfId="0" applyBorder="1" applyAlignment="1">
      <alignment horizontal="centerContinuous"/>
    </xf>
    <xf numFmtId="0" fontId="0" fillId="3" borderId="23" xfId="0" applyFill="1" applyBorder="1" applyAlignment="1">
      <alignment horizontal="centerContinuous"/>
    </xf>
    <xf numFmtId="0" fontId="3" fillId="11" borderId="0" xfId="31" applyFont="1" applyFill="1" applyAlignment="1">
      <alignment vertical="top"/>
    </xf>
    <xf numFmtId="0" fontId="46" fillId="11" borderId="0" xfId="32" applyFill="1" applyAlignment="1">
      <alignment vertical="top"/>
    </xf>
    <xf numFmtId="0" fontId="46" fillId="11" borderId="0" xfId="32" applyFill="1"/>
    <xf numFmtId="0" fontId="47" fillId="11" borderId="0" xfId="31" applyFont="1" applyFill="1" applyAlignment="1">
      <alignment horizontal="left" vertical="top"/>
    </xf>
    <xf numFmtId="0" fontId="3" fillId="11" borderId="0" xfId="32" applyFont="1" applyFill="1" applyAlignment="1">
      <alignment vertical="top"/>
    </xf>
    <xf numFmtId="0" fontId="4" fillId="11" borderId="0" xfId="31" applyFont="1" applyFill="1" applyAlignment="1">
      <alignment vertical="top"/>
    </xf>
    <xf numFmtId="0" fontId="0" fillId="11" borderId="0" xfId="0" applyFill="1" applyAlignment="1">
      <alignment vertical="top"/>
    </xf>
    <xf numFmtId="0" fontId="48" fillId="11" borderId="0" xfId="0" applyFont="1" applyFill="1" applyAlignment="1">
      <alignment vertical="top"/>
    </xf>
    <xf numFmtId="0" fontId="49" fillId="11" borderId="0" xfId="0" applyFont="1" applyFill="1" applyAlignment="1">
      <alignment vertical="top"/>
    </xf>
    <xf numFmtId="0" fontId="49" fillId="11" borderId="0" xfId="0" applyFont="1" applyFill="1" applyAlignment="1">
      <alignment vertical="top"/>
    </xf>
    <xf numFmtId="0" fontId="48" fillId="11" borderId="0" xfId="0" applyFont="1" applyFill="1" applyAlignment="1">
      <alignment vertical="top"/>
    </xf>
    <xf numFmtId="0" fontId="0" fillId="11" borderId="0" xfId="0" applyFill="1" applyAlignment="1">
      <alignment vertical="top"/>
    </xf>
    <xf numFmtId="0" fontId="0" fillId="11" borderId="28" xfId="0" applyFill="1" applyBorder="1" applyAlignment="1">
      <alignment vertical="top"/>
    </xf>
    <xf numFmtId="0" fontId="48" fillId="11" borderId="24" xfId="0" applyFont="1" applyFill="1" applyBorder="1" applyAlignment="1">
      <alignment vertical="top"/>
    </xf>
    <xf numFmtId="0" fontId="48" fillId="11" borderId="25" xfId="0" applyFont="1" applyFill="1" applyBorder="1" applyAlignment="1">
      <alignment vertical="top"/>
    </xf>
    <xf numFmtId="0" fontId="48" fillId="11" borderId="26" xfId="0" applyFont="1" applyFill="1" applyBorder="1" applyAlignment="1">
      <alignment vertical="top"/>
    </xf>
    <xf numFmtId="0" fontId="48" fillId="11" borderId="27" xfId="0" applyFont="1" applyFill="1" applyBorder="1" applyAlignment="1">
      <alignment vertical="top"/>
    </xf>
    <xf numFmtId="9" fontId="48" fillId="11" borderId="24" xfId="0" applyNumberFormat="1" applyFont="1" applyFill="1" applyBorder="1" applyAlignment="1">
      <alignment vertical="top"/>
    </xf>
    <xf numFmtId="3" fontId="48" fillId="11" borderId="24" xfId="0" applyNumberFormat="1" applyFont="1" applyFill="1" applyBorder="1" applyAlignment="1">
      <alignment vertical="top"/>
    </xf>
    <xf numFmtId="0" fontId="0" fillId="11" borderId="29" xfId="0" applyFill="1" applyBorder="1" applyAlignment="1">
      <alignment vertical="top"/>
    </xf>
    <xf numFmtId="2" fontId="3" fillId="0" borderId="0" xfId="15" applyNumberFormat="1" applyAlignment="1">
      <alignment horizontal="left"/>
    </xf>
    <xf numFmtId="0" fontId="3" fillId="0" borderId="0" xfId="15" applyNumberFormat="1" applyAlignment="1">
      <alignment horizontal="left"/>
    </xf>
    <xf numFmtId="1" fontId="3" fillId="0" borderId="0" xfId="15" applyNumberFormat="1" applyAlignment="1">
      <alignment horizontal="left"/>
    </xf>
    <xf numFmtId="0" fontId="3" fillId="0" borderId="0" xfId="15" applyFont="1"/>
    <xf numFmtId="193" fontId="3" fillId="0" borderId="0" xfId="15" applyNumberFormat="1" applyAlignment="1">
      <alignment horizontal="left"/>
    </xf>
    <xf numFmtId="49" fontId="3" fillId="0" borderId="0" xfId="15" applyNumberFormat="1"/>
    <xf numFmtId="0" fontId="50" fillId="0" borderId="0" xfId="15" applyFont="1" applyAlignment="1">
      <alignment wrapText="1"/>
    </xf>
    <xf numFmtId="0" fontId="50" fillId="0" borderId="0" xfId="15" applyFont="1" applyAlignment="1">
      <alignment horizontal="left" wrapText="1" indent="3"/>
    </xf>
    <xf numFmtId="0" fontId="50" fillId="0" borderId="0" xfId="15" applyFont="1" applyAlignment="1">
      <alignment horizontal="left" wrapText="1" indent="1"/>
    </xf>
    <xf numFmtId="0" fontId="52" fillId="0" borderId="0" xfId="15" applyFont="1" applyAlignment="1">
      <alignment wrapText="1"/>
    </xf>
  </cellXfs>
  <cellStyles count="33">
    <cellStyle name=" 1" xfId="1"/>
    <cellStyle name="%" xfId="2"/>
    <cellStyle name="******************************************" xfId="3"/>
    <cellStyle name="_RRS1" xfId="4"/>
    <cellStyle name="_RRS5" xfId="5"/>
    <cellStyle name="_RRS9" xfId="6"/>
    <cellStyle name="_SUMMARY " xfId="7"/>
    <cellStyle name="=C:\WINNT35\SYSTEM32\COMMAND.COM" xfId="8"/>
    <cellStyle name="0_Capex &amp; Depreciation " xfId="9"/>
    <cellStyle name="0_Valuing BP " xfId="10"/>
    <cellStyle name="c_HardInc " xfId="11"/>
    <cellStyle name="Currency 2" xfId="12"/>
    <cellStyle name="Currency 3" xfId="13"/>
    <cellStyle name="Currency 4" xfId="14"/>
    <cellStyle name="Normal" xfId="0" builtinId="0"/>
    <cellStyle name="Normal 2" xfId="15"/>
    <cellStyle name="Normal 3" xfId="16"/>
    <cellStyle name="Normal 4" xfId="17"/>
    <cellStyle name="Normal 5" xfId="32"/>
    <cellStyle name="Normal_DisclaimerSheet Samples" xfId="31"/>
    <cellStyle name="Normal_theHUNTER32" xfId="18"/>
    <cellStyle name="Onedec_FT Valuation " xfId="19"/>
    <cellStyle name="p " xfId="20"/>
    <cellStyle name="Percent 2" xfId="21"/>
    <cellStyle name="RRSInstruction" xfId="22"/>
    <cellStyle name="RRSInstruction 2" xfId="23"/>
    <cellStyle name="RRSInstruction 3" xfId="24"/>
    <cellStyle name="s_HardInc " xfId="25"/>
    <cellStyle name="s_Valuation " xfId="26"/>
    <cellStyle name="ssp " xfId="27"/>
    <cellStyle name="Style 1" xfId="28"/>
    <cellStyle name="콤마 [0]_#3이설 견적_준공내역총괄표 " xfId="29"/>
    <cellStyle name="콤마_#3이설 견적_준공내역총괄표 " xfId="30"/>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FFFFFF"/>
      <color rgb="FFBCE3A1"/>
      <color rgb="FFE58061"/>
      <color rgb="FFA8D7E2"/>
      <color rgb="FF4AAC6B"/>
      <color rgb="FFEACC80"/>
      <color rgb="FF137CB1"/>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
<Relationship Id="rId1" Target="worksheets/sheet1.xml" Type="http://schemas.openxmlformats.org/officeDocument/2006/relationships/worksheet"/>
<Relationship Id="rId10" Target="worksheets/sheet10.xml" Type="http://schemas.openxmlformats.org/officeDocument/2006/relationships/worksheet"/>
<Relationship Id="rId11" Target="worksheets/sheet11.xml" Type="http://schemas.openxmlformats.org/officeDocument/2006/relationships/worksheet"/>
<Relationship Id="rId12" Target="worksheets/sheet12.xml" Type="http://schemas.openxmlformats.org/officeDocument/2006/relationships/worksheet"/>
<Relationship Id="rId13" Target="worksheets/sheet13.xml" Type="http://schemas.openxmlformats.org/officeDocument/2006/relationships/worksheet"/>
<Relationship Id="rId14" Target="worksheets/sheet14.xml" Type="http://schemas.openxmlformats.org/officeDocument/2006/relationships/worksheet"/>
<Relationship Id="rId15" Target="worksheets/sheet15.xml" Type="http://schemas.openxmlformats.org/officeDocument/2006/relationships/worksheet"/>
<Relationship Id="rId16" Target="worksheets/sheet16.xml" Type="http://schemas.openxmlformats.org/officeDocument/2006/relationships/worksheet"/>
<Relationship Id="rId17" Target="worksheets/sheet17.xml" Type="http://schemas.openxmlformats.org/officeDocument/2006/relationships/worksheet"/>
<Relationship Id="rId18" Target="worksheets/sheet18.xml" Type="http://schemas.openxmlformats.org/officeDocument/2006/relationships/worksheet"/>
<Relationship Id="rId19" Target="externalLinks/externalLink1.xml" Type="http://schemas.openxmlformats.org/officeDocument/2006/relationships/externalLink"/>
<Relationship Id="rId2" Target="worksheets/sheet2.xml" Type="http://schemas.openxmlformats.org/officeDocument/2006/relationships/worksheet"/>
<Relationship Id="rId20" Target="externalLinks/externalLink2.xml" Type="http://schemas.openxmlformats.org/officeDocument/2006/relationships/externalLink"/>
<Relationship Id="rId21" Target="externalLinks/externalLink3.xml" Type="http://schemas.openxmlformats.org/officeDocument/2006/relationships/externalLink"/>
<Relationship Id="rId22" Target="externalLinks/externalLink4.xml" Type="http://schemas.openxmlformats.org/officeDocument/2006/relationships/externalLink"/>
<Relationship Id="rId23" Target="theme/theme1.xml" Type="http://schemas.openxmlformats.org/officeDocument/2006/relationships/theme"/>
<Relationship Id="rId24" Target="styles.xml" Type="http://schemas.openxmlformats.org/officeDocument/2006/relationships/styles"/>
<Relationship Id="rId25" Target="sharedStrings.xml" Type="http://schemas.openxmlformats.org/officeDocument/2006/relationships/sharedStrings"/>
<Relationship Id="rId26" Target="calcChain.xml" Type="http://schemas.openxmlformats.org/officeDocument/2006/relationships/calcChain"/>
<Relationship Id="rId27" Target="../customXml/item1.xml" Type="http://schemas.openxmlformats.org/officeDocument/2006/relationships/customXml"/>
<Relationship Id="rId28" Target="../customXml/item2.xml" Type="http://schemas.openxmlformats.org/officeDocument/2006/relationships/customXml"/>
<Relationship Id="rId29" Target="vbaProject.bin" Type="http://schemas.microsoft.com/office/2006/relationships/vbaProject"/>
<Relationship Id="rId3" Target="worksheets/sheet3.xml" Type="http://schemas.openxmlformats.org/officeDocument/2006/relationships/worksheet"/>
<Relationship Id="rId4" Target="worksheets/sheet4.xml" Type="http://schemas.openxmlformats.org/officeDocument/2006/relationships/worksheet"/>
<Relationship Id="rId5" Target="worksheets/sheet5.xml" Type="http://schemas.openxmlformats.org/officeDocument/2006/relationships/worksheet"/>
<Relationship Id="rId6" Target="worksheets/sheet6.xml" Type="http://schemas.openxmlformats.org/officeDocument/2006/relationships/worksheet"/>
<Relationship Id="rId7" Target="worksheets/sheet7.xml" Type="http://schemas.openxmlformats.org/officeDocument/2006/relationships/worksheet"/>
<Relationship Id="rId8" Target="worksheets/sheet8.xml" Type="http://schemas.openxmlformats.org/officeDocument/2006/relationships/worksheet"/>
<Relationship Id="rId9" Target="worksheets/sheet9.xml" Type="http://schemas.openxmlformats.org/officeDocument/2006/relationships/worksheet"/>
</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Calibri"/>
                <a:ea typeface="Calibri"/>
                <a:cs typeface="Calibri"/>
              </a:defRPr>
            </a:pPr>
            <a:r>
              <a:rPr lang="en-US"/>
              <a:t>REVENUE</a:t>
            </a:r>
          </a:p>
        </c:rich>
      </c:tx>
      <c:layout>
        <c:manualLayout>
          <c:xMode val="edge"/>
          <c:yMode val="edge"/>
          <c:x val="2.3604110989543161E-4"/>
          <c:y val="1.3888923884514437E-2"/>
        </c:manualLayout>
      </c:layout>
      <c:overlay val="1"/>
    </c:title>
    <c:autoTitleDeleted val="0"/>
    <c:plotArea>
      <c:layout/>
      <c:barChart>
        <c:barDir val="col"/>
        <c:grouping val="clustered"/>
        <c:varyColors val="0"/>
        <c:ser>
          <c:idx val="0"/>
          <c:order val="0"/>
          <c:tx>
            <c:strRef>
              <c:f>Charts!$B$6</c:f>
              <c:strCache>
                <c:ptCount val="1"/>
                <c:pt idx="0">
                  <c:v>Revenue</c:v>
                </c:pt>
              </c:strCache>
            </c:strRef>
          </c:tx>
          <c:spPr>
            <a:solidFill>
              <a:srgbClr val="EACC80"/>
            </a:solidFill>
            <a:ln>
              <a:noFill/>
            </a:ln>
          </c:spPr>
          <c:invertIfNegative val="0"/>
          <c:dLbls>
            <c:numFmt formatCode="\$#,##0_);\(\$#,##0\)" sourceLinked="0"/>
            <c:txPr>
              <a:bodyPr rot="-5400000" vert="horz"/>
              <a:lstStyle/>
              <a:p>
                <a:pPr algn="ctr">
                  <a:defRPr sz="1000" b="0" i="0" u="none" strike="noStrike" baseline="0">
                    <a:solidFill>
                      <a:srgbClr val="000000"/>
                    </a:solidFill>
                    <a:latin typeface="Calibri"/>
                    <a:ea typeface="Calibri"/>
                    <a:cs typeface="Calibri"/>
                  </a:defRPr>
                </a:pPr>
                <a:endParaRPr lang="en-US"/>
              </a:p>
            </c:txPr>
            <c:dLblPos val="inBase"/>
            <c:showLegendKey val="0"/>
            <c:showVal val="1"/>
            <c:showCatName val="0"/>
            <c:showSerName val="0"/>
            <c:showPercent val="0"/>
            <c:showBubbleSize val="0"/>
            <c:showLeaderLines val="0"/>
          </c:dLbls>
          <c:cat>
            <c:strRef>
              <c:f>Charts!$H$3:$N$3</c:f>
              <c:strCache>
                <c:ptCount val="7"/>
                <c:pt idx="0">
                  <c:v>2014</c:v>
                </c:pt>
                <c:pt idx="1">
                  <c:v>2015</c:v>
                </c:pt>
                <c:pt idx="2">
                  <c:v>2016</c:v>
                </c:pt>
                <c:pt idx="3">
                  <c:v>2017</c:v>
                </c:pt>
                <c:pt idx="4">
                  <c:v>2018E</c:v>
                </c:pt>
                <c:pt idx="5">
                  <c:v>2019E</c:v>
                </c:pt>
                <c:pt idx="6">
                  <c:v>2020E</c:v>
                </c:pt>
              </c:strCache>
            </c:strRef>
          </c:cat>
          <c:val>
            <c:numRef>
              <c:f>Charts!$H$6:$N$6</c:f>
              <c:numCache>
                <c:formatCode>#,##0.0_);\(#,##0.0\)</c:formatCode>
                <c:ptCount val="7"/>
                <c:pt idx="0">
                  <c:v>1123.1872215806145</c:v>
                </c:pt>
                <c:pt idx="1">
                  <c:v>1347.1</c:v>
                </c:pt>
                <c:pt idx="2">
                  <c:v>1721.7</c:v>
                </c:pt>
                <c:pt idx="3">
                  <c:v>2199.8000000000002</c:v>
                </c:pt>
                <c:pt idx="4">
                  <c:v>2607.6426124011377</c:v>
                </c:pt>
                <c:pt idx="5">
                  <c:v>2690.2027031106882</c:v>
                </c:pt>
                <c:pt idx="6">
                  <c:v>2797.5603594642562</c:v>
                </c:pt>
              </c:numCache>
            </c:numRef>
          </c:val>
        </c:ser>
        <c:dLbls>
          <c:showLegendKey val="0"/>
          <c:showVal val="0"/>
          <c:showCatName val="0"/>
          <c:showSerName val="0"/>
          <c:showPercent val="0"/>
          <c:showBubbleSize val="0"/>
        </c:dLbls>
        <c:gapWidth val="150"/>
        <c:axId val="56530048"/>
        <c:axId val="56531584"/>
      </c:barChart>
      <c:lineChart>
        <c:grouping val="standard"/>
        <c:varyColors val="0"/>
        <c:ser>
          <c:idx val="1"/>
          <c:order val="1"/>
          <c:tx>
            <c:strRef>
              <c:f>Charts!$B$7</c:f>
              <c:strCache>
                <c:ptCount val="1"/>
                <c:pt idx="0">
                  <c:v>% Y/Y</c:v>
                </c:pt>
              </c:strCache>
            </c:strRef>
          </c:tx>
          <c:spPr>
            <a:ln>
              <a:solidFill>
                <a:srgbClr val="1275A6"/>
              </a:solidFill>
            </a:ln>
          </c:spPr>
          <c:marker>
            <c:symbol val="square"/>
            <c:size val="5"/>
            <c:spPr>
              <a:solidFill>
                <a:srgbClr val="1275A6"/>
              </a:solidFill>
              <a:ln>
                <a:solidFill>
                  <a:srgbClr val="1275A6"/>
                </a:solidFill>
              </a:ln>
            </c:spPr>
          </c:marker>
          <c:dLbls>
            <c:dLbl>
              <c:idx val="2"/>
              <c:layout>
                <c:manualLayout>
                  <c:x val="-6.3668895887937768E-2"/>
                  <c:y val="7.1127087158234084E-2"/>
                </c:manualLayout>
              </c:layout>
              <c:dLblPos val="r"/>
              <c:showLegendKey val="0"/>
              <c:showVal val="1"/>
              <c:showCatName val="0"/>
              <c:showSerName val="0"/>
              <c:showPercent val="0"/>
              <c:showBubbleSize val="0"/>
            </c:dLbl>
            <c:dLbl>
              <c:idx val="3"/>
              <c:layout>
                <c:manualLayout>
                  <c:x val="-7.5829590368921479E-2"/>
                  <c:y val="0.1317899406485411"/>
                </c:manualLayout>
              </c:layout>
              <c:dLblPos val="r"/>
              <c:showLegendKey val="0"/>
              <c:showVal val="1"/>
              <c:showCatName val="0"/>
              <c:showSerName val="0"/>
              <c:showPercent val="0"/>
              <c:showBubbleSize val="0"/>
            </c:dLbl>
            <c:dLbl>
              <c:idx val="5"/>
              <c:layout>
                <c:manualLayout>
                  <c:x val="-5.5907305436478753E-2"/>
                  <c:y val="-0.15479714487829907"/>
                </c:manualLayout>
              </c:layout>
              <c:dLblPos val="r"/>
              <c:showLegendKey val="0"/>
              <c:showVal val="1"/>
              <c:showCatName val="0"/>
              <c:showSerName val="0"/>
              <c:showPercent val="0"/>
              <c:showBubbleSize val="0"/>
            </c:dLbl>
            <c:dLbl>
              <c:idx val="6"/>
              <c:layout>
                <c:manualLayout>
                  <c:x val="-5.5907305436478642E-2"/>
                  <c:y val="-0.15479714487829907"/>
                </c:manualLayout>
              </c:layout>
              <c:dLblPos val="r"/>
              <c:showLegendKey val="0"/>
              <c:showVal val="1"/>
              <c:showCatName val="0"/>
              <c:showSerName val="0"/>
              <c:showPercent val="0"/>
              <c:showBubbleSize val="0"/>
            </c:dLbl>
            <c:txPr>
              <a:bodyPr/>
              <a:lstStyle/>
              <a:p>
                <a:pPr>
                  <a:defRPr sz="1000" b="0" i="0" u="none" strike="noStrike" baseline="0">
                    <a:solidFill>
                      <a:srgbClr val="000000"/>
                    </a:solidFill>
                    <a:latin typeface="Calibri"/>
                    <a:ea typeface="Calibri"/>
                    <a:cs typeface="Calibri"/>
                  </a:defRPr>
                </a:pPr>
                <a:endParaRPr lang="en-US"/>
              </a:p>
            </c:txPr>
            <c:dLblPos val="t"/>
            <c:showLegendKey val="0"/>
            <c:showVal val="1"/>
            <c:showCatName val="0"/>
            <c:showSerName val="0"/>
            <c:showPercent val="0"/>
            <c:showBubbleSize val="0"/>
            <c:showLeaderLines val="0"/>
          </c:dLbls>
          <c:val>
            <c:numRef>
              <c:f>Charts!$H$7:$N$7</c:f>
              <c:numCache>
                <c:formatCode>0.0%</c:formatCode>
                <c:ptCount val="7"/>
                <c:pt idx="0">
                  <c:v>0.118308415130147</c:v>
                </c:pt>
                <c:pt idx="1">
                  <c:v>0.1993548129084679</c:v>
                </c:pt>
                <c:pt idx="2">
                  <c:v>0.27807883601811301</c:v>
                </c:pt>
                <c:pt idx="3">
                  <c:v>0.27769065458558417</c:v>
                </c:pt>
                <c:pt idx="4">
                  <c:v>0.1853998601696234</c:v>
                </c:pt>
                <c:pt idx="5">
                  <c:v>3.1660815142734888E-2</c:v>
                </c:pt>
                <c:pt idx="6">
                  <c:v>3.9906902267784483E-2</c:v>
                </c:pt>
              </c:numCache>
            </c:numRef>
          </c:val>
          <c:smooth val="0"/>
        </c:ser>
        <c:dLbls>
          <c:showLegendKey val="0"/>
          <c:showVal val="0"/>
          <c:showCatName val="0"/>
          <c:showSerName val="0"/>
          <c:showPercent val="0"/>
          <c:showBubbleSize val="0"/>
        </c:dLbls>
        <c:marker val="1"/>
        <c:smooth val="0"/>
        <c:axId val="56549760"/>
        <c:axId val="56551296"/>
      </c:lineChart>
      <c:catAx>
        <c:axId val="56530048"/>
        <c:scaling>
          <c:orientation val="minMax"/>
        </c:scaling>
        <c:delete val="0"/>
        <c:axPos val="b"/>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56531584"/>
        <c:crosses val="autoZero"/>
        <c:auto val="1"/>
        <c:lblAlgn val="ctr"/>
        <c:lblOffset val="100"/>
        <c:noMultiLvlLbl val="0"/>
      </c:catAx>
      <c:valAx>
        <c:axId val="56531584"/>
        <c:scaling>
          <c:orientation val="minMax"/>
        </c:scaling>
        <c:delete val="0"/>
        <c:axPos val="l"/>
        <c:majorGridlines>
          <c:spPr>
            <a:ln>
              <a:solidFill>
                <a:schemeClr val="bg1">
                  <a:lumMod val="90000"/>
                </a:schemeClr>
              </a:solidFill>
            </a:ln>
          </c:spPr>
        </c:majorGridlines>
        <c:numFmt formatCode="\$#,##0_);\(\$#,##0\)" sourceLinked="0"/>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56530048"/>
        <c:crosses val="autoZero"/>
        <c:crossBetween val="between"/>
      </c:valAx>
      <c:catAx>
        <c:axId val="56549760"/>
        <c:scaling>
          <c:orientation val="minMax"/>
        </c:scaling>
        <c:delete val="1"/>
        <c:axPos val="b"/>
        <c:majorTickMark val="out"/>
        <c:minorTickMark val="none"/>
        <c:tickLblPos val="nextTo"/>
        <c:crossAx val="56551296"/>
        <c:crosses val="autoZero"/>
        <c:auto val="1"/>
        <c:lblAlgn val="ctr"/>
        <c:lblOffset val="100"/>
        <c:noMultiLvlLbl val="0"/>
      </c:catAx>
      <c:valAx>
        <c:axId val="56551296"/>
        <c:scaling>
          <c:orientation val="minMax"/>
        </c:scaling>
        <c:delete val="0"/>
        <c:axPos val="r"/>
        <c:numFmt formatCode="0.0%" sourceLinked="0"/>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56549760"/>
        <c:crosses val="max"/>
        <c:crossBetween val="between"/>
        <c:majorUnit val="5.000000000000001E-2"/>
      </c:valAx>
      <c:spPr>
        <a:noFill/>
        <a:ln w="25400">
          <a:noFill/>
        </a:ln>
      </c:spPr>
    </c:plotArea>
    <c:legend>
      <c:legendPos val="t"/>
      <c:layout>
        <c:manualLayout>
          <c:xMode val="edge"/>
          <c:yMode val="edge"/>
          <c:x val="0.52597157701528763"/>
          <c:y val="1.8518425196850395E-2"/>
          <c:w val="0.47402842298471237"/>
          <c:h val="0.1085459317585302"/>
        </c:manualLayout>
      </c:layout>
      <c:overlay val="0"/>
      <c:txPr>
        <a:bodyPr/>
        <a:lstStyle/>
        <a:p>
          <a:pPr>
            <a:defRPr sz="1000" b="0" i="0" u="none" strike="noStrike" baseline="0">
              <a:solidFill>
                <a:srgbClr val="000000"/>
              </a:solidFill>
              <a:latin typeface="Calibri"/>
              <a:ea typeface="Calibri"/>
              <a:cs typeface="Calibri"/>
            </a:defRPr>
          </a:pPr>
          <a:endParaRPr lang="en-US"/>
        </a:p>
      </c:txPr>
    </c:legend>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Calibri"/>
                <a:ea typeface="Calibri"/>
                <a:cs typeface="Calibri"/>
              </a:defRPr>
            </a:pPr>
            <a:r>
              <a:rPr lang="en-US"/>
              <a:t>ADJUSTED EBITDA</a:t>
            </a:r>
          </a:p>
        </c:rich>
      </c:tx>
      <c:layout>
        <c:manualLayout>
          <c:xMode val="edge"/>
          <c:yMode val="edge"/>
          <c:x val="2.3604110989543161E-4"/>
          <c:y val="1.3888923884514437E-2"/>
        </c:manualLayout>
      </c:layout>
      <c:overlay val="1"/>
    </c:title>
    <c:autoTitleDeleted val="0"/>
    <c:plotArea>
      <c:layout/>
      <c:barChart>
        <c:barDir val="col"/>
        <c:grouping val="clustered"/>
        <c:varyColors val="0"/>
        <c:ser>
          <c:idx val="0"/>
          <c:order val="0"/>
          <c:tx>
            <c:strRef>
              <c:f>Charts!$B$120</c:f>
              <c:strCache>
                <c:ptCount val="1"/>
                <c:pt idx="0">
                  <c:v>Adjusted EBITDA</c:v>
                </c:pt>
              </c:strCache>
            </c:strRef>
          </c:tx>
          <c:spPr>
            <a:solidFill>
              <a:srgbClr val="EACC80"/>
            </a:solidFill>
            <a:ln>
              <a:noFill/>
            </a:ln>
          </c:spPr>
          <c:invertIfNegative val="0"/>
          <c:dLbls>
            <c:numFmt formatCode="\$#,##0_);\(\$#,##0\)" sourceLinked="0"/>
            <c:txPr>
              <a:bodyPr rot="-5400000" vert="horz"/>
              <a:lstStyle/>
              <a:p>
                <a:pPr algn="ctr">
                  <a:defRPr sz="1000" b="0" i="0" u="none" strike="noStrike" baseline="0">
                    <a:solidFill>
                      <a:srgbClr val="000000"/>
                    </a:solidFill>
                    <a:latin typeface="Calibri"/>
                    <a:ea typeface="Calibri"/>
                    <a:cs typeface="Calibri"/>
                  </a:defRPr>
                </a:pPr>
                <a:endParaRPr lang="en-US"/>
              </a:p>
            </c:txPr>
            <c:dLblPos val="inBase"/>
            <c:showLegendKey val="0"/>
            <c:showVal val="1"/>
            <c:showCatName val="0"/>
            <c:showSerName val="0"/>
            <c:showPercent val="0"/>
            <c:showBubbleSize val="0"/>
            <c:showLeaderLines val="0"/>
          </c:dLbls>
          <c:cat>
            <c:strRef>
              <c:f>Charts!$H$3:$N$3</c:f>
              <c:strCache>
                <c:ptCount val="7"/>
                <c:pt idx="0">
                  <c:v>2014</c:v>
                </c:pt>
                <c:pt idx="1">
                  <c:v>2015</c:v>
                </c:pt>
                <c:pt idx="2">
                  <c:v>2016</c:v>
                </c:pt>
                <c:pt idx="3">
                  <c:v>2017</c:v>
                </c:pt>
                <c:pt idx="4">
                  <c:v>2018E</c:v>
                </c:pt>
                <c:pt idx="5">
                  <c:v>2019E</c:v>
                </c:pt>
                <c:pt idx="6">
                  <c:v>2020E</c:v>
                </c:pt>
              </c:strCache>
            </c:strRef>
          </c:cat>
          <c:val>
            <c:numRef>
              <c:f>Charts!$H$120:$N$120</c:f>
              <c:numCache>
                <c:formatCode>#,##0.0_);\(#,##0.0\)</c:formatCode>
                <c:ptCount val="7"/>
                <c:pt idx="0">
                  <c:v>653.61018672880209</c:v>
                </c:pt>
                <c:pt idx="1">
                  <c:v>782.60000000000014</c:v>
                </c:pt>
                <c:pt idx="2">
                  <c:v>934.9</c:v>
                </c:pt>
                <c:pt idx="3">
                  <c:v>1116.8000000000002</c:v>
                </c:pt>
                <c:pt idx="4">
                  <c:v>1304.4861798408563</c:v>
                </c:pt>
                <c:pt idx="5">
                  <c:v>1370.016083933192</c:v>
                </c:pt>
                <c:pt idx="6">
                  <c:v>1451.1599812439413</c:v>
                </c:pt>
              </c:numCache>
            </c:numRef>
          </c:val>
        </c:ser>
        <c:dLbls>
          <c:showLegendKey val="0"/>
          <c:showVal val="0"/>
          <c:showCatName val="0"/>
          <c:showSerName val="0"/>
          <c:showPercent val="0"/>
          <c:showBubbleSize val="0"/>
        </c:dLbls>
        <c:gapWidth val="150"/>
        <c:axId val="605324032"/>
        <c:axId val="605325568"/>
      </c:barChart>
      <c:lineChart>
        <c:grouping val="standard"/>
        <c:varyColors val="0"/>
        <c:ser>
          <c:idx val="1"/>
          <c:order val="1"/>
          <c:tx>
            <c:strRef>
              <c:f>Charts!$B$121</c:f>
              <c:strCache>
                <c:ptCount val="1"/>
                <c:pt idx="0">
                  <c:v>% Margin</c:v>
                </c:pt>
              </c:strCache>
            </c:strRef>
          </c:tx>
          <c:spPr>
            <a:ln>
              <a:solidFill>
                <a:srgbClr val="1275A6"/>
              </a:solidFill>
            </a:ln>
          </c:spPr>
          <c:marker>
            <c:symbol val="square"/>
            <c:size val="5"/>
            <c:spPr>
              <a:solidFill>
                <a:srgbClr val="1275A6"/>
              </a:solidFill>
              <a:ln>
                <a:solidFill>
                  <a:srgbClr val="1275A6"/>
                </a:solidFill>
              </a:ln>
            </c:spPr>
          </c:marker>
          <c:dLbls>
            <c:txPr>
              <a:bodyPr/>
              <a:lstStyle/>
              <a:p>
                <a:pPr>
                  <a:defRPr sz="1000" b="0" i="0" u="none" strike="noStrike" baseline="0">
                    <a:solidFill>
                      <a:srgbClr val="000000"/>
                    </a:solidFill>
                    <a:latin typeface="Calibri"/>
                    <a:ea typeface="Calibri"/>
                    <a:cs typeface="Calibri"/>
                  </a:defRPr>
                </a:pPr>
                <a:endParaRPr lang="en-US"/>
              </a:p>
            </c:txPr>
            <c:dLblPos val="t"/>
            <c:showLegendKey val="0"/>
            <c:showVal val="1"/>
            <c:showCatName val="0"/>
            <c:showSerName val="0"/>
            <c:showPercent val="0"/>
            <c:showBubbleSize val="0"/>
            <c:showLeaderLines val="0"/>
          </c:dLbls>
          <c:val>
            <c:numRef>
              <c:f>Charts!$H$121:$N$121</c:f>
              <c:numCache>
                <c:formatCode>0.0%</c:formatCode>
                <c:ptCount val="7"/>
                <c:pt idx="0">
                  <c:v>0.58192452172755649</c:v>
                </c:pt>
                <c:pt idx="1">
                  <c:v>0.5809516739662981</c:v>
                </c:pt>
                <c:pt idx="2">
                  <c:v>0.5430098158796538</c:v>
                </c:pt>
                <c:pt idx="3">
                  <c:v>0.50768251659241759</c:v>
                </c:pt>
                <c:pt idx="4">
                  <c:v>0.50025497115176965</c:v>
                </c:pt>
                <c:pt idx="5">
                  <c:v>0.50926128441884289</c:v>
                </c:pt>
                <c:pt idx="6">
                  <c:v>0.51872338565801102</c:v>
                </c:pt>
              </c:numCache>
            </c:numRef>
          </c:val>
          <c:smooth val="0"/>
        </c:ser>
        <c:dLbls>
          <c:showLegendKey val="0"/>
          <c:showVal val="0"/>
          <c:showCatName val="0"/>
          <c:showSerName val="0"/>
          <c:showPercent val="0"/>
          <c:showBubbleSize val="0"/>
        </c:dLbls>
        <c:marker val="1"/>
        <c:smooth val="0"/>
        <c:axId val="605347840"/>
        <c:axId val="605349376"/>
      </c:lineChart>
      <c:catAx>
        <c:axId val="605324032"/>
        <c:scaling>
          <c:orientation val="minMax"/>
        </c:scaling>
        <c:delete val="0"/>
        <c:axPos val="b"/>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605325568"/>
        <c:crosses val="autoZero"/>
        <c:auto val="1"/>
        <c:lblAlgn val="ctr"/>
        <c:lblOffset val="100"/>
        <c:noMultiLvlLbl val="0"/>
      </c:catAx>
      <c:valAx>
        <c:axId val="605325568"/>
        <c:scaling>
          <c:orientation val="minMax"/>
        </c:scaling>
        <c:delete val="0"/>
        <c:axPos val="l"/>
        <c:majorGridlines>
          <c:spPr>
            <a:ln>
              <a:solidFill>
                <a:schemeClr val="bg1">
                  <a:lumMod val="90000"/>
                </a:schemeClr>
              </a:solidFill>
            </a:ln>
          </c:spPr>
        </c:majorGridlines>
        <c:numFmt formatCode="\$#,##0_);\(\$#,##0\)" sourceLinked="0"/>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605324032"/>
        <c:crosses val="autoZero"/>
        <c:crossBetween val="between"/>
      </c:valAx>
      <c:catAx>
        <c:axId val="605347840"/>
        <c:scaling>
          <c:orientation val="minMax"/>
        </c:scaling>
        <c:delete val="1"/>
        <c:axPos val="b"/>
        <c:majorTickMark val="out"/>
        <c:minorTickMark val="none"/>
        <c:tickLblPos val="nextTo"/>
        <c:crossAx val="605349376"/>
        <c:crosses val="autoZero"/>
        <c:auto val="1"/>
        <c:lblAlgn val="ctr"/>
        <c:lblOffset val="100"/>
        <c:noMultiLvlLbl val="0"/>
      </c:catAx>
      <c:valAx>
        <c:axId val="605349376"/>
        <c:scaling>
          <c:orientation val="minMax"/>
          <c:min val="0.45"/>
        </c:scaling>
        <c:delete val="0"/>
        <c:axPos val="r"/>
        <c:numFmt formatCode="0.0%" sourceLinked="0"/>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605347840"/>
        <c:crosses val="max"/>
        <c:crossBetween val="between"/>
      </c:valAx>
      <c:spPr>
        <a:noFill/>
        <a:ln w="25400">
          <a:noFill/>
        </a:ln>
      </c:spPr>
    </c:plotArea>
    <c:legend>
      <c:legendPos val="t"/>
      <c:layout>
        <c:manualLayout>
          <c:xMode val="edge"/>
          <c:yMode val="edge"/>
          <c:x val="0.52597157701528763"/>
          <c:y val="1.8518425196850395E-2"/>
          <c:w val="0.47402842298471237"/>
          <c:h val="0.1085459317585302"/>
        </c:manualLayout>
      </c:layout>
      <c:overlay val="0"/>
      <c:txPr>
        <a:bodyPr/>
        <a:lstStyle/>
        <a:p>
          <a:pPr>
            <a:defRPr sz="1000" b="0" i="0" u="none" strike="noStrike" baseline="0">
              <a:solidFill>
                <a:srgbClr val="000000"/>
              </a:solidFill>
              <a:latin typeface="Calibri"/>
              <a:ea typeface="Calibri"/>
              <a:cs typeface="Calibri"/>
            </a:defRPr>
          </a:pPr>
          <a:endParaRPr lang="en-US"/>
        </a:p>
      </c:txPr>
    </c:legend>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Calibri"/>
                <a:ea typeface="Calibri"/>
                <a:cs typeface="Calibri"/>
              </a:defRPr>
            </a:pPr>
            <a:r>
              <a:rPr lang="en-US"/>
              <a:t>MONTHLY RECURRING REVENUE (MMR)</a:t>
            </a:r>
          </a:p>
        </c:rich>
      </c:tx>
      <c:layout>
        <c:manualLayout>
          <c:xMode val="edge"/>
          <c:yMode val="edge"/>
          <c:x val="2.3604110989543161E-4"/>
          <c:y val="1.3888923884514437E-2"/>
        </c:manualLayout>
      </c:layout>
      <c:overlay val="1"/>
    </c:title>
    <c:autoTitleDeleted val="0"/>
    <c:plotArea>
      <c:layout/>
      <c:barChart>
        <c:barDir val="col"/>
        <c:grouping val="clustered"/>
        <c:varyColors val="0"/>
        <c:ser>
          <c:idx val="0"/>
          <c:order val="0"/>
          <c:tx>
            <c:strRef>
              <c:f>Charts!$B$319</c:f>
              <c:strCache>
                <c:ptCount val="1"/>
                <c:pt idx="0">
                  <c:v>MRR</c:v>
                </c:pt>
              </c:strCache>
            </c:strRef>
          </c:tx>
          <c:spPr>
            <a:solidFill>
              <a:srgbClr val="EACC80"/>
            </a:solidFill>
            <a:ln>
              <a:noFill/>
            </a:ln>
          </c:spPr>
          <c:invertIfNegative val="0"/>
          <c:dLbls>
            <c:numFmt formatCode="\$#,##0_);\(\$#,##0\)" sourceLinked="0"/>
            <c:txPr>
              <a:bodyPr rot="-5400000" vert="horz"/>
              <a:lstStyle/>
              <a:p>
                <a:pPr algn="ctr">
                  <a:defRPr sz="1000" b="0" i="0" u="none" strike="noStrike" baseline="0">
                    <a:solidFill>
                      <a:srgbClr val="000000"/>
                    </a:solidFill>
                    <a:latin typeface="Calibri"/>
                    <a:ea typeface="Calibri"/>
                    <a:cs typeface="Calibri"/>
                  </a:defRPr>
                </a:pPr>
                <a:endParaRPr lang="en-US"/>
              </a:p>
            </c:txPr>
            <c:dLblPos val="inBase"/>
            <c:showLegendKey val="0"/>
            <c:showVal val="1"/>
            <c:showCatName val="0"/>
            <c:showSerName val="0"/>
            <c:showPercent val="0"/>
            <c:showBubbleSize val="0"/>
            <c:showLeaderLines val="0"/>
          </c:dLbls>
          <c:cat>
            <c:strRef>
              <c:f>Charts!$F$3:$L$3</c:f>
              <c:strCache>
                <c:ptCount val="7"/>
                <c:pt idx="0">
                  <c:v>2012</c:v>
                </c:pt>
                <c:pt idx="1">
                  <c:v>2013</c:v>
                </c:pt>
                <c:pt idx="2">
                  <c:v>2014</c:v>
                </c:pt>
                <c:pt idx="3">
                  <c:v>2015</c:v>
                </c:pt>
                <c:pt idx="4">
                  <c:v>2016</c:v>
                </c:pt>
                <c:pt idx="5">
                  <c:v>2017</c:v>
                </c:pt>
                <c:pt idx="6">
                  <c:v>2018E</c:v>
                </c:pt>
              </c:strCache>
            </c:strRef>
          </c:cat>
          <c:val>
            <c:numRef>
              <c:f>Charts!$F$319:$L$319</c:f>
              <c:numCache>
                <c:formatCode>#,##0.0_);\(#,##0.0\)</c:formatCode>
                <c:ptCount val="7"/>
                <c:pt idx="0">
                  <c:v>350.9</c:v>
                </c:pt>
                <c:pt idx="1">
                  <c:v>941.07600000000002</c:v>
                </c:pt>
                <c:pt idx="2">
                  <c:v>1030.0378165423176</c:v>
                </c:pt>
                <c:pt idx="3">
                  <c:v>1211.9000000000001</c:v>
                </c:pt>
                <c:pt idx="4">
                  <c:v>1370.3000000000002</c:v>
                </c:pt>
                <c:pt idx="5">
                  <c:v>1613.1</c:v>
                </c:pt>
                <c:pt idx="6">
                  <c:v>1918.2704858738143</c:v>
                </c:pt>
              </c:numCache>
            </c:numRef>
          </c:val>
        </c:ser>
        <c:dLbls>
          <c:showLegendKey val="0"/>
          <c:showVal val="0"/>
          <c:showCatName val="0"/>
          <c:showSerName val="0"/>
          <c:showPercent val="0"/>
          <c:showBubbleSize val="0"/>
        </c:dLbls>
        <c:gapWidth val="150"/>
        <c:axId val="607214208"/>
        <c:axId val="607220096"/>
      </c:barChart>
      <c:lineChart>
        <c:grouping val="standard"/>
        <c:varyColors val="0"/>
        <c:ser>
          <c:idx val="1"/>
          <c:order val="1"/>
          <c:tx>
            <c:strRef>
              <c:f>Charts!$B$321</c:f>
              <c:strCache>
                <c:ptCount val="1"/>
                <c:pt idx="0">
                  <c:v>% of Total</c:v>
                </c:pt>
              </c:strCache>
            </c:strRef>
          </c:tx>
          <c:spPr>
            <a:ln>
              <a:solidFill>
                <a:srgbClr val="1275A6"/>
              </a:solidFill>
            </a:ln>
          </c:spPr>
          <c:marker>
            <c:symbol val="square"/>
            <c:size val="5"/>
            <c:spPr>
              <a:solidFill>
                <a:srgbClr val="1275A6"/>
              </a:solidFill>
              <a:ln>
                <a:solidFill>
                  <a:srgbClr val="1275A6"/>
                </a:solidFill>
              </a:ln>
            </c:spPr>
          </c:marker>
          <c:dLbls>
            <c:txPr>
              <a:bodyPr/>
              <a:lstStyle/>
              <a:p>
                <a:pPr>
                  <a:defRPr sz="1000" b="0" i="0" u="none" strike="noStrike" baseline="0">
                    <a:solidFill>
                      <a:srgbClr val="000000"/>
                    </a:solidFill>
                    <a:latin typeface="Calibri"/>
                    <a:ea typeface="Calibri"/>
                    <a:cs typeface="Calibri"/>
                  </a:defRPr>
                </a:pPr>
                <a:endParaRPr lang="en-US"/>
              </a:p>
            </c:txPr>
            <c:dLblPos val="t"/>
            <c:showLegendKey val="0"/>
            <c:showVal val="1"/>
            <c:showCatName val="0"/>
            <c:showSerName val="0"/>
            <c:showPercent val="0"/>
            <c:showBubbleSize val="0"/>
            <c:showLeaderLines val="0"/>
          </c:dLbls>
          <c:val>
            <c:numRef>
              <c:f>Charts!$F$321:$L$321</c:f>
              <c:numCache>
                <c:formatCode>0.0%</c:formatCode>
                <c:ptCount val="7"/>
                <c:pt idx="0">
                  <c:v>0.93442264982983858</c:v>
                </c:pt>
                <c:pt idx="1">
                  <c:v>0.93698823300001677</c:v>
                </c:pt>
                <c:pt idx="2">
                  <c:v>0.91706689388149232</c:v>
                </c:pt>
                <c:pt idx="3">
                  <c:v>0.89963625566030747</c:v>
                </c:pt>
                <c:pt idx="4">
                  <c:v>0.79589940175408036</c:v>
                </c:pt>
                <c:pt idx="5">
                  <c:v>0.73329393581234648</c:v>
                </c:pt>
                <c:pt idx="6">
                  <c:v>0.73563396945237669</c:v>
                </c:pt>
              </c:numCache>
            </c:numRef>
          </c:val>
          <c:smooth val="0"/>
        </c:ser>
        <c:dLbls>
          <c:showLegendKey val="0"/>
          <c:showVal val="0"/>
          <c:showCatName val="0"/>
          <c:showSerName val="0"/>
          <c:showPercent val="0"/>
          <c:showBubbleSize val="0"/>
        </c:dLbls>
        <c:marker val="1"/>
        <c:smooth val="0"/>
        <c:axId val="607221632"/>
        <c:axId val="607223168"/>
      </c:lineChart>
      <c:catAx>
        <c:axId val="607214208"/>
        <c:scaling>
          <c:orientation val="minMax"/>
        </c:scaling>
        <c:delete val="0"/>
        <c:axPos val="b"/>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607220096"/>
        <c:crosses val="autoZero"/>
        <c:auto val="1"/>
        <c:lblAlgn val="ctr"/>
        <c:lblOffset val="100"/>
        <c:noMultiLvlLbl val="0"/>
      </c:catAx>
      <c:valAx>
        <c:axId val="607220096"/>
        <c:scaling>
          <c:orientation val="minMax"/>
          <c:max val="1800"/>
        </c:scaling>
        <c:delete val="0"/>
        <c:axPos val="l"/>
        <c:majorGridlines>
          <c:spPr>
            <a:ln>
              <a:solidFill>
                <a:schemeClr val="bg1">
                  <a:lumMod val="90000"/>
                </a:schemeClr>
              </a:solidFill>
            </a:ln>
          </c:spPr>
        </c:majorGridlines>
        <c:numFmt formatCode="\$#,##0_);\(\$#,##0\)" sourceLinked="0"/>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607214208"/>
        <c:crosses val="autoZero"/>
        <c:crossBetween val="between"/>
        <c:majorUnit val="300"/>
      </c:valAx>
      <c:catAx>
        <c:axId val="607221632"/>
        <c:scaling>
          <c:orientation val="minMax"/>
        </c:scaling>
        <c:delete val="1"/>
        <c:axPos val="b"/>
        <c:majorTickMark val="out"/>
        <c:minorTickMark val="none"/>
        <c:tickLblPos val="nextTo"/>
        <c:crossAx val="607223168"/>
        <c:crosses val="autoZero"/>
        <c:auto val="1"/>
        <c:lblAlgn val="ctr"/>
        <c:lblOffset val="100"/>
        <c:noMultiLvlLbl val="0"/>
      </c:catAx>
      <c:valAx>
        <c:axId val="607223168"/>
        <c:scaling>
          <c:orientation val="minMax"/>
        </c:scaling>
        <c:delete val="0"/>
        <c:axPos val="r"/>
        <c:numFmt formatCode="0.0%" sourceLinked="0"/>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607221632"/>
        <c:crosses val="max"/>
        <c:crossBetween val="between"/>
      </c:valAx>
      <c:spPr>
        <a:noFill/>
        <a:ln w="25400">
          <a:noFill/>
        </a:ln>
      </c:spPr>
    </c:plotArea>
    <c:legend>
      <c:legendPos val="t"/>
      <c:layout>
        <c:manualLayout>
          <c:xMode val="edge"/>
          <c:yMode val="edge"/>
          <c:x val="0.59589570665853553"/>
          <c:y val="1.8518425196850395E-2"/>
          <c:w val="0.40410429334146447"/>
          <c:h val="0.1085459317585302"/>
        </c:manualLayout>
      </c:layout>
      <c:overlay val="0"/>
      <c:txPr>
        <a:bodyPr/>
        <a:lstStyle/>
        <a:p>
          <a:pPr>
            <a:defRPr sz="710" b="0" i="0" u="none" strike="noStrike" baseline="0">
              <a:solidFill>
                <a:srgbClr val="000000"/>
              </a:solidFill>
              <a:latin typeface="Calibri"/>
              <a:ea typeface="Calibri"/>
              <a:cs typeface="Calibri"/>
            </a:defRPr>
          </a:pPr>
          <a:endParaRPr lang="en-US"/>
        </a:p>
      </c:txPr>
    </c:legend>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Calibri"/>
                <a:ea typeface="Calibri"/>
                <a:cs typeface="Calibri"/>
              </a:defRPr>
            </a:pPr>
            <a:r>
              <a:rPr lang="en-US"/>
              <a:t>REVENUE</a:t>
            </a:r>
          </a:p>
        </c:rich>
      </c:tx>
      <c:layout>
        <c:manualLayout>
          <c:xMode val="edge"/>
          <c:yMode val="edge"/>
          <c:x val="2.3604110989543161E-4"/>
          <c:y val="1.3888923884514437E-2"/>
        </c:manualLayout>
      </c:layout>
      <c:overlay val="1"/>
    </c:title>
    <c:autoTitleDeleted val="0"/>
    <c:plotArea>
      <c:layout/>
      <c:barChart>
        <c:barDir val="col"/>
        <c:grouping val="stacked"/>
        <c:varyColors val="0"/>
        <c:ser>
          <c:idx val="2"/>
          <c:order val="0"/>
          <c:tx>
            <c:strRef>
              <c:f>Charts!$B$10</c:f>
              <c:strCache>
                <c:ptCount val="1"/>
                <c:pt idx="0">
                  <c:v>MRR</c:v>
                </c:pt>
              </c:strCache>
            </c:strRef>
          </c:tx>
          <c:spPr>
            <a:solidFill>
              <a:srgbClr val="EACC80"/>
            </a:solidFill>
          </c:spPr>
          <c:invertIfNegative val="0"/>
          <c:dLbls>
            <c:numFmt formatCode="\$#,##0_);\(\$#,##0\)" sourceLinked="0"/>
            <c:txPr>
              <a:bodyPr/>
              <a:lstStyle/>
              <a:p>
                <a:pPr>
                  <a:defRPr sz="1000" b="0" i="0" u="none" strike="noStrike" baseline="0">
                    <a:solidFill>
                      <a:srgbClr val="000000"/>
                    </a:solidFill>
                    <a:latin typeface="Calibri"/>
                    <a:ea typeface="Calibri"/>
                    <a:cs typeface="Calibri"/>
                  </a:defRPr>
                </a:pPr>
                <a:endParaRPr lang="en-US"/>
              </a:p>
            </c:txPr>
            <c:dLblPos val="inBase"/>
            <c:showLegendKey val="0"/>
            <c:showVal val="1"/>
            <c:showCatName val="0"/>
            <c:showSerName val="0"/>
            <c:showPercent val="0"/>
            <c:showBubbleSize val="0"/>
            <c:showLeaderLines val="0"/>
          </c:dLbls>
          <c:cat>
            <c:strRef>
              <c:f>Charts!$F$3:$L$3</c:f>
              <c:strCache>
                <c:ptCount val="7"/>
                <c:pt idx="0">
                  <c:v>2012</c:v>
                </c:pt>
                <c:pt idx="1">
                  <c:v>2013</c:v>
                </c:pt>
                <c:pt idx="2">
                  <c:v>2014</c:v>
                </c:pt>
                <c:pt idx="3">
                  <c:v>2015</c:v>
                </c:pt>
                <c:pt idx="4">
                  <c:v>2016</c:v>
                </c:pt>
                <c:pt idx="5">
                  <c:v>2017</c:v>
                </c:pt>
                <c:pt idx="6">
                  <c:v>2018E</c:v>
                </c:pt>
              </c:strCache>
            </c:strRef>
          </c:cat>
          <c:val>
            <c:numRef>
              <c:f>Charts!$F$10:$L$10</c:f>
              <c:numCache>
                <c:formatCode>#,##0.0_);\(#,##0.0\)</c:formatCode>
                <c:ptCount val="7"/>
                <c:pt idx="0">
                  <c:v>350.9</c:v>
                </c:pt>
                <c:pt idx="1">
                  <c:v>941.07600000000002</c:v>
                </c:pt>
                <c:pt idx="2">
                  <c:v>1030.0378165423176</c:v>
                </c:pt>
                <c:pt idx="3">
                  <c:v>1211.9000000000001</c:v>
                </c:pt>
                <c:pt idx="4">
                  <c:v>1370.3000000000002</c:v>
                </c:pt>
                <c:pt idx="5">
                  <c:v>1613.1</c:v>
                </c:pt>
                <c:pt idx="6">
                  <c:v>1918.2704858738143</c:v>
                </c:pt>
              </c:numCache>
            </c:numRef>
          </c:val>
        </c:ser>
        <c:ser>
          <c:idx val="3"/>
          <c:order val="1"/>
          <c:tx>
            <c:strRef>
              <c:f>Charts!$B$11</c:f>
              <c:strCache>
                <c:ptCount val="1"/>
                <c:pt idx="0">
                  <c:v>Other</c:v>
                </c:pt>
              </c:strCache>
            </c:strRef>
          </c:tx>
          <c:spPr>
            <a:solidFill>
              <a:srgbClr val="4AAC6B"/>
            </a:solidFill>
          </c:spPr>
          <c:invertIfNegative val="0"/>
          <c:cat>
            <c:strRef>
              <c:f>Charts!$F$3:$L$3</c:f>
              <c:strCache>
                <c:ptCount val="7"/>
                <c:pt idx="0">
                  <c:v>2012</c:v>
                </c:pt>
                <c:pt idx="1">
                  <c:v>2013</c:v>
                </c:pt>
                <c:pt idx="2">
                  <c:v>2014</c:v>
                </c:pt>
                <c:pt idx="3">
                  <c:v>2015</c:v>
                </c:pt>
                <c:pt idx="4">
                  <c:v>2016</c:v>
                </c:pt>
                <c:pt idx="5">
                  <c:v>2017</c:v>
                </c:pt>
                <c:pt idx="6">
                  <c:v>2018E</c:v>
                </c:pt>
              </c:strCache>
            </c:strRef>
          </c:cat>
          <c:val>
            <c:numRef>
              <c:f>Charts!$F$11:$L$11</c:f>
              <c:numCache>
                <c:formatCode>#,##0.0_);\(#,##0.0\)</c:formatCode>
                <c:ptCount val="7"/>
                <c:pt idx="0">
                  <c:v>24.626000000000033</c:v>
                </c:pt>
                <c:pt idx="1">
                  <c:v>63.286666313209935</c:v>
                </c:pt>
                <c:pt idx="2">
                  <c:v>93.149405038296891</c:v>
                </c:pt>
                <c:pt idx="3">
                  <c:v>135.19999999999982</c:v>
                </c:pt>
                <c:pt idx="4">
                  <c:v>351.39999999999986</c:v>
                </c:pt>
                <c:pt idx="5">
                  <c:v>586.70000000000027</c:v>
                </c:pt>
                <c:pt idx="6">
                  <c:v>689.37212652732342</c:v>
                </c:pt>
              </c:numCache>
            </c:numRef>
          </c:val>
        </c:ser>
        <c:ser>
          <c:idx val="0"/>
          <c:order val="2"/>
          <c:tx>
            <c:strRef>
              <c:f>Charts!$B$6</c:f>
              <c:strCache>
                <c:ptCount val="1"/>
                <c:pt idx="0">
                  <c:v>Revenue</c:v>
                </c:pt>
              </c:strCache>
            </c:strRef>
          </c:tx>
          <c:spPr>
            <a:noFill/>
            <a:ln>
              <a:noFill/>
            </a:ln>
          </c:spPr>
          <c:invertIfNegative val="0"/>
          <c:dLbls>
            <c:numFmt formatCode="\$#,##0_);\(\$#,##0\)" sourceLinked="0"/>
            <c:txPr>
              <a:bodyPr rot="-5400000" vert="horz"/>
              <a:lstStyle/>
              <a:p>
                <a:pPr algn="ctr">
                  <a:defRPr sz="1000" b="0" i="0" u="none" strike="noStrike" baseline="0">
                    <a:solidFill>
                      <a:srgbClr val="000000"/>
                    </a:solidFill>
                    <a:latin typeface="Calibri"/>
                    <a:ea typeface="Calibri"/>
                    <a:cs typeface="Calibri"/>
                  </a:defRPr>
                </a:pPr>
                <a:endParaRPr lang="en-US"/>
              </a:p>
            </c:txPr>
            <c:dLblPos val="inBase"/>
            <c:showLegendKey val="0"/>
            <c:showVal val="1"/>
            <c:showCatName val="0"/>
            <c:showSerName val="0"/>
            <c:showPercent val="0"/>
            <c:showBubbleSize val="0"/>
            <c:showLeaderLines val="0"/>
          </c:dLbls>
          <c:cat>
            <c:strRef>
              <c:f>Charts!$F$3:$L$3</c:f>
              <c:strCache>
                <c:ptCount val="7"/>
                <c:pt idx="0">
                  <c:v>2012</c:v>
                </c:pt>
                <c:pt idx="1">
                  <c:v>2013</c:v>
                </c:pt>
                <c:pt idx="2">
                  <c:v>2014</c:v>
                </c:pt>
                <c:pt idx="3">
                  <c:v>2015</c:v>
                </c:pt>
                <c:pt idx="4">
                  <c:v>2016</c:v>
                </c:pt>
                <c:pt idx="5">
                  <c:v>2017</c:v>
                </c:pt>
                <c:pt idx="6">
                  <c:v>2018E</c:v>
                </c:pt>
              </c:strCache>
            </c:strRef>
          </c:cat>
          <c:val>
            <c:numRef>
              <c:f>Charts!$F$6:$L$6</c:f>
              <c:numCache>
                <c:formatCode>#,##0.0_);\(#,##0.0\)</c:formatCode>
                <c:ptCount val="7"/>
                <c:pt idx="0">
                  <c:v>375.52600000000001</c:v>
                </c:pt>
                <c:pt idx="1">
                  <c:v>1004.36266631321</c:v>
                </c:pt>
                <c:pt idx="2">
                  <c:v>1123.1872215806145</c:v>
                </c:pt>
                <c:pt idx="3">
                  <c:v>1347.1</c:v>
                </c:pt>
                <c:pt idx="4">
                  <c:v>1721.7</c:v>
                </c:pt>
                <c:pt idx="5">
                  <c:v>2199.8000000000002</c:v>
                </c:pt>
                <c:pt idx="6">
                  <c:v>2607.6426124011377</c:v>
                </c:pt>
              </c:numCache>
            </c:numRef>
          </c:val>
        </c:ser>
        <c:dLbls>
          <c:showLegendKey val="0"/>
          <c:showVal val="0"/>
          <c:showCatName val="0"/>
          <c:showSerName val="0"/>
          <c:showPercent val="0"/>
          <c:showBubbleSize val="0"/>
        </c:dLbls>
        <c:gapWidth val="150"/>
        <c:overlap val="100"/>
        <c:axId val="607277440"/>
        <c:axId val="607278976"/>
      </c:barChart>
      <c:lineChart>
        <c:grouping val="standard"/>
        <c:varyColors val="0"/>
        <c:ser>
          <c:idx val="1"/>
          <c:order val="3"/>
          <c:tx>
            <c:strRef>
              <c:f>Charts!$B$7</c:f>
              <c:strCache>
                <c:ptCount val="1"/>
                <c:pt idx="0">
                  <c:v>% Y/Y</c:v>
                </c:pt>
              </c:strCache>
            </c:strRef>
          </c:tx>
          <c:spPr>
            <a:ln>
              <a:solidFill>
                <a:srgbClr val="1275A6"/>
              </a:solidFill>
            </a:ln>
          </c:spPr>
          <c:marker>
            <c:symbol val="square"/>
            <c:size val="5"/>
            <c:spPr>
              <a:solidFill>
                <a:srgbClr val="1275A6"/>
              </a:solidFill>
              <a:ln>
                <a:solidFill>
                  <a:srgbClr val="1275A6"/>
                </a:solidFill>
              </a:ln>
            </c:spPr>
          </c:marker>
          <c:dLbls>
            <c:dLbl>
              <c:idx val="2"/>
              <c:layout>
                <c:manualLayout>
                  <c:x val="-7.2789416748675548E-2"/>
                  <c:y val="0.1479230674296701"/>
                </c:manualLayout>
              </c:layout>
              <c:dLblPos val="r"/>
              <c:showLegendKey val="0"/>
              <c:showVal val="1"/>
              <c:showCatName val="0"/>
              <c:showSerName val="0"/>
              <c:showPercent val="0"/>
              <c:showBubbleSize val="0"/>
            </c:dLbl>
            <c:txPr>
              <a:bodyPr/>
              <a:lstStyle/>
              <a:p>
                <a:pPr>
                  <a:defRPr sz="1000" b="0" i="0" u="none" strike="noStrike" baseline="0">
                    <a:solidFill>
                      <a:srgbClr val="000000"/>
                    </a:solidFill>
                    <a:latin typeface="Calibri"/>
                    <a:ea typeface="Calibri"/>
                    <a:cs typeface="Calibri"/>
                  </a:defRPr>
                </a:pPr>
                <a:endParaRPr lang="en-US"/>
              </a:p>
            </c:txPr>
            <c:dLblPos val="t"/>
            <c:showLegendKey val="0"/>
            <c:showVal val="1"/>
            <c:showCatName val="0"/>
            <c:showSerName val="0"/>
            <c:showPercent val="0"/>
            <c:showBubbleSize val="0"/>
            <c:showLeaderLines val="0"/>
          </c:dLbls>
          <c:cat>
            <c:strRef>
              <c:f>Charts!$F$3:$L$3</c:f>
              <c:strCache>
                <c:ptCount val="7"/>
                <c:pt idx="0">
                  <c:v>2012</c:v>
                </c:pt>
                <c:pt idx="1">
                  <c:v>2013</c:v>
                </c:pt>
                <c:pt idx="2">
                  <c:v>2014</c:v>
                </c:pt>
                <c:pt idx="3">
                  <c:v>2015</c:v>
                </c:pt>
                <c:pt idx="4">
                  <c:v>2016</c:v>
                </c:pt>
                <c:pt idx="5">
                  <c:v>2017</c:v>
                </c:pt>
                <c:pt idx="6">
                  <c:v>2018E</c:v>
                </c:pt>
              </c:strCache>
            </c:strRef>
          </c:cat>
          <c:val>
            <c:numRef>
              <c:f>Charts!$F$7:$L$7</c:f>
              <c:numCache>
                <c:formatCode>0.0%</c:formatCode>
                <c:ptCount val="7"/>
                <c:pt idx="0">
                  <c:v>0.33097755393541584</c:v>
                </c:pt>
                <c:pt idx="2">
                  <c:v>0.118308415130147</c:v>
                </c:pt>
                <c:pt idx="3">
                  <c:v>0.1993548129084679</c:v>
                </c:pt>
                <c:pt idx="4">
                  <c:v>0.27807883601811301</c:v>
                </c:pt>
                <c:pt idx="5">
                  <c:v>0.27769065458558417</c:v>
                </c:pt>
                <c:pt idx="6">
                  <c:v>0.1853998601696234</c:v>
                </c:pt>
              </c:numCache>
            </c:numRef>
          </c:val>
          <c:smooth val="0"/>
        </c:ser>
        <c:dLbls>
          <c:showLegendKey val="0"/>
          <c:showVal val="0"/>
          <c:showCatName val="0"/>
          <c:showSerName val="0"/>
          <c:showPercent val="0"/>
          <c:showBubbleSize val="0"/>
        </c:dLbls>
        <c:marker val="1"/>
        <c:smooth val="0"/>
        <c:axId val="607280512"/>
        <c:axId val="607306880"/>
      </c:lineChart>
      <c:catAx>
        <c:axId val="607277440"/>
        <c:scaling>
          <c:orientation val="minMax"/>
        </c:scaling>
        <c:delete val="0"/>
        <c:axPos val="b"/>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607278976"/>
        <c:crosses val="autoZero"/>
        <c:auto val="1"/>
        <c:lblAlgn val="ctr"/>
        <c:lblOffset val="100"/>
        <c:noMultiLvlLbl val="0"/>
      </c:catAx>
      <c:valAx>
        <c:axId val="607278976"/>
        <c:scaling>
          <c:orientation val="minMax"/>
          <c:max val="2500"/>
        </c:scaling>
        <c:delete val="0"/>
        <c:axPos val="l"/>
        <c:majorGridlines>
          <c:spPr>
            <a:ln>
              <a:solidFill>
                <a:schemeClr val="bg1">
                  <a:lumMod val="90000"/>
                </a:schemeClr>
              </a:solidFill>
            </a:ln>
          </c:spPr>
        </c:majorGridlines>
        <c:numFmt formatCode="\$#,##0_);\(\$#,##0\)" sourceLinked="0"/>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607277440"/>
        <c:crosses val="autoZero"/>
        <c:crossBetween val="between"/>
      </c:valAx>
      <c:catAx>
        <c:axId val="607280512"/>
        <c:scaling>
          <c:orientation val="minMax"/>
        </c:scaling>
        <c:delete val="1"/>
        <c:axPos val="b"/>
        <c:majorTickMark val="out"/>
        <c:minorTickMark val="none"/>
        <c:tickLblPos val="nextTo"/>
        <c:crossAx val="607306880"/>
        <c:crosses val="autoZero"/>
        <c:auto val="1"/>
        <c:lblAlgn val="ctr"/>
        <c:lblOffset val="100"/>
        <c:noMultiLvlLbl val="0"/>
      </c:catAx>
      <c:valAx>
        <c:axId val="607306880"/>
        <c:scaling>
          <c:orientation val="minMax"/>
          <c:max val="0.2"/>
        </c:scaling>
        <c:delete val="0"/>
        <c:axPos val="r"/>
        <c:numFmt formatCode="0.0%" sourceLinked="0"/>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607280512"/>
        <c:crosses val="max"/>
        <c:crossBetween val="between"/>
        <c:majorUnit val="5.000000000000001E-2"/>
      </c:valAx>
      <c:spPr>
        <a:noFill/>
        <a:ln w="25400">
          <a:noFill/>
        </a:ln>
      </c:spPr>
    </c:plotArea>
    <c:legend>
      <c:legendPos val="t"/>
      <c:legendEntry>
        <c:idx val="2"/>
        <c:delete val="1"/>
      </c:legendEntry>
      <c:layout>
        <c:manualLayout>
          <c:xMode val="edge"/>
          <c:yMode val="edge"/>
          <c:x val="0.39194255615542362"/>
          <c:y val="1.8518425196850395E-2"/>
          <c:w val="0.60805744384457638"/>
          <c:h val="9.9447349081364822E-2"/>
        </c:manualLayout>
      </c:layout>
      <c:overlay val="0"/>
      <c:txPr>
        <a:bodyPr/>
        <a:lstStyle/>
        <a:p>
          <a:pPr>
            <a:defRPr sz="710" b="0" i="0" u="none" strike="noStrike" baseline="0">
              <a:solidFill>
                <a:srgbClr val="000000"/>
              </a:solidFill>
              <a:latin typeface="Calibri"/>
              <a:ea typeface="Calibri"/>
              <a:cs typeface="Calibri"/>
            </a:defRPr>
          </a:pPr>
          <a:endParaRPr lang="en-US"/>
        </a:p>
      </c:txPr>
    </c:legend>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Calibri"/>
                <a:ea typeface="Calibri"/>
                <a:cs typeface="Calibri"/>
              </a:defRPr>
            </a:pPr>
            <a:r>
              <a:rPr lang="en-US"/>
              <a:t>ZAYO DARK FIBER</a:t>
            </a:r>
          </a:p>
        </c:rich>
      </c:tx>
      <c:layout>
        <c:manualLayout>
          <c:xMode val="edge"/>
          <c:yMode val="edge"/>
          <c:x val="2.3604110989543161E-4"/>
          <c:y val="1.3888923884514437E-2"/>
        </c:manualLayout>
      </c:layout>
      <c:overlay val="1"/>
    </c:title>
    <c:autoTitleDeleted val="0"/>
    <c:plotArea>
      <c:layout/>
      <c:barChart>
        <c:barDir val="col"/>
        <c:grouping val="clustered"/>
        <c:varyColors val="0"/>
        <c:ser>
          <c:idx val="0"/>
          <c:order val="0"/>
          <c:tx>
            <c:strRef>
              <c:f>Charts!$B$358</c:f>
              <c:strCache>
                <c:ptCount val="1"/>
                <c:pt idx="0">
                  <c:v>Revenue</c:v>
                </c:pt>
              </c:strCache>
            </c:strRef>
          </c:tx>
          <c:spPr>
            <a:solidFill>
              <a:srgbClr val="EACC80"/>
            </a:solidFill>
            <a:ln>
              <a:noFill/>
            </a:ln>
          </c:spPr>
          <c:invertIfNegative val="0"/>
          <c:dLbls>
            <c:numFmt formatCode="\$#,##0_);\(\$#,##0\)" sourceLinked="0"/>
            <c:txPr>
              <a:bodyPr rot="-5400000" vert="horz"/>
              <a:lstStyle/>
              <a:p>
                <a:pPr algn="ctr">
                  <a:defRPr sz="1000" b="0" i="0" u="none" strike="noStrike" baseline="0">
                    <a:solidFill>
                      <a:srgbClr val="000000"/>
                    </a:solidFill>
                    <a:latin typeface="Calibri"/>
                    <a:ea typeface="Calibri"/>
                    <a:cs typeface="Calibri"/>
                  </a:defRPr>
                </a:pPr>
                <a:endParaRPr lang="en-US"/>
              </a:p>
            </c:txPr>
            <c:dLblPos val="inBase"/>
            <c:showLegendKey val="0"/>
            <c:showVal val="1"/>
            <c:showCatName val="0"/>
            <c:showSerName val="0"/>
            <c:showPercent val="0"/>
            <c:showBubbleSize val="0"/>
            <c:showLeaderLines val="0"/>
          </c:dLbls>
          <c:cat>
            <c:strRef>
              <c:f>Charts!$F$3:$L$3</c:f>
              <c:strCache>
                <c:ptCount val="7"/>
                <c:pt idx="0">
                  <c:v>2012</c:v>
                </c:pt>
                <c:pt idx="1">
                  <c:v>2013</c:v>
                </c:pt>
                <c:pt idx="2">
                  <c:v>2014</c:v>
                </c:pt>
                <c:pt idx="3">
                  <c:v>2015</c:v>
                </c:pt>
                <c:pt idx="4">
                  <c:v>2016</c:v>
                </c:pt>
                <c:pt idx="5">
                  <c:v>2017</c:v>
                </c:pt>
                <c:pt idx="6">
                  <c:v>2018E</c:v>
                </c:pt>
              </c:strCache>
            </c:strRef>
          </c:cat>
          <c:val>
            <c:numRef>
              <c:f>Charts!$F$358:$L$358</c:f>
              <c:numCache>
                <c:formatCode>#,##0.0_);\(#,##0.0\)</c:formatCode>
                <c:ptCount val="7"/>
                <c:pt idx="0">
                  <c:v>0</c:v>
                </c:pt>
                <c:pt idx="1">
                  <c:v>0</c:v>
                </c:pt>
                <c:pt idx="2">
                  <c:v>0</c:v>
                </c:pt>
                <c:pt idx="3">
                  <c:v>0</c:v>
                </c:pt>
                <c:pt idx="4">
                  <c:v>0</c:v>
                </c:pt>
                <c:pt idx="5">
                  <c:v>722.1</c:v>
                </c:pt>
                <c:pt idx="6">
                  <c:v>808.90814860736361</c:v>
                </c:pt>
              </c:numCache>
            </c:numRef>
          </c:val>
        </c:ser>
        <c:dLbls>
          <c:showLegendKey val="0"/>
          <c:showVal val="0"/>
          <c:showCatName val="0"/>
          <c:showSerName val="0"/>
          <c:showPercent val="0"/>
          <c:showBubbleSize val="0"/>
        </c:dLbls>
        <c:gapWidth val="150"/>
        <c:axId val="650338304"/>
        <c:axId val="650339840"/>
      </c:barChart>
      <c:lineChart>
        <c:grouping val="standard"/>
        <c:varyColors val="0"/>
        <c:ser>
          <c:idx val="1"/>
          <c:order val="1"/>
          <c:tx>
            <c:strRef>
              <c:f>Charts!$B$359</c:f>
              <c:strCache>
                <c:ptCount val="1"/>
                <c:pt idx="0">
                  <c:v>% Y/Y </c:v>
                </c:pt>
              </c:strCache>
            </c:strRef>
          </c:tx>
          <c:spPr>
            <a:ln>
              <a:solidFill>
                <a:srgbClr val="1275A6"/>
              </a:solidFill>
            </a:ln>
          </c:spPr>
          <c:marker>
            <c:symbol val="square"/>
            <c:size val="5"/>
            <c:spPr>
              <a:solidFill>
                <a:srgbClr val="1275A6"/>
              </a:solidFill>
              <a:ln>
                <a:solidFill>
                  <a:srgbClr val="1275A6"/>
                </a:solidFill>
              </a:ln>
            </c:spPr>
          </c:marker>
          <c:dLbls>
            <c:txPr>
              <a:bodyPr/>
              <a:lstStyle/>
              <a:p>
                <a:pPr>
                  <a:defRPr sz="1000" b="0" i="0" u="none" strike="noStrike" baseline="0">
                    <a:solidFill>
                      <a:srgbClr val="000000"/>
                    </a:solidFill>
                    <a:latin typeface="Calibri"/>
                    <a:ea typeface="Calibri"/>
                    <a:cs typeface="Calibri"/>
                  </a:defRPr>
                </a:pPr>
                <a:endParaRPr lang="en-US"/>
              </a:p>
            </c:txPr>
            <c:dLblPos val="t"/>
            <c:showLegendKey val="0"/>
            <c:showVal val="1"/>
            <c:showCatName val="0"/>
            <c:showSerName val="0"/>
            <c:showPercent val="0"/>
            <c:showBubbleSize val="0"/>
            <c:showLeaderLines val="0"/>
          </c:dLbls>
          <c:val>
            <c:numRef>
              <c:f>Charts!$F$359:$L$359</c:f>
              <c:numCache>
                <c:formatCode>0.0%</c:formatCode>
                <c:ptCount val="7"/>
                <c:pt idx="2">
                  <c:v>0</c:v>
                </c:pt>
                <c:pt idx="3">
                  <c:v>0</c:v>
                </c:pt>
                <c:pt idx="4">
                  <c:v>0</c:v>
                </c:pt>
                <c:pt idx="5">
                  <c:v>0</c:v>
                </c:pt>
                <c:pt idx="6">
                  <c:v>0.1202162423589026</c:v>
                </c:pt>
              </c:numCache>
            </c:numRef>
          </c:val>
          <c:smooth val="0"/>
        </c:ser>
        <c:dLbls>
          <c:showLegendKey val="0"/>
          <c:showVal val="0"/>
          <c:showCatName val="0"/>
          <c:showSerName val="0"/>
          <c:showPercent val="0"/>
          <c:showBubbleSize val="0"/>
        </c:dLbls>
        <c:marker val="1"/>
        <c:smooth val="0"/>
        <c:axId val="650341376"/>
        <c:axId val="650359552"/>
      </c:lineChart>
      <c:catAx>
        <c:axId val="650338304"/>
        <c:scaling>
          <c:orientation val="minMax"/>
        </c:scaling>
        <c:delete val="0"/>
        <c:axPos val="b"/>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650339840"/>
        <c:crosses val="autoZero"/>
        <c:auto val="1"/>
        <c:lblAlgn val="ctr"/>
        <c:lblOffset val="100"/>
        <c:noMultiLvlLbl val="0"/>
      </c:catAx>
      <c:valAx>
        <c:axId val="650339840"/>
        <c:scaling>
          <c:orientation val="minMax"/>
          <c:max val="1400"/>
        </c:scaling>
        <c:delete val="0"/>
        <c:axPos val="l"/>
        <c:majorGridlines>
          <c:spPr>
            <a:ln>
              <a:solidFill>
                <a:schemeClr val="bg1">
                  <a:lumMod val="90000"/>
                </a:schemeClr>
              </a:solidFill>
            </a:ln>
          </c:spPr>
        </c:majorGridlines>
        <c:numFmt formatCode="\$#,##0_);\(\$#,##0\)" sourceLinked="0"/>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650338304"/>
        <c:crosses val="autoZero"/>
        <c:crossBetween val="between"/>
      </c:valAx>
      <c:catAx>
        <c:axId val="650341376"/>
        <c:scaling>
          <c:orientation val="minMax"/>
        </c:scaling>
        <c:delete val="1"/>
        <c:axPos val="b"/>
        <c:majorTickMark val="out"/>
        <c:minorTickMark val="none"/>
        <c:tickLblPos val="nextTo"/>
        <c:crossAx val="650359552"/>
        <c:crosses val="autoZero"/>
        <c:auto val="1"/>
        <c:lblAlgn val="ctr"/>
        <c:lblOffset val="100"/>
        <c:noMultiLvlLbl val="0"/>
      </c:catAx>
      <c:valAx>
        <c:axId val="650359552"/>
        <c:scaling>
          <c:orientation val="minMax"/>
        </c:scaling>
        <c:delete val="0"/>
        <c:axPos val="r"/>
        <c:numFmt formatCode="0.0%" sourceLinked="0"/>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650341376"/>
        <c:crosses val="max"/>
        <c:crossBetween val="between"/>
      </c:valAx>
      <c:spPr>
        <a:noFill/>
        <a:ln w="25400">
          <a:noFill/>
        </a:ln>
      </c:spPr>
    </c:plotArea>
    <c:legend>
      <c:legendPos val="t"/>
      <c:layout>
        <c:manualLayout>
          <c:xMode val="edge"/>
          <c:yMode val="edge"/>
          <c:x val="0.60190172128256181"/>
          <c:y val="1.8518425196850395E-2"/>
          <c:w val="0.39809827871743819"/>
          <c:h val="0.1085459317585302"/>
        </c:manualLayout>
      </c:layout>
      <c:overlay val="0"/>
      <c:txPr>
        <a:bodyPr/>
        <a:lstStyle/>
        <a:p>
          <a:pPr>
            <a:defRPr sz="710" b="0" i="0" u="none" strike="noStrike" baseline="0">
              <a:solidFill>
                <a:srgbClr val="000000"/>
              </a:solidFill>
              <a:latin typeface="Calibri"/>
              <a:ea typeface="Calibri"/>
              <a:cs typeface="Calibri"/>
            </a:defRPr>
          </a:pPr>
          <a:endParaRPr lang="en-US"/>
        </a:p>
      </c:txPr>
    </c:legend>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Calibri"/>
                <a:ea typeface="Calibri"/>
                <a:cs typeface="Calibri"/>
              </a:defRPr>
            </a:pPr>
            <a:r>
              <a:rPr lang="en-US"/>
              <a:t>ZAYO COLOCATION &amp; CLOUD</a:t>
            </a:r>
          </a:p>
        </c:rich>
      </c:tx>
      <c:layout>
        <c:manualLayout>
          <c:xMode val="edge"/>
          <c:yMode val="edge"/>
          <c:x val="2.3604110989543161E-4"/>
          <c:y val="1.3888923884514437E-2"/>
        </c:manualLayout>
      </c:layout>
      <c:overlay val="1"/>
    </c:title>
    <c:autoTitleDeleted val="0"/>
    <c:plotArea>
      <c:layout/>
      <c:barChart>
        <c:barDir val="col"/>
        <c:grouping val="clustered"/>
        <c:varyColors val="0"/>
        <c:ser>
          <c:idx val="0"/>
          <c:order val="0"/>
          <c:tx>
            <c:strRef>
              <c:f>Charts!$B$419</c:f>
              <c:strCache>
                <c:ptCount val="1"/>
                <c:pt idx="0">
                  <c:v>Revenue</c:v>
                </c:pt>
              </c:strCache>
            </c:strRef>
          </c:tx>
          <c:spPr>
            <a:solidFill>
              <a:srgbClr val="EACC80"/>
            </a:solidFill>
            <a:ln>
              <a:noFill/>
            </a:ln>
          </c:spPr>
          <c:invertIfNegative val="0"/>
          <c:dLbls>
            <c:numFmt formatCode="\$#,##0_);\(\$#,##0\)" sourceLinked="0"/>
            <c:txPr>
              <a:bodyPr rot="-5400000" vert="horz"/>
              <a:lstStyle/>
              <a:p>
                <a:pPr algn="ctr">
                  <a:defRPr sz="1000" b="0" i="0" u="none" strike="noStrike" baseline="0">
                    <a:solidFill>
                      <a:srgbClr val="000000"/>
                    </a:solidFill>
                    <a:latin typeface="Calibri"/>
                    <a:ea typeface="Calibri"/>
                    <a:cs typeface="Calibri"/>
                  </a:defRPr>
                </a:pPr>
                <a:endParaRPr lang="en-US"/>
              </a:p>
            </c:txPr>
            <c:dLblPos val="inBase"/>
            <c:showLegendKey val="0"/>
            <c:showVal val="1"/>
            <c:showCatName val="0"/>
            <c:showSerName val="0"/>
            <c:showPercent val="0"/>
            <c:showBubbleSize val="0"/>
            <c:showLeaderLines val="0"/>
          </c:dLbls>
          <c:cat>
            <c:strRef>
              <c:f>Charts!$F$3:$L$3</c:f>
              <c:strCache>
                <c:ptCount val="7"/>
                <c:pt idx="0">
                  <c:v>2012</c:v>
                </c:pt>
                <c:pt idx="1">
                  <c:v>2013</c:v>
                </c:pt>
                <c:pt idx="2">
                  <c:v>2014</c:v>
                </c:pt>
                <c:pt idx="3">
                  <c:v>2015</c:v>
                </c:pt>
                <c:pt idx="4">
                  <c:v>2016</c:v>
                </c:pt>
                <c:pt idx="5">
                  <c:v>2017</c:v>
                </c:pt>
                <c:pt idx="6">
                  <c:v>2018E</c:v>
                </c:pt>
              </c:strCache>
            </c:strRef>
          </c:cat>
          <c:val>
            <c:numRef>
              <c:f>Charts!$F$419:$L$419</c:f>
              <c:numCache>
                <c:formatCode>#,##0.0_);\(#,##0.0\)</c:formatCode>
                <c:ptCount val="7"/>
                <c:pt idx="0">
                  <c:v>0</c:v>
                </c:pt>
                <c:pt idx="1">
                  <c:v>0</c:v>
                </c:pt>
                <c:pt idx="2">
                  <c:v>0</c:v>
                </c:pt>
                <c:pt idx="3">
                  <c:v>0</c:v>
                </c:pt>
                <c:pt idx="4">
                  <c:v>0</c:v>
                </c:pt>
                <c:pt idx="5">
                  <c:v>214</c:v>
                </c:pt>
                <c:pt idx="6">
                  <c:v>241.45193531810386</c:v>
                </c:pt>
              </c:numCache>
            </c:numRef>
          </c:val>
        </c:ser>
        <c:dLbls>
          <c:showLegendKey val="0"/>
          <c:showVal val="0"/>
          <c:showCatName val="0"/>
          <c:showSerName val="0"/>
          <c:showPercent val="0"/>
          <c:showBubbleSize val="0"/>
        </c:dLbls>
        <c:gapWidth val="150"/>
        <c:axId val="651763072"/>
        <c:axId val="651764864"/>
      </c:barChart>
      <c:lineChart>
        <c:grouping val="standard"/>
        <c:varyColors val="0"/>
        <c:ser>
          <c:idx val="1"/>
          <c:order val="1"/>
          <c:tx>
            <c:strRef>
              <c:f>Charts!$B$420</c:f>
              <c:strCache>
                <c:ptCount val="1"/>
                <c:pt idx="0">
                  <c:v>% Y/Y </c:v>
                </c:pt>
              </c:strCache>
            </c:strRef>
          </c:tx>
          <c:spPr>
            <a:ln>
              <a:solidFill>
                <a:srgbClr val="1275A6"/>
              </a:solidFill>
            </a:ln>
          </c:spPr>
          <c:marker>
            <c:symbol val="square"/>
            <c:size val="5"/>
            <c:spPr>
              <a:solidFill>
                <a:srgbClr val="1275A6"/>
              </a:solidFill>
              <a:ln>
                <a:solidFill>
                  <a:srgbClr val="1275A6"/>
                </a:solidFill>
              </a:ln>
            </c:spPr>
          </c:marker>
          <c:dLbls>
            <c:txPr>
              <a:bodyPr/>
              <a:lstStyle/>
              <a:p>
                <a:pPr>
                  <a:defRPr sz="1000" b="0" i="0" u="none" strike="noStrike" baseline="0">
                    <a:solidFill>
                      <a:srgbClr val="000000"/>
                    </a:solidFill>
                    <a:latin typeface="Calibri"/>
                    <a:ea typeface="Calibri"/>
                    <a:cs typeface="Calibri"/>
                  </a:defRPr>
                </a:pPr>
                <a:endParaRPr lang="en-US"/>
              </a:p>
            </c:txPr>
            <c:dLblPos val="t"/>
            <c:showLegendKey val="0"/>
            <c:showVal val="1"/>
            <c:showCatName val="0"/>
            <c:showSerName val="0"/>
            <c:showPercent val="0"/>
            <c:showBubbleSize val="0"/>
            <c:showLeaderLines val="0"/>
          </c:dLbls>
          <c:val>
            <c:numRef>
              <c:f>Charts!$F$420:$L$420</c:f>
              <c:numCache>
                <c:formatCode>0.0%</c:formatCode>
                <c:ptCount val="7"/>
                <c:pt idx="2">
                  <c:v>0</c:v>
                </c:pt>
                <c:pt idx="3">
                  <c:v>0</c:v>
                </c:pt>
                <c:pt idx="4">
                  <c:v>0</c:v>
                </c:pt>
                <c:pt idx="5">
                  <c:v>0</c:v>
                </c:pt>
                <c:pt idx="6">
                  <c:v>0.1282800715799246</c:v>
                </c:pt>
              </c:numCache>
            </c:numRef>
          </c:val>
          <c:smooth val="0"/>
        </c:ser>
        <c:dLbls>
          <c:showLegendKey val="0"/>
          <c:showVal val="0"/>
          <c:showCatName val="0"/>
          <c:showSerName val="0"/>
          <c:showPercent val="0"/>
          <c:showBubbleSize val="0"/>
        </c:dLbls>
        <c:marker val="1"/>
        <c:smooth val="0"/>
        <c:axId val="651766400"/>
        <c:axId val="651788672"/>
      </c:lineChart>
      <c:catAx>
        <c:axId val="651763072"/>
        <c:scaling>
          <c:orientation val="minMax"/>
        </c:scaling>
        <c:delete val="0"/>
        <c:axPos val="b"/>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651764864"/>
        <c:crosses val="autoZero"/>
        <c:auto val="1"/>
        <c:lblAlgn val="ctr"/>
        <c:lblOffset val="100"/>
        <c:noMultiLvlLbl val="0"/>
      </c:catAx>
      <c:valAx>
        <c:axId val="651764864"/>
        <c:scaling>
          <c:orientation val="minMax"/>
          <c:max val="1000"/>
        </c:scaling>
        <c:delete val="0"/>
        <c:axPos val="l"/>
        <c:majorGridlines>
          <c:spPr>
            <a:ln>
              <a:solidFill>
                <a:schemeClr val="bg1">
                  <a:lumMod val="90000"/>
                </a:schemeClr>
              </a:solidFill>
            </a:ln>
          </c:spPr>
        </c:majorGridlines>
        <c:numFmt formatCode="\$#,##0_);\(\$#,##0\)" sourceLinked="0"/>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651763072"/>
        <c:crosses val="autoZero"/>
        <c:crossBetween val="between"/>
      </c:valAx>
      <c:catAx>
        <c:axId val="651766400"/>
        <c:scaling>
          <c:orientation val="minMax"/>
        </c:scaling>
        <c:delete val="1"/>
        <c:axPos val="b"/>
        <c:majorTickMark val="out"/>
        <c:minorTickMark val="none"/>
        <c:tickLblPos val="nextTo"/>
        <c:crossAx val="651788672"/>
        <c:crosses val="autoZero"/>
        <c:auto val="1"/>
        <c:lblAlgn val="ctr"/>
        <c:lblOffset val="100"/>
        <c:noMultiLvlLbl val="0"/>
      </c:catAx>
      <c:valAx>
        <c:axId val="651788672"/>
        <c:scaling>
          <c:orientation val="minMax"/>
        </c:scaling>
        <c:delete val="0"/>
        <c:axPos val="r"/>
        <c:numFmt formatCode="0.0%" sourceLinked="0"/>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651766400"/>
        <c:crosses val="max"/>
        <c:crossBetween val="between"/>
      </c:valAx>
      <c:spPr>
        <a:noFill/>
        <a:ln w="25400">
          <a:noFill/>
        </a:ln>
      </c:spPr>
    </c:plotArea>
    <c:legend>
      <c:legendPos val="t"/>
      <c:layout>
        <c:manualLayout>
          <c:xMode val="edge"/>
          <c:yMode val="edge"/>
          <c:x val="0.52597157701528763"/>
          <c:y val="1.8518425196850395E-2"/>
          <c:w val="0.47402842298471237"/>
          <c:h val="0.1085459317585302"/>
        </c:manualLayout>
      </c:layout>
      <c:overlay val="0"/>
      <c:txPr>
        <a:bodyPr/>
        <a:lstStyle/>
        <a:p>
          <a:pPr>
            <a:defRPr sz="710" b="0" i="0" u="none" strike="noStrike" baseline="0">
              <a:solidFill>
                <a:srgbClr val="000000"/>
              </a:solidFill>
              <a:latin typeface="Calibri"/>
              <a:ea typeface="Calibri"/>
              <a:cs typeface="Calibri"/>
            </a:defRPr>
          </a:pPr>
          <a:endParaRPr lang="en-US"/>
        </a:p>
      </c:txPr>
    </c:legend>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Calibri"/>
                <a:ea typeface="Calibri"/>
                <a:cs typeface="Calibri"/>
              </a:defRPr>
            </a:pPr>
            <a:r>
              <a:rPr lang="en-US"/>
              <a:t>ADJUSTED EBITDA</a:t>
            </a:r>
          </a:p>
        </c:rich>
      </c:tx>
      <c:layout>
        <c:manualLayout>
          <c:xMode val="edge"/>
          <c:yMode val="edge"/>
          <c:x val="2.3604110989543161E-4"/>
          <c:y val="1.3889047001654914E-2"/>
        </c:manualLayout>
      </c:layout>
      <c:overlay val="1"/>
    </c:title>
    <c:autoTitleDeleted val="0"/>
    <c:plotArea>
      <c:layout/>
      <c:barChart>
        <c:barDir val="col"/>
        <c:grouping val="clustered"/>
        <c:varyColors val="0"/>
        <c:ser>
          <c:idx val="0"/>
          <c:order val="0"/>
          <c:tx>
            <c:strRef>
              <c:f>Charts!$B$366</c:f>
              <c:strCache>
                <c:ptCount val="1"/>
                <c:pt idx="0">
                  <c:v>Adjusted EBITDA</c:v>
                </c:pt>
              </c:strCache>
            </c:strRef>
          </c:tx>
          <c:spPr>
            <a:solidFill>
              <a:srgbClr val="EACC80"/>
            </a:solidFill>
            <a:ln>
              <a:noFill/>
            </a:ln>
          </c:spPr>
          <c:invertIfNegative val="0"/>
          <c:dLbls>
            <c:numFmt formatCode="\$#,##0_);\(\$#,##0\)" sourceLinked="0"/>
            <c:txPr>
              <a:bodyPr rot="-5400000" vert="horz"/>
              <a:lstStyle/>
              <a:p>
                <a:pPr algn="ctr">
                  <a:defRPr sz="1000" b="0" i="0" u="none" strike="noStrike" baseline="0">
                    <a:solidFill>
                      <a:srgbClr val="000000"/>
                    </a:solidFill>
                    <a:latin typeface="Calibri"/>
                    <a:ea typeface="Calibri"/>
                    <a:cs typeface="Calibri"/>
                  </a:defRPr>
                </a:pPr>
                <a:endParaRPr lang="en-US"/>
              </a:p>
            </c:txPr>
            <c:dLblPos val="inBase"/>
            <c:showLegendKey val="0"/>
            <c:showVal val="1"/>
            <c:showCatName val="0"/>
            <c:showSerName val="0"/>
            <c:showPercent val="0"/>
            <c:showBubbleSize val="0"/>
            <c:showLeaderLines val="0"/>
          </c:dLbls>
          <c:cat>
            <c:strRef>
              <c:f>Charts!$F$3:$L$3</c:f>
              <c:strCache>
                <c:ptCount val="7"/>
                <c:pt idx="0">
                  <c:v>2012</c:v>
                </c:pt>
                <c:pt idx="1">
                  <c:v>2013</c:v>
                </c:pt>
                <c:pt idx="2">
                  <c:v>2014</c:v>
                </c:pt>
                <c:pt idx="3">
                  <c:v>2015</c:v>
                </c:pt>
                <c:pt idx="4">
                  <c:v>2016</c:v>
                </c:pt>
                <c:pt idx="5">
                  <c:v>2017</c:v>
                </c:pt>
                <c:pt idx="6">
                  <c:v>2018E</c:v>
                </c:pt>
              </c:strCache>
            </c:strRef>
          </c:cat>
          <c:val>
            <c:numRef>
              <c:f>Charts!$F$366:$L$366</c:f>
              <c:numCache>
                <c:formatCode>#,##0.0_);\(#,##0.0\)</c:formatCode>
                <c:ptCount val="7"/>
                <c:pt idx="0">
                  <c:v>0</c:v>
                </c:pt>
                <c:pt idx="1">
                  <c:v>0</c:v>
                </c:pt>
                <c:pt idx="2">
                  <c:v>0</c:v>
                </c:pt>
                <c:pt idx="3">
                  <c:v>0</c:v>
                </c:pt>
                <c:pt idx="4">
                  <c:v>0</c:v>
                </c:pt>
                <c:pt idx="5">
                  <c:v>0</c:v>
                </c:pt>
                <c:pt idx="6">
                  <c:v>0</c:v>
                </c:pt>
              </c:numCache>
            </c:numRef>
          </c:val>
        </c:ser>
        <c:dLbls>
          <c:showLegendKey val="0"/>
          <c:showVal val="0"/>
          <c:showCatName val="0"/>
          <c:showSerName val="0"/>
          <c:showPercent val="0"/>
          <c:showBubbleSize val="0"/>
        </c:dLbls>
        <c:gapWidth val="150"/>
        <c:axId val="651820416"/>
        <c:axId val="651822208"/>
      </c:barChart>
      <c:lineChart>
        <c:grouping val="standard"/>
        <c:varyColors val="0"/>
        <c:ser>
          <c:idx val="1"/>
          <c:order val="1"/>
          <c:tx>
            <c:strRef>
              <c:f>Charts!$B$367</c:f>
              <c:strCache>
                <c:ptCount val="1"/>
                <c:pt idx="0">
                  <c:v>% margin</c:v>
                </c:pt>
              </c:strCache>
            </c:strRef>
          </c:tx>
          <c:spPr>
            <a:ln>
              <a:solidFill>
                <a:srgbClr val="1275A6"/>
              </a:solidFill>
            </a:ln>
          </c:spPr>
          <c:marker>
            <c:symbol val="square"/>
            <c:size val="5"/>
            <c:spPr>
              <a:solidFill>
                <a:srgbClr val="1275A6"/>
              </a:solidFill>
              <a:ln>
                <a:solidFill>
                  <a:srgbClr val="1275A6"/>
                </a:solidFill>
              </a:ln>
            </c:spPr>
          </c:marker>
          <c:dLbls>
            <c:txPr>
              <a:bodyPr/>
              <a:lstStyle/>
              <a:p>
                <a:pPr>
                  <a:defRPr sz="1000" b="0" i="0" u="none" strike="noStrike" baseline="0">
                    <a:solidFill>
                      <a:srgbClr val="000000"/>
                    </a:solidFill>
                    <a:latin typeface="Calibri"/>
                    <a:ea typeface="Calibri"/>
                    <a:cs typeface="Calibri"/>
                  </a:defRPr>
                </a:pPr>
                <a:endParaRPr lang="en-US"/>
              </a:p>
            </c:txPr>
            <c:dLblPos val="t"/>
            <c:showLegendKey val="0"/>
            <c:showVal val="1"/>
            <c:showCatName val="0"/>
            <c:showSerName val="0"/>
            <c:showPercent val="0"/>
            <c:showBubbleSize val="0"/>
            <c:showLeaderLines val="0"/>
          </c:dLbls>
          <c:val>
            <c:numRef>
              <c:f>Charts!$F$367:$L$367</c:f>
              <c:numCache>
                <c:formatCode>0.0%</c:formatCode>
                <c:ptCount val="7"/>
                <c:pt idx="0">
                  <c:v>0</c:v>
                </c:pt>
                <c:pt idx="1">
                  <c:v>0</c:v>
                </c:pt>
                <c:pt idx="2">
                  <c:v>0</c:v>
                </c:pt>
                <c:pt idx="3">
                  <c:v>0</c:v>
                </c:pt>
                <c:pt idx="4">
                  <c:v>0</c:v>
                </c:pt>
                <c:pt idx="5">
                  <c:v>0</c:v>
                </c:pt>
                <c:pt idx="6">
                  <c:v>0</c:v>
                </c:pt>
              </c:numCache>
            </c:numRef>
          </c:val>
          <c:smooth val="0"/>
        </c:ser>
        <c:dLbls>
          <c:showLegendKey val="0"/>
          <c:showVal val="0"/>
          <c:showCatName val="0"/>
          <c:showSerName val="0"/>
          <c:showPercent val="0"/>
          <c:showBubbleSize val="0"/>
        </c:dLbls>
        <c:marker val="1"/>
        <c:smooth val="0"/>
        <c:axId val="651823744"/>
        <c:axId val="651846016"/>
      </c:lineChart>
      <c:catAx>
        <c:axId val="651820416"/>
        <c:scaling>
          <c:orientation val="minMax"/>
        </c:scaling>
        <c:delete val="0"/>
        <c:axPos val="b"/>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651822208"/>
        <c:crosses val="autoZero"/>
        <c:auto val="1"/>
        <c:lblAlgn val="ctr"/>
        <c:lblOffset val="100"/>
        <c:noMultiLvlLbl val="0"/>
      </c:catAx>
      <c:valAx>
        <c:axId val="651822208"/>
        <c:scaling>
          <c:orientation val="minMax"/>
        </c:scaling>
        <c:delete val="0"/>
        <c:axPos val="l"/>
        <c:majorGridlines>
          <c:spPr>
            <a:ln>
              <a:solidFill>
                <a:schemeClr val="bg1">
                  <a:lumMod val="90000"/>
                </a:schemeClr>
              </a:solidFill>
            </a:ln>
          </c:spPr>
        </c:majorGridlines>
        <c:numFmt formatCode="\$#,##0_);\(\$#,##0\)" sourceLinked="0"/>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651820416"/>
        <c:crosses val="autoZero"/>
        <c:crossBetween val="between"/>
        <c:majorUnit val="200"/>
      </c:valAx>
      <c:catAx>
        <c:axId val="651823744"/>
        <c:scaling>
          <c:orientation val="minMax"/>
        </c:scaling>
        <c:delete val="1"/>
        <c:axPos val="b"/>
        <c:majorTickMark val="out"/>
        <c:minorTickMark val="none"/>
        <c:tickLblPos val="nextTo"/>
        <c:crossAx val="651846016"/>
        <c:crosses val="autoZero"/>
        <c:auto val="1"/>
        <c:lblAlgn val="ctr"/>
        <c:lblOffset val="100"/>
        <c:noMultiLvlLbl val="0"/>
      </c:catAx>
      <c:valAx>
        <c:axId val="651846016"/>
        <c:scaling>
          <c:orientation val="minMax"/>
          <c:max val="0.75000000000000011"/>
          <c:min val="0.5"/>
        </c:scaling>
        <c:delete val="0"/>
        <c:axPos val="r"/>
        <c:numFmt formatCode="0.0%" sourceLinked="0"/>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651823744"/>
        <c:crosses val="max"/>
        <c:crossBetween val="between"/>
        <c:majorUnit val="5.000000000000001E-2"/>
      </c:valAx>
      <c:spPr>
        <a:noFill/>
        <a:ln w="25400">
          <a:noFill/>
        </a:ln>
      </c:spPr>
    </c:plotArea>
    <c:legend>
      <c:legendPos val="t"/>
      <c:layout>
        <c:manualLayout>
          <c:xMode val="edge"/>
          <c:yMode val="edge"/>
          <c:x val="0.52597157701528763"/>
          <c:y val="1.8518588790858975E-2"/>
          <c:w val="0.47402842298471237"/>
          <c:h val="0.10854588959512591"/>
        </c:manualLayout>
      </c:layout>
      <c:overlay val="0"/>
      <c:txPr>
        <a:bodyPr/>
        <a:lstStyle/>
        <a:p>
          <a:pPr>
            <a:defRPr sz="710" b="0" i="0" u="none" strike="noStrike" baseline="0">
              <a:solidFill>
                <a:srgbClr val="000000"/>
              </a:solidFill>
              <a:latin typeface="Calibri"/>
              <a:ea typeface="Calibri"/>
              <a:cs typeface="Calibri"/>
            </a:defRPr>
          </a:pPr>
          <a:endParaRPr lang="en-US"/>
        </a:p>
      </c:txPr>
    </c:legend>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Calibri"/>
                <a:ea typeface="Calibri"/>
                <a:cs typeface="Calibri"/>
              </a:defRPr>
            </a:pPr>
            <a:r>
              <a:rPr lang="en-US"/>
              <a:t>ZAYO COLOCATION &amp; CLOUD</a:t>
            </a:r>
          </a:p>
        </c:rich>
      </c:tx>
      <c:layout>
        <c:manualLayout>
          <c:xMode val="edge"/>
          <c:yMode val="edge"/>
          <c:x val="2.3604110989543161E-4"/>
          <c:y val="1.3889047001654914E-2"/>
        </c:manualLayout>
      </c:layout>
      <c:overlay val="1"/>
    </c:title>
    <c:autoTitleDeleted val="0"/>
    <c:plotArea>
      <c:layout/>
      <c:barChart>
        <c:barDir val="col"/>
        <c:grouping val="clustered"/>
        <c:varyColors val="0"/>
        <c:ser>
          <c:idx val="0"/>
          <c:order val="0"/>
          <c:tx>
            <c:strRef>
              <c:f>Charts!$B$427</c:f>
              <c:strCache>
                <c:ptCount val="1"/>
                <c:pt idx="0">
                  <c:v>Adjusted EBITDA</c:v>
                </c:pt>
              </c:strCache>
            </c:strRef>
          </c:tx>
          <c:spPr>
            <a:solidFill>
              <a:srgbClr val="EACC80"/>
            </a:solidFill>
            <a:ln>
              <a:noFill/>
            </a:ln>
          </c:spPr>
          <c:invertIfNegative val="0"/>
          <c:dLbls>
            <c:numFmt formatCode="\$#,##0_);\(\$#,##0\)" sourceLinked="0"/>
            <c:txPr>
              <a:bodyPr rot="-5400000" vert="horz"/>
              <a:lstStyle/>
              <a:p>
                <a:pPr algn="ctr">
                  <a:defRPr sz="1000" b="0" i="0" u="none" strike="noStrike" baseline="0">
                    <a:solidFill>
                      <a:srgbClr val="000000"/>
                    </a:solidFill>
                    <a:latin typeface="Calibri"/>
                    <a:ea typeface="Calibri"/>
                    <a:cs typeface="Calibri"/>
                  </a:defRPr>
                </a:pPr>
                <a:endParaRPr lang="en-US"/>
              </a:p>
            </c:txPr>
            <c:dLblPos val="inBase"/>
            <c:showLegendKey val="0"/>
            <c:showVal val="1"/>
            <c:showCatName val="0"/>
            <c:showSerName val="0"/>
            <c:showPercent val="0"/>
            <c:showBubbleSize val="0"/>
            <c:showLeaderLines val="0"/>
          </c:dLbls>
          <c:cat>
            <c:strRef>
              <c:f>Charts!$F$3:$L$3</c:f>
              <c:strCache>
                <c:ptCount val="7"/>
                <c:pt idx="0">
                  <c:v>2012</c:v>
                </c:pt>
                <c:pt idx="1">
                  <c:v>2013</c:v>
                </c:pt>
                <c:pt idx="2">
                  <c:v>2014</c:v>
                </c:pt>
                <c:pt idx="3">
                  <c:v>2015</c:v>
                </c:pt>
                <c:pt idx="4">
                  <c:v>2016</c:v>
                </c:pt>
                <c:pt idx="5">
                  <c:v>2017</c:v>
                </c:pt>
                <c:pt idx="6">
                  <c:v>2018E</c:v>
                </c:pt>
              </c:strCache>
            </c:strRef>
          </c:cat>
          <c:val>
            <c:numRef>
              <c:f>Charts!$F$427:$L$427</c:f>
              <c:numCache>
                <c:formatCode>#,##0.0_);\(#,##0.0\)</c:formatCode>
                <c:ptCount val="7"/>
                <c:pt idx="0">
                  <c:v>0</c:v>
                </c:pt>
                <c:pt idx="1">
                  <c:v>0</c:v>
                </c:pt>
                <c:pt idx="2">
                  <c:v>0</c:v>
                </c:pt>
                <c:pt idx="3">
                  <c:v>0</c:v>
                </c:pt>
                <c:pt idx="4">
                  <c:v>0</c:v>
                </c:pt>
                <c:pt idx="5">
                  <c:v>0</c:v>
                </c:pt>
                <c:pt idx="6">
                  <c:v>0</c:v>
                </c:pt>
              </c:numCache>
            </c:numRef>
          </c:val>
        </c:ser>
        <c:dLbls>
          <c:showLegendKey val="0"/>
          <c:showVal val="0"/>
          <c:showCatName val="0"/>
          <c:showSerName val="0"/>
          <c:showPercent val="0"/>
          <c:showBubbleSize val="0"/>
        </c:dLbls>
        <c:gapWidth val="150"/>
        <c:axId val="651877376"/>
        <c:axId val="651879168"/>
      </c:barChart>
      <c:lineChart>
        <c:grouping val="standard"/>
        <c:varyColors val="0"/>
        <c:ser>
          <c:idx val="1"/>
          <c:order val="1"/>
          <c:tx>
            <c:strRef>
              <c:f>Charts!$B$428</c:f>
              <c:strCache>
                <c:ptCount val="1"/>
                <c:pt idx="0">
                  <c:v>% margin</c:v>
                </c:pt>
              </c:strCache>
            </c:strRef>
          </c:tx>
          <c:spPr>
            <a:ln>
              <a:solidFill>
                <a:srgbClr val="1275A6"/>
              </a:solidFill>
            </a:ln>
          </c:spPr>
          <c:marker>
            <c:symbol val="square"/>
            <c:size val="5"/>
            <c:spPr>
              <a:solidFill>
                <a:srgbClr val="1275A6"/>
              </a:solidFill>
              <a:ln>
                <a:solidFill>
                  <a:srgbClr val="1275A6"/>
                </a:solidFill>
              </a:ln>
            </c:spPr>
          </c:marker>
          <c:dLbls>
            <c:txPr>
              <a:bodyPr/>
              <a:lstStyle/>
              <a:p>
                <a:pPr>
                  <a:defRPr sz="1000" b="0" i="0" u="none" strike="noStrike" baseline="0">
                    <a:solidFill>
                      <a:srgbClr val="000000"/>
                    </a:solidFill>
                    <a:latin typeface="Calibri"/>
                    <a:ea typeface="Calibri"/>
                    <a:cs typeface="Calibri"/>
                  </a:defRPr>
                </a:pPr>
                <a:endParaRPr lang="en-US"/>
              </a:p>
            </c:txPr>
            <c:dLblPos val="t"/>
            <c:showLegendKey val="0"/>
            <c:showVal val="1"/>
            <c:showCatName val="0"/>
            <c:showSerName val="0"/>
            <c:showPercent val="0"/>
            <c:showBubbleSize val="0"/>
            <c:showLeaderLines val="0"/>
          </c:dLbls>
          <c:cat>
            <c:strRef>
              <c:f>Charts!$F$3:$L$3</c:f>
              <c:strCache>
                <c:ptCount val="7"/>
                <c:pt idx="0">
                  <c:v>2012</c:v>
                </c:pt>
                <c:pt idx="1">
                  <c:v>2013</c:v>
                </c:pt>
                <c:pt idx="2">
                  <c:v>2014</c:v>
                </c:pt>
                <c:pt idx="3">
                  <c:v>2015</c:v>
                </c:pt>
                <c:pt idx="4">
                  <c:v>2016</c:v>
                </c:pt>
                <c:pt idx="5">
                  <c:v>2017</c:v>
                </c:pt>
                <c:pt idx="6">
                  <c:v>2018E</c:v>
                </c:pt>
              </c:strCache>
            </c:strRef>
          </c:cat>
          <c:val>
            <c:numRef>
              <c:f>Charts!$F$428:$L$428</c:f>
              <c:numCache>
                <c:formatCode>0.0%</c:formatCode>
                <c:ptCount val="7"/>
                <c:pt idx="0">
                  <c:v>0</c:v>
                </c:pt>
                <c:pt idx="1">
                  <c:v>0</c:v>
                </c:pt>
                <c:pt idx="2">
                  <c:v>0</c:v>
                </c:pt>
                <c:pt idx="3">
                  <c:v>0</c:v>
                </c:pt>
                <c:pt idx="4">
                  <c:v>0</c:v>
                </c:pt>
                <c:pt idx="5">
                  <c:v>0</c:v>
                </c:pt>
                <c:pt idx="6">
                  <c:v>0</c:v>
                </c:pt>
              </c:numCache>
            </c:numRef>
          </c:val>
          <c:smooth val="0"/>
        </c:ser>
        <c:dLbls>
          <c:showLegendKey val="0"/>
          <c:showVal val="0"/>
          <c:showCatName val="0"/>
          <c:showSerName val="0"/>
          <c:showPercent val="0"/>
          <c:showBubbleSize val="0"/>
        </c:dLbls>
        <c:marker val="1"/>
        <c:smooth val="0"/>
        <c:axId val="651880704"/>
        <c:axId val="651894784"/>
      </c:lineChart>
      <c:catAx>
        <c:axId val="651877376"/>
        <c:scaling>
          <c:orientation val="minMax"/>
        </c:scaling>
        <c:delete val="0"/>
        <c:axPos val="b"/>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651879168"/>
        <c:crosses val="autoZero"/>
        <c:auto val="1"/>
        <c:lblAlgn val="ctr"/>
        <c:lblOffset val="100"/>
        <c:noMultiLvlLbl val="0"/>
      </c:catAx>
      <c:valAx>
        <c:axId val="651879168"/>
        <c:scaling>
          <c:orientation val="minMax"/>
        </c:scaling>
        <c:delete val="0"/>
        <c:axPos val="l"/>
        <c:majorGridlines>
          <c:spPr>
            <a:ln>
              <a:solidFill>
                <a:schemeClr val="bg1">
                  <a:lumMod val="90000"/>
                </a:schemeClr>
              </a:solidFill>
            </a:ln>
          </c:spPr>
        </c:majorGridlines>
        <c:numFmt formatCode="\$#,##0_);\(\$#,##0\)" sourceLinked="0"/>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651877376"/>
        <c:crosses val="autoZero"/>
        <c:crossBetween val="between"/>
        <c:majorUnit val="200"/>
      </c:valAx>
      <c:catAx>
        <c:axId val="651880704"/>
        <c:scaling>
          <c:orientation val="minMax"/>
        </c:scaling>
        <c:delete val="1"/>
        <c:axPos val="b"/>
        <c:majorTickMark val="out"/>
        <c:minorTickMark val="none"/>
        <c:tickLblPos val="nextTo"/>
        <c:crossAx val="651894784"/>
        <c:crosses val="autoZero"/>
        <c:auto val="1"/>
        <c:lblAlgn val="ctr"/>
        <c:lblOffset val="100"/>
        <c:noMultiLvlLbl val="0"/>
      </c:catAx>
      <c:valAx>
        <c:axId val="651894784"/>
        <c:scaling>
          <c:orientation val="minMax"/>
          <c:max val="0.60000000000000009"/>
          <c:min val="0.4"/>
        </c:scaling>
        <c:delete val="0"/>
        <c:axPos val="r"/>
        <c:numFmt formatCode="0.0%" sourceLinked="0"/>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651880704"/>
        <c:crosses val="max"/>
        <c:crossBetween val="between"/>
        <c:majorUnit val="5.000000000000001E-2"/>
      </c:valAx>
      <c:spPr>
        <a:noFill/>
        <a:ln w="25400">
          <a:noFill/>
        </a:ln>
      </c:spPr>
    </c:plotArea>
    <c:legend>
      <c:legendPos val="t"/>
      <c:layout>
        <c:manualLayout>
          <c:xMode val="edge"/>
          <c:yMode val="edge"/>
          <c:x val="0.52597157701528763"/>
          <c:y val="1.8518588790858975E-2"/>
          <c:w val="0.47402842298471237"/>
          <c:h val="0.10854588959512591"/>
        </c:manualLayout>
      </c:layout>
      <c:overlay val="0"/>
      <c:txPr>
        <a:bodyPr/>
        <a:lstStyle/>
        <a:p>
          <a:pPr>
            <a:defRPr sz="710" b="0" i="0" u="none" strike="noStrike" baseline="0">
              <a:solidFill>
                <a:srgbClr val="000000"/>
              </a:solidFill>
              <a:latin typeface="Calibri"/>
              <a:ea typeface="Calibri"/>
              <a:cs typeface="Calibri"/>
            </a:defRPr>
          </a:pPr>
          <a:endParaRPr lang="en-US"/>
        </a:p>
      </c:txPr>
    </c:legend>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Calibri"/>
                <a:ea typeface="Calibri"/>
                <a:cs typeface="Calibri"/>
              </a:defRPr>
            </a:pPr>
            <a:r>
              <a:rPr lang="en-US"/>
              <a:t>REVENUE</a:t>
            </a:r>
          </a:p>
        </c:rich>
      </c:tx>
      <c:layout>
        <c:manualLayout>
          <c:xMode val="edge"/>
          <c:yMode val="edge"/>
          <c:x val="2.3604110989543161E-4"/>
          <c:y val="1.3889047001654914E-2"/>
        </c:manualLayout>
      </c:layout>
      <c:overlay val="1"/>
    </c:title>
    <c:autoTitleDeleted val="0"/>
    <c:plotArea>
      <c:layout/>
      <c:barChart>
        <c:barDir val="col"/>
        <c:grouping val="clustered"/>
        <c:varyColors val="0"/>
        <c:ser>
          <c:idx val="0"/>
          <c:order val="0"/>
          <c:tx>
            <c:strRef>
              <c:f>Charts!$B$12</c:f>
              <c:strCache>
                <c:ptCount val="1"/>
                <c:pt idx="0">
                  <c:v>Service activation pipeline (ending)</c:v>
                </c:pt>
              </c:strCache>
            </c:strRef>
          </c:tx>
          <c:spPr>
            <a:solidFill>
              <a:srgbClr val="EACC80"/>
            </a:solidFill>
            <a:ln>
              <a:noFill/>
            </a:ln>
          </c:spPr>
          <c:invertIfNegative val="0"/>
          <c:dLbls>
            <c:numFmt formatCode="\$#,##0_);\(\$#,##0\)" sourceLinked="0"/>
            <c:txPr>
              <a:bodyPr rot="-5400000" vert="horz"/>
              <a:lstStyle/>
              <a:p>
                <a:pPr algn="ctr">
                  <a:defRPr sz="1000" b="0" i="0" u="none" strike="noStrike" baseline="0">
                    <a:solidFill>
                      <a:srgbClr val="000000"/>
                    </a:solidFill>
                    <a:latin typeface="Calibri"/>
                    <a:ea typeface="Calibri"/>
                    <a:cs typeface="Calibri"/>
                  </a:defRPr>
                </a:pPr>
                <a:endParaRPr lang="en-US"/>
              </a:p>
            </c:txPr>
            <c:dLblPos val="inBase"/>
            <c:showLegendKey val="0"/>
            <c:showVal val="1"/>
            <c:showCatName val="0"/>
            <c:showSerName val="0"/>
            <c:showPercent val="0"/>
            <c:showBubbleSize val="0"/>
            <c:showLeaderLines val="0"/>
          </c:dLbls>
          <c:cat>
            <c:strRef>
              <c:f>Charts!$H$3:$N$3</c:f>
              <c:strCache>
                <c:ptCount val="7"/>
                <c:pt idx="0">
                  <c:v>2014</c:v>
                </c:pt>
                <c:pt idx="1">
                  <c:v>2015</c:v>
                </c:pt>
                <c:pt idx="2">
                  <c:v>2016</c:v>
                </c:pt>
                <c:pt idx="3">
                  <c:v>2017</c:v>
                </c:pt>
                <c:pt idx="4">
                  <c:v>2018E</c:v>
                </c:pt>
                <c:pt idx="5">
                  <c:v>2019E</c:v>
                </c:pt>
                <c:pt idx="6">
                  <c:v>2020E</c:v>
                </c:pt>
              </c:strCache>
            </c:strRef>
          </c:cat>
          <c:val>
            <c:numRef>
              <c:f>Charts!$H$12:$N$12</c:f>
              <c:numCache>
                <c:formatCode>#,##0.0_);\(#,##0.0\)</c:formatCode>
                <c:ptCount val="7"/>
                <c:pt idx="1">
                  <c:v>12.66624364616953</c:v>
                </c:pt>
                <c:pt idx="2">
                  <c:v>14.538243646169533</c:v>
                </c:pt>
                <c:pt idx="3">
                  <c:v>13.79324364616954</c:v>
                </c:pt>
                <c:pt idx="4">
                  <c:v>15.116458437123772</c:v>
                </c:pt>
                <c:pt idx="5">
                  <c:v>16.461280311643122</c:v>
                </c:pt>
                <c:pt idx="6">
                  <c:v>17.737790108630676</c:v>
                </c:pt>
              </c:numCache>
            </c:numRef>
          </c:val>
        </c:ser>
        <c:dLbls>
          <c:showLegendKey val="0"/>
          <c:showVal val="0"/>
          <c:showCatName val="0"/>
          <c:showSerName val="0"/>
          <c:showPercent val="0"/>
          <c:showBubbleSize val="0"/>
        </c:dLbls>
        <c:gapWidth val="150"/>
        <c:axId val="651934336"/>
        <c:axId val="651944320"/>
      </c:barChart>
      <c:lineChart>
        <c:grouping val="standard"/>
        <c:varyColors val="0"/>
        <c:ser>
          <c:idx val="1"/>
          <c:order val="1"/>
          <c:tx>
            <c:strRef>
              <c:f>Charts!$B$13</c:f>
              <c:strCache>
                <c:ptCount val="1"/>
                <c:pt idx="0">
                  <c:v>% Y/Y</c:v>
                </c:pt>
              </c:strCache>
            </c:strRef>
          </c:tx>
          <c:spPr>
            <a:ln>
              <a:solidFill>
                <a:srgbClr val="1275A6"/>
              </a:solidFill>
            </a:ln>
          </c:spPr>
          <c:marker>
            <c:symbol val="square"/>
            <c:size val="5"/>
            <c:spPr>
              <a:solidFill>
                <a:srgbClr val="1275A6"/>
              </a:solidFill>
              <a:ln>
                <a:solidFill>
                  <a:srgbClr val="1275A6"/>
                </a:solidFill>
              </a:ln>
            </c:spPr>
          </c:marker>
          <c:dLbls>
            <c:txPr>
              <a:bodyPr/>
              <a:lstStyle/>
              <a:p>
                <a:pPr>
                  <a:defRPr sz="1000" b="0" i="0" u="none" strike="noStrike" baseline="0">
                    <a:solidFill>
                      <a:srgbClr val="000000"/>
                    </a:solidFill>
                    <a:latin typeface="Calibri"/>
                    <a:ea typeface="Calibri"/>
                    <a:cs typeface="Calibri"/>
                  </a:defRPr>
                </a:pPr>
                <a:endParaRPr lang="en-US"/>
              </a:p>
            </c:txPr>
            <c:dLblPos val="t"/>
            <c:showLegendKey val="0"/>
            <c:showVal val="1"/>
            <c:showCatName val="0"/>
            <c:showSerName val="0"/>
            <c:showPercent val="0"/>
            <c:showBubbleSize val="0"/>
            <c:showLeaderLines val="0"/>
          </c:dLbls>
          <c:val>
            <c:numRef>
              <c:f>Charts!$H$13:$N$13</c:f>
              <c:numCache>
                <c:formatCode>#,##0.0_);\(#,##0.0\)</c:formatCode>
                <c:ptCount val="7"/>
                <c:pt idx="2" formatCode="0.0%_);\(0.0%\);&quot;–&quot;_)">
                  <c:v>0.1477944094787822</c:v>
                </c:pt>
                <c:pt idx="3" formatCode="0.0%_);\(0.0%\);&quot;–&quot;_)">
                  <c:v>-5.1244154254924901E-2</c:v>
                </c:pt>
                <c:pt idx="4" formatCode="0.0%_);\(0.0%\);&quot;–&quot;_)">
                  <c:v>9.5932097257028781E-2</c:v>
                </c:pt>
                <c:pt idx="5" formatCode="0.0%_);\(0.0%\);&quot;–&quot;_)">
                  <c:v>8.8964083757652412E-2</c:v>
                </c:pt>
                <c:pt idx="6" formatCode="0.0%_);\(0.0%\);&quot;–&quot;_)">
                  <c:v>7.7546203747267173E-2</c:v>
                </c:pt>
              </c:numCache>
            </c:numRef>
          </c:val>
          <c:smooth val="0"/>
        </c:ser>
        <c:dLbls>
          <c:showLegendKey val="0"/>
          <c:showVal val="0"/>
          <c:showCatName val="0"/>
          <c:showSerName val="0"/>
          <c:showPercent val="0"/>
          <c:showBubbleSize val="0"/>
        </c:dLbls>
        <c:marker val="1"/>
        <c:smooth val="0"/>
        <c:axId val="651945856"/>
        <c:axId val="651947392"/>
      </c:lineChart>
      <c:catAx>
        <c:axId val="651934336"/>
        <c:scaling>
          <c:orientation val="minMax"/>
        </c:scaling>
        <c:delete val="0"/>
        <c:axPos val="b"/>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651944320"/>
        <c:crosses val="autoZero"/>
        <c:auto val="1"/>
        <c:lblAlgn val="ctr"/>
        <c:lblOffset val="100"/>
        <c:noMultiLvlLbl val="0"/>
      </c:catAx>
      <c:valAx>
        <c:axId val="651944320"/>
        <c:scaling>
          <c:orientation val="minMax"/>
        </c:scaling>
        <c:delete val="0"/>
        <c:axPos val="l"/>
        <c:majorGridlines>
          <c:spPr>
            <a:ln>
              <a:solidFill>
                <a:schemeClr val="bg1">
                  <a:lumMod val="90000"/>
                </a:schemeClr>
              </a:solidFill>
            </a:ln>
          </c:spPr>
        </c:majorGridlines>
        <c:numFmt formatCode="\$#,##0_);\(\$#,##0\)" sourceLinked="0"/>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651934336"/>
        <c:crosses val="autoZero"/>
        <c:crossBetween val="between"/>
      </c:valAx>
      <c:catAx>
        <c:axId val="651945856"/>
        <c:scaling>
          <c:orientation val="minMax"/>
        </c:scaling>
        <c:delete val="1"/>
        <c:axPos val="b"/>
        <c:majorTickMark val="out"/>
        <c:minorTickMark val="none"/>
        <c:tickLblPos val="nextTo"/>
        <c:crossAx val="651947392"/>
        <c:crosses val="autoZero"/>
        <c:auto val="1"/>
        <c:lblAlgn val="ctr"/>
        <c:lblOffset val="100"/>
        <c:noMultiLvlLbl val="0"/>
      </c:catAx>
      <c:valAx>
        <c:axId val="651947392"/>
        <c:scaling>
          <c:orientation val="minMax"/>
          <c:max val="0.2"/>
        </c:scaling>
        <c:delete val="0"/>
        <c:axPos val="r"/>
        <c:numFmt formatCode="0.0%" sourceLinked="0"/>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651945856"/>
        <c:crosses val="max"/>
        <c:crossBetween val="between"/>
        <c:majorUnit val="5.000000000000001E-2"/>
      </c:valAx>
      <c:spPr>
        <a:noFill/>
        <a:ln w="25400">
          <a:noFill/>
        </a:ln>
      </c:spPr>
    </c:plotArea>
    <c:legend>
      <c:legendPos val="t"/>
      <c:layout>
        <c:manualLayout>
          <c:xMode val="edge"/>
          <c:yMode val="edge"/>
          <c:x val="0.3009988102284481"/>
          <c:y val="1.8518588790858975E-2"/>
          <c:w val="0.6990011897715519"/>
          <c:h val="0.10854588959512591"/>
        </c:manualLayout>
      </c:layout>
      <c:overlay val="0"/>
      <c:txPr>
        <a:bodyPr/>
        <a:lstStyle/>
        <a:p>
          <a:pPr>
            <a:defRPr sz="1000" b="0" i="0" u="none" strike="noStrike" baseline="0">
              <a:solidFill>
                <a:srgbClr val="000000"/>
              </a:solidFill>
              <a:latin typeface="Calibri"/>
              <a:ea typeface="Calibri"/>
              <a:cs typeface="Calibri"/>
            </a:defRPr>
          </a:pPr>
          <a:endParaRPr lang="en-US"/>
        </a:p>
      </c:txPr>
    </c:legend>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Calibri"/>
                <a:ea typeface="Calibri"/>
                <a:cs typeface="Calibri"/>
              </a:defRPr>
            </a:pPr>
            <a:r>
              <a:rPr lang="en-US"/>
              <a:t>LEVERED FCF</a:t>
            </a:r>
          </a:p>
        </c:rich>
      </c:tx>
      <c:layout>
        <c:manualLayout>
          <c:xMode val="edge"/>
          <c:yMode val="edge"/>
          <c:x val="2.3604110989543161E-4"/>
          <c:y val="1.3888923884514437E-2"/>
        </c:manualLayout>
      </c:layout>
      <c:overlay val="1"/>
    </c:title>
    <c:autoTitleDeleted val="0"/>
    <c:plotArea>
      <c:layout/>
      <c:barChart>
        <c:barDir val="col"/>
        <c:grouping val="clustered"/>
        <c:varyColors val="0"/>
        <c:ser>
          <c:idx val="0"/>
          <c:order val="0"/>
          <c:tx>
            <c:strRef>
              <c:f>Charts!$B$158</c:f>
              <c:strCache>
                <c:ptCount val="1"/>
                <c:pt idx="0">
                  <c:v>Levered FCF</c:v>
                </c:pt>
              </c:strCache>
            </c:strRef>
          </c:tx>
          <c:spPr>
            <a:solidFill>
              <a:srgbClr val="EACC80"/>
            </a:solidFill>
            <a:ln>
              <a:noFill/>
            </a:ln>
          </c:spPr>
          <c:invertIfNegative val="0"/>
          <c:dLbls>
            <c:numFmt formatCode="\$#,##0_);\(\$#,##0\)" sourceLinked="0"/>
            <c:txPr>
              <a:bodyPr rot="-5400000" vert="horz"/>
              <a:lstStyle/>
              <a:p>
                <a:pPr algn="ctr">
                  <a:defRPr sz="1000" b="0" i="0" u="none" strike="noStrike" baseline="0">
                    <a:solidFill>
                      <a:srgbClr val="000000"/>
                    </a:solidFill>
                    <a:latin typeface="Calibri"/>
                    <a:ea typeface="Calibri"/>
                    <a:cs typeface="Calibri"/>
                  </a:defRPr>
                </a:pPr>
                <a:endParaRPr lang="en-US"/>
              </a:p>
            </c:txPr>
            <c:dLblPos val="inBase"/>
            <c:showLegendKey val="0"/>
            <c:showVal val="1"/>
            <c:showCatName val="0"/>
            <c:showSerName val="0"/>
            <c:showPercent val="0"/>
            <c:showBubbleSize val="0"/>
            <c:showLeaderLines val="0"/>
          </c:dLbls>
          <c:cat>
            <c:strRef>
              <c:f>Charts!$H$3:$N$3</c:f>
              <c:strCache>
                <c:ptCount val="7"/>
                <c:pt idx="0">
                  <c:v>2014</c:v>
                </c:pt>
                <c:pt idx="1">
                  <c:v>2015</c:v>
                </c:pt>
                <c:pt idx="2">
                  <c:v>2016</c:v>
                </c:pt>
                <c:pt idx="3">
                  <c:v>2017</c:v>
                </c:pt>
                <c:pt idx="4">
                  <c:v>2018E</c:v>
                </c:pt>
                <c:pt idx="5">
                  <c:v>2019E</c:v>
                </c:pt>
                <c:pt idx="6">
                  <c:v>2020E</c:v>
                </c:pt>
              </c:strCache>
            </c:strRef>
          </c:cat>
          <c:val>
            <c:numRef>
              <c:f>Charts!$H$158:$N$158</c:f>
              <c:numCache>
                <c:formatCode>#,##0.0_);\(#,##0.0\)</c:formatCode>
                <c:ptCount val="7"/>
                <c:pt idx="0">
                  <c:v>205.72699999999986</c:v>
                </c:pt>
                <c:pt idx="1">
                  <c:v>75.000000000000043</c:v>
                </c:pt>
                <c:pt idx="2">
                  <c:v>9.9000000000000057</c:v>
                </c:pt>
                <c:pt idx="3">
                  <c:v>74.299999999999955</c:v>
                </c:pt>
                <c:pt idx="4">
                  <c:v>156.64749522767741</c:v>
                </c:pt>
                <c:pt idx="5">
                  <c:v>160.6506093697019</c:v>
                </c:pt>
                <c:pt idx="6">
                  <c:v>294.90575568268082</c:v>
                </c:pt>
              </c:numCache>
            </c:numRef>
          </c:val>
        </c:ser>
        <c:dLbls>
          <c:showLegendKey val="0"/>
          <c:showVal val="0"/>
          <c:showCatName val="0"/>
          <c:showSerName val="0"/>
          <c:showPercent val="0"/>
          <c:showBubbleSize val="0"/>
        </c:dLbls>
        <c:gapWidth val="150"/>
        <c:axId val="651995392"/>
        <c:axId val="651997184"/>
      </c:barChart>
      <c:lineChart>
        <c:grouping val="standard"/>
        <c:varyColors val="0"/>
        <c:ser>
          <c:idx val="1"/>
          <c:order val="1"/>
          <c:tx>
            <c:strRef>
              <c:f>Charts!$B$159</c:f>
              <c:strCache>
                <c:ptCount val="1"/>
                <c:pt idx="0">
                  <c:v>% Y/Y</c:v>
                </c:pt>
              </c:strCache>
            </c:strRef>
          </c:tx>
          <c:spPr>
            <a:ln>
              <a:solidFill>
                <a:srgbClr val="1275A6"/>
              </a:solidFill>
            </a:ln>
          </c:spPr>
          <c:marker>
            <c:symbol val="square"/>
            <c:size val="5"/>
            <c:spPr>
              <a:solidFill>
                <a:srgbClr val="1275A6"/>
              </a:solidFill>
              <a:ln>
                <a:solidFill>
                  <a:srgbClr val="1275A6"/>
                </a:solidFill>
              </a:ln>
            </c:spPr>
          </c:marker>
          <c:dLbls>
            <c:txPr>
              <a:bodyPr/>
              <a:lstStyle/>
              <a:p>
                <a:pPr>
                  <a:defRPr sz="1000" b="0" i="0" u="none" strike="noStrike" baseline="0">
                    <a:solidFill>
                      <a:srgbClr val="000000"/>
                    </a:solidFill>
                    <a:latin typeface="Calibri"/>
                    <a:ea typeface="Calibri"/>
                    <a:cs typeface="Calibri"/>
                  </a:defRPr>
                </a:pPr>
                <a:endParaRPr lang="en-US"/>
              </a:p>
            </c:txPr>
            <c:dLblPos val="t"/>
            <c:showLegendKey val="0"/>
            <c:showVal val="1"/>
            <c:showCatName val="0"/>
            <c:showSerName val="0"/>
            <c:showPercent val="0"/>
            <c:showBubbleSize val="0"/>
            <c:showLeaderLines val="0"/>
          </c:dLbls>
          <c:val>
            <c:numRef>
              <c:f>Charts!$H$159:$N$159</c:f>
              <c:numCache>
                <c:formatCode>0.0%</c:formatCode>
                <c:ptCount val="7"/>
                <c:pt idx="1">
                  <c:v>-0.63543919854953357</c:v>
                </c:pt>
                <c:pt idx="2">
                  <c:v>-0.86799999999999999</c:v>
                </c:pt>
                <c:pt idx="3">
                  <c:v>6.5050505050504963</c:v>
                </c:pt>
                <c:pt idx="4">
                  <c:v>1.1083108375192126</c:v>
                </c:pt>
                <c:pt idx="5">
                  <c:v>2.5554919574080737E-2</c:v>
                </c:pt>
                <c:pt idx="6">
                  <c:v>0.83569646476734083</c:v>
                </c:pt>
              </c:numCache>
            </c:numRef>
          </c:val>
          <c:smooth val="0"/>
        </c:ser>
        <c:dLbls>
          <c:showLegendKey val="0"/>
          <c:showVal val="0"/>
          <c:showCatName val="0"/>
          <c:showSerName val="0"/>
          <c:showPercent val="0"/>
          <c:showBubbleSize val="0"/>
        </c:dLbls>
        <c:marker val="1"/>
        <c:smooth val="0"/>
        <c:axId val="651998720"/>
        <c:axId val="652000256"/>
      </c:lineChart>
      <c:catAx>
        <c:axId val="651995392"/>
        <c:scaling>
          <c:orientation val="minMax"/>
        </c:scaling>
        <c:delete val="0"/>
        <c:axPos val="b"/>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651997184"/>
        <c:crosses val="autoZero"/>
        <c:auto val="1"/>
        <c:lblAlgn val="ctr"/>
        <c:lblOffset val="100"/>
        <c:noMultiLvlLbl val="0"/>
      </c:catAx>
      <c:valAx>
        <c:axId val="651997184"/>
        <c:scaling>
          <c:orientation val="minMax"/>
        </c:scaling>
        <c:delete val="0"/>
        <c:axPos val="l"/>
        <c:majorGridlines>
          <c:spPr>
            <a:ln>
              <a:solidFill>
                <a:schemeClr val="bg1">
                  <a:lumMod val="90000"/>
                </a:schemeClr>
              </a:solidFill>
            </a:ln>
          </c:spPr>
        </c:majorGridlines>
        <c:numFmt formatCode="\$#,##0_);\(\$#,##0\)" sourceLinked="0"/>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651995392"/>
        <c:crosses val="autoZero"/>
        <c:crossBetween val="between"/>
      </c:valAx>
      <c:catAx>
        <c:axId val="651998720"/>
        <c:scaling>
          <c:orientation val="minMax"/>
        </c:scaling>
        <c:delete val="1"/>
        <c:axPos val="b"/>
        <c:majorTickMark val="out"/>
        <c:minorTickMark val="none"/>
        <c:tickLblPos val="nextTo"/>
        <c:crossAx val="652000256"/>
        <c:crosses val="autoZero"/>
        <c:auto val="1"/>
        <c:lblAlgn val="ctr"/>
        <c:lblOffset val="100"/>
        <c:noMultiLvlLbl val="0"/>
      </c:catAx>
      <c:valAx>
        <c:axId val="652000256"/>
        <c:scaling>
          <c:orientation val="minMax"/>
        </c:scaling>
        <c:delete val="0"/>
        <c:axPos val="r"/>
        <c:numFmt formatCode="0.0%" sourceLinked="0"/>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651998720"/>
        <c:crosses val="max"/>
        <c:crossBetween val="between"/>
      </c:valAx>
      <c:spPr>
        <a:noFill/>
        <a:ln w="25400">
          <a:noFill/>
        </a:ln>
      </c:spPr>
    </c:plotArea>
    <c:legend>
      <c:legendPos val="t"/>
      <c:layout>
        <c:manualLayout>
          <c:xMode val="edge"/>
          <c:yMode val="edge"/>
          <c:x val="0.52597157701528763"/>
          <c:y val="1.8518425196850395E-2"/>
          <c:w val="0.47402842298471237"/>
          <c:h val="0.1085459317585302"/>
        </c:manualLayout>
      </c:layout>
      <c:overlay val="0"/>
      <c:txPr>
        <a:bodyPr/>
        <a:lstStyle/>
        <a:p>
          <a:pPr>
            <a:defRPr sz="1000" b="0" i="0" u="none" strike="noStrike" baseline="0">
              <a:solidFill>
                <a:srgbClr val="000000"/>
              </a:solidFill>
              <a:latin typeface="Calibri"/>
              <a:ea typeface="Calibri"/>
              <a:cs typeface="Calibri"/>
            </a:defRPr>
          </a:pPr>
          <a:endParaRPr lang="en-US"/>
        </a:p>
      </c:txPr>
    </c:legend>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Calibri"/>
                <a:ea typeface="Calibri"/>
                <a:cs typeface="Calibri"/>
              </a:defRPr>
            </a:pPr>
            <a:r>
              <a:rPr lang="en-US"/>
              <a:t>UNLEVERED FCF</a:t>
            </a:r>
          </a:p>
        </c:rich>
      </c:tx>
      <c:layout>
        <c:manualLayout>
          <c:xMode val="edge"/>
          <c:yMode val="edge"/>
          <c:x val="2.3604110989543161E-4"/>
          <c:y val="1.3888923884514437E-2"/>
        </c:manualLayout>
      </c:layout>
      <c:overlay val="1"/>
    </c:title>
    <c:autoTitleDeleted val="0"/>
    <c:plotArea>
      <c:layout/>
      <c:barChart>
        <c:barDir val="col"/>
        <c:grouping val="clustered"/>
        <c:varyColors val="0"/>
        <c:ser>
          <c:idx val="0"/>
          <c:order val="0"/>
          <c:tx>
            <c:strRef>
              <c:f>Charts!$B$179</c:f>
              <c:strCache>
                <c:ptCount val="1"/>
                <c:pt idx="0">
                  <c:v>Unlevered FCF</c:v>
                </c:pt>
              </c:strCache>
            </c:strRef>
          </c:tx>
          <c:spPr>
            <a:solidFill>
              <a:srgbClr val="1275A6"/>
            </a:solidFill>
            <a:ln>
              <a:noFill/>
            </a:ln>
          </c:spPr>
          <c:invertIfNegative val="0"/>
          <c:dLbls>
            <c:numFmt formatCode="\$#,##0_);\(\$#,##0\)" sourceLinked="0"/>
            <c:txPr>
              <a:bodyPr rot="-5400000" vert="horz"/>
              <a:lstStyle/>
              <a:p>
                <a:pPr algn="ctr">
                  <a:defRPr sz="1000" b="0" i="0" u="none" strike="noStrike" baseline="0">
                    <a:solidFill>
                      <a:srgbClr val="000000"/>
                    </a:solidFill>
                    <a:latin typeface="Calibri"/>
                    <a:ea typeface="Calibri"/>
                    <a:cs typeface="Calibri"/>
                  </a:defRPr>
                </a:pPr>
                <a:endParaRPr lang="en-US"/>
              </a:p>
            </c:txPr>
            <c:dLblPos val="outEnd"/>
            <c:showLegendKey val="0"/>
            <c:showVal val="1"/>
            <c:showCatName val="0"/>
            <c:showSerName val="0"/>
            <c:showPercent val="0"/>
            <c:showBubbleSize val="0"/>
            <c:showLeaderLines val="0"/>
          </c:dLbls>
          <c:cat>
            <c:strRef>
              <c:f>Charts!$I$3:$N$3</c:f>
              <c:strCache>
                <c:ptCount val="6"/>
                <c:pt idx="0">
                  <c:v>2015</c:v>
                </c:pt>
                <c:pt idx="1">
                  <c:v>2016</c:v>
                </c:pt>
                <c:pt idx="2">
                  <c:v>2017</c:v>
                </c:pt>
                <c:pt idx="3">
                  <c:v>2018E</c:v>
                </c:pt>
                <c:pt idx="4">
                  <c:v>2019E</c:v>
                </c:pt>
                <c:pt idx="5">
                  <c:v>2020E</c:v>
                </c:pt>
              </c:strCache>
            </c:strRef>
          </c:cat>
          <c:val>
            <c:numRef>
              <c:f>Charts!$I$179:$N$179</c:f>
              <c:numCache>
                <c:formatCode>#,##0.0_);\(#,##0.0\)</c:formatCode>
                <c:ptCount val="6"/>
                <c:pt idx="0">
                  <c:v>401.30000000000018</c:v>
                </c:pt>
                <c:pt idx="1">
                  <c:v>414.79999999999984</c:v>
                </c:pt>
                <c:pt idx="2">
                  <c:v>481.80000000000018</c:v>
                </c:pt>
                <c:pt idx="3">
                  <c:v>566.73745900284666</c:v>
                </c:pt>
                <c:pt idx="4">
                  <c:v>608.17583183590853</c:v>
                </c:pt>
                <c:pt idx="5">
                  <c:v>750.76462689116215</c:v>
                </c:pt>
              </c:numCache>
            </c:numRef>
          </c:val>
        </c:ser>
        <c:dLbls>
          <c:showLegendKey val="0"/>
          <c:showVal val="0"/>
          <c:showCatName val="0"/>
          <c:showSerName val="0"/>
          <c:showPercent val="0"/>
          <c:showBubbleSize val="0"/>
        </c:dLbls>
        <c:gapWidth val="150"/>
        <c:axId val="652012928"/>
        <c:axId val="654648448"/>
      </c:barChart>
      <c:catAx>
        <c:axId val="652012928"/>
        <c:scaling>
          <c:orientation val="minMax"/>
        </c:scaling>
        <c:delete val="0"/>
        <c:axPos val="b"/>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654648448"/>
        <c:crosses val="autoZero"/>
        <c:auto val="1"/>
        <c:lblAlgn val="ctr"/>
        <c:lblOffset val="100"/>
        <c:noMultiLvlLbl val="0"/>
      </c:catAx>
      <c:valAx>
        <c:axId val="654648448"/>
        <c:scaling>
          <c:orientation val="minMax"/>
        </c:scaling>
        <c:delete val="0"/>
        <c:axPos val="l"/>
        <c:majorGridlines>
          <c:spPr>
            <a:ln>
              <a:solidFill>
                <a:schemeClr val="bg1">
                  <a:lumMod val="90000"/>
                </a:schemeClr>
              </a:solidFill>
            </a:ln>
          </c:spPr>
        </c:majorGridlines>
        <c:numFmt formatCode="\$#,##0_);\(\$#,##0\)" sourceLinked="0"/>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652012928"/>
        <c:crosses val="autoZero"/>
        <c:crossBetween val="between"/>
      </c:valAx>
      <c:spPr>
        <a:noFill/>
        <a:ln w="25400">
          <a:noFill/>
        </a:ln>
      </c:spPr>
    </c:plotArea>
    <c:legend>
      <c:legendPos val="t"/>
      <c:layout>
        <c:manualLayout>
          <c:xMode val="edge"/>
          <c:yMode val="edge"/>
          <c:x val="0.67479465977914488"/>
          <c:y val="1.8518425196850395E-2"/>
          <c:w val="0.32520534022085512"/>
          <c:h val="0.1085459317585302"/>
        </c:manualLayout>
      </c:layout>
      <c:overlay val="0"/>
      <c:txPr>
        <a:bodyPr/>
        <a:lstStyle/>
        <a:p>
          <a:pPr>
            <a:defRPr sz="710" b="0" i="0" u="none" strike="noStrike" baseline="0">
              <a:solidFill>
                <a:srgbClr val="000000"/>
              </a:solidFill>
              <a:latin typeface="Calibri"/>
              <a:ea typeface="Calibri"/>
              <a:cs typeface="Calibri"/>
            </a:defRPr>
          </a:pPr>
          <a:endParaRPr lang="en-US"/>
        </a:p>
      </c:txPr>
    </c:legend>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Calibri"/>
                <a:ea typeface="Calibri"/>
                <a:cs typeface="Calibri"/>
              </a:defRPr>
            </a:pPr>
            <a:r>
              <a:rPr lang="en-US"/>
              <a:t>REVENUE GROWTH % Y/Y</a:t>
            </a:r>
          </a:p>
        </c:rich>
      </c:tx>
      <c:layout>
        <c:manualLayout>
          <c:xMode val="edge"/>
          <c:yMode val="edge"/>
          <c:x val="2.3604110989543161E-4"/>
          <c:y val="1.3888923884514437E-2"/>
        </c:manualLayout>
      </c:layout>
      <c:overlay val="1"/>
    </c:title>
    <c:autoTitleDeleted val="0"/>
    <c:plotArea>
      <c:layout>
        <c:manualLayout>
          <c:layoutTarget val="inner"/>
          <c:xMode val="edge"/>
          <c:yMode val="edge"/>
          <c:x val="0.10356602790304861"/>
          <c:y val="0.20507031807383144"/>
          <c:w val="0.86603223589449208"/>
          <c:h val="0.66780436607345628"/>
        </c:manualLayout>
      </c:layout>
      <c:lineChart>
        <c:grouping val="standard"/>
        <c:varyColors val="0"/>
        <c:ser>
          <c:idx val="0"/>
          <c:order val="0"/>
          <c:tx>
            <c:strRef>
              <c:f>Charts!$B$541</c:f>
              <c:strCache>
                <c:ptCount val="1"/>
                <c:pt idx="0">
                  <c:v>Total</c:v>
                </c:pt>
              </c:strCache>
            </c:strRef>
          </c:tx>
          <c:dLbls>
            <c:numFmt formatCode="0.0%" sourceLinked="0"/>
            <c:txPr>
              <a:bodyPr/>
              <a:lstStyle/>
              <a:p>
                <a:pPr>
                  <a:defRPr sz="1000" b="0" i="0" u="none" strike="noStrike" baseline="0">
                    <a:solidFill>
                      <a:srgbClr val="000000"/>
                    </a:solidFill>
                    <a:latin typeface="Calibri"/>
                    <a:ea typeface="Calibri"/>
                    <a:cs typeface="Calibri"/>
                  </a:defRPr>
                </a:pPr>
                <a:endParaRPr lang="en-US"/>
              </a:p>
            </c:txPr>
            <c:dLblPos val="t"/>
            <c:showLegendKey val="0"/>
            <c:showVal val="1"/>
            <c:showCatName val="0"/>
            <c:showSerName val="0"/>
            <c:showPercent val="0"/>
            <c:showBubbleSize val="0"/>
            <c:showLeaderLines val="0"/>
          </c:dLbls>
          <c:cat>
            <c:strRef>
              <c:f>Charts!$H$3:$N$3</c:f>
              <c:strCache>
                <c:ptCount val="7"/>
                <c:pt idx="0">
                  <c:v>2014</c:v>
                </c:pt>
                <c:pt idx="1">
                  <c:v>2015</c:v>
                </c:pt>
                <c:pt idx="2">
                  <c:v>2016</c:v>
                </c:pt>
                <c:pt idx="3">
                  <c:v>2017</c:v>
                </c:pt>
                <c:pt idx="4">
                  <c:v>2018E</c:v>
                </c:pt>
                <c:pt idx="5">
                  <c:v>2019E</c:v>
                </c:pt>
                <c:pt idx="6">
                  <c:v>2020E</c:v>
                </c:pt>
              </c:strCache>
            </c:strRef>
          </c:cat>
          <c:val>
            <c:numRef>
              <c:f>Charts!$H$541:$N$541</c:f>
              <c:numCache>
                <c:formatCode>0.0%</c:formatCode>
                <c:ptCount val="7"/>
                <c:pt idx="0">
                  <c:v>0.118308415130147</c:v>
                </c:pt>
                <c:pt idx="1">
                  <c:v>0.1993548129084679</c:v>
                </c:pt>
                <c:pt idx="2">
                  <c:v>0.27807883601811301</c:v>
                </c:pt>
                <c:pt idx="3">
                  <c:v>0.27769065458558417</c:v>
                </c:pt>
                <c:pt idx="4">
                  <c:v>0.1853998601696234</c:v>
                </c:pt>
                <c:pt idx="5">
                  <c:v>3.1660815142734888E-2</c:v>
                </c:pt>
                <c:pt idx="6">
                  <c:v>3.9906902267784483E-2</c:v>
                </c:pt>
              </c:numCache>
            </c:numRef>
          </c:val>
          <c:smooth val="0"/>
        </c:ser>
        <c:ser>
          <c:idx val="1"/>
          <c:order val="1"/>
          <c:tx>
            <c:strRef>
              <c:f>Charts!$B$542</c:f>
              <c:strCache>
                <c:ptCount val="1"/>
                <c:pt idx="0">
                  <c:v>ZPI</c:v>
                </c:pt>
              </c:strCache>
            </c:strRef>
          </c:tx>
          <c:spPr>
            <a:ln>
              <a:solidFill>
                <a:srgbClr val="EACC80"/>
              </a:solidFill>
            </a:ln>
          </c:spPr>
          <c:marker>
            <c:symbol val="square"/>
            <c:size val="5"/>
            <c:spPr>
              <a:solidFill>
                <a:srgbClr val="EACC80"/>
              </a:solidFill>
              <a:ln>
                <a:solidFill>
                  <a:srgbClr val="EACC80"/>
                </a:solidFill>
              </a:ln>
            </c:spPr>
          </c:marker>
          <c:dLbls>
            <c:txPr>
              <a:bodyPr/>
              <a:lstStyle/>
              <a:p>
                <a:pPr>
                  <a:defRPr sz="1000" b="0" i="0" u="none" strike="noStrike" baseline="0">
                    <a:solidFill>
                      <a:srgbClr val="000000"/>
                    </a:solidFill>
                    <a:latin typeface="Calibri"/>
                    <a:ea typeface="Calibri"/>
                    <a:cs typeface="Calibri"/>
                  </a:defRPr>
                </a:pPr>
                <a:endParaRPr lang="en-US"/>
              </a:p>
            </c:txPr>
            <c:dLblPos val="t"/>
            <c:showLegendKey val="0"/>
            <c:showVal val="1"/>
            <c:showCatName val="0"/>
            <c:showSerName val="0"/>
            <c:showPercent val="0"/>
            <c:showBubbleSize val="0"/>
            <c:showLeaderLines val="0"/>
          </c:dLbls>
          <c:cat>
            <c:strRef>
              <c:f>Charts!$H$3:$N$3</c:f>
              <c:strCache>
                <c:ptCount val="7"/>
                <c:pt idx="0">
                  <c:v>2014</c:v>
                </c:pt>
                <c:pt idx="1">
                  <c:v>2015</c:v>
                </c:pt>
                <c:pt idx="2">
                  <c:v>2016</c:v>
                </c:pt>
                <c:pt idx="3">
                  <c:v>2017</c:v>
                </c:pt>
                <c:pt idx="4">
                  <c:v>2018E</c:v>
                </c:pt>
                <c:pt idx="5">
                  <c:v>2019E</c:v>
                </c:pt>
                <c:pt idx="6">
                  <c:v>2020E</c:v>
                </c:pt>
              </c:strCache>
            </c:strRef>
          </c:cat>
          <c:val>
            <c:numRef>
              <c:f>Charts!$H$542:$N$542</c:f>
              <c:numCache>
                <c:formatCode>0.0%</c:formatCode>
                <c:ptCount val="7"/>
                <c:pt idx="0">
                  <c:v>0</c:v>
                </c:pt>
                <c:pt idx="1">
                  <c:v>0</c:v>
                </c:pt>
                <c:pt idx="2">
                  <c:v>0</c:v>
                </c:pt>
                <c:pt idx="3">
                  <c:v>0</c:v>
                </c:pt>
                <c:pt idx="4">
                  <c:v>0.1202162423589026</c:v>
                </c:pt>
                <c:pt idx="5">
                  <c:v>9.9713209000047431E-2</c:v>
                </c:pt>
                <c:pt idx="6">
                  <c:v>9.7492352435355256E-2</c:v>
                </c:pt>
              </c:numCache>
            </c:numRef>
          </c:val>
          <c:smooth val="0"/>
        </c:ser>
        <c:ser>
          <c:idx val="2"/>
          <c:order val="2"/>
          <c:tx>
            <c:strRef>
              <c:f>Charts!$B$543</c:f>
              <c:strCache>
                <c:ptCount val="1"/>
                <c:pt idx="0">
                  <c:v>ZLS</c:v>
                </c:pt>
              </c:strCache>
            </c:strRef>
          </c:tx>
          <c:spPr>
            <a:ln>
              <a:solidFill>
                <a:srgbClr val="4AAC6B"/>
              </a:solidFill>
            </a:ln>
          </c:spPr>
          <c:marker>
            <c:spPr>
              <a:solidFill>
                <a:srgbClr val="4AAC6B"/>
              </a:solidFill>
            </c:spPr>
          </c:marker>
          <c:dLbls>
            <c:txPr>
              <a:bodyPr/>
              <a:lstStyle/>
              <a:p>
                <a:pPr>
                  <a:defRPr sz="1000" b="0" i="0" u="none" strike="noStrike" baseline="0">
                    <a:solidFill>
                      <a:srgbClr val="000000"/>
                    </a:solidFill>
                    <a:latin typeface="Calibri"/>
                    <a:ea typeface="Calibri"/>
                    <a:cs typeface="Calibri"/>
                  </a:defRPr>
                </a:pPr>
                <a:endParaRPr lang="en-US"/>
              </a:p>
            </c:txPr>
            <c:dLblPos val="t"/>
            <c:showLegendKey val="0"/>
            <c:showVal val="1"/>
            <c:showCatName val="0"/>
            <c:showSerName val="0"/>
            <c:showPercent val="0"/>
            <c:showBubbleSize val="0"/>
            <c:showLeaderLines val="0"/>
          </c:dLbls>
          <c:cat>
            <c:strRef>
              <c:f>Charts!$H$3:$N$3</c:f>
              <c:strCache>
                <c:ptCount val="7"/>
                <c:pt idx="0">
                  <c:v>2014</c:v>
                </c:pt>
                <c:pt idx="1">
                  <c:v>2015</c:v>
                </c:pt>
                <c:pt idx="2">
                  <c:v>2016</c:v>
                </c:pt>
                <c:pt idx="3">
                  <c:v>2017</c:v>
                </c:pt>
                <c:pt idx="4">
                  <c:v>2018E</c:v>
                </c:pt>
                <c:pt idx="5">
                  <c:v>2019E</c:v>
                </c:pt>
                <c:pt idx="6">
                  <c:v>2020E</c:v>
                </c:pt>
              </c:strCache>
            </c:strRef>
          </c:cat>
          <c:val>
            <c:numRef>
              <c:f>Charts!$H$543:$N$543</c:f>
              <c:numCache>
                <c:formatCode>0.0%</c:formatCode>
                <c:ptCount val="7"/>
                <c:pt idx="0">
                  <c:v>0</c:v>
                </c:pt>
                <c:pt idx="1">
                  <c:v>0</c:v>
                </c:pt>
                <c:pt idx="2">
                  <c:v>0</c:v>
                </c:pt>
                <c:pt idx="3">
                  <c:v>0</c:v>
                </c:pt>
                <c:pt idx="4">
                  <c:v>0.1282800715799246</c:v>
                </c:pt>
                <c:pt idx="5">
                  <c:v>8.7255032333525717E-2</c:v>
                </c:pt>
                <c:pt idx="6">
                  <c:v>8.9417187548333832E-2</c:v>
                </c:pt>
              </c:numCache>
            </c:numRef>
          </c:val>
          <c:smooth val="0"/>
        </c:ser>
        <c:dLbls>
          <c:showLegendKey val="0"/>
          <c:showVal val="0"/>
          <c:showCatName val="0"/>
          <c:showSerName val="0"/>
          <c:showPercent val="0"/>
          <c:showBubbleSize val="0"/>
        </c:dLbls>
        <c:marker val="1"/>
        <c:smooth val="0"/>
        <c:axId val="654700544"/>
        <c:axId val="654702080"/>
      </c:lineChart>
      <c:catAx>
        <c:axId val="654700544"/>
        <c:scaling>
          <c:orientation val="minMax"/>
        </c:scaling>
        <c:delete val="0"/>
        <c:axPos val="b"/>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654702080"/>
        <c:crosses val="autoZero"/>
        <c:auto val="1"/>
        <c:lblAlgn val="ctr"/>
        <c:lblOffset val="100"/>
        <c:noMultiLvlLbl val="0"/>
      </c:catAx>
      <c:valAx>
        <c:axId val="654702080"/>
        <c:scaling>
          <c:orientation val="minMax"/>
        </c:scaling>
        <c:delete val="0"/>
        <c:axPos val="l"/>
        <c:majorGridlines>
          <c:spPr>
            <a:ln>
              <a:solidFill>
                <a:schemeClr val="bg1">
                  <a:lumMod val="90000"/>
                </a:schemeClr>
              </a:solidFill>
            </a:ln>
          </c:spPr>
        </c:majorGridlines>
        <c:numFmt formatCode="0%" sourceLinked="0"/>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654700544"/>
        <c:crosses val="autoZero"/>
        <c:crossBetween val="between"/>
      </c:valAx>
      <c:spPr>
        <a:noFill/>
        <a:ln w="25400">
          <a:noFill/>
        </a:ln>
      </c:spPr>
    </c:plotArea>
    <c:legend>
      <c:legendPos val="t"/>
      <c:layout>
        <c:manualLayout>
          <c:xMode val="edge"/>
          <c:yMode val="edge"/>
          <c:x val="0.52597157701528763"/>
          <c:y val="1.8518425196850395E-2"/>
          <c:w val="0.43209489474407947"/>
          <c:h val="9.9723674540682428E-2"/>
        </c:manualLayout>
      </c:layout>
      <c:overlay val="0"/>
      <c:txPr>
        <a:bodyPr/>
        <a:lstStyle/>
        <a:p>
          <a:pPr>
            <a:defRPr sz="710" b="0" i="0" u="none" strike="noStrike" baseline="0">
              <a:solidFill>
                <a:srgbClr val="000000"/>
              </a:solidFill>
              <a:latin typeface="Calibri"/>
              <a:ea typeface="Calibri"/>
              <a:cs typeface="Calibri"/>
            </a:defRPr>
          </a:pPr>
          <a:endParaRPr lang="en-US"/>
        </a:p>
      </c:txPr>
    </c:legend>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Calibri"/>
                <a:ea typeface="Calibri"/>
                <a:cs typeface="Calibri"/>
              </a:defRPr>
            </a:pPr>
            <a:r>
              <a:rPr lang="en-US"/>
              <a:t>LEVERED FCF</a:t>
            </a:r>
          </a:p>
        </c:rich>
      </c:tx>
      <c:layout>
        <c:manualLayout>
          <c:xMode val="edge"/>
          <c:yMode val="edge"/>
          <c:x val="2.3604110989543161E-4"/>
          <c:y val="1.3888923884514437E-2"/>
        </c:manualLayout>
      </c:layout>
      <c:overlay val="1"/>
    </c:title>
    <c:autoTitleDeleted val="0"/>
    <c:plotArea>
      <c:layout>
        <c:manualLayout>
          <c:layoutTarget val="inner"/>
          <c:xMode val="edge"/>
          <c:yMode val="edge"/>
          <c:x val="0.11637305017966149"/>
          <c:y val="0.21033696071755412"/>
          <c:w val="0.85021768634273787"/>
          <c:h val="0.651670924397448"/>
        </c:manualLayout>
      </c:layout>
      <c:barChart>
        <c:barDir val="col"/>
        <c:grouping val="clustered"/>
        <c:varyColors val="0"/>
        <c:ser>
          <c:idx val="0"/>
          <c:order val="0"/>
          <c:tx>
            <c:strRef>
              <c:f>Charts!$B$200</c:f>
              <c:strCache>
                <c:ptCount val="1"/>
                <c:pt idx="0">
                  <c:v>Levered FCF (OCF less gross capex)</c:v>
                </c:pt>
              </c:strCache>
            </c:strRef>
          </c:tx>
          <c:spPr>
            <a:solidFill>
              <a:srgbClr val="1275A6"/>
            </a:solidFill>
            <a:ln>
              <a:noFill/>
            </a:ln>
          </c:spPr>
          <c:invertIfNegative val="0"/>
          <c:dLbls>
            <c:numFmt formatCode="\$#,##0_);\(\$#,##0\)" sourceLinked="0"/>
            <c:txPr>
              <a:bodyPr rot="-5400000" vert="horz"/>
              <a:lstStyle/>
              <a:p>
                <a:pPr algn="ctr">
                  <a:defRPr sz="1000" b="0" i="0" u="none" strike="noStrike" baseline="0">
                    <a:solidFill>
                      <a:srgbClr val="000000"/>
                    </a:solidFill>
                    <a:latin typeface="Calibri"/>
                    <a:ea typeface="Calibri"/>
                    <a:cs typeface="Calibri"/>
                  </a:defRPr>
                </a:pPr>
                <a:endParaRPr lang="en-US"/>
              </a:p>
            </c:txPr>
            <c:dLblPos val="outEnd"/>
            <c:showLegendKey val="0"/>
            <c:showVal val="1"/>
            <c:showCatName val="0"/>
            <c:showSerName val="0"/>
            <c:showPercent val="0"/>
            <c:showBubbleSize val="0"/>
            <c:showLeaderLines val="0"/>
          </c:dLbls>
          <c:cat>
            <c:strRef>
              <c:f>Charts!$G$3:$N$3</c:f>
              <c:strCache>
                <c:ptCount val="8"/>
                <c:pt idx="0">
                  <c:v>2013</c:v>
                </c:pt>
                <c:pt idx="1">
                  <c:v>2014</c:v>
                </c:pt>
                <c:pt idx="2">
                  <c:v>2015</c:v>
                </c:pt>
                <c:pt idx="3">
                  <c:v>2016</c:v>
                </c:pt>
                <c:pt idx="4">
                  <c:v>2017</c:v>
                </c:pt>
                <c:pt idx="5">
                  <c:v>2018E</c:v>
                </c:pt>
                <c:pt idx="6">
                  <c:v>2019E</c:v>
                </c:pt>
                <c:pt idx="7">
                  <c:v>2020E</c:v>
                </c:pt>
              </c:strCache>
            </c:strRef>
          </c:cat>
          <c:val>
            <c:numRef>
              <c:f>Charts!$G$200:$N$200</c:f>
              <c:numCache>
                <c:formatCode>#,##0.0_);\(#,##0.0\)</c:formatCode>
                <c:ptCount val="8"/>
                <c:pt idx="0">
                  <c:v>113.38791157126776</c:v>
                </c:pt>
                <c:pt idx="1">
                  <c:v>205.72699999999986</c:v>
                </c:pt>
                <c:pt idx="2">
                  <c:v>75.000000000000043</c:v>
                </c:pt>
                <c:pt idx="3">
                  <c:v>9.9000000000000057</c:v>
                </c:pt>
                <c:pt idx="4">
                  <c:v>74.299999999999955</c:v>
                </c:pt>
                <c:pt idx="5">
                  <c:v>156.64749522767741</c:v>
                </c:pt>
                <c:pt idx="6">
                  <c:v>160.6506093697019</c:v>
                </c:pt>
                <c:pt idx="7">
                  <c:v>294.90575568268082</c:v>
                </c:pt>
              </c:numCache>
            </c:numRef>
          </c:val>
        </c:ser>
        <c:dLbls>
          <c:showLegendKey val="0"/>
          <c:showVal val="0"/>
          <c:showCatName val="0"/>
          <c:showSerName val="0"/>
          <c:showPercent val="0"/>
          <c:showBubbleSize val="0"/>
        </c:dLbls>
        <c:gapWidth val="150"/>
        <c:axId val="654730752"/>
        <c:axId val="654732288"/>
      </c:barChart>
      <c:catAx>
        <c:axId val="654730752"/>
        <c:scaling>
          <c:orientation val="minMax"/>
        </c:scaling>
        <c:delete val="0"/>
        <c:axPos val="b"/>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654732288"/>
        <c:crosses val="autoZero"/>
        <c:auto val="1"/>
        <c:lblAlgn val="ctr"/>
        <c:lblOffset val="100"/>
        <c:noMultiLvlLbl val="0"/>
      </c:catAx>
      <c:valAx>
        <c:axId val="654732288"/>
        <c:scaling>
          <c:orientation val="minMax"/>
        </c:scaling>
        <c:delete val="0"/>
        <c:axPos val="l"/>
        <c:majorGridlines>
          <c:spPr>
            <a:ln>
              <a:solidFill>
                <a:schemeClr val="bg1">
                  <a:lumMod val="90000"/>
                </a:schemeClr>
              </a:solidFill>
            </a:ln>
          </c:spPr>
        </c:majorGridlines>
        <c:numFmt formatCode="\$#,##0_);\(\$#,##0\)" sourceLinked="0"/>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654730752"/>
        <c:crosses val="autoZero"/>
        <c:crossBetween val="between"/>
      </c:valAx>
      <c:spPr>
        <a:noFill/>
        <a:ln w="25400">
          <a:noFill/>
        </a:ln>
      </c:spPr>
    </c:plotArea>
    <c:legend>
      <c:legendPos val="t"/>
      <c:layout>
        <c:manualLayout>
          <c:xMode val="edge"/>
          <c:yMode val="edge"/>
          <c:x val="0.52597157701528763"/>
          <c:y val="1.9933987101027504E-3"/>
          <c:w val="0.47402842298471237"/>
          <c:h val="0.1085459317585302"/>
        </c:manualLayout>
      </c:layout>
      <c:overlay val="0"/>
      <c:txPr>
        <a:bodyPr/>
        <a:lstStyle/>
        <a:p>
          <a:pPr>
            <a:defRPr sz="1000" b="0" i="0" u="none" strike="noStrike" baseline="0">
              <a:solidFill>
                <a:srgbClr val="000000"/>
              </a:solidFill>
              <a:latin typeface="Calibri"/>
              <a:ea typeface="Calibri"/>
              <a:cs typeface="Calibri"/>
            </a:defRPr>
          </a:pPr>
          <a:endParaRPr lang="en-US"/>
        </a:p>
      </c:txPr>
    </c:legend>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orientation="portrait"/>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Calibri"/>
                <a:ea typeface="Calibri"/>
                <a:cs typeface="Calibri"/>
              </a:defRPr>
            </a:pPr>
            <a:r>
              <a:rPr lang="en-US"/>
              <a:t>NET LEVERAGE</a:t>
            </a:r>
          </a:p>
        </c:rich>
      </c:tx>
      <c:layout>
        <c:manualLayout>
          <c:xMode val="edge"/>
          <c:yMode val="edge"/>
          <c:x val="2.3604110989543161E-4"/>
          <c:y val="1.3888923884514437E-2"/>
        </c:manualLayout>
      </c:layout>
      <c:overlay val="1"/>
    </c:title>
    <c:autoTitleDeleted val="0"/>
    <c:plotArea>
      <c:layout/>
      <c:barChart>
        <c:barDir val="col"/>
        <c:grouping val="clustered"/>
        <c:varyColors val="0"/>
        <c:ser>
          <c:idx val="0"/>
          <c:order val="0"/>
          <c:tx>
            <c:strRef>
              <c:f>Charts!$B$298</c:f>
              <c:strCache>
                <c:ptCount val="1"/>
                <c:pt idx="0">
                  <c:v>Net leverage</c:v>
                </c:pt>
              </c:strCache>
            </c:strRef>
          </c:tx>
          <c:spPr>
            <a:solidFill>
              <a:srgbClr val="1275A6"/>
            </a:solidFill>
            <a:ln>
              <a:noFill/>
            </a:ln>
          </c:spPr>
          <c:invertIfNegative val="0"/>
          <c:dLbls>
            <c:numFmt formatCode="0.0\x" sourceLinked="0"/>
            <c:txPr>
              <a:bodyPr/>
              <a:lstStyle/>
              <a:p>
                <a:pPr>
                  <a:defRPr sz="1000" b="0" i="0" u="none" strike="noStrike" baseline="0">
                    <a:solidFill>
                      <a:srgbClr val="000000"/>
                    </a:solidFill>
                    <a:latin typeface="Calibri"/>
                    <a:ea typeface="Calibri"/>
                    <a:cs typeface="Calibri"/>
                  </a:defRPr>
                </a:pPr>
                <a:endParaRPr lang="en-US"/>
              </a:p>
            </c:txPr>
            <c:dLblPos val="outEnd"/>
            <c:showLegendKey val="0"/>
            <c:showVal val="1"/>
            <c:showCatName val="0"/>
            <c:showSerName val="0"/>
            <c:showPercent val="0"/>
            <c:showBubbleSize val="0"/>
            <c:showLeaderLines val="0"/>
          </c:dLbls>
          <c:cat>
            <c:strRef>
              <c:f>Charts!$G$3:$N$3</c:f>
              <c:strCache>
                <c:ptCount val="8"/>
                <c:pt idx="0">
                  <c:v>2013</c:v>
                </c:pt>
                <c:pt idx="1">
                  <c:v>2014</c:v>
                </c:pt>
                <c:pt idx="2">
                  <c:v>2015</c:v>
                </c:pt>
                <c:pt idx="3">
                  <c:v>2016</c:v>
                </c:pt>
                <c:pt idx="4">
                  <c:v>2017</c:v>
                </c:pt>
                <c:pt idx="5">
                  <c:v>2018E</c:v>
                </c:pt>
                <c:pt idx="6">
                  <c:v>2019E</c:v>
                </c:pt>
                <c:pt idx="7">
                  <c:v>2020E</c:v>
                </c:pt>
              </c:strCache>
            </c:strRef>
          </c:cat>
          <c:val>
            <c:numRef>
              <c:f>Charts!$G$298:$N$298</c:f>
              <c:numCache>
                <c:formatCode>0.0\x</c:formatCode>
                <c:ptCount val="8"/>
                <c:pt idx="0">
                  <c:v>4.9646910783634146</c:v>
                </c:pt>
                <c:pt idx="1">
                  <c:v>4.5059196747525538</c:v>
                </c:pt>
                <c:pt idx="2">
                  <c:v>4.2991311014566822</c:v>
                </c:pt>
                <c:pt idx="3">
                  <c:v>4.1933896673441016</c:v>
                </c:pt>
                <c:pt idx="4">
                  <c:v>4.7680873925501421</c:v>
                </c:pt>
                <c:pt idx="5">
                  <c:v>4.0173307971815042</c:v>
                </c:pt>
                <c:pt idx="6">
                  <c:v>3.7079140566136148</c:v>
                </c:pt>
                <c:pt idx="7">
                  <c:v>3.2973594927957004</c:v>
                </c:pt>
              </c:numCache>
            </c:numRef>
          </c:val>
        </c:ser>
        <c:dLbls>
          <c:showLegendKey val="0"/>
          <c:showVal val="0"/>
          <c:showCatName val="0"/>
          <c:showSerName val="0"/>
          <c:showPercent val="0"/>
          <c:showBubbleSize val="0"/>
        </c:dLbls>
        <c:gapWidth val="150"/>
        <c:axId val="654749056"/>
        <c:axId val="654767232"/>
      </c:barChart>
      <c:catAx>
        <c:axId val="654749056"/>
        <c:scaling>
          <c:orientation val="minMax"/>
        </c:scaling>
        <c:delete val="0"/>
        <c:axPos val="b"/>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654767232"/>
        <c:crosses val="autoZero"/>
        <c:auto val="1"/>
        <c:lblAlgn val="ctr"/>
        <c:lblOffset val="100"/>
        <c:noMultiLvlLbl val="0"/>
      </c:catAx>
      <c:valAx>
        <c:axId val="654767232"/>
        <c:scaling>
          <c:orientation val="minMax"/>
        </c:scaling>
        <c:delete val="0"/>
        <c:axPos val="l"/>
        <c:majorGridlines>
          <c:spPr>
            <a:ln>
              <a:solidFill>
                <a:schemeClr val="bg1">
                  <a:lumMod val="90000"/>
                </a:schemeClr>
              </a:solidFill>
            </a:ln>
          </c:spPr>
        </c:majorGridlines>
        <c:numFmt formatCode="0\x" sourceLinked="0"/>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654749056"/>
        <c:crosses val="autoZero"/>
        <c:crossBetween val="between"/>
      </c:valAx>
      <c:spPr>
        <a:noFill/>
        <a:ln w="25400">
          <a:noFill/>
        </a:ln>
      </c:spPr>
    </c:plotArea>
    <c:legend>
      <c:legendPos val="t"/>
      <c:layout>
        <c:manualLayout>
          <c:xMode val="edge"/>
          <c:yMode val="edge"/>
          <c:x val="0.71731554056881841"/>
          <c:y val="1.8518425196850395E-2"/>
          <c:w val="0.28268445943118159"/>
          <c:h val="0.1085459317585302"/>
        </c:manualLayout>
      </c:layout>
      <c:overlay val="0"/>
      <c:txPr>
        <a:bodyPr/>
        <a:lstStyle/>
        <a:p>
          <a:pPr>
            <a:defRPr sz="920" b="0" i="0" u="none" strike="noStrike" baseline="0">
              <a:solidFill>
                <a:srgbClr val="000000"/>
              </a:solidFill>
              <a:latin typeface="Calibri"/>
              <a:ea typeface="Calibri"/>
              <a:cs typeface="Calibri"/>
            </a:defRPr>
          </a:pPr>
          <a:endParaRPr lang="en-US"/>
        </a:p>
      </c:txPr>
    </c:legend>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Calibri"/>
                <a:ea typeface="Calibri"/>
                <a:cs typeface="Calibri"/>
              </a:defRPr>
            </a:pPr>
            <a:r>
              <a:rPr lang="en-US"/>
              <a:t>ADJUSTED EBITDA</a:t>
            </a:r>
          </a:p>
        </c:rich>
      </c:tx>
      <c:layout>
        <c:manualLayout>
          <c:xMode val="edge"/>
          <c:yMode val="edge"/>
          <c:x val="2.3604110989543161E-4"/>
          <c:y val="1.3889047001654914E-2"/>
        </c:manualLayout>
      </c:layout>
      <c:overlay val="1"/>
    </c:title>
    <c:autoTitleDeleted val="0"/>
    <c:plotArea>
      <c:layout/>
      <c:barChart>
        <c:barDir val="col"/>
        <c:grouping val="clustered"/>
        <c:varyColors val="0"/>
        <c:ser>
          <c:idx val="0"/>
          <c:order val="0"/>
          <c:tx>
            <c:strRef>
              <c:f>Charts!$B$120</c:f>
              <c:strCache>
                <c:ptCount val="1"/>
                <c:pt idx="0">
                  <c:v>Adjusted EBITDA</c:v>
                </c:pt>
              </c:strCache>
            </c:strRef>
          </c:tx>
          <c:spPr>
            <a:solidFill>
              <a:srgbClr val="EACC80"/>
            </a:solidFill>
            <a:ln>
              <a:noFill/>
            </a:ln>
          </c:spPr>
          <c:invertIfNegative val="0"/>
          <c:dLbls>
            <c:numFmt formatCode="\$#,##0_);\(\$#,##0\)" sourceLinked="0"/>
            <c:txPr>
              <a:bodyPr rot="-5400000" vert="horz"/>
              <a:lstStyle/>
              <a:p>
                <a:pPr algn="ctr">
                  <a:defRPr sz="1000" b="0" i="0" u="none" strike="noStrike" baseline="0">
                    <a:solidFill>
                      <a:srgbClr val="000000"/>
                    </a:solidFill>
                    <a:latin typeface="Calibri"/>
                    <a:ea typeface="Calibri"/>
                    <a:cs typeface="Calibri"/>
                  </a:defRPr>
                </a:pPr>
                <a:endParaRPr lang="en-US"/>
              </a:p>
            </c:txPr>
            <c:dLblPos val="inBase"/>
            <c:showLegendKey val="0"/>
            <c:showVal val="1"/>
            <c:showCatName val="0"/>
            <c:showSerName val="0"/>
            <c:showPercent val="0"/>
            <c:showBubbleSize val="0"/>
            <c:showLeaderLines val="0"/>
          </c:dLbls>
          <c:cat>
            <c:strRef>
              <c:f>Charts!$AH$3:$AO$3</c:f>
              <c:strCache>
                <c:ptCount val="8"/>
                <c:pt idx="0">
                  <c:v>3Q16</c:v>
                </c:pt>
                <c:pt idx="1">
                  <c:v>4Q16</c:v>
                </c:pt>
                <c:pt idx="2">
                  <c:v>1Q17</c:v>
                </c:pt>
                <c:pt idx="3">
                  <c:v>2Q17</c:v>
                </c:pt>
                <c:pt idx="4">
                  <c:v>3Q17</c:v>
                </c:pt>
                <c:pt idx="5">
                  <c:v>4Q17</c:v>
                </c:pt>
                <c:pt idx="6">
                  <c:v>1Q18</c:v>
                </c:pt>
                <c:pt idx="7">
                  <c:v>2Q18</c:v>
                </c:pt>
              </c:strCache>
            </c:strRef>
          </c:cat>
          <c:val>
            <c:numRef>
              <c:f>Charts!$AH$120:$AO$120</c:f>
              <c:numCache>
                <c:formatCode>#,##0.0_);\(#,##0.0\)</c:formatCode>
                <c:ptCount val="8"/>
                <c:pt idx="0">
                  <c:v>242.79999999999995</c:v>
                </c:pt>
                <c:pt idx="1">
                  <c:v>257.79999999999995</c:v>
                </c:pt>
                <c:pt idx="2">
                  <c:v>260.60000000000002</c:v>
                </c:pt>
                <c:pt idx="3">
                  <c:v>263.39999999999992</c:v>
                </c:pt>
                <c:pt idx="4">
                  <c:v>282.00000000000006</c:v>
                </c:pt>
                <c:pt idx="5">
                  <c:v>310.80000000000007</c:v>
                </c:pt>
                <c:pt idx="6">
                  <c:v>316.60000000000002</c:v>
                </c:pt>
                <c:pt idx="7">
                  <c:v>329.89999999999992</c:v>
                </c:pt>
              </c:numCache>
            </c:numRef>
          </c:val>
        </c:ser>
        <c:dLbls>
          <c:showLegendKey val="0"/>
          <c:showVal val="0"/>
          <c:showCatName val="0"/>
          <c:showSerName val="0"/>
          <c:showPercent val="0"/>
          <c:showBubbleSize val="0"/>
        </c:dLbls>
        <c:gapWidth val="150"/>
        <c:axId val="654843904"/>
        <c:axId val="654845440"/>
      </c:barChart>
      <c:lineChart>
        <c:grouping val="standard"/>
        <c:varyColors val="0"/>
        <c:ser>
          <c:idx val="1"/>
          <c:order val="1"/>
          <c:tx>
            <c:strRef>
              <c:f>Charts!$B$121</c:f>
              <c:strCache>
                <c:ptCount val="1"/>
                <c:pt idx="0">
                  <c:v>% Margin</c:v>
                </c:pt>
              </c:strCache>
            </c:strRef>
          </c:tx>
          <c:spPr>
            <a:ln>
              <a:solidFill>
                <a:srgbClr val="1275A6"/>
              </a:solidFill>
            </a:ln>
          </c:spPr>
          <c:marker>
            <c:symbol val="square"/>
            <c:size val="5"/>
            <c:spPr>
              <a:solidFill>
                <a:srgbClr val="1275A6"/>
              </a:solidFill>
              <a:ln>
                <a:solidFill>
                  <a:srgbClr val="1275A6"/>
                </a:solidFill>
              </a:ln>
            </c:spPr>
          </c:marker>
          <c:dLbls>
            <c:txPr>
              <a:bodyPr/>
              <a:lstStyle/>
              <a:p>
                <a:pPr>
                  <a:defRPr sz="1000" b="0" i="0" u="none" strike="noStrike" baseline="0">
                    <a:solidFill>
                      <a:srgbClr val="000000"/>
                    </a:solidFill>
                    <a:latin typeface="Calibri"/>
                    <a:ea typeface="Calibri"/>
                    <a:cs typeface="Calibri"/>
                  </a:defRPr>
                </a:pPr>
                <a:endParaRPr lang="en-US"/>
              </a:p>
            </c:txPr>
            <c:dLblPos val="t"/>
            <c:showLegendKey val="0"/>
            <c:showVal val="1"/>
            <c:showCatName val="0"/>
            <c:showSerName val="0"/>
            <c:showPercent val="0"/>
            <c:showBubbleSize val="0"/>
            <c:showLeaderLines val="0"/>
          </c:dLbls>
          <c:cat>
            <c:strRef>
              <c:f>Charts!$AH$3:$AO$3</c:f>
              <c:strCache>
                <c:ptCount val="8"/>
                <c:pt idx="0">
                  <c:v>3Q16</c:v>
                </c:pt>
                <c:pt idx="1">
                  <c:v>4Q16</c:v>
                </c:pt>
                <c:pt idx="2">
                  <c:v>1Q17</c:v>
                </c:pt>
                <c:pt idx="3">
                  <c:v>2Q17</c:v>
                </c:pt>
                <c:pt idx="4">
                  <c:v>3Q17</c:v>
                </c:pt>
                <c:pt idx="5">
                  <c:v>4Q17</c:v>
                </c:pt>
                <c:pt idx="6">
                  <c:v>1Q18</c:v>
                </c:pt>
                <c:pt idx="7">
                  <c:v>2Q18</c:v>
                </c:pt>
              </c:strCache>
            </c:strRef>
          </c:cat>
          <c:val>
            <c:numRef>
              <c:f>Charts!$AH$121:$AO$121</c:f>
              <c:numCache>
                <c:formatCode>0.0%</c:formatCode>
                <c:ptCount val="8"/>
                <c:pt idx="0">
                  <c:v>0.50794979079497904</c:v>
                </c:pt>
                <c:pt idx="1">
                  <c:v>0.50818056376897291</c:v>
                </c:pt>
                <c:pt idx="2">
                  <c:v>0.51614181025945738</c:v>
                </c:pt>
                <c:pt idx="3">
                  <c:v>0.51983422143280034</c:v>
                </c:pt>
                <c:pt idx="4">
                  <c:v>0.51254089422028359</c:v>
                </c:pt>
                <c:pt idx="5">
                  <c:v>0.4871473354231976</c:v>
                </c:pt>
                <c:pt idx="6">
                  <c:v>0.49199689199689201</c:v>
                </c:pt>
                <c:pt idx="7">
                  <c:v>0.50482019892884455</c:v>
                </c:pt>
              </c:numCache>
            </c:numRef>
          </c:val>
          <c:smooth val="0"/>
        </c:ser>
        <c:dLbls>
          <c:showLegendKey val="0"/>
          <c:showVal val="0"/>
          <c:showCatName val="0"/>
          <c:showSerName val="0"/>
          <c:showPercent val="0"/>
          <c:showBubbleSize val="0"/>
        </c:dLbls>
        <c:marker val="1"/>
        <c:smooth val="0"/>
        <c:axId val="654846976"/>
        <c:axId val="654856960"/>
      </c:lineChart>
      <c:catAx>
        <c:axId val="654843904"/>
        <c:scaling>
          <c:orientation val="minMax"/>
        </c:scaling>
        <c:delete val="0"/>
        <c:axPos val="b"/>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654845440"/>
        <c:crosses val="autoZero"/>
        <c:auto val="1"/>
        <c:lblAlgn val="ctr"/>
        <c:lblOffset val="100"/>
        <c:noMultiLvlLbl val="0"/>
      </c:catAx>
      <c:valAx>
        <c:axId val="654845440"/>
        <c:scaling>
          <c:orientation val="minMax"/>
        </c:scaling>
        <c:delete val="0"/>
        <c:axPos val="l"/>
        <c:majorGridlines>
          <c:spPr>
            <a:ln>
              <a:solidFill>
                <a:schemeClr val="bg1">
                  <a:lumMod val="90000"/>
                </a:schemeClr>
              </a:solidFill>
            </a:ln>
          </c:spPr>
        </c:majorGridlines>
        <c:numFmt formatCode="\$#,##0_);\(\$#,##0\)" sourceLinked="0"/>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654843904"/>
        <c:crosses val="autoZero"/>
        <c:crossBetween val="between"/>
      </c:valAx>
      <c:catAx>
        <c:axId val="654846976"/>
        <c:scaling>
          <c:orientation val="minMax"/>
        </c:scaling>
        <c:delete val="1"/>
        <c:axPos val="b"/>
        <c:majorTickMark val="out"/>
        <c:minorTickMark val="none"/>
        <c:tickLblPos val="nextTo"/>
        <c:crossAx val="654856960"/>
        <c:crosses val="autoZero"/>
        <c:auto val="1"/>
        <c:lblAlgn val="ctr"/>
        <c:lblOffset val="100"/>
        <c:noMultiLvlLbl val="0"/>
      </c:catAx>
      <c:valAx>
        <c:axId val="654856960"/>
        <c:scaling>
          <c:orientation val="minMax"/>
          <c:min val="0.4"/>
        </c:scaling>
        <c:delete val="0"/>
        <c:axPos val="r"/>
        <c:numFmt formatCode="0.0%" sourceLinked="0"/>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654846976"/>
        <c:crosses val="max"/>
        <c:crossBetween val="between"/>
      </c:valAx>
      <c:spPr>
        <a:noFill/>
        <a:ln w="25400">
          <a:noFill/>
        </a:ln>
      </c:spPr>
    </c:plotArea>
    <c:legend>
      <c:legendPos val="t"/>
      <c:layout>
        <c:manualLayout>
          <c:xMode val="edge"/>
          <c:yMode val="edge"/>
          <c:x val="0.45004143274801356"/>
          <c:y val="1.8518588790858975E-2"/>
          <c:w val="0.54995856725198644"/>
          <c:h val="0.10854588959512591"/>
        </c:manualLayout>
      </c:layout>
      <c:overlay val="0"/>
      <c:txPr>
        <a:bodyPr/>
        <a:lstStyle/>
        <a:p>
          <a:pPr>
            <a:defRPr sz="1000" b="0" i="0" u="none" strike="noStrike" baseline="0">
              <a:solidFill>
                <a:srgbClr val="000000"/>
              </a:solidFill>
              <a:latin typeface="Calibri"/>
              <a:ea typeface="Calibri"/>
              <a:cs typeface="Calibri"/>
            </a:defRPr>
          </a:pPr>
          <a:endParaRPr lang="en-US"/>
        </a:p>
      </c:txPr>
    </c:legend>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orientation="portrait"/>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Calibri"/>
                <a:ea typeface="Calibri"/>
                <a:cs typeface="Calibri"/>
              </a:defRPr>
            </a:pPr>
            <a:r>
              <a:rPr lang="en-US"/>
              <a:t>REVENUE</a:t>
            </a:r>
          </a:p>
        </c:rich>
      </c:tx>
      <c:layout>
        <c:manualLayout>
          <c:xMode val="edge"/>
          <c:yMode val="edge"/>
          <c:x val="2.3604110989543161E-4"/>
          <c:y val="1.3889047001654914E-2"/>
        </c:manualLayout>
      </c:layout>
      <c:overlay val="1"/>
    </c:title>
    <c:autoTitleDeleted val="0"/>
    <c:plotArea>
      <c:layout/>
      <c:barChart>
        <c:barDir val="col"/>
        <c:grouping val="clustered"/>
        <c:varyColors val="0"/>
        <c:ser>
          <c:idx val="0"/>
          <c:order val="0"/>
          <c:tx>
            <c:strRef>
              <c:f>Charts!$B$6</c:f>
              <c:strCache>
                <c:ptCount val="1"/>
                <c:pt idx="0">
                  <c:v>Revenue</c:v>
                </c:pt>
              </c:strCache>
            </c:strRef>
          </c:tx>
          <c:spPr>
            <a:solidFill>
              <a:srgbClr val="EACC80"/>
            </a:solidFill>
            <a:ln>
              <a:noFill/>
            </a:ln>
          </c:spPr>
          <c:invertIfNegative val="0"/>
          <c:dLbls>
            <c:numFmt formatCode="\$#,##0_);\(\$#,##0\)" sourceLinked="0"/>
            <c:txPr>
              <a:bodyPr rot="-5400000" vert="horz"/>
              <a:lstStyle/>
              <a:p>
                <a:pPr algn="ctr">
                  <a:defRPr sz="1000" b="0" i="0" u="none" strike="noStrike" baseline="0">
                    <a:solidFill>
                      <a:srgbClr val="000000"/>
                    </a:solidFill>
                    <a:latin typeface="Calibri"/>
                    <a:ea typeface="Calibri"/>
                    <a:cs typeface="Calibri"/>
                  </a:defRPr>
                </a:pPr>
                <a:endParaRPr lang="en-US"/>
              </a:p>
            </c:txPr>
            <c:dLblPos val="inBase"/>
            <c:showLegendKey val="0"/>
            <c:showVal val="1"/>
            <c:showCatName val="0"/>
            <c:showSerName val="0"/>
            <c:showPercent val="0"/>
            <c:showBubbleSize val="0"/>
            <c:showLeaderLines val="0"/>
          </c:dLbls>
          <c:cat>
            <c:strRef>
              <c:f>Charts!$AH$3:$AO$3</c:f>
              <c:strCache>
                <c:ptCount val="8"/>
                <c:pt idx="0">
                  <c:v>3Q16</c:v>
                </c:pt>
                <c:pt idx="1">
                  <c:v>4Q16</c:v>
                </c:pt>
                <c:pt idx="2">
                  <c:v>1Q17</c:v>
                </c:pt>
                <c:pt idx="3">
                  <c:v>2Q17</c:v>
                </c:pt>
                <c:pt idx="4">
                  <c:v>3Q17</c:v>
                </c:pt>
                <c:pt idx="5">
                  <c:v>4Q17</c:v>
                </c:pt>
                <c:pt idx="6">
                  <c:v>1Q18</c:v>
                </c:pt>
                <c:pt idx="7">
                  <c:v>2Q18</c:v>
                </c:pt>
              </c:strCache>
            </c:strRef>
          </c:cat>
          <c:val>
            <c:numRef>
              <c:f>Charts!$AH$6:$AO$6</c:f>
              <c:numCache>
                <c:formatCode>#,##0.0_);\(#,##0.0\)</c:formatCode>
                <c:ptCount val="8"/>
                <c:pt idx="0">
                  <c:v>478</c:v>
                </c:pt>
                <c:pt idx="1">
                  <c:v>507.3</c:v>
                </c:pt>
                <c:pt idx="2">
                  <c:v>504.9</c:v>
                </c:pt>
                <c:pt idx="3">
                  <c:v>506.7</c:v>
                </c:pt>
                <c:pt idx="4">
                  <c:v>550.20000000000005</c:v>
                </c:pt>
                <c:pt idx="5">
                  <c:v>638</c:v>
                </c:pt>
                <c:pt idx="6">
                  <c:v>643.5</c:v>
                </c:pt>
                <c:pt idx="7">
                  <c:v>653.5</c:v>
                </c:pt>
              </c:numCache>
            </c:numRef>
          </c:val>
        </c:ser>
        <c:dLbls>
          <c:showLegendKey val="0"/>
          <c:showVal val="0"/>
          <c:showCatName val="0"/>
          <c:showSerName val="0"/>
          <c:showPercent val="0"/>
          <c:showBubbleSize val="0"/>
        </c:dLbls>
        <c:gapWidth val="150"/>
        <c:axId val="654880128"/>
        <c:axId val="654886016"/>
      </c:barChart>
      <c:lineChart>
        <c:grouping val="standard"/>
        <c:varyColors val="0"/>
        <c:ser>
          <c:idx val="1"/>
          <c:order val="1"/>
          <c:tx>
            <c:strRef>
              <c:f>Charts!$B$7</c:f>
              <c:strCache>
                <c:ptCount val="1"/>
                <c:pt idx="0">
                  <c:v>% Y/Y</c:v>
                </c:pt>
              </c:strCache>
            </c:strRef>
          </c:tx>
          <c:spPr>
            <a:ln>
              <a:solidFill>
                <a:srgbClr val="1275A6"/>
              </a:solidFill>
            </a:ln>
          </c:spPr>
          <c:marker>
            <c:symbol val="square"/>
            <c:size val="5"/>
            <c:spPr>
              <a:solidFill>
                <a:srgbClr val="1275A6"/>
              </a:solidFill>
              <a:ln>
                <a:solidFill>
                  <a:srgbClr val="1275A6"/>
                </a:solidFill>
              </a:ln>
            </c:spPr>
          </c:marker>
          <c:dLbls>
            <c:txPr>
              <a:bodyPr/>
              <a:lstStyle/>
              <a:p>
                <a:pPr>
                  <a:defRPr sz="1000" b="0" i="0" u="none" strike="noStrike" baseline="0">
                    <a:solidFill>
                      <a:srgbClr val="000000"/>
                    </a:solidFill>
                    <a:latin typeface="Calibri"/>
                    <a:ea typeface="Calibri"/>
                    <a:cs typeface="Calibri"/>
                  </a:defRPr>
                </a:pPr>
                <a:endParaRPr lang="en-US"/>
              </a:p>
            </c:txPr>
            <c:dLblPos val="t"/>
            <c:showLegendKey val="0"/>
            <c:showVal val="1"/>
            <c:showCatName val="0"/>
            <c:showSerName val="0"/>
            <c:showPercent val="0"/>
            <c:showBubbleSize val="0"/>
            <c:showLeaderLines val="0"/>
          </c:dLbls>
          <c:cat>
            <c:strRef>
              <c:f>Charts!$AH$3:$AO$3</c:f>
              <c:strCache>
                <c:ptCount val="8"/>
                <c:pt idx="0">
                  <c:v>3Q16</c:v>
                </c:pt>
                <c:pt idx="1">
                  <c:v>4Q16</c:v>
                </c:pt>
                <c:pt idx="2">
                  <c:v>1Q17</c:v>
                </c:pt>
                <c:pt idx="3">
                  <c:v>2Q17</c:v>
                </c:pt>
                <c:pt idx="4">
                  <c:v>3Q17</c:v>
                </c:pt>
                <c:pt idx="5">
                  <c:v>4Q17</c:v>
                </c:pt>
                <c:pt idx="6">
                  <c:v>1Q18</c:v>
                </c:pt>
                <c:pt idx="7">
                  <c:v>2Q18</c:v>
                </c:pt>
              </c:strCache>
            </c:strRef>
          </c:cat>
          <c:val>
            <c:numRef>
              <c:f>Charts!$AH$7:$AO$7</c:f>
              <c:numCache>
                <c:formatCode>0.0%</c:formatCode>
                <c:ptCount val="8"/>
                <c:pt idx="0">
                  <c:v>0.40299383621954799</c:v>
                </c:pt>
                <c:pt idx="1">
                  <c:v>0.40176844432163583</c:v>
                </c:pt>
                <c:pt idx="2">
                  <c:v>0.37649945474372948</c:v>
                </c:pt>
                <c:pt idx="3">
                  <c:v>0.37094155844155829</c:v>
                </c:pt>
                <c:pt idx="4">
                  <c:v>0.15104602510460263</c:v>
                </c:pt>
                <c:pt idx="5">
                  <c:v>0.257638478218017</c:v>
                </c:pt>
                <c:pt idx="6">
                  <c:v>0.27450980392156876</c:v>
                </c:pt>
                <c:pt idx="7">
                  <c:v>0.2897177817248866</c:v>
                </c:pt>
              </c:numCache>
            </c:numRef>
          </c:val>
          <c:smooth val="0"/>
        </c:ser>
        <c:dLbls>
          <c:showLegendKey val="0"/>
          <c:showVal val="0"/>
          <c:showCatName val="0"/>
          <c:showSerName val="0"/>
          <c:showPercent val="0"/>
          <c:showBubbleSize val="0"/>
        </c:dLbls>
        <c:marker val="1"/>
        <c:smooth val="0"/>
        <c:axId val="654887552"/>
        <c:axId val="654897536"/>
      </c:lineChart>
      <c:catAx>
        <c:axId val="654880128"/>
        <c:scaling>
          <c:orientation val="minMax"/>
        </c:scaling>
        <c:delete val="0"/>
        <c:axPos val="b"/>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654886016"/>
        <c:crosses val="autoZero"/>
        <c:auto val="1"/>
        <c:lblAlgn val="ctr"/>
        <c:lblOffset val="100"/>
        <c:noMultiLvlLbl val="0"/>
      </c:catAx>
      <c:valAx>
        <c:axId val="654886016"/>
        <c:scaling>
          <c:orientation val="minMax"/>
        </c:scaling>
        <c:delete val="0"/>
        <c:axPos val="l"/>
        <c:majorGridlines>
          <c:spPr>
            <a:ln>
              <a:solidFill>
                <a:schemeClr val="bg1">
                  <a:lumMod val="90000"/>
                </a:schemeClr>
              </a:solidFill>
            </a:ln>
          </c:spPr>
        </c:majorGridlines>
        <c:numFmt formatCode="\$#,##0_);\(\$#,##0\)" sourceLinked="0"/>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654880128"/>
        <c:crosses val="autoZero"/>
        <c:crossBetween val="between"/>
      </c:valAx>
      <c:catAx>
        <c:axId val="654887552"/>
        <c:scaling>
          <c:orientation val="minMax"/>
        </c:scaling>
        <c:delete val="1"/>
        <c:axPos val="b"/>
        <c:majorTickMark val="out"/>
        <c:minorTickMark val="none"/>
        <c:tickLblPos val="nextTo"/>
        <c:crossAx val="654897536"/>
        <c:crosses val="autoZero"/>
        <c:auto val="1"/>
        <c:lblAlgn val="ctr"/>
        <c:lblOffset val="100"/>
        <c:noMultiLvlLbl val="0"/>
      </c:catAx>
      <c:valAx>
        <c:axId val="654897536"/>
        <c:scaling>
          <c:orientation val="minMax"/>
        </c:scaling>
        <c:delete val="0"/>
        <c:axPos val="r"/>
        <c:numFmt formatCode="0.0%" sourceLinked="0"/>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654887552"/>
        <c:crosses val="max"/>
        <c:crossBetween val="between"/>
      </c:valAx>
      <c:spPr>
        <a:noFill/>
        <a:ln w="25400">
          <a:noFill/>
        </a:ln>
      </c:spPr>
    </c:plotArea>
    <c:legend>
      <c:legendPos val="t"/>
      <c:layout>
        <c:manualLayout>
          <c:xMode val="edge"/>
          <c:yMode val="edge"/>
          <c:x val="0.52597157701528763"/>
          <c:y val="1.8518588790858975E-2"/>
          <c:w val="0.47402842298471237"/>
          <c:h val="0.10854588959512591"/>
        </c:manualLayout>
      </c:layout>
      <c:overlay val="0"/>
      <c:txPr>
        <a:bodyPr/>
        <a:lstStyle/>
        <a:p>
          <a:pPr>
            <a:defRPr sz="1000" b="0" i="0" u="none" strike="noStrike" baseline="0">
              <a:solidFill>
                <a:srgbClr val="000000"/>
              </a:solidFill>
              <a:latin typeface="Calibri"/>
              <a:ea typeface="Calibri"/>
              <a:cs typeface="Calibri"/>
            </a:defRPr>
          </a:pPr>
          <a:endParaRPr lang="en-US"/>
        </a:p>
      </c:txPr>
    </c:legend>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orientation="portrait"/>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Calibri"/>
                <a:ea typeface="Calibri"/>
                <a:cs typeface="Calibri"/>
              </a:defRPr>
            </a:pPr>
            <a:r>
              <a:rPr lang="en-US"/>
              <a:t>REVENUE GROWTH % Y/Y</a:t>
            </a:r>
          </a:p>
        </c:rich>
      </c:tx>
      <c:layout>
        <c:manualLayout>
          <c:xMode val="edge"/>
          <c:yMode val="edge"/>
          <c:x val="2.3604110989543161E-4"/>
          <c:y val="1.3889047001654914E-2"/>
        </c:manualLayout>
      </c:layout>
      <c:overlay val="1"/>
    </c:title>
    <c:autoTitleDeleted val="0"/>
    <c:plotArea>
      <c:layout>
        <c:manualLayout>
          <c:layoutTarget val="inner"/>
          <c:xMode val="edge"/>
          <c:yMode val="edge"/>
          <c:x val="0.10356602790304861"/>
          <c:y val="0.20507031807383144"/>
          <c:w val="0.86603223589449208"/>
          <c:h val="0.66780436607345628"/>
        </c:manualLayout>
      </c:layout>
      <c:lineChart>
        <c:grouping val="standard"/>
        <c:varyColors val="0"/>
        <c:ser>
          <c:idx val="0"/>
          <c:order val="0"/>
          <c:tx>
            <c:strRef>
              <c:f>Charts!$B$541</c:f>
              <c:strCache>
                <c:ptCount val="1"/>
                <c:pt idx="0">
                  <c:v>Total</c:v>
                </c:pt>
              </c:strCache>
            </c:strRef>
          </c:tx>
          <c:spPr>
            <a:ln>
              <a:solidFill>
                <a:schemeClr val="accent1"/>
              </a:solidFill>
            </a:ln>
          </c:spPr>
          <c:dLbls>
            <c:numFmt formatCode="0.0%" sourceLinked="0"/>
            <c:txPr>
              <a:bodyPr/>
              <a:lstStyle/>
              <a:p>
                <a:pPr>
                  <a:defRPr sz="1000" b="0" i="0" u="none" strike="noStrike" baseline="0">
                    <a:solidFill>
                      <a:srgbClr val="000000"/>
                    </a:solidFill>
                    <a:latin typeface="Calibri"/>
                    <a:ea typeface="Calibri"/>
                    <a:cs typeface="Calibri"/>
                  </a:defRPr>
                </a:pPr>
                <a:endParaRPr lang="en-US"/>
              </a:p>
            </c:txPr>
            <c:dLblPos val="t"/>
            <c:showLegendKey val="0"/>
            <c:showVal val="1"/>
            <c:showCatName val="0"/>
            <c:showSerName val="0"/>
            <c:showPercent val="0"/>
            <c:showBubbleSize val="0"/>
            <c:showLeaderLines val="0"/>
          </c:dLbls>
          <c:cat>
            <c:strRef>
              <c:f>Charts!$Z$3:$AG$3</c:f>
              <c:strCache>
                <c:ptCount val="8"/>
                <c:pt idx="0">
                  <c:v>3Q14</c:v>
                </c:pt>
                <c:pt idx="1">
                  <c:v>4Q14</c:v>
                </c:pt>
                <c:pt idx="2">
                  <c:v>1Q15</c:v>
                </c:pt>
                <c:pt idx="3">
                  <c:v>2Q15</c:v>
                </c:pt>
                <c:pt idx="4">
                  <c:v>3Q15</c:v>
                </c:pt>
                <c:pt idx="5">
                  <c:v>4Q15</c:v>
                </c:pt>
                <c:pt idx="6">
                  <c:v>1Q16</c:v>
                </c:pt>
                <c:pt idx="7">
                  <c:v>2Q16</c:v>
                </c:pt>
              </c:strCache>
            </c:strRef>
          </c:cat>
          <c:val>
            <c:numRef>
              <c:f>Charts!$Z$541:$AG$541</c:f>
              <c:numCache>
                <c:formatCode>0.0%</c:formatCode>
                <c:ptCount val="8"/>
                <c:pt idx="0">
                  <c:v>9.6817820869124604E-2</c:v>
                </c:pt>
                <c:pt idx="1">
                  <c:v>0.13366813171897385</c:v>
                </c:pt>
                <c:pt idx="2">
                  <c:v>0.19604204130504188</c:v>
                </c:pt>
                <c:pt idx="3">
                  <c:v>0.16941484905326187</c:v>
                </c:pt>
                <c:pt idx="4">
                  <c:v>0.21076239815347586</c:v>
                </c:pt>
                <c:pt idx="5">
                  <c:v>0.21947371077731659</c:v>
                </c:pt>
                <c:pt idx="6">
                  <c:v>0.14410480349344978</c:v>
                </c:pt>
                <c:pt idx="7">
                  <c:v>0.14109292991664102</c:v>
                </c:pt>
              </c:numCache>
            </c:numRef>
          </c:val>
          <c:smooth val="0"/>
        </c:ser>
        <c:ser>
          <c:idx val="1"/>
          <c:order val="1"/>
          <c:tx>
            <c:strRef>
              <c:f>Charts!$B$542</c:f>
              <c:strCache>
                <c:ptCount val="1"/>
                <c:pt idx="0">
                  <c:v>ZPI</c:v>
                </c:pt>
              </c:strCache>
            </c:strRef>
          </c:tx>
          <c:spPr>
            <a:ln>
              <a:solidFill>
                <a:srgbClr val="EACC80"/>
              </a:solidFill>
            </a:ln>
          </c:spPr>
          <c:marker>
            <c:symbol val="square"/>
            <c:size val="5"/>
            <c:spPr>
              <a:solidFill>
                <a:srgbClr val="EACC80"/>
              </a:solidFill>
              <a:ln>
                <a:solidFill>
                  <a:srgbClr val="EACC80"/>
                </a:solidFill>
              </a:ln>
            </c:spPr>
          </c:marker>
          <c:dLbls>
            <c:txPr>
              <a:bodyPr/>
              <a:lstStyle/>
              <a:p>
                <a:pPr>
                  <a:defRPr sz="1000" b="0" i="0" u="none" strike="noStrike" baseline="0">
                    <a:solidFill>
                      <a:srgbClr val="000000"/>
                    </a:solidFill>
                    <a:latin typeface="Calibri"/>
                    <a:ea typeface="Calibri"/>
                    <a:cs typeface="Calibri"/>
                  </a:defRPr>
                </a:pPr>
                <a:endParaRPr lang="en-US"/>
              </a:p>
            </c:txPr>
            <c:dLblPos val="t"/>
            <c:showLegendKey val="0"/>
            <c:showVal val="1"/>
            <c:showCatName val="0"/>
            <c:showSerName val="0"/>
            <c:showPercent val="0"/>
            <c:showBubbleSize val="0"/>
            <c:showLeaderLines val="0"/>
          </c:dLbls>
          <c:cat>
            <c:strRef>
              <c:f>Charts!$Z$3:$AG$3</c:f>
              <c:strCache>
                <c:ptCount val="8"/>
                <c:pt idx="0">
                  <c:v>3Q14</c:v>
                </c:pt>
                <c:pt idx="1">
                  <c:v>4Q14</c:v>
                </c:pt>
                <c:pt idx="2">
                  <c:v>1Q15</c:v>
                </c:pt>
                <c:pt idx="3">
                  <c:v>2Q15</c:v>
                </c:pt>
                <c:pt idx="4">
                  <c:v>3Q15</c:v>
                </c:pt>
                <c:pt idx="5">
                  <c:v>4Q15</c:v>
                </c:pt>
                <c:pt idx="6">
                  <c:v>1Q16</c:v>
                </c:pt>
                <c:pt idx="7">
                  <c:v>2Q16</c:v>
                </c:pt>
              </c:strCache>
            </c:strRef>
          </c:cat>
          <c:val>
            <c:numRef>
              <c:f>Charts!$Z$542:$AG$542</c:f>
              <c:numCache>
                <c:formatCode>0.0%</c:formatCode>
                <c:ptCount val="8"/>
                <c:pt idx="0">
                  <c:v>0</c:v>
                </c:pt>
                <c:pt idx="1">
                  <c:v>0</c:v>
                </c:pt>
                <c:pt idx="2">
                  <c:v>0</c:v>
                </c:pt>
                <c:pt idx="3">
                  <c:v>0</c:v>
                </c:pt>
                <c:pt idx="4">
                  <c:v>0</c:v>
                </c:pt>
                <c:pt idx="5">
                  <c:v>0</c:v>
                </c:pt>
                <c:pt idx="6">
                  <c:v>0</c:v>
                </c:pt>
                <c:pt idx="7">
                  <c:v>0</c:v>
                </c:pt>
              </c:numCache>
            </c:numRef>
          </c:val>
          <c:smooth val="0"/>
        </c:ser>
        <c:ser>
          <c:idx val="2"/>
          <c:order val="2"/>
          <c:tx>
            <c:strRef>
              <c:f>Charts!$B$543</c:f>
              <c:strCache>
                <c:ptCount val="1"/>
                <c:pt idx="0">
                  <c:v>ZLS</c:v>
                </c:pt>
              </c:strCache>
            </c:strRef>
          </c:tx>
          <c:spPr>
            <a:ln>
              <a:solidFill>
                <a:srgbClr val="4AAC6B"/>
              </a:solidFill>
            </a:ln>
          </c:spPr>
          <c:marker>
            <c:spPr>
              <a:solidFill>
                <a:srgbClr val="4AAC6B"/>
              </a:solidFill>
            </c:spPr>
          </c:marker>
          <c:dLbls>
            <c:txPr>
              <a:bodyPr/>
              <a:lstStyle/>
              <a:p>
                <a:pPr>
                  <a:defRPr sz="1000" b="0" i="0" u="none" strike="noStrike" baseline="0">
                    <a:solidFill>
                      <a:srgbClr val="000000"/>
                    </a:solidFill>
                    <a:latin typeface="Calibri"/>
                    <a:ea typeface="Calibri"/>
                    <a:cs typeface="Calibri"/>
                  </a:defRPr>
                </a:pPr>
                <a:endParaRPr lang="en-US"/>
              </a:p>
            </c:txPr>
            <c:dLblPos val="t"/>
            <c:showLegendKey val="0"/>
            <c:showVal val="1"/>
            <c:showCatName val="0"/>
            <c:showSerName val="0"/>
            <c:showPercent val="0"/>
            <c:showBubbleSize val="0"/>
            <c:showLeaderLines val="0"/>
          </c:dLbls>
          <c:cat>
            <c:strRef>
              <c:f>Charts!$Z$3:$AG$3</c:f>
              <c:strCache>
                <c:ptCount val="8"/>
                <c:pt idx="0">
                  <c:v>3Q14</c:v>
                </c:pt>
                <c:pt idx="1">
                  <c:v>4Q14</c:v>
                </c:pt>
                <c:pt idx="2">
                  <c:v>1Q15</c:v>
                </c:pt>
                <c:pt idx="3">
                  <c:v>2Q15</c:v>
                </c:pt>
                <c:pt idx="4">
                  <c:v>3Q15</c:v>
                </c:pt>
                <c:pt idx="5">
                  <c:v>4Q15</c:v>
                </c:pt>
                <c:pt idx="6">
                  <c:v>1Q16</c:v>
                </c:pt>
                <c:pt idx="7">
                  <c:v>2Q16</c:v>
                </c:pt>
              </c:strCache>
            </c:strRef>
          </c:cat>
          <c:val>
            <c:numRef>
              <c:f>Charts!$Z$543:$AG$543</c:f>
              <c:numCache>
                <c:formatCode>0.0%</c:formatCode>
                <c:ptCount val="8"/>
                <c:pt idx="0">
                  <c:v>0</c:v>
                </c:pt>
                <c:pt idx="1">
                  <c:v>0</c:v>
                </c:pt>
                <c:pt idx="2">
                  <c:v>0</c:v>
                </c:pt>
                <c:pt idx="3">
                  <c:v>0</c:v>
                </c:pt>
                <c:pt idx="4">
                  <c:v>0</c:v>
                </c:pt>
                <c:pt idx="5">
                  <c:v>0</c:v>
                </c:pt>
                <c:pt idx="6">
                  <c:v>0</c:v>
                </c:pt>
                <c:pt idx="7">
                  <c:v>0</c:v>
                </c:pt>
              </c:numCache>
            </c:numRef>
          </c:val>
          <c:smooth val="0"/>
        </c:ser>
        <c:dLbls>
          <c:showLegendKey val="0"/>
          <c:showVal val="0"/>
          <c:showCatName val="0"/>
          <c:showSerName val="0"/>
          <c:showPercent val="0"/>
          <c:showBubbleSize val="0"/>
        </c:dLbls>
        <c:marker val="1"/>
        <c:smooth val="0"/>
        <c:axId val="655002624"/>
        <c:axId val="655008512"/>
      </c:lineChart>
      <c:catAx>
        <c:axId val="655002624"/>
        <c:scaling>
          <c:orientation val="minMax"/>
        </c:scaling>
        <c:delete val="0"/>
        <c:axPos val="b"/>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655008512"/>
        <c:crosses val="autoZero"/>
        <c:auto val="1"/>
        <c:lblAlgn val="ctr"/>
        <c:lblOffset val="100"/>
        <c:noMultiLvlLbl val="0"/>
      </c:catAx>
      <c:valAx>
        <c:axId val="655008512"/>
        <c:scaling>
          <c:orientation val="minMax"/>
        </c:scaling>
        <c:delete val="0"/>
        <c:axPos val="l"/>
        <c:majorGridlines>
          <c:spPr>
            <a:ln>
              <a:solidFill>
                <a:schemeClr val="bg1">
                  <a:lumMod val="90000"/>
                </a:schemeClr>
              </a:solidFill>
            </a:ln>
          </c:spPr>
        </c:majorGridlines>
        <c:numFmt formatCode="0%" sourceLinked="0"/>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655002624"/>
        <c:crosses val="autoZero"/>
        <c:crossBetween val="between"/>
      </c:valAx>
      <c:spPr>
        <a:noFill/>
        <a:ln w="25400">
          <a:noFill/>
        </a:ln>
      </c:spPr>
    </c:plotArea>
    <c:legend>
      <c:legendPos val="t"/>
      <c:layout>
        <c:manualLayout>
          <c:xMode val="edge"/>
          <c:yMode val="edge"/>
          <c:x val="0.52597157701528763"/>
          <c:y val="1.8518588790858975E-2"/>
          <c:w val="0.43209489474407947"/>
          <c:h val="9.9723618884988763E-2"/>
        </c:manualLayout>
      </c:layout>
      <c:overlay val="0"/>
      <c:txPr>
        <a:bodyPr/>
        <a:lstStyle/>
        <a:p>
          <a:pPr>
            <a:defRPr sz="710" b="0" i="0" u="none" strike="noStrike" baseline="0">
              <a:solidFill>
                <a:srgbClr val="000000"/>
              </a:solidFill>
              <a:latin typeface="Calibri"/>
              <a:ea typeface="Calibri"/>
              <a:cs typeface="Calibri"/>
            </a:defRPr>
          </a:pPr>
          <a:endParaRPr lang="en-US"/>
        </a:p>
      </c:txPr>
    </c:legend>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Calibri"/>
                <a:ea typeface="Calibri"/>
                <a:cs typeface="Calibri"/>
              </a:defRPr>
            </a:pPr>
            <a:r>
              <a:rPr lang="en-US"/>
              <a:t> BOOKINGS</a:t>
            </a:r>
          </a:p>
        </c:rich>
      </c:tx>
      <c:layout>
        <c:manualLayout>
          <c:xMode val="edge"/>
          <c:yMode val="edge"/>
          <c:x val="2.3604110989543161E-4"/>
          <c:y val="2.872020997375328E-3"/>
        </c:manualLayout>
      </c:layout>
      <c:overlay val="1"/>
    </c:title>
    <c:autoTitleDeleted val="0"/>
    <c:plotArea>
      <c:layout/>
      <c:barChart>
        <c:barDir val="col"/>
        <c:grouping val="stacked"/>
        <c:varyColors val="0"/>
        <c:ser>
          <c:idx val="0"/>
          <c:order val="0"/>
          <c:tx>
            <c:strRef>
              <c:f>Charts!$B$669</c:f>
              <c:strCache>
                <c:ptCount val="1"/>
                <c:pt idx="0">
                  <c:v>Fiber Solutions</c:v>
                </c:pt>
              </c:strCache>
            </c:strRef>
          </c:tx>
          <c:spPr>
            <a:solidFill>
              <a:srgbClr val="137CB1"/>
            </a:solidFill>
            <a:ln>
              <a:noFill/>
            </a:ln>
          </c:spPr>
          <c:invertIfNegative val="0"/>
          <c:dLbls>
            <c:numFmt formatCode="#,##0.0_);\(#,##0.0\)" sourceLinked="0"/>
            <c:txPr>
              <a:bodyPr/>
              <a:lstStyle/>
              <a:p>
                <a:pPr>
                  <a:defRPr sz="1000" b="0" i="0" u="none" strike="noStrike" baseline="0">
                    <a:solidFill>
                      <a:srgbClr val="000000"/>
                    </a:solidFill>
                    <a:latin typeface="Calibri"/>
                    <a:ea typeface="Calibri"/>
                    <a:cs typeface="Calibri"/>
                  </a:defRPr>
                </a:pPr>
                <a:endParaRPr lang="en-US"/>
              </a:p>
            </c:txPr>
            <c:showLegendKey val="0"/>
            <c:showVal val="1"/>
            <c:showCatName val="0"/>
            <c:showSerName val="0"/>
            <c:showPercent val="0"/>
            <c:showBubbleSize val="0"/>
            <c:showLeaderLines val="0"/>
          </c:dLbls>
          <c:cat>
            <c:strRef>
              <c:f>Charts!$AK$3:$AO$3</c:f>
              <c:strCache>
                <c:ptCount val="5"/>
                <c:pt idx="0">
                  <c:v>2Q17</c:v>
                </c:pt>
                <c:pt idx="1">
                  <c:v>3Q17</c:v>
                </c:pt>
                <c:pt idx="2">
                  <c:v>4Q17</c:v>
                </c:pt>
                <c:pt idx="3">
                  <c:v>1Q18</c:v>
                </c:pt>
                <c:pt idx="4">
                  <c:v>2Q18</c:v>
                </c:pt>
              </c:strCache>
            </c:strRef>
          </c:cat>
          <c:val>
            <c:numRef>
              <c:f>Charts!$AK$669:$AO$669</c:f>
              <c:numCache>
                <c:formatCode>#,##0.0_);\(#,##0.0\)</c:formatCode>
                <c:ptCount val="5"/>
                <c:pt idx="0">
                  <c:v>1.53</c:v>
                </c:pt>
                <c:pt idx="1">
                  <c:v>1.7</c:v>
                </c:pt>
                <c:pt idx="2">
                  <c:v>2.339</c:v>
                </c:pt>
                <c:pt idx="3">
                  <c:v>2.5510000000000002</c:v>
                </c:pt>
                <c:pt idx="4">
                  <c:v>2.91</c:v>
                </c:pt>
              </c:numCache>
            </c:numRef>
          </c:val>
        </c:ser>
        <c:ser>
          <c:idx val="1"/>
          <c:order val="1"/>
          <c:tx>
            <c:strRef>
              <c:f>Charts!$B$670</c:f>
              <c:strCache>
                <c:ptCount val="1"/>
                <c:pt idx="0">
                  <c:v>Colocation</c:v>
                </c:pt>
              </c:strCache>
            </c:strRef>
          </c:tx>
          <c:spPr>
            <a:solidFill>
              <a:srgbClr val="EACC80"/>
            </a:solidFill>
            <a:ln>
              <a:noFill/>
            </a:ln>
          </c:spPr>
          <c:invertIfNegative val="0"/>
          <c:dLbls>
            <c:dLbl>
              <c:idx val="6"/>
              <c:layout>
                <c:manualLayout>
                  <c:x val="3.0372057706909645E-3"/>
                  <c:y val="-1.1016607318670548E-2"/>
                </c:manualLayout>
              </c:layout>
              <c:dLblPos val="ctr"/>
              <c:showLegendKey val="0"/>
              <c:showVal val="1"/>
              <c:showCatName val="0"/>
              <c:showSerName val="0"/>
              <c:showPercent val="0"/>
              <c:showBubbleSize val="0"/>
            </c:dLbl>
            <c:txPr>
              <a:bodyPr/>
              <a:lstStyle/>
              <a:p>
                <a:pPr>
                  <a:defRPr sz="1000" b="0" i="0" u="none" strike="noStrike" baseline="0">
                    <a:solidFill>
                      <a:srgbClr val="000000"/>
                    </a:solidFill>
                    <a:latin typeface="Calibri"/>
                    <a:ea typeface="Calibri"/>
                    <a:cs typeface="Calibri"/>
                  </a:defRPr>
                </a:pPr>
                <a:endParaRPr lang="en-US"/>
              </a:p>
            </c:txPr>
            <c:dLblPos val="ctr"/>
            <c:showLegendKey val="0"/>
            <c:showVal val="1"/>
            <c:showCatName val="0"/>
            <c:showSerName val="0"/>
            <c:showPercent val="0"/>
            <c:showBubbleSize val="0"/>
            <c:showLeaderLines val="0"/>
          </c:dLbls>
          <c:cat>
            <c:strRef>
              <c:f>Charts!$AK$3:$AO$3</c:f>
              <c:strCache>
                <c:ptCount val="5"/>
                <c:pt idx="0">
                  <c:v>2Q17</c:v>
                </c:pt>
                <c:pt idx="1">
                  <c:v>3Q17</c:v>
                </c:pt>
                <c:pt idx="2">
                  <c:v>4Q17</c:v>
                </c:pt>
                <c:pt idx="3">
                  <c:v>1Q18</c:v>
                </c:pt>
                <c:pt idx="4">
                  <c:v>2Q18</c:v>
                </c:pt>
              </c:strCache>
            </c:strRef>
          </c:cat>
          <c:val>
            <c:numRef>
              <c:f>Charts!$AK$670:$AO$670</c:f>
              <c:numCache>
                <c:formatCode>#,##0.0_);\(#,##0.0\)</c:formatCode>
                <c:ptCount val="5"/>
                <c:pt idx="0">
                  <c:v>0.749</c:v>
                </c:pt>
                <c:pt idx="1">
                  <c:v>0.9</c:v>
                </c:pt>
                <c:pt idx="2">
                  <c:v>0.70199999999999996</c:v>
                </c:pt>
                <c:pt idx="3">
                  <c:v>0.82299999999999995</c:v>
                </c:pt>
                <c:pt idx="4">
                  <c:v>1.0129999999999999</c:v>
                </c:pt>
              </c:numCache>
            </c:numRef>
          </c:val>
        </c:ser>
        <c:ser>
          <c:idx val="4"/>
          <c:order val="2"/>
          <c:tx>
            <c:strRef>
              <c:f>Charts!$B$671</c:f>
              <c:strCache>
                <c:ptCount val="1"/>
                <c:pt idx="0">
                  <c:v>Transport</c:v>
                </c:pt>
              </c:strCache>
            </c:strRef>
          </c:tx>
          <c:spPr>
            <a:solidFill>
              <a:srgbClr val="A8D7E2"/>
            </a:solidFill>
          </c:spPr>
          <c:invertIfNegative val="0"/>
          <c:dLbls>
            <c:dLbl>
              <c:idx val="7"/>
              <c:layout>
                <c:manualLayout>
                  <c:x val="-7.5930144267274111E-2"/>
                  <c:y val="1.6524910978005819E-2"/>
                </c:manualLayout>
              </c:layout>
              <c:dLblPos val="ctr"/>
              <c:showLegendKey val="0"/>
              <c:showVal val="1"/>
              <c:showCatName val="0"/>
              <c:showSerName val="0"/>
              <c:showPercent val="0"/>
              <c:showBubbleSize val="0"/>
            </c:dLbl>
            <c:txPr>
              <a:bodyPr/>
              <a:lstStyle/>
              <a:p>
                <a:pPr>
                  <a:defRPr sz="1000" b="0" i="0" u="none" strike="noStrike" baseline="0">
                    <a:solidFill>
                      <a:srgbClr val="000000"/>
                    </a:solidFill>
                    <a:latin typeface="Calibri"/>
                    <a:ea typeface="Calibri"/>
                    <a:cs typeface="Calibri"/>
                  </a:defRPr>
                </a:pPr>
                <a:endParaRPr lang="en-US"/>
              </a:p>
            </c:txPr>
            <c:dLblPos val="ctr"/>
            <c:showLegendKey val="0"/>
            <c:showVal val="1"/>
            <c:showCatName val="0"/>
            <c:showSerName val="0"/>
            <c:showPercent val="0"/>
            <c:showBubbleSize val="0"/>
            <c:showLeaderLines val="0"/>
          </c:dLbls>
          <c:cat>
            <c:strRef>
              <c:f>Charts!$AK$3:$AO$3</c:f>
              <c:strCache>
                <c:ptCount val="5"/>
                <c:pt idx="0">
                  <c:v>2Q17</c:v>
                </c:pt>
                <c:pt idx="1">
                  <c:v>3Q17</c:v>
                </c:pt>
                <c:pt idx="2">
                  <c:v>4Q17</c:v>
                </c:pt>
                <c:pt idx="3">
                  <c:v>1Q18</c:v>
                </c:pt>
                <c:pt idx="4">
                  <c:v>2Q18</c:v>
                </c:pt>
              </c:strCache>
            </c:strRef>
          </c:cat>
          <c:val>
            <c:numRef>
              <c:f>Charts!$AK$671:$AO$671</c:f>
              <c:numCache>
                <c:formatCode>#,##0.0_);\(#,##0.0\)</c:formatCode>
                <c:ptCount val="5"/>
                <c:pt idx="0">
                  <c:v>1.4575</c:v>
                </c:pt>
                <c:pt idx="1">
                  <c:v>2</c:v>
                </c:pt>
                <c:pt idx="2">
                  <c:v>2.0920000000000001</c:v>
                </c:pt>
                <c:pt idx="3">
                  <c:v>2.1259999999999999</c:v>
                </c:pt>
                <c:pt idx="4">
                  <c:v>1.9379999999999999</c:v>
                </c:pt>
              </c:numCache>
            </c:numRef>
          </c:val>
        </c:ser>
        <c:ser>
          <c:idx val="5"/>
          <c:order val="3"/>
          <c:tx>
            <c:strRef>
              <c:f>Charts!$B$672</c:f>
              <c:strCache>
                <c:ptCount val="1"/>
                <c:pt idx="0">
                  <c:v>Enterprise Networks</c:v>
                </c:pt>
              </c:strCache>
            </c:strRef>
          </c:tx>
          <c:invertIfNegative val="0"/>
          <c:dLbls>
            <c:dLblPos val="ctr"/>
            <c:showLegendKey val="0"/>
            <c:showVal val="1"/>
            <c:showCatName val="0"/>
            <c:showSerName val="0"/>
            <c:showPercent val="0"/>
            <c:showBubbleSize val="0"/>
            <c:showLeaderLines val="0"/>
          </c:dLbls>
          <c:cat>
            <c:strRef>
              <c:f>Charts!$AK$3:$AO$3</c:f>
              <c:strCache>
                <c:ptCount val="5"/>
                <c:pt idx="0">
                  <c:v>2Q17</c:v>
                </c:pt>
                <c:pt idx="1">
                  <c:v>3Q17</c:v>
                </c:pt>
                <c:pt idx="2">
                  <c:v>4Q17</c:v>
                </c:pt>
                <c:pt idx="3">
                  <c:v>1Q18</c:v>
                </c:pt>
                <c:pt idx="4">
                  <c:v>2Q18</c:v>
                </c:pt>
              </c:strCache>
            </c:strRef>
          </c:cat>
          <c:val>
            <c:numRef>
              <c:f>Charts!$AK$672:$AO$672</c:f>
              <c:numCache>
                <c:formatCode>#,##0.0_);\(#,##0.0\)</c:formatCode>
                <c:ptCount val="5"/>
                <c:pt idx="0">
                  <c:v>1.4575</c:v>
                </c:pt>
                <c:pt idx="1">
                  <c:v>2.2999999999999998</c:v>
                </c:pt>
                <c:pt idx="2">
                  <c:v>2.3290000000000002</c:v>
                </c:pt>
                <c:pt idx="3">
                  <c:v>2.085</c:v>
                </c:pt>
                <c:pt idx="4">
                  <c:v>2.0110000000000001</c:v>
                </c:pt>
              </c:numCache>
            </c:numRef>
          </c:val>
        </c:ser>
        <c:ser>
          <c:idx val="2"/>
          <c:order val="4"/>
          <c:tx>
            <c:strRef>
              <c:f>Charts!$B$673</c:f>
              <c:strCache>
                <c:ptCount val="1"/>
                <c:pt idx="0">
                  <c:v>Other</c:v>
                </c:pt>
              </c:strCache>
            </c:strRef>
          </c:tx>
          <c:spPr>
            <a:solidFill>
              <a:srgbClr val="4AAC6B"/>
            </a:solidFill>
          </c:spPr>
          <c:invertIfNegative val="0"/>
          <c:dLbls>
            <c:dLbl>
              <c:idx val="6"/>
              <c:layout>
                <c:manualLayout>
                  <c:x val="0"/>
                  <c:y val="2.2129067795507478E-2"/>
                </c:manualLayout>
              </c:layout>
              <c:dLblPos val="ctr"/>
              <c:showLegendKey val="0"/>
              <c:showVal val="1"/>
              <c:showCatName val="0"/>
              <c:showSerName val="0"/>
              <c:showPercent val="0"/>
              <c:showBubbleSize val="0"/>
            </c:dLbl>
            <c:dLbl>
              <c:idx val="7"/>
              <c:layout>
                <c:manualLayout>
                  <c:x val="-3.0372057706909645E-3"/>
                  <c:y val="3.8558125615346918E-2"/>
                </c:manualLayout>
              </c:layout>
              <c:dLblPos val="ctr"/>
              <c:showLegendKey val="0"/>
              <c:showVal val="1"/>
              <c:showCatName val="0"/>
              <c:showSerName val="0"/>
              <c:showPercent val="0"/>
              <c:showBubbleSize val="0"/>
            </c:dLbl>
            <c:txPr>
              <a:bodyPr/>
              <a:lstStyle/>
              <a:p>
                <a:pPr>
                  <a:defRPr sz="1000" b="0" i="0" u="none" strike="noStrike" baseline="0">
                    <a:solidFill>
                      <a:srgbClr val="000000"/>
                    </a:solidFill>
                    <a:latin typeface="Calibri"/>
                    <a:ea typeface="Calibri"/>
                    <a:cs typeface="Calibri"/>
                  </a:defRPr>
                </a:pPr>
                <a:endParaRPr lang="en-US"/>
              </a:p>
            </c:txPr>
            <c:showLegendKey val="0"/>
            <c:showVal val="1"/>
            <c:showCatName val="0"/>
            <c:showSerName val="0"/>
            <c:showPercent val="0"/>
            <c:showBubbleSize val="0"/>
            <c:showLeaderLines val="0"/>
          </c:dLbls>
          <c:cat>
            <c:strRef>
              <c:f>Charts!$AK$3:$AO$3</c:f>
              <c:strCache>
                <c:ptCount val="5"/>
                <c:pt idx="0">
                  <c:v>2Q17</c:v>
                </c:pt>
                <c:pt idx="1">
                  <c:v>3Q17</c:v>
                </c:pt>
                <c:pt idx="2">
                  <c:v>4Q17</c:v>
                </c:pt>
                <c:pt idx="3">
                  <c:v>1Q18</c:v>
                </c:pt>
                <c:pt idx="4">
                  <c:v>2Q18</c:v>
                </c:pt>
              </c:strCache>
            </c:strRef>
          </c:cat>
          <c:val>
            <c:numRef>
              <c:f>Charts!$AK$673:$AO$673</c:f>
              <c:numCache>
                <c:formatCode>#,##0.0_);\(#,##0.0\)</c:formatCode>
                <c:ptCount val="5"/>
                <c:pt idx="1">
                  <c:v>0.1</c:v>
                </c:pt>
                <c:pt idx="2">
                  <c:v>3.7999999999999368E-2</c:v>
                </c:pt>
                <c:pt idx="3">
                  <c:v>1.5000000000000124E-2</c:v>
                </c:pt>
                <c:pt idx="4">
                  <c:v>2.8000000000000469E-2</c:v>
                </c:pt>
              </c:numCache>
            </c:numRef>
          </c:val>
        </c:ser>
        <c:ser>
          <c:idx val="3"/>
          <c:order val="5"/>
          <c:tx>
            <c:strRef>
              <c:f>Charts!$B$674</c:f>
              <c:strCache>
                <c:ptCount val="1"/>
                <c:pt idx="0">
                  <c:v>Total</c:v>
                </c:pt>
              </c:strCache>
            </c:strRef>
          </c:tx>
          <c:spPr>
            <a:noFill/>
            <a:ln>
              <a:noFill/>
            </a:ln>
          </c:spPr>
          <c:invertIfNegative val="0"/>
          <c:dLbls>
            <c:dLbl>
              <c:idx val="6"/>
              <c:layout>
                <c:manualLayout>
                  <c:x val="0"/>
                  <c:y val="0.15353963508573237"/>
                </c:manualLayout>
              </c:layout>
              <c:dLblPos val="ctr"/>
              <c:showLegendKey val="0"/>
              <c:showVal val="1"/>
              <c:showCatName val="0"/>
              <c:showSerName val="0"/>
              <c:showPercent val="0"/>
              <c:showBubbleSize val="0"/>
            </c:dLbl>
            <c:txPr>
              <a:bodyPr/>
              <a:lstStyle/>
              <a:p>
                <a:pPr>
                  <a:defRPr sz="1000" b="0" i="0" u="none" strike="noStrike" baseline="0">
                    <a:solidFill>
                      <a:srgbClr val="000000"/>
                    </a:solidFill>
                    <a:latin typeface="Calibri"/>
                    <a:ea typeface="Calibri"/>
                    <a:cs typeface="Calibri"/>
                  </a:defRPr>
                </a:pPr>
                <a:endParaRPr lang="en-US"/>
              </a:p>
            </c:txPr>
            <c:dLblPos val="inBase"/>
            <c:showLegendKey val="0"/>
            <c:showVal val="1"/>
            <c:showCatName val="0"/>
            <c:showSerName val="0"/>
            <c:showPercent val="0"/>
            <c:showBubbleSize val="0"/>
            <c:showLeaderLines val="0"/>
          </c:dLbls>
          <c:cat>
            <c:strRef>
              <c:f>Charts!$AK$3:$AO$3</c:f>
              <c:strCache>
                <c:ptCount val="5"/>
                <c:pt idx="0">
                  <c:v>2Q17</c:v>
                </c:pt>
                <c:pt idx="1">
                  <c:v>3Q17</c:v>
                </c:pt>
                <c:pt idx="2">
                  <c:v>4Q17</c:v>
                </c:pt>
                <c:pt idx="3">
                  <c:v>1Q18</c:v>
                </c:pt>
                <c:pt idx="4">
                  <c:v>2Q18</c:v>
                </c:pt>
              </c:strCache>
            </c:strRef>
          </c:cat>
          <c:val>
            <c:numRef>
              <c:f>Charts!$AK$674:$AO$674</c:f>
              <c:numCache>
                <c:formatCode>#,##0.0_);\(#,##0.0\)</c:formatCode>
                <c:ptCount val="5"/>
                <c:pt idx="0">
                  <c:v>5.2460000000000004</c:v>
                </c:pt>
                <c:pt idx="1">
                  <c:v>6.9</c:v>
                </c:pt>
                <c:pt idx="2">
                  <c:v>7.5</c:v>
                </c:pt>
                <c:pt idx="3">
                  <c:v>7.6</c:v>
                </c:pt>
                <c:pt idx="4">
                  <c:v>7.9</c:v>
                </c:pt>
              </c:numCache>
            </c:numRef>
          </c:val>
        </c:ser>
        <c:dLbls>
          <c:showLegendKey val="0"/>
          <c:showVal val="0"/>
          <c:showCatName val="0"/>
          <c:showSerName val="0"/>
          <c:showPercent val="0"/>
          <c:showBubbleSize val="0"/>
        </c:dLbls>
        <c:gapWidth val="150"/>
        <c:overlap val="100"/>
        <c:axId val="655088640"/>
        <c:axId val="655102720"/>
      </c:barChart>
      <c:catAx>
        <c:axId val="655088640"/>
        <c:scaling>
          <c:orientation val="minMax"/>
        </c:scaling>
        <c:delete val="0"/>
        <c:axPos val="b"/>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655102720"/>
        <c:crosses val="autoZero"/>
        <c:auto val="1"/>
        <c:lblAlgn val="ctr"/>
        <c:lblOffset val="100"/>
        <c:noMultiLvlLbl val="0"/>
      </c:catAx>
      <c:valAx>
        <c:axId val="655102720"/>
        <c:scaling>
          <c:orientation val="minMax"/>
          <c:max val="8"/>
        </c:scaling>
        <c:delete val="0"/>
        <c:axPos val="l"/>
        <c:majorGridlines>
          <c:spPr>
            <a:ln>
              <a:solidFill>
                <a:schemeClr val="bg1">
                  <a:lumMod val="90000"/>
                </a:schemeClr>
              </a:solidFill>
            </a:ln>
          </c:spPr>
        </c:majorGridlines>
        <c:numFmt formatCode="\$#,##0_);\(\$#,##0\)" sourceLinked="0"/>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655088640"/>
        <c:crosses val="autoZero"/>
        <c:crossBetween val="between"/>
      </c:valAx>
      <c:spPr>
        <a:noFill/>
        <a:ln w="25400">
          <a:noFill/>
        </a:ln>
      </c:spPr>
    </c:plotArea>
    <c:legend>
      <c:legendPos val="t"/>
      <c:legendEntry>
        <c:idx val="5"/>
        <c:delete val="1"/>
      </c:legendEntry>
      <c:layout>
        <c:manualLayout>
          <c:xMode val="edge"/>
          <c:yMode val="edge"/>
          <c:x val="0.30149265510376122"/>
          <c:y val="1.8518425196850395E-2"/>
          <c:w val="0.69850734489623878"/>
          <c:h val="0.1909499004601819"/>
        </c:manualLayout>
      </c:layout>
      <c:overlay val="0"/>
      <c:txPr>
        <a:bodyPr/>
        <a:lstStyle/>
        <a:p>
          <a:pPr>
            <a:defRPr sz="1000" b="0" i="0" u="none" strike="noStrike" baseline="0">
              <a:solidFill>
                <a:srgbClr val="000000"/>
              </a:solidFill>
              <a:latin typeface="Calibri"/>
              <a:ea typeface="Calibri"/>
              <a:cs typeface="Calibri"/>
            </a:defRPr>
          </a:pPr>
          <a:endParaRPr lang="en-US"/>
        </a:p>
      </c:txPr>
    </c:legend>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orientation="portrait"/>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Calibri"/>
                <a:ea typeface="Calibri"/>
                <a:cs typeface="Calibri"/>
              </a:defRPr>
            </a:pPr>
            <a:r>
              <a:rPr lang="en-US"/>
              <a:t>MONTHLY RECURRING REVENUE (MMR)</a:t>
            </a:r>
          </a:p>
        </c:rich>
      </c:tx>
      <c:layout>
        <c:manualLayout>
          <c:xMode val="edge"/>
          <c:yMode val="edge"/>
          <c:x val="2.3604110989543161E-4"/>
          <c:y val="1.3888923884514437E-2"/>
        </c:manualLayout>
      </c:layout>
      <c:overlay val="1"/>
    </c:title>
    <c:autoTitleDeleted val="0"/>
    <c:plotArea>
      <c:layout/>
      <c:barChart>
        <c:barDir val="col"/>
        <c:grouping val="clustered"/>
        <c:varyColors val="0"/>
        <c:ser>
          <c:idx val="0"/>
          <c:order val="0"/>
          <c:tx>
            <c:strRef>
              <c:f>Charts!$B$319</c:f>
              <c:strCache>
                <c:ptCount val="1"/>
                <c:pt idx="0">
                  <c:v>MRR</c:v>
                </c:pt>
              </c:strCache>
            </c:strRef>
          </c:tx>
          <c:spPr>
            <a:solidFill>
              <a:srgbClr val="EACC80"/>
            </a:solidFill>
            <a:ln>
              <a:noFill/>
            </a:ln>
          </c:spPr>
          <c:invertIfNegative val="0"/>
          <c:dLbls>
            <c:numFmt formatCode="\$#,##0_);\(\$#,##0\)" sourceLinked="0"/>
            <c:txPr>
              <a:bodyPr rot="-5400000" vert="horz"/>
              <a:lstStyle/>
              <a:p>
                <a:pPr algn="ctr">
                  <a:defRPr sz="1000" b="0" i="0" u="none" strike="noStrike" baseline="0">
                    <a:solidFill>
                      <a:srgbClr val="000000"/>
                    </a:solidFill>
                    <a:latin typeface="Calibri"/>
                    <a:ea typeface="Calibri"/>
                    <a:cs typeface="Calibri"/>
                  </a:defRPr>
                </a:pPr>
                <a:endParaRPr lang="en-US"/>
              </a:p>
            </c:txPr>
            <c:dLblPos val="inBase"/>
            <c:showLegendKey val="0"/>
            <c:showVal val="1"/>
            <c:showCatName val="0"/>
            <c:showSerName val="0"/>
            <c:showPercent val="0"/>
            <c:showBubbleSize val="0"/>
            <c:showLeaderLines val="0"/>
          </c:dLbls>
          <c:cat>
            <c:strRef>
              <c:f>Charts!$AF$3:$AM$3</c:f>
              <c:strCache>
                <c:ptCount val="8"/>
                <c:pt idx="0">
                  <c:v>1Q16</c:v>
                </c:pt>
                <c:pt idx="1">
                  <c:v>2Q16</c:v>
                </c:pt>
                <c:pt idx="2">
                  <c:v>3Q16</c:v>
                </c:pt>
                <c:pt idx="3">
                  <c:v>4Q16</c:v>
                </c:pt>
                <c:pt idx="4">
                  <c:v>1Q17</c:v>
                </c:pt>
                <c:pt idx="5">
                  <c:v>2Q17</c:v>
                </c:pt>
                <c:pt idx="6">
                  <c:v>3Q17</c:v>
                </c:pt>
                <c:pt idx="7">
                  <c:v>4Q17</c:v>
                </c:pt>
              </c:strCache>
            </c:strRef>
          </c:cat>
          <c:val>
            <c:numRef>
              <c:f>Charts!$AF$319:$AM$319</c:f>
              <c:numCache>
                <c:formatCode>#,##0.0_);\(#,##0.0\)</c:formatCode>
                <c:ptCount val="8"/>
                <c:pt idx="0">
                  <c:v>332.3</c:v>
                </c:pt>
                <c:pt idx="1">
                  <c:v>336.4</c:v>
                </c:pt>
                <c:pt idx="2">
                  <c:v>347</c:v>
                </c:pt>
                <c:pt idx="3">
                  <c:v>354.6</c:v>
                </c:pt>
                <c:pt idx="4">
                  <c:v>357.3</c:v>
                </c:pt>
                <c:pt idx="5">
                  <c:v>360.7</c:v>
                </c:pt>
                <c:pt idx="6">
                  <c:v>430.7</c:v>
                </c:pt>
                <c:pt idx="7">
                  <c:v>464.4</c:v>
                </c:pt>
              </c:numCache>
            </c:numRef>
          </c:val>
        </c:ser>
        <c:dLbls>
          <c:showLegendKey val="0"/>
          <c:showVal val="0"/>
          <c:showCatName val="0"/>
          <c:showSerName val="0"/>
          <c:showPercent val="0"/>
          <c:showBubbleSize val="0"/>
        </c:dLbls>
        <c:gapWidth val="150"/>
        <c:axId val="655142912"/>
        <c:axId val="655144448"/>
      </c:barChart>
      <c:lineChart>
        <c:grouping val="standard"/>
        <c:varyColors val="0"/>
        <c:ser>
          <c:idx val="1"/>
          <c:order val="1"/>
          <c:tx>
            <c:strRef>
              <c:f>Charts!$B$321</c:f>
              <c:strCache>
                <c:ptCount val="1"/>
                <c:pt idx="0">
                  <c:v>% of Total</c:v>
                </c:pt>
              </c:strCache>
            </c:strRef>
          </c:tx>
          <c:spPr>
            <a:ln>
              <a:solidFill>
                <a:srgbClr val="1275A6"/>
              </a:solidFill>
            </a:ln>
          </c:spPr>
          <c:marker>
            <c:symbol val="square"/>
            <c:size val="5"/>
            <c:spPr>
              <a:solidFill>
                <a:srgbClr val="1275A6"/>
              </a:solidFill>
              <a:ln>
                <a:solidFill>
                  <a:srgbClr val="1275A6"/>
                </a:solidFill>
              </a:ln>
            </c:spPr>
          </c:marker>
          <c:dLbls>
            <c:txPr>
              <a:bodyPr/>
              <a:lstStyle/>
              <a:p>
                <a:pPr>
                  <a:defRPr sz="1000" b="0" i="0" u="none" strike="noStrike" baseline="0">
                    <a:solidFill>
                      <a:srgbClr val="000000"/>
                    </a:solidFill>
                    <a:latin typeface="Calibri"/>
                    <a:ea typeface="Calibri"/>
                    <a:cs typeface="Calibri"/>
                  </a:defRPr>
                </a:pPr>
                <a:endParaRPr lang="en-US"/>
              </a:p>
            </c:txPr>
            <c:dLblPos val="t"/>
            <c:showLegendKey val="0"/>
            <c:showVal val="1"/>
            <c:showCatName val="0"/>
            <c:showSerName val="0"/>
            <c:showPercent val="0"/>
            <c:showBubbleSize val="0"/>
            <c:showLeaderLines val="0"/>
          </c:dLbls>
          <c:val>
            <c:numRef>
              <c:f>Charts!$AG$321:$AN$321</c:f>
              <c:numCache>
                <c:formatCode>0.0%</c:formatCode>
                <c:ptCount val="8"/>
                <c:pt idx="0">
                  <c:v>0.91017316017316008</c:v>
                </c:pt>
              </c:numCache>
            </c:numRef>
          </c:val>
          <c:smooth val="0"/>
        </c:ser>
        <c:dLbls>
          <c:showLegendKey val="0"/>
          <c:showVal val="0"/>
          <c:showCatName val="0"/>
          <c:showSerName val="0"/>
          <c:showPercent val="0"/>
          <c:showBubbleSize val="0"/>
        </c:dLbls>
        <c:marker val="1"/>
        <c:smooth val="0"/>
        <c:axId val="655145984"/>
        <c:axId val="655147776"/>
      </c:lineChart>
      <c:catAx>
        <c:axId val="655142912"/>
        <c:scaling>
          <c:orientation val="minMax"/>
        </c:scaling>
        <c:delete val="0"/>
        <c:axPos val="b"/>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655144448"/>
        <c:crosses val="autoZero"/>
        <c:auto val="1"/>
        <c:lblAlgn val="ctr"/>
        <c:lblOffset val="100"/>
        <c:noMultiLvlLbl val="0"/>
      </c:catAx>
      <c:valAx>
        <c:axId val="655144448"/>
        <c:scaling>
          <c:orientation val="minMax"/>
        </c:scaling>
        <c:delete val="0"/>
        <c:axPos val="l"/>
        <c:majorGridlines>
          <c:spPr>
            <a:ln>
              <a:solidFill>
                <a:schemeClr val="bg1">
                  <a:lumMod val="90000"/>
                </a:schemeClr>
              </a:solidFill>
            </a:ln>
          </c:spPr>
        </c:majorGridlines>
        <c:numFmt formatCode="\$#,##0_);\(\$#,##0\)" sourceLinked="0"/>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655142912"/>
        <c:crosses val="autoZero"/>
        <c:crossBetween val="between"/>
      </c:valAx>
      <c:catAx>
        <c:axId val="655145984"/>
        <c:scaling>
          <c:orientation val="minMax"/>
        </c:scaling>
        <c:delete val="1"/>
        <c:axPos val="b"/>
        <c:majorTickMark val="out"/>
        <c:minorTickMark val="none"/>
        <c:tickLblPos val="nextTo"/>
        <c:crossAx val="655147776"/>
        <c:crosses val="autoZero"/>
        <c:auto val="1"/>
        <c:lblAlgn val="ctr"/>
        <c:lblOffset val="100"/>
        <c:noMultiLvlLbl val="0"/>
      </c:catAx>
      <c:valAx>
        <c:axId val="655147776"/>
        <c:scaling>
          <c:orientation val="minMax"/>
        </c:scaling>
        <c:delete val="0"/>
        <c:axPos val="r"/>
        <c:numFmt formatCode="0.0%" sourceLinked="0"/>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655145984"/>
        <c:crosses val="max"/>
        <c:crossBetween val="between"/>
      </c:valAx>
      <c:spPr>
        <a:noFill/>
        <a:ln w="25400">
          <a:noFill/>
        </a:ln>
      </c:spPr>
    </c:plotArea>
    <c:legend>
      <c:legendPos val="t"/>
      <c:layout>
        <c:manualLayout>
          <c:xMode val="edge"/>
          <c:yMode val="edge"/>
          <c:x val="0.59589570665853553"/>
          <c:y val="1.8518425196850395E-2"/>
          <c:w val="0.40410429334146447"/>
          <c:h val="0.1085459317585302"/>
        </c:manualLayout>
      </c:layout>
      <c:overlay val="0"/>
      <c:txPr>
        <a:bodyPr/>
        <a:lstStyle/>
        <a:p>
          <a:pPr>
            <a:defRPr sz="1000" b="0" i="0" u="none" strike="noStrike" baseline="0">
              <a:solidFill>
                <a:srgbClr val="000000"/>
              </a:solidFill>
              <a:latin typeface="Calibri"/>
              <a:ea typeface="Calibri"/>
              <a:cs typeface="Calibri"/>
            </a:defRPr>
          </a:pPr>
          <a:endParaRPr lang="en-US"/>
        </a:p>
      </c:txPr>
    </c:legend>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Calibri"/>
                <a:ea typeface="Calibri"/>
                <a:cs typeface="Calibri"/>
              </a:defRPr>
            </a:pPr>
            <a:r>
              <a:rPr lang="en-US"/>
              <a:t>LEVERED FCF</a:t>
            </a:r>
          </a:p>
        </c:rich>
      </c:tx>
      <c:layout>
        <c:manualLayout>
          <c:xMode val="edge"/>
          <c:yMode val="edge"/>
          <c:x val="2.3604110989543161E-4"/>
          <c:y val="1.3888923884514437E-2"/>
        </c:manualLayout>
      </c:layout>
      <c:overlay val="1"/>
    </c:title>
    <c:autoTitleDeleted val="0"/>
    <c:plotArea>
      <c:layout/>
      <c:barChart>
        <c:barDir val="col"/>
        <c:grouping val="clustered"/>
        <c:varyColors val="0"/>
        <c:ser>
          <c:idx val="0"/>
          <c:order val="0"/>
          <c:tx>
            <c:strRef>
              <c:f>Charts!$B$200</c:f>
              <c:strCache>
                <c:ptCount val="1"/>
                <c:pt idx="0">
                  <c:v>Levered FCF (OCF less gross capex)</c:v>
                </c:pt>
              </c:strCache>
            </c:strRef>
          </c:tx>
          <c:spPr>
            <a:solidFill>
              <a:srgbClr val="1275A6"/>
            </a:solidFill>
            <a:ln>
              <a:noFill/>
            </a:ln>
          </c:spPr>
          <c:invertIfNegative val="0"/>
          <c:dLbls>
            <c:numFmt formatCode="\$#,##0_);\(\$#,##0\)" sourceLinked="0"/>
            <c:txPr>
              <a:bodyPr/>
              <a:lstStyle/>
              <a:p>
                <a:pPr>
                  <a:defRPr sz="1000" b="0" i="0" u="none" strike="noStrike" baseline="0">
                    <a:solidFill>
                      <a:srgbClr val="000000"/>
                    </a:solidFill>
                    <a:latin typeface="Calibri"/>
                    <a:ea typeface="Calibri"/>
                    <a:cs typeface="Calibri"/>
                  </a:defRPr>
                </a:pPr>
                <a:endParaRPr lang="en-US"/>
              </a:p>
            </c:txPr>
            <c:dLblPos val="outEnd"/>
            <c:showLegendKey val="0"/>
            <c:showVal val="1"/>
            <c:showCatName val="0"/>
            <c:showSerName val="0"/>
            <c:showPercent val="0"/>
            <c:showBubbleSize val="0"/>
            <c:showLeaderLines val="0"/>
          </c:dLbls>
          <c:cat>
            <c:strRef>
              <c:f>Charts!$AH$3:$AO$3</c:f>
              <c:strCache>
                <c:ptCount val="8"/>
                <c:pt idx="0">
                  <c:v>3Q16</c:v>
                </c:pt>
                <c:pt idx="1">
                  <c:v>4Q16</c:v>
                </c:pt>
                <c:pt idx="2">
                  <c:v>1Q17</c:v>
                </c:pt>
                <c:pt idx="3">
                  <c:v>2Q17</c:v>
                </c:pt>
                <c:pt idx="4">
                  <c:v>3Q17</c:v>
                </c:pt>
                <c:pt idx="5">
                  <c:v>4Q17</c:v>
                </c:pt>
                <c:pt idx="6">
                  <c:v>1Q18</c:v>
                </c:pt>
                <c:pt idx="7">
                  <c:v>2Q18</c:v>
                </c:pt>
              </c:strCache>
            </c:strRef>
          </c:cat>
          <c:val>
            <c:numRef>
              <c:f>Charts!$AH$200:$AO$200</c:f>
              <c:numCache>
                <c:formatCode>#,##0.0_);\(#,##0.0\)</c:formatCode>
                <c:ptCount val="8"/>
                <c:pt idx="0">
                  <c:v>11.299999999999955</c:v>
                </c:pt>
                <c:pt idx="1">
                  <c:v>-11.199999999999989</c:v>
                </c:pt>
                <c:pt idx="2">
                  <c:v>24.5</c:v>
                </c:pt>
                <c:pt idx="3">
                  <c:v>-43.900000000000006</c:v>
                </c:pt>
                <c:pt idx="4">
                  <c:v>54.099999999999909</c:v>
                </c:pt>
                <c:pt idx="5">
                  <c:v>39.600000000000051</c:v>
                </c:pt>
                <c:pt idx="6">
                  <c:v>75.400000000000063</c:v>
                </c:pt>
                <c:pt idx="7">
                  <c:v>-5.7000000000000171</c:v>
                </c:pt>
              </c:numCache>
            </c:numRef>
          </c:val>
        </c:ser>
        <c:dLbls>
          <c:showLegendKey val="0"/>
          <c:showVal val="0"/>
          <c:showCatName val="0"/>
          <c:showSerName val="0"/>
          <c:showPercent val="0"/>
          <c:showBubbleSize val="0"/>
        </c:dLbls>
        <c:gapWidth val="150"/>
        <c:axId val="655316096"/>
        <c:axId val="655317632"/>
      </c:barChart>
      <c:catAx>
        <c:axId val="655316096"/>
        <c:scaling>
          <c:orientation val="minMax"/>
        </c:scaling>
        <c:delete val="0"/>
        <c:axPos val="b"/>
        <c:numFmt formatCode="General" sourceLinked="1"/>
        <c:majorTickMark val="out"/>
        <c:minorTickMark val="none"/>
        <c:tickLblPos val="low"/>
        <c:txPr>
          <a:bodyPr rot="0" vert="horz"/>
          <a:lstStyle/>
          <a:p>
            <a:pPr>
              <a:defRPr sz="1000" b="0" i="0" u="none" strike="noStrike" baseline="0">
                <a:solidFill>
                  <a:srgbClr val="000000"/>
                </a:solidFill>
                <a:latin typeface="Calibri"/>
                <a:ea typeface="Calibri"/>
                <a:cs typeface="Calibri"/>
              </a:defRPr>
            </a:pPr>
            <a:endParaRPr lang="en-US"/>
          </a:p>
        </c:txPr>
        <c:crossAx val="655317632"/>
        <c:crosses val="autoZero"/>
        <c:auto val="1"/>
        <c:lblAlgn val="ctr"/>
        <c:lblOffset val="100"/>
        <c:noMultiLvlLbl val="0"/>
      </c:catAx>
      <c:valAx>
        <c:axId val="655317632"/>
        <c:scaling>
          <c:orientation val="minMax"/>
        </c:scaling>
        <c:delete val="0"/>
        <c:axPos val="l"/>
        <c:majorGridlines>
          <c:spPr>
            <a:ln>
              <a:solidFill>
                <a:schemeClr val="bg1">
                  <a:lumMod val="90000"/>
                </a:schemeClr>
              </a:solidFill>
            </a:ln>
          </c:spPr>
        </c:majorGridlines>
        <c:numFmt formatCode="\$#,##0_);\(\$#,##0\)" sourceLinked="0"/>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655316096"/>
        <c:crosses val="autoZero"/>
        <c:crossBetween val="between"/>
      </c:valAx>
      <c:spPr>
        <a:noFill/>
        <a:ln w="25400">
          <a:noFill/>
        </a:ln>
      </c:spPr>
    </c:plotArea>
    <c:legend>
      <c:legendPos val="t"/>
      <c:layout>
        <c:manualLayout>
          <c:xMode val="edge"/>
          <c:yMode val="edge"/>
          <c:x val="0.35892525962728461"/>
          <c:y val="1.8518425196850395E-2"/>
          <c:w val="0.64107474037271539"/>
          <c:h val="0.1085459317585302"/>
        </c:manualLayout>
      </c:layout>
      <c:overlay val="0"/>
      <c:txPr>
        <a:bodyPr/>
        <a:lstStyle/>
        <a:p>
          <a:pPr>
            <a:defRPr sz="1000" b="0" i="0" u="none" strike="noStrike" baseline="0">
              <a:solidFill>
                <a:srgbClr val="000000"/>
              </a:solidFill>
              <a:latin typeface="Calibri"/>
              <a:ea typeface="Calibri"/>
              <a:cs typeface="Calibri"/>
            </a:defRPr>
          </a:pPr>
          <a:endParaRPr lang="en-US"/>
        </a:p>
      </c:txPr>
    </c:legend>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orientation="portrait"/>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Calibri"/>
                <a:ea typeface="Calibri"/>
                <a:cs typeface="Calibri"/>
              </a:defRPr>
            </a:pPr>
            <a:r>
              <a:rPr lang="en-US"/>
              <a:t>ZAYO DARK FIBER</a:t>
            </a:r>
          </a:p>
        </c:rich>
      </c:tx>
      <c:layout>
        <c:manualLayout>
          <c:xMode val="edge"/>
          <c:yMode val="edge"/>
          <c:x val="2.3604110989543161E-4"/>
          <c:y val="1.3888923884514437E-2"/>
        </c:manualLayout>
      </c:layout>
      <c:overlay val="1"/>
    </c:title>
    <c:autoTitleDeleted val="0"/>
    <c:plotArea>
      <c:layout/>
      <c:barChart>
        <c:barDir val="col"/>
        <c:grouping val="clustered"/>
        <c:varyColors val="0"/>
        <c:ser>
          <c:idx val="0"/>
          <c:order val="0"/>
          <c:tx>
            <c:strRef>
              <c:f>Charts!$B$358</c:f>
              <c:strCache>
                <c:ptCount val="1"/>
                <c:pt idx="0">
                  <c:v>Revenue</c:v>
                </c:pt>
              </c:strCache>
            </c:strRef>
          </c:tx>
          <c:spPr>
            <a:solidFill>
              <a:srgbClr val="EACC80"/>
            </a:solidFill>
            <a:ln>
              <a:noFill/>
            </a:ln>
          </c:spPr>
          <c:invertIfNegative val="0"/>
          <c:dLbls>
            <c:numFmt formatCode="\$#,##0_);\(\$#,##0\)" sourceLinked="0"/>
            <c:txPr>
              <a:bodyPr rot="-5400000" vert="horz"/>
              <a:lstStyle/>
              <a:p>
                <a:pPr algn="ctr">
                  <a:defRPr sz="1000" b="0" i="0" u="none" strike="noStrike" baseline="0">
                    <a:solidFill>
                      <a:srgbClr val="000000"/>
                    </a:solidFill>
                    <a:latin typeface="Calibri"/>
                    <a:ea typeface="Calibri"/>
                    <a:cs typeface="Calibri"/>
                  </a:defRPr>
                </a:pPr>
                <a:endParaRPr lang="en-US"/>
              </a:p>
            </c:txPr>
            <c:dLblPos val="inBase"/>
            <c:showLegendKey val="0"/>
            <c:showVal val="1"/>
            <c:showCatName val="0"/>
            <c:showSerName val="0"/>
            <c:showPercent val="0"/>
            <c:showBubbleSize val="0"/>
            <c:showLeaderLines val="0"/>
          </c:dLbls>
          <c:cat>
            <c:strRef>
              <c:f>Charts!$AI$3:$AO$3</c:f>
              <c:strCache>
                <c:ptCount val="7"/>
                <c:pt idx="0">
                  <c:v>4Q16</c:v>
                </c:pt>
                <c:pt idx="1">
                  <c:v>1Q17</c:v>
                </c:pt>
                <c:pt idx="2">
                  <c:v>2Q17</c:v>
                </c:pt>
                <c:pt idx="3">
                  <c:v>3Q17</c:v>
                </c:pt>
                <c:pt idx="4">
                  <c:v>4Q17</c:v>
                </c:pt>
                <c:pt idx="5">
                  <c:v>1Q18</c:v>
                </c:pt>
                <c:pt idx="6">
                  <c:v>2Q18</c:v>
                </c:pt>
              </c:strCache>
            </c:strRef>
          </c:cat>
          <c:val>
            <c:numRef>
              <c:f>Charts!$AI$358:$AO$358</c:f>
              <c:numCache>
                <c:formatCode>#,##0.0_);\(#,##0.0\)</c:formatCode>
                <c:ptCount val="7"/>
                <c:pt idx="0">
                  <c:v>172.2</c:v>
                </c:pt>
                <c:pt idx="1">
                  <c:v>174.1</c:v>
                </c:pt>
                <c:pt idx="2">
                  <c:v>177.5</c:v>
                </c:pt>
                <c:pt idx="3">
                  <c:v>179.6</c:v>
                </c:pt>
                <c:pt idx="4">
                  <c:v>190.9</c:v>
                </c:pt>
                <c:pt idx="5">
                  <c:v>195.5</c:v>
                </c:pt>
                <c:pt idx="6">
                  <c:v>200.5</c:v>
                </c:pt>
              </c:numCache>
            </c:numRef>
          </c:val>
        </c:ser>
        <c:dLbls>
          <c:showLegendKey val="0"/>
          <c:showVal val="0"/>
          <c:showCatName val="0"/>
          <c:showSerName val="0"/>
          <c:showPercent val="0"/>
          <c:showBubbleSize val="0"/>
        </c:dLbls>
        <c:gapWidth val="150"/>
        <c:axId val="655243136"/>
        <c:axId val="655244672"/>
      </c:barChart>
      <c:lineChart>
        <c:grouping val="standard"/>
        <c:varyColors val="0"/>
        <c:ser>
          <c:idx val="1"/>
          <c:order val="1"/>
          <c:tx>
            <c:strRef>
              <c:f>Charts!$B$359</c:f>
              <c:strCache>
                <c:ptCount val="1"/>
                <c:pt idx="0">
                  <c:v>% Y/Y </c:v>
                </c:pt>
              </c:strCache>
            </c:strRef>
          </c:tx>
          <c:spPr>
            <a:ln>
              <a:solidFill>
                <a:srgbClr val="1275A6"/>
              </a:solidFill>
            </a:ln>
          </c:spPr>
          <c:marker>
            <c:symbol val="square"/>
            <c:size val="5"/>
            <c:spPr>
              <a:solidFill>
                <a:srgbClr val="1275A6"/>
              </a:solidFill>
              <a:ln>
                <a:solidFill>
                  <a:srgbClr val="1275A6"/>
                </a:solidFill>
              </a:ln>
            </c:spPr>
          </c:marker>
          <c:dLbls>
            <c:txPr>
              <a:bodyPr/>
              <a:lstStyle/>
              <a:p>
                <a:pPr>
                  <a:defRPr sz="1000" b="0" i="0" u="none" strike="noStrike" baseline="0">
                    <a:solidFill>
                      <a:srgbClr val="000000"/>
                    </a:solidFill>
                    <a:latin typeface="Calibri"/>
                    <a:ea typeface="Calibri"/>
                    <a:cs typeface="Calibri"/>
                  </a:defRPr>
                </a:pPr>
                <a:endParaRPr lang="en-US"/>
              </a:p>
            </c:txPr>
            <c:dLblPos val="t"/>
            <c:showLegendKey val="0"/>
            <c:showVal val="1"/>
            <c:showCatName val="0"/>
            <c:showSerName val="0"/>
            <c:showPercent val="0"/>
            <c:showBubbleSize val="0"/>
            <c:showLeaderLines val="0"/>
          </c:dLbls>
          <c:cat>
            <c:strRef>
              <c:f>Charts!$AI$3:$AO$3</c:f>
              <c:strCache>
                <c:ptCount val="7"/>
                <c:pt idx="0">
                  <c:v>4Q16</c:v>
                </c:pt>
                <c:pt idx="1">
                  <c:v>1Q17</c:v>
                </c:pt>
                <c:pt idx="2">
                  <c:v>2Q17</c:v>
                </c:pt>
                <c:pt idx="3">
                  <c:v>3Q17</c:v>
                </c:pt>
                <c:pt idx="4">
                  <c:v>4Q17</c:v>
                </c:pt>
                <c:pt idx="5">
                  <c:v>1Q18</c:v>
                </c:pt>
                <c:pt idx="6">
                  <c:v>2Q18</c:v>
                </c:pt>
              </c:strCache>
            </c:strRef>
          </c:cat>
          <c:val>
            <c:numRef>
              <c:f>Charts!$AI$359:$AO$359</c:f>
              <c:numCache>
                <c:formatCode>0.0%</c:formatCode>
                <c:ptCount val="7"/>
                <c:pt idx="4">
                  <c:v>0.10859465737514529</c:v>
                </c:pt>
                <c:pt idx="5">
                  <c:v>0.12291786329695586</c:v>
                </c:pt>
                <c:pt idx="6">
                  <c:v>0.12957746478873244</c:v>
                </c:pt>
              </c:numCache>
            </c:numRef>
          </c:val>
          <c:smooth val="0"/>
        </c:ser>
        <c:dLbls>
          <c:showLegendKey val="0"/>
          <c:showVal val="0"/>
          <c:showCatName val="0"/>
          <c:showSerName val="0"/>
          <c:showPercent val="0"/>
          <c:showBubbleSize val="0"/>
        </c:dLbls>
        <c:marker val="1"/>
        <c:smooth val="0"/>
        <c:axId val="655246464"/>
        <c:axId val="655248000"/>
      </c:lineChart>
      <c:catAx>
        <c:axId val="655243136"/>
        <c:scaling>
          <c:orientation val="minMax"/>
        </c:scaling>
        <c:delete val="0"/>
        <c:axPos val="b"/>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655244672"/>
        <c:crosses val="autoZero"/>
        <c:auto val="1"/>
        <c:lblAlgn val="ctr"/>
        <c:lblOffset val="100"/>
        <c:noMultiLvlLbl val="0"/>
      </c:catAx>
      <c:valAx>
        <c:axId val="655244672"/>
        <c:scaling>
          <c:orientation val="minMax"/>
        </c:scaling>
        <c:delete val="0"/>
        <c:axPos val="l"/>
        <c:majorGridlines>
          <c:spPr>
            <a:ln>
              <a:solidFill>
                <a:schemeClr val="bg1">
                  <a:lumMod val="90000"/>
                </a:schemeClr>
              </a:solidFill>
            </a:ln>
          </c:spPr>
        </c:majorGridlines>
        <c:numFmt formatCode="\$#,##0_);\(\$#,##0\)" sourceLinked="0"/>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655243136"/>
        <c:crosses val="autoZero"/>
        <c:crossBetween val="between"/>
      </c:valAx>
      <c:catAx>
        <c:axId val="655246464"/>
        <c:scaling>
          <c:orientation val="minMax"/>
        </c:scaling>
        <c:delete val="1"/>
        <c:axPos val="b"/>
        <c:majorTickMark val="out"/>
        <c:minorTickMark val="none"/>
        <c:tickLblPos val="nextTo"/>
        <c:crossAx val="655248000"/>
        <c:crosses val="autoZero"/>
        <c:auto val="1"/>
        <c:lblAlgn val="ctr"/>
        <c:lblOffset val="100"/>
        <c:noMultiLvlLbl val="0"/>
      </c:catAx>
      <c:valAx>
        <c:axId val="655248000"/>
        <c:scaling>
          <c:orientation val="minMax"/>
        </c:scaling>
        <c:delete val="0"/>
        <c:axPos val="r"/>
        <c:numFmt formatCode="0.0%" sourceLinked="0"/>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655246464"/>
        <c:crosses val="max"/>
        <c:crossBetween val="between"/>
      </c:valAx>
      <c:spPr>
        <a:noFill/>
        <a:ln w="25400">
          <a:noFill/>
        </a:ln>
      </c:spPr>
    </c:plotArea>
    <c:legend>
      <c:legendPos val="t"/>
      <c:layout>
        <c:manualLayout>
          <c:xMode val="edge"/>
          <c:yMode val="edge"/>
          <c:x val="0.60493892705325281"/>
          <c:y val="1.8518425196850395E-2"/>
          <c:w val="0.39506107294674719"/>
          <c:h val="0.1085459317585302"/>
        </c:manualLayout>
      </c:layout>
      <c:overlay val="0"/>
      <c:txPr>
        <a:bodyPr/>
        <a:lstStyle/>
        <a:p>
          <a:pPr>
            <a:defRPr sz="1000" b="0" i="0" u="none" strike="noStrike" baseline="0">
              <a:solidFill>
                <a:srgbClr val="000000"/>
              </a:solidFill>
              <a:latin typeface="Calibri"/>
              <a:ea typeface="Calibri"/>
              <a:cs typeface="Calibri"/>
            </a:defRPr>
          </a:pPr>
          <a:endParaRPr lang="en-US"/>
        </a:p>
      </c:txPr>
    </c:legend>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orientation="portrait"/>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Calibri"/>
                <a:ea typeface="Calibri"/>
                <a:cs typeface="Calibri"/>
              </a:defRPr>
            </a:pPr>
            <a:r>
              <a:rPr lang="en-US"/>
              <a:t>ZAYO COLOCATION &amp; CLOUD </a:t>
            </a:r>
          </a:p>
        </c:rich>
      </c:tx>
      <c:layout>
        <c:manualLayout>
          <c:xMode val="edge"/>
          <c:yMode val="edge"/>
          <c:x val="2.3604110989543161E-4"/>
          <c:y val="1.3888923884514437E-2"/>
        </c:manualLayout>
      </c:layout>
      <c:overlay val="1"/>
    </c:title>
    <c:autoTitleDeleted val="0"/>
    <c:plotArea>
      <c:layout/>
      <c:barChart>
        <c:barDir val="col"/>
        <c:grouping val="clustered"/>
        <c:varyColors val="0"/>
        <c:ser>
          <c:idx val="0"/>
          <c:order val="0"/>
          <c:tx>
            <c:strRef>
              <c:f>Charts!$B$419</c:f>
              <c:strCache>
                <c:ptCount val="1"/>
                <c:pt idx="0">
                  <c:v>Revenue</c:v>
                </c:pt>
              </c:strCache>
            </c:strRef>
          </c:tx>
          <c:spPr>
            <a:solidFill>
              <a:srgbClr val="EACC80"/>
            </a:solidFill>
            <a:ln>
              <a:noFill/>
            </a:ln>
          </c:spPr>
          <c:invertIfNegative val="0"/>
          <c:dLbls>
            <c:numFmt formatCode="\$#,##0_);\(\$#,##0\)" sourceLinked="0"/>
            <c:txPr>
              <a:bodyPr rot="-5400000" vert="horz"/>
              <a:lstStyle/>
              <a:p>
                <a:pPr algn="ctr">
                  <a:defRPr sz="1000" b="0" i="0" u="none" strike="noStrike" baseline="0">
                    <a:solidFill>
                      <a:srgbClr val="000000"/>
                    </a:solidFill>
                    <a:latin typeface="Calibri"/>
                    <a:ea typeface="Calibri"/>
                    <a:cs typeface="Calibri"/>
                  </a:defRPr>
                </a:pPr>
                <a:endParaRPr lang="en-US"/>
              </a:p>
            </c:txPr>
            <c:dLblPos val="inBase"/>
            <c:showLegendKey val="0"/>
            <c:showVal val="1"/>
            <c:showCatName val="0"/>
            <c:showSerName val="0"/>
            <c:showPercent val="0"/>
            <c:showBubbleSize val="0"/>
            <c:showLeaderLines val="0"/>
          </c:dLbls>
          <c:cat>
            <c:strRef>
              <c:f>Charts!$AI$3:$AO$3</c:f>
              <c:strCache>
                <c:ptCount val="7"/>
                <c:pt idx="0">
                  <c:v>4Q16</c:v>
                </c:pt>
                <c:pt idx="1">
                  <c:v>1Q17</c:v>
                </c:pt>
                <c:pt idx="2">
                  <c:v>2Q17</c:v>
                </c:pt>
                <c:pt idx="3">
                  <c:v>3Q17</c:v>
                </c:pt>
                <c:pt idx="4">
                  <c:v>4Q17</c:v>
                </c:pt>
                <c:pt idx="5">
                  <c:v>1Q18</c:v>
                </c:pt>
                <c:pt idx="6">
                  <c:v>2Q18</c:v>
                </c:pt>
              </c:strCache>
            </c:strRef>
          </c:cat>
          <c:val>
            <c:numRef>
              <c:f>Charts!$AI$419:$AO$419</c:f>
              <c:numCache>
                <c:formatCode>#,##0.0_);\(#,##0.0\)</c:formatCode>
                <c:ptCount val="7"/>
                <c:pt idx="0">
                  <c:v>50.4</c:v>
                </c:pt>
                <c:pt idx="1">
                  <c:v>51.2</c:v>
                </c:pt>
                <c:pt idx="2">
                  <c:v>52.5</c:v>
                </c:pt>
                <c:pt idx="3">
                  <c:v>53.6</c:v>
                </c:pt>
                <c:pt idx="4">
                  <c:v>56.7</c:v>
                </c:pt>
                <c:pt idx="5">
                  <c:v>58.4</c:v>
                </c:pt>
                <c:pt idx="6">
                  <c:v>59.9</c:v>
                </c:pt>
              </c:numCache>
            </c:numRef>
          </c:val>
        </c:ser>
        <c:dLbls>
          <c:showLegendKey val="0"/>
          <c:showVal val="0"/>
          <c:showCatName val="0"/>
          <c:showSerName val="0"/>
          <c:showPercent val="0"/>
          <c:showBubbleSize val="0"/>
        </c:dLbls>
        <c:gapWidth val="150"/>
        <c:axId val="655275904"/>
        <c:axId val="655277440"/>
      </c:barChart>
      <c:lineChart>
        <c:grouping val="standard"/>
        <c:varyColors val="0"/>
        <c:ser>
          <c:idx val="1"/>
          <c:order val="1"/>
          <c:tx>
            <c:strRef>
              <c:f>Charts!$B$420</c:f>
              <c:strCache>
                <c:ptCount val="1"/>
                <c:pt idx="0">
                  <c:v>% Y/Y </c:v>
                </c:pt>
              </c:strCache>
            </c:strRef>
          </c:tx>
          <c:spPr>
            <a:ln>
              <a:solidFill>
                <a:srgbClr val="1275A6"/>
              </a:solidFill>
            </a:ln>
          </c:spPr>
          <c:marker>
            <c:symbol val="square"/>
            <c:size val="5"/>
            <c:spPr>
              <a:solidFill>
                <a:srgbClr val="1275A6"/>
              </a:solidFill>
              <a:ln>
                <a:solidFill>
                  <a:srgbClr val="1275A6"/>
                </a:solidFill>
              </a:ln>
            </c:spPr>
          </c:marker>
          <c:dLbls>
            <c:dLbl>
              <c:idx val="6"/>
              <c:layout>
                <c:manualLayout>
                  <c:x val="-6.3606741640210684E-2"/>
                  <c:y val="-0.12148167639191162"/>
                </c:manualLayout>
              </c:layout>
              <c:dLblPos val="r"/>
              <c:showLegendKey val="0"/>
              <c:showVal val="1"/>
              <c:showCatName val="0"/>
              <c:showSerName val="0"/>
              <c:showPercent val="0"/>
              <c:showBubbleSize val="0"/>
            </c:dLbl>
            <c:dLbl>
              <c:idx val="7"/>
              <c:layout>
                <c:manualLayout>
                  <c:x val="-6.3606741640210684E-2"/>
                  <c:y val="-0.12148167639191172"/>
                </c:manualLayout>
              </c:layout>
              <c:dLblPos val="r"/>
              <c:showLegendKey val="0"/>
              <c:showVal val="1"/>
              <c:showCatName val="0"/>
              <c:showSerName val="0"/>
              <c:showPercent val="0"/>
              <c:showBubbleSize val="0"/>
            </c:dLbl>
            <c:txPr>
              <a:bodyPr/>
              <a:lstStyle/>
              <a:p>
                <a:pPr>
                  <a:defRPr sz="1000" b="0" i="0" u="none" strike="noStrike" baseline="0">
                    <a:solidFill>
                      <a:srgbClr val="000000"/>
                    </a:solidFill>
                    <a:latin typeface="Calibri"/>
                    <a:ea typeface="Calibri"/>
                    <a:cs typeface="Calibri"/>
                  </a:defRPr>
                </a:pPr>
                <a:endParaRPr lang="en-US"/>
              </a:p>
            </c:txPr>
            <c:dLblPos val="t"/>
            <c:showLegendKey val="0"/>
            <c:showVal val="1"/>
            <c:showCatName val="0"/>
            <c:showSerName val="0"/>
            <c:showPercent val="0"/>
            <c:showBubbleSize val="0"/>
            <c:showLeaderLines val="0"/>
          </c:dLbls>
          <c:cat>
            <c:strRef>
              <c:f>Charts!$AI$3:$AO$3</c:f>
              <c:strCache>
                <c:ptCount val="7"/>
                <c:pt idx="0">
                  <c:v>4Q16</c:v>
                </c:pt>
                <c:pt idx="1">
                  <c:v>1Q17</c:v>
                </c:pt>
                <c:pt idx="2">
                  <c:v>2Q17</c:v>
                </c:pt>
                <c:pt idx="3">
                  <c:v>3Q17</c:v>
                </c:pt>
                <c:pt idx="4">
                  <c:v>4Q17</c:v>
                </c:pt>
                <c:pt idx="5">
                  <c:v>1Q18</c:v>
                </c:pt>
                <c:pt idx="6">
                  <c:v>2Q18</c:v>
                </c:pt>
              </c:strCache>
            </c:strRef>
          </c:cat>
          <c:val>
            <c:numRef>
              <c:f>Charts!$AI$420:$AO$420</c:f>
              <c:numCache>
                <c:formatCode>0.0%</c:formatCode>
                <c:ptCount val="7"/>
                <c:pt idx="4">
                  <c:v>0.125</c:v>
                </c:pt>
                <c:pt idx="5">
                  <c:v>0.140625</c:v>
                </c:pt>
                <c:pt idx="6">
                  <c:v>0.14095238095238094</c:v>
                </c:pt>
              </c:numCache>
            </c:numRef>
          </c:val>
          <c:smooth val="0"/>
        </c:ser>
        <c:dLbls>
          <c:showLegendKey val="0"/>
          <c:showVal val="0"/>
          <c:showCatName val="0"/>
          <c:showSerName val="0"/>
          <c:showPercent val="0"/>
          <c:showBubbleSize val="0"/>
        </c:dLbls>
        <c:marker val="1"/>
        <c:smooth val="0"/>
        <c:axId val="655283328"/>
        <c:axId val="655284864"/>
      </c:lineChart>
      <c:catAx>
        <c:axId val="655275904"/>
        <c:scaling>
          <c:orientation val="minMax"/>
        </c:scaling>
        <c:delete val="0"/>
        <c:axPos val="b"/>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655277440"/>
        <c:crosses val="autoZero"/>
        <c:auto val="1"/>
        <c:lblAlgn val="ctr"/>
        <c:lblOffset val="100"/>
        <c:noMultiLvlLbl val="0"/>
      </c:catAx>
      <c:valAx>
        <c:axId val="655277440"/>
        <c:scaling>
          <c:orientation val="minMax"/>
        </c:scaling>
        <c:delete val="0"/>
        <c:axPos val="l"/>
        <c:majorGridlines>
          <c:spPr>
            <a:ln>
              <a:solidFill>
                <a:schemeClr val="bg1">
                  <a:lumMod val="90000"/>
                </a:schemeClr>
              </a:solidFill>
            </a:ln>
          </c:spPr>
        </c:majorGridlines>
        <c:numFmt formatCode="\$#,##0_);\(\$#,##0\)" sourceLinked="0"/>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655275904"/>
        <c:crosses val="autoZero"/>
        <c:crossBetween val="between"/>
      </c:valAx>
      <c:catAx>
        <c:axId val="655283328"/>
        <c:scaling>
          <c:orientation val="minMax"/>
        </c:scaling>
        <c:delete val="1"/>
        <c:axPos val="b"/>
        <c:majorTickMark val="out"/>
        <c:minorTickMark val="none"/>
        <c:tickLblPos val="nextTo"/>
        <c:crossAx val="655284864"/>
        <c:crosses val="autoZero"/>
        <c:auto val="1"/>
        <c:lblAlgn val="ctr"/>
        <c:lblOffset val="100"/>
        <c:noMultiLvlLbl val="0"/>
      </c:catAx>
      <c:valAx>
        <c:axId val="655284864"/>
        <c:scaling>
          <c:orientation val="minMax"/>
        </c:scaling>
        <c:delete val="0"/>
        <c:axPos val="r"/>
        <c:numFmt formatCode="0.0%" sourceLinked="0"/>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655283328"/>
        <c:crosses val="max"/>
        <c:crossBetween val="between"/>
      </c:valAx>
      <c:spPr>
        <a:noFill/>
        <a:ln w="25400">
          <a:noFill/>
        </a:ln>
      </c:spPr>
    </c:plotArea>
    <c:legend>
      <c:legendPos val="t"/>
      <c:layout>
        <c:manualLayout>
          <c:xMode val="edge"/>
          <c:yMode val="edge"/>
          <c:x val="0.52597157701528763"/>
          <c:y val="1.8518425196850395E-2"/>
          <c:w val="0.47402842298471237"/>
          <c:h val="0.1085459317585302"/>
        </c:manualLayout>
      </c:layout>
      <c:overlay val="0"/>
      <c:txPr>
        <a:bodyPr/>
        <a:lstStyle/>
        <a:p>
          <a:pPr>
            <a:defRPr sz="1000" b="0" i="0" u="none" strike="noStrike" baseline="0">
              <a:solidFill>
                <a:srgbClr val="000000"/>
              </a:solidFill>
              <a:latin typeface="Calibri"/>
              <a:ea typeface="Calibri"/>
              <a:cs typeface="Calibri"/>
            </a:defRPr>
          </a:pPr>
          <a:endParaRPr lang="en-US"/>
        </a:p>
      </c:txPr>
    </c:legend>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orientation="portrait"/>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Calibri"/>
                <a:ea typeface="Calibri"/>
                <a:cs typeface="Calibri"/>
              </a:defRPr>
            </a:pPr>
            <a:r>
              <a:rPr lang="en-US"/>
              <a:t>CAPITAL EXPENDITURE</a:t>
            </a:r>
          </a:p>
        </c:rich>
      </c:tx>
      <c:layout>
        <c:manualLayout>
          <c:xMode val="edge"/>
          <c:yMode val="edge"/>
          <c:x val="2.3604110989543161E-4"/>
          <c:y val="1.3888923884514437E-2"/>
        </c:manualLayout>
      </c:layout>
      <c:overlay val="1"/>
    </c:title>
    <c:autoTitleDeleted val="0"/>
    <c:plotArea>
      <c:layout/>
      <c:barChart>
        <c:barDir val="col"/>
        <c:grouping val="clustered"/>
        <c:varyColors val="0"/>
        <c:ser>
          <c:idx val="0"/>
          <c:order val="0"/>
          <c:tx>
            <c:strRef>
              <c:f>Charts!$B$260</c:f>
              <c:strCache>
                <c:ptCount val="1"/>
                <c:pt idx="0">
                  <c:v>Capex</c:v>
                </c:pt>
              </c:strCache>
            </c:strRef>
          </c:tx>
          <c:spPr>
            <a:solidFill>
              <a:srgbClr val="EACC80"/>
            </a:solidFill>
            <a:ln>
              <a:noFill/>
            </a:ln>
          </c:spPr>
          <c:invertIfNegative val="0"/>
          <c:dLbls>
            <c:numFmt formatCode="\$#,##0_);\(\$#,##0\)" sourceLinked="0"/>
            <c:txPr>
              <a:bodyPr rot="-5400000" vert="horz"/>
              <a:lstStyle/>
              <a:p>
                <a:pPr algn="ctr">
                  <a:defRPr sz="1000" b="0" i="0" u="none" strike="noStrike" baseline="0">
                    <a:solidFill>
                      <a:srgbClr val="000000"/>
                    </a:solidFill>
                    <a:latin typeface="Calibri"/>
                    <a:ea typeface="Calibri"/>
                    <a:cs typeface="Calibri"/>
                  </a:defRPr>
                </a:pPr>
                <a:endParaRPr lang="en-US"/>
              </a:p>
            </c:txPr>
            <c:dLblPos val="inBase"/>
            <c:showLegendKey val="0"/>
            <c:showVal val="1"/>
            <c:showCatName val="0"/>
            <c:showSerName val="0"/>
            <c:showPercent val="0"/>
            <c:showBubbleSize val="0"/>
            <c:showLeaderLines val="0"/>
          </c:dLbls>
          <c:cat>
            <c:strRef>
              <c:f>Charts!$AH$3:$AO$3</c:f>
              <c:strCache>
                <c:ptCount val="8"/>
                <c:pt idx="0">
                  <c:v>3Q16</c:v>
                </c:pt>
                <c:pt idx="1">
                  <c:v>4Q16</c:v>
                </c:pt>
                <c:pt idx="2">
                  <c:v>1Q17</c:v>
                </c:pt>
                <c:pt idx="3">
                  <c:v>2Q17</c:v>
                </c:pt>
                <c:pt idx="4">
                  <c:v>3Q17</c:v>
                </c:pt>
                <c:pt idx="5">
                  <c:v>4Q17</c:v>
                </c:pt>
                <c:pt idx="6">
                  <c:v>1Q18</c:v>
                </c:pt>
                <c:pt idx="7">
                  <c:v>2Q18</c:v>
                </c:pt>
              </c:strCache>
            </c:strRef>
          </c:cat>
          <c:val>
            <c:numRef>
              <c:f>Charts!$AH$260:$AO$260</c:f>
              <c:numCache>
                <c:formatCode>#,##0.0_);\(#,##0.0\)</c:formatCode>
                <c:ptCount val="8"/>
                <c:pt idx="0">
                  <c:v>185.10000000000002</c:v>
                </c:pt>
                <c:pt idx="1">
                  <c:v>187.40000000000003</c:v>
                </c:pt>
                <c:pt idx="2">
                  <c:v>208.3</c:v>
                </c:pt>
                <c:pt idx="3">
                  <c:v>213.59999999999997</c:v>
                </c:pt>
                <c:pt idx="4">
                  <c:v>208.30000000000007</c:v>
                </c:pt>
                <c:pt idx="5">
                  <c:v>205.3</c:v>
                </c:pt>
                <c:pt idx="6">
                  <c:v>193.4</c:v>
                </c:pt>
                <c:pt idx="7">
                  <c:v>193.4</c:v>
                </c:pt>
              </c:numCache>
            </c:numRef>
          </c:val>
        </c:ser>
        <c:dLbls>
          <c:showLegendKey val="0"/>
          <c:showVal val="0"/>
          <c:showCatName val="0"/>
          <c:showSerName val="0"/>
          <c:showPercent val="0"/>
          <c:showBubbleSize val="0"/>
        </c:dLbls>
        <c:gapWidth val="150"/>
        <c:axId val="655414784"/>
        <c:axId val="655416320"/>
      </c:barChart>
      <c:lineChart>
        <c:grouping val="standard"/>
        <c:varyColors val="0"/>
        <c:ser>
          <c:idx val="1"/>
          <c:order val="1"/>
          <c:tx>
            <c:strRef>
              <c:f>Charts!$B$261</c:f>
              <c:strCache>
                <c:ptCount val="1"/>
                <c:pt idx="0">
                  <c:v>% Revenue</c:v>
                </c:pt>
              </c:strCache>
            </c:strRef>
          </c:tx>
          <c:spPr>
            <a:ln>
              <a:solidFill>
                <a:srgbClr val="1275A6"/>
              </a:solidFill>
            </a:ln>
          </c:spPr>
          <c:marker>
            <c:symbol val="square"/>
            <c:size val="5"/>
            <c:spPr>
              <a:solidFill>
                <a:srgbClr val="1275A6"/>
              </a:solidFill>
              <a:ln>
                <a:solidFill>
                  <a:srgbClr val="1275A6"/>
                </a:solidFill>
              </a:ln>
            </c:spPr>
          </c:marker>
          <c:dLbls>
            <c:txPr>
              <a:bodyPr/>
              <a:lstStyle/>
              <a:p>
                <a:pPr>
                  <a:defRPr sz="1000" b="0" i="0" u="none" strike="noStrike" baseline="0">
                    <a:solidFill>
                      <a:srgbClr val="000000"/>
                    </a:solidFill>
                    <a:latin typeface="Calibri"/>
                    <a:ea typeface="Calibri"/>
                    <a:cs typeface="Calibri"/>
                  </a:defRPr>
                </a:pPr>
                <a:endParaRPr lang="en-US"/>
              </a:p>
            </c:txPr>
            <c:dLblPos val="t"/>
            <c:showLegendKey val="0"/>
            <c:showVal val="1"/>
            <c:showCatName val="0"/>
            <c:showSerName val="0"/>
            <c:showPercent val="0"/>
            <c:showBubbleSize val="0"/>
            <c:showLeaderLines val="0"/>
          </c:dLbls>
          <c:cat>
            <c:strRef>
              <c:f>Charts!$AH$3:$AO$3</c:f>
              <c:strCache>
                <c:ptCount val="8"/>
                <c:pt idx="0">
                  <c:v>3Q16</c:v>
                </c:pt>
                <c:pt idx="1">
                  <c:v>4Q16</c:v>
                </c:pt>
                <c:pt idx="2">
                  <c:v>1Q17</c:v>
                </c:pt>
                <c:pt idx="3">
                  <c:v>2Q17</c:v>
                </c:pt>
                <c:pt idx="4">
                  <c:v>3Q17</c:v>
                </c:pt>
                <c:pt idx="5">
                  <c:v>4Q17</c:v>
                </c:pt>
                <c:pt idx="6">
                  <c:v>1Q18</c:v>
                </c:pt>
                <c:pt idx="7">
                  <c:v>2Q18</c:v>
                </c:pt>
              </c:strCache>
            </c:strRef>
          </c:cat>
          <c:val>
            <c:numRef>
              <c:f>Charts!$AH$261:$AO$261</c:f>
              <c:numCache>
                <c:formatCode>0.0%</c:formatCode>
                <c:ptCount val="8"/>
                <c:pt idx="0">
                  <c:v>0.38723849372384944</c:v>
                </c:pt>
                <c:pt idx="1">
                  <c:v>0.36940666272422634</c:v>
                </c:pt>
                <c:pt idx="2">
                  <c:v>0.41255694196870674</c:v>
                </c:pt>
                <c:pt idx="3">
                  <c:v>0.42155121373593835</c:v>
                </c:pt>
                <c:pt idx="4">
                  <c:v>0.3785896037804436</c:v>
                </c:pt>
                <c:pt idx="5">
                  <c:v>0.32178683385579937</c:v>
                </c:pt>
                <c:pt idx="6">
                  <c:v>0.30054390054390057</c:v>
                </c:pt>
                <c:pt idx="7">
                  <c:v>0.29594491201224177</c:v>
                </c:pt>
              </c:numCache>
            </c:numRef>
          </c:val>
          <c:smooth val="0"/>
        </c:ser>
        <c:dLbls>
          <c:showLegendKey val="0"/>
          <c:showVal val="0"/>
          <c:showCatName val="0"/>
          <c:showSerName val="0"/>
          <c:showPercent val="0"/>
          <c:showBubbleSize val="0"/>
        </c:dLbls>
        <c:marker val="1"/>
        <c:smooth val="0"/>
        <c:axId val="655430400"/>
        <c:axId val="655431936"/>
      </c:lineChart>
      <c:catAx>
        <c:axId val="655414784"/>
        <c:scaling>
          <c:orientation val="minMax"/>
        </c:scaling>
        <c:delete val="0"/>
        <c:axPos val="b"/>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655416320"/>
        <c:crosses val="autoZero"/>
        <c:auto val="1"/>
        <c:lblAlgn val="ctr"/>
        <c:lblOffset val="100"/>
        <c:noMultiLvlLbl val="0"/>
      </c:catAx>
      <c:valAx>
        <c:axId val="655416320"/>
        <c:scaling>
          <c:orientation val="minMax"/>
        </c:scaling>
        <c:delete val="0"/>
        <c:axPos val="l"/>
        <c:majorGridlines>
          <c:spPr>
            <a:ln>
              <a:solidFill>
                <a:schemeClr val="bg1">
                  <a:lumMod val="90000"/>
                </a:schemeClr>
              </a:solidFill>
            </a:ln>
          </c:spPr>
        </c:majorGridlines>
        <c:numFmt formatCode="\$#,##0_);\(\$#,##0\)" sourceLinked="0"/>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655414784"/>
        <c:crosses val="autoZero"/>
        <c:crossBetween val="between"/>
        <c:majorUnit val="10"/>
      </c:valAx>
      <c:catAx>
        <c:axId val="655430400"/>
        <c:scaling>
          <c:orientation val="minMax"/>
        </c:scaling>
        <c:delete val="1"/>
        <c:axPos val="b"/>
        <c:majorTickMark val="out"/>
        <c:minorTickMark val="none"/>
        <c:tickLblPos val="nextTo"/>
        <c:crossAx val="655431936"/>
        <c:crosses val="autoZero"/>
        <c:auto val="1"/>
        <c:lblAlgn val="ctr"/>
        <c:lblOffset val="100"/>
        <c:noMultiLvlLbl val="0"/>
      </c:catAx>
      <c:valAx>
        <c:axId val="655431936"/>
        <c:scaling>
          <c:orientation val="minMax"/>
        </c:scaling>
        <c:delete val="0"/>
        <c:axPos val="r"/>
        <c:numFmt formatCode="0.0%" sourceLinked="0"/>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655430400"/>
        <c:crosses val="max"/>
        <c:crossBetween val="between"/>
        <c:majorUnit val="0.1"/>
      </c:valAx>
      <c:spPr>
        <a:noFill/>
        <a:ln w="25400">
          <a:noFill/>
        </a:ln>
      </c:spPr>
    </c:plotArea>
    <c:legend>
      <c:legendPos val="t"/>
      <c:layout>
        <c:manualLayout>
          <c:xMode val="edge"/>
          <c:yMode val="edge"/>
          <c:x val="0.52597157701528763"/>
          <c:y val="1.8518425196850395E-2"/>
          <c:w val="0.47402842298471237"/>
          <c:h val="0.1085459317585302"/>
        </c:manualLayout>
      </c:layout>
      <c:overlay val="0"/>
      <c:txPr>
        <a:bodyPr/>
        <a:lstStyle/>
        <a:p>
          <a:pPr>
            <a:defRPr sz="1000" b="0" i="0" u="none" strike="noStrike" baseline="0">
              <a:solidFill>
                <a:srgbClr val="000000"/>
              </a:solidFill>
              <a:latin typeface="Calibri"/>
              <a:ea typeface="Calibri"/>
              <a:cs typeface="Calibri"/>
            </a:defRPr>
          </a:pPr>
          <a:endParaRPr lang="en-US"/>
        </a:p>
      </c:txPr>
    </c:legend>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orientation="portrait"/>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Calibri"/>
                <a:ea typeface="Calibri"/>
                <a:cs typeface="Calibri"/>
              </a:defRPr>
            </a:pPr>
            <a:r>
              <a:rPr lang="en-US"/>
              <a:t>ZAYO NETWORK CONNECTIVITY</a:t>
            </a:r>
          </a:p>
        </c:rich>
      </c:tx>
      <c:layout>
        <c:manualLayout>
          <c:xMode val="edge"/>
          <c:yMode val="edge"/>
          <c:x val="2.3604110989543161E-4"/>
          <c:y val="1.3888923884514437E-2"/>
        </c:manualLayout>
      </c:layout>
      <c:overlay val="1"/>
    </c:title>
    <c:autoTitleDeleted val="0"/>
    <c:plotArea>
      <c:layout/>
      <c:barChart>
        <c:barDir val="col"/>
        <c:grouping val="clustered"/>
        <c:varyColors val="0"/>
        <c:ser>
          <c:idx val="0"/>
          <c:order val="0"/>
          <c:tx>
            <c:strRef>
              <c:f>Charts!$B$419</c:f>
              <c:strCache>
                <c:ptCount val="1"/>
                <c:pt idx="0">
                  <c:v>Revenue</c:v>
                </c:pt>
              </c:strCache>
            </c:strRef>
          </c:tx>
          <c:spPr>
            <a:solidFill>
              <a:srgbClr val="EACC80"/>
            </a:solidFill>
            <a:ln>
              <a:noFill/>
            </a:ln>
          </c:spPr>
          <c:invertIfNegative val="0"/>
          <c:dLbls>
            <c:numFmt formatCode="\$#,##0_);\(\$#,##0\)" sourceLinked="0"/>
            <c:txPr>
              <a:bodyPr rot="-5400000" vert="horz"/>
              <a:lstStyle/>
              <a:p>
                <a:pPr algn="ctr">
                  <a:defRPr sz="1000" b="0" i="0" u="none" strike="noStrike" baseline="0">
                    <a:solidFill>
                      <a:srgbClr val="000000"/>
                    </a:solidFill>
                    <a:latin typeface="Calibri"/>
                    <a:ea typeface="Calibri"/>
                    <a:cs typeface="Calibri"/>
                  </a:defRPr>
                </a:pPr>
                <a:endParaRPr lang="en-US"/>
              </a:p>
            </c:txPr>
            <c:dLblPos val="inBase"/>
            <c:showLegendKey val="0"/>
            <c:showVal val="1"/>
            <c:showCatName val="0"/>
            <c:showSerName val="0"/>
            <c:showPercent val="0"/>
            <c:showBubbleSize val="0"/>
            <c:showLeaderLines val="0"/>
          </c:dLbls>
          <c:cat>
            <c:strRef>
              <c:f>Charts!$F$3:$L$3</c:f>
              <c:strCache>
                <c:ptCount val="7"/>
                <c:pt idx="0">
                  <c:v>2012</c:v>
                </c:pt>
                <c:pt idx="1">
                  <c:v>2013</c:v>
                </c:pt>
                <c:pt idx="2">
                  <c:v>2014</c:v>
                </c:pt>
                <c:pt idx="3">
                  <c:v>2015</c:v>
                </c:pt>
                <c:pt idx="4">
                  <c:v>2016</c:v>
                </c:pt>
                <c:pt idx="5">
                  <c:v>2017</c:v>
                </c:pt>
                <c:pt idx="6">
                  <c:v>2018E</c:v>
                </c:pt>
              </c:strCache>
            </c:strRef>
          </c:cat>
          <c:val>
            <c:numRef>
              <c:f>Charts!$F$419:$L$419</c:f>
              <c:numCache>
                <c:formatCode>#,##0.0_);\(#,##0.0\)</c:formatCode>
                <c:ptCount val="7"/>
                <c:pt idx="0">
                  <c:v>0</c:v>
                </c:pt>
                <c:pt idx="1">
                  <c:v>0</c:v>
                </c:pt>
                <c:pt idx="2">
                  <c:v>0</c:v>
                </c:pt>
                <c:pt idx="3">
                  <c:v>0</c:v>
                </c:pt>
                <c:pt idx="4">
                  <c:v>0</c:v>
                </c:pt>
                <c:pt idx="5">
                  <c:v>214</c:v>
                </c:pt>
                <c:pt idx="6">
                  <c:v>241.45193531810386</c:v>
                </c:pt>
              </c:numCache>
            </c:numRef>
          </c:val>
        </c:ser>
        <c:dLbls>
          <c:showLegendKey val="0"/>
          <c:showVal val="0"/>
          <c:showCatName val="0"/>
          <c:showSerName val="0"/>
          <c:showPercent val="0"/>
          <c:showBubbleSize val="0"/>
        </c:dLbls>
        <c:gapWidth val="150"/>
        <c:axId val="655459456"/>
        <c:axId val="655460992"/>
      </c:barChart>
      <c:lineChart>
        <c:grouping val="standard"/>
        <c:varyColors val="0"/>
        <c:ser>
          <c:idx val="1"/>
          <c:order val="1"/>
          <c:tx>
            <c:strRef>
              <c:f>Charts!$B$420</c:f>
              <c:strCache>
                <c:ptCount val="1"/>
                <c:pt idx="0">
                  <c:v>% Y/Y </c:v>
                </c:pt>
              </c:strCache>
            </c:strRef>
          </c:tx>
          <c:spPr>
            <a:ln>
              <a:solidFill>
                <a:srgbClr val="1275A6"/>
              </a:solidFill>
            </a:ln>
          </c:spPr>
          <c:marker>
            <c:symbol val="square"/>
            <c:size val="5"/>
            <c:spPr>
              <a:solidFill>
                <a:srgbClr val="1275A6"/>
              </a:solidFill>
              <a:ln>
                <a:solidFill>
                  <a:srgbClr val="1275A6"/>
                </a:solidFill>
              </a:ln>
            </c:spPr>
          </c:marker>
          <c:dLbls>
            <c:txPr>
              <a:bodyPr/>
              <a:lstStyle/>
              <a:p>
                <a:pPr>
                  <a:defRPr sz="1000" b="0" i="0" u="none" strike="noStrike" baseline="0">
                    <a:solidFill>
                      <a:srgbClr val="000000"/>
                    </a:solidFill>
                    <a:latin typeface="Calibri"/>
                    <a:ea typeface="Calibri"/>
                    <a:cs typeface="Calibri"/>
                  </a:defRPr>
                </a:pPr>
                <a:endParaRPr lang="en-US"/>
              </a:p>
            </c:txPr>
            <c:dLblPos val="t"/>
            <c:showLegendKey val="0"/>
            <c:showVal val="1"/>
            <c:showCatName val="0"/>
            <c:showSerName val="0"/>
            <c:showPercent val="0"/>
            <c:showBubbleSize val="0"/>
            <c:showLeaderLines val="0"/>
          </c:dLbls>
          <c:val>
            <c:numRef>
              <c:f>Charts!$F$420:$L$420</c:f>
              <c:numCache>
                <c:formatCode>0.0%</c:formatCode>
                <c:ptCount val="7"/>
                <c:pt idx="2">
                  <c:v>0</c:v>
                </c:pt>
                <c:pt idx="3">
                  <c:v>0</c:v>
                </c:pt>
                <c:pt idx="4">
                  <c:v>0</c:v>
                </c:pt>
                <c:pt idx="5">
                  <c:v>0</c:v>
                </c:pt>
                <c:pt idx="6">
                  <c:v>0.1282800715799246</c:v>
                </c:pt>
              </c:numCache>
            </c:numRef>
          </c:val>
          <c:smooth val="0"/>
        </c:ser>
        <c:dLbls>
          <c:showLegendKey val="0"/>
          <c:showVal val="0"/>
          <c:showCatName val="0"/>
          <c:showSerName val="0"/>
          <c:showPercent val="0"/>
          <c:showBubbleSize val="0"/>
        </c:dLbls>
        <c:marker val="1"/>
        <c:smooth val="0"/>
        <c:axId val="655479168"/>
        <c:axId val="655480704"/>
      </c:lineChart>
      <c:catAx>
        <c:axId val="655459456"/>
        <c:scaling>
          <c:orientation val="minMax"/>
        </c:scaling>
        <c:delete val="0"/>
        <c:axPos val="b"/>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655460992"/>
        <c:crosses val="autoZero"/>
        <c:auto val="1"/>
        <c:lblAlgn val="ctr"/>
        <c:lblOffset val="100"/>
        <c:noMultiLvlLbl val="0"/>
      </c:catAx>
      <c:valAx>
        <c:axId val="655460992"/>
        <c:scaling>
          <c:orientation val="minMax"/>
          <c:max val="1000"/>
        </c:scaling>
        <c:delete val="0"/>
        <c:axPos val="l"/>
        <c:majorGridlines>
          <c:spPr>
            <a:ln>
              <a:solidFill>
                <a:schemeClr val="bg1">
                  <a:lumMod val="90000"/>
                </a:schemeClr>
              </a:solidFill>
            </a:ln>
          </c:spPr>
        </c:majorGridlines>
        <c:numFmt formatCode="\$#,##0_);\(\$#,##0\)" sourceLinked="0"/>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655459456"/>
        <c:crosses val="autoZero"/>
        <c:crossBetween val="between"/>
      </c:valAx>
      <c:catAx>
        <c:axId val="655479168"/>
        <c:scaling>
          <c:orientation val="minMax"/>
        </c:scaling>
        <c:delete val="1"/>
        <c:axPos val="b"/>
        <c:majorTickMark val="out"/>
        <c:minorTickMark val="none"/>
        <c:tickLblPos val="nextTo"/>
        <c:crossAx val="655480704"/>
        <c:crosses val="autoZero"/>
        <c:auto val="1"/>
        <c:lblAlgn val="ctr"/>
        <c:lblOffset val="100"/>
        <c:noMultiLvlLbl val="0"/>
      </c:catAx>
      <c:valAx>
        <c:axId val="655480704"/>
        <c:scaling>
          <c:orientation val="minMax"/>
        </c:scaling>
        <c:delete val="0"/>
        <c:axPos val="r"/>
        <c:numFmt formatCode="0.0%" sourceLinked="0"/>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655479168"/>
        <c:crosses val="max"/>
        <c:crossBetween val="between"/>
      </c:valAx>
      <c:spPr>
        <a:noFill/>
        <a:ln w="25400">
          <a:noFill/>
        </a:ln>
      </c:spPr>
    </c:plotArea>
    <c:legend>
      <c:legendPos val="t"/>
      <c:layout>
        <c:manualLayout>
          <c:xMode val="edge"/>
          <c:yMode val="edge"/>
          <c:x val="0.52597157701528763"/>
          <c:y val="1.8518425196850395E-2"/>
          <c:w val="0.47402842298471237"/>
          <c:h val="0.1085459317585302"/>
        </c:manualLayout>
      </c:layout>
      <c:overlay val="0"/>
      <c:txPr>
        <a:bodyPr/>
        <a:lstStyle/>
        <a:p>
          <a:pPr>
            <a:defRPr sz="710" b="0" i="0" u="none" strike="noStrike" baseline="0">
              <a:solidFill>
                <a:srgbClr val="000000"/>
              </a:solidFill>
              <a:latin typeface="Calibri"/>
              <a:ea typeface="Calibri"/>
              <a:cs typeface="Calibri"/>
            </a:defRPr>
          </a:pPr>
          <a:endParaRPr lang="en-US"/>
        </a:p>
      </c:txPr>
    </c:legend>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Calibri"/>
                <a:ea typeface="Calibri"/>
                <a:cs typeface="Calibri"/>
              </a:defRPr>
            </a:pPr>
            <a:r>
              <a:rPr lang="en-US"/>
              <a:t>ZAYO NETWORK CONNECTIVITY</a:t>
            </a:r>
          </a:p>
        </c:rich>
      </c:tx>
      <c:layout>
        <c:manualLayout>
          <c:xMode val="edge"/>
          <c:yMode val="edge"/>
          <c:x val="2.3604110989543161E-4"/>
          <c:y val="1.3889047001654914E-2"/>
        </c:manualLayout>
      </c:layout>
      <c:overlay val="1"/>
    </c:title>
    <c:autoTitleDeleted val="0"/>
    <c:plotArea>
      <c:layout/>
      <c:barChart>
        <c:barDir val="col"/>
        <c:grouping val="clustered"/>
        <c:varyColors val="0"/>
        <c:ser>
          <c:idx val="0"/>
          <c:order val="0"/>
          <c:tx>
            <c:strRef>
              <c:f>Charts!$B$427</c:f>
              <c:strCache>
                <c:ptCount val="1"/>
                <c:pt idx="0">
                  <c:v>Adjusted EBITDA</c:v>
                </c:pt>
              </c:strCache>
            </c:strRef>
          </c:tx>
          <c:spPr>
            <a:solidFill>
              <a:srgbClr val="EACC80"/>
            </a:solidFill>
            <a:ln>
              <a:noFill/>
            </a:ln>
          </c:spPr>
          <c:invertIfNegative val="0"/>
          <c:dLbls>
            <c:numFmt formatCode="\$#,##0_);\(\$#,##0\)" sourceLinked="0"/>
            <c:txPr>
              <a:bodyPr rot="-5400000" vert="horz"/>
              <a:lstStyle/>
              <a:p>
                <a:pPr algn="ctr">
                  <a:defRPr sz="1000" b="0" i="0" u="none" strike="noStrike" baseline="0">
                    <a:solidFill>
                      <a:srgbClr val="000000"/>
                    </a:solidFill>
                    <a:latin typeface="Calibri"/>
                    <a:ea typeface="Calibri"/>
                    <a:cs typeface="Calibri"/>
                  </a:defRPr>
                </a:pPr>
                <a:endParaRPr lang="en-US"/>
              </a:p>
            </c:txPr>
            <c:dLblPos val="inBase"/>
            <c:showLegendKey val="0"/>
            <c:showVal val="1"/>
            <c:showCatName val="0"/>
            <c:showSerName val="0"/>
            <c:showPercent val="0"/>
            <c:showBubbleSize val="0"/>
            <c:showLeaderLines val="0"/>
          </c:dLbls>
          <c:cat>
            <c:strRef>
              <c:f>Charts!$F$3:$L$3</c:f>
              <c:strCache>
                <c:ptCount val="7"/>
                <c:pt idx="0">
                  <c:v>2012</c:v>
                </c:pt>
                <c:pt idx="1">
                  <c:v>2013</c:v>
                </c:pt>
                <c:pt idx="2">
                  <c:v>2014</c:v>
                </c:pt>
                <c:pt idx="3">
                  <c:v>2015</c:v>
                </c:pt>
                <c:pt idx="4">
                  <c:v>2016</c:v>
                </c:pt>
                <c:pt idx="5">
                  <c:v>2017</c:v>
                </c:pt>
                <c:pt idx="6">
                  <c:v>2018E</c:v>
                </c:pt>
              </c:strCache>
            </c:strRef>
          </c:cat>
          <c:val>
            <c:numRef>
              <c:f>Charts!$F$427:$L$427</c:f>
              <c:numCache>
                <c:formatCode>#,##0.0_);\(#,##0.0\)</c:formatCode>
                <c:ptCount val="7"/>
                <c:pt idx="0">
                  <c:v>0</c:v>
                </c:pt>
                <c:pt idx="1">
                  <c:v>0</c:v>
                </c:pt>
                <c:pt idx="2">
                  <c:v>0</c:v>
                </c:pt>
                <c:pt idx="3">
                  <c:v>0</c:v>
                </c:pt>
                <c:pt idx="4">
                  <c:v>0</c:v>
                </c:pt>
                <c:pt idx="5">
                  <c:v>0</c:v>
                </c:pt>
                <c:pt idx="6">
                  <c:v>0</c:v>
                </c:pt>
              </c:numCache>
            </c:numRef>
          </c:val>
        </c:ser>
        <c:dLbls>
          <c:showLegendKey val="0"/>
          <c:showVal val="0"/>
          <c:showCatName val="0"/>
          <c:showSerName val="0"/>
          <c:showPercent val="0"/>
          <c:showBubbleSize val="0"/>
        </c:dLbls>
        <c:gapWidth val="150"/>
        <c:axId val="655589760"/>
        <c:axId val="655591296"/>
      </c:barChart>
      <c:lineChart>
        <c:grouping val="standard"/>
        <c:varyColors val="0"/>
        <c:ser>
          <c:idx val="1"/>
          <c:order val="1"/>
          <c:tx>
            <c:strRef>
              <c:f>Charts!$B$428</c:f>
              <c:strCache>
                <c:ptCount val="1"/>
                <c:pt idx="0">
                  <c:v>% margin</c:v>
                </c:pt>
              </c:strCache>
            </c:strRef>
          </c:tx>
          <c:spPr>
            <a:ln>
              <a:solidFill>
                <a:srgbClr val="1275A6"/>
              </a:solidFill>
            </a:ln>
          </c:spPr>
          <c:marker>
            <c:symbol val="square"/>
            <c:size val="5"/>
            <c:spPr>
              <a:solidFill>
                <a:srgbClr val="1275A6"/>
              </a:solidFill>
              <a:ln>
                <a:solidFill>
                  <a:srgbClr val="1275A6"/>
                </a:solidFill>
              </a:ln>
            </c:spPr>
          </c:marker>
          <c:dLbls>
            <c:txPr>
              <a:bodyPr/>
              <a:lstStyle/>
              <a:p>
                <a:pPr>
                  <a:defRPr sz="1000" b="0" i="0" u="none" strike="noStrike" baseline="0">
                    <a:solidFill>
                      <a:srgbClr val="000000"/>
                    </a:solidFill>
                    <a:latin typeface="Calibri"/>
                    <a:ea typeface="Calibri"/>
                    <a:cs typeface="Calibri"/>
                  </a:defRPr>
                </a:pPr>
                <a:endParaRPr lang="en-US"/>
              </a:p>
            </c:txPr>
            <c:dLblPos val="t"/>
            <c:showLegendKey val="0"/>
            <c:showVal val="1"/>
            <c:showCatName val="0"/>
            <c:showSerName val="0"/>
            <c:showPercent val="0"/>
            <c:showBubbleSize val="0"/>
            <c:showLeaderLines val="0"/>
          </c:dLbls>
          <c:cat>
            <c:strRef>
              <c:f>Charts!$F$3:$L$3</c:f>
              <c:strCache>
                <c:ptCount val="7"/>
                <c:pt idx="0">
                  <c:v>2012</c:v>
                </c:pt>
                <c:pt idx="1">
                  <c:v>2013</c:v>
                </c:pt>
                <c:pt idx="2">
                  <c:v>2014</c:v>
                </c:pt>
                <c:pt idx="3">
                  <c:v>2015</c:v>
                </c:pt>
                <c:pt idx="4">
                  <c:v>2016</c:v>
                </c:pt>
                <c:pt idx="5">
                  <c:v>2017</c:v>
                </c:pt>
                <c:pt idx="6">
                  <c:v>2018E</c:v>
                </c:pt>
              </c:strCache>
            </c:strRef>
          </c:cat>
          <c:val>
            <c:numRef>
              <c:f>Charts!$F$428:$L$428</c:f>
              <c:numCache>
                <c:formatCode>0.0%</c:formatCode>
                <c:ptCount val="7"/>
                <c:pt idx="0">
                  <c:v>0</c:v>
                </c:pt>
                <c:pt idx="1">
                  <c:v>0</c:v>
                </c:pt>
                <c:pt idx="2">
                  <c:v>0</c:v>
                </c:pt>
                <c:pt idx="3">
                  <c:v>0</c:v>
                </c:pt>
                <c:pt idx="4">
                  <c:v>0</c:v>
                </c:pt>
                <c:pt idx="5">
                  <c:v>0</c:v>
                </c:pt>
                <c:pt idx="6">
                  <c:v>0</c:v>
                </c:pt>
              </c:numCache>
            </c:numRef>
          </c:val>
          <c:smooth val="0"/>
        </c:ser>
        <c:dLbls>
          <c:showLegendKey val="0"/>
          <c:showVal val="0"/>
          <c:showCatName val="0"/>
          <c:showSerName val="0"/>
          <c:showPercent val="0"/>
          <c:showBubbleSize val="0"/>
        </c:dLbls>
        <c:marker val="1"/>
        <c:smooth val="0"/>
        <c:axId val="655592832"/>
        <c:axId val="655594624"/>
      </c:lineChart>
      <c:catAx>
        <c:axId val="655589760"/>
        <c:scaling>
          <c:orientation val="minMax"/>
        </c:scaling>
        <c:delete val="0"/>
        <c:axPos val="b"/>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655591296"/>
        <c:crosses val="autoZero"/>
        <c:auto val="1"/>
        <c:lblAlgn val="ctr"/>
        <c:lblOffset val="100"/>
        <c:noMultiLvlLbl val="0"/>
      </c:catAx>
      <c:valAx>
        <c:axId val="655591296"/>
        <c:scaling>
          <c:orientation val="minMax"/>
        </c:scaling>
        <c:delete val="0"/>
        <c:axPos val="l"/>
        <c:majorGridlines>
          <c:spPr>
            <a:ln>
              <a:solidFill>
                <a:schemeClr val="bg1">
                  <a:lumMod val="90000"/>
                </a:schemeClr>
              </a:solidFill>
            </a:ln>
          </c:spPr>
        </c:majorGridlines>
        <c:numFmt formatCode="\$#,##0_);\(\$#,##0\)" sourceLinked="0"/>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655589760"/>
        <c:crosses val="autoZero"/>
        <c:crossBetween val="between"/>
        <c:majorUnit val="200"/>
      </c:valAx>
      <c:catAx>
        <c:axId val="655592832"/>
        <c:scaling>
          <c:orientation val="minMax"/>
        </c:scaling>
        <c:delete val="1"/>
        <c:axPos val="b"/>
        <c:majorTickMark val="out"/>
        <c:minorTickMark val="none"/>
        <c:tickLblPos val="nextTo"/>
        <c:crossAx val="655594624"/>
        <c:crosses val="autoZero"/>
        <c:auto val="1"/>
        <c:lblAlgn val="ctr"/>
        <c:lblOffset val="100"/>
        <c:noMultiLvlLbl val="0"/>
      </c:catAx>
      <c:valAx>
        <c:axId val="655594624"/>
        <c:scaling>
          <c:orientation val="minMax"/>
          <c:max val="0.60000000000000009"/>
          <c:min val="0.4"/>
        </c:scaling>
        <c:delete val="0"/>
        <c:axPos val="r"/>
        <c:numFmt formatCode="0.0%" sourceLinked="0"/>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655592832"/>
        <c:crosses val="max"/>
        <c:crossBetween val="between"/>
        <c:majorUnit val="5.000000000000001E-2"/>
      </c:valAx>
      <c:spPr>
        <a:noFill/>
        <a:ln w="25400">
          <a:noFill/>
        </a:ln>
      </c:spPr>
    </c:plotArea>
    <c:legend>
      <c:legendPos val="t"/>
      <c:layout>
        <c:manualLayout>
          <c:xMode val="edge"/>
          <c:yMode val="edge"/>
          <c:x val="0.52597157701528763"/>
          <c:y val="1.8518588790858975E-2"/>
          <c:w val="0.47402842298471237"/>
          <c:h val="0.10854588959512591"/>
        </c:manualLayout>
      </c:layout>
      <c:overlay val="0"/>
      <c:txPr>
        <a:bodyPr/>
        <a:lstStyle/>
        <a:p>
          <a:pPr>
            <a:defRPr sz="710" b="0" i="0" u="none" strike="noStrike" baseline="0">
              <a:solidFill>
                <a:srgbClr val="000000"/>
              </a:solidFill>
              <a:latin typeface="Calibri"/>
              <a:ea typeface="Calibri"/>
              <a:cs typeface="Calibri"/>
            </a:defRPr>
          </a:pPr>
          <a:endParaRPr lang="en-US"/>
        </a:p>
      </c:txPr>
    </c:legend>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Calibri"/>
                <a:ea typeface="Calibri"/>
                <a:cs typeface="Calibri"/>
              </a:defRPr>
            </a:pPr>
            <a:r>
              <a:rPr lang="en-US"/>
              <a:t>ZAYO NETWORK CONNECTIVITY</a:t>
            </a:r>
          </a:p>
        </c:rich>
      </c:tx>
      <c:layout>
        <c:manualLayout>
          <c:xMode val="edge"/>
          <c:yMode val="edge"/>
          <c:x val="2.3604110989543161E-4"/>
          <c:y val="1.3888923884514437E-2"/>
        </c:manualLayout>
      </c:layout>
      <c:overlay val="1"/>
    </c:title>
    <c:autoTitleDeleted val="0"/>
    <c:plotArea>
      <c:layout/>
      <c:barChart>
        <c:barDir val="col"/>
        <c:grouping val="clustered"/>
        <c:varyColors val="0"/>
        <c:ser>
          <c:idx val="0"/>
          <c:order val="0"/>
          <c:tx>
            <c:strRef>
              <c:f>Charts!$B$419</c:f>
              <c:strCache>
                <c:ptCount val="1"/>
                <c:pt idx="0">
                  <c:v>Revenue</c:v>
                </c:pt>
              </c:strCache>
            </c:strRef>
          </c:tx>
          <c:spPr>
            <a:solidFill>
              <a:srgbClr val="EACC80"/>
            </a:solidFill>
            <a:ln>
              <a:noFill/>
            </a:ln>
          </c:spPr>
          <c:invertIfNegative val="0"/>
          <c:dLbls>
            <c:numFmt formatCode="\$#,##0_);\(\$#,##0\)" sourceLinked="0"/>
            <c:txPr>
              <a:bodyPr rot="-5400000" vert="horz"/>
              <a:lstStyle/>
              <a:p>
                <a:pPr algn="ctr">
                  <a:defRPr sz="1000" b="0" i="0" u="none" strike="noStrike" baseline="0">
                    <a:solidFill>
                      <a:srgbClr val="000000"/>
                    </a:solidFill>
                    <a:latin typeface="Calibri"/>
                    <a:ea typeface="Calibri"/>
                    <a:cs typeface="Calibri"/>
                  </a:defRPr>
                </a:pPr>
                <a:endParaRPr lang="en-US"/>
              </a:p>
            </c:txPr>
            <c:dLblPos val="inBase"/>
            <c:showLegendKey val="0"/>
            <c:showVal val="1"/>
            <c:showCatName val="0"/>
            <c:showSerName val="0"/>
            <c:showPercent val="0"/>
            <c:showBubbleSize val="0"/>
            <c:showLeaderLines val="0"/>
          </c:dLbls>
          <c:cat>
            <c:strRef>
              <c:f>Charts!$AI$3:$AO$3</c:f>
              <c:strCache>
                <c:ptCount val="7"/>
                <c:pt idx="0">
                  <c:v>4Q16</c:v>
                </c:pt>
                <c:pt idx="1">
                  <c:v>1Q17</c:v>
                </c:pt>
                <c:pt idx="2">
                  <c:v>2Q17</c:v>
                </c:pt>
                <c:pt idx="3">
                  <c:v>3Q17</c:v>
                </c:pt>
                <c:pt idx="4">
                  <c:v>4Q17</c:v>
                </c:pt>
                <c:pt idx="5">
                  <c:v>1Q18</c:v>
                </c:pt>
                <c:pt idx="6">
                  <c:v>2Q18</c:v>
                </c:pt>
              </c:strCache>
            </c:strRef>
          </c:cat>
          <c:val>
            <c:numRef>
              <c:f>Charts!$AI$480:$AO$480</c:f>
              <c:numCache>
                <c:formatCode>#,##0.0_);\(#,##0.0\)</c:formatCode>
                <c:ptCount val="7"/>
                <c:pt idx="0">
                  <c:v>107</c:v>
                </c:pt>
                <c:pt idx="1">
                  <c:v>106.1</c:v>
                </c:pt>
                <c:pt idx="2">
                  <c:v>106.4</c:v>
                </c:pt>
                <c:pt idx="3">
                  <c:v>110.5</c:v>
                </c:pt>
                <c:pt idx="4">
                  <c:v>117.4</c:v>
                </c:pt>
                <c:pt idx="5">
                  <c:v>119.1</c:v>
                </c:pt>
                <c:pt idx="6">
                  <c:v>117.3</c:v>
                </c:pt>
              </c:numCache>
            </c:numRef>
          </c:val>
        </c:ser>
        <c:dLbls>
          <c:showLegendKey val="0"/>
          <c:showVal val="0"/>
          <c:showCatName val="0"/>
          <c:showSerName val="0"/>
          <c:showPercent val="0"/>
          <c:showBubbleSize val="0"/>
        </c:dLbls>
        <c:gapWidth val="150"/>
        <c:axId val="655626624"/>
        <c:axId val="655628160"/>
      </c:barChart>
      <c:lineChart>
        <c:grouping val="standard"/>
        <c:varyColors val="0"/>
        <c:ser>
          <c:idx val="1"/>
          <c:order val="1"/>
          <c:tx>
            <c:strRef>
              <c:f>Charts!$B$420</c:f>
              <c:strCache>
                <c:ptCount val="1"/>
                <c:pt idx="0">
                  <c:v>% Y/Y </c:v>
                </c:pt>
              </c:strCache>
            </c:strRef>
          </c:tx>
          <c:spPr>
            <a:ln>
              <a:solidFill>
                <a:srgbClr val="1275A6"/>
              </a:solidFill>
            </a:ln>
          </c:spPr>
          <c:marker>
            <c:symbol val="square"/>
            <c:size val="5"/>
            <c:spPr>
              <a:solidFill>
                <a:srgbClr val="1275A6"/>
              </a:solidFill>
              <a:ln>
                <a:solidFill>
                  <a:srgbClr val="1275A6"/>
                </a:solidFill>
              </a:ln>
            </c:spPr>
          </c:marker>
          <c:dLbls>
            <c:txPr>
              <a:bodyPr/>
              <a:lstStyle/>
              <a:p>
                <a:pPr>
                  <a:defRPr sz="1000" b="0" i="0" u="none" strike="noStrike" baseline="0">
                    <a:solidFill>
                      <a:srgbClr val="000000"/>
                    </a:solidFill>
                    <a:latin typeface="Calibri"/>
                    <a:ea typeface="Calibri"/>
                    <a:cs typeface="Calibri"/>
                  </a:defRPr>
                </a:pPr>
                <a:endParaRPr lang="en-US"/>
              </a:p>
            </c:txPr>
            <c:dLblPos val="t"/>
            <c:showLegendKey val="0"/>
            <c:showVal val="1"/>
            <c:showCatName val="0"/>
            <c:showSerName val="0"/>
            <c:showPercent val="0"/>
            <c:showBubbleSize val="0"/>
            <c:showLeaderLines val="0"/>
          </c:dLbls>
          <c:val>
            <c:numRef>
              <c:f>Charts!$AI$481:$AO$481</c:f>
              <c:numCache>
                <c:formatCode>0.0%</c:formatCode>
                <c:ptCount val="7"/>
                <c:pt idx="4">
                  <c:v>9.7196261682243046E-2</c:v>
                </c:pt>
                <c:pt idx="5">
                  <c:v>0.12252591894439213</c:v>
                </c:pt>
                <c:pt idx="6">
                  <c:v>0.10244360902255623</c:v>
                </c:pt>
              </c:numCache>
            </c:numRef>
          </c:val>
          <c:smooth val="0"/>
        </c:ser>
        <c:dLbls>
          <c:showLegendKey val="0"/>
          <c:showVal val="0"/>
          <c:showCatName val="0"/>
          <c:showSerName val="0"/>
          <c:showPercent val="0"/>
          <c:showBubbleSize val="0"/>
        </c:dLbls>
        <c:marker val="1"/>
        <c:smooth val="0"/>
        <c:axId val="655629696"/>
        <c:axId val="655647872"/>
      </c:lineChart>
      <c:catAx>
        <c:axId val="655626624"/>
        <c:scaling>
          <c:orientation val="minMax"/>
        </c:scaling>
        <c:delete val="0"/>
        <c:axPos val="b"/>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655628160"/>
        <c:crosses val="autoZero"/>
        <c:auto val="1"/>
        <c:lblAlgn val="ctr"/>
        <c:lblOffset val="100"/>
        <c:noMultiLvlLbl val="0"/>
      </c:catAx>
      <c:valAx>
        <c:axId val="655628160"/>
        <c:scaling>
          <c:orientation val="minMax"/>
        </c:scaling>
        <c:delete val="0"/>
        <c:axPos val="l"/>
        <c:majorGridlines>
          <c:spPr>
            <a:ln>
              <a:solidFill>
                <a:schemeClr val="bg1">
                  <a:lumMod val="90000"/>
                </a:schemeClr>
              </a:solidFill>
            </a:ln>
          </c:spPr>
        </c:majorGridlines>
        <c:numFmt formatCode="\$#,##0_);\(\$#,##0\)" sourceLinked="0"/>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655626624"/>
        <c:crosses val="autoZero"/>
        <c:crossBetween val="between"/>
      </c:valAx>
      <c:catAx>
        <c:axId val="655629696"/>
        <c:scaling>
          <c:orientation val="minMax"/>
        </c:scaling>
        <c:delete val="1"/>
        <c:axPos val="b"/>
        <c:majorTickMark val="out"/>
        <c:minorTickMark val="none"/>
        <c:tickLblPos val="nextTo"/>
        <c:crossAx val="655647872"/>
        <c:crosses val="autoZero"/>
        <c:auto val="1"/>
        <c:lblAlgn val="ctr"/>
        <c:lblOffset val="100"/>
        <c:noMultiLvlLbl val="0"/>
      </c:catAx>
      <c:valAx>
        <c:axId val="655647872"/>
        <c:scaling>
          <c:orientation val="minMax"/>
        </c:scaling>
        <c:delete val="0"/>
        <c:axPos val="r"/>
        <c:numFmt formatCode="0.0%" sourceLinked="0"/>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655629696"/>
        <c:crosses val="max"/>
        <c:crossBetween val="between"/>
      </c:valAx>
      <c:spPr>
        <a:noFill/>
        <a:ln w="25400">
          <a:noFill/>
        </a:ln>
      </c:spPr>
    </c:plotArea>
    <c:legend>
      <c:legendPos val="t"/>
      <c:layout>
        <c:manualLayout>
          <c:xMode val="edge"/>
          <c:yMode val="edge"/>
          <c:x val="0.52597157701528763"/>
          <c:y val="1.8518425196850395E-2"/>
          <c:w val="0.47402842298471237"/>
          <c:h val="0.1085459317585302"/>
        </c:manualLayout>
      </c:layout>
      <c:overlay val="0"/>
      <c:txPr>
        <a:bodyPr/>
        <a:lstStyle/>
        <a:p>
          <a:pPr>
            <a:defRPr sz="1000" b="0" i="0" u="none" strike="noStrike" baseline="0">
              <a:solidFill>
                <a:srgbClr val="000000"/>
              </a:solidFill>
              <a:latin typeface="Calibri"/>
              <a:ea typeface="Calibri"/>
              <a:cs typeface="Calibri"/>
            </a:defRPr>
          </a:pPr>
          <a:endParaRPr lang="en-US"/>
        </a:p>
      </c:txPr>
    </c:legend>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orientation="portrait"/>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Calibri"/>
                <a:ea typeface="Calibri"/>
                <a:cs typeface="Calibri"/>
              </a:defRPr>
            </a:pPr>
            <a:r>
              <a:rPr lang="en-US"/>
              <a:t>CAPITAL EXPENDITURE</a:t>
            </a:r>
          </a:p>
        </c:rich>
      </c:tx>
      <c:layout>
        <c:manualLayout>
          <c:xMode val="edge"/>
          <c:yMode val="edge"/>
          <c:x val="2.3604110989543161E-4"/>
          <c:y val="1.3888923884514437E-2"/>
        </c:manualLayout>
      </c:layout>
      <c:overlay val="1"/>
    </c:title>
    <c:autoTitleDeleted val="0"/>
    <c:plotArea>
      <c:layout/>
      <c:barChart>
        <c:barDir val="col"/>
        <c:grouping val="clustered"/>
        <c:varyColors val="0"/>
        <c:ser>
          <c:idx val="0"/>
          <c:order val="0"/>
          <c:tx>
            <c:strRef>
              <c:f>Charts!$B$260</c:f>
              <c:strCache>
                <c:ptCount val="1"/>
                <c:pt idx="0">
                  <c:v>Capex</c:v>
                </c:pt>
              </c:strCache>
            </c:strRef>
          </c:tx>
          <c:spPr>
            <a:solidFill>
              <a:srgbClr val="EACC80"/>
            </a:solidFill>
            <a:ln>
              <a:noFill/>
            </a:ln>
          </c:spPr>
          <c:invertIfNegative val="0"/>
          <c:dLbls>
            <c:numFmt formatCode="\$#,##0_);\(\$#,##0\)" sourceLinked="0"/>
            <c:txPr>
              <a:bodyPr rot="-5400000" vert="horz"/>
              <a:lstStyle/>
              <a:p>
                <a:pPr algn="ctr">
                  <a:defRPr sz="1000" b="0" i="0" u="none" strike="noStrike" baseline="0">
                    <a:solidFill>
                      <a:srgbClr val="000000"/>
                    </a:solidFill>
                    <a:latin typeface="Calibri"/>
                    <a:ea typeface="Calibri"/>
                    <a:cs typeface="Calibri"/>
                  </a:defRPr>
                </a:pPr>
                <a:endParaRPr lang="en-US"/>
              </a:p>
            </c:txPr>
            <c:dLblPos val="inBase"/>
            <c:showLegendKey val="0"/>
            <c:showVal val="1"/>
            <c:showCatName val="0"/>
            <c:showSerName val="0"/>
            <c:showPercent val="0"/>
            <c:showBubbleSize val="0"/>
            <c:showLeaderLines val="0"/>
          </c:dLbls>
          <c:cat>
            <c:strRef>
              <c:f>Charts!$H$3:$N$3</c:f>
              <c:strCache>
                <c:ptCount val="7"/>
                <c:pt idx="0">
                  <c:v>2014</c:v>
                </c:pt>
                <c:pt idx="1">
                  <c:v>2015</c:v>
                </c:pt>
                <c:pt idx="2">
                  <c:v>2016</c:v>
                </c:pt>
                <c:pt idx="3">
                  <c:v>2017</c:v>
                </c:pt>
                <c:pt idx="4">
                  <c:v>2018E</c:v>
                </c:pt>
                <c:pt idx="5">
                  <c:v>2019E</c:v>
                </c:pt>
                <c:pt idx="6">
                  <c:v>2020E</c:v>
                </c:pt>
              </c:strCache>
            </c:strRef>
          </c:cat>
          <c:val>
            <c:numRef>
              <c:f>Charts!$H$260:$N$260</c:f>
              <c:numCache>
                <c:formatCode>#,##0.0_);\(#,##0.0\)</c:formatCode>
                <c:ptCount val="7"/>
                <c:pt idx="0">
                  <c:v>360.75700000000001</c:v>
                </c:pt>
                <c:pt idx="1">
                  <c:v>530.4</c:v>
                </c:pt>
                <c:pt idx="2">
                  <c:v>704.10000000000014</c:v>
                </c:pt>
                <c:pt idx="3">
                  <c:v>835.5</c:v>
                </c:pt>
                <c:pt idx="4">
                  <c:v>832.46881825418075</c:v>
                </c:pt>
                <c:pt idx="5">
                  <c:v>941.57094608874058</c:v>
                </c:pt>
                <c:pt idx="6">
                  <c:v>908.13095959915506</c:v>
                </c:pt>
              </c:numCache>
            </c:numRef>
          </c:val>
        </c:ser>
        <c:dLbls>
          <c:showLegendKey val="0"/>
          <c:showVal val="0"/>
          <c:showCatName val="0"/>
          <c:showSerName val="0"/>
          <c:showPercent val="0"/>
          <c:showBubbleSize val="0"/>
        </c:dLbls>
        <c:gapWidth val="150"/>
        <c:axId val="655753216"/>
        <c:axId val="655754752"/>
      </c:barChart>
      <c:lineChart>
        <c:grouping val="standard"/>
        <c:varyColors val="0"/>
        <c:ser>
          <c:idx val="1"/>
          <c:order val="1"/>
          <c:tx>
            <c:strRef>
              <c:f>Charts!$B$261</c:f>
              <c:strCache>
                <c:ptCount val="1"/>
                <c:pt idx="0">
                  <c:v>% Revenue</c:v>
                </c:pt>
              </c:strCache>
            </c:strRef>
          </c:tx>
          <c:spPr>
            <a:ln>
              <a:solidFill>
                <a:srgbClr val="1275A6"/>
              </a:solidFill>
            </a:ln>
          </c:spPr>
          <c:marker>
            <c:symbol val="square"/>
            <c:size val="5"/>
            <c:spPr>
              <a:solidFill>
                <a:srgbClr val="1275A6"/>
              </a:solidFill>
              <a:ln>
                <a:solidFill>
                  <a:srgbClr val="1275A6"/>
                </a:solidFill>
              </a:ln>
            </c:spPr>
          </c:marker>
          <c:dLbls>
            <c:txPr>
              <a:bodyPr/>
              <a:lstStyle/>
              <a:p>
                <a:pPr>
                  <a:defRPr sz="1000" b="0" i="0" u="none" strike="noStrike" baseline="0">
                    <a:solidFill>
                      <a:srgbClr val="000000"/>
                    </a:solidFill>
                    <a:latin typeface="Calibri"/>
                    <a:ea typeface="Calibri"/>
                    <a:cs typeface="Calibri"/>
                  </a:defRPr>
                </a:pPr>
                <a:endParaRPr lang="en-US"/>
              </a:p>
            </c:txPr>
            <c:dLblPos val="t"/>
            <c:showLegendKey val="0"/>
            <c:showVal val="1"/>
            <c:showCatName val="0"/>
            <c:showSerName val="0"/>
            <c:showPercent val="0"/>
            <c:showBubbleSize val="0"/>
            <c:showLeaderLines val="0"/>
          </c:dLbls>
          <c:val>
            <c:numRef>
              <c:f>Charts!$H$261:$N$261</c:f>
              <c:numCache>
                <c:formatCode>0.0%</c:formatCode>
                <c:ptCount val="7"/>
                <c:pt idx="0">
                  <c:v>0.32119044186802781</c:v>
                </c:pt>
                <c:pt idx="1">
                  <c:v>0.3937346893326405</c:v>
                </c:pt>
                <c:pt idx="2">
                  <c:v>0.40895626415751879</c:v>
                </c:pt>
                <c:pt idx="3">
                  <c:v>0.37980725520501862</c:v>
                </c:pt>
                <c:pt idx="4">
                  <c:v>0.31924191386320266</c:v>
                </c:pt>
                <c:pt idx="5">
                  <c:v>0.34999999999999992</c:v>
                </c:pt>
                <c:pt idx="6">
                  <c:v>0.32461532296413642</c:v>
                </c:pt>
              </c:numCache>
            </c:numRef>
          </c:val>
          <c:smooth val="0"/>
        </c:ser>
        <c:dLbls>
          <c:showLegendKey val="0"/>
          <c:showVal val="0"/>
          <c:showCatName val="0"/>
          <c:showSerName val="0"/>
          <c:showPercent val="0"/>
          <c:showBubbleSize val="0"/>
        </c:dLbls>
        <c:marker val="1"/>
        <c:smooth val="0"/>
        <c:axId val="655756288"/>
        <c:axId val="655762176"/>
      </c:lineChart>
      <c:catAx>
        <c:axId val="655753216"/>
        <c:scaling>
          <c:orientation val="minMax"/>
        </c:scaling>
        <c:delete val="0"/>
        <c:axPos val="b"/>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655754752"/>
        <c:crosses val="autoZero"/>
        <c:auto val="1"/>
        <c:lblAlgn val="ctr"/>
        <c:lblOffset val="100"/>
        <c:noMultiLvlLbl val="0"/>
      </c:catAx>
      <c:valAx>
        <c:axId val="655754752"/>
        <c:scaling>
          <c:orientation val="minMax"/>
        </c:scaling>
        <c:delete val="0"/>
        <c:axPos val="l"/>
        <c:majorGridlines>
          <c:spPr>
            <a:ln>
              <a:solidFill>
                <a:schemeClr val="bg1">
                  <a:lumMod val="90000"/>
                </a:schemeClr>
              </a:solidFill>
            </a:ln>
          </c:spPr>
        </c:majorGridlines>
        <c:numFmt formatCode="\$#,##0_);\(\$#,##0\)" sourceLinked="0"/>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655753216"/>
        <c:crosses val="autoZero"/>
        <c:crossBetween val="between"/>
      </c:valAx>
      <c:catAx>
        <c:axId val="655756288"/>
        <c:scaling>
          <c:orientation val="minMax"/>
        </c:scaling>
        <c:delete val="1"/>
        <c:axPos val="b"/>
        <c:majorTickMark val="out"/>
        <c:minorTickMark val="none"/>
        <c:tickLblPos val="nextTo"/>
        <c:crossAx val="655762176"/>
        <c:crosses val="autoZero"/>
        <c:auto val="1"/>
        <c:lblAlgn val="ctr"/>
        <c:lblOffset val="100"/>
        <c:noMultiLvlLbl val="0"/>
      </c:catAx>
      <c:valAx>
        <c:axId val="655762176"/>
        <c:scaling>
          <c:orientation val="minMax"/>
        </c:scaling>
        <c:delete val="0"/>
        <c:axPos val="r"/>
        <c:numFmt formatCode="0.0%" sourceLinked="0"/>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655756288"/>
        <c:crosses val="max"/>
        <c:crossBetween val="between"/>
      </c:valAx>
      <c:spPr>
        <a:noFill/>
        <a:ln w="25400">
          <a:noFill/>
        </a:ln>
      </c:spPr>
    </c:plotArea>
    <c:legend>
      <c:legendPos val="t"/>
      <c:layout>
        <c:manualLayout>
          <c:xMode val="edge"/>
          <c:yMode val="edge"/>
          <c:x val="0.52597157701528763"/>
          <c:y val="1.8518425196850395E-2"/>
          <c:w val="0.47402842298471237"/>
          <c:h val="0.1085459317585302"/>
        </c:manualLayout>
      </c:layout>
      <c:overlay val="0"/>
      <c:txPr>
        <a:bodyPr/>
        <a:lstStyle/>
        <a:p>
          <a:pPr>
            <a:defRPr sz="1000" b="0" i="0" u="none" strike="noStrike" baseline="0">
              <a:solidFill>
                <a:srgbClr val="000000"/>
              </a:solidFill>
              <a:latin typeface="Calibri"/>
              <a:ea typeface="Calibri"/>
              <a:cs typeface="Calibri"/>
            </a:defRPr>
          </a:pPr>
          <a:endParaRPr lang="en-US"/>
        </a:p>
      </c:txPr>
    </c:legend>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orientation="portrait"/>
  </c:printSettings>
</c:chartSpace>
</file>

<file path=xl/charts/chart2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Calibri"/>
                <a:ea typeface="Calibri"/>
                <a:cs typeface="Calibri"/>
              </a:defRPr>
            </a:pPr>
            <a:r>
              <a:rPr lang="en-US"/>
              <a:t>REVENUE</a:t>
            </a:r>
          </a:p>
        </c:rich>
      </c:tx>
      <c:layout>
        <c:manualLayout>
          <c:xMode val="edge"/>
          <c:yMode val="edge"/>
          <c:x val="2.3604110989543161E-4"/>
          <c:y val="1.3889047001654914E-2"/>
        </c:manualLayout>
      </c:layout>
      <c:overlay val="1"/>
    </c:title>
    <c:autoTitleDeleted val="0"/>
    <c:plotArea>
      <c:layout/>
      <c:barChart>
        <c:barDir val="col"/>
        <c:grouping val="clustered"/>
        <c:varyColors val="0"/>
        <c:ser>
          <c:idx val="0"/>
          <c:order val="0"/>
          <c:tx>
            <c:strRef>
              <c:f>Charts!$B$6</c:f>
              <c:strCache>
                <c:ptCount val="1"/>
                <c:pt idx="0">
                  <c:v>Revenue</c:v>
                </c:pt>
              </c:strCache>
            </c:strRef>
          </c:tx>
          <c:spPr>
            <a:solidFill>
              <a:srgbClr val="EACC80"/>
            </a:solidFill>
            <a:ln>
              <a:noFill/>
            </a:ln>
          </c:spPr>
          <c:invertIfNegative val="0"/>
          <c:dLbls>
            <c:numFmt formatCode="\$#,##0_);\(\$#,##0\)" sourceLinked="0"/>
            <c:txPr>
              <a:bodyPr rot="-5400000" vert="horz"/>
              <a:lstStyle/>
              <a:p>
                <a:pPr algn="ctr">
                  <a:defRPr sz="1000" b="0" i="0" u="none" strike="noStrike" baseline="0">
                    <a:solidFill>
                      <a:srgbClr val="000000"/>
                    </a:solidFill>
                    <a:latin typeface="Calibri"/>
                    <a:ea typeface="Calibri"/>
                    <a:cs typeface="Calibri"/>
                  </a:defRPr>
                </a:pPr>
                <a:endParaRPr lang="en-US"/>
              </a:p>
            </c:txPr>
            <c:dLblPos val="inBase"/>
            <c:showLegendKey val="0"/>
            <c:showVal val="1"/>
            <c:showCatName val="0"/>
            <c:showSerName val="0"/>
            <c:showPercent val="0"/>
            <c:showBubbleSize val="0"/>
            <c:showLeaderLines val="0"/>
          </c:dLbls>
          <c:cat>
            <c:strRef>
              <c:f>Charts!$AF$3:$AN$3</c:f>
              <c:strCache>
                <c:ptCount val="9"/>
                <c:pt idx="0">
                  <c:v>1Q16</c:v>
                </c:pt>
                <c:pt idx="1">
                  <c:v>2Q16</c:v>
                </c:pt>
                <c:pt idx="2">
                  <c:v>3Q16</c:v>
                </c:pt>
                <c:pt idx="3">
                  <c:v>4Q16</c:v>
                </c:pt>
                <c:pt idx="4">
                  <c:v>1Q17</c:v>
                </c:pt>
                <c:pt idx="5">
                  <c:v>2Q17</c:v>
                </c:pt>
                <c:pt idx="6">
                  <c:v>3Q17</c:v>
                </c:pt>
                <c:pt idx="7">
                  <c:v>4Q17</c:v>
                </c:pt>
                <c:pt idx="8">
                  <c:v>1Q18</c:v>
                </c:pt>
              </c:strCache>
            </c:strRef>
          </c:cat>
          <c:val>
            <c:numRef>
              <c:f>Charts!$AF$6:$AN$6</c:f>
              <c:numCache>
                <c:formatCode>#,##0.0_);\(#,##0.0\)</c:formatCode>
                <c:ptCount val="9"/>
                <c:pt idx="0">
                  <c:v>366.8</c:v>
                </c:pt>
                <c:pt idx="1">
                  <c:v>369.6</c:v>
                </c:pt>
                <c:pt idx="2">
                  <c:v>478</c:v>
                </c:pt>
                <c:pt idx="3">
                  <c:v>507.3</c:v>
                </c:pt>
                <c:pt idx="4">
                  <c:v>504.9</c:v>
                </c:pt>
                <c:pt idx="5">
                  <c:v>506.7</c:v>
                </c:pt>
                <c:pt idx="6">
                  <c:v>550.20000000000005</c:v>
                </c:pt>
                <c:pt idx="7">
                  <c:v>638</c:v>
                </c:pt>
                <c:pt idx="8">
                  <c:v>643.5</c:v>
                </c:pt>
              </c:numCache>
            </c:numRef>
          </c:val>
        </c:ser>
        <c:dLbls>
          <c:showLegendKey val="0"/>
          <c:showVal val="0"/>
          <c:showCatName val="0"/>
          <c:showSerName val="0"/>
          <c:showPercent val="0"/>
          <c:showBubbleSize val="0"/>
        </c:dLbls>
        <c:gapWidth val="150"/>
        <c:axId val="655815040"/>
        <c:axId val="655816576"/>
      </c:barChart>
      <c:lineChart>
        <c:grouping val="standard"/>
        <c:varyColors val="0"/>
        <c:ser>
          <c:idx val="1"/>
          <c:order val="1"/>
          <c:tx>
            <c:strRef>
              <c:f>Charts!$B$9</c:f>
              <c:strCache>
                <c:ptCount val="1"/>
                <c:pt idx="0">
                  <c:v>Organic growth Y/Y (company reported)</c:v>
                </c:pt>
              </c:strCache>
            </c:strRef>
          </c:tx>
          <c:spPr>
            <a:ln>
              <a:solidFill>
                <a:srgbClr val="1275A6"/>
              </a:solidFill>
            </a:ln>
          </c:spPr>
          <c:marker>
            <c:symbol val="square"/>
            <c:size val="5"/>
            <c:spPr>
              <a:solidFill>
                <a:srgbClr val="1275A6"/>
              </a:solidFill>
              <a:ln>
                <a:solidFill>
                  <a:srgbClr val="1275A6"/>
                </a:solidFill>
              </a:ln>
            </c:spPr>
          </c:marker>
          <c:dLbls>
            <c:txPr>
              <a:bodyPr/>
              <a:lstStyle/>
              <a:p>
                <a:pPr>
                  <a:defRPr sz="1000" b="0" i="0" u="none" strike="noStrike" baseline="0">
                    <a:solidFill>
                      <a:srgbClr val="000000"/>
                    </a:solidFill>
                    <a:latin typeface="Calibri"/>
                    <a:ea typeface="Calibri"/>
                    <a:cs typeface="Calibri"/>
                  </a:defRPr>
                </a:pPr>
                <a:endParaRPr lang="en-US"/>
              </a:p>
            </c:txPr>
            <c:dLblPos val="t"/>
            <c:showLegendKey val="0"/>
            <c:showVal val="1"/>
            <c:showCatName val="0"/>
            <c:showSerName val="0"/>
            <c:showPercent val="0"/>
            <c:showBubbleSize val="0"/>
            <c:showLeaderLines val="0"/>
          </c:dLbls>
          <c:cat>
            <c:strRef>
              <c:f>Charts!$AF$3:$AN$3</c:f>
              <c:strCache>
                <c:ptCount val="9"/>
                <c:pt idx="0">
                  <c:v>1Q16</c:v>
                </c:pt>
                <c:pt idx="1">
                  <c:v>2Q16</c:v>
                </c:pt>
                <c:pt idx="2">
                  <c:v>3Q16</c:v>
                </c:pt>
                <c:pt idx="3">
                  <c:v>4Q16</c:v>
                </c:pt>
                <c:pt idx="4">
                  <c:v>1Q17</c:v>
                </c:pt>
                <c:pt idx="5">
                  <c:v>2Q17</c:v>
                </c:pt>
                <c:pt idx="6">
                  <c:v>3Q17</c:v>
                </c:pt>
                <c:pt idx="7">
                  <c:v>4Q17</c:v>
                </c:pt>
                <c:pt idx="8">
                  <c:v>1Q18</c:v>
                </c:pt>
              </c:strCache>
            </c:strRef>
          </c:cat>
          <c:val>
            <c:numRef>
              <c:f>Charts!$AF$9:$AN$9</c:f>
              <c:numCache>
                <c:formatCode>0.0%</c:formatCode>
                <c:ptCount val="9"/>
                <c:pt idx="0">
                  <c:v>0.05</c:v>
                </c:pt>
                <c:pt idx="1">
                  <c:v>0.05</c:v>
                </c:pt>
                <c:pt idx="2">
                  <c:v>0.04</c:v>
                </c:pt>
                <c:pt idx="3">
                  <c:v>0.04</c:v>
                </c:pt>
                <c:pt idx="4">
                  <c:v>2.5000000000000001E-2</c:v>
                </c:pt>
                <c:pt idx="5">
                  <c:v>2.1999999999999999E-2</c:v>
                </c:pt>
                <c:pt idx="6">
                  <c:v>-7.0000000000000001E-3</c:v>
                </c:pt>
                <c:pt idx="8">
                  <c:v>-1E-3</c:v>
                </c:pt>
              </c:numCache>
            </c:numRef>
          </c:val>
          <c:smooth val="0"/>
        </c:ser>
        <c:dLbls>
          <c:showLegendKey val="0"/>
          <c:showVal val="0"/>
          <c:showCatName val="0"/>
          <c:showSerName val="0"/>
          <c:showPercent val="0"/>
          <c:showBubbleSize val="0"/>
        </c:dLbls>
        <c:marker val="1"/>
        <c:smooth val="0"/>
        <c:axId val="655818112"/>
        <c:axId val="651441280"/>
      </c:lineChart>
      <c:catAx>
        <c:axId val="655815040"/>
        <c:scaling>
          <c:orientation val="minMax"/>
        </c:scaling>
        <c:delete val="0"/>
        <c:axPos val="b"/>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655816576"/>
        <c:crosses val="autoZero"/>
        <c:auto val="1"/>
        <c:lblAlgn val="ctr"/>
        <c:lblOffset val="100"/>
        <c:noMultiLvlLbl val="0"/>
      </c:catAx>
      <c:valAx>
        <c:axId val="655816576"/>
        <c:scaling>
          <c:orientation val="minMax"/>
        </c:scaling>
        <c:delete val="0"/>
        <c:axPos val="l"/>
        <c:majorGridlines>
          <c:spPr>
            <a:ln>
              <a:solidFill>
                <a:schemeClr val="bg1">
                  <a:lumMod val="90000"/>
                </a:schemeClr>
              </a:solidFill>
            </a:ln>
          </c:spPr>
        </c:majorGridlines>
        <c:numFmt formatCode="\$#,##0_);\(\$#,##0\)" sourceLinked="0"/>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655815040"/>
        <c:crosses val="autoZero"/>
        <c:crossBetween val="between"/>
      </c:valAx>
      <c:catAx>
        <c:axId val="655818112"/>
        <c:scaling>
          <c:orientation val="minMax"/>
        </c:scaling>
        <c:delete val="1"/>
        <c:axPos val="b"/>
        <c:majorTickMark val="out"/>
        <c:minorTickMark val="none"/>
        <c:tickLblPos val="nextTo"/>
        <c:crossAx val="651441280"/>
        <c:crosses val="autoZero"/>
        <c:auto val="1"/>
        <c:lblAlgn val="ctr"/>
        <c:lblOffset val="100"/>
        <c:noMultiLvlLbl val="0"/>
      </c:catAx>
      <c:valAx>
        <c:axId val="651441280"/>
        <c:scaling>
          <c:orientation val="minMax"/>
        </c:scaling>
        <c:delete val="0"/>
        <c:axPos val="r"/>
        <c:numFmt formatCode="0.0%" sourceLinked="0"/>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655818112"/>
        <c:crosses val="max"/>
        <c:crossBetween val="between"/>
      </c:valAx>
      <c:spPr>
        <a:noFill/>
        <a:ln w="25400">
          <a:noFill/>
        </a:ln>
      </c:spPr>
    </c:plotArea>
    <c:legend>
      <c:legendPos val="t"/>
      <c:layout>
        <c:manualLayout>
          <c:xMode val="edge"/>
          <c:yMode val="edge"/>
          <c:x val="0.20099055955135448"/>
          <c:y val="1.8518588790858975E-2"/>
          <c:w val="0.79900944044864552"/>
          <c:h val="0.10854588959512591"/>
        </c:manualLayout>
      </c:layout>
      <c:overlay val="0"/>
      <c:txPr>
        <a:bodyPr/>
        <a:lstStyle/>
        <a:p>
          <a:pPr>
            <a:defRPr sz="1000" b="0" i="0" u="none" strike="noStrike" baseline="0">
              <a:solidFill>
                <a:srgbClr val="000000"/>
              </a:solidFill>
              <a:latin typeface="Calibri"/>
              <a:ea typeface="Calibri"/>
              <a:cs typeface="Calibri"/>
            </a:defRPr>
          </a:pPr>
          <a:endParaRPr lang="en-US"/>
        </a:p>
      </c:txPr>
    </c:legend>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orientation="portrait"/>
  </c:printSettings>
</c:chartSpace>
</file>

<file path=xl/charts/chart2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Calibri"/>
                <a:ea typeface="Calibri"/>
                <a:cs typeface="Calibri"/>
              </a:defRPr>
            </a:pPr>
            <a:r>
              <a:rPr lang="en-US"/>
              <a:t>CHURN</a:t>
            </a:r>
          </a:p>
        </c:rich>
      </c:tx>
      <c:layout>
        <c:manualLayout>
          <c:xMode val="edge"/>
          <c:yMode val="edge"/>
          <c:x val="2.3604110989543161E-4"/>
          <c:y val="2.872020997375328E-3"/>
        </c:manualLayout>
      </c:layout>
      <c:overlay val="1"/>
    </c:title>
    <c:autoTitleDeleted val="0"/>
    <c:plotArea>
      <c:layout/>
      <c:barChart>
        <c:barDir val="col"/>
        <c:grouping val="stacked"/>
        <c:varyColors val="0"/>
        <c:ser>
          <c:idx val="0"/>
          <c:order val="0"/>
          <c:tx>
            <c:strRef>
              <c:f>Charts!$B$728</c:f>
              <c:strCache>
                <c:ptCount val="1"/>
                <c:pt idx="0">
                  <c:v>Fiber Solutions</c:v>
                </c:pt>
              </c:strCache>
            </c:strRef>
          </c:tx>
          <c:spPr>
            <a:solidFill>
              <a:srgbClr val="137CB1"/>
            </a:solidFill>
            <a:ln>
              <a:noFill/>
            </a:ln>
          </c:spPr>
          <c:invertIfNegative val="0"/>
          <c:dLbls>
            <c:numFmt formatCode="#,##0.0_);\(#,##0.0\)" sourceLinked="0"/>
            <c:txPr>
              <a:bodyPr/>
              <a:lstStyle/>
              <a:p>
                <a:pPr>
                  <a:defRPr sz="1000" b="0" i="0" u="none" strike="noStrike" baseline="0">
                    <a:solidFill>
                      <a:srgbClr val="000000"/>
                    </a:solidFill>
                    <a:latin typeface="Calibri"/>
                    <a:ea typeface="Calibri"/>
                    <a:cs typeface="Calibri"/>
                  </a:defRPr>
                </a:pPr>
                <a:endParaRPr lang="en-US"/>
              </a:p>
            </c:txPr>
            <c:showLegendKey val="0"/>
            <c:showVal val="1"/>
            <c:showCatName val="0"/>
            <c:showSerName val="0"/>
            <c:showPercent val="0"/>
            <c:showBubbleSize val="0"/>
            <c:showLeaderLines val="0"/>
          </c:dLbls>
          <c:cat>
            <c:strRef>
              <c:f>Charts!$AK$3:$AO$3</c:f>
              <c:strCache>
                <c:ptCount val="5"/>
                <c:pt idx="0">
                  <c:v>2Q17</c:v>
                </c:pt>
                <c:pt idx="1">
                  <c:v>3Q17</c:v>
                </c:pt>
                <c:pt idx="2">
                  <c:v>4Q17</c:v>
                </c:pt>
                <c:pt idx="3">
                  <c:v>1Q18</c:v>
                </c:pt>
                <c:pt idx="4">
                  <c:v>2Q18</c:v>
                </c:pt>
              </c:strCache>
            </c:strRef>
          </c:cat>
          <c:val>
            <c:numRef>
              <c:f>Charts!$AK$728:$AO$728</c:f>
              <c:numCache>
                <c:formatCode>#,##0.0_);\(#,##0.0\)</c:formatCode>
                <c:ptCount val="5"/>
                <c:pt idx="0">
                  <c:v>0.93899999999999995</c:v>
                </c:pt>
                <c:pt idx="1">
                  <c:v>1.0775999999999999</c:v>
                </c:pt>
                <c:pt idx="2">
                  <c:v>1.1020000000000001</c:v>
                </c:pt>
                <c:pt idx="3">
                  <c:v>1.1679999999999999</c:v>
                </c:pt>
                <c:pt idx="4">
                  <c:v>1.0840000000000001</c:v>
                </c:pt>
              </c:numCache>
            </c:numRef>
          </c:val>
        </c:ser>
        <c:ser>
          <c:idx val="1"/>
          <c:order val="1"/>
          <c:tx>
            <c:strRef>
              <c:f>Charts!$B$729</c:f>
              <c:strCache>
                <c:ptCount val="1"/>
                <c:pt idx="0">
                  <c:v>Colocation</c:v>
                </c:pt>
              </c:strCache>
            </c:strRef>
          </c:tx>
          <c:spPr>
            <a:solidFill>
              <a:srgbClr val="EACC80"/>
            </a:solidFill>
            <a:ln>
              <a:noFill/>
            </a:ln>
          </c:spPr>
          <c:invertIfNegative val="0"/>
          <c:dLbls>
            <c:dLbl>
              <c:idx val="6"/>
              <c:layout>
                <c:manualLayout>
                  <c:x val="3.0372057706909645E-3"/>
                  <c:y val="-1.1016607318670548E-2"/>
                </c:manualLayout>
              </c:layout>
              <c:dLblPos val="ctr"/>
              <c:showLegendKey val="0"/>
              <c:showVal val="1"/>
              <c:showCatName val="0"/>
              <c:showSerName val="0"/>
              <c:showPercent val="0"/>
              <c:showBubbleSize val="0"/>
            </c:dLbl>
            <c:txPr>
              <a:bodyPr/>
              <a:lstStyle/>
              <a:p>
                <a:pPr>
                  <a:defRPr sz="1000" b="0" i="0" u="none" strike="noStrike" baseline="0">
                    <a:solidFill>
                      <a:srgbClr val="000000"/>
                    </a:solidFill>
                    <a:latin typeface="Calibri"/>
                    <a:ea typeface="Calibri"/>
                    <a:cs typeface="Calibri"/>
                  </a:defRPr>
                </a:pPr>
                <a:endParaRPr lang="en-US"/>
              </a:p>
            </c:txPr>
            <c:dLblPos val="ctr"/>
            <c:showLegendKey val="0"/>
            <c:showVal val="1"/>
            <c:showCatName val="0"/>
            <c:showSerName val="0"/>
            <c:showPercent val="0"/>
            <c:showBubbleSize val="0"/>
            <c:showLeaderLines val="0"/>
          </c:dLbls>
          <c:cat>
            <c:strRef>
              <c:f>Charts!$AK$3:$AO$3</c:f>
              <c:strCache>
                <c:ptCount val="5"/>
                <c:pt idx="0">
                  <c:v>2Q17</c:v>
                </c:pt>
                <c:pt idx="1">
                  <c:v>3Q17</c:v>
                </c:pt>
                <c:pt idx="2">
                  <c:v>4Q17</c:v>
                </c:pt>
                <c:pt idx="3">
                  <c:v>1Q18</c:v>
                </c:pt>
                <c:pt idx="4">
                  <c:v>2Q18</c:v>
                </c:pt>
              </c:strCache>
            </c:strRef>
          </c:cat>
          <c:val>
            <c:numRef>
              <c:f>Charts!$AK$729:$AO$729</c:f>
              <c:numCache>
                <c:formatCode>#,##0.0_);\(#,##0.0\)</c:formatCode>
                <c:ptCount val="5"/>
                <c:pt idx="0">
                  <c:v>0.70399999999999996</c:v>
                </c:pt>
                <c:pt idx="1">
                  <c:v>0.58960000000000001</c:v>
                </c:pt>
                <c:pt idx="2">
                  <c:v>0.51700000000000002</c:v>
                </c:pt>
                <c:pt idx="3">
                  <c:v>0.51900000000000002</c:v>
                </c:pt>
                <c:pt idx="4">
                  <c:v>0.55300000000000005</c:v>
                </c:pt>
              </c:numCache>
            </c:numRef>
          </c:val>
        </c:ser>
        <c:ser>
          <c:idx val="4"/>
          <c:order val="2"/>
          <c:tx>
            <c:strRef>
              <c:f>Charts!$B$730</c:f>
              <c:strCache>
                <c:ptCount val="1"/>
                <c:pt idx="0">
                  <c:v>Transport</c:v>
                </c:pt>
              </c:strCache>
            </c:strRef>
          </c:tx>
          <c:spPr>
            <a:solidFill>
              <a:srgbClr val="A8D7E2"/>
            </a:solidFill>
          </c:spPr>
          <c:invertIfNegative val="0"/>
          <c:dLbls>
            <c:txPr>
              <a:bodyPr/>
              <a:lstStyle/>
              <a:p>
                <a:pPr>
                  <a:defRPr sz="1000" b="0" i="0" u="none" strike="noStrike" baseline="0">
                    <a:solidFill>
                      <a:srgbClr val="000000"/>
                    </a:solidFill>
                    <a:latin typeface="Calibri"/>
                    <a:ea typeface="Calibri"/>
                    <a:cs typeface="Calibri"/>
                  </a:defRPr>
                </a:pPr>
                <a:endParaRPr lang="en-US"/>
              </a:p>
            </c:txPr>
            <c:dLblPos val="ctr"/>
            <c:showLegendKey val="0"/>
            <c:showVal val="1"/>
            <c:showCatName val="0"/>
            <c:showSerName val="0"/>
            <c:showPercent val="0"/>
            <c:showBubbleSize val="0"/>
            <c:showLeaderLines val="0"/>
          </c:dLbls>
          <c:cat>
            <c:strRef>
              <c:f>Charts!$AK$3:$AO$3</c:f>
              <c:strCache>
                <c:ptCount val="5"/>
                <c:pt idx="0">
                  <c:v>2Q17</c:v>
                </c:pt>
                <c:pt idx="1">
                  <c:v>3Q17</c:v>
                </c:pt>
                <c:pt idx="2">
                  <c:v>4Q17</c:v>
                </c:pt>
                <c:pt idx="3">
                  <c:v>1Q18</c:v>
                </c:pt>
                <c:pt idx="4">
                  <c:v>2Q18</c:v>
                </c:pt>
              </c:strCache>
            </c:strRef>
          </c:cat>
          <c:val>
            <c:numRef>
              <c:f>Charts!$AK$730:$AO$730</c:f>
              <c:numCache>
                <c:formatCode>#,##0.0_);\(#,##0.0\)</c:formatCode>
                <c:ptCount val="5"/>
                <c:pt idx="0">
                  <c:v>1.5369999999999999</c:v>
                </c:pt>
                <c:pt idx="1">
                  <c:v>1.768</c:v>
                </c:pt>
                <c:pt idx="2">
                  <c:v>2.218</c:v>
                </c:pt>
                <c:pt idx="3">
                  <c:v>1.7230000000000001</c:v>
                </c:pt>
                <c:pt idx="4">
                  <c:v>2.2229999999999999</c:v>
                </c:pt>
              </c:numCache>
            </c:numRef>
          </c:val>
        </c:ser>
        <c:ser>
          <c:idx val="5"/>
          <c:order val="3"/>
          <c:tx>
            <c:strRef>
              <c:f>Charts!$B$731</c:f>
              <c:strCache>
                <c:ptCount val="1"/>
                <c:pt idx="0">
                  <c:v>Enterprise Networks</c:v>
                </c:pt>
              </c:strCache>
            </c:strRef>
          </c:tx>
          <c:invertIfNegative val="0"/>
          <c:dLbls>
            <c:dLblPos val="ctr"/>
            <c:showLegendKey val="0"/>
            <c:showVal val="1"/>
            <c:showCatName val="0"/>
            <c:showSerName val="0"/>
            <c:showPercent val="0"/>
            <c:showBubbleSize val="0"/>
            <c:showLeaderLines val="0"/>
          </c:dLbls>
          <c:cat>
            <c:strRef>
              <c:f>Charts!$AK$3:$AO$3</c:f>
              <c:strCache>
                <c:ptCount val="5"/>
                <c:pt idx="0">
                  <c:v>2Q17</c:v>
                </c:pt>
                <c:pt idx="1">
                  <c:v>3Q17</c:v>
                </c:pt>
                <c:pt idx="2">
                  <c:v>4Q17</c:v>
                </c:pt>
                <c:pt idx="3">
                  <c:v>1Q18</c:v>
                </c:pt>
                <c:pt idx="4">
                  <c:v>2Q18</c:v>
                </c:pt>
              </c:strCache>
            </c:strRef>
          </c:cat>
          <c:val>
            <c:numRef>
              <c:f>Charts!$AK$731:$AO$731</c:f>
              <c:numCache>
                <c:formatCode>#,##0.0_);\(#,##0.0\)</c:formatCode>
                <c:ptCount val="5"/>
                <c:pt idx="0">
                  <c:v>1.5369999999999999</c:v>
                </c:pt>
                <c:pt idx="1">
                  <c:v>1.9472</c:v>
                </c:pt>
                <c:pt idx="2">
                  <c:v>2.024</c:v>
                </c:pt>
                <c:pt idx="3">
                  <c:v>2.6930000000000001</c:v>
                </c:pt>
                <c:pt idx="4">
                  <c:v>2.1459999999999999</c:v>
                </c:pt>
              </c:numCache>
            </c:numRef>
          </c:val>
        </c:ser>
        <c:ser>
          <c:idx val="2"/>
          <c:order val="4"/>
          <c:tx>
            <c:strRef>
              <c:f>Charts!$B$732</c:f>
              <c:strCache>
                <c:ptCount val="1"/>
                <c:pt idx="0">
                  <c:v>Other</c:v>
                </c:pt>
              </c:strCache>
            </c:strRef>
          </c:tx>
          <c:spPr>
            <a:solidFill>
              <a:srgbClr val="4AAC6B"/>
            </a:solidFill>
          </c:spPr>
          <c:invertIfNegative val="0"/>
          <c:dLbls>
            <c:dLbl>
              <c:idx val="6"/>
              <c:layout>
                <c:manualLayout>
                  <c:x val="0"/>
                  <c:y val="2.2129067795507478E-2"/>
                </c:manualLayout>
              </c:layout>
              <c:dLblPos val="ctr"/>
              <c:showLegendKey val="0"/>
              <c:showVal val="1"/>
              <c:showCatName val="0"/>
              <c:showSerName val="0"/>
              <c:showPercent val="0"/>
              <c:showBubbleSize val="0"/>
            </c:dLbl>
            <c:dLbl>
              <c:idx val="7"/>
              <c:layout>
                <c:manualLayout>
                  <c:x val="-3.0372057706909645E-3"/>
                  <c:y val="3.8558125615346918E-2"/>
                </c:manualLayout>
              </c:layout>
              <c:dLblPos val="ctr"/>
              <c:showLegendKey val="0"/>
              <c:showVal val="1"/>
              <c:showCatName val="0"/>
              <c:showSerName val="0"/>
              <c:showPercent val="0"/>
              <c:showBubbleSize val="0"/>
            </c:dLbl>
            <c:txPr>
              <a:bodyPr/>
              <a:lstStyle/>
              <a:p>
                <a:pPr>
                  <a:defRPr sz="1000" b="0" i="0" u="none" strike="noStrike" baseline="0">
                    <a:solidFill>
                      <a:srgbClr val="000000"/>
                    </a:solidFill>
                    <a:latin typeface="Calibri"/>
                    <a:ea typeface="Calibri"/>
                    <a:cs typeface="Calibri"/>
                  </a:defRPr>
                </a:pPr>
                <a:endParaRPr lang="en-US"/>
              </a:p>
            </c:txPr>
            <c:showLegendKey val="0"/>
            <c:showVal val="1"/>
            <c:showCatName val="0"/>
            <c:showSerName val="0"/>
            <c:showPercent val="0"/>
            <c:showBubbleSize val="0"/>
            <c:showLeaderLines val="0"/>
          </c:dLbls>
          <c:cat>
            <c:strRef>
              <c:f>Charts!$AK$3:$AO$3</c:f>
              <c:strCache>
                <c:ptCount val="5"/>
                <c:pt idx="0">
                  <c:v>2Q17</c:v>
                </c:pt>
                <c:pt idx="1">
                  <c:v>3Q17</c:v>
                </c:pt>
                <c:pt idx="2">
                  <c:v>4Q17</c:v>
                </c:pt>
                <c:pt idx="3">
                  <c:v>1Q18</c:v>
                </c:pt>
                <c:pt idx="4">
                  <c:v>2Q18</c:v>
                </c:pt>
              </c:strCache>
            </c:strRef>
          </c:cat>
          <c:val>
            <c:numRef>
              <c:f>Charts!$AK$732:$AO$732</c:f>
              <c:numCache>
                <c:formatCode>#,##0.0_);\(#,##0.0\)</c:formatCode>
                <c:ptCount val="5"/>
                <c:pt idx="1">
                  <c:v>0</c:v>
                </c:pt>
                <c:pt idx="2">
                  <c:v>0</c:v>
                </c:pt>
                <c:pt idx="3">
                  <c:v>0</c:v>
                </c:pt>
                <c:pt idx="4">
                  <c:v>0</c:v>
                </c:pt>
              </c:numCache>
            </c:numRef>
          </c:val>
        </c:ser>
        <c:ser>
          <c:idx val="3"/>
          <c:order val="5"/>
          <c:tx>
            <c:strRef>
              <c:f>Charts!$B$733</c:f>
              <c:strCache>
                <c:ptCount val="1"/>
                <c:pt idx="0">
                  <c:v>Total</c:v>
                </c:pt>
              </c:strCache>
            </c:strRef>
          </c:tx>
          <c:spPr>
            <a:noFill/>
            <a:ln>
              <a:noFill/>
            </a:ln>
          </c:spPr>
          <c:invertIfNegative val="0"/>
          <c:dLbls>
            <c:dLbl>
              <c:idx val="6"/>
              <c:layout>
                <c:manualLayout>
                  <c:x val="0"/>
                  <c:y val="0.15353963508573237"/>
                </c:manualLayout>
              </c:layout>
              <c:dLblPos val="ctr"/>
              <c:showLegendKey val="0"/>
              <c:showVal val="1"/>
              <c:showCatName val="0"/>
              <c:showSerName val="0"/>
              <c:showPercent val="0"/>
              <c:showBubbleSize val="0"/>
            </c:dLbl>
            <c:txPr>
              <a:bodyPr/>
              <a:lstStyle/>
              <a:p>
                <a:pPr>
                  <a:defRPr sz="1000" b="0" i="0" u="none" strike="noStrike" baseline="0">
                    <a:solidFill>
                      <a:srgbClr val="000000"/>
                    </a:solidFill>
                    <a:latin typeface="Calibri"/>
                    <a:ea typeface="Calibri"/>
                    <a:cs typeface="Calibri"/>
                  </a:defRPr>
                </a:pPr>
                <a:endParaRPr lang="en-US"/>
              </a:p>
            </c:txPr>
            <c:dLblPos val="inBase"/>
            <c:showLegendKey val="0"/>
            <c:showVal val="1"/>
            <c:showCatName val="0"/>
            <c:showSerName val="0"/>
            <c:showPercent val="0"/>
            <c:showBubbleSize val="0"/>
            <c:showLeaderLines val="0"/>
          </c:dLbls>
          <c:cat>
            <c:strRef>
              <c:f>Charts!$AK$3:$AO$3</c:f>
              <c:strCache>
                <c:ptCount val="5"/>
                <c:pt idx="0">
                  <c:v>2Q17</c:v>
                </c:pt>
                <c:pt idx="1">
                  <c:v>3Q17</c:v>
                </c:pt>
                <c:pt idx="2">
                  <c:v>4Q17</c:v>
                </c:pt>
                <c:pt idx="3">
                  <c:v>1Q18</c:v>
                </c:pt>
                <c:pt idx="4">
                  <c:v>2Q18</c:v>
                </c:pt>
              </c:strCache>
            </c:strRef>
          </c:cat>
          <c:val>
            <c:numRef>
              <c:f>Charts!$AK$733:$AO$733</c:f>
              <c:numCache>
                <c:formatCode>#,##0.0_);\(#,##0.0\)</c:formatCode>
                <c:ptCount val="5"/>
                <c:pt idx="0">
                  <c:v>4.7439999999999998</c:v>
                </c:pt>
                <c:pt idx="1">
                  <c:v>5.6</c:v>
                </c:pt>
                <c:pt idx="2">
                  <c:v>5.9</c:v>
                </c:pt>
                <c:pt idx="3">
                  <c:v>6.1</c:v>
                </c:pt>
                <c:pt idx="4">
                  <c:v>6</c:v>
                </c:pt>
              </c:numCache>
            </c:numRef>
          </c:val>
        </c:ser>
        <c:dLbls>
          <c:showLegendKey val="0"/>
          <c:showVal val="0"/>
          <c:showCatName val="0"/>
          <c:showSerName val="0"/>
          <c:showPercent val="0"/>
          <c:showBubbleSize val="0"/>
        </c:dLbls>
        <c:gapWidth val="150"/>
        <c:overlap val="100"/>
        <c:axId val="651488640"/>
        <c:axId val="651515008"/>
      </c:barChart>
      <c:catAx>
        <c:axId val="651488640"/>
        <c:scaling>
          <c:orientation val="minMax"/>
        </c:scaling>
        <c:delete val="0"/>
        <c:axPos val="b"/>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651515008"/>
        <c:crosses val="autoZero"/>
        <c:auto val="1"/>
        <c:lblAlgn val="ctr"/>
        <c:lblOffset val="100"/>
        <c:noMultiLvlLbl val="0"/>
      </c:catAx>
      <c:valAx>
        <c:axId val="651515008"/>
        <c:scaling>
          <c:orientation val="minMax"/>
          <c:max val="8"/>
        </c:scaling>
        <c:delete val="0"/>
        <c:axPos val="l"/>
        <c:majorGridlines>
          <c:spPr>
            <a:ln>
              <a:solidFill>
                <a:schemeClr val="bg1">
                  <a:lumMod val="90000"/>
                </a:schemeClr>
              </a:solidFill>
            </a:ln>
          </c:spPr>
        </c:majorGridlines>
        <c:numFmt formatCode="\$#,##0_);\(\$#,##0\)" sourceLinked="0"/>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651488640"/>
        <c:crosses val="autoZero"/>
        <c:crossBetween val="between"/>
      </c:valAx>
      <c:spPr>
        <a:noFill/>
        <a:ln w="25400">
          <a:noFill/>
        </a:ln>
      </c:spPr>
    </c:plotArea>
    <c:legend>
      <c:legendPos val="t"/>
      <c:legendEntry>
        <c:idx val="5"/>
        <c:delete val="1"/>
      </c:legendEntry>
      <c:layout>
        <c:manualLayout>
          <c:xMode val="edge"/>
          <c:yMode val="edge"/>
          <c:x val="0.30149265510376122"/>
          <c:y val="1.8518425196850395E-2"/>
          <c:w val="0.69850734489623878"/>
          <c:h val="0.1909499004601819"/>
        </c:manualLayout>
      </c:layout>
      <c:overlay val="0"/>
      <c:txPr>
        <a:bodyPr/>
        <a:lstStyle/>
        <a:p>
          <a:pPr>
            <a:defRPr sz="1000" b="0" i="0" u="none" strike="noStrike" baseline="0">
              <a:solidFill>
                <a:srgbClr val="000000"/>
              </a:solidFill>
              <a:latin typeface="Calibri"/>
              <a:ea typeface="Calibri"/>
              <a:cs typeface="Calibri"/>
            </a:defRPr>
          </a:pPr>
          <a:endParaRPr lang="en-US"/>
        </a:p>
      </c:txPr>
    </c:legend>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orientation="portrait"/>
  </c:printSettings>
</c:chartSpace>
</file>

<file path=xl/charts/chart3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Calibri"/>
                <a:ea typeface="Calibri"/>
                <a:cs typeface="Calibri"/>
              </a:defRPr>
            </a:pPr>
            <a:r>
              <a:rPr lang="en-US"/>
              <a:t>GROSS INSTALLS</a:t>
            </a:r>
          </a:p>
        </c:rich>
      </c:tx>
      <c:layout>
        <c:manualLayout>
          <c:xMode val="edge"/>
          <c:yMode val="edge"/>
          <c:x val="2.3604110989543161E-4"/>
          <c:y val="2.872020997375328E-3"/>
        </c:manualLayout>
      </c:layout>
      <c:overlay val="1"/>
    </c:title>
    <c:autoTitleDeleted val="0"/>
    <c:plotArea>
      <c:layout/>
      <c:barChart>
        <c:barDir val="col"/>
        <c:grouping val="stacked"/>
        <c:varyColors val="0"/>
        <c:ser>
          <c:idx val="0"/>
          <c:order val="0"/>
          <c:tx>
            <c:strRef>
              <c:f>Charts!$B$772</c:f>
              <c:strCache>
                <c:ptCount val="1"/>
                <c:pt idx="0">
                  <c:v>Fiber Solutions</c:v>
                </c:pt>
              </c:strCache>
            </c:strRef>
          </c:tx>
          <c:spPr>
            <a:solidFill>
              <a:srgbClr val="137CB1"/>
            </a:solidFill>
            <a:ln>
              <a:noFill/>
            </a:ln>
          </c:spPr>
          <c:invertIfNegative val="0"/>
          <c:dLbls>
            <c:numFmt formatCode="#,##0.0_);\(#,##0.0\)" sourceLinked="0"/>
            <c:txPr>
              <a:bodyPr/>
              <a:lstStyle/>
              <a:p>
                <a:pPr>
                  <a:defRPr sz="1000" b="0" i="0" u="none" strike="noStrike" baseline="0">
                    <a:solidFill>
                      <a:srgbClr val="000000"/>
                    </a:solidFill>
                    <a:latin typeface="Calibri"/>
                    <a:ea typeface="Calibri"/>
                    <a:cs typeface="Calibri"/>
                  </a:defRPr>
                </a:pPr>
                <a:endParaRPr lang="en-US"/>
              </a:p>
            </c:txPr>
            <c:showLegendKey val="0"/>
            <c:showVal val="1"/>
            <c:showCatName val="0"/>
            <c:showSerName val="0"/>
            <c:showPercent val="0"/>
            <c:showBubbleSize val="0"/>
            <c:showLeaderLines val="0"/>
          </c:dLbls>
          <c:cat>
            <c:strRef>
              <c:f>Charts!$AK$3:$AO$3</c:f>
              <c:strCache>
                <c:ptCount val="5"/>
                <c:pt idx="0">
                  <c:v>2Q17</c:v>
                </c:pt>
                <c:pt idx="1">
                  <c:v>3Q17</c:v>
                </c:pt>
                <c:pt idx="2">
                  <c:v>4Q17</c:v>
                </c:pt>
                <c:pt idx="3">
                  <c:v>1Q18</c:v>
                </c:pt>
                <c:pt idx="4">
                  <c:v>2Q18</c:v>
                </c:pt>
              </c:strCache>
            </c:strRef>
          </c:cat>
          <c:val>
            <c:numRef>
              <c:f>Charts!$AK$772:$AO$772</c:f>
              <c:numCache>
                <c:formatCode>#,##0.0_);\(#,##0.0\)</c:formatCode>
                <c:ptCount val="5"/>
                <c:pt idx="0">
                  <c:v>1.6180000000000001</c:v>
                </c:pt>
                <c:pt idx="1">
                  <c:v>2.0775999999999999</c:v>
                </c:pt>
                <c:pt idx="2">
                  <c:v>2.165</c:v>
                </c:pt>
                <c:pt idx="3">
                  <c:v>2.4459999999999997</c:v>
                </c:pt>
                <c:pt idx="4">
                  <c:v>2.3620000000000001</c:v>
                </c:pt>
              </c:numCache>
            </c:numRef>
          </c:val>
        </c:ser>
        <c:ser>
          <c:idx val="1"/>
          <c:order val="1"/>
          <c:tx>
            <c:strRef>
              <c:f>Charts!$B$773</c:f>
              <c:strCache>
                <c:ptCount val="1"/>
                <c:pt idx="0">
                  <c:v>Colocation</c:v>
                </c:pt>
              </c:strCache>
            </c:strRef>
          </c:tx>
          <c:spPr>
            <a:solidFill>
              <a:srgbClr val="EACC80"/>
            </a:solidFill>
            <a:ln>
              <a:noFill/>
            </a:ln>
          </c:spPr>
          <c:invertIfNegative val="0"/>
          <c:dLbls>
            <c:dLbl>
              <c:idx val="6"/>
              <c:layout>
                <c:manualLayout>
                  <c:x val="3.0372057706909645E-3"/>
                  <c:y val="-1.1016607318670548E-2"/>
                </c:manualLayout>
              </c:layout>
              <c:dLblPos val="ctr"/>
              <c:showLegendKey val="0"/>
              <c:showVal val="1"/>
              <c:showCatName val="0"/>
              <c:showSerName val="0"/>
              <c:showPercent val="0"/>
              <c:showBubbleSize val="0"/>
            </c:dLbl>
            <c:txPr>
              <a:bodyPr/>
              <a:lstStyle/>
              <a:p>
                <a:pPr>
                  <a:defRPr sz="1000" b="0" i="0" u="none" strike="noStrike" baseline="0">
                    <a:solidFill>
                      <a:srgbClr val="000000"/>
                    </a:solidFill>
                    <a:latin typeface="Calibri"/>
                    <a:ea typeface="Calibri"/>
                    <a:cs typeface="Calibri"/>
                  </a:defRPr>
                </a:pPr>
                <a:endParaRPr lang="en-US"/>
              </a:p>
            </c:txPr>
            <c:dLblPos val="ctr"/>
            <c:showLegendKey val="0"/>
            <c:showVal val="1"/>
            <c:showCatName val="0"/>
            <c:showSerName val="0"/>
            <c:showPercent val="0"/>
            <c:showBubbleSize val="0"/>
            <c:showLeaderLines val="0"/>
          </c:dLbls>
          <c:cat>
            <c:strRef>
              <c:f>Charts!$AK$3:$AO$3</c:f>
              <c:strCache>
                <c:ptCount val="5"/>
                <c:pt idx="0">
                  <c:v>2Q17</c:v>
                </c:pt>
                <c:pt idx="1">
                  <c:v>3Q17</c:v>
                </c:pt>
                <c:pt idx="2">
                  <c:v>4Q17</c:v>
                </c:pt>
                <c:pt idx="3">
                  <c:v>1Q18</c:v>
                </c:pt>
                <c:pt idx="4">
                  <c:v>2Q18</c:v>
                </c:pt>
              </c:strCache>
            </c:strRef>
          </c:cat>
          <c:val>
            <c:numRef>
              <c:f>Charts!$AK$773:$AO$773</c:f>
              <c:numCache>
                <c:formatCode>#,##0.0_);\(#,##0.0\)</c:formatCode>
                <c:ptCount val="5"/>
                <c:pt idx="0">
                  <c:v>1.1599999999999999</c:v>
                </c:pt>
                <c:pt idx="1">
                  <c:v>0.88959999999999995</c:v>
                </c:pt>
                <c:pt idx="2">
                  <c:v>0.73399999999999999</c:v>
                </c:pt>
                <c:pt idx="3">
                  <c:v>0.78800000000000003</c:v>
                </c:pt>
                <c:pt idx="4">
                  <c:v>0.77700000000000002</c:v>
                </c:pt>
              </c:numCache>
            </c:numRef>
          </c:val>
        </c:ser>
        <c:ser>
          <c:idx val="4"/>
          <c:order val="2"/>
          <c:tx>
            <c:strRef>
              <c:f>Charts!$B$774</c:f>
              <c:strCache>
                <c:ptCount val="1"/>
                <c:pt idx="0">
                  <c:v>Transport</c:v>
                </c:pt>
              </c:strCache>
            </c:strRef>
          </c:tx>
          <c:spPr>
            <a:solidFill>
              <a:srgbClr val="A8D7E2"/>
            </a:solidFill>
          </c:spPr>
          <c:invertIfNegative val="0"/>
          <c:dLbls>
            <c:txPr>
              <a:bodyPr/>
              <a:lstStyle/>
              <a:p>
                <a:pPr>
                  <a:defRPr sz="1000" b="0" i="0" u="none" strike="noStrike" baseline="0">
                    <a:solidFill>
                      <a:srgbClr val="000000"/>
                    </a:solidFill>
                    <a:latin typeface="Calibri"/>
                    <a:ea typeface="Calibri"/>
                    <a:cs typeface="Calibri"/>
                  </a:defRPr>
                </a:pPr>
                <a:endParaRPr lang="en-US"/>
              </a:p>
            </c:txPr>
            <c:dLblPos val="ctr"/>
            <c:showLegendKey val="0"/>
            <c:showVal val="1"/>
            <c:showCatName val="0"/>
            <c:showSerName val="0"/>
            <c:showPercent val="0"/>
            <c:showBubbleSize val="0"/>
            <c:showLeaderLines val="0"/>
          </c:dLbls>
          <c:cat>
            <c:strRef>
              <c:f>Charts!$AK$3:$AO$3</c:f>
              <c:strCache>
                <c:ptCount val="5"/>
                <c:pt idx="0">
                  <c:v>2Q17</c:v>
                </c:pt>
                <c:pt idx="1">
                  <c:v>3Q17</c:v>
                </c:pt>
                <c:pt idx="2">
                  <c:v>4Q17</c:v>
                </c:pt>
                <c:pt idx="3">
                  <c:v>1Q18</c:v>
                </c:pt>
                <c:pt idx="4">
                  <c:v>2Q18</c:v>
                </c:pt>
              </c:strCache>
            </c:strRef>
          </c:cat>
          <c:val>
            <c:numRef>
              <c:f>Charts!$AK$774:$AO$774</c:f>
              <c:numCache>
                <c:formatCode>#,##0.0_);\(#,##0.0\)</c:formatCode>
                <c:ptCount val="5"/>
                <c:pt idx="0">
                  <c:v>1.7324999999999999</c:v>
                </c:pt>
                <c:pt idx="1">
                  <c:v>1.768</c:v>
                </c:pt>
                <c:pt idx="2">
                  <c:v>2.1819999999999999</c:v>
                </c:pt>
                <c:pt idx="3">
                  <c:v>1.778</c:v>
                </c:pt>
                <c:pt idx="4">
                  <c:v>2.13</c:v>
                </c:pt>
              </c:numCache>
            </c:numRef>
          </c:val>
        </c:ser>
        <c:ser>
          <c:idx val="5"/>
          <c:order val="3"/>
          <c:tx>
            <c:strRef>
              <c:f>Charts!$B$775</c:f>
              <c:strCache>
                <c:ptCount val="1"/>
                <c:pt idx="0">
                  <c:v>Enterprise Networks</c:v>
                </c:pt>
              </c:strCache>
            </c:strRef>
          </c:tx>
          <c:invertIfNegative val="0"/>
          <c:dLbls>
            <c:dLblPos val="ctr"/>
            <c:showLegendKey val="0"/>
            <c:showVal val="1"/>
            <c:showCatName val="0"/>
            <c:showSerName val="0"/>
            <c:showPercent val="0"/>
            <c:showBubbleSize val="0"/>
            <c:showLeaderLines val="0"/>
          </c:dLbls>
          <c:cat>
            <c:strRef>
              <c:f>Charts!$AK$3:$AO$3</c:f>
              <c:strCache>
                <c:ptCount val="5"/>
                <c:pt idx="0">
                  <c:v>2Q17</c:v>
                </c:pt>
                <c:pt idx="1">
                  <c:v>3Q17</c:v>
                </c:pt>
                <c:pt idx="2">
                  <c:v>4Q17</c:v>
                </c:pt>
                <c:pt idx="3">
                  <c:v>1Q18</c:v>
                </c:pt>
                <c:pt idx="4">
                  <c:v>2Q18</c:v>
                </c:pt>
              </c:strCache>
            </c:strRef>
          </c:cat>
          <c:val>
            <c:numRef>
              <c:f>Charts!$AK$775:$AO$775</c:f>
              <c:numCache>
                <c:formatCode>#,##0.0_);\(#,##0.0\)</c:formatCode>
                <c:ptCount val="5"/>
                <c:pt idx="0">
                  <c:v>1.7324999999999999</c:v>
                </c:pt>
                <c:pt idx="1">
                  <c:v>2.1472000000000002</c:v>
                </c:pt>
                <c:pt idx="2">
                  <c:v>2.194</c:v>
                </c:pt>
                <c:pt idx="3">
                  <c:v>2.242</c:v>
                </c:pt>
                <c:pt idx="4">
                  <c:v>2.097</c:v>
                </c:pt>
              </c:numCache>
            </c:numRef>
          </c:val>
        </c:ser>
        <c:ser>
          <c:idx val="2"/>
          <c:order val="4"/>
          <c:tx>
            <c:strRef>
              <c:f>Charts!$B$776</c:f>
              <c:strCache>
                <c:ptCount val="1"/>
                <c:pt idx="0">
                  <c:v>Other</c:v>
                </c:pt>
              </c:strCache>
            </c:strRef>
          </c:tx>
          <c:spPr>
            <a:solidFill>
              <a:srgbClr val="4AAC6B"/>
            </a:solidFill>
          </c:spPr>
          <c:invertIfNegative val="0"/>
          <c:dLbls>
            <c:dLbl>
              <c:idx val="6"/>
              <c:layout>
                <c:manualLayout>
                  <c:x val="0"/>
                  <c:y val="2.2129067795507478E-2"/>
                </c:manualLayout>
              </c:layout>
              <c:dLblPos val="ctr"/>
              <c:showLegendKey val="0"/>
              <c:showVal val="1"/>
              <c:showCatName val="0"/>
              <c:showSerName val="0"/>
              <c:showPercent val="0"/>
              <c:showBubbleSize val="0"/>
            </c:dLbl>
            <c:dLbl>
              <c:idx val="7"/>
              <c:layout>
                <c:manualLayout>
                  <c:x val="-3.0372057706909645E-3"/>
                  <c:y val="3.8558125615346918E-2"/>
                </c:manualLayout>
              </c:layout>
              <c:dLblPos val="ctr"/>
              <c:showLegendKey val="0"/>
              <c:showVal val="1"/>
              <c:showCatName val="0"/>
              <c:showSerName val="0"/>
              <c:showPercent val="0"/>
              <c:showBubbleSize val="0"/>
            </c:dLbl>
            <c:txPr>
              <a:bodyPr/>
              <a:lstStyle/>
              <a:p>
                <a:pPr>
                  <a:defRPr sz="1000" b="0" i="0" u="none" strike="noStrike" baseline="0">
                    <a:solidFill>
                      <a:srgbClr val="000000"/>
                    </a:solidFill>
                    <a:latin typeface="Calibri"/>
                    <a:ea typeface="Calibri"/>
                    <a:cs typeface="Calibri"/>
                  </a:defRPr>
                </a:pPr>
                <a:endParaRPr lang="en-US"/>
              </a:p>
            </c:txPr>
            <c:showLegendKey val="0"/>
            <c:showVal val="1"/>
            <c:showCatName val="0"/>
            <c:showSerName val="0"/>
            <c:showPercent val="0"/>
            <c:showBubbleSize val="0"/>
            <c:showLeaderLines val="0"/>
          </c:dLbls>
          <c:cat>
            <c:strRef>
              <c:f>Charts!$AK$3:$AO$3</c:f>
              <c:strCache>
                <c:ptCount val="5"/>
                <c:pt idx="0">
                  <c:v>2Q17</c:v>
                </c:pt>
                <c:pt idx="1">
                  <c:v>3Q17</c:v>
                </c:pt>
                <c:pt idx="2">
                  <c:v>4Q17</c:v>
                </c:pt>
                <c:pt idx="3">
                  <c:v>1Q18</c:v>
                </c:pt>
                <c:pt idx="4">
                  <c:v>2Q18</c:v>
                </c:pt>
              </c:strCache>
            </c:strRef>
          </c:cat>
          <c:val>
            <c:numRef>
              <c:f>Charts!$AK$776:$AO$776</c:f>
              <c:numCache>
                <c:formatCode>#,##0.0_);\(#,##0.0\)</c:formatCode>
                <c:ptCount val="5"/>
                <c:pt idx="1">
                  <c:v>0.21759999999999979</c:v>
                </c:pt>
                <c:pt idx="2">
                  <c:v>2.5000000000000355E-2</c:v>
                </c:pt>
                <c:pt idx="3">
                  <c:v>4.6000000000000485E-2</c:v>
                </c:pt>
                <c:pt idx="4">
                  <c:v>0.23399999999999965</c:v>
                </c:pt>
              </c:numCache>
            </c:numRef>
          </c:val>
        </c:ser>
        <c:ser>
          <c:idx val="3"/>
          <c:order val="5"/>
          <c:tx>
            <c:strRef>
              <c:f>Charts!$B$777</c:f>
              <c:strCache>
                <c:ptCount val="1"/>
                <c:pt idx="0">
                  <c:v>Total</c:v>
                </c:pt>
              </c:strCache>
            </c:strRef>
          </c:tx>
          <c:spPr>
            <a:noFill/>
            <a:ln>
              <a:noFill/>
            </a:ln>
          </c:spPr>
          <c:invertIfNegative val="0"/>
          <c:dLbls>
            <c:dLbl>
              <c:idx val="6"/>
              <c:layout>
                <c:manualLayout>
                  <c:x val="0"/>
                  <c:y val="0.15353963508573237"/>
                </c:manualLayout>
              </c:layout>
              <c:dLblPos val="ctr"/>
              <c:showLegendKey val="0"/>
              <c:showVal val="1"/>
              <c:showCatName val="0"/>
              <c:showSerName val="0"/>
              <c:showPercent val="0"/>
              <c:showBubbleSize val="0"/>
            </c:dLbl>
            <c:txPr>
              <a:bodyPr/>
              <a:lstStyle/>
              <a:p>
                <a:pPr>
                  <a:defRPr sz="1000" b="0" i="0" u="none" strike="noStrike" baseline="0">
                    <a:solidFill>
                      <a:srgbClr val="000000"/>
                    </a:solidFill>
                    <a:latin typeface="Calibri"/>
                    <a:ea typeface="Calibri"/>
                    <a:cs typeface="Calibri"/>
                  </a:defRPr>
                </a:pPr>
                <a:endParaRPr lang="en-US"/>
              </a:p>
            </c:txPr>
            <c:dLblPos val="inBase"/>
            <c:showLegendKey val="0"/>
            <c:showVal val="1"/>
            <c:showCatName val="0"/>
            <c:showSerName val="0"/>
            <c:showPercent val="0"/>
            <c:showBubbleSize val="0"/>
            <c:showLeaderLines val="0"/>
          </c:dLbls>
          <c:cat>
            <c:strRef>
              <c:f>Charts!$AK$3:$AO$3</c:f>
              <c:strCache>
                <c:ptCount val="5"/>
                <c:pt idx="0">
                  <c:v>2Q17</c:v>
                </c:pt>
                <c:pt idx="1">
                  <c:v>3Q17</c:v>
                </c:pt>
                <c:pt idx="2">
                  <c:v>4Q17</c:v>
                </c:pt>
                <c:pt idx="3">
                  <c:v>1Q18</c:v>
                </c:pt>
                <c:pt idx="4">
                  <c:v>2Q18</c:v>
                </c:pt>
              </c:strCache>
            </c:strRef>
          </c:cat>
          <c:val>
            <c:numRef>
              <c:f>Charts!$AK$777:$AO$777</c:f>
              <c:numCache>
                <c:formatCode>#,##0.0_);\(#,##0.0\)</c:formatCode>
                <c:ptCount val="5"/>
                <c:pt idx="0">
                  <c:v>6.73</c:v>
                </c:pt>
                <c:pt idx="1">
                  <c:v>7.1</c:v>
                </c:pt>
                <c:pt idx="2">
                  <c:v>7.3</c:v>
                </c:pt>
                <c:pt idx="3">
                  <c:v>7.3</c:v>
                </c:pt>
                <c:pt idx="4">
                  <c:v>7.6</c:v>
                </c:pt>
              </c:numCache>
            </c:numRef>
          </c:val>
        </c:ser>
        <c:dLbls>
          <c:showLegendKey val="0"/>
          <c:showVal val="0"/>
          <c:showCatName val="0"/>
          <c:showSerName val="0"/>
          <c:showPercent val="0"/>
          <c:showBubbleSize val="0"/>
        </c:dLbls>
        <c:gapWidth val="150"/>
        <c:overlap val="100"/>
        <c:axId val="651567104"/>
        <c:axId val="651568640"/>
      </c:barChart>
      <c:catAx>
        <c:axId val="651567104"/>
        <c:scaling>
          <c:orientation val="minMax"/>
        </c:scaling>
        <c:delete val="0"/>
        <c:axPos val="b"/>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651568640"/>
        <c:crosses val="autoZero"/>
        <c:auto val="1"/>
        <c:lblAlgn val="ctr"/>
        <c:lblOffset val="100"/>
        <c:noMultiLvlLbl val="0"/>
      </c:catAx>
      <c:valAx>
        <c:axId val="651568640"/>
        <c:scaling>
          <c:orientation val="minMax"/>
          <c:max val="8"/>
        </c:scaling>
        <c:delete val="0"/>
        <c:axPos val="l"/>
        <c:majorGridlines>
          <c:spPr>
            <a:ln>
              <a:solidFill>
                <a:schemeClr val="bg1">
                  <a:lumMod val="90000"/>
                </a:schemeClr>
              </a:solidFill>
            </a:ln>
          </c:spPr>
        </c:majorGridlines>
        <c:numFmt formatCode="\$#,##0_);\(\$#,##0\)" sourceLinked="0"/>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651567104"/>
        <c:crosses val="autoZero"/>
        <c:crossBetween val="between"/>
      </c:valAx>
      <c:spPr>
        <a:noFill/>
        <a:ln w="25400">
          <a:noFill/>
        </a:ln>
      </c:spPr>
    </c:plotArea>
    <c:legend>
      <c:legendPos val="t"/>
      <c:legendEntry>
        <c:idx val="5"/>
        <c:delete val="1"/>
      </c:legendEntry>
      <c:layout>
        <c:manualLayout>
          <c:xMode val="edge"/>
          <c:yMode val="edge"/>
          <c:x val="0.36223677051758052"/>
          <c:y val="1.8518425196850395E-2"/>
          <c:w val="0.63776322948241948"/>
          <c:h val="0.19094981764052998"/>
        </c:manualLayout>
      </c:layout>
      <c:overlay val="0"/>
      <c:txPr>
        <a:bodyPr/>
        <a:lstStyle/>
        <a:p>
          <a:pPr>
            <a:defRPr sz="1000" b="0" i="0" u="none" strike="noStrike" baseline="0">
              <a:solidFill>
                <a:srgbClr val="000000"/>
              </a:solidFill>
              <a:latin typeface="Calibri"/>
              <a:ea typeface="Calibri"/>
              <a:cs typeface="Calibri"/>
            </a:defRPr>
          </a:pPr>
          <a:endParaRPr lang="en-US"/>
        </a:p>
      </c:txPr>
    </c:legend>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orientation="portrait"/>
  </c:printSettings>
</c:chartSpace>
</file>

<file path=xl/charts/chart3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Calibri"/>
                <a:ea typeface="Calibri"/>
                <a:cs typeface="Calibri"/>
              </a:defRPr>
            </a:pPr>
            <a:r>
              <a:rPr lang="en-US"/>
              <a:t>NET INSTALLS</a:t>
            </a:r>
          </a:p>
        </c:rich>
      </c:tx>
      <c:layout>
        <c:manualLayout>
          <c:xMode val="edge"/>
          <c:yMode val="edge"/>
          <c:x val="2.3604110989543161E-4"/>
          <c:y val="2.872020997375328E-3"/>
        </c:manualLayout>
      </c:layout>
      <c:overlay val="1"/>
    </c:title>
    <c:autoTitleDeleted val="0"/>
    <c:plotArea>
      <c:layout/>
      <c:barChart>
        <c:barDir val="col"/>
        <c:grouping val="stacked"/>
        <c:varyColors val="0"/>
        <c:ser>
          <c:idx val="0"/>
          <c:order val="0"/>
          <c:tx>
            <c:strRef>
              <c:f>Charts!$B$795</c:f>
              <c:strCache>
                <c:ptCount val="1"/>
                <c:pt idx="0">
                  <c:v>Fiber Solutions</c:v>
                </c:pt>
              </c:strCache>
            </c:strRef>
          </c:tx>
          <c:spPr>
            <a:solidFill>
              <a:srgbClr val="137CB1"/>
            </a:solidFill>
            <a:ln>
              <a:noFill/>
            </a:ln>
          </c:spPr>
          <c:invertIfNegative val="0"/>
          <c:dLbls>
            <c:numFmt formatCode="#,##0.0_);\(#,##0.0\)" sourceLinked="0"/>
            <c:txPr>
              <a:bodyPr/>
              <a:lstStyle/>
              <a:p>
                <a:pPr>
                  <a:defRPr sz="1000" b="0" i="0" u="none" strike="noStrike" baseline="0">
                    <a:solidFill>
                      <a:srgbClr val="000000"/>
                    </a:solidFill>
                    <a:latin typeface="Calibri"/>
                    <a:ea typeface="Calibri"/>
                    <a:cs typeface="Calibri"/>
                  </a:defRPr>
                </a:pPr>
                <a:endParaRPr lang="en-US"/>
              </a:p>
            </c:txPr>
            <c:showLegendKey val="0"/>
            <c:showVal val="1"/>
            <c:showCatName val="0"/>
            <c:showSerName val="0"/>
            <c:showPercent val="0"/>
            <c:showBubbleSize val="0"/>
            <c:showLeaderLines val="0"/>
          </c:dLbls>
          <c:cat>
            <c:strRef>
              <c:f>Charts!$AL$3:$AO$3</c:f>
              <c:strCache>
                <c:ptCount val="4"/>
                <c:pt idx="0">
                  <c:v>3Q17</c:v>
                </c:pt>
                <c:pt idx="1">
                  <c:v>4Q17</c:v>
                </c:pt>
                <c:pt idx="2">
                  <c:v>1Q18</c:v>
                </c:pt>
                <c:pt idx="3">
                  <c:v>2Q18</c:v>
                </c:pt>
              </c:strCache>
            </c:strRef>
          </c:cat>
          <c:val>
            <c:numRef>
              <c:f>Charts!$AL$795:$AO$795</c:f>
              <c:numCache>
                <c:formatCode>#,##0.0_);\(#,##0.0\)</c:formatCode>
                <c:ptCount val="4"/>
                <c:pt idx="0">
                  <c:v>1</c:v>
                </c:pt>
                <c:pt idx="1">
                  <c:v>1.0629999999999999</c:v>
                </c:pt>
                <c:pt idx="2">
                  <c:v>1.278</c:v>
                </c:pt>
                <c:pt idx="3">
                  <c:v>1.278</c:v>
                </c:pt>
              </c:numCache>
            </c:numRef>
          </c:val>
        </c:ser>
        <c:ser>
          <c:idx val="1"/>
          <c:order val="1"/>
          <c:tx>
            <c:strRef>
              <c:f>Charts!$B$796</c:f>
              <c:strCache>
                <c:ptCount val="1"/>
                <c:pt idx="0">
                  <c:v>Colocation</c:v>
                </c:pt>
              </c:strCache>
            </c:strRef>
          </c:tx>
          <c:spPr>
            <a:solidFill>
              <a:srgbClr val="EACC80"/>
            </a:solidFill>
            <a:ln>
              <a:noFill/>
            </a:ln>
          </c:spPr>
          <c:invertIfNegative val="0"/>
          <c:dLbls>
            <c:dLbl>
              <c:idx val="6"/>
              <c:layout>
                <c:manualLayout>
                  <c:x val="3.0372057706909645E-3"/>
                  <c:y val="-1.1016607318670548E-2"/>
                </c:manualLayout>
              </c:layout>
              <c:dLblPos val="ctr"/>
              <c:showLegendKey val="0"/>
              <c:showVal val="1"/>
              <c:showCatName val="0"/>
              <c:showSerName val="0"/>
              <c:showPercent val="0"/>
              <c:showBubbleSize val="0"/>
            </c:dLbl>
            <c:txPr>
              <a:bodyPr/>
              <a:lstStyle/>
              <a:p>
                <a:pPr>
                  <a:defRPr sz="1000" b="0" i="0" u="none" strike="noStrike" baseline="0">
                    <a:solidFill>
                      <a:srgbClr val="000000"/>
                    </a:solidFill>
                    <a:latin typeface="Calibri"/>
                    <a:ea typeface="Calibri"/>
                    <a:cs typeface="Calibri"/>
                  </a:defRPr>
                </a:pPr>
                <a:endParaRPr lang="en-US"/>
              </a:p>
            </c:txPr>
            <c:dLblPos val="ctr"/>
            <c:showLegendKey val="0"/>
            <c:showVal val="1"/>
            <c:showCatName val="0"/>
            <c:showSerName val="0"/>
            <c:showPercent val="0"/>
            <c:showBubbleSize val="0"/>
            <c:showLeaderLines val="0"/>
          </c:dLbls>
          <c:cat>
            <c:strRef>
              <c:f>Charts!$AL$3:$AO$3</c:f>
              <c:strCache>
                <c:ptCount val="4"/>
                <c:pt idx="0">
                  <c:v>3Q17</c:v>
                </c:pt>
                <c:pt idx="1">
                  <c:v>4Q17</c:v>
                </c:pt>
                <c:pt idx="2">
                  <c:v>1Q18</c:v>
                </c:pt>
                <c:pt idx="3">
                  <c:v>2Q18</c:v>
                </c:pt>
              </c:strCache>
            </c:strRef>
          </c:cat>
          <c:val>
            <c:numRef>
              <c:f>Charts!$AL$796:$AO$796</c:f>
              <c:numCache>
                <c:formatCode>#,##0.0_);\(#,##0.0\)</c:formatCode>
                <c:ptCount val="4"/>
                <c:pt idx="0">
                  <c:v>0.3</c:v>
                </c:pt>
                <c:pt idx="1">
                  <c:v>0.217</c:v>
                </c:pt>
                <c:pt idx="2">
                  <c:v>0.26900000000000002</c:v>
                </c:pt>
                <c:pt idx="3">
                  <c:v>0.224</c:v>
                </c:pt>
              </c:numCache>
            </c:numRef>
          </c:val>
        </c:ser>
        <c:ser>
          <c:idx val="4"/>
          <c:order val="2"/>
          <c:tx>
            <c:strRef>
              <c:f>Charts!$B$797</c:f>
              <c:strCache>
                <c:ptCount val="1"/>
                <c:pt idx="0">
                  <c:v>Transport</c:v>
                </c:pt>
              </c:strCache>
            </c:strRef>
          </c:tx>
          <c:spPr>
            <a:solidFill>
              <a:srgbClr val="A8D7E2"/>
            </a:solidFill>
          </c:spPr>
          <c:invertIfNegative val="0"/>
          <c:dLbls>
            <c:dLbl>
              <c:idx val="6"/>
              <c:layout>
                <c:manualLayout>
                  <c:x val="-2.1260440394836749E-2"/>
                  <c:y val="0.11567432667522839"/>
                </c:manualLayout>
              </c:layout>
              <c:dLblPos val="ctr"/>
              <c:showLegendKey val="0"/>
              <c:showVal val="1"/>
              <c:showCatName val="0"/>
              <c:showSerName val="0"/>
              <c:showPercent val="0"/>
              <c:showBubbleSize val="0"/>
            </c:dLbl>
            <c:dLbl>
              <c:idx val="7"/>
              <c:layout>
                <c:manualLayout>
                  <c:x val="0"/>
                  <c:y val="9.3641121594232504E-2"/>
                </c:manualLayout>
              </c:layout>
              <c:dLblPos val="ctr"/>
              <c:showLegendKey val="0"/>
              <c:showVal val="1"/>
              <c:showCatName val="0"/>
              <c:showSerName val="0"/>
              <c:showPercent val="0"/>
              <c:showBubbleSize val="0"/>
            </c:dLbl>
            <c:txPr>
              <a:bodyPr/>
              <a:lstStyle/>
              <a:p>
                <a:pPr>
                  <a:defRPr sz="1000" b="0" i="0" u="none" strike="noStrike" baseline="0">
                    <a:solidFill>
                      <a:srgbClr val="000000"/>
                    </a:solidFill>
                    <a:latin typeface="Calibri"/>
                    <a:ea typeface="Calibri"/>
                    <a:cs typeface="Calibri"/>
                  </a:defRPr>
                </a:pPr>
                <a:endParaRPr lang="en-US"/>
              </a:p>
            </c:txPr>
            <c:dLblPos val="ctr"/>
            <c:showLegendKey val="0"/>
            <c:showVal val="1"/>
            <c:showCatName val="0"/>
            <c:showSerName val="0"/>
            <c:showPercent val="0"/>
            <c:showBubbleSize val="0"/>
            <c:showLeaderLines val="0"/>
          </c:dLbls>
          <c:cat>
            <c:strRef>
              <c:f>Charts!$AL$3:$AO$3</c:f>
              <c:strCache>
                <c:ptCount val="4"/>
                <c:pt idx="0">
                  <c:v>3Q17</c:v>
                </c:pt>
                <c:pt idx="1">
                  <c:v>4Q17</c:v>
                </c:pt>
                <c:pt idx="2">
                  <c:v>1Q18</c:v>
                </c:pt>
                <c:pt idx="3">
                  <c:v>2Q18</c:v>
                </c:pt>
              </c:strCache>
            </c:strRef>
          </c:cat>
          <c:val>
            <c:numRef>
              <c:f>Charts!$AL$797:$AO$797</c:f>
              <c:numCache>
                <c:formatCode>#,##0.0_);\(#,##0.0\)</c:formatCode>
                <c:ptCount val="4"/>
                <c:pt idx="0">
                  <c:v>0</c:v>
                </c:pt>
                <c:pt idx="1">
                  <c:v>-3.5999999999999997E-2</c:v>
                </c:pt>
                <c:pt idx="2">
                  <c:v>5.5E-2</c:v>
                </c:pt>
                <c:pt idx="3">
                  <c:v>-9.2999999999999999E-2</c:v>
                </c:pt>
              </c:numCache>
            </c:numRef>
          </c:val>
        </c:ser>
        <c:ser>
          <c:idx val="5"/>
          <c:order val="3"/>
          <c:tx>
            <c:strRef>
              <c:f>Charts!$B$798</c:f>
              <c:strCache>
                <c:ptCount val="1"/>
                <c:pt idx="0">
                  <c:v>Enterprise Networks</c:v>
                </c:pt>
              </c:strCache>
            </c:strRef>
          </c:tx>
          <c:invertIfNegative val="0"/>
          <c:cat>
            <c:strRef>
              <c:f>Charts!$AL$3:$AO$3</c:f>
              <c:strCache>
                <c:ptCount val="4"/>
                <c:pt idx="0">
                  <c:v>3Q17</c:v>
                </c:pt>
                <c:pt idx="1">
                  <c:v>4Q17</c:v>
                </c:pt>
                <c:pt idx="2">
                  <c:v>1Q18</c:v>
                </c:pt>
                <c:pt idx="3">
                  <c:v>2Q18</c:v>
                </c:pt>
              </c:strCache>
            </c:strRef>
          </c:cat>
          <c:val>
            <c:numRef>
              <c:f>Charts!$AL$798:$AO$798</c:f>
              <c:numCache>
                <c:formatCode>#,##0.0_);\(#,##0.0\)</c:formatCode>
                <c:ptCount val="4"/>
                <c:pt idx="0">
                  <c:v>0.2</c:v>
                </c:pt>
                <c:pt idx="1">
                  <c:v>0.17</c:v>
                </c:pt>
                <c:pt idx="2">
                  <c:v>-0.45100000000000001</c:v>
                </c:pt>
                <c:pt idx="3">
                  <c:v>-4.9000000000000002E-2</c:v>
                </c:pt>
              </c:numCache>
            </c:numRef>
          </c:val>
        </c:ser>
        <c:ser>
          <c:idx val="2"/>
          <c:order val="4"/>
          <c:tx>
            <c:strRef>
              <c:f>Charts!$B$799</c:f>
              <c:strCache>
                <c:ptCount val="1"/>
                <c:pt idx="0">
                  <c:v>Other</c:v>
                </c:pt>
              </c:strCache>
            </c:strRef>
          </c:tx>
          <c:spPr>
            <a:solidFill>
              <a:srgbClr val="4AAC6B"/>
            </a:solidFill>
          </c:spPr>
          <c:invertIfNegative val="0"/>
          <c:dLbls>
            <c:dLbl>
              <c:idx val="6"/>
              <c:layout>
                <c:manualLayout>
                  <c:x val="0"/>
                  <c:y val="2.2129067795507478E-2"/>
                </c:manualLayout>
              </c:layout>
              <c:dLblPos val="ctr"/>
              <c:showLegendKey val="0"/>
              <c:showVal val="1"/>
              <c:showCatName val="0"/>
              <c:showSerName val="0"/>
              <c:showPercent val="0"/>
              <c:showBubbleSize val="0"/>
            </c:dLbl>
            <c:dLbl>
              <c:idx val="7"/>
              <c:layout>
                <c:manualLayout>
                  <c:x val="-7.289341679670451E-2"/>
                  <c:y val="0.11567432667522839"/>
                </c:manualLayout>
              </c:layout>
              <c:dLblPos val="ctr"/>
              <c:showLegendKey val="0"/>
              <c:showVal val="1"/>
              <c:showCatName val="0"/>
              <c:showSerName val="0"/>
              <c:showPercent val="0"/>
              <c:showBubbleSize val="0"/>
            </c:dLbl>
            <c:txPr>
              <a:bodyPr/>
              <a:lstStyle/>
              <a:p>
                <a:pPr>
                  <a:defRPr sz="1000" b="0" i="0" u="none" strike="noStrike" baseline="0">
                    <a:solidFill>
                      <a:srgbClr val="000000"/>
                    </a:solidFill>
                    <a:latin typeface="Calibri"/>
                    <a:ea typeface="Calibri"/>
                    <a:cs typeface="Calibri"/>
                  </a:defRPr>
                </a:pPr>
                <a:endParaRPr lang="en-US"/>
              </a:p>
            </c:txPr>
            <c:showLegendKey val="0"/>
            <c:showVal val="1"/>
            <c:showCatName val="0"/>
            <c:showSerName val="0"/>
            <c:showPercent val="0"/>
            <c:showBubbleSize val="0"/>
            <c:showLeaderLines val="0"/>
          </c:dLbls>
          <c:cat>
            <c:strRef>
              <c:f>Charts!$AL$3:$AO$3</c:f>
              <c:strCache>
                <c:ptCount val="4"/>
                <c:pt idx="0">
                  <c:v>3Q17</c:v>
                </c:pt>
                <c:pt idx="1">
                  <c:v>4Q17</c:v>
                </c:pt>
                <c:pt idx="2">
                  <c:v>1Q18</c:v>
                </c:pt>
                <c:pt idx="3">
                  <c:v>2Q18</c:v>
                </c:pt>
              </c:strCache>
            </c:strRef>
          </c:cat>
          <c:val>
            <c:numRef>
              <c:f>Charts!$AL$799:$AO$799</c:f>
              <c:numCache>
                <c:formatCode>#,##0.0_);\(#,##0.0\)</c:formatCode>
                <c:ptCount val="4"/>
                <c:pt idx="0">
                  <c:v>0.21759999999999979</c:v>
                </c:pt>
                <c:pt idx="1">
                  <c:v>2.5000000000000355E-2</c:v>
                </c:pt>
                <c:pt idx="2">
                  <c:v>4.6000000000000485E-2</c:v>
                </c:pt>
                <c:pt idx="3">
                  <c:v>0.23399999999999965</c:v>
                </c:pt>
              </c:numCache>
            </c:numRef>
          </c:val>
        </c:ser>
        <c:ser>
          <c:idx val="3"/>
          <c:order val="5"/>
          <c:tx>
            <c:strRef>
              <c:f>Charts!$B$800</c:f>
              <c:strCache>
                <c:ptCount val="1"/>
                <c:pt idx="0">
                  <c:v>Total</c:v>
                </c:pt>
              </c:strCache>
            </c:strRef>
          </c:tx>
          <c:spPr>
            <a:noFill/>
            <a:ln>
              <a:noFill/>
            </a:ln>
          </c:spPr>
          <c:invertIfNegative val="0"/>
          <c:dLbls>
            <c:dLbl>
              <c:idx val="6"/>
              <c:layout>
                <c:manualLayout>
                  <c:x val="0"/>
                  <c:y val="0.15353963508573237"/>
                </c:manualLayout>
              </c:layout>
              <c:dLblPos val="ctr"/>
              <c:showLegendKey val="0"/>
              <c:showVal val="1"/>
              <c:showCatName val="0"/>
              <c:showSerName val="0"/>
              <c:showPercent val="0"/>
              <c:showBubbleSize val="0"/>
            </c:dLbl>
            <c:txPr>
              <a:bodyPr/>
              <a:lstStyle/>
              <a:p>
                <a:pPr>
                  <a:defRPr sz="1000" b="0" i="0" u="none" strike="noStrike" baseline="0">
                    <a:solidFill>
                      <a:srgbClr val="000000"/>
                    </a:solidFill>
                    <a:latin typeface="Calibri"/>
                    <a:ea typeface="Calibri"/>
                    <a:cs typeface="Calibri"/>
                  </a:defRPr>
                </a:pPr>
                <a:endParaRPr lang="en-US"/>
              </a:p>
            </c:txPr>
            <c:dLblPos val="inBase"/>
            <c:showLegendKey val="0"/>
            <c:showVal val="1"/>
            <c:showCatName val="0"/>
            <c:showSerName val="0"/>
            <c:showPercent val="0"/>
            <c:showBubbleSize val="0"/>
            <c:showLeaderLines val="0"/>
          </c:dLbls>
          <c:cat>
            <c:strRef>
              <c:f>Charts!$AL$3:$AO$3</c:f>
              <c:strCache>
                <c:ptCount val="4"/>
                <c:pt idx="0">
                  <c:v>3Q17</c:v>
                </c:pt>
                <c:pt idx="1">
                  <c:v>4Q17</c:v>
                </c:pt>
                <c:pt idx="2">
                  <c:v>1Q18</c:v>
                </c:pt>
                <c:pt idx="3">
                  <c:v>2Q18</c:v>
                </c:pt>
              </c:strCache>
            </c:strRef>
          </c:cat>
          <c:val>
            <c:numRef>
              <c:f>Charts!$AL$800:$AO$800</c:f>
              <c:numCache>
                <c:formatCode>#,##0.0_);\(#,##0.0\)</c:formatCode>
                <c:ptCount val="4"/>
                <c:pt idx="0">
                  <c:v>1.5</c:v>
                </c:pt>
                <c:pt idx="1">
                  <c:v>1.3999999999999995</c:v>
                </c:pt>
                <c:pt idx="2">
                  <c:v>1.2000000000000002</c:v>
                </c:pt>
                <c:pt idx="3">
                  <c:v>1.5999999999999996</c:v>
                </c:pt>
              </c:numCache>
            </c:numRef>
          </c:val>
        </c:ser>
        <c:dLbls>
          <c:showLegendKey val="0"/>
          <c:showVal val="0"/>
          <c:showCatName val="0"/>
          <c:showSerName val="0"/>
          <c:showPercent val="0"/>
          <c:showBubbleSize val="0"/>
        </c:dLbls>
        <c:gapWidth val="150"/>
        <c:overlap val="100"/>
        <c:axId val="651669888"/>
        <c:axId val="651671424"/>
      </c:barChart>
      <c:catAx>
        <c:axId val="651669888"/>
        <c:scaling>
          <c:orientation val="minMax"/>
        </c:scaling>
        <c:delete val="0"/>
        <c:axPos val="b"/>
        <c:numFmt formatCode="General" sourceLinked="1"/>
        <c:majorTickMark val="out"/>
        <c:minorTickMark val="none"/>
        <c:tickLblPos val="low"/>
        <c:txPr>
          <a:bodyPr rot="0" vert="horz"/>
          <a:lstStyle/>
          <a:p>
            <a:pPr>
              <a:defRPr sz="1000" b="0" i="0" u="none" strike="noStrike" baseline="0">
                <a:solidFill>
                  <a:srgbClr val="000000"/>
                </a:solidFill>
                <a:latin typeface="Calibri"/>
                <a:ea typeface="Calibri"/>
                <a:cs typeface="Calibri"/>
              </a:defRPr>
            </a:pPr>
            <a:endParaRPr lang="en-US"/>
          </a:p>
        </c:txPr>
        <c:crossAx val="651671424"/>
        <c:crosses val="autoZero"/>
        <c:auto val="1"/>
        <c:lblAlgn val="ctr"/>
        <c:lblOffset val="100"/>
        <c:noMultiLvlLbl val="0"/>
      </c:catAx>
      <c:valAx>
        <c:axId val="651671424"/>
        <c:scaling>
          <c:orientation val="minMax"/>
          <c:max val="2"/>
        </c:scaling>
        <c:delete val="0"/>
        <c:axPos val="l"/>
        <c:majorGridlines>
          <c:spPr>
            <a:ln>
              <a:solidFill>
                <a:schemeClr val="bg1">
                  <a:lumMod val="90000"/>
                </a:schemeClr>
              </a:solidFill>
            </a:ln>
          </c:spPr>
        </c:majorGridlines>
        <c:numFmt formatCode="\$#,##0_);\(\$#,##0\)" sourceLinked="0"/>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651669888"/>
        <c:crosses val="autoZero"/>
        <c:crossBetween val="between"/>
        <c:majorUnit val="1"/>
      </c:valAx>
      <c:spPr>
        <a:noFill/>
        <a:ln w="25400">
          <a:noFill/>
        </a:ln>
      </c:spPr>
    </c:plotArea>
    <c:legend>
      <c:legendPos val="t"/>
      <c:legendEntry>
        <c:idx val="5"/>
        <c:delete val="1"/>
      </c:legendEntry>
      <c:layout>
        <c:manualLayout>
          <c:xMode val="edge"/>
          <c:yMode val="edge"/>
          <c:x val="0.32275309549859799"/>
          <c:y val="1.8518425196850395E-2"/>
          <c:w val="0.67724690450140201"/>
          <c:h val="0.18561240382701158"/>
        </c:manualLayout>
      </c:layout>
      <c:overlay val="0"/>
      <c:txPr>
        <a:bodyPr/>
        <a:lstStyle/>
        <a:p>
          <a:pPr>
            <a:defRPr sz="1000" b="0" i="0" u="none" strike="noStrike" baseline="0">
              <a:solidFill>
                <a:srgbClr val="000000"/>
              </a:solidFill>
              <a:latin typeface="Calibri"/>
              <a:ea typeface="Calibri"/>
              <a:cs typeface="Calibri"/>
            </a:defRPr>
          </a:pPr>
          <a:endParaRPr lang="en-US"/>
        </a:p>
      </c:txPr>
    </c:legend>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orientation="portrait"/>
  </c:printSettings>
</c:chartSpace>
</file>

<file path=xl/charts/chart3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Calibri"/>
                <a:ea typeface="Calibri"/>
                <a:cs typeface="Calibri"/>
              </a:defRPr>
            </a:pPr>
            <a:r>
              <a:rPr lang="en-US"/>
              <a:t> BOOKINGS</a:t>
            </a:r>
          </a:p>
        </c:rich>
      </c:tx>
      <c:layout>
        <c:manualLayout>
          <c:xMode val="edge"/>
          <c:yMode val="edge"/>
          <c:x val="2.3604110989543161E-4"/>
          <c:y val="2.872020997375328E-3"/>
        </c:manualLayout>
      </c:layout>
      <c:overlay val="1"/>
    </c:title>
    <c:autoTitleDeleted val="0"/>
    <c:plotArea>
      <c:layout/>
      <c:barChart>
        <c:barDir val="col"/>
        <c:grouping val="clustered"/>
        <c:varyColors val="0"/>
        <c:ser>
          <c:idx val="0"/>
          <c:order val="0"/>
          <c:tx>
            <c:strRef>
              <c:f>Charts!$B$674</c:f>
              <c:strCache>
                <c:ptCount val="1"/>
                <c:pt idx="0">
                  <c:v>Total</c:v>
                </c:pt>
              </c:strCache>
            </c:strRef>
          </c:tx>
          <c:spPr>
            <a:solidFill>
              <a:srgbClr val="137CB1"/>
            </a:solidFill>
            <a:ln>
              <a:noFill/>
            </a:ln>
          </c:spPr>
          <c:invertIfNegative val="0"/>
          <c:dLbls>
            <c:numFmt formatCode="#,##0.0_);\(#,##0.0\)" sourceLinked="0"/>
            <c:txPr>
              <a:bodyPr/>
              <a:lstStyle/>
              <a:p>
                <a:pPr>
                  <a:defRPr sz="1000" b="0" i="0" u="none" strike="noStrike" baseline="0">
                    <a:solidFill>
                      <a:srgbClr val="000000"/>
                    </a:solidFill>
                    <a:latin typeface="Calibri"/>
                    <a:ea typeface="Calibri"/>
                    <a:cs typeface="Calibri"/>
                  </a:defRPr>
                </a:pPr>
                <a:endParaRPr lang="en-US"/>
              </a:p>
            </c:txPr>
            <c:showLegendKey val="0"/>
            <c:showVal val="1"/>
            <c:showCatName val="0"/>
            <c:showSerName val="0"/>
            <c:showPercent val="0"/>
            <c:showBubbleSize val="0"/>
            <c:showLeaderLines val="0"/>
          </c:dLbls>
          <c:cat>
            <c:strRef>
              <c:f>Charts!$AH$3:$AO$3</c:f>
              <c:strCache>
                <c:ptCount val="8"/>
                <c:pt idx="0">
                  <c:v>3Q16</c:v>
                </c:pt>
                <c:pt idx="1">
                  <c:v>4Q16</c:v>
                </c:pt>
                <c:pt idx="2">
                  <c:v>1Q17</c:v>
                </c:pt>
                <c:pt idx="3">
                  <c:v>2Q17</c:v>
                </c:pt>
                <c:pt idx="4">
                  <c:v>3Q17</c:v>
                </c:pt>
                <c:pt idx="5">
                  <c:v>4Q17</c:v>
                </c:pt>
                <c:pt idx="6">
                  <c:v>1Q18</c:v>
                </c:pt>
                <c:pt idx="7">
                  <c:v>2Q18</c:v>
                </c:pt>
              </c:strCache>
            </c:strRef>
          </c:cat>
          <c:val>
            <c:numRef>
              <c:f>Charts!$AH$674:$AO$674</c:f>
              <c:numCache>
                <c:formatCode>#,##0.0_);\(#,##0.0\)</c:formatCode>
                <c:ptCount val="8"/>
                <c:pt idx="0">
                  <c:v>6.9729999999999999</c:v>
                </c:pt>
                <c:pt idx="1">
                  <c:v>6.4379999999999997</c:v>
                </c:pt>
                <c:pt idx="2">
                  <c:v>7.2210000000000001</c:v>
                </c:pt>
                <c:pt idx="3">
                  <c:v>5.2460000000000004</c:v>
                </c:pt>
                <c:pt idx="4">
                  <c:v>6.9</c:v>
                </c:pt>
                <c:pt idx="5">
                  <c:v>7.5</c:v>
                </c:pt>
                <c:pt idx="6">
                  <c:v>7.6</c:v>
                </c:pt>
                <c:pt idx="7">
                  <c:v>7.9</c:v>
                </c:pt>
              </c:numCache>
            </c:numRef>
          </c:val>
        </c:ser>
        <c:dLbls>
          <c:showLegendKey val="0"/>
          <c:showVal val="0"/>
          <c:showCatName val="0"/>
          <c:showSerName val="0"/>
          <c:showPercent val="0"/>
          <c:showBubbleSize val="0"/>
        </c:dLbls>
        <c:gapWidth val="150"/>
        <c:axId val="655906304"/>
        <c:axId val="655907840"/>
      </c:barChart>
      <c:catAx>
        <c:axId val="655906304"/>
        <c:scaling>
          <c:orientation val="minMax"/>
        </c:scaling>
        <c:delete val="0"/>
        <c:axPos val="b"/>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655907840"/>
        <c:crosses val="autoZero"/>
        <c:auto val="1"/>
        <c:lblAlgn val="ctr"/>
        <c:lblOffset val="100"/>
        <c:noMultiLvlLbl val="0"/>
      </c:catAx>
      <c:valAx>
        <c:axId val="655907840"/>
        <c:scaling>
          <c:orientation val="minMax"/>
          <c:max val="8"/>
        </c:scaling>
        <c:delete val="0"/>
        <c:axPos val="l"/>
        <c:majorGridlines>
          <c:spPr>
            <a:ln>
              <a:solidFill>
                <a:schemeClr val="bg1">
                  <a:lumMod val="90000"/>
                </a:schemeClr>
              </a:solidFill>
            </a:ln>
          </c:spPr>
        </c:majorGridlines>
        <c:numFmt formatCode="\$#,##0_);\(\$#,##0\)" sourceLinked="0"/>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655906304"/>
        <c:crosses val="autoZero"/>
        <c:crossBetween val="between"/>
      </c:valAx>
      <c:spPr>
        <a:noFill/>
        <a:ln w="25400">
          <a:noFill/>
        </a:ln>
      </c:spPr>
    </c:plotArea>
    <c:legend>
      <c:legendPos val="t"/>
      <c:layout>
        <c:manualLayout>
          <c:xMode val="edge"/>
          <c:yMode val="edge"/>
          <c:x val="0.86641292845228057"/>
          <c:y val="1.9933987101027496E-3"/>
          <c:w val="0.11985403874629566"/>
          <c:h val="9.4185316879313946E-2"/>
        </c:manualLayout>
      </c:layout>
      <c:overlay val="0"/>
      <c:txPr>
        <a:bodyPr/>
        <a:lstStyle/>
        <a:p>
          <a:pPr>
            <a:defRPr sz="1000" b="0" i="0" u="none" strike="noStrike" baseline="0">
              <a:solidFill>
                <a:srgbClr val="000000"/>
              </a:solidFill>
              <a:latin typeface="Calibri"/>
              <a:ea typeface="Calibri"/>
              <a:cs typeface="Calibri"/>
            </a:defRPr>
          </a:pPr>
          <a:endParaRPr lang="en-US"/>
        </a:p>
      </c:txPr>
    </c:legend>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orientation="portrait"/>
  </c:printSettings>
</c:chartSpace>
</file>

<file path=xl/charts/chart3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Calibri"/>
                <a:ea typeface="Calibri"/>
                <a:cs typeface="Calibri"/>
              </a:defRPr>
            </a:pPr>
            <a:r>
              <a:rPr lang="en-US"/>
              <a:t>CHURN</a:t>
            </a:r>
          </a:p>
        </c:rich>
      </c:tx>
      <c:layout>
        <c:manualLayout>
          <c:xMode val="edge"/>
          <c:yMode val="edge"/>
          <c:x val="2.3604110989543161E-4"/>
          <c:y val="2.872020997375328E-3"/>
        </c:manualLayout>
      </c:layout>
      <c:overlay val="1"/>
    </c:title>
    <c:autoTitleDeleted val="0"/>
    <c:plotArea>
      <c:layout/>
      <c:barChart>
        <c:barDir val="col"/>
        <c:grouping val="clustered"/>
        <c:varyColors val="0"/>
        <c:ser>
          <c:idx val="0"/>
          <c:order val="0"/>
          <c:tx>
            <c:strRef>
              <c:f>Charts!$B$733</c:f>
              <c:strCache>
                <c:ptCount val="1"/>
                <c:pt idx="0">
                  <c:v>Total</c:v>
                </c:pt>
              </c:strCache>
            </c:strRef>
          </c:tx>
          <c:spPr>
            <a:solidFill>
              <a:srgbClr val="137CB1"/>
            </a:solidFill>
            <a:ln>
              <a:noFill/>
            </a:ln>
          </c:spPr>
          <c:invertIfNegative val="0"/>
          <c:dLbls>
            <c:numFmt formatCode="#,##0.0_);\(#,##0.0\)" sourceLinked="0"/>
            <c:txPr>
              <a:bodyPr/>
              <a:lstStyle/>
              <a:p>
                <a:pPr>
                  <a:defRPr sz="1000" b="0" i="0" u="none" strike="noStrike" baseline="0">
                    <a:solidFill>
                      <a:srgbClr val="000000"/>
                    </a:solidFill>
                    <a:latin typeface="Calibri"/>
                    <a:ea typeface="Calibri"/>
                    <a:cs typeface="Calibri"/>
                  </a:defRPr>
                </a:pPr>
                <a:endParaRPr lang="en-US"/>
              </a:p>
            </c:txPr>
            <c:showLegendKey val="0"/>
            <c:showVal val="1"/>
            <c:showCatName val="0"/>
            <c:showSerName val="0"/>
            <c:showPercent val="0"/>
            <c:showBubbleSize val="0"/>
            <c:showLeaderLines val="0"/>
          </c:dLbls>
          <c:cat>
            <c:strRef>
              <c:f>Charts!$AH$3:$AO$3</c:f>
              <c:strCache>
                <c:ptCount val="8"/>
                <c:pt idx="0">
                  <c:v>3Q16</c:v>
                </c:pt>
                <c:pt idx="1">
                  <c:v>4Q16</c:v>
                </c:pt>
                <c:pt idx="2">
                  <c:v>1Q17</c:v>
                </c:pt>
                <c:pt idx="3">
                  <c:v>2Q17</c:v>
                </c:pt>
                <c:pt idx="4">
                  <c:v>3Q17</c:v>
                </c:pt>
                <c:pt idx="5">
                  <c:v>4Q17</c:v>
                </c:pt>
                <c:pt idx="6">
                  <c:v>1Q18</c:v>
                </c:pt>
                <c:pt idx="7">
                  <c:v>2Q18</c:v>
                </c:pt>
              </c:strCache>
            </c:strRef>
          </c:cat>
          <c:val>
            <c:numRef>
              <c:f>Charts!$AH$733:$AO$733</c:f>
              <c:numCache>
                <c:formatCode>#,##0.0_);\(#,##0.0\)</c:formatCode>
                <c:ptCount val="8"/>
                <c:pt idx="0">
                  <c:v>3.7229999999999999</c:v>
                </c:pt>
                <c:pt idx="1">
                  <c:v>4.0890000000000004</c:v>
                </c:pt>
                <c:pt idx="2">
                  <c:v>4.2270000000000003</c:v>
                </c:pt>
                <c:pt idx="3">
                  <c:v>4.7439999999999998</c:v>
                </c:pt>
                <c:pt idx="4">
                  <c:v>5.6</c:v>
                </c:pt>
                <c:pt idx="5">
                  <c:v>5.9</c:v>
                </c:pt>
                <c:pt idx="6">
                  <c:v>6.1</c:v>
                </c:pt>
                <c:pt idx="7">
                  <c:v>6</c:v>
                </c:pt>
              </c:numCache>
            </c:numRef>
          </c:val>
        </c:ser>
        <c:dLbls>
          <c:showLegendKey val="0"/>
          <c:showVal val="0"/>
          <c:showCatName val="0"/>
          <c:showSerName val="0"/>
          <c:showPercent val="0"/>
          <c:showBubbleSize val="0"/>
        </c:dLbls>
        <c:gapWidth val="150"/>
        <c:axId val="655924608"/>
        <c:axId val="655934592"/>
      </c:barChart>
      <c:catAx>
        <c:axId val="655924608"/>
        <c:scaling>
          <c:orientation val="minMax"/>
        </c:scaling>
        <c:delete val="0"/>
        <c:axPos val="b"/>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655934592"/>
        <c:crosses val="autoZero"/>
        <c:auto val="1"/>
        <c:lblAlgn val="ctr"/>
        <c:lblOffset val="100"/>
        <c:noMultiLvlLbl val="0"/>
      </c:catAx>
      <c:valAx>
        <c:axId val="655934592"/>
        <c:scaling>
          <c:orientation val="minMax"/>
        </c:scaling>
        <c:delete val="0"/>
        <c:axPos val="l"/>
        <c:majorGridlines>
          <c:spPr>
            <a:ln>
              <a:solidFill>
                <a:schemeClr val="bg1">
                  <a:lumMod val="90000"/>
                </a:schemeClr>
              </a:solidFill>
            </a:ln>
          </c:spPr>
        </c:majorGridlines>
        <c:numFmt formatCode="\$#,##0_);\(\$#,##0\)" sourceLinked="0"/>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655924608"/>
        <c:crosses val="autoZero"/>
        <c:crossBetween val="between"/>
      </c:valAx>
      <c:spPr>
        <a:noFill/>
        <a:ln w="25400">
          <a:noFill/>
        </a:ln>
      </c:spPr>
    </c:plotArea>
    <c:legend>
      <c:legendPos val="t"/>
      <c:layout>
        <c:manualLayout>
          <c:xMode val="edge"/>
          <c:yMode val="edge"/>
          <c:x val="0.86641292845228057"/>
          <c:y val="1.9933987101027496E-3"/>
          <c:w val="0.11985403874629566"/>
          <c:h val="9.4185316879313946E-2"/>
        </c:manualLayout>
      </c:layout>
      <c:overlay val="0"/>
      <c:txPr>
        <a:bodyPr/>
        <a:lstStyle/>
        <a:p>
          <a:pPr>
            <a:defRPr sz="1000" b="0" i="0" u="none" strike="noStrike" baseline="0">
              <a:solidFill>
                <a:srgbClr val="000000"/>
              </a:solidFill>
              <a:latin typeface="Calibri"/>
              <a:ea typeface="Calibri"/>
              <a:cs typeface="Calibri"/>
            </a:defRPr>
          </a:pPr>
          <a:endParaRPr lang="en-US"/>
        </a:p>
      </c:txPr>
    </c:legend>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orientation="portrait"/>
  </c:printSettings>
</c:chartSpace>
</file>

<file path=xl/charts/chart3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Calibri"/>
                <a:ea typeface="Calibri"/>
                <a:cs typeface="Calibri"/>
              </a:defRPr>
            </a:pPr>
            <a:r>
              <a:rPr lang="en-US"/>
              <a:t>NET INSTALLS</a:t>
            </a:r>
          </a:p>
        </c:rich>
      </c:tx>
      <c:layout>
        <c:manualLayout>
          <c:xMode val="edge"/>
          <c:yMode val="edge"/>
          <c:x val="2.3604110989543161E-4"/>
          <c:y val="2.8721249474108804E-3"/>
        </c:manualLayout>
      </c:layout>
      <c:overlay val="1"/>
    </c:title>
    <c:autoTitleDeleted val="0"/>
    <c:plotArea>
      <c:layout/>
      <c:barChart>
        <c:barDir val="col"/>
        <c:grouping val="clustered"/>
        <c:varyColors val="0"/>
        <c:ser>
          <c:idx val="0"/>
          <c:order val="0"/>
          <c:tx>
            <c:strRef>
              <c:f>Charts!$B$800</c:f>
              <c:strCache>
                <c:ptCount val="1"/>
                <c:pt idx="0">
                  <c:v>Total</c:v>
                </c:pt>
              </c:strCache>
            </c:strRef>
          </c:tx>
          <c:spPr>
            <a:solidFill>
              <a:srgbClr val="137CB1"/>
            </a:solidFill>
            <a:ln>
              <a:noFill/>
            </a:ln>
          </c:spPr>
          <c:invertIfNegative val="0"/>
          <c:dLbls>
            <c:numFmt formatCode="#,##0.0_);\(#,##0.0\)" sourceLinked="0"/>
            <c:txPr>
              <a:bodyPr/>
              <a:lstStyle/>
              <a:p>
                <a:pPr>
                  <a:defRPr sz="1000" b="0" i="0" u="none" strike="noStrike" baseline="0">
                    <a:solidFill>
                      <a:srgbClr val="000000"/>
                    </a:solidFill>
                    <a:latin typeface="Calibri"/>
                    <a:ea typeface="Calibri"/>
                    <a:cs typeface="Calibri"/>
                  </a:defRPr>
                </a:pPr>
                <a:endParaRPr lang="en-US"/>
              </a:p>
            </c:txPr>
            <c:showLegendKey val="0"/>
            <c:showVal val="1"/>
            <c:showCatName val="0"/>
            <c:showSerName val="0"/>
            <c:showPercent val="0"/>
            <c:showBubbleSize val="0"/>
            <c:showLeaderLines val="0"/>
          </c:dLbls>
          <c:cat>
            <c:strRef>
              <c:f>Charts!$AJ$3:$AQ$3</c:f>
              <c:strCache>
                <c:ptCount val="8"/>
                <c:pt idx="0">
                  <c:v>1Q17</c:v>
                </c:pt>
                <c:pt idx="1">
                  <c:v>2Q17</c:v>
                </c:pt>
                <c:pt idx="2">
                  <c:v>3Q17</c:v>
                </c:pt>
                <c:pt idx="3">
                  <c:v>4Q17</c:v>
                </c:pt>
                <c:pt idx="4">
                  <c:v>1Q18</c:v>
                </c:pt>
                <c:pt idx="5">
                  <c:v>2Q18</c:v>
                </c:pt>
                <c:pt idx="6">
                  <c:v>3Q18E</c:v>
                </c:pt>
                <c:pt idx="7">
                  <c:v>4Q18E</c:v>
                </c:pt>
              </c:strCache>
            </c:strRef>
          </c:cat>
          <c:val>
            <c:numRef>
              <c:f>Charts!$AJ$800:$AQ$800</c:f>
              <c:numCache>
                <c:formatCode>#,##0.0_);\(#,##0.0\)</c:formatCode>
                <c:ptCount val="8"/>
                <c:pt idx="0">
                  <c:v>2.2549999999999999</c:v>
                </c:pt>
                <c:pt idx="1">
                  <c:v>1.9860000000000007</c:v>
                </c:pt>
                <c:pt idx="2">
                  <c:v>1.5</c:v>
                </c:pt>
                <c:pt idx="3">
                  <c:v>1.3999999999999995</c:v>
                </c:pt>
                <c:pt idx="4">
                  <c:v>1.2000000000000002</c:v>
                </c:pt>
                <c:pt idx="5">
                  <c:v>1.5999999999999996</c:v>
                </c:pt>
                <c:pt idx="6">
                  <c:v>1.7921825865208074</c:v>
                </c:pt>
                <c:pt idx="7">
                  <c:v>1.9547036984242014</c:v>
                </c:pt>
              </c:numCache>
            </c:numRef>
          </c:val>
        </c:ser>
        <c:dLbls>
          <c:showLegendKey val="0"/>
          <c:showVal val="0"/>
          <c:showCatName val="0"/>
          <c:showSerName val="0"/>
          <c:showPercent val="0"/>
          <c:showBubbleSize val="0"/>
        </c:dLbls>
        <c:gapWidth val="150"/>
        <c:axId val="656287232"/>
        <c:axId val="656288768"/>
      </c:barChart>
      <c:catAx>
        <c:axId val="656287232"/>
        <c:scaling>
          <c:orientation val="minMax"/>
        </c:scaling>
        <c:delete val="0"/>
        <c:axPos val="b"/>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656288768"/>
        <c:crosses val="autoZero"/>
        <c:auto val="1"/>
        <c:lblAlgn val="ctr"/>
        <c:lblOffset val="100"/>
        <c:noMultiLvlLbl val="0"/>
      </c:catAx>
      <c:valAx>
        <c:axId val="656288768"/>
        <c:scaling>
          <c:orientation val="minMax"/>
          <c:max val="3"/>
        </c:scaling>
        <c:delete val="0"/>
        <c:axPos val="l"/>
        <c:majorGridlines>
          <c:spPr>
            <a:ln>
              <a:solidFill>
                <a:schemeClr val="bg1">
                  <a:lumMod val="90000"/>
                </a:schemeClr>
              </a:solidFill>
            </a:ln>
          </c:spPr>
        </c:majorGridlines>
        <c:numFmt formatCode="\$#,##0_);\(\$#,##0\)" sourceLinked="0"/>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656287232"/>
        <c:crosses val="autoZero"/>
        <c:crossBetween val="between"/>
        <c:majorUnit val="1"/>
      </c:valAx>
      <c:spPr>
        <a:noFill/>
        <a:ln w="25400">
          <a:noFill/>
        </a:ln>
      </c:spPr>
    </c:plotArea>
    <c:legend>
      <c:legendPos val="t"/>
      <c:layout>
        <c:manualLayout>
          <c:xMode val="edge"/>
          <c:yMode val="edge"/>
          <c:x val="0.86641292845228057"/>
          <c:y val="1.9933987101027496E-3"/>
          <c:w val="0.11985403874629566"/>
          <c:h val="9.4185316879313946E-2"/>
        </c:manualLayout>
      </c:layout>
      <c:overlay val="0"/>
      <c:txPr>
        <a:bodyPr/>
        <a:lstStyle/>
        <a:p>
          <a:pPr>
            <a:defRPr sz="1000" b="0" i="0" u="none" strike="noStrike" baseline="0">
              <a:solidFill>
                <a:srgbClr val="000000"/>
              </a:solidFill>
              <a:latin typeface="Calibri"/>
              <a:ea typeface="Calibri"/>
              <a:cs typeface="Calibri"/>
            </a:defRPr>
          </a:pPr>
          <a:endParaRPr lang="en-US"/>
        </a:p>
      </c:txPr>
    </c:legend>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orientation="portrait"/>
  </c:printSettings>
</c:chartSpace>
</file>

<file path=xl/charts/chart3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Calibri"/>
                <a:ea typeface="Calibri"/>
                <a:cs typeface="Calibri"/>
              </a:defRPr>
            </a:pPr>
            <a:r>
              <a:rPr lang="en-US"/>
              <a:t>AFFO</a:t>
            </a:r>
          </a:p>
        </c:rich>
      </c:tx>
      <c:layout>
        <c:manualLayout>
          <c:xMode val="edge"/>
          <c:yMode val="edge"/>
          <c:x val="2.3604110989543161E-4"/>
          <c:y val="1.3888923884514437E-2"/>
        </c:manualLayout>
      </c:layout>
      <c:overlay val="1"/>
    </c:title>
    <c:autoTitleDeleted val="0"/>
    <c:plotArea>
      <c:layout>
        <c:manualLayout>
          <c:layoutTarget val="inner"/>
          <c:xMode val="edge"/>
          <c:yMode val="edge"/>
          <c:x val="0.11637305017966149"/>
          <c:y val="0.21033696071755412"/>
          <c:w val="0.85021768634273787"/>
          <c:h val="0.651670924397448"/>
        </c:manualLayout>
      </c:layout>
      <c:barChart>
        <c:barDir val="col"/>
        <c:grouping val="clustered"/>
        <c:varyColors val="0"/>
        <c:ser>
          <c:idx val="0"/>
          <c:order val="0"/>
          <c:tx>
            <c:strRef>
              <c:f>Charts!$B$237</c:f>
              <c:strCache>
                <c:ptCount val="1"/>
                <c:pt idx="0">
                  <c:v>AFFO</c:v>
                </c:pt>
              </c:strCache>
            </c:strRef>
          </c:tx>
          <c:spPr>
            <a:solidFill>
              <a:srgbClr val="1275A6"/>
            </a:solidFill>
            <a:ln>
              <a:noFill/>
            </a:ln>
          </c:spPr>
          <c:invertIfNegative val="0"/>
          <c:dLbls>
            <c:numFmt formatCode="\$#,##0_);\(\$#,##0\)" sourceLinked="0"/>
            <c:txPr>
              <a:bodyPr rot="-5400000" vert="horz"/>
              <a:lstStyle/>
              <a:p>
                <a:pPr algn="ctr">
                  <a:defRPr sz="1000" b="0" i="0" u="none" strike="noStrike" baseline="0">
                    <a:solidFill>
                      <a:srgbClr val="000000"/>
                    </a:solidFill>
                    <a:latin typeface="Calibri"/>
                    <a:ea typeface="Calibri"/>
                    <a:cs typeface="Calibri"/>
                  </a:defRPr>
                </a:pPr>
                <a:endParaRPr lang="en-US"/>
              </a:p>
            </c:txPr>
            <c:dLblPos val="outEnd"/>
            <c:showLegendKey val="0"/>
            <c:showVal val="1"/>
            <c:showCatName val="0"/>
            <c:showSerName val="0"/>
            <c:showPercent val="0"/>
            <c:showBubbleSize val="0"/>
            <c:showLeaderLines val="0"/>
          </c:dLbls>
          <c:cat>
            <c:strRef>
              <c:f>Charts!$H$3:$N$3</c:f>
              <c:strCache>
                <c:ptCount val="7"/>
                <c:pt idx="0">
                  <c:v>2014</c:v>
                </c:pt>
                <c:pt idx="1">
                  <c:v>2015</c:v>
                </c:pt>
                <c:pt idx="2">
                  <c:v>2016</c:v>
                </c:pt>
                <c:pt idx="3">
                  <c:v>2017</c:v>
                </c:pt>
                <c:pt idx="4">
                  <c:v>2018E</c:v>
                </c:pt>
                <c:pt idx="5">
                  <c:v>2019E</c:v>
                </c:pt>
                <c:pt idx="6">
                  <c:v>2020E</c:v>
                </c:pt>
              </c:strCache>
            </c:strRef>
          </c:cat>
          <c:val>
            <c:numRef>
              <c:f>Charts!$H$237:$N$237</c:f>
              <c:numCache>
                <c:formatCode>#,##0.0_);\(#,##0.0\)</c:formatCode>
                <c:ptCount val="7"/>
                <c:pt idx="0">
                  <c:v>335.14955717167567</c:v>
                </c:pt>
                <c:pt idx="1">
                  <c:v>480.09999999999997</c:v>
                </c:pt>
                <c:pt idx="2">
                  <c:v>567.5</c:v>
                </c:pt>
                <c:pt idx="3">
                  <c:v>710.40000000000009</c:v>
                </c:pt>
                <c:pt idx="4">
                  <c:v>802.66605982034173</c:v>
                </c:pt>
                <c:pt idx="5">
                  <c:v>860.73362112429345</c:v>
                </c:pt>
                <c:pt idx="6">
                  <c:v>929.3887670927686</c:v>
                </c:pt>
              </c:numCache>
            </c:numRef>
          </c:val>
        </c:ser>
        <c:dLbls>
          <c:showLegendKey val="0"/>
          <c:showVal val="0"/>
          <c:showCatName val="0"/>
          <c:showSerName val="0"/>
          <c:showPercent val="0"/>
          <c:showBubbleSize val="0"/>
        </c:dLbls>
        <c:gapWidth val="150"/>
        <c:axId val="656330112"/>
        <c:axId val="656336000"/>
      </c:barChart>
      <c:catAx>
        <c:axId val="656330112"/>
        <c:scaling>
          <c:orientation val="minMax"/>
        </c:scaling>
        <c:delete val="0"/>
        <c:axPos val="b"/>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656336000"/>
        <c:crosses val="autoZero"/>
        <c:auto val="1"/>
        <c:lblAlgn val="ctr"/>
        <c:lblOffset val="100"/>
        <c:noMultiLvlLbl val="0"/>
      </c:catAx>
      <c:valAx>
        <c:axId val="656336000"/>
        <c:scaling>
          <c:orientation val="minMax"/>
        </c:scaling>
        <c:delete val="0"/>
        <c:axPos val="l"/>
        <c:majorGridlines>
          <c:spPr>
            <a:ln>
              <a:solidFill>
                <a:schemeClr val="bg1">
                  <a:lumMod val="90000"/>
                </a:schemeClr>
              </a:solidFill>
            </a:ln>
          </c:spPr>
        </c:majorGridlines>
        <c:numFmt formatCode="\$#,##0_);\(\$#,##0\)" sourceLinked="0"/>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656330112"/>
        <c:crosses val="autoZero"/>
        <c:crossBetween val="between"/>
      </c:valAx>
      <c:spPr>
        <a:noFill/>
        <a:ln w="25400">
          <a:noFill/>
        </a:ln>
      </c:spPr>
    </c:plotArea>
    <c:legend>
      <c:legendPos val="t"/>
      <c:layout>
        <c:manualLayout>
          <c:xMode val="edge"/>
          <c:yMode val="edge"/>
          <c:x val="0.52597157701528763"/>
          <c:y val="1.9933987101027504E-3"/>
          <c:w val="0.47402842298471237"/>
          <c:h val="0.1085459317585302"/>
        </c:manualLayout>
      </c:layout>
      <c:overlay val="0"/>
      <c:txPr>
        <a:bodyPr/>
        <a:lstStyle/>
        <a:p>
          <a:pPr>
            <a:defRPr sz="1000" b="0" i="0" u="none" strike="noStrike" baseline="0">
              <a:solidFill>
                <a:srgbClr val="000000"/>
              </a:solidFill>
              <a:latin typeface="Calibri"/>
              <a:ea typeface="Calibri"/>
              <a:cs typeface="Calibri"/>
            </a:defRPr>
          </a:pPr>
          <a:endParaRPr lang="en-US"/>
        </a:p>
      </c:txPr>
    </c:legend>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orientation="portrait"/>
  </c:printSettings>
</c:chartSpace>
</file>

<file path=xl/charts/chart3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Calibri"/>
                <a:ea typeface="Calibri"/>
                <a:cs typeface="Calibri"/>
              </a:defRPr>
            </a:pPr>
            <a:r>
              <a:rPr lang="en-US"/>
              <a:t> BOOKINGS</a:t>
            </a:r>
          </a:p>
        </c:rich>
      </c:tx>
      <c:layout>
        <c:manualLayout>
          <c:xMode val="edge"/>
          <c:yMode val="edge"/>
          <c:x val="2.3604110989543161E-4"/>
          <c:y val="2.872020997375328E-3"/>
        </c:manualLayout>
      </c:layout>
      <c:overlay val="1"/>
    </c:title>
    <c:autoTitleDeleted val="0"/>
    <c:plotArea>
      <c:layout/>
      <c:barChart>
        <c:barDir val="col"/>
        <c:grouping val="clustered"/>
        <c:varyColors val="0"/>
        <c:ser>
          <c:idx val="0"/>
          <c:order val="0"/>
          <c:tx>
            <c:strRef>
              <c:f>Charts!$B$674</c:f>
              <c:strCache>
                <c:ptCount val="1"/>
                <c:pt idx="0">
                  <c:v>Total</c:v>
                </c:pt>
              </c:strCache>
            </c:strRef>
          </c:tx>
          <c:spPr>
            <a:solidFill>
              <a:srgbClr val="137CB1"/>
            </a:solidFill>
            <a:ln>
              <a:noFill/>
            </a:ln>
          </c:spPr>
          <c:invertIfNegative val="0"/>
          <c:dLbls>
            <c:numFmt formatCode="#,##0.0_);\(#,##0.0\)" sourceLinked="0"/>
            <c:txPr>
              <a:bodyPr/>
              <a:lstStyle/>
              <a:p>
                <a:pPr>
                  <a:defRPr sz="1000" b="0" i="0" u="none" strike="noStrike" baseline="0">
                    <a:solidFill>
                      <a:srgbClr val="000000"/>
                    </a:solidFill>
                    <a:latin typeface="Calibri"/>
                    <a:ea typeface="Calibri"/>
                    <a:cs typeface="Calibri"/>
                  </a:defRPr>
                </a:pPr>
                <a:endParaRPr lang="en-US"/>
              </a:p>
            </c:txPr>
            <c:showLegendKey val="0"/>
            <c:showVal val="1"/>
            <c:showCatName val="0"/>
            <c:showSerName val="0"/>
            <c:showPercent val="0"/>
            <c:showBubbleSize val="0"/>
            <c:showLeaderLines val="0"/>
          </c:dLbls>
          <c:cat>
            <c:strRef>
              <c:f>Charts!$AJ$3:$AQ$3</c:f>
              <c:strCache>
                <c:ptCount val="8"/>
                <c:pt idx="0">
                  <c:v>1Q17</c:v>
                </c:pt>
                <c:pt idx="1">
                  <c:v>2Q17</c:v>
                </c:pt>
                <c:pt idx="2">
                  <c:v>3Q17</c:v>
                </c:pt>
                <c:pt idx="3">
                  <c:v>4Q17</c:v>
                </c:pt>
                <c:pt idx="4">
                  <c:v>1Q18</c:v>
                </c:pt>
                <c:pt idx="5">
                  <c:v>2Q18</c:v>
                </c:pt>
                <c:pt idx="6">
                  <c:v>3Q18E</c:v>
                </c:pt>
                <c:pt idx="7">
                  <c:v>4Q18E</c:v>
                </c:pt>
              </c:strCache>
            </c:strRef>
          </c:cat>
          <c:val>
            <c:numRef>
              <c:f>Charts!$AJ$674:$AQ$674</c:f>
              <c:numCache>
                <c:formatCode>#,##0.0_);\(#,##0.0\)</c:formatCode>
                <c:ptCount val="8"/>
                <c:pt idx="0">
                  <c:v>7.2210000000000001</c:v>
                </c:pt>
                <c:pt idx="1">
                  <c:v>5.2460000000000004</c:v>
                </c:pt>
                <c:pt idx="2">
                  <c:v>6.9</c:v>
                </c:pt>
                <c:pt idx="3">
                  <c:v>7.5</c:v>
                </c:pt>
                <c:pt idx="4">
                  <c:v>7.6</c:v>
                </c:pt>
                <c:pt idx="5">
                  <c:v>7.9</c:v>
                </c:pt>
                <c:pt idx="6">
                  <c:v>8.1456050000000015</c:v>
                </c:pt>
                <c:pt idx="7">
                  <c:v>8.3136930381250007</c:v>
                </c:pt>
              </c:numCache>
            </c:numRef>
          </c:val>
        </c:ser>
        <c:dLbls>
          <c:showLegendKey val="0"/>
          <c:showVal val="0"/>
          <c:showCatName val="0"/>
          <c:showSerName val="0"/>
          <c:showPercent val="0"/>
          <c:showBubbleSize val="0"/>
        </c:dLbls>
        <c:gapWidth val="150"/>
        <c:axId val="656369152"/>
        <c:axId val="656370688"/>
      </c:barChart>
      <c:catAx>
        <c:axId val="656369152"/>
        <c:scaling>
          <c:orientation val="minMax"/>
        </c:scaling>
        <c:delete val="0"/>
        <c:axPos val="b"/>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656370688"/>
        <c:crosses val="autoZero"/>
        <c:auto val="1"/>
        <c:lblAlgn val="ctr"/>
        <c:lblOffset val="100"/>
        <c:noMultiLvlLbl val="0"/>
      </c:catAx>
      <c:valAx>
        <c:axId val="656370688"/>
        <c:scaling>
          <c:orientation val="minMax"/>
        </c:scaling>
        <c:delete val="0"/>
        <c:axPos val="l"/>
        <c:majorGridlines>
          <c:spPr>
            <a:ln>
              <a:solidFill>
                <a:schemeClr val="bg1">
                  <a:lumMod val="90000"/>
                </a:schemeClr>
              </a:solidFill>
            </a:ln>
          </c:spPr>
        </c:majorGridlines>
        <c:numFmt formatCode="\$#,##0_);\(\$#,##0\)" sourceLinked="0"/>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656369152"/>
        <c:crosses val="autoZero"/>
        <c:crossBetween val="between"/>
      </c:valAx>
      <c:spPr>
        <a:noFill/>
        <a:ln w="25400">
          <a:noFill/>
        </a:ln>
      </c:spPr>
    </c:plotArea>
    <c:legend>
      <c:legendPos val="t"/>
      <c:layout>
        <c:manualLayout>
          <c:xMode val="edge"/>
          <c:yMode val="edge"/>
          <c:x val="0.86641292845228057"/>
          <c:y val="1.9933987101027496E-3"/>
          <c:w val="0.11985403874629566"/>
          <c:h val="9.4185316879313946E-2"/>
        </c:manualLayout>
      </c:layout>
      <c:overlay val="0"/>
      <c:txPr>
        <a:bodyPr/>
        <a:lstStyle/>
        <a:p>
          <a:pPr>
            <a:defRPr sz="1000" b="0" i="0" u="none" strike="noStrike" baseline="0">
              <a:solidFill>
                <a:srgbClr val="000000"/>
              </a:solidFill>
              <a:latin typeface="Calibri"/>
              <a:ea typeface="Calibri"/>
              <a:cs typeface="Calibri"/>
            </a:defRPr>
          </a:pPr>
          <a:endParaRPr lang="en-US"/>
        </a:p>
      </c:txPr>
    </c:legend>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orientation="portrait"/>
  </c:printSettings>
</c:chartSpace>
</file>

<file path=xl/charts/chart3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Calibri"/>
                <a:ea typeface="Calibri"/>
                <a:cs typeface="Calibri"/>
              </a:defRPr>
            </a:pPr>
            <a:r>
              <a:rPr lang="en-US"/>
              <a:t>REVENUES</a:t>
            </a:r>
          </a:p>
        </c:rich>
      </c:tx>
      <c:layout>
        <c:manualLayout>
          <c:xMode val="edge"/>
          <c:yMode val="edge"/>
          <c:x val="2.3604110989543161E-4"/>
          <c:y val="2.872020997375328E-3"/>
        </c:manualLayout>
      </c:layout>
      <c:overlay val="1"/>
    </c:title>
    <c:autoTitleDeleted val="0"/>
    <c:plotArea>
      <c:layout/>
      <c:barChart>
        <c:barDir val="col"/>
        <c:grouping val="stacked"/>
        <c:varyColors val="0"/>
        <c:ser>
          <c:idx val="0"/>
          <c:order val="0"/>
          <c:tx>
            <c:strRef>
              <c:f>Charts!$B$578</c:f>
              <c:strCache>
                <c:ptCount val="1"/>
                <c:pt idx="0">
                  <c:v>Fiber Solutions</c:v>
                </c:pt>
              </c:strCache>
            </c:strRef>
          </c:tx>
          <c:spPr>
            <a:solidFill>
              <a:srgbClr val="137CB1"/>
            </a:solidFill>
            <a:ln>
              <a:noFill/>
            </a:ln>
          </c:spPr>
          <c:invertIfNegative val="0"/>
          <c:dLbls>
            <c:numFmt formatCode="#,##0.0_);\(#,##0.0\)" sourceLinked="0"/>
            <c:txPr>
              <a:bodyPr/>
              <a:lstStyle/>
              <a:p>
                <a:pPr>
                  <a:defRPr sz="1000" b="0" i="0" u="none" strike="noStrike" baseline="0">
                    <a:solidFill>
                      <a:srgbClr val="000000"/>
                    </a:solidFill>
                    <a:latin typeface="Calibri"/>
                    <a:ea typeface="Calibri"/>
                    <a:cs typeface="Calibri"/>
                  </a:defRPr>
                </a:pPr>
                <a:endParaRPr lang="en-US"/>
              </a:p>
            </c:txPr>
            <c:showLegendKey val="0"/>
            <c:showVal val="1"/>
            <c:showCatName val="0"/>
            <c:showSerName val="0"/>
            <c:showPercent val="0"/>
            <c:showBubbleSize val="0"/>
            <c:showLeaderLines val="0"/>
          </c:dLbls>
          <c:cat>
            <c:strRef>
              <c:f>Charts!$AL$3:$AS$3</c:f>
              <c:strCache>
                <c:ptCount val="8"/>
                <c:pt idx="0">
                  <c:v>3Q17</c:v>
                </c:pt>
                <c:pt idx="1">
                  <c:v>4Q17</c:v>
                </c:pt>
                <c:pt idx="2">
                  <c:v>1Q18</c:v>
                </c:pt>
                <c:pt idx="3">
                  <c:v>2Q18</c:v>
                </c:pt>
                <c:pt idx="4">
                  <c:v>3Q18E</c:v>
                </c:pt>
                <c:pt idx="5">
                  <c:v>4Q18E</c:v>
                </c:pt>
                <c:pt idx="6">
                  <c:v>1Q19E</c:v>
                </c:pt>
                <c:pt idx="7">
                  <c:v>2Q19E</c:v>
                </c:pt>
              </c:strCache>
            </c:strRef>
          </c:cat>
          <c:val>
            <c:numRef>
              <c:f>Charts!$AL$578:$AS$578</c:f>
              <c:numCache>
                <c:formatCode>#,##0.0_);\(#,##0.0\)</c:formatCode>
                <c:ptCount val="8"/>
                <c:pt idx="0">
                  <c:v>179.6</c:v>
                </c:pt>
                <c:pt idx="1">
                  <c:v>190.9</c:v>
                </c:pt>
                <c:pt idx="2">
                  <c:v>195.5</c:v>
                </c:pt>
                <c:pt idx="3">
                  <c:v>200.5</c:v>
                </c:pt>
                <c:pt idx="4">
                  <c:v>203.14489823122202</c:v>
                </c:pt>
                <c:pt idx="5">
                  <c:v>209.7632503761416</c:v>
                </c:pt>
                <c:pt idx="6">
                  <c:v>214.68740416370065</c:v>
                </c:pt>
                <c:pt idx="7">
                  <c:v>219.73995293510205</c:v>
                </c:pt>
              </c:numCache>
            </c:numRef>
          </c:val>
        </c:ser>
        <c:ser>
          <c:idx val="1"/>
          <c:order val="1"/>
          <c:tx>
            <c:strRef>
              <c:f>Charts!$B$579</c:f>
              <c:strCache>
                <c:ptCount val="1"/>
                <c:pt idx="0">
                  <c:v>Colocation</c:v>
                </c:pt>
              </c:strCache>
            </c:strRef>
          </c:tx>
          <c:spPr>
            <a:solidFill>
              <a:srgbClr val="EACC80"/>
            </a:solidFill>
            <a:ln>
              <a:noFill/>
            </a:ln>
          </c:spPr>
          <c:invertIfNegative val="0"/>
          <c:dLbls>
            <c:dLbl>
              <c:idx val="6"/>
              <c:layout>
                <c:manualLayout>
                  <c:x val="3.0372057706909645E-3"/>
                  <c:y val="-1.1016607318670548E-2"/>
                </c:manualLayout>
              </c:layout>
              <c:dLblPos val="ctr"/>
              <c:showLegendKey val="0"/>
              <c:showVal val="1"/>
              <c:showCatName val="0"/>
              <c:showSerName val="0"/>
              <c:showPercent val="0"/>
              <c:showBubbleSize val="0"/>
            </c:dLbl>
            <c:txPr>
              <a:bodyPr/>
              <a:lstStyle/>
              <a:p>
                <a:pPr>
                  <a:defRPr sz="1000" b="0" i="0" u="none" strike="noStrike" baseline="0">
                    <a:solidFill>
                      <a:srgbClr val="000000"/>
                    </a:solidFill>
                    <a:latin typeface="Calibri"/>
                    <a:ea typeface="Calibri"/>
                    <a:cs typeface="Calibri"/>
                  </a:defRPr>
                </a:pPr>
                <a:endParaRPr lang="en-US"/>
              </a:p>
            </c:txPr>
            <c:dLblPos val="ctr"/>
            <c:showLegendKey val="0"/>
            <c:showVal val="1"/>
            <c:showCatName val="0"/>
            <c:showSerName val="0"/>
            <c:showPercent val="0"/>
            <c:showBubbleSize val="0"/>
            <c:showLeaderLines val="0"/>
          </c:dLbls>
          <c:cat>
            <c:strRef>
              <c:f>Charts!$AL$3:$AS$3</c:f>
              <c:strCache>
                <c:ptCount val="8"/>
                <c:pt idx="0">
                  <c:v>3Q17</c:v>
                </c:pt>
                <c:pt idx="1">
                  <c:v>4Q17</c:v>
                </c:pt>
                <c:pt idx="2">
                  <c:v>1Q18</c:v>
                </c:pt>
                <c:pt idx="3">
                  <c:v>2Q18</c:v>
                </c:pt>
                <c:pt idx="4">
                  <c:v>3Q18E</c:v>
                </c:pt>
                <c:pt idx="5">
                  <c:v>4Q18E</c:v>
                </c:pt>
                <c:pt idx="6">
                  <c:v>1Q19E</c:v>
                </c:pt>
                <c:pt idx="7">
                  <c:v>2Q19E</c:v>
                </c:pt>
              </c:strCache>
            </c:strRef>
          </c:cat>
          <c:val>
            <c:numRef>
              <c:f>Charts!$AL$579:$AS$579</c:f>
              <c:numCache>
                <c:formatCode>#,##0.0_);\(#,##0.0\)</c:formatCode>
                <c:ptCount val="8"/>
                <c:pt idx="0">
                  <c:v>53.6</c:v>
                </c:pt>
                <c:pt idx="1">
                  <c:v>56.7</c:v>
                </c:pt>
                <c:pt idx="2">
                  <c:v>58.4</c:v>
                </c:pt>
                <c:pt idx="3">
                  <c:v>59.9</c:v>
                </c:pt>
                <c:pt idx="4">
                  <c:v>60.92210385555483</c:v>
                </c:pt>
                <c:pt idx="5">
                  <c:v>62.229831462549043</c:v>
                </c:pt>
                <c:pt idx="6">
                  <c:v>63.556887548144353</c:v>
                </c:pt>
                <c:pt idx="7">
                  <c:v>64.914855476672813</c:v>
                </c:pt>
              </c:numCache>
            </c:numRef>
          </c:val>
        </c:ser>
        <c:ser>
          <c:idx val="4"/>
          <c:order val="2"/>
          <c:tx>
            <c:strRef>
              <c:f>Charts!$B$580</c:f>
              <c:strCache>
                <c:ptCount val="1"/>
                <c:pt idx="0">
                  <c:v>Transport</c:v>
                </c:pt>
              </c:strCache>
            </c:strRef>
          </c:tx>
          <c:spPr>
            <a:solidFill>
              <a:srgbClr val="A8D7E2"/>
            </a:solidFill>
          </c:spPr>
          <c:invertIfNegative val="0"/>
          <c:dLbls>
            <c:txPr>
              <a:bodyPr/>
              <a:lstStyle/>
              <a:p>
                <a:pPr>
                  <a:defRPr sz="1000" b="0" i="0" u="none" strike="noStrike" baseline="0">
                    <a:solidFill>
                      <a:srgbClr val="000000"/>
                    </a:solidFill>
                    <a:latin typeface="Calibri"/>
                    <a:ea typeface="Calibri"/>
                    <a:cs typeface="Calibri"/>
                  </a:defRPr>
                </a:pPr>
                <a:endParaRPr lang="en-US"/>
              </a:p>
            </c:txPr>
            <c:dLblPos val="ctr"/>
            <c:showLegendKey val="0"/>
            <c:showVal val="1"/>
            <c:showCatName val="0"/>
            <c:showSerName val="0"/>
            <c:showPercent val="0"/>
            <c:showBubbleSize val="0"/>
            <c:showLeaderLines val="0"/>
          </c:dLbls>
          <c:cat>
            <c:strRef>
              <c:f>Charts!$AL$3:$AS$3</c:f>
              <c:strCache>
                <c:ptCount val="8"/>
                <c:pt idx="0">
                  <c:v>3Q17</c:v>
                </c:pt>
                <c:pt idx="1">
                  <c:v>4Q17</c:v>
                </c:pt>
                <c:pt idx="2">
                  <c:v>1Q18</c:v>
                </c:pt>
                <c:pt idx="3">
                  <c:v>2Q18</c:v>
                </c:pt>
                <c:pt idx="4">
                  <c:v>3Q18E</c:v>
                </c:pt>
                <c:pt idx="5">
                  <c:v>4Q18E</c:v>
                </c:pt>
                <c:pt idx="6">
                  <c:v>1Q19E</c:v>
                </c:pt>
                <c:pt idx="7">
                  <c:v>2Q19E</c:v>
                </c:pt>
              </c:strCache>
            </c:strRef>
          </c:cat>
          <c:val>
            <c:numRef>
              <c:f>Charts!$AL$580:$AS$580</c:f>
              <c:numCache>
                <c:formatCode>#,##0.0_);\(#,##0.0\)</c:formatCode>
                <c:ptCount val="8"/>
                <c:pt idx="0">
                  <c:v>110.5</c:v>
                </c:pt>
                <c:pt idx="1">
                  <c:v>117.4</c:v>
                </c:pt>
                <c:pt idx="2">
                  <c:v>119.1</c:v>
                </c:pt>
                <c:pt idx="3">
                  <c:v>117.3</c:v>
                </c:pt>
                <c:pt idx="4">
                  <c:v>119.44471339235969</c:v>
                </c:pt>
                <c:pt idx="5">
                  <c:v>119.61445744275919</c:v>
                </c:pt>
                <c:pt idx="6">
                  <c:v>119.86541192617626</c:v>
                </c:pt>
                <c:pt idx="7">
                  <c:v>120.19316838505046</c:v>
                </c:pt>
              </c:numCache>
            </c:numRef>
          </c:val>
        </c:ser>
        <c:ser>
          <c:idx val="5"/>
          <c:order val="3"/>
          <c:tx>
            <c:strRef>
              <c:f>Charts!$B$581</c:f>
              <c:strCache>
                <c:ptCount val="1"/>
                <c:pt idx="0">
                  <c:v>Enterprise Networks</c:v>
                </c:pt>
              </c:strCache>
            </c:strRef>
          </c:tx>
          <c:invertIfNegative val="0"/>
          <c:val>
            <c:numRef>
              <c:f>Charts!$AL$581:$AS$581</c:f>
              <c:numCache>
                <c:formatCode>#,##0.0_);\(#,##0.0\)</c:formatCode>
                <c:ptCount val="8"/>
                <c:pt idx="0">
                  <c:v>121.7</c:v>
                </c:pt>
                <c:pt idx="1">
                  <c:v>136.6</c:v>
                </c:pt>
                <c:pt idx="2">
                  <c:v>137.69999999999999</c:v>
                </c:pt>
                <c:pt idx="3">
                  <c:v>145.9</c:v>
                </c:pt>
                <c:pt idx="4">
                  <c:v>137.77920314101951</c:v>
                </c:pt>
                <c:pt idx="5">
                  <c:v>136.94544590042713</c:v>
                </c:pt>
                <c:pt idx="6">
                  <c:v>136.38082178804112</c:v>
                </c:pt>
                <c:pt idx="7">
                  <c:v>136.04084543801477</c:v>
                </c:pt>
              </c:numCache>
            </c:numRef>
          </c:val>
        </c:ser>
        <c:ser>
          <c:idx val="2"/>
          <c:order val="4"/>
          <c:tx>
            <c:strRef>
              <c:f>Charts!$B$582</c:f>
              <c:strCache>
                <c:ptCount val="1"/>
                <c:pt idx="0">
                  <c:v>Other</c:v>
                </c:pt>
              </c:strCache>
            </c:strRef>
          </c:tx>
          <c:spPr>
            <a:solidFill>
              <a:srgbClr val="4AAC6B"/>
            </a:solidFill>
          </c:spPr>
          <c:invertIfNegative val="0"/>
          <c:dLbls>
            <c:dLbl>
              <c:idx val="6"/>
              <c:layout>
                <c:manualLayout>
                  <c:x val="0"/>
                  <c:y val="2.2129067795507478E-2"/>
                </c:manualLayout>
              </c:layout>
              <c:dLblPos val="ctr"/>
              <c:showLegendKey val="0"/>
              <c:showVal val="1"/>
              <c:showCatName val="0"/>
              <c:showSerName val="0"/>
              <c:showPercent val="0"/>
              <c:showBubbleSize val="0"/>
            </c:dLbl>
            <c:dLbl>
              <c:idx val="7"/>
              <c:layout>
                <c:manualLayout>
                  <c:x val="-3.0372057706909645E-3"/>
                  <c:y val="3.8558125615346918E-2"/>
                </c:manualLayout>
              </c:layout>
              <c:dLblPos val="ctr"/>
              <c:showLegendKey val="0"/>
              <c:showVal val="1"/>
              <c:showCatName val="0"/>
              <c:showSerName val="0"/>
              <c:showPercent val="0"/>
              <c:showBubbleSize val="0"/>
            </c:dLbl>
            <c:txPr>
              <a:bodyPr/>
              <a:lstStyle/>
              <a:p>
                <a:pPr>
                  <a:defRPr sz="1000" b="0" i="0" u="none" strike="noStrike" baseline="0">
                    <a:solidFill>
                      <a:srgbClr val="000000"/>
                    </a:solidFill>
                    <a:latin typeface="Calibri"/>
                    <a:ea typeface="Calibri"/>
                    <a:cs typeface="Calibri"/>
                  </a:defRPr>
                </a:pPr>
                <a:endParaRPr lang="en-US"/>
              </a:p>
            </c:txPr>
            <c:showLegendKey val="0"/>
            <c:showVal val="1"/>
            <c:showCatName val="0"/>
            <c:showSerName val="0"/>
            <c:showPercent val="0"/>
            <c:showBubbleSize val="0"/>
            <c:showLeaderLines val="0"/>
          </c:dLbls>
          <c:cat>
            <c:strRef>
              <c:f>Charts!$AL$3:$AS$3</c:f>
              <c:strCache>
                <c:ptCount val="8"/>
                <c:pt idx="0">
                  <c:v>3Q17</c:v>
                </c:pt>
                <c:pt idx="1">
                  <c:v>4Q17</c:v>
                </c:pt>
                <c:pt idx="2">
                  <c:v>1Q18</c:v>
                </c:pt>
                <c:pt idx="3">
                  <c:v>2Q18</c:v>
                </c:pt>
                <c:pt idx="4">
                  <c:v>3Q18E</c:v>
                </c:pt>
                <c:pt idx="5">
                  <c:v>4Q18E</c:v>
                </c:pt>
                <c:pt idx="6">
                  <c:v>1Q19E</c:v>
                </c:pt>
                <c:pt idx="7">
                  <c:v>2Q19E</c:v>
                </c:pt>
              </c:strCache>
            </c:strRef>
          </c:cat>
          <c:val>
            <c:numRef>
              <c:f>Charts!$AL$582:$AS$582</c:f>
              <c:numCache>
                <c:formatCode>#,##0.0_);\(#,##0.0\)</c:formatCode>
                <c:ptCount val="8"/>
                <c:pt idx="0">
                  <c:v>5.5</c:v>
                </c:pt>
                <c:pt idx="1">
                  <c:v>7.5</c:v>
                </c:pt>
                <c:pt idx="2">
                  <c:v>5.0999999999999996</c:v>
                </c:pt>
                <c:pt idx="3">
                  <c:v>6.4</c:v>
                </c:pt>
                <c:pt idx="4">
                  <c:v>6.8213856907120078</c:v>
                </c:pt>
                <c:pt idx="5">
                  <c:v>7.0167354083924884</c:v>
                </c:pt>
                <c:pt idx="6">
                  <c:v>7.185163758126949</c:v>
                </c:pt>
                <c:pt idx="7">
                  <c:v>7.3303665377908853</c:v>
                </c:pt>
              </c:numCache>
            </c:numRef>
          </c:val>
        </c:ser>
        <c:ser>
          <c:idx val="6"/>
          <c:order val="5"/>
          <c:tx>
            <c:strRef>
              <c:f>Charts!$B$583</c:f>
              <c:strCache>
                <c:ptCount val="1"/>
                <c:pt idx="0">
                  <c:v>Allstream</c:v>
                </c:pt>
              </c:strCache>
            </c:strRef>
          </c:tx>
          <c:invertIfNegative val="0"/>
          <c:val>
            <c:numRef>
              <c:f>Charts!$AL$583:$AS$583</c:f>
              <c:numCache>
                <c:formatCode>#,##0.0_);\(#,##0.0\)</c:formatCode>
                <c:ptCount val="8"/>
                <c:pt idx="0">
                  <c:v>79.3</c:v>
                </c:pt>
                <c:pt idx="1">
                  <c:v>128.9</c:v>
                </c:pt>
                <c:pt idx="2">
                  <c:v>127.7</c:v>
                </c:pt>
                <c:pt idx="3">
                  <c:v>123.5</c:v>
                </c:pt>
                <c:pt idx="4">
                  <c:v>122.88249999999999</c:v>
                </c:pt>
                <c:pt idx="5">
                  <c:v>122.26808749999999</c:v>
                </c:pt>
                <c:pt idx="6">
                  <c:v>121.65674706249999</c:v>
                </c:pt>
                <c:pt idx="7">
                  <c:v>121.04846332718749</c:v>
                </c:pt>
              </c:numCache>
            </c:numRef>
          </c:val>
        </c:ser>
        <c:ser>
          <c:idx val="3"/>
          <c:order val="6"/>
          <c:tx>
            <c:strRef>
              <c:f>Charts!$B$674</c:f>
              <c:strCache>
                <c:ptCount val="1"/>
                <c:pt idx="0">
                  <c:v>Total</c:v>
                </c:pt>
              </c:strCache>
            </c:strRef>
          </c:tx>
          <c:spPr>
            <a:noFill/>
            <a:ln>
              <a:noFill/>
            </a:ln>
          </c:spPr>
          <c:invertIfNegative val="0"/>
          <c:dLbls>
            <c:dLbl>
              <c:idx val="6"/>
              <c:layout>
                <c:manualLayout>
                  <c:x val="0"/>
                  <c:y val="0.15353963508573237"/>
                </c:manualLayout>
              </c:layout>
              <c:dLblPos val="ctr"/>
              <c:showLegendKey val="0"/>
              <c:showVal val="1"/>
              <c:showCatName val="0"/>
              <c:showSerName val="0"/>
              <c:showPercent val="0"/>
              <c:showBubbleSize val="0"/>
            </c:dLbl>
            <c:txPr>
              <a:bodyPr/>
              <a:lstStyle/>
              <a:p>
                <a:pPr>
                  <a:defRPr sz="1000" b="0" i="0" u="none" strike="noStrike" baseline="0">
                    <a:solidFill>
                      <a:srgbClr val="000000"/>
                    </a:solidFill>
                    <a:latin typeface="Calibri"/>
                    <a:ea typeface="Calibri"/>
                    <a:cs typeface="Calibri"/>
                  </a:defRPr>
                </a:pPr>
                <a:endParaRPr lang="en-US"/>
              </a:p>
            </c:txPr>
            <c:dLblPos val="inBase"/>
            <c:showLegendKey val="0"/>
            <c:showVal val="1"/>
            <c:showCatName val="0"/>
            <c:showSerName val="0"/>
            <c:showPercent val="0"/>
            <c:showBubbleSize val="0"/>
            <c:showLeaderLines val="0"/>
          </c:dLbls>
          <c:cat>
            <c:strRef>
              <c:f>Charts!$AL$3:$AS$3</c:f>
              <c:strCache>
                <c:ptCount val="8"/>
                <c:pt idx="0">
                  <c:v>3Q17</c:v>
                </c:pt>
                <c:pt idx="1">
                  <c:v>4Q17</c:v>
                </c:pt>
                <c:pt idx="2">
                  <c:v>1Q18</c:v>
                </c:pt>
                <c:pt idx="3">
                  <c:v>2Q18</c:v>
                </c:pt>
                <c:pt idx="4">
                  <c:v>3Q18E</c:v>
                </c:pt>
                <c:pt idx="5">
                  <c:v>4Q18E</c:v>
                </c:pt>
                <c:pt idx="6">
                  <c:v>1Q19E</c:v>
                </c:pt>
                <c:pt idx="7">
                  <c:v>2Q19E</c:v>
                </c:pt>
              </c:strCache>
            </c:strRef>
          </c:cat>
          <c:val>
            <c:numRef>
              <c:f>Charts!$AL$584:$AS$584</c:f>
              <c:numCache>
                <c:formatCode>#,##0.0_);\(#,##0.0\)</c:formatCode>
                <c:ptCount val="8"/>
                <c:pt idx="0">
                  <c:v>550.20000000000005</c:v>
                </c:pt>
                <c:pt idx="1">
                  <c:v>638</c:v>
                </c:pt>
                <c:pt idx="2">
                  <c:v>643.5</c:v>
                </c:pt>
                <c:pt idx="3">
                  <c:v>653.5</c:v>
                </c:pt>
                <c:pt idx="4">
                  <c:v>652.80480431086812</c:v>
                </c:pt>
                <c:pt idx="5">
                  <c:v>657.83780809026939</c:v>
                </c:pt>
                <c:pt idx="6">
                  <c:v>663.33243624668933</c:v>
                </c:pt>
                <c:pt idx="7">
                  <c:v>669.26765209981852</c:v>
                </c:pt>
              </c:numCache>
            </c:numRef>
          </c:val>
        </c:ser>
        <c:dLbls>
          <c:showLegendKey val="0"/>
          <c:showVal val="0"/>
          <c:showCatName val="0"/>
          <c:showSerName val="0"/>
          <c:showPercent val="0"/>
          <c:showBubbleSize val="0"/>
        </c:dLbls>
        <c:gapWidth val="150"/>
        <c:overlap val="100"/>
        <c:axId val="656447744"/>
        <c:axId val="656461824"/>
      </c:barChart>
      <c:catAx>
        <c:axId val="656447744"/>
        <c:scaling>
          <c:orientation val="minMax"/>
        </c:scaling>
        <c:delete val="0"/>
        <c:axPos val="b"/>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656461824"/>
        <c:crosses val="autoZero"/>
        <c:auto val="1"/>
        <c:lblAlgn val="ctr"/>
        <c:lblOffset val="100"/>
        <c:noMultiLvlLbl val="0"/>
      </c:catAx>
      <c:valAx>
        <c:axId val="656461824"/>
        <c:scaling>
          <c:orientation val="minMax"/>
          <c:max val="800"/>
        </c:scaling>
        <c:delete val="0"/>
        <c:axPos val="l"/>
        <c:majorGridlines>
          <c:spPr>
            <a:ln>
              <a:solidFill>
                <a:schemeClr val="bg1">
                  <a:lumMod val="90000"/>
                </a:schemeClr>
              </a:solidFill>
            </a:ln>
          </c:spPr>
        </c:majorGridlines>
        <c:numFmt formatCode="\$#,##0_);\(\$#,##0\)" sourceLinked="0"/>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656447744"/>
        <c:crosses val="autoZero"/>
        <c:crossBetween val="between"/>
      </c:valAx>
      <c:spPr>
        <a:noFill/>
        <a:ln w="25400">
          <a:noFill/>
        </a:ln>
      </c:spPr>
    </c:plotArea>
    <c:legend>
      <c:legendPos val="t"/>
      <c:legendEntry>
        <c:idx val="6"/>
        <c:delete val="1"/>
      </c:legendEntry>
      <c:layout>
        <c:manualLayout>
          <c:xMode val="edge"/>
          <c:yMode val="edge"/>
          <c:x val="0.41690647439001788"/>
          <c:y val="1.8518425196850395E-2"/>
          <c:w val="0.58309352560998218"/>
          <c:h val="0.19094998327990564"/>
        </c:manualLayout>
      </c:layout>
      <c:overlay val="0"/>
      <c:txPr>
        <a:bodyPr/>
        <a:lstStyle/>
        <a:p>
          <a:pPr>
            <a:defRPr sz="1000" b="0" i="0" u="none" strike="noStrike" baseline="0">
              <a:solidFill>
                <a:srgbClr val="000000"/>
              </a:solidFill>
              <a:latin typeface="Calibri"/>
              <a:ea typeface="Calibri"/>
              <a:cs typeface="Calibri"/>
            </a:defRPr>
          </a:pPr>
          <a:endParaRPr lang="en-US"/>
        </a:p>
      </c:txPr>
    </c:legend>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orientation="portrait"/>
  </c:printSettings>
</c:chartSpace>
</file>

<file path=xl/charts/chart3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000" baseline="0"/>
              <a:t>REVENUE SEGMENTS</a:t>
            </a:r>
          </a:p>
        </c:rich>
      </c:tx>
      <c:layout>
        <c:manualLayout>
          <c:xMode val="edge"/>
          <c:yMode val="edge"/>
          <c:x val="1.1131735711556174E-3"/>
          <c:y val="0"/>
        </c:manualLayout>
      </c:layout>
      <c:overlay val="1"/>
    </c:title>
    <c:autoTitleDeleted val="0"/>
    <c:plotArea>
      <c:layout/>
      <c:pieChart>
        <c:varyColors val="1"/>
        <c:ser>
          <c:idx val="0"/>
          <c:order val="0"/>
          <c:dPt>
            <c:idx val="0"/>
            <c:bubble3D val="0"/>
            <c:spPr>
              <a:solidFill>
                <a:srgbClr val="137CB1"/>
              </a:solidFill>
            </c:spPr>
          </c:dPt>
          <c:dPt>
            <c:idx val="1"/>
            <c:bubble3D val="0"/>
            <c:spPr>
              <a:solidFill>
                <a:srgbClr val="EACC80"/>
              </a:solidFill>
            </c:spPr>
          </c:dPt>
          <c:dPt>
            <c:idx val="2"/>
            <c:bubble3D val="0"/>
            <c:spPr>
              <a:solidFill>
                <a:srgbClr val="4AAC6B"/>
              </a:solidFill>
            </c:spPr>
          </c:dPt>
          <c:dPt>
            <c:idx val="3"/>
            <c:bubble3D val="0"/>
            <c:spPr>
              <a:solidFill>
                <a:srgbClr val="A8D7E2"/>
              </a:solidFill>
            </c:spPr>
          </c:dPt>
          <c:dPt>
            <c:idx val="4"/>
            <c:bubble3D val="0"/>
            <c:spPr>
              <a:solidFill>
                <a:srgbClr val="E58061"/>
              </a:solidFill>
            </c:spPr>
          </c:dPt>
          <c:dPt>
            <c:idx val="5"/>
            <c:bubble3D val="0"/>
            <c:spPr>
              <a:solidFill>
                <a:srgbClr val="BCE3A1"/>
              </a:solidFill>
            </c:spPr>
          </c:dPt>
          <c:dLbls>
            <c:dLblPos val="inEnd"/>
            <c:showLegendKey val="0"/>
            <c:showVal val="0"/>
            <c:showCatName val="1"/>
            <c:showSerName val="0"/>
            <c:showPercent val="1"/>
            <c:showBubbleSize val="0"/>
            <c:showLeaderLines val="1"/>
          </c:dLbls>
          <c:cat>
            <c:strRef>
              <c:f>Charts!$B$578:$B$583</c:f>
              <c:strCache>
                <c:ptCount val="6"/>
                <c:pt idx="0">
                  <c:v>Fiber Solutions</c:v>
                </c:pt>
                <c:pt idx="1">
                  <c:v>Colocation</c:v>
                </c:pt>
                <c:pt idx="2">
                  <c:v>Transport</c:v>
                </c:pt>
                <c:pt idx="3">
                  <c:v>Enterprise Networks</c:v>
                </c:pt>
                <c:pt idx="4">
                  <c:v>Other</c:v>
                </c:pt>
                <c:pt idx="5">
                  <c:v>Allstream</c:v>
                </c:pt>
              </c:strCache>
            </c:strRef>
          </c:cat>
          <c:val>
            <c:numRef>
              <c:f>Charts!$AN$578:$AN$583</c:f>
              <c:numCache>
                <c:formatCode>#,##0.0_);\(#,##0.0\)</c:formatCode>
                <c:ptCount val="6"/>
                <c:pt idx="0">
                  <c:v>195.5</c:v>
                </c:pt>
                <c:pt idx="1">
                  <c:v>58.4</c:v>
                </c:pt>
                <c:pt idx="2">
                  <c:v>119.1</c:v>
                </c:pt>
                <c:pt idx="3">
                  <c:v>137.69999999999999</c:v>
                </c:pt>
                <c:pt idx="4">
                  <c:v>5.0999999999999996</c:v>
                </c:pt>
                <c:pt idx="5">
                  <c:v>127.7</c:v>
                </c:pt>
              </c:numCache>
            </c:numRef>
          </c:val>
        </c:ser>
        <c:dLbls>
          <c:dLblPos val="inEnd"/>
          <c:showLegendKey val="0"/>
          <c:showVal val="1"/>
          <c:showCatName val="0"/>
          <c:showSerName val="0"/>
          <c:showPercent val="0"/>
          <c:showBubbleSize val="0"/>
          <c:showLeaderLines val="1"/>
        </c:dLbls>
        <c:firstSliceAng val="0"/>
      </c:pieChart>
      <c:spPr>
        <a:noFill/>
        <a:ln>
          <a:noFill/>
        </a:ln>
      </c:spPr>
    </c:plotArea>
    <c:plotVisOnly val="1"/>
    <c:dispBlanksAs val="gap"/>
    <c:showDLblsOverMax val="0"/>
  </c:chart>
  <c:spPr>
    <a:solidFill>
      <a:srgbClr val="FFFFFF"/>
    </a:solidFill>
    <a:ln>
      <a:noFill/>
    </a:ln>
  </c:spPr>
  <c:printSettings>
    <c:headerFooter/>
    <c:pageMargins b="0.75" l="0.7" r="0.7" t="0.75" header="0.3" footer="0.3"/>
    <c:pageSetup orientation="landscape" verticalDpi="0"/>
  </c:printSettings>
</c:chartSpace>
</file>

<file path=xl/charts/chart3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Calibri"/>
                <a:ea typeface="Calibri"/>
                <a:cs typeface="Calibri"/>
              </a:defRPr>
            </a:pPr>
            <a:r>
              <a:rPr lang="en-US"/>
              <a:t>ADJUSTED EBITDA</a:t>
            </a:r>
          </a:p>
        </c:rich>
      </c:tx>
      <c:layout>
        <c:manualLayout>
          <c:xMode val="edge"/>
          <c:yMode val="edge"/>
          <c:x val="2.3604110989543161E-4"/>
          <c:y val="2.872020997375328E-3"/>
        </c:manualLayout>
      </c:layout>
      <c:overlay val="1"/>
    </c:title>
    <c:autoTitleDeleted val="0"/>
    <c:plotArea>
      <c:layout/>
      <c:barChart>
        <c:barDir val="col"/>
        <c:grouping val="stacked"/>
        <c:varyColors val="0"/>
        <c:ser>
          <c:idx val="0"/>
          <c:order val="0"/>
          <c:tx>
            <c:strRef>
              <c:f>Charts!$B$623</c:f>
              <c:strCache>
                <c:ptCount val="1"/>
                <c:pt idx="0">
                  <c:v>Fiber Solutions</c:v>
                </c:pt>
              </c:strCache>
            </c:strRef>
          </c:tx>
          <c:spPr>
            <a:solidFill>
              <a:srgbClr val="137CB1"/>
            </a:solidFill>
            <a:ln>
              <a:noFill/>
            </a:ln>
          </c:spPr>
          <c:invertIfNegative val="0"/>
          <c:dLbls>
            <c:numFmt formatCode="#,##0.0_);\(#,##0.0\)" sourceLinked="0"/>
            <c:txPr>
              <a:bodyPr/>
              <a:lstStyle/>
              <a:p>
                <a:pPr>
                  <a:defRPr sz="1000" b="0" i="0" u="none" strike="noStrike" baseline="0">
                    <a:solidFill>
                      <a:srgbClr val="000000"/>
                    </a:solidFill>
                    <a:latin typeface="Calibri"/>
                    <a:ea typeface="Calibri"/>
                    <a:cs typeface="Calibri"/>
                  </a:defRPr>
                </a:pPr>
                <a:endParaRPr lang="en-US"/>
              </a:p>
            </c:txPr>
            <c:showLegendKey val="0"/>
            <c:showVal val="1"/>
            <c:showCatName val="0"/>
            <c:showSerName val="0"/>
            <c:showPercent val="0"/>
            <c:showBubbleSize val="0"/>
            <c:showLeaderLines val="0"/>
          </c:dLbls>
          <c:cat>
            <c:strRef>
              <c:f>Charts!$AL$3:$AS$3</c:f>
              <c:strCache>
                <c:ptCount val="8"/>
                <c:pt idx="0">
                  <c:v>3Q17</c:v>
                </c:pt>
                <c:pt idx="1">
                  <c:v>4Q17</c:v>
                </c:pt>
                <c:pt idx="2">
                  <c:v>1Q18</c:v>
                </c:pt>
                <c:pt idx="3">
                  <c:v>2Q18</c:v>
                </c:pt>
                <c:pt idx="4">
                  <c:v>3Q18E</c:v>
                </c:pt>
                <c:pt idx="5">
                  <c:v>4Q18E</c:v>
                </c:pt>
                <c:pt idx="6">
                  <c:v>1Q19E</c:v>
                </c:pt>
                <c:pt idx="7">
                  <c:v>2Q19E</c:v>
                </c:pt>
              </c:strCache>
            </c:strRef>
          </c:cat>
          <c:val>
            <c:numRef>
              <c:f>Charts!$AL$623:$AS$623</c:f>
              <c:numCache>
                <c:formatCode>#,##0.0_);\(#,##0.0\)</c:formatCode>
                <c:ptCount val="8"/>
                <c:pt idx="0">
                  <c:v>137.6</c:v>
                </c:pt>
                <c:pt idx="1">
                  <c:v>149.5</c:v>
                </c:pt>
                <c:pt idx="2">
                  <c:v>154.19999999999999</c:v>
                </c:pt>
                <c:pt idx="3">
                  <c:v>161</c:v>
                </c:pt>
                <c:pt idx="4">
                  <c:v>163.1238334924027</c:v>
                </c:pt>
                <c:pt idx="5">
                  <c:v>168.43832075091669</c:v>
                </c:pt>
                <c:pt idx="6">
                  <c:v>172.39237940327084</c:v>
                </c:pt>
                <c:pt idx="7">
                  <c:v>176.44953826708942</c:v>
                </c:pt>
              </c:numCache>
            </c:numRef>
          </c:val>
        </c:ser>
        <c:ser>
          <c:idx val="1"/>
          <c:order val="1"/>
          <c:tx>
            <c:strRef>
              <c:f>Charts!$B$624</c:f>
              <c:strCache>
                <c:ptCount val="1"/>
                <c:pt idx="0">
                  <c:v>Colocation</c:v>
                </c:pt>
              </c:strCache>
            </c:strRef>
          </c:tx>
          <c:spPr>
            <a:solidFill>
              <a:srgbClr val="EACC80"/>
            </a:solidFill>
            <a:ln>
              <a:noFill/>
            </a:ln>
          </c:spPr>
          <c:invertIfNegative val="0"/>
          <c:dLbls>
            <c:dLbl>
              <c:idx val="6"/>
              <c:layout>
                <c:manualLayout>
                  <c:x val="3.0372057706909645E-3"/>
                  <c:y val="-1.1016607318670548E-2"/>
                </c:manualLayout>
              </c:layout>
              <c:dLblPos val="ctr"/>
              <c:showLegendKey val="0"/>
              <c:showVal val="1"/>
              <c:showCatName val="0"/>
              <c:showSerName val="0"/>
              <c:showPercent val="0"/>
              <c:showBubbleSize val="0"/>
            </c:dLbl>
            <c:txPr>
              <a:bodyPr/>
              <a:lstStyle/>
              <a:p>
                <a:pPr>
                  <a:defRPr sz="1000" b="0" i="0" u="none" strike="noStrike" baseline="0">
                    <a:solidFill>
                      <a:srgbClr val="000000"/>
                    </a:solidFill>
                    <a:latin typeface="Calibri"/>
                    <a:ea typeface="Calibri"/>
                    <a:cs typeface="Calibri"/>
                  </a:defRPr>
                </a:pPr>
                <a:endParaRPr lang="en-US"/>
              </a:p>
            </c:txPr>
            <c:dLblPos val="ctr"/>
            <c:showLegendKey val="0"/>
            <c:showVal val="1"/>
            <c:showCatName val="0"/>
            <c:showSerName val="0"/>
            <c:showPercent val="0"/>
            <c:showBubbleSize val="0"/>
            <c:showLeaderLines val="0"/>
          </c:dLbls>
          <c:cat>
            <c:strRef>
              <c:f>Charts!$AL$3:$AS$3</c:f>
              <c:strCache>
                <c:ptCount val="8"/>
                <c:pt idx="0">
                  <c:v>3Q17</c:v>
                </c:pt>
                <c:pt idx="1">
                  <c:v>4Q17</c:v>
                </c:pt>
                <c:pt idx="2">
                  <c:v>1Q18</c:v>
                </c:pt>
                <c:pt idx="3">
                  <c:v>2Q18</c:v>
                </c:pt>
                <c:pt idx="4">
                  <c:v>3Q18E</c:v>
                </c:pt>
                <c:pt idx="5">
                  <c:v>4Q18E</c:v>
                </c:pt>
                <c:pt idx="6">
                  <c:v>1Q19E</c:v>
                </c:pt>
                <c:pt idx="7">
                  <c:v>2Q19E</c:v>
                </c:pt>
              </c:strCache>
            </c:strRef>
          </c:cat>
          <c:val>
            <c:numRef>
              <c:f>Charts!$AL$624:$AS$624</c:f>
              <c:numCache>
                <c:formatCode>#,##0.0_);\(#,##0.0\)</c:formatCode>
                <c:ptCount val="8"/>
                <c:pt idx="0">
                  <c:v>28.7</c:v>
                </c:pt>
                <c:pt idx="1">
                  <c:v>29.3</c:v>
                </c:pt>
                <c:pt idx="2">
                  <c:v>29.4</c:v>
                </c:pt>
                <c:pt idx="3">
                  <c:v>31.5</c:v>
                </c:pt>
                <c:pt idx="4">
                  <c:v>32.037500358096445</c:v>
                </c:pt>
                <c:pt idx="5">
                  <c:v>32.725203523711102</c:v>
                </c:pt>
                <c:pt idx="6">
                  <c:v>33.42307108124453</c:v>
                </c:pt>
                <c:pt idx="7">
                  <c:v>34.137194449335453</c:v>
                </c:pt>
              </c:numCache>
            </c:numRef>
          </c:val>
        </c:ser>
        <c:ser>
          <c:idx val="4"/>
          <c:order val="2"/>
          <c:tx>
            <c:strRef>
              <c:f>Charts!$B$625</c:f>
              <c:strCache>
                <c:ptCount val="1"/>
                <c:pt idx="0">
                  <c:v>Transport</c:v>
                </c:pt>
              </c:strCache>
            </c:strRef>
          </c:tx>
          <c:spPr>
            <a:solidFill>
              <a:srgbClr val="A8D7E2"/>
            </a:solidFill>
          </c:spPr>
          <c:invertIfNegative val="0"/>
          <c:dLbls>
            <c:txPr>
              <a:bodyPr/>
              <a:lstStyle/>
              <a:p>
                <a:pPr>
                  <a:defRPr sz="1000" b="0" i="0" u="none" strike="noStrike" baseline="0">
                    <a:solidFill>
                      <a:srgbClr val="000000"/>
                    </a:solidFill>
                    <a:latin typeface="Calibri"/>
                    <a:ea typeface="Calibri"/>
                    <a:cs typeface="Calibri"/>
                  </a:defRPr>
                </a:pPr>
                <a:endParaRPr lang="en-US"/>
              </a:p>
            </c:txPr>
            <c:dLblPos val="ctr"/>
            <c:showLegendKey val="0"/>
            <c:showVal val="1"/>
            <c:showCatName val="0"/>
            <c:showSerName val="0"/>
            <c:showPercent val="0"/>
            <c:showBubbleSize val="0"/>
            <c:showLeaderLines val="0"/>
          </c:dLbls>
          <c:cat>
            <c:strRef>
              <c:f>Charts!$AL$3:$AS$3</c:f>
              <c:strCache>
                <c:ptCount val="8"/>
                <c:pt idx="0">
                  <c:v>3Q17</c:v>
                </c:pt>
                <c:pt idx="1">
                  <c:v>4Q17</c:v>
                </c:pt>
                <c:pt idx="2">
                  <c:v>1Q18</c:v>
                </c:pt>
                <c:pt idx="3">
                  <c:v>2Q18</c:v>
                </c:pt>
                <c:pt idx="4">
                  <c:v>3Q18E</c:v>
                </c:pt>
                <c:pt idx="5">
                  <c:v>4Q18E</c:v>
                </c:pt>
                <c:pt idx="6">
                  <c:v>1Q19E</c:v>
                </c:pt>
                <c:pt idx="7">
                  <c:v>2Q19E</c:v>
                </c:pt>
              </c:strCache>
            </c:strRef>
          </c:cat>
          <c:val>
            <c:numRef>
              <c:f>Charts!$AL$625:$AS$625</c:f>
              <c:numCache>
                <c:formatCode>#,##0.0_);\(#,##0.0\)</c:formatCode>
                <c:ptCount val="8"/>
                <c:pt idx="0">
                  <c:v>45.7</c:v>
                </c:pt>
                <c:pt idx="1">
                  <c:v>49.3</c:v>
                </c:pt>
                <c:pt idx="2">
                  <c:v>51.6</c:v>
                </c:pt>
                <c:pt idx="3">
                  <c:v>49.2</c:v>
                </c:pt>
                <c:pt idx="4">
                  <c:v>50.099572880682842</c:v>
                </c:pt>
                <c:pt idx="5">
                  <c:v>50.170769873689281</c:v>
                </c:pt>
                <c:pt idx="6">
                  <c:v>50.276029554713325</c:v>
                </c:pt>
                <c:pt idx="7">
                  <c:v>50.413502852041631</c:v>
                </c:pt>
              </c:numCache>
            </c:numRef>
          </c:val>
        </c:ser>
        <c:ser>
          <c:idx val="5"/>
          <c:order val="3"/>
          <c:tx>
            <c:strRef>
              <c:f>Charts!$B$626</c:f>
              <c:strCache>
                <c:ptCount val="1"/>
                <c:pt idx="0">
                  <c:v>Enterprise Networks</c:v>
                </c:pt>
              </c:strCache>
            </c:strRef>
          </c:tx>
          <c:invertIfNegative val="0"/>
          <c:val>
            <c:numRef>
              <c:f>Charts!$AL$626:$AS$626</c:f>
              <c:numCache>
                <c:formatCode>#,##0.0_);\(#,##0.0\)</c:formatCode>
                <c:ptCount val="8"/>
                <c:pt idx="0">
                  <c:v>46.6</c:v>
                </c:pt>
                <c:pt idx="1">
                  <c:v>51.1</c:v>
                </c:pt>
                <c:pt idx="2">
                  <c:v>49.5</c:v>
                </c:pt>
                <c:pt idx="3">
                  <c:v>57</c:v>
                </c:pt>
                <c:pt idx="4">
                  <c:v>53.827378883057655</c:v>
                </c:pt>
                <c:pt idx="5">
                  <c:v>53.501647815794016</c:v>
                </c:pt>
                <c:pt idx="6">
                  <c:v>53.281061287994135</c:v>
                </c:pt>
                <c:pt idx="7">
                  <c:v>53.148239821568488</c:v>
                </c:pt>
              </c:numCache>
            </c:numRef>
          </c:val>
        </c:ser>
        <c:ser>
          <c:idx val="2"/>
          <c:order val="4"/>
          <c:tx>
            <c:strRef>
              <c:f>Charts!$B$627</c:f>
              <c:strCache>
                <c:ptCount val="1"/>
                <c:pt idx="0">
                  <c:v>Other</c:v>
                </c:pt>
              </c:strCache>
            </c:strRef>
          </c:tx>
          <c:spPr>
            <a:solidFill>
              <a:srgbClr val="4AAC6B"/>
            </a:solidFill>
          </c:spPr>
          <c:invertIfNegative val="0"/>
          <c:dLbls>
            <c:dLbl>
              <c:idx val="6"/>
              <c:layout>
                <c:manualLayout>
                  <c:x val="0"/>
                  <c:y val="2.2129067795507478E-2"/>
                </c:manualLayout>
              </c:layout>
              <c:dLblPos val="ctr"/>
              <c:showLegendKey val="0"/>
              <c:showVal val="1"/>
              <c:showCatName val="0"/>
              <c:showSerName val="0"/>
              <c:showPercent val="0"/>
              <c:showBubbleSize val="0"/>
            </c:dLbl>
            <c:dLbl>
              <c:idx val="7"/>
              <c:layout>
                <c:manualLayout>
                  <c:x val="-3.0372057706909645E-3"/>
                  <c:y val="3.8558125615346918E-2"/>
                </c:manualLayout>
              </c:layout>
              <c:dLblPos val="ctr"/>
              <c:showLegendKey val="0"/>
              <c:showVal val="1"/>
              <c:showCatName val="0"/>
              <c:showSerName val="0"/>
              <c:showPercent val="0"/>
              <c:showBubbleSize val="0"/>
            </c:dLbl>
            <c:txPr>
              <a:bodyPr/>
              <a:lstStyle/>
              <a:p>
                <a:pPr>
                  <a:defRPr sz="1000" b="0" i="0" u="none" strike="noStrike" baseline="0">
                    <a:solidFill>
                      <a:srgbClr val="000000"/>
                    </a:solidFill>
                    <a:latin typeface="Calibri"/>
                    <a:ea typeface="Calibri"/>
                    <a:cs typeface="Calibri"/>
                  </a:defRPr>
                </a:pPr>
                <a:endParaRPr lang="en-US"/>
              </a:p>
            </c:txPr>
            <c:showLegendKey val="0"/>
            <c:showVal val="1"/>
            <c:showCatName val="0"/>
            <c:showSerName val="0"/>
            <c:showPercent val="0"/>
            <c:showBubbleSize val="0"/>
            <c:showLeaderLines val="0"/>
          </c:dLbls>
          <c:cat>
            <c:strRef>
              <c:f>Charts!$AL$3:$AS$3</c:f>
              <c:strCache>
                <c:ptCount val="8"/>
                <c:pt idx="0">
                  <c:v>3Q17</c:v>
                </c:pt>
                <c:pt idx="1">
                  <c:v>4Q17</c:v>
                </c:pt>
                <c:pt idx="2">
                  <c:v>1Q18</c:v>
                </c:pt>
                <c:pt idx="3">
                  <c:v>2Q18</c:v>
                </c:pt>
                <c:pt idx="4">
                  <c:v>3Q18E</c:v>
                </c:pt>
                <c:pt idx="5">
                  <c:v>4Q18E</c:v>
                </c:pt>
                <c:pt idx="6">
                  <c:v>1Q19E</c:v>
                </c:pt>
                <c:pt idx="7">
                  <c:v>2Q19E</c:v>
                </c:pt>
              </c:strCache>
            </c:strRef>
          </c:cat>
          <c:val>
            <c:numRef>
              <c:f>Charts!$AL$627:$AS$627</c:f>
              <c:numCache>
                <c:formatCode>#,##0.0_);\(#,##0.0\)</c:formatCode>
                <c:ptCount val="8"/>
                <c:pt idx="0">
                  <c:v>1.4</c:v>
                </c:pt>
                <c:pt idx="1">
                  <c:v>1.6</c:v>
                </c:pt>
                <c:pt idx="2">
                  <c:v>1.1000000000000001</c:v>
                </c:pt>
                <c:pt idx="3">
                  <c:v>1.3</c:v>
                </c:pt>
                <c:pt idx="4">
                  <c:v>-1.8900724427489592</c:v>
                </c:pt>
                <c:pt idx="5">
                  <c:v>-3.4002227947454244</c:v>
                </c:pt>
                <c:pt idx="6">
                  <c:v>-3.4226989390101892</c:v>
                </c:pt>
                <c:pt idx="7">
                  <c:v>-3.4405401712433132</c:v>
                </c:pt>
              </c:numCache>
            </c:numRef>
          </c:val>
        </c:ser>
        <c:ser>
          <c:idx val="6"/>
          <c:order val="5"/>
          <c:tx>
            <c:strRef>
              <c:f>Charts!$B$628</c:f>
              <c:strCache>
                <c:ptCount val="1"/>
                <c:pt idx="0">
                  <c:v>Allstream</c:v>
                </c:pt>
              </c:strCache>
            </c:strRef>
          </c:tx>
          <c:invertIfNegative val="0"/>
          <c:val>
            <c:numRef>
              <c:f>Charts!$AL$628:$AS$628</c:f>
              <c:numCache>
                <c:formatCode>#,##0.0_);\(#,##0.0\)</c:formatCode>
                <c:ptCount val="8"/>
                <c:pt idx="0">
                  <c:v>22</c:v>
                </c:pt>
                <c:pt idx="1">
                  <c:v>30</c:v>
                </c:pt>
                <c:pt idx="2">
                  <c:v>30.8</c:v>
                </c:pt>
                <c:pt idx="3">
                  <c:v>29.9</c:v>
                </c:pt>
                <c:pt idx="4">
                  <c:v>29.750499999999995</c:v>
                </c:pt>
                <c:pt idx="5">
                  <c:v>29.601747499999995</c:v>
                </c:pt>
                <c:pt idx="6">
                  <c:v>29.453738762499995</c:v>
                </c:pt>
                <c:pt idx="7">
                  <c:v>29.306470068687496</c:v>
                </c:pt>
              </c:numCache>
            </c:numRef>
          </c:val>
        </c:ser>
        <c:ser>
          <c:idx val="3"/>
          <c:order val="6"/>
          <c:tx>
            <c:strRef>
              <c:f>Charts!$B$629</c:f>
              <c:strCache>
                <c:ptCount val="1"/>
                <c:pt idx="0">
                  <c:v>Total</c:v>
                </c:pt>
              </c:strCache>
            </c:strRef>
          </c:tx>
          <c:spPr>
            <a:noFill/>
            <a:ln>
              <a:noFill/>
            </a:ln>
          </c:spPr>
          <c:invertIfNegative val="0"/>
          <c:dLbls>
            <c:dLbl>
              <c:idx val="6"/>
              <c:layout>
                <c:manualLayout>
                  <c:x val="0"/>
                  <c:y val="0.15353963508573237"/>
                </c:manualLayout>
              </c:layout>
              <c:dLblPos val="ctr"/>
              <c:showLegendKey val="0"/>
              <c:showVal val="1"/>
              <c:showCatName val="0"/>
              <c:showSerName val="0"/>
              <c:showPercent val="0"/>
              <c:showBubbleSize val="0"/>
            </c:dLbl>
            <c:txPr>
              <a:bodyPr/>
              <a:lstStyle/>
              <a:p>
                <a:pPr>
                  <a:defRPr sz="1000" b="0" i="0" u="none" strike="noStrike" baseline="0">
                    <a:solidFill>
                      <a:srgbClr val="000000"/>
                    </a:solidFill>
                    <a:latin typeface="Calibri"/>
                    <a:ea typeface="Calibri"/>
                    <a:cs typeface="Calibri"/>
                  </a:defRPr>
                </a:pPr>
                <a:endParaRPr lang="en-US"/>
              </a:p>
            </c:txPr>
            <c:dLblPos val="inBase"/>
            <c:showLegendKey val="0"/>
            <c:showVal val="1"/>
            <c:showCatName val="0"/>
            <c:showSerName val="0"/>
            <c:showPercent val="0"/>
            <c:showBubbleSize val="0"/>
            <c:showLeaderLines val="0"/>
          </c:dLbls>
          <c:cat>
            <c:strRef>
              <c:f>Charts!$AL$3:$AS$3</c:f>
              <c:strCache>
                <c:ptCount val="8"/>
                <c:pt idx="0">
                  <c:v>3Q17</c:v>
                </c:pt>
                <c:pt idx="1">
                  <c:v>4Q17</c:v>
                </c:pt>
                <c:pt idx="2">
                  <c:v>1Q18</c:v>
                </c:pt>
                <c:pt idx="3">
                  <c:v>2Q18</c:v>
                </c:pt>
                <c:pt idx="4">
                  <c:v>3Q18E</c:v>
                </c:pt>
                <c:pt idx="5">
                  <c:v>4Q18E</c:v>
                </c:pt>
                <c:pt idx="6">
                  <c:v>1Q19E</c:v>
                </c:pt>
                <c:pt idx="7">
                  <c:v>2Q19E</c:v>
                </c:pt>
              </c:strCache>
            </c:strRef>
          </c:cat>
          <c:val>
            <c:numRef>
              <c:f>Charts!$AL$629:$AS$629</c:f>
              <c:numCache>
                <c:formatCode>#,##0.0_);\(#,##0.0\)</c:formatCode>
                <c:ptCount val="8"/>
                <c:pt idx="0">
                  <c:v>282</c:v>
                </c:pt>
                <c:pt idx="1">
                  <c:v>310.80000000000007</c:v>
                </c:pt>
                <c:pt idx="2">
                  <c:v>316.60000000000002</c:v>
                </c:pt>
                <c:pt idx="3">
                  <c:v>329.9</c:v>
                </c:pt>
                <c:pt idx="4">
                  <c:v>326.94871317149068</c:v>
                </c:pt>
                <c:pt idx="5">
                  <c:v>331.03746666936564</c:v>
                </c:pt>
                <c:pt idx="6">
                  <c:v>335.40358115071263</c:v>
                </c:pt>
                <c:pt idx="7">
                  <c:v>340.01440528747918</c:v>
                </c:pt>
              </c:numCache>
            </c:numRef>
          </c:val>
        </c:ser>
        <c:dLbls>
          <c:showLegendKey val="0"/>
          <c:showVal val="0"/>
          <c:showCatName val="0"/>
          <c:showSerName val="0"/>
          <c:showPercent val="0"/>
          <c:showBubbleSize val="0"/>
        </c:dLbls>
        <c:gapWidth val="150"/>
        <c:overlap val="100"/>
        <c:axId val="656101376"/>
        <c:axId val="656102912"/>
      </c:barChart>
      <c:catAx>
        <c:axId val="656101376"/>
        <c:scaling>
          <c:orientation val="minMax"/>
        </c:scaling>
        <c:delete val="0"/>
        <c:axPos val="b"/>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656102912"/>
        <c:crosses val="autoZero"/>
        <c:auto val="1"/>
        <c:lblAlgn val="ctr"/>
        <c:lblOffset val="100"/>
        <c:noMultiLvlLbl val="0"/>
      </c:catAx>
      <c:valAx>
        <c:axId val="656102912"/>
        <c:scaling>
          <c:orientation val="minMax"/>
          <c:max val="400"/>
        </c:scaling>
        <c:delete val="0"/>
        <c:axPos val="l"/>
        <c:majorGridlines>
          <c:spPr>
            <a:ln>
              <a:solidFill>
                <a:schemeClr val="bg1">
                  <a:lumMod val="90000"/>
                </a:schemeClr>
              </a:solidFill>
            </a:ln>
          </c:spPr>
        </c:majorGridlines>
        <c:numFmt formatCode="\$#,##0_);\(\$#,##0\)" sourceLinked="0"/>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656101376"/>
        <c:crosses val="autoZero"/>
        <c:crossBetween val="between"/>
      </c:valAx>
      <c:spPr>
        <a:noFill/>
        <a:ln w="25400">
          <a:noFill/>
        </a:ln>
      </c:spPr>
    </c:plotArea>
    <c:legend>
      <c:legendPos val="t"/>
      <c:legendEntry>
        <c:idx val="6"/>
        <c:delete val="1"/>
      </c:legendEntry>
      <c:layout>
        <c:manualLayout>
          <c:xMode val="edge"/>
          <c:yMode val="edge"/>
          <c:x val="0.41690647439001788"/>
          <c:y val="1.8518425196850395E-2"/>
          <c:w val="0.58309352560998218"/>
          <c:h val="0.19094998327990564"/>
        </c:manualLayout>
      </c:layout>
      <c:overlay val="0"/>
      <c:txPr>
        <a:bodyPr/>
        <a:lstStyle/>
        <a:p>
          <a:pPr>
            <a:defRPr sz="1000" b="0" i="0" u="none" strike="noStrike" baseline="0">
              <a:solidFill>
                <a:srgbClr val="000000"/>
              </a:solidFill>
              <a:latin typeface="Calibri"/>
              <a:ea typeface="Calibri"/>
              <a:cs typeface="Calibri"/>
            </a:defRPr>
          </a:pPr>
          <a:endParaRPr lang="en-US"/>
        </a:p>
      </c:txPr>
    </c:legend>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orientation="portrait"/>
  </c:printSettings>
</c:chartSpace>
</file>

<file path=xl/charts/chart4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000" baseline="0"/>
              <a:t>ADJUSTED EBITDA SEGMENTS</a:t>
            </a:r>
          </a:p>
        </c:rich>
      </c:tx>
      <c:layout>
        <c:manualLayout>
          <c:xMode val="edge"/>
          <c:yMode val="edge"/>
          <c:x val="1.1131735711556174E-3"/>
          <c:y val="0"/>
        </c:manualLayout>
      </c:layout>
      <c:overlay val="1"/>
    </c:title>
    <c:autoTitleDeleted val="0"/>
    <c:plotArea>
      <c:layout/>
      <c:pieChart>
        <c:varyColors val="1"/>
        <c:ser>
          <c:idx val="0"/>
          <c:order val="0"/>
          <c:dPt>
            <c:idx val="0"/>
            <c:bubble3D val="0"/>
            <c:spPr>
              <a:solidFill>
                <a:srgbClr val="137CB1"/>
              </a:solidFill>
            </c:spPr>
          </c:dPt>
          <c:dPt>
            <c:idx val="1"/>
            <c:bubble3D val="0"/>
            <c:spPr>
              <a:solidFill>
                <a:srgbClr val="EACC80"/>
              </a:solidFill>
            </c:spPr>
          </c:dPt>
          <c:dPt>
            <c:idx val="2"/>
            <c:bubble3D val="0"/>
            <c:spPr>
              <a:solidFill>
                <a:srgbClr val="4AAC6B"/>
              </a:solidFill>
            </c:spPr>
          </c:dPt>
          <c:dPt>
            <c:idx val="3"/>
            <c:bubble3D val="0"/>
            <c:spPr>
              <a:solidFill>
                <a:srgbClr val="A8D7E2"/>
              </a:solidFill>
            </c:spPr>
          </c:dPt>
          <c:dPt>
            <c:idx val="4"/>
            <c:bubble3D val="0"/>
            <c:spPr>
              <a:solidFill>
                <a:srgbClr val="E58061"/>
              </a:solidFill>
            </c:spPr>
          </c:dPt>
          <c:dPt>
            <c:idx val="5"/>
            <c:bubble3D val="0"/>
            <c:spPr>
              <a:solidFill>
                <a:srgbClr val="BCE3A1"/>
              </a:solidFill>
            </c:spPr>
          </c:dPt>
          <c:dLbls>
            <c:dLblPos val="inEnd"/>
            <c:showLegendKey val="0"/>
            <c:showVal val="0"/>
            <c:showCatName val="1"/>
            <c:showSerName val="0"/>
            <c:showPercent val="1"/>
            <c:showBubbleSize val="0"/>
            <c:showLeaderLines val="1"/>
          </c:dLbls>
          <c:cat>
            <c:strRef>
              <c:f>Charts!$B$623:$B$628</c:f>
              <c:strCache>
                <c:ptCount val="6"/>
                <c:pt idx="0">
                  <c:v>Fiber Solutions</c:v>
                </c:pt>
                <c:pt idx="1">
                  <c:v>Colocation</c:v>
                </c:pt>
                <c:pt idx="2">
                  <c:v>Transport</c:v>
                </c:pt>
                <c:pt idx="3">
                  <c:v>Enterprise Networks</c:v>
                </c:pt>
                <c:pt idx="4">
                  <c:v>Other</c:v>
                </c:pt>
                <c:pt idx="5">
                  <c:v>Allstream</c:v>
                </c:pt>
              </c:strCache>
            </c:strRef>
          </c:cat>
          <c:val>
            <c:numRef>
              <c:f>Charts!$AN$623:$AN$628</c:f>
              <c:numCache>
                <c:formatCode>#,##0.0_);\(#,##0.0\)</c:formatCode>
                <c:ptCount val="6"/>
                <c:pt idx="0">
                  <c:v>154.19999999999999</c:v>
                </c:pt>
                <c:pt idx="1">
                  <c:v>29.4</c:v>
                </c:pt>
                <c:pt idx="2">
                  <c:v>51.6</c:v>
                </c:pt>
                <c:pt idx="3">
                  <c:v>49.5</c:v>
                </c:pt>
                <c:pt idx="4">
                  <c:v>1.1000000000000001</c:v>
                </c:pt>
                <c:pt idx="5">
                  <c:v>30.8</c:v>
                </c:pt>
              </c:numCache>
            </c:numRef>
          </c:val>
        </c:ser>
        <c:dLbls>
          <c:dLblPos val="inEnd"/>
          <c:showLegendKey val="0"/>
          <c:showVal val="1"/>
          <c:showCatName val="0"/>
          <c:showSerName val="0"/>
          <c:showPercent val="0"/>
          <c:showBubbleSize val="0"/>
          <c:showLeaderLines val="1"/>
        </c:dLbls>
        <c:firstSliceAng val="0"/>
      </c:pieChart>
      <c:spPr>
        <a:noFill/>
        <a:ln>
          <a:noFill/>
        </a:ln>
      </c:spPr>
    </c:plotArea>
    <c:plotVisOnly val="1"/>
    <c:dispBlanksAs val="gap"/>
    <c:showDLblsOverMax val="0"/>
  </c:chart>
  <c:spPr>
    <a:solidFill>
      <a:srgbClr val="FFFFFF"/>
    </a:solidFill>
    <a:ln>
      <a:noFill/>
    </a:ln>
  </c:spPr>
  <c:printSettings>
    <c:headerFooter/>
    <c:pageMargins b="0.75" l="0.7" r="0.7" t="0.75" header="0.3" footer="0.3"/>
    <c:pageSetup orientation="landscape" verticalDpi="0"/>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
<Relationship Id="rId1" Target="../media/image1.png" Type="http://schemas.openxmlformats.org/officeDocument/2006/relationships/image"/>
<Relationship Id="rId2" Target="../media/image2.jpeg" Type="http://schemas.openxmlformats.org/officeDocument/2006/relationships/image"/>
<Relationship Id="rId3" Target="../media/image3.gif" Type="http://schemas.openxmlformats.org/officeDocument/2006/relationships/image"/>
</Relationships>

</file>

<file path=xl/drawings/_rels/drawing3.xml.rels><?xml version="1.0" encoding="UTF-8" standalone="yes"?>
<Relationships xmlns="http://schemas.openxmlformats.org/package/2006/relationships">
<Relationship Id="rId1" Target="../media/image4.png" Type="http://schemas.openxmlformats.org/officeDocument/2006/relationships/image"/>
</Relationships>

</file>

<file path=xl/drawings/_rels/drawing4.xml.rels><?xml version="1.0" encoding="UTF-8" standalone="yes"?>
<Relationships xmlns="http://schemas.openxmlformats.org/package/2006/relationships">
<Relationship Id="rId1" Target="../charts/chart1.xml" Type="http://schemas.openxmlformats.org/officeDocument/2006/relationships/chart"/>
<Relationship Id="rId10" Target="../charts/chart10.xml" Type="http://schemas.openxmlformats.org/officeDocument/2006/relationships/chart"/>
<Relationship Id="rId11" Target="../charts/chart11.xml" Type="http://schemas.openxmlformats.org/officeDocument/2006/relationships/chart"/>
<Relationship Id="rId12" Target="../charts/chart12.xml" Type="http://schemas.openxmlformats.org/officeDocument/2006/relationships/chart"/>
<Relationship Id="rId13" Target="../charts/chart13.xml" Type="http://schemas.openxmlformats.org/officeDocument/2006/relationships/chart"/>
<Relationship Id="rId14" Target="../charts/chart14.xml" Type="http://schemas.openxmlformats.org/officeDocument/2006/relationships/chart"/>
<Relationship Id="rId15" Target="../charts/chart15.xml" Type="http://schemas.openxmlformats.org/officeDocument/2006/relationships/chart"/>
<Relationship Id="rId16" Target="../charts/chart16.xml" Type="http://schemas.openxmlformats.org/officeDocument/2006/relationships/chart"/>
<Relationship Id="rId17" Target="../charts/chart17.xml" Type="http://schemas.openxmlformats.org/officeDocument/2006/relationships/chart"/>
<Relationship Id="rId18" Target="../charts/chart18.xml" Type="http://schemas.openxmlformats.org/officeDocument/2006/relationships/chart"/>
<Relationship Id="rId19" Target="../charts/chart19.xml" Type="http://schemas.openxmlformats.org/officeDocument/2006/relationships/chart"/>
<Relationship Id="rId2" Target="../charts/chart2.xml" Type="http://schemas.openxmlformats.org/officeDocument/2006/relationships/chart"/>
<Relationship Id="rId20" Target="../charts/chart20.xml" Type="http://schemas.openxmlformats.org/officeDocument/2006/relationships/chart"/>
<Relationship Id="rId21" Target="../charts/chart21.xml" Type="http://schemas.openxmlformats.org/officeDocument/2006/relationships/chart"/>
<Relationship Id="rId22" Target="../charts/chart22.xml" Type="http://schemas.openxmlformats.org/officeDocument/2006/relationships/chart"/>
<Relationship Id="rId23" Target="../charts/chart23.xml" Type="http://schemas.openxmlformats.org/officeDocument/2006/relationships/chart"/>
<Relationship Id="rId24" Target="../charts/chart24.xml" Type="http://schemas.openxmlformats.org/officeDocument/2006/relationships/chart"/>
<Relationship Id="rId25" Target="../charts/chart25.xml" Type="http://schemas.openxmlformats.org/officeDocument/2006/relationships/chart"/>
<Relationship Id="rId26" Target="../charts/chart26.xml" Type="http://schemas.openxmlformats.org/officeDocument/2006/relationships/chart"/>
<Relationship Id="rId27" Target="../charts/chart27.xml" Type="http://schemas.openxmlformats.org/officeDocument/2006/relationships/chart"/>
<Relationship Id="rId28" Target="../charts/chart28.xml" Type="http://schemas.openxmlformats.org/officeDocument/2006/relationships/chart"/>
<Relationship Id="rId29" Target="../charts/chart29.xml" Type="http://schemas.openxmlformats.org/officeDocument/2006/relationships/chart"/>
<Relationship Id="rId3" Target="../charts/chart3.xml" Type="http://schemas.openxmlformats.org/officeDocument/2006/relationships/chart"/>
<Relationship Id="rId30" Target="../charts/chart30.xml" Type="http://schemas.openxmlformats.org/officeDocument/2006/relationships/chart"/>
<Relationship Id="rId31" Target="../charts/chart31.xml" Type="http://schemas.openxmlformats.org/officeDocument/2006/relationships/chart"/>
<Relationship Id="rId32" Target="../charts/chart32.xml" Type="http://schemas.openxmlformats.org/officeDocument/2006/relationships/chart"/>
<Relationship Id="rId33" Target="../charts/chart33.xml" Type="http://schemas.openxmlformats.org/officeDocument/2006/relationships/chart"/>
<Relationship Id="rId34" Target="../charts/chart34.xml" Type="http://schemas.openxmlformats.org/officeDocument/2006/relationships/chart"/>
<Relationship Id="rId35" Target="../charts/chart35.xml" Type="http://schemas.openxmlformats.org/officeDocument/2006/relationships/chart"/>
<Relationship Id="rId36" Target="../charts/chart36.xml" Type="http://schemas.openxmlformats.org/officeDocument/2006/relationships/chart"/>
<Relationship Id="rId37" Target="../charts/chart37.xml" Type="http://schemas.openxmlformats.org/officeDocument/2006/relationships/chart"/>
<Relationship Id="rId38" Target="../charts/chart38.xml" Type="http://schemas.openxmlformats.org/officeDocument/2006/relationships/chart"/>
<Relationship Id="rId39" Target="../charts/chart39.xml" Type="http://schemas.openxmlformats.org/officeDocument/2006/relationships/chart"/>
<Relationship Id="rId4" Target="../charts/chart4.xml" Type="http://schemas.openxmlformats.org/officeDocument/2006/relationships/chart"/>
<Relationship Id="rId40" Target="../charts/chart40.xml" Type="http://schemas.openxmlformats.org/officeDocument/2006/relationships/chart"/>
<Relationship Id="rId5" Target="../charts/chart5.xml" Type="http://schemas.openxmlformats.org/officeDocument/2006/relationships/chart"/>
<Relationship Id="rId6" Target="../charts/chart6.xml" Type="http://schemas.openxmlformats.org/officeDocument/2006/relationships/chart"/>
<Relationship Id="rId7" Target="../charts/chart7.xml" Type="http://schemas.openxmlformats.org/officeDocument/2006/relationships/chart"/>
<Relationship Id="rId8" Target="../charts/chart8.xml" Type="http://schemas.openxmlformats.org/officeDocument/2006/relationships/chart"/>
<Relationship Id="rId9" Target="../charts/chart9.xml" Type="http://schemas.openxmlformats.org/officeDocument/2006/relationships/chart"/>
</Relationships>

</file>

<file path=xl/drawings/drawing1.xml><?xml version="1.0" encoding="utf-8"?>
<xdr:wsDr xmlns:xdr="http://schemas.openxmlformats.org/drawingml/2006/spreadsheetDrawing" xmlns:a="http://schemas.openxmlformats.org/drawingml/2006/main">
  <xdr:twoCellAnchor editAs="oneCell">
    <xdr:from>
      <xdr:col>0</xdr:col>
      <xdr:colOff>19050</xdr:colOff>
      <xdr:row>0</xdr:row>
      <xdr:rowOff>28575</xdr:rowOff>
    </xdr:from>
    <xdr:to>
      <xdr:col>0</xdr:col>
      <xdr:colOff>1581150</xdr:colOff>
      <xdr:row>0</xdr:row>
      <xdr:rowOff>323850</xdr:rowOff>
    </xdr:to>
    <xdr:pic>
      <xdr:nvPicPr>
        <xdr:cNvPr id="2" name="Picture 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050" y="28575"/>
          <a:ext cx="1562100" cy="295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19050</xdr:colOff>
      <xdr:row>0</xdr:row>
      <xdr:rowOff>95250</xdr:rowOff>
    </xdr:from>
    <xdr:to>
      <xdr:col>1</xdr:col>
      <xdr:colOff>523875</xdr:colOff>
      <xdr:row>0</xdr:row>
      <xdr:rowOff>314325</xdr:rowOff>
    </xdr:to>
    <xdr:pic>
      <xdr:nvPicPr>
        <xdr:cNvPr id="3" name="Picture 6" descr="MSMS_logo_3" hidden="1"/>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9050" y="95250"/>
          <a:ext cx="2219325" cy="219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180</xdr:row>
      <xdr:rowOff>0</xdr:rowOff>
    </xdr:from>
    <xdr:to>
      <xdr:col>7</xdr:col>
      <xdr:colOff>390525</xdr:colOff>
      <xdr:row>203</xdr:row>
      <xdr:rowOff>104775</xdr:rowOff>
    </xdr:to>
    <xdr:pic>
      <xdr:nvPicPr>
        <xdr:cNvPr id="24019969" name="Picture 1" descr="C:\Users\laml\AppData\Local\Temp\MercuryPriceRatingHistoryChart\ZAYO.N_2018_02_08_00_10_41.gif"/>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0" y="27774900"/>
          <a:ext cx="6400800" cy="3829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11</xdr:row>
          <xdr:rowOff>152400</xdr:rowOff>
        </xdr:from>
        <xdr:to>
          <xdr:col>1</xdr:col>
          <xdr:colOff>2819400</xdr:colOff>
          <xdr:row>14</xdr:row>
          <xdr:rowOff>152400</xdr:rowOff>
        </xdr:to>
        <xdr:sp macro="" textlink="">
          <xdr:nvSpPr>
            <xdr:cNvPr id="24020993" name="Button 1" hidden="1">
              <a:extLst>
                <a:ext uri="{63B3BB69-23CF-44E3-9099-C40C66FF867C}">
                  <a14:compatExt spid="_x0000_s24020993"/>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en-US" sz="1800" b="1" i="0" u="none" strike="noStrike" baseline="0">
                  <a:solidFill>
                    <a:srgbClr val="000000"/>
                  </a:solidFill>
                  <a:latin typeface="Calibri"/>
                  <a:cs typeface="Calibri"/>
                </a:rPr>
                <a:t>Apply Circular Settings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3067050</xdr:colOff>
          <xdr:row>11</xdr:row>
          <xdr:rowOff>152400</xdr:rowOff>
        </xdr:from>
        <xdr:to>
          <xdr:col>2</xdr:col>
          <xdr:colOff>0</xdr:colOff>
          <xdr:row>14</xdr:row>
          <xdr:rowOff>152400</xdr:rowOff>
        </xdr:to>
        <xdr:sp macro="" textlink="">
          <xdr:nvSpPr>
            <xdr:cNvPr id="24020994" name="Button 2" hidden="1">
              <a:extLst>
                <a:ext uri="{63B3BB69-23CF-44E3-9099-C40C66FF867C}">
                  <a14:compatExt spid="_x0000_s24020994"/>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en-US" sz="1800" b="1" i="0" u="none" strike="noStrike" baseline="0">
                  <a:solidFill>
                    <a:srgbClr val="000000"/>
                  </a:solidFill>
                  <a:latin typeface="Calibri"/>
                  <a:cs typeface="Calibri"/>
                </a:rPr>
                <a:t>Just Display Sheets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514350</xdr:colOff>
      <xdr:row>3</xdr:row>
      <xdr:rowOff>19050</xdr:rowOff>
    </xdr:from>
    <xdr:to>
      <xdr:col>4</xdr:col>
      <xdr:colOff>95250</xdr:colOff>
      <xdr:row>13</xdr:row>
      <xdr:rowOff>95250</xdr:rowOff>
    </xdr:to>
    <xdr:pic>
      <xdr:nvPicPr>
        <xdr:cNvPr id="66414870" name="Picture 1" descr="MS Logo Blac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23950" y="504825"/>
          <a:ext cx="2876550" cy="1695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1</xdr:col>
      <xdr:colOff>111498</xdr:colOff>
      <xdr:row>18</xdr:row>
      <xdr:rowOff>142875</xdr:rowOff>
    </xdr:from>
    <xdr:to>
      <xdr:col>2</xdr:col>
      <xdr:colOff>34738</xdr:colOff>
      <xdr:row>33</xdr:row>
      <xdr:rowOff>95250</xdr:rowOff>
    </xdr:to>
    <xdr:graphicFrame macro="">
      <xdr:nvGraphicFramePr>
        <xdr:cNvPr id="66098556"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66675</xdr:colOff>
      <xdr:row>123</xdr:row>
      <xdr:rowOff>142875</xdr:rowOff>
    </xdr:from>
    <xdr:to>
      <xdr:col>1</xdr:col>
      <xdr:colOff>4248150</xdr:colOff>
      <xdr:row>138</xdr:row>
      <xdr:rowOff>95250</xdr:rowOff>
    </xdr:to>
    <xdr:graphicFrame macro="">
      <xdr:nvGraphicFramePr>
        <xdr:cNvPr id="66098557"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66675</xdr:colOff>
      <xdr:row>323</xdr:row>
      <xdr:rowOff>142875</xdr:rowOff>
    </xdr:from>
    <xdr:to>
      <xdr:col>1</xdr:col>
      <xdr:colOff>4248150</xdr:colOff>
      <xdr:row>338</xdr:row>
      <xdr:rowOff>95250</xdr:rowOff>
    </xdr:to>
    <xdr:graphicFrame macro="">
      <xdr:nvGraphicFramePr>
        <xdr:cNvPr id="66098558"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0</xdr:colOff>
      <xdr:row>35</xdr:row>
      <xdr:rowOff>0</xdr:rowOff>
    </xdr:from>
    <xdr:to>
      <xdr:col>1</xdr:col>
      <xdr:colOff>4181475</xdr:colOff>
      <xdr:row>49</xdr:row>
      <xdr:rowOff>114300</xdr:rowOff>
    </xdr:to>
    <xdr:graphicFrame macro="">
      <xdr:nvGraphicFramePr>
        <xdr:cNvPr id="66098559"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66675</xdr:colOff>
      <xdr:row>368</xdr:row>
      <xdr:rowOff>142875</xdr:rowOff>
    </xdr:from>
    <xdr:to>
      <xdr:col>1</xdr:col>
      <xdr:colOff>4248150</xdr:colOff>
      <xdr:row>383</xdr:row>
      <xdr:rowOff>95250</xdr:rowOff>
    </xdr:to>
    <xdr:graphicFrame macro="">
      <xdr:nvGraphicFramePr>
        <xdr:cNvPr id="66098560"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66675</xdr:colOff>
      <xdr:row>429</xdr:row>
      <xdr:rowOff>142875</xdr:rowOff>
    </xdr:from>
    <xdr:to>
      <xdr:col>1</xdr:col>
      <xdr:colOff>4248150</xdr:colOff>
      <xdr:row>444</xdr:row>
      <xdr:rowOff>95250</xdr:rowOff>
    </xdr:to>
    <xdr:graphicFrame macro="">
      <xdr:nvGraphicFramePr>
        <xdr:cNvPr id="66098561"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xdr:col>
      <xdr:colOff>0</xdr:colOff>
      <xdr:row>385</xdr:row>
      <xdr:rowOff>0</xdr:rowOff>
    </xdr:from>
    <xdr:to>
      <xdr:col>1</xdr:col>
      <xdr:colOff>4181475</xdr:colOff>
      <xdr:row>399</xdr:row>
      <xdr:rowOff>104775</xdr:rowOff>
    </xdr:to>
    <xdr:graphicFrame macro="">
      <xdr:nvGraphicFramePr>
        <xdr:cNvPr id="66098562"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xdr:col>
      <xdr:colOff>0</xdr:colOff>
      <xdr:row>446</xdr:row>
      <xdr:rowOff>0</xdr:rowOff>
    </xdr:from>
    <xdr:to>
      <xdr:col>1</xdr:col>
      <xdr:colOff>4181475</xdr:colOff>
      <xdr:row>460</xdr:row>
      <xdr:rowOff>104775</xdr:rowOff>
    </xdr:to>
    <xdr:graphicFrame macro="">
      <xdr:nvGraphicFramePr>
        <xdr:cNvPr id="66098563"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xdr:col>
      <xdr:colOff>0</xdr:colOff>
      <xdr:row>51</xdr:row>
      <xdr:rowOff>0</xdr:rowOff>
    </xdr:from>
    <xdr:to>
      <xdr:col>1</xdr:col>
      <xdr:colOff>4181475</xdr:colOff>
      <xdr:row>65</xdr:row>
      <xdr:rowOff>104775</xdr:rowOff>
    </xdr:to>
    <xdr:graphicFrame macro="">
      <xdr:nvGraphicFramePr>
        <xdr:cNvPr id="66098564" name="Chart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xdr:col>
      <xdr:colOff>66675</xdr:colOff>
      <xdr:row>160</xdr:row>
      <xdr:rowOff>142875</xdr:rowOff>
    </xdr:from>
    <xdr:to>
      <xdr:col>1</xdr:col>
      <xdr:colOff>4248150</xdr:colOff>
      <xdr:row>175</xdr:row>
      <xdr:rowOff>95250</xdr:rowOff>
    </xdr:to>
    <xdr:graphicFrame macro="">
      <xdr:nvGraphicFramePr>
        <xdr:cNvPr id="66098565"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xdr:col>
      <xdr:colOff>66675</xdr:colOff>
      <xdr:row>181</xdr:row>
      <xdr:rowOff>142875</xdr:rowOff>
    </xdr:from>
    <xdr:to>
      <xdr:col>1</xdr:col>
      <xdr:colOff>4248150</xdr:colOff>
      <xdr:row>196</xdr:row>
      <xdr:rowOff>95250</xdr:rowOff>
    </xdr:to>
    <xdr:graphicFrame macro="">
      <xdr:nvGraphicFramePr>
        <xdr:cNvPr id="66098566" name="unlevered FCF"/>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xdr:col>
      <xdr:colOff>9525</xdr:colOff>
      <xdr:row>543</xdr:row>
      <xdr:rowOff>133350</xdr:rowOff>
    </xdr:from>
    <xdr:to>
      <xdr:col>1</xdr:col>
      <xdr:colOff>4191000</xdr:colOff>
      <xdr:row>558</xdr:row>
      <xdr:rowOff>85725</xdr:rowOff>
    </xdr:to>
    <xdr:graphicFrame macro="">
      <xdr:nvGraphicFramePr>
        <xdr:cNvPr id="66098567" name="Chart 1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xdr:col>
      <xdr:colOff>66675</xdr:colOff>
      <xdr:row>202</xdr:row>
      <xdr:rowOff>142875</xdr:rowOff>
    </xdr:from>
    <xdr:to>
      <xdr:col>1</xdr:col>
      <xdr:colOff>4248150</xdr:colOff>
      <xdr:row>217</xdr:row>
      <xdr:rowOff>95250</xdr:rowOff>
    </xdr:to>
    <xdr:graphicFrame macro="">
      <xdr:nvGraphicFramePr>
        <xdr:cNvPr id="66098568" name="levered FCF"/>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xdr:col>
      <xdr:colOff>66675</xdr:colOff>
      <xdr:row>298</xdr:row>
      <xdr:rowOff>142875</xdr:rowOff>
    </xdr:from>
    <xdr:to>
      <xdr:col>1</xdr:col>
      <xdr:colOff>4248150</xdr:colOff>
      <xdr:row>313</xdr:row>
      <xdr:rowOff>95250</xdr:rowOff>
    </xdr:to>
    <xdr:graphicFrame macro="">
      <xdr:nvGraphicFramePr>
        <xdr:cNvPr id="66098569" name="net leverage"/>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xdr:col>
      <xdr:colOff>0</xdr:colOff>
      <xdr:row>140</xdr:row>
      <xdr:rowOff>0</xdr:rowOff>
    </xdr:from>
    <xdr:to>
      <xdr:col>1</xdr:col>
      <xdr:colOff>4181475</xdr:colOff>
      <xdr:row>154</xdr:row>
      <xdr:rowOff>104775</xdr:rowOff>
    </xdr:to>
    <xdr:graphicFrame macro="">
      <xdr:nvGraphicFramePr>
        <xdr:cNvPr id="66098570" name="quarterly ebitda"/>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xdr:col>
      <xdr:colOff>0</xdr:colOff>
      <xdr:row>68</xdr:row>
      <xdr:rowOff>0</xdr:rowOff>
    </xdr:from>
    <xdr:to>
      <xdr:col>1</xdr:col>
      <xdr:colOff>4181475</xdr:colOff>
      <xdr:row>82</xdr:row>
      <xdr:rowOff>104775</xdr:rowOff>
    </xdr:to>
    <xdr:graphicFrame macro="">
      <xdr:nvGraphicFramePr>
        <xdr:cNvPr id="66098571" name="quarterly rev"/>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xdr:col>
      <xdr:colOff>0</xdr:colOff>
      <xdr:row>560</xdr:row>
      <xdr:rowOff>0</xdr:rowOff>
    </xdr:from>
    <xdr:to>
      <xdr:col>1</xdr:col>
      <xdr:colOff>4181475</xdr:colOff>
      <xdr:row>574</xdr:row>
      <xdr:rowOff>104775</xdr:rowOff>
    </xdr:to>
    <xdr:graphicFrame macro="">
      <xdr:nvGraphicFramePr>
        <xdr:cNvPr id="66098572" name="Chart 1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0</xdr:col>
      <xdr:colOff>122704</xdr:colOff>
      <xdr:row>674</xdr:row>
      <xdr:rowOff>75640</xdr:rowOff>
    </xdr:from>
    <xdr:to>
      <xdr:col>1</xdr:col>
      <xdr:colOff>4169708</xdr:colOff>
      <xdr:row>689</xdr:row>
      <xdr:rowOff>28015</xdr:rowOff>
    </xdr:to>
    <xdr:graphicFrame macro="">
      <xdr:nvGraphicFramePr>
        <xdr:cNvPr id="66098573" name="bookings"/>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xdr:col>
      <xdr:colOff>0</xdr:colOff>
      <xdr:row>340</xdr:row>
      <xdr:rowOff>0</xdr:rowOff>
    </xdr:from>
    <xdr:to>
      <xdr:col>1</xdr:col>
      <xdr:colOff>4181475</xdr:colOff>
      <xdr:row>354</xdr:row>
      <xdr:rowOff>114300</xdr:rowOff>
    </xdr:to>
    <xdr:graphicFrame macro="">
      <xdr:nvGraphicFramePr>
        <xdr:cNvPr id="66098574"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xdr:col>
      <xdr:colOff>0</xdr:colOff>
      <xdr:row>219</xdr:row>
      <xdr:rowOff>0</xdr:rowOff>
    </xdr:from>
    <xdr:to>
      <xdr:col>1</xdr:col>
      <xdr:colOff>4181475</xdr:colOff>
      <xdr:row>233</xdr:row>
      <xdr:rowOff>114300</xdr:rowOff>
    </xdr:to>
    <xdr:graphicFrame macro="">
      <xdr:nvGraphicFramePr>
        <xdr:cNvPr id="66098575" name="levered FCF quarte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1</xdr:col>
      <xdr:colOff>0</xdr:colOff>
      <xdr:row>401</xdr:row>
      <xdr:rowOff>0</xdr:rowOff>
    </xdr:from>
    <xdr:to>
      <xdr:col>1</xdr:col>
      <xdr:colOff>4181475</xdr:colOff>
      <xdr:row>415</xdr:row>
      <xdr:rowOff>114300</xdr:rowOff>
    </xdr:to>
    <xdr:graphicFrame macro="">
      <xdr:nvGraphicFramePr>
        <xdr:cNvPr id="66098576" name="ZPI quarterly rev"/>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1</xdr:col>
      <xdr:colOff>0</xdr:colOff>
      <xdr:row>462</xdr:row>
      <xdr:rowOff>0</xdr:rowOff>
    </xdr:from>
    <xdr:to>
      <xdr:col>1</xdr:col>
      <xdr:colOff>4181475</xdr:colOff>
      <xdr:row>476</xdr:row>
      <xdr:rowOff>114300</xdr:rowOff>
    </xdr:to>
    <xdr:graphicFrame macro="">
      <xdr:nvGraphicFramePr>
        <xdr:cNvPr id="66098577" name="ZCC quarterly rev"/>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1</xdr:col>
      <xdr:colOff>0</xdr:colOff>
      <xdr:row>280</xdr:row>
      <xdr:rowOff>57150</xdr:rowOff>
    </xdr:from>
    <xdr:to>
      <xdr:col>1</xdr:col>
      <xdr:colOff>4181475</xdr:colOff>
      <xdr:row>295</xdr:row>
      <xdr:rowOff>9525</xdr:rowOff>
    </xdr:to>
    <xdr:graphicFrame macro="">
      <xdr:nvGraphicFramePr>
        <xdr:cNvPr id="66098578" name="capex quarte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1</xdr:col>
      <xdr:colOff>66675</xdr:colOff>
      <xdr:row>490</xdr:row>
      <xdr:rowOff>142875</xdr:rowOff>
    </xdr:from>
    <xdr:to>
      <xdr:col>1</xdr:col>
      <xdr:colOff>4248150</xdr:colOff>
      <xdr:row>505</xdr:row>
      <xdr:rowOff>95250</xdr:rowOff>
    </xdr:to>
    <xdr:graphicFrame macro="">
      <xdr:nvGraphicFramePr>
        <xdr:cNvPr id="6609857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1</xdr:col>
      <xdr:colOff>0</xdr:colOff>
      <xdr:row>507</xdr:row>
      <xdr:rowOff>0</xdr:rowOff>
    </xdr:from>
    <xdr:to>
      <xdr:col>1</xdr:col>
      <xdr:colOff>4181475</xdr:colOff>
      <xdr:row>521</xdr:row>
      <xdr:rowOff>104775</xdr:rowOff>
    </xdr:to>
    <xdr:graphicFrame macro="">
      <xdr:nvGraphicFramePr>
        <xdr:cNvPr id="66098580"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1</xdr:col>
      <xdr:colOff>0</xdr:colOff>
      <xdr:row>523</xdr:row>
      <xdr:rowOff>0</xdr:rowOff>
    </xdr:from>
    <xdr:to>
      <xdr:col>1</xdr:col>
      <xdr:colOff>4181475</xdr:colOff>
      <xdr:row>537</xdr:row>
      <xdr:rowOff>114300</xdr:rowOff>
    </xdr:to>
    <xdr:graphicFrame macro="">
      <xdr:nvGraphicFramePr>
        <xdr:cNvPr id="66098581" name="znc quarterly"/>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1</xdr:col>
      <xdr:colOff>0</xdr:colOff>
      <xdr:row>263</xdr:row>
      <xdr:rowOff>0</xdr:rowOff>
    </xdr:from>
    <xdr:to>
      <xdr:col>1</xdr:col>
      <xdr:colOff>4181475</xdr:colOff>
      <xdr:row>277</xdr:row>
      <xdr:rowOff>109257</xdr:rowOff>
    </xdr:to>
    <xdr:graphicFrame macro="">
      <xdr:nvGraphicFramePr>
        <xdr:cNvPr id="28" name="capex yea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1</xdr:col>
      <xdr:colOff>0</xdr:colOff>
      <xdr:row>84</xdr:row>
      <xdr:rowOff>0</xdr:rowOff>
    </xdr:from>
    <xdr:to>
      <xdr:col>1</xdr:col>
      <xdr:colOff>4181475</xdr:colOff>
      <xdr:row>98</xdr:row>
      <xdr:rowOff>104776</xdr:rowOff>
    </xdr:to>
    <xdr:graphicFrame macro="">
      <xdr:nvGraphicFramePr>
        <xdr:cNvPr id="29" name="quarterly rev organic"/>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1</xdr:col>
      <xdr:colOff>66675</xdr:colOff>
      <xdr:row>733</xdr:row>
      <xdr:rowOff>142875</xdr:rowOff>
    </xdr:from>
    <xdr:to>
      <xdr:col>1</xdr:col>
      <xdr:colOff>4248150</xdr:colOff>
      <xdr:row>748</xdr:row>
      <xdr:rowOff>95250</xdr:rowOff>
    </xdr:to>
    <xdr:graphicFrame macro="">
      <xdr:nvGraphicFramePr>
        <xdr:cNvPr id="30" name="churn"/>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1</xdr:col>
      <xdr:colOff>66675</xdr:colOff>
      <xdr:row>777</xdr:row>
      <xdr:rowOff>142875</xdr:rowOff>
    </xdr:from>
    <xdr:to>
      <xdr:col>1</xdr:col>
      <xdr:colOff>4248150</xdr:colOff>
      <xdr:row>792</xdr:row>
      <xdr:rowOff>95250</xdr:rowOff>
    </xdr:to>
    <xdr:graphicFrame macro="">
      <xdr:nvGraphicFramePr>
        <xdr:cNvPr id="31" name="gross installs"/>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xdr:col>
      <xdr:colOff>66675</xdr:colOff>
      <xdr:row>800</xdr:row>
      <xdr:rowOff>142875</xdr:rowOff>
    </xdr:from>
    <xdr:to>
      <xdr:col>1</xdr:col>
      <xdr:colOff>4248150</xdr:colOff>
      <xdr:row>815</xdr:row>
      <xdr:rowOff>95250</xdr:rowOff>
    </xdr:to>
    <xdr:graphicFrame macro="">
      <xdr:nvGraphicFramePr>
        <xdr:cNvPr id="32" name="net installs"/>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xdr:col>
      <xdr:colOff>0</xdr:colOff>
      <xdr:row>691</xdr:row>
      <xdr:rowOff>0</xdr:rowOff>
    </xdr:from>
    <xdr:to>
      <xdr:col>1</xdr:col>
      <xdr:colOff>4181475</xdr:colOff>
      <xdr:row>705</xdr:row>
      <xdr:rowOff>109257</xdr:rowOff>
    </xdr:to>
    <xdr:graphicFrame macro="">
      <xdr:nvGraphicFramePr>
        <xdr:cNvPr id="33" name="bookings total"/>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1</xdr:col>
      <xdr:colOff>0</xdr:colOff>
      <xdr:row>751</xdr:row>
      <xdr:rowOff>0</xdr:rowOff>
    </xdr:from>
    <xdr:to>
      <xdr:col>1</xdr:col>
      <xdr:colOff>4181475</xdr:colOff>
      <xdr:row>765</xdr:row>
      <xdr:rowOff>109257</xdr:rowOff>
    </xdr:to>
    <xdr:graphicFrame macro="">
      <xdr:nvGraphicFramePr>
        <xdr:cNvPr id="34" name="churn total"/>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xdr:col>
      <xdr:colOff>0</xdr:colOff>
      <xdr:row>817</xdr:row>
      <xdr:rowOff>0</xdr:rowOff>
    </xdr:from>
    <xdr:to>
      <xdr:col>1</xdr:col>
      <xdr:colOff>4181475</xdr:colOff>
      <xdr:row>831</xdr:row>
      <xdr:rowOff>109257</xdr:rowOff>
    </xdr:to>
    <xdr:graphicFrame macro="">
      <xdr:nvGraphicFramePr>
        <xdr:cNvPr id="35" name="net installs total"/>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xdr:col>
      <xdr:colOff>66675</xdr:colOff>
      <xdr:row>239</xdr:row>
      <xdr:rowOff>142875</xdr:rowOff>
    </xdr:from>
    <xdr:to>
      <xdr:col>1</xdr:col>
      <xdr:colOff>4248150</xdr:colOff>
      <xdr:row>254</xdr:row>
      <xdr:rowOff>95250</xdr:rowOff>
    </xdr:to>
    <xdr:graphicFrame macro="">
      <xdr:nvGraphicFramePr>
        <xdr:cNvPr id="36" name="AFFO"/>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xdr:col>
      <xdr:colOff>0</xdr:colOff>
      <xdr:row>707</xdr:row>
      <xdr:rowOff>0</xdr:rowOff>
    </xdr:from>
    <xdr:to>
      <xdr:col>1</xdr:col>
      <xdr:colOff>4181475</xdr:colOff>
      <xdr:row>721</xdr:row>
      <xdr:rowOff>109257</xdr:rowOff>
    </xdr:to>
    <xdr:graphicFrame macro="">
      <xdr:nvGraphicFramePr>
        <xdr:cNvPr id="37" name="bookings total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0</xdr:col>
      <xdr:colOff>89086</xdr:colOff>
      <xdr:row>586</xdr:row>
      <xdr:rowOff>53228</xdr:rowOff>
    </xdr:from>
    <xdr:to>
      <xdr:col>1</xdr:col>
      <xdr:colOff>4136090</xdr:colOff>
      <xdr:row>601</xdr:row>
      <xdr:rowOff>5602</xdr:rowOff>
    </xdr:to>
    <xdr:graphicFrame macro="">
      <xdr:nvGraphicFramePr>
        <xdr:cNvPr id="38" name="bookings"/>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0</xdr:col>
      <xdr:colOff>22412</xdr:colOff>
      <xdr:row>602</xdr:row>
      <xdr:rowOff>123266</xdr:rowOff>
    </xdr:from>
    <xdr:to>
      <xdr:col>1</xdr:col>
      <xdr:colOff>4213412</xdr:colOff>
      <xdr:row>618</xdr:row>
      <xdr:rowOff>150160</xdr:rowOff>
    </xdr:to>
    <xdr:graphicFrame macro="">
      <xdr:nvGraphicFramePr>
        <xdr:cNvPr id="2" name="rev pi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0</xdr:col>
      <xdr:colOff>89086</xdr:colOff>
      <xdr:row>631</xdr:row>
      <xdr:rowOff>53228</xdr:rowOff>
    </xdr:from>
    <xdr:to>
      <xdr:col>1</xdr:col>
      <xdr:colOff>4136090</xdr:colOff>
      <xdr:row>646</xdr:row>
      <xdr:rowOff>5602</xdr:rowOff>
    </xdr:to>
    <xdr:graphicFrame macro="">
      <xdr:nvGraphicFramePr>
        <xdr:cNvPr id="40" name="bookings"/>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0</xdr:col>
      <xdr:colOff>22412</xdr:colOff>
      <xdr:row>647</xdr:row>
      <xdr:rowOff>123266</xdr:rowOff>
    </xdr:from>
    <xdr:to>
      <xdr:col>1</xdr:col>
      <xdr:colOff>4213412</xdr:colOff>
      <xdr:row>663</xdr:row>
      <xdr:rowOff>150160</xdr:rowOff>
    </xdr:to>
    <xdr:graphicFrame macro="">
      <xdr:nvGraphicFramePr>
        <xdr:cNvPr id="41" name="ebitda pie"/>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wsDr>
</file>

<file path=xl/externalLinks/_rels/externalLink1.xml.rels><?xml version="1.0" encoding="UTF-8" standalone="yes"?>
<Relationships xmlns="http://schemas.openxmlformats.org/package/2006/relationships">
<Relationship Id="rId1" Target="ER13/CLECs/CLEC/LVLT/Fcalls/2011/August%20-%20Reassumption/Backup_LVLT%20-%20Reassumption.xls" TargetMode="External" Type="http://schemas.microsoft.com/office/2006/relationships/xlExternalLinkPath/xlAlternateStartup"/>
</Relationships>

</file>

<file path=xl/externalLinks/_rels/externalLink2.xml.rels><?xml version="1.0" encoding="UTF-8" standalone="yes"?>
<Relationships xmlns="http://schemas.openxmlformats.org/package/2006/relationships">
<Relationship Id="rId1" Target="file://///MSAD/ROOT/NA/NY/LIB/ER/ER13/Independent_Rural%20Telcos/CTL/CTLEQ_MergerDocs/Summary_states.xls" TargetMode="External" Type="http://schemas.openxmlformats.org/officeDocument/2006/relationships/externalLinkPath"/>
</Relationships>

</file>

<file path=xl/externalLinks/_rels/externalLink3.xml.rels><?xml version="1.0" encoding="UTF-8" standalone="yes"?>
<Relationships xmlns="http://schemas.openxmlformats.org/package/2006/relationships">
<Relationship Id="rId1" Target="c1" TargetMode="External" Type="http://schemas.microsoft.com/office/2006/relationships/xlExternalLinkPath/xlPathMissing"/>
</Relationships>

</file>

<file path=xl/externalLinks/_rels/externalLink4.xml.rels><?xml version="1.0" encoding="UTF-8" standalone="yes"?>
<Relationships xmlns="http://schemas.openxmlformats.org/package/2006/relationships">
<Relationship Id="rId1" Target="ER13/CLECs/CLEC/LVLT/Models/LVLT%20Morgan%20Stanley.xlsm" TargetMode="External" Type="http://schemas.microsoft.com/office/2006/relationships/xlExternalLinkPath/xlAlternateStartup"/>
</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__FDSCACHE__"/>
      <sheetName val="CSCO Report"/>
      <sheetName val="GLBC"/>
      <sheetName val="WACC"/>
      <sheetName val="Guidance"/>
      <sheetName val="Sheet1"/>
      <sheetName val="Maturities"/>
      <sheetName val="Approvals"/>
      <sheetName val="PF Mix"/>
      <sheetName val="LVLT M&amp;A - FactSet"/>
      <sheetName val="LVLT M&amp;A"/>
      <sheetName val="Summary"/>
      <sheetName val="Leverage"/>
      <sheetName val="Fiber &amp; Clec"/>
      <sheetName val="Synergies"/>
      <sheetName val="Timing"/>
      <sheetName val="Revs"/>
      <sheetName val="transactionCTL_SVVS"/>
      <sheetName val="Backup_LVLT - Reassumption"/>
    </sheetNames>
    <sheetDataSet>
      <sheetData sheetId="0"/>
      <sheetData sheetId="1">
        <row r="1">
          <cell r="A1" t="str">
            <v>Consumer Internet Traffic, 2010–2015</v>
          </cell>
          <cell r="B1">
            <v>2010</v>
          </cell>
          <cell r="C1">
            <v>2011</v>
          </cell>
          <cell r="D1">
            <v>2012</v>
          </cell>
          <cell r="E1">
            <v>2013</v>
          </cell>
          <cell r="F1">
            <v>2014</v>
          </cell>
          <cell r="G1">
            <v>2015</v>
          </cell>
          <cell r="H1" t="str">
            <v>CAGR</v>
          </cell>
          <cell r="I1" t="str">
            <v>Comment</v>
          </cell>
        </row>
        <row r="2">
          <cell r="A2" t="str">
            <v>GLOBAL - By Network (PB per Month)</v>
          </cell>
        </row>
        <row r="3">
          <cell r="A3" t="str">
            <v>Fixed</v>
          </cell>
          <cell r="B3">
            <v>12355</v>
          </cell>
          <cell r="C3">
            <v>17467</v>
          </cell>
          <cell r="D3">
            <v>23618</v>
          </cell>
          <cell r="E3">
            <v>31318</v>
          </cell>
          <cell r="F3">
            <v>40842</v>
          </cell>
          <cell r="G3">
            <v>53282</v>
          </cell>
          <cell r="H3">
            <v>0.3395149150436787</v>
          </cell>
        </row>
        <row r="4">
          <cell r="A4" t="str">
            <v>Mobile</v>
          </cell>
          <cell r="B4">
            <v>174</v>
          </cell>
          <cell r="C4">
            <v>399</v>
          </cell>
          <cell r="D4">
            <v>858</v>
          </cell>
          <cell r="E4">
            <v>1654</v>
          </cell>
          <cell r="F4">
            <v>2930</v>
          </cell>
          <cell r="G4">
            <v>4931</v>
          </cell>
          <cell r="H4">
            <v>0.95198803312699054</v>
          </cell>
        </row>
        <row r="5">
          <cell r="A5" t="str">
            <v>TOTAL</v>
          </cell>
          <cell r="B5">
            <v>12529</v>
          </cell>
          <cell r="C5">
            <v>17866</v>
          </cell>
          <cell r="D5">
            <v>24476</v>
          </cell>
          <cell r="E5">
            <v>32972</v>
          </cell>
          <cell r="F5">
            <v>43772</v>
          </cell>
          <cell r="G5">
            <v>58213</v>
          </cell>
          <cell r="H5">
            <v>0.3596299240456704</v>
          </cell>
        </row>
        <row r="7">
          <cell r="A7" t="str">
            <v>Fixed</v>
          </cell>
          <cell r="B7">
            <v>0.98611221965041107</v>
          </cell>
          <cell r="C7">
            <v>0.97766707712974366</v>
          </cell>
          <cell r="D7">
            <v>0.96494525249223728</v>
          </cell>
          <cell r="E7">
            <v>0.94983622467548223</v>
          </cell>
          <cell r="F7">
            <v>0.93306223156355661</v>
          </cell>
          <cell r="G7">
            <v>0.91529383471045989</v>
          </cell>
        </row>
        <row r="8">
          <cell r="A8" t="str">
            <v>Mobile</v>
          </cell>
          <cell r="B8">
            <v>1.388778034958893E-2</v>
          </cell>
          <cell r="C8">
            <v>2.2332922870256344E-2</v>
          </cell>
          <cell r="D8">
            <v>3.5054747507762718E-2</v>
          </cell>
          <cell r="E8">
            <v>5.0163775324517768E-2</v>
          </cell>
          <cell r="F8">
            <v>6.693776843644339E-2</v>
          </cell>
          <cell r="G8">
            <v>8.4706165289540114E-2</v>
          </cell>
        </row>
        <row r="10">
          <cell r="A10" t="str">
            <v>GLOBAL By Subsegment (PB per Month)</v>
          </cell>
        </row>
        <row r="11">
          <cell r="A11" t="str">
            <v>File sharing</v>
          </cell>
          <cell r="B11">
            <v>4968</v>
          </cell>
          <cell r="C11">
            <v>6017</v>
          </cell>
          <cell r="D11">
            <v>7277</v>
          </cell>
          <cell r="E11">
            <v>8867</v>
          </cell>
          <cell r="F11">
            <v>11040</v>
          </cell>
          <cell r="G11">
            <v>13797</v>
          </cell>
          <cell r="H11">
            <v>0.22664986513602114</v>
          </cell>
        </row>
        <row r="12">
          <cell r="A12" t="str">
            <v>Internet video</v>
          </cell>
          <cell r="B12">
            <v>4672</v>
          </cell>
          <cell r="C12">
            <v>8079</v>
          </cell>
          <cell r="D12">
            <v>12146</v>
          </cell>
          <cell r="E12">
            <v>17583</v>
          </cell>
          <cell r="F12">
            <v>24357</v>
          </cell>
          <cell r="G12">
            <v>33620</v>
          </cell>
          <cell r="H12">
            <v>0.48394899838707173</v>
          </cell>
        </row>
        <row r="13">
          <cell r="A13" t="str">
            <v>Web, email, and data</v>
          </cell>
          <cell r="B13">
            <v>2393</v>
          </cell>
          <cell r="C13">
            <v>3113</v>
          </cell>
          <cell r="D13">
            <v>4146</v>
          </cell>
          <cell r="E13">
            <v>5325</v>
          </cell>
          <cell r="F13">
            <v>6769</v>
          </cell>
          <cell r="G13">
            <v>8592</v>
          </cell>
          <cell r="H13">
            <v>0.29130940443989806</v>
          </cell>
        </row>
        <row r="14">
          <cell r="A14" t="str">
            <v>Video calling</v>
          </cell>
          <cell r="B14">
            <v>308</v>
          </cell>
          <cell r="C14">
            <v>442</v>
          </cell>
          <cell r="D14">
            <v>659</v>
          </cell>
          <cell r="E14">
            <v>905</v>
          </cell>
          <cell r="F14">
            <v>1251</v>
          </cell>
          <cell r="G14">
            <v>1736</v>
          </cell>
          <cell r="H14">
            <v>0.413187544034475</v>
          </cell>
        </row>
        <row r="15">
          <cell r="A15" t="str">
            <v>Online gaming</v>
          </cell>
          <cell r="B15">
            <v>49</v>
          </cell>
          <cell r="C15">
            <v>68</v>
          </cell>
          <cell r="D15">
            <v>95</v>
          </cell>
          <cell r="E15">
            <v>133</v>
          </cell>
          <cell r="F15">
            <v>187</v>
          </cell>
          <cell r="G15">
            <v>290</v>
          </cell>
          <cell r="H15">
            <v>0.42705392232469253</v>
          </cell>
        </row>
        <row r="16">
          <cell r="A16" t="str">
            <v>Voice over IP (VoIP)</v>
          </cell>
          <cell r="B16">
            <v>138</v>
          </cell>
          <cell r="C16">
            <v>147</v>
          </cell>
          <cell r="D16">
            <v>153</v>
          </cell>
          <cell r="E16">
            <v>157</v>
          </cell>
          <cell r="F16">
            <v>160</v>
          </cell>
          <cell r="G16">
            <v>168</v>
          </cell>
          <cell r="H16">
            <v>4.0126207180960938E-2</v>
          </cell>
        </row>
        <row r="17">
          <cell r="A17" t="str">
            <v>Other</v>
          </cell>
          <cell r="B17">
            <v>0.16500000000000001</v>
          </cell>
          <cell r="C17">
            <v>1</v>
          </cell>
          <cell r="D17">
            <v>1</v>
          </cell>
          <cell r="E17">
            <v>3</v>
          </cell>
          <cell r="F17">
            <v>8</v>
          </cell>
          <cell r="G17">
            <v>11</v>
          </cell>
          <cell r="H17">
            <v>1.3162303512385889</v>
          </cell>
        </row>
        <row r="18">
          <cell r="A18" t="str">
            <v>TOTAL</v>
          </cell>
          <cell r="B18">
            <v>12528.165000000001</v>
          </cell>
          <cell r="C18">
            <v>17867</v>
          </cell>
          <cell r="D18">
            <v>24477</v>
          </cell>
          <cell r="E18">
            <v>32973</v>
          </cell>
          <cell r="F18">
            <v>43772</v>
          </cell>
          <cell r="G18">
            <v>58214</v>
          </cell>
          <cell r="H18">
            <v>0.35965271863625325</v>
          </cell>
        </row>
        <row r="20">
          <cell r="A20" t="str">
            <v>File sharing</v>
          </cell>
          <cell r="B20">
            <v>0.39654650142299369</v>
          </cell>
          <cell r="C20">
            <v>0.33676610510997929</v>
          </cell>
          <cell r="D20">
            <v>0.29729950565837315</v>
          </cell>
          <cell r="E20">
            <v>0.26891699269098962</v>
          </cell>
          <cell r="F20">
            <v>0.25221602851137714</v>
          </cell>
          <cell r="G20">
            <v>0.23700484419555434</v>
          </cell>
        </row>
        <row r="21">
          <cell r="A21" t="str">
            <v>Internet video</v>
          </cell>
          <cell r="B21">
            <v>0.37291973724803273</v>
          </cell>
          <cell r="C21">
            <v>0.45217439973134832</v>
          </cell>
          <cell r="D21">
            <v>0.49622094210891859</v>
          </cell>
          <cell r="E21">
            <v>0.53325448093895</v>
          </cell>
          <cell r="F21">
            <v>0.55645161290322576</v>
          </cell>
          <cell r="G21">
            <v>0.57752430686776379</v>
          </cell>
        </row>
        <row r="22">
          <cell r="A22" t="str">
            <v>Web, email, and data</v>
          </cell>
          <cell r="B22">
            <v>0.19100961713068113</v>
          </cell>
          <cell r="C22">
            <v>0.1742318240331337</v>
          </cell>
          <cell r="D22">
            <v>0.16938350288025494</v>
          </cell>
          <cell r="E22">
            <v>0.1614957692657629</v>
          </cell>
          <cell r="F22">
            <v>0.15464223704651375</v>
          </cell>
          <cell r="G22">
            <v>0.14759336242141066</v>
          </cell>
        </row>
        <row r="23">
          <cell r="A23" t="str">
            <v>Video calling</v>
          </cell>
          <cell r="B23">
            <v>2.4584605965837773E-2</v>
          </cell>
          <cell r="C23">
            <v>2.4738344433872503E-2</v>
          </cell>
          <cell r="D23">
            <v>2.6923234056461166E-2</v>
          </cell>
          <cell r="E23">
            <v>2.7446698814181301E-2</v>
          </cell>
          <cell r="F23">
            <v>2.8579914100338114E-2</v>
          </cell>
          <cell r="G23">
            <v>2.9821005256467515E-2</v>
          </cell>
        </row>
        <row r="24">
          <cell r="A24" t="str">
            <v>Online gaming</v>
          </cell>
          <cell r="B24">
            <v>3.9111873127469186E-3</v>
          </cell>
          <cell r="C24">
            <v>3.8058991436726928E-3</v>
          </cell>
          <cell r="D24">
            <v>3.8811945908403807E-3</v>
          </cell>
          <cell r="E24">
            <v>4.0336032511448759E-3</v>
          </cell>
          <cell r="F24">
            <v>4.2721374394590148E-3</v>
          </cell>
          <cell r="G24">
            <v>4.9816195416910024E-3</v>
          </cell>
        </row>
        <row r="25">
          <cell r="A25" t="str">
            <v>Voice over IP (VoIP)</v>
          </cell>
          <cell r="B25">
            <v>1.1015180595083158E-2</v>
          </cell>
          <cell r="C25">
            <v>8.2274584429394976E-3</v>
          </cell>
          <cell r="D25">
            <v>6.250766025248192E-3</v>
          </cell>
          <cell r="E25">
            <v>4.7614715069905682E-3</v>
          </cell>
          <cell r="F25">
            <v>3.6553047610344514E-3</v>
          </cell>
          <cell r="G25">
            <v>2.8859037344968566E-3</v>
          </cell>
        </row>
        <row r="26">
          <cell r="A26" t="str">
            <v>Other</v>
          </cell>
          <cell r="B26">
            <v>1.317032462455595E-5</v>
          </cell>
          <cell r="C26">
            <v>5.5969105054010188E-5</v>
          </cell>
          <cell r="D26">
            <v>4.0854679903582957E-5</v>
          </cell>
          <cell r="E26">
            <v>9.0983531980711496E-5</v>
          </cell>
          <cell r="F26">
            <v>1.8276523805172256E-4</v>
          </cell>
          <cell r="G26">
            <v>1.8895798261586559E-4</v>
          </cell>
        </row>
        <row r="29">
          <cell r="A29" t="str">
            <v>North America - By Network (PB per Month)</v>
          </cell>
        </row>
        <row r="30">
          <cell r="A30" t="str">
            <v>Fixed</v>
          </cell>
          <cell r="B30">
            <v>3255.1564370660071</v>
          </cell>
          <cell r="C30">
            <v>4888.3353856487183</v>
          </cell>
          <cell r="D30">
            <v>6348.3748161464291</v>
          </cell>
          <cell r="E30">
            <v>7889.3396821545557</v>
          </cell>
          <cell r="F30">
            <v>9341.8190624143281</v>
          </cell>
          <cell r="G30">
            <v>11475.038805765036</v>
          </cell>
          <cell r="H30">
            <v>0.28657900355019894</v>
          </cell>
          <cell r="I30" t="str">
            <v>MS assumption</v>
          </cell>
        </row>
        <row r="31">
          <cell r="A31" t="str">
            <v>Mobile</v>
          </cell>
          <cell r="B31">
            <v>45.843562933993056</v>
          </cell>
          <cell r="C31">
            <v>111.66461435128173</v>
          </cell>
          <cell r="D31">
            <v>230.62518385357092</v>
          </cell>
          <cell r="E31">
            <v>416.66031784544458</v>
          </cell>
          <cell r="F31">
            <v>670.18093758567124</v>
          </cell>
          <cell r="G31">
            <v>1061.9611942349645</v>
          </cell>
          <cell r="H31">
            <v>0.87484796951331134</v>
          </cell>
          <cell r="I31" t="str">
            <v>MS assumption</v>
          </cell>
        </row>
        <row r="32">
          <cell r="A32" t="str">
            <v>TOTAL</v>
          </cell>
          <cell r="B32">
            <v>3301</v>
          </cell>
          <cell r="C32">
            <v>5000</v>
          </cell>
          <cell r="D32">
            <v>6579</v>
          </cell>
          <cell r="E32">
            <v>8306</v>
          </cell>
          <cell r="F32">
            <v>10012</v>
          </cell>
          <cell r="G32">
            <v>12537</v>
          </cell>
          <cell r="H32">
            <v>0.30589909319424868</v>
          </cell>
        </row>
        <row r="35">
          <cell r="A35" t="str">
            <v>North America By Subsegment (PB per Month)</v>
          </cell>
        </row>
        <row r="36">
          <cell r="A36" t="str">
            <v>Internet video</v>
          </cell>
          <cell r="B36">
            <v>1213.9120832118979</v>
          </cell>
          <cell r="C36">
            <v>2210.3801186912183</v>
          </cell>
          <cell r="D36">
            <v>3150.1965321287139</v>
          </cell>
          <cell r="E36">
            <v>4207.0257371583884</v>
          </cell>
          <cell r="F36">
            <v>5198.2702847305527</v>
          </cell>
          <cell r="G36">
            <v>6627.1138325801448</v>
          </cell>
          <cell r="H36">
            <v>0.40419505473362394</v>
          </cell>
          <cell r="I36" t="str">
            <v>MS assumption</v>
          </cell>
        </row>
        <row r="37">
          <cell r="A37" t="str">
            <v>File sharing</v>
          </cell>
          <cell r="B37">
            <v>1290.8208967030625</v>
          </cell>
          <cell r="C37">
            <v>1646.2256682962075</v>
          </cell>
          <cell r="D37">
            <v>1887.3686945743989</v>
          </cell>
          <cell r="E37">
            <v>2121.577501642691</v>
          </cell>
          <cell r="F37">
            <v>2356.1565029940189</v>
          </cell>
          <cell r="G37">
            <v>2719.6397842982824</v>
          </cell>
          <cell r="H37">
            <v>0.16072430817085537</v>
          </cell>
          <cell r="I37" t="str">
            <v>MS assumption</v>
          </cell>
        </row>
        <row r="38">
          <cell r="A38" t="str">
            <v>Web, email, and data</v>
          </cell>
          <cell r="B38">
            <v>621.76618474445013</v>
          </cell>
          <cell r="C38">
            <v>851.7035907272882</v>
          </cell>
          <cell r="D38">
            <v>1075.3099639556767</v>
          </cell>
          <cell r="E38">
            <v>1274.0949809684594</v>
          </cell>
          <cell r="F38">
            <v>1444.6397978955174</v>
          </cell>
          <cell r="G38">
            <v>1693.6395612590304</v>
          </cell>
          <cell r="H38">
            <v>0.22190875954387734</v>
          </cell>
          <cell r="I38" t="str">
            <v>MS assumption</v>
          </cell>
        </row>
        <row r="39">
          <cell r="A39" t="str">
            <v>Other</v>
          </cell>
          <cell r="B39">
            <v>128.6572724065966</v>
          </cell>
          <cell r="C39">
            <v>180.02600793400441</v>
          </cell>
          <cell r="D39">
            <v>235.49962548763972</v>
          </cell>
          <cell r="E39">
            <v>286.64146238501678</v>
          </cell>
          <cell r="F39">
            <v>342.75247679423859</v>
          </cell>
          <cell r="G39">
            <v>434.6456276275793</v>
          </cell>
          <cell r="H39">
            <v>0.27567544209083272</v>
          </cell>
          <cell r="I39" t="str">
            <v>MS assumption</v>
          </cell>
        </row>
        <row r="40">
          <cell r="A40" t="str">
            <v>TOTAL</v>
          </cell>
          <cell r="B40">
            <v>3255.1564370660071</v>
          </cell>
          <cell r="C40">
            <v>4888.3353856487183</v>
          </cell>
          <cell r="D40">
            <v>6348.3748161464291</v>
          </cell>
          <cell r="E40">
            <v>7889.3396821545548</v>
          </cell>
          <cell r="F40">
            <v>9341.8190624143263</v>
          </cell>
          <cell r="G40">
            <v>11475.038805765038</v>
          </cell>
          <cell r="H40">
            <v>0.28657900355019894</v>
          </cell>
          <cell r="I40" t="str">
            <v>MS assumption</v>
          </cell>
        </row>
        <row r="43">
          <cell r="A43" t="str">
            <v>US</v>
          </cell>
          <cell r="B43">
            <v>0.88802339809592035</v>
          </cell>
          <cell r="C43">
            <v>0.88967538682405478</v>
          </cell>
          <cell r="D43">
            <v>0.89112996350983076</v>
          </cell>
          <cell r="E43">
            <v>0.89123426750490964</v>
          </cell>
          <cell r="F43">
            <v>0.88974999222934814</v>
          </cell>
          <cell r="G43">
            <v>0.88974999222934814</v>
          </cell>
          <cell r="I43" t="str">
            <v>MS assumption, using trends in previous VNI report</v>
          </cell>
        </row>
        <row r="44">
          <cell r="A44" t="str">
            <v>Canada</v>
          </cell>
          <cell r="B44">
            <v>0.11197660190407965</v>
          </cell>
          <cell r="C44">
            <v>0.11032461317594522</v>
          </cell>
          <cell r="D44">
            <v>0.10887003649016924</v>
          </cell>
          <cell r="E44">
            <v>0.10876573249509036</v>
          </cell>
          <cell r="F44">
            <v>0.11025000777065186</v>
          </cell>
          <cell r="G44">
            <v>0.11025000777065186</v>
          </cell>
        </row>
        <row r="47">
          <cell r="A47" t="str">
            <v>US By Subsegment (PB per Month)</v>
          </cell>
          <cell r="B47">
            <v>2890.6550805771644</v>
          </cell>
          <cell r="C47">
            <v>4349.0316751527389</v>
          </cell>
          <cell r="D47">
            <v>5657.2270182592956</v>
          </cell>
          <cell r="E47">
            <v>7031.2498727224311</v>
          </cell>
          <cell r="F47">
            <v>8311.8834381911238</v>
          </cell>
          <cell r="G47">
            <v>10209.915688260911</v>
          </cell>
          <cell r="H47">
            <v>0.28707891698489285</v>
          </cell>
        </row>
        <row r="48">
          <cell r="A48" t="str">
            <v>Total US Residential BB Subs (M)</v>
          </cell>
          <cell r="B48">
            <v>71.428043545595983</v>
          </cell>
          <cell r="C48">
            <v>72.803202778573578</v>
          </cell>
          <cell r="D48">
            <v>74.790532105880871</v>
          </cell>
          <cell r="E48">
            <v>75.449067469188265</v>
          </cell>
          <cell r="F48">
            <v>76.781666962756361</v>
          </cell>
          <cell r="G48">
            <v>77.865921155857947</v>
          </cell>
          <cell r="H48">
            <v>1.740937274555554E-2</v>
          </cell>
        </row>
        <row r="49">
          <cell r="A49" t="str">
            <v>Average traffic per sub per mo (GB)</v>
          </cell>
          <cell r="B49">
            <v>40.469470212101207</v>
          </cell>
          <cell r="C49">
            <v>59.736818013076274</v>
          </cell>
          <cell r="D49">
            <v>75.640951587967919</v>
          </cell>
          <cell r="E49">
            <v>93.192004998522194</v>
          </cell>
          <cell r="F49">
            <v>108.2534902794293</v>
          </cell>
          <cell r="G49">
            <v>131.12174795729373</v>
          </cell>
          <cell r="H49">
            <v>0.26505510118470177</v>
          </cell>
        </row>
      </sheetData>
      <sheetData sheetId="2">
        <row r="2">
          <cell r="B2">
            <v>744</v>
          </cell>
          <cell r="C2">
            <v>0.81489594742606786</v>
          </cell>
        </row>
        <row r="3">
          <cell r="B3">
            <v>151</v>
          </cell>
          <cell r="C3">
            <v>0.16538882803943045</v>
          </cell>
        </row>
        <row r="4">
          <cell r="B4">
            <v>18</v>
          </cell>
          <cell r="C4">
            <v>1.9715224534501644E-2</v>
          </cell>
          <cell r="E4" t="str">
            <v>GLBC Premium Analysis</v>
          </cell>
        </row>
        <row r="5">
          <cell r="B5">
            <v>913</v>
          </cell>
          <cell r="E5" t="str">
            <v>$ in millions</v>
          </cell>
        </row>
        <row r="7">
          <cell r="E7" t="str">
            <v>2011E EBITDA (consensus @ 4/8/11)</v>
          </cell>
          <cell r="F7">
            <v>431</v>
          </cell>
        </row>
        <row r="8">
          <cell r="E8" t="str">
            <v>EV/EBITDA (4/8/11)</v>
          </cell>
          <cell r="F8">
            <v>4.5999999999999996</v>
          </cell>
        </row>
        <row r="9">
          <cell r="E9" t="str">
            <v>EV/EBITDA (implied deal valuation)</v>
          </cell>
          <cell r="F9">
            <v>7</v>
          </cell>
        </row>
        <row r="10">
          <cell r="E10" t="str">
            <v xml:space="preserve">Implied premium </v>
          </cell>
          <cell r="F10">
            <v>2.4000000000000004</v>
          </cell>
        </row>
        <row r="11">
          <cell r="E11" t="str">
            <v>Implied premium ($)</v>
          </cell>
          <cell r="F11">
            <v>1034.4000000000001</v>
          </cell>
        </row>
        <row r="13">
          <cell r="E13" t="str">
            <v>NPV of estimated synergies</v>
          </cell>
          <cell r="F13">
            <v>2500</v>
          </cell>
        </row>
        <row r="14">
          <cell r="E14" t="str">
            <v>% of implied premium</v>
          </cell>
          <cell r="F14">
            <v>2.4168600154679041</v>
          </cell>
        </row>
      </sheetData>
      <sheetData sheetId="3">
        <row r="3">
          <cell r="D3">
            <v>2012</v>
          </cell>
          <cell r="E3">
            <v>2013</v>
          </cell>
          <cell r="F3">
            <v>2014</v>
          </cell>
          <cell r="G3">
            <v>2015</v>
          </cell>
          <cell r="H3">
            <v>2016</v>
          </cell>
          <cell r="I3">
            <v>2017</v>
          </cell>
          <cell r="J3">
            <v>2018</v>
          </cell>
          <cell r="K3">
            <v>2019</v>
          </cell>
        </row>
        <row r="4">
          <cell r="B4" t="str">
            <v>Senior Secured Term Loan (2014)</v>
          </cell>
          <cell r="C4">
            <v>2.75E-2</v>
          </cell>
          <cell r="F4">
            <v>1680</v>
          </cell>
        </row>
        <row r="5">
          <cell r="B5" t="str">
            <v>Senior Secured Term Loan (2018)</v>
          </cell>
          <cell r="C5">
            <v>5.7500000000000002E-2</v>
          </cell>
          <cell r="J5">
            <v>650</v>
          </cell>
        </row>
        <row r="6">
          <cell r="B6" t="str">
            <v>Senior Notes (9.25%)</v>
          </cell>
          <cell r="C6">
            <v>9.2499999999999999E-2</v>
          </cell>
          <cell r="F6">
            <v>807</v>
          </cell>
        </row>
        <row r="7">
          <cell r="B7" t="str">
            <v>Senior Notes (8.75%)</v>
          </cell>
          <cell r="C7">
            <v>8.7499999999999994E-2</v>
          </cell>
          <cell r="I7">
            <v>700</v>
          </cell>
        </row>
        <row r="8">
          <cell r="B8" t="str">
            <v>Senior Notes (10.0%)</v>
          </cell>
          <cell r="C8">
            <v>0.1</v>
          </cell>
          <cell r="J8">
            <v>640</v>
          </cell>
        </row>
        <row r="9">
          <cell r="B9" t="str">
            <v>Senior Notes (11.875%)</v>
          </cell>
          <cell r="C9">
            <v>0.11874999999999999</v>
          </cell>
          <cell r="K9">
            <v>605</v>
          </cell>
        </row>
        <row r="10">
          <cell r="B10" t="str">
            <v>Senior Notes (9.375%)</v>
          </cell>
          <cell r="C10">
            <v>9.375E-2</v>
          </cell>
          <cell r="K10">
            <v>500</v>
          </cell>
        </row>
        <row r="11">
          <cell r="B11" t="str">
            <v>Senior Notes (8.125%)</v>
          </cell>
          <cell r="C11">
            <v>8.1250000000000003E-2</v>
          </cell>
          <cell r="K11">
            <v>600</v>
          </cell>
        </row>
        <row r="12">
          <cell r="B12" t="str">
            <v>Senior Notes (8.125%)</v>
          </cell>
          <cell r="C12">
            <v>8.1250000000000003E-2</v>
          </cell>
          <cell r="K12">
            <v>600</v>
          </cell>
        </row>
        <row r="13">
          <cell r="B13" t="str">
            <v>Floating Rate Senior Notes (4.215% as of 6/30/11)</v>
          </cell>
          <cell r="C13">
            <v>4.215E-2</v>
          </cell>
          <cell r="G13">
            <v>300</v>
          </cell>
        </row>
        <row r="14">
          <cell r="B14" t="str">
            <v>Convertible Senior Notes (3.5%)</v>
          </cell>
          <cell r="C14">
            <v>3.5000000000000003E-2</v>
          </cell>
          <cell r="D14">
            <v>294</v>
          </cell>
        </row>
        <row r="15">
          <cell r="B15" t="str">
            <v>Convertible Senior Notes (15.0%)</v>
          </cell>
          <cell r="C15">
            <v>0.15</v>
          </cell>
          <cell r="E15">
            <v>272</v>
          </cell>
        </row>
        <row r="16">
          <cell r="B16" t="str">
            <v>Convertible Senior Notes (7.0%)</v>
          </cell>
          <cell r="C16">
            <v>7.0000000000000007E-2</v>
          </cell>
          <cell r="G16">
            <v>200</v>
          </cell>
        </row>
        <row r="17">
          <cell r="B17" t="str">
            <v>Convertible Senior Notes Series B (7.0%)</v>
          </cell>
          <cell r="C17">
            <v>7.0000000000000007E-2</v>
          </cell>
          <cell r="G17">
            <v>275</v>
          </cell>
        </row>
        <row r="18">
          <cell r="B18" t="str">
            <v>Convertible Senior Notes (6.5%)</v>
          </cell>
          <cell r="C18">
            <v>6.5000000000000002E-2</v>
          </cell>
          <cell r="H18">
            <v>201</v>
          </cell>
        </row>
        <row r="19">
          <cell r="D19">
            <v>294</v>
          </cell>
          <cell r="E19">
            <v>272</v>
          </cell>
          <cell r="F19">
            <v>2487</v>
          </cell>
          <cell r="G19">
            <v>775</v>
          </cell>
          <cell r="H19">
            <v>201</v>
          </cell>
          <cell r="I19">
            <v>700</v>
          </cell>
          <cell r="J19">
            <v>1290</v>
          </cell>
          <cell r="K19">
            <v>2305</v>
          </cell>
          <cell r="L19">
            <v>8324</v>
          </cell>
        </row>
        <row r="20">
          <cell r="B20" t="str">
            <v>WACC (each year)</v>
          </cell>
          <cell r="D20">
            <v>3.5000000000000003E-2</v>
          </cell>
          <cell r="E20">
            <v>0.15</v>
          </cell>
          <cell r="F20">
            <v>4.8591676718938479E-2</v>
          </cell>
          <cell r="G20">
            <v>5.9219354838709694E-2</v>
          </cell>
          <cell r="H20">
            <v>6.5000000000000002E-2</v>
          </cell>
          <cell r="I20">
            <v>8.7499999999999994E-2</v>
          </cell>
          <cell r="J20">
            <v>7.8585271317829455E-2</v>
          </cell>
          <cell r="K20">
            <v>9.3804229934924072E-2</v>
          </cell>
        </row>
        <row r="21">
          <cell r="B21" t="str">
            <v>WACC (total)</v>
          </cell>
          <cell r="L21">
            <v>7.325099111004324E-2</v>
          </cell>
        </row>
        <row r="23">
          <cell r="F23">
            <v>807</v>
          </cell>
          <cell r="I23">
            <v>700</v>
          </cell>
          <cell r="J23">
            <v>640</v>
          </cell>
          <cell r="K23">
            <v>2305</v>
          </cell>
          <cell r="L23">
            <v>4452</v>
          </cell>
        </row>
        <row r="24">
          <cell r="F24">
            <v>9.2499999999999999E-2</v>
          </cell>
          <cell r="I24">
            <v>8.7499999999999994E-2</v>
          </cell>
          <cell r="J24">
            <v>0.1</v>
          </cell>
          <cell r="K24">
            <v>9.3804229934924072E-2</v>
          </cell>
        </row>
        <row r="25">
          <cell r="L25">
            <v>9.3467261904761886E-2</v>
          </cell>
        </row>
        <row r="28">
          <cell r="B28" t="str">
            <v>Current (1)</v>
          </cell>
        </row>
        <row r="29">
          <cell r="B29" t="str">
            <v>Total Debt @ 6/30/11</v>
          </cell>
          <cell r="C29">
            <v>8324</v>
          </cell>
        </row>
        <row r="30">
          <cell r="B30" t="str">
            <v>Debt Cost (2)</v>
          </cell>
          <cell r="C30">
            <v>9.3467261904761886E-2</v>
          </cell>
        </row>
        <row r="31">
          <cell r="B31" t="str">
            <v>Implied Annual Interest Expense</v>
          </cell>
          <cell r="C31">
            <v>778.02148809523794</v>
          </cell>
        </row>
        <row r="33">
          <cell r="B33" t="str">
            <v>Cost of Debt Less 50 bps</v>
          </cell>
        </row>
        <row r="34">
          <cell r="B34" t="str">
            <v>Debt Cost (less 50 bps)</v>
          </cell>
          <cell r="C34">
            <v>8.8467261904761882E-2</v>
          </cell>
        </row>
        <row r="35">
          <cell r="B35" t="str">
            <v>Implied Annual Interest Expense (less 50 bps)</v>
          </cell>
          <cell r="C35">
            <v>736.40148809523794</v>
          </cell>
        </row>
        <row r="36">
          <cell r="B36" t="str">
            <v>Implied Interest Expense Savings</v>
          </cell>
          <cell r="C36">
            <v>41.620000000000005</v>
          </cell>
        </row>
        <row r="38">
          <cell r="B38" t="str">
            <v>Cost of Debt Less 100 bps</v>
          </cell>
        </row>
        <row r="39">
          <cell r="B39" t="str">
            <v>Debt Cost (less 100 bps)</v>
          </cell>
          <cell r="C39">
            <v>8.3467261904761891E-2</v>
          </cell>
        </row>
        <row r="40">
          <cell r="B40" t="str">
            <v>Implied Annual Interest Expense (less 100 bps)</v>
          </cell>
          <cell r="C40">
            <v>694.78148809523793</v>
          </cell>
        </row>
        <row r="41">
          <cell r="B41" t="str">
            <v>Implied Interest Expense Savings</v>
          </cell>
          <cell r="C41">
            <v>83.240000000000009</v>
          </cell>
        </row>
        <row r="43">
          <cell r="B43" t="str">
            <v>(1) Pro-forma for recent debt issuances by LVLT to refinance GLBC debt</v>
          </cell>
        </row>
        <row r="44">
          <cell r="B44" t="str">
            <v>(2) Average debt cost for LVLT's PF fixed rate senior notes at 6/30/11</v>
          </cell>
        </row>
        <row r="49">
          <cell r="B49" t="str">
            <v>Current (1)</v>
          </cell>
        </row>
        <row r="50">
          <cell r="B50" t="str">
            <v>Total Debt @ 6/30/11</v>
          </cell>
          <cell r="C50">
            <v>8324</v>
          </cell>
        </row>
        <row r="51">
          <cell r="B51" t="str">
            <v>WACC @ 6/30/11</v>
          </cell>
          <cell r="C51">
            <v>7.325099111004324E-2</v>
          </cell>
        </row>
        <row r="52">
          <cell r="B52" t="str">
            <v>Annual Interest Expense</v>
          </cell>
          <cell r="C52">
            <v>609.74124999999992</v>
          </cell>
        </row>
        <row r="54">
          <cell r="B54" t="str">
            <v>Cost of Debt Less 50 bps</v>
          </cell>
        </row>
        <row r="55">
          <cell r="B55" t="str">
            <v>WACC (less 50 bps)</v>
          </cell>
          <cell r="C55">
            <v>6.8250991110043235E-2</v>
          </cell>
        </row>
        <row r="56">
          <cell r="B56" t="str">
            <v>Annual Interest Expense (less 50 bps)</v>
          </cell>
          <cell r="C56">
            <v>568.12124999999992</v>
          </cell>
        </row>
        <row r="57">
          <cell r="B57" t="str">
            <v>Interest Expense Savings</v>
          </cell>
          <cell r="C57">
            <v>-41.620000000000005</v>
          </cell>
        </row>
        <row r="59">
          <cell r="B59" t="str">
            <v>Cost of Debt Less 100 bps</v>
          </cell>
        </row>
        <row r="60">
          <cell r="B60" t="str">
            <v>WACC (less 100 bps)</v>
          </cell>
          <cell r="C60">
            <v>6.3250991110043245E-2</v>
          </cell>
        </row>
        <row r="61">
          <cell r="B61" t="str">
            <v>Annual Interest Expense (less 100 bps)</v>
          </cell>
          <cell r="C61">
            <v>526.50124999999991</v>
          </cell>
        </row>
        <row r="62">
          <cell r="B62" t="str">
            <v>Interest Expense Savings</v>
          </cell>
          <cell r="C62">
            <v>-83.240000000000009</v>
          </cell>
        </row>
        <row r="64">
          <cell r="B64" t="str">
            <v>(1) Pro-forma for recent debt issuances by LVLT to refinance GLBC debt</v>
          </cell>
        </row>
      </sheetData>
      <sheetData sheetId="4">
        <row r="4">
          <cell r="B4" t="str">
            <v>FY 2011 Guidance - LVLT (1)</v>
          </cell>
        </row>
        <row r="5">
          <cell r="B5" t="str">
            <v>Revenue</v>
          </cell>
          <cell r="C5" t="str">
            <v>"Sequential revenue growth" (1% - 2%)</v>
          </cell>
        </row>
        <row r="6">
          <cell r="B6" t="str">
            <v>EBITDA</v>
          </cell>
          <cell r="C6" t="str">
            <v>"low double-digit" growth compared to 2010</v>
          </cell>
        </row>
        <row r="7">
          <cell r="B7" t="str">
            <v>Capex</v>
          </cell>
          <cell r="C7" t="str">
            <v>"12% of communications revenue"</v>
          </cell>
        </row>
        <row r="8">
          <cell r="B8" t="str">
            <v>FCF</v>
          </cell>
          <cell r="C8" t="str">
            <v>"breakeven for last 3 quarters of 2011 in aggregate"</v>
          </cell>
        </row>
        <row r="10">
          <cell r="B10" t="str">
            <v>FY 2011 Guidance - GLBC</v>
          </cell>
        </row>
        <row r="11">
          <cell r="B11" t="str">
            <v>Revenue</v>
          </cell>
          <cell r="C11" t="str">
            <v>$2,765M - $2,845M (approx 6% to 9%" from 2010)</v>
          </cell>
          <cell r="E11">
            <v>2609</v>
          </cell>
          <cell r="F11">
            <v>0.06</v>
          </cell>
          <cell r="G11">
            <v>2765.54</v>
          </cell>
        </row>
        <row r="12">
          <cell r="B12" t="str">
            <v>OIBIDA</v>
          </cell>
          <cell r="C12" t="str">
            <v>"grow to roughly $425M" at 7.5% revenue growth</v>
          </cell>
          <cell r="F12">
            <v>0.09</v>
          </cell>
          <cell r="G12">
            <v>2843.8100000000004</v>
          </cell>
        </row>
        <row r="13">
          <cell r="B13" t="str">
            <v>Opex</v>
          </cell>
          <cell r="C13" t="str">
            <v>"approx $20 million in higher opex" relative to 2010</v>
          </cell>
        </row>
        <row r="14">
          <cell r="B14" t="str">
            <v>Capex</v>
          </cell>
          <cell r="C14" t="str">
            <v>"approx 10% of invest and grow revenue"</v>
          </cell>
        </row>
        <row r="15">
          <cell r="B15" t="str">
            <v>FCF</v>
          </cell>
          <cell r="C15" t="str">
            <v>positive FCF in 2011</v>
          </cell>
        </row>
      </sheetData>
      <sheetData sheetId="5">
        <row r="2">
          <cell r="C2" t="str">
            <v>11.875% senior unsecured</v>
          </cell>
        </row>
        <row r="3">
          <cell r="C3" t="str">
            <v>52729NBS</v>
          </cell>
          <cell r="D3" t="str">
            <v>527298AM</v>
          </cell>
        </row>
        <row r="4">
          <cell r="B4">
            <v>40767</v>
          </cell>
          <cell r="C4">
            <v>11.620000000000001</v>
          </cell>
          <cell r="D4">
            <v>9.516</v>
          </cell>
        </row>
        <row r="5">
          <cell r="B5">
            <v>40766</v>
          </cell>
          <cell r="C5">
            <v>12.394</v>
          </cell>
          <cell r="D5">
            <v>9.609</v>
          </cell>
        </row>
        <row r="6">
          <cell r="B6">
            <v>40765</v>
          </cell>
          <cell r="C6">
            <v>11.682</v>
          </cell>
          <cell r="D6">
            <v>9.3780000000000001</v>
          </cell>
        </row>
        <row r="7">
          <cell r="B7">
            <v>40764</v>
          </cell>
          <cell r="C7">
            <v>11.495000000000001</v>
          </cell>
          <cell r="D7">
            <v>9.4239999999999995</v>
          </cell>
        </row>
        <row r="8">
          <cell r="B8">
            <v>40763</v>
          </cell>
          <cell r="C8">
            <v>11.248000000000001</v>
          </cell>
          <cell r="D8">
            <v>9.4239999999999995</v>
          </cell>
        </row>
        <row r="9">
          <cell r="B9">
            <v>40762</v>
          </cell>
          <cell r="C9">
            <v>10.292</v>
          </cell>
          <cell r="D9">
            <v>8.3610000000000007</v>
          </cell>
        </row>
        <row r="10">
          <cell r="B10">
            <v>40761</v>
          </cell>
          <cell r="C10">
            <v>10.292</v>
          </cell>
          <cell r="D10">
            <v>8.3610000000000007</v>
          </cell>
        </row>
        <row r="11">
          <cell r="B11">
            <v>40760</v>
          </cell>
          <cell r="C11">
            <v>10.292</v>
          </cell>
          <cell r="D11">
            <v>8.3610000000000007</v>
          </cell>
        </row>
        <row r="12">
          <cell r="B12">
            <v>40759</v>
          </cell>
          <cell r="C12">
            <v>10.061</v>
          </cell>
          <cell r="D12">
            <v>7.5110000000000001</v>
          </cell>
        </row>
        <row r="13">
          <cell r="B13">
            <v>40758</v>
          </cell>
          <cell r="C13">
            <v>9.8320000000000007</v>
          </cell>
          <cell r="D13">
            <v>6.9889999999999999</v>
          </cell>
        </row>
        <row r="14">
          <cell r="B14">
            <v>40757</v>
          </cell>
          <cell r="C14">
            <v>9.6910000000000007</v>
          </cell>
          <cell r="D14">
            <v>6.8900000000000006</v>
          </cell>
        </row>
        <row r="15">
          <cell r="B15">
            <v>40756</v>
          </cell>
          <cell r="C15">
            <v>9.495000000000001</v>
          </cell>
          <cell r="D15">
            <v>6.843</v>
          </cell>
        </row>
        <row r="16">
          <cell r="B16">
            <v>40755</v>
          </cell>
          <cell r="C16">
            <v>9.609</v>
          </cell>
          <cell r="D16">
            <v>6.8529999999999998</v>
          </cell>
        </row>
        <row r="17">
          <cell r="B17">
            <v>40754</v>
          </cell>
          <cell r="C17">
            <v>9.609</v>
          </cell>
          <cell r="D17">
            <v>6.8529999999999998</v>
          </cell>
        </row>
        <row r="18">
          <cell r="B18">
            <v>40753</v>
          </cell>
          <cell r="C18">
            <v>9.609</v>
          </cell>
          <cell r="D18">
            <v>6.8529999999999998</v>
          </cell>
        </row>
        <row r="19">
          <cell r="B19">
            <v>40752</v>
          </cell>
          <cell r="C19">
            <v>9.5820000000000007</v>
          </cell>
          <cell r="D19">
            <v>6.9089999999999998</v>
          </cell>
        </row>
        <row r="20">
          <cell r="B20">
            <v>40751</v>
          </cell>
          <cell r="C20">
            <v>9.4979999999999993</v>
          </cell>
          <cell r="D20">
            <v>6.9139999999999997</v>
          </cell>
        </row>
        <row r="21">
          <cell r="B21">
            <v>40750</v>
          </cell>
          <cell r="C21">
            <v>9.4990000000000006</v>
          </cell>
          <cell r="D21">
            <v>6.7540000000000004</v>
          </cell>
        </row>
        <row r="22">
          <cell r="B22">
            <v>40749</v>
          </cell>
          <cell r="C22">
            <v>9.4719999999999995</v>
          </cell>
          <cell r="D22">
            <v>6.7770000000000001</v>
          </cell>
        </row>
        <row r="23">
          <cell r="B23">
            <v>40748</v>
          </cell>
          <cell r="C23">
            <v>9.3919999999999995</v>
          </cell>
          <cell r="D23">
            <v>5.9560000000000004</v>
          </cell>
        </row>
        <row r="24">
          <cell r="B24">
            <v>40747</v>
          </cell>
          <cell r="C24">
            <v>9.3919999999999995</v>
          </cell>
          <cell r="D24">
            <v>5.9560000000000004</v>
          </cell>
        </row>
        <row r="25">
          <cell r="B25">
            <v>40746</v>
          </cell>
          <cell r="C25">
            <v>9.3919999999999995</v>
          </cell>
          <cell r="D25">
            <v>5.9560000000000004</v>
          </cell>
        </row>
        <row r="26">
          <cell r="B26">
            <v>40745</v>
          </cell>
          <cell r="C26">
            <v>9.3650000000000002</v>
          </cell>
          <cell r="D26">
            <v>5.9859999999999998</v>
          </cell>
        </row>
        <row r="27">
          <cell r="B27">
            <v>40744</v>
          </cell>
          <cell r="C27">
            <v>9.3930000000000007</v>
          </cell>
          <cell r="D27">
            <v>6.0150000000000006</v>
          </cell>
        </row>
        <row r="28">
          <cell r="B28">
            <v>40743</v>
          </cell>
          <cell r="C28">
            <v>9.5329999999999995</v>
          </cell>
          <cell r="D28">
            <v>6.952</v>
          </cell>
        </row>
        <row r="29">
          <cell r="B29">
            <v>40742</v>
          </cell>
          <cell r="C29">
            <v>9.5060000000000002</v>
          </cell>
          <cell r="D29">
            <v>6.5</v>
          </cell>
        </row>
        <row r="30">
          <cell r="B30">
            <v>40741</v>
          </cell>
          <cell r="C30">
            <v>9.4529999999999994</v>
          </cell>
          <cell r="D30">
            <v>6.9710000000000001</v>
          </cell>
        </row>
        <row r="31">
          <cell r="B31">
            <v>40740</v>
          </cell>
          <cell r="C31">
            <v>9.4529999999999994</v>
          </cell>
          <cell r="D31">
            <v>6.9710000000000001</v>
          </cell>
        </row>
        <row r="32">
          <cell r="B32">
            <v>40739</v>
          </cell>
          <cell r="C32">
            <v>9.4529999999999994</v>
          </cell>
          <cell r="D32">
            <v>6.9710000000000001</v>
          </cell>
        </row>
        <row r="33">
          <cell r="B33">
            <v>40738</v>
          </cell>
          <cell r="C33">
            <v>9.4540000000000006</v>
          </cell>
          <cell r="D33">
            <v>6.5940000000000003</v>
          </cell>
        </row>
        <row r="34">
          <cell r="B34">
            <v>40737</v>
          </cell>
          <cell r="C34">
            <v>9.51</v>
          </cell>
          <cell r="D34">
            <v>6.6160000000000005</v>
          </cell>
        </row>
        <row r="35">
          <cell r="B35">
            <v>40736</v>
          </cell>
          <cell r="C35">
            <v>9.5660000000000007</v>
          </cell>
          <cell r="D35">
            <v>7.2860000000000005</v>
          </cell>
        </row>
        <row r="36">
          <cell r="B36">
            <v>40735</v>
          </cell>
          <cell r="C36">
            <v>9.4559999999999995</v>
          </cell>
          <cell r="D36">
            <v>7.0890000000000004</v>
          </cell>
        </row>
        <row r="37">
          <cell r="B37">
            <v>40734</v>
          </cell>
          <cell r="C37">
            <v>9.2940000000000005</v>
          </cell>
          <cell r="D37">
            <v>6.7229999999999999</v>
          </cell>
        </row>
        <row r="38">
          <cell r="B38">
            <v>40733</v>
          </cell>
          <cell r="C38">
            <v>9.2940000000000005</v>
          </cell>
          <cell r="D38">
            <v>6.7229999999999999</v>
          </cell>
        </row>
        <row r="39">
          <cell r="B39">
            <v>40732</v>
          </cell>
          <cell r="C39">
            <v>9.2940000000000005</v>
          </cell>
          <cell r="D39">
            <v>6.7229999999999999</v>
          </cell>
        </row>
        <row r="40">
          <cell r="B40">
            <v>40731</v>
          </cell>
          <cell r="C40">
            <v>9.4600000000000009</v>
          </cell>
          <cell r="D40">
            <v>6.7430000000000003</v>
          </cell>
        </row>
        <row r="41">
          <cell r="B41">
            <v>40730</v>
          </cell>
          <cell r="C41">
            <v>9.7110000000000003</v>
          </cell>
          <cell r="D41">
            <v>7.21</v>
          </cell>
        </row>
        <row r="42">
          <cell r="B42">
            <v>40729</v>
          </cell>
          <cell r="C42">
            <v>9.6549999999999994</v>
          </cell>
          <cell r="D42">
            <v>6.7830000000000004</v>
          </cell>
        </row>
        <row r="43">
          <cell r="B43">
            <v>40728</v>
          </cell>
          <cell r="C43">
            <v>9.6840000000000011</v>
          </cell>
          <cell r="D43">
            <v>6.923</v>
          </cell>
        </row>
        <row r="44">
          <cell r="B44">
            <v>40727</v>
          </cell>
          <cell r="C44">
            <v>9.6859999999999999</v>
          </cell>
          <cell r="D44">
            <v>6.9370000000000003</v>
          </cell>
        </row>
        <row r="45">
          <cell r="B45">
            <v>40726</v>
          </cell>
          <cell r="C45">
            <v>9.6859999999999999</v>
          </cell>
          <cell r="D45">
            <v>6.9370000000000003</v>
          </cell>
        </row>
        <row r="46">
          <cell r="B46">
            <v>40725</v>
          </cell>
          <cell r="C46">
            <v>9.6859999999999999</v>
          </cell>
          <cell r="D46">
            <v>6.9370000000000003</v>
          </cell>
        </row>
        <row r="47">
          <cell r="B47">
            <v>40724</v>
          </cell>
          <cell r="C47">
            <v>9.9960000000000004</v>
          </cell>
          <cell r="D47">
            <v>6.9409999999999998</v>
          </cell>
        </row>
        <row r="48">
          <cell r="B48">
            <v>40723</v>
          </cell>
          <cell r="C48">
            <v>10.025</v>
          </cell>
          <cell r="D48">
            <v>6.9950000000000001</v>
          </cell>
        </row>
        <row r="49">
          <cell r="B49">
            <v>40722</v>
          </cell>
          <cell r="C49">
            <v>10.197000000000001</v>
          </cell>
          <cell r="D49">
            <v>6.9990000000000006</v>
          </cell>
        </row>
        <row r="50">
          <cell r="B50">
            <v>40721</v>
          </cell>
          <cell r="C50">
            <v>10.14</v>
          </cell>
          <cell r="D50">
            <v>7.0520000000000005</v>
          </cell>
        </row>
        <row r="51">
          <cell r="B51">
            <v>40720</v>
          </cell>
          <cell r="C51">
            <v>9.8879999999999999</v>
          </cell>
          <cell r="D51">
            <v>6.6310000000000002</v>
          </cell>
        </row>
        <row r="52">
          <cell r="B52">
            <v>40719</v>
          </cell>
          <cell r="C52">
            <v>9.8879999999999999</v>
          </cell>
          <cell r="D52">
            <v>6.6310000000000002</v>
          </cell>
        </row>
        <row r="53">
          <cell r="B53">
            <v>40718</v>
          </cell>
          <cell r="C53">
            <v>9.8879999999999999</v>
          </cell>
          <cell r="D53">
            <v>6.6310000000000002</v>
          </cell>
        </row>
        <row r="54">
          <cell r="B54">
            <v>40717</v>
          </cell>
          <cell r="C54">
            <v>9.8879999999999999</v>
          </cell>
          <cell r="D54">
            <v>6.65</v>
          </cell>
        </row>
        <row r="55">
          <cell r="B55">
            <v>40716</v>
          </cell>
          <cell r="C55">
            <v>9.8889999999999993</v>
          </cell>
          <cell r="D55">
            <v>6.6690000000000005</v>
          </cell>
        </row>
        <row r="56">
          <cell r="B56">
            <v>40715</v>
          </cell>
          <cell r="C56">
            <v>10.087</v>
          </cell>
          <cell r="D56">
            <v>6.8860000000000001</v>
          </cell>
        </row>
        <row r="57">
          <cell r="B57">
            <v>40714</v>
          </cell>
          <cell r="C57">
            <v>9.947000000000001</v>
          </cell>
          <cell r="D57">
            <v>7.0819999999999999</v>
          </cell>
        </row>
        <row r="58">
          <cell r="B58">
            <v>40713</v>
          </cell>
          <cell r="C58">
            <v>9.9209999999999994</v>
          </cell>
          <cell r="D58">
            <v>7.0949999999999998</v>
          </cell>
        </row>
        <row r="59">
          <cell r="B59">
            <v>40712</v>
          </cell>
          <cell r="C59">
            <v>9.9209999999999994</v>
          </cell>
          <cell r="D59">
            <v>7.0949999999999998</v>
          </cell>
        </row>
        <row r="60">
          <cell r="B60">
            <v>40711</v>
          </cell>
          <cell r="C60">
            <v>9.9209999999999994</v>
          </cell>
          <cell r="D60">
            <v>7.0949999999999998</v>
          </cell>
        </row>
        <row r="61">
          <cell r="B61">
            <v>40710</v>
          </cell>
          <cell r="C61">
            <v>9.9209999999999994</v>
          </cell>
          <cell r="D61">
            <v>7.1000000000000005</v>
          </cell>
        </row>
        <row r="62">
          <cell r="B62">
            <v>40709</v>
          </cell>
          <cell r="C62">
            <v>9.7550000000000008</v>
          </cell>
          <cell r="D62">
            <v>7.0090000000000003</v>
          </cell>
        </row>
        <row r="63">
          <cell r="B63">
            <v>40708</v>
          </cell>
          <cell r="C63">
            <v>9.7829999999999995</v>
          </cell>
          <cell r="D63">
            <v>6.9190000000000005</v>
          </cell>
        </row>
        <row r="64">
          <cell r="B64">
            <v>40707</v>
          </cell>
          <cell r="C64">
            <v>9.84</v>
          </cell>
          <cell r="D64">
            <v>7.1120000000000001</v>
          </cell>
        </row>
        <row r="65">
          <cell r="B65">
            <v>40706</v>
          </cell>
          <cell r="C65">
            <v>9.8140000000000001</v>
          </cell>
          <cell r="D65">
            <v>6.843</v>
          </cell>
        </row>
        <row r="66">
          <cell r="B66">
            <v>40705</v>
          </cell>
          <cell r="C66">
            <v>9.8140000000000001</v>
          </cell>
          <cell r="D66">
            <v>6.843</v>
          </cell>
        </row>
        <row r="67">
          <cell r="B67">
            <v>40704</v>
          </cell>
          <cell r="C67">
            <v>9.8140000000000001</v>
          </cell>
          <cell r="D67">
            <v>6.843</v>
          </cell>
        </row>
        <row r="68">
          <cell r="B68">
            <v>40703</v>
          </cell>
          <cell r="C68">
            <v>9.843</v>
          </cell>
          <cell r="D68">
            <v>7.1290000000000004</v>
          </cell>
        </row>
        <row r="69">
          <cell r="B69">
            <v>40702</v>
          </cell>
          <cell r="C69">
            <v>9.76</v>
          </cell>
          <cell r="D69">
            <v>7.133</v>
          </cell>
        </row>
        <row r="70">
          <cell r="B70">
            <v>40701</v>
          </cell>
          <cell r="C70">
            <v>9.6229999999999993</v>
          </cell>
          <cell r="D70">
            <v>6.95</v>
          </cell>
        </row>
        <row r="71">
          <cell r="B71">
            <v>40700</v>
          </cell>
          <cell r="C71">
            <v>9.5960000000000001</v>
          </cell>
          <cell r="D71">
            <v>6.9550000000000001</v>
          </cell>
        </row>
        <row r="72">
          <cell r="B72">
            <v>40699</v>
          </cell>
          <cell r="C72">
            <v>9.5990000000000002</v>
          </cell>
          <cell r="D72">
            <v>6.968</v>
          </cell>
        </row>
        <row r="73">
          <cell r="B73">
            <v>40698</v>
          </cell>
          <cell r="C73">
            <v>9.5990000000000002</v>
          </cell>
          <cell r="D73">
            <v>6.968</v>
          </cell>
        </row>
        <row r="74">
          <cell r="B74">
            <v>40697</v>
          </cell>
          <cell r="C74">
            <v>9.5990000000000002</v>
          </cell>
          <cell r="D74">
            <v>6.968</v>
          </cell>
        </row>
        <row r="75">
          <cell r="B75">
            <v>40696</v>
          </cell>
          <cell r="C75">
            <v>9.463000000000001</v>
          </cell>
          <cell r="D75">
            <v>6.88</v>
          </cell>
        </row>
        <row r="76">
          <cell r="B76">
            <v>40695</v>
          </cell>
          <cell r="C76">
            <v>9.3550000000000004</v>
          </cell>
          <cell r="D76">
            <v>6.7140000000000004</v>
          </cell>
        </row>
        <row r="77">
          <cell r="B77">
            <v>40694</v>
          </cell>
          <cell r="C77">
            <v>9.3830000000000009</v>
          </cell>
          <cell r="D77">
            <v>6.9809999999999999</v>
          </cell>
        </row>
        <row r="78">
          <cell r="B78">
            <v>40693</v>
          </cell>
          <cell r="C78">
            <v>9.4369999999999994</v>
          </cell>
          <cell r="D78">
            <v>6.9809999999999999</v>
          </cell>
        </row>
        <row r="79">
          <cell r="B79">
            <v>40692</v>
          </cell>
          <cell r="C79">
            <v>9.44</v>
          </cell>
          <cell r="D79">
            <v>6.9939999999999998</v>
          </cell>
        </row>
        <row r="80">
          <cell r="B80">
            <v>40691</v>
          </cell>
          <cell r="C80">
            <v>9.44</v>
          </cell>
          <cell r="D80">
            <v>6.9939999999999998</v>
          </cell>
        </row>
        <row r="81">
          <cell r="B81">
            <v>40690</v>
          </cell>
          <cell r="C81">
            <v>9.44</v>
          </cell>
          <cell r="D81">
            <v>6.9939999999999998</v>
          </cell>
        </row>
        <row r="82">
          <cell r="B82">
            <v>40689</v>
          </cell>
          <cell r="C82">
            <v>9.36</v>
          </cell>
          <cell r="D82">
            <v>7.09</v>
          </cell>
        </row>
        <row r="83">
          <cell r="B83">
            <v>40688</v>
          </cell>
          <cell r="C83">
            <v>9.4150000000000009</v>
          </cell>
          <cell r="D83">
            <v>6.9110000000000005</v>
          </cell>
        </row>
        <row r="84">
          <cell r="B84">
            <v>40687</v>
          </cell>
          <cell r="C84">
            <v>9.2539999999999996</v>
          </cell>
          <cell r="D84">
            <v>6.8239999999999998</v>
          </cell>
        </row>
        <row r="85">
          <cell r="B85">
            <v>40686</v>
          </cell>
          <cell r="C85">
            <v>9.39</v>
          </cell>
          <cell r="D85">
            <v>7.0110000000000001</v>
          </cell>
        </row>
        <row r="86">
          <cell r="B86">
            <v>40685</v>
          </cell>
          <cell r="C86">
            <v>9.2309999999999999</v>
          </cell>
          <cell r="D86">
            <v>6.843</v>
          </cell>
        </row>
        <row r="87">
          <cell r="B87">
            <v>40684</v>
          </cell>
          <cell r="C87">
            <v>9.2309999999999999</v>
          </cell>
          <cell r="D87">
            <v>6.843</v>
          </cell>
        </row>
        <row r="88">
          <cell r="B88">
            <v>40683</v>
          </cell>
          <cell r="C88">
            <v>9.2309999999999999</v>
          </cell>
          <cell r="D88">
            <v>6.843</v>
          </cell>
        </row>
        <row r="89">
          <cell r="B89">
            <v>40682</v>
          </cell>
          <cell r="C89">
            <v>9.2319999999999993</v>
          </cell>
          <cell r="D89">
            <v>6.343</v>
          </cell>
        </row>
        <row r="90">
          <cell r="B90">
            <v>40681</v>
          </cell>
          <cell r="C90">
            <v>9.34</v>
          </cell>
          <cell r="D90">
            <v>6.36</v>
          </cell>
        </row>
        <row r="91">
          <cell r="B91">
            <v>40680</v>
          </cell>
          <cell r="C91">
            <v>9.2070000000000007</v>
          </cell>
          <cell r="D91">
            <v>6.1040000000000001</v>
          </cell>
        </row>
        <row r="92">
          <cell r="B92">
            <v>40679</v>
          </cell>
          <cell r="C92">
            <v>9.1549999999999994</v>
          </cell>
          <cell r="D92">
            <v>5.8520000000000003</v>
          </cell>
        </row>
        <row r="93">
          <cell r="B93">
            <v>40678</v>
          </cell>
          <cell r="C93">
            <v>9.2650000000000006</v>
          </cell>
          <cell r="D93">
            <v>5.9110000000000005</v>
          </cell>
        </row>
        <row r="94">
          <cell r="B94">
            <v>40677</v>
          </cell>
          <cell r="C94">
            <v>9.2650000000000006</v>
          </cell>
          <cell r="D94">
            <v>5.9110000000000005</v>
          </cell>
        </row>
        <row r="95">
          <cell r="B95">
            <v>40676</v>
          </cell>
          <cell r="C95">
            <v>9.2650000000000006</v>
          </cell>
          <cell r="D95">
            <v>5.9110000000000005</v>
          </cell>
        </row>
        <row r="96">
          <cell r="B96">
            <v>40675</v>
          </cell>
          <cell r="C96">
            <v>9.3460000000000001</v>
          </cell>
          <cell r="D96">
            <v>5.93</v>
          </cell>
        </row>
        <row r="97">
          <cell r="B97">
            <v>40674</v>
          </cell>
          <cell r="C97">
            <v>9.4009999999999998</v>
          </cell>
          <cell r="D97">
            <v>6.476</v>
          </cell>
        </row>
        <row r="98">
          <cell r="B98">
            <v>40673</v>
          </cell>
          <cell r="C98">
            <v>9.3480000000000008</v>
          </cell>
          <cell r="D98">
            <v>6.3620000000000001</v>
          </cell>
        </row>
        <row r="99">
          <cell r="B99">
            <v>40672</v>
          </cell>
          <cell r="C99">
            <v>9.4030000000000005</v>
          </cell>
          <cell r="D99">
            <v>6.2469999999999999</v>
          </cell>
        </row>
        <row r="100">
          <cell r="B100">
            <v>40671</v>
          </cell>
          <cell r="C100">
            <v>9.4589999999999996</v>
          </cell>
          <cell r="D100">
            <v>5.7850000000000001</v>
          </cell>
        </row>
        <row r="101">
          <cell r="B101">
            <v>40670</v>
          </cell>
          <cell r="C101">
            <v>9.4589999999999996</v>
          </cell>
          <cell r="D101">
            <v>5.7850000000000001</v>
          </cell>
        </row>
        <row r="102">
          <cell r="B102">
            <v>40669</v>
          </cell>
          <cell r="C102">
            <v>9.4589999999999996</v>
          </cell>
          <cell r="D102">
            <v>5.7850000000000001</v>
          </cell>
        </row>
        <row r="103">
          <cell r="B103">
            <v>40668</v>
          </cell>
          <cell r="C103">
            <v>9.4600000000000009</v>
          </cell>
          <cell r="D103">
            <v>6.0590000000000002</v>
          </cell>
        </row>
        <row r="104">
          <cell r="B104">
            <v>40667</v>
          </cell>
          <cell r="C104">
            <v>9.4209999999999994</v>
          </cell>
          <cell r="D104">
            <v>6.077</v>
          </cell>
        </row>
        <row r="105">
          <cell r="B105">
            <v>40666</v>
          </cell>
          <cell r="C105">
            <v>9.4079999999999995</v>
          </cell>
          <cell r="D105">
            <v>5.8420000000000005</v>
          </cell>
        </row>
        <row r="106">
          <cell r="B106">
            <v>40665</v>
          </cell>
          <cell r="C106">
            <v>9.3559999999999999</v>
          </cell>
          <cell r="D106">
            <v>5.6109999999999998</v>
          </cell>
        </row>
        <row r="107">
          <cell r="B107">
            <v>40664</v>
          </cell>
          <cell r="C107">
            <v>9.4120000000000008</v>
          </cell>
          <cell r="D107">
            <v>6.16</v>
          </cell>
        </row>
        <row r="108">
          <cell r="B108">
            <v>40663</v>
          </cell>
          <cell r="C108">
            <v>9.4120000000000008</v>
          </cell>
          <cell r="D108">
            <v>6.16</v>
          </cell>
        </row>
        <row r="109">
          <cell r="B109">
            <v>40662</v>
          </cell>
          <cell r="C109">
            <v>9.4120000000000008</v>
          </cell>
          <cell r="D109">
            <v>6.16</v>
          </cell>
        </row>
        <row r="110">
          <cell r="B110">
            <v>40661</v>
          </cell>
          <cell r="C110">
            <v>9.6289999999999996</v>
          </cell>
          <cell r="D110">
            <v>6.1749999999999998</v>
          </cell>
        </row>
        <row r="111">
          <cell r="B111">
            <v>40660</v>
          </cell>
          <cell r="C111">
            <v>9.5760000000000005</v>
          </cell>
          <cell r="D111">
            <v>5.702</v>
          </cell>
        </row>
        <row r="112">
          <cell r="B112">
            <v>40659</v>
          </cell>
          <cell r="C112">
            <v>9.5229999999999997</v>
          </cell>
          <cell r="D112">
            <v>5.9610000000000003</v>
          </cell>
        </row>
        <row r="113">
          <cell r="B113">
            <v>40658</v>
          </cell>
          <cell r="C113">
            <v>9.5240000000000009</v>
          </cell>
          <cell r="D113">
            <v>5.2549999999999999</v>
          </cell>
        </row>
        <row r="114">
          <cell r="B114">
            <v>40657</v>
          </cell>
          <cell r="C114">
            <v>9.5809999999999995</v>
          </cell>
          <cell r="D114">
            <v>5.5650000000000004</v>
          </cell>
        </row>
        <row r="115">
          <cell r="B115">
            <v>40656</v>
          </cell>
          <cell r="C115">
            <v>9.5809999999999995</v>
          </cell>
          <cell r="D115">
            <v>5.5650000000000004</v>
          </cell>
        </row>
        <row r="116">
          <cell r="B116">
            <v>40655</v>
          </cell>
          <cell r="C116">
            <v>9.5809999999999995</v>
          </cell>
          <cell r="D116">
            <v>5.5650000000000004</v>
          </cell>
        </row>
        <row r="117">
          <cell r="B117">
            <v>40654</v>
          </cell>
          <cell r="C117">
            <v>9.5809999999999995</v>
          </cell>
          <cell r="D117">
            <v>5.5650000000000004</v>
          </cell>
        </row>
        <row r="118">
          <cell r="B118">
            <v>40653</v>
          </cell>
          <cell r="C118">
            <v>9.5820000000000007</v>
          </cell>
          <cell r="D118">
            <v>5.5830000000000002</v>
          </cell>
        </row>
        <row r="119">
          <cell r="B119">
            <v>40652</v>
          </cell>
          <cell r="C119">
            <v>9.6639999999999997</v>
          </cell>
          <cell r="D119">
            <v>5.8319999999999999</v>
          </cell>
        </row>
        <row r="120">
          <cell r="B120">
            <v>40651</v>
          </cell>
          <cell r="C120">
            <v>9.6379999999999999</v>
          </cell>
          <cell r="D120">
            <v>5.6160000000000005</v>
          </cell>
        </row>
        <row r="121">
          <cell r="B121">
            <v>40650</v>
          </cell>
          <cell r="C121">
            <v>9.6950000000000003</v>
          </cell>
          <cell r="D121">
            <v>5.4379999999999997</v>
          </cell>
        </row>
        <row r="122">
          <cell r="B122">
            <v>40649</v>
          </cell>
          <cell r="C122">
            <v>9.6950000000000003</v>
          </cell>
          <cell r="D122">
            <v>5.4379999999999997</v>
          </cell>
        </row>
        <row r="123">
          <cell r="B123">
            <v>40648</v>
          </cell>
          <cell r="C123">
            <v>9.6950000000000003</v>
          </cell>
          <cell r="D123">
            <v>5.4379999999999997</v>
          </cell>
        </row>
        <row r="124">
          <cell r="B124">
            <v>40647</v>
          </cell>
          <cell r="C124">
            <v>9.75</v>
          </cell>
          <cell r="D124">
            <v>5.4550000000000001</v>
          </cell>
        </row>
        <row r="125">
          <cell r="B125">
            <v>40646</v>
          </cell>
          <cell r="C125">
            <v>9.9689999999999994</v>
          </cell>
          <cell r="D125">
            <v>5.4720000000000004</v>
          </cell>
        </row>
        <row r="126">
          <cell r="B126">
            <v>40645</v>
          </cell>
          <cell r="C126">
            <v>10.025</v>
          </cell>
          <cell r="D126">
            <v>5.2649999999999997</v>
          </cell>
        </row>
        <row r="127">
          <cell r="B127">
            <v>40644</v>
          </cell>
          <cell r="C127">
            <v>10.136000000000001</v>
          </cell>
          <cell r="D127">
            <v>5.5060000000000002</v>
          </cell>
        </row>
        <row r="128">
          <cell r="B128">
            <v>40643</v>
          </cell>
          <cell r="C128">
            <v>12.620000000000001</v>
          </cell>
          <cell r="D128">
            <v>7.0940000000000003</v>
          </cell>
        </row>
        <row r="129">
          <cell r="B129">
            <v>40642</v>
          </cell>
          <cell r="C129">
            <v>12.620000000000001</v>
          </cell>
          <cell r="D129">
            <v>7.0940000000000003</v>
          </cell>
        </row>
        <row r="130">
          <cell r="B130">
            <v>40641</v>
          </cell>
          <cell r="C130">
            <v>12.620000000000001</v>
          </cell>
          <cell r="D130">
            <v>7.0940000000000003</v>
          </cell>
        </row>
        <row r="131">
          <cell r="B131">
            <v>40640</v>
          </cell>
          <cell r="C131">
            <v>12.620000000000001</v>
          </cell>
          <cell r="D131">
            <v>7.0970000000000004</v>
          </cell>
        </row>
        <row r="132">
          <cell r="B132">
            <v>40639</v>
          </cell>
          <cell r="C132">
            <v>12.646000000000001</v>
          </cell>
          <cell r="D132">
            <v>7.101</v>
          </cell>
        </row>
        <row r="133">
          <cell r="B133">
            <v>40638</v>
          </cell>
          <cell r="C133">
            <v>12.832000000000001</v>
          </cell>
          <cell r="D133">
            <v>7.1040000000000001</v>
          </cell>
        </row>
        <row r="134">
          <cell r="B134">
            <v>40637</v>
          </cell>
          <cell r="C134">
            <v>12.858000000000001</v>
          </cell>
          <cell r="D134">
            <v>7.1909999999999998</v>
          </cell>
        </row>
        <row r="135">
          <cell r="B135">
            <v>40636</v>
          </cell>
          <cell r="C135">
            <v>13.073</v>
          </cell>
          <cell r="D135">
            <v>7.7030000000000003</v>
          </cell>
        </row>
        <row r="136">
          <cell r="B136">
            <v>40635</v>
          </cell>
          <cell r="C136">
            <v>13.073</v>
          </cell>
          <cell r="D136">
            <v>7.7030000000000003</v>
          </cell>
        </row>
        <row r="137">
          <cell r="B137">
            <v>40634</v>
          </cell>
          <cell r="C137">
            <v>13.073</v>
          </cell>
          <cell r="D137">
            <v>7.7030000000000003</v>
          </cell>
        </row>
        <row r="138">
          <cell r="B138">
            <v>40633</v>
          </cell>
          <cell r="C138">
            <v>13.073</v>
          </cell>
          <cell r="D138">
            <v>7.7050000000000001</v>
          </cell>
        </row>
        <row r="139">
          <cell r="B139">
            <v>40632</v>
          </cell>
          <cell r="C139">
            <v>13.182</v>
          </cell>
          <cell r="D139">
            <v>7.8730000000000002</v>
          </cell>
        </row>
        <row r="140">
          <cell r="B140">
            <v>40631</v>
          </cell>
          <cell r="C140">
            <v>13.236000000000001</v>
          </cell>
          <cell r="D140">
            <v>7.6240000000000006</v>
          </cell>
        </row>
        <row r="141">
          <cell r="B141">
            <v>40630</v>
          </cell>
          <cell r="C141">
            <v>13.208</v>
          </cell>
          <cell r="D141">
            <v>7.6260000000000003</v>
          </cell>
        </row>
        <row r="142">
          <cell r="B142">
            <v>40629</v>
          </cell>
          <cell r="C142">
            <v>13.234999999999999</v>
          </cell>
          <cell r="D142">
            <v>7.7160000000000002</v>
          </cell>
        </row>
        <row r="143">
          <cell r="B143">
            <v>40628</v>
          </cell>
          <cell r="C143">
            <v>13.234999999999999</v>
          </cell>
          <cell r="D143">
            <v>7.7160000000000002</v>
          </cell>
        </row>
        <row r="144">
          <cell r="B144">
            <v>40627</v>
          </cell>
          <cell r="C144">
            <v>13.234999999999999</v>
          </cell>
          <cell r="D144">
            <v>7.7160000000000002</v>
          </cell>
        </row>
        <row r="145">
          <cell r="B145">
            <v>40626</v>
          </cell>
          <cell r="C145">
            <v>13.234999999999999</v>
          </cell>
          <cell r="D145">
            <v>7.7190000000000003</v>
          </cell>
        </row>
        <row r="146">
          <cell r="B146">
            <v>40625</v>
          </cell>
          <cell r="C146">
            <v>13.234</v>
          </cell>
          <cell r="D146">
            <v>7.8040000000000003</v>
          </cell>
        </row>
        <row r="147">
          <cell r="B147">
            <v>40624</v>
          </cell>
          <cell r="C147">
            <v>13.18</v>
          </cell>
          <cell r="D147">
            <v>7.7229999999999999</v>
          </cell>
        </row>
        <row r="148">
          <cell r="B148">
            <v>40623</v>
          </cell>
          <cell r="C148">
            <v>13.125</v>
          </cell>
          <cell r="D148">
            <v>7.7250000000000005</v>
          </cell>
        </row>
        <row r="149">
          <cell r="B149">
            <v>40622</v>
          </cell>
          <cell r="C149">
            <v>13.233000000000001</v>
          </cell>
          <cell r="D149">
            <v>7.5680000000000005</v>
          </cell>
        </row>
        <row r="150">
          <cell r="B150">
            <v>40621</v>
          </cell>
          <cell r="C150">
            <v>13.233000000000001</v>
          </cell>
          <cell r="D150">
            <v>7.5680000000000005</v>
          </cell>
        </row>
        <row r="151">
          <cell r="B151">
            <v>40620</v>
          </cell>
          <cell r="C151">
            <v>13.233000000000001</v>
          </cell>
          <cell r="D151">
            <v>7.5680000000000005</v>
          </cell>
        </row>
        <row r="152">
          <cell r="B152">
            <v>40619</v>
          </cell>
          <cell r="C152">
            <v>13.233000000000001</v>
          </cell>
          <cell r="D152">
            <v>7.8170000000000002</v>
          </cell>
        </row>
        <row r="153">
          <cell r="B153">
            <v>40618</v>
          </cell>
          <cell r="C153">
            <v>13.124000000000001</v>
          </cell>
          <cell r="D153">
            <v>7.9009999999999998</v>
          </cell>
        </row>
        <row r="154">
          <cell r="B154">
            <v>40617</v>
          </cell>
          <cell r="C154">
            <v>13.016</v>
          </cell>
          <cell r="D154">
            <v>7.9030000000000005</v>
          </cell>
        </row>
        <row r="155">
          <cell r="B155">
            <v>40616</v>
          </cell>
          <cell r="C155">
            <v>12.856</v>
          </cell>
          <cell r="D155">
            <v>7.415</v>
          </cell>
        </row>
        <row r="156">
          <cell r="B156">
            <v>40615</v>
          </cell>
          <cell r="C156">
            <v>12.802</v>
          </cell>
          <cell r="D156">
            <v>7.2610000000000001</v>
          </cell>
        </row>
        <row r="157">
          <cell r="B157">
            <v>40614</v>
          </cell>
          <cell r="C157">
            <v>12.802</v>
          </cell>
          <cell r="D157">
            <v>7.2610000000000001</v>
          </cell>
        </row>
        <row r="158">
          <cell r="B158">
            <v>40613</v>
          </cell>
          <cell r="C158">
            <v>12.802</v>
          </cell>
          <cell r="D158">
            <v>7.2610000000000001</v>
          </cell>
        </row>
        <row r="159">
          <cell r="B159">
            <v>40612</v>
          </cell>
          <cell r="C159">
            <v>12.488</v>
          </cell>
          <cell r="D159">
            <v>6.8630000000000004</v>
          </cell>
        </row>
        <row r="160">
          <cell r="B160">
            <v>40611</v>
          </cell>
          <cell r="C160">
            <v>12.411</v>
          </cell>
          <cell r="D160">
            <v>6.5490000000000004</v>
          </cell>
        </row>
        <row r="161">
          <cell r="B161">
            <v>40610</v>
          </cell>
          <cell r="C161">
            <v>12.359</v>
          </cell>
          <cell r="D161">
            <v>5.7889999999999997</v>
          </cell>
        </row>
        <row r="162">
          <cell r="B162">
            <v>40609</v>
          </cell>
          <cell r="C162">
            <v>12.333</v>
          </cell>
          <cell r="D162">
            <v>5.9930000000000003</v>
          </cell>
        </row>
        <row r="163">
          <cell r="B163">
            <v>40608</v>
          </cell>
          <cell r="C163">
            <v>12.282</v>
          </cell>
          <cell r="D163">
            <v>6.4080000000000004</v>
          </cell>
        </row>
        <row r="164">
          <cell r="B164">
            <v>40607</v>
          </cell>
          <cell r="C164">
            <v>12.282</v>
          </cell>
          <cell r="D164">
            <v>6.4080000000000004</v>
          </cell>
        </row>
        <row r="165">
          <cell r="B165">
            <v>40606</v>
          </cell>
          <cell r="C165">
            <v>12.282</v>
          </cell>
          <cell r="D165">
            <v>6.4080000000000004</v>
          </cell>
        </row>
        <row r="166">
          <cell r="B166">
            <v>40605</v>
          </cell>
          <cell r="C166">
            <v>12.231</v>
          </cell>
          <cell r="D166">
            <v>6.4190000000000005</v>
          </cell>
        </row>
        <row r="167">
          <cell r="B167">
            <v>40604</v>
          </cell>
          <cell r="C167">
            <v>12.282</v>
          </cell>
          <cell r="D167">
            <v>6.2410000000000005</v>
          </cell>
        </row>
        <row r="168">
          <cell r="B168">
            <v>40603</v>
          </cell>
          <cell r="C168">
            <v>12.155000000000001</v>
          </cell>
          <cell r="D168">
            <v>6.4390000000000001</v>
          </cell>
        </row>
        <row r="169">
          <cell r="B169">
            <v>40602</v>
          </cell>
          <cell r="C169">
            <v>12.231</v>
          </cell>
          <cell r="D169">
            <v>7.1360000000000001</v>
          </cell>
        </row>
        <row r="170">
          <cell r="B170">
            <v>40601</v>
          </cell>
          <cell r="C170">
            <v>12.105</v>
          </cell>
          <cell r="D170">
            <v>7.0730000000000004</v>
          </cell>
        </row>
        <row r="171">
          <cell r="B171">
            <v>40600</v>
          </cell>
          <cell r="C171">
            <v>12.105</v>
          </cell>
          <cell r="D171">
            <v>7.0730000000000004</v>
          </cell>
        </row>
        <row r="172">
          <cell r="B172">
            <v>40599</v>
          </cell>
          <cell r="C172">
            <v>12.105</v>
          </cell>
          <cell r="D172">
            <v>7.0730000000000004</v>
          </cell>
        </row>
        <row r="173">
          <cell r="B173">
            <v>40598</v>
          </cell>
          <cell r="C173">
            <v>12.334</v>
          </cell>
          <cell r="D173">
            <v>7.2330000000000005</v>
          </cell>
        </row>
        <row r="174">
          <cell r="B174">
            <v>40597</v>
          </cell>
          <cell r="C174">
            <v>12.181000000000001</v>
          </cell>
          <cell r="D174">
            <v>7.3140000000000001</v>
          </cell>
        </row>
        <row r="175">
          <cell r="B175">
            <v>40596</v>
          </cell>
          <cell r="C175">
            <v>12.055</v>
          </cell>
          <cell r="D175">
            <v>7.0049999999999999</v>
          </cell>
        </row>
        <row r="176">
          <cell r="B176">
            <v>40595</v>
          </cell>
          <cell r="C176">
            <v>12.232000000000001</v>
          </cell>
          <cell r="D176">
            <v>6.8529999999999998</v>
          </cell>
        </row>
        <row r="177">
          <cell r="B177">
            <v>40594</v>
          </cell>
          <cell r="C177">
            <v>12.232000000000001</v>
          </cell>
          <cell r="D177">
            <v>6.8630000000000004</v>
          </cell>
        </row>
        <row r="178">
          <cell r="B178">
            <v>40593</v>
          </cell>
          <cell r="C178">
            <v>12.232000000000001</v>
          </cell>
          <cell r="D178">
            <v>6.8630000000000004</v>
          </cell>
        </row>
        <row r="179">
          <cell r="B179">
            <v>40592</v>
          </cell>
          <cell r="C179">
            <v>12.232000000000001</v>
          </cell>
          <cell r="D179">
            <v>6.8630000000000004</v>
          </cell>
        </row>
        <row r="180">
          <cell r="B180">
            <v>40591</v>
          </cell>
          <cell r="C180">
            <v>12.181000000000001</v>
          </cell>
          <cell r="D180">
            <v>7.1760000000000002</v>
          </cell>
        </row>
        <row r="181">
          <cell r="B181">
            <v>40590</v>
          </cell>
          <cell r="C181">
            <v>12.282999999999999</v>
          </cell>
          <cell r="D181">
            <v>7.2560000000000002</v>
          </cell>
        </row>
        <row r="182">
          <cell r="B182">
            <v>40589</v>
          </cell>
          <cell r="C182">
            <v>12.334</v>
          </cell>
          <cell r="D182">
            <v>7.3369999999999997</v>
          </cell>
        </row>
        <row r="183">
          <cell r="B183">
            <v>40588</v>
          </cell>
          <cell r="C183">
            <v>12.282999999999999</v>
          </cell>
          <cell r="D183">
            <v>7.65</v>
          </cell>
        </row>
        <row r="184">
          <cell r="B184">
            <v>40587</v>
          </cell>
          <cell r="C184">
            <v>12.282999999999999</v>
          </cell>
          <cell r="D184">
            <v>7.3479999999999999</v>
          </cell>
        </row>
        <row r="185">
          <cell r="B185">
            <v>40586</v>
          </cell>
          <cell r="C185">
            <v>12.282999999999999</v>
          </cell>
          <cell r="D185">
            <v>7.3479999999999999</v>
          </cell>
        </row>
        <row r="186">
          <cell r="B186">
            <v>40585</v>
          </cell>
          <cell r="C186">
            <v>12.282999999999999</v>
          </cell>
          <cell r="D186">
            <v>7.3479999999999999</v>
          </cell>
        </row>
        <row r="187">
          <cell r="B187">
            <v>40584</v>
          </cell>
          <cell r="C187">
            <v>12.282999999999999</v>
          </cell>
          <cell r="D187">
            <v>7.5049999999999999</v>
          </cell>
        </row>
        <row r="188">
          <cell r="B188">
            <v>40583</v>
          </cell>
          <cell r="C188">
            <v>12.081</v>
          </cell>
          <cell r="D188">
            <v>7.2</v>
          </cell>
        </row>
        <row r="189">
          <cell r="B189">
            <v>40582</v>
          </cell>
          <cell r="C189">
            <v>11.982000000000001</v>
          </cell>
          <cell r="D189">
            <v>7.3559999999999999</v>
          </cell>
        </row>
        <row r="190">
          <cell r="B190">
            <v>40581</v>
          </cell>
          <cell r="C190">
            <v>12.032</v>
          </cell>
          <cell r="D190">
            <v>7.8209999999999997</v>
          </cell>
        </row>
        <row r="191">
          <cell r="B191">
            <v>40580</v>
          </cell>
          <cell r="C191">
            <v>12.385</v>
          </cell>
          <cell r="D191">
            <v>8.0590000000000011</v>
          </cell>
        </row>
        <row r="192">
          <cell r="B192">
            <v>40579</v>
          </cell>
          <cell r="C192">
            <v>12.385</v>
          </cell>
          <cell r="D192">
            <v>8.0590000000000011</v>
          </cell>
        </row>
        <row r="193">
          <cell r="B193">
            <v>40578</v>
          </cell>
          <cell r="C193">
            <v>12.385</v>
          </cell>
          <cell r="D193">
            <v>8.0590000000000011</v>
          </cell>
        </row>
        <row r="194">
          <cell r="B194">
            <v>40577</v>
          </cell>
          <cell r="C194">
            <v>12.411</v>
          </cell>
          <cell r="D194">
            <v>8.293000000000001</v>
          </cell>
        </row>
        <row r="195">
          <cell r="B195">
            <v>40576</v>
          </cell>
          <cell r="C195">
            <v>12.411</v>
          </cell>
          <cell r="D195">
            <v>8.3719999999999999</v>
          </cell>
        </row>
        <row r="196">
          <cell r="B196">
            <v>40575</v>
          </cell>
          <cell r="C196">
            <v>12.436999999999999</v>
          </cell>
          <cell r="D196">
            <v>8.4499999999999993</v>
          </cell>
        </row>
        <row r="197">
          <cell r="B197">
            <v>40574</v>
          </cell>
          <cell r="C197">
            <v>12.488</v>
          </cell>
          <cell r="D197">
            <v>8.452</v>
          </cell>
        </row>
        <row r="198">
          <cell r="B198">
            <v>40573</v>
          </cell>
          <cell r="C198" t="e">
            <v>#N/A</v>
          </cell>
          <cell r="D198">
            <v>8.4540000000000006</v>
          </cell>
        </row>
        <row r="199">
          <cell r="B199">
            <v>40572</v>
          </cell>
          <cell r="C199" t="e">
            <v>#N/A</v>
          </cell>
          <cell r="D199">
            <v>8.4540000000000006</v>
          </cell>
        </row>
        <row r="200">
          <cell r="B200">
            <v>40571</v>
          </cell>
          <cell r="C200" t="e">
            <v>#N/A</v>
          </cell>
          <cell r="D200">
            <v>8.4540000000000006</v>
          </cell>
        </row>
        <row r="201">
          <cell r="B201">
            <v>40570</v>
          </cell>
          <cell r="C201" t="e">
            <v>#N/A</v>
          </cell>
          <cell r="D201">
            <v>8.61</v>
          </cell>
        </row>
        <row r="202">
          <cell r="B202">
            <v>40569</v>
          </cell>
          <cell r="C202" t="e">
            <v>#N/A</v>
          </cell>
          <cell r="D202">
            <v>8.6110000000000007</v>
          </cell>
        </row>
        <row r="203">
          <cell r="B203">
            <v>40568</v>
          </cell>
          <cell r="C203" t="e">
            <v>#N/A</v>
          </cell>
          <cell r="D203">
            <v>8.766</v>
          </cell>
        </row>
        <row r="204">
          <cell r="B204">
            <v>40567</v>
          </cell>
          <cell r="C204" t="e">
            <v>#N/A</v>
          </cell>
          <cell r="D204">
            <v>8.7669999999999995</v>
          </cell>
        </row>
        <row r="205">
          <cell r="B205">
            <v>40566</v>
          </cell>
          <cell r="C205" t="e">
            <v>#N/A</v>
          </cell>
          <cell r="D205">
            <v>9.1560000000000006</v>
          </cell>
        </row>
        <row r="206">
          <cell r="B206">
            <v>40565</v>
          </cell>
          <cell r="C206" t="e">
            <v>#N/A</v>
          </cell>
          <cell r="D206">
            <v>9.1560000000000006</v>
          </cell>
        </row>
        <row r="207">
          <cell r="B207">
            <v>40564</v>
          </cell>
          <cell r="C207" t="e">
            <v>#N/A</v>
          </cell>
          <cell r="D207">
            <v>9.1560000000000006</v>
          </cell>
        </row>
        <row r="208">
          <cell r="B208">
            <v>40563</v>
          </cell>
          <cell r="C208" t="e">
            <v>#N/A</v>
          </cell>
          <cell r="D208">
            <v>9.1560000000000006</v>
          </cell>
        </row>
        <row r="209">
          <cell r="B209">
            <v>40562</v>
          </cell>
          <cell r="C209" t="e">
            <v>#N/A</v>
          </cell>
          <cell r="D209">
            <v>9.0790000000000006</v>
          </cell>
        </row>
        <row r="210">
          <cell r="B210">
            <v>40561</v>
          </cell>
          <cell r="C210" t="e">
            <v>#N/A</v>
          </cell>
          <cell r="D210">
            <v>9.0790000000000006</v>
          </cell>
        </row>
        <row r="211">
          <cell r="B211">
            <v>40560</v>
          </cell>
          <cell r="C211" t="e">
            <v>#N/A</v>
          </cell>
          <cell r="D211">
            <v>9.08</v>
          </cell>
        </row>
        <row r="212">
          <cell r="B212">
            <v>40559</v>
          </cell>
          <cell r="C212" t="e">
            <v>#N/A</v>
          </cell>
          <cell r="D212">
            <v>9.0809999999999995</v>
          </cell>
        </row>
        <row r="213">
          <cell r="B213">
            <v>40558</v>
          </cell>
          <cell r="C213" t="e">
            <v>#N/A</v>
          </cell>
          <cell r="D213">
            <v>9.0809999999999995</v>
          </cell>
        </row>
        <row r="214">
          <cell r="B214">
            <v>40557</v>
          </cell>
          <cell r="C214" t="e">
            <v>#N/A</v>
          </cell>
          <cell r="D214">
            <v>9.0809999999999995</v>
          </cell>
        </row>
        <row r="215">
          <cell r="B215">
            <v>40556</v>
          </cell>
          <cell r="C215" t="e">
            <v>#N/A</v>
          </cell>
          <cell r="D215">
            <v>8.8510000000000009</v>
          </cell>
        </row>
        <row r="216">
          <cell r="B216">
            <v>40555</v>
          </cell>
          <cell r="C216" t="e">
            <v>#N/A</v>
          </cell>
          <cell r="D216">
            <v>8.6240000000000006</v>
          </cell>
        </row>
        <row r="217">
          <cell r="B217">
            <v>40554</v>
          </cell>
          <cell r="C217" t="e">
            <v>#N/A</v>
          </cell>
          <cell r="D217">
            <v>8.9290000000000003</v>
          </cell>
        </row>
        <row r="218">
          <cell r="B218">
            <v>40553</v>
          </cell>
          <cell r="C218" t="e">
            <v>#N/A</v>
          </cell>
          <cell r="D218">
            <v>9.322000000000001</v>
          </cell>
        </row>
        <row r="219">
          <cell r="B219">
            <v>40552</v>
          </cell>
          <cell r="C219" t="e">
            <v>#N/A</v>
          </cell>
          <cell r="D219">
            <v>9.322000000000001</v>
          </cell>
        </row>
        <row r="220">
          <cell r="B220">
            <v>40551</v>
          </cell>
          <cell r="C220" t="e">
            <v>#N/A</v>
          </cell>
          <cell r="D220">
            <v>9.322000000000001</v>
          </cell>
        </row>
        <row r="221">
          <cell r="B221">
            <v>40550</v>
          </cell>
          <cell r="C221" t="e">
            <v>#N/A</v>
          </cell>
          <cell r="D221">
            <v>9.322000000000001</v>
          </cell>
        </row>
        <row r="222">
          <cell r="B222">
            <v>40549</v>
          </cell>
          <cell r="C222" t="e">
            <v>#N/A</v>
          </cell>
          <cell r="D222">
            <v>9.2349999999999994</v>
          </cell>
        </row>
        <row r="223">
          <cell r="B223">
            <v>40548</v>
          </cell>
          <cell r="C223" t="e">
            <v>#N/A</v>
          </cell>
          <cell r="D223">
            <v>9.2349999999999994</v>
          </cell>
        </row>
        <row r="224">
          <cell r="B224">
            <v>40547</v>
          </cell>
          <cell r="C224" t="e">
            <v>#N/A</v>
          </cell>
          <cell r="D224">
            <v>9.2349999999999994</v>
          </cell>
        </row>
        <row r="225">
          <cell r="B225">
            <v>40546</v>
          </cell>
          <cell r="C225" t="e">
            <v>#N/A</v>
          </cell>
          <cell r="D225">
            <v>9.4009999999999998</v>
          </cell>
        </row>
        <row r="226">
          <cell r="B226">
            <v>40545</v>
          </cell>
          <cell r="C226" t="e">
            <v>#N/A</v>
          </cell>
          <cell r="D226">
            <v>9.48</v>
          </cell>
        </row>
        <row r="227">
          <cell r="B227">
            <v>40544</v>
          </cell>
          <cell r="C227" t="e">
            <v>#N/A</v>
          </cell>
          <cell r="D227">
            <v>9.48</v>
          </cell>
        </row>
      </sheetData>
      <sheetData sheetId="6">
        <row r="2">
          <cell r="D2">
            <v>2012</v>
          </cell>
        </row>
      </sheetData>
      <sheetData sheetId="7">
        <row r="2">
          <cell r="B2" t="str">
            <v>Regulatory / Other Required Approvals</v>
          </cell>
        </row>
        <row r="3">
          <cell r="B3" t="str">
            <v>Approval Entity</v>
          </cell>
          <cell r="D3" t="str">
            <v>Purpose / Reason</v>
          </cell>
          <cell r="F3" t="str">
            <v>Status</v>
          </cell>
        </row>
        <row r="4">
          <cell r="B4" t="str">
            <v>Department of Justice (DOJ) / Federal Trade Commission (FTC)</v>
          </cell>
          <cell r="C4" t="str">
            <v xml:space="preserve">•
</v>
          </cell>
          <cell r="D4" t="str">
            <v xml:space="preserve">US antitrust clearance.  In regards to Hart-Scott-Rodino Antitrust Improvements Act of 1976 </v>
          </cell>
          <cell r="E4" t="str">
            <v xml:space="preserve">•
</v>
          </cell>
          <cell r="F4" t="str">
            <v>7/12/11: LVLT receives DOJ request for additional information</v>
          </cell>
        </row>
        <row r="5">
          <cell r="B5" t="str">
            <v>Federal Communications Commission (FCC)</v>
          </cell>
          <cell r="C5" t="str">
            <v xml:space="preserve">•
•
</v>
          </cell>
          <cell r="D5" t="str">
            <v>GLBC seeks approval for the change of control (Sections 214 and 310(d) of the Communications Act of 1934, Cable Landing License Act of 1921)
LVLT petitioning section 310(b)(4) of the Communications Act</v>
          </cell>
          <cell r="E5" t="str">
            <v xml:space="preserve">•
•
•
</v>
          </cell>
          <cell r="F5" t="str">
            <v>6/9/11: FCC review clock began
7/26/11: GLBC files a response to a request for information
7/28/11: LVLT files updated information for the record</v>
          </cell>
        </row>
        <row r="6">
          <cell r="B6" t="str">
            <v>Committee on Foreign Investment (CFIUS)</v>
          </cell>
          <cell r="C6" t="str">
            <v xml:space="preserve">•
•
•
•
</v>
          </cell>
          <cell r="D6" t="str">
            <v>Regarding Section 721 of the Defense Production Act
GLBC's top shareholder, STT Communications Ltd, is a foreign entity based in Singapore. 
STT will become a significant shareholder in LVLT.
CFIUS needs to approval any changes of ownership of a US company to a foreign entity.</v>
          </cell>
          <cell r="E6" t="str">
            <v>•</v>
          </cell>
          <cell r="F6" t="str">
            <v>GLBC and LVLT filed a joint filing</v>
          </cell>
        </row>
        <row r="7">
          <cell r="B7" t="str">
            <v>Foreign regulatory authorities</v>
          </cell>
          <cell r="C7" t="str">
            <v xml:space="preserve">•
</v>
          </cell>
          <cell r="D7" t="str">
            <v>Approval for change of ownership by various foreign regulatory authorities of businesses that are controlled by GLBC and LVLT abroad</v>
          </cell>
          <cell r="F7" t="str">
            <v>ü</v>
          </cell>
        </row>
        <row r="8">
          <cell r="B8" t="str">
            <v>State regulatory authorities</v>
          </cell>
          <cell r="C8" t="str">
            <v xml:space="preserve">•
</v>
          </cell>
          <cell r="D8" t="str">
            <v>Approval for change of ownership by various state regulatory authorities</v>
          </cell>
          <cell r="F8" t="str">
            <v>ü</v>
          </cell>
        </row>
        <row r="9">
          <cell r="B9" t="str">
            <v>GLBC and LVLT Shareholder Approvals</v>
          </cell>
          <cell r="C9" t="str">
            <v>•</v>
          </cell>
          <cell r="D9" t="str">
            <v>Customary approvals for transactions</v>
          </cell>
          <cell r="F9" t="str">
            <v>ü</v>
          </cell>
        </row>
      </sheetData>
      <sheetData sheetId="8">
        <row r="4">
          <cell r="B4" t="str">
            <v>North America</v>
          </cell>
          <cell r="C4">
            <v>3570</v>
          </cell>
        </row>
        <row r="5">
          <cell r="B5" t="str">
            <v>Europe</v>
          </cell>
          <cell r="C5">
            <v>939</v>
          </cell>
        </row>
        <row r="6">
          <cell r="B6" t="str">
            <v>Latin America</v>
          </cell>
          <cell r="C6">
            <v>597</v>
          </cell>
        </row>
        <row r="8">
          <cell r="B8" t="str">
            <v>Enterprise</v>
          </cell>
          <cell r="C8">
            <v>2856</v>
          </cell>
        </row>
        <row r="9">
          <cell r="B9" t="str">
            <v>Wholesale</v>
          </cell>
          <cell r="C9">
            <v>2250</v>
          </cell>
        </row>
        <row r="13">
          <cell r="E13" t="str">
            <v>Diverse Geography</v>
          </cell>
          <cell r="H13" t="str">
            <v>Balanced Customer Base</v>
          </cell>
        </row>
      </sheetData>
      <sheetData sheetId="9">
        <row r="2">
          <cell r="A2" t="str">
            <v>Level 3 Communications, Inc.</v>
          </cell>
        </row>
        <row r="3">
          <cell r="A3" t="str">
            <v xml:space="preserve"> </v>
          </cell>
          <cell r="B3" t="str">
            <v xml:space="preserve"> </v>
          </cell>
          <cell r="C3" t="str">
            <v xml:space="preserve"> </v>
          </cell>
          <cell r="D3" t="str">
            <v xml:space="preserve"> </v>
          </cell>
          <cell r="E3" t="str">
            <v xml:space="preserve"> </v>
          </cell>
          <cell r="F3" t="str">
            <v xml:space="preserve"> </v>
          </cell>
          <cell r="G3" t="str">
            <v xml:space="preserve"> </v>
          </cell>
          <cell r="H3" t="str">
            <v xml:space="preserve"> </v>
          </cell>
          <cell r="I3" t="str">
            <v>Industry M&amp;A Reports</v>
          </cell>
          <cell r="J3" t="str">
            <v>Build M&amp;A Travelbook</v>
          </cell>
        </row>
        <row r="4">
          <cell r="A4" t="str">
            <v>Deal Activity Chart from August 11, 2010 to August 11, 2011</v>
          </cell>
        </row>
        <row r="16">
          <cell r="J16" t="str">
            <v>Source: FactSet Prices / FactSet Mergerstat</v>
          </cell>
        </row>
        <row r="17">
          <cell r="A17" t="str">
            <v>M&amp;A Summary</v>
          </cell>
          <cell r="H17" t="str">
            <v>Entity Structure</v>
          </cell>
          <cell r="I17" t="str">
            <v>link</v>
          </cell>
          <cell r="J17" t="str">
            <v>link</v>
          </cell>
        </row>
        <row r="18">
          <cell r="A18" t="str">
            <v>All monetary values in millions of U.S. Dollars</v>
          </cell>
          <cell r="H18" t="str">
            <v>Ultimate Parent: Level 3 Communications, Inc.</v>
          </cell>
        </row>
        <row r="19">
          <cell r="A19" t="str">
            <v>LTM Deals (1)</v>
          </cell>
          <cell r="B19" t="str">
            <v>1,411.9</v>
          </cell>
          <cell r="C19" t="str">
            <v>All Deals (59)</v>
          </cell>
          <cell r="D19" t="str">
            <v>8,544.6</v>
          </cell>
          <cell r="E19" t="str">
            <v xml:space="preserve"> </v>
          </cell>
          <cell r="F19" t="str">
            <v xml:space="preserve"> </v>
          </cell>
          <cell r="H19" t="str">
            <v>Broadwing Financial Services, Inc. (Subsidiary)</v>
          </cell>
        </row>
        <row r="20">
          <cell r="A20" t="str">
            <v>As Buyer / Seller</v>
          </cell>
          <cell r="B20" t="str">
            <v>1 / 0</v>
          </cell>
          <cell r="C20" t="str">
            <v>As Buyer / Seller</v>
          </cell>
          <cell r="D20" t="str">
            <v>42 / 17</v>
          </cell>
          <cell r="H20" t="str">
            <v>BusinessNet Ltd (Subsidiary)</v>
          </cell>
        </row>
        <row r="21">
          <cell r="A21" t="str">
            <v>Avg Size</v>
          </cell>
          <cell r="B21" t="str">
            <v>1,411.9</v>
          </cell>
          <cell r="C21" t="str">
            <v>Avg Size</v>
          </cell>
          <cell r="D21" t="str">
            <v>284.8</v>
          </cell>
          <cell r="H21" t="str">
            <v>CorpSoft, Inc. (Subsidiary)</v>
          </cell>
        </row>
        <row r="22">
          <cell r="A22" t="str">
            <v>Max / Min Size</v>
          </cell>
          <cell r="B22" t="str">
            <v>1,411.9 / 1,411.9</v>
          </cell>
          <cell r="C22" t="str">
            <v>Max / Min Size</v>
          </cell>
          <cell r="D22" t="str">
            <v>1,812.8 / 7.0</v>
          </cell>
          <cell r="H22" t="str">
            <v>Friede Goldman Newfoundland, Inc. (Subsidiary)</v>
          </cell>
        </row>
        <row r="23">
          <cell r="A23" t="str">
            <v>Full Mergerstat</v>
          </cell>
          <cell r="D23" t="str">
            <v>Source: FactSet Mergerstat</v>
          </cell>
          <cell r="H23" t="str">
            <v>GeoNet Communications, Inc. (Subsidiary)</v>
          </cell>
        </row>
        <row r="24">
          <cell r="H24" t="str">
            <v>Full Entity Structure</v>
          </cell>
        </row>
        <row r="27">
          <cell r="B27" t="str">
            <v>Latest M&amp;A Deals as Buyer (10 of 42)</v>
          </cell>
        </row>
        <row r="28">
          <cell r="B28" t="str">
            <v>All monetary values in millions of U.S. Dollars</v>
          </cell>
        </row>
        <row r="29">
          <cell r="B29" t="str">
            <v>LVLT HISTORICAL TRANSACTIONS (&gt;$1B)</v>
          </cell>
        </row>
        <row r="30">
          <cell r="B30" t="str">
            <v>Announce Date</v>
          </cell>
          <cell r="C30" t="str">
            <v>Close Date</v>
          </cell>
          <cell r="D30" t="str">
            <v>Target</v>
          </cell>
          <cell r="E30" t="str">
            <v>Deal Value</v>
          </cell>
          <cell r="F30" t="str">
            <v>EV/Sales</v>
          </cell>
          <cell r="G30" t="str">
            <v>EV/EBITDA</v>
          </cell>
        </row>
        <row r="31">
          <cell r="B31">
            <v>40644</v>
          </cell>
          <cell r="C31" t="str">
            <v>Pending</v>
          </cell>
          <cell r="D31" t="str">
            <v>Global Crossing Ltd.</v>
          </cell>
          <cell r="E31">
            <v>1411.9</v>
          </cell>
          <cell r="F31" t="str">
            <v>1.0x</v>
          </cell>
          <cell r="G31" t="str">
            <v>6.1x</v>
          </cell>
        </row>
        <row r="32">
          <cell r="B32">
            <v>39007</v>
          </cell>
          <cell r="C32">
            <v>39085</v>
          </cell>
          <cell r="D32" t="str">
            <v>Broadwing Corp.</v>
          </cell>
          <cell r="E32">
            <v>1377.6</v>
          </cell>
          <cell r="F32" t="str">
            <v>1.6x</v>
          </cell>
          <cell r="G32" t="str">
            <v>-36.9x</v>
          </cell>
        </row>
        <row r="33">
          <cell r="B33">
            <v>38838</v>
          </cell>
          <cell r="C33">
            <v>38922</v>
          </cell>
          <cell r="D33" t="str">
            <v>Telcove, Inc.</v>
          </cell>
          <cell r="E33">
            <v>1082</v>
          </cell>
        </row>
        <row r="34">
          <cell r="K34" t="str">
            <v>Source: FactSet Mergerstat</v>
          </cell>
        </row>
        <row r="37">
          <cell r="B37" t="str">
            <v>Latest M&amp;A Deals as Seller (10 of 17)</v>
          </cell>
        </row>
        <row r="38">
          <cell r="B38" t="str">
            <v>All monetary values in millions of U.S. Dollars</v>
          </cell>
        </row>
        <row r="39">
          <cell r="B39" t="str">
            <v>Announce</v>
          </cell>
          <cell r="C39" t="str">
            <v>Close</v>
          </cell>
          <cell r="E39" t="str">
            <v>Deal</v>
          </cell>
          <cell r="F39" t="str">
            <v>EV/</v>
          </cell>
          <cell r="G39" t="str">
            <v>EV/</v>
          </cell>
          <cell r="H39" t="str">
            <v>Deal</v>
          </cell>
          <cell r="I39" t="str">
            <v>Detail</v>
          </cell>
          <cell r="J39" t="str">
            <v>Source</v>
          </cell>
        </row>
        <row r="40">
          <cell r="B40" t="str">
            <v>Date</v>
          </cell>
          <cell r="C40" t="str">
            <v>Date</v>
          </cell>
          <cell r="D40" t="str">
            <v>Buyer</v>
          </cell>
          <cell r="E40" t="str">
            <v>Value</v>
          </cell>
          <cell r="F40" t="str">
            <v>Sales</v>
          </cell>
          <cell r="G40" t="str">
            <v>EBITDA</v>
          </cell>
          <cell r="H40" t="str">
            <v>Type</v>
          </cell>
          <cell r="I40" t="str">
            <v>Link</v>
          </cell>
          <cell r="J40" t="str">
            <v>Link</v>
          </cell>
        </row>
        <row r="41">
          <cell r="B41" t="str">
            <v>19-Dec-07</v>
          </cell>
          <cell r="C41" t="str">
            <v>05-Jun-08</v>
          </cell>
          <cell r="D41" t="str">
            <v>DG FastChannel, Inc.</v>
          </cell>
          <cell r="E41" t="str">
            <v>135.4</v>
          </cell>
          <cell r="F41" t="str">
            <v>--</v>
          </cell>
          <cell r="G41" t="str">
            <v>--</v>
          </cell>
          <cell r="H41" t="str">
            <v>Acq/Merger</v>
          </cell>
          <cell r="I41" t="str">
            <v>link</v>
          </cell>
          <cell r="J41" t="str">
            <v>link</v>
          </cell>
        </row>
        <row r="42">
          <cell r="D42" t="str">
            <v xml:space="preserve">Advisor(s): ThinkEquity Partners (B - Financial), Willkie Farr &amp; Gallagher LLP </v>
          </cell>
        </row>
        <row r="43">
          <cell r="D43" t="str">
            <v>(S - Legal), Latham &amp; Watkins LLP (B - Legal)</v>
          </cell>
        </row>
        <row r="44">
          <cell r="B44" t="str">
            <v>09-Jan-07</v>
          </cell>
          <cell r="C44" t="str">
            <v>09-Jan-07</v>
          </cell>
          <cell r="D44" t="str">
            <v>Revenue Management Solutions LLC</v>
          </cell>
          <cell r="E44" t="str">
            <v>--</v>
          </cell>
          <cell r="F44" t="str">
            <v>--</v>
          </cell>
          <cell r="G44" t="str">
            <v>--</v>
          </cell>
          <cell r="H44" t="str">
            <v>Acq/Merger</v>
          </cell>
          <cell r="I44" t="str">
            <v>link</v>
          </cell>
          <cell r="J44" t="str">
            <v>link</v>
          </cell>
        </row>
        <row r="45">
          <cell r="D45" t="str">
            <v>Advisor(s): Not Disclosed</v>
          </cell>
        </row>
        <row r="46">
          <cell r="B46" t="str">
            <v>20-Jul-06</v>
          </cell>
          <cell r="C46" t="str">
            <v>07-Sep-06</v>
          </cell>
          <cell r="D46" t="str">
            <v>Insight Enterprises, Inc.</v>
          </cell>
          <cell r="E46" t="str">
            <v>287.0</v>
          </cell>
          <cell r="F46" t="str">
            <v>--</v>
          </cell>
          <cell r="G46" t="str">
            <v>--</v>
          </cell>
          <cell r="H46" t="str">
            <v>Acq/Merger</v>
          </cell>
          <cell r="I46" t="str">
            <v>link</v>
          </cell>
          <cell r="J46" t="str">
            <v>link</v>
          </cell>
        </row>
        <row r="47">
          <cell r="D47" t="str">
            <v xml:space="preserve">Advisor(s): Merrill Lynch &amp; Co., Inc. (S - Financial), Raymond James &amp; </v>
          </cell>
        </row>
        <row r="48">
          <cell r="D48" t="str">
            <v xml:space="preserve">Associates (B - Financial), Willkie Farr &amp; Gallagher LLP (S - Legal), Skadden, </v>
          </cell>
        </row>
        <row r="49">
          <cell r="D49" t="str">
            <v>Arps, Slate, Meagher &amp; Flom LLP (B - Legal)</v>
          </cell>
        </row>
        <row r="50">
          <cell r="B50" t="str">
            <v>25-Oct-05</v>
          </cell>
          <cell r="C50" t="str">
            <v>01-Dec-05</v>
          </cell>
          <cell r="D50" t="str">
            <v>Infocrossing, Inc.</v>
          </cell>
          <cell r="E50" t="str">
            <v>81.5</v>
          </cell>
          <cell r="F50" t="str">
            <v>1.2x</v>
          </cell>
          <cell r="G50" t="str">
            <v>9.1x</v>
          </cell>
          <cell r="H50" t="str">
            <v>Acq/Merger</v>
          </cell>
          <cell r="I50" t="str">
            <v>link</v>
          </cell>
          <cell r="J50" t="str">
            <v>link</v>
          </cell>
        </row>
        <row r="51">
          <cell r="D51" t="str">
            <v xml:space="preserve">Advisor(s): Merrill Lynch &amp; Co., Inc. (S - Financial), Evercore Partners LLC (B </v>
          </cell>
        </row>
        <row r="52">
          <cell r="D52" t="str">
            <v xml:space="preserve">- Financial), Gibson, Dunn &amp; Crutcher LLP (B - Legal), Simpson Thacher &amp; </v>
          </cell>
        </row>
        <row r="53">
          <cell r="D53" t="str">
            <v>Bartlett LLP (B - Legal)</v>
          </cell>
        </row>
        <row r="54">
          <cell r="B54" t="str">
            <v>27-Jan-05</v>
          </cell>
          <cell r="C54" t="str">
            <v>27-Jan-05</v>
          </cell>
          <cell r="D54" t="str">
            <v>Tel West Network Services Corp.</v>
          </cell>
          <cell r="E54" t="str">
            <v>--</v>
          </cell>
          <cell r="F54" t="str">
            <v>--</v>
          </cell>
          <cell r="G54" t="str">
            <v>--</v>
          </cell>
          <cell r="H54" t="str">
            <v>Acq/Merger</v>
          </cell>
          <cell r="I54" t="str">
            <v>link</v>
          </cell>
          <cell r="J54" t="str">
            <v>--</v>
          </cell>
        </row>
        <row r="55">
          <cell r="D55" t="str">
            <v>Advisor(s): Daniels &amp; Associates (S - Financial)</v>
          </cell>
        </row>
        <row r="56">
          <cell r="B56" t="str">
            <v>10-May-04</v>
          </cell>
          <cell r="C56" t="str">
            <v>10-May-04</v>
          </cell>
          <cell r="D56" t="str">
            <v>Fiberlink Communications Corp.</v>
          </cell>
          <cell r="E56" t="str">
            <v>--</v>
          </cell>
          <cell r="F56" t="str">
            <v>--</v>
          </cell>
          <cell r="G56" t="str">
            <v>--</v>
          </cell>
          <cell r="H56" t="str">
            <v>Acq/Merger</v>
          </cell>
          <cell r="I56" t="str">
            <v>link</v>
          </cell>
          <cell r="J56" t="str">
            <v>link</v>
          </cell>
        </row>
        <row r="57">
          <cell r="D57" t="str">
            <v>Advisor(s): Not Disclosed</v>
          </cell>
        </row>
        <row r="58">
          <cell r="B58" t="str">
            <v>27-Oct-03</v>
          </cell>
          <cell r="C58" t="str">
            <v>27-Oct-03</v>
          </cell>
          <cell r="D58" t="str">
            <v>H.I.G. Capital Management, Inc.</v>
          </cell>
          <cell r="E58" t="str">
            <v>--</v>
          </cell>
          <cell r="F58" t="str">
            <v>--</v>
          </cell>
          <cell r="G58" t="str">
            <v>--</v>
          </cell>
          <cell r="H58" t="str">
            <v>Acq/Merger</v>
          </cell>
          <cell r="I58" t="str">
            <v>link</v>
          </cell>
          <cell r="J58" t="str">
            <v>--</v>
          </cell>
        </row>
        <row r="59">
          <cell r="D59" t="str">
            <v>Advisor(s): Not Disclosed</v>
          </cell>
        </row>
        <row r="60">
          <cell r="B60" t="str">
            <v>19-Aug-03</v>
          </cell>
          <cell r="C60" t="str">
            <v>31-Dec-03</v>
          </cell>
          <cell r="D60" t="str">
            <v>CenturyTel, Inc.</v>
          </cell>
          <cell r="E60" t="str">
            <v>17.0</v>
          </cell>
          <cell r="F60" t="str">
            <v>--</v>
          </cell>
          <cell r="G60" t="str">
            <v>--</v>
          </cell>
          <cell r="H60" t="str">
            <v>Acq/Merger</v>
          </cell>
          <cell r="I60" t="str">
            <v>link</v>
          </cell>
          <cell r="J60" t="str">
            <v>--</v>
          </cell>
        </row>
        <row r="61">
          <cell r="D61" t="str">
            <v>Advisor(s): Daniels &amp; Associates (S - Financial)</v>
          </cell>
        </row>
        <row r="62">
          <cell r="B62" t="str">
            <v>18-Jun-03</v>
          </cell>
          <cell r="C62" t="str">
            <v>18-Jun-03</v>
          </cell>
          <cell r="D62" t="str">
            <v>H.I.G. Capital Management, Inc.</v>
          </cell>
          <cell r="E62" t="str">
            <v>--</v>
          </cell>
          <cell r="F62" t="str">
            <v>--</v>
          </cell>
          <cell r="G62" t="str">
            <v>--</v>
          </cell>
          <cell r="H62" t="str">
            <v>Acq/Merger</v>
          </cell>
          <cell r="I62" t="str">
            <v>link</v>
          </cell>
          <cell r="J62" t="str">
            <v>--</v>
          </cell>
        </row>
        <row r="63">
          <cell r="D63" t="str">
            <v xml:space="preserve">Advisor(s): Daniels &amp; Associates (S - Financial), Petsky Prunier LLC (B - </v>
          </cell>
        </row>
        <row r="64">
          <cell r="D64" t="str">
            <v>Financial)</v>
          </cell>
        </row>
        <row r="65">
          <cell r="B65" t="str">
            <v>04-Apr-03</v>
          </cell>
          <cell r="C65" t="str">
            <v>31-May-03</v>
          </cell>
          <cell r="D65" t="str">
            <v>Computer Sciences Corp.</v>
          </cell>
          <cell r="E65" t="str">
            <v>--</v>
          </cell>
          <cell r="F65" t="str">
            <v>--</v>
          </cell>
          <cell r="G65" t="str">
            <v>--</v>
          </cell>
          <cell r="H65" t="str">
            <v>Acq/Merger</v>
          </cell>
          <cell r="I65" t="str">
            <v>link</v>
          </cell>
          <cell r="J65" t="str">
            <v>--</v>
          </cell>
        </row>
        <row r="66">
          <cell r="D66" t="str">
            <v>Advisor(s): Not Disclosed</v>
          </cell>
        </row>
        <row r="67">
          <cell r="K67" t="str">
            <v>Source: FactSet Mergerstat</v>
          </cell>
        </row>
        <row r="68">
          <cell r="B68" t="str">
            <v>New Issues from 2000 to Present (2)</v>
          </cell>
        </row>
        <row r="69">
          <cell r="B69" t="str">
            <v>All monetary values in millions, except offer price</v>
          </cell>
        </row>
        <row r="70">
          <cell r="J70" t="str">
            <v>Gross</v>
          </cell>
        </row>
        <row r="71">
          <cell r="I71" t="str">
            <v>% of Over-</v>
          </cell>
          <cell r="J71" t="str">
            <v>Proceeds</v>
          </cell>
        </row>
        <row r="72">
          <cell r="C72" t="str">
            <v>Offer</v>
          </cell>
          <cell r="D72" t="str">
            <v>Offer</v>
          </cell>
          <cell r="F72" t="str">
            <v>Offer</v>
          </cell>
          <cell r="G72" t="str">
            <v>Offer</v>
          </cell>
          <cell r="H72" t="str">
            <v>Total</v>
          </cell>
          <cell r="I72" t="str">
            <v>Allotment</v>
          </cell>
          <cell r="J72" t="str">
            <v>Adj. Over-</v>
          </cell>
          <cell r="K72" t="str">
            <v>Detail</v>
          </cell>
          <cell r="L72" t="str">
            <v>Source</v>
          </cell>
        </row>
        <row r="73">
          <cell r="B73" t="str">
            <v>Closing Name (Ticker(s))</v>
          </cell>
          <cell r="C73" t="str">
            <v>Date</v>
          </cell>
          <cell r="D73" t="str">
            <v>Type</v>
          </cell>
          <cell r="E73" t="str">
            <v>Exchange</v>
          </cell>
          <cell r="F73" t="str">
            <v>Curr.</v>
          </cell>
          <cell r="G73" t="str">
            <v>Price</v>
          </cell>
          <cell r="H73" t="str">
            <v>Shs Offered</v>
          </cell>
          <cell r="I73" t="str">
            <v>Exercised</v>
          </cell>
          <cell r="J73" t="str">
            <v>Allotment</v>
          </cell>
          <cell r="K73" t="str">
            <v>Link</v>
          </cell>
          <cell r="L73" t="str">
            <v>Link</v>
          </cell>
        </row>
        <row r="74">
          <cell r="B74" t="str">
            <v>Level 3 Communications, Inc. (LVLT)</v>
          </cell>
          <cell r="C74">
            <v>38875</v>
          </cell>
          <cell r="D74" t="str">
            <v>Follow-On</v>
          </cell>
          <cell r="E74" t="str">
            <v>NASDAQ</v>
          </cell>
          <cell r="F74" t="str">
            <v>USD</v>
          </cell>
          <cell r="G74">
            <v>4.55</v>
          </cell>
          <cell r="H74">
            <v>125000000</v>
          </cell>
          <cell r="I74">
            <v>0</v>
          </cell>
          <cell r="J74">
            <v>568.75</v>
          </cell>
          <cell r="K74" t="str">
            <v>Link</v>
          </cell>
          <cell r="L74" t="str">
            <v>Link</v>
          </cell>
        </row>
        <row r="75">
          <cell r="B75" t="str">
            <v>Level 3 Communications, Inc. (LVLT)</v>
          </cell>
          <cell r="C75">
            <v>36579</v>
          </cell>
          <cell r="D75" t="str">
            <v>Follow-On</v>
          </cell>
          <cell r="E75" t="str">
            <v>NASDAQ</v>
          </cell>
          <cell r="F75" t="str">
            <v>USD</v>
          </cell>
          <cell r="G75">
            <v>107.88</v>
          </cell>
          <cell r="H75">
            <v>23000000</v>
          </cell>
          <cell r="I75">
            <v>100</v>
          </cell>
          <cell r="J75">
            <v>2481.125</v>
          </cell>
          <cell r="K75" t="str">
            <v>Link</v>
          </cell>
          <cell r="L75" t="str">
            <v>Link</v>
          </cell>
        </row>
        <row r="76">
          <cell r="M76" t="str">
            <v>Source: FactSet New Issues</v>
          </cell>
        </row>
        <row r="77">
          <cell r="B77" t="str">
            <v>Latest Private Placement Deals (5)</v>
          </cell>
          <cell r="K77" t="str">
            <v>link</v>
          </cell>
        </row>
        <row r="78">
          <cell r="B78" t="str">
            <v>All monetary values in millions of U.S. Dollars, except security sold and per share items</v>
          </cell>
        </row>
        <row r="79">
          <cell r="B79" t="str">
            <v>Closing Name/Ticker</v>
          </cell>
          <cell r="C79" t="str">
            <v>Closing Date</v>
          </cell>
          <cell r="D79" t="str">
            <v>Structure Type</v>
          </cell>
          <cell r="E79" t="str">
            <v>Legal Structure</v>
          </cell>
          <cell r="F79" t="str">
            <v>Gross Proceeds</v>
          </cell>
          <cell r="G79" t="str">
            <v>Number of Sec. Sold</v>
          </cell>
          <cell r="H79" t="str">
            <v>Purch Price per Share</v>
          </cell>
          <cell r="I79" t="str">
            <v>Detail Link</v>
          </cell>
          <cell r="J79" t="str">
            <v>Source Link</v>
          </cell>
        </row>
        <row r="80">
          <cell r="B80" t="str">
            <v>Level 3 Communications, Inc. (LVLT)</v>
          </cell>
          <cell r="C80">
            <v>40087</v>
          </cell>
          <cell r="D80" t="str">
            <v>Convertible - Fixed</v>
          </cell>
          <cell r="E80" t="str">
            <v>PIPE</v>
          </cell>
          <cell r="F80">
            <v>275</v>
          </cell>
          <cell r="G80">
            <v>275000</v>
          </cell>
          <cell r="H80">
            <v>1000</v>
          </cell>
          <cell r="I80" t="str">
            <v>link</v>
          </cell>
          <cell r="J80" t="str">
            <v>link</v>
          </cell>
        </row>
        <row r="81">
          <cell r="B81" t="str">
            <v>Level 3 Communications, Inc. (LVLT)</v>
          </cell>
          <cell r="C81">
            <v>39769</v>
          </cell>
          <cell r="D81" t="str">
            <v>Convertible - Fixed</v>
          </cell>
          <cell r="E81" t="str">
            <v>PIPE</v>
          </cell>
          <cell r="F81">
            <v>400</v>
          </cell>
          <cell r="G81">
            <v>400000</v>
          </cell>
          <cell r="H81">
            <v>1000</v>
          </cell>
          <cell r="I81" t="str">
            <v>link</v>
          </cell>
          <cell r="J81" t="str">
            <v>link</v>
          </cell>
        </row>
        <row r="82">
          <cell r="B82" t="str">
            <v>Level 3 Communications, Inc. (LVLT)</v>
          </cell>
          <cell r="C82">
            <v>38401</v>
          </cell>
          <cell r="D82" t="str">
            <v>Convertible - Fixed</v>
          </cell>
          <cell r="E82" t="str">
            <v>PIPE</v>
          </cell>
          <cell r="F82">
            <v>880</v>
          </cell>
          <cell r="G82">
            <v>880000</v>
          </cell>
          <cell r="H82">
            <v>1000</v>
          </cell>
          <cell r="I82" t="str">
            <v>link</v>
          </cell>
          <cell r="J82" t="str">
            <v>--</v>
          </cell>
        </row>
        <row r="83">
          <cell r="B83" t="str">
            <v>Level 3 Communications, Inc. (LVLT)</v>
          </cell>
          <cell r="C83">
            <v>38323</v>
          </cell>
          <cell r="D83" t="str">
            <v>Convertible - Fixed</v>
          </cell>
          <cell r="E83" t="str">
            <v>144-A</v>
          </cell>
          <cell r="F83">
            <v>345</v>
          </cell>
          <cell r="G83">
            <v>345000</v>
          </cell>
          <cell r="H83">
            <v>1000</v>
          </cell>
          <cell r="I83" t="str">
            <v>link</v>
          </cell>
          <cell r="J83" t="str">
            <v>--</v>
          </cell>
        </row>
        <row r="84">
          <cell r="B84" t="str">
            <v>Level 3 Communications, Inc. (LVLT)</v>
          </cell>
          <cell r="C84">
            <v>37445</v>
          </cell>
          <cell r="D84" t="str">
            <v>Convertible - Fixed</v>
          </cell>
          <cell r="E84" t="str">
            <v>PIPE</v>
          </cell>
          <cell r="F84">
            <v>500</v>
          </cell>
          <cell r="G84">
            <v>500000</v>
          </cell>
          <cell r="H84">
            <v>1000</v>
          </cell>
          <cell r="I84" t="str">
            <v>link</v>
          </cell>
          <cell r="J84" t="str">
            <v>--</v>
          </cell>
        </row>
        <row r="85">
          <cell r="K85" t="str">
            <v>Source: PlacementTracker</v>
          </cell>
        </row>
        <row r="86">
          <cell r="A86" t="str">
            <v>1. Deal Value does not include preferred stock or option value.</v>
          </cell>
        </row>
        <row r="87">
          <cell r="A87" t="str">
            <v>2. Financial Advisors are sourced from press releases, filings, offering documents and advisor surveys.</v>
          </cell>
        </row>
        <row r="88">
          <cell r="A88" t="str">
            <v>3. M&amp;A deals shown are for the specified company and companies within its corporate structure.</v>
          </cell>
        </row>
        <row r="89">
          <cell r="A89" t="str">
            <v>4. For more details on how Deal Value is calculated, please see Online Assistant page 13079.</v>
          </cell>
        </row>
      </sheetData>
      <sheetData sheetId="10">
        <row r="3">
          <cell r="B3" t="str">
            <v>LVLT - HISTORICAL M&amp;A TRANSACTIONS</v>
          </cell>
        </row>
        <row r="4">
          <cell r="B4" t="str">
            <v>Announced Date</v>
          </cell>
          <cell r="C4" t="str">
            <v>Closed Date</v>
          </cell>
          <cell r="D4" t="str">
            <v>Target</v>
          </cell>
          <cell r="E4" t="str">
            <v>Size ($M)</v>
          </cell>
        </row>
        <row r="5">
          <cell r="B5">
            <v>40644</v>
          </cell>
          <cell r="C5" t="str">
            <v>-</v>
          </cell>
          <cell r="D5" t="str">
            <v>Global Crossing Ltd. (NasdaqGS:GLBC)</v>
          </cell>
          <cell r="E5">
            <v>2900</v>
          </cell>
        </row>
        <row r="6">
          <cell r="B6">
            <v>39007</v>
          </cell>
          <cell r="C6">
            <v>39085</v>
          </cell>
          <cell r="D6" t="str">
            <v>Broadwing Corporation</v>
          </cell>
          <cell r="E6">
            <v>1390</v>
          </cell>
        </row>
        <row r="7">
          <cell r="B7">
            <v>38840</v>
          </cell>
          <cell r="C7">
            <v>38922</v>
          </cell>
          <cell r="D7" t="str">
            <v>TelCove, Inc.</v>
          </cell>
          <cell r="E7">
            <v>1082</v>
          </cell>
        </row>
        <row r="8">
          <cell r="B8">
            <v>38655</v>
          </cell>
          <cell r="C8">
            <v>38709</v>
          </cell>
          <cell r="D8" t="str">
            <v>WilTel Communications Group Inc.</v>
          </cell>
          <cell r="E8">
            <v>680.5</v>
          </cell>
        </row>
        <row r="9">
          <cell r="B9">
            <v>37587</v>
          </cell>
          <cell r="C9">
            <v>37656</v>
          </cell>
          <cell r="D9" t="str">
            <v>Genuity Inc., Substantially All Assets (1)</v>
          </cell>
          <cell r="E9">
            <v>242</v>
          </cell>
        </row>
        <row r="10">
          <cell r="B10" t="str">
            <v>(1) LVLT assumes many of Genuity's long-term operating agreements.</v>
          </cell>
        </row>
      </sheetData>
      <sheetData sheetId="11">
        <row r="4">
          <cell r="C4" t="str">
            <v>LVLT / GLBC TRANSACTION SUMMARY</v>
          </cell>
          <cell r="G4" t="str">
            <v>COMPANY OVERVIEWS</v>
          </cell>
        </row>
        <row r="5">
          <cell r="C5" t="str">
            <v>Consideration</v>
          </cell>
          <cell r="D5" t="str">
            <v>•</v>
          </cell>
          <cell r="E5" t="str">
            <v>100% stock</v>
          </cell>
          <cell r="G5" t="str">
            <v>Level 3 operates one of the largest Internet backbones in the world. Over its broadband fiber optic network, LVLT provides IP services, broadband transport and infrastructure services, colocation services, voice services and voice over IP services.</v>
          </cell>
        </row>
        <row r="6">
          <cell r="C6" t="str">
            <v>Exchange Ratio</v>
          </cell>
          <cell r="D6" t="str">
            <v xml:space="preserve">•
</v>
          </cell>
          <cell r="E6" t="str">
            <v>16 LVLT common shares for each GLBC common and preferred share</v>
          </cell>
        </row>
        <row r="7">
          <cell r="C7" t="str">
            <v>Transaction Value</v>
          </cell>
          <cell r="D7" t="str">
            <v>•</v>
          </cell>
          <cell r="E7" t="str">
            <v>$1.9B, plus GLBC net debt of $1.1B</v>
          </cell>
        </row>
        <row r="8">
          <cell r="C8" t="str">
            <v>Estimated Multiples</v>
          </cell>
          <cell r="D8" t="str">
            <v>•</v>
          </cell>
          <cell r="E8" t="str">
            <v>7.1x GLBC's 2010 Adjusted EBITDA</v>
          </cell>
        </row>
        <row r="9">
          <cell r="C9" t="str">
            <v>Synergies</v>
          </cell>
          <cell r="D9" t="str">
            <v>•
•
•</v>
          </cell>
          <cell r="E9" t="str">
            <v>NPV of synergies $2.5B
$300M of annualized adjusted EBITDA
$40M of annualized capex savings</v>
          </cell>
          <cell r="G9" t="str">
            <v xml:space="preserve">Global Crossing is a leading global IP, Ethernet, data center and video solutions provider with the world's first integrated global IP-based network.
</v>
          </cell>
        </row>
        <row r="10">
          <cell r="C10" t="str">
            <v>Timing</v>
          </cell>
          <cell r="D10" t="str">
            <v>•</v>
          </cell>
          <cell r="E10" t="str">
            <v>Expected to close before year end</v>
          </cell>
        </row>
      </sheetData>
      <sheetData sheetId="12">
        <row r="2">
          <cell r="A2">
            <v>0</v>
          </cell>
          <cell r="B2">
            <v>0</v>
          </cell>
        </row>
        <row r="3">
          <cell r="A3">
            <v>0</v>
          </cell>
          <cell r="B3">
            <v>0</v>
          </cell>
        </row>
        <row r="4">
          <cell r="A4">
            <v>0</v>
          </cell>
          <cell r="B4">
            <v>0</v>
          </cell>
        </row>
        <row r="5">
          <cell r="B5">
            <v>40724</v>
          </cell>
          <cell r="D5" t="str">
            <v>LVLT</v>
          </cell>
          <cell r="E5" t="str">
            <v>GLBC</v>
          </cell>
          <cell r="F5" t="str">
            <v>Pro Forma</v>
          </cell>
          <cell r="G5" t="str">
            <v>Pro Forma w/ Synergies</v>
          </cell>
        </row>
        <row r="6">
          <cell r="C6" t="str">
            <v>Total Debt</v>
          </cell>
          <cell r="D6">
            <v>7224</v>
          </cell>
          <cell r="E6">
            <v>1417</v>
          </cell>
          <cell r="F6">
            <v>8641</v>
          </cell>
          <cell r="G6">
            <v>8641</v>
          </cell>
        </row>
        <row r="7">
          <cell r="C7" t="str">
            <v>cash and cash equiv</v>
          </cell>
          <cell r="D7">
            <v>584</v>
          </cell>
          <cell r="E7">
            <v>265</v>
          </cell>
          <cell r="F7">
            <v>849</v>
          </cell>
          <cell r="G7">
            <v>849</v>
          </cell>
        </row>
        <row r="8">
          <cell r="C8" t="str">
            <v>Net debt</v>
          </cell>
          <cell r="D8">
            <v>6640</v>
          </cell>
          <cell r="E8">
            <v>1152</v>
          </cell>
          <cell r="F8">
            <v>7792</v>
          </cell>
          <cell r="G8">
            <v>7792</v>
          </cell>
        </row>
        <row r="10">
          <cell r="C10" t="str">
            <v>adjusted EBITDA</v>
          </cell>
          <cell r="D10">
            <v>870</v>
          </cell>
          <cell r="E10">
            <v>407</v>
          </cell>
          <cell r="F10">
            <v>1277</v>
          </cell>
          <cell r="G10">
            <v>1577</v>
          </cell>
        </row>
        <row r="11">
          <cell r="C11" t="str">
            <v>synergies</v>
          </cell>
          <cell r="G11">
            <v>300</v>
          </cell>
        </row>
        <row r="13">
          <cell r="C13" t="str">
            <v>LTM Total Debt / EBITDA</v>
          </cell>
          <cell r="D13">
            <v>8.3034482758620687</v>
          </cell>
          <cell r="E13">
            <v>3.4815724815724818</v>
          </cell>
          <cell r="F13">
            <v>6.7666405638214568</v>
          </cell>
          <cell r="G13">
            <v>5.4793912492073558</v>
          </cell>
        </row>
        <row r="14">
          <cell r="C14" t="str">
            <v>LTM Net Debt / EBITDA</v>
          </cell>
          <cell r="D14">
            <v>7.6321839080459766</v>
          </cell>
          <cell r="E14">
            <v>2.8304668304668303</v>
          </cell>
          <cell r="F14">
            <v>6.1018010963194991</v>
          </cell>
          <cell r="G14">
            <v>4.9410272669625872</v>
          </cell>
        </row>
      </sheetData>
      <sheetData sheetId="13">
        <row r="2">
          <cell r="B2">
            <v>1</v>
          </cell>
          <cell r="C2">
            <v>2</v>
          </cell>
          <cell r="D2">
            <v>3</v>
          </cell>
          <cell r="E2">
            <v>4</v>
          </cell>
          <cell r="F2">
            <v>5</v>
          </cell>
          <cell r="G2">
            <v>6</v>
          </cell>
          <cell r="H2">
            <v>7</v>
          </cell>
          <cell r="I2">
            <v>8</v>
          </cell>
          <cell r="J2">
            <v>9</v>
          </cell>
          <cell r="K2">
            <v>10</v>
          </cell>
          <cell r="L2">
            <v>11</v>
          </cell>
        </row>
        <row r="3">
          <cell r="F3" t="str">
            <v xml:space="preserve">Date </v>
          </cell>
          <cell r="G3" t="str">
            <v xml:space="preserve">Price </v>
          </cell>
          <cell r="H3" t="str">
            <v>LTM EV / EBITDA</v>
          </cell>
          <cell r="I3" t="str">
            <v>LTM EV / EBITDA</v>
          </cell>
          <cell r="J3" t="str">
            <v xml:space="preserve">Opex </v>
          </cell>
          <cell r="K3" t="str">
            <v xml:space="preserve">Cash </v>
          </cell>
          <cell r="L3" t="str">
            <v xml:space="preserve">Synergies % </v>
          </cell>
        </row>
        <row r="4">
          <cell r="A4" t="str">
            <v>Strategics</v>
          </cell>
          <cell r="D4" t="str">
            <v>Target</v>
          </cell>
          <cell r="E4" t="str">
            <v>Acquirer</v>
          </cell>
          <cell r="F4" t="str">
            <v>Announced</v>
          </cell>
          <cell r="G4" t="str">
            <v>(EV)</v>
          </cell>
          <cell r="H4" t="str">
            <v>Pre-Synergies</v>
          </cell>
          <cell r="I4" t="str">
            <v>Post-Synergies</v>
          </cell>
          <cell r="J4" t="str">
            <v>Synergies</v>
          </cell>
          <cell r="K4" t="str">
            <v>Opex</v>
          </cell>
          <cell r="L4" t="str">
            <v>of Total Opex</v>
          </cell>
        </row>
        <row r="5">
          <cell r="B5">
            <v>10</v>
          </cell>
          <cell r="C5" t="str">
            <v>Level 3 / Global Crossing</v>
          </cell>
          <cell r="D5" t="str">
            <v>Global Crossing</v>
          </cell>
          <cell r="E5" t="str">
            <v>Level 3</v>
          </cell>
          <cell r="F5">
            <v>40644</v>
          </cell>
          <cell r="G5">
            <v>3000</v>
          </cell>
          <cell r="H5">
            <v>7.1</v>
          </cell>
          <cell r="I5">
            <v>4.2</v>
          </cell>
          <cell r="J5">
            <v>300</v>
          </cell>
          <cell r="K5">
            <v>2189</v>
          </cell>
          <cell r="L5">
            <v>0.13704888076747374</v>
          </cell>
          <cell r="O5">
            <v>1</v>
          </cell>
          <cell r="P5" t="str">
            <v>EarthLink / One Comm.</v>
          </cell>
          <cell r="Q5">
            <v>4.0322580645161289E-2</v>
          </cell>
        </row>
        <row r="6">
          <cell r="B6">
            <v>1</v>
          </cell>
          <cell r="C6" t="str">
            <v>EarthLink / One Comm.</v>
          </cell>
          <cell r="D6" t="str">
            <v>One Comm.</v>
          </cell>
          <cell r="E6" t="str">
            <v>EarthLink</v>
          </cell>
          <cell r="F6">
            <v>40532</v>
          </cell>
          <cell r="G6">
            <v>370</v>
          </cell>
          <cell r="H6" t="str">
            <v>4.7x</v>
          </cell>
          <cell r="I6" t="str">
            <v>3.7x</v>
          </cell>
          <cell r="J6">
            <v>20</v>
          </cell>
          <cell r="K6">
            <v>496</v>
          </cell>
          <cell r="L6">
            <v>4.0322580645161289E-2</v>
          </cell>
          <cell r="O6">
            <v>2</v>
          </cell>
          <cell r="P6" t="str">
            <v>Neutral Tandem / Tinet</v>
          </cell>
          <cell r="Q6">
            <v>4.6833184656556649E-2</v>
          </cell>
        </row>
        <row r="7">
          <cell r="B7">
            <v>4</v>
          </cell>
          <cell r="C7" t="str">
            <v>EarthLink / ITC^Deltacom</v>
          </cell>
          <cell r="D7" t="str">
            <v>ITC^Deltacom</v>
          </cell>
          <cell r="E7" t="str">
            <v>EarthLink</v>
          </cell>
          <cell r="F7">
            <v>40452</v>
          </cell>
          <cell r="G7">
            <v>516</v>
          </cell>
          <cell r="H7" t="str">
            <v>5.8x</v>
          </cell>
          <cell r="I7" t="str">
            <v>4.7x</v>
          </cell>
          <cell r="J7">
            <v>20</v>
          </cell>
          <cell r="K7">
            <v>362</v>
          </cell>
          <cell r="L7">
            <v>5.5248618784530384E-2</v>
          </cell>
          <cell r="O7">
            <v>3</v>
          </cell>
          <cell r="P7" t="str">
            <v>PAETEC / US LEC (1)</v>
          </cell>
          <cell r="Q7">
            <v>4.9261083743842367E-2</v>
          </cell>
        </row>
        <row r="8">
          <cell r="B8" t="e">
            <v>#VALUE!</v>
          </cell>
          <cell r="C8" t="str">
            <v>Lightower / Lexent</v>
          </cell>
          <cell r="D8" t="str">
            <v>Lexent</v>
          </cell>
          <cell r="E8" t="str">
            <v>Lightower</v>
          </cell>
          <cell r="F8">
            <v>40435</v>
          </cell>
          <cell r="G8" t="str">
            <v>NA</v>
          </cell>
          <cell r="H8" t="str">
            <v>NA</v>
          </cell>
          <cell r="I8" t="str">
            <v>NA</v>
          </cell>
          <cell r="J8" t="str">
            <v>NA</v>
          </cell>
          <cell r="K8" t="str">
            <v>NA</v>
          </cell>
          <cell r="L8" t="str">
            <v>NA</v>
          </cell>
          <cell r="O8">
            <v>4</v>
          </cell>
          <cell r="P8" t="str">
            <v>EarthLink / ITC^Deltacom</v>
          </cell>
          <cell r="Q8">
            <v>5.5248618784530384E-2</v>
          </cell>
        </row>
        <row r="9">
          <cell r="B9">
            <v>9</v>
          </cell>
          <cell r="C9" t="str">
            <v>PAETEC / Cavalier</v>
          </cell>
          <cell r="D9" t="str">
            <v>Cavalier</v>
          </cell>
          <cell r="E9" t="str">
            <v>PAETEC</v>
          </cell>
          <cell r="F9">
            <v>40434</v>
          </cell>
          <cell r="G9">
            <v>460</v>
          </cell>
          <cell r="H9" t="str">
            <v>5.1x</v>
          </cell>
          <cell r="I9" t="str">
            <v>3.8x</v>
          </cell>
          <cell r="J9">
            <v>30</v>
          </cell>
          <cell r="K9">
            <v>288</v>
          </cell>
          <cell r="L9">
            <v>0.10416666666666667</v>
          </cell>
          <cell r="O9">
            <v>4</v>
          </cell>
          <cell r="P9" t="str">
            <v>EarthLink / ITC^Deltacom</v>
          </cell>
          <cell r="Q9">
            <v>5.5248618784530384E-2</v>
          </cell>
        </row>
        <row r="10">
          <cell r="B10">
            <v>2</v>
          </cell>
          <cell r="C10" t="str">
            <v>Neutral Tandem / Tinet</v>
          </cell>
          <cell r="D10" t="str">
            <v>Tinet</v>
          </cell>
          <cell r="E10" t="str">
            <v>Neutral Tandem</v>
          </cell>
          <cell r="F10">
            <v>40430</v>
          </cell>
          <cell r="G10">
            <v>94.9</v>
          </cell>
          <cell r="H10" t="str">
            <v>7.0x</v>
          </cell>
          <cell r="I10" t="str">
            <v>6.1x</v>
          </cell>
          <cell r="J10">
            <v>2.1</v>
          </cell>
          <cell r="K10">
            <v>44.839999999999996</v>
          </cell>
          <cell r="L10">
            <v>4.6833184656556649E-2</v>
          </cell>
          <cell r="O10">
            <v>5</v>
          </cell>
          <cell r="P10" t="str">
            <v>Windstream / PAETEC</v>
          </cell>
          <cell r="Q10">
            <v>0.06</v>
          </cell>
        </row>
        <row r="11">
          <cell r="B11">
            <v>12</v>
          </cell>
          <cell r="C11" t="str">
            <v>Windstream / KDL / Norlight</v>
          </cell>
          <cell r="D11" t="str">
            <v>KDL / Norlight</v>
          </cell>
          <cell r="E11" t="str">
            <v>Windstream</v>
          </cell>
          <cell r="F11">
            <v>40407</v>
          </cell>
          <cell r="G11">
            <v>782</v>
          </cell>
          <cell r="H11" t="str">
            <v>8.4x</v>
          </cell>
          <cell r="I11" t="str">
            <v>6.6x</v>
          </cell>
          <cell r="J11">
            <v>25</v>
          </cell>
          <cell r="K11">
            <v>138.19999999999999</v>
          </cell>
          <cell r="L11">
            <v>0.18089725036179452</v>
          </cell>
          <cell r="O11">
            <v>6</v>
          </cell>
          <cell r="P11" t="str">
            <v>PAETEC / McLeod USA</v>
          </cell>
          <cell r="Q11">
            <v>6.3965884861407252E-2</v>
          </cell>
        </row>
        <row r="12">
          <cell r="B12">
            <v>11</v>
          </cell>
          <cell r="C12" t="str">
            <v xml:space="preserve">NTELOS / Fibernet </v>
          </cell>
          <cell r="D12" t="str">
            <v xml:space="preserve">Fibernet </v>
          </cell>
          <cell r="E12" t="str">
            <v>NTELOS</v>
          </cell>
          <cell r="F12">
            <v>40379</v>
          </cell>
          <cell r="G12">
            <v>170</v>
          </cell>
          <cell r="H12" t="str">
            <v>6.8x (1)</v>
          </cell>
          <cell r="I12" t="str">
            <v>5.4x (1)</v>
          </cell>
          <cell r="J12">
            <v>8</v>
          </cell>
          <cell r="K12">
            <v>51</v>
          </cell>
          <cell r="L12">
            <v>0.15686274509803921</v>
          </cell>
          <cell r="O12">
            <v>7</v>
          </cell>
          <cell r="P12" t="str">
            <v>Windstream / NuVox</v>
          </cell>
          <cell r="Q12">
            <v>6.726457399103139E-2</v>
          </cell>
        </row>
        <row r="13">
          <cell r="B13" t="e">
            <v>#VALUE!</v>
          </cell>
          <cell r="C13" t="str">
            <v>Lightyear / SouthEast Telephone</v>
          </cell>
          <cell r="D13" t="str">
            <v>SouthEast Telephone</v>
          </cell>
          <cell r="E13" t="str">
            <v>Lightyear</v>
          </cell>
          <cell r="F13">
            <v>40360</v>
          </cell>
          <cell r="G13">
            <v>7.3</v>
          </cell>
          <cell r="H13" t="str">
            <v>NA</v>
          </cell>
          <cell r="I13" t="str">
            <v>NA</v>
          </cell>
          <cell r="J13" t="str">
            <v>NA</v>
          </cell>
          <cell r="K13" t="str">
            <v>NA</v>
          </cell>
          <cell r="L13" t="str">
            <v>NA</v>
          </cell>
          <cell r="O13">
            <v>8</v>
          </cell>
          <cell r="P13" t="str">
            <v>PAETEC / US LEC (2)</v>
          </cell>
          <cell r="Q13">
            <v>9.8039215686274508E-2</v>
          </cell>
        </row>
        <row r="14">
          <cell r="B14" t="e">
            <v>#VALUE!</v>
          </cell>
          <cell r="C14" t="str">
            <v>Zayo Group / AFS</v>
          </cell>
          <cell r="D14" t="str">
            <v>AFS</v>
          </cell>
          <cell r="E14" t="str">
            <v>Zayo Group</v>
          </cell>
          <cell r="F14">
            <v>40359</v>
          </cell>
          <cell r="G14">
            <v>115.5</v>
          </cell>
          <cell r="H14" t="str">
            <v>NA</v>
          </cell>
          <cell r="I14" t="str">
            <v>7.7x</v>
          </cell>
          <cell r="J14" t="str">
            <v>NA</v>
          </cell>
          <cell r="K14" t="str">
            <v>NA</v>
          </cell>
          <cell r="L14" t="str">
            <v>NA</v>
          </cell>
          <cell r="O14">
            <v>9</v>
          </cell>
          <cell r="P14" t="str">
            <v>PAETEC / Cavalier</v>
          </cell>
          <cell r="Q14">
            <v>0.10416666666666667</v>
          </cell>
        </row>
        <row r="15">
          <cell r="B15" t="e">
            <v>#VALUE!</v>
          </cell>
          <cell r="C15" t="str">
            <v>Covad / Megapath / Speakeasy</v>
          </cell>
          <cell r="D15" t="str">
            <v>Speakeasy</v>
          </cell>
          <cell r="E15" t="str">
            <v>Covad / Megapath</v>
          </cell>
          <cell r="F15">
            <v>40340</v>
          </cell>
          <cell r="G15" t="str">
            <v>NA</v>
          </cell>
          <cell r="H15" t="str">
            <v>NA</v>
          </cell>
          <cell r="I15" t="str">
            <v>NA</v>
          </cell>
          <cell r="J15" t="str">
            <v>NA</v>
          </cell>
          <cell r="K15" t="str">
            <v>NA</v>
          </cell>
          <cell r="L15" t="str">
            <v>NA</v>
          </cell>
          <cell r="O15">
            <v>10</v>
          </cell>
          <cell r="P15" t="str">
            <v>Level 3 / Global Crossing</v>
          </cell>
          <cell r="Q15">
            <v>0.13704888076747374</v>
          </cell>
        </row>
        <row r="16">
          <cell r="B16" t="e">
            <v>#VALUE!</v>
          </cell>
          <cell r="C16" t="str">
            <v>Lightower / Veroxity</v>
          </cell>
          <cell r="D16" t="str">
            <v>Veroxity</v>
          </cell>
          <cell r="E16" t="str">
            <v>Lightower</v>
          </cell>
          <cell r="F16">
            <v>40323</v>
          </cell>
          <cell r="G16" t="str">
            <v>NA</v>
          </cell>
          <cell r="H16" t="str">
            <v>NA</v>
          </cell>
          <cell r="I16" t="str">
            <v>NA</v>
          </cell>
          <cell r="J16" t="str">
            <v>NA</v>
          </cell>
          <cell r="K16" t="str">
            <v>NA</v>
          </cell>
          <cell r="L16" t="str">
            <v>NA</v>
          </cell>
          <cell r="O16">
            <v>11</v>
          </cell>
          <cell r="P16" t="str">
            <v xml:space="preserve">NTELOS / Fibernet </v>
          </cell>
          <cell r="Q16">
            <v>0.15686274509803921</v>
          </cell>
        </row>
        <row r="17">
          <cell r="B17" t="e">
            <v>#VALUE!</v>
          </cell>
          <cell r="C17" t="str">
            <v>Covad / Megapath</v>
          </cell>
          <cell r="D17" t="str">
            <v>Megapath</v>
          </cell>
          <cell r="E17" t="str">
            <v>Covad</v>
          </cell>
          <cell r="F17">
            <v>40268</v>
          </cell>
          <cell r="G17" t="str">
            <v>NA</v>
          </cell>
          <cell r="H17" t="str">
            <v>NA</v>
          </cell>
          <cell r="I17" t="str">
            <v>NA</v>
          </cell>
          <cell r="J17" t="str">
            <v>NA</v>
          </cell>
          <cell r="K17" t="str">
            <v>NA</v>
          </cell>
          <cell r="L17" t="str">
            <v>NA</v>
          </cell>
          <cell r="O17">
            <v>12</v>
          </cell>
          <cell r="P17" t="str">
            <v>Windstream / KDL / Norlight</v>
          </cell>
          <cell r="Q17">
            <v>0.18089725036179452</v>
          </cell>
        </row>
        <row r="18">
          <cell r="B18">
            <v>14</v>
          </cell>
          <cell r="C18" t="str">
            <v>Zayo Group / AGL Networks</v>
          </cell>
          <cell r="D18" t="str">
            <v>AGL Networks</v>
          </cell>
          <cell r="E18" t="str">
            <v>Zayo Group</v>
          </cell>
          <cell r="F18">
            <v>40261</v>
          </cell>
          <cell r="G18">
            <v>73</v>
          </cell>
          <cell r="H18" t="str">
            <v>10.1x</v>
          </cell>
          <cell r="I18" t="str">
            <v>7.7x</v>
          </cell>
          <cell r="J18">
            <v>2.2999999999999998</v>
          </cell>
          <cell r="K18">
            <v>11.2</v>
          </cell>
          <cell r="L18">
            <v>0.20535714285714285</v>
          </cell>
          <cell r="O18">
            <v>8</v>
          </cell>
          <cell r="P18" t="str">
            <v>PAETEC / US LEC (2)</v>
          </cell>
          <cell r="Q18">
            <v>9.8039215686274508E-2</v>
          </cell>
        </row>
        <row r="19">
          <cell r="B19" t="e">
            <v>#VALUE!</v>
          </cell>
          <cell r="C19" t="str">
            <v>PacketExchange / Mzima Networks</v>
          </cell>
          <cell r="D19" t="str">
            <v>Mzima Networks</v>
          </cell>
          <cell r="E19" t="str">
            <v>PacketExchange</v>
          </cell>
          <cell r="F19">
            <v>40196</v>
          </cell>
          <cell r="G19" t="str">
            <v>NA</v>
          </cell>
          <cell r="H19" t="str">
            <v>NA</v>
          </cell>
          <cell r="I19" t="str">
            <v>NA</v>
          </cell>
          <cell r="J19" t="str">
            <v>NA</v>
          </cell>
          <cell r="K19" t="str">
            <v>NA</v>
          </cell>
          <cell r="L19" t="str">
            <v>NA</v>
          </cell>
          <cell r="O19">
            <v>9</v>
          </cell>
          <cell r="P19" t="str">
            <v>PAETEC / Cavalier</v>
          </cell>
          <cell r="Q19">
            <v>0.10416666666666667</v>
          </cell>
        </row>
        <row r="20">
          <cell r="B20">
            <v>7</v>
          </cell>
          <cell r="C20" t="str">
            <v>Windstream / NuVox</v>
          </cell>
          <cell r="D20" t="str">
            <v>NuVox</v>
          </cell>
          <cell r="E20" t="str">
            <v>Windstream</v>
          </cell>
          <cell r="F20">
            <v>40120</v>
          </cell>
          <cell r="G20">
            <v>643</v>
          </cell>
          <cell r="H20" t="str">
            <v>5.7x</v>
          </cell>
          <cell r="I20" t="str">
            <v>4.5x</v>
          </cell>
          <cell r="J20">
            <v>30</v>
          </cell>
          <cell r="K20">
            <v>446</v>
          </cell>
          <cell r="L20">
            <v>6.726457399103139E-2</v>
          </cell>
          <cell r="O20">
            <v>9</v>
          </cell>
          <cell r="P20" t="str">
            <v>PAETEC / Cavalier</v>
          </cell>
          <cell r="Q20">
            <v>0.10416666666666667</v>
          </cell>
        </row>
        <row r="21">
          <cell r="B21">
            <v>6</v>
          </cell>
          <cell r="C21" t="str">
            <v>PAETEC / McLeod USA</v>
          </cell>
          <cell r="D21" t="str">
            <v>McLeod USA</v>
          </cell>
          <cell r="E21" t="str">
            <v>PAETEC</v>
          </cell>
          <cell r="F21">
            <v>39342</v>
          </cell>
          <cell r="G21">
            <v>557</v>
          </cell>
          <cell r="H21" t="str">
            <v>11.6x</v>
          </cell>
          <cell r="I21" t="str">
            <v>7.1x</v>
          </cell>
          <cell r="J21">
            <v>30</v>
          </cell>
          <cell r="K21">
            <v>469</v>
          </cell>
          <cell r="L21">
            <v>6.3965884861407252E-2</v>
          </cell>
          <cell r="O21">
            <v>10</v>
          </cell>
          <cell r="P21" t="str">
            <v>Level 3 / Global Crossing</v>
          </cell>
          <cell r="Q21">
            <v>0.13704888076747374</v>
          </cell>
        </row>
        <row r="22">
          <cell r="B22">
            <v>8</v>
          </cell>
          <cell r="C22" t="str">
            <v>PAETEC / US LEC (2)</v>
          </cell>
          <cell r="D22" t="str">
            <v>US LEC (2)</v>
          </cell>
          <cell r="E22" t="str">
            <v>PAETEC</v>
          </cell>
          <cell r="F22">
            <v>38943</v>
          </cell>
          <cell r="G22">
            <v>826</v>
          </cell>
          <cell r="H22" t="str">
            <v>14.2x</v>
          </cell>
          <cell r="I22" t="str">
            <v>8.4x</v>
          </cell>
          <cell r="J22">
            <v>40</v>
          </cell>
          <cell r="K22">
            <v>408</v>
          </cell>
          <cell r="L22">
            <v>9.8039215686274508E-2</v>
          </cell>
          <cell r="O22">
            <v>11</v>
          </cell>
          <cell r="P22" t="str">
            <v xml:space="preserve">NTELOS / Fibernet </v>
          </cell>
          <cell r="Q22">
            <v>0.15686274509803921</v>
          </cell>
        </row>
        <row r="23">
          <cell r="B23">
            <v>3</v>
          </cell>
          <cell r="C23" t="str">
            <v>PAETEC / US LEC (1)</v>
          </cell>
          <cell r="D23" t="str">
            <v>US LEC (1)</v>
          </cell>
          <cell r="E23" t="str">
            <v>PAETEC</v>
          </cell>
          <cell r="F23">
            <v>38943</v>
          </cell>
          <cell r="G23">
            <v>1262</v>
          </cell>
          <cell r="H23" t="str">
            <v>8.6x</v>
          </cell>
          <cell r="I23" t="str">
            <v>6.8x</v>
          </cell>
          <cell r="J23">
            <v>40</v>
          </cell>
          <cell r="K23">
            <v>812</v>
          </cell>
          <cell r="L23">
            <v>4.9261083743842367E-2</v>
          </cell>
          <cell r="O23">
            <v>12</v>
          </cell>
          <cell r="P23" t="str">
            <v>Windstream / KDL / Norlight</v>
          </cell>
          <cell r="Q23">
            <v>0.18089725036179452</v>
          </cell>
        </row>
        <row r="24">
          <cell r="B24">
            <v>15</v>
          </cell>
          <cell r="C24" t="str">
            <v>tw telecom / Xspedius</v>
          </cell>
          <cell r="D24" t="str">
            <v>Xspedius</v>
          </cell>
          <cell r="E24" t="str">
            <v>tw telecom</v>
          </cell>
          <cell r="F24">
            <v>38926</v>
          </cell>
          <cell r="G24">
            <v>531.5</v>
          </cell>
          <cell r="H24" t="str">
            <v>11.8x (2)</v>
          </cell>
          <cell r="I24" t="str">
            <v>5.9x (2)</v>
          </cell>
          <cell r="J24">
            <v>45</v>
          </cell>
          <cell r="K24">
            <v>195</v>
          </cell>
          <cell r="L24">
            <v>0.23076923076923078</v>
          </cell>
          <cell r="O24">
            <v>13</v>
          </cell>
          <cell r="P24" t="str">
            <v>Level 3 / WilTel</v>
          </cell>
          <cell r="Q24">
            <v>0.19444444444444445</v>
          </cell>
        </row>
        <row r="25">
          <cell r="C25" t="str">
            <v>Level 3 / Telcove</v>
          </cell>
          <cell r="D25" t="str">
            <v>Telcove</v>
          </cell>
          <cell r="E25" t="str">
            <v>Level 3</v>
          </cell>
          <cell r="F25">
            <v>38838</v>
          </cell>
          <cell r="G25">
            <v>1237.5</v>
          </cell>
          <cell r="H25" t="str">
            <v>9.5x (3)</v>
          </cell>
          <cell r="I25" t="str">
            <v>NA</v>
          </cell>
          <cell r="J25" t="str">
            <v>NA</v>
          </cell>
          <cell r="K25">
            <v>260</v>
          </cell>
          <cell r="L25" t="str">
            <v>NA</v>
          </cell>
          <cell r="M25" t="str">
            <v>Revenue</v>
          </cell>
          <cell r="N25" t="str">
            <v>Integration</v>
          </cell>
          <cell r="O25">
            <v>12</v>
          </cell>
          <cell r="P25" t="str">
            <v>Windstream / KDL / Norlight</v>
          </cell>
          <cell r="Q25">
            <v>0.18089725036179452</v>
          </cell>
          <cell r="R25" t="str">
            <v>Capex</v>
          </cell>
        </row>
        <row r="26">
          <cell r="B26">
            <v>13</v>
          </cell>
          <cell r="C26" t="str">
            <v>Level 3 / WilTel</v>
          </cell>
          <cell r="D26" t="str">
            <v>WilTel</v>
          </cell>
          <cell r="E26" t="str">
            <v>Level 3</v>
          </cell>
          <cell r="F26">
            <v>38656</v>
          </cell>
          <cell r="G26">
            <v>703.5</v>
          </cell>
          <cell r="H26" t="str">
            <v>NA</v>
          </cell>
          <cell r="I26" t="str">
            <v>NA</v>
          </cell>
          <cell r="J26">
            <v>140</v>
          </cell>
          <cell r="K26">
            <v>720</v>
          </cell>
          <cell r="L26">
            <v>0.19444444444444445</v>
          </cell>
          <cell r="M26">
            <v>900</v>
          </cell>
          <cell r="O26">
            <v>14</v>
          </cell>
          <cell r="P26" t="str">
            <v>Zayo Group / AGL Networks</v>
          </cell>
          <cell r="Q26">
            <v>0.20535714285714285</v>
          </cell>
        </row>
        <row r="27">
          <cell r="B27">
            <v>5</v>
          </cell>
          <cell r="C27" t="str">
            <v>Windstream / PAETEC</v>
          </cell>
          <cell r="D27" t="str">
            <v>PAETEC</v>
          </cell>
          <cell r="E27" t="str">
            <v>Windstream</v>
          </cell>
          <cell r="L27">
            <v>0.06</v>
          </cell>
          <cell r="O27">
            <v>15</v>
          </cell>
          <cell r="P27" t="str">
            <v>tw telecom / Xspedius</v>
          </cell>
          <cell r="Q27">
            <v>0.23076923076923078</v>
          </cell>
        </row>
        <row r="28">
          <cell r="D28" t="str">
            <v>AVERAGE</v>
          </cell>
          <cell r="L28">
            <v>0.1164629645238283</v>
          </cell>
        </row>
        <row r="30">
          <cell r="A30" t="str">
            <v>Private Equity</v>
          </cell>
          <cell r="D30" t="str">
            <v>RCN</v>
          </cell>
          <cell r="E30" t="str">
            <v>ABRY Partners</v>
          </cell>
          <cell r="F30">
            <v>40243</v>
          </cell>
          <cell r="G30">
            <v>1200</v>
          </cell>
          <cell r="H30" t="str">
            <v>8.3x</v>
          </cell>
          <cell r="I30" t="str">
            <v>NA</v>
          </cell>
          <cell r="J30" t="str">
            <v>NA</v>
          </cell>
          <cell r="K30">
            <v>422.5</v>
          </cell>
          <cell r="L30" t="str">
            <v>NA</v>
          </cell>
        </row>
        <row r="31">
          <cell r="D31" t="str">
            <v>DukeNet</v>
          </cell>
          <cell r="E31" t="str">
            <v>Alinda Capital Partners (50% Stake)</v>
          </cell>
          <cell r="F31">
            <v>40354</v>
          </cell>
          <cell r="G31">
            <v>137</v>
          </cell>
          <cell r="H31" t="str">
            <v>NA</v>
          </cell>
          <cell r="I31" t="str">
            <v>NA</v>
          </cell>
          <cell r="J31" t="str">
            <v>NA</v>
          </cell>
          <cell r="K31" t="str">
            <v>NA</v>
          </cell>
          <cell r="L31" t="str">
            <v>NA</v>
          </cell>
        </row>
        <row r="32">
          <cell r="D32" t="str">
            <v>Fibertech</v>
          </cell>
          <cell r="E32" t="str">
            <v>Court Square Capital Partners</v>
          </cell>
          <cell r="F32">
            <v>40416</v>
          </cell>
          <cell r="G32">
            <v>500</v>
          </cell>
          <cell r="H32" t="str">
            <v>NA</v>
          </cell>
          <cell r="I32" t="str">
            <v>NA</v>
          </cell>
          <cell r="J32" t="str">
            <v>NA</v>
          </cell>
          <cell r="K32" t="str">
            <v>NA</v>
          </cell>
          <cell r="L32" t="str">
            <v>NA</v>
          </cell>
        </row>
        <row r="33">
          <cell r="D33" t="str">
            <v>Unite Private Networks</v>
          </cell>
          <cell r="E33" t="str">
            <v>Ridgemont Equity Partners</v>
          </cell>
          <cell r="F33">
            <v>40421</v>
          </cell>
          <cell r="G33" t="str">
            <v>NA</v>
          </cell>
          <cell r="H33" t="str">
            <v>NA</v>
          </cell>
          <cell r="I33" t="str">
            <v>NA</v>
          </cell>
          <cell r="J33" t="str">
            <v>NA</v>
          </cell>
          <cell r="K33" t="str">
            <v>NA</v>
          </cell>
          <cell r="L33" t="str">
            <v>NA</v>
          </cell>
        </row>
        <row r="35">
          <cell r="E35" t="str">
            <v>= Prior Year EBITDA</v>
          </cell>
        </row>
        <row r="37">
          <cell r="E37" t="str">
            <v>= 2007 Projected EBITDA</v>
          </cell>
          <cell r="N37">
            <v>125</v>
          </cell>
          <cell r="O37">
            <v>75</v>
          </cell>
          <cell r="Q37">
            <v>200</v>
          </cell>
          <cell r="R37">
            <v>35</v>
          </cell>
          <cell r="S37">
            <v>235</v>
          </cell>
          <cell r="T37">
            <v>665</v>
          </cell>
          <cell r="U37">
            <v>0.21052631578947367</v>
          </cell>
        </row>
        <row r="38">
          <cell r="E38" t="str">
            <v>= 2006 Projected EBITDA</v>
          </cell>
        </row>
        <row r="40">
          <cell r="D40" t="str">
            <v>(1) Projected Merged Entity</v>
          </cell>
        </row>
        <row r="41">
          <cell r="D41" t="str">
            <v>(2) Price Includes Financing of PAETEC's First and Second Lien Debt, US LEC Debt, Purchase of US LEC Preferred Stock, and Fees &amp; Other</v>
          </cell>
        </row>
      </sheetData>
      <sheetData sheetId="14">
        <row r="1">
          <cell r="J1" t="str">
            <v>Sep 30 2008 LTM</v>
          </cell>
          <cell r="O1" t="str">
            <v>CTL</v>
          </cell>
          <cell r="P1" t="str">
            <v>SVVS</v>
          </cell>
          <cell r="Q1" t="str">
            <v>SVVS</v>
          </cell>
          <cell r="R1" t="str">
            <v>T/Tmo</v>
          </cell>
          <cell r="X1">
            <v>2008</v>
          </cell>
          <cell r="Z1" t="str">
            <v>12 months ended sept 30 2009</v>
          </cell>
          <cell r="AC1" t="str">
            <v>12 months ended sept 30 2009</v>
          </cell>
        </row>
        <row r="2">
          <cell r="I2" t="str">
            <v>CTL</v>
          </cell>
          <cell r="K2" t="str">
            <v>EMBARQ</v>
          </cell>
          <cell r="L2" t="str">
            <v>CTL</v>
          </cell>
          <cell r="M2" t="str">
            <v>Q</v>
          </cell>
          <cell r="O2" t="str">
            <v>CTL</v>
          </cell>
          <cell r="P2" t="str">
            <v xml:space="preserve">1Q11 </v>
          </cell>
          <cell r="Q2" t="str">
            <v>2011 Guidance</v>
          </cell>
          <cell r="R2">
            <v>2010</v>
          </cell>
          <cell r="T2" t="str">
            <v>Spinco</v>
          </cell>
          <cell r="U2" t="str">
            <v>FRP legacy</v>
          </cell>
          <cell r="V2" t="str">
            <v>adj</v>
          </cell>
          <cell r="X2" t="str">
            <v>FTR</v>
          </cell>
          <cell r="Y2" t="str">
            <v>Spinco</v>
          </cell>
          <cell r="Z2" t="str">
            <v>WIN</v>
          </cell>
          <cell r="AA2" t="str">
            <v>IOWA</v>
          </cell>
          <cell r="AC2" t="str">
            <v>WIN</v>
          </cell>
          <cell r="AD2" t="str">
            <v>Lexcom</v>
          </cell>
          <cell r="AF2" t="str">
            <v>Nuvox</v>
          </cell>
          <cell r="AG2" t="str">
            <v>D&amp;E</v>
          </cell>
          <cell r="AH2" t="str">
            <v>WIN</v>
          </cell>
        </row>
        <row r="3">
          <cell r="B3" t="str">
            <v>WIN / D&amp;E</v>
          </cell>
          <cell r="C3">
            <v>0.29761904761904762</v>
          </cell>
          <cell r="L3">
            <v>7530.2110000000002</v>
          </cell>
          <cell r="M3">
            <v>12311</v>
          </cell>
          <cell r="N3">
            <v>19841.210999999999</v>
          </cell>
          <cell r="Q3">
            <v>1045</v>
          </cell>
          <cell r="R3">
            <v>21346.996447092166</v>
          </cell>
          <cell r="T3">
            <v>1197</v>
          </cell>
          <cell r="U3">
            <v>283</v>
          </cell>
          <cell r="V3">
            <v>-5</v>
          </cell>
          <cell r="W3">
            <v>1475</v>
          </cell>
          <cell r="X3">
            <v>2237</v>
          </cell>
          <cell r="Y3">
            <v>4352</v>
          </cell>
          <cell r="Z3">
            <v>3716.3002721330281</v>
          </cell>
          <cell r="AA3">
            <v>275</v>
          </cell>
          <cell r="AB3">
            <v>3991.3002721330281</v>
          </cell>
          <cell r="AC3">
            <v>3020.2</v>
          </cell>
          <cell r="AD3">
            <v>44</v>
          </cell>
          <cell r="AE3">
            <v>3064.2</v>
          </cell>
          <cell r="AF3">
            <v>565</v>
          </cell>
          <cell r="AG3">
            <v>148</v>
          </cell>
          <cell r="AH3">
            <v>3246.6</v>
          </cell>
          <cell r="AI3">
            <v>3394.6</v>
          </cell>
        </row>
        <row r="4">
          <cell r="B4" t="str">
            <v>WIN / IOWA</v>
          </cell>
          <cell r="C4">
            <v>0.2413793103448276</v>
          </cell>
          <cell r="K4">
            <v>6222</v>
          </cell>
          <cell r="L4">
            <v>3729.6940000000004</v>
          </cell>
          <cell r="M4">
            <v>7896</v>
          </cell>
          <cell r="N4">
            <v>11625.694</v>
          </cell>
          <cell r="Q4">
            <v>767.5</v>
          </cell>
          <cell r="R4">
            <v>15869</v>
          </cell>
          <cell r="T4">
            <v>845</v>
          </cell>
          <cell r="U4">
            <v>218</v>
          </cell>
          <cell r="V4">
            <v>-99</v>
          </cell>
          <cell r="W4">
            <v>964</v>
          </cell>
          <cell r="X4">
            <v>1023</v>
          </cell>
          <cell r="Y4">
            <v>2549</v>
          </cell>
          <cell r="Z4">
            <v>1912.3</v>
          </cell>
          <cell r="AA4">
            <v>145</v>
          </cell>
          <cell r="AB4">
            <v>2057.3000000000002</v>
          </cell>
          <cell r="AC4">
            <v>1497.6999999999998</v>
          </cell>
          <cell r="AD4">
            <v>21</v>
          </cell>
          <cell r="AE4">
            <v>1518.6999999999998</v>
          </cell>
          <cell r="AF4">
            <v>453</v>
          </cell>
          <cell r="AG4">
            <v>84</v>
          </cell>
          <cell r="AH4">
            <v>1527.3</v>
          </cell>
          <cell r="AI4">
            <v>1611.3</v>
          </cell>
        </row>
        <row r="5">
          <cell r="B5" t="str">
            <v>WIN / LEXCOM</v>
          </cell>
          <cell r="C5">
            <v>0.23809523809523808</v>
          </cell>
          <cell r="K5">
            <v>3624</v>
          </cell>
          <cell r="L5">
            <v>3800.5169999999998</v>
          </cell>
          <cell r="M5">
            <v>4415</v>
          </cell>
          <cell r="N5">
            <v>8215.5169999999998</v>
          </cell>
          <cell r="Q5">
            <v>277.5</v>
          </cell>
          <cell r="T5">
            <v>352</v>
          </cell>
          <cell r="U5">
            <v>65</v>
          </cell>
          <cell r="X5">
            <v>1214</v>
          </cell>
          <cell r="Y5">
            <v>1803</v>
          </cell>
          <cell r="Z5">
            <v>1804.0002721330281</v>
          </cell>
          <cell r="AA5">
            <v>130</v>
          </cell>
          <cell r="AB5">
            <v>1934.0002721330281</v>
          </cell>
          <cell r="AC5">
            <v>1522.5</v>
          </cell>
          <cell r="AD5">
            <v>23</v>
          </cell>
          <cell r="AE5">
            <v>1545.5</v>
          </cell>
          <cell r="AF5">
            <v>112</v>
          </cell>
          <cell r="AG5">
            <v>64</v>
          </cell>
          <cell r="AH5">
            <v>1719.3</v>
          </cell>
          <cell r="AI5">
            <v>1783.3</v>
          </cell>
        </row>
        <row r="6">
          <cell r="B6" t="str">
            <v>FTR / VZ</v>
          </cell>
          <cell r="C6">
            <v>0.19615535504119264</v>
          </cell>
          <cell r="K6">
            <v>2598</v>
          </cell>
        </row>
        <row r="7">
          <cell r="B7" t="str">
            <v>T/T-Mo</v>
          </cell>
          <cell r="C7">
            <v>0.18904782910076248</v>
          </cell>
          <cell r="M7">
            <v>575</v>
          </cell>
          <cell r="Q7">
            <v>70</v>
          </cell>
          <cell r="R7">
            <v>3000</v>
          </cell>
          <cell r="T7">
            <v>111</v>
          </cell>
          <cell r="Y7">
            <v>500</v>
          </cell>
          <cell r="AA7">
            <v>35</v>
          </cell>
          <cell r="AD7">
            <v>5</v>
          </cell>
          <cell r="AF7">
            <v>30</v>
          </cell>
          <cell r="AG7">
            <v>25</v>
          </cell>
        </row>
        <row r="8">
          <cell r="B8" t="str">
            <v>LVLT/GLBC</v>
          </cell>
          <cell r="C8">
            <v>0.13700000000000001</v>
          </cell>
          <cell r="J8">
            <v>300</v>
          </cell>
          <cell r="K8">
            <v>375</v>
          </cell>
          <cell r="M8">
            <v>50</v>
          </cell>
        </row>
        <row r="9">
          <cell r="B9" t="str">
            <v>FRP / VZ</v>
          </cell>
          <cell r="C9">
            <v>0.13136094674556212</v>
          </cell>
        </row>
        <row r="10">
          <cell r="B10" t="str">
            <v>CTL / EQ *</v>
          </cell>
          <cell r="C10">
            <v>0.10347682119205298</v>
          </cell>
          <cell r="T10">
            <v>111</v>
          </cell>
          <cell r="Y10">
            <v>500</v>
          </cell>
          <cell r="AG10">
            <v>25</v>
          </cell>
        </row>
        <row r="11">
          <cell r="B11" t="str">
            <v>CTL / SVVS</v>
          </cell>
          <cell r="C11">
            <v>9.1205211726384364E-2</v>
          </cell>
        </row>
        <row r="12">
          <cell r="B12" t="str">
            <v>CTL / EQ **</v>
          </cell>
          <cell r="C12">
            <v>8.2781456953642391E-2</v>
          </cell>
          <cell r="J12">
            <v>8.2781456953642391E-2</v>
          </cell>
          <cell r="K12">
            <v>0.10347682119205298</v>
          </cell>
          <cell r="M12">
            <v>7.2821681864235058E-2</v>
          </cell>
          <cell r="Q12">
            <v>9.1205211726384364E-2</v>
          </cell>
          <cell r="R12">
            <v>0.18904782910076248</v>
          </cell>
          <cell r="T12">
            <v>0.13136094674556212</v>
          </cell>
          <cell r="Y12">
            <v>0.19615535504119264</v>
          </cell>
          <cell r="AA12">
            <v>0.2413793103448276</v>
          </cell>
          <cell r="AD12">
            <v>0.23809523809523808</v>
          </cell>
          <cell r="AF12">
            <v>6.6225165562913912E-2</v>
          </cell>
          <cell r="AG12">
            <v>0.29761904761904762</v>
          </cell>
        </row>
        <row r="13">
          <cell r="B13" t="str">
            <v>CTL / Q (1)</v>
          </cell>
          <cell r="C13">
            <v>7.2821681864235058E-2</v>
          </cell>
          <cell r="I13" t="str">
            <v>Note 1: CenturyTel presentation (10/27/08) assuming $300m in announced cost synergies and $4.4b 2008 proforma cash opex</v>
          </cell>
          <cell r="L13" t="str">
            <v>Note: Investors' presentation (04/22/10) assuming $575 of operating expense synergies and $11.6b 2009 proforma cash opex</v>
          </cell>
          <cell r="T13" t="str">
            <v>Note: Fairpoint investor presentation (04/17/08), assuming $111m of announced cost synergies and $964m in proforma 2007 cash opex.</v>
          </cell>
          <cell r="X13" t="str">
            <v>Note: Assuming $500m cash opex savings and $3.5b in pro forma 2008 cash opex. Spinco numbers from Verizon's 8-k (03/24/2010)</v>
          </cell>
          <cell r="Z13" t="str">
            <v>Note: Windstream press release (11/24/09) assuming $35m in operating expenses and capex savings, and $2.0bn in proforma cash opex for the 12 months ended 09/30/09. IWA proforma for Sherburne, WIN proforma for Nuvox, D&amp;E and Lexcom</v>
          </cell>
          <cell r="AC13" t="str">
            <v>Note: Windstream press releases (09/08/09-12/01/09) assuming $5m in operating expenses and capex savings, and $1.5bn in proforma cash opex for the 12 months ended 09/30/09. WIN excludes Nuvox, D&amp;E and Lexcom.</v>
          </cell>
          <cell r="AG13" t="str">
            <v>(7) Windstream press release (05/11/09) assuming $25m in operating expenses and capex savings, and $1.6bn in proforma cash opex for the 12 months ended 03/31/09. WIN excludes Nuvox.</v>
          </cell>
        </row>
        <row r="14">
          <cell r="B14" t="str">
            <v>WIN / NuVox</v>
          </cell>
          <cell r="C14">
            <v>6.7000000000000004E-2</v>
          </cell>
        </row>
        <row r="15">
          <cell r="B15" t="str">
            <v>WIN / PAET</v>
          </cell>
          <cell r="C15">
            <v>0.06</v>
          </cell>
          <cell r="Q15">
            <v>280</v>
          </cell>
        </row>
        <row r="16">
          <cell r="Q16">
            <v>8000</v>
          </cell>
        </row>
        <row r="17">
          <cell r="I17" t="str">
            <v>Note 2: CenturyTel 2Q09 earnings conference call, assuming $375m in cost synergies and $4.4b 2008 proforma cash opex</v>
          </cell>
          <cell r="Q17">
            <v>8280</v>
          </cell>
        </row>
        <row r="43">
          <cell r="Q43" t="str">
            <v>Share price</v>
          </cell>
          <cell r="R43">
            <v>40</v>
          </cell>
        </row>
        <row r="45">
          <cell r="C45" t="str">
            <v>2Q10</v>
          </cell>
          <cell r="G45" t="str">
            <v>4Q09</v>
          </cell>
          <cell r="R45" t="str">
            <v>CTL</v>
          </cell>
          <cell r="S45" t="str">
            <v>SVVS</v>
          </cell>
          <cell r="T45" t="str">
            <v>CTL+SVVS</v>
          </cell>
        </row>
        <row r="46">
          <cell r="C46" t="str">
            <v>Access 
Lines
(000)</v>
          </cell>
          <cell r="D46" t="str">
            <v>Mkt
Share
(%)</v>
          </cell>
          <cell r="G46" t="str">
            <v>B'band
(000)</v>
          </cell>
          <cell r="H46" t="str">
            <v>Mkt
Share
(%)</v>
          </cell>
          <cell r="I46" t="str">
            <v>Penetration of Access Lines</v>
          </cell>
          <cell r="Q46" t="str">
            <v>Shares</v>
          </cell>
          <cell r="R46">
            <v>588.5</v>
          </cell>
          <cell r="S46">
            <v>16</v>
          </cell>
          <cell r="T46">
            <v>604.5</v>
          </cell>
        </row>
        <row r="47">
          <cell r="Q47" t="str">
            <v>Mkt cap</v>
          </cell>
          <cell r="R47">
            <v>23540</v>
          </cell>
          <cell r="S47">
            <v>640</v>
          </cell>
          <cell r="T47">
            <v>24180</v>
          </cell>
        </row>
        <row r="49">
          <cell r="B49" t="str">
            <v>AT&amp;T</v>
          </cell>
          <cell r="C49">
            <v>46058</v>
          </cell>
          <cell r="D49">
            <v>0.35204163780152753</v>
          </cell>
          <cell r="F49" t="str">
            <v>Comcast</v>
          </cell>
          <cell r="G49">
            <v>16448</v>
          </cell>
          <cell r="H49">
            <v>0.22562339986809371</v>
          </cell>
          <cell r="I49" t="str">
            <v>na</v>
          </cell>
          <cell r="Q49" t="str">
            <v>Net Debt</v>
          </cell>
          <cell r="R49">
            <v>19631</v>
          </cell>
          <cell r="S49">
            <v>2400</v>
          </cell>
          <cell r="T49">
            <v>22031</v>
          </cell>
        </row>
        <row r="50">
          <cell r="B50" t="str">
            <v>Verizon</v>
          </cell>
          <cell r="C50">
            <v>27138</v>
          </cell>
          <cell r="D50">
            <v>0.20742772084454067</v>
          </cell>
          <cell r="F50" t="str">
            <v>AT&amp;T</v>
          </cell>
          <cell r="G50">
            <v>15916</v>
          </cell>
          <cell r="H50">
            <v>0.2183257558548504</v>
          </cell>
          <cell r="I50">
            <v>0.34556428850579701</v>
          </cell>
        </row>
        <row r="51">
          <cell r="B51" t="str">
            <v>CTL + Q</v>
          </cell>
          <cell r="C51">
            <v>25645</v>
          </cell>
          <cell r="D51">
            <v>0.19601606238699409</v>
          </cell>
          <cell r="F51" t="str">
            <v>Time Warner Cable</v>
          </cell>
          <cell r="G51">
            <v>9606</v>
          </cell>
          <cell r="H51">
            <v>0.13176911351732173</v>
          </cell>
          <cell r="I51" t="str">
            <v>na</v>
          </cell>
          <cell r="Q51" t="str">
            <v>EV</v>
          </cell>
          <cell r="R51">
            <v>43171</v>
          </cell>
          <cell r="S51">
            <v>3040</v>
          </cell>
          <cell r="T51">
            <v>46211</v>
          </cell>
        </row>
        <row r="52">
          <cell r="B52" t="str">
            <v>Comcast</v>
          </cell>
          <cell r="C52">
            <v>8125</v>
          </cell>
          <cell r="D52">
            <v>6.2102963809488286E-2</v>
          </cell>
          <cell r="F52" t="str">
            <v>Verizon</v>
          </cell>
          <cell r="G52">
            <v>8279</v>
          </cell>
          <cell r="H52">
            <v>0.11356615561210771</v>
          </cell>
          <cell r="I52">
            <v>0.30507038101555017</v>
          </cell>
        </row>
        <row r="53">
          <cell r="B53" t="str">
            <v>Frontier</v>
          </cell>
          <cell r="C53">
            <v>6009.25</v>
          </cell>
          <cell r="D53">
            <v>4.5931352033497533E-2</v>
          </cell>
          <cell r="F53" t="str">
            <v>CTL + Q</v>
          </cell>
          <cell r="G53">
            <v>8060</v>
          </cell>
          <cell r="H53">
            <v>0.11056205027582899</v>
          </cell>
          <cell r="I53">
            <v>0.31429128485084812</v>
          </cell>
        </row>
        <row r="54">
          <cell r="B54" t="str">
            <v>Time Warner Cable</v>
          </cell>
          <cell r="C54">
            <v>4392</v>
          </cell>
          <cell r="D54">
            <v>3.3569995944772002E-2</v>
          </cell>
          <cell r="F54" t="str">
            <v>Cox</v>
          </cell>
          <cell r="G54">
            <v>4157.3310000000001</v>
          </cell>
          <cell r="H54">
            <v>5.7027672336881191E-2</v>
          </cell>
          <cell r="I54" t="str">
            <v>na</v>
          </cell>
          <cell r="Q54" t="str">
            <v>EBITDA</v>
          </cell>
          <cell r="R54">
            <v>8000</v>
          </cell>
          <cell r="S54">
            <v>280</v>
          </cell>
          <cell r="T54">
            <v>8280</v>
          </cell>
          <cell r="U54">
            <v>8350</v>
          </cell>
          <cell r="W54">
            <v>8300</v>
          </cell>
          <cell r="X54">
            <v>8370</v>
          </cell>
        </row>
        <row r="55">
          <cell r="B55" t="str">
            <v>Windstream</v>
          </cell>
          <cell r="C55">
            <v>3384.3</v>
          </cell>
          <cell r="D55">
            <v>2.5867699744055533E-2</v>
          </cell>
          <cell r="F55" t="str">
            <v>Charter</v>
          </cell>
          <cell r="G55">
            <v>3308.5</v>
          </cell>
          <cell r="H55">
            <v>4.5383938379352382E-2</v>
          </cell>
          <cell r="I55" t="str">
            <v>na</v>
          </cell>
        </row>
        <row r="56">
          <cell r="B56" t="str">
            <v>Cox</v>
          </cell>
          <cell r="C56">
            <v>2646.703</v>
          </cell>
          <cell r="D56">
            <v>2.0229920076734038E-2</v>
          </cell>
          <cell r="F56" t="str">
            <v>Cablevision</v>
          </cell>
          <cell r="G56">
            <v>2637</v>
          </cell>
          <cell r="H56">
            <v>3.6172720419027422E-2</v>
          </cell>
          <cell r="I56" t="str">
            <v>na</v>
          </cell>
          <cell r="Q56" t="str">
            <v>EV/EBITDA</v>
          </cell>
          <cell r="R56">
            <v>5.3963749999999999</v>
          </cell>
          <cell r="T56">
            <v>5.5810386473429956</v>
          </cell>
          <cell r="U56">
            <v>5.5342514970059877</v>
          </cell>
        </row>
        <row r="57">
          <cell r="B57" t="str">
            <v>Cablevision</v>
          </cell>
          <cell r="C57">
            <v>2120</v>
          </cell>
          <cell r="D57">
            <v>1.6204096403214175E-2</v>
          </cell>
          <cell r="F57" t="str">
            <v>Frontier</v>
          </cell>
          <cell r="G57">
            <v>1696.576</v>
          </cell>
          <cell r="H57">
            <v>2.3272570844759907E-2</v>
          </cell>
          <cell r="I57">
            <v>0.28232741190664395</v>
          </cell>
        </row>
        <row r="58">
          <cell r="B58" t="str">
            <v>Charter</v>
          </cell>
          <cell r="C58">
            <v>1708</v>
          </cell>
          <cell r="D58">
            <v>1.3054998422966891E-2</v>
          </cell>
          <cell r="F58" t="str">
            <v>Windstream</v>
          </cell>
          <cell r="G58">
            <v>1275.0999999999999</v>
          </cell>
          <cell r="H58">
            <v>1.7491026092643861E-2</v>
          </cell>
          <cell r="I58">
            <v>0.37676919894808375</v>
          </cell>
          <cell r="R58">
            <v>2.453875</v>
          </cell>
          <cell r="T58">
            <v>2.6607487922705313</v>
          </cell>
          <cell r="U58">
            <v>2.6384431137724551</v>
          </cell>
        </row>
        <row r="59">
          <cell r="B59" t="str">
            <v>FairPoint</v>
          </cell>
          <cell r="C59">
            <v>1197</v>
          </cell>
          <cell r="D59">
            <v>9.1491997144563051E-3</v>
          </cell>
          <cell r="F59" t="str">
            <v>Insight</v>
          </cell>
          <cell r="G59">
            <v>517.5</v>
          </cell>
          <cell r="H59">
            <v>7.0987420617545285E-3</v>
          </cell>
          <cell r="I59" t="str">
            <v>na</v>
          </cell>
        </row>
        <row r="60">
          <cell r="B60" t="str">
            <v>TDS</v>
          </cell>
          <cell r="C60">
            <v>868.1</v>
          </cell>
          <cell r="D60">
            <v>6.6352717394482187E-3</v>
          </cell>
          <cell r="F60" t="str">
            <v>FairPoint</v>
          </cell>
          <cell r="G60">
            <v>303</v>
          </cell>
          <cell r="H60">
            <v>4.1563649173171442E-3</v>
          </cell>
          <cell r="I60">
            <v>0.25313283208020049</v>
          </cell>
        </row>
        <row r="61">
          <cell r="B61" t="str">
            <v>Cincinnati Bell</v>
          </cell>
          <cell r="C61">
            <v>699</v>
          </cell>
          <cell r="D61">
            <v>5.3427657480408994E-3</v>
          </cell>
          <cell r="F61" t="str">
            <v>TDS</v>
          </cell>
          <cell r="G61">
            <v>258.2</v>
          </cell>
          <cell r="H61">
            <v>3.5418264740966557E-3</v>
          </cell>
          <cell r="I61">
            <v>0.29743117152401793</v>
          </cell>
        </row>
        <row r="62">
          <cell r="B62" t="str">
            <v>Insight</v>
          </cell>
          <cell r="C62">
            <v>310</v>
          </cell>
          <cell r="D62">
            <v>2.3694669268850914E-3</v>
          </cell>
          <cell r="F62" t="str">
            <v>Cincinnati Bell</v>
          </cell>
          <cell r="G62">
            <v>252.2</v>
          </cell>
          <cell r="H62">
            <v>3.4595222183081971E-3</v>
          </cell>
          <cell r="I62">
            <v>0.36080114449213158</v>
          </cell>
          <cell r="S62">
            <v>800</v>
          </cell>
        </row>
        <row r="63">
          <cell r="B63" t="str">
            <v>Consolidated Comm.</v>
          </cell>
          <cell r="C63">
            <v>242.28200000000001</v>
          </cell>
          <cell r="D63">
            <v>1.8518683418695928E-3</v>
          </cell>
          <cell r="F63" t="str">
            <v>Consolidated Comm.</v>
          </cell>
          <cell r="G63">
            <v>103.428</v>
          </cell>
          <cell r="H63">
            <v>1.4187607612814442E-3</v>
          </cell>
          <cell r="I63">
            <v>0.42689097828150663</v>
          </cell>
          <cell r="P63">
            <v>2276</v>
          </cell>
          <cell r="S63">
            <v>20</v>
          </cell>
        </row>
        <row r="64">
          <cell r="B64" t="str">
            <v>Alaska</v>
          </cell>
          <cell r="C64">
            <v>178.00799999999998</v>
          </cell>
          <cell r="D64">
            <v>1.3605937700676171E-3</v>
          </cell>
          <cell r="F64" t="str">
            <v>Alaska</v>
          </cell>
          <cell r="G64">
            <v>45.933</v>
          </cell>
          <cell r="H64">
            <v>6.3008023018854258E-4</v>
          </cell>
          <cell r="I64">
            <v>0.25803896454091951</v>
          </cell>
        </row>
        <row r="65">
          <cell r="B65" t="str">
            <v>nTelos</v>
          </cell>
          <cell r="C65">
            <v>86.432000000000002</v>
          </cell>
          <cell r="D65">
            <v>6.6063795298236202E-4</v>
          </cell>
          <cell r="F65" t="str">
            <v>nTelos</v>
          </cell>
          <cell r="G65">
            <v>24.802</v>
          </cell>
          <cell r="H65">
            <v>3.4021835867755715E-4</v>
          </cell>
          <cell r="I65">
            <v>0.28695390596075526</v>
          </cell>
          <cell r="S65">
            <v>3.3984706881903144E-2</v>
          </cell>
        </row>
        <row r="66">
          <cell r="B66" t="str">
            <v>Shenandoah</v>
          </cell>
          <cell r="C66">
            <v>24.04</v>
          </cell>
          <cell r="D66">
            <v>1.8374833845908901E-4</v>
          </cell>
          <cell r="F66" t="str">
            <v>Shenandoah</v>
          </cell>
          <cell r="G66">
            <v>11.67</v>
          </cell>
          <cell r="H66">
            <v>1.600817775085514E-4</v>
          </cell>
          <cell r="I66">
            <v>0.48544093178036607</v>
          </cell>
        </row>
        <row r="67">
          <cell r="B67" t="str">
            <v>TOTAL</v>
          </cell>
          <cell r="C67">
            <v>130831.11500000001</v>
          </cell>
          <cell r="D67">
            <v>0.99999999999999989</v>
          </cell>
          <cell r="F67" t="str">
            <v>TOTAL</v>
          </cell>
          <cell r="G67">
            <v>72900.240000000005</v>
          </cell>
          <cell r="H67">
            <v>0.99999999999999989</v>
          </cell>
          <cell r="I67">
            <v>0.55720873432898588</v>
          </cell>
        </row>
        <row r="69">
          <cell r="B69" t="str">
            <v>Qwest</v>
          </cell>
          <cell r="C69">
            <v>9387</v>
          </cell>
          <cell r="D69">
            <v>7.1748987234420497E-2</v>
          </cell>
          <cell r="F69" t="str">
            <v>Qwest</v>
          </cell>
          <cell r="G69">
            <v>2859</v>
          </cell>
          <cell r="H69">
            <v>3.9217977883200382E-2</v>
          </cell>
          <cell r="I69">
            <v>0.30457015020773409</v>
          </cell>
          <cell r="S69">
            <v>2500</v>
          </cell>
        </row>
        <row r="70">
          <cell r="B70" t="str">
            <v>CenturyLink</v>
          </cell>
          <cell r="C70">
            <v>16258</v>
          </cell>
          <cell r="D70">
            <v>0.1242670751525736</v>
          </cell>
          <cell r="F70" t="str">
            <v>CenturyLink</v>
          </cell>
          <cell r="G70">
            <v>5201</v>
          </cell>
          <cell r="H70">
            <v>7.1344072392628605E-2</v>
          </cell>
          <cell r="I70">
            <v>0.3199040472382827</v>
          </cell>
          <cell r="R70">
            <v>58</v>
          </cell>
          <cell r="S70">
            <v>43.103448275862071</v>
          </cell>
        </row>
      </sheetData>
      <sheetData sheetId="15">
        <row r="1">
          <cell r="G1" t="str">
            <v>FCC  Approval</v>
          </cell>
          <cell r="J1">
            <v>40660</v>
          </cell>
        </row>
        <row r="2">
          <cell r="C2" t="str">
            <v>Announced</v>
          </cell>
          <cell r="D2" t="str">
            <v xml:space="preserve">Closed </v>
          </cell>
          <cell r="E2" t="str">
            <v>Days Outstanding</v>
          </cell>
          <cell r="H2" t="str">
            <v>Days Outstanding</v>
          </cell>
        </row>
        <row r="3">
          <cell r="G3" t="str">
            <v>Status</v>
          </cell>
        </row>
        <row r="4">
          <cell r="B4" t="str">
            <v>CenturyTel/Embarq</v>
          </cell>
          <cell r="C4">
            <v>39748</v>
          </cell>
          <cell r="D4">
            <v>39995</v>
          </cell>
          <cell r="E4">
            <v>247</v>
          </cell>
          <cell r="G4" t="str">
            <v>Closed</v>
          </cell>
          <cell r="H4">
            <v>197</v>
          </cell>
        </row>
        <row r="5">
          <cell r="B5" t="str">
            <v>Verizon / Alltel</v>
          </cell>
          <cell r="C5">
            <v>39604</v>
          </cell>
          <cell r="D5">
            <v>39822</v>
          </cell>
          <cell r="E5">
            <v>218</v>
          </cell>
          <cell r="G5" t="str">
            <v>Closed</v>
          </cell>
          <cell r="H5">
            <v>132</v>
          </cell>
        </row>
        <row r="6">
          <cell r="B6" t="str">
            <v xml:space="preserve"> AT&amp;T / Verizon</v>
          </cell>
          <cell r="C6">
            <v>39941</v>
          </cell>
          <cell r="D6">
            <v>40351</v>
          </cell>
          <cell r="E6">
            <v>410</v>
          </cell>
          <cell r="G6" t="str">
            <v>Closed</v>
          </cell>
          <cell r="H6">
            <v>368</v>
          </cell>
        </row>
        <row r="7">
          <cell r="B7" t="str">
            <v xml:space="preserve"> ATN / Verizon</v>
          </cell>
          <cell r="C7">
            <v>39973</v>
          </cell>
          <cell r="D7">
            <v>40288</v>
          </cell>
          <cell r="E7">
            <v>315</v>
          </cell>
          <cell r="G7" t="str">
            <v>Closed</v>
          </cell>
          <cell r="H7">
            <v>285</v>
          </cell>
        </row>
        <row r="8">
          <cell r="B8" t="str">
            <v>AT&amp;T / Centennial</v>
          </cell>
          <cell r="C8">
            <v>39759</v>
          </cell>
          <cell r="D8">
            <v>40123</v>
          </cell>
          <cell r="E8">
            <v>364</v>
          </cell>
          <cell r="G8" t="str">
            <v>Closed</v>
          </cell>
          <cell r="H8">
            <v>323</v>
          </cell>
        </row>
        <row r="9">
          <cell r="B9" t="str">
            <v>Windstream / D&amp;E</v>
          </cell>
          <cell r="C9">
            <v>39944</v>
          </cell>
          <cell r="D9">
            <v>40127</v>
          </cell>
          <cell r="E9">
            <v>183</v>
          </cell>
          <cell r="G9" t="str">
            <v>na</v>
          </cell>
          <cell r="H9" t="str">
            <v>na</v>
          </cell>
        </row>
        <row r="10">
          <cell r="B10" t="str">
            <v>Frontier/Verizon</v>
          </cell>
          <cell r="C10">
            <v>39946</v>
          </cell>
          <cell r="D10">
            <v>40360</v>
          </cell>
          <cell r="E10">
            <v>414</v>
          </cell>
          <cell r="G10" t="str">
            <v>Closed</v>
          </cell>
          <cell r="H10">
            <v>283</v>
          </cell>
        </row>
        <row r="11">
          <cell r="B11" t="str">
            <v>Windstream / Lexcom</v>
          </cell>
          <cell r="C11">
            <v>40064</v>
          </cell>
          <cell r="D11">
            <v>40148</v>
          </cell>
          <cell r="E11">
            <v>84</v>
          </cell>
          <cell r="G11" t="str">
            <v>na</v>
          </cell>
          <cell r="H11" t="str">
            <v>na</v>
          </cell>
        </row>
        <row r="12">
          <cell r="B12" t="str">
            <v>Windstream / Nuvox</v>
          </cell>
          <cell r="C12">
            <v>40120</v>
          </cell>
          <cell r="D12">
            <v>40217</v>
          </cell>
          <cell r="E12">
            <v>97</v>
          </cell>
          <cell r="G12" t="str">
            <v>na</v>
          </cell>
          <cell r="H12" t="str">
            <v>na</v>
          </cell>
          <cell r="J12">
            <v>40326</v>
          </cell>
          <cell r="K12">
            <v>40568</v>
          </cell>
        </row>
        <row r="13">
          <cell r="B13" t="str">
            <v>Windstream / Iowa</v>
          </cell>
          <cell r="C13">
            <v>40141</v>
          </cell>
          <cell r="D13">
            <v>40330</v>
          </cell>
          <cell r="E13">
            <v>189</v>
          </cell>
          <cell r="G13" t="str">
            <v>na</v>
          </cell>
          <cell r="H13" t="str">
            <v>na</v>
          </cell>
          <cell r="K13">
            <v>40506</v>
          </cell>
        </row>
        <row r="14">
          <cell r="B14" t="str">
            <v>CenturyLink/Qwest</v>
          </cell>
          <cell r="C14">
            <v>40290</v>
          </cell>
          <cell r="D14">
            <v>40620</v>
          </cell>
          <cell r="E14">
            <v>330</v>
          </cell>
          <cell r="G14" t="str">
            <v>Closed</v>
          </cell>
          <cell r="H14">
            <v>294</v>
          </cell>
        </row>
        <row r="15">
          <cell r="B15" t="str">
            <v>Verizon / Terremark</v>
          </cell>
          <cell r="C15">
            <v>40571</v>
          </cell>
          <cell r="D15">
            <v>40644</v>
          </cell>
          <cell r="E15">
            <v>73</v>
          </cell>
          <cell r="G15" t="str">
            <v>na</v>
          </cell>
          <cell r="H15" t="str">
            <v>na</v>
          </cell>
        </row>
        <row r="16">
          <cell r="B16" t="str">
            <v>CenturyLink / SAVVIS</v>
          </cell>
          <cell r="C16">
            <v>40660</v>
          </cell>
          <cell r="D16">
            <v>40739</v>
          </cell>
          <cell r="E16">
            <v>79</v>
          </cell>
          <cell r="G16" t="str">
            <v>Closed</v>
          </cell>
          <cell r="H16">
            <v>54</v>
          </cell>
          <cell r="J16">
            <v>40683</v>
          </cell>
          <cell r="K16">
            <v>40737</v>
          </cell>
        </row>
        <row r="17">
          <cell r="B17" t="str">
            <v>Average</v>
          </cell>
          <cell r="E17">
            <v>231</v>
          </cell>
          <cell r="H17">
            <v>242</v>
          </cell>
        </row>
        <row r="19">
          <cell r="B19" t="str">
            <v>PENDING DEALS:</v>
          </cell>
        </row>
        <row r="20">
          <cell r="B20" t="str">
            <v>AT&amp;T / T-Mobile USA</v>
          </cell>
          <cell r="C20">
            <v>40622</v>
          </cell>
          <cell r="E20">
            <v>38</v>
          </cell>
          <cell r="G20" t="str">
            <v>Pending</v>
          </cell>
        </row>
        <row r="21">
          <cell r="B21" t="str">
            <v>Level 3 / Global Crossing</v>
          </cell>
          <cell r="C21">
            <v>40645</v>
          </cell>
          <cell r="E21">
            <v>15</v>
          </cell>
          <cell r="G21" t="str">
            <v>Pending</v>
          </cell>
        </row>
        <row r="23">
          <cell r="F23">
            <v>197</v>
          </cell>
        </row>
        <row r="27">
          <cell r="B27" t="str">
            <v>Fairpoint / Verizon</v>
          </cell>
          <cell r="C27">
            <v>39098</v>
          </cell>
          <cell r="D27">
            <v>39538</v>
          </cell>
          <cell r="E27">
            <v>440</v>
          </cell>
          <cell r="G27" t="str">
            <v>Closed</v>
          </cell>
          <cell r="H27">
            <v>301</v>
          </cell>
        </row>
        <row r="28">
          <cell r="B28" t="str">
            <v>Sprint / Clearwire</v>
          </cell>
          <cell r="C28">
            <v>39575</v>
          </cell>
          <cell r="D28">
            <v>39780</v>
          </cell>
          <cell r="E28">
            <v>205</v>
          </cell>
          <cell r="G28" t="str">
            <v>Closed</v>
          </cell>
          <cell r="H28">
            <v>133</v>
          </cell>
        </row>
      </sheetData>
      <sheetData sheetId="16">
        <row r="2">
          <cell r="G2">
            <v>2010</v>
          </cell>
          <cell r="K2">
            <v>2011</v>
          </cell>
          <cell r="O2">
            <v>2012</v>
          </cell>
        </row>
        <row r="3">
          <cell r="G3" t="str">
            <v>CTL</v>
          </cell>
          <cell r="H3" t="str">
            <v>SVVS</v>
          </cell>
          <cell r="I3" t="str">
            <v>Synergies</v>
          </cell>
          <cell r="J3" t="str">
            <v>CTL+
SVVS</v>
          </cell>
          <cell r="K3" t="str">
            <v>CTL</v>
          </cell>
          <cell r="L3" t="str">
            <v>SVVS</v>
          </cell>
          <cell r="M3" t="str">
            <v>Synergies</v>
          </cell>
          <cell r="N3" t="str">
            <v>CTL+
SVVS</v>
          </cell>
          <cell r="O3" t="str">
            <v>CTL</v>
          </cell>
          <cell r="P3" t="str">
            <v>SVVS</v>
          </cell>
          <cell r="Q3" t="str">
            <v>Synergies</v>
          </cell>
          <cell r="R3" t="str">
            <v>CTL+
SVVS</v>
          </cell>
          <cell r="AA3" t="str">
            <v>2011E</v>
          </cell>
          <cell r="AD3" t="str">
            <v>2012E</v>
          </cell>
          <cell r="AJ3" t="str">
            <v>2011E</v>
          </cell>
          <cell r="AM3" t="str">
            <v>2012E</v>
          </cell>
        </row>
        <row r="4">
          <cell r="B4" t="str">
            <v>REVENUE</v>
          </cell>
          <cell r="G4">
            <v>0</v>
          </cell>
          <cell r="H4">
            <v>932.98399999999992</v>
          </cell>
          <cell r="J4">
            <v>932.98399999999992</v>
          </cell>
          <cell r="K4">
            <v>0.14130561399182451</v>
          </cell>
          <cell r="L4">
            <v>1064.8198769645483</v>
          </cell>
          <cell r="N4">
            <v>1064.96118257854</v>
          </cell>
          <cell r="O4">
            <v>9.6519420651753007E-2</v>
          </cell>
          <cell r="P4">
            <v>1167.5956745876374</v>
          </cell>
          <cell r="R4">
            <v>1167.6921940082891</v>
          </cell>
          <cell r="AA4" t="str">
            <v>REVENUES</v>
          </cell>
          <cell r="AB4" t="str">
            <v>EBITDA MARGINS</v>
          </cell>
          <cell r="AC4" t="str">
            <v>EBITDA MARGINS w/ SYERNGIES</v>
          </cell>
          <cell r="AD4" t="str">
            <v>REVENUES</v>
          </cell>
          <cell r="AE4" t="str">
            <v>EBITDA MARGINS</v>
          </cell>
          <cell r="AF4" t="str">
            <v>EBITDA MARGINS w/ SYERNGIES</v>
          </cell>
          <cell r="AJ4" t="str">
            <v>REVENUES</v>
          </cell>
          <cell r="AK4" t="str">
            <v>EBITDA MARGINS</v>
          </cell>
          <cell r="AL4" t="str">
            <v>EBITDA MARGINS w/ SYERNGIES</v>
          </cell>
          <cell r="AM4" t="str">
            <v>REVENUES</v>
          </cell>
          <cell r="AN4" t="str">
            <v>EBITDA MARGINS</v>
          </cell>
          <cell r="AO4" t="str">
            <v>EBITDA MARGINS w/ SYERNGIES</v>
          </cell>
        </row>
        <row r="5">
          <cell r="B5" t="str">
            <v>Growth Y/Y</v>
          </cell>
          <cell r="K5" t="e">
            <v>#DIV/0!</v>
          </cell>
          <cell r="L5">
            <v>0.14130561399182451</v>
          </cell>
          <cell r="N5">
            <v>0.14145706955161086</v>
          </cell>
          <cell r="O5">
            <v>-0.31694560516656245</v>
          </cell>
          <cell r="P5">
            <v>9.6519420651753007E-2</v>
          </cell>
          <cell r="R5">
            <v>9.6464559563580909E-2</v>
          </cell>
          <cell r="T5" t="e">
            <v>#DIV/0!</v>
          </cell>
          <cell r="U5">
            <v>4134.1016473014333</v>
          </cell>
          <cell r="AA5">
            <v>7535.5808370512113</v>
          </cell>
          <cell r="AB5" t="e">
            <v>#DIV/0!</v>
          </cell>
          <cell r="AC5" t="e">
            <v>#DIV/0!</v>
          </cell>
          <cell r="AD5">
            <v>12097.002517248649</v>
          </cell>
          <cell r="AE5" t="e">
            <v>#DIV/0!</v>
          </cell>
          <cell r="AF5" t="e">
            <v>#DIV/0!</v>
          </cell>
          <cell r="AJ5">
            <v>0.99986731383612537</v>
          </cell>
          <cell r="AK5">
            <v>1</v>
          </cell>
          <cell r="AL5">
            <v>1</v>
          </cell>
          <cell r="AM5">
            <v>0.99991734172657232</v>
          </cell>
          <cell r="AN5">
            <v>1</v>
          </cell>
          <cell r="AO5">
            <v>1</v>
          </cell>
        </row>
        <row r="6">
          <cell r="B6" t="str">
            <v>EBITDA</v>
          </cell>
          <cell r="G6">
            <v>0</v>
          </cell>
          <cell r="H6">
            <v>231.07099999999994</v>
          </cell>
          <cell r="J6">
            <v>231.07099999999994</v>
          </cell>
          <cell r="K6">
            <v>0</v>
          </cell>
          <cell r="L6">
            <v>309.05796100415847</v>
          </cell>
          <cell r="N6">
            <v>309.05796100415847</v>
          </cell>
          <cell r="O6">
            <v>0</v>
          </cell>
          <cell r="P6">
            <v>332.55774998685092</v>
          </cell>
          <cell r="R6">
            <v>332.55774998685092</v>
          </cell>
        </row>
        <row r="7">
          <cell r="B7" t="str">
            <v>Growth Y/Y</v>
          </cell>
          <cell r="K7" t="e">
            <v>#DIV/0!</v>
          </cell>
          <cell r="L7">
            <v>0.33750215736357458</v>
          </cell>
          <cell r="N7">
            <v>0.33750215736357458</v>
          </cell>
          <cell r="O7" t="e">
            <v>#DIV/0!</v>
          </cell>
          <cell r="P7">
            <v>7.6036834341168369E-2</v>
          </cell>
          <cell r="R7">
            <v>7.6036834341168369E-2</v>
          </cell>
        </row>
        <row r="8">
          <cell r="B8" t="str">
            <v>Margin</v>
          </cell>
          <cell r="G8" t="e">
            <v>#DIV/0!</v>
          </cell>
          <cell r="H8">
            <v>0.24766877031117357</v>
          </cell>
          <cell r="J8">
            <v>0.24766877031117357</v>
          </cell>
          <cell r="K8">
            <v>0</v>
          </cell>
          <cell r="L8">
            <v>0.29024435746370664</v>
          </cell>
          <cell r="N8">
            <v>0.2902058460533285</v>
          </cell>
          <cell r="O8">
            <v>0</v>
          </cell>
          <cell r="P8">
            <v>0.28482269780958308</v>
          </cell>
          <cell r="R8">
            <v>0.28479915485714913</v>
          </cell>
        </row>
        <row r="9">
          <cell r="B9" t="str">
            <v>EBITDA (2)</v>
          </cell>
          <cell r="G9">
            <v>0</v>
          </cell>
          <cell r="H9">
            <v>231.07099999999994</v>
          </cell>
          <cell r="I9">
            <v>70</v>
          </cell>
          <cell r="J9">
            <v>301.07099999999991</v>
          </cell>
          <cell r="K9">
            <v>0</v>
          </cell>
          <cell r="L9">
            <v>309.05796100415847</v>
          </cell>
          <cell r="M9">
            <v>70</v>
          </cell>
          <cell r="N9">
            <v>379.05796100415847</v>
          </cell>
          <cell r="O9">
            <v>0</v>
          </cell>
          <cell r="P9">
            <v>332.55774998685092</v>
          </cell>
          <cell r="Q9">
            <v>70</v>
          </cell>
          <cell r="R9">
            <v>402.55774998685092</v>
          </cell>
        </row>
        <row r="10">
          <cell r="B10" t="str">
            <v>Growth Y/Y</v>
          </cell>
          <cell r="K10" t="e">
            <v>#DIV/0!</v>
          </cell>
          <cell r="L10">
            <v>0.33750215736357458</v>
          </cell>
          <cell r="N10">
            <v>0.25903179317887992</v>
          </cell>
          <cell r="O10" t="e">
            <v>#DIV/0!</v>
          </cell>
          <cell r="P10">
            <v>7.6036834341168369E-2</v>
          </cell>
          <cell r="R10">
            <v>6.1995239251642076E-2</v>
          </cell>
        </row>
        <row r="11">
          <cell r="B11" t="str">
            <v>Margin</v>
          </cell>
          <cell r="G11" t="e">
            <v>#DIV/0!</v>
          </cell>
          <cell r="H11">
            <v>0.24766877031117357</v>
          </cell>
          <cell r="J11">
            <v>0.32269685225041367</v>
          </cell>
          <cell r="K11">
            <v>0</v>
          </cell>
          <cell r="L11">
            <v>0.29024435746370664</v>
          </cell>
          <cell r="N11">
            <v>0.3559359413329633</v>
          </cell>
          <cell r="O11">
            <v>0</v>
          </cell>
          <cell r="P11">
            <v>0.28482269780958308</v>
          </cell>
          <cell r="R11">
            <v>0.34474645977122398</v>
          </cell>
        </row>
        <row r="13">
          <cell r="J13">
            <v>0</v>
          </cell>
          <cell r="N13" t="e">
            <v>#DIV/0!</v>
          </cell>
          <cell r="R13">
            <v>4134.1016473014333</v>
          </cell>
        </row>
        <row r="15">
          <cell r="G15">
            <v>0</v>
          </cell>
          <cell r="J15">
            <v>932.98399999999992</v>
          </cell>
          <cell r="N15">
            <v>1</v>
          </cell>
        </row>
        <row r="16">
          <cell r="G16">
            <v>-466.49199999999996</v>
          </cell>
          <cell r="J16">
            <v>466.49199999999996</v>
          </cell>
          <cell r="N16">
            <v>1</v>
          </cell>
        </row>
        <row r="17">
          <cell r="G17" t="e">
            <v>#DIV/0!</v>
          </cell>
          <cell r="N17">
            <v>379.05796100415847</v>
          </cell>
        </row>
        <row r="20">
          <cell r="G20">
            <v>2010</v>
          </cell>
          <cell r="K20">
            <v>2011</v>
          </cell>
          <cell r="O20">
            <v>2012</v>
          </cell>
        </row>
        <row r="21">
          <cell r="G21" t="str">
            <v>CTL</v>
          </cell>
          <cell r="H21" t="str">
            <v>SVVS</v>
          </cell>
          <cell r="I21" t="str">
            <v>Synergies</v>
          </cell>
          <cell r="J21" t="str">
            <v>CTL+
SVVS</v>
          </cell>
          <cell r="K21" t="str">
            <v>CTL</v>
          </cell>
          <cell r="L21" t="str">
            <v>SVVS</v>
          </cell>
          <cell r="M21" t="str">
            <v>Synergies</v>
          </cell>
          <cell r="N21" t="str">
            <v>CTL+
SVVS</v>
          </cell>
          <cell r="O21" t="str">
            <v>CTL</v>
          </cell>
          <cell r="P21" t="str">
            <v>SVVS</v>
          </cell>
          <cell r="Q21" t="str">
            <v>Synergies</v>
          </cell>
          <cell r="R21" t="str">
            <v>CTL+
SVVS</v>
          </cell>
        </row>
        <row r="22">
          <cell r="B22" t="str">
            <v>REVENUE</v>
          </cell>
          <cell r="G22">
            <v>18552.534</v>
          </cell>
          <cell r="H22">
            <v>933</v>
          </cell>
          <cell r="J22">
            <v>19485.534</v>
          </cell>
          <cell r="K22">
            <v>18124.320550851284</v>
          </cell>
          <cell r="L22">
            <v>1045</v>
          </cell>
          <cell r="N22">
            <v>19169.320550851284</v>
          </cell>
          <cell r="O22">
            <v>17695.292413378193</v>
          </cell>
          <cell r="P22">
            <v>1172</v>
          </cell>
          <cell r="R22">
            <v>18867.292413378193</v>
          </cell>
        </row>
        <row r="23">
          <cell r="B23" t="str">
            <v>Growth Y/Y</v>
          </cell>
          <cell r="K23">
            <v>-2.3081130003519523E-2</v>
          </cell>
          <cell r="L23">
            <v>0.120042872454448</v>
          </cell>
          <cell r="N23">
            <v>-1.6228113078590289E-2</v>
          </cell>
          <cell r="O23">
            <v>-2.367140529595968E-2</v>
          </cell>
          <cell r="P23">
            <v>0.12153110047846893</v>
          </cell>
          <cell r="R23">
            <v>-1.5755808176502017E-2</v>
          </cell>
        </row>
        <row r="24">
          <cell r="B24" t="str">
            <v>EBITDA</v>
          </cell>
          <cell r="G24">
            <v>8063.5629999999983</v>
          </cell>
          <cell r="H24">
            <v>236.2</v>
          </cell>
          <cell r="J24">
            <v>8299.762999999999</v>
          </cell>
          <cell r="K24">
            <v>7926</v>
          </cell>
          <cell r="L24">
            <v>277.5</v>
          </cell>
          <cell r="N24">
            <v>8203.5</v>
          </cell>
          <cell r="O24">
            <v>7952.8475416387664</v>
          </cell>
          <cell r="P24">
            <v>330</v>
          </cell>
          <cell r="R24">
            <v>8282.8475416387664</v>
          </cell>
        </row>
        <row r="25">
          <cell r="B25" t="str">
            <v>Growth Y/Y</v>
          </cell>
          <cell r="K25">
            <v>-1.7059828266983046E-2</v>
          </cell>
          <cell r="L25">
            <v>0.17485182049110937</v>
          </cell>
          <cell r="N25">
            <v>-1.1598282987116515E-2</v>
          </cell>
          <cell r="O25">
            <v>3.3872749985826012E-3</v>
          </cell>
          <cell r="P25">
            <v>0.18918918918918926</v>
          </cell>
          <cell r="R25">
            <v>9.6724010042990027E-3</v>
          </cell>
        </row>
        <row r="26">
          <cell r="B26" t="str">
            <v>Margin</v>
          </cell>
          <cell r="G26">
            <v>0.43463405052916215</v>
          </cell>
          <cell r="H26">
            <v>0.25316184351554127</v>
          </cell>
          <cell r="J26">
            <v>0.42594485734904669</v>
          </cell>
          <cell r="K26">
            <v>0.43731294520873626</v>
          </cell>
          <cell r="L26">
            <v>0.26555023923444976</v>
          </cell>
          <cell r="N26">
            <v>0.4279494402651477</v>
          </cell>
          <cell r="O26">
            <v>0.44943295402262839</v>
          </cell>
          <cell r="P26">
            <v>0.28156996587030719</v>
          </cell>
          <cell r="R26">
            <v>0.439005627313311</v>
          </cell>
        </row>
        <row r="27">
          <cell r="B27" t="str">
            <v>EBITDA w/ Synergies</v>
          </cell>
          <cell r="G27">
            <v>8063.5629999999983</v>
          </cell>
          <cell r="H27">
            <v>236.2</v>
          </cell>
          <cell r="I27">
            <v>70</v>
          </cell>
          <cell r="J27">
            <v>8369.762999999999</v>
          </cell>
          <cell r="K27">
            <v>7926</v>
          </cell>
          <cell r="L27">
            <v>277.5</v>
          </cell>
          <cell r="M27">
            <v>70</v>
          </cell>
          <cell r="N27">
            <v>8273.5</v>
          </cell>
          <cell r="O27">
            <v>7952.8475416387664</v>
          </cell>
          <cell r="P27">
            <v>330</v>
          </cell>
          <cell r="Q27">
            <v>70</v>
          </cell>
          <cell r="R27">
            <v>8352.8475416387664</v>
          </cell>
        </row>
        <row r="28">
          <cell r="B28" t="str">
            <v>Growth Y/Y</v>
          </cell>
          <cell r="K28">
            <v>-1.7059828266983046E-2</v>
          </cell>
          <cell r="L28">
            <v>0.17485182049110937</v>
          </cell>
          <cell r="N28">
            <v>-1.15012814580292E-2</v>
          </cell>
          <cell r="O28">
            <v>3.3872749985826012E-3</v>
          </cell>
          <cell r="P28">
            <v>0.18918918918918926</v>
          </cell>
          <cell r="R28">
            <v>9.5905652551842024E-3</v>
          </cell>
        </row>
        <row r="29">
          <cell r="B29" t="str">
            <v>Margin</v>
          </cell>
          <cell r="G29">
            <v>0.43463405052916215</v>
          </cell>
          <cell r="H29">
            <v>0.25316184351554127</v>
          </cell>
          <cell r="J29">
            <v>0.42953726595329639</v>
          </cell>
          <cell r="K29">
            <v>0.43731294520873626</v>
          </cell>
          <cell r="L29">
            <v>0.26555023923444976</v>
          </cell>
          <cell r="N29">
            <v>0.43160110855533607</v>
          </cell>
          <cell r="O29">
            <v>0.44943295402262839</v>
          </cell>
          <cell r="P29">
            <v>0.28156996587030719</v>
          </cell>
          <cell r="R29">
            <v>0.44271575161023263</v>
          </cell>
        </row>
        <row r="31">
          <cell r="N31">
            <v>68.530169249292342</v>
          </cell>
        </row>
        <row r="35">
          <cell r="B35" t="str">
            <v>REVENUE GROWTH</v>
          </cell>
          <cell r="G35">
            <v>2011</v>
          </cell>
          <cell r="H35">
            <v>2012</v>
          </cell>
        </row>
        <row r="36">
          <cell r="B36" t="str">
            <v>CTL</v>
          </cell>
          <cell r="G36" t="e">
            <v>#DIV/0!</v>
          </cell>
          <cell r="H36">
            <v>-0.31694560516656245</v>
          </cell>
        </row>
        <row r="37">
          <cell r="B37" t="str">
            <v>SVVS</v>
          </cell>
          <cell r="G37">
            <v>0.14130561399182451</v>
          </cell>
          <cell r="H37">
            <v>9.6519420651753007E-2</v>
          </cell>
        </row>
        <row r="38">
          <cell r="B38" t="str">
            <v>CTL+SVVS</v>
          </cell>
          <cell r="G38">
            <v>0.14145706955161086</v>
          </cell>
          <cell r="H38">
            <v>9.6464559563580909E-2</v>
          </cell>
        </row>
        <row r="40">
          <cell r="G40" t="str">
            <v>2011E</v>
          </cell>
          <cell r="J40" t="str">
            <v>2012E</v>
          </cell>
        </row>
        <row r="41">
          <cell r="G41" t="str">
            <v>CTL</v>
          </cell>
          <cell r="H41" t="str">
            <v>∆</v>
          </cell>
          <cell r="I41" t="str">
            <v>CTL+
SVVS</v>
          </cell>
          <cell r="J41" t="str">
            <v>CTL</v>
          </cell>
          <cell r="K41" t="str">
            <v>∆</v>
          </cell>
          <cell r="L41" t="str">
            <v>CTL+
SVVS</v>
          </cell>
        </row>
        <row r="42">
          <cell r="G42" t="e">
            <v>#DIV/0!</v>
          </cell>
          <cell r="H42">
            <v>0.14145706955161086</v>
          </cell>
          <cell r="I42">
            <v>0.14145706955161086</v>
          </cell>
          <cell r="J42">
            <v>-0.31694560516656245</v>
          </cell>
          <cell r="K42">
            <v>9.6464559563580909E-2</v>
          </cell>
          <cell r="L42">
            <v>9.6464559563580909E-2</v>
          </cell>
        </row>
        <row r="43">
          <cell r="H43" t="e">
            <v>#DIV/0!</v>
          </cell>
          <cell r="K43">
            <v>-0.41341016473014336</v>
          </cell>
        </row>
        <row r="45">
          <cell r="H45" t="e">
            <v>#DIV/0!</v>
          </cell>
          <cell r="K45">
            <v>4134.1016473014333</v>
          </cell>
        </row>
      </sheetData>
      <sheetData sheetId="17">
        <row r="2">
          <cell r="A2" t="str">
            <v>CTL / SVVS TRANSACTION SUMMARY</v>
          </cell>
        </row>
        <row r="3">
          <cell r="A3" t="str">
            <v>Consideration</v>
          </cell>
          <cell r="B3" t="str">
            <v xml:space="preserve">$40 per SVVS share; 75% in cash 25% in stock. </v>
          </cell>
        </row>
        <row r="5">
          <cell r="A5" t="str">
            <v>Exchange ratio</v>
          </cell>
          <cell r="B5" t="str">
            <v>The number of CTL shares issued will be based upon the volume-weighted average price of CTL during the 30-day trading period ending 3 trading days prior to the closing, provided that if this avg price is less than or equal to $34.42, each SAVVIS share will receive $30 in cash and 0.2905 of a CTL share.</v>
          </cell>
        </row>
        <row r="7">
          <cell r="A7" t="str">
            <v>Transaction Value</v>
          </cell>
          <cell r="B7" t="str">
            <v>~$2.5B, plus net debt of ~$0.7B which will be assumed or refinanced at close.</v>
          </cell>
        </row>
        <row r="9">
          <cell r="A9" t="str">
            <v>Estimated Synergies</v>
          </cell>
          <cell r="B9" t="str">
            <v>~$70M annual run-rate synergies or 9.1% of 2011 SAVVIS cash opex guidance</v>
          </cell>
        </row>
        <row r="11">
          <cell r="A11" t="str">
            <v>Estimated multiples</v>
          </cell>
          <cell r="B11" t="str">
            <v>10.9x / 8.8x 2011 EBITDA  (before / after run-rate synergies)</v>
          </cell>
        </row>
        <row r="12">
          <cell r="I12">
            <v>35.619999999999997</v>
          </cell>
        </row>
        <row r="13">
          <cell r="A13" t="str">
            <v>Financing</v>
          </cell>
          <cell r="B13" t="str">
            <v>CTL will finance the transaction through a combination of existing cash and debt, including a $2B committed bridge facility and $1.7B existing undrawn revolver</v>
          </cell>
          <cell r="I13">
            <v>5.66</v>
          </cell>
        </row>
        <row r="14">
          <cell r="I14">
            <v>0.15889949466591805</v>
          </cell>
          <cell r="J14">
            <v>0.16639999999999999</v>
          </cell>
        </row>
        <row r="15">
          <cell r="A15" t="str">
            <v>Net Leverage</v>
          </cell>
          <cell r="B15" t="str">
            <v>CTL's leverage stood at ~2.3x at YE2010, the deal increases leverage to ~2.5x</v>
          </cell>
          <cell r="I15">
            <v>-4.5075152248088668E-2</v>
          </cell>
        </row>
        <row r="17">
          <cell r="A17" t="str">
            <v>Dividend Policy</v>
          </cell>
          <cell r="B17" t="str">
            <v>Maintain CTL's annual dividend of $2.90 per share</v>
          </cell>
          <cell r="I17">
            <v>0.15889949466591805</v>
          </cell>
        </row>
        <row r="19">
          <cell r="A19" t="str">
            <v>Dividend payout ratio</v>
          </cell>
          <cell r="B19" t="str">
            <v xml:space="preserve"> ~50%, management says the deal is FCF accretive in first year after closing</v>
          </cell>
          <cell r="J19">
            <v>8.14</v>
          </cell>
        </row>
        <row r="20">
          <cell r="J20">
            <v>5.65</v>
          </cell>
        </row>
        <row r="21">
          <cell r="A21" t="str">
            <v>Anticipated Closing</v>
          </cell>
          <cell r="B21" t="str">
            <v>Management announced timing of closing to be 2H11</v>
          </cell>
          <cell r="J21">
            <v>2.4900000000000002</v>
          </cell>
        </row>
        <row r="23">
          <cell r="A23" t="str">
            <v>Termination Fee</v>
          </cell>
          <cell r="B23" t="str">
            <v>The Merger Agreement provides that, upon termination of the Merger Agreement under certain circumstances, SAVVIS may be obligated to pay
CenturyLink a termination fee of $85M</v>
          </cell>
        </row>
        <row r="27">
          <cell r="G27" t="str">
            <v>BIG TELCO DEALS OF 2011</v>
          </cell>
        </row>
        <row r="28">
          <cell r="H28" t="str">
            <v>SIZE (EV)</v>
          </cell>
          <cell r="I28" t="str">
            <v>DATE</v>
          </cell>
        </row>
        <row r="29">
          <cell r="G29" t="str">
            <v>VERIZON / TERREMARK</v>
          </cell>
          <cell r="H29">
            <v>1.9</v>
          </cell>
          <cell r="I29">
            <v>40571</v>
          </cell>
        </row>
        <row r="30">
          <cell r="G30" t="str">
            <v>AT&amp;T / T-MOBILE</v>
          </cell>
          <cell r="H30">
            <v>39</v>
          </cell>
          <cell r="I30">
            <v>40622</v>
          </cell>
        </row>
        <row r="31">
          <cell r="G31" t="str">
            <v>LEVEL 3 / GLBC</v>
          </cell>
          <cell r="H31">
            <v>3</v>
          </cell>
          <cell r="I31">
            <v>40645</v>
          </cell>
        </row>
        <row r="32">
          <cell r="G32" t="str">
            <v>CENTURYLINK / SVVS</v>
          </cell>
          <cell r="H32">
            <v>3.2</v>
          </cell>
          <cell r="I32">
            <v>40660</v>
          </cell>
        </row>
        <row r="33">
          <cell r="G33" t="str">
            <v>TOTAL</v>
          </cell>
          <cell r="H33">
            <v>47.1</v>
          </cell>
        </row>
      </sheetData>
      <sheetData sheetId="18"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__FDSCACHE__"/>
      <sheetName val="Sheet1 (2)"/>
      <sheetName val="Sheet1"/>
      <sheetName val="Synergies"/>
      <sheetName val="Unemploy"/>
      <sheetName val="Sheet2"/>
    </sheetNames>
    <sheetDataSet>
      <sheetData sheetId="0"/>
      <sheetData sheetId="1"/>
      <sheetData sheetId="2">
        <row r="3">
          <cell r="C3" t="str">
            <v>EMBARQ</v>
          </cell>
          <cell r="H3" t="str">
            <v>CTL</v>
          </cell>
          <cell r="L3" t="str">
            <v>CTL + EQ</v>
          </cell>
          <cell r="R3" t="str">
            <v>Y/Y Change in Unemployment (bps)</v>
          </cell>
          <cell r="X3" t="str">
            <v>Y/Y Change in Business Bankruptcies (%)</v>
          </cell>
        </row>
        <row r="4">
          <cell r="C4" t="str">
            <v>Employees</v>
          </cell>
          <cell r="D4" t="str">
            <v>Retirees</v>
          </cell>
          <cell r="E4" t="str">
            <v>Access lines</v>
          </cell>
          <cell r="F4" t="str">
            <v>DSL enabled</v>
          </cell>
          <cell r="G4" t="str">
            <v>2006 bkdw</v>
          </cell>
          <cell r="H4" t="str">
            <v>Employees</v>
          </cell>
          <cell r="I4" t="str">
            <v>Retirees</v>
          </cell>
          <cell r="J4" t="str">
            <v>Access lines</v>
          </cell>
          <cell r="K4" t="str">
            <v>DSL enabled</v>
          </cell>
          <cell r="Q4" t="str">
            <v>% of 
access lines</v>
          </cell>
          <cell r="R4" t="str">
            <v>4Q07</v>
          </cell>
          <cell r="S4" t="str">
            <v>1Q08</v>
          </cell>
          <cell r="T4" t="str">
            <v>2Q08</v>
          </cell>
          <cell r="U4" t="str">
            <v>3Q08</v>
          </cell>
          <cell r="V4" t="str">
            <v>4Q08</v>
          </cell>
          <cell r="W4" t="str">
            <v>1Q09</v>
          </cell>
          <cell r="X4" t="str">
            <v>4Q07</v>
          </cell>
          <cell r="Y4" t="str">
            <v>1Q08</v>
          </cell>
          <cell r="Z4" t="str">
            <v>2Q08</v>
          </cell>
          <cell r="AA4" t="str">
            <v>3Q08</v>
          </cell>
          <cell r="AB4" t="str">
            <v>4Q08</v>
          </cell>
          <cell r="AC4" t="str">
            <v>1Q09</v>
          </cell>
          <cell r="AD4" t="str">
            <v>2Q09</v>
          </cell>
          <cell r="AN4">
            <v>39747</v>
          </cell>
          <cell r="AO4">
            <v>39813</v>
          </cell>
          <cell r="AP4">
            <v>39903</v>
          </cell>
          <cell r="AQ4">
            <v>39957</v>
          </cell>
          <cell r="AR4">
            <v>39988</v>
          </cell>
        </row>
        <row r="5">
          <cell r="A5">
            <v>1</v>
          </cell>
          <cell r="B5" t="str">
            <v>Florida</v>
          </cell>
          <cell r="C5">
            <v>4451</v>
          </cell>
          <cell r="D5">
            <v>3583</v>
          </cell>
          <cell r="E5">
            <v>1532907.2</v>
          </cell>
          <cell r="F5" t="str">
            <v>na</v>
          </cell>
          <cell r="G5">
            <v>0.27610000000000001</v>
          </cell>
          <cell r="L5">
            <v>1532907.2</v>
          </cell>
          <cell r="M5">
            <v>0.20389840642352119</v>
          </cell>
          <cell r="P5" t="str">
            <v>Florida</v>
          </cell>
          <cell r="Q5">
            <v>0.20389840642352119</v>
          </cell>
          <cell r="W5">
            <v>420.00000000000011</v>
          </cell>
          <cell r="AB5">
            <v>0.68524096385542177</v>
          </cell>
          <cell r="AC5">
            <v>0.42312579415501905</v>
          </cell>
          <cell r="AD5">
            <v>0.65272496831432192</v>
          </cell>
          <cell r="AM5" t="str">
            <v>CTL</v>
          </cell>
          <cell r="AN5">
            <v>29.5</v>
          </cell>
          <cell r="AO5">
            <v>27.330000000000002</v>
          </cell>
          <cell r="AP5">
            <v>28.12</v>
          </cell>
          <cell r="AQ5">
            <v>29.400000000000002</v>
          </cell>
          <cell r="AR5">
            <v>31.51</v>
          </cell>
        </row>
        <row r="6">
          <cell r="A6">
            <v>2</v>
          </cell>
          <cell r="B6" t="str">
            <v>North Carolina</v>
          </cell>
          <cell r="C6">
            <v>2913</v>
          </cell>
          <cell r="D6">
            <v>3826</v>
          </cell>
          <cell r="E6">
            <v>1032672</v>
          </cell>
          <cell r="F6" t="str">
            <v>na</v>
          </cell>
          <cell r="G6">
            <v>0.186</v>
          </cell>
          <cell r="H6">
            <v>35</v>
          </cell>
          <cell r="J6">
            <v>12621</v>
          </cell>
          <cell r="K6">
            <v>0.94640000000000002</v>
          </cell>
          <cell r="L6">
            <v>1045293</v>
          </cell>
          <cell r="M6">
            <v>0.13903879957355653</v>
          </cell>
          <cell r="P6" t="str">
            <v>North Carolina</v>
          </cell>
          <cell r="Q6">
            <v>0.13903879957355653</v>
          </cell>
          <cell r="W6">
            <v>309.99999999999989</v>
          </cell>
          <cell r="AB6">
            <v>0.40677966101694918</v>
          </cell>
          <cell r="AC6">
            <v>0.68306010928961758</v>
          </cell>
          <cell r="AD6">
            <v>0.54672897196261672</v>
          </cell>
          <cell r="AM6" t="str">
            <v>WIN</v>
          </cell>
          <cell r="AN6">
            <v>7.66</v>
          </cell>
          <cell r="AO6">
            <v>9.2000000000000011</v>
          </cell>
          <cell r="AP6">
            <v>8.06</v>
          </cell>
          <cell r="AQ6">
            <v>8.1300000000000008</v>
          </cell>
          <cell r="AR6">
            <v>8.51</v>
          </cell>
        </row>
        <row r="7">
          <cell r="A7">
            <v>3</v>
          </cell>
          <cell r="B7" t="str">
            <v>Nevada</v>
          </cell>
          <cell r="C7">
            <v>1123</v>
          </cell>
          <cell r="D7">
            <v>906</v>
          </cell>
          <cell r="E7">
            <v>577408</v>
          </cell>
          <cell r="F7" t="str">
            <v>na</v>
          </cell>
          <cell r="G7">
            <v>0.104</v>
          </cell>
          <cell r="L7">
            <v>577408</v>
          </cell>
          <cell r="M7">
            <v>7.6803456240659915E-2</v>
          </cell>
          <cell r="P7" t="str">
            <v>Nevada</v>
          </cell>
          <cell r="Q7">
            <v>7.6803456240659915E-2</v>
          </cell>
          <cell r="W7">
            <v>460</v>
          </cell>
          <cell r="AB7">
            <v>0.78651685393258419</v>
          </cell>
          <cell r="AC7">
            <v>1.2735849056603774</v>
          </cell>
          <cell r="AD7">
            <v>1.0849056603773586</v>
          </cell>
          <cell r="AM7" t="str">
            <v>FTR</v>
          </cell>
          <cell r="AN7">
            <v>7.71</v>
          </cell>
          <cell r="AO7">
            <v>8.74</v>
          </cell>
          <cell r="AP7">
            <v>7.18</v>
          </cell>
          <cell r="AQ7">
            <v>7.01</v>
          </cell>
          <cell r="AR7">
            <v>7.01</v>
          </cell>
        </row>
        <row r="8">
          <cell r="A8">
            <v>4</v>
          </cell>
          <cell r="B8" t="str">
            <v>Missouri</v>
          </cell>
          <cell r="C8">
            <v>485</v>
          </cell>
          <cell r="D8">
            <v>780</v>
          </cell>
          <cell r="E8">
            <v>177108.8</v>
          </cell>
          <cell r="F8" t="str">
            <v>na</v>
          </cell>
          <cell r="G8">
            <v>3.1899999999999998E-2</v>
          </cell>
          <cell r="H8">
            <v>794</v>
          </cell>
          <cell r="J8">
            <v>381706</v>
          </cell>
          <cell r="K8">
            <v>0.86760000000000004</v>
          </cell>
          <cell r="L8">
            <v>558814.80000000005</v>
          </cell>
          <cell r="M8">
            <v>7.4330296841112573E-2</v>
          </cell>
          <cell r="P8" t="str">
            <v>Missouri</v>
          </cell>
          <cell r="Q8">
            <v>7.4330296841112573E-2</v>
          </cell>
          <cell r="W8">
            <v>250.00000000000009</v>
          </cell>
          <cell r="AB8">
            <v>0.33333333333333326</v>
          </cell>
          <cell r="AC8">
            <v>0.20408163265306123</v>
          </cell>
          <cell r="AD8">
            <v>0.35294117647058831</v>
          </cell>
          <cell r="AM8" t="str">
            <v>Q</v>
          </cell>
          <cell r="AN8">
            <v>2.29</v>
          </cell>
          <cell r="AO8">
            <v>3.64</v>
          </cell>
          <cell r="AP8">
            <v>3.42</v>
          </cell>
          <cell r="AQ8">
            <v>4.01</v>
          </cell>
          <cell r="AR8">
            <v>3.96</v>
          </cell>
        </row>
        <row r="9">
          <cell r="A9">
            <v>5</v>
          </cell>
          <cell r="B9" t="str">
            <v>Ohio</v>
          </cell>
          <cell r="C9">
            <v>1086</v>
          </cell>
          <cell r="D9">
            <v>1829</v>
          </cell>
          <cell r="E9">
            <v>388084.80000000005</v>
          </cell>
          <cell r="F9" t="str">
            <v>na</v>
          </cell>
          <cell r="G9">
            <v>6.9900000000000004E-2</v>
          </cell>
          <cell r="H9">
            <v>126</v>
          </cell>
          <cell r="J9">
            <v>55476</v>
          </cell>
          <cell r="K9">
            <v>0.99760000000000004</v>
          </cell>
          <cell r="L9">
            <v>443560.80000000005</v>
          </cell>
          <cell r="M9">
            <v>5.8999879622159912E-2</v>
          </cell>
          <cell r="P9" t="str">
            <v>Ohio</v>
          </cell>
          <cell r="Q9">
            <v>5.8999879622159912E-2</v>
          </cell>
          <cell r="W9">
            <v>349.99999999999989</v>
          </cell>
          <cell r="AB9">
            <v>0.3267326732673268</v>
          </cell>
          <cell r="AC9">
            <v>0.39882697947214085</v>
          </cell>
          <cell r="AD9">
            <v>0.42500000000000004</v>
          </cell>
          <cell r="AM9" t="str">
            <v>T</v>
          </cell>
          <cell r="AN9">
            <v>24.68</v>
          </cell>
          <cell r="AO9">
            <v>28.5</v>
          </cell>
          <cell r="AP9">
            <v>25.200000000000003</v>
          </cell>
          <cell r="AQ9">
            <v>23.68</v>
          </cell>
          <cell r="AR9">
            <v>24.650000000000002</v>
          </cell>
        </row>
        <row r="10">
          <cell r="A10">
            <v>6</v>
          </cell>
          <cell r="B10" t="str">
            <v>Virginia</v>
          </cell>
          <cell r="C10">
            <v>472</v>
          </cell>
          <cell r="D10">
            <v>1153</v>
          </cell>
          <cell r="E10">
            <v>277600</v>
          </cell>
          <cell r="G10">
            <v>0.05</v>
          </cell>
          <cell r="H10">
            <v>372</v>
          </cell>
          <cell r="J10">
            <v>144078</v>
          </cell>
          <cell r="K10">
            <v>0.90400000000000003</v>
          </cell>
          <cell r="L10">
            <v>421678</v>
          </cell>
          <cell r="M10">
            <v>5.6089156749904737E-2</v>
          </cell>
          <cell r="P10" t="str">
            <v>Virginia</v>
          </cell>
          <cell r="Q10">
            <v>5.6089156749904737E-2</v>
          </cell>
          <cell r="W10">
            <v>190.00000000000003</v>
          </cell>
          <cell r="AB10">
            <v>0.35532994923857864</v>
          </cell>
          <cell r="AC10">
            <v>0.43497757847533625</v>
          </cell>
          <cell r="AD10">
            <v>0.15481171548117145</v>
          </cell>
          <cell r="AM10" t="str">
            <v>VZ</v>
          </cell>
          <cell r="AN10">
            <v>25.080000000000002</v>
          </cell>
          <cell r="AO10">
            <v>33.9</v>
          </cell>
          <cell r="AP10">
            <v>30.200000000000003</v>
          </cell>
          <cell r="AQ10">
            <v>28.810000000000002</v>
          </cell>
          <cell r="AR10">
            <v>30.8</v>
          </cell>
        </row>
        <row r="11">
          <cell r="A11">
            <v>7</v>
          </cell>
          <cell r="B11" t="str">
            <v>Wisconsin</v>
          </cell>
          <cell r="E11">
            <v>0</v>
          </cell>
          <cell r="H11">
            <v>1255</v>
          </cell>
          <cell r="J11">
            <v>355597</v>
          </cell>
          <cell r="K11">
            <v>0.88959999999999995</v>
          </cell>
          <cell r="L11">
            <v>355597</v>
          </cell>
          <cell r="M11">
            <v>4.7299446195428439E-2</v>
          </cell>
          <cell r="P11" t="str">
            <v>Wisconsin</v>
          </cell>
          <cell r="Q11">
            <v>4.7299446195428439E-2</v>
          </cell>
          <cell r="W11">
            <v>279.99999999999989</v>
          </cell>
          <cell r="AB11">
            <v>0.50387596899224807</v>
          </cell>
          <cell r="AC11">
            <v>0.68503937007874005</v>
          </cell>
          <cell r="AD11">
            <v>0.32515337423312873</v>
          </cell>
          <cell r="AM11" t="str">
            <v>IWA</v>
          </cell>
          <cell r="AN11">
            <v>14.88</v>
          </cell>
          <cell r="AO11">
            <v>14.280000000000001</v>
          </cell>
          <cell r="AP11">
            <v>11.46</v>
          </cell>
          <cell r="AQ11">
            <v>11.43</v>
          </cell>
          <cell r="AR11">
            <v>12.92</v>
          </cell>
        </row>
        <row r="12">
          <cell r="A12">
            <v>8</v>
          </cell>
          <cell r="B12" t="str">
            <v>Texas</v>
          </cell>
          <cell r="C12">
            <v>668</v>
          </cell>
          <cell r="D12">
            <v>803</v>
          </cell>
          <cell r="E12">
            <v>266496</v>
          </cell>
          <cell r="G12">
            <v>4.8000000000000001E-2</v>
          </cell>
          <cell r="H12">
            <v>139</v>
          </cell>
          <cell r="J12">
            <v>30374</v>
          </cell>
          <cell r="K12">
            <v>0.99929999999999997</v>
          </cell>
          <cell r="L12">
            <v>296870</v>
          </cell>
          <cell r="M12">
            <v>3.9487921979197919E-2</v>
          </cell>
          <cell r="P12" t="str">
            <v>Texas</v>
          </cell>
          <cell r="Q12">
            <v>3.9487921979197919E-2</v>
          </cell>
          <cell r="W12">
            <v>270.00000000000011</v>
          </cell>
          <cell r="AB12">
            <v>0.39221556886227549</v>
          </cell>
          <cell r="AC12">
            <v>0.58513931888544901</v>
          </cell>
          <cell r="AD12">
            <v>0.7009602194787381</v>
          </cell>
          <cell r="AM12" t="str">
            <v>EQ</v>
          </cell>
          <cell r="AN12">
            <v>29.740000000000002</v>
          </cell>
          <cell r="AO12">
            <v>35.96</v>
          </cell>
          <cell r="AP12">
            <v>37.85</v>
          </cell>
          <cell r="AQ12">
            <v>39.93</v>
          </cell>
          <cell r="AR12">
            <v>43.02</v>
          </cell>
        </row>
        <row r="13">
          <cell r="A13">
            <v>9</v>
          </cell>
          <cell r="B13" t="str">
            <v>Pennsylvania</v>
          </cell>
          <cell r="C13">
            <v>750</v>
          </cell>
          <cell r="D13">
            <v>1047</v>
          </cell>
          <cell r="E13">
            <v>288704</v>
          </cell>
          <cell r="G13">
            <v>5.1999999999999998E-2</v>
          </cell>
          <cell r="L13">
            <v>288704</v>
          </cell>
          <cell r="M13">
            <v>3.8401728120329957E-2</v>
          </cell>
          <cell r="P13" t="str">
            <v>Pennsylvania</v>
          </cell>
          <cell r="Q13">
            <v>3.8401728120329957E-2</v>
          </cell>
          <cell r="W13">
            <v>250.00000000000009</v>
          </cell>
          <cell r="AB13">
            <v>0.15916955017301038</v>
          </cell>
          <cell r="AC13">
            <v>0.67543859649122817</v>
          </cell>
          <cell r="AD13">
            <v>0.41964285714285721</v>
          </cell>
          <cell r="AM13" t="str">
            <v>CBB</v>
          </cell>
          <cell r="AN13">
            <v>1.94</v>
          </cell>
          <cell r="AO13">
            <v>1.93</v>
          </cell>
          <cell r="AP13">
            <v>2.3000000000000003</v>
          </cell>
          <cell r="AQ13">
            <v>2.5300000000000002</v>
          </cell>
          <cell r="AR13">
            <v>2.95</v>
          </cell>
        </row>
        <row r="14">
          <cell r="A14">
            <v>10</v>
          </cell>
          <cell r="B14" t="str">
            <v>Alabama</v>
          </cell>
          <cell r="E14">
            <v>0</v>
          </cell>
          <cell r="H14">
            <v>539</v>
          </cell>
          <cell r="J14">
            <v>263480</v>
          </cell>
          <cell r="K14">
            <v>0.91349999999999998</v>
          </cell>
          <cell r="L14">
            <v>263480</v>
          </cell>
          <cell r="M14">
            <v>3.5046578243268324E-2</v>
          </cell>
          <cell r="P14" t="str">
            <v>Alabama</v>
          </cell>
          <cell r="Q14">
            <v>3.5046578243268324E-2</v>
          </cell>
          <cell r="W14">
            <v>450</v>
          </cell>
          <cell r="AB14">
            <v>0.71428571428571419</v>
          </cell>
          <cell r="AC14">
            <v>0.67543859649122817</v>
          </cell>
          <cell r="AD14">
            <v>0.61417322834645671</v>
          </cell>
        </row>
        <row r="15">
          <cell r="A15">
            <v>11</v>
          </cell>
          <cell r="B15" t="str">
            <v>Arkansas</v>
          </cell>
          <cell r="E15">
            <v>0</v>
          </cell>
          <cell r="H15">
            <v>430</v>
          </cell>
          <cell r="J15">
            <v>194652</v>
          </cell>
          <cell r="K15">
            <v>0.8901</v>
          </cell>
          <cell r="L15">
            <v>194652</v>
          </cell>
          <cell r="M15">
            <v>2.5891477714470416E-2</v>
          </cell>
          <cell r="P15" t="str">
            <v>Arkansas</v>
          </cell>
          <cell r="Q15">
            <v>2.5891477714470416E-2</v>
          </cell>
          <cell r="W15">
            <v>199.99999999999997</v>
          </cell>
          <cell r="AB15">
            <v>0.375</v>
          </cell>
          <cell r="AC15">
            <v>0.42452830188679247</v>
          </cell>
          <cell r="AD15">
            <v>0.41964285714285721</v>
          </cell>
          <cell r="AN15" t="str">
            <v>Since announcement</v>
          </cell>
          <cell r="AO15" t="str">
            <v>YTD</v>
          </cell>
          <cell r="AP15" t="str">
            <v>QTD</v>
          </cell>
          <cell r="AQ15" t="str">
            <v>MTD</v>
          </cell>
        </row>
        <row r="16">
          <cell r="A16">
            <v>12</v>
          </cell>
          <cell r="B16" t="str">
            <v>Indiana</v>
          </cell>
          <cell r="C16">
            <v>427</v>
          </cell>
          <cell r="D16">
            <v>675</v>
          </cell>
          <cell r="E16">
            <v>185436.79999999999</v>
          </cell>
          <cell r="F16" t="str">
            <v>na</v>
          </cell>
          <cell r="G16">
            <v>3.3399999999999999E-2</v>
          </cell>
          <cell r="H16">
            <v>11</v>
          </cell>
          <cell r="J16">
            <v>4014</v>
          </cell>
          <cell r="K16">
            <v>0.75509999999999999</v>
          </cell>
          <cell r="L16">
            <v>189450.8</v>
          </cell>
          <cell r="M16">
            <v>2.5199644320061401E-2</v>
          </cell>
          <cell r="P16" t="str">
            <v>Indiana</v>
          </cell>
          <cell r="Q16">
            <v>2.5199644320061401E-2</v>
          </cell>
          <cell r="W16">
            <v>210.00000000000006</v>
          </cell>
          <cell r="AB16">
            <v>0.30813953488372103</v>
          </cell>
          <cell r="AC16">
            <v>9.4444444444444553E-2</v>
          </cell>
          <cell r="AD16">
            <v>0.20304568527918776</v>
          </cell>
          <cell r="AM16" t="str">
            <v>CTL</v>
          </cell>
          <cell r="AN16">
            <v>6.813559322033913E-2</v>
          </cell>
          <cell r="AO16">
            <v>0.15294548115623852</v>
          </cell>
          <cell r="AP16">
            <v>0.12055476529160747</v>
          </cell>
          <cell r="AQ16">
            <v>7.1768707482993133E-2</v>
          </cell>
        </row>
        <row r="17">
          <cell r="A17">
            <v>13</v>
          </cell>
          <cell r="B17" t="str">
            <v>Tennessee</v>
          </cell>
          <cell r="C17">
            <v>738</v>
          </cell>
          <cell r="D17">
            <v>878</v>
          </cell>
          <cell r="E17">
            <v>163228.79999999999</v>
          </cell>
          <cell r="G17">
            <v>2.9399999999999999E-2</v>
          </cell>
          <cell r="H17">
            <v>44</v>
          </cell>
          <cell r="J17">
            <v>21128</v>
          </cell>
          <cell r="K17">
            <v>0.90910000000000002</v>
          </cell>
          <cell r="L17">
            <v>184356.8</v>
          </cell>
          <cell r="M17">
            <v>2.4522070046601521E-2</v>
          </cell>
          <cell r="P17" t="str">
            <v>Tennessee</v>
          </cell>
          <cell r="Q17">
            <v>2.4522070046601521E-2</v>
          </cell>
          <cell r="W17">
            <v>330</v>
          </cell>
          <cell r="AB17">
            <v>1.0499999999999998</v>
          </cell>
          <cell r="AC17">
            <v>0.63276836158192085</v>
          </cell>
          <cell r="AD17">
            <v>0.61650485436893199</v>
          </cell>
          <cell r="AM17" t="str">
            <v>WIN</v>
          </cell>
          <cell r="AN17">
            <v>0.11096605744125321</v>
          </cell>
          <cell r="AO17">
            <v>-7.5000000000000178E-2</v>
          </cell>
          <cell r="AP17">
            <v>5.583126550868478E-2</v>
          </cell>
          <cell r="AQ17">
            <v>4.6740467404673858E-2</v>
          </cell>
        </row>
        <row r="18">
          <cell r="A18">
            <v>14</v>
          </cell>
          <cell r="B18" t="str">
            <v>Minnesota</v>
          </cell>
          <cell r="C18">
            <v>149</v>
          </cell>
          <cell r="D18">
            <v>201</v>
          </cell>
          <cell r="E18">
            <v>144352</v>
          </cell>
          <cell r="F18" t="str">
            <v>na</v>
          </cell>
          <cell r="G18">
            <v>2.5999999999999999E-2</v>
          </cell>
          <cell r="H18">
            <v>40</v>
          </cell>
          <cell r="J18">
            <v>24921</v>
          </cell>
          <cell r="K18">
            <v>0.80640000000000001</v>
          </cell>
          <cell r="L18">
            <v>169273</v>
          </cell>
          <cell r="M18">
            <v>2.2515710638275236E-2</v>
          </cell>
          <cell r="P18" t="str">
            <v>Minnesota</v>
          </cell>
          <cell r="Q18">
            <v>2.2515710638275236E-2</v>
          </cell>
          <cell r="W18">
            <v>80.000000000000071</v>
          </cell>
          <cell r="AB18">
            <v>0.79411764705882359</v>
          </cell>
          <cell r="AC18">
            <v>0.10000000000000009</v>
          </cell>
          <cell r="AD18">
            <v>0.17346938775510212</v>
          </cell>
          <cell r="AM18" t="str">
            <v>FTR</v>
          </cell>
          <cell r="AN18">
            <v>-9.079118028534372E-2</v>
          </cell>
          <cell r="AO18">
            <v>-0.19794050343249436</v>
          </cell>
          <cell r="AP18">
            <v>-2.3676880222841201E-2</v>
          </cell>
          <cell r="AQ18">
            <v>0</v>
          </cell>
        </row>
        <row r="19">
          <cell r="A19">
            <v>15</v>
          </cell>
          <cell r="B19" t="str">
            <v>New Jersey</v>
          </cell>
          <cell r="C19">
            <v>216</v>
          </cell>
          <cell r="D19">
            <v>190</v>
          </cell>
          <cell r="E19">
            <v>152680</v>
          </cell>
          <cell r="F19" t="str">
            <v>na</v>
          </cell>
          <cell r="G19">
            <v>2.75E-2</v>
          </cell>
          <cell r="L19">
            <v>152680</v>
          </cell>
          <cell r="M19">
            <v>2.0308606217482192E-2</v>
          </cell>
          <cell r="P19" t="str">
            <v>New Jersey</v>
          </cell>
          <cell r="Q19">
            <v>2.0308606217482192E-2</v>
          </cell>
          <cell r="W19">
            <v>329.99999999999989</v>
          </cell>
          <cell r="AB19">
            <v>0.34347826086956523</v>
          </cell>
          <cell r="AC19">
            <v>0.67226890756302526</v>
          </cell>
          <cell r="AD19">
            <v>0.54393305439330542</v>
          </cell>
          <cell r="AM19" t="str">
            <v>Q</v>
          </cell>
          <cell r="AN19">
            <v>0.72925764192139741</v>
          </cell>
          <cell r="AO19">
            <v>8.7912087912087822E-2</v>
          </cell>
          <cell r="AP19">
            <v>0.15789473684210531</v>
          </cell>
          <cell r="AQ19">
            <v>-1.2468827930174564E-2</v>
          </cell>
        </row>
        <row r="20">
          <cell r="A20">
            <v>16</v>
          </cell>
          <cell r="B20" t="str">
            <v>Oregon</v>
          </cell>
          <cell r="C20">
            <v>419</v>
          </cell>
          <cell r="D20">
            <v>251</v>
          </cell>
          <cell r="E20">
            <v>53854.400000000001</v>
          </cell>
          <cell r="G20">
            <v>9.7000000000000003E-3</v>
          </cell>
          <cell r="H20">
            <v>96</v>
          </cell>
          <cell r="J20">
            <v>61098</v>
          </cell>
          <cell r="K20">
            <v>0.86260000000000003</v>
          </cell>
          <cell r="L20">
            <v>114952.4</v>
          </cell>
          <cell r="M20">
            <v>1.529030013986442E-2</v>
          </cell>
          <cell r="P20" t="str">
            <v>Oregon</v>
          </cell>
          <cell r="Q20">
            <v>1.529030013986442E-2</v>
          </cell>
          <cell r="W20">
            <v>269.99999999999994</v>
          </cell>
          <cell r="AB20">
            <v>1.3134328358208953</v>
          </cell>
          <cell r="AC20">
            <v>1.1129032258064515</v>
          </cell>
          <cell r="AD20">
            <v>0.84782608695652173</v>
          </cell>
          <cell r="AM20" t="str">
            <v>T</v>
          </cell>
          <cell r="AN20">
            <v>-1.2155591572121649E-3</v>
          </cell>
          <cell r="AO20">
            <v>-0.13508771929824559</v>
          </cell>
          <cell r="AP20">
            <v>-2.1825396825396859E-2</v>
          </cell>
          <cell r="AQ20">
            <v>4.096283783783794E-2</v>
          </cell>
        </row>
        <row r="21">
          <cell r="A21">
            <v>17</v>
          </cell>
          <cell r="B21" t="str">
            <v>Michigan</v>
          </cell>
          <cell r="E21">
            <v>0</v>
          </cell>
          <cell r="H21">
            <v>118</v>
          </cell>
          <cell r="J21">
            <v>85065</v>
          </cell>
          <cell r="K21">
            <v>0.83440000000000003</v>
          </cell>
          <cell r="L21">
            <v>85065</v>
          </cell>
          <cell r="M21">
            <v>1.1314851898677774E-2</v>
          </cell>
          <cell r="P21" t="str">
            <v>Michigan</v>
          </cell>
          <cell r="Q21">
            <v>1.1314851898677774E-2</v>
          </cell>
          <cell r="W21">
            <v>440</v>
          </cell>
          <cell r="AB21">
            <v>0.34441087613293053</v>
          </cell>
          <cell r="AC21">
            <v>0.32352941176470584</v>
          </cell>
          <cell r="AD21">
            <v>0.4688279301745637</v>
          </cell>
          <cell r="AM21" t="str">
            <v>VZ</v>
          </cell>
          <cell r="AN21">
            <v>0.22807017543859653</v>
          </cell>
          <cell r="AO21">
            <v>-9.1445427728613526E-2</v>
          </cell>
          <cell r="AP21">
            <v>1.9867549668874052E-2</v>
          </cell>
          <cell r="AQ21">
            <v>6.9073238458868369E-2</v>
          </cell>
        </row>
        <row r="22">
          <cell r="A22">
            <v>18</v>
          </cell>
          <cell r="B22" t="str">
            <v>Colorado</v>
          </cell>
          <cell r="E22">
            <v>0</v>
          </cell>
          <cell r="H22">
            <v>137</v>
          </cell>
          <cell r="J22">
            <v>80611</v>
          </cell>
          <cell r="K22">
            <v>0.76910000000000001</v>
          </cell>
          <cell r="L22">
            <v>80611</v>
          </cell>
          <cell r="M22">
            <v>1.0722406705511245E-2</v>
          </cell>
          <cell r="P22" t="str">
            <v>Colorado</v>
          </cell>
          <cell r="Q22">
            <v>1.0722406705511245E-2</v>
          </cell>
          <cell r="W22">
            <v>170</v>
          </cell>
          <cell r="AB22">
            <v>0.71597633136094685</v>
          </cell>
          <cell r="AC22">
            <v>0.58045977011494254</v>
          </cell>
          <cell r="AD22">
            <v>0.66666666666666674</v>
          </cell>
          <cell r="AM22" t="str">
            <v>IWA</v>
          </cell>
          <cell r="AN22">
            <v>-0.13172043010752699</v>
          </cell>
          <cell r="AO22">
            <v>-9.5238095238095344E-2</v>
          </cell>
          <cell r="AP22">
            <v>0.12739965095986028</v>
          </cell>
          <cell r="AQ22">
            <v>0.13035870516185488</v>
          </cell>
        </row>
        <row r="23">
          <cell r="A23">
            <v>19</v>
          </cell>
          <cell r="B23" t="str">
            <v>Kansas</v>
          </cell>
          <cell r="C23">
            <v>3804</v>
          </cell>
          <cell r="D23">
            <v>677</v>
          </cell>
          <cell r="E23">
            <v>80504</v>
          </cell>
          <cell r="F23" t="str">
            <v>na</v>
          </cell>
          <cell r="G23">
            <v>1.4500000000000001E-2</v>
          </cell>
          <cell r="L23">
            <v>80504</v>
          </cell>
          <cell r="M23">
            <v>1.0708174187399701E-2</v>
          </cell>
          <cell r="P23" t="str">
            <v>Kansas</v>
          </cell>
          <cell r="Q23">
            <v>1.0708174187399701E-2</v>
          </cell>
          <cell r="W23">
            <v>160</v>
          </cell>
          <cell r="AB23">
            <v>9.0909090909090828E-2</v>
          </cell>
          <cell r="AC23">
            <v>0.52542372881355925</v>
          </cell>
          <cell r="AD23">
            <v>0.33823529411764697</v>
          </cell>
          <cell r="AM23" t="str">
            <v>EQ</v>
          </cell>
          <cell r="AN23">
            <v>0.44653665097511763</v>
          </cell>
          <cell r="AO23">
            <v>0.19632925472747509</v>
          </cell>
          <cell r="AP23">
            <v>0.13659180977542928</v>
          </cell>
          <cell r="AQ23">
            <v>7.7385424492862676E-2</v>
          </cell>
        </row>
        <row r="24">
          <cell r="A24">
            <v>20</v>
          </cell>
          <cell r="B24" t="str">
            <v>South Carolina</v>
          </cell>
          <cell r="C24">
            <v>151</v>
          </cell>
          <cell r="D24">
            <v>251</v>
          </cell>
          <cell r="E24">
            <v>79948.800000000003</v>
          </cell>
          <cell r="G24">
            <v>1.44E-2</v>
          </cell>
          <cell r="L24">
            <v>79948.800000000003</v>
          </cell>
          <cell r="M24">
            <v>1.0634324710245221E-2</v>
          </cell>
          <cell r="P24" t="str">
            <v>South Carolina</v>
          </cell>
          <cell r="Q24">
            <v>1.0634324710245221E-2</v>
          </cell>
          <cell r="W24">
            <v>379.99999999999994</v>
          </cell>
          <cell r="AB24">
            <v>1.2051282051282053</v>
          </cell>
          <cell r="AC24">
            <v>1.54</v>
          </cell>
          <cell r="AD24">
            <v>0.47222222222222232</v>
          </cell>
          <cell r="AM24" t="str">
            <v>CBB</v>
          </cell>
          <cell r="AN24">
            <v>0.52061855670103108</v>
          </cell>
          <cell r="AO24">
            <v>0.52849740932642497</v>
          </cell>
          <cell r="AP24">
            <v>0.28260869565217384</v>
          </cell>
          <cell r="AQ24">
            <v>0.16600790513833985</v>
          </cell>
        </row>
        <row r="25">
          <cell r="A25">
            <v>21</v>
          </cell>
          <cell r="B25" t="str">
            <v>Louisiana</v>
          </cell>
          <cell r="E25">
            <v>0</v>
          </cell>
          <cell r="H25">
            <v>1834</v>
          </cell>
          <cell r="J25">
            <v>79006</v>
          </cell>
          <cell r="K25">
            <v>0.88829999999999998</v>
          </cell>
          <cell r="L25">
            <v>79006</v>
          </cell>
          <cell r="M25">
            <v>1.0508918933838079E-2</v>
          </cell>
          <cell r="P25" t="str">
            <v>Louisiana</v>
          </cell>
          <cell r="Q25">
            <v>1.0508918933838079E-2</v>
          </cell>
          <cell r="W25">
            <v>199.99999999999997</v>
          </cell>
          <cell r="AB25">
            <v>-2.515723270440251E-2</v>
          </cell>
          <cell r="AC25">
            <v>0.37037037037037046</v>
          </cell>
          <cell r="AD25">
            <v>0.47972972972972983</v>
          </cell>
        </row>
        <row r="26">
          <cell r="A26">
            <v>22</v>
          </cell>
          <cell r="B26" t="str">
            <v>Washington</v>
          </cell>
          <cell r="C26">
            <v>80</v>
          </cell>
          <cell r="D26">
            <v>162</v>
          </cell>
          <cell r="E26">
            <v>72176</v>
          </cell>
          <cell r="G26">
            <v>1.2999999999999999E-2</v>
          </cell>
          <cell r="L26">
            <v>72176</v>
          </cell>
          <cell r="M26">
            <v>9.6004320300824893E-3</v>
          </cell>
          <cell r="P26" t="str">
            <v>Washington</v>
          </cell>
          <cell r="Q26">
            <v>9.6004320300824893E-3</v>
          </cell>
          <cell r="W26">
            <v>300</v>
          </cell>
          <cell r="AB26">
            <v>0.51677852348993292</v>
          </cell>
          <cell r="AC26">
            <v>0.59459459459459452</v>
          </cell>
          <cell r="AD26">
            <v>1.2550335570469797</v>
          </cell>
          <cell r="AM26" t="str">
            <v>MAX</v>
          </cell>
          <cell r="AN26">
            <v>0.72925764192139741</v>
          </cell>
          <cell r="AO26">
            <v>0.19632925472747509</v>
          </cell>
          <cell r="AP26">
            <v>0.15789473684210531</v>
          </cell>
          <cell r="AQ26">
            <v>0.13035870516185488</v>
          </cell>
        </row>
        <row r="27">
          <cell r="A27">
            <v>23</v>
          </cell>
          <cell r="B27" t="str">
            <v>Nebraska</v>
          </cell>
          <cell r="C27">
            <v>29</v>
          </cell>
          <cell r="D27">
            <v>216</v>
          </cell>
          <cell r="E27">
            <v>71065.600000000006</v>
          </cell>
          <cell r="F27" t="str">
            <v>na</v>
          </cell>
          <cell r="G27">
            <v>1.2800000000000001E-2</v>
          </cell>
          <cell r="L27">
            <v>71065.600000000006</v>
          </cell>
          <cell r="M27">
            <v>9.4527330757735294E-3</v>
          </cell>
          <cell r="P27" t="str">
            <v>Nebraska</v>
          </cell>
          <cell r="Q27">
            <v>9.4527330757735294E-3</v>
          </cell>
          <cell r="W27">
            <v>80</v>
          </cell>
          <cell r="AB27">
            <v>0.2407407407407407</v>
          </cell>
          <cell r="AC27">
            <v>0.11475409836065564</v>
          </cell>
          <cell r="AD27">
            <v>0.7407407407407407</v>
          </cell>
        </row>
        <row r="28">
          <cell r="A28">
            <v>24</v>
          </cell>
          <cell r="B28" t="str">
            <v>Montana</v>
          </cell>
          <cell r="E28">
            <v>0</v>
          </cell>
          <cell r="H28">
            <v>90</v>
          </cell>
          <cell r="J28">
            <v>52107</v>
          </cell>
          <cell r="K28">
            <v>0.93030000000000002</v>
          </cell>
          <cell r="L28">
            <v>52107</v>
          </cell>
          <cell r="M28">
            <v>6.930970291946191E-3</v>
          </cell>
          <cell r="P28" t="str">
            <v>Montana</v>
          </cell>
          <cell r="Q28">
            <v>6.930970291946191E-3</v>
          </cell>
          <cell r="W28">
            <v>170</v>
          </cell>
          <cell r="AB28">
            <v>0.61538461538461542</v>
          </cell>
          <cell r="AC28">
            <v>0.68421052631578938</v>
          </cell>
          <cell r="AD28">
            <v>0.75</v>
          </cell>
          <cell r="AO28">
            <v>-7.22E-2</v>
          </cell>
        </row>
        <row r="29">
          <cell r="A29">
            <v>25</v>
          </cell>
          <cell r="B29" t="str">
            <v>Illinois</v>
          </cell>
          <cell r="E29">
            <v>0</v>
          </cell>
          <cell r="H29">
            <v>138</v>
          </cell>
          <cell r="J29">
            <v>51968</v>
          </cell>
          <cell r="K29">
            <v>0.94750000000000001</v>
          </cell>
          <cell r="L29">
            <v>51968</v>
          </cell>
          <cell r="M29">
            <v>6.9124813198199794E-3</v>
          </cell>
          <cell r="P29" t="str">
            <v>Illinois</v>
          </cell>
          <cell r="Q29">
            <v>6.9124813198199794E-3</v>
          </cell>
          <cell r="W29">
            <v>389.99999999999994</v>
          </cell>
          <cell r="AB29">
            <v>0.73239436619718301</v>
          </cell>
          <cell r="AC29">
            <v>1.2807692307692307</v>
          </cell>
          <cell r="AD29">
            <v>0.55585831062670299</v>
          </cell>
          <cell r="AO29">
            <v>2251.4548115623852</v>
          </cell>
        </row>
        <row r="30">
          <cell r="A30">
            <v>26</v>
          </cell>
          <cell r="B30" t="str">
            <v>Georgia</v>
          </cell>
          <cell r="E30">
            <v>0</v>
          </cell>
          <cell r="H30">
            <v>68</v>
          </cell>
          <cell r="J30">
            <v>29787</v>
          </cell>
          <cell r="K30">
            <v>1</v>
          </cell>
          <cell r="L30">
            <v>29787</v>
          </cell>
          <cell r="M30">
            <v>3.9620936167156272E-3</v>
          </cell>
          <cell r="P30" t="str">
            <v>Georgia</v>
          </cell>
          <cell r="Q30">
            <v>3.9620936167156272E-3</v>
          </cell>
          <cell r="W30">
            <v>280.00000000000011</v>
          </cell>
          <cell r="AB30">
            <v>0.81155778894472363</v>
          </cell>
          <cell r="AC30">
            <v>0.76957494407158844</v>
          </cell>
          <cell r="AD30">
            <v>0.63168724279835398</v>
          </cell>
        </row>
        <row r="31">
          <cell r="A31">
            <v>27</v>
          </cell>
          <cell r="B31" t="str">
            <v>Mississippi</v>
          </cell>
          <cell r="E31">
            <v>0</v>
          </cell>
          <cell r="H31">
            <v>30</v>
          </cell>
          <cell r="J31">
            <v>19998</v>
          </cell>
          <cell r="K31">
            <v>0.97050000000000003</v>
          </cell>
          <cell r="L31">
            <v>19998</v>
          </cell>
          <cell r="M31">
            <v>2.660017730791255E-3</v>
          </cell>
          <cell r="P31" t="str">
            <v>Mississippi</v>
          </cell>
          <cell r="Q31">
            <v>2.660017730791255E-3</v>
          </cell>
          <cell r="W31">
            <v>279.99999999999994</v>
          </cell>
          <cell r="AB31">
            <v>0.37681159420289845</v>
          </cell>
          <cell r="AC31">
            <v>0.29487179487179493</v>
          </cell>
          <cell r="AD31">
            <v>0.45121951219512191</v>
          </cell>
        </row>
        <row r="32">
          <cell r="A32">
            <v>28</v>
          </cell>
          <cell r="B32" t="str">
            <v>Wyoming</v>
          </cell>
          <cell r="C32">
            <v>5</v>
          </cell>
          <cell r="D32">
            <v>13</v>
          </cell>
          <cell r="E32">
            <v>7772.8</v>
          </cell>
          <cell r="G32">
            <v>1.4E-3</v>
          </cell>
          <cell r="H32">
            <v>11</v>
          </cell>
          <cell r="J32">
            <v>6388</v>
          </cell>
          <cell r="K32">
            <v>0.76129999999999998</v>
          </cell>
          <cell r="L32">
            <v>14160.8</v>
          </cell>
          <cell r="M32">
            <v>1.8835873128407244E-3</v>
          </cell>
          <cell r="P32" t="str">
            <v>Wyoming</v>
          </cell>
          <cell r="Q32">
            <v>1.8835873128407244E-3</v>
          </cell>
          <cell r="W32">
            <v>429.99999999999994</v>
          </cell>
          <cell r="AB32">
            <v>1.2000000000000002</v>
          </cell>
          <cell r="AC32">
            <v>3.4000000000000004</v>
          </cell>
          <cell r="AD32">
            <v>0.11764705882352944</v>
          </cell>
        </row>
        <row r="33">
          <cell r="A33">
            <v>29</v>
          </cell>
          <cell r="B33" t="str">
            <v>New Mexico</v>
          </cell>
          <cell r="E33">
            <v>0</v>
          </cell>
          <cell r="H33">
            <v>12</v>
          </cell>
          <cell r="J33">
            <v>5188</v>
          </cell>
          <cell r="K33" t="str">
            <v>na</v>
          </cell>
          <cell r="L33">
            <v>5188</v>
          </cell>
          <cell r="M33">
            <v>6.9007760712796443E-4</v>
          </cell>
          <cell r="P33" t="str">
            <v>New Mexico</v>
          </cell>
          <cell r="Q33">
            <v>6.9007760712796443E-4</v>
          </cell>
          <cell r="W33">
            <v>360.00000000000006</v>
          </cell>
          <cell r="AB33">
            <v>0.11904761904761907</v>
          </cell>
          <cell r="AC33">
            <v>0.95121951219512191</v>
          </cell>
          <cell r="AD33">
            <v>0.58490566037735858</v>
          </cell>
        </row>
        <row r="34">
          <cell r="A34">
            <v>30</v>
          </cell>
          <cell r="B34" t="str">
            <v>Idaho</v>
          </cell>
          <cell r="E34">
            <v>0</v>
          </cell>
          <cell r="H34">
            <v>7</v>
          </cell>
          <cell r="J34">
            <v>5129</v>
          </cell>
          <cell r="K34">
            <v>0.66500000000000004</v>
          </cell>
          <cell r="L34">
            <v>5129</v>
          </cell>
          <cell r="M34">
            <v>6.8222977003842128E-4</v>
          </cell>
          <cell r="P34" t="str">
            <v>Idaho</v>
          </cell>
          <cell r="Q34">
            <v>6.8222977003842128E-4</v>
          </cell>
          <cell r="W34">
            <v>300</v>
          </cell>
          <cell r="AB34">
            <v>0.96666666666666656</v>
          </cell>
          <cell r="AC34">
            <v>0.5</v>
          </cell>
          <cell r="AD34">
            <v>0.68421052631578938</v>
          </cell>
        </row>
        <row r="35">
          <cell r="A35">
            <v>31</v>
          </cell>
          <cell r="B35" t="str">
            <v>Iowa</v>
          </cell>
          <cell r="E35">
            <v>0</v>
          </cell>
          <cell r="H35">
            <v>5</v>
          </cell>
          <cell r="J35">
            <v>1603</v>
          </cell>
          <cell r="K35">
            <v>0.83909999999999996</v>
          </cell>
          <cell r="L35">
            <v>1603</v>
          </cell>
          <cell r="M35">
            <v>2.1322174329724882E-4</v>
          </cell>
          <cell r="P35" t="str">
            <v>Iowa</v>
          </cell>
          <cell r="Q35">
            <v>2.1322174329724882E-4</v>
          </cell>
          <cell r="W35">
            <v>220</v>
          </cell>
          <cell r="AB35">
            <v>0.77192982456140347</v>
          </cell>
          <cell r="AC35">
            <v>0.625</v>
          </cell>
          <cell r="AD35">
            <v>0.39473684210526305</v>
          </cell>
        </row>
        <row r="36">
          <cell r="A36">
            <v>32</v>
          </cell>
          <cell r="B36" t="str">
            <v>California</v>
          </cell>
          <cell r="E36">
            <v>0</v>
          </cell>
          <cell r="L36">
            <v>0</v>
          </cell>
          <cell r="M36">
            <v>0</v>
          </cell>
          <cell r="P36" t="str">
            <v>California</v>
          </cell>
          <cell r="Q36">
            <v>0</v>
          </cell>
          <cell r="W36">
            <v>370.00000000000006</v>
          </cell>
          <cell r="AB36">
            <v>0.77268292682926831</v>
          </cell>
          <cell r="AC36">
            <v>0.71050454921422657</v>
          </cell>
          <cell r="AD36">
            <v>0.46477052359405291</v>
          </cell>
        </row>
        <row r="37">
          <cell r="A37">
            <v>33</v>
          </cell>
          <cell r="B37" t="str">
            <v>Oklahoma</v>
          </cell>
          <cell r="E37">
            <v>0</v>
          </cell>
          <cell r="L37">
            <v>0</v>
          </cell>
          <cell r="M37">
            <v>0</v>
          </cell>
          <cell r="P37" t="str">
            <v>Oklahoma</v>
          </cell>
          <cell r="Q37">
            <v>0</v>
          </cell>
          <cell r="W37">
            <v>200.00000000000003</v>
          </cell>
          <cell r="AB37">
            <v>0.56470588235294117</v>
          </cell>
          <cell r="AC37">
            <v>0.54545454545454541</v>
          </cell>
          <cell r="AD37">
            <v>0.31192660550458706</v>
          </cell>
        </row>
        <row r="38">
          <cell r="E38">
            <v>5552000</v>
          </cell>
          <cell r="G38">
            <v>1.0000000000000002</v>
          </cell>
          <cell r="J38">
            <v>1965995</v>
          </cell>
          <cell r="L38">
            <v>7517994.9999999991</v>
          </cell>
          <cell r="M38">
            <v>1.0000000000000004</v>
          </cell>
          <cell r="P38" t="str">
            <v>US avg</v>
          </cell>
          <cell r="Q38">
            <v>0</v>
          </cell>
          <cell r="W38">
            <v>279.99999999999994</v>
          </cell>
          <cell r="AB38">
            <v>0.61164010931478929</v>
          </cell>
          <cell r="AC38">
            <v>0.72105324841913565</v>
          </cell>
          <cell r="AD38">
            <v>0.6441012822565777</v>
          </cell>
        </row>
        <row r="40">
          <cell r="B40" t="str">
            <v>* Two thirds</v>
          </cell>
          <cell r="E40">
            <v>5551999.9999999991</v>
          </cell>
          <cell r="L40">
            <v>0.73849477154480692</v>
          </cell>
        </row>
        <row r="42">
          <cell r="X42">
            <v>25.76</v>
          </cell>
          <cell r="Y42">
            <v>31.51</v>
          </cell>
        </row>
        <row r="43">
          <cell r="Y43">
            <v>0.22321428571428581</v>
          </cell>
        </row>
        <row r="44">
          <cell r="A44">
            <v>1</v>
          </cell>
          <cell r="B44" t="str">
            <v>Florida</v>
          </cell>
          <cell r="M44">
            <v>0.20389840642352119</v>
          </cell>
        </row>
        <row r="45">
          <cell r="A45">
            <v>2</v>
          </cell>
          <cell r="B45" t="str">
            <v>North Carolina</v>
          </cell>
          <cell r="M45">
            <v>0.13903879957355653</v>
          </cell>
        </row>
        <row r="46">
          <cell r="A46">
            <v>3</v>
          </cell>
          <cell r="B46" t="str">
            <v>Nevada</v>
          </cell>
          <cell r="M46">
            <v>7.6803456240659915E-2</v>
          </cell>
        </row>
        <row r="47">
          <cell r="A47">
            <v>4</v>
          </cell>
          <cell r="B47" t="str">
            <v>Missouri</v>
          </cell>
          <cell r="M47">
            <v>7.4330296841112573E-2</v>
          </cell>
        </row>
        <row r="48">
          <cell r="A48">
            <v>5</v>
          </cell>
          <cell r="B48" t="str">
            <v>Ohio</v>
          </cell>
          <cell r="M48">
            <v>5.8999879622159912E-2</v>
          </cell>
          <cell r="U48">
            <v>0.36619513580416063</v>
          </cell>
          <cell r="V48">
            <v>0.29145305363996654</v>
          </cell>
          <cell r="W48">
            <v>5.3609479655147431E-2</v>
          </cell>
          <cell r="X48">
            <v>0.28852910915742841</v>
          </cell>
        </row>
        <row r="49">
          <cell r="B49" t="str">
            <v>28 Other States</v>
          </cell>
          <cell r="M49">
            <v>0.44692916129898985</v>
          </cell>
          <cell r="P49" t="str">
            <v>FL</v>
          </cell>
          <cell r="Q49" t="str">
            <v>Florida</v>
          </cell>
          <cell r="R49">
            <v>420.00000000000011</v>
          </cell>
          <cell r="S49">
            <v>0.65272496831432192</v>
          </cell>
          <cell r="T49">
            <v>0.20389840642352119</v>
          </cell>
          <cell r="U49">
            <v>0.20389840642352119</v>
          </cell>
        </row>
        <row r="50">
          <cell r="P50" t="str">
            <v>NC</v>
          </cell>
          <cell r="Q50" t="str">
            <v>North Carolina</v>
          </cell>
          <cell r="R50">
            <v>309.99999999999989</v>
          </cell>
          <cell r="S50">
            <v>0.54672897196261672</v>
          </cell>
          <cell r="T50">
            <v>0.13903879957355653</v>
          </cell>
          <cell r="V50">
            <v>0.13903879957355653</v>
          </cell>
        </row>
        <row r="51">
          <cell r="P51" t="str">
            <v>NV</v>
          </cell>
          <cell r="Q51" t="str">
            <v>Nevada</v>
          </cell>
          <cell r="R51">
            <v>460</v>
          </cell>
          <cell r="S51">
            <v>1.0849056603773586</v>
          </cell>
          <cell r="T51">
            <v>7.6803456240659915E-2</v>
          </cell>
          <cell r="U51">
            <v>7.6803456240659915E-2</v>
          </cell>
        </row>
        <row r="52">
          <cell r="P52" t="str">
            <v>MO</v>
          </cell>
          <cell r="Q52" t="str">
            <v>Missouri</v>
          </cell>
          <cell r="R52">
            <v>250.00000000000009</v>
          </cell>
          <cell r="S52">
            <v>0.35294117647058831</v>
          </cell>
          <cell r="T52">
            <v>7.4330296841112573E-2</v>
          </cell>
          <cell r="X52">
            <v>7.4330296841112573E-2</v>
          </cell>
        </row>
        <row r="53">
          <cell r="P53" t="str">
            <v>OH</v>
          </cell>
          <cell r="Q53" t="str">
            <v>Ohio</v>
          </cell>
          <cell r="R53">
            <v>349.99999999999989</v>
          </cell>
          <cell r="S53">
            <v>0.42500000000000004</v>
          </cell>
          <cell r="T53">
            <v>5.8999879622159912E-2</v>
          </cell>
          <cell r="V53">
            <v>5.8999879622159912E-2</v>
          </cell>
        </row>
        <row r="54">
          <cell r="P54" t="str">
            <v>VA</v>
          </cell>
          <cell r="Q54" t="str">
            <v>Virginia</v>
          </cell>
          <cell r="R54">
            <v>190.00000000000003</v>
          </cell>
          <cell r="S54">
            <v>0.15481171548117145</v>
          </cell>
          <cell r="T54">
            <v>5.6089156749904737E-2</v>
          </cell>
          <cell r="X54">
            <v>5.6089156749904737E-2</v>
          </cell>
        </row>
        <row r="55">
          <cell r="P55" t="str">
            <v>WI</v>
          </cell>
          <cell r="Q55" t="str">
            <v>Wisconsin</v>
          </cell>
          <cell r="R55">
            <v>279.99999999999989</v>
          </cell>
          <cell r="S55">
            <v>0.32515337423312873</v>
          </cell>
          <cell r="T55">
            <v>4.7299446195428439E-2</v>
          </cell>
          <cell r="V55">
            <v>4.7299446195428439E-2</v>
          </cell>
        </row>
        <row r="56">
          <cell r="P56" t="str">
            <v>TX</v>
          </cell>
          <cell r="Q56" t="str">
            <v>Texas</v>
          </cell>
          <cell r="R56">
            <v>270.00000000000011</v>
          </cell>
          <cell r="S56">
            <v>0.7009602194787381</v>
          </cell>
          <cell r="T56">
            <v>3.9487921979197919E-2</v>
          </cell>
          <cell r="X56">
            <v>3.9487921979197919E-2</v>
          </cell>
        </row>
        <row r="57">
          <cell r="P57" t="str">
            <v>PA</v>
          </cell>
          <cell r="Q57" t="str">
            <v>Pennsylvania</v>
          </cell>
          <cell r="R57">
            <v>250.00000000000009</v>
          </cell>
          <cell r="S57">
            <v>0.41964285714285721</v>
          </cell>
          <cell r="T57">
            <v>3.8401728120329957E-2</v>
          </cell>
          <cell r="X57">
            <v>3.8401728120329957E-2</v>
          </cell>
        </row>
        <row r="58">
          <cell r="P58" t="str">
            <v>AL</v>
          </cell>
          <cell r="Q58" t="str">
            <v>Alabama</v>
          </cell>
          <cell r="R58">
            <v>450</v>
          </cell>
          <cell r="S58">
            <v>0.61417322834645671</v>
          </cell>
          <cell r="T58">
            <v>3.5046578243268324E-2</v>
          </cell>
          <cell r="U58">
            <v>3.5046578243268324E-2</v>
          </cell>
        </row>
        <row r="59">
          <cell r="P59" t="str">
            <v>AK</v>
          </cell>
          <cell r="Q59" t="str">
            <v>Arkansas</v>
          </cell>
          <cell r="R59">
            <v>199.99999999999997</v>
          </cell>
          <cell r="S59">
            <v>0.41964285714285721</v>
          </cell>
          <cell r="T59">
            <v>2.5891477714470416E-2</v>
          </cell>
          <cell r="X59">
            <v>2.5891477714470416E-2</v>
          </cell>
        </row>
        <row r="60">
          <cell r="P60" t="str">
            <v>IN</v>
          </cell>
          <cell r="Q60" t="str">
            <v>Indiana</v>
          </cell>
          <cell r="R60">
            <v>210.00000000000006</v>
          </cell>
          <cell r="S60">
            <v>0.20304568527918776</v>
          </cell>
          <cell r="T60">
            <v>2.5199644320061401E-2</v>
          </cell>
          <cell r="V60">
            <v>2.5199644320061401E-2</v>
          </cell>
        </row>
        <row r="61">
          <cell r="P61" t="str">
            <v>TN</v>
          </cell>
          <cell r="Q61" t="str">
            <v>Tennessee</v>
          </cell>
          <cell r="R61">
            <v>330</v>
          </cell>
          <cell r="S61">
            <v>0.61650485436893199</v>
          </cell>
          <cell r="T61">
            <v>2.4522070046601521E-2</v>
          </cell>
          <cell r="U61">
            <v>2.4522070046601521E-2</v>
          </cell>
        </row>
        <row r="62">
          <cell r="P62" t="str">
            <v>MN</v>
          </cell>
          <cell r="Q62" t="str">
            <v>Minnesota</v>
          </cell>
          <cell r="R62">
            <v>80.000000000000071</v>
          </cell>
          <cell r="S62">
            <v>0.17346938775510212</v>
          </cell>
          <cell r="T62">
            <v>2.2515710638275236E-2</v>
          </cell>
          <cell r="W62">
            <v>2.2515710638275236E-2</v>
          </cell>
        </row>
        <row r="63">
          <cell r="P63" t="str">
            <v>NJ</v>
          </cell>
          <cell r="Q63" t="str">
            <v>New Jersey</v>
          </cell>
          <cell r="R63">
            <v>329.99999999999989</v>
          </cell>
          <cell r="S63">
            <v>0.54393305439330542</v>
          </cell>
          <cell r="T63">
            <v>2.0308606217482192E-2</v>
          </cell>
          <cell r="X63">
            <v>2.0308606217482192E-2</v>
          </cell>
        </row>
        <row r="64">
          <cell r="P64" t="str">
            <v>OR</v>
          </cell>
          <cell r="Q64" t="str">
            <v>Oregon</v>
          </cell>
          <cell r="R64">
            <v>269.99999999999994</v>
          </cell>
          <cell r="S64">
            <v>0.84782608695652173</v>
          </cell>
          <cell r="T64">
            <v>1.529030013986442E-2</v>
          </cell>
          <cell r="U64">
            <v>1.529030013986442E-2</v>
          </cell>
        </row>
        <row r="65">
          <cell r="P65" t="str">
            <v>MI</v>
          </cell>
          <cell r="Q65" t="str">
            <v>Michigan</v>
          </cell>
          <cell r="R65">
            <v>440</v>
          </cell>
          <cell r="S65">
            <v>0.4688279301745637</v>
          </cell>
          <cell r="T65">
            <v>1.1314851898677774E-2</v>
          </cell>
          <cell r="V65">
            <v>1.1314851898677774E-2</v>
          </cell>
        </row>
        <row r="66">
          <cell r="P66" t="str">
            <v>CO</v>
          </cell>
          <cell r="Q66" t="str">
            <v>Colorado</v>
          </cell>
          <cell r="R66">
            <v>170</v>
          </cell>
          <cell r="S66">
            <v>0.66666666666666674</v>
          </cell>
          <cell r="T66">
            <v>1.0722406705511245E-2</v>
          </cell>
          <cell r="W66">
            <v>1.0722406705511245E-2</v>
          </cell>
        </row>
        <row r="67">
          <cell r="P67" t="str">
            <v>KS</v>
          </cell>
          <cell r="Q67" t="str">
            <v>Kansas</v>
          </cell>
          <cell r="R67">
            <v>160</v>
          </cell>
          <cell r="S67">
            <v>0.33823529411764697</v>
          </cell>
          <cell r="T67">
            <v>1.0708174187399701E-2</v>
          </cell>
          <cell r="X67">
            <v>1.0708174187399701E-2</v>
          </cell>
        </row>
        <row r="68">
          <cell r="P68" t="str">
            <v>SC</v>
          </cell>
          <cell r="Q68" t="str">
            <v>South Carolina</v>
          </cell>
          <cell r="R68">
            <v>379.99999999999994</v>
          </cell>
          <cell r="S68">
            <v>0.47222222222222232</v>
          </cell>
          <cell r="T68">
            <v>1.0634324710245221E-2</v>
          </cell>
          <cell r="U68">
            <v>1.0634324710245221E-2</v>
          </cell>
        </row>
        <row r="69">
          <cell r="P69" t="str">
            <v>LA</v>
          </cell>
          <cell r="Q69" t="str">
            <v>Louisiana</v>
          </cell>
          <cell r="R69">
            <v>199.99999999999997</v>
          </cell>
          <cell r="S69">
            <v>0.47972972972972983</v>
          </cell>
          <cell r="T69">
            <v>1.0508918933838079E-2</v>
          </cell>
          <cell r="X69">
            <v>1.0508918933838079E-2</v>
          </cell>
        </row>
        <row r="70">
          <cell r="P70" t="str">
            <v>WA</v>
          </cell>
          <cell r="Q70" t="str">
            <v>Washington</v>
          </cell>
          <cell r="R70">
            <v>300</v>
          </cell>
          <cell r="S70">
            <v>1.2550335570469797</v>
          </cell>
          <cell r="T70">
            <v>9.6004320300824893E-3</v>
          </cell>
          <cell r="V70">
            <v>9.6004320300824893E-3</v>
          </cell>
        </row>
        <row r="71">
          <cell r="E71" t="str">
            <v>Access lines</v>
          </cell>
          <cell r="F71">
            <v>2041</v>
          </cell>
          <cell r="G71">
            <v>5853</v>
          </cell>
          <cell r="H71">
            <v>7894</v>
          </cell>
          <cell r="P71" t="str">
            <v>NE</v>
          </cell>
          <cell r="Q71" t="str">
            <v>Nebraska</v>
          </cell>
          <cell r="R71">
            <v>80</v>
          </cell>
          <cell r="S71">
            <v>0.7407407407407407</v>
          </cell>
          <cell r="T71">
            <v>9.4527330757735294E-3</v>
          </cell>
          <cell r="X71">
            <v>9.4527330757735294E-3</v>
          </cell>
        </row>
        <row r="72">
          <cell r="E72" t="str">
            <v>Broadband</v>
          </cell>
          <cell r="F72">
            <v>628</v>
          </cell>
          <cell r="G72">
            <v>1388</v>
          </cell>
          <cell r="H72">
            <v>2016</v>
          </cell>
          <cell r="P72" t="str">
            <v>MT</v>
          </cell>
          <cell r="Q72" t="str">
            <v>Montana</v>
          </cell>
          <cell r="R72">
            <v>170</v>
          </cell>
          <cell r="S72">
            <v>0.75</v>
          </cell>
          <cell r="T72">
            <v>6.930970291946191E-3</v>
          </cell>
          <cell r="W72">
            <v>6.930970291946191E-3</v>
          </cell>
        </row>
        <row r="73">
          <cell r="E73" t="str">
            <v>Revenue</v>
          </cell>
          <cell r="F73">
            <v>2613</v>
          </cell>
          <cell r="G73">
            <v>6222</v>
          </cell>
          <cell r="H73">
            <v>8835</v>
          </cell>
          <cell r="P73" t="str">
            <v>IL</v>
          </cell>
          <cell r="Q73" t="str">
            <v>Illinois</v>
          </cell>
          <cell r="R73">
            <v>389.99999999999994</v>
          </cell>
          <cell r="S73">
            <v>0.55585831062670299</v>
          </cell>
          <cell r="T73">
            <v>6.9124813198199794E-3</v>
          </cell>
          <cell r="W73">
            <v>6.9124813198199794E-3</v>
          </cell>
        </row>
        <row r="74">
          <cell r="E74" t="str">
            <v>EBITDA</v>
          </cell>
          <cell r="F74">
            <v>1246</v>
          </cell>
          <cell r="G74">
            <v>2598</v>
          </cell>
          <cell r="H74">
            <v>3844</v>
          </cell>
          <cell r="P74" t="str">
            <v>GA</v>
          </cell>
          <cell r="Q74" t="str">
            <v>Georgia</v>
          </cell>
          <cell r="R74">
            <v>280.00000000000011</v>
          </cell>
          <cell r="S74">
            <v>0.63168724279835398</v>
          </cell>
          <cell r="T74">
            <v>3.9620936167156272E-3</v>
          </cell>
          <cell r="W74">
            <v>3.9620936167156272E-3</v>
          </cell>
        </row>
        <row r="75">
          <cell r="E75" t="str">
            <v>Net Debt</v>
          </cell>
          <cell r="F75">
            <v>3086</v>
          </cell>
          <cell r="G75">
            <v>5757</v>
          </cell>
          <cell r="H75">
            <v>8843</v>
          </cell>
          <cell r="P75" t="str">
            <v>MS</v>
          </cell>
          <cell r="Q75" t="str">
            <v>Mississippi</v>
          </cell>
          <cell r="R75">
            <v>279.99999999999994</v>
          </cell>
          <cell r="S75">
            <v>0.45121951219512191</v>
          </cell>
          <cell r="T75">
            <v>2.660017730791255E-3</v>
          </cell>
          <cell r="X75">
            <v>2.660017730791255E-3</v>
          </cell>
        </row>
        <row r="76">
          <cell r="P76" t="str">
            <v>WY</v>
          </cell>
          <cell r="Q76" t="str">
            <v>Wyoming</v>
          </cell>
          <cell r="R76">
            <v>429.99999999999994</v>
          </cell>
          <cell r="S76">
            <v>0.11764705882352944</v>
          </cell>
          <cell r="T76">
            <v>1.8835873128407244E-3</v>
          </cell>
          <cell r="W76">
            <v>1.8835873128407244E-3</v>
          </cell>
        </row>
        <row r="77">
          <cell r="F77" t="str">
            <v>CenturyTel</v>
          </cell>
          <cell r="G77" t="str">
            <v>Embarq</v>
          </cell>
          <cell r="P77" t="str">
            <v>NM</v>
          </cell>
          <cell r="Q77" t="str">
            <v>New Mexico</v>
          </cell>
          <cell r="R77">
            <v>360.00000000000006</v>
          </cell>
          <cell r="S77">
            <v>0.58490566037735858</v>
          </cell>
          <cell r="T77">
            <v>6.9007760712796443E-4</v>
          </cell>
          <cell r="X77">
            <v>6.9007760712796443E-4</v>
          </cell>
        </row>
        <row r="78">
          <cell r="E78" t="str">
            <v>Access lines</v>
          </cell>
          <cell r="F78">
            <v>0.25855079807448694</v>
          </cell>
          <cell r="G78">
            <v>0.741449201925513</v>
          </cell>
          <cell r="P78" t="str">
            <v>ID</v>
          </cell>
          <cell r="Q78" t="str">
            <v>Idaho</v>
          </cell>
          <cell r="R78">
            <v>300</v>
          </cell>
          <cell r="S78">
            <v>0.68421052631578938</v>
          </cell>
          <cell r="T78">
            <v>6.8222977003842128E-4</v>
          </cell>
          <cell r="W78">
            <v>6.8222977003842128E-4</v>
          </cell>
        </row>
        <row r="79">
          <cell r="E79" t="str">
            <v>Broadband</v>
          </cell>
          <cell r="F79">
            <v>0.31150793650793651</v>
          </cell>
          <cell r="G79">
            <v>0.68849206349206349</v>
          </cell>
          <cell r="P79" t="str">
            <v>IA</v>
          </cell>
          <cell r="Q79" t="str">
            <v>Iowa</v>
          </cell>
          <cell r="R79">
            <v>220</v>
          </cell>
          <cell r="S79">
            <v>0.39473684210526305</v>
          </cell>
          <cell r="T79">
            <v>2.1322174329724882E-4</v>
          </cell>
        </row>
        <row r="80">
          <cell r="E80" t="str">
            <v>Revenue</v>
          </cell>
          <cell r="F80">
            <v>0.29575551782682513</v>
          </cell>
          <cell r="G80">
            <v>0.70424448217317492</v>
          </cell>
          <cell r="P80" t="str">
            <v>CA</v>
          </cell>
          <cell r="Q80" t="str">
            <v>California</v>
          </cell>
          <cell r="R80">
            <v>370.00000000000006</v>
          </cell>
          <cell r="S80">
            <v>0.46477052359405291</v>
          </cell>
          <cell r="T80">
            <v>0</v>
          </cell>
        </row>
        <row r="81">
          <cell r="E81" t="str">
            <v>EBITDA</v>
          </cell>
          <cell r="F81">
            <v>0.32414151925078044</v>
          </cell>
          <cell r="G81">
            <v>0.67585848074921961</v>
          </cell>
          <cell r="P81" t="str">
            <v>OK</v>
          </cell>
          <cell r="Q81" t="str">
            <v>Oklahoma</v>
          </cell>
          <cell r="R81">
            <v>200.00000000000003</v>
          </cell>
          <cell r="S81">
            <v>0.31192660550458706</v>
          </cell>
          <cell r="T81">
            <v>0</v>
          </cell>
        </row>
        <row r="82">
          <cell r="E82" t="str">
            <v>Net Debt</v>
          </cell>
          <cell r="F82">
            <v>0.34897659165441591</v>
          </cell>
          <cell r="G82">
            <v>0.65102340834558403</v>
          </cell>
          <cell r="P82" t="str">
            <v>US AVG</v>
          </cell>
          <cell r="Q82" t="str">
            <v>US avg</v>
          </cell>
          <cell r="R82">
            <v>279.99999999999994</v>
          </cell>
          <cell r="S82">
            <v>0.6441012822565777</v>
          </cell>
          <cell r="T82">
            <v>0</v>
          </cell>
        </row>
      </sheetData>
      <sheetData sheetId="3"/>
      <sheetData sheetId="4"/>
      <sheetData sheetId="5">
        <row r="4">
          <cell r="B4" t="str">
            <v>Access Lines</v>
          </cell>
          <cell r="C4" t="str">
            <v>Broadband</v>
          </cell>
          <cell r="D4" t="str">
            <v>LTM</v>
          </cell>
        </row>
        <row r="5">
          <cell r="B5" t="str">
            <v>Access 
Lines</v>
          </cell>
          <cell r="C5" t="str">
            <v>Broadband</v>
          </cell>
          <cell r="D5" t="str">
            <v>LTM 
Revenue</v>
          </cell>
          <cell r="E5" t="str">
            <v>LTM 
EBITDA</v>
          </cell>
          <cell r="F5" t="str">
            <v>LTM 
FCF</v>
          </cell>
          <cell r="G5" t="str">
            <v>Net 
Debt</v>
          </cell>
          <cell r="H5" t="str">
            <v>LTM Cash Opex</v>
          </cell>
        </row>
        <row r="6">
          <cell r="A6" t="str">
            <v>Embarq</v>
          </cell>
          <cell r="B6">
            <v>5552</v>
          </cell>
          <cell r="C6">
            <v>1452</v>
          </cell>
          <cell r="D6">
            <v>5579</v>
          </cell>
          <cell r="E6">
            <v>2605</v>
          </cell>
          <cell r="F6">
            <v>1186</v>
          </cell>
          <cell r="G6">
            <v>5195</v>
          </cell>
          <cell r="H6">
            <v>2974</v>
          </cell>
          <cell r="J6">
            <v>0.46692955726832763</v>
          </cell>
        </row>
        <row r="7">
          <cell r="A7" t="str">
            <v>CenturyTel</v>
          </cell>
          <cell r="B7">
            <v>1967</v>
          </cell>
          <cell r="C7">
            <v>665</v>
          </cell>
          <cell r="D7">
            <v>2587.4488675051889</v>
          </cell>
          <cell r="E7">
            <v>1247.108867505189</v>
          </cell>
          <cell r="F7">
            <v>0</v>
          </cell>
          <cell r="G7">
            <v>0</v>
          </cell>
          <cell r="H7">
            <v>1340.34</v>
          </cell>
          <cell r="J7">
            <v>0.48198396620206369</v>
          </cell>
        </row>
        <row r="8">
          <cell r="A8" t="str">
            <v>Century Link</v>
          </cell>
          <cell r="B8">
            <v>7519</v>
          </cell>
          <cell r="C8">
            <v>2117</v>
          </cell>
          <cell r="D8">
            <v>8166.4488675051889</v>
          </cell>
          <cell r="E8">
            <v>3852.1088675051888</v>
          </cell>
          <cell r="F8">
            <v>1186</v>
          </cell>
          <cell r="G8">
            <v>5195</v>
          </cell>
          <cell r="H8">
            <v>4314.34</v>
          </cell>
        </row>
        <row r="11">
          <cell r="A11" t="str">
            <v>Embarq</v>
          </cell>
          <cell r="B11">
            <v>0.73839606330629071</v>
          </cell>
          <cell r="C11">
            <v>0.6858762399622107</v>
          </cell>
          <cell r="D11">
            <v>0.68316107656036273</v>
          </cell>
          <cell r="E11">
            <v>0.67625295379751904</v>
          </cell>
          <cell r="F11">
            <v>1</v>
          </cell>
          <cell r="G11">
            <v>1</v>
          </cell>
          <cell r="H11">
            <v>0.68932907466727233</v>
          </cell>
        </row>
        <row r="12">
          <cell r="A12" t="str">
            <v>CenturyTel</v>
          </cell>
          <cell r="B12">
            <v>0.26160393669370929</v>
          </cell>
          <cell r="C12">
            <v>0.3141237600377893</v>
          </cell>
          <cell r="D12">
            <v>0.31683892343963727</v>
          </cell>
          <cell r="E12">
            <v>0.32374704620248096</v>
          </cell>
          <cell r="F12">
            <v>0</v>
          </cell>
          <cell r="G12">
            <v>0</v>
          </cell>
          <cell r="H12">
            <v>0.31067092533272755</v>
          </cell>
        </row>
        <row r="19">
          <cell r="B19" t="str">
            <v>LTM OCF</v>
          </cell>
          <cell r="C19" t="str">
            <v>LTM Capex</v>
          </cell>
          <cell r="D19" t="str">
            <v>LTM FCF</v>
          </cell>
        </row>
        <row r="20">
          <cell r="A20" t="str">
            <v>Embarq</v>
          </cell>
          <cell r="B20">
            <v>1789</v>
          </cell>
          <cell r="C20">
            <v>-603</v>
          </cell>
          <cell r="D20">
            <v>1186</v>
          </cell>
        </row>
        <row r="21">
          <cell r="A21" t="str">
            <v>CenturyTel</v>
          </cell>
          <cell r="B21">
            <v>0</v>
          </cell>
          <cell r="C21">
            <v>0</v>
          </cell>
          <cell r="D21">
            <v>0</v>
          </cell>
        </row>
        <row r="22">
          <cell r="A22" t="str">
            <v>Century Link</v>
          </cell>
          <cell r="B22">
            <v>1789</v>
          </cell>
          <cell r="C22">
            <v>-603</v>
          </cell>
          <cell r="D22">
            <v>1186</v>
          </cell>
        </row>
        <row r="27">
          <cell r="B27" t="str">
            <v>Cash</v>
          </cell>
          <cell r="C27" t="str">
            <v>Debt</v>
          </cell>
          <cell r="D27" t="str">
            <v>Net Debt</v>
          </cell>
        </row>
        <row r="28">
          <cell r="A28" t="str">
            <v>Embarq</v>
          </cell>
          <cell r="B28">
            <v>5195</v>
          </cell>
          <cell r="D28">
            <v>5195</v>
          </cell>
        </row>
        <row r="29">
          <cell r="A29" t="str">
            <v>CenturyTel</v>
          </cell>
          <cell r="D29">
            <v>0</v>
          </cell>
        </row>
        <row r="30">
          <cell r="A30" t="str">
            <v>Century Link</v>
          </cell>
          <cell r="D30">
            <v>5195</v>
          </cell>
        </row>
        <row r="56">
          <cell r="B56" t="str">
            <v>1Q06</v>
          </cell>
          <cell r="C56" t="str">
            <v>2Q06</v>
          </cell>
          <cell r="D56" t="str">
            <v>3Q06</v>
          </cell>
          <cell r="E56" t="str">
            <v>4Q06</v>
          </cell>
          <cell r="F56" t="str">
            <v>1Q07</v>
          </cell>
          <cell r="G56" t="str">
            <v>2Q07</v>
          </cell>
          <cell r="H56" t="str">
            <v>3Q07</v>
          </cell>
          <cell r="I56" t="str">
            <v>4Q07</v>
          </cell>
          <cell r="J56" t="str">
            <v>1Q08</v>
          </cell>
          <cell r="K56" t="str">
            <v>2Q08</v>
          </cell>
          <cell r="L56" t="str">
            <v>3Q08</v>
          </cell>
          <cell r="M56" t="str">
            <v>4Q08</v>
          </cell>
          <cell r="N56" t="str">
            <v>1Q09</v>
          </cell>
          <cell r="O56" t="str">
            <v>2Q09E</v>
          </cell>
        </row>
        <row r="57">
          <cell r="A57" t="str">
            <v>Total capital expenditures</v>
          </cell>
          <cell r="B57">
            <v>264.08800000000002</v>
          </cell>
          <cell r="C57">
            <v>382.36700000000002</v>
          </cell>
          <cell r="D57">
            <v>342.57900000000001</v>
          </cell>
          <cell r="E57">
            <v>315.03699999999998</v>
          </cell>
          <cell r="F57">
            <v>231.88</v>
          </cell>
          <cell r="G57">
            <v>245.976</v>
          </cell>
          <cell r="H57">
            <v>272.44499999999999</v>
          </cell>
          <cell r="I57">
            <v>404.74400000000003</v>
          </cell>
          <cell r="J57">
            <v>231.739</v>
          </cell>
          <cell r="K57">
            <v>238.65899999999999</v>
          </cell>
          <cell r="L57">
            <v>240.60599999999999</v>
          </cell>
          <cell r="M57">
            <v>250.81299999999999</v>
          </cell>
          <cell r="N57">
            <v>150.49600000000001</v>
          </cell>
          <cell r="O57">
            <v>232.30500000000001</v>
          </cell>
        </row>
        <row r="58">
          <cell r="A58" t="str">
            <v xml:space="preserve">   % growth</v>
          </cell>
          <cell r="B58">
            <v>2.525733281711013</v>
          </cell>
          <cell r="C58">
            <v>2.748291850878827</v>
          </cell>
          <cell r="D58">
            <v>2.2612905068352309</v>
          </cell>
          <cell r="E58">
            <v>1.3702318792602735</v>
          </cell>
          <cell r="F58">
            <v>-0.12195934688437193</v>
          </cell>
          <cell r="G58">
            <v>-0.35670180742585011</v>
          </cell>
          <cell r="H58">
            <v>-0.20472358200590235</v>
          </cell>
          <cell r="I58">
            <v>0.28475068007884796</v>
          </cell>
          <cell r="J58">
            <v>-6.0807314127997447E-4</v>
          </cell>
          <cell r="K58">
            <v>-2.974680456629919E-2</v>
          </cell>
          <cell r="L58">
            <v>-0.11686395419258933</v>
          </cell>
          <cell r="M58">
            <v>-0.38031694107880543</v>
          </cell>
          <cell r="N58">
            <v>-0.35057974704300954</v>
          </cell>
          <cell r="O58">
            <v>-2.6623760260455209E-2</v>
          </cell>
        </row>
        <row r="59">
          <cell r="A59" t="str">
            <v xml:space="preserve">   % revenues</v>
          </cell>
          <cell r="B59">
            <v>0.1243740395424749</v>
          </cell>
          <cell r="C59">
            <v>0.18198151376568142</v>
          </cell>
          <cell r="D59">
            <v>0.1630993052857698</v>
          </cell>
          <cell r="E59">
            <v>0.14932822042996738</v>
          </cell>
          <cell r="F59">
            <v>0.1114349630320229</v>
          </cell>
          <cell r="G59">
            <v>0.11596504114331944</v>
          </cell>
          <cell r="H59">
            <v>0.12489994526215029</v>
          </cell>
          <cell r="I59">
            <v>0.1907508839001511</v>
          </cell>
          <cell r="J59">
            <v>0.11010997741153485</v>
          </cell>
          <cell r="K59">
            <v>0.11386006117153361</v>
          </cell>
          <cell r="L59">
            <v>0.11690838954692084</v>
          </cell>
          <cell r="M59">
            <v>0.12363560540596762</v>
          </cell>
          <cell r="N59">
            <v>7.5956024078447246E-2</v>
          </cell>
          <cell r="O59">
            <v>0.11855507793182744</v>
          </cell>
        </row>
        <row r="117">
          <cell r="A117" t="str">
            <v>25% of CTL are unionized</v>
          </cell>
        </row>
        <row r="120">
          <cell r="A120" t="str">
            <v>CTL</v>
          </cell>
        </row>
        <row r="122">
          <cell r="C122">
            <v>2008</v>
          </cell>
          <cell r="E122">
            <v>2007</v>
          </cell>
        </row>
        <row r="123">
          <cell r="B123" t="str">
            <v>USF</v>
          </cell>
          <cell r="C123">
            <v>151.69999999999999</v>
          </cell>
          <cell r="D123">
            <v>5.8000000000000003E-2</v>
          </cell>
          <cell r="E123">
            <v>166.5</v>
          </cell>
          <cell r="F123">
            <v>6.3E-2</v>
          </cell>
        </row>
        <row r="124">
          <cell r="B124" t="str">
            <v>other federal</v>
          </cell>
          <cell r="C124">
            <v>128.5</v>
          </cell>
          <cell r="D124">
            <v>0.05</v>
          </cell>
          <cell r="E124">
            <v>133.9</v>
          </cell>
          <cell r="F124">
            <v>0.05</v>
          </cell>
        </row>
        <row r="125">
          <cell r="C125">
            <v>280.2</v>
          </cell>
          <cell r="D125">
            <v>0.10800000000000001</v>
          </cell>
          <cell r="E125">
            <v>300.39999999999998</v>
          </cell>
          <cell r="F125">
            <v>0.113</v>
          </cell>
        </row>
        <row r="127">
          <cell r="B127" t="str">
            <v>state support</v>
          </cell>
          <cell r="C127">
            <v>39.700000000000003</v>
          </cell>
          <cell r="D127">
            <v>1.4999999999999999E-2</v>
          </cell>
          <cell r="E127">
            <v>35.6</v>
          </cell>
          <cell r="F127">
            <v>1.2999999999999999E-2</v>
          </cell>
        </row>
        <row r="129">
          <cell r="C129">
            <v>319.89999999999998</v>
          </cell>
          <cell r="D129">
            <v>0.12300000000000001</v>
          </cell>
          <cell r="E129">
            <v>336</v>
          </cell>
          <cell r="F129">
            <v>0.126</v>
          </cell>
        </row>
        <row r="132">
          <cell r="A132" t="str">
            <v>CTL</v>
          </cell>
          <cell r="B132" t="str">
            <v>CTL</v>
          </cell>
          <cell r="C132" t="str">
            <v>EQ</v>
          </cell>
        </row>
        <row r="133">
          <cell r="A133" t="str">
            <v>Consumer</v>
          </cell>
          <cell r="B133">
            <v>0.73</v>
          </cell>
          <cell r="C133">
            <v>0.66228386167146969</v>
          </cell>
          <cell r="D133">
            <v>0.67999198589517551</v>
          </cell>
        </row>
        <row r="134">
          <cell r="A134" t="str">
            <v>Business</v>
          </cell>
          <cell r="B134">
            <v>0.27</v>
          </cell>
          <cell r="C134">
            <v>0.33771613832853026</v>
          </cell>
          <cell r="D134">
            <v>0.32000801410482449</v>
          </cell>
        </row>
        <row r="136">
          <cell r="B136">
            <v>1435.17635</v>
          </cell>
          <cell r="C136">
            <v>3677</v>
          </cell>
          <cell r="D136">
            <v>5112.1763499999997</v>
          </cell>
        </row>
        <row r="137">
          <cell r="B137">
            <v>530.81865000000005</v>
          </cell>
          <cell r="C137">
            <v>1875</v>
          </cell>
          <cell r="D137">
            <v>2405.8186500000002</v>
          </cell>
        </row>
        <row r="138">
          <cell r="B138">
            <v>1965.9949999999999</v>
          </cell>
          <cell r="C138">
            <v>5552</v>
          </cell>
          <cell r="D138">
            <v>7517.9949999999999</v>
          </cell>
        </row>
        <row r="145">
          <cell r="D145" t="str">
            <v>2006</v>
          </cell>
          <cell r="E145" t="str">
            <v>2007</v>
          </cell>
          <cell r="F145">
            <v>2008</v>
          </cell>
          <cell r="G145" t="str">
            <v>2009E</v>
          </cell>
          <cell r="H145" t="str">
            <v>2010E</v>
          </cell>
          <cell r="I145" t="str">
            <v>2011E</v>
          </cell>
          <cell r="J145" t="str">
            <v>2012E</v>
          </cell>
          <cell r="K145" t="str">
            <v>2013E</v>
          </cell>
          <cell r="L145" t="str">
            <v>2014E</v>
          </cell>
          <cell r="M145" t="str">
            <v>2015E</v>
          </cell>
        </row>
        <row r="146">
          <cell r="A146" t="str">
            <v>Total access lines</v>
          </cell>
          <cell r="D146">
            <v>9017000</v>
          </cell>
          <cell r="E146">
            <v>8447000</v>
          </cell>
          <cell r="F146">
            <v>7694000</v>
          </cell>
          <cell r="G146">
            <v>6947682</v>
          </cell>
          <cell r="H146">
            <v>6322390.6200000001</v>
          </cell>
          <cell r="I146">
            <v>5784987.4173000008</v>
          </cell>
          <cell r="J146">
            <v>5310618.4490814013</v>
          </cell>
          <cell r="K146">
            <v>4907011.4469512152</v>
          </cell>
          <cell r="L146">
            <v>4553706.6227707276</v>
          </cell>
          <cell r="M146">
            <v>4244054.5724223182</v>
          </cell>
        </row>
        <row r="147">
          <cell r="A147" t="str">
            <v xml:space="preserve">   % Y/Y growth</v>
          </cell>
          <cell r="D147">
            <v>-7.4269945532638992E-2</v>
          </cell>
          <cell r="E147">
            <v>-6.3213929244759881E-2</v>
          </cell>
          <cell r="F147">
            <v>-8.9144074819462515E-2</v>
          </cell>
          <cell r="G147">
            <v>-9.6999999999999975E-2</v>
          </cell>
          <cell r="H147">
            <v>-0.09</v>
          </cell>
          <cell r="I147">
            <v>-8.5000000000000006E-2</v>
          </cell>
          <cell r="J147">
            <v>-8.2000000000000003E-2</v>
          </cell>
          <cell r="K147">
            <v>-7.5999999999999998E-2</v>
          </cell>
          <cell r="L147">
            <v>-7.1999999999999995E-2</v>
          </cell>
          <cell r="M147">
            <v>-6.8000000000000005E-2</v>
          </cell>
        </row>
        <row r="148">
          <cell r="A148" t="str">
            <v>Total DSL subscribers</v>
          </cell>
          <cell r="D148">
            <v>1439710.409679878</v>
          </cell>
          <cell r="E148">
            <v>1832000</v>
          </cell>
          <cell r="F148">
            <v>2053000</v>
          </cell>
          <cell r="G148">
            <v>2201829.7872340423</v>
          </cell>
          <cell r="H148">
            <v>2306010.6382978722</v>
          </cell>
          <cell r="I148">
            <v>2384146.2765957443</v>
          </cell>
          <cell r="J148">
            <v>2443529.3617021274</v>
          </cell>
          <cell r="K148">
            <v>2489254.3372340421</v>
          </cell>
          <cell r="L148">
            <v>2524919.8181489357</v>
          </cell>
          <cell r="M148">
            <v>2553095.5480717015</v>
          </cell>
        </row>
        <row r="149">
          <cell r="A149" t="str">
            <v xml:space="preserve">   % growth</v>
          </cell>
          <cell r="D149">
            <v>0.45826685541503442</v>
          </cell>
          <cell r="E149">
            <v>0.27247812315766207</v>
          </cell>
          <cell r="F149">
            <v>0.12063318777292587</v>
          </cell>
          <cell r="G149">
            <v>7.2493807712636249E-2</v>
          </cell>
          <cell r="H149">
            <v>4.7315578918887713E-2</v>
          </cell>
          <cell r="I149">
            <v>3.3883468272091877E-2</v>
          </cell>
          <cell r="J149">
            <v>2.490748394480824E-2</v>
          </cell>
          <cell r="K149">
            <v>1.8712676937126416E-2</v>
          </cell>
          <cell r="L149">
            <v>1.4327776949672133E-2</v>
          </cell>
          <cell r="M149">
            <v>1.1159059277938477E-2</v>
          </cell>
        </row>
        <row r="151">
          <cell r="A151" t="str">
            <v>RGUs</v>
          </cell>
          <cell r="D151">
            <v>10456710.409679879</v>
          </cell>
          <cell r="E151">
            <v>10279000</v>
          </cell>
          <cell r="F151">
            <v>9747000</v>
          </cell>
          <cell r="G151">
            <v>9149511.7872340418</v>
          </cell>
          <cell r="H151">
            <v>8628401.2582978718</v>
          </cell>
          <cell r="I151">
            <v>8169133.6938957451</v>
          </cell>
          <cell r="J151">
            <v>7754147.8107835287</v>
          </cell>
          <cell r="K151">
            <v>7396265.7841852568</v>
          </cell>
          <cell r="L151">
            <v>7078626.4409196638</v>
          </cell>
          <cell r="M151">
            <v>6797150.1204940192</v>
          </cell>
        </row>
        <row r="152">
          <cell r="E152">
            <v>-1.6994867670368952E-2</v>
          </cell>
          <cell r="F152">
            <v>-5.1756007393715331E-2</v>
          </cell>
          <cell r="G152">
            <v>-6.1299703782287662E-2</v>
          </cell>
          <cell r="H152">
            <v>-5.6955009300414861E-2</v>
          </cell>
          <cell r="I152">
            <v>-5.3227423094220683E-2</v>
          </cell>
          <cell r="J152">
            <v>-5.0799252241679915E-2</v>
          </cell>
          <cell r="K152">
            <v>-4.6153624528613268E-2</v>
          </cell>
          <cell r="L152">
            <v>-4.2945907101495928E-2</v>
          </cell>
          <cell r="M152">
            <v>-3.9764256918334406E-2</v>
          </cell>
        </row>
        <row r="156">
          <cell r="D156" t="str">
            <v>2006</v>
          </cell>
          <cell r="E156" t="str">
            <v>2007</v>
          </cell>
          <cell r="F156" t="str">
            <v>2008</v>
          </cell>
          <cell r="G156" t="str">
            <v>2009E</v>
          </cell>
          <cell r="H156" t="str">
            <v>2010E</v>
          </cell>
          <cell r="I156" t="str">
            <v>2011E</v>
          </cell>
          <cell r="J156" t="str">
            <v>2012E</v>
          </cell>
          <cell r="K156" t="str">
            <v>2013E</v>
          </cell>
          <cell r="L156" t="str">
            <v>2014E</v>
          </cell>
          <cell r="M156" t="str">
            <v>2015E</v>
          </cell>
        </row>
        <row r="157">
          <cell r="A157" t="str">
            <v>Total revenues</v>
          </cell>
          <cell r="D157">
            <v>8434.5950000000012</v>
          </cell>
          <cell r="E157">
            <v>8505.128999999999</v>
          </cell>
          <cell r="F157">
            <v>8287.4069999999992</v>
          </cell>
          <cell r="G157">
            <v>7709.8521178268256</v>
          </cell>
          <cell r="H157">
            <v>7224.3624475156084</v>
          </cell>
          <cell r="I157">
            <v>6796.7692682399575</v>
          </cell>
          <cell r="J157">
            <v>6415.5305821667307</v>
          </cell>
          <cell r="K157">
            <v>6080.9489715872351</v>
          </cell>
          <cell r="L157">
            <v>5782.4025308056016</v>
          </cell>
          <cell r="M157">
            <v>5512.4651581324915</v>
          </cell>
        </row>
        <row r="158">
          <cell r="A158" t="str">
            <v>% growth</v>
          </cell>
          <cell r="D158">
            <v>2.4020724799253972</v>
          </cell>
          <cell r="E158">
            <v>8.3624643506887697E-3</v>
          </cell>
          <cell r="F158">
            <v>-2.5598906259975518E-2</v>
          </cell>
          <cell r="G158">
            <v>-6.9690662250951774E-2</v>
          </cell>
          <cell r="H158">
            <v>-6.2970036635159543E-2</v>
          </cell>
          <cell r="I158">
            <v>-5.9187669829978695E-2</v>
          </cell>
          <cell r="J158">
            <v>-5.609116199584474E-2</v>
          </cell>
          <cell r="K158">
            <v>-5.2151822252945568E-2</v>
          </cell>
          <cell r="L158">
            <v>-4.9095370176031494E-2</v>
          </cell>
          <cell r="M158">
            <v>-4.6682563386935771E-2</v>
          </cell>
        </row>
        <row r="159">
          <cell r="A159" t="str">
            <v>Total operating income</v>
          </cell>
          <cell r="D159">
            <v>2280.3963294460655</v>
          </cell>
          <cell r="E159">
            <v>2096.3149999999996</v>
          </cell>
          <cell r="F159">
            <v>2205.0133333333324</v>
          </cell>
          <cell r="G159">
            <v>2141.7830678348582</v>
          </cell>
          <cell r="H159">
            <v>2002.7831223800977</v>
          </cell>
          <cell r="I159">
            <v>1769.6752691956481</v>
          </cell>
          <cell r="J159">
            <v>1563.5786378908351</v>
          </cell>
          <cell r="K159">
            <v>1383.947512103623</v>
          </cell>
          <cell r="L159">
            <v>1224.9426552574014</v>
          </cell>
          <cell r="M159">
            <v>1082.4680427894791</v>
          </cell>
        </row>
        <row r="160">
          <cell r="A160" t="str">
            <v>% growth</v>
          </cell>
          <cell r="D160">
            <v>2.0722504492332376</v>
          </cell>
          <cell r="E160">
            <v>-8.0723393152795198E-2</v>
          </cell>
          <cell r="F160">
            <v>5.1852099199467983E-2</v>
          </cell>
          <cell r="G160">
            <v>-2.8675683970984744E-2</v>
          </cell>
          <cell r="H160">
            <v>-6.4899170948847007E-2</v>
          </cell>
          <cell r="I160">
            <v>-0.11639196005777463</v>
          </cell>
          <cell r="J160">
            <v>-0.11646014096048696</v>
          </cell>
          <cell r="K160">
            <v>-0.11488461241036307</v>
          </cell>
          <cell r="L160">
            <v>-0.1148922596092764</v>
          </cell>
          <cell r="M160">
            <v>-0.11631125086258309</v>
          </cell>
        </row>
        <row r="161">
          <cell r="A161" t="str">
            <v>% margin</v>
          </cell>
          <cell r="D161">
            <v>0.2703622793324475</v>
          </cell>
          <cell r="E161">
            <v>0.24647656725723971</v>
          </cell>
          <cell r="F161">
            <v>0.2660679430047701</v>
          </cell>
          <cell r="G161">
            <v>0.27779820353267193</v>
          </cell>
          <cell r="H161">
            <v>0.27722627940252864</v>
          </cell>
          <cell r="I161">
            <v>0.26037006691767695</v>
          </cell>
          <cell r="J161">
            <v>0.24371774366365259</v>
          </cell>
          <cell r="K161">
            <v>0.22758742403036286</v>
          </cell>
          <cell r="L161">
            <v>0.21183974113381951</v>
          </cell>
          <cell r="M161">
            <v>0.19636732600341672</v>
          </cell>
        </row>
        <row r="162">
          <cell r="A162" t="str">
            <v>EBITDA</v>
          </cell>
          <cell r="D162">
            <v>3867.9813294460655</v>
          </cell>
          <cell r="E162">
            <v>3852.5699999999997</v>
          </cell>
          <cell r="F162">
            <v>3894.465999999999</v>
          </cell>
          <cell r="G162">
            <v>3796.6270589134128</v>
          </cell>
          <cell r="H162">
            <v>3641.0786735478669</v>
          </cell>
          <cell r="I162">
            <v>3391.5878648517391</v>
          </cell>
          <cell r="J162">
            <v>3169.2721075903655</v>
          </cell>
          <cell r="K162">
            <v>2973.5840471061583</v>
          </cell>
          <cell r="L162">
            <v>2798.6828249099108</v>
          </cell>
          <cell r="M162">
            <v>2640.4708107454635</v>
          </cell>
        </row>
        <row r="163">
          <cell r="A163" t="str">
            <v>% growth</v>
          </cell>
          <cell r="D163">
            <v>2.0356465176980034</v>
          </cell>
          <cell r="E163">
            <v>-3.9843339802968503E-3</v>
          </cell>
          <cell r="F163">
            <v>1.0874818627565341E-2</v>
          </cell>
          <cell r="G163">
            <v>-2.5122556234047577E-2</v>
          </cell>
          <cell r="H163">
            <v>-4.0970151387495934E-2</v>
          </cell>
          <cell r="I163">
            <v>-6.8521125486427303E-2</v>
          </cell>
          <cell r="J163">
            <v>-6.5549166384663904E-2</v>
          </cell>
          <cell r="K163">
            <v>-6.1745427290871291E-2</v>
          </cell>
          <cell r="L163">
            <v>-5.8818321401225671E-2</v>
          </cell>
          <cell r="M163">
            <v>-5.6530884013103577E-2</v>
          </cell>
        </row>
        <row r="164">
          <cell r="D164">
            <v>0.45858530604564474</v>
          </cell>
          <cell r="E164">
            <v>0.45297020186289944</v>
          </cell>
          <cell r="F164">
            <v>0.46992575602960002</v>
          </cell>
          <cell r="G164">
            <v>0.49243837636454785</v>
          </cell>
          <cell r="H164">
            <v>0.504</v>
          </cell>
          <cell r="I164">
            <v>0.49900000000000005</v>
          </cell>
          <cell r="J164">
            <v>0.49400000000000011</v>
          </cell>
          <cell r="K164">
            <v>0.48900000000000005</v>
          </cell>
          <cell r="L164">
            <v>0.48399999999999993</v>
          </cell>
          <cell r="M164">
            <v>0.47900000000000004</v>
          </cell>
        </row>
        <row r="166">
          <cell r="D166" t="str">
            <v>2006</v>
          </cell>
          <cell r="E166" t="str">
            <v>2007</v>
          </cell>
          <cell r="F166" t="str">
            <v>2008</v>
          </cell>
          <cell r="G166" t="str">
            <v>2009E</v>
          </cell>
          <cell r="H166" t="str">
            <v>2010E</v>
          </cell>
          <cell r="I166" t="str">
            <v>2011E</v>
          </cell>
          <cell r="J166" t="str">
            <v>2012E</v>
          </cell>
          <cell r="K166" t="str">
            <v>2013E</v>
          </cell>
          <cell r="L166" t="str">
            <v>2014E</v>
          </cell>
          <cell r="M166" t="str">
            <v>2015E</v>
          </cell>
        </row>
        <row r="167">
          <cell r="A167" t="str">
            <v>Levered Free Cash Flow (OCF - capex)</v>
          </cell>
          <cell r="D167">
            <v>1143.6777069824577</v>
          </cell>
          <cell r="E167">
            <v>1498.9409999999998</v>
          </cell>
          <cell r="F167">
            <v>1639.4830000000002</v>
          </cell>
          <cell r="G167">
            <v>1905.6792362536066</v>
          </cell>
          <cell r="H167">
            <v>1571.8639253336798</v>
          </cell>
          <cell r="I167">
            <v>1454.8976818234999</v>
          </cell>
          <cell r="J167">
            <v>1347.886859811864</v>
          </cell>
          <cell r="K167">
            <v>1279.0980556319537</v>
          </cell>
          <cell r="L167">
            <v>1216.299299845417</v>
          </cell>
          <cell r="M167">
            <v>1158.9421703269045</v>
          </cell>
        </row>
        <row r="168">
          <cell r="D168" t="e">
            <v>#DIV/0!</v>
          </cell>
          <cell r="E168">
            <v>0.31063234934856632</v>
          </cell>
          <cell r="F168">
            <v>9.3760861835122444E-2</v>
          </cell>
          <cell r="G168">
            <v>0.16236596308324414</v>
          </cell>
          <cell r="H168">
            <v>-0.1751686771674007</v>
          </cell>
          <cell r="I168">
            <v>-7.4412448574611822E-2</v>
          </cell>
          <cell r="J168">
            <v>-7.3552129024986534E-2</v>
          </cell>
          <cell r="K168">
            <v>-5.1034553589692111E-2</v>
          </cell>
          <cell r="L168">
            <v>-4.9096123248745238E-2</v>
          </cell>
          <cell r="M168">
            <v>-4.7157085041323432E-2</v>
          </cell>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1"/>
      <sheetName val="GWP"/>
      <sheetName val="Sheet1"/>
      <sheetName val="Scenario"/>
      <sheetName val="ImportantDisclosures"/>
      <sheetName val="IndexInformation"/>
      <sheetName val="Income"/>
      <sheetName val="Euro vs. PM"/>
      <sheetName val="Ruble"/>
      <sheetName val="MS_IRI_Methodology"/>
      <sheetName val="MARKET_SHARE ($)_RAW_DATA"/>
      <sheetName val="NEXXUS_RAW_DATA"/>
      <sheetName val="HAIR_CARE_MARKET SHARE ROLL-UP"/>
      <sheetName val="TOTAL_ACV_DOLLAR_SALES"/>
      <sheetName val="TimeSeries"/>
      <sheetName val="Valuation Analyzer"/>
      <sheetName val="Income Statement"/>
      <sheetName val="Margins"/>
      <sheetName val="Comps"/>
      <sheetName val="Switches"/>
      <sheetName val="SSB Nielsen Sales"/>
      <sheetName val="EBITDA"/>
      <sheetName val="GWP-WLine"/>
      <sheetName val="TS_Stnd_Dev_Band"/>
      <sheetName val="Print "/>
      <sheetName val="Lookup"/>
      <sheetName val="Input"/>
      <sheetName val="99 cons YTD"/>
      <sheetName val="KPN"/>
      <sheetName val="Realizations vs Average"/>
      <sheetName val="summary"/>
      <sheetName val="B"/>
      <sheetName val="Ratios"/>
      <sheetName val="C"/>
      <sheetName val="Oil Consumption – barrels"/>
      <sheetName val="rev change analysis"/>
      <sheetName val="SOP"/>
      <sheetName val="O1000"/>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s"/>
      <sheetName val="FX"/>
      <sheetName val="Q"/>
      <sheetName val="Rev"/>
      <sheetName val="ERModelPubAnalystListing"/>
      <sheetName val="IS"/>
      <sheetName val="CFS"/>
      <sheetName val="MW-Cache"/>
      <sheetName val="BS"/>
      <sheetName val="Debt"/>
      <sheetName val="Maturities"/>
      <sheetName val="Charts"/>
      <sheetName val="Valuation"/>
      <sheetName val="MWA RR"/>
      <sheetName val="LVLT Standalone (Pre-TWTC)"/>
      <sheetName val="LVLT Standalone Maturities"/>
      <sheetName val="LVLT Standalone Charts"/>
      <sheetName val="TWTC Standalone"/>
      <sheetName val="TWTC Standalone Charts"/>
      <sheetName val="LVLT Standalone (Pre-GLBC)"/>
      <sheetName val="GLBC Standalone"/>
      <sheetName val="Debt - Standalone (pre-GLBC)"/>
      <sheetName val="Guidance - OLD"/>
      <sheetName val="mwareDates"/>
      <sheetName val="mwareSettings"/>
      <sheetName val="#REF"/>
    </sheetNames>
    <sheetDataSet>
      <sheetData sheetId="0" refreshError="1"/>
      <sheetData sheetId="1" refreshError="1"/>
      <sheetData sheetId="2" refreshError="1"/>
      <sheetData sheetId="3" refreshError="1"/>
      <sheetData sheetId="4" refreshError="1"/>
      <sheetData sheetId="5">
        <row r="17">
          <cell r="O17">
            <v>7657.8909999999996</v>
          </cell>
        </row>
      </sheetData>
      <sheetData sheetId="6" refreshError="1"/>
      <sheetData sheetId="7" refreshError="1"/>
      <sheetData sheetId="8">
        <row r="69">
          <cell r="O69">
            <v>936.73099999999999</v>
          </cell>
        </row>
      </sheetData>
      <sheetData sheetId="9" refreshError="1"/>
      <sheetData sheetId="10" refreshError="1"/>
      <sheetData sheetId="11" refreshError="1"/>
      <sheetData sheetId="12">
        <row r="5">
          <cell r="C5">
            <v>1056</v>
          </cell>
        </row>
      </sheetData>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DFDFD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
<Relationship Id="rId1" Target="../printerSettings/printerSettings1.bin" Type="http://schemas.openxmlformats.org/officeDocument/2006/relationships/printerSettings"/>
<Relationship Id="rId2" Target="../drawings/drawing1.xml" Type="http://schemas.openxmlformats.org/officeDocument/2006/relationships/drawing"/>
</Relationships>

</file>

<file path=xl/worksheets/_rels/sheet3.xml.rels><?xml version="1.0" encoding="UTF-8" standalone="yes"?>
<Relationships xmlns="http://schemas.openxmlformats.org/package/2006/relationships">
<Relationship Id="rId1" Target="../printerSettings/printerSettings2.bin" Type="http://schemas.openxmlformats.org/officeDocument/2006/relationships/printerSettings"/>
<Relationship Id="rId2" Target="../drawings/drawing2.xml" Type="http://schemas.openxmlformats.org/officeDocument/2006/relationships/drawing"/>
<Relationship Id="rId3" Target="../drawings/vmlDrawing1.vml" Type="http://schemas.openxmlformats.org/officeDocument/2006/relationships/vmlDrawing"/>
<Relationship Id="rId4" Target="../ctrlProps/ctrlProp1.xml" Type="http://schemas.openxmlformats.org/officeDocument/2006/relationships/ctrlProp"/>
<Relationship Id="rId5" Target="../ctrlProps/ctrlProp2.xml" Type="http://schemas.openxmlformats.org/officeDocument/2006/relationships/ctrlProp"/>
</Relationships>

</file>

<file path=xl/worksheets/_rels/sheet4.xml.rels><?xml version="1.0" encoding="UTF-8" standalone="yes"?>
<Relationships xmlns="http://schemas.openxmlformats.org/package/2006/relationships">
<Relationship Id="rId1" Target="../printerSettings/printerSettings3.bin" Type="http://schemas.openxmlformats.org/officeDocument/2006/relationships/printerSettings"/>
<Relationship Id="rId2" Target="../drawings/drawing3.xml" Type="http://schemas.openxmlformats.org/officeDocument/2006/relationships/drawing"/>
</Relationships>

</file>

<file path=xl/worksheets/_rels/sheet5.xml.rels><?xml version="1.0" encoding="UTF-8" standalone="yes"?>
<Relationships xmlns="http://schemas.openxmlformats.org/package/2006/relationships">
<Relationship Id="rId1" Target="../printerSettings/printerSettings4.bin" Type="http://schemas.openxmlformats.org/officeDocument/2006/relationships/printerSettings"/>
</Relationships>

</file>

<file path=xl/worksheets/_rels/sheet6.xml.rels><?xml version="1.0" encoding="UTF-8" standalone="yes"?>
<Relationships xmlns="http://schemas.openxmlformats.org/package/2006/relationships">
<Relationship Id="rId1" Target="../printerSettings/printerSettings5.bin" Type="http://schemas.openxmlformats.org/officeDocument/2006/relationships/printerSettings"/>
</Relationships>

</file>

<file path=xl/worksheets/_rels/sheet7.xml.rels><?xml version="1.0" encoding="UTF-8" standalone="yes"?>
<Relationships xmlns="http://schemas.openxmlformats.org/package/2006/relationships">
<Relationship Id="rId1" Target="../printerSettings/printerSettings6.bin" Type="http://schemas.openxmlformats.org/officeDocument/2006/relationships/printerSettings"/>
</Relationships>

</file>

<file path=xl/worksheets/_rels/sheet8.xml.rels><?xml version="1.0" encoding="UTF-8" standalone="yes"?>
<Relationships xmlns="http://schemas.openxmlformats.org/package/2006/relationships">
<Relationship Id="rId1" Target="../printerSettings/printerSettings7.bin" Type="http://schemas.openxmlformats.org/officeDocument/2006/relationships/printerSettings"/>
<Relationship Id="rId2" Target="../drawings/vmlDrawing2.vml" Type="http://schemas.openxmlformats.org/officeDocument/2006/relationships/vmlDrawing"/>
<Relationship Id="rId3" Target="../comments1.xml" Type="http://schemas.openxmlformats.org/officeDocument/2006/relationships/comments"/>
</Relationships>

</file>

<file path=xl/worksheets/_rels/sheet9.xml.rels><?xml version="1.0" encoding="UTF-8" standalone="yes"?>
<Relationships xmlns="http://schemas.openxmlformats.org/package/2006/relationships">
<Relationship Id="rId1" Target="../printerSettings/printerSettings8.bin" Type="http://schemas.openxmlformats.org/officeDocument/2006/relationships/printerSettings"/>
<Relationship Id="rId2" Target="../drawings/drawing4.xml" Type="http://schemas.openxmlformats.org/officeDocument/2006/relationships/drawing"/>
<Relationship Id="rId3" Target="../drawings/vmlDrawing3.vml" Type="http://schemas.openxmlformats.org/officeDocument/2006/relationships/vmlDrawing"/>
<Relationship Id="rId4" Target="../comments2.xml" Type="http://schemas.openxmlformats.org/officeDocument/2006/relationships/comments"/>
</Relationships>

</file>

<file path=xl/worksheets/_rels/sheet10.xml.rels><?xml version="1.0" encoding="UTF-8" standalone="yes"?>
<Relationships xmlns="http://schemas.openxmlformats.org/package/2006/relationships">
<Relationship Id="rId1" Target="../printerSettings/printerSettings9.bin" Type="http://schemas.openxmlformats.org/officeDocument/2006/relationships/printerSettings"/>
<Relationship Id="rId2" Target="../drawings/vmlDrawing4.vml" Type="http://schemas.openxmlformats.org/officeDocument/2006/relationships/vmlDrawing"/>
<Relationship Id="rId3" Target="../comments3.xml" Type="http://schemas.openxmlformats.org/officeDocument/2006/relationships/comments"/>
</Relationships>

</file>

<file path=xl/worksheets/_rels/sheet11.xml.rels><?xml version="1.0" encoding="UTF-8" standalone="yes"?>
<Relationships xmlns="http://schemas.openxmlformats.org/package/2006/relationships">
<Relationship Id="rId1" Target="../printerSettings/printerSettings10.bin" Type="http://schemas.openxmlformats.org/officeDocument/2006/relationships/printerSettings"/>
<Relationship Id="rId2" Target="../drawings/vmlDrawing5.vml" Type="http://schemas.openxmlformats.org/officeDocument/2006/relationships/vmlDrawing"/>
<Relationship Id="rId3" Target="../comments4.xml" Type="http://schemas.openxmlformats.org/officeDocument/2006/relationships/comments"/>
</Relationships>

</file>

<file path=xl/worksheets/_rels/sheet12.xml.rels><?xml version="1.0" encoding="UTF-8" standalone="yes"?>
<Relationships xmlns="http://schemas.openxmlformats.org/package/2006/relationships">
<Relationship Id="rId1" Target="../printerSettings/printerSettings11.bin" Type="http://schemas.openxmlformats.org/officeDocument/2006/relationships/printerSettings"/>
<Relationship Id="rId2" Target="../drawings/vmlDrawing6.vml" Type="http://schemas.openxmlformats.org/officeDocument/2006/relationships/vmlDrawing"/>
<Relationship Id="rId3" Target="../comments5.xml" Type="http://schemas.openxmlformats.org/officeDocument/2006/relationships/comments"/>
</Relationships>

</file>

<file path=xl/worksheets/_rels/sheet13.xml.rels><?xml version="1.0" encoding="UTF-8" standalone="yes"?>
<Relationships xmlns="http://schemas.openxmlformats.org/package/2006/relationships">
<Relationship Id="rId1" Target="../printerSettings/printerSettings12.bin" Type="http://schemas.openxmlformats.org/officeDocument/2006/relationships/printerSettings"/>
<Relationship Id="rId2" Target="../drawings/vmlDrawing7.vml" Type="http://schemas.openxmlformats.org/officeDocument/2006/relationships/vmlDrawing"/>
<Relationship Id="rId3" Target="../comments6.xml" Type="http://schemas.openxmlformats.org/officeDocument/2006/relationships/comments"/>
</Relationships>

</file>

<file path=xl/worksheets/_rels/sheet14.xml.rels><?xml version="1.0" encoding="UTF-8" standalone="yes"?>
<Relationships xmlns="http://schemas.openxmlformats.org/package/2006/relationships">
<Relationship Id="rId1" Target="../printerSettings/printerSettings13.bin" Type="http://schemas.openxmlformats.org/officeDocument/2006/relationships/printerSettings"/>
</Relationships>

</file>

<file path=xl/worksheets/_rels/sheet15.xml.rels><?xml version="1.0" encoding="UTF-8" standalone="yes"?>
<Relationships xmlns="http://schemas.openxmlformats.org/package/2006/relationships">
<Relationship Id="rId1" Target="../printerSettings/printerSettings14.bin" Type="http://schemas.openxmlformats.org/officeDocument/2006/relationships/printerSettings"/>
<Relationship Id="rId2" Target="../drawings/vmlDrawing8.vml" Type="http://schemas.openxmlformats.org/officeDocument/2006/relationships/vmlDrawing"/>
<Relationship Id="rId3" Target="../comments7.xml" Type="http://schemas.openxmlformats.org/officeDocument/2006/relationships/comments"/>
</Relationships>

</file>

<file path=xl/worksheets/_rels/sheet16.xml.rels><?xml version="1.0" encoding="UTF-8" standalone="yes"?>
<Relationships xmlns="http://schemas.openxmlformats.org/package/2006/relationships">
<Relationship Id="rId1" Target="../printerSettings/printerSettings15.bin" Type="http://schemas.openxmlformats.org/officeDocument/2006/relationships/printerSettings"/>
<Relationship Id="rId2" Target="../drawings/vmlDrawing9.vml" Type="http://schemas.openxmlformats.org/officeDocument/2006/relationships/vmlDrawing"/>
<Relationship Id="rId3" Target="../comments8.xml" Type="http://schemas.openxmlformats.org/officeDocument/2006/relationships/comments"/>
</Relationships>

</file>

<file path=xl/worksheets/_rels/sheet17.xml.rels><?xml version="1.0" encoding="UTF-8" standalone="yes"?>
<Relationships xmlns="http://schemas.openxmlformats.org/package/2006/relationships">
<Relationship Id="rId1" Target="../printerSettings/printerSettings16.bin" Type="http://schemas.openxmlformats.org/officeDocument/2006/relationships/printerSettings"/>
</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H394"/>
  <sheetViews>
    <sheetView showGridLines="0" tabSelected="1" workbookViewId="0">
      <selection activeCell="Z1" sqref="Z1"/>
    </sheetView>
  </sheetViews>
  <sheetFormatPr defaultRowHeight="12.75"/>
  <cols>
    <col min="1" max="1" width="25.7109375" style="363" customWidth="1"/>
    <col min="2" max="5" width="9.140625" style="363"/>
    <col min="6" max="6" width="18.7109375" style="363" customWidth="1"/>
    <col min="7" max="256" width="9.140625" style="363"/>
    <col min="257" max="257" width="100.7109375" style="363" customWidth="1"/>
    <col min="258" max="512" width="9.140625" style="363"/>
    <col min="513" max="513" width="100.7109375" style="363" customWidth="1"/>
    <col min="514" max="768" width="9.140625" style="363"/>
    <col min="769" max="769" width="100.7109375" style="363" customWidth="1"/>
    <col min="770" max="1024" width="9.140625" style="363"/>
    <col min="1025" max="1025" width="100.7109375" style="363" customWidth="1"/>
    <col min="1026" max="1280" width="9.140625" style="363"/>
    <col min="1281" max="1281" width="100.7109375" style="363" customWidth="1"/>
    <col min="1282" max="1536" width="9.140625" style="363"/>
    <col min="1537" max="1537" width="100.7109375" style="363" customWidth="1"/>
    <col min="1538" max="1792" width="9.140625" style="363"/>
    <col min="1793" max="1793" width="100.7109375" style="363" customWidth="1"/>
    <col min="1794" max="2048" width="9.140625" style="363"/>
    <col min="2049" max="2049" width="100.7109375" style="363" customWidth="1"/>
    <col min="2050" max="2304" width="9.140625" style="363"/>
    <col min="2305" max="2305" width="100.7109375" style="363" customWidth="1"/>
    <col min="2306" max="2560" width="9.140625" style="363"/>
    <col min="2561" max="2561" width="100.7109375" style="363" customWidth="1"/>
    <col min="2562" max="2816" width="9.140625" style="363"/>
    <col min="2817" max="2817" width="100.7109375" style="363" customWidth="1"/>
    <col min="2818" max="3072" width="9.140625" style="363"/>
    <col min="3073" max="3073" width="100.7109375" style="363" customWidth="1"/>
    <col min="3074" max="3328" width="9.140625" style="363"/>
    <col min="3329" max="3329" width="100.7109375" style="363" customWidth="1"/>
    <col min="3330" max="3584" width="9.140625" style="363"/>
    <col min="3585" max="3585" width="100.7109375" style="363" customWidth="1"/>
    <col min="3586" max="3840" width="9.140625" style="363"/>
    <col min="3841" max="3841" width="100.7109375" style="363" customWidth="1"/>
    <col min="3842" max="4096" width="9.140625" style="363"/>
    <col min="4097" max="4097" width="100.7109375" style="363" customWidth="1"/>
    <col min="4098" max="4352" width="9.140625" style="363"/>
    <col min="4353" max="4353" width="100.7109375" style="363" customWidth="1"/>
    <col min="4354" max="4608" width="9.140625" style="363"/>
    <col min="4609" max="4609" width="100.7109375" style="363" customWidth="1"/>
    <col min="4610" max="4864" width="9.140625" style="363"/>
    <col min="4865" max="4865" width="100.7109375" style="363" customWidth="1"/>
    <col min="4866" max="5120" width="9.140625" style="363"/>
    <col min="5121" max="5121" width="100.7109375" style="363" customWidth="1"/>
    <col min="5122" max="5376" width="9.140625" style="363"/>
    <col min="5377" max="5377" width="100.7109375" style="363" customWidth="1"/>
    <col min="5378" max="5632" width="9.140625" style="363"/>
    <col min="5633" max="5633" width="100.7109375" style="363" customWidth="1"/>
    <col min="5634" max="5888" width="9.140625" style="363"/>
    <col min="5889" max="5889" width="100.7109375" style="363" customWidth="1"/>
    <col min="5890" max="6144" width="9.140625" style="363"/>
    <col min="6145" max="6145" width="100.7109375" style="363" customWidth="1"/>
    <col min="6146" max="6400" width="9.140625" style="363"/>
    <col min="6401" max="6401" width="100.7109375" style="363" customWidth="1"/>
    <col min="6402" max="6656" width="9.140625" style="363"/>
    <col min="6657" max="6657" width="100.7109375" style="363" customWidth="1"/>
    <col min="6658" max="6912" width="9.140625" style="363"/>
    <col min="6913" max="6913" width="100.7109375" style="363" customWidth="1"/>
    <col min="6914" max="7168" width="9.140625" style="363"/>
    <col min="7169" max="7169" width="100.7109375" style="363" customWidth="1"/>
    <col min="7170" max="7424" width="9.140625" style="363"/>
    <col min="7425" max="7425" width="100.7109375" style="363" customWidth="1"/>
    <col min="7426" max="7680" width="9.140625" style="363"/>
    <col min="7681" max="7681" width="100.7109375" style="363" customWidth="1"/>
    <col min="7682" max="7936" width="9.140625" style="363"/>
    <col min="7937" max="7937" width="100.7109375" style="363" customWidth="1"/>
    <col min="7938" max="8192" width="9.140625" style="363"/>
    <col min="8193" max="8193" width="100.7109375" style="363" customWidth="1"/>
    <col min="8194" max="8448" width="9.140625" style="363"/>
    <col min="8449" max="8449" width="100.7109375" style="363" customWidth="1"/>
    <col min="8450" max="8704" width="9.140625" style="363"/>
    <col min="8705" max="8705" width="100.7109375" style="363" customWidth="1"/>
    <col min="8706" max="8960" width="9.140625" style="363"/>
    <col min="8961" max="8961" width="100.7109375" style="363" customWidth="1"/>
    <col min="8962" max="9216" width="9.140625" style="363"/>
    <col min="9217" max="9217" width="100.7109375" style="363" customWidth="1"/>
    <col min="9218" max="9472" width="9.140625" style="363"/>
    <col min="9473" max="9473" width="100.7109375" style="363" customWidth="1"/>
    <col min="9474" max="9728" width="9.140625" style="363"/>
    <col min="9729" max="9729" width="100.7109375" style="363" customWidth="1"/>
    <col min="9730" max="9984" width="9.140625" style="363"/>
    <col min="9985" max="9985" width="100.7109375" style="363" customWidth="1"/>
    <col min="9986" max="10240" width="9.140625" style="363"/>
    <col min="10241" max="10241" width="100.7109375" style="363" customWidth="1"/>
    <col min="10242" max="10496" width="9.140625" style="363"/>
    <col min="10497" max="10497" width="100.7109375" style="363" customWidth="1"/>
    <col min="10498" max="10752" width="9.140625" style="363"/>
    <col min="10753" max="10753" width="100.7109375" style="363" customWidth="1"/>
    <col min="10754" max="11008" width="9.140625" style="363"/>
    <col min="11009" max="11009" width="100.7109375" style="363" customWidth="1"/>
    <col min="11010" max="11264" width="9.140625" style="363"/>
    <col min="11265" max="11265" width="100.7109375" style="363" customWidth="1"/>
    <col min="11266" max="11520" width="9.140625" style="363"/>
    <col min="11521" max="11521" width="100.7109375" style="363" customWidth="1"/>
    <col min="11522" max="11776" width="9.140625" style="363"/>
    <col min="11777" max="11777" width="100.7109375" style="363" customWidth="1"/>
    <col min="11778" max="12032" width="9.140625" style="363"/>
    <col min="12033" max="12033" width="100.7109375" style="363" customWidth="1"/>
    <col min="12034" max="12288" width="9.140625" style="363"/>
    <col min="12289" max="12289" width="100.7109375" style="363" customWidth="1"/>
    <col min="12290" max="12544" width="9.140625" style="363"/>
    <col min="12545" max="12545" width="100.7109375" style="363" customWidth="1"/>
    <col min="12546" max="12800" width="9.140625" style="363"/>
    <col min="12801" max="12801" width="100.7109375" style="363" customWidth="1"/>
    <col min="12802" max="13056" width="9.140625" style="363"/>
    <col min="13057" max="13057" width="100.7109375" style="363" customWidth="1"/>
    <col min="13058" max="13312" width="9.140625" style="363"/>
    <col min="13313" max="13313" width="100.7109375" style="363" customWidth="1"/>
    <col min="13314" max="13568" width="9.140625" style="363"/>
    <col min="13569" max="13569" width="100.7109375" style="363" customWidth="1"/>
    <col min="13570" max="13824" width="9.140625" style="363"/>
    <col min="13825" max="13825" width="100.7109375" style="363" customWidth="1"/>
    <col min="13826" max="14080" width="9.140625" style="363"/>
    <col min="14081" max="14081" width="100.7109375" style="363" customWidth="1"/>
    <col min="14082" max="14336" width="9.140625" style="363"/>
    <col min="14337" max="14337" width="100.7109375" style="363" customWidth="1"/>
    <col min="14338" max="14592" width="9.140625" style="363"/>
    <col min="14593" max="14593" width="100.7109375" style="363" customWidth="1"/>
    <col min="14594" max="14848" width="9.140625" style="363"/>
    <col min="14849" max="14849" width="100.7109375" style="363" customWidth="1"/>
    <col min="14850" max="15104" width="9.140625" style="363"/>
    <col min="15105" max="15105" width="100.7109375" style="363" customWidth="1"/>
    <col min="15106" max="15360" width="9.140625" style="363"/>
    <col min="15361" max="15361" width="100.7109375" style="363" customWidth="1"/>
    <col min="15362" max="15616" width="9.140625" style="363"/>
    <col min="15617" max="15617" width="100.7109375" style="363" customWidth="1"/>
    <col min="15618" max="15872" width="9.140625" style="363"/>
    <col min="15873" max="15873" width="100.7109375" style="363" customWidth="1"/>
    <col min="15874" max="16128" width="9.140625" style="363"/>
    <col min="16129" max="16129" width="100.7109375" style="363" customWidth="1"/>
    <col min="16130" max="16384" width="9.140625" style="363"/>
  </cols>
  <sheetData>
    <row r="1" spans="1:8" ht="30" customHeight="1">
      <c r="A1" s="361"/>
      <c r="B1" s="362"/>
      <c r="C1" s="362"/>
      <c r="D1" s="362"/>
      <c r="E1" s="362"/>
      <c r="F1" s="362"/>
      <c r="G1" s="362"/>
      <c r="H1" s="362"/>
    </row>
    <row r="2" spans="1:8" ht="14.25">
      <c r="A2" s="364" t="s">
        <v>446</v>
      </c>
      <c r="B2" s="362"/>
      <c r="C2" s="362"/>
      <c r="D2" s="362"/>
      <c r="E2" s="362"/>
      <c r="F2" s="362"/>
      <c r="G2" s="362"/>
      <c r="H2" s="362"/>
    </row>
    <row r="3" spans="1:8" ht="14.25">
      <c r="A3" s="364" t="s">
        <v>447</v>
      </c>
      <c r="B3" s="362"/>
      <c r="C3" s="362"/>
      <c r="D3" s="362"/>
      <c r="E3" s="362"/>
      <c r="F3" s="362"/>
      <c r="G3" s="362"/>
      <c r="H3" s="362"/>
    </row>
    <row r="4" spans="1:8" ht="14.25">
      <c r="A4" s="364" t="s">
        <v>448</v>
      </c>
      <c r="B4" s="362"/>
      <c r="C4" s="362"/>
      <c r="D4" s="362"/>
      <c r="E4" s="362"/>
      <c r="F4" s="362"/>
      <c r="G4" s="362"/>
      <c r="H4" s="362"/>
    </row>
    <row r="5" spans="1:8" ht="14.25">
      <c r="A5" s="364" t="s">
        <v>449</v>
      </c>
      <c r="B5" s="362"/>
      <c r="C5" s="362"/>
      <c r="D5" s="362"/>
      <c r="E5" s="362"/>
      <c r="F5" s="362"/>
      <c r="G5" s="362"/>
      <c r="H5" s="362"/>
    </row>
    <row r="6" spans="1:8" ht="14.25">
      <c r="A6" s="364"/>
      <c r="B6" s="362"/>
      <c r="C6" s="362"/>
      <c r="D6" s="362"/>
      <c r="E6" s="362"/>
      <c r="F6" s="362"/>
      <c r="G6" s="362"/>
      <c r="H6" s="362"/>
    </row>
    <row r="7" spans="1:8">
      <c r="A7" s="361" t="s">
        <v>450</v>
      </c>
      <c r="B7" s="362"/>
      <c r="C7" s="362"/>
      <c r="D7" s="362"/>
      <c r="E7" s="362"/>
      <c r="F7" s="362"/>
      <c r="G7" s="362"/>
      <c r="H7" s="362"/>
    </row>
    <row r="8" spans="1:8">
      <c r="A8" s="361" t="s">
        <v>451</v>
      </c>
      <c r="B8" s="362"/>
      <c r="C8" s="362"/>
      <c r="D8" s="362"/>
      <c r="E8" s="362"/>
      <c r="F8" s="362"/>
      <c r="G8" s="362"/>
      <c r="H8" s="362"/>
    </row>
    <row r="9" spans="1:8">
      <c r="A9" s="361"/>
      <c r="B9" s="362"/>
      <c r="C9" s="362"/>
      <c r="D9" s="362"/>
      <c r="E9" s="362"/>
      <c r="F9" s="362"/>
      <c r="G9" s="362"/>
      <c r="H9" s="362"/>
    </row>
    <row r="10" spans="1:8">
      <c r="A10" s="365" t="s">
        <v>452</v>
      </c>
      <c r="B10" s="362"/>
      <c r="C10" s="362"/>
      <c r="D10" s="362"/>
      <c r="E10" s="362"/>
      <c r="F10" s="362"/>
      <c r="G10" s="362"/>
      <c r="H10" s="362"/>
    </row>
    <row r="11" spans="1:8">
      <c r="A11" s="365" t="s">
        <v>453</v>
      </c>
      <c r="B11" s="362"/>
      <c r="C11" s="362"/>
      <c r="D11" s="362"/>
      <c r="E11" s="362"/>
      <c r="F11" s="362"/>
      <c r="G11" s="362"/>
      <c r="H11" s="362"/>
    </row>
    <row r="12" spans="1:8">
      <c r="A12" s="365" t="s">
        <v>454</v>
      </c>
      <c r="B12" s="362"/>
      <c r="C12" s="362"/>
      <c r="D12" s="362"/>
      <c r="E12" s="362"/>
      <c r="F12" s="362"/>
      <c r="G12" s="362"/>
      <c r="H12" s="362"/>
    </row>
    <row r="13" spans="1:8">
      <c r="A13" s="365" t="s">
        <v>455</v>
      </c>
      <c r="B13" s="362"/>
      <c r="C13" s="362"/>
      <c r="D13" s="362"/>
      <c r="E13" s="362"/>
      <c r="F13" s="362"/>
      <c r="G13" s="362"/>
      <c r="H13" s="362"/>
    </row>
    <row r="14" spans="1:8">
      <c r="A14" s="365" t="s">
        <v>456</v>
      </c>
      <c r="B14" s="362"/>
      <c r="C14" s="362"/>
      <c r="D14" s="362"/>
      <c r="E14" s="362"/>
      <c r="F14" s="362"/>
      <c r="G14" s="362"/>
      <c r="H14" s="362"/>
    </row>
    <row r="15" spans="1:8">
      <c r="A15" s="365" t="s">
        <v>457</v>
      </c>
      <c r="B15" s="362"/>
      <c r="C15" s="362"/>
      <c r="D15" s="362"/>
      <c r="E15" s="362"/>
      <c r="F15" s="362"/>
      <c r="G15" s="362"/>
      <c r="H15" s="362"/>
    </row>
    <row r="16" spans="1:8">
      <c r="A16" s="365"/>
      <c r="B16" s="362"/>
      <c r="C16" s="362"/>
      <c r="D16" s="362"/>
      <c r="E16" s="362"/>
      <c r="F16" s="362"/>
      <c r="G16" s="362"/>
      <c r="H16" s="362"/>
    </row>
    <row r="17" spans="1:8">
      <c r="A17" s="365" t="s">
        <v>443</v>
      </c>
      <c r="B17" s="362"/>
      <c r="C17" s="362"/>
      <c r="D17" s="362"/>
      <c r="E17" s="362"/>
      <c r="F17" s="362"/>
      <c r="G17" s="362"/>
      <c r="H17" s="362"/>
    </row>
    <row r="18" spans="1:8">
      <c r="A18" s="365"/>
      <c r="B18" s="362"/>
      <c r="C18" s="362"/>
      <c r="D18" s="362"/>
      <c r="E18" s="362"/>
      <c r="F18" s="362"/>
      <c r="G18" s="362"/>
      <c r="H18" s="362"/>
    </row>
    <row r="19" spans="1:8">
      <c r="A19" s="365" t="s">
        <v>444</v>
      </c>
      <c r="B19" s="362"/>
      <c r="C19" s="362"/>
      <c r="D19" s="362"/>
      <c r="E19" s="362"/>
      <c r="F19" s="362"/>
      <c r="G19" s="362"/>
      <c r="H19" s="362"/>
    </row>
    <row r="20" spans="1:8">
      <c r="A20" s="361"/>
      <c r="B20" s="362"/>
      <c r="C20" s="362"/>
      <c r="D20" s="362"/>
      <c r="E20" s="362"/>
      <c r="F20" s="362"/>
      <c r="G20" s="362"/>
      <c r="H20" s="362"/>
    </row>
    <row r="21" spans="1:8">
      <c r="A21" s="366" t="s">
        <v>445</v>
      </c>
      <c r="B21" s="362"/>
      <c r="C21" s="362"/>
      <c r="D21" s="362"/>
      <c r="E21" s="362"/>
      <c r="F21" s="362"/>
      <c r="G21" s="362"/>
      <c r="H21" s="362"/>
    </row>
    <row r="22" spans="1:8">
      <c r="A22" s="367"/>
      <c r="B22" s="367"/>
      <c r="C22" s="367"/>
      <c r="D22" s="367"/>
      <c r="E22" s="367"/>
      <c r="F22" s="367"/>
      <c r="G22" s="367"/>
      <c r="H22" s="367"/>
    </row>
    <row r="23" spans="1:8">
      <c r="A23" s="368" t="s">
        <v>737</v>
      </c>
      <c r="B23" s="367"/>
      <c r="C23" s="367"/>
      <c r="D23" s="367"/>
      <c r="E23" s="367"/>
      <c r="F23" s="367"/>
      <c r="G23" s="367"/>
      <c r="H23" s="367"/>
    </row>
    <row r="24" spans="1:8">
      <c r="A24" s="368" t="s">
        <v>738</v>
      </c>
      <c r="B24" s="367"/>
      <c r="C24" s="367"/>
      <c r="D24" s="367"/>
      <c r="E24" s="367"/>
      <c r="F24" s="367"/>
      <c r="G24" s="367"/>
      <c r="H24" s="367"/>
    </row>
    <row r="25" spans="1:8">
      <c r="A25" s="368" t="s">
        <v>739</v>
      </c>
      <c r="B25" s="367"/>
      <c r="C25" s="367"/>
      <c r="D25" s="367"/>
      <c r="E25" s="367"/>
      <c r="F25" s="367"/>
      <c r="G25" s="367"/>
      <c r="H25" s="367"/>
    </row>
    <row r="26" spans="1:8">
      <c r="A26" s="368" t="s">
        <v>740</v>
      </c>
      <c r="B26" s="367"/>
      <c r="C26" s="367"/>
      <c r="D26" s="367"/>
      <c r="E26" s="367"/>
      <c r="F26" s="367"/>
      <c r="G26" s="367"/>
      <c r="H26" s="367"/>
    </row>
    <row r="27" spans="1:8">
      <c r="A27" s="367"/>
      <c r="B27" s="367"/>
      <c r="C27" s="367"/>
      <c r="D27" s="367"/>
      <c r="E27" s="367"/>
      <c r="F27" s="367"/>
      <c r="G27" s="367"/>
      <c r="H27" s="367"/>
    </row>
    <row r="28" spans="1:8">
      <c r="A28" s="367"/>
      <c r="B28" s="367"/>
      <c r="C28" s="367"/>
      <c r="D28" s="367"/>
      <c r="E28" s="367"/>
      <c r="F28" s="367"/>
      <c r="G28" s="367"/>
      <c r="H28" s="367"/>
    </row>
    <row r="29" spans="1:8">
      <c r="A29" s="368" t="s">
        <v>732</v>
      </c>
      <c r="B29" s="367"/>
      <c r="C29" s="367"/>
      <c r="D29" s="367"/>
      <c r="E29" s="367"/>
      <c r="F29" s="367"/>
      <c r="G29" s="367"/>
      <c r="H29" s="367"/>
    </row>
    <row r="30" spans="1:8">
      <c r="A30" s="368" t="s">
        <v>733</v>
      </c>
      <c r="B30" s="367"/>
      <c r="C30" s="367"/>
      <c r="D30" s="367"/>
      <c r="E30" s="367"/>
      <c r="F30" s="367"/>
      <c r="G30" s="367"/>
      <c r="H30" s="367"/>
    </row>
    <row r="31" spans="1:8">
      <c r="A31" s="368" t="s">
        <v>734</v>
      </c>
      <c r="B31" s="367"/>
      <c r="C31" s="367"/>
      <c r="D31" s="367"/>
      <c r="E31" s="367"/>
      <c r="F31" s="367"/>
      <c r="G31" s="367"/>
      <c r="H31" s="367"/>
    </row>
    <row r="32" spans="1:8">
      <c r="A32" s="368" t="s">
        <v>735</v>
      </c>
      <c r="B32" s="367"/>
      <c r="C32" s="367"/>
      <c r="D32" s="367"/>
      <c r="E32" s="367"/>
      <c r="F32" s="367"/>
      <c r="G32" s="367"/>
      <c r="H32" s="367"/>
    </row>
    <row r="33" spans="1:8">
      <c r="A33" s="368" t="s">
        <v>736</v>
      </c>
      <c r="B33" s="367"/>
      <c r="C33" s="367"/>
      <c r="D33" s="367"/>
      <c r="E33" s="367"/>
      <c r="F33" s="367"/>
      <c r="G33" s="367"/>
      <c r="H33" s="367"/>
    </row>
    <row r="34" spans="1:8">
      <c r="A34" s="367"/>
      <c r="B34" s="367"/>
      <c r="C34" s="367"/>
      <c r="D34" s="367"/>
      <c r="E34" s="367"/>
      <c r="F34" s="367"/>
      <c r="G34" s="367"/>
      <c r="H34" s="367"/>
    </row>
    <row r="35" spans="1:8">
      <c r="A35" s="368" t="s">
        <v>728</v>
      </c>
      <c r="B35" s="367"/>
      <c r="C35" s="367"/>
      <c r="D35" s="367"/>
      <c r="E35" s="367"/>
      <c r="F35" s="367"/>
      <c r="G35" s="367"/>
      <c r="H35" s="367"/>
    </row>
    <row r="36" spans="1:8">
      <c r="A36" s="368" t="s">
        <v>729</v>
      </c>
      <c r="B36" s="367"/>
      <c r="C36" s="367"/>
      <c r="D36" s="367"/>
      <c r="E36" s="367"/>
      <c r="F36" s="367"/>
      <c r="G36" s="367"/>
      <c r="H36" s="367"/>
    </row>
    <row r="37" spans="1:8">
      <c r="A37" s="368" t="s">
        <v>730</v>
      </c>
      <c r="B37" s="367"/>
      <c r="C37" s="367"/>
      <c r="D37" s="367"/>
      <c r="E37" s="367"/>
      <c r="F37" s="367"/>
      <c r="G37" s="367"/>
      <c r="H37" s="367"/>
    </row>
    <row r="38" spans="1:8">
      <c r="A38" s="368" t="s">
        <v>731</v>
      </c>
      <c r="B38" s="367"/>
      <c r="C38" s="367"/>
      <c r="D38" s="367"/>
      <c r="E38" s="367"/>
      <c r="F38" s="367"/>
      <c r="G38" s="367"/>
      <c r="H38" s="367"/>
    </row>
    <row r="39" spans="1:8">
      <c r="A39" s="367"/>
      <c r="B39" s="367"/>
      <c r="C39" s="367"/>
      <c r="D39" s="367"/>
      <c r="E39" s="367"/>
      <c r="F39" s="367"/>
      <c r="G39" s="367"/>
      <c r="H39" s="367"/>
    </row>
    <row r="40" spans="1:8">
      <c r="A40" s="368" t="s">
        <v>722</v>
      </c>
      <c r="B40" s="367"/>
      <c r="C40" s="367"/>
      <c r="D40" s="367"/>
      <c r="E40" s="367"/>
      <c r="F40" s="367"/>
      <c r="G40" s="367"/>
      <c r="H40" s="367"/>
    </row>
    <row r="41" spans="1:8">
      <c r="A41" s="368" t="s">
        <v>723</v>
      </c>
      <c r="B41" s="367"/>
      <c r="C41" s="367"/>
      <c r="D41" s="367"/>
      <c r="E41" s="367"/>
      <c r="F41" s="367"/>
      <c r="G41" s="367"/>
      <c r="H41" s="367"/>
    </row>
    <row r="42" spans="1:8">
      <c r="A42" s="368" t="s">
        <v>724</v>
      </c>
      <c r="B42" s="367"/>
      <c r="C42" s="367"/>
      <c r="D42" s="367"/>
      <c r="E42" s="367"/>
      <c r="F42" s="367"/>
      <c r="G42" s="367"/>
      <c r="H42" s="367"/>
    </row>
    <row r="43" spans="1:8">
      <c r="A43" s="368" t="s">
        <v>725</v>
      </c>
      <c r="B43" s="367"/>
      <c r="C43" s="367"/>
      <c r="D43" s="367"/>
      <c r="E43" s="367"/>
      <c r="F43" s="367"/>
      <c r="G43" s="367"/>
      <c r="H43" s="367"/>
    </row>
    <row r="44" spans="1:8">
      <c r="A44" s="368" t="s">
        <v>726</v>
      </c>
      <c r="B44" s="367"/>
      <c r="C44" s="367"/>
      <c r="D44" s="367"/>
      <c r="E44" s="367"/>
      <c r="F44" s="367"/>
      <c r="G44" s="367"/>
      <c r="H44" s="367"/>
    </row>
    <row r="45" spans="1:8">
      <c r="A45" s="368" t="s">
        <v>727</v>
      </c>
      <c r="B45" s="367"/>
      <c r="C45" s="367"/>
      <c r="D45" s="367"/>
      <c r="E45" s="367"/>
      <c r="F45" s="367"/>
      <c r="G45" s="367"/>
      <c r="H45" s="367"/>
    </row>
    <row r="46" spans="1:8">
      <c r="A46" s="367"/>
      <c r="B46" s="367"/>
      <c r="C46" s="367"/>
      <c r="D46" s="367"/>
      <c r="E46" s="367"/>
      <c r="F46" s="367"/>
      <c r="G46" s="367"/>
      <c r="H46" s="367"/>
    </row>
    <row r="47" spans="1:8" ht="15.75">
      <c r="A47" s="369" t="s">
        <v>458</v>
      </c>
      <c r="B47" s="367"/>
      <c r="C47" s="367"/>
      <c r="D47" s="367"/>
      <c r="E47" s="367"/>
      <c r="F47" s="367"/>
      <c r="G47" s="367"/>
      <c r="H47" s="367"/>
    </row>
    <row r="48" spans="1:8">
      <c r="A48" s="367"/>
      <c r="B48" s="367"/>
      <c r="C48" s="367"/>
      <c r="D48" s="367"/>
      <c r="E48" s="367"/>
      <c r="F48" s="367"/>
      <c r="G48" s="367"/>
      <c r="H48" s="367"/>
    </row>
    <row r="49" spans="1:8">
      <c r="A49" s="368" t="s">
        <v>718</v>
      </c>
      <c r="B49" s="367"/>
      <c r="C49" s="367"/>
      <c r="D49" s="367"/>
      <c r="E49" s="367"/>
      <c r="F49" s="367"/>
      <c r="G49" s="367"/>
      <c r="H49" s="367"/>
    </row>
    <row r="50" spans="1:8">
      <c r="A50" s="368" t="s">
        <v>719</v>
      </c>
      <c r="B50" s="367"/>
      <c r="C50" s="367"/>
      <c r="D50" s="367"/>
      <c r="E50" s="367"/>
      <c r="F50" s="367"/>
      <c r="G50" s="367"/>
      <c r="H50" s="367"/>
    </row>
    <row r="51" spans="1:8">
      <c r="A51" s="368" t="s">
        <v>720</v>
      </c>
      <c r="B51" s="367"/>
      <c r="C51" s="367"/>
      <c r="D51" s="367"/>
      <c r="E51" s="367"/>
      <c r="F51" s="367"/>
      <c r="G51" s="367"/>
      <c r="H51" s="367"/>
    </row>
    <row r="52" spans="1:8">
      <c r="A52" s="368" t="s">
        <v>721</v>
      </c>
      <c r="B52" s="367"/>
      <c r="C52" s="367"/>
      <c r="D52" s="367"/>
      <c r="E52" s="367"/>
      <c r="F52" s="367"/>
      <c r="G52" s="367"/>
      <c r="H52" s="367"/>
    </row>
    <row r="53" spans="1:8">
      <c r="A53" s="367"/>
      <c r="B53" s="367"/>
      <c r="C53" s="367"/>
      <c r="D53" s="367"/>
      <c r="E53" s="367"/>
      <c r="F53" s="367"/>
      <c r="G53" s="367"/>
      <c r="H53" s="367"/>
    </row>
    <row r="54" spans="1:8">
      <c r="A54" s="368" t="s">
        <v>459</v>
      </c>
      <c r="B54" s="367"/>
      <c r="C54" s="367"/>
      <c r="D54" s="367"/>
      <c r="E54" s="367"/>
      <c r="F54" s="367"/>
      <c r="G54" s="367"/>
      <c r="H54" s="367"/>
    </row>
    <row r="55" spans="1:8">
      <c r="A55" s="367"/>
      <c r="B55" s="367"/>
      <c r="C55" s="367"/>
      <c r="D55" s="367"/>
      <c r="E55" s="367"/>
      <c r="F55" s="367"/>
      <c r="G55" s="367"/>
      <c r="H55" s="367"/>
    </row>
    <row r="56" spans="1:8" ht="15.75">
      <c r="A56" s="369" t="s">
        <v>460</v>
      </c>
      <c r="B56" s="367"/>
      <c r="C56" s="367"/>
      <c r="D56" s="367"/>
      <c r="E56" s="367"/>
      <c r="F56" s="367"/>
      <c r="G56" s="367"/>
      <c r="H56" s="367"/>
    </row>
    <row r="57" spans="1:8">
      <c r="A57" s="367"/>
      <c r="B57" s="367"/>
      <c r="C57" s="367"/>
      <c r="D57" s="367"/>
      <c r="E57" s="367"/>
      <c r="F57" s="367"/>
      <c r="G57" s="367"/>
      <c r="H57" s="367"/>
    </row>
    <row r="58" spans="1:8">
      <c r="A58" s="368" t="s">
        <v>716</v>
      </c>
      <c r="B58" s="367"/>
      <c r="C58" s="367"/>
      <c r="D58" s="367"/>
      <c r="E58" s="367"/>
      <c r="F58" s="367"/>
      <c r="G58" s="367"/>
      <c r="H58" s="367"/>
    </row>
    <row r="59" spans="1:8">
      <c r="A59" s="368" t="s">
        <v>717</v>
      </c>
      <c r="B59" s="367"/>
      <c r="C59" s="367"/>
      <c r="D59" s="367"/>
      <c r="E59" s="367"/>
      <c r="F59" s="367"/>
      <c r="G59" s="367"/>
      <c r="H59" s="367"/>
    </row>
    <row r="60" spans="1:8">
      <c r="A60" s="367"/>
      <c r="B60" s="367"/>
      <c r="C60" s="367"/>
      <c r="D60" s="367"/>
      <c r="E60" s="367"/>
      <c r="F60" s="367"/>
      <c r="G60" s="367"/>
      <c r="H60" s="367"/>
    </row>
    <row r="61" spans="1:8" ht="15.75">
      <c r="A61" s="369" t="s">
        <v>461</v>
      </c>
      <c r="B61" s="367"/>
      <c r="C61" s="367"/>
      <c r="D61" s="367"/>
      <c r="E61" s="367"/>
      <c r="F61" s="367"/>
      <c r="G61" s="367"/>
      <c r="H61" s="367"/>
    </row>
    <row r="62" spans="1:8">
      <c r="A62" s="367"/>
      <c r="B62" s="367"/>
      <c r="C62" s="367"/>
      <c r="D62" s="367"/>
      <c r="E62" s="367"/>
      <c r="F62" s="367"/>
      <c r="G62" s="367"/>
      <c r="H62" s="367"/>
    </row>
    <row r="63" spans="1:8">
      <c r="A63" s="368" t="s">
        <v>714</v>
      </c>
      <c r="B63" s="367"/>
      <c r="C63" s="367"/>
      <c r="D63" s="367"/>
      <c r="E63" s="367"/>
      <c r="F63" s="367"/>
      <c r="G63" s="367"/>
      <c r="H63" s="367"/>
    </row>
    <row r="64" spans="1:8">
      <c r="A64" s="368" t="s">
        <v>715</v>
      </c>
      <c r="B64" s="367"/>
      <c r="C64" s="367"/>
      <c r="D64" s="367"/>
      <c r="E64" s="367"/>
      <c r="F64" s="367"/>
      <c r="G64" s="367"/>
      <c r="H64" s="367"/>
    </row>
    <row r="65" spans="1:8">
      <c r="A65" s="367"/>
      <c r="B65" s="367"/>
      <c r="C65" s="367"/>
      <c r="D65" s="367"/>
      <c r="E65" s="367"/>
      <c r="F65" s="367"/>
      <c r="G65" s="367"/>
      <c r="H65" s="367"/>
    </row>
    <row r="66" spans="1:8">
      <c r="A66" s="368" t="s">
        <v>712</v>
      </c>
      <c r="B66" s="367"/>
      <c r="C66" s="367"/>
      <c r="D66" s="367"/>
      <c r="E66" s="367"/>
      <c r="F66" s="367"/>
      <c r="G66" s="367"/>
      <c r="H66" s="367"/>
    </row>
    <row r="67" spans="1:8">
      <c r="A67" s="368" t="s">
        <v>713</v>
      </c>
      <c r="B67" s="367"/>
      <c r="C67" s="367"/>
      <c r="D67" s="367"/>
      <c r="E67" s="367"/>
      <c r="F67" s="367"/>
      <c r="G67" s="367"/>
      <c r="H67" s="367"/>
    </row>
    <row r="68" spans="1:8">
      <c r="A68" s="367"/>
      <c r="B68" s="367"/>
      <c r="C68" s="367"/>
      <c r="D68" s="367"/>
      <c r="E68" s="367"/>
      <c r="F68" s="367"/>
      <c r="G68" s="367"/>
      <c r="H68" s="367"/>
    </row>
    <row r="69" spans="1:8">
      <c r="A69" s="368" t="s">
        <v>710</v>
      </c>
      <c r="B69" s="367"/>
      <c r="C69" s="367"/>
      <c r="D69" s="367"/>
      <c r="E69" s="367"/>
      <c r="F69" s="367"/>
      <c r="G69" s="367"/>
      <c r="H69" s="367"/>
    </row>
    <row r="70" spans="1:8">
      <c r="A70" s="368" t="s">
        <v>711</v>
      </c>
      <c r="B70" s="367"/>
      <c r="C70" s="367"/>
      <c r="D70" s="367"/>
      <c r="E70" s="367"/>
      <c r="F70" s="367"/>
      <c r="G70" s="367"/>
      <c r="H70" s="367"/>
    </row>
    <row r="71" spans="1:8">
      <c r="A71" s="367"/>
      <c r="B71" s="367"/>
      <c r="C71" s="367"/>
      <c r="D71" s="367"/>
      <c r="E71" s="367"/>
      <c r="F71" s="367"/>
      <c r="G71" s="367"/>
      <c r="H71" s="367"/>
    </row>
    <row r="72" spans="1:8">
      <c r="A72" s="368" t="s">
        <v>708</v>
      </c>
      <c r="B72" s="367"/>
      <c r="C72" s="367"/>
      <c r="D72" s="367"/>
      <c r="E72" s="367"/>
      <c r="F72" s="367"/>
      <c r="G72" s="367"/>
      <c r="H72" s="367"/>
    </row>
    <row r="73" spans="1:8">
      <c r="A73" s="368" t="s">
        <v>709</v>
      </c>
      <c r="B73" s="367"/>
      <c r="C73" s="367"/>
      <c r="D73" s="367"/>
      <c r="E73" s="367"/>
      <c r="F73" s="367"/>
      <c r="G73" s="367"/>
      <c r="H73" s="367"/>
    </row>
    <row r="74" spans="1:8">
      <c r="A74" s="367"/>
      <c r="B74" s="367"/>
      <c r="C74" s="367"/>
      <c r="D74" s="367"/>
      <c r="E74" s="367"/>
      <c r="F74" s="367"/>
      <c r="G74" s="367"/>
      <c r="H74" s="367"/>
    </row>
    <row r="75" spans="1:8">
      <c r="A75" s="368" t="s">
        <v>706</v>
      </c>
      <c r="B75" s="367"/>
      <c r="C75" s="367"/>
      <c r="D75" s="367"/>
      <c r="E75" s="367"/>
      <c r="F75" s="367"/>
      <c r="G75" s="367"/>
      <c r="H75" s="367"/>
    </row>
    <row r="76" spans="1:8">
      <c r="A76" s="368" t="s">
        <v>707</v>
      </c>
      <c r="B76" s="367"/>
      <c r="C76" s="367"/>
      <c r="D76" s="367"/>
      <c r="E76" s="367"/>
      <c r="F76" s="367"/>
      <c r="G76" s="367"/>
      <c r="H76" s="367"/>
    </row>
    <row r="77" spans="1:8">
      <c r="A77" s="367"/>
      <c r="B77" s="367"/>
      <c r="C77" s="367"/>
      <c r="D77" s="367"/>
      <c r="E77" s="367"/>
      <c r="F77" s="367"/>
      <c r="G77" s="367"/>
      <c r="H77" s="367"/>
    </row>
    <row r="78" spans="1:8">
      <c r="A78" s="368" t="s">
        <v>703</v>
      </c>
      <c r="B78" s="367"/>
      <c r="C78" s="367"/>
      <c r="D78" s="367"/>
      <c r="E78" s="367"/>
      <c r="F78" s="367"/>
      <c r="G78" s="367"/>
      <c r="H78" s="367"/>
    </row>
    <row r="79" spans="1:8">
      <c r="A79" s="368" t="s">
        <v>704</v>
      </c>
      <c r="B79" s="367"/>
      <c r="C79" s="367"/>
      <c r="D79" s="367"/>
      <c r="E79" s="367"/>
      <c r="F79" s="367"/>
      <c r="G79" s="367"/>
      <c r="H79" s="367"/>
    </row>
    <row r="80" spans="1:8">
      <c r="A80" s="368" t="s">
        <v>705</v>
      </c>
      <c r="B80" s="367"/>
      <c r="C80" s="367"/>
      <c r="D80" s="367"/>
      <c r="E80" s="367"/>
      <c r="F80" s="367"/>
      <c r="G80" s="367"/>
      <c r="H80" s="367"/>
    </row>
    <row r="81" spans="1:8">
      <c r="A81" s="367"/>
      <c r="B81" s="367"/>
      <c r="C81" s="367"/>
      <c r="D81" s="367"/>
      <c r="E81" s="367"/>
      <c r="F81" s="367"/>
      <c r="G81" s="367"/>
      <c r="H81" s="367"/>
    </row>
    <row r="82" spans="1:8">
      <c r="A82" s="368" t="s">
        <v>462</v>
      </c>
      <c r="B82" s="367"/>
      <c r="C82" s="367"/>
      <c r="D82" s="367"/>
      <c r="E82" s="367"/>
      <c r="F82" s="367"/>
      <c r="G82" s="367"/>
      <c r="H82" s="367"/>
    </row>
    <row r="83" spans="1:8">
      <c r="A83" s="367"/>
      <c r="B83" s="367"/>
      <c r="C83" s="367"/>
      <c r="D83" s="367"/>
      <c r="E83" s="367"/>
      <c r="F83" s="367"/>
      <c r="G83" s="367"/>
      <c r="H83" s="367"/>
    </row>
    <row r="84" spans="1:8">
      <c r="A84" s="368" t="s">
        <v>698</v>
      </c>
      <c r="B84" s="367"/>
      <c r="C84" s="367"/>
      <c r="D84" s="367"/>
      <c r="E84" s="367"/>
      <c r="F84" s="367"/>
      <c r="G84" s="367"/>
      <c r="H84" s="367"/>
    </row>
    <row r="85" spans="1:8">
      <c r="A85" s="368" t="s">
        <v>699</v>
      </c>
      <c r="B85" s="367"/>
      <c r="C85" s="367"/>
      <c r="D85" s="367"/>
      <c r="E85" s="367"/>
      <c r="F85" s="367"/>
      <c r="G85" s="367"/>
      <c r="H85" s="367"/>
    </row>
    <row r="86" spans="1:8">
      <c r="A86" s="368" t="s">
        <v>700</v>
      </c>
      <c r="B86" s="367"/>
      <c r="C86" s="367"/>
      <c r="D86" s="367"/>
      <c r="E86" s="367"/>
      <c r="F86" s="367"/>
      <c r="G86" s="367"/>
      <c r="H86" s="367"/>
    </row>
    <row r="87" spans="1:8">
      <c r="A87" s="368" t="s">
        <v>701</v>
      </c>
      <c r="B87" s="367"/>
      <c r="C87" s="367"/>
      <c r="D87" s="367"/>
      <c r="E87" s="367"/>
      <c r="F87" s="367"/>
      <c r="G87" s="367"/>
      <c r="H87" s="367"/>
    </row>
    <row r="88" spans="1:8">
      <c r="A88" s="368" t="s">
        <v>702</v>
      </c>
      <c r="B88" s="367"/>
      <c r="C88" s="367"/>
      <c r="D88" s="367"/>
      <c r="E88" s="367"/>
      <c r="F88" s="367"/>
      <c r="G88" s="367"/>
      <c r="H88" s="367"/>
    </row>
    <row r="89" spans="1:8">
      <c r="A89" s="368" t="s">
        <v>587</v>
      </c>
      <c r="B89" s="367"/>
      <c r="C89" s="367"/>
      <c r="D89" s="367"/>
      <c r="E89" s="367"/>
      <c r="F89" s="367"/>
      <c r="G89" s="367"/>
      <c r="H89" s="367"/>
    </row>
    <row r="90" spans="1:8">
      <c r="A90" s="367"/>
      <c r="B90" s="367"/>
      <c r="C90" s="367"/>
      <c r="D90" s="367"/>
      <c r="E90" s="367"/>
      <c r="F90" s="367"/>
      <c r="G90" s="367"/>
      <c r="H90" s="367"/>
    </row>
    <row r="91" spans="1:8">
      <c r="A91" s="368" t="s">
        <v>691</v>
      </c>
      <c r="B91" s="367"/>
      <c r="C91" s="367"/>
      <c r="D91" s="367"/>
      <c r="E91" s="367"/>
      <c r="F91" s="367"/>
      <c r="G91" s="367"/>
      <c r="H91" s="367"/>
    </row>
    <row r="92" spans="1:8">
      <c r="A92" s="368" t="s">
        <v>692</v>
      </c>
      <c r="B92" s="367"/>
      <c r="C92" s="367"/>
      <c r="D92" s="367"/>
      <c r="E92" s="367"/>
      <c r="F92" s="367"/>
      <c r="G92" s="367"/>
      <c r="H92" s="367"/>
    </row>
    <row r="93" spans="1:8">
      <c r="A93" s="368" t="s">
        <v>693</v>
      </c>
      <c r="B93" s="367"/>
      <c r="C93" s="367"/>
      <c r="D93" s="367"/>
      <c r="E93" s="367"/>
      <c r="F93" s="367"/>
      <c r="G93" s="367"/>
      <c r="H93" s="367"/>
    </row>
    <row r="94" spans="1:8">
      <c r="A94" s="368" t="s">
        <v>694</v>
      </c>
      <c r="B94" s="367"/>
      <c r="C94" s="367"/>
      <c r="D94" s="367"/>
      <c r="E94" s="367"/>
      <c r="F94" s="367"/>
      <c r="G94" s="367"/>
      <c r="H94" s="367"/>
    </row>
    <row r="95" spans="1:8">
      <c r="A95" s="368" t="s">
        <v>695</v>
      </c>
      <c r="B95" s="367"/>
      <c r="C95" s="367"/>
      <c r="D95" s="367"/>
      <c r="E95" s="367"/>
      <c r="F95" s="367"/>
      <c r="G95" s="367"/>
      <c r="H95" s="367"/>
    </row>
    <row r="96" spans="1:8">
      <c r="A96" s="368" t="s">
        <v>696</v>
      </c>
      <c r="B96" s="367"/>
      <c r="C96" s="367"/>
      <c r="D96" s="367"/>
      <c r="E96" s="367"/>
      <c r="F96" s="367"/>
      <c r="G96" s="367"/>
      <c r="H96" s="367"/>
    </row>
    <row r="97" spans="1:8">
      <c r="A97" s="368" t="s">
        <v>697</v>
      </c>
      <c r="B97" s="367"/>
      <c r="C97" s="367"/>
      <c r="D97" s="367"/>
      <c r="E97" s="367"/>
      <c r="F97" s="367"/>
      <c r="G97" s="367"/>
      <c r="H97" s="367"/>
    </row>
    <row r="98" spans="1:8">
      <c r="A98" s="367"/>
      <c r="B98" s="367"/>
      <c r="C98" s="367"/>
      <c r="D98" s="367"/>
      <c r="E98" s="367"/>
      <c r="F98" s="367"/>
      <c r="G98" s="367"/>
      <c r="H98" s="367"/>
    </row>
    <row r="99" spans="1:8">
      <c r="A99" s="368" t="s">
        <v>689</v>
      </c>
      <c r="B99" s="367"/>
      <c r="C99" s="367"/>
      <c r="D99" s="367"/>
      <c r="E99" s="367"/>
      <c r="F99" s="367"/>
      <c r="G99" s="367"/>
      <c r="H99" s="367"/>
    </row>
    <row r="100" spans="1:8">
      <c r="A100" s="368" t="s">
        <v>690</v>
      </c>
      <c r="B100" s="367"/>
      <c r="C100" s="367"/>
      <c r="D100" s="367"/>
      <c r="E100" s="367"/>
      <c r="F100" s="367"/>
      <c r="G100" s="367"/>
      <c r="H100" s="367"/>
    </row>
    <row r="101" spans="1:8">
      <c r="A101" s="367"/>
      <c r="B101" s="367"/>
      <c r="C101" s="367"/>
      <c r="D101" s="367"/>
      <c r="E101" s="367"/>
      <c r="F101" s="367"/>
      <c r="G101" s="367"/>
      <c r="H101" s="367"/>
    </row>
    <row r="102" spans="1:8" ht="15.75">
      <c r="A102" s="369" t="s">
        <v>463</v>
      </c>
      <c r="B102" s="367"/>
      <c r="C102" s="367"/>
      <c r="D102" s="367"/>
      <c r="E102" s="367"/>
      <c r="F102" s="367"/>
      <c r="G102" s="367"/>
      <c r="H102" s="367"/>
    </row>
    <row r="103" spans="1:8">
      <c r="A103" s="367"/>
      <c r="B103" s="367"/>
      <c r="C103" s="367"/>
      <c r="D103" s="367"/>
      <c r="E103" s="367"/>
      <c r="F103" s="367"/>
      <c r="G103" s="367"/>
      <c r="H103" s="367"/>
    </row>
    <row r="104" spans="1:8">
      <c r="A104" s="368" t="s">
        <v>680</v>
      </c>
      <c r="B104" s="367"/>
      <c r="C104" s="367"/>
      <c r="D104" s="367"/>
      <c r="E104" s="367"/>
      <c r="F104" s="367"/>
      <c r="G104" s="367"/>
      <c r="H104" s="367"/>
    </row>
    <row r="105" spans="1:8">
      <c r="A105" s="368" t="s">
        <v>681</v>
      </c>
      <c r="B105" s="367"/>
      <c r="C105" s="367"/>
      <c r="D105" s="367"/>
      <c r="E105" s="367"/>
      <c r="F105" s="367"/>
      <c r="G105" s="367"/>
      <c r="H105" s="367"/>
    </row>
    <row r="106" spans="1:8">
      <c r="A106" s="368" t="s">
        <v>682</v>
      </c>
      <c r="B106" s="367"/>
      <c r="C106" s="367"/>
      <c r="D106" s="367"/>
      <c r="E106" s="367"/>
      <c r="F106" s="367"/>
      <c r="G106" s="367"/>
      <c r="H106" s="367"/>
    </row>
    <row r="107" spans="1:8">
      <c r="A107" s="368" t="s">
        <v>683</v>
      </c>
      <c r="B107" s="367"/>
      <c r="C107" s="367"/>
      <c r="D107" s="367"/>
      <c r="E107" s="367"/>
      <c r="F107" s="367"/>
      <c r="G107" s="367"/>
      <c r="H107" s="367"/>
    </row>
    <row r="108" spans="1:8">
      <c r="A108" s="368" t="s">
        <v>684</v>
      </c>
      <c r="B108" s="367"/>
      <c r="C108" s="367"/>
      <c r="D108" s="367"/>
      <c r="E108" s="367"/>
      <c r="F108" s="367"/>
      <c r="G108" s="367"/>
      <c r="H108" s="367"/>
    </row>
    <row r="109" spans="1:8">
      <c r="A109" s="368" t="s">
        <v>685</v>
      </c>
      <c r="B109" s="367"/>
      <c r="C109" s="367"/>
      <c r="D109" s="367"/>
      <c r="E109" s="367"/>
      <c r="F109" s="367"/>
      <c r="G109" s="367"/>
      <c r="H109" s="367"/>
    </row>
    <row r="110" spans="1:8">
      <c r="A110" s="368" t="s">
        <v>686</v>
      </c>
      <c r="B110" s="367"/>
      <c r="C110" s="367"/>
      <c r="D110" s="367"/>
      <c r="E110" s="367"/>
      <c r="F110" s="367"/>
      <c r="G110" s="367"/>
      <c r="H110" s="367"/>
    </row>
    <row r="111" spans="1:8">
      <c r="A111" s="368" t="s">
        <v>687</v>
      </c>
      <c r="B111" s="367"/>
      <c r="C111" s="367"/>
      <c r="D111" s="367"/>
      <c r="E111" s="367"/>
      <c r="F111" s="367"/>
      <c r="G111" s="367"/>
      <c r="H111" s="367"/>
    </row>
    <row r="112" spans="1:8">
      <c r="A112" s="368" t="s">
        <v>688</v>
      </c>
      <c r="B112" s="367"/>
      <c r="C112" s="367"/>
      <c r="D112" s="367"/>
      <c r="E112" s="367"/>
      <c r="F112" s="367"/>
      <c r="G112" s="367"/>
      <c r="H112" s="367"/>
    </row>
    <row r="113" spans="1:8">
      <c r="A113" s="367"/>
      <c r="B113" s="367"/>
      <c r="C113" s="367"/>
      <c r="D113" s="367"/>
      <c r="E113" s="367"/>
      <c r="F113" s="367"/>
      <c r="G113" s="367"/>
      <c r="H113" s="367"/>
    </row>
    <row r="114" spans="1:8" ht="15.75">
      <c r="A114" s="370" t="s">
        <v>464</v>
      </c>
      <c r="B114" s="370"/>
      <c r="C114" s="370"/>
      <c r="D114" s="370"/>
      <c r="E114" s="370"/>
      <c r="F114" s="370"/>
      <c r="G114" s="370"/>
      <c r="H114" s="370"/>
    </row>
    <row r="115" spans="1:8">
      <c r="A115" s="371" t="s">
        <v>465</v>
      </c>
      <c r="B115" s="371"/>
      <c r="C115" s="371"/>
      <c r="D115" s="371"/>
      <c r="E115" s="371"/>
      <c r="F115" s="371"/>
      <c r="G115" s="371"/>
      <c r="H115" s="371"/>
    </row>
    <row r="116" spans="1:8">
      <c r="A116" s="372"/>
      <c r="B116" s="372"/>
      <c r="C116" s="372"/>
      <c r="D116" s="372"/>
      <c r="E116" s="372"/>
      <c r="F116" s="372"/>
      <c r="G116" s="372"/>
      <c r="H116" s="372"/>
    </row>
    <row r="117" spans="1:8">
      <c r="A117" s="371" t="s">
        <v>678</v>
      </c>
      <c r="B117" s="371"/>
      <c r="C117" s="371"/>
      <c r="D117" s="371"/>
      <c r="E117" s="371"/>
      <c r="F117" s="371"/>
      <c r="G117" s="371"/>
      <c r="H117" s="371"/>
    </row>
    <row r="118" spans="1:8">
      <c r="A118" s="368" t="s">
        <v>679</v>
      </c>
      <c r="B118" s="368"/>
      <c r="C118" s="368"/>
      <c r="D118" s="368"/>
      <c r="E118" s="368"/>
      <c r="F118" s="368"/>
      <c r="G118" s="368"/>
      <c r="H118" s="368"/>
    </row>
    <row r="119" spans="1:8">
      <c r="A119" s="372"/>
      <c r="B119" s="372"/>
      <c r="C119" s="372"/>
      <c r="D119" s="372"/>
      <c r="E119" s="372"/>
      <c r="F119" s="372"/>
      <c r="G119" s="372"/>
      <c r="H119" s="372"/>
    </row>
    <row r="120" spans="1:8">
      <c r="A120" s="371" t="s">
        <v>671</v>
      </c>
      <c r="B120" s="371"/>
      <c r="C120" s="371"/>
      <c r="D120" s="371"/>
      <c r="E120" s="371"/>
      <c r="F120" s="371"/>
      <c r="G120" s="371"/>
      <c r="H120" s="371"/>
    </row>
    <row r="121" spans="1:8">
      <c r="A121" s="368" t="s">
        <v>672</v>
      </c>
      <c r="B121" s="368"/>
      <c r="C121" s="368"/>
      <c r="D121" s="368"/>
      <c r="E121" s="368"/>
      <c r="F121" s="368"/>
      <c r="G121" s="368"/>
      <c r="H121" s="368"/>
    </row>
    <row r="122" spans="1:8">
      <c r="A122" s="368" t="s">
        <v>673</v>
      </c>
      <c r="B122" s="368"/>
      <c r="C122" s="368"/>
      <c r="D122" s="368"/>
      <c r="E122" s="368"/>
      <c r="F122" s="368"/>
      <c r="G122" s="368"/>
      <c r="H122" s="368"/>
    </row>
    <row r="123" spans="1:8">
      <c r="A123" s="368" t="s">
        <v>674</v>
      </c>
      <c r="B123" s="368"/>
      <c r="C123" s="368"/>
      <c r="D123" s="368"/>
      <c r="E123" s="368"/>
      <c r="F123" s="368"/>
      <c r="G123" s="368"/>
      <c r="H123" s="368"/>
    </row>
    <row r="124" spans="1:8">
      <c r="A124" s="368" t="s">
        <v>675</v>
      </c>
      <c r="B124" s="368"/>
      <c r="C124" s="368"/>
      <c r="D124" s="368"/>
      <c r="E124" s="368"/>
      <c r="F124" s="368"/>
      <c r="G124" s="368"/>
      <c r="H124" s="368"/>
    </row>
    <row r="125" spans="1:8">
      <c r="A125" s="368" t="s">
        <v>676</v>
      </c>
      <c r="B125" s="368"/>
      <c r="C125" s="368"/>
      <c r="D125" s="368"/>
      <c r="E125" s="368"/>
      <c r="F125" s="368"/>
      <c r="G125" s="368"/>
      <c r="H125" s="368"/>
    </row>
    <row r="126" spans="1:8">
      <c r="A126" s="368" t="s">
        <v>677</v>
      </c>
      <c r="B126" s="368"/>
      <c r="C126" s="368"/>
      <c r="D126" s="368"/>
      <c r="E126" s="368"/>
      <c r="F126" s="368"/>
      <c r="G126" s="368"/>
      <c r="H126" s="368"/>
    </row>
    <row r="127" spans="1:8">
      <c r="A127" s="373"/>
      <c r="B127" s="373"/>
      <c r="C127" s="373"/>
      <c r="D127" s="373"/>
      <c r="E127" s="373"/>
      <c r="F127" s="373"/>
      <c r="G127" s="373"/>
      <c r="H127" s="373"/>
    </row>
    <row r="128" spans="1:8">
      <c r="A128" s="374"/>
      <c r="B128" s="375" t="s">
        <v>466</v>
      </c>
      <c r="C128" s="376"/>
      <c r="D128" s="375" t="s">
        <v>467</v>
      </c>
      <c r="E128" s="377"/>
      <c r="F128" s="376"/>
      <c r="G128" s="375" t="s">
        <v>468</v>
      </c>
      <c r="H128" s="376"/>
    </row>
    <row r="129" spans="1:8">
      <c r="A129" s="374" t="s">
        <v>469</v>
      </c>
      <c r="B129" s="374" t="s">
        <v>369</v>
      </c>
      <c r="C129" s="374" t="s">
        <v>267</v>
      </c>
      <c r="D129" s="374" t="s">
        <v>369</v>
      </c>
      <c r="E129" s="374" t="s">
        <v>470</v>
      </c>
      <c r="F129" s="374" t="s">
        <v>471</v>
      </c>
      <c r="G129" s="374" t="s">
        <v>369</v>
      </c>
      <c r="H129" s="374" t="s">
        <v>472</v>
      </c>
    </row>
    <row r="130" spans="1:8">
      <c r="A130" s="374" t="s">
        <v>473</v>
      </c>
      <c r="B130" s="374">
        <v>1173</v>
      </c>
      <c r="C130" s="378">
        <v>0.37</v>
      </c>
      <c r="D130" s="374">
        <v>318</v>
      </c>
      <c r="E130" s="378">
        <v>0.41</v>
      </c>
      <c r="F130" s="378">
        <v>0.27</v>
      </c>
      <c r="G130" s="374">
        <v>571</v>
      </c>
      <c r="H130" s="378">
        <v>0.39</v>
      </c>
    </row>
    <row r="131" spans="1:8">
      <c r="A131" s="374" t="s">
        <v>474</v>
      </c>
      <c r="B131" s="374">
        <v>1390</v>
      </c>
      <c r="C131" s="378">
        <v>0.44</v>
      </c>
      <c r="D131" s="374">
        <v>359</v>
      </c>
      <c r="E131" s="378">
        <v>0.47</v>
      </c>
      <c r="F131" s="378">
        <v>0.26</v>
      </c>
      <c r="G131" s="374">
        <v>653</v>
      </c>
      <c r="H131" s="378">
        <v>0.45</v>
      </c>
    </row>
    <row r="132" spans="1:8">
      <c r="A132" s="374" t="s">
        <v>475</v>
      </c>
      <c r="B132" s="374">
        <v>53</v>
      </c>
      <c r="C132" s="378">
        <v>0.02</v>
      </c>
      <c r="D132" s="374">
        <v>5</v>
      </c>
      <c r="E132" s="378">
        <v>0.01</v>
      </c>
      <c r="F132" s="378">
        <v>0.09</v>
      </c>
      <c r="G132" s="374">
        <v>8</v>
      </c>
      <c r="H132" s="378">
        <v>0.01</v>
      </c>
    </row>
    <row r="133" spans="1:8">
      <c r="A133" s="374" t="s">
        <v>476</v>
      </c>
      <c r="B133" s="374">
        <v>564</v>
      </c>
      <c r="C133" s="378">
        <v>0.18</v>
      </c>
      <c r="D133" s="374">
        <v>90</v>
      </c>
      <c r="E133" s="378">
        <v>0.12</v>
      </c>
      <c r="F133" s="378">
        <v>0.16</v>
      </c>
      <c r="G133" s="374">
        <v>219</v>
      </c>
      <c r="H133" s="378">
        <v>0.15</v>
      </c>
    </row>
    <row r="134" spans="1:8">
      <c r="A134" s="374" t="s">
        <v>76</v>
      </c>
      <c r="B134" s="379">
        <v>3180</v>
      </c>
      <c r="C134" s="374"/>
      <c r="D134" s="374">
        <v>772</v>
      </c>
      <c r="E134" s="374"/>
      <c r="F134" s="374"/>
      <c r="G134" s="374">
        <v>1451</v>
      </c>
      <c r="H134" s="374"/>
    </row>
    <row r="135" spans="1:8">
      <c r="A135" s="380"/>
      <c r="B135" s="380"/>
      <c r="C135" s="380"/>
      <c r="D135" s="380"/>
      <c r="E135" s="380"/>
      <c r="F135" s="380"/>
      <c r="G135" s="380"/>
      <c r="H135" s="380"/>
    </row>
    <row r="136" spans="1:8">
      <c r="A136" s="371" t="s">
        <v>667</v>
      </c>
      <c r="B136" s="371"/>
      <c r="C136" s="371"/>
      <c r="D136" s="371"/>
      <c r="E136" s="371"/>
      <c r="F136" s="371"/>
      <c r="G136" s="371"/>
      <c r="H136" s="371"/>
    </row>
    <row r="137" spans="1:8">
      <c r="A137" s="368" t="s">
        <v>668</v>
      </c>
      <c r="B137" s="368"/>
      <c r="C137" s="368"/>
      <c r="D137" s="368"/>
      <c r="E137" s="368"/>
      <c r="F137" s="368"/>
      <c r="G137" s="368"/>
      <c r="H137" s="368"/>
    </row>
    <row r="138" spans="1:8">
      <c r="A138" s="368" t="s">
        <v>669</v>
      </c>
      <c r="B138" s="368"/>
      <c r="C138" s="368"/>
      <c r="D138" s="368"/>
      <c r="E138" s="368"/>
      <c r="F138" s="368"/>
      <c r="G138" s="368"/>
      <c r="H138" s="368"/>
    </row>
    <row r="139" spans="1:8">
      <c r="A139" s="368" t="s">
        <v>670</v>
      </c>
      <c r="B139" s="368"/>
      <c r="C139" s="368"/>
      <c r="D139" s="368"/>
      <c r="E139" s="368"/>
      <c r="F139" s="368"/>
      <c r="G139" s="368"/>
      <c r="H139" s="368"/>
    </row>
    <row r="140" spans="1:8">
      <c r="A140" s="367"/>
      <c r="B140" s="367"/>
      <c r="C140" s="367"/>
      <c r="D140" s="367"/>
      <c r="E140" s="367"/>
      <c r="F140" s="367"/>
      <c r="G140" s="367"/>
      <c r="H140" s="367"/>
    </row>
    <row r="141" spans="1:8" ht="15.75">
      <c r="A141" s="369" t="s">
        <v>477</v>
      </c>
      <c r="B141" s="367"/>
      <c r="C141" s="367"/>
      <c r="D141" s="367"/>
      <c r="E141" s="367"/>
      <c r="F141" s="367"/>
      <c r="G141" s="367"/>
      <c r="H141" s="367"/>
    </row>
    <row r="142" spans="1:8">
      <c r="A142" s="367"/>
      <c r="B142" s="367"/>
      <c r="C142" s="367"/>
      <c r="D142" s="367"/>
      <c r="E142" s="367"/>
      <c r="F142" s="367"/>
      <c r="G142" s="367"/>
      <c r="H142" s="367"/>
    </row>
    <row r="143" spans="1:8">
      <c r="A143" s="368" t="s">
        <v>665</v>
      </c>
      <c r="B143" s="367"/>
      <c r="C143" s="367"/>
      <c r="D143" s="367"/>
      <c r="E143" s="367"/>
      <c r="F143" s="367"/>
      <c r="G143" s="367"/>
      <c r="H143" s="367"/>
    </row>
    <row r="144" spans="1:8">
      <c r="A144" s="368" t="s">
        <v>666</v>
      </c>
      <c r="B144" s="367"/>
      <c r="C144" s="367"/>
      <c r="D144" s="367"/>
      <c r="E144" s="367"/>
      <c r="F144" s="367"/>
      <c r="G144" s="367"/>
      <c r="H144" s="367"/>
    </row>
    <row r="145" spans="1:8">
      <c r="A145" s="367"/>
      <c r="B145" s="367"/>
      <c r="C145" s="367"/>
      <c r="D145" s="367"/>
      <c r="E145" s="367"/>
      <c r="F145" s="367"/>
      <c r="G145" s="367"/>
      <c r="H145" s="367"/>
    </row>
    <row r="146" spans="1:8">
      <c r="A146" s="368" t="s">
        <v>662</v>
      </c>
      <c r="B146" s="367"/>
      <c r="C146" s="367"/>
      <c r="D146" s="367"/>
      <c r="E146" s="367"/>
      <c r="F146" s="367"/>
      <c r="G146" s="367"/>
      <c r="H146" s="367"/>
    </row>
    <row r="147" spans="1:8">
      <c r="A147" s="368" t="s">
        <v>663</v>
      </c>
      <c r="B147" s="367"/>
      <c r="C147" s="367"/>
      <c r="D147" s="367"/>
      <c r="E147" s="367"/>
      <c r="F147" s="367"/>
      <c r="G147" s="367"/>
      <c r="H147" s="367"/>
    </row>
    <row r="148" spans="1:8">
      <c r="A148" s="368" t="s">
        <v>664</v>
      </c>
      <c r="B148" s="367"/>
      <c r="C148" s="367"/>
      <c r="D148" s="367"/>
      <c r="E148" s="367"/>
      <c r="F148" s="367"/>
      <c r="G148" s="367"/>
      <c r="H148" s="367"/>
    </row>
    <row r="149" spans="1:8">
      <c r="A149" s="367"/>
      <c r="B149" s="367"/>
      <c r="C149" s="367"/>
      <c r="D149" s="367"/>
      <c r="E149" s="367"/>
      <c r="F149" s="367"/>
      <c r="G149" s="367"/>
      <c r="H149" s="367"/>
    </row>
    <row r="150" spans="1:8">
      <c r="A150" s="368" t="s">
        <v>659</v>
      </c>
      <c r="B150" s="367"/>
      <c r="C150" s="367"/>
      <c r="D150" s="367"/>
      <c r="E150" s="367"/>
      <c r="F150" s="367"/>
      <c r="G150" s="367"/>
      <c r="H150" s="367"/>
    </row>
    <row r="151" spans="1:8">
      <c r="A151" s="368" t="s">
        <v>660</v>
      </c>
      <c r="B151" s="367"/>
      <c r="C151" s="367"/>
      <c r="D151" s="367"/>
      <c r="E151" s="367"/>
      <c r="F151" s="367"/>
      <c r="G151" s="367"/>
      <c r="H151" s="367"/>
    </row>
    <row r="152" spans="1:8">
      <c r="A152" s="368" t="s">
        <v>661</v>
      </c>
      <c r="B152" s="367"/>
      <c r="C152" s="367"/>
      <c r="D152" s="367"/>
      <c r="E152" s="367"/>
      <c r="F152" s="367"/>
      <c r="G152" s="367"/>
      <c r="H152" s="367"/>
    </row>
    <row r="153" spans="1:8">
      <c r="A153" s="367"/>
      <c r="B153" s="367"/>
      <c r="C153" s="367"/>
      <c r="D153" s="367"/>
      <c r="E153" s="367"/>
      <c r="F153" s="367"/>
      <c r="G153" s="367"/>
      <c r="H153" s="367"/>
    </row>
    <row r="154" spans="1:8">
      <c r="A154" s="368" t="s">
        <v>656</v>
      </c>
      <c r="B154" s="367"/>
      <c r="C154" s="367"/>
      <c r="D154" s="367"/>
      <c r="E154" s="367"/>
      <c r="F154" s="367"/>
      <c r="G154" s="367"/>
      <c r="H154" s="367"/>
    </row>
    <row r="155" spans="1:8">
      <c r="A155" s="368" t="s">
        <v>657</v>
      </c>
      <c r="B155" s="367"/>
      <c r="C155" s="367"/>
      <c r="D155" s="367"/>
      <c r="E155" s="367"/>
      <c r="F155" s="367"/>
      <c r="G155" s="367"/>
      <c r="H155" s="367"/>
    </row>
    <row r="156" spans="1:8">
      <c r="A156" s="368" t="s">
        <v>658</v>
      </c>
      <c r="B156" s="367"/>
      <c r="C156" s="367"/>
      <c r="D156" s="367"/>
      <c r="E156" s="367"/>
      <c r="F156" s="367"/>
      <c r="G156" s="367"/>
      <c r="H156" s="367"/>
    </row>
    <row r="157" spans="1:8">
      <c r="A157" s="367"/>
      <c r="B157" s="367"/>
      <c r="C157" s="367"/>
      <c r="D157" s="367"/>
      <c r="E157" s="367"/>
      <c r="F157" s="367"/>
      <c r="G157" s="367"/>
      <c r="H157" s="367"/>
    </row>
    <row r="158" spans="1:8">
      <c r="A158" s="368" t="s">
        <v>654</v>
      </c>
      <c r="B158" s="367"/>
      <c r="C158" s="367"/>
      <c r="D158" s="367"/>
      <c r="E158" s="367"/>
      <c r="F158" s="367"/>
      <c r="G158" s="367"/>
      <c r="H158" s="367"/>
    </row>
    <row r="159" spans="1:8">
      <c r="A159" s="368" t="s">
        <v>655</v>
      </c>
      <c r="B159" s="367"/>
      <c r="C159" s="367"/>
      <c r="D159" s="367"/>
      <c r="E159" s="367"/>
      <c r="F159" s="367"/>
      <c r="G159" s="367"/>
      <c r="H159" s="367"/>
    </row>
    <row r="160" spans="1:8">
      <c r="A160" s="367"/>
      <c r="B160" s="367"/>
      <c r="C160" s="367"/>
      <c r="D160" s="367"/>
      <c r="E160" s="367"/>
      <c r="F160" s="367"/>
      <c r="G160" s="367"/>
      <c r="H160" s="367"/>
    </row>
    <row r="161" spans="1:8" ht="15.75">
      <c r="A161" s="369" t="s">
        <v>478</v>
      </c>
      <c r="B161" s="367"/>
      <c r="C161" s="367"/>
      <c r="D161" s="367"/>
      <c r="E161" s="367"/>
      <c r="F161" s="367"/>
      <c r="G161" s="367"/>
      <c r="H161" s="367"/>
    </row>
    <row r="162" spans="1:8">
      <c r="A162" s="367"/>
      <c r="B162" s="367"/>
      <c r="C162" s="367"/>
      <c r="D162" s="367"/>
      <c r="E162" s="367"/>
      <c r="F162" s="367"/>
      <c r="G162" s="367"/>
      <c r="H162" s="367"/>
    </row>
    <row r="163" spans="1:8">
      <c r="A163" s="368" t="s">
        <v>652</v>
      </c>
      <c r="B163" s="367"/>
      <c r="C163" s="367"/>
      <c r="D163" s="367"/>
      <c r="E163" s="367"/>
      <c r="F163" s="367"/>
      <c r="G163" s="367"/>
      <c r="H163" s="367"/>
    </row>
    <row r="164" spans="1:8">
      <c r="A164" s="368" t="s">
        <v>653</v>
      </c>
      <c r="B164" s="367"/>
      <c r="C164" s="367"/>
      <c r="D164" s="367"/>
      <c r="E164" s="367"/>
      <c r="F164" s="367"/>
      <c r="G164" s="367"/>
      <c r="H164" s="367"/>
    </row>
    <row r="165" spans="1:8">
      <c r="A165" s="367"/>
      <c r="B165" s="367"/>
      <c r="C165" s="367"/>
      <c r="D165" s="367"/>
      <c r="E165" s="367"/>
      <c r="F165" s="367"/>
      <c r="G165" s="367"/>
      <c r="H165" s="367"/>
    </row>
    <row r="166" spans="1:8">
      <c r="A166" s="368" t="s">
        <v>650</v>
      </c>
      <c r="B166" s="367"/>
      <c r="C166" s="367"/>
      <c r="D166" s="367"/>
      <c r="E166" s="367"/>
      <c r="F166" s="367"/>
      <c r="G166" s="367"/>
      <c r="H166" s="367"/>
    </row>
    <row r="167" spans="1:8">
      <c r="A167" s="368" t="s">
        <v>651</v>
      </c>
      <c r="B167" s="367"/>
      <c r="C167" s="367"/>
      <c r="D167" s="367"/>
      <c r="E167" s="367"/>
      <c r="F167" s="367"/>
      <c r="G167" s="367"/>
      <c r="H167" s="367"/>
    </row>
    <row r="168" spans="1:8">
      <c r="A168" s="367"/>
      <c r="B168" s="367"/>
      <c r="C168" s="367"/>
      <c r="D168" s="367"/>
      <c r="E168" s="367"/>
      <c r="F168" s="367"/>
      <c r="G168" s="367"/>
      <c r="H168" s="367"/>
    </row>
    <row r="169" spans="1:8">
      <c r="A169" s="368" t="s">
        <v>648</v>
      </c>
      <c r="B169" s="367"/>
      <c r="C169" s="367"/>
      <c r="D169" s="367"/>
      <c r="E169" s="367"/>
      <c r="F169" s="367"/>
      <c r="G169" s="367"/>
      <c r="H169" s="367"/>
    </row>
    <row r="170" spans="1:8">
      <c r="A170" s="368" t="s">
        <v>649</v>
      </c>
      <c r="B170" s="367"/>
      <c r="C170" s="367"/>
      <c r="D170" s="367"/>
      <c r="E170" s="367"/>
      <c r="F170" s="367"/>
      <c r="G170" s="367"/>
      <c r="H170" s="367"/>
    </row>
    <row r="171" spans="1:8">
      <c r="A171" s="367"/>
      <c r="B171" s="367"/>
      <c r="C171" s="367"/>
      <c r="D171" s="367"/>
      <c r="E171" s="367"/>
      <c r="F171" s="367"/>
      <c r="G171" s="367"/>
      <c r="H171" s="367"/>
    </row>
    <row r="172" spans="1:8">
      <c r="A172" s="368" t="s">
        <v>645</v>
      </c>
      <c r="B172" s="367"/>
      <c r="C172" s="367"/>
      <c r="D172" s="367"/>
      <c r="E172" s="367"/>
      <c r="F172" s="367"/>
      <c r="G172" s="367"/>
      <c r="H172" s="367"/>
    </row>
    <row r="173" spans="1:8">
      <c r="A173" s="368" t="s">
        <v>646</v>
      </c>
      <c r="B173" s="367"/>
      <c r="C173" s="367"/>
      <c r="D173" s="367"/>
      <c r="E173" s="367"/>
      <c r="F173" s="367"/>
      <c r="G173" s="367"/>
      <c r="H173" s="367"/>
    </row>
    <row r="174" spans="1:8">
      <c r="A174" s="368" t="s">
        <v>647</v>
      </c>
      <c r="B174" s="367"/>
      <c r="C174" s="367"/>
      <c r="D174" s="367"/>
      <c r="E174" s="367"/>
      <c r="F174" s="367"/>
      <c r="G174" s="367"/>
      <c r="H174" s="367"/>
    </row>
    <row r="175" spans="1:8">
      <c r="A175" s="367"/>
      <c r="B175" s="367"/>
      <c r="C175" s="367"/>
      <c r="D175" s="367"/>
      <c r="E175" s="367"/>
      <c r="F175" s="367"/>
      <c r="G175" s="367"/>
      <c r="H175" s="367"/>
    </row>
    <row r="176" spans="1:8">
      <c r="A176" s="367"/>
      <c r="B176" s="367"/>
      <c r="C176" s="367"/>
      <c r="D176" s="367"/>
      <c r="E176" s="367"/>
      <c r="F176" s="367"/>
      <c r="G176" s="367"/>
      <c r="H176" s="367"/>
    </row>
    <row r="177" spans="1:8">
      <c r="A177" s="368" t="s">
        <v>479</v>
      </c>
      <c r="B177" s="367"/>
      <c r="C177" s="367"/>
      <c r="D177" s="367"/>
      <c r="E177" s="367"/>
      <c r="F177" s="367"/>
      <c r="G177" s="367"/>
      <c r="H177" s="367"/>
    </row>
    <row r="178" spans="1:8">
      <c r="A178" s="367"/>
      <c r="B178" s="367"/>
      <c r="C178" s="367"/>
      <c r="D178" s="367"/>
      <c r="E178" s="367"/>
      <c r="F178" s="367"/>
      <c r="G178" s="367"/>
      <c r="H178" s="367"/>
    </row>
    <row r="179" spans="1:8" ht="15.75">
      <c r="A179" s="369" t="s">
        <v>480</v>
      </c>
      <c r="B179" s="367"/>
      <c r="C179" s="367"/>
      <c r="D179" s="367"/>
      <c r="E179" s="367"/>
      <c r="F179" s="367"/>
      <c r="G179" s="367"/>
      <c r="H179" s="367"/>
    </row>
    <row r="180" spans="1:8">
      <c r="A180" s="367"/>
      <c r="B180" s="367"/>
      <c r="C180" s="367"/>
      <c r="D180" s="367"/>
      <c r="E180" s="367"/>
      <c r="F180" s="367"/>
      <c r="G180" s="367"/>
      <c r="H180" s="367"/>
    </row>
    <row r="181" spans="1:8">
      <c r="A181" s="367"/>
      <c r="B181" s="367"/>
      <c r="C181" s="367"/>
      <c r="D181" s="367"/>
      <c r="E181" s="367"/>
      <c r="F181" s="367"/>
      <c r="G181" s="367"/>
      <c r="H181" s="367"/>
    </row>
    <row r="182" spans="1:8">
      <c r="A182" s="367"/>
      <c r="B182" s="367"/>
      <c r="C182" s="367"/>
      <c r="D182" s="367"/>
      <c r="E182" s="367"/>
      <c r="F182" s="367"/>
      <c r="G182" s="367"/>
      <c r="H182" s="367"/>
    </row>
    <row r="183" spans="1:8">
      <c r="A183" s="367"/>
      <c r="B183" s="367"/>
      <c r="C183" s="367"/>
      <c r="D183" s="367"/>
      <c r="E183" s="367"/>
      <c r="F183" s="367"/>
      <c r="G183" s="367"/>
      <c r="H183" s="367"/>
    </row>
    <row r="184" spans="1:8">
      <c r="A184" s="367"/>
      <c r="B184" s="367"/>
      <c r="C184" s="367"/>
      <c r="D184" s="367"/>
      <c r="E184" s="367"/>
      <c r="F184" s="367"/>
      <c r="G184" s="367"/>
      <c r="H184" s="367"/>
    </row>
    <row r="185" spans="1:8">
      <c r="A185" s="367"/>
      <c r="B185" s="367"/>
      <c r="C185" s="367"/>
      <c r="D185" s="367"/>
      <c r="E185" s="367"/>
      <c r="F185" s="367"/>
      <c r="G185" s="367"/>
      <c r="H185" s="367"/>
    </row>
    <row r="186" spans="1:8">
      <c r="A186" s="367"/>
      <c r="B186" s="367"/>
      <c r="C186" s="367"/>
      <c r="D186" s="367"/>
      <c r="E186" s="367"/>
      <c r="F186" s="367"/>
      <c r="G186" s="367"/>
      <c r="H186" s="367"/>
    </row>
    <row r="187" spans="1:8">
      <c r="A187" s="367"/>
      <c r="B187" s="367"/>
      <c r="C187" s="367"/>
      <c r="D187" s="367"/>
      <c r="E187" s="367"/>
      <c r="F187" s="367"/>
      <c r="G187" s="367"/>
      <c r="H187" s="367"/>
    </row>
    <row r="188" spans="1:8">
      <c r="A188" s="367"/>
      <c r="B188" s="367"/>
      <c r="C188" s="367"/>
      <c r="D188" s="367"/>
      <c r="E188" s="367"/>
      <c r="F188" s="367"/>
      <c r="G188" s="367"/>
      <c r="H188" s="367"/>
    </row>
    <row r="189" spans="1:8">
      <c r="A189" s="367"/>
      <c r="B189" s="367"/>
      <c r="C189" s="367"/>
      <c r="D189" s="367"/>
      <c r="E189" s="367"/>
      <c r="F189" s="367"/>
      <c r="G189" s="367"/>
      <c r="H189" s="367"/>
    </row>
    <row r="190" spans="1:8">
      <c r="A190" s="367"/>
      <c r="B190" s="367"/>
      <c r="C190" s="367"/>
      <c r="D190" s="367"/>
      <c r="E190" s="367"/>
      <c r="F190" s="367"/>
      <c r="G190" s="367"/>
      <c r="H190" s="367"/>
    </row>
    <row r="191" spans="1:8">
      <c r="A191" s="367"/>
      <c r="B191" s="367"/>
      <c r="C191" s="367"/>
      <c r="D191" s="367"/>
      <c r="E191" s="367"/>
      <c r="F191" s="367"/>
      <c r="G191" s="367"/>
      <c r="H191" s="367"/>
    </row>
    <row r="192" spans="1:8">
      <c r="A192" s="367"/>
      <c r="B192" s="367"/>
      <c r="C192" s="367"/>
      <c r="D192" s="367"/>
      <c r="E192" s="367"/>
      <c r="F192" s="367"/>
      <c r="G192" s="367"/>
      <c r="H192" s="367"/>
    </row>
    <row r="193" spans="1:8">
      <c r="A193" s="367"/>
      <c r="B193" s="367"/>
      <c r="C193" s="367"/>
      <c r="D193" s="367"/>
      <c r="E193" s="367"/>
      <c r="F193" s="367"/>
      <c r="G193" s="367"/>
      <c r="H193" s="367"/>
    </row>
    <row r="194" spans="1:8">
      <c r="A194" s="367"/>
      <c r="B194" s="367"/>
      <c r="C194" s="367"/>
      <c r="D194" s="367"/>
      <c r="E194" s="367"/>
      <c r="F194" s="367"/>
      <c r="G194" s="367"/>
      <c r="H194" s="367"/>
    </row>
    <row r="195" spans="1:8">
      <c r="A195" s="367"/>
      <c r="B195" s="367"/>
      <c r="C195" s="367"/>
      <c r="D195" s="367"/>
      <c r="E195" s="367"/>
      <c r="F195" s="367"/>
      <c r="G195" s="367"/>
      <c r="H195" s="367"/>
    </row>
    <row r="196" spans="1:8">
      <c r="A196" s="367"/>
      <c r="B196" s="367"/>
      <c r="C196" s="367"/>
      <c r="D196" s="367"/>
      <c r="E196" s="367"/>
      <c r="F196" s="367"/>
      <c r="G196" s="367"/>
      <c r="H196" s="367"/>
    </row>
    <row r="197" spans="1:8">
      <c r="A197" s="367"/>
      <c r="B197" s="367"/>
      <c r="C197" s="367"/>
      <c r="D197" s="367"/>
      <c r="E197" s="367"/>
      <c r="F197" s="367"/>
      <c r="G197" s="367"/>
      <c r="H197" s="367"/>
    </row>
    <row r="198" spans="1:8">
      <c r="A198" s="367"/>
      <c r="B198" s="367"/>
      <c r="C198" s="367"/>
      <c r="D198" s="367"/>
      <c r="E198" s="367"/>
      <c r="F198" s="367"/>
      <c r="G198" s="367"/>
      <c r="H198" s="367"/>
    </row>
    <row r="199" spans="1:8">
      <c r="A199" s="367"/>
      <c r="B199" s="367"/>
      <c r="C199" s="367"/>
      <c r="D199" s="367"/>
      <c r="E199" s="367"/>
      <c r="F199" s="367"/>
      <c r="G199" s="367"/>
      <c r="H199" s="367"/>
    </row>
    <row r="200" spans="1:8">
      <c r="A200" s="367"/>
      <c r="B200" s="367"/>
      <c r="C200" s="367"/>
      <c r="D200" s="367"/>
      <c r="E200" s="367"/>
      <c r="F200" s="367"/>
      <c r="G200" s="367"/>
      <c r="H200" s="367"/>
    </row>
    <row r="201" spans="1:8">
      <c r="A201" s="367"/>
      <c r="B201" s="367"/>
      <c r="C201" s="367"/>
      <c r="D201" s="367"/>
      <c r="E201" s="367"/>
      <c r="F201" s="367"/>
      <c r="G201" s="367"/>
      <c r="H201" s="367"/>
    </row>
    <row r="202" spans="1:8">
      <c r="A202" s="367"/>
      <c r="B202" s="367"/>
      <c r="C202" s="367"/>
      <c r="D202" s="367"/>
      <c r="E202" s="367"/>
      <c r="F202" s="367"/>
      <c r="G202" s="367"/>
      <c r="H202" s="367"/>
    </row>
    <row r="203" spans="1:8">
      <c r="A203" s="367"/>
      <c r="B203" s="367"/>
      <c r="C203" s="367"/>
      <c r="D203" s="367"/>
      <c r="E203" s="367"/>
      <c r="F203" s="367"/>
      <c r="G203" s="367"/>
      <c r="H203" s="367"/>
    </row>
    <row r="204" spans="1:8">
      <c r="A204" s="367"/>
      <c r="B204" s="367"/>
      <c r="C204" s="367"/>
      <c r="D204" s="367"/>
      <c r="E204" s="367"/>
      <c r="F204" s="367"/>
      <c r="G204" s="367"/>
      <c r="H204" s="367"/>
    </row>
    <row r="205" spans="1:8">
      <c r="A205" s="367"/>
      <c r="B205" s="367"/>
      <c r="C205" s="367"/>
      <c r="D205" s="367"/>
      <c r="E205" s="367"/>
      <c r="F205" s="367"/>
      <c r="G205" s="367"/>
      <c r="H205" s="367"/>
    </row>
    <row r="206" spans="1:8" ht="15.75">
      <c r="A206" s="369" t="s">
        <v>481</v>
      </c>
      <c r="B206" s="367"/>
      <c r="C206" s="367"/>
      <c r="D206" s="367"/>
      <c r="E206" s="367"/>
      <c r="F206" s="367"/>
      <c r="G206" s="367"/>
      <c r="H206" s="367"/>
    </row>
    <row r="207" spans="1:8">
      <c r="A207" s="367"/>
      <c r="B207" s="367"/>
      <c r="C207" s="367"/>
      <c r="D207" s="367"/>
      <c r="E207" s="367"/>
      <c r="F207" s="367"/>
      <c r="G207" s="367"/>
      <c r="H207" s="367"/>
    </row>
    <row r="208" spans="1:8">
      <c r="A208" s="368" t="s">
        <v>640</v>
      </c>
      <c r="B208" s="367"/>
      <c r="C208" s="367"/>
      <c r="D208" s="367"/>
      <c r="E208" s="367"/>
      <c r="F208" s="367"/>
      <c r="G208" s="367"/>
      <c r="H208" s="367"/>
    </row>
    <row r="209" spans="1:8">
      <c r="A209" s="368" t="s">
        <v>641</v>
      </c>
      <c r="B209" s="367"/>
      <c r="C209" s="367"/>
      <c r="D209" s="367"/>
      <c r="E209" s="367"/>
      <c r="F209" s="367"/>
      <c r="G209" s="367"/>
      <c r="H209" s="367"/>
    </row>
    <row r="210" spans="1:8">
      <c r="A210" s="368" t="s">
        <v>642</v>
      </c>
      <c r="B210" s="367"/>
      <c r="C210" s="367"/>
      <c r="D210" s="367"/>
      <c r="E210" s="367"/>
      <c r="F210" s="367"/>
      <c r="G210" s="367"/>
      <c r="H210" s="367"/>
    </row>
    <row r="211" spans="1:8">
      <c r="A211" s="368" t="s">
        <v>643</v>
      </c>
      <c r="B211" s="367"/>
      <c r="C211" s="367"/>
      <c r="D211" s="367"/>
      <c r="E211" s="367"/>
      <c r="F211" s="367"/>
      <c r="G211" s="367"/>
      <c r="H211" s="367"/>
    </row>
    <row r="212" spans="1:8">
      <c r="A212" s="368" t="s">
        <v>644</v>
      </c>
      <c r="B212" s="367"/>
      <c r="C212" s="367"/>
      <c r="D212" s="367"/>
      <c r="E212" s="367"/>
      <c r="F212" s="367"/>
      <c r="G212" s="367"/>
      <c r="H212" s="367"/>
    </row>
    <row r="213" spans="1:8">
      <c r="A213" s="367"/>
      <c r="B213" s="367"/>
      <c r="C213" s="367"/>
      <c r="D213" s="367"/>
      <c r="E213" s="367"/>
      <c r="F213" s="367"/>
      <c r="G213" s="367"/>
      <c r="H213" s="367"/>
    </row>
    <row r="214" spans="1:8">
      <c r="A214" s="368" t="s">
        <v>637</v>
      </c>
      <c r="B214" s="367"/>
      <c r="C214" s="367"/>
      <c r="D214" s="367"/>
      <c r="E214" s="367"/>
      <c r="F214" s="367"/>
      <c r="G214" s="367"/>
      <c r="H214" s="367"/>
    </row>
    <row r="215" spans="1:8">
      <c r="A215" s="368" t="s">
        <v>638</v>
      </c>
      <c r="B215" s="367"/>
      <c r="C215" s="367"/>
      <c r="D215" s="367"/>
      <c r="E215" s="367"/>
      <c r="F215" s="367"/>
      <c r="G215" s="367"/>
      <c r="H215" s="367"/>
    </row>
    <row r="216" spans="1:8">
      <c r="A216" s="368" t="s">
        <v>639</v>
      </c>
      <c r="B216" s="367"/>
      <c r="C216" s="367"/>
      <c r="D216" s="367"/>
      <c r="E216" s="367"/>
      <c r="F216" s="367"/>
      <c r="G216" s="367"/>
      <c r="H216" s="367"/>
    </row>
    <row r="217" spans="1:8" ht="15.75">
      <c r="A217" s="369" t="s">
        <v>482</v>
      </c>
      <c r="B217" s="367"/>
      <c r="C217" s="367"/>
      <c r="D217" s="367"/>
      <c r="E217" s="367"/>
      <c r="F217" s="367"/>
      <c r="G217" s="367"/>
      <c r="H217" s="367"/>
    </row>
    <row r="218" spans="1:8">
      <c r="A218" s="367"/>
      <c r="B218" s="367"/>
      <c r="C218" s="367"/>
      <c r="D218" s="367"/>
      <c r="E218" s="367"/>
      <c r="F218" s="367"/>
      <c r="G218" s="367"/>
      <c r="H218" s="367"/>
    </row>
    <row r="219" spans="1:8">
      <c r="A219" s="368" t="s">
        <v>630</v>
      </c>
      <c r="B219" s="367"/>
      <c r="C219" s="367"/>
      <c r="D219" s="367"/>
      <c r="E219" s="367"/>
      <c r="F219" s="367"/>
      <c r="G219" s="367"/>
      <c r="H219" s="367"/>
    </row>
    <row r="220" spans="1:8">
      <c r="A220" s="368" t="s">
        <v>631</v>
      </c>
      <c r="B220" s="367"/>
      <c r="C220" s="367"/>
      <c r="D220" s="367"/>
      <c r="E220" s="367"/>
      <c r="F220" s="367"/>
      <c r="G220" s="367"/>
      <c r="H220" s="367"/>
    </row>
    <row r="221" spans="1:8">
      <c r="A221" s="368" t="s">
        <v>632</v>
      </c>
      <c r="B221" s="367"/>
      <c r="C221" s="367"/>
      <c r="D221" s="367"/>
      <c r="E221" s="367"/>
      <c r="F221" s="367"/>
      <c r="G221" s="367"/>
      <c r="H221" s="367"/>
    </row>
    <row r="222" spans="1:8">
      <c r="A222" s="368" t="s">
        <v>633</v>
      </c>
      <c r="B222" s="367"/>
      <c r="C222" s="367"/>
      <c r="D222" s="367"/>
      <c r="E222" s="367"/>
      <c r="F222" s="367"/>
      <c r="G222" s="367"/>
      <c r="H222" s="367"/>
    </row>
    <row r="223" spans="1:8">
      <c r="A223" s="368" t="s">
        <v>634</v>
      </c>
      <c r="B223" s="367"/>
      <c r="C223" s="367"/>
      <c r="D223" s="367"/>
      <c r="E223" s="367"/>
      <c r="F223" s="367"/>
      <c r="G223" s="367"/>
      <c r="H223" s="367"/>
    </row>
    <row r="224" spans="1:8">
      <c r="A224" s="368" t="s">
        <v>635</v>
      </c>
      <c r="B224" s="367"/>
      <c r="C224" s="367"/>
      <c r="D224" s="367"/>
      <c r="E224" s="367"/>
      <c r="F224" s="367"/>
      <c r="G224" s="367"/>
      <c r="H224" s="367"/>
    </row>
    <row r="225" spans="1:8">
      <c r="A225" s="368" t="s">
        <v>636</v>
      </c>
      <c r="B225" s="367"/>
      <c r="C225" s="367"/>
      <c r="D225" s="367"/>
      <c r="E225" s="367"/>
      <c r="F225" s="367"/>
      <c r="G225" s="367"/>
      <c r="H225" s="367"/>
    </row>
    <row r="226" spans="1:8">
      <c r="A226" s="367"/>
      <c r="B226" s="367"/>
      <c r="C226" s="367"/>
      <c r="D226" s="367"/>
      <c r="E226" s="367"/>
      <c r="F226" s="367"/>
      <c r="G226" s="367"/>
      <c r="H226" s="367"/>
    </row>
    <row r="227" spans="1:8">
      <c r="A227" s="368" t="s">
        <v>627</v>
      </c>
      <c r="B227" s="367"/>
      <c r="C227" s="367"/>
      <c r="D227" s="367"/>
      <c r="E227" s="367"/>
      <c r="F227" s="367"/>
      <c r="G227" s="367"/>
      <c r="H227" s="367"/>
    </row>
    <row r="228" spans="1:8">
      <c r="A228" s="368" t="s">
        <v>628</v>
      </c>
      <c r="B228" s="367"/>
      <c r="C228" s="367"/>
      <c r="D228" s="367"/>
      <c r="E228" s="367"/>
      <c r="F228" s="367"/>
      <c r="G228" s="367"/>
      <c r="H228" s="367"/>
    </row>
    <row r="229" spans="1:8">
      <c r="A229" s="368" t="s">
        <v>629</v>
      </c>
      <c r="B229" s="367"/>
      <c r="C229" s="367"/>
      <c r="D229" s="367"/>
      <c r="E229" s="367"/>
      <c r="F229" s="367"/>
      <c r="G229" s="367"/>
      <c r="H229" s="367"/>
    </row>
    <row r="230" spans="1:8">
      <c r="A230" s="367"/>
      <c r="B230" s="367"/>
      <c r="C230" s="367"/>
      <c r="D230" s="367"/>
      <c r="E230" s="367"/>
      <c r="F230" s="367"/>
      <c r="G230" s="367"/>
      <c r="H230" s="367"/>
    </row>
    <row r="231" spans="1:8">
      <c r="A231" s="368" t="s">
        <v>622</v>
      </c>
      <c r="B231" s="367"/>
      <c r="C231" s="367"/>
      <c r="D231" s="367"/>
      <c r="E231" s="367"/>
      <c r="F231" s="367"/>
      <c r="G231" s="367"/>
      <c r="H231" s="367"/>
    </row>
    <row r="232" spans="1:8">
      <c r="A232" s="368" t="s">
        <v>623</v>
      </c>
      <c r="B232" s="367"/>
      <c r="C232" s="367"/>
      <c r="D232" s="367"/>
      <c r="E232" s="367"/>
      <c r="F232" s="367"/>
      <c r="G232" s="367"/>
      <c r="H232" s="367"/>
    </row>
    <row r="233" spans="1:8">
      <c r="A233" s="368" t="s">
        <v>624</v>
      </c>
      <c r="B233" s="367"/>
      <c r="C233" s="367"/>
      <c r="D233" s="367"/>
      <c r="E233" s="367"/>
      <c r="F233" s="367"/>
      <c r="G233" s="367"/>
      <c r="H233" s="367"/>
    </row>
    <row r="234" spans="1:8">
      <c r="A234" s="368" t="s">
        <v>625</v>
      </c>
      <c r="B234" s="367"/>
      <c r="C234" s="367"/>
      <c r="D234" s="367"/>
      <c r="E234" s="367"/>
      <c r="F234" s="367"/>
      <c r="G234" s="367"/>
      <c r="H234" s="367"/>
    </row>
    <row r="235" spans="1:8">
      <c r="A235" s="368" t="s">
        <v>626</v>
      </c>
      <c r="B235" s="367"/>
      <c r="C235" s="367"/>
      <c r="D235" s="367"/>
      <c r="E235" s="367"/>
      <c r="F235" s="367"/>
      <c r="G235" s="367"/>
      <c r="H235" s="367"/>
    </row>
    <row r="236" spans="1:8">
      <c r="A236" s="367"/>
      <c r="B236" s="367"/>
      <c r="C236" s="367"/>
      <c r="D236" s="367"/>
      <c r="E236" s="367"/>
      <c r="F236" s="367"/>
      <c r="G236" s="367"/>
      <c r="H236" s="367"/>
    </row>
    <row r="237" spans="1:8">
      <c r="A237" s="368" t="s">
        <v>616</v>
      </c>
      <c r="B237" s="367"/>
      <c r="C237" s="367"/>
      <c r="D237" s="367"/>
      <c r="E237" s="367"/>
      <c r="F237" s="367"/>
      <c r="G237" s="367"/>
      <c r="H237" s="367"/>
    </row>
    <row r="238" spans="1:8">
      <c r="A238" s="368" t="s">
        <v>617</v>
      </c>
      <c r="B238" s="367"/>
      <c r="C238" s="367"/>
      <c r="D238" s="367"/>
      <c r="E238" s="367"/>
      <c r="F238" s="367"/>
      <c r="G238" s="367"/>
      <c r="H238" s="367"/>
    </row>
    <row r="239" spans="1:8">
      <c r="A239" s="368" t="s">
        <v>618</v>
      </c>
      <c r="B239" s="367"/>
      <c r="C239" s="367"/>
      <c r="D239" s="367"/>
      <c r="E239" s="367"/>
      <c r="F239" s="367"/>
      <c r="G239" s="367"/>
      <c r="H239" s="367"/>
    </row>
    <row r="240" spans="1:8">
      <c r="A240" s="368" t="s">
        <v>619</v>
      </c>
      <c r="B240" s="367"/>
      <c r="C240" s="367"/>
      <c r="D240" s="367"/>
      <c r="E240" s="367"/>
      <c r="F240" s="367"/>
      <c r="G240" s="367"/>
      <c r="H240" s="367"/>
    </row>
    <row r="241" spans="1:8">
      <c r="A241" s="368" t="s">
        <v>620</v>
      </c>
      <c r="B241" s="367"/>
      <c r="C241" s="367"/>
      <c r="D241" s="367"/>
      <c r="E241" s="367"/>
      <c r="F241" s="367"/>
      <c r="G241" s="367"/>
      <c r="H241" s="367"/>
    </row>
    <row r="242" spans="1:8">
      <c r="A242" s="368" t="s">
        <v>621</v>
      </c>
      <c r="B242" s="367"/>
      <c r="C242" s="367"/>
      <c r="D242" s="367"/>
      <c r="E242" s="367"/>
      <c r="F242" s="367"/>
      <c r="G242" s="367"/>
      <c r="H242" s="367"/>
    </row>
    <row r="243" spans="1:8">
      <c r="A243" s="367"/>
      <c r="B243" s="367"/>
      <c r="C243" s="367"/>
      <c r="D243" s="367"/>
      <c r="E243" s="367"/>
      <c r="F243" s="367"/>
      <c r="G243" s="367"/>
      <c r="H243" s="367"/>
    </row>
    <row r="244" spans="1:8">
      <c r="A244" s="368" t="s">
        <v>606</v>
      </c>
      <c r="B244" s="367"/>
      <c r="C244" s="367"/>
      <c r="D244" s="367"/>
      <c r="E244" s="367"/>
      <c r="F244" s="367"/>
      <c r="G244" s="367"/>
      <c r="H244" s="367"/>
    </row>
    <row r="245" spans="1:8">
      <c r="A245" s="368" t="s">
        <v>607</v>
      </c>
      <c r="B245" s="367"/>
      <c r="C245" s="367"/>
      <c r="D245" s="367"/>
      <c r="E245" s="367"/>
      <c r="F245" s="367"/>
      <c r="G245" s="367"/>
      <c r="H245" s="367"/>
    </row>
    <row r="246" spans="1:8">
      <c r="A246" s="368" t="s">
        <v>608</v>
      </c>
      <c r="B246" s="367"/>
      <c r="C246" s="367"/>
      <c r="D246" s="367"/>
      <c r="E246" s="367"/>
      <c r="F246" s="367"/>
      <c r="G246" s="367"/>
      <c r="H246" s="367"/>
    </row>
    <row r="247" spans="1:8">
      <c r="A247" s="368" t="s">
        <v>609</v>
      </c>
      <c r="B247" s="367"/>
      <c r="C247" s="367"/>
      <c r="D247" s="367"/>
      <c r="E247" s="367"/>
      <c r="F247" s="367"/>
      <c r="G247" s="367"/>
      <c r="H247" s="367"/>
    </row>
    <row r="248" spans="1:8">
      <c r="A248" s="368" t="s">
        <v>610</v>
      </c>
      <c r="B248" s="367"/>
      <c r="C248" s="367"/>
      <c r="D248" s="367"/>
      <c r="E248" s="367"/>
      <c r="F248" s="367"/>
      <c r="G248" s="367"/>
      <c r="H248" s="367"/>
    </row>
    <row r="249" spans="1:8">
      <c r="A249" s="368" t="s">
        <v>611</v>
      </c>
      <c r="B249" s="367"/>
      <c r="C249" s="367"/>
      <c r="D249" s="367"/>
      <c r="E249" s="367"/>
      <c r="F249" s="367"/>
      <c r="G249" s="367"/>
      <c r="H249" s="367"/>
    </row>
    <row r="250" spans="1:8">
      <c r="A250" s="368" t="s">
        <v>612</v>
      </c>
      <c r="B250" s="367"/>
      <c r="C250" s="367"/>
      <c r="D250" s="367"/>
      <c r="E250" s="367"/>
      <c r="F250" s="367"/>
      <c r="G250" s="367"/>
      <c r="H250" s="367"/>
    </row>
    <row r="251" spans="1:8">
      <c r="A251" s="368" t="s">
        <v>613</v>
      </c>
      <c r="B251" s="367"/>
      <c r="C251" s="367"/>
      <c r="D251" s="367"/>
      <c r="E251" s="367"/>
      <c r="F251" s="367"/>
      <c r="G251" s="367"/>
      <c r="H251" s="367"/>
    </row>
    <row r="252" spans="1:8">
      <c r="A252" s="368" t="s">
        <v>614</v>
      </c>
      <c r="B252" s="367"/>
      <c r="C252" s="367"/>
      <c r="D252" s="367"/>
      <c r="E252" s="367"/>
      <c r="F252" s="367"/>
      <c r="G252" s="367"/>
      <c r="H252" s="367"/>
    </row>
    <row r="253" spans="1:8">
      <c r="A253" s="368" t="s">
        <v>615</v>
      </c>
      <c r="B253" s="367"/>
      <c r="C253" s="367"/>
      <c r="D253" s="367"/>
      <c r="E253" s="367"/>
      <c r="F253" s="367"/>
      <c r="G253" s="367"/>
      <c r="H253" s="367"/>
    </row>
    <row r="254" spans="1:8">
      <c r="A254" s="367"/>
      <c r="B254" s="367"/>
      <c r="C254" s="367"/>
      <c r="D254" s="367"/>
      <c r="E254" s="367"/>
      <c r="F254" s="367"/>
      <c r="G254" s="367"/>
      <c r="H254" s="367"/>
    </row>
    <row r="255" spans="1:8">
      <c r="A255" s="368" t="s">
        <v>604</v>
      </c>
      <c r="B255" s="367"/>
      <c r="C255" s="367"/>
      <c r="D255" s="367"/>
      <c r="E255" s="367"/>
      <c r="F255" s="367"/>
      <c r="G255" s="367"/>
      <c r="H255" s="367"/>
    </row>
    <row r="256" spans="1:8">
      <c r="A256" s="368" t="s">
        <v>605</v>
      </c>
      <c r="B256" s="367"/>
      <c r="C256" s="367"/>
      <c r="D256" s="367"/>
      <c r="E256" s="367"/>
      <c r="F256" s="367"/>
      <c r="G256" s="367"/>
      <c r="H256" s="367"/>
    </row>
    <row r="257" spans="1:8">
      <c r="A257" s="367"/>
      <c r="B257" s="367"/>
      <c r="C257" s="367"/>
      <c r="D257" s="367"/>
      <c r="E257" s="367"/>
      <c r="F257" s="367"/>
      <c r="G257" s="367"/>
      <c r="H257" s="367"/>
    </row>
    <row r="258" spans="1:8">
      <c r="A258" s="368" t="s">
        <v>588</v>
      </c>
      <c r="B258" s="367"/>
      <c r="C258" s="367"/>
      <c r="D258" s="367"/>
      <c r="E258" s="367"/>
      <c r="F258" s="367"/>
      <c r="G258" s="367"/>
      <c r="H258" s="367"/>
    </row>
    <row r="259" spans="1:8">
      <c r="A259" s="368" t="s">
        <v>589</v>
      </c>
      <c r="B259" s="367"/>
      <c r="C259" s="367"/>
      <c r="D259" s="367"/>
      <c r="E259" s="367"/>
      <c r="F259" s="367"/>
      <c r="G259" s="367"/>
      <c r="H259" s="367"/>
    </row>
    <row r="260" spans="1:8">
      <c r="A260" s="368" t="s">
        <v>590</v>
      </c>
      <c r="B260" s="367"/>
      <c r="C260" s="367"/>
      <c r="D260" s="367"/>
      <c r="E260" s="367"/>
      <c r="F260" s="367"/>
      <c r="G260" s="367"/>
      <c r="H260" s="367"/>
    </row>
    <row r="261" spans="1:8">
      <c r="A261" s="368" t="s">
        <v>591</v>
      </c>
      <c r="B261" s="367"/>
      <c r="C261" s="367"/>
      <c r="D261" s="367"/>
      <c r="E261" s="367"/>
      <c r="F261" s="367"/>
      <c r="G261" s="367"/>
      <c r="H261" s="367"/>
    </row>
    <row r="262" spans="1:8">
      <c r="A262" s="368" t="s">
        <v>592</v>
      </c>
      <c r="B262" s="367"/>
      <c r="C262" s="367"/>
      <c r="D262" s="367"/>
      <c r="E262" s="367"/>
      <c r="F262" s="367"/>
      <c r="G262" s="367"/>
      <c r="H262" s="367"/>
    </row>
    <row r="263" spans="1:8">
      <c r="A263" s="368" t="s">
        <v>593</v>
      </c>
      <c r="B263" s="367"/>
      <c r="C263" s="367"/>
      <c r="D263" s="367"/>
      <c r="E263" s="367"/>
      <c r="F263" s="367"/>
      <c r="G263" s="367"/>
      <c r="H263" s="367"/>
    </row>
    <row r="264" spans="1:8">
      <c r="A264" s="368" t="s">
        <v>594</v>
      </c>
      <c r="B264" s="367"/>
      <c r="C264" s="367"/>
      <c r="D264" s="367"/>
      <c r="E264" s="367"/>
      <c r="F264" s="367"/>
      <c r="G264" s="367"/>
      <c r="H264" s="367"/>
    </row>
    <row r="265" spans="1:8">
      <c r="A265" s="368" t="s">
        <v>595</v>
      </c>
      <c r="B265" s="367"/>
      <c r="C265" s="367"/>
      <c r="D265" s="367"/>
      <c r="E265" s="367"/>
      <c r="F265" s="367"/>
      <c r="G265" s="367"/>
      <c r="H265" s="367"/>
    </row>
    <row r="266" spans="1:8">
      <c r="A266" s="368" t="s">
        <v>596</v>
      </c>
      <c r="B266" s="367"/>
      <c r="C266" s="367"/>
      <c r="D266" s="367"/>
      <c r="E266" s="367"/>
      <c r="F266" s="367"/>
      <c r="G266" s="367"/>
      <c r="H266" s="367"/>
    </row>
    <row r="267" spans="1:8">
      <c r="A267" s="368" t="s">
        <v>597</v>
      </c>
      <c r="B267" s="367"/>
      <c r="C267" s="367"/>
      <c r="D267" s="367"/>
      <c r="E267" s="367"/>
      <c r="F267" s="367"/>
      <c r="G267" s="367"/>
      <c r="H267" s="367"/>
    </row>
    <row r="268" spans="1:8">
      <c r="A268" s="368" t="s">
        <v>598</v>
      </c>
      <c r="B268" s="367"/>
      <c r="C268" s="367"/>
      <c r="D268" s="367"/>
      <c r="E268" s="367"/>
      <c r="F268" s="367"/>
      <c r="G268" s="367"/>
      <c r="H268" s="367"/>
    </row>
    <row r="269" spans="1:8">
      <c r="A269" s="368" t="s">
        <v>599</v>
      </c>
      <c r="B269" s="367"/>
      <c r="C269" s="367"/>
      <c r="D269" s="367"/>
      <c r="E269" s="367"/>
      <c r="F269" s="367"/>
      <c r="G269" s="367"/>
      <c r="H269" s="367"/>
    </row>
    <row r="270" spans="1:8">
      <c r="A270" s="368" t="s">
        <v>600</v>
      </c>
      <c r="B270" s="367"/>
      <c r="C270" s="367"/>
      <c r="D270" s="367"/>
      <c r="E270" s="367"/>
      <c r="F270" s="367"/>
      <c r="G270" s="367"/>
      <c r="H270" s="367"/>
    </row>
    <row r="271" spans="1:8">
      <c r="A271" s="368" t="s">
        <v>601</v>
      </c>
      <c r="B271" s="367"/>
      <c r="C271" s="367"/>
      <c r="D271" s="367"/>
      <c r="E271" s="367"/>
      <c r="F271" s="367"/>
      <c r="G271" s="367"/>
      <c r="H271" s="367"/>
    </row>
    <row r="272" spans="1:8">
      <c r="A272" s="368" t="s">
        <v>602</v>
      </c>
      <c r="B272" s="367"/>
      <c r="C272" s="367"/>
      <c r="D272" s="367"/>
      <c r="E272" s="367"/>
      <c r="F272" s="367"/>
      <c r="G272" s="367"/>
      <c r="H272" s="367"/>
    </row>
    <row r="273" spans="1:8">
      <c r="A273" s="368" t="s">
        <v>603</v>
      </c>
      <c r="B273" s="367"/>
      <c r="C273" s="367"/>
      <c r="D273" s="367"/>
      <c r="E273" s="367"/>
      <c r="F273" s="367"/>
      <c r="G273" s="367"/>
      <c r="H273" s="367"/>
    </row>
    <row r="274" spans="1:8">
      <c r="A274" s="367"/>
      <c r="B274" s="367"/>
      <c r="C274" s="367"/>
      <c r="D274" s="367"/>
      <c r="E274" s="367"/>
      <c r="F274" s="367"/>
      <c r="G274" s="367"/>
      <c r="H274" s="367"/>
    </row>
    <row r="275" spans="1:8">
      <c r="A275" s="368" t="s">
        <v>581</v>
      </c>
      <c r="B275" s="367"/>
      <c r="C275" s="367"/>
      <c r="D275" s="367"/>
      <c r="E275" s="367"/>
      <c r="F275" s="367"/>
      <c r="G275" s="367"/>
      <c r="H275" s="367"/>
    </row>
    <row r="276" spans="1:8">
      <c r="A276" s="368" t="s">
        <v>582</v>
      </c>
      <c r="B276" s="367"/>
      <c r="C276" s="367"/>
      <c r="D276" s="367"/>
      <c r="E276" s="367"/>
      <c r="F276" s="367"/>
      <c r="G276" s="367"/>
      <c r="H276" s="367"/>
    </row>
    <row r="277" spans="1:8">
      <c r="A277" s="368" t="s">
        <v>583</v>
      </c>
      <c r="B277" s="367"/>
      <c r="C277" s="367"/>
      <c r="D277" s="367"/>
      <c r="E277" s="367"/>
      <c r="F277" s="367"/>
      <c r="G277" s="367"/>
      <c r="H277" s="367"/>
    </row>
    <row r="278" spans="1:8">
      <c r="A278" s="368" t="s">
        <v>584</v>
      </c>
      <c r="B278" s="367"/>
      <c r="C278" s="367"/>
      <c r="D278" s="367"/>
      <c r="E278" s="367"/>
      <c r="F278" s="367"/>
      <c r="G278" s="367"/>
      <c r="H278" s="367"/>
    </row>
    <row r="279" spans="1:8">
      <c r="A279" s="368" t="s">
        <v>585</v>
      </c>
      <c r="B279" s="367"/>
      <c r="C279" s="367"/>
      <c r="D279" s="367"/>
      <c r="E279" s="367"/>
      <c r="F279" s="367"/>
      <c r="G279" s="367"/>
      <c r="H279" s="367"/>
    </row>
    <row r="280" spans="1:8">
      <c r="A280" s="368" t="s">
        <v>586</v>
      </c>
      <c r="B280" s="367"/>
      <c r="C280" s="367"/>
      <c r="D280" s="367"/>
      <c r="E280" s="367"/>
      <c r="F280" s="367"/>
      <c r="G280" s="367"/>
      <c r="H280" s="367"/>
    </row>
    <row r="281" spans="1:8">
      <c r="A281" s="368" t="s">
        <v>587</v>
      </c>
      <c r="B281" s="367"/>
      <c r="C281" s="367"/>
      <c r="D281" s="367"/>
      <c r="E281" s="367"/>
      <c r="F281" s="367"/>
      <c r="G281" s="367"/>
      <c r="H281" s="367"/>
    </row>
    <row r="282" spans="1:8">
      <c r="A282" s="367"/>
      <c r="B282" s="367"/>
      <c r="C282" s="367"/>
      <c r="D282" s="367"/>
      <c r="E282" s="367"/>
      <c r="F282" s="367"/>
      <c r="G282" s="367"/>
      <c r="H282" s="367"/>
    </row>
    <row r="283" spans="1:8">
      <c r="A283" s="368" t="s">
        <v>572</v>
      </c>
      <c r="B283" s="367"/>
      <c r="C283" s="367"/>
      <c r="D283" s="367"/>
      <c r="E283" s="367"/>
      <c r="F283" s="367"/>
      <c r="G283" s="367"/>
      <c r="H283" s="367"/>
    </row>
    <row r="284" spans="1:8">
      <c r="A284" s="368" t="s">
        <v>573</v>
      </c>
      <c r="B284" s="367"/>
      <c r="C284" s="367"/>
      <c r="D284" s="367"/>
      <c r="E284" s="367"/>
      <c r="F284" s="367"/>
      <c r="G284" s="367"/>
      <c r="H284" s="367"/>
    </row>
    <row r="285" spans="1:8">
      <c r="A285" s="368" t="s">
        <v>574</v>
      </c>
      <c r="B285" s="367"/>
      <c r="C285" s="367"/>
      <c r="D285" s="367"/>
      <c r="E285" s="367"/>
      <c r="F285" s="367"/>
      <c r="G285" s="367"/>
      <c r="H285" s="367"/>
    </row>
    <row r="286" spans="1:8">
      <c r="A286" s="368" t="s">
        <v>575</v>
      </c>
      <c r="B286" s="367"/>
      <c r="C286" s="367"/>
      <c r="D286" s="367"/>
      <c r="E286" s="367"/>
      <c r="F286" s="367"/>
      <c r="G286" s="367"/>
      <c r="H286" s="367"/>
    </row>
    <row r="287" spans="1:8">
      <c r="A287" s="368" t="s">
        <v>576</v>
      </c>
      <c r="B287" s="367"/>
      <c r="C287" s="367"/>
      <c r="D287" s="367"/>
      <c r="E287" s="367"/>
      <c r="F287" s="367"/>
      <c r="G287" s="367"/>
      <c r="H287" s="367"/>
    </row>
    <row r="288" spans="1:8">
      <c r="A288" s="368" t="s">
        <v>577</v>
      </c>
      <c r="B288" s="367"/>
      <c r="C288" s="367"/>
      <c r="D288" s="367"/>
      <c r="E288" s="367"/>
      <c r="F288" s="367"/>
      <c r="G288" s="367"/>
      <c r="H288" s="367"/>
    </row>
    <row r="289" spans="1:8">
      <c r="A289" s="368" t="s">
        <v>578</v>
      </c>
      <c r="B289" s="367"/>
      <c r="C289" s="367"/>
      <c r="D289" s="367"/>
      <c r="E289" s="367"/>
      <c r="F289" s="367"/>
      <c r="G289" s="367"/>
      <c r="H289" s="367"/>
    </row>
    <row r="290" spans="1:8">
      <c r="A290" s="368" t="s">
        <v>579</v>
      </c>
      <c r="B290" s="367"/>
      <c r="C290" s="367"/>
      <c r="D290" s="367"/>
      <c r="E290" s="367"/>
      <c r="F290" s="367"/>
      <c r="G290" s="367"/>
      <c r="H290" s="367"/>
    </row>
    <row r="291" spans="1:8">
      <c r="A291" s="368" t="s">
        <v>580</v>
      </c>
      <c r="B291" s="367"/>
      <c r="C291" s="367"/>
      <c r="D291" s="367"/>
      <c r="E291" s="367"/>
      <c r="F291" s="367"/>
      <c r="G291" s="367"/>
      <c r="H291" s="367"/>
    </row>
    <row r="292" spans="1:8">
      <c r="A292" s="367"/>
      <c r="B292" s="367"/>
      <c r="C292" s="367"/>
      <c r="D292" s="367"/>
      <c r="E292" s="367"/>
      <c r="F292" s="367"/>
      <c r="G292" s="367"/>
      <c r="H292" s="367"/>
    </row>
    <row r="293" spans="1:8">
      <c r="A293" s="368" t="s">
        <v>565</v>
      </c>
      <c r="B293" s="367"/>
      <c r="C293" s="367"/>
      <c r="D293" s="367"/>
      <c r="E293" s="367"/>
      <c r="F293" s="367"/>
      <c r="G293" s="367"/>
      <c r="H293" s="367"/>
    </row>
    <row r="294" spans="1:8">
      <c r="A294" s="368" t="s">
        <v>566</v>
      </c>
      <c r="B294" s="367"/>
      <c r="C294" s="367"/>
      <c r="D294" s="367"/>
      <c r="E294" s="367"/>
      <c r="F294" s="367"/>
      <c r="G294" s="367"/>
      <c r="H294" s="367"/>
    </row>
    <row r="295" spans="1:8">
      <c r="A295" s="368" t="s">
        <v>567</v>
      </c>
      <c r="B295" s="367"/>
      <c r="C295" s="367"/>
      <c r="D295" s="367"/>
      <c r="E295" s="367"/>
      <c r="F295" s="367"/>
      <c r="G295" s="367"/>
      <c r="H295" s="367"/>
    </row>
    <row r="296" spans="1:8">
      <c r="A296" s="368" t="s">
        <v>568</v>
      </c>
      <c r="B296" s="367"/>
      <c r="C296" s="367"/>
      <c r="D296" s="367"/>
      <c r="E296" s="367"/>
      <c r="F296" s="367"/>
      <c r="G296" s="367"/>
      <c r="H296" s="367"/>
    </row>
    <row r="297" spans="1:8">
      <c r="A297" s="368" t="s">
        <v>569</v>
      </c>
      <c r="B297" s="367"/>
      <c r="C297" s="367"/>
      <c r="D297" s="367"/>
      <c r="E297" s="367"/>
      <c r="F297" s="367"/>
      <c r="G297" s="367"/>
      <c r="H297" s="367"/>
    </row>
    <row r="298" spans="1:8">
      <c r="A298" s="368" t="s">
        <v>570</v>
      </c>
      <c r="B298" s="367"/>
      <c r="C298" s="367"/>
      <c r="D298" s="367"/>
      <c r="E298" s="367"/>
      <c r="F298" s="367"/>
      <c r="G298" s="367"/>
      <c r="H298" s="367"/>
    </row>
    <row r="299" spans="1:8">
      <c r="A299" s="368" t="s">
        <v>571</v>
      </c>
      <c r="B299" s="367"/>
      <c r="C299" s="367"/>
      <c r="D299" s="367"/>
      <c r="E299" s="367"/>
      <c r="F299" s="367"/>
      <c r="G299" s="367"/>
      <c r="H299" s="367"/>
    </row>
    <row r="300" spans="1:8">
      <c r="A300" s="367"/>
      <c r="B300" s="367"/>
      <c r="C300" s="367"/>
      <c r="D300" s="367"/>
      <c r="E300" s="367"/>
      <c r="F300" s="367"/>
      <c r="G300" s="367"/>
      <c r="H300" s="367"/>
    </row>
    <row r="301" spans="1:8">
      <c r="A301" s="368" t="s">
        <v>562</v>
      </c>
      <c r="B301" s="367"/>
      <c r="C301" s="367"/>
      <c r="D301" s="367"/>
      <c r="E301" s="367"/>
      <c r="F301" s="367"/>
      <c r="G301" s="367"/>
      <c r="H301" s="367"/>
    </row>
    <row r="302" spans="1:8">
      <c r="A302" s="368" t="s">
        <v>563</v>
      </c>
      <c r="B302" s="367"/>
      <c r="C302" s="367"/>
      <c r="D302" s="367"/>
      <c r="E302" s="367"/>
      <c r="F302" s="367"/>
      <c r="G302" s="367"/>
      <c r="H302" s="367"/>
    </row>
    <row r="303" spans="1:8">
      <c r="A303" s="368" t="s">
        <v>564</v>
      </c>
      <c r="B303" s="367"/>
      <c r="C303" s="367"/>
      <c r="D303" s="367"/>
      <c r="E303" s="367"/>
      <c r="F303" s="367"/>
      <c r="G303" s="367"/>
      <c r="H303" s="367"/>
    </row>
    <row r="304" spans="1:8">
      <c r="A304" s="367"/>
      <c r="B304" s="367"/>
      <c r="C304" s="367"/>
      <c r="D304" s="367"/>
      <c r="E304" s="367"/>
      <c r="F304" s="367"/>
      <c r="G304" s="367"/>
      <c r="H304" s="367"/>
    </row>
    <row r="305" spans="1:8">
      <c r="A305" s="368" t="s">
        <v>560</v>
      </c>
      <c r="B305" s="367"/>
      <c r="C305" s="367"/>
      <c r="D305" s="367"/>
      <c r="E305" s="367"/>
      <c r="F305" s="367"/>
      <c r="G305" s="367"/>
      <c r="H305" s="367"/>
    </row>
    <row r="306" spans="1:8">
      <c r="A306" s="368" t="s">
        <v>561</v>
      </c>
      <c r="B306" s="367"/>
      <c r="C306" s="367"/>
      <c r="D306" s="367"/>
      <c r="E306" s="367"/>
      <c r="F306" s="367"/>
      <c r="G306" s="367"/>
      <c r="H306" s="367"/>
    </row>
    <row r="307" spans="1:8">
      <c r="A307" s="367"/>
      <c r="B307" s="367"/>
      <c r="C307" s="367"/>
      <c r="D307" s="367"/>
      <c r="E307" s="367"/>
      <c r="F307" s="367"/>
      <c r="G307" s="367"/>
      <c r="H307" s="367"/>
    </row>
    <row r="308" spans="1:8">
      <c r="A308" s="368" t="s">
        <v>547</v>
      </c>
      <c r="B308" s="367"/>
      <c r="C308" s="367"/>
      <c r="D308" s="367"/>
      <c r="E308" s="367"/>
      <c r="F308" s="367"/>
      <c r="G308" s="367"/>
      <c r="H308" s="367"/>
    </row>
    <row r="309" spans="1:8">
      <c r="A309" s="368" t="s">
        <v>548</v>
      </c>
      <c r="B309" s="367"/>
      <c r="C309" s="367"/>
      <c r="D309" s="367"/>
      <c r="E309" s="367"/>
      <c r="F309" s="367"/>
      <c r="G309" s="367"/>
      <c r="H309" s="367"/>
    </row>
    <row r="310" spans="1:8">
      <c r="A310" s="368" t="s">
        <v>549</v>
      </c>
      <c r="B310" s="367"/>
      <c r="C310" s="367"/>
      <c r="D310" s="367"/>
      <c r="E310" s="367"/>
      <c r="F310" s="367"/>
      <c r="G310" s="367"/>
      <c r="H310" s="367"/>
    </row>
    <row r="311" spans="1:8">
      <c r="A311" s="368" t="s">
        <v>550</v>
      </c>
      <c r="B311" s="367"/>
      <c r="C311" s="367"/>
      <c r="D311" s="367"/>
      <c r="E311" s="367"/>
      <c r="F311" s="367"/>
      <c r="G311" s="367"/>
      <c r="H311" s="367"/>
    </row>
    <row r="312" spans="1:8">
      <c r="A312" s="368" t="s">
        <v>551</v>
      </c>
      <c r="B312" s="367"/>
      <c r="C312" s="367"/>
      <c r="D312" s="367"/>
      <c r="E312" s="367"/>
      <c r="F312" s="367"/>
      <c r="G312" s="367"/>
      <c r="H312" s="367"/>
    </row>
    <row r="313" spans="1:8">
      <c r="A313" s="368" t="s">
        <v>552</v>
      </c>
      <c r="B313" s="367"/>
      <c r="C313" s="367"/>
      <c r="D313" s="367"/>
      <c r="E313" s="367"/>
      <c r="F313" s="367"/>
      <c r="G313" s="367"/>
      <c r="H313" s="367"/>
    </row>
    <row r="314" spans="1:8">
      <c r="A314" s="368" t="s">
        <v>553</v>
      </c>
      <c r="B314" s="367"/>
      <c r="C314" s="367"/>
      <c r="D314" s="367"/>
      <c r="E314" s="367"/>
      <c r="F314" s="367"/>
      <c r="G314" s="367"/>
      <c r="H314" s="367"/>
    </row>
    <row r="315" spans="1:8">
      <c r="A315" s="368" t="s">
        <v>554</v>
      </c>
      <c r="B315" s="367"/>
      <c r="C315" s="367"/>
      <c r="D315" s="367"/>
      <c r="E315" s="367"/>
      <c r="F315" s="367"/>
      <c r="G315" s="367"/>
      <c r="H315" s="367"/>
    </row>
    <row r="316" spans="1:8">
      <c r="A316" s="368" t="s">
        <v>555</v>
      </c>
      <c r="B316" s="367"/>
      <c r="C316" s="367"/>
      <c r="D316" s="367"/>
      <c r="E316" s="367"/>
      <c r="F316" s="367"/>
      <c r="G316" s="367"/>
      <c r="H316" s="367"/>
    </row>
    <row r="317" spans="1:8">
      <c r="A317" s="368" t="s">
        <v>556</v>
      </c>
      <c r="B317" s="367"/>
      <c r="C317" s="367"/>
      <c r="D317" s="367"/>
      <c r="E317" s="367"/>
      <c r="F317" s="367"/>
      <c r="G317" s="367"/>
      <c r="H317" s="367"/>
    </row>
    <row r="318" spans="1:8">
      <c r="A318" s="368" t="s">
        <v>557</v>
      </c>
      <c r="B318" s="367"/>
      <c r="C318" s="367"/>
      <c r="D318" s="367"/>
      <c r="E318" s="367"/>
      <c r="F318" s="367"/>
      <c r="G318" s="367"/>
      <c r="H318" s="367"/>
    </row>
    <row r="319" spans="1:8">
      <c r="A319" s="368" t="s">
        <v>558</v>
      </c>
      <c r="B319" s="367"/>
      <c r="C319" s="367"/>
      <c r="D319" s="367"/>
      <c r="E319" s="367"/>
      <c r="F319" s="367"/>
      <c r="G319" s="367"/>
      <c r="H319" s="367"/>
    </row>
    <row r="320" spans="1:8">
      <c r="A320" s="368" t="s">
        <v>559</v>
      </c>
      <c r="B320" s="367"/>
      <c r="C320" s="367"/>
      <c r="D320" s="367"/>
      <c r="E320" s="367"/>
      <c r="F320" s="367"/>
      <c r="G320" s="367"/>
      <c r="H320" s="367"/>
    </row>
    <row r="321" spans="1:8">
      <c r="A321" s="367"/>
      <c r="B321" s="367"/>
      <c r="C321" s="367"/>
      <c r="D321" s="367"/>
      <c r="E321" s="367"/>
      <c r="F321" s="367"/>
      <c r="G321" s="367"/>
      <c r="H321" s="367"/>
    </row>
    <row r="322" spans="1:8">
      <c r="A322" s="368" t="s">
        <v>539</v>
      </c>
      <c r="B322" s="367"/>
      <c r="C322" s="367"/>
      <c r="D322" s="367"/>
      <c r="E322" s="367"/>
      <c r="F322" s="367"/>
      <c r="G322" s="367"/>
      <c r="H322" s="367"/>
    </row>
    <row r="323" spans="1:8">
      <c r="A323" s="368" t="s">
        <v>540</v>
      </c>
      <c r="B323" s="367"/>
      <c r="C323" s="367"/>
      <c r="D323" s="367"/>
      <c r="E323" s="367"/>
      <c r="F323" s="367"/>
      <c r="G323" s="367"/>
      <c r="H323" s="367"/>
    </row>
    <row r="324" spans="1:8">
      <c r="A324" s="368" t="s">
        <v>541</v>
      </c>
      <c r="B324" s="367"/>
      <c r="C324" s="367"/>
      <c r="D324" s="367"/>
      <c r="E324" s="367"/>
      <c r="F324" s="367"/>
      <c r="G324" s="367"/>
      <c r="H324" s="367"/>
    </row>
    <row r="325" spans="1:8">
      <c r="A325" s="368" t="s">
        <v>542</v>
      </c>
      <c r="B325" s="367"/>
      <c r="C325" s="367"/>
      <c r="D325" s="367"/>
      <c r="E325" s="367"/>
      <c r="F325" s="367"/>
      <c r="G325" s="367"/>
      <c r="H325" s="367"/>
    </row>
    <row r="326" spans="1:8">
      <c r="A326" s="368" t="s">
        <v>543</v>
      </c>
      <c r="B326" s="367"/>
      <c r="C326" s="367"/>
      <c r="D326" s="367"/>
      <c r="E326" s="367"/>
      <c r="F326" s="367"/>
      <c r="G326" s="367"/>
      <c r="H326" s="367"/>
    </row>
    <row r="327" spans="1:8">
      <c r="A327" s="368" t="s">
        <v>544</v>
      </c>
      <c r="B327" s="367"/>
      <c r="C327" s="367"/>
      <c r="D327" s="367"/>
      <c r="E327" s="367"/>
      <c r="F327" s="367"/>
      <c r="G327" s="367"/>
      <c r="H327" s="367"/>
    </row>
    <row r="328" spans="1:8">
      <c r="A328" s="368" t="s">
        <v>545</v>
      </c>
      <c r="B328" s="367"/>
      <c r="C328" s="367"/>
      <c r="D328" s="367"/>
      <c r="E328" s="367"/>
      <c r="F328" s="367"/>
      <c r="G328" s="367"/>
      <c r="H328" s="367"/>
    </row>
    <row r="329" spans="1:8">
      <c r="A329" s="368" t="s">
        <v>546</v>
      </c>
      <c r="B329" s="367"/>
      <c r="C329" s="367"/>
      <c r="D329" s="367"/>
      <c r="E329" s="367"/>
      <c r="F329" s="367"/>
      <c r="G329" s="367"/>
      <c r="H329" s="367"/>
    </row>
    <row r="330" spans="1:8">
      <c r="A330" s="367"/>
      <c r="B330" s="367"/>
      <c r="C330" s="367"/>
      <c r="D330" s="367"/>
      <c r="E330" s="367"/>
      <c r="F330" s="367"/>
      <c r="G330" s="367"/>
      <c r="H330" s="367"/>
    </row>
    <row r="331" spans="1:8">
      <c r="A331" s="368" t="s">
        <v>504</v>
      </c>
      <c r="B331" s="367"/>
      <c r="C331" s="367"/>
      <c r="D331" s="367"/>
      <c r="E331" s="367"/>
      <c r="F331" s="367"/>
      <c r="G331" s="367"/>
      <c r="H331" s="367"/>
    </row>
    <row r="332" spans="1:8">
      <c r="A332" s="368" t="s">
        <v>505</v>
      </c>
      <c r="B332" s="367"/>
      <c r="C332" s="367"/>
      <c r="D332" s="367"/>
      <c r="E332" s="367"/>
      <c r="F332" s="367"/>
      <c r="G332" s="367"/>
      <c r="H332" s="367"/>
    </row>
    <row r="333" spans="1:8">
      <c r="A333" s="368" t="s">
        <v>506</v>
      </c>
      <c r="B333" s="367"/>
      <c r="C333" s="367"/>
      <c r="D333" s="367"/>
      <c r="E333" s="367"/>
      <c r="F333" s="367"/>
      <c r="G333" s="367"/>
      <c r="H333" s="367"/>
    </row>
    <row r="334" spans="1:8">
      <c r="A334" s="368" t="s">
        <v>507</v>
      </c>
      <c r="B334" s="367"/>
      <c r="C334" s="367"/>
      <c r="D334" s="367"/>
      <c r="E334" s="367"/>
      <c r="F334" s="367"/>
      <c r="G334" s="367"/>
      <c r="H334" s="367"/>
    </row>
    <row r="335" spans="1:8">
      <c r="A335" s="368" t="s">
        <v>508</v>
      </c>
      <c r="B335" s="367"/>
      <c r="C335" s="367"/>
      <c r="D335" s="367"/>
      <c r="E335" s="367"/>
      <c r="F335" s="367"/>
      <c r="G335" s="367"/>
      <c r="H335" s="367"/>
    </row>
    <row r="336" spans="1:8">
      <c r="A336" s="368" t="s">
        <v>509</v>
      </c>
      <c r="B336" s="367"/>
      <c r="C336" s="367"/>
      <c r="D336" s="367"/>
      <c r="E336" s="367"/>
      <c r="F336" s="367"/>
      <c r="G336" s="367"/>
      <c r="H336" s="367"/>
    </row>
    <row r="337" spans="1:8">
      <c r="A337" s="368" t="s">
        <v>510</v>
      </c>
      <c r="B337" s="367"/>
      <c r="C337" s="367"/>
      <c r="D337" s="367"/>
      <c r="E337" s="367"/>
      <c r="F337" s="367"/>
      <c r="G337" s="367"/>
      <c r="H337" s="367"/>
    </row>
    <row r="338" spans="1:8">
      <c r="A338" s="368" t="s">
        <v>511</v>
      </c>
      <c r="B338" s="367"/>
      <c r="C338" s="367"/>
      <c r="D338" s="367"/>
      <c r="E338" s="367"/>
      <c r="F338" s="367"/>
      <c r="G338" s="367"/>
      <c r="H338" s="367"/>
    </row>
    <row r="339" spans="1:8">
      <c r="A339" s="368" t="s">
        <v>512</v>
      </c>
      <c r="B339" s="367"/>
      <c r="C339" s="367"/>
      <c r="D339" s="367"/>
      <c r="E339" s="367"/>
      <c r="F339" s="367"/>
      <c r="G339" s="367"/>
      <c r="H339" s="367"/>
    </row>
    <row r="340" spans="1:8">
      <c r="A340" s="368" t="s">
        <v>513</v>
      </c>
      <c r="B340" s="367"/>
      <c r="C340" s="367"/>
      <c r="D340" s="367"/>
      <c r="E340" s="367"/>
      <c r="F340" s="367"/>
      <c r="G340" s="367"/>
      <c r="H340" s="367"/>
    </row>
    <row r="341" spans="1:8">
      <c r="A341" s="368" t="s">
        <v>514</v>
      </c>
      <c r="B341" s="367"/>
      <c r="C341" s="367"/>
      <c r="D341" s="367"/>
      <c r="E341" s="367"/>
      <c r="F341" s="367"/>
      <c r="G341" s="367"/>
      <c r="H341" s="367"/>
    </row>
    <row r="342" spans="1:8">
      <c r="A342" s="368" t="s">
        <v>515</v>
      </c>
      <c r="B342" s="367"/>
      <c r="C342" s="367"/>
      <c r="D342" s="367"/>
      <c r="E342" s="367"/>
      <c r="F342" s="367"/>
      <c r="G342" s="367"/>
      <c r="H342" s="367"/>
    </row>
    <row r="343" spans="1:8">
      <c r="A343" s="368" t="s">
        <v>516</v>
      </c>
      <c r="B343" s="367"/>
      <c r="C343" s="367"/>
      <c r="D343" s="367"/>
      <c r="E343" s="367"/>
      <c r="F343" s="367"/>
      <c r="G343" s="367"/>
      <c r="H343" s="367"/>
    </row>
    <row r="344" spans="1:8">
      <c r="A344" s="368" t="s">
        <v>517</v>
      </c>
      <c r="B344" s="367"/>
      <c r="C344" s="367"/>
      <c r="D344" s="367"/>
      <c r="E344" s="367"/>
      <c r="F344" s="367"/>
      <c r="G344" s="367"/>
      <c r="H344" s="367"/>
    </row>
    <row r="345" spans="1:8">
      <c r="A345" s="368" t="s">
        <v>518</v>
      </c>
      <c r="B345" s="367"/>
      <c r="C345" s="367"/>
      <c r="D345" s="367"/>
      <c r="E345" s="367"/>
      <c r="F345" s="367"/>
      <c r="G345" s="367"/>
      <c r="H345" s="367"/>
    </row>
    <row r="346" spans="1:8">
      <c r="A346" s="368" t="s">
        <v>519</v>
      </c>
      <c r="B346" s="367"/>
      <c r="C346" s="367"/>
      <c r="D346" s="367"/>
      <c r="E346" s="367"/>
      <c r="F346" s="367"/>
      <c r="G346" s="367"/>
      <c r="H346" s="367"/>
    </row>
    <row r="347" spans="1:8">
      <c r="A347" s="368" t="s">
        <v>520</v>
      </c>
      <c r="B347" s="367"/>
      <c r="C347" s="367"/>
      <c r="D347" s="367"/>
      <c r="E347" s="367"/>
      <c r="F347" s="367"/>
      <c r="G347" s="367"/>
      <c r="H347" s="367"/>
    </row>
    <row r="348" spans="1:8">
      <c r="A348" s="368" t="s">
        <v>521</v>
      </c>
      <c r="B348" s="367"/>
      <c r="C348" s="367"/>
      <c r="D348" s="367"/>
      <c r="E348" s="367"/>
      <c r="F348" s="367"/>
      <c r="G348" s="367"/>
      <c r="H348" s="367"/>
    </row>
    <row r="349" spans="1:8">
      <c r="A349" s="368" t="s">
        <v>522</v>
      </c>
      <c r="B349" s="367"/>
      <c r="C349" s="367"/>
      <c r="D349" s="367"/>
      <c r="E349" s="367"/>
      <c r="F349" s="367"/>
      <c r="G349" s="367"/>
      <c r="H349" s="367"/>
    </row>
    <row r="350" spans="1:8">
      <c r="A350" s="368" t="s">
        <v>523</v>
      </c>
      <c r="B350" s="367"/>
      <c r="C350" s="367"/>
      <c r="D350" s="367"/>
      <c r="E350" s="367"/>
      <c r="F350" s="367"/>
      <c r="G350" s="367"/>
      <c r="H350" s="367"/>
    </row>
    <row r="351" spans="1:8">
      <c r="A351" s="368" t="s">
        <v>524</v>
      </c>
      <c r="B351" s="367"/>
      <c r="C351" s="367"/>
      <c r="D351" s="367"/>
      <c r="E351" s="367"/>
      <c r="F351" s="367"/>
      <c r="G351" s="367"/>
      <c r="H351" s="367"/>
    </row>
    <row r="352" spans="1:8">
      <c r="A352" s="368" t="s">
        <v>525</v>
      </c>
      <c r="B352" s="367"/>
      <c r="C352" s="367"/>
      <c r="D352" s="367"/>
      <c r="E352" s="367"/>
      <c r="F352" s="367"/>
      <c r="G352" s="367"/>
      <c r="H352" s="367"/>
    </row>
    <row r="353" spans="1:8">
      <c r="A353" s="368" t="s">
        <v>526</v>
      </c>
      <c r="B353" s="367"/>
      <c r="C353" s="367"/>
      <c r="D353" s="367"/>
      <c r="E353" s="367"/>
      <c r="F353" s="367"/>
      <c r="G353" s="367"/>
      <c r="H353" s="367"/>
    </row>
    <row r="354" spans="1:8">
      <c r="A354" s="368" t="s">
        <v>527</v>
      </c>
      <c r="B354" s="367"/>
      <c r="C354" s="367"/>
      <c r="D354" s="367"/>
      <c r="E354" s="367"/>
      <c r="F354" s="367"/>
      <c r="G354" s="367"/>
      <c r="H354" s="367"/>
    </row>
    <row r="355" spans="1:8">
      <c r="A355" s="368" t="s">
        <v>528</v>
      </c>
      <c r="B355" s="367"/>
      <c r="C355" s="367"/>
      <c r="D355" s="367"/>
      <c r="E355" s="367"/>
      <c r="F355" s="367"/>
      <c r="G355" s="367"/>
      <c r="H355" s="367"/>
    </row>
    <row r="356" spans="1:8">
      <c r="A356" s="368" t="s">
        <v>529</v>
      </c>
      <c r="B356" s="367"/>
      <c r="C356" s="367"/>
      <c r="D356" s="367"/>
      <c r="E356" s="367"/>
      <c r="F356" s="367"/>
      <c r="G356" s="367"/>
      <c r="H356" s="367"/>
    </row>
    <row r="357" spans="1:8">
      <c r="A357" s="368" t="s">
        <v>530</v>
      </c>
      <c r="B357" s="367"/>
      <c r="C357" s="367"/>
      <c r="D357" s="367"/>
      <c r="E357" s="367"/>
      <c r="F357" s="367"/>
      <c r="G357" s="367"/>
      <c r="H357" s="367"/>
    </row>
    <row r="358" spans="1:8">
      <c r="A358" s="368" t="s">
        <v>531</v>
      </c>
      <c r="B358" s="367"/>
      <c r="C358" s="367"/>
      <c r="D358" s="367"/>
      <c r="E358" s="367"/>
      <c r="F358" s="367"/>
      <c r="G358" s="367"/>
      <c r="H358" s="367"/>
    </row>
    <row r="359" spans="1:8">
      <c r="A359" s="368" t="s">
        <v>532</v>
      </c>
      <c r="B359" s="367"/>
      <c r="C359" s="367"/>
      <c r="D359" s="367"/>
      <c r="E359" s="367"/>
      <c r="F359" s="367"/>
      <c r="G359" s="367"/>
      <c r="H359" s="367"/>
    </row>
    <row r="360" spans="1:8">
      <c r="A360" s="368" t="s">
        <v>533</v>
      </c>
      <c r="B360" s="367"/>
      <c r="C360" s="367"/>
      <c r="D360" s="367"/>
      <c r="E360" s="367"/>
      <c r="F360" s="367"/>
      <c r="G360" s="367"/>
      <c r="H360" s="367"/>
    </row>
    <row r="361" spans="1:8">
      <c r="A361" s="368" t="s">
        <v>534</v>
      </c>
      <c r="B361" s="367"/>
      <c r="C361" s="367"/>
      <c r="D361" s="367"/>
      <c r="E361" s="367"/>
      <c r="F361" s="367"/>
      <c r="G361" s="367"/>
      <c r="H361" s="367"/>
    </row>
    <row r="362" spans="1:8">
      <c r="A362" s="368" t="s">
        <v>535</v>
      </c>
      <c r="B362" s="367"/>
      <c r="C362" s="367"/>
      <c r="D362" s="367"/>
      <c r="E362" s="367"/>
      <c r="F362" s="367"/>
      <c r="G362" s="367"/>
      <c r="H362" s="367"/>
    </row>
    <row r="363" spans="1:8">
      <c r="A363" s="368" t="s">
        <v>536</v>
      </c>
      <c r="B363" s="367"/>
      <c r="C363" s="367"/>
      <c r="D363" s="367"/>
      <c r="E363" s="367"/>
      <c r="F363" s="367"/>
      <c r="G363" s="367"/>
      <c r="H363" s="367"/>
    </row>
    <row r="364" spans="1:8">
      <c r="A364" s="368" t="s">
        <v>537</v>
      </c>
      <c r="B364" s="367"/>
      <c r="C364" s="367"/>
      <c r="D364" s="367"/>
      <c r="E364" s="367"/>
      <c r="F364" s="367"/>
      <c r="G364" s="367"/>
      <c r="H364" s="367"/>
    </row>
    <row r="365" spans="1:8">
      <c r="A365" s="368" t="s">
        <v>538</v>
      </c>
      <c r="B365" s="367"/>
      <c r="C365" s="367"/>
      <c r="D365" s="367"/>
      <c r="E365" s="367"/>
      <c r="F365" s="367"/>
      <c r="G365" s="367"/>
      <c r="H365" s="367"/>
    </row>
    <row r="366" spans="1:8">
      <c r="A366" s="367"/>
      <c r="B366" s="367"/>
      <c r="C366" s="367"/>
      <c r="D366" s="367"/>
      <c r="E366" s="367"/>
      <c r="F366" s="367"/>
      <c r="G366" s="367"/>
      <c r="H366" s="367"/>
    </row>
    <row r="367" spans="1:8">
      <c r="A367" s="368" t="s">
        <v>496</v>
      </c>
      <c r="B367" s="367"/>
      <c r="C367" s="367"/>
      <c r="D367" s="367"/>
      <c r="E367" s="367"/>
      <c r="F367" s="367"/>
      <c r="G367" s="367"/>
      <c r="H367" s="367"/>
    </row>
    <row r="368" spans="1:8">
      <c r="A368" s="368" t="s">
        <v>500</v>
      </c>
      <c r="B368" s="367"/>
      <c r="C368" s="367"/>
      <c r="D368" s="367"/>
      <c r="E368" s="367"/>
      <c r="F368" s="367"/>
      <c r="G368" s="367"/>
      <c r="H368" s="367"/>
    </row>
    <row r="369" spans="1:8">
      <c r="A369" s="368" t="s">
        <v>501</v>
      </c>
      <c r="B369" s="367"/>
      <c r="C369" s="367"/>
      <c r="D369" s="367"/>
      <c r="E369" s="367"/>
      <c r="F369" s="367"/>
      <c r="G369" s="367"/>
      <c r="H369" s="367"/>
    </row>
    <row r="370" spans="1:8">
      <c r="A370" s="368" t="s">
        <v>502</v>
      </c>
      <c r="B370" s="367"/>
      <c r="C370" s="367"/>
      <c r="D370" s="367"/>
      <c r="E370" s="367"/>
      <c r="F370" s="367"/>
      <c r="G370" s="367"/>
      <c r="H370" s="367"/>
    </row>
    <row r="371" spans="1:8">
      <c r="A371" s="368" t="s">
        <v>503</v>
      </c>
      <c r="B371" s="367"/>
      <c r="C371" s="367"/>
      <c r="D371" s="367"/>
      <c r="E371" s="367"/>
      <c r="F371" s="367"/>
      <c r="G371" s="367"/>
      <c r="H371" s="367"/>
    </row>
    <row r="372" spans="1:8">
      <c r="A372" s="367"/>
      <c r="B372" s="367"/>
      <c r="C372" s="367"/>
      <c r="D372" s="367"/>
      <c r="E372" s="367"/>
      <c r="F372" s="367"/>
      <c r="G372" s="367"/>
      <c r="H372" s="367"/>
    </row>
    <row r="373" spans="1:8">
      <c r="A373" s="368" t="s">
        <v>496</v>
      </c>
      <c r="B373" s="367"/>
      <c r="C373" s="367"/>
      <c r="D373" s="367"/>
      <c r="E373" s="367"/>
      <c r="F373" s="367"/>
      <c r="G373" s="367"/>
      <c r="H373" s="367"/>
    </row>
    <row r="374" spans="1:8">
      <c r="A374" s="368" t="s">
        <v>497</v>
      </c>
      <c r="B374" s="367"/>
      <c r="C374" s="367"/>
      <c r="D374" s="367"/>
      <c r="E374" s="367"/>
      <c r="F374" s="367"/>
      <c r="G374" s="367"/>
      <c r="H374" s="367"/>
    </row>
    <row r="375" spans="1:8">
      <c r="A375" s="368" t="s">
        <v>498</v>
      </c>
      <c r="B375" s="367"/>
      <c r="C375" s="367"/>
      <c r="D375" s="367"/>
      <c r="E375" s="367"/>
      <c r="F375" s="367"/>
      <c r="G375" s="367"/>
      <c r="H375" s="367"/>
    </row>
    <row r="376" spans="1:8">
      <c r="A376" s="368" t="s">
        <v>499</v>
      </c>
      <c r="B376" s="367"/>
      <c r="C376" s="367"/>
      <c r="D376" s="367"/>
      <c r="E376" s="367"/>
      <c r="F376" s="367"/>
      <c r="G376" s="367"/>
      <c r="H376" s="367"/>
    </row>
    <row r="377" spans="1:8">
      <c r="A377" s="367"/>
      <c r="B377" s="367"/>
      <c r="C377" s="367"/>
      <c r="D377" s="367"/>
      <c r="E377" s="367"/>
      <c r="F377" s="367"/>
      <c r="G377" s="367"/>
      <c r="H377" s="367"/>
    </row>
    <row r="378" spans="1:8">
      <c r="A378" s="368" t="s">
        <v>490</v>
      </c>
      <c r="B378" s="367"/>
      <c r="C378" s="367"/>
      <c r="D378" s="367"/>
      <c r="E378" s="367"/>
      <c r="F378" s="367"/>
      <c r="G378" s="367"/>
      <c r="H378" s="367"/>
    </row>
    <row r="379" spans="1:8">
      <c r="A379" s="368" t="s">
        <v>491</v>
      </c>
      <c r="B379" s="367"/>
      <c r="C379" s="367"/>
      <c r="D379" s="367"/>
      <c r="E379" s="367"/>
      <c r="F379" s="367"/>
      <c r="G379" s="367"/>
      <c r="H379" s="367"/>
    </row>
    <row r="380" spans="1:8">
      <c r="A380" s="368" t="s">
        <v>492</v>
      </c>
      <c r="B380" s="367"/>
      <c r="C380" s="367"/>
      <c r="D380" s="367"/>
      <c r="E380" s="367"/>
      <c r="F380" s="367"/>
      <c r="G380" s="367"/>
      <c r="H380" s="367"/>
    </row>
    <row r="381" spans="1:8">
      <c r="A381" s="368" t="s">
        <v>493</v>
      </c>
      <c r="B381" s="367"/>
      <c r="C381" s="367"/>
      <c r="D381" s="367"/>
      <c r="E381" s="367"/>
      <c r="F381" s="367"/>
      <c r="G381" s="367"/>
      <c r="H381" s="367"/>
    </row>
    <row r="382" spans="1:8">
      <c r="A382" s="368" t="s">
        <v>494</v>
      </c>
      <c r="B382" s="367"/>
      <c r="C382" s="367"/>
      <c r="D382" s="367"/>
      <c r="E382" s="367"/>
      <c r="F382" s="367"/>
      <c r="G382" s="367"/>
      <c r="H382" s="367"/>
    </row>
    <row r="383" spans="1:8">
      <c r="A383" s="368" t="s">
        <v>495</v>
      </c>
      <c r="B383" s="367"/>
      <c r="C383" s="367"/>
      <c r="D383" s="367"/>
      <c r="E383" s="367"/>
      <c r="F383" s="367"/>
      <c r="G383" s="367"/>
      <c r="H383" s="367"/>
    </row>
    <row r="384" spans="1:8">
      <c r="A384" s="367"/>
      <c r="B384" s="367"/>
      <c r="C384" s="367"/>
      <c r="D384" s="367"/>
      <c r="E384" s="367"/>
      <c r="F384" s="367"/>
      <c r="G384" s="367"/>
      <c r="H384" s="367"/>
    </row>
    <row r="385" spans="1:8">
      <c r="A385" s="368" t="s">
        <v>485</v>
      </c>
      <c r="B385" s="367"/>
      <c r="C385" s="367"/>
      <c r="D385" s="367"/>
      <c r="E385" s="367"/>
      <c r="F385" s="367"/>
      <c r="G385" s="367"/>
      <c r="H385" s="367"/>
    </row>
    <row r="386" spans="1:8">
      <c r="A386" s="368" t="s">
        <v>486</v>
      </c>
      <c r="B386" s="367"/>
      <c r="C386" s="367"/>
      <c r="D386" s="367"/>
      <c r="E386" s="367"/>
      <c r="F386" s="367"/>
      <c r="G386" s="367"/>
      <c r="H386" s="367"/>
    </row>
    <row r="387" spans="1:8">
      <c r="A387" s="368" t="s">
        <v>487</v>
      </c>
      <c r="B387" s="367"/>
      <c r="C387" s="367"/>
      <c r="D387" s="367"/>
      <c r="E387" s="367"/>
      <c r="F387" s="367"/>
      <c r="G387" s="367"/>
      <c r="H387" s="367"/>
    </row>
    <row r="388" spans="1:8">
      <c r="A388" s="368" t="s">
        <v>488</v>
      </c>
      <c r="B388" s="367"/>
      <c r="C388" s="367"/>
      <c r="D388" s="367"/>
      <c r="E388" s="367"/>
      <c r="F388" s="367"/>
      <c r="G388" s="367"/>
      <c r="H388" s="367"/>
    </row>
    <row r="389" spans="1:8">
      <c r="A389" s="368" t="s">
        <v>489</v>
      </c>
      <c r="B389" s="367"/>
      <c r="C389" s="367"/>
      <c r="D389" s="367"/>
      <c r="E389" s="367"/>
      <c r="F389" s="367"/>
      <c r="G389" s="367"/>
      <c r="H389" s="367"/>
    </row>
    <row r="390" spans="1:8">
      <c r="A390" s="367"/>
      <c r="B390" s="367"/>
      <c r="C390" s="367"/>
      <c r="D390" s="367"/>
      <c r="E390" s="367"/>
      <c r="F390" s="367"/>
      <c r="G390" s="367"/>
      <c r="H390" s="367"/>
    </row>
    <row r="391" spans="1:8">
      <c r="A391" s="368" t="s">
        <v>483</v>
      </c>
      <c r="B391" s="367"/>
      <c r="C391" s="367"/>
      <c r="D391" s="367"/>
      <c r="E391" s="367"/>
      <c r="F391" s="367"/>
      <c r="G391" s="367"/>
      <c r="H391" s="367"/>
    </row>
    <row r="392" spans="1:8">
      <c r="A392" s="368" t="s">
        <v>484</v>
      </c>
      <c r="B392" s="367"/>
      <c r="C392" s="367"/>
      <c r="D392" s="367"/>
      <c r="E392" s="367"/>
      <c r="F392" s="367"/>
      <c r="G392" s="367"/>
      <c r="H392" s="367"/>
    </row>
    <row r="394" spans="1:8">
      <c r="A394" s="363" t="s">
        <v>741</v>
      </c>
    </row>
  </sheetData>
  <mergeCells count="12">
    <mergeCell ref="A135:H135"/>
    <mergeCell ref="A136:H136"/>
    <mergeCell ref="B128:C128"/>
    <mergeCell ref="D128:F128"/>
    <mergeCell ref="G128:H128"/>
    <mergeCell ref="A114:H114"/>
    <mergeCell ref="A115:H115"/>
    <mergeCell ref="A116:H116"/>
    <mergeCell ref="A117:H117"/>
    <mergeCell ref="A119:H119"/>
    <mergeCell ref="A120:H120"/>
    <mergeCell ref="A127:H127"/>
  </mergeCells>
  <pageMargins left="0.5" right="0.5" top="0.5" bottom="0.5" header="0.5" footer="0.5"/>
  <pageSetup orientation="portrait" horizontalDpi="300" verticalDpi="0"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B19"/>
  <sheetViews>
    <sheetView workbookViewId="0"/>
  </sheetViews>
  <sheetFormatPr defaultRowHeight="12.75"/>
  <sheetData>
    <row r="1" spans="1:2">
      <c r="A1" t="s">
        <v>816</v>
      </c>
      <c r="B1" t="s">
        <v>817</v>
      </c>
    </row>
    <row r="2" spans="1:2">
      <c r="A2" s="150" t="s">
        <v>818</v>
      </c>
      <c r="B2">
        <v>-1</v>
      </c>
    </row>
    <row r="3" spans="1:2">
      <c r="A3" s="150" t="s">
        <v>819</v>
      </c>
      <c r="B3">
        <v>2</v>
      </c>
    </row>
    <row r="4" spans="1:2">
      <c r="A4" s="150" t="s">
        <v>820</v>
      </c>
      <c r="B4">
        <v>-1</v>
      </c>
    </row>
    <row r="5" spans="1:2">
      <c r="A5" s="150" t="s">
        <v>821</v>
      </c>
      <c r="B5">
        <v>-1</v>
      </c>
    </row>
    <row r="6" spans="1:2">
      <c r="A6" s="150" t="s">
        <v>822</v>
      </c>
      <c r="B6">
        <v>0</v>
      </c>
    </row>
    <row r="7" spans="1:2">
      <c r="A7" s="150" t="s">
        <v>823</v>
      </c>
      <c r="B7">
        <v>0</v>
      </c>
    </row>
    <row r="8" spans="1:2">
      <c r="A8" s="150" t="s">
        <v>824</v>
      </c>
      <c r="B8">
        <v>0</v>
      </c>
    </row>
    <row r="9" spans="1:2">
      <c r="A9" s="150" t="s">
        <v>825</v>
      </c>
      <c r="B9">
        <v>0</v>
      </c>
    </row>
    <row r="10" spans="1:2">
      <c r="A10" s="150" t="s">
        <v>826</v>
      </c>
      <c r="B10">
        <v>0</v>
      </c>
    </row>
    <row r="11" spans="1:2">
      <c r="A11" s="150" t="s">
        <v>827</v>
      </c>
      <c r="B11">
        <v>-1</v>
      </c>
    </row>
    <row r="12" spans="1:2">
      <c r="A12" s="150" t="s">
        <v>828</v>
      </c>
      <c r="B12">
        <v>-1</v>
      </c>
    </row>
    <row r="13" spans="1:2">
      <c r="A13" s="150" t="s">
        <v>829</v>
      </c>
      <c r="B13">
        <v>-1</v>
      </c>
    </row>
    <row r="14" spans="1:2">
      <c r="A14" s="150" t="s">
        <v>830</v>
      </c>
      <c r="B14">
        <v>-1</v>
      </c>
    </row>
    <row r="15" spans="1:2">
      <c r="A15" s="150" t="s">
        <v>831</v>
      </c>
      <c r="B15">
        <v>2</v>
      </c>
    </row>
    <row r="16" spans="1:2">
      <c r="A16" s="150" t="s">
        <v>832</v>
      </c>
      <c r="B16">
        <v>-1</v>
      </c>
    </row>
    <row r="17" spans="1:2">
      <c r="A17" s="150" t="s">
        <v>833</v>
      </c>
      <c r="B17">
        <v>-1</v>
      </c>
    </row>
    <row r="18" spans="1:2">
      <c r="A18" s="150" t="s">
        <v>834</v>
      </c>
      <c r="B18">
        <v>-1</v>
      </c>
    </row>
    <row r="19" spans="1:2">
      <c r="A19" s="150" t="s">
        <v>835</v>
      </c>
      <c r="B19">
        <v>-1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dimension ref="B1:B11"/>
  <sheetViews>
    <sheetView showGridLines="0" showRowColHeaders="0" workbookViewId="0">
      <selection activeCell="N1" sqref="N1"/>
    </sheetView>
  </sheetViews>
  <sheetFormatPr defaultRowHeight="12.75"/>
  <cols>
    <col min="1" max="1" width="9.140625" style="324"/>
    <col min="2" max="2" width="88.28515625" style="324" customWidth="1"/>
    <col min="3" max="257" width="9.140625" style="324"/>
    <col min="258" max="258" width="88.28515625" style="324" customWidth="1"/>
    <col min="259" max="513" width="9.140625" style="324"/>
    <col min="514" max="514" width="88.28515625" style="324" customWidth="1"/>
    <col min="515" max="769" width="9.140625" style="324"/>
    <col min="770" max="770" width="88.28515625" style="324" customWidth="1"/>
    <col min="771" max="1025" width="9.140625" style="324"/>
    <col min="1026" max="1026" width="88.28515625" style="324" customWidth="1"/>
    <col min="1027" max="1281" width="9.140625" style="324"/>
    <col min="1282" max="1282" width="88.28515625" style="324" customWidth="1"/>
    <col min="1283" max="1537" width="9.140625" style="324"/>
    <col min="1538" max="1538" width="88.28515625" style="324" customWidth="1"/>
    <col min="1539" max="1793" width="9.140625" style="324"/>
    <col min="1794" max="1794" width="88.28515625" style="324" customWidth="1"/>
    <col min="1795" max="2049" width="9.140625" style="324"/>
    <col min="2050" max="2050" width="88.28515625" style="324" customWidth="1"/>
    <col min="2051" max="2305" width="9.140625" style="324"/>
    <col min="2306" max="2306" width="88.28515625" style="324" customWidth="1"/>
    <col min="2307" max="2561" width="9.140625" style="324"/>
    <col min="2562" max="2562" width="88.28515625" style="324" customWidth="1"/>
    <col min="2563" max="2817" width="9.140625" style="324"/>
    <col min="2818" max="2818" width="88.28515625" style="324" customWidth="1"/>
    <col min="2819" max="3073" width="9.140625" style="324"/>
    <col min="3074" max="3074" width="88.28515625" style="324" customWidth="1"/>
    <col min="3075" max="3329" width="9.140625" style="324"/>
    <col min="3330" max="3330" width="88.28515625" style="324" customWidth="1"/>
    <col min="3331" max="3585" width="9.140625" style="324"/>
    <col min="3586" max="3586" width="88.28515625" style="324" customWidth="1"/>
    <col min="3587" max="3841" width="9.140625" style="324"/>
    <col min="3842" max="3842" width="88.28515625" style="324" customWidth="1"/>
    <col min="3843" max="4097" width="9.140625" style="324"/>
    <col min="4098" max="4098" width="88.28515625" style="324" customWidth="1"/>
    <col min="4099" max="4353" width="9.140625" style="324"/>
    <col min="4354" max="4354" width="88.28515625" style="324" customWidth="1"/>
    <col min="4355" max="4609" width="9.140625" style="324"/>
    <col min="4610" max="4610" width="88.28515625" style="324" customWidth="1"/>
    <col min="4611" max="4865" width="9.140625" style="324"/>
    <col min="4866" max="4866" width="88.28515625" style="324" customWidth="1"/>
    <col min="4867" max="5121" width="9.140625" style="324"/>
    <col min="5122" max="5122" width="88.28515625" style="324" customWidth="1"/>
    <col min="5123" max="5377" width="9.140625" style="324"/>
    <col min="5378" max="5378" width="88.28515625" style="324" customWidth="1"/>
    <col min="5379" max="5633" width="9.140625" style="324"/>
    <col min="5634" max="5634" width="88.28515625" style="324" customWidth="1"/>
    <col min="5635" max="5889" width="9.140625" style="324"/>
    <col min="5890" max="5890" width="88.28515625" style="324" customWidth="1"/>
    <col min="5891" max="6145" width="9.140625" style="324"/>
    <col min="6146" max="6146" width="88.28515625" style="324" customWidth="1"/>
    <col min="6147" max="6401" width="9.140625" style="324"/>
    <col min="6402" max="6402" width="88.28515625" style="324" customWidth="1"/>
    <col min="6403" max="6657" width="9.140625" style="324"/>
    <col min="6658" max="6658" width="88.28515625" style="324" customWidth="1"/>
    <col min="6659" max="6913" width="9.140625" style="324"/>
    <col min="6914" max="6914" width="88.28515625" style="324" customWidth="1"/>
    <col min="6915" max="7169" width="9.140625" style="324"/>
    <col min="7170" max="7170" width="88.28515625" style="324" customWidth="1"/>
    <col min="7171" max="7425" width="9.140625" style="324"/>
    <col min="7426" max="7426" width="88.28515625" style="324" customWidth="1"/>
    <col min="7427" max="7681" width="9.140625" style="324"/>
    <col min="7682" max="7682" width="88.28515625" style="324" customWidth="1"/>
    <col min="7683" max="7937" width="9.140625" style="324"/>
    <col min="7938" max="7938" width="88.28515625" style="324" customWidth="1"/>
    <col min="7939" max="8193" width="9.140625" style="324"/>
    <col min="8194" max="8194" width="88.28515625" style="324" customWidth="1"/>
    <col min="8195" max="8449" width="9.140625" style="324"/>
    <col min="8450" max="8450" width="88.28515625" style="324" customWidth="1"/>
    <col min="8451" max="8705" width="9.140625" style="324"/>
    <col min="8706" max="8706" width="88.28515625" style="324" customWidth="1"/>
    <col min="8707" max="8961" width="9.140625" style="324"/>
    <col min="8962" max="8962" width="88.28515625" style="324" customWidth="1"/>
    <col min="8963" max="9217" width="9.140625" style="324"/>
    <col min="9218" max="9218" width="88.28515625" style="324" customWidth="1"/>
    <col min="9219" max="9473" width="9.140625" style="324"/>
    <col min="9474" max="9474" width="88.28515625" style="324" customWidth="1"/>
    <col min="9475" max="9729" width="9.140625" style="324"/>
    <col min="9730" max="9730" width="88.28515625" style="324" customWidth="1"/>
    <col min="9731" max="9985" width="9.140625" style="324"/>
    <col min="9986" max="9986" width="88.28515625" style="324" customWidth="1"/>
    <col min="9987" max="10241" width="9.140625" style="324"/>
    <col min="10242" max="10242" width="88.28515625" style="324" customWidth="1"/>
    <col min="10243" max="10497" width="9.140625" style="324"/>
    <col min="10498" max="10498" width="88.28515625" style="324" customWidth="1"/>
    <col min="10499" max="10753" width="9.140625" style="324"/>
    <col min="10754" max="10754" width="88.28515625" style="324" customWidth="1"/>
    <col min="10755" max="11009" width="9.140625" style="324"/>
    <col min="11010" max="11010" width="88.28515625" style="324" customWidth="1"/>
    <col min="11011" max="11265" width="9.140625" style="324"/>
    <col min="11266" max="11266" width="88.28515625" style="324" customWidth="1"/>
    <col min="11267" max="11521" width="9.140625" style="324"/>
    <col min="11522" max="11522" width="88.28515625" style="324" customWidth="1"/>
    <col min="11523" max="11777" width="9.140625" style="324"/>
    <col min="11778" max="11778" width="88.28515625" style="324" customWidth="1"/>
    <col min="11779" max="12033" width="9.140625" style="324"/>
    <col min="12034" max="12034" width="88.28515625" style="324" customWidth="1"/>
    <col min="12035" max="12289" width="9.140625" style="324"/>
    <col min="12290" max="12290" width="88.28515625" style="324" customWidth="1"/>
    <col min="12291" max="12545" width="9.140625" style="324"/>
    <col min="12546" max="12546" width="88.28515625" style="324" customWidth="1"/>
    <col min="12547" max="12801" width="9.140625" style="324"/>
    <col min="12802" max="12802" width="88.28515625" style="324" customWidth="1"/>
    <col min="12803" max="13057" width="9.140625" style="324"/>
    <col min="13058" max="13058" width="88.28515625" style="324" customWidth="1"/>
    <col min="13059" max="13313" width="9.140625" style="324"/>
    <col min="13314" max="13314" width="88.28515625" style="324" customWidth="1"/>
    <col min="13315" max="13569" width="9.140625" style="324"/>
    <col min="13570" max="13570" width="88.28515625" style="324" customWidth="1"/>
    <col min="13571" max="13825" width="9.140625" style="324"/>
    <col min="13826" max="13826" width="88.28515625" style="324" customWidth="1"/>
    <col min="13827" max="14081" width="9.140625" style="324"/>
    <col min="14082" max="14082" width="88.28515625" style="324" customWidth="1"/>
    <col min="14083" max="14337" width="9.140625" style="324"/>
    <col min="14338" max="14338" width="88.28515625" style="324" customWidth="1"/>
    <col min="14339" max="14593" width="9.140625" style="324"/>
    <col min="14594" max="14594" width="88.28515625" style="324" customWidth="1"/>
    <col min="14595" max="14849" width="9.140625" style="324"/>
    <col min="14850" max="14850" width="88.28515625" style="324" customWidth="1"/>
    <col min="14851" max="15105" width="9.140625" style="324"/>
    <col min="15106" max="15106" width="88.28515625" style="324" customWidth="1"/>
    <col min="15107" max="15361" width="9.140625" style="324"/>
    <col min="15362" max="15362" width="88.28515625" style="324" customWidth="1"/>
    <col min="15363" max="15617" width="9.140625" style="324"/>
    <col min="15618" max="15618" width="88.28515625" style="324" customWidth="1"/>
    <col min="15619" max="15873" width="9.140625" style="324"/>
    <col min="15874" max="15874" width="88.28515625" style="324" customWidth="1"/>
    <col min="15875" max="16129" width="9.140625" style="324"/>
    <col min="16130" max="16130" width="88.28515625" style="324" customWidth="1"/>
    <col min="16131" max="16384" width="9.140625" style="324"/>
  </cols>
  <sheetData>
    <row r="1" spans="2:2" ht="32.25" customHeight="1"/>
    <row r="2" spans="2:2" ht="72">
      <c r="B2" s="387" t="s">
        <v>809</v>
      </c>
    </row>
    <row r="3" spans="2:2" ht="72" hidden="1">
      <c r="B3" s="387" t="s">
        <v>810</v>
      </c>
    </row>
    <row r="4" spans="2:2" ht="18">
      <c r="B4" s="387"/>
    </row>
    <row r="5" spans="2:2" ht="54">
      <c r="B5" s="387" t="s">
        <v>811</v>
      </c>
    </row>
    <row r="6" spans="2:2" ht="7.5" customHeight="1">
      <c r="B6" s="387"/>
    </row>
    <row r="7" spans="2:2" ht="18">
      <c r="B7" s="388" t="s">
        <v>812</v>
      </c>
    </row>
    <row r="8" spans="2:2" ht="18">
      <c r="B8" s="388" t="s">
        <v>814</v>
      </c>
    </row>
    <row r="9" spans="2:2" ht="18">
      <c r="B9" s="388" t="s">
        <v>815</v>
      </c>
    </row>
    <row r="10" spans="2:2" ht="18">
      <c r="B10" s="389"/>
    </row>
    <row r="11" spans="2:2" ht="54">
      <c r="B11" s="390" t="s">
        <v>813</v>
      </c>
    </row>
  </sheetData>
  <dataConsolidate/>
  <pageMargins left="0.75" right="0.75" top="1" bottom="1" header="0.5" footer="0.5"/>
  <pageSetup orientation="portrait" horizont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4020993" r:id="rId4" name="Button 1">
              <controlPr defaultSize="0" print="0" autoFill="0" autoPict="0" macro="[0]!ApplyCircRefs">
                <anchor moveWithCells="1" sizeWithCells="1">
                  <from>
                    <xdr:col>1</xdr:col>
                    <xdr:colOff>0</xdr:colOff>
                    <xdr:row>11</xdr:row>
                    <xdr:rowOff>152400</xdr:rowOff>
                  </from>
                  <to>
                    <xdr:col>1</xdr:col>
                    <xdr:colOff>2819400</xdr:colOff>
                    <xdr:row>14</xdr:row>
                    <xdr:rowOff>152400</xdr:rowOff>
                  </to>
                </anchor>
              </controlPr>
            </control>
          </mc:Choice>
        </mc:AlternateContent>
        <mc:AlternateContent xmlns:mc="http://schemas.openxmlformats.org/markup-compatibility/2006">
          <mc:Choice Requires="x14">
            <control shapeId="24020994" r:id="rId5" name="Button 2">
              <controlPr defaultSize="0" print="0" autoFill="0" autoPict="0" macro="[0]!JustUnhideSheets">
                <anchor moveWithCells="1" sizeWithCells="1">
                  <from>
                    <xdr:col>1</xdr:col>
                    <xdr:colOff>3067050</xdr:colOff>
                    <xdr:row>11</xdr:row>
                    <xdr:rowOff>152400</xdr:rowOff>
                  </from>
                  <to>
                    <xdr:col>2</xdr:col>
                    <xdr:colOff>0</xdr:colOff>
                    <xdr:row>14</xdr:row>
                    <xdr:rowOff>152400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tabColor theme="1"/>
  </sheetPr>
  <dimension ref="C15:E18"/>
  <sheetViews>
    <sheetView showGridLines="0" workbookViewId="0"/>
  </sheetViews>
  <sheetFormatPr defaultRowHeight="12.75"/>
  <cols>
    <col min="1" max="2" width="9.140625" style="266"/>
    <col min="3" max="3" width="17" style="266" customWidth="1"/>
    <col min="4" max="4" width="23.28515625" style="266" customWidth="1"/>
    <col min="5" max="5" width="40.140625" style="266" customWidth="1"/>
    <col min="6" max="16384" width="9.140625" style="266"/>
  </cols>
  <sheetData>
    <row r="15" spans="3:3" ht="21">
      <c r="C15" s="265" t="s">
        <v>352</v>
      </c>
    </row>
    <row r="17" spans="3:5" ht="15.75">
      <c r="C17" s="267" t="s">
        <v>353</v>
      </c>
      <c r="D17" s="268" t="s">
        <v>355</v>
      </c>
      <c r="E17" s="267" t="s">
        <v>357</v>
      </c>
    </row>
    <row r="18" spans="3:5" ht="15.75">
      <c r="C18" s="267" t="s">
        <v>354</v>
      </c>
      <c r="D18" s="268" t="s">
        <v>356</v>
      </c>
      <c r="E18" s="267" t="s">
        <v>358</v>
      </c>
    </row>
  </sheetData>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B1:BA94"/>
  <sheetViews>
    <sheetView showGridLines="0" zoomScale="70" zoomScaleNormal="70" workbookViewId="0"/>
  </sheetViews>
  <sheetFormatPr defaultRowHeight="12.75" outlineLevelCol="1"/>
  <cols>
    <col min="1" max="1" width="2" style="6" bestFit="1" customWidth="1"/>
    <col min="2" max="2" width="39.7109375" style="6" bestFit="1" customWidth="1"/>
    <col min="3" max="3" width="3" style="65" bestFit="1" customWidth="1"/>
    <col min="4" max="15" width="9.140625" style="65" customWidth="1"/>
    <col min="16" max="19" width="9.140625" style="6" hidden="1" customWidth="1" outlineLevel="1"/>
    <col min="20" max="20" width="9.42578125" style="6" bestFit="1" customWidth="1" collapsed="1"/>
    <col min="21" max="23" width="9.28515625" style="6" bestFit="1" customWidth="1"/>
    <col min="24" max="25" width="9.42578125" style="6" bestFit="1" customWidth="1"/>
    <col min="26" max="26" width="9.42578125" style="81" bestFit="1" customWidth="1"/>
    <col min="27" max="27" width="9.140625" style="8"/>
    <col min="28" max="39" width="9.140625" style="6"/>
    <col min="40" max="51" width="9.140625" style="6" customWidth="1" outlineLevel="1"/>
    <col min="52" max="16384" width="9.140625" style="6"/>
  </cols>
  <sheetData>
    <row r="1" spans="2:53" customFormat="1">
      <c r="C1" s="65"/>
      <c r="D1" s="65"/>
      <c r="E1" s="65"/>
      <c r="F1" s="65"/>
      <c r="G1" s="65"/>
      <c r="H1" s="65"/>
      <c r="I1" s="65"/>
      <c r="J1" s="65"/>
      <c r="K1" s="65"/>
      <c r="L1" s="65"/>
      <c r="M1" s="65"/>
      <c r="N1" s="65"/>
      <c r="O1" s="65"/>
      <c r="Z1" s="15"/>
      <c r="AA1" s="9"/>
    </row>
    <row r="2" spans="2:53" s="14" customFormat="1">
      <c r="B2" s="13" t="s">
        <v>309</v>
      </c>
      <c r="C2" s="97"/>
      <c r="D2" s="52"/>
      <c r="E2" s="52"/>
      <c r="F2" s="52"/>
      <c r="G2" s="140">
        <v>2013</v>
      </c>
      <c r="H2" s="140" t="s">
        <v>299</v>
      </c>
      <c r="I2" s="140" t="s">
        <v>281</v>
      </c>
      <c r="J2" s="140" t="s">
        <v>282</v>
      </c>
      <c r="K2" s="140" t="s">
        <v>283</v>
      </c>
      <c r="L2" s="140" t="s">
        <v>284</v>
      </c>
      <c r="M2" s="140" t="s">
        <v>285</v>
      </c>
      <c r="N2" s="52"/>
      <c r="O2" s="97"/>
      <c r="P2" s="13"/>
      <c r="Q2" s="13"/>
      <c r="R2" s="13"/>
      <c r="S2" s="13"/>
      <c r="T2" s="52">
        <f>Rev!T2</f>
        <v>41182</v>
      </c>
      <c r="U2" s="52">
        <f>Rev!U2</f>
        <v>41274</v>
      </c>
      <c r="V2" s="52">
        <f>Rev!V2</f>
        <v>41364</v>
      </c>
      <c r="W2" s="52">
        <f>Rev!W2</f>
        <v>41455</v>
      </c>
      <c r="X2" s="52">
        <f>Rev!X2</f>
        <v>41547</v>
      </c>
      <c r="Y2" s="52">
        <f>Rev!Y2</f>
        <v>41639</v>
      </c>
      <c r="Z2" s="52">
        <f>Rev!Z2</f>
        <v>41729</v>
      </c>
      <c r="AA2" s="53">
        <f>Rev!AA2</f>
        <v>41820</v>
      </c>
      <c r="AB2" s="52">
        <f>Rev!AB2</f>
        <v>41912</v>
      </c>
      <c r="AC2" s="52">
        <f>Rev!AC2</f>
        <v>42004</v>
      </c>
      <c r="AD2" s="52">
        <f>Rev!AD2</f>
        <v>42094</v>
      </c>
      <c r="AE2" s="52">
        <f>Rev!AE2</f>
        <v>42185</v>
      </c>
      <c r="AF2" s="52">
        <f>Rev!AF2</f>
        <v>42277</v>
      </c>
      <c r="AG2" s="52">
        <f>Rev!AG2</f>
        <v>42369</v>
      </c>
      <c r="AH2" s="52">
        <f>Rev!AH2</f>
        <v>42460</v>
      </c>
      <c r="AI2" s="52">
        <f>Rev!AI2</f>
        <v>42551</v>
      </c>
      <c r="AJ2" s="52">
        <f>Rev!AJ2</f>
        <v>42643</v>
      </c>
      <c r="AK2" s="52">
        <f>Rev!AK2</f>
        <v>42735</v>
      </c>
      <c r="AL2" s="52">
        <f>Rev!AL2</f>
        <v>42825</v>
      </c>
      <c r="AM2" s="52">
        <f>Rev!AM2</f>
        <v>42916</v>
      </c>
      <c r="AN2" s="52">
        <f>Rev!AN2</f>
        <v>43008</v>
      </c>
      <c r="AO2" s="52">
        <f>Rev!AO2</f>
        <v>43100</v>
      </c>
      <c r="AP2" s="52">
        <f>Rev!AP2</f>
        <v>43190</v>
      </c>
      <c r="AQ2" s="52">
        <f>Rev!AQ2</f>
        <v>43281</v>
      </c>
      <c r="AR2" s="52">
        <f>Rev!AR2</f>
        <v>43373</v>
      </c>
      <c r="AS2" s="52">
        <f>Rev!AS2</f>
        <v>43465</v>
      </c>
      <c r="AT2" s="52">
        <f>Rev!AT2</f>
        <v>43555</v>
      </c>
      <c r="AU2" s="52">
        <f>Rev!AU2</f>
        <v>43646</v>
      </c>
      <c r="AV2" s="52">
        <f>Rev!AV2</f>
        <v>43738</v>
      </c>
      <c r="AW2" s="52">
        <f>Rev!AW2</f>
        <v>43830</v>
      </c>
      <c r="AX2" s="52">
        <f>Rev!AX2</f>
        <v>43921</v>
      </c>
      <c r="AY2" s="52">
        <f>Rev!AY2</f>
        <v>44012</v>
      </c>
    </row>
    <row r="3" spans="2:53" s="16" customFormat="1">
      <c r="B3" s="15" t="s">
        <v>1</v>
      </c>
      <c r="C3" s="98"/>
      <c r="D3" s="103"/>
      <c r="E3" s="103"/>
      <c r="F3" s="103"/>
      <c r="G3" s="103"/>
      <c r="H3" s="103"/>
      <c r="I3" s="103"/>
      <c r="J3" s="103"/>
      <c r="K3" s="103"/>
      <c r="L3" s="103"/>
      <c r="M3" s="103"/>
      <c r="N3" s="103"/>
      <c r="O3" s="98"/>
      <c r="P3" s="15"/>
      <c r="Q3" s="15"/>
      <c r="R3" s="15"/>
      <c r="S3" s="15"/>
      <c r="T3" s="54" t="str">
        <f>Rev!T3</f>
        <v>1Q13</v>
      </c>
      <c r="U3" s="54" t="str">
        <f>Rev!U3</f>
        <v>2Q13</v>
      </c>
      <c r="V3" s="54" t="str">
        <f>Rev!V3</f>
        <v>3Q13</v>
      </c>
      <c r="W3" s="54" t="str">
        <f>Rev!W3</f>
        <v>4Q13</v>
      </c>
      <c r="X3" s="54" t="str">
        <f>Rev!X3</f>
        <v>1Q14</v>
      </c>
      <c r="Y3" s="54" t="str">
        <f>Rev!Y3</f>
        <v>2Q14</v>
      </c>
      <c r="Z3" s="54" t="str">
        <f>Rev!Z3</f>
        <v>3Q14</v>
      </c>
      <c r="AA3" s="122" t="str">
        <f>Rev!AA3</f>
        <v>4Q14</v>
      </c>
      <c r="AB3" s="56" t="str">
        <f>Rev!AB3</f>
        <v>1Q15</v>
      </c>
      <c r="AC3" s="56" t="str">
        <f>Rev!AC3</f>
        <v>2Q15</v>
      </c>
      <c r="AD3" s="56" t="str">
        <f>Rev!AD3</f>
        <v>3Q15</v>
      </c>
      <c r="AE3" s="56" t="str">
        <f>Rev!AE3</f>
        <v>4Q15</v>
      </c>
      <c r="AF3" s="56" t="str">
        <f>Rev!AF3</f>
        <v>1Q16</v>
      </c>
      <c r="AG3" s="56" t="str">
        <f>Rev!AG3</f>
        <v>2Q16</v>
      </c>
      <c r="AH3" s="56" t="str">
        <f>Rev!AH3</f>
        <v>3Q16</v>
      </c>
      <c r="AI3" s="56" t="str">
        <f>Rev!AI3</f>
        <v>4Q16</v>
      </c>
      <c r="AJ3" s="56" t="str">
        <f>Rev!AJ3</f>
        <v>1Q17</v>
      </c>
      <c r="AK3" s="56" t="str">
        <f>Rev!AK3</f>
        <v>2Q17</v>
      </c>
      <c r="AL3" s="56" t="str">
        <f>Rev!AL3</f>
        <v>3Q17</v>
      </c>
      <c r="AM3" s="56" t="str">
        <f>Rev!AM3</f>
        <v>4Q17</v>
      </c>
      <c r="AN3" s="56" t="str">
        <f>Rev!AN3</f>
        <v>1Q18</v>
      </c>
      <c r="AO3" s="56" t="str">
        <f>Rev!AO3</f>
        <v>2Q18</v>
      </c>
      <c r="AP3" s="56" t="str">
        <f>Rev!AP3</f>
        <v>3Q18E</v>
      </c>
      <c r="AQ3" s="56" t="str">
        <f>Rev!AQ3</f>
        <v>4Q18E</v>
      </c>
      <c r="AR3" s="56" t="str">
        <f>Rev!AR3</f>
        <v>1Q19E</v>
      </c>
      <c r="AS3" s="56" t="str">
        <f>Rev!AS3</f>
        <v>2Q19E</v>
      </c>
      <c r="AT3" s="56" t="str">
        <f>Rev!AT3</f>
        <v>3Q19E</v>
      </c>
      <c r="AU3" s="56" t="str">
        <f>Rev!AU3</f>
        <v>4Q19E</v>
      </c>
      <c r="AV3" s="56" t="str">
        <f>Rev!AV3</f>
        <v>1Q20E</v>
      </c>
      <c r="AW3" s="56" t="str">
        <f>Rev!AW3</f>
        <v>2Q20E</v>
      </c>
      <c r="AX3" s="56" t="str">
        <f>Rev!AX3</f>
        <v>3Q20E</v>
      </c>
      <c r="AY3" s="56" t="str">
        <f>Rev!AY3</f>
        <v>4Q20E</v>
      </c>
    </row>
    <row r="4" spans="2:53" s="83" customFormat="1">
      <c r="C4" s="97"/>
      <c r="D4" s="97"/>
      <c r="E4" s="97"/>
      <c r="F4" s="97"/>
      <c r="G4" s="97"/>
      <c r="H4" s="97"/>
      <c r="I4" s="97"/>
      <c r="J4" s="97"/>
      <c r="K4" s="97"/>
      <c r="L4" s="97"/>
      <c r="M4" s="97"/>
      <c r="N4" s="97"/>
      <c r="O4" s="97"/>
      <c r="AA4" s="87"/>
    </row>
    <row r="5" spans="2:53" s="81" customFormat="1">
      <c r="B5" s="84" t="s">
        <v>200</v>
      </c>
      <c r="C5" s="98"/>
      <c r="D5" s="98"/>
      <c r="E5" s="98"/>
      <c r="F5" s="98"/>
      <c r="G5" s="98"/>
      <c r="H5" s="98"/>
      <c r="I5" s="98"/>
      <c r="J5" s="98"/>
      <c r="K5" s="98"/>
      <c r="L5" s="98"/>
      <c r="M5" s="98"/>
      <c r="N5" s="98"/>
      <c r="O5" s="98"/>
      <c r="T5" s="19"/>
      <c r="AA5" s="8"/>
    </row>
    <row r="6" spans="2:53" s="81" customFormat="1">
      <c r="B6" s="85" t="s">
        <v>201</v>
      </c>
      <c r="C6" s="98"/>
      <c r="D6" s="98"/>
      <c r="E6" s="98"/>
      <c r="F6" s="98"/>
      <c r="G6" s="98"/>
      <c r="H6" s="98"/>
      <c r="I6" s="98"/>
      <c r="J6" s="98"/>
      <c r="K6" s="98"/>
      <c r="L6" s="98"/>
      <c r="M6" s="98"/>
      <c r="N6" s="98"/>
      <c r="O6" s="98"/>
      <c r="AA6" s="8"/>
    </row>
    <row r="7" spans="2:53" s="81" customFormat="1">
      <c r="C7" s="98"/>
      <c r="D7" s="98"/>
      <c r="E7" s="98"/>
      <c r="F7" s="98"/>
      <c r="G7" s="98"/>
      <c r="H7" s="98"/>
      <c r="I7" s="98"/>
      <c r="J7" s="98"/>
      <c r="K7" s="98"/>
      <c r="L7" s="98"/>
      <c r="M7" s="98"/>
      <c r="N7" s="98"/>
      <c r="O7" s="138" t="s">
        <v>276</v>
      </c>
      <c r="AA7" s="8"/>
    </row>
    <row r="8" spans="2:53" s="79" customFormat="1">
      <c r="B8" s="79" t="s">
        <v>204</v>
      </c>
      <c r="C8" s="99">
        <v>2</v>
      </c>
      <c r="D8" s="104"/>
      <c r="E8" s="104"/>
      <c r="F8" s="104"/>
      <c r="G8" s="104">
        <f t="shared" ref="G8:AY8" si="0">G2</f>
        <v>2013</v>
      </c>
      <c r="H8" s="104" t="str">
        <f t="shared" si="0"/>
        <v>2014E</v>
      </c>
      <c r="I8" s="104" t="str">
        <f t="shared" si="0"/>
        <v>2015E</v>
      </c>
      <c r="J8" s="104" t="str">
        <f t="shared" si="0"/>
        <v>2016E</v>
      </c>
      <c r="K8" s="104" t="str">
        <f t="shared" si="0"/>
        <v>2017E</v>
      </c>
      <c r="L8" s="104" t="str">
        <f t="shared" si="0"/>
        <v>2018E</v>
      </c>
      <c r="M8" s="104" t="str">
        <f t="shared" si="0"/>
        <v>2019E</v>
      </c>
      <c r="N8" s="104"/>
      <c r="O8" s="139" t="s">
        <v>269</v>
      </c>
      <c r="P8" s="79">
        <f t="shared" si="0"/>
        <v>0</v>
      </c>
      <c r="Q8" s="79">
        <f t="shared" si="0"/>
        <v>0</v>
      </c>
      <c r="R8" s="79">
        <f t="shared" si="0"/>
        <v>0</v>
      </c>
      <c r="S8" s="79">
        <f t="shared" si="0"/>
        <v>0</v>
      </c>
      <c r="T8" s="141">
        <f t="shared" si="0"/>
        <v>41182</v>
      </c>
      <c r="U8" s="141">
        <f t="shared" si="0"/>
        <v>41274</v>
      </c>
      <c r="V8" s="141">
        <f t="shared" si="0"/>
        <v>41364</v>
      </c>
      <c r="W8" s="141">
        <f t="shared" si="0"/>
        <v>41455</v>
      </c>
      <c r="X8" s="141">
        <f t="shared" si="0"/>
        <v>41547</v>
      </c>
      <c r="Y8" s="141">
        <f t="shared" si="0"/>
        <v>41639</v>
      </c>
      <c r="Z8" s="141">
        <f t="shared" si="0"/>
        <v>41729</v>
      </c>
      <c r="AA8" s="142">
        <f t="shared" si="0"/>
        <v>41820</v>
      </c>
      <c r="AB8" s="141">
        <f t="shared" si="0"/>
        <v>41912</v>
      </c>
      <c r="AC8" s="141">
        <f t="shared" si="0"/>
        <v>42004</v>
      </c>
      <c r="AD8" s="141">
        <f t="shared" si="0"/>
        <v>42094</v>
      </c>
      <c r="AE8" s="141">
        <f t="shared" si="0"/>
        <v>42185</v>
      </c>
      <c r="AF8" s="141">
        <f t="shared" si="0"/>
        <v>42277</v>
      </c>
      <c r="AG8" s="141">
        <f t="shared" si="0"/>
        <v>42369</v>
      </c>
      <c r="AH8" s="141">
        <f t="shared" si="0"/>
        <v>42460</v>
      </c>
      <c r="AI8" s="141">
        <f t="shared" si="0"/>
        <v>42551</v>
      </c>
      <c r="AJ8" s="141">
        <f t="shared" si="0"/>
        <v>42643</v>
      </c>
      <c r="AK8" s="141">
        <f t="shared" si="0"/>
        <v>42735</v>
      </c>
      <c r="AL8" s="141">
        <f t="shared" si="0"/>
        <v>42825</v>
      </c>
      <c r="AM8" s="141">
        <f t="shared" si="0"/>
        <v>42916</v>
      </c>
      <c r="AN8" s="141">
        <f t="shared" si="0"/>
        <v>43008</v>
      </c>
      <c r="AO8" s="141">
        <f t="shared" si="0"/>
        <v>43100</v>
      </c>
      <c r="AP8" s="141">
        <f t="shared" si="0"/>
        <v>43190</v>
      </c>
      <c r="AQ8" s="141">
        <f t="shared" si="0"/>
        <v>43281</v>
      </c>
      <c r="AR8" s="141">
        <f t="shared" si="0"/>
        <v>43373</v>
      </c>
      <c r="AS8" s="141">
        <f t="shared" si="0"/>
        <v>43465</v>
      </c>
      <c r="AT8" s="141">
        <f t="shared" si="0"/>
        <v>43555</v>
      </c>
      <c r="AU8" s="141">
        <f t="shared" si="0"/>
        <v>43646</v>
      </c>
      <c r="AV8" s="141">
        <f t="shared" si="0"/>
        <v>43738</v>
      </c>
      <c r="AW8" s="141">
        <f t="shared" si="0"/>
        <v>43830</v>
      </c>
      <c r="AX8" s="141">
        <f t="shared" si="0"/>
        <v>43921</v>
      </c>
      <c r="AY8" s="141">
        <f t="shared" si="0"/>
        <v>44012</v>
      </c>
    </row>
    <row r="9" spans="2:53" s="81" customFormat="1">
      <c r="C9" s="98"/>
      <c r="O9" s="98"/>
      <c r="T9" s="98"/>
      <c r="U9" s="98"/>
      <c r="V9" s="98"/>
      <c r="W9" s="98"/>
      <c r="X9" s="98"/>
      <c r="Y9" s="98"/>
      <c r="Z9" s="98"/>
      <c r="AA9" s="121"/>
      <c r="AB9" s="98"/>
      <c r="AC9" s="98"/>
      <c r="AD9" s="98"/>
      <c r="AE9" s="98"/>
      <c r="AF9" s="98"/>
      <c r="AG9" s="98"/>
      <c r="AH9" s="98"/>
      <c r="AI9" s="98"/>
      <c r="AJ9" s="98"/>
      <c r="AK9" s="98"/>
      <c r="AL9" s="98"/>
      <c r="AM9" s="98"/>
      <c r="AN9" s="98"/>
      <c r="AO9" s="98"/>
      <c r="AP9" s="98"/>
      <c r="AQ9" s="98"/>
      <c r="AR9" s="98"/>
      <c r="AS9" s="98"/>
      <c r="AT9" s="98"/>
      <c r="AU9" s="98"/>
      <c r="AV9" s="98"/>
      <c r="AW9" s="98"/>
      <c r="AX9" s="98"/>
      <c r="AY9" s="98"/>
    </row>
    <row r="10" spans="2:53">
      <c r="B10" s="6" t="s">
        <v>31</v>
      </c>
      <c r="D10" s="82"/>
      <c r="E10" s="82"/>
      <c r="F10" s="82"/>
      <c r="G10" s="111">
        <f>+SUM(V10:Y10)</f>
        <v>1063.3570878587889</v>
      </c>
      <c r="H10" s="111">
        <f>+SUM(Z10:AC10)</f>
        <v>1222.6603126867285</v>
      </c>
      <c r="I10" s="111">
        <f>+SUM(AD10:AG10)</f>
        <v>1439</v>
      </c>
      <c r="J10" s="111">
        <f>+SUM(AH10:AK10)</f>
        <v>1996.8999999999999</v>
      </c>
      <c r="K10" s="111">
        <f>+SUM(AL10:AO10)</f>
        <v>2485.1999999999998</v>
      </c>
      <c r="L10" s="111">
        <f ca="1">+SUM(AP10:AS10)</f>
        <v>2643.2427007476454</v>
      </c>
      <c r="M10" s="111">
        <f ca="1">+SUM(AT10:AW10)</f>
        <v>2742.1457413536382</v>
      </c>
      <c r="N10" s="82"/>
      <c r="O10" s="2">
        <f ca="1">(L10/I10)^(1/3)-1</f>
        <v>0.22468786863802825</v>
      </c>
      <c r="T10" s="82">
        <f>IF(Case=$C8,IS!T$5,T10)</f>
        <v>236.00767747572064</v>
      </c>
      <c r="U10" s="82">
        <f>IF(Case=$C8,IS!U$5,U10)</f>
        <v>250.02480987258627</v>
      </c>
      <c r="V10" s="82">
        <f>IF(Case=$C8,IS!V$5,V10)</f>
        <v>256.55395289598329</v>
      </c>
      <c r="W10" s="82">
        <f>IF(Case=$C8,IS!W$5,W10)</f>
        <v>261.77622606891981</v>
      </c>
      <c r="X10" s="82">
        <f>IF(Case=$C8,IS!X$5,X10)</f>
        <v>268.05077825707741</v>
      </c>
      <c r="Y10" s="82">
        <f>IF(Case=$C8,IS!Y$5,Y10)</f>
        <v>276.97613063680853</v>
      </c>
      <c r="Z10" s="82">
        <f>IF(Case=$C8,IS!Z$5,Z10)</f>
        <v>281.3929475507324</v>
      </c>
      <c r="AA10" s="88">
        <f>IF(Case=$C8,IS!AA$5,AA10)</f>
        <v>296.76736513599604</v>
      </c>
      <c r="AB10" s="82">
        <f>IF(Case=$C8,IS!AB$5,AB10)</f>
        <v>320.60000000000002</v>
      </c>
      <c r="AC10" s="82">
        <f>IF(Case=$C8,IS!AC$5,AC10)</f>
        <v>323.89999999999998</v>
      </c>
      <c r="AD10" s="82">
        <f>IF(Case=$C8,IS!AD$5,AD10)</f>
        <v>340.7</v>
      </c>
      <c r="AE10" s="82">
        <f>IF(Case=$C8,IS!AE$5,AE10)</f>
        <v>361.9</v>
      </c>
      <c r="AF10" s="82">
        <f>IF(Case=$C8,IS!AF$5,AF10)</f>
        <v>366.8</v>
      </c>
      <c r="AG10" s="82">
        <f>IF(Case=$C8,IS!AG$5,AG10)</f>
        <v>369.6</v>
      </c>
      <c r="AH10" s="82">
        <f>IF(Case=$C8,IS!AH$5,AH10)</f>
        <v>478</v>
      </c>
      <c r="AI10" s="82">
        <f>IF(Case=$C8,IS!AI$5,AI10)</f>
        <v>507.3</v>
      </c>
      <c r="AJ10" s="82">
        <f>IF(Case=$C8,IS!AJ$5,AJ10)</f>
        <v>504.9</v>
      </c>
      <c r="AK10" s="82">
        <f>IF(Case=$C8,IS!AK$5,AK10)</f>
        <v>506.7</v>
      </c>
      <c r="AL10" s="82">
        <f>IF(Case=$C8,IS!AL$5,AL10)</f>
        <v>550.20000000000005</v>
      </c>
      <c r="AM10" s="82">
        <f>IF(Case=$C8,IS!AM$5,AM10)</f>
        <v>638</v>
      </c>
      <c r="AN10" s="82">
        <f>IF(Case=$C8,IS!AN$5,AN10)</f>
        <v>643.5</v>
      </c>
      <c r="AO10" s="82">
        <f>IF(Case=$C8,IS!AO$5,AO10)</f>
        <v>653.5</v>
      </c>
      <c r="AP10" s="82">
        <f ca="1">IF(Case=$C8,IS!AP$5,AP10)</f>
        <v>652.80480431086812</v>
      </c>
      <c r="AQ10" s="82">
        <f ca="1">IF(Case=$C8,IS!AQ$5,AQ10)</f>
        <v>657.83780809026939</v>
      </c>
      <c r="AR10" s="82">
        <f ca="1">IF(Case=$C8,IS!AR$5,AR10)</f>
        <v>663.33243624668933</v>
      </c>
      <c r="AS10" s="82">
        <f ca="1">IF(Case=$C8,IS!AS$5,AS10)</f>
        <v>669.26765209981852</v>
      </c>
      <c r="AT10" s="82">
        <f ca="1">IF(Case=$C8,IS!AT$5,AT10)</f>
        <v>675.54210479847575</v>
      </c>
      <c r="AU10" s="82">
        <f ca="1">IF(Case=$C8,IS!AU$5,AU10)</f>
        <v>682.06050996570434</v>
      </c>
      <c r="AV10" s="82">
        <f ca="1">IF(Case=$C8,IS!AV$5,AV10)</f>
        <v>688.80079027866725</v>
      </c>
      <c r="AW10" s="82">
        <f ca="1">IF(Case=$C8,IS!AW$5,AW10)</f>
        <v>695.74233631079085</v>
      </c>
      <c r="AX10" s="82">
        <f ca="1">IF(Case=$C8,IS!AX$5,AX10)</f>
        <v>702.86557074145185</v>
      </c>
      <c r="AY10" s="82">
        <f ca="1">IF(Case=$C8,IS!AY$5,AY10)</f>
        <v>710.15166213334624</v>
      </c>
      <c r="BA10" s="131">
        <f>(SUM(AL10:AO10)/SUM(AD10:AG10))^(1/2)-1</f>
        <v>0.31416614686672517</v>
      </c>
    </row>
    <row r="11" spans="2:53">
      <c r="B11" s="6" t="s">
        <v>36</v>
      </c>
      <c r="D11" s="48"/>
      <c r="E11" s="48"/>
      <c r="F11" s="48"/>
      <c r="G11" s="48"/>
      <c r="H11" s="48">
        <f t="shared" ref="H11:M11" si="1">+H10/G10-1</f>
        <v>0.14981159823622181</v>
      </c>
      <c r="I11" s="48">
        <f t="shared" si="1"/>
        <v>0.17694177611594908</v>
      </c>
      <c r="J11" s="48">
        <f t="shared" si="1"/>
        <v>0.38769979152189005</v>
      </c>
      <c r="K11" s="48">
        <f t="shared" si="1"/>
        <v>0.24452901998097043</v>
      </c>
      <c r="L11" s="48">
        <f t="shared" ca="1" si="1"/>
        <v>6.3593554139564468E-2</v>
      </c>
      <c r="M11" s="48">
        <f t="shared" ca="1" si="1"/>
        <v>3.7417313430211374E-2</v>
      </c>
      <c r="N11" s="48"/>
      <c r="T11" s="48"/>
      <c r="U11" s="48"/>
      <c r="V11" s="48"/>
      <c r="W11" s="48"/>
      <c r="X11" s="48">
        <f>+X10/T10-1</f>
        <v>0.13577143389605717</v>
      </c>
      <c r="Y11" s="48">
        <f t="shared" ref="Y11:AY11" si="2">+Y10/U10-1</f>
        <v>0.10779458557715449</v>
      </c>
      <c r="Z11" s="48">
        <f t="shared" si="2"/>
        <v>9.6817820869124604E-2</v>
      </c>
      <c r="AA11" s="24">
        <f t="shared" si="2"/>
        <v>0.13366813171897385</v>
      </c>
      <c r="AB11" s="48">
        <f t="shared" si="2"/>
        <v>0.19604204130504188</v>
      </c>
      <c r="AC11" s="48">
        <f t="shared" si="2"/>
        <v>0.16941484905326187</v>
      </c>
      <c r="AD11" s="48">
        <f t="shared" si="2"/>
        <v>0.21076239815347586</v>
      </c>
      <c r="AE11" s="48">
        <f t="shared" si="2"/>
        <v>0.21947371077731659</v>
      </c>
      <c r="AF11" s="48">
        <f t="shared" si="2"/>
        <v>0.14410480349344978</v>
      </c>
      <c r="AG11" s="48">
        <f t="shared" si="2"/>
        <v>0.14109292991664102</v>
      </c>
      <c r="AH11" s="48">
        <f t="shared" si="2"/>
        <v>0.40299383621954799</v>
      </c>
      <c r="AI11" s="48">
        <f t="shared" si="2"/>
        <v>0.40176844432163583</v>
      </c>
      <c r="AJ11" s="48">
        <f t="shared" si="2"/>
        <v>0.37649945474372948</v>
      </c>
      <c r="AK11" s="48">
        <f t="shared" si="2"/>
        <v>0.37094155844155829</v>
      </c>
      <c r="AL11" s="48">
        <f t="shared" si="2"/>
        <v>0.15104602510460263</v>
      </c>
      <c r="AM11" s="48">
        <f t="shared" si="2"/>
        <v>0.257638478218017</v>
      </c>
      <c r="AN11" s="48">
        <f t="shared" si="2"/>
        <v>0.27450980392156876</v>
      </c>
      <c r="AO11" s="48">
        <f t="shared" si="2"/>
        <v>0.2897177817248866</v>
      </c>
      <c r="AP11" s="48">
        <f t="shared" ca="1" si="2"/>
        <v>0.18648637642833155</v>
      </c>
      <c r="AQ11" s="48">
        <f t="shared" ca="1" si="2"/>
        <v>3.1093743088196568E-2</v>
      </c>
      <c r="AR11" s="48">
        <f t="shared" ca="1" si="2"/>
        <v>3.0819636746991952E-2</v>
      </c>
      <c r="AS11" s="48">
        <f t="shared" ca="1" si="2"/>
        <v>2.4128006273631986E-2</v>
      </c>
      <c r="AT11" s="48">
        <f t="shared" ca="1" si="2"/>
        <v>3.4830167206888474E-2</v>
      </c>
      <c r="AU11" s="48">
        <f t="shared" ca="1" si="2"/>
        <v>3.6821693094464258E-2</v>
      </c>
      <c r="AV11" s="48">
        <f t="shared" ca="1" si="2"/>
        <v>3.83945554902827E-2</v>
      </c>
      <c r="AW11" s="48">
        <f t="shared" ca="1" si="2"/>
        <v>3.9557692842181025E-2</v>
      </c>
      <c r="AX11" s="48">
        <f t="shared" ca="1" si="2"/>
        <v>4.0446725302380804E-2</v>
      </c>
      <c r="AY11" s="48">
        <f t="shared" ca="1" si="2"/>
        <v>4.1185718506198787E-2</v>
      </c>
    </row>
    <row r="12" spans="2:53">
      <c r="B12" s="6" t="s">
        <v>37</v>
      </c>
      <c r="D12" s="48"/>
      <c r="E12" s="48"/>
      <c r="F12" s="48"/>
      <c r="G12" s="48"/>
      <c r="H12" s="48"/>
      <c r="I12" s="48"/>
      <c r="J12" s="48"/>
      <c r="K12" s="48"/>
      <c r="L12" s="48"/>
      <c r="M12" s="48"/>
      <c r="N12" s="48"/>
      <c r="T12" s="48"/>
      <c r="U12" s="48">
        <f>+U10/T10-1</f>
        <v>5.939269665626723E-2</v>
      </c>
      <c r="V12" s="48">
        <f t="shared" ref="V12:AY12" si="3">+V10/U10-1</f>
        <v>2.6113980555466876E-2</v>
      </c>
      <c r="W12" s="48">
        <f t="shared" si="3"/>
        <v>2.0355457844198011E-2</v>
      </c>
      <c r="X12" s="48">
        <f t="shared" si="3"/>
        <v>2.3969144495595396E-2</v>
      </c>
      <c r="Y12" s="48">
        <f t="shared" si="3"/>
        <v>3.329724478983298E-2</v>
      </c>
      <c r="Z12" s="48">
        <f t="shared" si="3"/>
        <v>1.5946561545823412E-2</v>
      </c>
      <c r="AA12" s="24">
        <f t="shared" si="3"/>
        <v>5.4636826256961424E-2</v>
      </c>
      <c r="AB12" s="48">
        <f t="shared" si="3"/>
        <v>8.0307465253406374E-2</v>
      </c>
      <c r="AC12" s="48">
        <f t="shared" si="3"/>
        <v>1.0293200249531953E-2</v>
      </c>
      <c r="AD12" s="48">
        <f t="shared" si="3"/>
        <v>5.1867860450756531E-2</v>
      </c>
      <c r="AE12" s="48">
        <f t="shared" si="3"/>
        <v>6.2224831229821032E-2</v>
      </c>
      <c r="AF12" s="48">
        <f t="shared" si="3"/>
        <v>1.3539651837524369E-2</v>
      </c>
      <c r="AG12" s="48">
        <f t="shared" si="3"/>
        <v>7.6335877862596657E-3</v>
      </c>
      <c r="AH12" s="48">
        <f t="shared" si="3"/>
        <v>0.29329004329004316</v>
      </c>
      <c r="AI12" s="48">
        <f t="shared" si="3"/>
        <v>6.129707112970717E-2</v>
      </c>
      <c r="AJ12" s="48">
        <f t="shared" si="3"/>
        <v>-4.7309284447073496E-3</v>
      </c>
      <c r="AK12" s="48">
        <f t="shared" si="3"/>
        <v>3.5650623885918886E-3</v>
      </c>
      <c r="AL12" s="48">
        <f t="shared" si="3"/>
        <v>8.5849615156897707E-2</v>
      </c>
      <c r="AM12" s="48">
        <f t="shared" si="3"/>
        <v>0.15957833515085418</v>
      </c>
      <c r="AN12" s="48">
        <f t="shared" si="3"/>
        <v>8.6206896551723755E-3</v>
      </c>
      <c r="AO12" s="48">
        <f t="shared" si="3"/>
        <v>1.5540015540015606E-2</v>
      </c>
      <c r="AP12" s="48">
        <f t="shared" ca="1" si="3"/>
        <v>-1.0638036559018627E-3</v>
      </c>
      <c r="AQ12" s="48">
        <f t="shared" ca="1" si="3"/>
        <v>7.7098142448788209E-3</v>
      </c>
      <c r="AR12" s="48">
        <f t="shared" ca="1" si="3"/>
        <v>8.3525575587866108E-3</v>
      </c>
      <c r="AS12" s="48">
        <f t="shared" ca="1" si="3"/>
        <v>8.9475736882582702E-3</v>
      </c>
      <c r="AT12" s="48">
        <f t="shared" ca="1" si="3"/>
        <v>9.3751022912451631E-3</v>
      </c>
      <c r="AU12" s="48">
        <f t="shared" ca="1" si="3"/>
        <v>9.6491471381685567E-3</v>
      </c>
      <c r="AV12" s="48">
        <f t="shared" ca="1" si="3"/>
        <v>9.8822321692568771E-3</v>
      </c>
      <c r="AW12" s="48">
        <f t="shared" ca="1" si="3"/>
        <v>1.0077726579429847E-2</v>
      </c>
      <c r="AX12" s="48">
        <f t="shared" ca="1" si="3"/>
        <v>1.0238322520995879E-2</v>
      </c>
      <c r="AY12" s="48">
        <f t="shared" ca="1" si="3"/>
        <v>1.0366265890941806E-2</v>
      </c>
    </row>
    <row r="13" spans="2:53">
      <c r="B13" s="85" t="s">
        <v>201</v>
      </c>
      <c r="D13" s="18"/>
      <c r="E13" s="18"/>
      <c r="F13" s="18"/>
      <c r="G13" s="111">
        <f>+SUM(V13:Y13)</f>
        <v>1063.3570878587889</v>
      </c>
      <c r="H13" s="111">
        <f>+SUM(Z13:AC13)</f>
        <v>1223.7010469723452</v>
      </c>
      <c r="I13" s="111">
        <f>+SUM(AD13:AG13)</f>
        <v>1365.7721561867256</v>
      </c>
      <c r="J13" s="111">
        <f>+SUM(AH13:AK13)</f>
        <v>1479.4993917718082</v>
      </c>
      <c r="K13" s="111">
        <f>+SUM(AL13:AO13)</f>
        <v>1608.5170385318572</v>
      </c>
      <c r="L13" s="111">
        <f>+SUM(AP13:AS13)</f>
        <v>1754.0268514946379</v>
      </c>
      <c r="M13" s="111">
        <f>+SUM(AT13:AW13)</f>
        <v>1913.7964268890878</v>
      </c>
      <c r="N13" s="18"/>
      <c r="T13" s="19">
        <v>236.00767747572064</v>
      </c>
      <c r="U13" s="19">
        <v>250.02480987258627</v>
      </c>
      <c r="V13" s="19">
        <v>256.55395289598329</v>
      </c>
      <c r="W13" s="19">
        <v>261.77622606891981</v>
      </c>
      <c r="X13" s="19">
        <v>268.05077825707741</v>
      </c>
      <c r="Y13" s="19">
        <v>276.97613063680853</v>
      </c>
      <c r="Z13" s="19">
        <v>281.3929475507324</v>
      </c>
      <c r="AA13" s="20">
        <v>296.76736513599604</v>
      </c>
      <c r="AB13" s="19">
        <v>319.75505220724489</v>
      </c>
      <c r="AC13" s="19">
        <v>325.78568207837179</v>
      </c>
      <c r="AD13" s="19">
        <v>331.76092686712764</v>
      </c>
      <c r="AE13" s="19">
        <v>338.05330752661445</v>
      </c>
      <c r="AF13" s="19">
        <v>344.56396630582566</v>
      </c>
      <c r="AG13" s="19">
        <v>351.39395548715783</v>
      </c>
      <c r="AH13" s="19">
        <v>358.41530233807362</v>
      </c>
      <c r="AI13" s="19">
        <v>365.84480909318762</v>
      </c>
      <c r="AJ13" s="19">
        <v>373.57969423604715</v>
      </c>
      <c r="AK13" s="19">
        <v>381.65958610449979</v>
      </c>
      <c r="AL13" s="19">
        <v>389.36640257075243</v>
      </c>
      <c r="AM13" s="19">
        <v>397.66355231072578</v>
      </c>
      <c r="AN13" s="19">
        <v>406.29617160803031</v>
      </c>
      <c r="AO13" s="19">
        <v>415.1909120423486</v>
      </c>
      <c r="AP13" s="19">
        <v>424.31110406479928</v>
      </c>
      <c r="AQ13" s="19">
        <v>433.63864871329525</v>
      </c>
      <c r="AR13" s="19">
        <v>443.16906941220935</v>
      </c>
      <c r="AS13" s="19">
        <v>452.90802930433392</v>
      </c>
      <c r="AT13" s="19">
        <v>462.869084585655</v>
      </c>
      <c r="AU13" s="19">
        <v>473.07224078380381</v>
      </c>
      <c r="AV13" s="19">
        <v>483.54304612302002</v>
      </c>
      <c r="AW13" s="19">
        <v>494.31205539660903</v>
      </c>
      <c r="AX13" s="19">
        <v>505.41455789587769</v>
      </c>
      <c r="AY13" s="19">
        <v>516.8905008709736</v>
      </c>
      <c r="AZ13" s="19"/>
    </row>
    <row r="14" spans="2:53">
      <c r="B14" s="86" t="s">
        <v>36</v>
      </c>
      <c r="D14" s="48"/>
      <c r="E14" s="48"/>
      <c r="F14" s="48"/>
      <c r="G14" s="48"/>
      <c r="H14" s="48">
        <f t="shared" ref="H14:M14" si="4">+H13/G13-1</f>
        <v>0.15079032334888587</v>
      </c>
      <c r="I14" s="48">
        <f t="shared" si="4"/>
        <v>0.11609952411652302</v>
      </c>
      <c r="J14" s="48">
        <f t="shared" si="4"/>
        <v>8.326955200390973E-2</v>
      </c>
      <c r="K14" s="48">
        <f t="shared" si="4"/>
        <v>8.72035821559487E-2</v>
      </c>
      <c r="L14" s="48">
        <f t="shared" si="4"/>
        <v>9.0462089910836152E-2</v>
      </c>
      <c r="M14" s="48">
        <f t="shared" si="4"/>
        <v>9.108730305827839E-2</v>
      </c>
      <c r="N14" s="48"/>
      <c r="T14" s="48"/>
      <c r="U14" s="48"/>
      <c r="V14" s="48"/>
      <c r="W14" s="48"/>
      <c r="X14" s="48">
        <f>+X13/T13-1</f>
        <v>0.13577143389605717</v>
      </c>
      <c r="Y14" s="48">
        <f t="shared" ref="Y14:AY14" si="5">+Y13/U13-1</f>
        <v>0.10779458557715449</v>
      </c>
      <c r="Z14" s="48">
        <f t="shared" si="5"/>
        <v>9.6817820869124604E-2</v>
      </c>
      <c r="AA14" s="24">
        <f t="shared" si="5"/>
        <v>0.13366813171897385</v>
      </c>
      <c r="AB14" s="48">
        <f t="shared" si="5"/>
        <v>0.19288984828307365</v>
      </c>
      <c r="AC14" s="48">
        <f t="shared" si="5"/>
        <v>0.17622295224264617</v>
      </c>
      <c r="AD14" s="48">
        <f t="shared" si="5"/>
        <v>0.17899517295938772</v>
      </c>
      <c r="AE14" s="48">
        <f t="shared" si="5"/>
        <v>0.13911887640239273</v>
      </c>
      <c r="AF14" s="48">
        <f t="shared" si="5"/>
        <v>7.758724663559402E-2</v>
      </c>
      <c r="AG14" s="48">
        <f t="shared" si="5"/>
        <v>7.8604661952656585E-2</v>
      </c>
      <c r="AH14" s="48">
        <f t="shared" si="5"/>
        <v>8.0342117809494962E-2</v>
      </c>
      <c r="AI14" s="48">
        <f t="shared" si="5"/>
        <v>8.2210411635700975E-2</v>
      </c>
      <c r="AJ14" s="48">
        <f t="shared" si="5"/>
        <v>8.4209989341914815E-2</v>
      </c>
      <c r="AK14" s="48">
        <f t="shared" si="5"/>
        <v>8.6130197018850163E-2</v>
      </c>
      <c r="AL14" s="48">
        <f t="shared" si="5"/>
        <v>8.6355409578702469E-2</v>
      </c>
      <c r="AM14" s="48">
        <f t="shared" si="5"/>
        <v>8.6973335213930358E-2</v>
      </c>
      <c r="AN14" s="48">
        <f t="shared" si="5"/>
        <v>8.7575630787125158E-2</v>
      </c>
      <c r="AO14" s="48">
        <f t="shared" si="5"/>
        <v>8.785663234636476E-2</v>
      </c>
      <c r="AP14" s="48">
        <f t="shared" si="5"/>
        <v>8.9747603448391944E-2</v>
      </c>
      <c r="AQ14" s="48">
        <f t="shared" si="5"/>
        <v>9.0466164659866344E-2</v>
      </c>
      <c r="AR14" s="48">
        <f t="shared" si="5"/>
        <v>9.0753741681208311E-2</v>
      </c>
      <c r="AS14" s="48">
        <f t="shared" si="5"/>
        <v>9.0842829570745076E-2</v>
      </c>
      <c r="AT14" s="48">
        <f t="shared" si="5"/>
        <v>9.0871957277288917E-2</v>
      </c>
      <c r="AU14" s="48">
        <f t="shared" si="5"/>
        <v>9.0936525578421135E-2</v>
      </c>
      <c r="AV14" s="48">
        <f t="shared" si="5"/>
        <v>9.110287584907506E-2</v>
      </c>
      <c r="AW14" s="48">
        <f t="shared" si="5"/>
        <v>9.1418176347793256E-2</v>
      </c>
      <c r="AX14" s="48">
        <f t="shared" si="5"/>
        <v>9.1916861002518724E-2</v>
      </c>
      <c r="AY14" s="48">
        <f t="shared" si="5"/>
        <v>9.2624881169459661E-2</v>
      </c>
      <c r="AZ14" s="86"/>
    </row>
    <row r="15" spans="2:53">
      <c r="B15" s="86" t="s">
        <v>37</v>
      </c>
      <c r="D15" s="48"/>
      <c r="E15" s="48"/>
      <c r="F15" s="48"/>
      <c r="G15" s="48"/>
      <c r="H15" s="48"/>
      <c r="I15" s="48"/>
      <c r="J15" s="48"/>
      <c r="K15" s="48"/>
      <c r="L15" s="48"/>
      <c r="M15" s="48"/>
      <c r="N15" s="48"/>
      <c r="T15" s="48"/>
      <c r="U15" s="48">
        <f>+U13/T13-1</f>
        <v>5.939269665626723E-2</v>
      </c>
      <c r="V15" s="48">
        <f t="shared" ref="V15:AY15" si="6">+V13/U13-1</f>
        <v>2.6113980555466876E-2</v>
      </c>
      <c r="W15" s="48">
        <f t="shared" si="6"/>
        <v>2.0355457844198011E-2</v>
      </c>
      <c r="X15" s="48">
        <f t="shared" si="6"/>
        <v>2.3969144495595396E-2</v>
      </c>
      <c r="Y15" s="48">
        <f t="shared" si="6"/>
        <v>3.329724478983298E-2</v>
      </c>
      <c r="Z15" s="48">
        <f t="shared" si="6"/>
        <v>1.5946561545823412E-2</v>
      </c>
      <c r="AA15" s="24">
        <f t="shared" si="6"/>
        <v>5.4636826256961424E-2</v>
      </c>
      <c r="AB15" s="48">
        <f t="shared" si="6"/>
        <v>7.7460293050465756E-2</v>
      </c>
      <c r="AC15" s="48">
        <f t="shared" si="6"/>
        <v>1.8860155076512175E-2</v>
      </c>
      <c r="AD15" s="48">
        <f t="shared" si="6"/>
        <v>1.8341029448060375E-2</v>
      </c>
      <c r="AE15" s="48">
        <f t="shared" si="6"/>
        <v>1.8966611646846987E-2</v>
      </c>
      <c r="AF15" s="48">
        <f t="shared" si="6"/>
        <v>1.9259266613442794E-2</v>
      </c>
      <c r="AG15" s="48">
        <f t="shared" si="6"/>
        <v>1.9822122593254665E-2</v>
      </c>
      <c r="AH15" s="48">
        <f t="shared" si="6"/>
        <v>1.9981410440545799E-2</v>
      </c>
      <c r="AI15" s="48">
        <f t="shared" si="6"/>
        <v>2.072876550372893E-2</v>
      </c>
      <c r="AJ15" s="48">
        <f t="shared" si="6"/>
        <v>2.1142530796136816E-2</v>
      </c>
      <c r="AK15" s="48">
        <f t="shared" si="6"/>
        <v>2.1628295095041716E-2</v>
      </c>
      <c r="AL15" s="48">
        <f t="shared" si="6"/>
        <v>2.0192906838562896E-2</v>
      </c>
      <c r="AM15" s="48">
        <f t="shared" si="6"/>
        <v>2.1309362300373724E-2</v>
      </c>
      <c r="AN15" s="48">
        <f t="shared" si="6"/>
        <v>2.1708349299659258E-2</v>
      </c>
      <c r="AO15" s="48">
        <f t="shared" si="6"/>
        <v>2.18922575595899E-2</v>
      </c>
      <c r="AP15" s="48">
        <f t="shared" si="6"/>
        <v>2.196626120159495E-2</v>
      </c>
      <c r="AQ15" s="48">
        <f t="shared" si="6"/>
        <v>2.1982796488567713E-2</v>
      </c>
      <c r="AR15" s="48">
        <f t="shared" si="6"/>
        <v>2.197779355505558E-2</v>
      </c>
      <c r="AS15" s="48">
        <f t="shared" si="6"/>
        <v>2.1975721150940597E-2</v>
      </c>
      <c r="AT15" s="48">
        <f t="shared" si="6"/>
        <v>2.1993549764664611E-2</v>
      </c>
      <c r="AU15" s="48">
        <f t="shared" si="6"/>
        <v>2.2043287266165779E-2</v>
      </c>
      <c r="AV15" s="48">
        <f t="shared" si="6"/>
        <v>2.2133628728389976E-2</v>
      </c>
      <c r="AW15" s="48">
        <f t="shared" si="6"/>
        <v>2.2271045690623437E-2</v>
      </c>
      <c r="AX15" s="48">
        <f t="shared" si="6"/>
        <v>2.2460513309473296E-2</v>
      </c>
      <c r="AY15" s="48">
        <f t="shared" si="6"/>
        <v>2.2706000046520458E-2</v>
      </c>
      <c r="AZ15" s="86"/>
    </row>
    <row r="16" spans="2:53">
      <c r="D16" s="6"/>
      <c r="E16" s="6"/>
      <c r="F16" s="6"/>
      <c r="G16" s="6"/>
      <c r="H16" s="6"/>
      <c r="I16" s="6"/>
      <c r="J16" s="6"/>
      <c r="K16" s="6"/>
      <c r="L16" s="6"/>
      <c r="M16" s="6"/>
      <c r="N16" s="6"/>
    </row>
    <row r="17" spans="2:53">
      <c r="B17" s="6" t="s">
        <v>69</v>
      </c>
      <c r="D17" s="82"/>
      <c r="E17" s="82"/>
      <c r="F17" s="82"/>
      <c r="G17" s="111">
        <f>+SUM(V17:Y17)</f>
        <v>606.69791983443099</v>
      </c>
      <c r="H17" s="111">
        <f>+SUM(Z17:AC17)</f>
        <v>709.04274193508752</v>
      </c>
      <c r="I17" s="111">
        <f>+SUM(AD17:AG17)</f>
        <v>844.2</v>
      </c>
      <c r="J17" s="111">
        <f>+SUM(AH17:AK17)</f>
        <v>1024.5999999999999</v>
      </c>
      <c r="K17" s="111">
        <f>+SUM(AL17:AO17)</f>
        <v>1239.3000000000002</v>
      </c>
      <c r="L17" s="111">
        <f ca="1">+SUM(AP17:AS17)</f>
        <v>1333.404166279048</v>
      </c>
      <c r="M17" s="111">
        <f ca="1">+SUM(AT17:AW17)</f>
        <v>1409.5671421587224</v>
      </c>
      <c r="N17" s="82"/>
      <c r="O17" s="2">
        <f ca="1">(L17/I17)^(1/3)-1</f>
        <v>0.16458757771325949</v>
      </c>
      <c r="T17" s="82">
        <f>IF(Case=$C8,IS!T$51,T17)</f>
        <v>125.6178835624993</v>
      </c>
      <c r="U17" s="82">
        <f>IF(Case=$C8,IS!U$51,U17)</f>
        <v>139.37871740345793</v>
      </c>
      <c r="V17" s="82">
        <f>IF(Case=$C8,IS!V$51,V17)</f>
        <v>147.59169075010976</v>
      </c>
      <c r="W17" s="82">
        <f>IF(Case=$C8,IS!W$51,W17)</f>
        <v>141.83878429060655</v>
      </c>
      <c r="X17" s="82">
        <f>IF(Case=$C8,IS!X$51,X17)</f>
        <v>155.60177105606058</v>
      </c>
      <c r="Y17" s="82">
        <f>IF(Case=$C8,IS!Y$51,Y17)</f>
        <v>161.66567373765406</v>
      </c>
      <c r="Z17" s="82">
        <f>IF(Case=$C8,IS!Z$51,Z17)</f>
        <v>165.22903738364963</v>
      </c>
      <c r="AA17" s="88">
        <f>IF(Case=$C8,IS!AA$51,AA17)</f>
        <v>171.11370455143791</v>
      </c>
      <c r="AB17" s="82">
        <f>IF(Case=$C8,IS!AB$51,AB17)</f>
        <v>182.99999999999997</v>
      </c>
      <c r="AC17" s="82">
        <f>IF(Case=$C8,IS!AC$51,AC17)</f>
        <v>189.70000000000002</v>
      </c>
      <c r="AD17" s="82">
        <f>IF(Case=$C8,IS!AD$51,AD17)</f>
        <v>199</v>
      </c>
      <c r="AE17" s="82">
        <f>IF(Case=$C8,IS!AE$51,AE17)</f>
        <v>210.90000000000003</v>
      </c>
      <c r="AF17" s="82">
        <f>IF(Case=$C8,IS!AF$51,AF17)</f>
        <v>215.39999999999998</v>
      </c>
      <c r="AG17" s="82">
        <f>IF(Case=$C8,IS!AG$51,AG17)</f>
        <v>218.90000000000006</v>
      </c>
      <c r="AH17" s="82">
        <f>IF(Case=$C8,IS!AH$51,AH17)</f>
        <v>242.79999999999995</v>
      </c>
      <c r="AI17" s="82">
        <f>IF(Case=$C8,IS!AI$51,AI17)</f>
        <v>257.79999999999995</v>
      </c>
      <c r="AJ17" s="82">
        <f>IF(Case=$C8,IS!AJ$51,AJ17)</f>
        <v>260.60000000000002</v>
      </c>
      <c r="AK17" s="82">
        <f>IF(Case=$C8,IS!AK$51,AK17)</f>
        <v>263.39999999999992</v>
      </c>
      <c r="AL17" s="82">
        <f>IF(Case=$C8,IS!AL$51,AL17)</f>
        <v>282.00000000000006</v>
      </c>
      <c r="AM17" s="82">
        <f>IF(Case=$C8,IS!AM$51,AM17)</f>
        <v>310.80000000000007</v>
      </c>
      <c r="AN17" s="82">
        <f>IF(Case=$C8,IS!AN$51,AN17)</f>
        <v>316.60000000000002</v>
      </c>
      <c r="AO17" s="82">
        <f>IF(Case=$C8,IS!AO$51,AO17)</f>
        <v>329.89999999999992</v>
      </c>
      <c r="AP17" s="82">
        <f ca="1">IF(Case=$C8,IS!AP$51,AP17)</f>
        <v>326.94871317149068</v>
      </c>
      <c r="AQ17" s="82">
        <f ca="1">IF(Case=$C8,IS!AQ$51,AQ17)</f>
        <v>331.03746666936564</v>
      </c>
      <c r="AR17" s="82">
        <f ca="1">IF(Case=$C8,IS!AR$51,AR17)</f>
        <v>335.40358115071263</v>
      </c>
      <c r="AS17" s="82">
        <f ca="1">IF(Case=$C8,IS!AS$51,AS17)</f>
        <v>340.01440528747918</v>
      </c>
      <c r="AT17" s="82">
        <f ca="1">IF(Case=$C8,IS!AT$51,AT17)</f>
        <v>344.82110276408577</v>
      </c>
      <c r="AU17" s="82">
        <f ca="1">IF(Case=$C8,IS!AU$51,AU17)</f>
        <v>349.77699473091468</v>
      </c>
      <c r="AV17" s="82">
        <f ca="1">IF(Case=$C8,IS!AV$51,AV17)</f>
        <v>354.87209374973708</v>
      </c>
      <c r="AW17" s="82">
        <f ca="1">IF(Case=$C8,IS!AW$51,AW17)</f>
        <v>360.09695091398476</v>
      </c>
      <c r="AX17" s="82">
        <f ca="1">IF(Case=$C8,IS!AX$51,AX17)</f>
        <v>365.4424473739632</v>
      </c>
      <c r="AY17" s="82">
        <f ca="1">IF(Case=$C8,IS!AY$51,AY17)</f>
        <v>370.74848920625618</v>
      </c>
      <c r="BA17" s="131">
        <f>+SUM(AD17:AG17)/SUM(AD10:AG10)</f>
        <v>0.58665740097289787</v>
      </c>
    </row>
    <row r="18" spans="2:53">
      <c r="B18" s="6" t="s">
        <v>203</v>
      </c>
      <c r="D18" s="48"/>
      <c r="E18" s="48"/>
      <c r="F18" s="48"/>
      <c r="G18" s="48">
        <f t="shared" ref="G18:M18" si="7">+G17/G10</f>
        <v>0.57054956116021016</v>
      </c>
      <c r="H18" s="48">
        <f t="shared" si="7"/>
        <v>0.57991801531285925</v>
      </c>
      <c r="I18" s="48">
        <f t="shared" si="7"/>
        <v>0.58665740097289787</v>
      </c>
      <c r="J18" s="48">
        <f t="shared" si="7"/>
        <v>0.51309529771145279</v>
      </c>
      <c r="K18" s="48">
        <f t="shared" si="7"/>
        <v>0.49867213906325458</v>
      </c>
      <c r="L18" s="48">
        <f t="shared" ca="1" si="7"/>
        <v>0.50445771245368143</v>
      </c>
      <c r="M18" s="48">
        <f t="shared" ca="1" si="7"/>
        <v>0.5140380107816227</v>
      </c>
      <c r="N18" s="48"/>
      <c r="T18" s="48">
        <f>+T17/T10</f>
        <v>0.53226185226716738</v>
      </c>
      <c r="U18" s="48">
        <f t="shared" ref="U18:AY18" si="8">+U17/U10</f>
        <v>0.55745954761243866</v>
      </c>
      <c r="V18" s="48">
        <f t="shared" si="8"/>
        <v>0.57528519472841266</v>
      </c>
      <c r="W18" s="48">
        <f t="shared" si="8"/>
        <v>0.54183218400155098</v>
      </c>
      <c r="X18" s="48">
        <f t="shared" si="8"/>
        <v>0.58049363657071262</v>
      </c>
      <c r="Y18" s="48">
        <f t="shared" si="8"/>
        <v>0.58368088746839331</v>
      </c>
      <c r="Z18" s="48">
        <f t="shared" si="8"/>
        <v>0.58718258158854686</v>
      </c>
      <c r="AA18" s="24">
        <f t="shared" si="8"/>
        <v>0.57659205375572098</v>
      </c>
      <c r="AB18" s="48">
        <f t="shared" si="8"/>
        <v>0.57080474111041779</v>
      </c>
      <c r="AC18" s="48">
        <f t="shared" si="8"/>
        <v>0.58567459092312446</v>
      </c>
      <c r="AD18" s="48">
        <f t="shared" si="8"/>
        <v>0.58409157616671559</v>
      </c>
      <c r="AE18" s="48">
        <f t="shared" si="8"/>
        <v>0.58275766786405092</v>
      </c>
      <c r="AF18" s="48">
        <f t="shared" si="8"/>
        <v>0.5872410032715375</v>
      </c>
      <c r="AG18" s="48">
        <f t="shared" si="8"/>
        <v>0.59226190476190488</v>
      </c>
      <c r="AH18" s="48">
        <f t="shared" si="8"/>
        <v>0.50794979079497904</v>
      </c>
      <c r="AI18" s="48">
        <f t="shared" si="8"/>
        <v>0.50818056376897291</v>
      </c>
      <c r="AJ18" s="48">
        <f t="shared" si="8"/>
        <v>0.51614181025945738</v>
      </c>
      <c r="AK18" s="48">
        <f t="shared" si="8"/>
        <v>0.51983422143280034</v>
      </c>
      <c r="AL18" s="48">
        <f t="shared" si="8"/>
        <v>0.51254089422028359</v>
      </c>
      <c r="AM18" s="48">
        <f t="shared" si="8"/>
        <v>0.4871473354231976</v>
      </c>
      <c r="AN18" s="48">
        <f t="shared" si="8"/>
        <v>0.49199689199689201</v>
      </c>
      <c r="AO18" s="48">
        <f t="shared" si="8"/>
        <v>0.50482019892884455</v>
      </c>
      <c r="AP18" s="48">
        <f t="shared" ca="1" si="8"/>
        <v>0.50083686733377109</v>
      </c>
      <c r="AQ18" s="48">
        <f t="shared" ca="1" si="8"/>
        <v>0.50322049386364887</v>
      </c>
      <c r="AR18" s="48">
        <f t="shared" ca="1" si="8"/>
        <v>0.50563422323882568</v>
      </c>
      <c r="AS18" s="48">
        <f t="shared" ca="1" si="8"/>
        <v>0.50803950291141131</v>
      </c>
      <c r="AT18" s="48">
        <f t="shared" ca="1" si="8"/>
        <v>0.51043613760677586</v>
      </c>
      <c r="AU18" s="48">
        <f t="shared" ca="1" si="8"/>
        <v>0.51282399379565646</v>
      </c>
      <c r="AV18" s="48">
        <f t="shared" ca="1" si="8"/>
        <v>0.5152027970324583</v>
      </c>
      <c r="AW18" s="48">
        <f t="shared" ca="1" si="8"/>
        <v>0.51757228519888143</v>
      </c>
      <c r="AX18" s="48">
        <f t="shared" ca="1" si="8"/>
        <v>0.51993220693461839</v>
      </c>
      <c r="AY18" s="48">
        <f t="shared" ca="1" si="8"/>
        <v>0.52206945216814848</v>
      </c>
    </row>
    <row r="19" spans="2:53">
      <c r="B19" s="85" t="s">
        <v>201</v>
      </c>
      <c r="D19" s="18"/>
      <c r="E19" s="18"/>
      <c r="F19" s="18"/>
      <c r="G19" s="111">
        <f>+SUM(V19:Y19)</f>
        <v>606.69791983443088</v>
      </c>
      <c r="H19" s="111">
        <f>+SUM(Z19:AC19)</f>
        <v>703.66568271371648</v>
      </c>
      <c r="I19" s="111">
        <f>+SUM(AD19:AG19)</f>
        <v>795.00575977999267</v>
      </c>
      <c r="J19" s="111">
        <f>+SUM(AH19:AK19)</f>
        <v>875.48368047922077</v>
      </c>
      <c r="K19" s="111">
        <f>+SUM(AL19:AO19)</f>
        <v>964.1720021000142</v>
      </c>
      <c r="L19" s="111">
        <f>+SUM(AP19:AS19)</f>
        <v>1065.1152920110258</v>
      </c>
      <c r="M19" s="111">
        <f>+SUM(AT19:AW19)</f>
        <v>1180.6581959252524</v>
      </c>
      <c r="N19" s="18"/>
      <c r="T19" s="19">
        <v>125.6178835624993</v>
      </c>
      <c r="U19" s="19">
        <v>139.37871740345793</v>
      </c>
      <c r="V19" s="19">
        <v>147.59169075010976</v>
      </c>
      <c r="W19" s="19">
        <v>141.8387842906065</v>
      </c>
      <c r="X19" s="19">
        <v>155.60177105606056</v>
      </c>
      <c r="Y19" s="19">
        <v>161.665673737654</v>
      </c>
      <c r="Z19" s="19">
        <v>165.22903738364963</v>
      </c>
      <c r="AA19" s="20">
        <v>171.11370455143788</v>
      </c>
      <c r="AB19" s="19">
        <v>181.374326063746</v>
      </c>
      <c r="AC19" s="19">
        <v>185.94861471488298</v>
      </c>
      <c r="AD19" s="19">
        <v>191.52585143603733</v>
      </c>
      <c r="AE19" s="19">
        <v>196.4464068658518</v>
      </c>
      <c r="AF19" s="19">
        <v>201.08281102719869</v>
      </c>
      <c r="AG19" s="19">
        <v>205.95069045090483</v>
      </c>
      <c r="AH19" s="19">
        <v>210.55745532438084</v>
      </c>
      <c r="AI19" s="19">
        <v>215.97015013959654</v>
      </c>
      <c r="AJ19" s="19">
        <v>221.29396997899585</v>
      </c>
      <c r="AK19" s="19">
        <v>227.6621050362476</v>
      </c>
      <c r="AL19" s="19">
        <v>232.59476372451638</v>
      </c>
      <c r="AM19" s="19">
        <v>238.07913006267202</v>
      </c>
      <c r="AN19" s="19">
        <v>243.73288893524733</v>
      </c>
      <c r="AO19" s="19">
        <v>249.76521937757843</v>
      </c>
      <c r="AP19" s="19">
        <v>256.17404618594469</v>
      </c>
      <c r="AQ19" s="19">
        <v>262.79252794004145</v>
      </c>
      <c r="AR19" s="19">
        <v>269.62074465713675</v>
      </c>
      <c r="AS19" s="19">
        <v>276.52797322790286</v>
      </c>
      <c r="AT19" s="19">
        <v>283.66676558994658</v>
      </c>
      <c r="AU19" s="19">
        <v>291.05732782580429</v>
      </c>
      <c r="AV19" s="19">
        <v>298.72432534755171</v>
      </c>
      <c r="AW19" s="19">
        <v>307.20977716194983</v>
      </c>
      <c r="AX19" s="19">
        <v>316.02612785391062</v>
      </c>
      <c r="AY19" s="19">
        <v>325.21051036974251</v>
      </c>
      <c r="AZ19" s="85"/>
    </row>
    <row r="20" spans="2:53">
      <c r="B20" s="86" t="s">
        <v>203</v>
      </c>
      <c r="D20" s="48"/>
      <c r="E20" s="48"/>
      <c r="F20" s="48"/>
      <c r="G20" s="48">
        <f t="shared" ref="G20:M20" si="9">+G19/G13</f>
        <v>0.57054956116021005</v>
      </c>
      <c r="H20" s="48">
        <f t="shared" si="9"/>
        <v>0.5750307106909085</v>
      </c>
      <c r="I20" s="48">
        <f t="shared" si="9"/>
        <v>0.58209252266474021</v>
      </c>
      <c r="J20" s="48">
        <f t="shared" si="9"/>
        <v>0.59174318377432067</v>
      </c>
      <c r="K20" s="48">
        <f t="shared" si="9"/>
        <v>0.59941671676667074</v>
      </c>
      <c r="L20" s="48">
        <f t="shared" si="9"/>
        <v>0.6072400152274875</v>
      </c>
      <c r="M20" s="48">
        <f t="shared" si="9"/>
        <v>0.61691942744633221</v>
      </c>
      <c r="N20" s="48"/>
      <c r="T20" s="48">
        <f>+T19/T13</f>
        <v>0.53226185226716738</v>
      </c>
      <c r="U20" s="48">
        <f t="shared" ref="U20:AY20" si="10">+U19/U13</f>
        <v>0.55745954761243866</v>
      </c>
      <c r="V20" s="48">
        <f t="shared" si="10"/>
        <v>0.57528519472841266</v>
      </c>
      <c r="W20" s="48">
        <f t="shared" si="10"/>
        <v>0.54183218400155075</v>
      </c>
      <c r="X20" s="48">
        <f t="shared" si="10"/>
        <v>0.58049363657071251</v>
      </c>
      <c r="Y20" s="48">
        <f t="shared" si="10"/>
        <v>0.58368088746839319</v>
      </c>
      <c r="Z20" s="48">
        <f t="shared" si="10"/>
        <v>0.58718258158854686</v>
      </c>
      <c r="AA20" s="24">
        <f t="shared" si="10"/>
        <v>0.57659205375572087</v>
      </c>
      <c r="AB20" s="48">
        <f t="shared" si="10"/>
        <v>0.56722896108046694</v>
      </c>
      <c r="AC20" s="48">
        <f t="shared" si="10"/>
        <v>0.57076975737119939</v>
      </c>
      <c r="AD20" s="48">
        <f t="shared" si="10"/>
        <v>0.57730080888261037</v>
      </c>
      <c r="AE20" s="48">
        <f t="shared" si="10"/>
        <v>0.58111073754362208</v>
      </c>
      <c r="AF20" s="48">
        <f t="shared" si="10"/>
        <v>0.58358630237243969</v>
      </c>
      <c r="AG20" s="48">
        <f t="shared" si="10"/>
        <v>0.58609628092601496</v>
      </c>
      <c r="AH20" s="48">
        <f t="shared" si="10"/>
        <v>0.58746781722442609</v>
      </c>
      <c r="AI20" s="48">
        <f t="shared" si="10"/>
        <v>0.590332689631206</v>
      </c>
      <c r="AJ20" s="48">
        <f t="shared" si="10"/>
        <v>0.59236080920171952</v>
      </c>
      <c r="AK20" s="48">
        <f t="shared" si="10"/>
        <v>0.59650566453717446</v>
      </c>
      <c r="AL20" s="48">
        <f t="shared" si="10"/>
        <v>0.59736731826072542</v>
      </c>
      <c r="AM20" s="48">
        <f t="shared" si="10"/>
        <v>0.59869487328987614</v>
      </c>
      <c r="AN20" s="48">
        <f t="shared" si="10"/>
        <v>0.59988970107841899</v>
      </c>
      <c r="AO20" s="48">
        <f t="shared" si="10"/>
        <v>0.60156716376321573</v>
      </c>
      <c r="AP20" s="48">
        <f t="shared" si="10"/>
        <v>0.60374108462366027</v>
      </c>
      <c r="AQ20" s="48">
        <f t="shared" si="10"/>
        <v>0.606017311233228</v>
      </c>
      <c r="AR20" s="48">
        <f t="shared" si="10"/>
        <v>0.60839251488093282</v>
      </c>
      <c r="AS20" s="48">
        <f t="shared" si="10"/>
        <v>0.61056098663706504</v>
      </c>
      <c r="AT20" s="48">
        <f t="shared" si="10"/>
        <v>0.61284448462112273</v>
      </c>
      <c r="AU20" s="48">
        <f t="shared" si="10"/>
        <v>0.6152492214372367</v>
      </c>
      <c r="AV20" s="48">
        <f t="shared" si="10"/>
        <v>0.6177822796598591</v>
      </c>
      <c r="AW20" s="48">
        <f t="shared" si="10"/>
        <v>0.62148955059463695</v>
      </c>
      <c r="AX20" s="48">
        <f t="shared" si="10"/>
        <v>0.62528101519192159</v>
      </c>
      <c r="AY20" s="48">
        <f t="shared" si="10"/>
        <v>0.629167124994084</v>
      </c>
      <c r="AZ20" s="86"/>
    </row>
    <row r="21" spans="2:53">
      <c r="D21" s="6"/>
      <c r="E21" s="6"/>
      <c r="F21" s="6"/>
      <c r="G21" s="6"/>
      <c r="H21" s="6"/>
      <c r="I21" s="6"/>
      <c r="J21" s="6"/>
      <c r="K21" s="6"/>
      <c r="L21" s="6"/>
      <c r="M21" s="6"/>
      <c r="N21" s="6"/>
    </row>
    <row r="22" spans="2:53">
      <c r="B22" s="6" t="s">
        <v>251</v>
      </c>
      <c r="D22" s="82"/>
      <c r="E22" s="82"/>
      <c r="F22" s="82"/>
      <c r="G22" s="111">
        <f>+SUM(V22:Y22)</f>
        <v>372.58576019012742</v>
      </c>
      <c r="H22" s="111">
        <f>+SUM(Z22:AC22)</f>
        <v>430.6082398098726</v>
      </c>
      <c r="I22" s="111">
        <f>+SUM(AD22:AG22)</f>
        <v>617.20000000000005</v>
      </c>
      <c r="J22" s="111">
        <f>+SUM(AH22:AK22)</f>
        <v>794.40000000000009</v>
      </c>
      <c r="K22" s="111">
        <f>+SUM(AL22:AO22)</f>
        <v>800.40000000000009</v>
      </c>
      <c r="L22" s="111">
        <f ca="1">+SUM(AP22:AS22)</f>
        <v>912.07884917545857</v>
      </c>
      <c r="M22" s="111">
        <f ca="1">+SUM(AT22:AW22)</f>
        <v>959.75100947377337</v>
      </c>
      <c r="N22" s="82"/>
      <c r="T22" s="82">
        <f>IF(Case=$C8,BS!T$69,T22)</f>
        <v>66.687000019999999</v>
      </c>
      <c r="U22" s="82">
        <f>IF(Case=$C8,BS!U$69,U22)</f>
        <v>58.91</v>
      </c>
      <c r="V22" s="82">
        <f>IF(Case=$C8,BS!V$69,V22)</f>
        <v>95.73</v>
      </c>
      <c r="W22" s="82">
        <f>IF(Case=$C8,BS!W$69,W22)</f>
        <v>101.907</v>
      </c>
      <c r="X22" s="82">
        <f>IF(Case=$C8,BS!X$69,X22)</f>
        <v>86.671996482221047</v>
      </c>
      <c r="Y22" s="82">
        <f>IF(Case=$C8,BS!Y$69,Y22)</f>
        <v>88.276763707906341</v>
      </c>
      <c r="Z22" s="82">
        <f>IF(Case=$C8,BS!Z$69,Z22)</f>
        <v>90.922727784094747</v>
      </c>
      <c r="AA22" s="88">
        <f>IF(Case=$C8,BS!AA$69,AA22)</f>
        <v>94.885512025777871</v>
      </c>
      <c r="AB22" s="82">
        <f>IF(Case=$C8,BS!AB$69,AB22)</f>
        <v>115.3</v>
      </c>
      <c r="AC22" s="82">
        <f>IF(Case=$C8,BS!AC$69,AC22)</f>
        <v>129.5</v>
      </c>
      <c r="AD22" s="82">
        <f>IF(Case=$C8,BS!AD$69,AD22)</f>
        <v>130.09999999999997</v>
      </c>
      <c r="AE22" s="82">
        <f>IF(Case=$C8,BS!AE$69,AE22)</f>
        <v>155.5</v>
      </c>
      <c r="AF22" s="82">
        <f>IF(Case=$C8,BS!AF$69,AF22)</f>
        <v>159.19999999999999</v>
      </c>
      <c r="AG22" s="82">
        <f>IF(Case=$C8,BS!AG$69,AG22)</f>
        <v>172.40000000000003</v>
      </c>
      <c r="AH22" s="82">
        <f>IF(Case=$C8,BS!AH$69,AH22)</f>
        <v>185.10000000000002</v>
      </c>
      <c r="AI22" s="82">
        <f>IF(Case=$C8,BS!AI$69,AI22)</f>
        <v>187.40000000000003</v>
      </c>
      <c r="AJ22" s="82">
        <f>IF(Case=$C8,BS!AJ$69,AJ22)</f>
        <v>208.3</v>
      </c>
      <c r="AK22" s="82">
        <f>IF(Case=$C8,BS!AK$69,AK22)</f>
        <v>213.59999999999997</v>
      </c>
      <c r="AL22" s="82">
        <f>IF(Case=$C8,BS!AL$69,AL22)</f>
        <v>208.30000000000007</v>
      </c>
      <c r="AM22" s="82">
        <f>IF(Case=$C8,BS!AM$69,AM22)</f>
        <v>205.3</v>
      </c>
      <c r="AN22" s="82">
        <f>IF(Case=$C8,BS!AN$69,AN22)</f>
        <v>193.4</v>
      </c>
      <c r="AO22" s="82">
        <f>IF(Case=$C8,BS!AO$69,AO22)</f>
        <v>193.4</v>
      </c>
      <c r="AP22" s="82">
        <f ca="1">IF(Case=$C8,BS!AP$69,AP22)</f>
        <v>215.42558542258649</v>
      </c>
      <c r="AQ22" s="82">
        <f ca="1">IF(Case=$C8,BS!AQ$69,AQ22)</f>
        <v>230.24323283159427</v>
      </c>
      <c r="AR22" s="82">
        <f ca="1">IF(Case=$C8,BS!AR$69,AR22)</f>
        <v>232.16635268634124</v>
      </c>
      <c r="AS22" s="82">
        <f ca="1">IF(Case=$C8,BS!AS$69,AS22)</f>
        <v>234.24367823493645</v>
      </c>
      <c r="AT22" s="82">
        <f ca="1">IF(Case=$C8,BS!AT$69,AT22)</f>
        <v>236.43973667946651</v>
      </c>
      <c r="AU22" s="82">
        <f ca="1">IF(Case=$C8,BS!AU$69,AU22)</f>
        <v>238.7211784879965</v>
      </c>
      <c r="AV22" s="82">
        <f ca="1">IF(Case=$C8,BS!AV$69,AV22)</f>
        <v>241.08027659753353</v>
      </c>
      <c r="AW22" s="82">
        <f ca="1">IF(Case=$C8,BS!AW$69,AW22)</f>
        <v>243.50981770877678</v>
      </c>
      <c r="AX22" s="82">
        <f ca="1">IF(Case=$C8,BS!AX$69,AX22)</f>
        <v>246.00294975950814</v>
      </c>
      <c r="AY22" s="82">
        <f ca="1">IF(Case=$C8,BS!AY$69,AY22)</f>
        <v>177.53791553333656</v>
      </c>
    </row>
    <row r="23" spans="2:53">
      <c r="B23" s="6" t="s">
        <v>202</v>
      </c>
      <c r="D23" s="48"/>
      <c r="E23" s="48"/>
      <c r="F23" s="48"/>
      <c r="G23" s="48">
        <f t="shared" ref="G23:M23" si="11">+G22/G10</f>
        <v>0.35038630432264151</v>
      </c>
      <c r="H23" s="48">
        <f t="shared" si="11"/>
        <v>0.35218959456010701</v>
      </c>
      <c r="I23" s="48">
        <f t="shared" si="11"/>
        <v>0.42890896455872135</v>
      </c>
      <c r="J23" s="48">
        <f t="shared" si="11"/>
        <v>0.3978166157544194</v>
      </c>
      <c r="K23" s="48">
        <f t="shared" si="11"/>
        <v>0.32206663447609857</v>
      </c>
      <c r="L23" s="48">
        <f t="shared" ca="1" si="11"/>
        <v>0.34506057613153557</v>
      </c>
      <c r="M23" s="48">
        <f t="shared" ca="1" si="11"/>
        <v>0.35</v>
      </c>
      <c r="N23" s="48"/>
      <c r="T23" s="48">
        <f>+T22/T10</f>
        <v>0.28256284174001267</v>
      </c>
      <c r="U23" s="48">
        <f t="shared" ref="U23:AY23" si="12">+U22/U10</f>
        <v>0.23561661752695978</v>
      </c>
      <c r="V23" s="48">
        <f t="shared" si="12"/>
        <v>0.3731378874478406</v>
      </c>
      <c r="W23" s="48">
        <f t="shared" si="12"/>
        <v>0.38929050789039249</v>
      </c>
      <c r="X23" s="48">
        <f t="shared" si="12"/>
        <v>0.32334170803674073</v>
      </c>
      <c r="Y23" s="48">
        <f t="shared" si="12"/>
        <v>0.31871614173013818</v>
      </c>
      <c r="Z23" s="48">
        <f t="shared" si="12"/>
        <v>0.32311658332411569</v>
      </c>
      <c r="AA23" s="24">
        <f t="shared" si="12"/>
        <v>0.31973027756032346</v>
      </c>
      <c r="AB23" s="48">
        <f t="shared" si="12"/>
        <v>0.35963817841547097</v>
      </c>
      <c r="AC23" s="48">
        <f t="shared" si="12"/>
        <v>0.39981475764124735</v>
      </c>
      <c r="AD23" s="48">
        <f t="shared" si="12"/>
        <v>0.3818608746697974</v>
      </c>
      <c r="AE23" s="48">
        <f t="shared" si="12"/>
        <v>0.42967670627245097</v>
      </c>
      <c r="AF23" s="48">
        <f t="shared" si="12"/>
        <v>0.43402399127589963</v>
      </c>
      <c r="AG23" s="48">
        <f t="shared" si="12"/>
        <v>0.4664502164502165</v>
      </c>
      <c r="AH23" s="48">
        <f t="shared" si="12"/>
        <v>0.38723849372384944</v>
      </c>
      <c r="AI23" s="48">
        <f t="shared" si="12"/>
        <v>0.36940666272422634</v>
      </c>
      <c r="AJ23" s="48">
        <f t="shared" si="12"/>
        <v>0.41255694196870674</v>
      </c>
      <c r="AK23" s="48">
        <f t="shared" si="12"/>
        <v>0.42155121373593835</v>
      </c>
      <c r="AL23" s="48">
        <f t="shared" si="12"/>
        <v>0.3785896037804436</v>
      </c>
      <c r="AM23" s="48">
        <f t="shared" si="12"/>
        <v>0.32178683385579937</v>
      </c>
      <c r="AN23" s="48">
        <f t="shared" si="12"/>
        <v>0.30054390054390057</v>
      </c>
      <c r="AO23" s="48">
        <f t="shared" si="12"/>
        <v>0.29594491201224177</v>
      </c>
      <c r="AP23" s="48">
        <f t="shared" ca="1" si="12"/>
        <v>0.33</v>
      </c>
      <c r="AQ23" s="48">
        <f t="shared" ca="1" si="12"/>
        <v>0.35</v>
      </c>
      <c r="AR23" s="48">
        <f t="shared" ca="1" si="12"/>
        <v>0.35</v>
      </c>
      <c r="AS23" s="48">
        <f t="shared" ca="1" si="12"/>
        <v>0.35</v>
      </c>
      <c r="AT23" s="48">
        <f t="shared" ca="1" si="12"/>
        <v>0.35</v>
      </c>
      <c r="AU23" s="48">
        <f t="shared" ca="1" si="12"/>
        <v>0.35</v>
      </c>
      <c r="AV23" s="48">
        <f t="shared" ca="1" si="12"/>
        <v>0.35</v>
      </c>
      <c r="AW23" s="48">
        <f t="shared" ca="1" si="12"/>
        <v>0.35</v>
      </c>
      <c r="AX23" s="48">
        <f t="shared" ca="1" si="12"/>
        <v>0.35</v>
      </c>
      <c r="AY23" s="48">
        <f t="shared" ca="1" si="12"/>
        <v>0.25</v>
      </c>
    </row>
    <row r="24" spans="2:53">
      <c r="B24" s="85" t="s">
        <v>201</v>
      </c>
      <c r="D24" s="18"/>
      <c r="E24" s="18"/>
      <c r="F24" s="18"/>
      <c r="G24" s="111">
        <f>+SUM(V24:Y24)</f>
        <v>372.58433953012764</v>
      </c>
      <c r="H24" s="111">
        <f>+SUM(Z24:AC24)</f>
        <v>441.98909403581621</v>
      </c>
      <c r="I24" s="111">
        <f>+SUM(AD24:AG24)</f>
        <v>526.37490647322772</v>
      </c>
      <c r="J24" s="111">
        <f>+SUM(AH24:AK24)</f>
        <v>578.84114592067567</v>
      </c>
      <c r="K24" s="111">
        <f>+SUM(AL24:AO24)</f>
        <v>640.08913855440107</v>
      </c>
      <c r="L24" s="111">
        <f>+SUM(AP24:AS24)</f>
        <v>672.7906306822606</v>
      </c>
      <c r="M24" s="111">
        <f>+SUM(AT24:AW24)</f>
        <v>702.97974864801972</v>
      </c>
      <c r="N24" s="18"/>
      <c r="T24" s="19">
        <v>66.687000019999999</v>
      </c>
      <c r="U24" s="19">
        <v>58.91</v>
      </c>
      <c r="V24" s="19">
        <v>95.73</v>
      </c>
      <c r="W24" s="19">
        <v>101.907</v>
      </c>
      <c r="X24" s="19">
        <v>86.671996822220791</v>
      </c>
      <c r="Y24" s="19">
        <v>88.275342707906788</v>
      </c>
      <c r="Z24" s="19">
        <v>90.922727774094895</v>
      </c>
      <c r="AA24" s="20">
        <v>94.886900697620305</v>
      </c>
      <c r="AB24" s="19">
        <v>122.64550073855338</v>
      </c>
      <c r="AC24" s="19">
        <v>133.53396482554763</v>
      </c>
      <c r="AD24" s="19">
        <v>132.48862971686015</v>
      </c>
      <c r="AE24" s="19">
        <v>128.49417766039068</v>
      </c>
      <c r="AF24" s="19">
        <v>131.32076922124907</v>
      </c>
      <c r="AG24" s="19">
        <v>134.07132987472784</v>
      </c>
      <c r="AH24" s="19">
        <v>137.31113239990361</v>
      </c>
      <c r="AI24" s="19">
        <v>141.86731924755227</v>
      </c>
      <c r="AJ24" s="19">
        <v>147.28795099124267</v>
      </c>
      <c r="AK24" s="19">
        <v>152.37474328197712</v>
      </c>
      <c r="AL24" s="19">
        <v>156.25456642208644</v>
      </c>
      <c r="AM24" s="19">
        <v>158.92361019506922</v>
      </c>
      <c r="AN24" s="19">
        <v>161.37754749869754</v>
      </c>
      <c r="AO24" s="19">
        <v>163.53341443854788</v>
      </c>
      <c r="AP24" s="19">
        <v>165.49930625832536</v>
      </c>
      <c r="AQ24" s="19">
        <v>167.31771433251427</v>
      </c>
      <c r="AR24" s="19">
        <v>169.07863495798779</v>
      </c>
      <c r="AS24" s="19">
        <v>170.89497513343315</v>
      </c>
      <c r="AT24" s="19">
        <v>172.76982543926874</v>
      </c>
      <c r="AU24" s="19">
        <v>174.7072539897523</v>
      </c>
      <c r="AV24" s="19">
        <v>176.71220825629393</v>
      </c>
      <c r="AW24" s="19">
        <v>178.79046096270477</v>
      </c>
      <c r="AX24" s="19">
        <v>180.94858891956298</v>
      </c>
      <c r="AY24" s="19">
        <v>180.94858891956298</v>
      </c>
      <c r="AZ24" s="85"/>
    </row>
    <row r="25" spans="2:53">
      <c r="B25" s="86" t="s">
        <v>202</v>
      </c>
      <c r="D25" s="48"/>
      <c r="E25" s="48"/>
      <c r="F25" s="48"/>
      <c r="G25" s="48">
        <f t="shared" ref="G25:M25" si="13">+G24/G13</f>
        <v>0.35038496830860066</v>
      </c>
      <c r="H25" s="48">
        <f t="shared" si="13"/>
        <v>0.36119041912187305</v>
      </c>
      <c r="I25" s="48">
        <f t="shared" si="13"/>
        <v>0.38540462557303945</v>
      </c>
      <c r="J25" s="48">
        <f t="shared" si="13"/>
        <v>0.39124121925286587</v>
      </c>
      <c r="K25" s="48">
        <f t="shared" si="13"/>
        <v>0.39793743132409093</v>
      </c>
      <c r="L25" s="48">
        <f t="shared" si="13"/>
        <v>0.38356917404597518</v>
      </c>
      <c r="M25" s="48">
        <f t="shared" si="13"/>
        <v>0.36732211366426604</v>
      </c>
      <c r="N25" s="48"/>
      <c r="T25" s="48">
        <f>+T24/T13</f>
        <v>0.28256284174001267</v>
      </c>
      <c r="U25" s="48">
        <f t="shared" ref="U25:AY25" si="14">+U24/U13</f>
        <v>0.23561661752695978</v>
      </c>
      <c r="V25" s="48">
        <f t="shared" si="14"/>
        <v>0.3731378874478406</v>
      </c>
      <c r="W25" s="48">
        <f t="shared" si="14"/>
        <v>0.38929050789039249</v>
      </c>
      <c r="X25" s="48">
        <f t="shared" si="14"/>
        <v>0.32334170930515616</v>
      </c>
      <c r="Y25" s="48">
        <f t="shared" si="14"/>
        <v>0.31871101132414875</v>
      </c>
      <c r="Z25" s="48">
        <f t="shared" si="14"/>
        <v>0.32311658328857873</v>
      </c>
      <c r="AA25" s="24">
        <f t="shared" si="14"/>
        <v>0.3197349568883277</v>
      </c>
      <c r="AB25" s="48">
        <f t="shared" si="14"/>
        <v>0.38356079096152129</v>
      </c>
      <c r="AC25" s="48">
        <f t="shared" si="14"/>
        <v>0.40988285296535643</v>
      </c>
      <c r="AD25" s="48">
        <f t="shared" si="14"/>
        <v>0.39934970934634112</v>
      </c>
      <c r="AE25" s="48">
        <f t="shared" si="14"/>
        <v>0.38010034157194134</v>
      </c>
      <c r="AF25" s="48">
        <f t="shared" si="14"/>
        <v>0.38112159733119716</v>
      </c>
      <c r="AG25" s="48">
        <f t="shared" si="14"/>
        <v>0.38154136626754714</v>
      </c>
      <c r="AH25" s="48">
        <f t="shared" si="14"/>
        <v>0.38310622203955319</v>
      </c>
      <c r="AI25" s="48">
        <f t="shared" si="14"/>
        <v>0.3877800524194836</v>
      </c>
      <c r="AJ25" s="48">
        <f t="shared" si="14"/>
        <v>0.39426112624359733</v>
      </c>
      <c r="AK25" s="48">
        <f t="shared" si="14"/>
        <v>0.3992425418609985</v>
      </c>
      <c r="AL25" s="48">
        <f t="shared" si="14"/>
        <v>0.4013046975559047</v>
      </c>
      <c r="AM25" s="48">
        <f t="shared" si="14"/>
        <v>0.39964339017645178</v>
      </c>
      <c r="AN25" s="48">
        <f t="shared" si="14"/>
        <v>0.39719189787095688</v>
      </c>
      <c r="AO25" s="48">
        <f t="shared" si="14"/>
        <v>0.39387522630039601</v>
      </c>
      <c r="AP25" s="48">
        <f t="shared" si="14"/>
        <v>0.39004236437105094</v>
      </c>
      <c r="AQ25" s="48">
        <f t="shared" si="14"/>
        <v>0.38584594530257871</v>
      </c>
      <c r="AR25" s="48">
        <f t="shared" si="14"/>
        <v>0.38152174108685588</v>
      </c>
      <c r="AS25" s="48">
        <f t="shared" si="14"/>
        <v>0.37732820810425372</v>
      </c>
      <c r="AT25" s="48">
        <f t="shared" si="14"/>
        <v>0.37325851130007209</v>
      </c>
      <c r="AU25" s="48">
        <f t="shared" si="14"/>
        <v>0.36930354167534918</v>
      </c>
      <c r="AV25" s="48">
        <f t="shared" si="14"/>
        <v>0.3654528995363443</v>
      </c>
      <c r="AW25" s="48">
        <f t="shared" si="14"/>
        <v>0.36169553020359385</v>
      </c>
      <c r="AX25" s="48">
        <f t="shared" si="14"/>
        <v>0.3580201363270602</v>
      </c>
      <c r="AY25" s="48">
        <f t="shared" si="14"/>
        <v>0.35007141476707354</v>
      </c>
      <c r="AZ25" s="86"/>
    </row>
    <row r="26" spans="2:53">
      <c r="D26" s="6"/>
      <c r="E26" s="6"/>
      <c r="F26" s="6"/>
      <c r="G26" s="6"/>
      <c r="H26" s="6"/>
      <c r="I26" s="6"/>
      <c r="J26" s="6"/>
      <c r="K26" s="6"/>
      <c r="L26" s="6"/>
      <c r="M26" s="6"/>
      <c r="N26" s="6"/>
    </row>
    <row r="27" spans="2:53">
      <c r="B27" s="6" t="s">
        <v>249</v>
      </c>
      <c r="D27" s="6"/>
      <c r="E27" s="6"/>
      <c r="F27" s="6"/>
      <c r="G27" s="111"/>
      <c r="H27" s="111"/>
      <c r="I27" s="111">
        <f>+SUM(AD27:AG27)</f>
        <v>465.6</v>
      </c>
      <c r="J27" s="111">
        <f>+SUM(AH27:AK27)</f>
        <v>612.69999999999993</v>
      </c>
      <c r="K27" s="111">
        <f>+SUM(AL27:AO27)</f>
        <v>684.2</v>
      </c>
      <c r="L27" s="111">
        <f ca="1">+SUM(AP27:AS27)</f>
        <v>729.9966995560269</v>
      </c>
      <c r="M27" s="111">
        <f ca="1">+SUM(AT27:AW27)</f>
        <v>770.63243884755741</v>
      </c>
      <c r="N27" s="82"/>
      <c r="AB27" s="82">
        <f>IF(Case=$C8,BS!AB$75,AB27)</f>
        <v>72.099999999999994</v>
      </c>
      <c r="AC27" s="82">
        <f>IF(Case=$C8,BS!AC$75,AC27)</f>
        <v>88.600000000000009</v>
      </c>
      <c r="AD27" s="82">
        <f>IF(Case=$C8,BS!AD$75,AD27)</f>
        <v>90.599999999999966</v>
      </c>
      <c r="AE27" s="82">
        <f>IF(Case=$C8,BS!AE$75,AE27)</f>
        <v>130</v>
      </c>
      <c r="AF27" s="82">
        <f>IF(Case=$C8,BS!AF$75,AF27)</f>
        <v>109.49999999999999</v>
      </c>
      <c r="AG27" s="82">
        <f>IF(Case=$C8,BS!AG$75,AG27)</f>
        <v>135.50000000000006</v>
      </c>
      <c r="AH27" s="82">
        <f>IF(Case=$C8,BS!AH$75,AH27)</f>
        <v>126.30000000000001</v>
      </c>
      <c r="AI27" s="82">
        <f>IF(Case=$C8,BS!AI$75,AI27)</f>
        <v>148.80000000000001</v>
      </c>
      <c r="AJ27" s="82">
        <f>IF(Case=$C8,BS!AJ$75,AJ27)</f>
        <v>167.4</v>
      </c>
      <c r="AK27" s="82">
        <f>IF(Case=$C8,BS!AK$75,AK27)</f>
        <v>170.19999999999996</v>
      </c>
      <c r="AL27" s="82">
        <f>IF(Case=$C8,BS!AL$75,AL27)</f>
        <v>135.90000000000009</v>
      </c>
      <c r="AM27" s="82">
        <f>IF(Case=$C8,BS!AM$75,AM27)</f>
        <v>161.5</v>
      </c>
      <c r="AN27" s="82">
        <f>IF(Case=$C8,BS!AN$75,AN27)</f>
        <v>193.4</v>
      </c>
      <c r="AO27" s="82">
        <f>IF(Case=$C8,BS!AO$75,AO27)</f>
        <v>193.4</v>
      </c>
      <c r="AP27" s="82">
        <f ca="1">IF(Case=$C8,BS!AP$75,AP27)</f>
        <v>177.45334119938025</v>
      </c>
      <c r="AQ27" s="82">
        <f ca="1">IF(Case=$C8,BS!AQ$75,AQ27)</f>
        <v>173.49537963862937</v>
      </c>
      <c r="AR27" s="82">
        <f ca="1">IF(Case=$C8,BS!AR$75,AR27)</f>
        <v>189.16260313292329</v>
      </c>
      <c r="AS27" s="82">
        <f ca="1">IF(Case=$C8,BS!AS$75,AS27)</f>
        <v>189.88537558509398</v>
      </c>
      <c r="AT27" s="82">
        <f ca="1">IF(Case=$C8,BS!AT$75,AT27)</f>
        <v>190.82330278435489</v>
      </c>
      <c r="AU27" s="82">
        <f ca="1">IF(Case=$C8,BS!AU$75,AU27)</f>
        <v>191.96897059491138</v>
      </c>
      <c r="AV27" s="82">
        <f ca="1">IF(Case=$C8,BS!AV$75,AV27)</f>
        <v>193.2327467367414</v>
      </c>
      <c r="AW27" s="82">
        <f ca="1">IF(Case=$C8,BS!AW$75,AW27)</f>
        <v>194.6074187315497</v>
      </c>
      <c r="AX27" s="82">
        <f ca="1">IF(Case=$C8,BS!AX$75,AX27)</f>
        <v>196.08614238717135</v>
      </c>
      <c r="AY27" s="82">
        <f ca="1">IF(Case=$C8,BS!AY$75,AY27)</f>
        <v>116.46904649731664</v>
      </c>
    </row>
    <row r="28" spans="2:53">
      <c r="D28" s="6"/>
      <c r="E28" s="6"/>
      <c r="F28" s="6"/>
      <c r="G28" s="6"/>
      <c r="H28" s="6"/>
      <c r="I28" s="111"/>
      <c r="J28" s="111"/>
      <c r="K28" s="111"/>
      <c r="L28" s="111"/>
      <c r="M28" s="111"/>
      <c r="N28" s="6"/>
    </row>
    <row r="29" spans="2:53">
      <c r="B29" s="6" t="s">
        <v>298</v>
      </c>
      <c r="D29" s="82"/>
      <c r="E29" s="82"/>
      <c r="F29" s="82"/>
      <c r="G29" s="82"/>
      <c r="H29" s="82"/>
      <c r="I29" s="111">
        <f>+SUM(AD29:AG29)</f>
        <v>378.6</v>
      </c>
      <c r="J29" s="111">
        <f>+SUM(AH29:AK29)</f>
        <v>411.89999999999986</v>
      </c>
      <c r="K29" s="111">
        <f>+SUM(AL29:AO29)</f>
        <v>555.09999999999991</v>
      </c>
      <c r="L29" s="111">
        <f ca="1">+SUM(AP29:AS29)</f>
        <v>603.40746672302123</v>
      </c>
      <c r="M29" s="111">
        <f ca="1">+SUM(AT29:AW29)</f>
        <v>638.93470331116487</v>
      </c>
      <c r="N29" s="82"/>
      <c r="O29" s="2">
        <f ca="1">(L29/I29)^(1/3)-1</f>
        <v>0.16809103321261798</v>
      </c>
      <c r="T29" s="82"/>
      <c r="U29" s="82"/>
      <c r="V29" s="82"/>
      <c r="W29" s="82"/>
      <c r="X29" s="82"/>
      <c r="Y29" s="82"/>
      <c r="Z29" s="82"/>
      <c r="AA29" s="88"/>
      <c r="AB29" s="82">
        <f>IF(Case=$C8,CF!AB$65,AB29)</f>
        <v>110.89999999999998</v>
      </c>
      <c r="AC29" s="82">
        <f>IF(Case=$C8,CF!AC$65,AC29)</f>
        <v>101.10000000000001</v>
      </c>
      <c r="AD29" s="82">
        <f>IF(Case=$C8,CF!AD$65,AD29)</f>
        <v>108.40000000000003</v>
      </c>
      <c r="AE29" s="82">
        <f>IF(Case=$C8,CF!AE$65,AE29)</f>
        <v>80.900000000000034</v>
      </c>
      <c r="AF29" s="82">
        <f>IF(Case=$C8,CF!AF$65,AF29)</f>
        <v>105.89999999999999</v>
      </c>
      <c r="AG29" s="82">
        <f>IF(Case=$C8,CF!AG$65,AG29)</f>
        <v>83.4</v>
      </c>
      <c r="AH29" s="82">
        <f>IF(Case=$C8,CF!AH$65,AH29)</f>
        <v>116.49999999999994</v>
      </c>
      <c r="AI29" s="82">
        <f>IF(Case=$C8,CF!AI$65,AI29)</f>
        <v>108.99999999999994</v>
      </c>
      <c r="AJ29" s="82">
        <f>IF(Case=$C8,CF!AJ$65,AJ29)</f>
        <v>93.200000000000017</v>
      </c>
      <c r="AK29" s="82">
        <f>IF(Case=$C8,CF!AK$65,AK29)</f>
        <v>93.19999999999996</v>
      </c>
      <c r="AL29" s="82">
        <f>IF(Case=$C8,CF!AL$65,AL29)</f>
        <v>146.09999999999997</v>
      </c>
      <c r="AM29" s="82">
        <f>IF(Case=$C8,CF!AM$65,AM29)</f>
        <v>149.30000000000007</v>
      </c>
      <c r="AN29" s="82">
        <f>IF(Case=$C8,CF!AN$65,AN29)</f>
        <v>123.20000000000002</v>
      </c>
      <c r="AO29" s="82">
        <f>IF(Case=$C8,CF!AO$65,AO29)</f>
        <v>136.49999999999991</v>
      </c>
      <c r="AP29" s="82">
        <f ca="1">IF(Case=$C8,CF!AP$65,AP29)</f>
        <v>149.49537197211043</v>
      </c>
      <c r="AQ29" s="82">
        <f ca="1">IF(Case=$C8,CF!AQ$65,AQ29)</f>
        <v>157.54208703073627</v>
      </c>
      <c r="AR29" s="82">
        <f ca="1">IF(Case=$C8,CF!AR$65,AR29)</f>
        <v>146.24097801778933</v>
      </c>
      <c r="AS29" s="82">
        <f ca="1">IF(Case=$C8,CF!AS$65,AS29)</f>
        <v>150.1290297023852</v>
      </c>
      <c r="AT29" s="82">
        <f ca="1">IF(Case=$C8,CF!AT$65,AT29)</f>
        <v>153.99779997973087</v>
      </c>
      <c r="AU29" s="82">
        <f ca="1">IF(Case=$C8,CF!AU$65,AU29)</f>
        <v>157.8080241360033</v>
      </c>
      <c r="AV29" s="82">
        <f ca="1">IF(Case=$C8,CF!AV$65,AV29)</f>
        <v>161.63934701299567</v>
      </c>
      <c r="AW29" s="82">
        <f ca="1">IF(Case=$C8,CF!AW$65,AW29)</f>
        <v>165.48953218243506</v>
      </c>
      <c r="AX29" s="82">
        <f ca="1">IF(Case=$C8,CF!AX$65,AX29)</f>
        <v>169.35630498679186</v>
      </c>
      <c r="AY29" s="82">
        <f ca="1">IF(Case=$C8,CF!AY$65,AY29)</f>
        <v>254.27944270893954</v>
      </c>
      <c r="BA29" s="131">
        <f>(SUM(AL29:AO29)/SUM(AD29:AG29))^(1/2)-1</f>
        <v>0.21086383662677011</v>
      </c>
    </row>
    <row r="30" spans="2:53">
      <c r="B30" s="85"/>
      <c r="D30" s="18"/>
      <c r="E30" s="18"/>
      <c r="F30" s="18"/>
      <c r="G30" s="18"/>
      <c r="H30" s="18"/>
      <c r="I30" s="18"/>
      <c r="J30" s="18"/>
      <c r="K30" s="18"/>
      <c r="L30" s="18"/>
      <c r="M30" s="18"/>
      <c r="N30" s="18"/>
      <c r="T30" s="19"/>
      <c r="U30" s="19"/>
      <c r="V30" s="19"/>
      <c r="W30" s="19"/>
      <c r="X30" s="19"/>
      <c r="Y30" s="19"/>
      <c r="Z30" s="110"/>
      <c r="AA30" s="20"/>
      <c r="AB30" s="19"/>
      <c r="AC30" s="19"/>
      <c r="AD30" s="19"/>
      <c r="AE30" s="19"/>
      <c r="AF30" s="50"/>
      <c r="AG30" s="50"/>
      <c r="AH30" s="50"/>
      <c r="AI30" s="50"/>
      <c r="AJ30" s="50"/>
      <c r="AK30" s="19"/>
      <c r="AL30" s="19"/>
      <c r="AM30" s="19"/>
      <c r="AN30" s="19"/>
      <c r="AO30" s="19"/>
      <c r="AP30" s="19"/>
      <c r="AQ30" s="19"/>
      <c r="AR30" s="19"/>
      <c r="AS30" s="19"/>
      <c r="AT30" s="19"/>
      <c r="AU30" s="19"/>
      <c r="AV30" s="19"/>
      <c r="AW30" s="19"/>
      <c r="AX30" s="19"/>
      <c r="AY30" s="19"/>
      <c r="AZ30" s="85"/>
    </row>
    <row r="31" spans="2:53">
      <c r="D31" s="6"/>
      <c r="E31" s="6"/>
      <c r="F31" s="6"/>
      <c r="G31" s="6"/>
      <c r="H31" s="6"/>
      <c r="I31" s="6"/>
      <c r="J31" s="40"/>
      <c r="K31" s="6"/>
      <c r="L31" s="6"/>
      <c r="M31" s="6"/>
      <c r="N31" s="6"/>
    </row>
    <row r="32" spans="2:53" s="79" customFormat="1">
      <c r="B32" s="79" t="s">
        <v>247</v>
      </c>
      <c r="C32" s="99">
        <v>1</v>
      </c>
      <c r="D32" s="104"/>
      <c r="E32" s="104"/>
      <c r="F32" s="104"/>
      <c r="G32" s="104">
        <f t="shared" ref="G32:AY32" si="15">G2</f>
        <v>2013</v>
      </c>
      <c r="H32" s="104" t="str">
        <f t="shared" si="15"/>
        <v>2014E</v>
      </c>
      <c r="I32" s="104" t="str">
        <f t="shared" si="15"/>
        <v>2015E</v>
      </c>
      <c r="J32" s="104" t="str">
        <f t="shared" si="15"/>
        <v>2016E</v>
      </c>
      <c r="K32" s="104" t="str">
        <f t="shared" si="15"/>
        <v>2017E</v>
      </c>
      <c r="L32" s="104" t="str">
        <f t="shared" si="15"/>
        <v>2018E</v>
      </c>
      <c r="M32" s="104" t="str">
        <f t="shared" si="15"/>
        <v>2019E</v>
      </c>
      <c r="N32" s="104"/>
      <c r="O32" s="99"/>
      <c r="P32" s="79">
        <f t="shared" si="15"/>
        <v>0</v>
      </c>
      <c r="Q32" s="79">
        <f t="shared" si="15"/>
        <v>0</v>
      </c>
      <c r="R32" s="79">
        <f t="shared" si="15"/>
        <v>0</v>
      </c>
      <c r="S32" s="79">
        <f t="shared" si="15"/>
        <v>0</v>
      </c>
      <c r="T32" s="141">
        <f t="shared" si="15"/>
        <v>41182</v>
      </c>
      <c r="U32" s="141">
        <f t="shared" si="15"/>
        <v>41274</v>
      </c>
      <c r="V32" s="141">
        <f t="shared" si="15"/>
        <v>41364</v>
      </c>
      <c r="W32" s="141">
        <f t="shared" si="15"/>
        <v>41455</v>
      </c>
      <c r="X32" s="141">
        <f t="shared" si="15"/>
        <v>41547</v>
      </c>
      <c r="Y32" s="141">
        <f t="shared" si="15"/>
        <v>41639</v>
      </c>
      <c r="Z32" s="141">
        <f t="shared" si="15"/>
        <v>41729</v>
      </c>
      <c r="AA32" s="142">
        <f t="shared" si="15"/>
        <v>41820</v>
      </c>
      <c r="AB32" s="141">
        <f t="shared" si="15"/>
        <v>41912</v>
      </c>
      <c r="AC32" s="141">
        <f t="shared" si="15"/>
        <v>42004</v>
      </c>
      <c r="AD32" s="141">
        <f t="shared" si="15"/>
        <v>42094</v>
      </c>
      <c r="AE32" s="141">
        <f t="shared" si="15"/>
        <v>42185</v>
      </c>
      <c r="AF32" s="141">
        <f t="shared" si="15"/>
        <v>42277</v>
      </c>
      <c r="AG32" s="141">
        <f t="shared" si="15"/>
        <v>42369</v>
      </c>
      <c r="AH32" s="141">
        <f t="shared" si="15"/>
        <v>42460</v>
      </c>
      <c r="AI32" s="141">
        <f t="shared" si="15"/>
        <v>42551</v>
      </c>
      <c r="AJ32" s="141">
        <f t="shared" si="15"/>
        <v>42643</v>
      </c>
      <c r="AK32" s="141">
        <f t="shared" si="15"/>
        <v>42735</v>
      </c>
      <c r="AL32" s="141">
        <f t="shared" si="15"/>
        <v>42825</v>
      </c>
      <c r="AM32" s="141">
        <f t="shared" si="15"/>
        <v>42916</v>
      </c>
      <c r="AN32" s="141">
        <f t="shared" si="15"/>
        <v>43008</v>
      </c>
      <c r="AO32" s="141">
        <f t="shared" si="15"/>
        <v>43100</v>
      </c>
      <c r="AP32" s="141">
        <f t="shared" si="15"/>
        <v>43190</v>
      </c>
      <c r="AQ32" s="141">
        <f t="shared" si="15"/>
        <v>43281</v>
      </c>
      <c r="AR32" s="141">
        <f t="shared" si="15"/>
        <v>43373</v>
      </c>
      <c r="AS32" s="141">
        <f t="shared" si="15"/>
        <v>43465</v>
      </c>
      <c r="AT32" s="141">
        <f t="shared" si="15"/>
        <v>43555</v>
      </c>
      <c r="AU32" s="141">
        <f t="shared" si="15"/>
        <v>43646</v>
      </c>
      <c r="AV32" s="141">
        <f t="shared" si="15"/>
        <v>43738</v>
      </c>
      <c r="AW32" s="141">
        <f t="shared" si="15"/>
        <v>43830</v>
      </c>
      <c r="AX32" s="141">
        <f t="shared" si="15"/>
        <v>43921</v>
      </c>
      <c r="AY32" s="141">
        <f t="shared" si="15"/>
        <v>44012</v>
      </c>
    </row>
    <row r="33" spans="2:52" s="81" customFormat="1">
      <c r="C33" s="98"/>
      <c r="O33" s="98"/>
      <c r="AA33" s="8"/>
    </row>
    <row r="34" spans="2:52">
      <c r="B34" s="6" t="s">
        <v>31</v>
      </c>
      <c r="D34" s="82"/>
      <c r="E34" s="82"/>
      <c r="F34" s="82"/>
      <c r="G34" s="111">
        <f ca="1">+SUM(V34:Y34)</f>
        <v>1063.3570878587889</v>
      </c>
      <c r="H34" s="111">
        <f ca="1">+SUM(Z34:AC34)</f>
        <v>1222.6603126867285</v>
      </c>
      <c r="I34" s="111">
        <f ca="1">+SUM(AD34:AG34)</f>
        <v>1439</v>
      </c>
      <c r="J34" s="111">
        <f ca="1">+SUM(AH34:AK34)</f>
        <v>1996.8999999999999</v>
      </c>
      <c r="K34" s="111">
        <f ca="1">+SUM(AL34:AO34)</f>
        <v>2485.1999999999998</v>
      </c>
      <c r="L34" s="111">
        <f ca="1">+SUM(AP34:AS34)</f>
        <v>2657.0644024843127</v>
      </c>
      <c r="M34" s="111">
        <f ca="1">+SUM(AT34:AW34)</f>
        <v>2798.6866965901781</v>
      </c>
      <c r="N34" s="82"/>
      <c r="O34" s="2">
        <f ca="1">(L34/I34)^(1/3)-1</f>
        <v>0.22681881827573469</v>
      </c>
      <c r="T34" s="82">
        <f ca="1">IF(Case=$C32,IS!T$5,T34)</f>
        <v>236.00767747572064</v>
      </c>
      <c r="U34" s="82">
        <f ca="1">IF(Case=$C32,IS!U$5,U34)</f>
        <v>250.02480987258627</v>
      </c>
      <c r="V34" s="82">
        <f ca="1">IF(Case=$C32,IS!V$5,V34)</f>
        <v>256.55395289598329</v>
      </c>
      <c r="W34" s="82">
        <f ca="1">IF(Case=$C32,IS!W$5,W34)</f>
        <v>261.77622606891981</v>
      </c>
      <c r="X34" s="82">
        <f ca="1">IF(Case=$C32,IS!X$5,X34)</f>
        <v>268.05077825707741</v>
      </c>
      <c r="Y34" s="82">
        <f ca="1">IF(Case=$C32,IS!Y$5,Y34)</f>
        <v>276.97613063680853</v>
      </c>
      <c r="Z34" s="82">
        <f ca="1">IF(Case=$C32,IS!Z$5,Z34)</f>
        <v>281.3929475507324</v>
      </c>
      <c r="AA34" s="88">
        <f ca="1">IF(Case=$C32,IS!AA$5,AA34)</f>
        <v>296.76736513599604</v>
      </c>
      <c r="AB34" s="82">
        <f ca="1">IF(Case=$C32,IS!AB$5,AB34)</f>
        <v>320.60000000000002</v>
      </c>
      <c r="AC34" s="82">
        <f ca="1">IF(Case=$C32,IS!AC$5,AC34)</f>
        <v>323.89999999999998</v>
      </c>
      <c r="AD34" s="82">
        <f ca="1">IF(Case=$C32,IS!AD$5,AD34)</f>
        <v>340.7</v>
      </c>
      <c r="AE34" s="82">
        <f ca="1">IF(Case=$C32,IS!AE$5,AE34)</f>
        <v>361.9</v>
      </c>
      <c r="AF34" s="82">
        <f ca="1">IF(Case=$C32,IS!AF$5,AF34)</f>
        <v>366.8</v>
      </c>
      <c r="AG34" s="82">
        <f ca="1">IF(Case=$C32,IS!AG$5,AG34)</f>
        <v>369.6</v>
      </c>
      <c r="AH34" s="82">
        <f ca="1">IF(Case=$C32,IS!AH$5,AH34)</f>
        <v>478</v>
      </c>
      <c r="AI34" s="82">
        <f ca="1">IF(Case=$C32,IS!AI$5,AI34)</f>
        <v>507.3</v>
      </c>
      <c r="AJ34" s="82">
        <f ca="1">IF(Case=$C32,IS!AJ$5,AJ34)</f>
        <v>504.9</v>
      </c>
      <c r="AK34" s="82">
        <f ca="1">IF(Case=$C32,IS!AK$5,AK34)</f>
        <v>506.7</v>
      </c>
      <c r="AL34" s="82">
        <f ca="1">IF(Case=$C32,IS!AL$5,AL34)</f>
        <v>550.20000000000005</v>
      </c>
      <c r="AM34" s="82">
        <f ca="1">IF(Case=$C32,IS!AM$5,AM34)</f>
        <v>638</v>
      </c>
      <c r="AN34" s="82">
        <f ca="1">IF(Case=$C32,IS!AN$5,AN34)</f>
        <v>643.5</v>
      </c>
      <c r="AO34" s="82">
        <f ca="1">IF(Case=$C32,IS!AO$5,AO34)</f>
        <v>653.5</v>
      </c>
      <c r="AP34" s="82">
        <f ca="1">IF(Case=$C32,IS!AP$5,AP34)</f>
        <v>652.16910133283318</v>
      </c>
      <c r="AQ34" s="82">
        <f ca="1">IF(Case=$C32,IS!AQ$5,AQ34)</f>
        <v>660.04682328771673</v>
      </c>
      <c r="AR34" s="82">
        <f ca="1">IF(Case=$C32,IS!AR$5,AR34)</f>
        <v>668.17505275061524</v>
      </c>
      <c r="AS34" s="82">
        <f ca="1">IF(Case=$C32,IS!AS$5,AS34)</f>
        <v>676.67342511314746</v>
      </c>
      <c r="AT34" s="82">
        <f ca="1">IF(Case=$C32,IS!AT$5,AT34)</f>
        <v>685.53481670614883</v>
      </c>
      <c r="AU34" s="82">
        <f ca="1">IF(Case=$C32,IS!AU$5,AU34)</f>
        <v>694.72502755620224</v>
      </c>
      <c r="AV34" s="82">
        <f ca="1">IF(Case=$C32,IS!AV$5,AV34)</f>
        <v>704.26429980451405</v>
      </c>
      <c r="AW34" s="82">
        <f ca="1">IF(Case=$C32,IS!AW$5,AW34)</f>
        <v>714.16255252331325</v>
      </c>
      <c r="AX34" s="82">
        <f ca="1">IF(Case=$C32,IS!AX$5,AX34)</f>
        <v>724.42305082011273</v>
      </c>
      <c r="AY34" s="82">
        <f ca="1">IF(Case=$C32,IS!AY$5,AY34)</f>
        <v>735.04461617641209</v>
      </c>
    </row>
    <row r="35" spans="2:52">
      <c r="B35" s="6" t="s">
        <v>36</v>
      </c>
      <c r="D35" s="48"/>
      <c r="E35" s="48"/>
      <c r="F35" s="48"/>
      <c r="G35" s="48"/>
      <c r="H35" s="48">
        <f t="shared" ref="H35:M35" ca="1" si="16">+H34/G34-1</f>
        <v>0.14981159823622181</v>
      </c>
      <c r="I35" s="48">
        <f t="shared" ca="1" si="16"/>
        <v>0.17694177611594908</v>
      </c>
      <c r="J35" s="48">
        <f t="shared" ca="1" si="16"/>
        <v>0.38769979152189005</v>
      </c>
      <c r="K35" s="48">
        <f t="shared" ca="1" si="16"/>
        <v>0.24452901998097043</v>
      </c>
      <c r="L35" s="48">
        <f t="shared" ca="1" si="16"/>
        <v>6.915515953819118E-2</v>
      </c>
      <c r="M35" s="48">
        <f t="shared" ca="1" si="16"/>
        <v>5.3300286576964728E-2</v>
      </c>
      <c r="N35" s="48"/>
      <c r="T35" s="48"/>
      <c r="U35" s="48"/>
      <c r="V35" s="48"/>
      <c r="W35" s="48"/>
      <c r="X35" s="48">
        <f ca="1">+X34/T34-1</f>
        <v>0.13577143389605717</v>
      </c>
      <c r="Y35" s="48">
        <f t="shared" ref="Y35:AY35" ca="1" si="17">+Y34/U34-1</f>
        <v>0.10779458557715449</v>
      </c>
      <c r="Z35" s="48">
        <f t="shared" ca="1" si="17"/>
        <v>9.6817820869124604E-2</v>
      </c>
      <c r="AA35" s="24">
        <f t="shared" ca="1" si="17"/>
        <v>0.13366813171897385</v>
      </c>
      <c r="AB35" s="48">
        <f t="shared" ca="1" si="17"/>
        <v>0.19604204130504188</v>
      </c>
      <c r="AC35" s="48">
        <f t="shared" ca="1" si="17"/>
        <v>0.16941484905326187</v>
      </c>
      <c r="AD35" s="48">
        <f t="shared" ca="1" si="17"/>
        <v>0.21076239815347586</v>
      </c>
      <c r="AE35" s="48">
        <f t="shared" ca="1" si="17"/>
        <v>0.21947371077731659</v>
      </c>
      <c r="AF35" s="48">
        <f t="shared" ca="1" si="17"/>
        <v>0.14410480349344978</v>
      </c>
      <c r="AG35" s="48">
        <f t="shared" ca="1" si="17"/>
        <v>0.14109292991664102</v>
      </c>
      <c r="AH35" s="48">
        <f t="shared" ca="1" si="17"/>
        <v>0.40299383621954799</v>
      </c>
      <c r="AI35" s="48">
        <f t="shared" ca="1" si="17"/>
        <v>0.40176844432163583</v>
      </c>
      <c r="AJ35" s="48">
        <f t="shared" ca="1" si="17"/>
        <v>0.37649945474372948</v>
      </c>
      <c r="AK35" s="48">
        <f t="shared" ca="1" si="17"/>
        <v>0.37094155844155829</v>
      </c>
      <c r="AL35" s="48">
        <f t="shared" ca="1" si="17"/>
        <v>0.15104602510460263</v>
      </c>
      <c r="AM35" s="48">
        <f t="shared" ca="1" si="17"/>
        <v>0.257638478218017</v>
      </c>
      <c r="AN35" s="48">
        <f t="shared" ca="1" si="17"/>
        <v>0.27450980392156876</v>
      </c>
      <c r="AO35" s="48">
        <f t="shared" ca="1" si="17"/>
        <v>0.2897177817248866</v>
      </c>
      <c r="AP35" s="48">
        <f t="shared" ca="1" si="17"/>
        <v>0.18533097297861345</v>
      </c>
      <c r="AQ35" s="48">
        <f t="shared" ca="1" si="17"/>
        <v>3.4556149353788035E-2</v>
      </c>
      <c r="AR35" s="48">
        <f t="shared" ca="1" si="17"/>
        <v>3.8345070319526497E-2</v>
      </c>
      <c r="AS35" s="48">
        <f t="shared" ca="1" si="17"/>
        <v>3.5460482193033549E-2</v>
      </c>
      <c r="AT35" s="48">
        <f t="shared" ca="1" si="17"/>
        <v>5.1161141037081359E-2</v>
      </c>
      <c r="AU35" s="48">
        <f t="shared" ca="1" si="17"/>
        <v>5.2539006393140575E-2</v>
      </c>
      <c r="AV35" s="48">
        <f t="shared" ca="1" si="17"/>
        <v>5.4011664915254665E-2</v>
      </c>
      <c r="AW35" s="48">
        <f t="shared" ca="1" si="17"/>
        <v>5.5402097997120592E-2</v>
      </c>
      <c r="AX35" s="48">
        <f t="shared" ca="1" si="17"/>
        <v>5.6726854955104544E-2</v>
      </c>
      <c r="AY35" s="48">
        <f t="shared" ca="1" si="17"/>
        <v>5.8036758459731885E-2</v>
      </c>
    </row>
    <row r="36" spans="2:52">
      <c r="B36" s="6" t="s">
        <v>37</v>
      </c>
      <c r="D36" s="48"/>
      <c r="E36" s="48"/>
      <c r="F36" s="48"/>
      <c r="G36" s="48"/>
      <c r="H36" s="48"/>
      <c r="I36" s="48"/>
      <c r="J36" s="48"/>
      <c r="K36" s="48"/>
      <c r="L36" s="48"/>
      <c r="M36" s="48"/>
      <c r="N36" s="48"/>
      <c r="T36" s="48"/>
      <c r="U36" s="48">
        <f ca="1">+U34/T34-1</f>
        <v>5.939269665626723E-2</v>
      </c>
      <c r="V36" s="48">
        <f t="shared" ref="V36:AY36" ca="1" si="18">+V34/U34-1</f>
        <v>2.6113980555466876E-2</v>
      </c>
      <c r="W36" s="48">
        <f t="shared" ca="1" si="18"/>
        <v>2.0355457844198011E-2</v>
      </c>
      <c r="X36" s="48">
        <f t="shared" ca="1" si="18"/>
        <v>2.3969144495595396E-2</v>
      </c>
      <c r="Y36" s="48">
        <f t="shared" ca="1" si="18"/>
        <v>3.329724478983298E-2</v>
      </c>
      <c r="Z36" s="48">
        <f t="shared" ca="1" si="18"/>
        <v>1.5946561545823412E-2</v>
      </c>
      <c r="AA36" s="24">
        <f t="shared" ca="1" si="18"/>
        <v>5.4636826256961424E-2</v>
      </c>
      <c r="AB36" s="48">
        <f t="shared" ca="1" si="18"/>
        <v>8.0307465253406374E-2</v>
      </c>
      <c r="AC36" s="48">
        <f t="shared" ca="1" si="18"/>
        <v>1.0293200249531953E-2</v>
      </c>
      <c r="AD36" s="48">
        <f t="shared" ca="1" si="18"/>
        <v>5.1867860450756531E-2</v>
      </c>
      <c r="AE36" s="48">
        <f t="shared" ca="1" si="18"/>
        <v>6.2224831229821032E-2</v>
      </c>
      <c r="AF36" s="48">
        <f t="shared" ca="1" si="18"/>
        <v>1.3539651837524369E-2</v>
      </c>
      <c r="AG36" s="48">
        <f t="shared" ca="1" si="18"/>
        <v>7.6335877862596657E-3</v>
      </c>
      <c r="AH36" s="48">
        <f t="shared" ca="1" si="18"/>
        <v>0.29329004329004316</v>
      </c>
      <c r="AI36" s="48">
        <f t="shared" ca="1" si="18"/>
        <v>6.129707112970717E-2</v>
      </c>
      <c r="AJ36" s="48">
        <f t="shared" ca="1" si="18"/>
        <v>-4.7309284447073496E-3</v>
      </c>
      <c r="AK36" s="48">
        <f t="shared" ca="1" si="18"/>
        <v>3.5650623885918886E-3</v>
      </c>
      <c r="AL36" s="48">
        <f t="shared" ca="1" si="18"/>
        <v>8.5849615156897707E-2</v>
      </c>
      <c r="AM36" s="48">
        <f t="shared" ca="1" si="18"/>
        <v>0.15957833515085418</v>
      </c>
      <c r="AN36" s="48">
        <f t="shared" ca="1" si="18"/>
        <v>8.6206896551723755E-3</v>
      </c>
      <c r="AO36" s="48">
        <f t="shared" ca="1" si="18"/>
        <v>1.5540015540015606E-2</v>
      </c>
      <c r="AP36" s="48">
        <f t="shared" ca="1" si="18"/>
        <v>-2.0365702634533855E-3</v>
      </c>
      <c r="AQ36" s="48">
        <f t="shared" ca="1" si="18"/>
        <v>1.2079262784427947E-2</v>
      </c>
      <c r="AR36" s="48">
        <f t="shared" ca="1" si="18"/>
        <v>1.2314625532793944E-2</v>
      </c>
      <c r="AS36" s="48">
        <f t="shared" ca="1" si="18"/>
        <v>1.2718781294733583E-2</v>
      </c>
      <c r="AT36" s="48">
        <f t="shared" ca="1" si="18"/>
        <v>1.3095521804361798E-2</v>
      </c>
      <c r="AU36" s="48">
        <f t="shared" ca="1" si="18"/>
        <v>1.3405899490576578E-2</v>
      </c>
      <c r="AV36" s="48">
        <f t="shared" ca="1" si="18"/>
        <v>1.3731004167026439E-2</v>
      </c>
      <c r="AW36" s="48">
        <f t="shared" ca="1" si="18"/>
        <v>1.4054741553060079E-2</v>
      </c>
      <c r="AX36" s="48">
        <f t="shared" ca="1" si="18"/>
        <v>1.4367174896732671E-2</v>
      </c>
      <c r="AY36" s="48">
        <f t="shared" ca="1" si="18"/>
        <v>1.4662102958036494E-2</v>
      </c>
    </row>
    <row r="37" spans="2:52">
      <c r="B37" s="85" t="s">
        <v>201</v>
      </c>
      <c r="D37" s="18"/>
      <c r="E37" s="18"/>
      <c r="F37" s="18"/>
      <c r="G37" s="111">
        <f>+SUM(V37:Y37)</f>
        <v>1063.3570878587889</v>
      </c>
      <c r="H37" s="111">
        <f>+SUM(Z37:AC37)</f>
        <v>1223.7010469723452</v>
      </c>
      <c r="I37" s="111">
        <f>+SUM(AD37:AG37)</f>
        <v>1365.7721561867256</v>
      </c>
      <c r="J37" s="111">
        <f>+SUM(AH37:AK37)</f>
        <v>1479.4993917718082</v>
      </c>
      <c r="K37" s="111">
        <f>+SUM(AL37:AO37)</f>
        <v>1608.5170385318572</v>
      </c>
      <c r="L37" s="111">
        <f>+SUM(AP37:AS37)</f>
        <v>1754.0268514946379</v>
      </c>
      <c r="M37" s="111">
        <f>+SUM(AT37:AW37)</f>
        <v>1913.7964268890878</v>
      </c>
      <c r="N37" s="18"/>
      <c r="T37" s="19">
        <v>236.00767747572064</v>
      </c>
      <c r="U37" s="19">
        <v>250.02480987258627</v>
      </c>
      <c r="V37" s="19">
        <v>256.55395289598329</v>
      </c>
      <c r="W37" s="19">
        <v>261.77622606891981</v>
      </c>
      <c r="X37" s="19">
        <v>268.05077825707741</v>
      </c>
      <c r="Y37" s="19">
        <v>276.97613063680853</v>
      </c>
      <c r="Z37" s="19">
        <v>281.3929475507324</v>
      </c>
      <c r="AA37" s="20">
        <v>296.76736513599604</v>
      </c>
      <c r="AB37" s="19">
        <v>319.75505220724489</v>
      </c>
      <c r="AC37" s="19">
        <v>325.78568207837179</v>
      </c>
      <c r="AD37" s="19">
        <v>331.76092686712764</v>
      </c>
      <c r="AE37" s="19">
        <v>338.05330752661445</v>
      </c>
      <c r="AF37" s="19">
        <v>344.56396630582566</v>
      </c>
      <c r="AG37" s="19">
        <v>351.39395548715783</v>
      </c>
      <c r="AH37" s="19">
        <v>358.41530233807362</v>
      </c>
      <c r="AI37" s="19">
        <v>365.84480909318762</v>
      </c>
      <c r="AJ37" s="19">
        <v>373.57969423604715</v>
      </c>
      <c r="AK37" s="19">
        <v>381.65958610449979</v>
      </c>
      <c r="AL37" s="19">
        <v>389.36640257075243</v>
      </c>
      <c r="AM37" s="19">
        <v>397.66355231072578</v>
      </c>
      <c r="AN37" s="19">
        <v>406.29617160803031</v>
      </c>
      <c r="AO37" s="19">
        <v>415.1909120423486</v>
      </c>
      <c r="AP37" s="19">
        <v>424.31110406479928</v>
      </c>
      <c r="AQ37" s="19">
        <v>433.63864871329525</v>
      </c>
      <c r="AR37" s="19">
        <v>443.16906941220935</v>
      </c>
      <c r="AS37" s="19">
        <v>452.90802930433392</v>
      </c>
      <c r="AT37" s="19">
        <v>462.869084585655</v>
      </c>
      <c r="AU37" s="19">
        <v>473.07224078380381</v>
      </c>
      <c r="AV37" s="19">
        <v>483.54304612302002</v>
      </c>
      <c r="AW37" s="19">
        <v>494.31205539660903</v>
      </c>
      <c r="AX37" s="19">
        <v>505.41455789587769</v>
      </c>
      <c r="AY37" s="19">
        <v>516.8905008709736</v>
      </c>
      <c r="AZ37" s="85"/>
    </row>
    <row r="38" spans="2:52">
      <c r="B38" s="86" t="s">
        <v>36</v>
      </c>
      <c r="D38" s="48"/>
      <c r="E38" s="48"/>
      <c r="F38" s="48"/>
      <c r="G38" s="48"/>
      <c r="H38" s="48">
        <f t="shared" ref="H38:M38" si="19">+H37/G37-1</f>
        <v>0.15079032334888587</v>
      </c>
      <c r="I38" s="48">
        <f t="shared" si="19"/>
        <v>0.11609952411652302</v>
      </c>
      <c r="J38" s="48">
        <f t="shared" si="19"/>
        <v>8.326955200390973E-2</v>
      </c>
      <c r="K38" s="48">
        <f t="shared" si="19"/>
        <v>8.72035821559487E-2</v>
      </c>
      <c r="L38" s="48">
        <f t="shared" si="19"/>
        <v>9.0462089910836152E-2</v>
      </c>
      <c r="M38" s="48">
        <f t="shared" si="19"/>
        <v>9.108730305827839E-2</v>
      </c>
      <c r="N38" s="48"/>
      <c r="T38" s="48"/>
      <c r="U38" s="48"/>
      <c r="V38" s="48"/>
      <c r="W38" s="48"/>
      <c r="X38" s="48">
        <f>+X37/T37-1</f>
        <v>0.13577143389605717</v>
      </c>
      <c r="Y38" s="48">
        <f t="shared" ref="Y38:AY38" si="20">+Y37/U37-1</f>
        <v>0.10779458557715449</v>
      </c>
      <c r="Z38" s="48">
        <f t="shared" si="20"/>
        <v>9.6817820869124604E-2</v>
      </c>
      <c r="AA38" s="24">
        <f t="shared" si="20"/>
        <v>0.13366813171897385</v>
      </c>
      <c r="AB38" s="48">
        <f t="shared" si="20"/>
        <v>0.19288984828307365</v>
      </c>
      <c r="AC38" s="48">
        <f t="shared" si="20"/>
        <v>0.17622295224264617</v>
      </c>
      <c r="AD38" s="48">
        <f t="shared" si="20"/>
        <v>0.17899517295938772</v>
      </c>
      <c r="AE38" s="48">
        <f t="shared" si="20"/>
        <v>0.13911887640239273</v>
      </c>
      <c r="AF38" s="48">
        <f t="shared" si="20"/>
        <v>7.758724663559402E-2</v>
      </c>
      <c r="AG38" s="48">
        <f t="shared" si="20"/>
        <v>7.8604661952656585E-2</v>
      </c>
      <c r="AH38" s="48">
        <f t="shared" si="20"/>
        <v>8.0342117809494962E-2</v>
      </c>
      <c r="AI38" s="48">
        <f t="shared" si="20"/>
        <v>8.2210411635700975E-2</v>
      </c>
      <c r="AJ38" s="48">
        <f t="shared" si="20"/>
        <v>8.4209989341914815E-2</v>
      </c>
      <c r="AK38" s="48">
        <f t="shared" si="20"/>
        <v>8.6130197018850163E-2</v>
      </c>
      <c r="AL38" s="48">
        <f t="shared" si="20"/>
        <v>8.6355409578702469E-2</v>
      </c>
      <c r="AM38" s="48">
        <f t="shared" si="20"/>
        <v>8.6973335213930358E-2</v>
      </c>
      <c r="AN38" s="48">
        <f t="shared" si="20"/>
        <v>8.7575630787125158E-2</v>
      </c>
      <c r="AO38" s="48">
        <f t="shared" si="20"/>
        <v>8.785663234636476E-2</v>
      </c>
      <c r="AP38" s="48">
        <f t="shared" si="20"/>
        <v>8.9747603448391944E-2</v>
      </c>
      <c r="AQ38" s="48">
        <f t="shared" si="20"/>
        <v>9.0466164659866344E-2</v>
      </c>
      <c r="AR38" s="48">
        <f t="shared" si="20"/>
        <v>9.0753741681208311E-2</v>
      </c>
      <c r="AS38" s="48">
        <f t="shared" si="20"/>
        <v>9.0842829570745076E-2</v>
      </c>
      <c r="AT38" s="48">
        <f t="shared" si="20"/>
        <v>9.0871957277288917E-2</v>
      </c>
      <c r="AU38" s="48">
        <f t="shared" si="20"/>
        <v>9.0936525578421135E-2</v>
      </c>
      <c r="AV38" s="48">
        <f t="shared" si="20"/>
        <v>9.110287584907506E-2</v>
      </c>
      <c r="AW38" s="48">
        <f t="shared" si="20"/>
        <v>9.1418176347793256E-2</v>
      </c>
      <c r="AX38" s="48">
        <f t="shared" si="20"/>
        <v>9.1916861002518724E-2</v>
      </c>
      <c r="AY38" s="48">
        <f t="shared" si="20"/>
        <v>9.2624881169459661E-2</v>
      </c>
      <c r="AZ38" s="86"/>
    </row>
    <row r="39" spans="2:52">
      <c r="B39" s="86" t="s">
        <v>37</v>
      </c>
      <c r="D39" s="48"/>
      <c r="E39" s="48"/>
      <c r="F39" s="48"/>
      <c r="G39" s="48"/>
      <c r="H39" s="48"/>
      <c r="I39" s="48"/>
      <c r="J39" s="48"/>
      <c r="K39" s="48"/>
      <c r="L39" s="48"/>
      <c r="M39" s="48"/>
      <c r="N39" s="48"/>
      <c r="T39" s="48"/>
      <c r="U39" s="48">
        <f>+U37/T37-1</f>
        <v>5.939269665626723E-2</v>
      </c>
      <c r="V39" s="48">
        <f t="shared" ref="V39:AY39" si="21">+V37/U37-1</f>
        <v>2.6113980555466876E-2</v>
      </c>
      <c r="W39" s="48">
        <f t="shared" si="21"/>
        <v>2.0355457844198011E-2</v>
      </c>
      <c r="X39" s="48">
        <f t="shared" si="21"/>
        <v>2.3969144495595396E-2</v>
      </c>
      <c r="Y39" s="48">
        <f t="shared" si="21"/>
        <v>3.329724478983298E-2</v>
      </c>
      <c r="Z39" s="48">
        <f t="shared" si="21"/>
        <v>1.5946561545823412E-2</v>
      </c>
      <c r="AA39" s="24">
        <f t="shared" si="21"/>
        <v>5.4636826256961424E-2</v>
      </c>
      <c r="AB39" s="48">
        <f t="shared" si="21"/>
        <v>7.7460293050465756E-2</v>
      </c>
      <c r="AC39" s="48">
        <f t="shared" si="21"/>
        <v>1.8860155076512175E-2</v>
      </c>
      <c r="AD39" s="48">
        <f t="shared" si="21"/>
        <v>1.8341029448060375E-2</v>
      </c>
      <c r="AE39" s="48">
        <f t="shared" si="21"/>
        <v>1.8966611646846987E-2</v>
      </c>
      <c r="AF39" s="48">
        <f t="shared" si="21"/>
        <v>1.9259266613442794E-2</v>
      </c>
      <c r="AG39" s="48">
        <f t="shared" si="21"/>
        <v>1.9822122593254665E-2</v>
      </c>
      <c r="AH39" s="48">
        <f t="shared" si="21"/>
        <v>1.9981410440545799E-2</v>
      </c>
      <c r="AI39" s="48">
        <f t="shared" si="21"/>
        <v>2.072876550372893E-2</v>
      </c>
      <c r="AJ39" s="48">
        <f t="shared" si="21"/>
        <v>2.1142530796136816E-2</v>
      </c>
      <c r="AK39" s="48">
        <f t="shared" si="21"/>
        <v>2.1628295095041716E-2</v>
      </c>
      <c r="AL39" s="48">
        <f t="shared" si="21"/>
        <v>2.0192906838562896E-2</v>
      </c>
      <c r="AM39" s="48">
        <f t="shared" si="21"/>
        <v>2.1309362300373724E-2</v>
      </c>
      <c r="AN39" s="48">
        <f t="shared" si="21"/>
        <v>2.1708349299659258E-2</v>
      </c>
      <c r="AO39" s="48">
        <f t="shared" si="21"/>
        <v>2.18922575595899E-2</v>
      </c>
      <c r="AP39" s="48">
        <f t="shared" si="21"/>
        <v>2.196626120159495E-2</v>
      </c>
      <c r="AQ39" s="48">
        <f t="shared" si="21"/>
        <v>2.1982796488567713E-2</v>
      </c>
      <c r="AR39" s="48">
        <f t="shared" si="21"/>
        <v>2.197779355505558E-2</v>
      </c>
      <c r="AS39" s="48">
        <f t="shared" si="21"/>
        <v>2.1975721150940597E-2</v>
      </c>
      <c r="AT39" s="48">
        <f t="shared" si="21"/>
        <v>2.1993549764664611E-2</v>
      </c>
      <c r="AU39" s="48">
        <f t="shared" si="21"/>
        <v>2.2043287266165779E-2</v>
      </c>
      <c r="AV39" s="48">
        <f t="shared" si="21"/>
        <v>2.2133628728389976E-2</v>
      </c>
      <c r="AW39" s="48">
        <f t="shared" si="21"/>
        <v>2.2271045690623437E-2</v>
      </c>
      <c r="AX39" s="48">
        <f t="shared" si="21"/>
        <v>2.2460513309473296E-2</v>
      </c>
      <c r="AY39" s="48">
        <f t="shared" si="21"/>
        <v>2.2706000046520458E-2</v>
      </c>
      <c r="AZ39" s="86"/>
    </row>
    <row r="40" spans="2:52">
      <c r="D40" s="6"/>
      <c r="E40" s="6"/>
      <c r="F40" s="6"/>
      <c r="G40" s="6"/>
      <c r="H40" s="6"/>
      <c r="I40" s="6"/>
      <c r="J40" s="6"/>
      <c r="K40" s="6"/>
      <c r="L40" s="6"/>
      <c r="M40" s="6"/>
      <c r="N40" s="6"/>
    </row>
    <row r="41" spans="2:52">
      <c r="B41" s="6" t="s">
        <v>69</v>
      </c>
      <c r="D41" s="82"/>
      <c r="E41" s="82"/>
      <c r="F41" s="82"/>
      <c r="G41" s="111">
        <f ca="1">+SUM(V41:Y41)</f>
        <v>606.69791983443099</v>
      </c>
      <c r="H41" s="111">
        <f ca="1">+SUM(Z41:AC41)</f>
        <v>709.04274193508752</v>
      </c>
      <c r="I41" s="111">
        <f ca="1">+SUM(AD41:AG41)</f>
        <v>844.2</v>
      </c>
      <c r="J41" s="111">
        <f ca="1">+SUM(AH41:AK41)</f>
        <v>1024.5999999999999</v>
      </c>
      <c r="K41" s="111">
        <f ca="1">+SUM(AL41:AO41)</f>
        <v>1239.3000000000002</v>
      </c>
      <c r="L41" s="111">
        <f ca="1">+SUM(AP41:AS41)</f>
        <v>1379.2820116529938</v>
      </c>
      <c r="M41" s="111">
        <f ca="1">+SUM(AT41:AW41)</f>
        <v>1478.9514888657684</v>
      </c>
      <c r="N41" s="82"/>
      <c r="O41" s="2">
        <f ca="1">(L41/I41)^(1/3)-1</f>
        <v>0.17779373938683474</v>
      </c>
      <c r="T41" s="82">
        <f ca="1">IF(Case=$C32,IS!T$51,T41)</f>
        <v>125.6178835624993</v>
      </c>
      <c r="U41" s="82">
        <f ca="1">IF(Case=$C32,IS!U$51,U41)</f>
        <v>139.37871740345793</v>
      </c>
      <c r="V41" s="82">
        <f ca="1">IF(Case=$C32,IS!V$51,V41)</f>
        <v>147.59169075010976</v>
      </c>
      <c r="W41" s="82">
        <f ca="1">IF(Case=$C32,IS!W$51,W41)</f>
        <v>141.83878429060655</v>
      </c>
      <c r="X41" s="82">
        <f ca="1">IF(Case=$C32,IS!X$51,X41)</f>
        <v>155.60177105606058</v>
      </c>
      <c r="Y41" s="82">
        <f ca="1">IF(Case=$C32,IS!Y$51,Y41)</f>
        <v>161.66567373765406</v>
      </c>
      <c r="Z41" s="82">
        <f ca="1">IF(Case=$C32,IS!Z$51,Z41)</f>
        <v>165.22903738364963</v>
      </c>
      <c r="AA41" s="88">
        <f ca="1">IF(Case=$C32,IS!AA$51,AA41)</f>
        <v>171.11370455143791</v>
      </c>
      <c r="AB41" s="82">
        <f ca="1">IF(Case=$C32,IS!AB$51,AB41)</f>
        <v>182.99999999999997</v>
      </c>
      <c r="AC41" s="82">
        <f ca="1">IF(Case=$C32,IS!AC$51,AC41)</f>
        <v>189.70000000000002</v>
      </c>
      <c r="AD41" s="82">
        <f ca="1">IF(Case=$C32,IS!AD$51,AD41)</f>
        <v>199</v>
      </c>
      <c r="AE41" s="82">
        <f ca="1">IF(Case=$C32,IS!AE$51,AE41)</f>
        <v>210.90000000000003</v>
      </c>
      <c r="AF41" s="82">
        <f ca="1">IF(Case=$C32,IS!AF$51,AF41)</f>
        <v>215.39999999999998</v>
      </c>
      <c r="AG41" s="82">
        <f ca="1">IF(Case=$C32,IS!AG$51,AG41)</f>
        <v>218.90000000000006</v>
      </c>
      <c r="AH41" s="82">
        <f ca="1">IF(Case=$C32,IS!AH$51,AH41)</f>
        <v>242.79999999999995</v>
      </c>
      <c r="AI41" s="82">
        <f ca="1">IF(Case=$C32,IS!AI$51,AI41)</f>
        <v>257.79999999999995</v>
      </c>
      <c r="AJ41" s="82">
        <f ca="1">IF(Case=$C32,IS!AJ$51,AJ41)</f>
        <v>260.60000000000002</v>
      </c>
      <c r="AK41" s="82">
        <f ca="1">IF(Case=$C32,IS!AK$51,AK41)</f>
        <v>263.39999999999992</v>
      </c>
      <c r="AL41" s="82">
        <f ca="1">IF(Case=$C32,IS!AL$51,AL41)</f>
        <v>282.00000000000006</v>
      </c>
      <c r="AM41" s="82">
        <f ca="1">IF(Case=$C32,IS!AM$51,AM41)</f>
        <v>310.80000000000007</v>
      </c>
      <c r="AN41" s="82">
        <f ca="1">IF(Case=$C32,IS!AN$51,AN41)</f>
        <v>316.60000000000002</v>
      </c>
      <c r="AO41" s="82">
        <f ca="1">IF(Case=$C32,IS!AO$51,AO41)</f>
        <v>329.89999999999992</v>
      </c>
      <c r="AP41" s="82">
        <f ca="1">IF(Case=$C32,IS!AP$51,AP41)</f>
        <v>336.21512138783021</v>
      </c>
      <c r="AQ41" s="82">
        <f ca="1">IF(Case=$C32,IS!AQ$51,AQ41)</f>
        <v>341.83209219211108</v>
      </c>
      <c r="AR41" s="82">
        <f ca="1">IF(Case=$C32,IS!AR$51,AR41)</f>
        <v>347.61330910976346</v>
      </c>
      <c r="AS41" s="82">
        <f ca="1">IF(Case=$C32,IS!AS$51,AS41)</f>
        <v>353.62148896328904</v>
      </c>
      <c r="AT41" s="82">
        <f ca="1">IF(Case=$C32,IS!AT$51,AT41)</f>
        <v>359.85430150052196</v>
      </c>
      <c r="AU41" s="82">
        <f ca="1">IF(Case=$C32,IS!AU$51,AU41)</f>
        <v>366.29530850672143</v>
      </c>
      <c r="AV41" s="82">
        <f ca="1">IF(Case=$C32,IS!AV$51,AV41)</f>
        <v>372.95664415715305</v>
      </c>
      <c r="AW41" s="82">
        <f ca="1">IF(Case=$C32,IS!AW$51,AW41)</f>
        <v>379.84523470137196</v>
      </c>
      <c r="AX41" s="82">
        <f ca="1">IF(Case=$C32,IS!AX$51,AX41)</f>
        <v>386.96460501280603</v>
      </c>
      <c r="AY41" s="82">
        <f ca="1">IF(Case=$C32,IS!AY$51,AY41)</f>
        <v>394.15318825219299</v>
      </c>
    </row>
    <row r="42" spans="2:52">
      <c r="B42" s="6" t="s">
        <v>203</v>
      </c>
      <c r="D42" s="48"/>
      <c r="E42" s="48"/>
      <c r="F42" s="48"/>
      <c r="G42" s="48">
        <f t="shared" ref="G42:M42" ca="1" si="22">+G41/G34</f>
        <v>0.57054956116021016</v>
      </c>
      <c r="H42" s="48">
        <f t="shared" ca="1" si="22"/>
        <v>0.57991801531285925</v>
      </c>
      <c r="I42" s="48">
        <f t="shared" ca="1" si="22"/>
        <v>0.58665740097289787</v>
      </c>
      <c r="J42" s="48">
        <f t="shared" ca="1" si="22"/>
        <v>0.51309529771145279</v>
      </c>
      <c r="K42" s="48">
        <f t="shared" ca="1" si="22"/>
        <v>0.49867213906325458</v>
      </c>
      <c r="L42" s="48">
        <f t="shared" ca="1" si="22"/>
        <v>0.51909995495908456</v>
      </c>
      <c r="M42" s="48">
        <f t="shared" ca="1" si="22"/>
        <v>0.52844482044655838</v>
      </c>
      <c r="N42" s="48"/>
      <c r="T42" s="48">
        <f ca="1">+T41/T34</f>
        <v>0.53226185226716738</v>
      </c>
      <c r="U42" s="48">
        <f t="shared" ref="U42:AY42" ca="1" si="23">+U41/U34</f>
        <v>0.55745954761243866</v>
      </c>
      <c r="V42" s="48">
        <f t="shared" ca="1" si="23"/>
        <v>0.57528519472841266</v>
      </c>
      <c r="W42" s="48">
        <f t="shared" ca="1" si="23"/>
        <v>0.54183218400155098</v>
      </c>
      <c r="X42" s="48">
        <f t="shared" ca="1" si="23"/>
        <v>0.58049363657071262</v>
      </c>
      <c r="Y42" s="48">
        <f t="shared" ca="1" si="23"/>
        <v>0.58368088746839331</v>
      </c>
      <c r="Z42" s="48">
        <f t="shared" ca="1" si="23"/>
        <v>0.58718258158854686</v>
      </c>
      <c r="AA42" s="24">
        <f t="shared" ca="1" si="23"/>
        <v>0.57659205375572098</v>
      </c>
      <c r="AB42" s="48">
        <f t="shared" ca="1" si="23"/>
        <v>0.57080474111041779</v>
      </c>
      <c r="AC42" s="48">
        <f t="shared" ca="1" si="23"/>
        <v>0.58567459092312446</v>
      </c>
      <c r="AD42" s="48">
        <f t="shared" ca="1" si="23"/>
        <v>0.58409157616671559</v>
      </c>
      <c r="AE42" s="48">
        <f t="shared" ca="1" si="23"/>
        <v>0.58275766786405092</v>
      </c>
      <c r="AF42" s="48">
        <f t="shared" ca="1" si="23"/>
        <v>0.5872410032715375</v>
      </c>
      <c r="AG42" s="48">
        <f t="shared" ca="1" si="23"/>
        <v>0.59226190476190488</v>
      </c>
      <c r="AH42" s="48">
        <f t="shared" ca="1" si="23"/>
        <v>0.50794979079497904</v>
      </c>
      <c r="AI42" s="48">
        <f t="shared" ca="1" si="23"/>
        <v>0.50818056376897291</v>
      </c>
      <c r="AJ42" s="48">
        <f t="shared" ca="1" si="23"/>
        <v>0.51614181025945738</v>
      </c>
      <c r="AK42" s="48">
        <f t="shared" ca="1" si="23"/>
        <v>0.51983422143280034</v>
      </c>
      <c r="AL42" s="48">
        <f t="shared" ca="1" si="23"/>
        <v>0.51254089422028359</v>
      </c>
      <c r="AM42" s="48">
        <f t="shared" ca="1" si="23"/>
        <v>0.4871473354231976</v>
      </c>
      <c r="AN42" s="48">
        <f t="shared" ca="1" si="23"/>
        <v>0.49199689199689201</v>
      </c>
      <c r="AO42" s="48">
        <f t="shared" ca="1" si="23"/>
        <v>0.50482019892884455</v>
      </c>
      <c r="AP42" s="48">
        <f t="shared" ca="1" si="23"/>
        <v>0.51553365637947246</v>
      </c>
      <c r="AQ42" s="48">
        <f t="shared" ca="1" si="23"/>
        <v>0.51789067098214825</v>
      </c>
      <c r="AR42" s="48">
        <f t="shared" ca="1" si="23"/>
        <v>0.52024287299978578</v>
      </c>
      <c r="AS42" s="48">
        <f t="shared" ca="1" si="23"/>
        <v>0.52258811391057591</v>
      </c>
      <c r="AT42" s="48">
        <f t="shared" ca="1" si="23"/>
        <v>0.52492490932779534</v>
      </c>
      <c r="AU42" s="48">
        <f t="shared" ca="1" si="23"/>
        <v>0.52725221343359285</v>
      </c>
      <c r="AV42" s="48">
        <f t="shared" ca="1" si="23"/>
        <v>0.52956914649894415</v>
      </c>
      <c r="AW42" s="48">
        <f t="shared" ca="1" si="23"/>
        <v>0.53187503791578628</v>
      </c>
      <c r="AX42" s="48">
        <f t="shared" ca="1" si="23"/>
        <v>0.53416937047313295</v>
      </c>
      <c r="AY42" s="48">
        <f t="shared" ca="1" si="23"/>
        <v>0.53623029075774564</v>
      </c>
    </row>
    <row r="43" spans="2:52">
      <c r="B43" s="85" t="s">
        <v>201</v>
      </c>
      <c r="D43" s="18"/>
      <c r="E43" s="18"/>
      <c r="F43" s="18"/>
      <c r="G43" s="111">
        <f>+SUM(V43:Y43)</f>
        <v>606.69791983443088</v>
      </c>
      <c r="H43" s="111">
        <f>+SUM(Z43:AC43)</f>
        <v>703.66568271371648</v>
      </c>
      <c r="I43" s="111">
        <f>+SUM(AD43:AG43)</f>
        <v>795.00575977999267</v>
      </c>
      <c r="J43" s="111">
        <f>+SUM(AH43:AK43)</f>
        <v>875.48368047922077</v>
      </c>
      <c r="K43" s="111">
        <f>+SUM(AL43:AO43)</f>
        <v>964.1720021000142</v>
      </c>
      <c r="L43" s="111">
        <f>+SUM(AP43:AS43)</f>
        <v>1065.1152920110258</v>
      </c>
      <c r="M43" s="111">
        <f>+SUM(AT43:AW43)</f>
        <v>1180.6581959252524</v>
      </c>
      <c r="N43" s="18"/>
      <c r="T43" s="19">
        <v>125.6178835624993</v>
      </c>
      <c r="U43" s="19">
        <v>139.37871740345793</v>
      </c>
      <c r="V43" s="19">
        <v>147.59169075010976</v>
      </c>
      <c r="W43" s="19">
        <v>141.8387842906065</v>
      </c>
      <c r="X43" s="19">
        <v>155.60177105606056</v>
      </c>
      <c r="Y43" s="19">
        <v>161.665673737654</v>
      </c>
      <c r="Z43" s="19">
        <v>165.22903738364963</v>
      </c>
      <c r="AA43" s="20">
        <v>171.11370455143788</v>
      </c>
      <c r="AB43" s="19">
        <v>181.374326063746</v>
      </c>
      <c r="AC43" s="19">
        <v>185.94861471488298</v>
      </c>
      <c r="AD43" s="19">
        <v>191.52585143603733</v>
      </c>
      <c r="AE43" s="19">
        <v>196.4464068658518</v>
      </c>
      <c r="AF43" s="19">
        <v>201.08281102719869</v>
      </c>
      <c r="AG43" s="19">
        <v>205.95069045090483</v>
      </c>
      <c r="AH43" s="19">
        <v>210.55745532438084</v>
      </c>
      <c r="AI43" s="19">
        <v>215.97015013959654</v>
      </c>
      <c r="AJ43" s="19">
        <v>221.29396997899585</v>
      </c>
      <c r="AK43" s="19">
        <v>227.6621050362476</v>
      </c>
      <c r="AL43" s="19">
        <v>232.59476372451638</v>
      </c>
      <c r="AM43" s="19">
        <v>238.07913006267202</v>
      </c>
      <c r="AN43" s="19">
        <v>243.73288893524733</v>
      </c>
      <c r="AO43" s="19">
        <v>249.76521937757843</v>
      </c>
      <c r="AP43" s="19">
        <v>256.17404618594469</v>
      </c>
      <c r="AQ43" s="19">
        <v>262.79252794004145</v>
      </c>
      <c r="AR43" s="19">
        <v>269.62074465713675</v>
      </c>
      <c r="AS43" s="19">
        <v>276.52797322790286</v>
      </c>
      <c r="AT43" s="19">
        <v>283.66676558994658</v>
      </c>
      <c r="AU43" s="19">
        <v>291.05732782580429</v>
      </c>
      <c r="AV43" s="19">
        <v>298.72432534755171</v>
      </c>
      <c r="AW43" s="19">
        <v>307.20977716194983</v>
      </c>
      <c r="AX43" s="19">
        <v>316.02612785391062</v>
      </c>
      <c r="AY43" s="19">
        <v>325.21051036974251</v>
      </c>
      <c r="AZ43" s="85"/>
    </row>
    <row r="44" spans="2:52">
      <c r="B44" s="86" t="s">
        <v>203</v>
      </c>
      <c r="D44" s="48"/>
      <c r="E44" s="48"/>
      <c r="F44" s="48"/>
      <c r="G44" s="48">
        <f t="shared" ref="G44:M44" si="24">+G43/G37</f>
        <v>0.57054956116021005</v>
      </c>
      <c r="H44" s="48">
        <f t="shared" si="24"/>
        <v>0.5750307106909085</v>
      </c>
      <c r="I44" s="48">
        <f t="shared" si="24"/>
        <v>0.58209252266474021</v>
      </c>
      <c r="J44" s="48">
        <f t="shared" si="24"/>
        <v>0.59174318377432067</v>
      </c>
      <c r="K44" s="48">
        <f t="shared" si="24"/>
        <v>0.59941671676667074</v>
      </c>
      <c r="L44" s="48">
        <f t="shared" si="24"/>
        <v>0.6072400152274875</v>
      </c>
      <c r="M44" s="48">
        <f t="shared" si="24"/>
        <v>0.61691942744633221</v>
      </c>
      <c r="N44" s="48"/>
      <c r="T44" s="48">
        <f>+T43/T37</f>
        <v>0.53226185226716738</v>
      </c>
      <c r="U44" s="48">
        <f t="shared" ref="U44:AY44" si="25">+U43/U37</f>
        <v>0.55745954761243866</v>
      </c>
      <c r="V44" s="48">
        <f t="shared" si="25"/>
        <v>0.57528519472841266</v>
      </c>
      <c r="W44" s="48">
        <f t="shared" si="25"/>
        <v>0.54183218400155075</v>
      </c>
      <c r="X44" s="48">
        <f t="shared" si="25"/>
        <v>0.58049363657071251</v>
      </c>
      <c r="Y44" s="48">
        <f t="shared" si="25"/>
        <v>0.58368088746839319</v>
      </c>
      <c r="Z44" s="48">
        <f t="shared" si="25"/>
        <v>0.58718258158854686</v>
      </c>
      <c r="AA44" s="24">
        <f t="shared" si="25"/>
        <v>0.57659205375572087</v>
      </c>
      <c r="AB44" s="48">
        <f t="shared" si="25"/>
        <v>0.56722896108046694</v>
      </c>
      <c r="AC44" s="48">
        <f t="shared" si="25"/>
        <v>0.57076975737119939</v>
      </c>
      <c r="AD44" s="48">
        <f t="shared" si="25"/>
        <v>0.57730080888261037</v>
      </c>
      <c r="AE44" s="48">
        <f t="shared" si="25"/>
        <v>0.58111073754362208</v>
      </c>
      <c r="AF44" s="48">
        <f t="shared" si="25"/>
        <v>0.58358630237243969</v>
      </c>
      <c r="AG44" s="48">
        <f t="shared" si="25"/>
        <v>0.58609628092601496</v>
      </c>
      <c r="AH44" s="48">
        <f t="shared" si="25"/>
        <v>0.58746781722442609</v>
      </c>
      <c r="AI44" s="48">
        <f t="shared" si="25"/>
        <v>0.590332689631206</v>
      </c>
      <c r="AJ44" s="48">
        <f t="shared" si="25"/>
        <v>0.59236080920171952</v>
      </c>
      <c r="AK44" s="48">
        <f t="shared" si="25"/>
        <v>0.59650566453717446</v>
      </c>
      <c r="AL44" s="48">
        <f t="shared" si="25"/>
        <v>0.59736731826072542</v>
      </c>
      <c r="AM44" s="48">
        <f t="shared" si="25"/>
        <v>0.59869487328987614</v>
      </c>
      <c r="AN44" s="48">
        <f t="shared" si="25"/>
        <v>0.59988970107841899</v>
      </c>
      <c r="AO44" s="48">
        <f t="shared" si="25"/>
        <v>0.60156716376321573</v>
      </c>
      <c r="AP44" s="48">
        <f t="shared" si="25"/>
        <v>0.60374108462366027</v>
      </c>
      <c r="AQ44" s="48">
        <f t="shared" si="25"/>
        <v>0.606017311233228</v>
      </c>
      <c r="AR44" s="48">
        <f t="shared" si="25"/>
        <v>0.60839251488093282</v>
      </c>
      <c r="AS44" s="48">
        <f t="shared" si="25"/>
        <v>0.61056098663706504</v>
      </c>
      <c r="AT44" s="48">
        <f t="shared" si="25"/>
        <v>0.61284448462112273</v>
      </c>
      <c r="AU44" s="48">
        <f t="shared" si="25"/>
        <v>0.6152492214372367</v>
      </c>
      <c r="AV44" s="48">
        <f t="shared" si="25"/>
        <v>0.6177822796598591</v>
      </c>
      <c r="AW44" s="48">
        <f t="shared" si="25"/>
        <v>0.62148955059463695</v>
      </c>
      <c r="AX44" s="48">
        <f t="shared" si="25"/>
        <v>0.62528101519192159</v>
      </c>
      <c r="AY44" s="48">
        <f t="shared" si="25"/>
        <v>0.629167124994084</v>
      </c>
      <c r="AZ44" s="86"/>
    </row>
    <row r="45" spans="2:52">
      <c r="D45" s="6"/>
      <c r="E45" s="6"/>
      <c r="F45" s="6"/>
      <c r="G45" s="6"/>
      <c r="H45" s="6"/>
      <c r="I45" s="6"/>
      <c r="J45" s="6"/>
      <c r="K45" s="6"/>
      <c r="L45" s="6"/>
      <c r="M45" s="6"/>
      <c r="N45" s="6"/>
    </row>
    <row r="46" spans="2:52">
      <c r="B46" s="6" t="s">
        <v>251</v>
      </c>
      <c r="D46" s="82"/>
      <c r="E46" s="82"/>
      <c r="F46" s="82"/>
      <c r="G46" s="111">
        <f ca="1">+SUM(V46:Y46)</f>
        <v>372.58576019012742</v>
      </c>
      <c r="H46" s="111">
        <f ca="1">+SUM(Z46:AC46)</f>
        <v>430.6082398098726</v>
      </c>
      <c r="I46" s="111">
        <f ca="1">+SUM(AD46:AG46)</f>
        <v>617.20000000000005</v>
      </c>
      <c r="J46" s="111">
        <f ca="1">+SUM(AH46:AK46)</f>
        <v>794.40000000000009</v>
      </c>
      <c r="K46" s="111">
        <f ca="1">+SUM(AL46:AO46)</f>
        <v>800.40000000000009</v>
      </c>
      <c r="L46" s="111">
        <f ca="1">+SUM(AP46:AS46)</f>
        <v>890.35851481800967</v>
      </c>
      <c r="M46" s="111">
        <f ca="1">+SUM(AT46:AW46)</f>
        <v>951.55347684066055</v>
      </c>
      <c r="N46" s="82"/>
      <c r="T46" s="82">
        <f ca="1">IF(Case=$C32,BS!T$69,T46)</f>
        <v>66.687000019999999</v>
      </c>
      <c r="U46" s="82">
        <f ca="1">IF(Case=$C32,BS!U$69,U46)</f>
        <v>58.91</v>
      </c>
      <c r="V46" s="82">
        <f ca="1">IF(Case=$C32,BS!V$69,V46)</f>
        <v>95.73</v>
      </c>
      <c r="W46" s="82">
        <f ca="1">IF(Case=$C32,BS!W$69,W46)</f>
        <v>101.907</v>
      </c>
      <c r="X46" s="82">
        <f ca="1">IF(Case=$C32,BS!X$69,X46)</f>
        <v>86.671996482221047</v>
      </c>
      <c r="Y46" s="82">
        <f ca="1">IF(Case=$C32,BS!Y$69,Y46)</f>
        <v>88.276763707906341</v>
      </c>
      <c r="Z46" s="82">
        <f ca="1">IF(Case=$C32,BS!Z$69,Z46)</f>
        <v>90.922727784094747</v>
      </c>
      <c r="AA46" s="88">
        <f ca="1">IF(Case=$C32,BS!AA$69,AA46)</f>
        <v>94.885512025777871</v>
      </c>
      <c r="AB46" s="82">
        <f ca="1">IF(Case=$C32,BS!AB$69,AB46)</f>
        <v>115.3</v>
      </c>
      <c r="AC46" s="82">
        <f ca="1">IF(Case=$C32,BS!AC$69,AC46)</f>
        <v>129.5</v>
      </c>
      <c r="AD46" s="82">
        <f ca="1">IF(Case=$C32,BS!AD$69,AD46)</f>
        <v>130.09999999999997</v>
      </c>
      <c r="AE46" s="82">
        <f ca="1">IF(Case=$C32,BS!AE$69,AE46)</f>
        <v>155.5</v>
      </c>
      <c r="AF46" s="82">
        <f ca="1">IF(Case=$C32,BS!AF$69,AF46)</f>
        <v>159.19999999999999</v>
      </c>
      <c r="AG46" s="82">
        <f ca="1">IF(Case=$C32,BS!AG$69,AG46)</f>
        <v>172.40000000000003</v>
      </c>
      <c r="AH46" s="82">
        <f ca="1">IF(Case=$C32,BS!AH$69,AH46)</f>
        <v>185.10000000000002</v>
      </c>
      <c r="AI46" s="82">
        <f ca="1">IF(Case=$C32,BS!AI$69,AI46)</f>
        <v>187.40000000000003</v>
      </c>
      <c r="AJ46" s="82">
        <f ca="1">IF(Case=$C32,BS!AJ$69,AJ46)</f>
        <v>208.3</v>
      </c>
      <c r="AK46" s="82">
        <f ca="1">IF(Case=$C32,BS!AK$69,AK46)</f>
        <v>213.59999999999997</v>
      </c>
      <c r="AL46" s="82">
        <f ca="1">IF(Case=$C32,BS!AL$69,AL46)</f>
        <v>208.30000000000007</v>
      </c>
      <c r="AM46" s="82">
        <f ca="1">IF(Case=$C32,BS!AM$69,AM46)</f>
        <v>205.3</v>
      </c>
      <c r="AN46" s="82">
        <f ca="1">IF(Case=$C32,BS!AN$69,AN46)</f>
        <v>193.4</v>
      </c>
      <c r="AO46" s="82">
        <f ca="1">IF(Case=$C32,BS!AO$69,AO46)</f>
        <v>193.4</v>
      </c>
      <c r="AP46" s="82">
        <f ca="1">IF(Case=$C32,BS!AP$69,AP46)</f>
        <v>208.69411242650662</v>
      </c>
      <c r="AQ46" s="82">
        <f ca="1">IF(Case=$C32,BS!AQ$69,AQ46)</f>
        <v>224.41591991782366</v>
      </c>
      <c r="AR46" s="82">
        <f ca="1">IF(Case=$C32,BS!AR$69,AR46)</f>
        <v>227.17951793520916</v>
      </c>
      <c r="AS46" s="82">
        <f ca="1">IF(Case=$C32,BS!AS$69,AS46)</f>
        <v>230.06896453847011</v>
      </c>
      <c r="AT46" s="82">
        <f ca="1">IF(Case=$C32,BS!AT$69,AT46)</f>
        <v>233.08183768009059</v>
      </c>
      <c r="AU46" s="82">
        <f ca="1">IF(Case=$C32,BS!AU$69,AU46)</f>
        <v>236.20650936910874</v>
      </c>
      <c r="AV46" s="82">
        <f ca="1">IF(Case=$C32,BS!AV$69,AV46)</f>
        <v>239.44986193353475</v>
      </c>
      <c r="AW46" s="82">
        <f ca="1">IF(Case=$C32,BS!AW$69,AW46)</f>
        <v>242.81526785792647</v>
      </c>
      <c r="AX46" s="82">
        <f ca="1">IF(Case=$C32,BS!AX$69,AX46)</f>
        <v>246.3038372788383</v>
      </c>
      <c r="AY46" s="82">
        <f ca="1">IF(Case=$C32,BS!AY$69,AY46)</f>
        <v>176.4107078823389</v>
      </c>
    </row>
    <row r="47" spans="2:52">
      <c r="B47" s="6" t="s">
        <v>202</v>
      </c>
      <c r="D47" s="48"/>
      <c r="E47" s="48"/>
      <c r="F47" s="48"/>
      <c r="G47" s="48">
        <f t="shared" ref="G47:M47" ca="1" si="26">+G46/G34</f>
        <v>0.35038630432264151</v>
      </c>
      <c r="H47" s="48">
        <f t="shared" ca="1" si="26"/>
        <v>0.35218959456010701</v>
      </c>
      <c r="I47" s="48">
        <f t="shared" ca="1" si="26"/>
        <v>0.42890896455872135</v>
      </c>
      <c r="J47" s="48">
        <f t="shared" ca="1" si="26"/>
        <v>0.3978166157544194</v>
      </c>
      <c r="K47" s="48">
        <f t="shared" ca="1" si="26"/>
        <v>0.32206663447609857</v>
      </c>
      <c r="L47" s="48">
        <f t="shared" ca="1" si="26"/>
        <v>0.33509105537131079</v>
      </c>
      <c r="M47" s="48">
        <f t="shared" ca="1" si="26"/>
        <v>0.33999999999999997</v>
      </c>
      <c r="N47" s="48"/>
      <c r="T47" s="48">
        <f ca="1">+T46/T34</f>
        <v>0.28256284174001267</v>
      </c>
      <c r="U47" s="48">
        <f t="shared" ref="U47:AY47" ca="1" si="27">+U46/U34</f>
        <v>0.23561661752695978</v>
      </c>
      <c r="V47" s="48">
        <f t="shared" ca="1" si="27"/>
        <v>0.3731378874478406</v>
      </c>
      <c r="W47" s="48">
        <f t="shared" ca="1" si="27"/>
        <v>0.38929050789039249</v>
      </c>
      <c r="X47" s="48">
        <f t="shared" ca="1" si="27"/>
        <v>0.32334170803674073</v>
      </c>
      <c r="Y47" s="48">
        <f t="shared" ca="1" si="27"/>
        <v>0.31871614173013818</v>
      </c>
      <c r="Z47" s="48">
        <f t="shared" ca="1" si="27"/>
        <v>0.32311658332411569</v>
      </c>
      <c r="AA47" s="24">
        <f t="shared" ca="1" si="27"/>
        <v>0.31973027756032346</v>
      </c>
      <c r="AB47" s="48">
        <f t="shared" ca="1" si="27"/>
        <v>0.35963817841547097</v>
      </c>
      <c r="AC47" s="48">
        <f t="shared" ca="1" si="27"/>
        <v>0.39981475764124735</v>
      </c>
      <c r="AD47" s="48">
        <f t="shared" ca="1" si="27"/>
        <v>0.3818608746697974</v>
      </c>
      <c r="AE47" s="48">
        <f t="shared" ca="1" si="27"/>
        <v>0.42967670627245097</v>
      </c>
      <c r="AF47" s="48">
        <f t="shared" ca="1" si="27"/>
        <v>0.43402399127589963</v>
      </c>
      <c r="AG47" s="48">
        <f t="shared" ca="1" si="27"/>
        <v>0.4664502164502165</v>
      </c>
      <c r="AH47" s="48">
        <f t="shared" ca="1" si="27"/>
        <v>0.38723849372384944</v>
      </c>
      <c r="AI47" s="48">
        <f t="shared" ca="1" si="27"/>
        <v>0.36940666272422634</v>
      </c>
      <c r="AJ47" s="48">
        <f t="shared" ca="1" si="27"/>
        <v>0.41255694196870674</v>
      </c>
      <c r="AK47" s="48">
        <f t="shared" ca="1" si="27"/>
        <v>0.42155121373593835</v>
      </c>
      <c r="AL47" s="48">
        <f t="shared" ca="1" si="27"/>
        <v>0.3785896037804436</v>
      </c>
      <c r="AM47" s="48">
        <f t="shared" ca="1" si="27"/>
        <v>0.32178683385579937</v>
      </c>
      <c r="AN47" s="48">
        <f t="shared" ca="1" si="27"/>
        <v>0.30054390054390057</v>
      </c>
      <c r="AO47" s="48">
        <f t="shared" ca="1" si="27"/>
        <v>0.29594491201224177</v>
      </c>
      <c r="AP47" s="48">
        <f t="shared" ca="1" si="27"/>
        <v>0.32</v>
      </c>
      <c r="AQ47" s="48">
        <f t="shared" ca="1" si="27"/>
        <v>0.33999999999999997</v>
      </c>
      <c r="AR47" s="48">
        <f t="shared" ca="1" si="27"/>
        <v>0.33999999999999997</v>
      </c>
      <c r="AS47" s="48">
        <f t="shared" ca="1" si="27"/>
        <v>0.33999999999999997</v>
      </c>
      <c r="AT47" s="48">
        <f t="shared" ca="1" si="27"/>
        <v>0.33999999999999997</v>
      </c>
      <c r="AU47" s="48">
        <f t="shared" ca="1" si="27"/>
        <v>0.33999999999999997</v>
      </c>
      <c r="AV47" s="48">
        <f t="shared" ca="1" si="27"/>
        <v>0.33999999999999997</v>
      </c>
      <c r="AW47" s="48">
        <f t="shared" ca="1" si="27"/>
        <v>0.33999999999999997</v>
      </c>
      <c r="AX47" s="48">
        <f t="shared" ca="1" si="27"/>
        <v>0.33999999999999997</v>
      </c>
      <c r="AY47" s="48">
        <f t="shared" ca="1" si="27"/>
        <v>0.24</v>
      </c>
    </row>
    <row r="48" spans="2:52">
      <c r="B48" s="85" t="s">
        <v>201</v>
      </c>
      <c r="D48" s="18"/>
      <c r="E48" s="18"/>
      <c r="F48" s="18"/>
      <c r="G48" s="111">
        <f>+SUM(V48:Y48)</f>
        <v>372.58433953012764</v>
      </c>
      <c r="H48" s="111">
        <f>+SUM(Z48:AC48)</f>
        <v>441.98909403581621</v>
      </c>
      <c r="I48" s="111">
        <f>+SUM(AD48:AG48)</f>
        <v>526.37490647322772</v>
      </c>
      <c r="J48" s="111">
        <f>+SUM(AH48:AK48)</f>
        <v>578.84114592067567</v>
      </c>
      <c r="K48" s="111">
        <f>+SUM(AL48:AO48)</f>
        <v>640.08913855440107</v>
      </c>
      <c r="L48" s="111">
        <f>+SUM(AP48:AS48)</f>
        <v>672.7906306822606</v>
      </c>
      <c r="M48" s="111">
        <f>+SUM(AT48:AW48)</f>
        <v>702.97974864801972</v>
      </c>
      <c r="N48" s="18"/>
      <c r="T48" s="19">
        <v>66.687000019999999</v>
      </c>
      <c r="U48" s="19">
        <v>58.91</v>
      </c>
      <c r="V48" s="19">
        <v>95.73</v>
      </c>
      <c r="W48" s="19">
        <v>101.907</v>
      </c>
      <c r="X48" s="19">
        <v>86.671996822220791</v>
      </c>
      <c r="Y48" s="19">
        <v>88.275342707906788</v>
      </c>
      <c r="Z48" s="19">
        <v>90.922727774094895</v>
      </c>
      <c r="AA48" s="20">
        <v>94.886900697620305</v>
      </c>
      <c r="AB48" s="19">
        <v>122.64550073855338</v>
      </c>
      <c r="AC48" s="19">
        <v>133.53396482554763</v>
      </c>
      <c r="AD48" s="19">
        <v>132.48862971686015</v>
      </c>
      <c r="AE48" s="19">
        <v>128.49417766039068</v>
      </c>
      <c r="AF48" s="19">
        <v>131.32076922124907</v>
      </c>
      <c r="AG48" s="19">
        <v>134.07132987472784</v>
      </c>
      <c r="AH48" s="19">
        <v>137.31113239990361</v>
      </c>
      <c r="AI48" s="19">
        <v>141.86731924755227</v>
      </c>
      <c r="AJ48" s="19">
        <v>147.28795099124267</v>
      </c>
      <c r="AK48" s="19">
        <v>152.37474328197712</v>
      </c>
      <c r="AL48" s="19">
        <v>156.25456642208644</v>
      </c>
      <c r="AM48" s="19">
        <v>158.92361019506922</v>
      </c>
      <c r="AN48" s="19">
        <v>161.37754749869754</v>
      </c>
      <c r="AO48" s="19">
        <v>163.53341443854788</v>
      </c>
      <c r="AP48" s="19">
        <v>165.49930625832536</v>
      </c>
      <c r="AQ48" s="19">
        <v>167.31771433251427</v>
      </c>
      <c r="AR48" s="19">
        <v>169.07863495798779</v>
      </c>
      <c r="AS48" s="19">
        <v>170.89497513343315</v>
      </c>
      <c r="AT48" s="19">
        <v>172.76982543926874</v>
      </c>
      <c r="AU48" s="19">
        <v>174.7072539897523</v>
      </c>
      <c r="AV48" s="19">
        <v>176.71220825629393</v>
      </c>
      <c r="AW48" s="19">
        <v>178.79046096270477</v>
      </c>
      <c r="AX48" s="19">
        <v>180.94858891956298</v>
      </c>
      <c r="AY48" s="19">
        <v>180.94858891956298</v>
      </c>
      <c r="AZ48" s="85"/>
    </row>
    <row r="49" spans="2:52">
      <c r="B49" s="86" t="s">
        <v>202</v>
      </c>
      <c r="D49" s="48"/>
      <c r="E49" s="48"/>
      <c r="F49" s="48"/>
      <c r="G49" s="48">
        <f t="shared" ref="G49:M49" si="28">+G48/G37</f>
        <v>0.35038496830860066</v>
      </c>
      <c r="H49" s="48">
        <f t="shared" si="28"/>
        <v>0.36119041912187305</v>
      </c>
      <c r="I49" s="48">
        <f t="shared" si="28"/>
        <v>0.38540462557303945</v>
      </c>
      <c r="J49" s="48">
        <f t="shared" si="28"/>
        <v>0.39124121925286587</v>
      </c>
      <c r="K49" s="48">
        <f t="shared" si="28"/>
        <v>0.39793743132409093</v>
      </c>
      <c r="L49" s="48">
        <f t="shared" si="28"/>
        <v>0.38356917404597518</v>
      </c>
      <c r="M49" s="48">
        <f t="shared" si="28"/>
        <v>0.36732211366426604</v>
      </c>
      <c r="N49" s="48"/>
      <c r="T49" s="48">
        <f>+T48/T37</f>
        <v>0.28256284174001267</v>
      </c>
      <c r="U49" s="48">
        <f t="shared" ref="U49:AY49" si="29">+U48/U37</f>
        <v>0.23561661752695978</v>
      </c>
      <c r="V49" s="48">
        <f t="shared" si="29"/>
        <v>0.3731378874478406</v>
      </c>
      <c r="W49" s="48">
        <f t="shared" si="29"/>
        <v>0.38929050789039249</v>
      </c>
      <c r="X49" s="48">
        <f t="shared" si="29"/>
        <v>0.32334170930515616</v>
      </c>
      <c r="Y49" s="48">
        <f t="shared" si="29"/>
        <v>0.31871101132414875</v>
      </c>
      <c r="Z49" s="48">
        <f t="shared" si="29"/>
        <v>0.32311658328857873</v>
      </c>
      <c r="AA49" s="24">
        <f t="shared" si="29"/>
        <v>0.3197349568883277</v>
      </c>
      <c r="AB49" s="48">
        <f t="shared" si="29"/>
        <v>0.38356079096152129</v>
      </c>
      <c r="AC49" s="48">
        <f t="shared" si="29"/>
        <v>0.40988285296535643</v>
      </c>
      <c r="AD49" s="48">
        <f t="shared" si="29"/>
        <v>0.39934970934634112</v>
      </c>
      <c r="AE49" s="48">
        <f t="shared" si="29"/>
        <v>0.38010034157194134</v>
      </c>
      <c r="AF49" s="48">
        <f t="shared" si="29"/>
        <v>0.38112159733119716</v>
      </c>
      <c r="AG49" s="48">
        <f t="shared" si="29"/>
        <v>0.38154136626754714</v>
      </c>
      <c r="AH49" s="48">
        <f t="shared" si="29"/>
        <v>0.38310622203955319</v>
      </c>
      <c r="AI49" s="48">
        <f t="shared" si="29"/>
        <v>0.3877800524194836</v>
      </c>
      <c r="AJ49" s="48">
        <f t="shared" si="29"/>
        <v>0.39426112624359733</v>
      </c>
      <c r="AK49" s="48">
        <f t="shared" si="29"/>
        <v>0.3992425418609985</v>
      </c>
      <c r="AL49" s="48">
        <f t="shared" si="29"/>
        <v>0.4013046975559047</v>
      </c>
      <c r="AM49" s="48">
        <f t="shared" si="29"/>
        <v>0.39964339017645178</v>
      </c>
      <c r="AN49" s="48">
        <f t="shared" si="29"/>
        <v>0.39719189787095688</v>
      </c>
      <c r="AO49" s="48">
        <f t="shared" si="29"/>
        <v>0.39387522630039601</v>
      </c>
      <c r="AP49" s="48">
        <f t="shared" si="29"/>
        <v>0.39004236437105094</v>
      </c>
      <c r="AQ49" s="48">
        <f t="shared" si="29"/>
        <v>0.38584594530257871</v>
      </c>
      <c r="AR49" s="48">
        <f t="shared" si="29"/>
        <v>0.38152174108685588</v>
      </c>
      <c r="AS49" s="48">
        <f t="shared" si="29"/>
        <v>0.37732820810425372</v>
      </c>
      <c r="AT49" s="48">
        <f t="shared" si="29"/>
        <v>0.37325851130007209</v>
      </c>
      <c r="AU49" s="48">
        <f t="shared" si="29"/>
        <v>0.36930354167534918</v>
      </c>
      <c r="AV49" s="48">
        <f t="shared" si="29"/>
        <v>0.3654528995363443</v>
      </c>
      <c r="AW49" s="48">
        <f t="shared" si="29"/>
        <v>0.36169553020359385</v>
      </c>
      <c r="AX49" s="48">
        <f t="shared" si="29"/>
        <v>0.3580201363270602</v>
      </c>
      <c r="AY49" s="48">
        <f t="shared" si="29"/>
        <v>0.35007141476707354</v>
      </c>
      <c r="AZ49" s="86"/>
    </row>
    <row r="50" spans="2:52">
      <c r="D50" s="6"/>
      <c r="E50" s="6"/>
      <c r="F50" s="6"/>
      <c r="G50" s="6"/>
      <c r="H50" s="6"/>
      <c r="I50" s="6"/>
      <c r="J50" s="6"/>
      <c r="K50" s="6"/>
      <c r="L50" s="6"/>
      <c r="M50" s="6"/>
      <c r="N50" s="6"/>
    </row>
    <row r="51" spans="2:52">
      <c r="B51" s="6" t="s">
        <v>249</v>
      </c>
      <c r="D51" s="6"/>
      <c r="E51" s="6"/>
      <c r="F51" s="6"/>
      <c r="G51" s="111"/>
      <c r="H51" s="111"/>
      <c r="I51" s="111">
        <f ca="1">+SUM(AD51:AG51)</f>
        <v>465.6</v>
      </c>
      <c r="J51" s="111">
        <f ca="1">+SUM(AH51:AK51)</f>
        <v>612.69999999999993</v>
      </c>
      <c r="K51" s="111">
        <f ca="1">+SUM(AL51:AO51)</f>
        <v>684.2</v>
      </c>
      <c r="L51" s="111">
        <f ca="1">+SUM(AP51:AS51)</f>
        <v>674.14195206085651</v>
      </c>
      <c r="M51" s="111">
        <f ca="1">+SUM(AT51:AW51)</f>
        <v>705.2874366361101</v>
      </c>
      <c r="N51" s="82"/>
      <c r="AB51" s="82">
        <f ca="1">IF(Case=$C32,BS!AB$75,AB51)</f>
        <v>72.099999999999994</v>
      </c>
      <c r="AC51" s="82">
        <f ca="1">IF(Case=$C32,BS!AC$75,AC51)</f>
        <v>88.600000000000009</v>
      </c>
      <c r="AD51" s="82">
        <f ca="1">IF(Case=$C32,BS!AD$75,AD51)</f>
        <v>90.599999999999966</v>
      </c>
      <c r="AE51" s="82">
        <f ca="1">IF(Case=$C32,BS!AE$75,AE51)</f>
        <v>130</v>
      </c>
      <c r="AF51" s="82">
        <f ca="1">IF(Case=$C32,BS!AF$75,AF51)</f>
        <v>109.49999999999999</v>
      </c>
      <c r="AG51" s="82">
        <f ca="1">IF(Case=$C32,BS!AG$75,AG51)</f>
        <v>135.50000000000006</v>
      </c>
      <c r="AH51" s="82">
        <f ca="1">IF(Case=$C32,BS!AH$75,AH51)</f>
        <v>126.30000000000001</v>
      </c>
      <c r="AI51" s="82">
        <f ca="1">IF(Case=$C32,BS!AI$75,AI51)</f>
        <v>148.80000000000001</v>
      </c>
      <c r="AJ51" s="82">
        <f ca="1">IF(Case=$C32,BS!AJ$75,AJ51)</f>
        <v>167.4</v>
      </c>
      <c r="AK51" s="82">
        <f ca="1">IF(Case=$C32,BS!AK$75,AK51)</f>
        <v>170.19999999999996</v>
      </c>
      <c r="AL51" s="82">
        <f ca="1">IF(Case=$C32,BS!AL$75,AL51)</f>
        <v>135.90000000000009</v>
      </c>
      <c r="AM51" s="82">
        <f ca="1">IF(Case=$C32,BS!AM$75,AM51)</f>
        <v>161.5</v>
      </c>
      <c r="AN51" s="82">
        <f ca="1">IF(Case=$C32,BS!AN$75,AN51)</f>
        <v>193.4</v>
      </c>
      <c r="AO51" s="82">
        <f ca="1">IF(Case=$C32,BS!AO$75,AO51)</f>
        <v>193.4</v>
      </c>
      <c r="AP51" s="82">
        <f ca="1">IF(Case=$C32,BS!AP$75,AP51)</f>
        <v>162.25048461751618</v>
      </c>
      <c r="AQ51" s="82">
        <f ca="1">IF(Case=$C32,BS!AQ$75,AQ51)</f>
        <v>168.25760710732004</v>
      </c>
      <c r="AR51" s="82">
        <f ca="1">IF(Case=$C32,BS!AR$75,AR51)</f>
        <v>170.84675839304671</v>
      </c>
      <c r="AS51" s="82">
        <f ca="1">IF(Case=$C32,BS!AS$75,AS51)</f>
        <v>172.78710194297352</v>
      </c>
      <c r="AT51" s="82">
        <f ca="1">IF(Case=$C32,BS!AT$75,AT51)</f>
        <v>174.37037916394601</v>
      </c>
      <c r="AU51" s="82">
        <f ca="1">IF(Case=$C32,BS!AU$75,AU51)</f>
        <v>175.76511694479348</v>
      </c>
      <c r="AV51" s="82">
        <f ca="1">IF(Case=$C32,BS!AV$75,AV51)</f>
        <v>177.00030216993301</v>
      </c>
      <c r="AW51" s="82">
        <f ca="1">IF(Case=$C32,BS!AW$75,AW51)</f>
        <v>178.15163835743758</v>
      </c>
      <c r="AX51" s="82">
        <f ca="1">IF(Case=$C32,BS!AX$75,AX51)</f>
        <v>179.27106564267041</v>
      </c>
      <c r="AY51" s="82">
        <f ca="1">IF(Case=$C32,BS!AY$75,AY51)</f>
        <v>92.9855301062899</v>
      </c>
    </row>
    <row r="52" spans="2:52">
      <c r="D52" s="6"/>
      <c r="E52" s="6"/>
      <c r="F52" s="6"/>
      <c r="G52" s="6"/>
      <c r="H52" s="6"/>
      <c r="I52" s="111"/>
      <c r="J52" s="111"/>
      <c r="K52" s="111"/>
      <c r="L52" s="111"/>
      <c r="M52" s="111"/>
      <c r="N52" s="6"/>
    </row>
    <row r="53" spans="2:52">
      <c r="B53" s="6" t="s">
        <v>298</v>
      </c>
      <c r="D53" s="82"/>
      <c r="E53" s="82"/>
      <c r="F53" s="82"/>
      <c r="G53" s="82"/>
      <c r="H53" s="82"/>
      <c r="I53" s="111">
        <f ca="1">+SUM(AD53:AG53)</f>
        <v>378.6</v>
      </c>
      <c r="J53" s="111">
        <f ca="1">+SUM(AH53:AK53)</f>
        <v>411.89999999999986</v>
      </c>
      <c r="K53" s="111">
        <f ca="1">+SUM(AL53:AO53)</f>
        <v>555.09999999999991</v>
      </c>
      <c r="L53" s="111">
        <f ca="1">+SUM(AP53:AS53)</f>
        <v>705.14005959213728</v>
      </c>
      <c r="M53" s="111">
        <f ca="1">+SUM(AT53:AW53)</f>
        <v>773.6640522296583</v>
      </c>
      <c r="N53" s="82"/>
      <c r="O53" s="2">
        <f ca="1">(L53/I53)^(1/3)-1</f>
        <v>0.23035827008638909</v>
      </c>
      <c r="T53" s="82"/>
      <c r="U53" s="82"/>
      <c r="V53" s="82"/>
      <c r="W53" s="82"/>
      <c r="X53" s="82"/>
      <c r="Y53" s="82"/>
      <c r="Z53" s="82"/>
      <c r="AA53" s="88"/>
      <c r="AB53" s="82">
        <f ca="1">IF(Case=$C32,CF!AB$65,AB53)</f>
        <v>110.89999999999998</v>
      </c>
      <c r="AC53" s="82">
        <f ca="1">IF(Case=$C32,CF!AC$65,AC53)</f>
        <v>101.10000000000001</v>
      </c>
      <c r="AD53" s="82">
        <f ca="1">IF(Case=$C32,CF!AD$65,AD53)</f>
        <v>108.40000000000003</v>
      </c>
      <c r="AE53" s="82">
        <f ca="1">IF(Case=$C32,CF!AE$65,AE53)</f>
        <v>80.900000000000034</v>
      </c>
      <c r="AF53" s="82">
        <f ca="1">IF(Case=$C32,CF!AF$65,AF53)</f>
        <v>105.89999999999999</v>
      </c>
      <c r="AG53" s="82">
        <f ca="1">IF(Case=$C32,CF!AG$65,AG53)</f>
        <v>83.4</v>
      </c>
      <c r="AH53" s="82">
        <f ca="1">IF(Case=$C32,CF!AH$65,AH53)</f>
        <v>116.49999999999994</v>
      </c>
      <c r="AI53" s="82">
        <f ca="1">IF(Case=$C32,CF!AI$65,AI53)</f>
        <v>108.99999999999994</v>
      </c>
      <c r="AJ53" s="82">
        <f ca="1">IF(Case=$C32,CF!AJ$65,AJ53)</f>
        <v>93.200000000000017</v>
      </c>
      <c r="AK53" s="82">
        <f ca="1">IF(Case=$C32,CF!AK$65,AK53)</f>
        <v>93.19999999999996</v>
      </c>
      <c r="AL53" s="82">
        <f ca="1">IF(Case=$C32,CF!AL$65,AL53)</f>
        <v>146.09999999999997</v>
      </c>
      <c r="AM53" s="82">
        <f ca="1">IF(Case=$C32,CF!AM$65,AM53)</f>
        <v>149.30000000000007</v>
      </c>
      <c r="AN53" s="82">
        <f ca="1">IF(Case=$C32,CF!AN$65,AN53)</f>
        <v>123.20000000000002</v>
      </c>
      <c r="AO53" s="82">
        <f ca="1">IF(Case=$C32,CF!AO$65,AO53)</f>
        <v>136.49999999999991</v>
      </c>
      <c r="AP53" s="82">
        <f ca="1">IF(Case=$C32,CF!AP$65,AP53)</f>
        <v>173.96463677031403</v>
      </c>
      <c r="AQ53" s="82">
        <f ca="1">IF(Case=$C32,CF!AQ$65,AQ53)</f>
        <v>173.57448508479104</v>
      </c>
      <c r="AR53" s="82">
        <f ca="1">IF(Case=$C32,CF!AR$65,AR53)</f>
        <v>176.76655071671675</v>
      </c>
      <c r="AS53" s="82">
        <f ca="1">IF(Case=$C32,CF!AS$65,AS53)</f>
        <v>180.83438702031552</v>
      </c>
      <c r="AT53" s="82">
        <f ca="1">IF(Case=$C32,CF!AT$65,AT53)</f>
        <v>185.48392233657594</v>
      </c>
      <c r="AU53" s="82">
        <f ca="1">IF(Case=$C32,CF!AU$65,AU53)</f>
        <v>190.53019156192795</v>
      </c>
      <c r="AV53" s="82">
        <f ca="1">IF(Case=$C32,CF!AV$65,AV53)</f>
        <v>195.95634198722004</v>
      </c>
      <c r="AW53" s="82">
        <f ca="1">IF(Case=$C32,CF!AW$65,AW53)</f>
        <v>201.69359634393439</v>
      </c>
      <c r="AX53" s="82">
        <f ca="1">IF(Case=$C32,CF!AX$65,AX53)</f>
        <v>207.69353937013562</v>
      </c>
      <c r="AY53" s="82">
        <f ca="1">IF(Case=$C32,CF!AY$65,AY53)</f>
        <v>301.16765814590309</v>
      </c>
    </row>
    <row r="54" spans="2:52">
      <c r="B54" s="85"/>
      <c r="D54" s="18"/>
      <c r="E54" s="18"/>
      <c r="F54" s="18"/>
      <c r="G54" s="18"/>
      <c r="H54" s="18"/>
      <c r="I54" s="18"/>
      <c r="J54" s="18"/>
      <c r="K54" s="18"/>
      <c r="L54" s="18"/>
      <c r="M54" s="18"/>
      <c r="N54" s="18"/>
      <c r="T54" s="19"/>
      <c r="U54" s="19"/>
      <c r="V54" s="19"/>
      <c r="W54" s="19"/>
      <c r="X54" s="19"/>
      <c r="Y54" s="19"/>
      <c r="Z54" s="110"/>
      <c r="AA54" s="20"/>
      <c r="AB54" s="19"/>
      <c r="AC54" s="19"/>
      <c r="AD54" s="19"/>
      <c r="AE54" s="19"/>
      <c r="AF54" s="19"/>
      <c r="AG54" s="19"/>
      <c r="AH54" s="19"/>
      <c r="AI54" s="19"/>
      <c r="AJ54" s="19"/>
      <c r="AK54" s="19"/>
      <c r="AL54" s="19"/>
      <c r="AM54" s="19"/>
      <c r="AN54" s="19"/>
      <c r="AO54" s="19"/>
      <c r="AP54" s="19"/>
      <c r="AQ54" s="19"/>
      <c r="AR54" s="19"/>
      <c r="AS54" s="19"/>
      <c r="AT54" s="19"/>
      <c r="AU54" s="19"/>
      <c r="AV54" s="19"/>
      <c r="AW54" s="19"/>
      <c r="AX54" s="19"/>
      <c r="AY54" s="19"/>
      <c r="AZ54" s="85"/>
    </row>
    <row r="55" spans="2:52">
      <c r="D55" s="6"/>
      <c r="E55" s="6"/>
      <c r="F55" s="6"/>
      <c r="G55" s="6"/>
      <c r="H55" s="6"/>
      <c r="I55" s="6"/>
      <c r="J55" s="6"/>
      <c r="K55" s="6"/>
      <c r="L55" s="6"/>
      <c r="M55" s="6"/>
      <c r="N55" s="6"/>
    </row>
    <row r="56" spans="2:52" s="79" customFormat="1">
      <c r="B56" s="79" t="s">
        <v>248</v>
      </c>
      <c r="C56" s="99">
        <v>3</v>
      </c>
      <c r="D56" s="104"/>
      <c r="E56" s="104"/>
      <c r="F56" s="104"/>
      <c r="G56" s="104">
        <f t="shared" ref="G56:AY56" si="30">G2</f>
        <v>2013</v>
      </c>
      <c r="H56" s="104" t="str">
        <f t="shared" si="30"/>
        <v>2014E</v>
      </c>
      <c r="I56" s="104" t="str">
        <f t="shared" si="30"/>
        <v>2015E</v>
      </c>
      <c r="J56" s="104" t="str">
        <f t="shared" si="30"/>
        <v>2016E</v>
      </c>
      <c r="K56" s="104" t="str">
        <f t="shared" si="30"/>
        <v>2017E</v>
      </c>
      <c r="L56" s="104" t="str">
        <f t="shared" si="30"/>
        <v>2018E</v>
      </c>
      <c r="M56" s="104" t="str">
        <f t="shared" si="30"/>
        <v>2019E</v>
      </c>
      <c r="N56" s="104"/>
      <c r="O56" s="99"/>
      <c r="P56" s="79">
        <f t="shared" si="30"/>
        <v>0</v>
      </c>
      <c r="Q56" s="79">
        <f t="shared" si="30"/>
        <v>0</v>
      </c>
      <c r="R56" s="79">
        <f t="shared" si="30"/>
        <v>0</v>
      </c>
      <c r="S56" s="79">
        <f t="shared" si="30"/>
        <v>0</v>
      </c>
      <c r="T56" s="141">
        <f t="shared" si="30"/>
        <v>41182</v>
      </c>
      <c r="U56" s="141">
        <f t="shared" si="30"/>
        <v>41274</v>
      </c>
      <c r="V56" s="141">
        <f t="shared" si="30"/>
        <v>41364</v>
      </c>
      <c r="W56" s="141">
        <f t="shared" si="30"/>
        <v>41455</v>
      </c>
      <c r="X56" s="141">
        <f t="shared" si="30"/>
        <v>41547</v>
      </c>
      <c r="Y56" s="141">
        <f t="shared" si="30"/>
        <v>41639</v>
      </c>
      <c r="Z56" s="141">
        <f t="shared" si="30"/>
        <v>41729</v>
      </c>
      <c r="AA56" s="142">
        <f t="shared" si="30"/>
        <v>41820</v>
      </c>
      <c r="AB56" s="141">
        <f t="shared" si="30"/>
        <v>41912</v>
      </c>
      <c r="AC56" s="141">
        <f t="shared" si="30"/>
        <v>42004</v>
      </c>
      <c r="AD56" s="141">
        <f t="shared" si="30"/>
        <v>42094</v>
      </c>
      <c r="AE56" s="141">
        <f t="shared" si="30"/>
        <v>42185</v>
      </c>
      <c r="AF56" s="141">
        <f t="shared" si="30"/>
        <v>42277</v>
      </c>
      <c r="AG56" s="141">
        <f t="shared" si="30"/>
        <v>42369</v>
      </c>
      <c r="AH56" s="141">
        <f t="shared" si="30"/>
        <v>42460</v>
      </c>
      <c r="AI56" s="141">
        <f t="shared" si="30"/>
        <v>42551</v>
      </c>
      <c r="AJ56" s="141">
        <f t="shared" si="30"/>
        <v>42643</v>
      </c>
      <c r="AK56" s="141">
        <f t="shared" si="30"/>
        <v>42735</v>
      </c>
      <c r="AL56" s="141">
        <f t="shared" si="30"/>
        <v>42825</v>
      </c>
      <c r="AM56" s="141">
        <f t="shared" si="30"/>
        <v>42916</v>
      </c>
      <c r="AN56" s="141">
        <f t="shared" si="30"/>
        <v>43008</v>
      </c>
      <c r="AO56" s="141">
        <f t="shared" si="30"/>
        <v>43100</v>
      </c>
      <c r="AP56" s="141">
        <f t="shared" si="30"/>
        <v>43190</v>
      </c>
      <c r="AQ56" s="141">
        <f t="shared" si="30"/>
        <v>43281</v>
      </c>
      <c r="AR56" s="141">
        <f t="shared" si="30"/>
        <v>43373</v>
      </c>
      <c r="AS56" s="141">
        <f t="shared" si="30"/>
        <v>43465</v>
      </c>
      <c r="AT56" s="141">
        <f t="shared" si="30"/>
        <v>43555</v>
      </c>
      <c r="AU56" s="141">
        <f t="shared" si="30"/>
        <v>43646</v>
      </c>
      <c r="AV56" s="141">
        <f t="shared" si="30"/>
        <v>43738</v>
      </c>
      <c r="AW56" s="141">
        <f t="shared" si="30"/>
        <v>43830</v>
      </c>
      <c r="AX56" s="141">
        <f t="shared" si="30"/>
        <v>43921</v>
      </c>
      <c r="AY56" s="141">
        <f t="shared" si="30"/>
        <v>44012</v>
      </c>
    </row>
    <row r="57" spans="2:52" s="81" customFormat="1">
      <c r="C57" s="98"/>
      <c r="O57" s="98"/>
      <c r="AA57" s="8"/>
    </row>
    <row r="58" spans="2:52">
      <c r="B58" s="6" t="s">
        <v>31</v>
      </c>
      <c r="D58" s="82"/>
      <c r="E58" s="82"/>
      <c r="F58" s="82"/>
      <c r="G58" s="111">
        <f ca="1">+SUM(V58:Y58)</f>
        <v>1063.3570878587889</v>
      </c>
      <c r="H58" s="111">
        <f ca="1">+SUM(Z58:AC58)</f>
        <v>1222.6603126867285</v>
      </c>
      <c r="I58" s="111">
        <f ca="1">+SUM(AD58:AG58)</f>
        <v>1439</v>
      </c>
      <c r="J58" s="111">
        <f ca="1">+SUM(AH58:AK58)</f>
        <v>1996.8999999999999</v>
      </c>
      <c r="K58" s="111">
        <f ca="1">+SUM(AL58:AO58)</f>
        <v>2485.1999999999998</v>
      </c>
      <c r="L58" s="111">
        <f ca="1">+SUM(AP58:AS58)</f>
        <v>2605.6983370467487</v>
      </c>
      <c r="M58" s="111">
        <f ca="1">+SUM(AT58:AW58)</f>
        <v>2660.9712441672978</v>
      </c>
      <c r="N58" s="82"/>
      <c r="O58" s="2">
        <f ca="1">(L58/I58)^(1/3)-1</f>
        <v>0.21886174703962968</v>
      </c>
      <c r="T58" s="82">
        <f ca="1">IF(Case=$C56,IS!T$5,T58)</f>
        <v>236.00767747572064</v>
      </c>
      <c r="U58" s="82">
        <f ca="1">IF(Case=$C56,IS!U$5,U58)</f>
        <v>250.02480987258627</v>
      </c>
      <c r="V58" s="82">
        <f ca="1">IF(Case=$C56,IS!V$5,V58)</f>
        <v>256.55395289598329</v>
      </c>
      <c r="W58" s="82">
        <f ca="1">IF(Case=$C56,IS!W$5,W58)</f>
        <v>261.77622606891981</v>
      </c>
      <c r="X58" s="82">
        <f ca="1">IF(Case=$C56,IS!X$5,X58)</f>
        <v>268.05077825707741</v>
      </c>
      <c r="Y58" s="82">
        <f ca="1">IF(Case=$C56,IS!Y$5,Y58)</f>
        <v>276.97613063680853</v>
      </c>
      <c r="Z58" s="82">
        <f ca="1">IF(Case=$C56,IS!Z$5,Z58)</f>
        <v>281.3929475507324</v>
      </c>
      <c r="AA58" s="88">
        <f ca="1">IF(Case=$C56,IS!AA$5,AA58)</f>
        <v>296.76736513599604</v>
      </c>
      <c r="AB58" s="82">
        <f ca="1">IF(Case=$C56,IS!AB$5,AB58)</f>
        <v>320.60000000000002</v>
      </c>
      <c r="AC58" s="82">
        <f ca="1">IF(Case=$C56,IS!AC$5,AC58)</f>
        <v>323.89999999999998</v>
      </c>
      <c r="AD58" s="82">
        <f ca="1">IF(Case=$C56,IS!AD$5,AD58)</f>
        <v>340.7</v>
      </c>
      <c r="AE58" s="82">
        <f ca="1">IF(Case=$C56,IS!AE$5,AE58)</f>
        <v>361.9</v>
      </c>
      <c r="AF58" s="82">
        <f ca="1">IF(Case=$C56,IS!AF$5,AF58)</f>
        <v>366.8</v>
      </c>
      <c r="AG58" s="82">
        <f ca="1">IF(Case=$C56,IS!AG$5,AG58)</f>
        <v>369.6</v>
      </c>
      <c r="AH58" s="82">
        <f ca="1">IF(Case=$C56,IS!AH$5,AH58)</f>
        <v>478</v>
      </c>
      <c r="AI58" s="82">
        <f ca="1">IF(Case=$C56,IS!AI$5,AI58)</f>
        <v>507.3</v>
      </c>
      <c r="AJ58" s="82">
        <f ca="1">IF(Case=$C56,IS!AJ$5,AJ58)</f>
        <v>504.9</v>
      </c>
      <c r="AK58" s="82">
        <f ca="1">IF(Case=$C56,IS!AK$5,AK58)</f>
        <v>506.7</v>
      </c>
      <c r="AL58" s="82">
        <f ca="1">IF(Case=$C56,IS!AL$5,AL58)</f>
        <v>550.20000000000005</v>
      </c>
      <c r="AM58" s="82">
        <f ca="1">IF(Case=$C56,IS!AM$5,AM58)</f>
        <v>638</v>
      </c>
      <c r="AN58" s="82">
        <f ca="1">IF(Case=$C56,IS!AN$5,AN58)</f>
        <v>643.5</v>
      </c>
      <c r="AO58" s="82">
        <f ca="1">IF(Case=$C56,IS!AO$5,AO58)</f>
        <v>653.5</v>
      </c>
      <c r="AP58" s="82">
        <f ca="1">IF(Case=$C56,IS!AP$5,AP58)</f>
        <v>648.62450451911491</v>
      </c>
      <c r="AQ58" s="82">
        <f ca="1">IF(Case=$C56,IS!AQ$5,AQ58)</f>
        <v>649.81934522001018</v>
      </c>
      <c r="AR58" s="82">
        <f ca="1">IF(Case=$C56,IS!AR$5,AR58)</f>
        <v>652.08353247933871</v>
      </c>
      <c r="AS58" s="82">
        <f ca="1">IF(Case=$C56,IS!AS$5,AS58)</f>
        <v>655.17095482828495</v>
      </c>
      <c r="AT58" s="82">
        <f ca="1">IF(Case=$C56,IS!AT$5,AT58)</f>
        <v>658.8431351028762</v>
      </c>
      <c r="AU58" s="82">
        <f ca="1">IF(Case=$C56,IS!AU$5,AU58)</f>
        <v>662.91285932926985</v>
      </c>
      <c r="AV58" s="82">
        <f ca="1">IF(Case=$C56,IS!AV$5,AV58)</f>
        <v>667.29410884567289</v>
      </c>
      <c r="AW58" s="82">
        <f ca="1">IF(Case=$C56,IS!AW$5,AW58)</f>
        <v>671.92114088947903</v>
      </c>
      <c r="AX58" s="82">
        <f ca="1">IF(Case=$C56,IS!AX$5,AX58)</f>
        <v>676.74196327779418</v>
      </c>
      <c r="AY58" s="82">
        <f ca="1">IF(Case=$C56,IS!AY$5,AY58)</f>
        <v>681.71414669675619</v>
      </c>
    </row>
    <row r="59" spans="2:52">
      <c r="B59" s="6" t="s">
        <v>36</v>
      </c>
      <c r="D59" s="48"/>
      <c r="E59" s="48"/>
      <c r="F59" s="48"/>
      <c r="G59" s="48"/>
      <c r="H59" s="48">
        <f t="shared" ref="H59:M59" ca="1" si="31">+H58/G58-1</f>
        <v>0.14981159823622181</v>
      </c>
      <c r="I59" s="48">
        <f t="shared" ca="1" si="31"/>
        <v>0.17694177611594908</v>
      </c>
      <c r="J59" s="48">
        <f t="shared" ca="1" si="31"/>
        <v>0.38769979152189005</v>
      </c>
      <c r="K59" s="48">
        <f t="shared" ca="1" si="31"/>
        <v>0.24452901998097043</v>
      </c>
      <c r="L59" s="48">
        <f t="shared" ca="1" si="31"/>
        <v>4.8486374153689393E-2</v>
      </c>
      <c r="M59" s="48">
        <f t="shared" ca="1" si="31"/>
        <v>2.1212320065873147E-2</v>
      </c>
      <c r="N59" s="48"/>
      <c r="T59" s="48"/>
      <c r="U59" s="48"/>
      <c r="V59" s="48"/>
      <c r="W59" s="48"/>
      <c r="X59" s="48">
        <f ca="1">+X58/T58-1</f>
        <v>0.13577143389605717</v>
      </c>
      <c r="Y59" s="48">
        <f t="shared" ref="Y59:AY59" ca="1" si="32">+Y58/U58-1</f>
        <v>0.10779458557715449</v>
      </c>
      <c r="Z59" s="48">
        <f t="shared" ca="1" si="32"/>
        <v>9.6817820869124604E-2</v>
      </c>
      <c r="AA59" s="24">
        <f t="shared" ca="1" si="32"/>
        <v>0.13366813171897385</v>
      </c>
      <c r="AB59" s="48">
        <f t="shared" ca="1" si="32"/>
        <v>0.19604204130504188</v>
      </c>
      <c r="AC59" s="48">
        <f t="shared" ca="1" si="32"/>
        <v>0.16941484905326187</v>
      </c>
      <c r="AD59" s="48">
        <f t="shared" ca="1" si="32"/>
        <v>0.21076239815347586</v>
      </c>
      <c r="AE59" s="48">
        <f t="shared" ca="1" si="32"/>
        <v>0.21947371077731659</v>
      </c>
      <c r="AF59" s="48">
        <f t="shared" ca="1" si="32"/>
        <v>0.14410480349344978</v>
      </c>
      <c r="AG59" s="48">
        <f t="shared" ca="1" si="32"/>
        <v>0.14109292991664102</v>
      </c>
      <c r="AH59" s="48">
        <f t="shared" ca="1" si="32"/>
        <v>0.40299383621954799</v>
      </c>
      <c r="AI59" s="48">
        <f t="shared" ca="1" si="32"/>
        <v>0.40176844432163583</v>
      </c>
      <c r="AJ59" s="48">
        <f t="shared" ca="1" si="32"/>
        <v>0.37649945474372948</v>
      </c>
      <c r="AK59" s="48">
        <f t="shared" ca="1" si="32"/>
        <v>0.37094155844155829</v>
      </c>
      <c r="AL59" s="48">
        <f t="shared" ca="1" si="32"/>
        <v>0.15104602510460263</v>
      </c>
      <c r="AM59" s="48">
        <f t="shared" ca="1" si="32"/>
        <v>0.257638478218017</v>
      </c>
      <c r="AN59" s="48">
        <f t="shared" ca="1" si="32"/>
        <v>0.27450980392156876</v>
      </c>
      <c r="AO59" s="48">
        <f t="shared" ca="1" si="32"/>
        <v>0.2897177817248866</v>
      </c>
      <c r="AP59" s="48">
        <f t="shared" ca="1" si="32"/>
        <v>0.17888859418232439</v>
      </c>
      <c r="AQ59" s="48">
        <f t="shared" ca="1" si="32"/>
        <v>1.8525619467100629E-2</v>
      </c>
      <c r="AR59" s="48">
        <f t="shared" ca="1" si="32"/>
        <v>1.3338822811715279E-2</v>
      </c>
      <c r="AS59" s="48">
        <f t="shared" ca="1" si="32"/>
        <v>2.5569316423641464E-3</v>
      </c>
      <c r="AT59" s="48">
        <f t="shared" ca="1" si="32"/>
        <v>1.575430855998472E-2</v>
      </c>
      <c r="AU59" s="48">
        <f t="shared" ca="1" si="32"/>
        <v>2.0149468010723259E-2</v>
      </c>
      <c r="AV59" s="48">
        <f t="shared" ca="1" si="32"/>
        <v>2.3326116377300421E-2</v>
      </c>
      <c r="AW59" s="48">
        <f t="shared" ca="1" si="32"/>
        <v>2.5566130393530839E-2</v>
      </c>
      <c r="AX59" s="48">
        <f t="shared" ca="1" si="32"/>
        <v>2.7167055739486745E-2</v>
      </c>
      <c r="AY59" s="48">
        <f t="shared" ca="1" si="32"/>
        <v>2.8361627177528881E-2</v>
      </c>
    </row>
    <row r="60" spans="2:52">
      <c r="B60" s="6" t="s">
        <v>37</v>
      </c>
      <c r="D60" s="48"/>
      <c r="E60" s="48"/>
      <c r="F60" s="48"/>
      <c r="G60" s="48"/>
      <c r="H60" s="48"/>
      <c r="I60" s="48"/>
      <c r="J60" s="48"/>
      <c r="K60" s="48"/>
      <c r="L60" s="48"/>
      <c r="M60" s="48"/>
      <c r="N60" s="48"/>
      <c r="T60" s="48"/>
      <c r="U60" s="48">
        <f ca="1">+U58/T58-1</f>
        <v>5.939269665626723E-2</v>
      </c>
      <c r="V60" s="48">
        <f t="shared" ref="V60:AY60" ca="1" si="33">+V58/U58-1</f>
        <v>2.6113980555466876E-2</v>
      </c>
      <c r="W60" s="48">
        <f t="shared" ca="1" si="33"/>
        <v>2.0355457844198011E-2</v>
      </c>
      <c r="X60" s="48">
        <f t="shared" ca="1" si="33"/>
        <v>2.3969144495595396E-2</v>
      </c>
      <c r="Y60" s="48">
        <f t="shared" ca="1" si="33"/>
        <v>3.329724478983298E-2</v>
      </c>
      <c r="Z60" s="48">
        <f t="shared" ca="1" si="33"/>
        <v>1.5946561545823412E-2</v>
      </c>
      <c r="AA60" s="24">
        <f t="shared" ca="1" si="33"/>
        <v>5.4636826256961424E-2</v>
      </c>
      <c r="AB60" s="48">
        <f t="shared" ca="1" si="33"/>
        <v>8.0307465253406374E-2</v>
      </c>
      <c r="AC60" s="48">
        <f t="shared" ca="1" si="33"/>
        <v>1.0293200249531953E-2</v>
      </c>
      <c r="AD60" s="48">
        <f t="shared" ca="1" si="33"/>
        <v>5.1867860450756531E-2</v>
      </c>
      <c r="AE60" s="48">
        <f t="shared" ca="1" si="33"/>
        <v>6.2224831229821032E-2</v>
      </c>
      <c r="AF60" s="48">
        <f t="shared" ca="1" si="33"/>
        <v>1.3539651837524369E-2</v>
      </c>
      <c r="AG60" s="48">
        <f t="shared" ca="1" si="33"/>
        <v>7.6335877862596657E-3</v>
      </c>
      <c r="AH60" s="48">
        <f t="shared" ca="1" si="33"/>
        <v>0.29329004329004316</v>
      </c>
      <c r="AI60" s="48">
        <f t="shared" ca="1" si="33"/>
        <v>6.129707112970717E-2</v>
      </c>
      <c r="AJ60" s="48">
        <f t="shared" ca="1" si="33"/>
        <v>-4.7309284447073496E-3</v>
      </c>
      <c r="AK60" s="48">
        <f t="shared" ca="1" si="33"/>
        <v>3.5650623885918886E-3</v>
      </c>
      <c r="AL60" s="48">
        <f t="shared" ca="1" si="33"/>
        <v>8.5849615156897707E-2</v>
      </c>
      <c r="AM60" s="48">
        <f t="shared" ca="1" si="33"/>
        <v>0.15957833515085418</v>
      </c>
      <c r="AN60" s="48">
        <f t="shared" ca="1" si="33"/>
        <v>8.6206896551723755E-3</v>
      </c>
      <c r="AO60" s="48">
        <f t="shared" ca="1" si="33"/>
        <v>1.5540015540015606E-2</v>
      </c>
      <c r="AP60" s="48">
        <f t="shared" ca="1" si="33"/>
        <v>-7.4605898712855057E-3</v>
      </c>
      <c r="AQ60" s="48">
        <f t="shared" ca="1" si="33"/>
        <v>1.8421146481062411E-3</v>
      </c>
      <c r="AR60" s="48">
        <f t="shared" ca="1" si="33"/>
        <v>3.4843334166390072E-3</v>
      </c>
      <c r="AS60" s="48">
        <f t="shared" ca="1" si="33"/>
        <v>4.7347037536851211E-3</v>
      </c>
      <c r="AT60" s="48">
        <f t="shared" ca="1" si="33"/>
        <v>5.6049192161666817E-3</v>
      </c>
      <c r="AU60" s="48">
        <f t="shared" ca="1" si="33"/>
        <v>6.1770761651149808E-3</v>
      </c>
      <c r="AV60" s="48">
        <f t="shared" ca="1" si="33"/>
        <v>6.6090881399343271E-3</v>
      </c>
      <c r="AW60" s="48">
        <f t="shared" ca="1" si="33"/>
        <v>6.9340220188820467E-3</v>
      </c>
      <c r="AX60" s="48">
        <f t="shared" ca="1" si="33"/>
        <v>7.1746847880591602E-3</v>
      </c>
      <c r="AY60" s="48">
        <f t="shared" ca="1" si="33"/>
        <v>7.3472367442375397E-3</v>
      </c>
    </row>
    <row r="61" spans="2:52">
      <c r="B61" s="85" t="s">
        <v>201</v>
      </c>
      <c r="D61" s="18"/>
      <c r="E61" s="18"/>
      <c r="F61" s="18"/>
      <c r="G61" s="111">
        <f>+SUM(V61:Y61)</f>
        <v>1063.3570878587889</v>
      </c>
      <c r="H61" s="111">
        <f>+SUM(Z61:AC61)</f>
        <v>1223.7010469723452</v>
      </c>
      <c r="I61" s="111">
        <f>+SUM(AD61:AG61)</f>
        <v>1365.7721561867256</v>
      </c>
      <c r="J61" s="111">
        <f>+SUM(AH61:AK61)</f>
        <v>1479.4993917718082</v>
      </c>
      <c r="K61" s="111">
        <f>+SUM(AL61:AO61)</f>
        <v>1608.5170385318572</v>
      </c>
      <c r="L61" s="111">
        <f>+SUM(AP61:AS61)</f>
        <v>1754.0268514946379</v>
      </c>
      <c r="M61" s="111">
        <f>+SUM(AT61:AW61)</f>
        <v>1913.7964268890878</v>
      </c>
      <c r="N61" s="18"/>
      <c r="T61" s="19">
        <v>236.00767747572064</v>
      </c>
      <c r="U61" s="19">
        <v>250.02480987258627</v>
      </c>
      <c r="V61" s="19">
        <v>256.55395289598329</v>
      </c>
      <c r="W61" s="19">
        <v>261.77622606891981</v>
      </c>
      <c r="X61" s="19">
        <v>268.05077825707741</v>
      </c>
      <c r="Y61" s="19">
        <v>276.97613063680853</v>
      </c>
      <c r="Z61" s="19">
        <v>281.3929475507324</v>
      </c>
      <c r="AA61" s="20">
        <v>296.76736513599604</v>
      </c>
      <c r="AB61" s="19">
        <v>319.75505220724489</v>
      </c>
      <c r="AC61" s="19">
        <v>325.78568207837179</v>
      </c>
      <c r="AD61" s="19">
        <v>331.76092686712764</v>
      </c>
      <c r="AE61" s="19">
        <v>338.05330752661445</v>
      </c>
      <c r="AF61" s="19">
        <v>344.56396630582566</v>
      </c>
      <c r="AG61" s="19">
        <v>351.39395548715783</v>
      </c>
      <c r="AH61" s="19">
        <v>358.41530233807362</v>
      </c>
      <c r="AI61" s="19">
        <v>365.84480909318762</v>
      </c>
      <c r="AJ61" s="19">
        <v>373.57969423604715</v>
      </c>
      <c r="AK61" s="19">
        <v>381.65958610449979</v>
      </c>
      <c r="AL61" s="19">
        <v>389.36640257075243</v>
      </c>
      <c r="AM61" s="19">
        <v>397.66355231072578</v>
      </c>
      <c r="AN61" s="19">
        <v>406.29617160803031</v>
      </c>
      <c r="AO61" s="19">
        <v>415.1909120423486</v>
      </c>
      <c r="AP61" s="19">
        <v>424.31110406479928</v>
      </c>
      <c r="AQ61" s="19">
        <v>433.63864871329525</v>
      </c>
      <c r="AR61" s="19">
        <v>443.16906941220935</v>
      </c>
      <c r="AS61" s="19">
        <v>452.90802930433392</v>
      </c>
      <c r="AT61" s="19">
        <v>462.869084585655</v>
      </c>
      <c r="AU61" s="19">
        <v>473.07224078380381</v>
      </c>
      <c r="AV61" s="19">
        <v>483.54304612302002</v>
      </c>
      <c r="AW61" s="19">
        <v>494.31205539660903</v>
      </c>
      <c r="AX61" s="19">
        <v>505.41455789587769</v>
      </c>
      <c r="AY61" s="19">
        <v>516.8905008709736</v>
      </c>
      <c r="AZ61" s="85"/>
    </row>
    <row r="62" spans="2:52">
      <c r="B62" s="86" t="s">
        <v>36</v>
      </c>
      <c r="D62" s="48"/>
      <c r="E62" s="48"/>
      <c r="F62" s="48"/>
      <c r="G62" s="48"/>
      <c r="H62" s="48">
        <f t="shared" ref="H62:M62" si="34">+H61/G61-1</f>
        <v>0.15079032334888587</v>
      </c>
      <c r="I62" s="48">
        <f t="shared" si="34"/>
        <v>0.11609952411652302</v>
      </c>
      <c r="J62" s="48">
        <f t="shared" si="34"/>
        <v>8.326955200390973E-2</v>
      </c>
      <c r="K62" s="48">
        <f t="shared" si="34"/>
        <v>8.72035821559487E-2</v>
      </c>
      <c r="L62" s="48">
        <f t="shared" si="34"/>
        <v>9.0462089910836152E-2</v>
      </c>
      <c r="M62" s="48">
        <f t="shared" si="34"/>
        <v>9.108730305827839E-2</v>
      </c>
      <c r="N62" s="48"/>
      <c r="T62" s="48"/>
      <c r="U62" s="48"/>
      <c r="V62" s="48"/>
      <c r="W62" s="48"/>
      <c r="X62" s="48">
        <f>+X61/T61-1</f>
        <v>0.13577143389605717</v>
      </c>
      <c r="Y62" s="48">
        <f t="shared" ref="Y62:AY62" si="35">+Y61/U61-1</f>
        <v>0.10779458557715449</v>
      </c>
      <c r="Z62" s="48">
        <f t="shared" si="35"/>
        <v>9.6817820869124604E-2</v>
      </c>
      <c r="AA62" s="24">
        <f t="shared" si="35"/>
        <v>0.13366813171897385</v>
      </c>
      <c r="AB62" s="48">
        <f t="shared" si="35"/>
        <v>0.19288984828307365</v>
      </c>
      <c r="AC62" s="48">
        <f t="shared" si="35"/>
        <v>0.17622295224264617</v>
      </c>
      <c r="AD62" s="48">
        <f t="shared" si="35"/>
        <v>0.17899517295938772</v>
      </c>
      <c r="AE62" s="48">
        <f t="shared" si="35"/>
        <v>0.13911887640239273</v>
      </c>
      <c r="AF62" s="48">
        <f t="shared" si="35"/>
        <v>7.758724663559402E-2</v>
      </c>
      <c r="AG62" s="48">
        <f t="shared" si="35"/>
        <v>7.8604661952656585E-2</v>
      </c>
      <c r="AH62" s="48">
        <f t="shared" si="35"/>
        <v>8.0342117809494962E-2</v>
      </c>
      <c r="AI62" s="48">
        <f t="shared" si="35"/>
        <v>8.2210411635700975E-2</v>
      </c>
      <c r="AJ62" s="48">
        <f t="shared" si="35"/>
        <v>8.4209989341914815E-2</v>
      </c>
      <c r="AK62" s="48">
        <f t="shared" si="35"/>
        <v>8.6130197018850163E-2</v>
      </c>
      <c r="AL62" s="48">
        <f t="shared" si="35"/>
        <v>8.6355409578702469E-2</v>
      </c>
      <c r="AM62" s="48">
        <f t="shared" si="35"/>
        <v>8.6973335213930358E-2</v>
      </c>
      <c r="AN62" s="48">
        <f t="shared" si="35"/>
        <v>8.7575630787125158E-2</v>
      </c>
      <c r="AO62" s="48">
        <f t="shared" si="35"/>
        <v>8.785663234636476E-2</v>
      </c>
      <c r="AP62" s="48">
        <f t="shared" si="35"/>
        <v>8.9747603448391944E-2</v>
      </c>
      <c r="AQ62" s="48">
        <f t="shared" si="35"/>
        <v>9.0466164659866344E-2</v>
      </c>
      <c r="AR62" s="48">
        <f t="shared" si="35"/>
        <v>9.0753741681208311E-2</v>
      </c>
      <c r="AS62" s="48">
        <f t="shared" si="35"/>
        <v>9.0842829570745076E-2</v>
      </c>
      <c r="AT62" s="48">
        <f t="shared" si="35"/>
        <v>9.0871957277288917E-2</v>
      </c>
      <c r="AU62" s="48">
        <f t="shared" si="35"/>
        <v>9.0936525578421135E-2</v>
      </c>
      <c r="AV62" s="48">
        <f t="shared" si="35"/>
        <v>9.110287584907506E-2</v>
      </c>
      <c r="AW62" s="48">
        <f t="shared" si="35"/>
        <v>9.1418176347793256E-2</v>
      </c>
      <c r="AX62" s="48">
        <f t="shared" si="35"/>
        <v>9.1916861002518724E-2</v>
      </c>
      <c r="AY62" s="48">
        <f t="shared" si="35"/>
        <v>9.2624881169459661E-2</v>
      </c>
      <c r="AZ62" s="86"/>
    </row>
    <row r="63" spans="2:52">
      <c r="B63" s="86" t="s">
        <v>37</v>
      </c>
      <c r="D63" s="48"/>
      <c r="E63" s="48"/>
      <c r="F63" s="48"/>
      <c r="G63" s="48"/>
      <c r="H63" s="48"/>
      <c r="I63" s="48"/>
      <c r="J63" s="48"/>
      <c r="K63" s="48"/>
      <c r="L63" s="48"/>
      <c r="M63" s="48"/>
      <c r="N63" s="48"/>
      <c r="T63" s="48"/>
      <c r="U63" s="48">
        <f>+U61/T61-1</f>
        <v>5.939269665626723E-2</v>
      </c>
      <c r="V63" s="48">
        <f t="shared" ref="V63:AY63" si="36">+V61/U61-1</f>
        <v>2.6113980555466876E-2</v>
      </c>
      <c r="W63" s="48">
        <f t="shared" si="36"/>
        <v>2.0355457844198011E-2</v>
      </c>
      <c r="X63" s="48">
        <f t="shared" si="36"/>
        <v>2.3969144495595396E-2</v>
      </c>
      <c r="Y63" s="48">
        <f t="shared" si="36"/>
        <v>3.329724478983298E-2</v>
      </c>
      <c r="Z63" s="48">
        <f t="shared" si="36"/>
        <v>1.5946561545823412E-2</v>
      </c>
      <c r="AA63" s="24">
        <f t="shared" si="36"/>
        <v>5.4636826256961424E-2</v>
      </c>
      <c r="AB63" s="48">
        <f t="shared" si="36"/>
        <v>7.7460293050465756E-2</v>
      </c>
      <c r="AC63" s="48">
        <f t="shared" si="36"/>
        <v>1.8860155076512175E-2</v>
      </c>
      <c r="AD63" s="48">
        <f t="shared" si="36"/>
        <v>1.8341029448060375E-2</v>
      </c>
      <c r="AE63" s="48">
        <f t="shared" si="36"/>
        <v>1.8966611646846987E-2</v>
      </c>
      <c r="AF63" s="48">
        <f t="shared" si="36"/>
        <v>1.9259266613442794E-2</v>
      </c>
      <c r="AG63" s="48">
        <f t="shared" si="36"/>
        <v>1.9822122593254665E-2</v>
      </c>
      <c r="AH63" s="48">
        <f t="shared" si="36"/>
        <v>1.9981410440545799E-2</v>
      </c>
      <c r="AI63" s="48">
        <f t="shared" si="36"/>
        <v>2.072876550372893E-2</v>
      </c>
      <c r="AJ63" s="48">
        <f t="shared" si="36"/>
        <v>2.1142530796136816E-2</v>
      </c>
      <c r="AK63" s="48">
        <f t="shared" si="36"/>
        <v>2.1628295095041716E-2</v>
      </c>
      <c r="AL63" s="48">
        <f t="shared" si="36"/>
        <v>2.0192906838562896E-2</v>
      </c>
      <c r="AM63" s="48">
        <f t="shared" si="36"/>
        <v>2.1309362300373724E-2</v>
      </c>
      <c r="AN63" s="48">
        <f t="shared" si="36"/>
        <v>2.1708349299659258E-2</v>
      </c>
      <c r="AO63" s="48">
        <f t="shared" si="36"/>
        <v>2.18922575595899E-2</v>
      </c>
      <c r="AP63" s="48">
        <f t="shared" si="36"/>
        <v>2.196626120159495E-2</v>
      </c>
      <c r="AQ63" s="48">
        <f t="shared" si="36"/>
        <v>2.1982796488567713E-2</v>
      </c>
      <c r="AR63" s="48">
        <f t="shared" si="36"/>
        <v>2.197779355505558E-2</v>
      </c>
      <c r="AS63" s="48">
        <f t="shared" si="36"/>
        <v>2.1975721150940597E-2</v>
      </c>
      <c r="AT63" s="48">
        <f t="shared" si="36"/>
        <v>2.1993549764664611E-2</v>
      </c>
      <c r="AU63" s="48">
        <f t="shared" si="36"/>
        <v>2.2043287266165779E-2</v>
      </c>
      <c r="AV63" s="48">
        <f t="shared" si="36"/>
        <v>2.2133628728389976E-2</v>
      </c>
      <c r="AW63" s="48">
        <f t="shared" si="36"/>
        <v>2.2271045690623437E-2</v>
      </c>
      <c r="AX63" s="48">
        <f t="shared" si="36"/>
        <v>2.2460513309473296E-2</v>
      </c>
      <c r="AY63" s="48">
        <f t="shared" si="36"/>
        <v>2.2706000046520458E-2</v>
      </c>
      <c r="AZ63" s="86"/>
    </row>
    <row r="64" spans="2:52">
      <c r="D64" s="6"/>
      <c r="E64" s="6"/>
      <c r="F64" s="6"/>
      <c r="G64" s="6"/>
      <c r="H64" s="6"/>
      <c r="I64" s="6"/>
      <c r="J64" s="6"/>
      <c r="K64" s="6"/>
      <c r="L64" s="6"/>
      <c r="M64" s="6"/>
      <c r="N64" s="6"/>
    </row>
    <row r="65" spans="2:52">
      <c r="B65" s="6" t="s">
        <v>69</v>
      </c>
      <c r="D65" s="82"/>
      <c r="E65" s="82"/>
      <c r="F65" s="82"/>
      <c r="G65" s="111">
        <f ca="1">+SUM(V65:Y65)</f>
        <v>606.69791983443099</v>
      </c>
      <c r="H65" s="111">
        <f ca="1">+SUM(Z65:AC65)</f>
        <v>709.04274193508752</v>
      </c>
      <c r="I65" s="111">
        <f ca="1">+SUM(AD65:AG65)</f>
        <v>844.2</v>
      </c>
      <c r="J65" s="111">
        <f ca="1">+SUM(AH65:AK65)</f>
        <v>1024.5999999999999</v>
      </c>
      <c r="K65" s="111">
        <f ca="1">+SUM(AL65:AO65)</f>
        <v>1239.3000000000002</v>
      </c>
      <c r="L65" s="111">
        <f ca="1">+SUM(AP65:AS65)</f>
        <v>1249.7414500198183</v>
      </c>
      <c r="M65" s="111">
        <f ca="1">+SUM(AT65:AW65)</f>
        <v>1303.0207385281212</v>
      </c>
      <c r="N65" s="82"/>
      <c r="O65" s="2">
        <f ca="1">(L65/I65)^(1/3)-1</f>
        <v>0.13970278312451123</v>
      </c>
      <c r="T65" s="82">
        <f ca="1">IF(Case=$C56,IS!T$51,T65)</f>
        <v>125.6178835624993</v>
      </c>
      <c r="U65" s="82">
        <f ca="1">IF(Case=$C56,IS!U$51,U65)</f>
        <v>139.37871740345793</v>
      </c>
      <c r="V65" s="82">
        <f ca="1">IF(Case=$C56,IS!V$51,V65)</f>
        <v>147.59169075010976</v>
      </c>
      <c r="W65" s="82">
        <f ca="1">IF(Case=$C56,IS!W$51,W65)</f>
        <v>141.83878429060655</v>
      </c>
      <c r="X65" s="82">
        <f ca="1">IF(Case=$C56,IS!X$51,X65)</f>
        <v>155.60177105606058</v>
      </c>
      <c r="Y65" s="82">
        <f ca="1">IF(Case=$C56,IS!Y$51,Y65)</f>
        <v>161.66567373765406</v>
      </c>
      <c r="Z65" s="82">
        <f ca="1">IF(Case=$C56,IS!Z$51,Z65)</f>
        <v>165.22903738364963</v>
      </c>
      <c r="AA65" s="88">
        <f ca="1">IF(Case=$C56,IS!AA$51,AA65)</f>
        <v>171.11370455143791</v>
      </c>
      <c r="AB65" s="82">
        <f ca="1">IF(Case=$C56,IS!AB$51,AB65)</f>
        <v>182.99999999999997</v>
      </c>
      <c r="AC65" s="82">
        <f ca="1">IF(Case=$C56,IS!AC$51,AC65)</f>
        <v>189.70000000000002</v>
      </c>
      <c r="AD65" s="82">
        <f ca="1">IF(Case=$C56,IS!AD$51,AD65)</f>
        <v>199</v>
      </c>
      <c r="AE65" s="82">
        <f ca="1">IF(Case=$C56,IS!AE$51,AE65)</f>
        <v>210.90000000000003</v>
      </c>
      <c r="AF65" s="82">
        <f ca="1">IF(Case=$C56,IS!AF$51,AF65)</f>
        <v>215.39999999999998</v>
      </c>
      <c r="AG65" s="82">
        <f ca="1">IF(Case=$C56,IS!AG$51,AG65)</f>
        <v>218.90000000000006</v>
      </c>
      <c r="AH65" s="82">
        <f ca="1">IF(Case=$C56,IS!AH$51,AH65)</f>
        <v>242.79999999999995</v>
      </c>
      <c r="AI65" s="82">
        <f ca="1">IF(Case=$C56,IS!AI$51,AI65)</f>
        <v>257.79999999999995</v>
      </c>
      <c r="AJ65" s="82">
        <f ca="1">IF(Case=$C56,IS!AJ$51,AJ65)</f>
        <v>260.60000000000002</v>
      </c>
      <c r="AK65" s="82">
        <f ca="1">IF(Case=$C56,IS!AK$51,AK65)</f>
        <v>263.39999999999992</v>
      </c>
      <c r="AL65" s="82">
        <f ca="1">IF(Case=$C56,IS!AL$51,AL65)</f>
        <v>282.00000000000006</v>
      </c>
      <c r="AM65" s="82">
        <f ca="1">IF(Case=$C56,IS!AM$51,AM65)</f>
        <v>310.80000000000007</v>
      </c>
      <c r="AN65" s="82">
        <f ca="1">IF(Case=$C56,IS!AN$51,AN65)</f>
        <v>316.60000000000002</v>
      </c>
      <c r="AO65" s="82">
        <f ca="1">IF(Case=$C56,IS!AO$51,AO65)</f>
        <v>329.89999999999992</v>
      </c>
      <c r="AP65" s="82">
        <f ca="1">IF(Case=$C56,IS!AP$51,AP65)</f>
        <v>308.61422022362717</v>
      </c>
      <c r="AQ65" s="82">
        <f ca="1">IF(Case=$C56,IS!AQ$51,AQ65)</f>
        <v>310.83887348462974</v>
      </c>
      <c r="AR65" s="82">
        <f ca="1">IF(Case=$C56,IS!AR$51,AR65)</f>
        <v>313.57526966325213</v>
      </c>
      <c r="AS65" s="82">
        <f ca="1">IF(Case=$C56,IS!AS$51,AS65)</f>
        <v>316.71308664830929</v>
      </c>
      <c r="AT65" s="82">
        <f ca="1">IF(Case=$C56,IS!AT$51,AT65)</f>
        <v>320.14309533470646</v>
      </c>
      <c r="AU65" s="82">
        <f ca="1">IF(Case=$C56,IS!AU$51,AU65)</f>
        <v>323.77859936192169</v>
      </c>
      <c r="AV65" s="82">
        <f ca="1">IF(Case=$C56,IS!AV$51,AV65)</f>
        <v>327.58045948684816</v>
      </c>
      <c r="AW65" s="82">
        <f ca="1">IF(Case=$C56,IS!AW$51,AW65)</f>
        <v>331.51858434464503</v>
      </c>
      <c r="AX65" s="82">
        <f ca="1">IF(Case=$C56,IS!AX$51,AX65)</f>
        <v>335.5689700160757</v>
      </c>
      <c r="AY65" s="82">
        <f ca="1">IF(Case=$C56,IS!AY$51,AY65)</f>
        <v>339.57002676281121</v>
      </c>
    </row>
    <row r="66" spans="2:52">
      <c r="B66" s="6" t="s">
        <v>203</v>
      </c>
      <c r="D66" s="48"/>
      <c r="E66" s="48"/>
      <c r="F66" s="48"/>
      <c r="G66" s="48">
        <f t="shared" ref="G66:M66" ca="1" si="37">+G65/G58</f>
        <v>0.57054956116021016</v>
      </c>
      <c r="H66" s="48">
        <f t="shared" ca="1" si="37"/>
        <v>0.57991801531285925</v>
      </c>
      <c r="I66" s="48">
        <f t="shared" ca="1" si="37"/>
        <v>0.58665740097289787</v>
      </c>
      <c r="J66" s="48">
        <f t="shared" ca="1" si="37"/>
        <v>0.51309529771145279</v>
      </c>
      <c r="K66" s="48">
        <f t="shared" ca="1" si="37"/>
        <v>0.49867213906325458</v>
      </c>
      <c r="L66" s="48">
        <f t="shared" ca="1" si="37"/>
        <v>0.47961862363402075</v>
      </c>
      <c r="M66" s="48">
        <f t="shared" ca="1" si="37"/>
        <v>0.48967862444371424</v>
      </c>
      <c r="N66" s="48"/>
      <c r="T66" s="48">
        <f ca="1">+T65/T58</f>
        <v>0.53226185226716738</v>
      </c>
      <c r="U66" s="48">
        <f t="shared" ref="U66:AY66" ca="1" si="38">+U65/U58</f>
        <v>0.55745954761243866</v>
      </c>
      <c r="V66" s="48">
        <f t="shared" ca="1" si="38"/>
        <v>0.57528519472841266</v>
      </c>
      <c r="W66" s="48">
        <f t="shared" ca="1" si="38"/>
        <v>0.54183218400155098</v>
      </c>
      <c r="X66" s="48">
        <f t="shared" ca="1" si="38"/>
        <v>0.58049363657071262</v>
      </c>
      <c r="Y66" s="48">
        <f t="shared" ca="1" si="38"/>
        <v>0.58368088746839331</v>
      </c>
      <c r="Z66" s="48">
        <f t="shared" ca="1" si="38"/>
        <v>0.58718258158854686</v>
      </c>
      <c r="AA66" s="24">
        <f t="shared" ca="1" si="38"/>
        <v>0.57659205375572098</v>
      </c>
      <c r="AB66" s="48">
        <f t="shared" ca="1" si="38"/>
        <v>0.57080474111041779</v>
      </c>
      <c r="AC66" s="48">
        <f t="shared" ca="1" si="38"/>
        <v>0.58567459092312446</v>
      </c>
      <c r="AD66" s="48">
        <f t="shared" ca="1" si="38"/>
        <v>0.58409157616671559</v>
      </c>
      <c r="AE66" s="48">
        <f t="shared" ca="1" si="38"/>
        <v>0.58275766786405092</v>
      </c>
      <c r="AF66" s="48">
        <f t="shared" ca="1" si="38"/>
        <v>0.5872410032715375</v>
      </c>
      <c r="AG66" s="48">
        <f t="shared" ca="1" si="38"/>
        <v>0.59226190476190488</v>
      </c>
      <c r="AH66" s="48">
        <f t="shared" ca="1" si="38"/>
        <v>0.50794979079497904</v>
      </c>
      <c r="AI66" s="48">
        <f t="shared" ca="1" si="38"/>
        <v>0.50818056376897291</v>
      </c>
      <c r="AJ66" s="48">
        <f t="shared" ca="1" si="38"/>
        <v>0.51614181025945738</v>
      </c>
      <c r="AK66" s="48">
        <f t="shared" ca="1" si="38"/>
        <v>0.51983422143280034</v>
      </c>
      <c r="AL66" s="48">
        <f t="shared" ca="1" si="38"/>
        <v>0.51254089422028359</v>
      </c>
      <c r="AM66" s="48">
        <f t="shared" ca="1" si="38"/>
        <v>0.4871473354231976</v>
      </c>
      <c r="AN66" s="48">
        <f t="shared" ca="1" si="38"/>
        <v>0.49199689199689201</v>
      </c>
      <c r="AO66" s="48">
        <f t="shared" ca="1" si="38"/>
        <v>0.50482019892884455</v>
      </c>
      <c r="AP66" s="48">
        <f t="shared" ca="1" si="38"/>
        <v>0.47579796642501399</v>
      </c>
      <c r="AQ66" s="48">
        <f t="shared" ca="1" si="38"/>
        <v>0.47834659859101092</v>
      </c>
      <c r="AR66" s="48">
        <f t="shared" ca="1" si="38"/>
        <v>0.48088205581727028</v>
      </c>
      <c r="AS66" s="48">
        <f t="shared" ca="1" si="38"/>
        <v>0.48340526135093587</v>
      </c>
      <c r="AT66" s="48">
        <f t="shared" ca="1" si="38"/>
        <v>0.48591702376122831</v>
      </c>
      <c r="AU66" s="48">
        <f t="shared" ca="1" si="38"/>
        <v>0.48841803987558546</v>
      </c>
      <c r="AV66" s="48">
        <f t="shared" ca="1" si="38"/>
        <v>0.49090866402749656</v>
      </c>
      <c r="AW66" s="48">
        <f t="shared" ca="1" si="38"/>
        <v>0.49338912585156308</v>
      </c>
      <c r="AX66" s="48">
        <f t="shared" ca="1" si="38"/>
        <v>0.49585955685494976</v>
      </c>
      <c r="AY66" s="48">
        <f t="shared" ca="1" si="38"/>
        <v>0.49811204360096784</v>
      </c>
    </row>
    <row r="67" spans="2:52">
      <c r="B67" s="85" t="s">
        <v>201</v>
      </c>
      <c r="D67" s="18"/>
      <c r="E67" s="18"/>
      <c r="F67" s="18"/>
      <c r="G67" s="111">
        <f>+SUM(V67:Y67)</f>
        <v>606.69791983443088</v>
      </c>
      <c r="H67" s="111">
        <f>+SUM(Z67:AC67)</f>
        <v>703.66568271371648</v>
      </c>
      <c r="I67" s="111">
        <f>+SUM(AD67:AG67)</f>
        <v>795.00575977999267</v>
      </c>
      <c r="J67" s="111">
        <f>+SUM(AH67:AK67)</f>
        <v>875.48368047922077</v>
      </c>
      <c r="K67" s="111">
        <f>+SUM(AL67:AO67)</f>
        <v>964.1720021000142</v>
      </c>
      <c r="L67" s="111">
        <f>+SUM(AP67:AS67)</f>
        <v>1065.1152920110258</v>
      </c>
      <c r="M67" s="111">
        <f>+SUM(AT67:AW67)</f>
        <v>1180.6581959252524</v>
      </c>
      <c r="N67" s="18"/>
      <c r="T67" s="19">
        <v>125.6178835624993</v>
      </c>
      <c r="U67" s="19">
        <v>139.37871740345793</v>
      </c>
      <c r="V67" s="19">
        <v>147.59169075010976</v>
      </c>
      <c r="W67" s="19">
        <v>141.8387842906065</v>
      </c>
      <c r="X67" s="19">
        <v>155.60177105606056</v>
      </c>
      <c r="Y67" s="19">
        <v>161.665673737654</v>
      </c>
      <c r="Z67" s="19">
        <v>165.22903738364963</v>
      </c>
      <c r="AA67" s="20">
        <v>171.11370455143788</v>
      </c>
      <c r="AB67" s="19">
        <v>181.374326063746</v>
      </c>
      <c r="AC67" s="19">
        <v>185.94861471488298</v>
      </c>
      <c r="AD67" s="19">
        <v>191.52585143603733</v>
      </c>
      <c r="AE67" s="19">
        <v>196.4464068658518</v>
      </c>
      <c r="AF67" s="19">
        <v>201.08281102719869</v>
      </c>
      <c r="AG67" s="19">
        <v>205.95069045090483</v>
      </c>
      <c r="AH67" s="19">
        <v>210.55745532438084</v>
      </c>
      <c r="AI67" s="19">
        <v>215.97015013959654</v>
      </c>
      <c r="AJ67" s="19">
        <v>221.29396997899585</v>
      </c>
      <c r="AK67" s="19">
        <v>227.6621050362476</v>
      </c>
      <c r="AL67" s="19">
        <v>232.59476372451638</v>
      </c>
      <c r="AM67" s="19">
        <v>238.07913006267202</v>
      </c>
      <c r="AN67" s="19">
        <v>243.73288893524733</v>
      </c>
      <c r="AO67" s="19">
        <v>249.76521937757843</v>
      </c>
      <c r="AP67" s="19">
        <v>256.17404618594469</v>
      </c>
      <c r="AQ67" s="19">
        <v>262.79252794004145</v>
      </c>
      <c r="AR67" s="19">
        <v>269.62074465713675</v>
      </c>
      <c r="AS67" s="19">
        <v>276.52797322790286</v>
      </c>
      <c r="AT67" s="19">
        <v>283.66676558994658</v>
      </c>
      <c r="AU67" s="19">
        <v>291.05732782580429</v>
      </c>
      <c r="AV67" s="19">
        <v>298.72432534755171</v>
      </c>
      <c r="AW67" s="19">
        <v>307.20977716194983</v>
      </c>
      <c r="AX67" s="19">
        <v>316.02612785391062</v>
      </c>
      <c r="AY67" s="19">
        <v>325.21051036974251</v>
      </c>
      <c r="AZ67" s="85"/>
    </row>
    <row r="68" spans="2:52">
      <c r="B68" s="86" t="s">
        <v>203</v>
      </c>
      <c r="D68" s="48"/>
      <c r="E68" s="48"/>
      <c r="F68" s="48"/>
      <c r="G68" s="48">
        <f t="shared" ref="G68:M68" si="39">+G67/G61</f>
        <v>0.57054956116021005</v>
      </c>
      <c r="H68" s="48">
        <f t="shared" si="39"/>
        <v>0.5750307106909085</v>
      </c>
      <c r="I68" s="48">
        <f t="shared" si="39"/>
        <v>0.58209252266474021</v>
      </c>
      <c r="J68" s="48">
        <f t="shared" si="39"/>
        <v>0.59174318377432067</v>
      </c>
      <c r="K68" s="48">
        <f t="shared" si="39"/>
        <v>0.59941671676667074</v>
      </c>
      <c r="L68" s="48">
        <f t="shared" si="39"/>
        <v>0.6072400152274875</v>
      </c>
      <c r="M68" s="48">
        <f t="shared" si="39"/>
        <v>0.61691942744633221</v>
      </c>
      <c r="N68" s="48"/>
      <c r="T68" s="48">
        <f>+T67/T61</f>
        <v>0.53226185226716738</v>
      </c>
      <c r="U68" s="48">
        <f t="shared" ref="U68:AY68" si="40">+U67/U61</f>
        <v>0.55745954761243866</v>
      </c>
      <c r="V68" s="48">
        <f t="shared" si="40"/>
        <v>0.57528519472841266</v>
      </c>
      <c r="W68" s="48">
        <f t="shared" si="40"/>
        <v>0.54183218400155075</v>
      </c>
      <c r="X68" s="48">
        <f t="shared" si="40"/>
        <v>0.58049363657071251</v>
      </c>
      <c r="Y68" s="48">
        <f t="shared" si="40"/>
        <v>0.58368088746839319</v>
      </c>
      <c r="Z68" s="48">
        <f t="shared" si="40"/>
        <v>0.58718258158854686</v>
      </c>
      <c r="AA68" s="24">
        <f t="shared" si="40"/>
        <v>0.57659205375572087</v>
      </c>
      <c r="AB68" s="48">
        <f t="shared" si="40"/>
        <v>0.56722896108046694</v>
      </c>
      <c r="AC68" s="48">
        <f t="shared" si="40"/>
        <v>0.57076975737119939</v>
      </c>
      <c r="AD68" s="48">
        <f t="shared" si="40"/>
        <v>0.57730080888261037</v>
      </c>
      <c r="AE68" s="48">
        <f t="shared" si="40"/>
        <v>0.58111073754362208</v>
      </c>
      <c r="AF68" s="48">
        <f t="shared" si="40"/>
        <v>0.58358630237243969</v>
      </c>
      <c r="AG68" s="48">
        <f t="shared" si="40"/>
        <v>0.58609628092601496</v>
      </c>
      <c r="AH68" s="48">
        <f t="shared" si="40"/>
        <v>0.58746781722442609</v>
      </c>
      <c r="AI68" s="48">
        <f t="shared" si="40"/>
        <v>0.590332689631206</v>
      </c>
      <c r="AJ68" s="48">
        <f t="shared" si="40"/>
        <v>0.59236080920171952</v>
      </c>
      <c r="AK68" s="48">
        <f t="shared" si="40"/>
        <v>0.59650566453717446</v>
      </c>
      <c r="AL68" s="48">
        <f t="shared" si="40"/>
        <v>0.59736731826072542</v>
      </c>
      <c r="AM68" s="48">
        <f t="shared" si="40"/>
        <v>0.59869487328987614</v>
      </c>
      <c r="AN68" s="48">
        <f t="shared" si="40"/>
        <v>0.59988970107841899</v>
      </c>
      <c r="AO68" s="48">
        <f t="shared" si="40"/>
        <v>0.60156716376321573</v>
      </c>
      <c r="AP68" s="48">
        <f t="shared" si="40"/>
        <v>0.60374108462366027</v>
      </c>
      <c r="AQ68" s="48">
        <f t="shared" si="40"/>
        <v>0.606017311233228</v>
      </c>
      <c r="AR68" s="48">
        <f t="shared" si="40"/>
        <v>0.60839251488093282</v>
      </c>
      <c r="AS68" s="48">
        <f t="shared" si="40"/>
        <v>0.61056098663706504</v>
      </c>
      <c r="AT68" s="48">
        <f t="shared" si="40"/>
        <v>0.61284448462112273</v>
      </c>
      <c r="AU68" s="48">
        <f t="shared" si="40"/>
        <v>0.6152492214372367</v>
      </c>
      <c r="AV68" s="48">
        <f t="shared" si="40"/>
        <v>0.6177822796598591</v>
      </c>
      <c r="AW68" s="48">
        <f t="shared" si="40"/>
        <v>0.62148955059463695</v>
      </c>
      <c r="AX68" s="48">
        <f t="shared" si="40"/>
        <v>0.62528101519192159</v>
      </c>
      <c r="AY68" s="48">
        <f t="shared" si="40"/>
        <v>0.629167124994084</v>
      </c>
      <c r="AZ68" s="86"/>
    </row>
    <row r="69" spans="2:52">
      <c r="D69" s="6"/>
      <c r="E69" s="6"/>
      <c r="F69" s="6"/>
      <c r="G69" s="6"/>
      <c r="H69" s="6"/>
      <c r="I69" s="6"/>
      <c r="J69" s="6"/>
      <c r="K69" s="6"/>
      <c r="L69" s="6"/>
      <c r="M69" s="6"/>
      <c r="N69" s="6"/>
    </row>
    <row r="70" spans="2:52">
      <c r="B70" s="6" t="s">
        <v>251</v>
      </c>
      <c r="D70" s="82"/>
      <c r="E70" s="82"/>
      <c r="F70" s="82"/>
      <c r="G70" s="111">
        <f ca="1">+SUM(V70:Y70)</f>
        <v>372.58576019012742</v>
      </c>
      <c r="H70" s="111">
        <f ca="1">+SUM(Z70:AC70)</f>
        <v>430.6082398098726</v>
      </c>
      <c r="I70" s="111">
        <f ca="1">+SUM(AD70:AG70)</f>
        <v>617.20000000000005</v>
      </c>
      <c r="J70" s="111">
        <f ca="1">+SUM(AH70:AK70)</f>
        <v>794.40000000000009</v>
      </c>
      <c r="K70" s="111">
        <f ca="1">+SUM(AL70:AO70)</f>
        <v>800.40000000000009</v>
      </c>
      <c r="L70" s="111">
        <f ca="1">+SUM(AP70:AS70)</f>
        <v>977.19287798738219</v>
      </c>
      <c r="M70" s="111">
        <f ca="1">+SUM(AT70:AW70)</f>
        <v>1011.1690727835733</v>
      </c>
      <c r="N70" s="82"/>
      <c r="T70" s="82">
        <f ca="1">IF(Case=$C56,BS!T$69,T70)</f>
        <v>66.687000019999999</v>
      </c>
      <c r="U70" s="82">
        <f ca="1">IF(Case=$C56,BS!U$69,U70)</f>
        <v>58.91</v>
      </c>
      <c r="V70" s="82">
        <f ca="1">IF(Case=$C56,BS!V$69,V70)</f>
        <v>95.73</v>
      </c>
      <c r="W70" s="82">
        <f ca="1">IF(Case=$C56,BS!W$69,W70)</f>
        <v>101.907</v>
      </c>
      <c r="X70" s="82">
        <f ca="1">IF(Case=$C56,BS!X$69,X70)</f>
        <v>86.671996482221047</v>
      </c>
      <c r="Y70" s="82">
        <f ca="1">IF(Case=$C56,BS!Y$69,Y70)</f>
        <v>88.276763707906341</v>
      </c>
      <c r="Z70" s="82">
        <f ca="1">IF(Case=$C56,BS!Z$69,Z70)</f>
        <v>90.922727784094747</v>
      </c>
      <c r="AA70" s="88">
        <f ca="1">IF(Case=$C56,BS!AA$69,AA70)</f>
        <v>94.885512025777871</v>
      </c>
      <c r="AB70" s="82">
        <f ca="1">IF(Case=$C56,BS!AB$69,AB70)</f>
        <v>115.3</v>
      </c>
      <c r="AC70" s="82">
        <f ca="1">IF(Case=$C56,BS!AC$69,AC70)</f>
        <v>129.5</v>
      </c>
      <c r="AD70" s="82">
        <f ca="1">IF(Case=$C56,BS!AD$69,AD70)</f>
        <v>130.09999999999997</v>
      </c>
      <c r="AE70" s="82">
        <f ca="1">IF(Case=$C56,BS!AE$69,AE70)</f>
        <v>155.5</v>
      </c>
      <c r="AF70" s="82">
        <f ca="1">IF(Case=$C56,BS!AF$69,AF70)</f>
        <v>159.19999999999999</v>
      </c>
      <c r="AG70" s="82">
        <f ca="1">IF(Case=$C56,BS!AG$69,AG70)</f>
        <v>172.40000000000003</v>
      </c>
      <c r="AH70" s="82">
        <f ca="1">IF(Case=$C56,BS!AH$69,AH70)</f>
        <v>185.10000000000002</v>
      </c>
      <c r="AI70" s="82">
        <f ca="1">IF(Case=$C56,BS!AI$69,AI70)</f>
        <v>187.40000000000003</v>
      </c>
      <c r="AJ70" s="82">
        <f ca="1">IF(Case=$C56,BS!AJ$69,AJ70)</f>
        <v>208.3</v>
      </c>
      <c r="AK70" s="82">
        <f ca="1">IF(Case=$C56,BS!AK$69,AK70)</f>
        <v>213.59999999999997</v>
      </c>
      <c r="AL70" s="82">
        <f ca="1">IF(Case=$C56,BS!AL$69,AL70)</f>
        <v>208.30000000000007</v>
      </c>
      <c r="AM70" s="82">
        <f ca="1">IF(Case=$C56,BS!AM$69,AM70)</f>
        <v>205.3</v>
      </c>
      <c r="AN70" s="82">
        <f ca="1">IF(Case=$C56,BS!AN$69,AN70)</f>
        <v>193.4</v>
      </c>
      <c r="AO70" s="82">
        <f ca="1">IF(Case=$C56,BS!AO$69,AO70)</f>
        <v>193.4</v>
      </c>
      <c r="AP70" s="82">
        <f ca="1">IF(Case=$C56,BS!AP$69,AP70)</f>
        <v>233.50482162688135</v>
      </c>
      <c r="AQ70" s="82">
        <f ca="1">IF(Case=$C56,BS!AQ$69,AQ70)</f>
        <v>246.93135118360388</v>
      </c>
      <c r="AR70" s="82">
        <f ca="1">IF(Case=$C56,BS!AR$69,AR70)</f>
        <v>247.79174234214872</v>
      </c>
      <c r="AS70" s="82">
        <f ca="1">IF(Case=$C56,BS!AS$69,AS70)</f>
        <v>248.96496283474829</v>
      </c>
      <c r="AT70" s="82">
        <f ca="1">IF(Case=$C56,BS!AT$69,AT70)</f>
        <v>250.36039133909296</v>
      </c>
      <c r="AU70" s="82">
        <f ca="1">IF(Case=$C56,BS!AU$69,AU70)</f>
        <v>251.90688654512255</v>
      </c>
      <c r="AV70" s="82">
        <f ca="1">IF(Case=$C56,BS!AV$69,AV70)</f>
        <v>253.5717613613557</v>
      </c>
      <c r="AW70" s="82">
        <f ca="1">IF(Case=$C56,BS!AW$69,AW70)</f>
        <v>255.33003353800203</v>
      </c>
      <c r="AX70" s="82">
        <f ca="1">IF(Case=$C56,BS!AX$69,AX70)</f>
        <v>257.16194604556182</v>
      </c>
      <c r="AY70" s="82">
        <f ca="1">IF(Case=$C56,BS!AY$69,AY70)</f>
        <v>190.87996107509176</v>
      </c>
    </row>
    <row r="71" spans="2:52">
      <c r="B71" s="6" t="s">
        <v>202</v>
      </c>
      <c r="D71" s="48"/>
      <c r="E71" s="48"/>
      <c r="F71" s="48"/>
      <c r="G71" s="48">
        <f t="shared" ref="G71:M71" ca="1" si="41">+G70/G58</f>
        <v>0.35038630432264151</v>
      </c>
      <c r="H71" s="48">
        <f t="shared" ca="1" si="41"/>
        <v>0.35218959456010701</v>
      </c>
      <c r="I71" s="48">
        <f t="shared" ca="1" si="41"/>
        <v>0.42890896455872135</v>
      </c>
      <c r="J71" s="48">
        <f t="shared" ca="1" si="41"/>
        <v>0.3978166157544194</v>
      </c>
      <c r="K71" s="48">
        <f t="shared" ca="1" si="41"/>
        <v>0.32206663447609857</v>
      </c>
      <c r="L71" s="48">
        <f t="shared" ca="1" si="41"/>
        <v>0.37502149197167423</v>
      </c>
      <c r="M71" s="48">
        <f t="shared" ca="1" si="41"/>
        <v>0.38000000000000006</v>
      </c>
      <c r="N71" s="48"/>
      <c r="T71" s="48">
        <f ca="1">+T70/T58</f>
        <v>0.28256284174001267</v>
      </c>
      <c r="U71" s="48">
        <f t="shared" ref="U71:AY71" ca="1" si="42">+U70/U58</f>
        <v>0.23561661752695978</v>
      </c>
      <c r="V71" s="48">
        <f t="shared" ca="1" si="42"/>
        <v>0.3731378874478406</v>
      </c>
      <c r="W71" s="48">
        <f t="shared" ca="1" si="42"/>
        <v>0.38929050789039249</v>
      </c>
      <c r="X71" s="48">
        <f t="shared" ca="1" si="42"/>
        <v>0.32334170803674073</v>
      </c>
      <c r="Y71" s="48">
        <f t="shared" ca="1" si="42"/>
        <v>0.31871614173013818</v>
      </c>
      <c r="Z71" s="48">
        <f t="shared" ca="1" si="42"/>
        <v>0.32311658332411569</v>
      </c>
      <c r="AA71" s="24">
        <f t="shared" ca="1" si="42"/>
        <v>0.31973027756032346</v>
      </c>
      <c r="AB71" s="48">
        <f t="shared" ca="1" si="42"/>
        <v>0.35963817841547097</v>
      </c>
      <c r="AC71" s="48">
        <f t="shared" ca="1" si="42"/>
        <v>0.39981475764124735</v>
      </c>
      <c r="AD71" s="48">
        <f t="shared" ca="1" si="42"/>
        <v>0.3818608746697974</v>
      </c>
      <c r="AE71" s="48">
        <f t="shared" ca="1" si="42"/>
        <v>0.42967670627245097</v>
      </c>
      <c r="AF71" s="48">
        <f t="shared" ca="1" si="42"/>
        <v>0.43402399127589963</v>
      </c>
      <c r="AG71" s="48">
        <f t="shared" ca="1" si="42"/>
        <v>0.4664502164502165</v>
      </c>
      <c r="AH71" s="48">
        <f t="shared" ca="1" si="42"/>
        <v>0.38723849372384944</v>
      </c>
      <c r="AI71" s="48">
        <f t="shared" ca="1" si="42"/>
        <v>0.36940666272422634</v>
      </c>
      <c r="AJ71" s="48">
        <f t="shared" ca="1" si="42"/>
        <v>0.41255694196870674</v>
      </c>
      <c r="AK71" s="48">
        <f t="shared" ca="1" si="42"/>
        <v>0.42155121373593835</v>
      </c>
      <c r="AL71" s="48">
        <f t="shared" ca="1" si="42"/>
        <v>0.3785896037804436</v>
      </c>
      <c r="AM71" s="48">
        <f t="shared" ca="1" si="42"/>
        <v>0.32178683385579937</v>
      </c>
      <c r="AN71" s="48">
        <f t="shared" ca="1" si="42"/>
        <v>0.30054390054390057</v>
      </c>
      <c r="AO71" s="48">
        <f t="shared" ca="1" si="42"/>
        <v>0.29594491201224177</v>
      </c>
      <c r="AP71" s="48">
        <f t="shared" ca="1" si="42"/>
        <v>0.36</v>
      </c>
      <c r="AQ71" s="48">
        <f t="shared" ca="1" si="42"/>
        <v>0.38</v>
      </c>
      <c r="AR71" s="48">
        <f t="shared" ca="1" si="42"/>
        <v>0.38</v>
      </c>
      <c r="AS71" s="48">
        <f t="shared" ca="1" si="42"/>
        <v>0.38</v>
      </c>
      <c r="AT71" s="48">
        <f t="shared" ca="1" si="42"/>
        <v>0.38</v>
      </c>
      <c r="AU71" s="48">
        <f t="shared" ca="1" si="42"/>
        <v>0.38</v>
      </c>
      <c r="AV71" s="48">
        <f t="shared" ca="1" si="42"/>
        <v>0.38</v>
      </c>
      <c r="AW71" s="48">
        <f t="shared" ca="1" si="42"/>
        <v>0.38</v>
      </c>
      <c r="AX71" s="48">
        <f t="shared" ca="1" si="42"/>
        <v>0.38000000000000006</v>
      </c>
      <c r="AY71" s="48">
        <f t="shared" ca="1" si="42"/>
        <v>0.28000000000000003</v>
      </c>
    </row>
    <row r="72" spans="2:52">
      <c r="B72" s="85" t="s">
        <v>201</v>
      </c>
      <c r="D72" s="18"/>
      <c r="E72" s="18"/>
      <c r="F72" s="18"/>
      <c r="G72" s="111">
        <f>+SUM(V72:Y72)</f>
        <v>372.58433953012764</v>
      </c>
      <c r="H72" s="111">
        <f>+SUM(Z72:AC72)</f>
        <v>441.98909403581621</v>
      </c>
      <c r="I72" s="111">
        <f>+SUM(AD72:AG72)</f>
        <v>526.37490647322772</v>
      </c>
      <c r="J72" s="111">
        <f>+SUM(AH72:AK72)</f>
        <v>578.84114592067567</v>
      </c>
      <c r="K72" s="111">
        <f>+SUM(AL72:AO72)</f>
        <v>640.08913855440107</v>
      </c>
      <c r="L72" s="111">
        <f>+SUM(AP72:AS72)</f>
        <v>672.7906306822606</v>
      </c>
      <c r="M72" s="111">
        <f>+SUM(AT72:AW72)</f>
        <v>702.97974864801972</v>
      </c>
      <c r="N72" s="18"/>
      <c r="T72" s="19">
        <v>66.687000019999999</v>
      </c>
      <c r="U72" s="19">
        <v>58.91</v>
      </c>
      <c r="V72" s="19">
        <v>95.73</v>
      </c>
      <c r="W72" s="19">
        <v>101.907</v>
      </c>
      <c r="X72" s="19">
        <v>86.671996822220791</v>
      </c>
      <c r="Y72" s="19">
        <v>88.275342707906788</v>
      </c>
      <c r="Z72" s="19">
        <v>90.922727774094895</v>
      </c>
      <c r="AA72" s="20">
        <v>94.886900697620305</v>
      </c>
      <c r="AB72" s="19">
        <v>122.64550073855338</v>
      </c>
      <c r="AC72" s="19">
        <v>133.53396482554763</v>
      </c>
      <c r="AD72" s="19">
        <v>132.48862971686015</v>
      </c>
      <c r="AE72" s="19">
        <v>128.49417766039068</v>
      </c>
      <c r="AF72" s="19">
        <v>131.32076922124907</v>
      </c>
      <c r="AG72" s="19">
        <v>134.07132987472784</v>
      </c>
      <c r="AH72" s="19">
        <v>137.31113239990361</v>
      </c>
      <c r="AI72" s="19">
        <v>141.86731924755227</v>
      </c>
      <c r="AJ72" s="19">
        <v>147.28795099124267</v>
      </c>
      <c r="AK72" s="19">
        <v>152.37474328197712</v>
      </c>
      <c r="AL72" s="19">
        <v>156.25456642208644</v>
      </c>
      <c r="AM72" s="19">
        <v>158.92361019506922</v>
      </c>
      <c r="AN72" s="19">
        <v>161.37754749869754</v>
      </c>
      <c r="AO72" s="19">
        <v>163.53341443854788</v>
      </c>
      <c r="AP72" s="19">
        <v>165.49930625832536</v>
      </c>
      <c r="AQ72" s="19">
        <v>167.31771433251427</v>
      </c>
      <c r="AR72" s="19">
        <v>169.07863495798779</v>
      </c>
      <c r="AS72" s="19">
        <v>170.89497513343315</v>
      </c>
      <c r="AT72" s="19">
        <v>172.76982543926874</v>
      </c>
      <c r="AU72" s="19">
        <v>174.7072539897523</v>
      </c>
      <c r="AV72" s="19">
        <v>176.71220825629393</v>
      </c>
      <c r="AW72" s="19">
        <v>178.79046096270477</v>
      </c>
      <c r="AX72" s="19">
        <v>180.94858891956298</v>
      </c>
      <c r="AY72" s="19">
        <v>180.94858891956298</v>
      </c>
      <c r="AZ72" s="85"/>
    </row>
    <row r="73" spans="2:52">
      <c r="B73" s="86" t="s">
        <v>202</v>
      </c>
      <c r="D73" s="48"/>
      <c r="E73" s="48"/>
      <c r="F73" s="48"/>
      <c r="G73" s="48">
        <f t="shared" ref="G73:M73" si="43">+G72/G61</f>
        <v>0.35038496830860066</v>
      </c>
      <c r="H73" s="48">
        <f t="shared" si="43"/>
        <v>0.36119041912187305</v>
      </c>
      <c r="I73" s="48">
        <f t="shared" si="43"/>
        <v>0.38540462557303945</v>
      </c>
      <c r="J73" s="48">
        <f t="shared" si="43"/>
        <v>0.39124121925286587</v>
      </c>
      <c r="K73" s="48">
        <f t="shared" si="43"/>
        <v>0.39793743132409093</v>
      </c>
      <c r="L73" s="48">
        <f t="shared" si="43"/>
        <v>0.38356917404597518</v>
      </c>
      <c r="M73" s="48">
        <f t="shared" si="43"/>
        <v>0.36732211366426604</v>
      </c>
      <c r="N73" s="48"/>
      <c r="T73" s="48">
        <f>+T72/T61</f>
        <v>0.28256284174001267</v>
      </c>
      <c r="U73" s="48">
        <f t="shared" ref="U73:AY73" si="44">+U72/U61</f>
        <v>0.23561661752695978</v>
      </c>
      <c r="V73" s="48">
        <f t="shared" si="44"/>
        <v>0.3731378874478406</v>
      </c>
      <c r="W73" s="48">
        <f t="shared" si="44"/>
        <v>0.38929050789039249</v>
      </c>
      <c r="X73" s="48">
        <f t="shared" si="44"/>
        <v>0.32334170930515616</v>
      </c>
      <c r="Y73" s="48">
        <f t="shared" si="44"/>
        <v>0.31871101132414875</v>
      </c>
      <c r="Z73" s="48">
        <f t="shared" si="44"/>
        <v>0.32311658328857873</v>
      </c>
      <c r="AA73" s="24">
        <f t="shared" si="44"/>
        <v>0.3197349568883277</v>
      </c>
      <c r="AB73" s="48">
        <f t="shared" si="44"/>
        <v>0.38356079096152129</v>
      </c>
      <c r="AC73" s="48">
        <f t="shared" si="44"/>
        <v>0.40988285296535643</v>
      </c>
      <c r="AD73" s="48">
        <f t="shared" si="44"/>
        <v>0.39934970934634112</v>
      </c>
      <c r="AE73" s="48">
        <f t="shared" si="44"/>
        <v>0.38010034157194134</v>
      </c>
      <c r="AF73" s="48">
        <f t="shared" si="44"/>
        <v>0.38112159733119716</v>
      </c>
      <c r="AG73" s="48">
        <f t="shared" si="44"/>
        <v>0.38154136626754714</v>
      </c>
      <c r="AH73" s="48">
        <f t="shared" si="44"/>
        <v>0.38310622203955319</v>
      </c>
      <c r="AI73" s="48">
        <f t="shared" si="44"/>
        <v>0.3877800524194836</v>
      </c>
      <c r="AJ73" s="48">
        <f t="shared" si="44"/>
        <v>0.39426112624359733</v>
      </c>
      <c r="AK73" s="48">
        <f t="shared" si="44"/>
        <v>0.3992425418609985</v>
      </c>
      <c r="AL73" s="48">
        <f t="shared" si="44"/>
        <v>0.4013046975559047</v>
      </c>
      <c r="AM73" s="48">
        <f t="shared" si="44"/>
        <v>0.39964339017645178</v>
      </c>
      <c r="AN73" s="48">
        <f t="shared" si="44"/>
        <v>0.39719189787095688</v>
      </c>
      <c r="AO73" s="48">
        <f t="shared" si="44"/>
        <v>0.39387522630039601</v>
      </c>
      <c r="AP73" s="48">
        <f t="shared" si="44"/>
        <v>0.39004236437105094</v>
      </c>
      <c r="AQ73" s="48">
        <f t="shared" si="44"/>
        <v>0.38584594530257871</v>
      </c>
      <c r="AR73" s="48">
        <f t="shared" si="44"/>
        <v>0.38152174108685588</v>
      </c>
      <c r="AS73" s="48">
        <f t="shared" si="44"/>
        <v>0.37732820810425372</v>
      </c>
      <c r="AT73" s="48">
        <f t="shared" si="44"/>
        <v>0.37325851130007209</v>
      </c>
      <c r="AU73" s="48">
        <f t="shared" si="44"/>
        <v>0.36930354167534918</v>
      </c>
      <c r="AV73" s="48">
        <f t="shared" si="44"/>
        <v>0.3654528995363443</v>
      </c>
      <c r="AW73" s="48">
        <f t="shared" si="44"/>
        <v>0.36169553020359385</v>
      </c>
      <c r="AX73" s="48">
        <f t="shared" si="44"/>
        <v>0.3580201363270602</v>
      </c>
      <c r="AY73" s="48">
        <f t="shared" si="44"/>
        <v>0.35007141476707354</v>
      </c>
      <c r="AZ73" s="86"/>
    </row>
    <row r="74" spans="2:52">
      <c r="D74" s="6"/>
      <c r="E74" s="6"/>
      <c r="F74" s="6"/>
      <c r="G74" s="6"/>
      <c r="H74" s="6"/>
      <c r="I74" s="6"/>
      <c r="J74" s="6"/>
      <c r="K74" s="6"/>
      <c r="L74" s="6"/>
      <c r="M74" s="6"/>
      <c r="N74" s="6"/>
    </row>
    <row r="75" spans="2:52">
      <c r="B75" s="6" t="s">
        <v>249</v>
      </c>
      <c r="D75" s="6"/>
      <c r="E75" s="6"/>
      <c r="F75" s="6"/>
      <c r="G75" s="111"/>
      <c r="H75" s="111"/>
      <c r="I75" s="111">
        <f ca="1">+SUM(AD75:AG75)</f>
        <v>465.6</v>
      </c>
      <c r="J75" s="111">
        <f ca="1">+SUM(AH75:AK75)</f>
        <v>612.69999999999993</v>
      </c>
      <c r="K75" s="111">
        <f ca="1">+SUM(AL75:AO75)</f>
        <v>684.2</v>
      </c>
      <c r="L75" s="111">
        <f ca="1">+SUM(AP75:AS75)</f>
        <v>872.51097285304411</v>
      </c>
      <c r="M75" s="111">
        <f ca="1">+SUM(AT75:AW75)</f>
        <v>870.68201335300535</v>
      </c>
      <c r="N75" s="82"/>
      <c r="AB75" s="82">
        <f ca="1">IF(Case=$C56,BS!AB$75,AB75)</f>
        <v>72.099999999999994</v>
      </c>
      <c r="AC75" s="82">
        <f ca="1">IF(Case=$C56,BS!AC$75,AC75)</f>
        <v>88.600000000000009</v>
      </c>
      <c r="AD75" s="82">
        <f ca="1">IF(Case=$C56,BS!AD$75,AD75)</f>
        <v>90.599999999999966</v>
      </c>
      <c r="AE75" s="82">
        <f ca="1">IF(Case=$C56,BS!AE$75,AE75)</f>
        <v>130</v>
      </c>
      <c r="AF75" s="82">
        <f ca="1">IF(Case=$C56,BS!AF$75,AF75)</f>
        <v>109.49999999999999</v>
      </c>
      <c r="AG75" s="82">
        <f ca="1">IF(Case=$C56,BS!AG$75,AG75)</f>
        <v>135.50000000000006</v>
      </c>
      <c r="AH75" s="82">
        <f ca="1">IF(Case=$C56,BS!AH$75,AH75)</f>
        <v>126.30000000000001</v>
      </c>
      <c r="AI75" s="82">
        <f ca="1">IF(Case=$C56,BS!AI$75,AI75)</f>
        <v>148.80000000000001</v>
      </c>
      <c r="AJ75" s="82">
        <f ca="1">IF(Case=$C56,BS!AJ$75,AJ75)</f>
        <v>167.4</v>
      </c>
      <c r="AK75" s="82">
        <f ca="1">IF(Case=$C56,BS!AK$75,AK75)</f>
        <v>170.19999999999996</v>
      </c>
      <c r="AL75" s="82">
        <f ca="1">IF(Case=$C56,BS!AL$75,AL75)</f>
        <v>135.90000000000009</v>
      </c>
      <c r="AM75" s="82">
        <f ca="1">IF(Case=$C56,BS!AM$75,AM75)</f>
        <v>161.5</v>
      </c>
      <c r="AN75" s="82">
        <f ca="1">IF(Case=$C56,BS!AN$75,AN75)</f>
        <v>193.4</v>
      </c>
      <c r="AO75" s="82">
        <f ca="1">IF(Case=$C56,BS!AO$75,AO75)</f>
        <v>193.4</v>
      </c>
      <c r="AP75" s="82">
        <f ca="1">IF(Case=$C56,BS!AP$75,AP75)</f>
        <v>207.30127100885451</v>
      </c>
      <c r="AQ75" s="82">
        <f ca="1">IF(Case=$C56,BS!AQ$75,AQ75)</f>
        <v>224.5238621384182</v>
      </c>
      <c r="AR75" s="82">
        <f ca="1">IF(Case=$C56,BS!AR$75,AR75)</f>
        <v>221.38387219143192</v>
      </c>
      <c r="AS75" s="82">
        <f ca="1">IF(Case=$C56,BS!AS$75,AS75)</f>
        <v>219.30196751433951</v>
      </c>
      <c r="AT75" s="82">
        <f ca="1">IF(Case=$C56,BS!AT$75,AT75)</f>
        <v>218.0664882583589</v>
      </c>
      <c r="AU75" s="82">
        <f ca="1">IF(Case=$C56,BS!AU$75,AU75)</f>
        <v>217.50548702823463</v>
      </c>
      <c r="AV75" s="82">
        <f ca="1">IF(Case=$C56,BS!AV$75,AV75)</f>
        <v>217.41331675151491</v>
      </c>
      <c r="AW75" s="82">
        <f ca="1">IF(Case=$C56,BS!AW$75,AW75)</f>
        <v>217.69672131489691</v>
      </c>
      <c r="AX75" s="82">
        <f ca="1">IF(Case=$C56,BS!AX$75,AX75)</f>
        <v>218.28421564518155</v>
      </c>
      <c r="AY75" s="82">
        <f ca="1">IF(Case=$C56,BS!AY$75,AY75)</f>
        <v>142.96225664407919</v>
      </c>
    </row>
    <row r="76" spans="2:52">
      <c r="D76" s="6"/>
      <c r="E76" s="6"/>
      <c r="F76" s="6"/>
      <c r="G76" s="6"/>
      <c r="H76" s="6"/>
      <c r="I76" s="111"/>
      <c r="J76" s="111"/>
      <c r="K76" s="111"/>
      <c r="L76" s="111"/>
      <c r="M76" s="111"/>
      <c r="N76" s="6"/>
    </row>
    <row r="77" spans="2:52">
      <c r="B77" s="6" t="s">
        <v>298</v>
      </c>
      <c r="D77" s="82"/>
      <c r="E77" s="82"/>
      <c r="F77" s="82"/>
      <c r="G77" s="82"/>
      <c r="H77" s="82"/>
      <c r="I77" s="111">
        <f ca="1">+SUM(AD77:AG77)</f>
        <v>378.6</v>
      </c>
      <c r="J77" s="111">
        <f ca="1">+SUM(AH77:AK77)</f>
        <v>411.89999999999986</v>
      </c>
      <c r="K77" s="111">
        <f ca="1">+SUM(AL77:AO77)</f>
        <v>555.09999999999991</v>
      </c>
      <c r="L77" s="111">
        <f ca="1">+SUM(AP77:AS77)</f>
        <v>377.23047716677422</v>
      </c>
      <c r="M77" s="111">
        <f ca="1">+SUM(AT77:AW77)</f>
        <v>432.338725175116</v>
      </c>
      <c r="N77" s="82"/>
      <c r="O77" s="2">
        <f ca="1">(L77/I77)^(1/3)-1</f>
        <v>-1.2072349890430711E-3</v>
      </c>
      <c r="T77" s="82"/>
      <c r="U77" s="82"/>
      <c r="V77" s="82"/>
      <c r="W77" s="82"/>
      <c r="X77" s="82"/>
      <c r="Y77" s="82"/>
      <c r="Z77" s="82"/>
      <c r="AA77" s="88"/>
      <c r="AB77" s="82">
        <f ca="1">IF(Case=$C56,CF!AB$65,AB77)</f>
        <v>110.89999999999998</v>
      </c>
      <c r="AC77" s="82">
        <f ca="1">IF(Case=$C56,CF!AC$65,AC77)</f>
        <v>101.10000000000001</v>
      </c>
      <c r="AD77" s="82">
        <f ca="1">IF(Case=$C56,CF!AD$65,AD77)</f>
        <v>108.40000000000003</v>
      </c>
      <c r="AE77" s="82">
        <f ca="1">IF(Case=$C56,CF!AE$65,AE77)</f>
        <v>80.900000000000034</v>
      </c>
      <c r="AF77" s="82">
        <f ca="1">IF(Case=$C56,CF!AF$65,AF77)</f>
        <v>105.89999999999999</v>
      </c>
      <c r="AG77" s="82">
        <f ca="1">IF(Case=$C56,CF!AG$65,AG77)</f>
        <v>83.4</v>
      </c>
      <c r="AH77" s="82">
        <f ca="1">IF(Case=$C56,CF!AH$65,AH77)</f>
        <v>116.49999999999994</v>
      </c>
      <c r="AI77" s="82">
        <f ca="1">IF(Case=$C56,CF!AI$65,AI77)</f>
        <v>108.99999999999994</v>
      </c>
      <c r="AJ77" s="82">
        <f ca="1">IF(Case=$C56,CF!AJ$65,AJ77)</f>
        <v>93.200000000000017</v>
      </c>
      <c r="AK77" s="82">
        <f ca="1">IF(Case=$C56,CF!AK$65,AK77)</f>
        <v>93.19999999999996</v>
      </c>
      <c r="AL77" s="82">
        <f ca="1">IF(Case=$C56,CF!AL$65,AL77)</f>
        <v>146.09999999999997</v>
      </c>
      <c r="AM77" s="82">
        <f ca="1">IF(Case=$C56,CF!AM$65,AM77)</f>
        <v>149.30000000000007</v>
      </c>
      <c r="AN77" s="82">
        <f ca="1">IF(Case=$C56,CF!AN$65,AN77)</f>
        <v>123.20000000000002</v>
      </c>
      <c r="AO77" s="82">
        <f ca="1">IF(Case=$C56,CF!AO$65,AO77)</f>
        <v>136.49999999999991</v>
      </c>
      <c r="AP77" s="82">
        <f ca="1">IF(Case=$C56,CF!AP$65,AP77)</f>
        <v>101.31294921477266</v>
      </c>
      <c r="AQ77" s="82">
        <f ca="1">IF(Case=$C56,CF!AQ$65,AQ77)</f>
        <v>86.315011346211548</v>
      </c>
      <c r="AR77" s="82">
        <f ca="1">IF(Case=$C56,CF!AR$65,AR77)</f>
        <v>92.19139747182021</v>
      </c>
      <c r="AS77" s="82">
        <f ca="1">IF(Case=$C56,CF!AS$65,AS77)</f>
        <v>97.411119133969777</v>
      </c>
      <c r="AT77" s="82">
        <f ca="1">IF(Case=$C56,CF!AT$65,AT77)</f>
        <v>102.07660707634756</v>
      </c>
      <c r="AU77" s="82">
        <f ca="1">IF(Case=$C56,CF!AU$65,AU77)</f>
        <v>106.27311233368707</v>
      </c>
      <c r="AV77" s="82">
        <f ca="1">IF(Case=$C56,CF!AV$65,AV77)</f>
        <v>110.16714273533324</v>
      </c>
      <c r="AW77" s="82">
        <f ca="1">IF(Case=$C56,CF!AW$65,AW77)</f>
        <v>113.82186302974813</v>
      </c>
      <c r="AX77" s="82">
        <f ca="1">IF(Case=$C56,CF!AX$65,AX77)</f>
        <v>117.28475437089415</v>
      </c>
      <c r="AY77" s="82">
        <f ca="1">IF(Case=$C56,CF!AY$65,AY77)</f>
        <v>196.60777011873202</v>
      </c>
    </row>
    <row r="78" spans="2:52">
      <c r="B78" s="85"/>
      <c r="D78" s="18"/>
      <c r="E78" s="18"/>
      <c r="F78" s="18"/>
      <c r="G78" s="18"/>
      <c r="H78" s="18"/>
      <c r="I78" s="18"/>
      <c r="J78" s="18"/>
      <c r="K78" s="18"/>
      <c r="L78" s="18"/>
      <c r="M78" s="18"/>
      <c r="N78" s="18"/>
      <c r="T78" s="19"/>
      <c r="U78" s="19"/>
      <c r="V78" s="19"/>
      <c r="W78" s="19"/>
      <c r="X78" s="19"/>
      <c r="Y78" s="19"/>
      <c r="Z78" s="110"/>
      <c r="AA78" s="20"/>
      <c r="AB78" s="19"/>
      <c r="AC78" s="19"/>
      <c r="AD78" s="19"/>
      <c r="AE78" s="19"/>
      <c r="AF78" s="19"/>
      <c r="AG78" s="19"/>
      <c r="AH78" s="19"/>
      <c r="AI78" s="19"/>
      <c r="AJ78" s="19"/>
      <c r="AK78" s="19"/>
      <c r="AL78" s="19"/>
      <c r="AM78" s="19"/>
      <c r="AN78" s="19"/>
      <c r="AO78" s="19"/>
      <c r="AP78" s="19"/>
      <c r="AQ78" s="19"/>
      <c r="AR78" s="19"/>
      <c r="AS78" s="19"/>
      <c r="AT78" s="19"/>
      <c r="AU78" s="19"/>
      <c r="AV78" s="19"/>
      <c r="AW78" s="19"/>
      <c r="AX78" s="19"/>
      <c r="AY78" s="19"/>
      <c r="AZ78" s="85"/>
    </row>
    <row r="79" spans="2:52">
      <c r="D79" s="6"/>
      <c r="E79" s="6"/>
      <c r="F79" s="6"/>
      <c r="G79" s="6"/>
      <c r="H79" s="6"/>
      <c r="I79" s="6"/>
      <c r="J79" s="6"/>
      <c r="K79" s="6"/>
      <c r="L79" s="6"/>
      <c r="M79" s="6"/>
      <c r="N79" s="6"/>
    </row>
    <row r="80" spans="2:52">
      <c r="D80" s="6"/>
      <c r="E80" s="6"/>
      <c r="F80" s="6"/>
      <c r="G80" s="6"/>
      <c r="H80" s="6"/>
      <c r="I80" s="6"/>
      <c r="J80" s="6"/>
      <c r="K80" s="6"/>
      <c r="L80" s="6"/>
      <c r="M80" s="6"/>
      <c r="N80" s="6"/>
    </row>
    <row r="81" spans="3:27">
      <c r="D81" s="6"/>
      <c r="E81" s="6"/>
      <c r="F81" s="6"/>
      <c r="G81" s="6"/>
      <c r="H81" s="6"/>
      <c r="I81" s="6"/>
      <c r="J81" s="6"/>
      <c r="K81" s="6"/>
      <c r="L81" s="6"/>
      <c r="M81" s="6"/>
      <c r="N81" s="6"/>
    </row>
    <row r="82" spans="3:27">
      <c r="D82" s="6"/>
      <c r="E82" s="6"/>
      <c r="F82" s="6"/>
      <c r="G82" s="6"/>
      <c r="H82" s="6"/>
      <c r="I82" s="6"/>
      <c r="J82" s="6"/>
      <c r="K82" s="6"/>
      <c r="L82" s="6"/>
      <c r="M82" s="6"/>
      <c r="N82" s="6"/>
    </row>
    <row r="83" spans="3:27">
      <c r="D83" s="6"/>
      <c r="E83" s="6"/>
      <c r="F83" s="6"/>
      <c r="G83" s="6"/>
      <c r="H83" s="6"/>
      <c r="I83" s="6"/>
      <c r="J83" s="6"/>
      <c r="K83" s="6"/>
      <c r="L83" s="6"/>
      <c r="M83" s="6"/>
      <c r="N83" s="6"/>
    </row>
    <row r="84" spans="3:27">
      <c r="D84" s="6"/>
      <c r="E84" s="6"/>
      <c r="F84" s="6"/>
      <c r="G84" s="6"/>
      <c r="H84" s="6"/>
      <c r="I84" s="6"/>
      <c r="J84" s="6"/>
      <c r="K84" s="6"/>
      <c r="L84" s="6"/>
      <c r="M84" s="6"/>
      <c r="N84" s="6"/>
    </row>
    <row r="85" spans="3:27">
      <c r="D85" s="6"/>
      <c r="E85" s="6"/>
      <c r="F85" s="6"/>
      <c r="G85" s="6"/>
      <c r="H85" s="6"/>
      <c r="I85" s="6"/>
      <c r="J85" s="6"/>
      <c r="K85" s="6"/>
      <c r="L85" s="6"/>
      <c r="M85" s="6"/>
      <c r="N85" s="6"/>
    </row>
    <row r="86" spans="3:27">
      <c r="D86" s="6"/>
      <c r="E86" s="6"/>
      <c r="F86" s="6"/>
      <c r="G86" s="6"/>
      <c r="H86" s="6"/>
      <c r="I86" s="6"/>
      <c r="J86" s="6"/>
      <c r="K86" s="6"/>
      <c r="L86" s="6"/>
      <c r="M86" s="6"/>
      <c r="N86" s="6"/>
    </row>
    <row r="87" spans="3:27">
      <c r="D87" s="6"/>
      <c r="E87" s="6"/>
      <c r="F87" s="6"/>
      <c r="G87" s="6"/>
      <c r="H87" s="6"/>
      <c r="I87" s="6"/>
      <c r="J87" s="6"/>
      <c r="K87" s="6"/>
      <c r="L87" s="6"/>
      <c r="M87" s="6"/>
      <c r="N87" s="6"/>
    </row>
    <row r="88" spans="3:27">
      <c r="D88" s="6"/>
      <c r="E88" s="6"/>
      <c r="F88" s="6"/>
      <c r="G88" s="6"/>
      <c r="H88" s="6"/>
      <c r="I88" s="6"/>
      <c r="J88" s="6"/>
      <c r="K88" s="6"/>
      <c r="L88" s="6"/>
      <c r="M88" s="6"/>
      <c r="N88" s="6"/>
    </row>
    <row r="89" spans="3:27">
      <c r="D89" s="6"/>
      <c r="E89" s="6"/>
      <c r="F89" s="6"/>
      <c r="G89" s="6"/>
      <c r="H89" s="6"/>
      <c r="I89" s="6"/>
      <c r="J89" s="6"/>
      <c r="K89" s="6"/>
      <c r="L89" s="6"/>
      <c r="M89" s="6"/>
      <c r="N89" s="6"/>
    </row>
    <row r="90" spans="3:27">
      <c r="D90" s="6"/>
      <c r="E90" s="6"/>
      <c r="F90" s="6"/>
      <c r="G90" s="6"/>
      <c r="H90" s="6"/>
      <c r="I90" s="6"/>
      <c r="J90" s="6"/>
      <c r="K90" s="6"/>
      <c r="L90" s="6"/>
      <c r="M90" s="6"/>
      <c r="N90" s="6"/>
    </row>
    <row r="91" spans="3:27">
      <c r="D91" s="6"/>
      <c r="E91" s="6"/>
      <c r="F91" s="6"/>
      <c r="G91" s="6"/>
      <c r="H91" s="6"/>
      <c r="I91" s="6"/>
      <c r="J91" s="6"/>
      <c r="K91" s="6"/>
      <c r="L91" s="6"/>
      <c r="M91" s="6"/>
      <c r="N91" s="6"/>
    </row>
    <row r="92" spans="3:27">
      <c r="D92" s="6"/>
      <c r="E92" s="6"/>
      <c r="F92" s="6"/>
      <c r="G92" s="6"/>
      <c r="H92" s="6"/>
      <c r="I92" s="6"/>
      <c r="J92" s="6"/>
      <c r="K92" s="6"/>
      <c r="L92" s="6"/>
      <c r="M92" s="6"/>
      <c r="N92" s="6"/>
    </row>
    <row r="93" spans="3:27" s="40" customFormat="1">
      <c r="C93" s="105"/>
      <c r="D93" s="106"/>
      <c r="E93" s="106"/>
      <c r="F93" s="106"/>
      <c r="G93" s="106"/>
      <c r="H93" s="106"/>
      <c r="I93" s="106"/>
      <c r="J93" s="106"/>
      <c r="K93" s="106"/>
      <c r="L93" s="106"/>
      <c r="M93" s="106"/>
      <c r="N93" s="106"/>
      <c r="O93" s="105"/>
      <c r="Z93" s="115"/>
      <c r="AA93" s="102"/>
    </row>
    <row r="94" spans="3:27">
      <c r="D94" s="81"/>
      <c r="E94" s="81"/>
      <c r="F94" s="81"/>
      <c r="G94" s="81"/>
      <c r="H94" s="81"/>
      <c r="I94" s="81"/>
      <c r="J94" s="81"/>
      <c r="K94" s="81"/>
      <c r="L94" s="81"/>
      <c r="M94" s="81"/>
      <c r="N94" s="81"/>
    </row>
  </sheetData>
  <pageMargins left="0.7" right="0.7" top="0.75" bottom="0.75" header="0.3" footer="0.3"/>
  <pageSetup scale="21"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B1:BA94"/>
  <sheetViews>
    <sheetView showGridLines="0" zoomScale="70" zoomScaleNormal="70" workbookViewId="0"/>
  </sheetViews>
  <sheetFormatPr defaultRowHeight="12.75" outlineLevelCol="1"/>
  <cols>
    <col min="1" max="1" width="2" style="6" bestFit="1" customWidth="1"/>
    <col min="2" max="2" width="39.7109375" style="6" bestFit="1" customWidth="1"/>
    <col min="3" max="3" width="3" style="65" bestFit="1" customWidth="1"/>
    <col min="4" max="15" width="9.140625" style="65" customWidth="1"/>
    <col min="16" max="19" width="9.140625" style="6" hidden="1" customWidth="1" outlineLevel="1"/>
    <col min="20" max="20" width="9.42578125" style="6" bestFit="1" customWidth="1" collapsed="1"/>
    <col min="21" max="23" width="9.28515625" style="6" bestFit="1" customWidth="1"/>
    <col min="24" max="25" width="9.42578125" style="6" bestFit="1" customWidth="1"/>
    <col min="26" max="26" width="9.42578125" style="81" bestFit="1" customWidth="1"/>
    <col min="27" max="27" width="9.140625" style="8"/>
    <col min="28" max="39" width="9.140625" style="6"/>
    <col min="40" max="51" width="9.140625" style="6" customWidth="1" outlineLevel="1"/>
    <col min="52" max="16384" width="9.140625" style="6"/>
  </cols>
  <sheetData>
    <row r="1" spans="2:53" customFormat="1">
      <c r="C1" s="65"/>
      <c r="D1" s="65"/>
      <c r="E1" s="65"/>
      <c r="F1" s="65"/>
      <c r="G1" s="65"/>
      <c r="H1" s="65"/>
      <c r="I1" s="65"/>
      <c r="J1" s="65"/>
      <c r="K1" s="65"/>
      <c r="L1" s="65"/>
      <c r="M1" s="65"/>
      <c r="N1" s="65"/>
      <c r="O1" s="65"/>
      <c r="Z1" s="15"/>
      <c r="AA1" s="9"/>
    </row>
    <row r="2" spans="2:53" s="14" customFormat="1">
      <c r="B2" s="13" t="s">
        <v>2</v>
      </c>
      <c r="C2" s="97"/>
      <c r="D2" s="52">
        <f>Rev!D2</f>
        <v>40359</v>
      </c>
      <c r="E2" s="52">
        <f>Rev!E2</f>
        <v>40724</v>
      </c>
      <c r="F2" s="52">
        <f>Rev!F2</f>
        <v>41090</v>
      </c>
      <c r="G2" s="52">
        <f>Rev!G2</f>
        <v>41455</v>
      </c>
      <c r="H2" s="52">
        <f>Rev!H2</f>
        <v>41820</v>
      </c>
      <c r="I2" s="52">
        <f>Rev!I2</f>
        <v>42185</v>
      </c>
      <c r="J2" s="52">
        <f>Rev!J2</f>
        <v>42551</v>
      </c>
      <c r="K2" s="52">
        <f>Rev!K2</f>
        <v>42916</v>
      </c>
      <c r="L2" s="52">
        <f>Rev!L2</f>
        <v>43281</v>
      </c>
      <c r="M2" s="52">
        <f>Rev!M2</f>
        <v>43646</v>
      </c>
      <c r="N2" s="52">
        <f>Rev!N2</f>
        <v>44012</v>
      </c>
      <c r="O2" s="97"/>
      <c r="P2" s="13"/>
      <c r="Q2" s="13"/>
      <c r="R2" s="13"/>
      <c r="S2" s="13"/>
      <c r="T2" s="52">
        <f>Rev!T2</f>
        <v>41182</v>
      </c>
      <c r="U2" s="52">
        <f>Rev!U2</f>
        <v>41274</v>
      </c>
      <c r="V2" s="52">
        <f>Rev!V2</f>
        <v>41364</v>
      </c>
      <c r="W2" s="52">
        <f>Rev!W2</f>
        <v>41455</v>
      </c>
      <c r="X2" s="52">
        <f>Rev!X2</f>
        <v>41547</v>
      </c>
      <c r="Y2" s="52">
        <f>Rev!Y2</f>
        <v>41639</v>
      </c>
      <c r="Z2" s="52">
        <f>Rev!Z2</f>
        <v>41729</v>
      </c>
      <c r="AA2" s="53">
        <f>Rev!AA2</f>
        <v>41820</v>
      </c>
      <c r="AB2" s="52">
        <f>Rev!AB2</f>
        <v>41912</v>
      </c>
      <c r="AC2" s="52">
        <f>Rev!AC2</f>
        <v>42004</v>
      </c>
      <c r="AD2" s="52">
        <f>Rev!AD2</f>
        <v>42094</v>
      </c>
      <c r="AE2" s="52">
        <f>Rev!AE2</f>
        <v>42185</v>
      </c>
      <c r="AF2" s="52">
        <f>Rev!AF2</f>
        <v>42277</v>
      </c>
      <c r="AG2" s="52">
        <f>Rev!AG2</f>
        <v>42369</v>
      </c>
      <c r="AH2" s="52">
        <f>Rev!AH2</f>
        <v>42460</v>
      </c>
      <c r="AI2" s="52">
        <f>Rev!AI2</f>
        <v>42551</v>
      </c>
      <c r="AJ2" s="52">
        <f>Rev!AJ2</f>
        <v>42643</v>
      </c>
      <c r="AK2" s="52">
        <f>Rev!AK2</f>
        <v>42735</v>
      </c>
      <c r="AL2" s="52">
        <f>Rev!AL2</f>
        <v>42825</v>
      </c>
      <c r="AM2" s="52">
        <f>Rev!AM2</f>
        <v>42916</v>
      </c>
      <c r="AN2" s="52">
        <f>Rev!AN2</f>
        <v>43008</v>
      </c>
      <c r="AO2" s="52">
        <f>Rev!AO2</f>
        <v>43100</v>
      </c>
      <c r="AP2" s="52">
        <f>Rev!AP2</f>
        <v>43190</v>
      </c>
      <c r="AQ2" s="52">
        <f>Rev!AQ2</f>
        <v>43281</v>
      </c>
      <c r="AR2" s="52">
        <f>Rev!AR2</f>
        <v>43373</v>
      </c>
      <c r="AS2" s="52">
        <f>Rev!AS2</f>
        <v>43465</v>
      </c>
      <c r="AT2" s="52">
        <f>Rev!AT2</f>
        <v>43555</v>
      </c>
      <c r="AU2" s="52">
        <f>Rev!AU2</f>
        <v>43646</v>
      </c>
      <c r="AV2" s="52">
        <f>Rev!AV2</f>
        <v>43738</v>
      </c>
      <c r="AW2" s="52">
        <f>Rev!AW2</f>
        <v>43830</v>
      </c>
      <c r="AX2" s="52">
        <f>Rev!AX2</f>
        <v>43921</v>
      </c>
      <c r="AY2" s="52">
        <f>Rev!AY2</f>
        <v>44012</v>
      </c>
    </row>
    <row r="3" spans="2:53" s="16" customFormat="1">
      <c r="B3" s="15" t="s">
        <v>1</v>
      </c>
      <c r="C3" s="98"/>
      <c r="D3" s="103">
        <f>Rev!D3</f>
        <v>2010</v>
      </c>
      <c r="E3" s="103">
        <f>Rev!E3</f>
        <v>2011</v>
      </c>
      <c r="F3" s="103">
        <f>Rev!F3</f>
        <v>2012</v>
      </c>
      <c r="G3" s="103">
        <f>Rev!G3</f>
        <v>2013</v>
      </c>
      <c r="H3" s="103">
        <f>Rev!H3</f>
        <v>2014</v>
      </c>
      <c r="I3" s="103">
        <f>Rev!I3</f>
        <v>2015</v>
      </c>
      <c r="J3" s="103">
        <f>Rev!J3</f>
        <v>2016</v>
      </c>
      <c r="K3" s="103">
        <f>Rev!K3</f>
        <v>2017</v>
      </c>
      <c r="L3" s="103" t="str">
        <f>Rev!L3</f>
        <v>2018E</v>
      </c>
      <c r="M3" s="103" t="str">
        <f>Rev!M3</f>
        <v>2019E</v>
      </c>
      <c r="N3" s="103" t="str">
        <f>Rev!N3</f>
        <v>2020E</v>
      </c>
      <c r="O3" s="98"/>
      <c r="P3" s="15"/>
      <c r="Q3" s="15"/>
      <c r="R3" s="15"/>
      <c r="S3" s="15"/>
      <c r="T3" s="54" t="str">
        <f>Rev!T3</f>
        <v>1Q13</v>
      </c>
      <c r="U3" s="54" t="str">
        <f>Rev!U3</f>
        <v>2Q13</v>
      </c>
      <c r="V3" s="54" t="str">
        <f>Rev!V3</f>
        <v>3Q13</v>
      </c>
      <c r="W3" s="54" t="str">
        <f>Rev!W3</f>
        <v>4Q13</v>
      </c>
      <c r="X3" s="54" t="str">
        <f>Rev!X3</f>
        <v>1Q14</v>
      </c>
      <c r="Y3" s="54" t="str">
        <f>Rev!Y3</f>
        <v>2Q14</v>
      </c>
      <c r="Z3" s="54" t="str">
        <f>Rev!Z3</f>
        <v>3Q14</v>
      </c>
      <c r="AA3" s="122" t="str">
        <f>Rev!AA3</f>
        <v>4Q14</v>
      </c>
      <c r="AB3" s="56" t="str">
        <f>Rev!AB3</f>
        <v>1Q15</v>
      </c>
      <c r="AC3" s="56" t="str">
        <f>Rev!AC3</f>
        <v>2Q15</v>
      </c>
      <c r="AD3" s="56" t="str">
        <f>Rev!AD3</f>
        <v>3Q15</v>
      </c>
      <c r="AE3" s="56" t="str">
        <f>Rev!AE3</f>
        <v>4Q15</v>
      </c>
      <c r="AF3" s="56" t="str">
        <f>Rev!AF3</f>
        <v>1Q16</v>
      </c>
      <c r="AG3" s="56" t="str">
        <f>Rev!AG3</f>
        <v>2Q16</v>
      </c>
      <c r="AH3" s="56" t="str">
        <f>Rev!AH3</f>
        <v>3Q16</v>
      </c>
      <c r="AI3" s="56" t="str">
        <f>Rev!AI3</f>
        <v>4Q16</v>
      </c>
      <c r="AJ3" s="56" t="str">
        <f>Rev!AJ3</f>
        <v>1Q17</v>
      </c>
      <c r="AK3" s="56" t="str">
        <f>Rev!AK3</f>
        <v>2Q17</v>
      </c>
      <c r="AL3" s="56" t="str">
        <f>Rev!AL3</f>
        <v>3Q17</v>
      </c>
      <c r="AM3" s="56" t="str">
        <f>Rev!AM3</f>
        <v>4Q17</v>
      </c>
      <c r="AN3" s="56" t="str">
        <f>Rev!AN3</f>
        <v>1Q18</v>
      </c>
      <c r="AO3" s="56" t="str">
        <f>Rev!AO3</f>
        <v>2Q18</v>
      </c>
      <c r="AP3" s="56" t="str">
        <f>Rev!AP3</f>
        <v>3Q18E</v>
      </c>
      <c r="AQ3" s="56" t="str">
        <f>Rev!AQ3</f>
        <v>4Q18E</v>
      </c>
      <c r="AR3" s="56" t="str">
        <f>Rev!AR3</f>
        <v>1Q19E</v>
      </c>
      <c r="AS3" s="56" t="str">
        <f>Rev!AS3</f>
        <v>2Q19E</v>
      </c>
      <c r="AT3" s="56" t="str">
        <f>Rev!AT3</f>
        <v>3Q19E</v>
      </c>
      <c r="AU3" s="56" t="str">
        <f>Rev!AU3</f>
        <v>4Q19E</v>
      </c>
      <c r="AV3" s="56" t="str">
        <f>Rev!AV3</f>
        <v>1Q20E</v>
      </c>
      <c r="AW3" s="56" t="str">
        <f>Rev!AW3</f>
        <v>2Q20E</v>
      </c>
      <c r="AX3" s="56" t="str">
        <f>Rev!AX3</f>
        <v>3Q20E</v>
      </c>
      <c r="AY3" s="56" t="str">
        <f>Rev!AY3</f>
        <v>4Q20E</v>
      </c>
    </row>
    <row r="4" spans="2:53" s="83" customFormat="1">
      <c r="C4" s="97"/>
      <c r="D4" s="97"/>
      <c r="E4" s="97"/>
      <c r="F4" s="97"/>
      <c r="G4" s="97"/>
      <c r="H4" s="97"/>
      <c r="I4" s="97"/>
      <c r="J4" s="97"/>
      <c r="K4" s="97"/>
      <c r="L4" s="97"/>
      <c r="M4" s="97"/>
      <c r="N4" s="97"/>
      <c r="O4" s="97"/>
      <c r="AA4" s="87"/>
    </row>
    <row r="5" spans="2:53" s="81" customFormat="1">
      <c r="B5" s="84" t="s">
        <v>200</v>
      </c>
      <c r="C5" s="98"/>
      <c r="D5" s="98"/>
      <c r="E5" s="98"/>
      <c r="F5" s="98"/>
      <c r="G5" s="98"/>
      <c r="H5" s="98"/>
      <c r="I5" s="98"/>
      <c r="J5" s="98"/>
      <c r="K5" s="98"/>
      <c r="L5" s="98"/>
      <c r="M5" s="98"/>
      <c r="N5" s="98"/>
      <c r="O5" s="98"/>
      <c r="T5" s="19"/>
      <c r="AA5" s="8"/>
    </row>
    <row r="6" spans="2:53" s="81" customFormat="1">
      <c r="B6" s="85" t="s">
        <v>201</v>
      </c>
      <c r="C6" s="98"/>
      <c r="D6" s="98"/>
      <c r="E6" s="98"/>
      <c r="F6" s="98"/>
      <c r="G6" s="98"/>
      <c r="H6" s="98"/>
      <c r="I6" s="98"/>
      <c r="J6" s="98"/>
      <c r="K6" s="98"/>
      <c r="L6" s="98"/>
      <c r="M6" s="98"/>
      <c r="N6" s="98"/>
      <c r="O6" s="98"/>
      <c r="AA6" s="8"/>
    </row>
    <row r="7" spans="2:53" s="81" customFormat="1">
      <c r="C7" s="98"/>
      <c r="D7" s="98"/>
      <c r="E7" s="98"/>
      <c r="F7" s="98"/>
      <c r="G7" s="98"/>
      <c r="H7" s="112"/>
      <c r="I7" s="112"/>
      <c r="J7" s="112"/>
      <c r="K7" s="112"/>
      <c r="L7" s="98"/>
      <c r="M7" s="98"/>
      <c r="N7" s="98"/>
      <c r="O7" s="138" t="s">
        <v>376</v>
      </c>
      <c r="AA7" s="8"/>
    </row>
    <row r="8" spans="2:53" s="79" customFormat="1">
      <c r="B8" s="79" t="s">
        <v>204</v>
      </c>
      <c r="C8" s="99">
        <v>2</v>
      </c>
      <c r="D8" s="104">
        <f>D3</f>
        <v>2010</v>
      </c>
      <c r="E8" s="104">
        <f>E3</f>
        <v>2011</v>
      </c>
      <c r="F8" s="104">
        <f>F3</f>
        <v>2012</v>
      </c>
      <c r="G8" s="104">
        <f t="shared" ref="G8:N8" si="0">G3</f>
        <v>2013</v>
      </c>
      <c r="H8" s="104">
        <f t="shared" si="0"/>
        <v>2014</v>
      </c>
      <c r="I8" s="104">
        <f t="shared" si="0"/>
        <v>2015</v>
      </c>
      <c r="J8" s="104">
        <f t="shared" si="0"/>
        <v>2016</v>
      </c>
      <c r="K8" s="104">
        <f t="shared" si="0"/>
        <v>2017</v>
      </c>
      <c r="L8" s="104" t="str">
        <f t="shared" si="0"/>
        <v>2018E</v>
      </c>
      <c r="M8" s="104" t="str">
        <f t="shared" si="0"/>
        <v>2019E</v>
      </c>
      <c r="N8" s="104" t="str">
        <f t="shared" si="0"/>
        <v>2020E</v>
      </c>
      <c r="O8" s="139" t="s">
        <v>269</v>
      </c>
      <c r="T8" s="89" t="str">
        <f t="shared" ref="T8:AO8" si="1">T3</f>
        <v>1Q13</v>
      </c>
      <c r="U8" s="89" t="str">
        <f t="shared" si="1"/>
        <v>2Q13</v>
      </c>
      <c r="V8" s="89" t="str">
        <f t="shared" si="1"/>
        <v>3Q13</v>
      </c>
      <c r="W8" s="89" t="str">
        <f t="shared" si="1"/>
        <v>4Q13</v>
      </c>
      <c r="X8" s="89" t="str">
        <f t="shared" si="1"/>
        <v>1Q14</v>
      </c>
      <c r="Y8" s="89" t="str">
        <f t="shared" si="1"/>
        <v>2Q14</v>
      </c>
      <c r="Z8" s="89" t="str">
        <f t="shared" si="1"/>
        <v>3Q14</v>
      </c>
      <c r="AA8" s="90" t="str">
        <f t="shared" si="1"/>
        <v>4Q14</v>
      </c>
      <c r="AB8" s="89" t="str">
        <f t="shared" si="1"/>
        <v>1Q15</v>
      </c>
      <c r="AC8" s="89" t="str">
        <f t="shared" si="1"/>
        <v>2Q15</v>
      </c>
      <c r="AD8" s="89" t="str">
        <f t="shared" si="1"/>
        <v>3Q15</v>
      </c>
      <c r="AE8" s="89" t="str">
        <f t="shared" si="1"/>
        <v>4Q15</v>
      </c>
      <c r="AF8" s="89" t="str">
        <f t="shared" si="1"/>
        <v>1Q16</v>
      </c>
      <c r="AG8" s="89" t="str">
        <f t="shared" si="1"/>
        <v>2Q16</v>
      </c>
      <c r="AH8" s="89" t="str">
        <f t="shared" si="1"/>
        <v>3Q16</v>
      </c>
      <c r="AI8" s="89" t="str">
        <f t="shared" si="1"/>
        <v>4Q16</v>
      </c>
      <c r="AJ8" s="89" t="str">
        <f t="shared" si="1"/>
        <v>1Q17</v>
      </c>
      <c r="AK8" s="89" t="str">
        <f t="shared" si="1"/>
        <v>2Q17</v>
      </c>
      <c r="AL8" s="89" t="str">
        <f t="shared" si="1"/>
        <v>3Q17</v>
      </c>
      <c r="AM8" s="89" t="str">
        <f t="shared" si="1"/>
        <v>4Q17</v>
      </c>
      <c r="AN8" s="89" t="str">
        <f t="shared" si="1"/>
        <v>1Q18</v>
      </c>
      <c r="AO8" s="89" t="str">
        <f t="shared" si="1"/>
        <v>2Q18</v>
      </c>
      <c r="AP8" s="89" t="str">
        <f t="shared" ref="AP8:AY8" si="2">AP3</f>
        <v>3Q18E</v>
      </c>
      <c r="AQ8" s="89" t="str">
        <f t="shared" si="2"/>
        <v>4Q18E</v>
      </c>
      <c r="AR8" s="89" t="str">
        <f t="shared" si="2"/>
        <v>1Q19E</v>
      </c>
      <c r="AS8" s="89" t="str">
        <f t="shared" si="2"/>
        <v>2Q19E</v>
      </c>
      <c r="AT8" s="89" t="str">
        <f t="shared" si="2"/>
        <v>3Q19E</v>
      </c>
      <c r="AU8" s="89" t="str">
        <f t="shared" si="2"/>
        <v>4Q19E</v>
      </c>
      <c r="AV8" s="89" t="str">
        <f t="shared" si="2"/>
        <v>1Q20E</v>
      </c>
      <c r="AW8" s="89" t="str">
        <f t="shared" si="2"/>
        <v>2Q20E</v>
      </c>
      <c r="AX8" s="89" t="str">
        <f t="shared" si="2"/>
        <v>3Q20E</v>
      </c>
      <c r="AY8" s="89" t="str">
        <f t="shared" si="2"/>
        <v>4Q20E</v>
      </c>
    </row>
    <row r="9" spans="2:53" s="81" customFormat="1">
      <c r="C9" s="98"/>
      <c r="O9" s="98"/>
      <c r="T9" s="98"/>
      <c r="U9" s="98"/>
      <c r="V9" s="98"/>
      <c r="W9" s="98"/>
      <c r="X9" s="98"/>
      <c r="Y9" s="98"/>
      <c r="Z9" s="98"/>
      <c r="AA9" s="121"/>
      <c r="AB9" s="98"/>
      <c r="AC9" s="98"/>
      <c r="AD9" s="98"/>
      <c r="AE9" s="98"/>
      <c r="AF9" s="98"/>
      <c r="AG9" s="98"/>
      <c r="AH9" s="98"/>
      <c r="AI9" s="98"/>
      <c r="AJ9" s="98"/>
      <c r="AK9" s="98"/>
      <c r="AL9" s="98"/>
      <c r="AM9" s="98"/>
      <c r="AN9" s="98"/>
      <c r="AO9" s="98"/>
      <c r="AP9" s="98"/>
      <c r="AQ9" s="98"/>
      <c r="AR9" s="98"/>
      <c r="AS9" s="98"/>
      <c r="AT9" s="98"/>
      <c r="AU9" s="98"/>
      <c r="AV9" s="98"/>
      <c r="AW9" s="98"/>
      <c r="AX9" s="98"/>
      <c r="AY9" s="98"/>
    </row>
    <row r="10" spans="2:53">
      <c r="B10" s="6" t="s">
        <v>31</v>
      </c>
      <c r="D10" s="82">
        <f>IF(Case=$C8,IS!D$5,D10)</f>
        <v>197.88900000000001</v>
      </c>
      <c r="E10" s="82">
        <f>IF(Case=$C8,IS!E$5,E10)</f>
        <v>282.14299999999997</v>
      </c>
      <c r="F10" s="82">
        <f>IF(Case=$C8,IS!F$5,F10)</f>
        <v>375.52600000000001</v>
      </c>
      <c r="G10" s="82">
        <f>IF(Case=$C8,IS!G$5,G10)</f>
        <v>1004.36266631321</v>
      </c>
      <c r="H10" s="82">
        <f>IF(Case=$C8,IS!H$5,H10)</f>
        <v>1123.1872215806145</v>
      </c>
      <c r="I10" s="82">
        <f>IF(Case=$C8,IS!I$5,I10)</f>
        <v>1347.1</v>
      </c>
      <c r="J10" s="82">
        <f>IF(Case=$C8,IS!J$5,J10)</f>
        <v>1721.7</v>
      </c>
      <c r="K10" s="82">
        <f>IF(Case=$C8,IS!K$5,K10)</f>
        <v>2199.8000000000002</v>
      </c>
      <c r="L10" s="82">
        <f ca="1">IF(Case=$C8,IS!L$5,L10)</f>
        <v>2607.6426124011377</v>
      </c>
      <c r="M10" s="82">
        <f ca="1">IF(Case=$C8,IS!M$5,M10)</f>
        <v>2690.2027031106882</v>
      </c>
      <c r="N10" s="82">
        <f ca="1">IF(Case=$C8,IS!N$5,N10)</f>
        <v>2797.5603594642562</v>
      </c>
      <c r="O10" s="2">
        <f ca="1">(M10/J10)^(1/3)-1</f>
        <v>0.16040388753812085</v>
      </c>
      <c r="T10" s="82">
        <f>IF(Case=$C8,IS!T$5,T10)</f>
        <v>236.00767747572064</v>
      </c>
      <c r="U10" s="82">
        <f>IF(Case=$C8,IS!U$5,U10)</f>
        <v>250.02480987258627</v>
      </c>
      <c r="V10" s="82">
        <f>IF(Case=$C8,IS!V$5,V10)</f>
        <v>256.55395289598329</v>
      </c>
      <c r="W10" s="82">
        <f>IF(Case=$C8,IS!W$5,W10)</f>
        <v>261.77622606891981</v>
      </c>
      <c r="X10" s="82">
        <f>IF(Case=$C8,IS!X$5,X10)</f>
        <v>268.05077825707741</v>
      </c>
      <c r="Y10" s="82">
        <f>IF(Case=$C8,IS!Y$5,Y10)</f>
        <v>276.97613063680853</v>
      </c>
      <c r="Z10" s="82">
        <f>IF(Case=$C8,IS!Z$5,Z10)</f>
        <v>281.3929475507324</v>
      </c>
      <c r="AA10" s="88">
        <f>IF(Case=$C8,IS!AA$5,AA10)</f>
        <v>296.76736513599604</v>
      </c>
      <c r="AB10" s="82">
        <f>IF(Case=$C8,IS!AB$5,AB10)</f>
        <v>320.60000000000002</v>
      </c>
      <c r="AC10" s="82">
        <f>IF(Case=$C8,IS!AC$5,AC10)</f>
        <v>323.89999999999998</v>
      </c>
      <c r="AD10" s="82">
        <f>IF(Case=$C8,IS!AD$5,AD10)</f>
        <v>340.7</v>
      </c>
      <c r="AE10" s="82">
        <f>IF(Case=$C8,IS!AE$5,AE10)</f>
        <v>361.9</v>
      </c>
      <c r="AF10" s="82">
        <f>IF(Case=$C8,IS!AF$5,AF10)</f>
        <v>366.8</v>
      </c>
      <c r="AG10" s="82">
        <f>IF(Case=$C8,IS!AG$5,AG10)</f>
        <v>369.6</v>
      </c>
      <c r="AH10" s="82">
        <f>IF(Case=$C8,IS!AH$5,AH10)</f>
        <v>478</v>
      </c>
      <c r="AI10" s="82">
        <f>IF(Case=$C8,IS!AI$5,AI10)</f>
        <v>507.3</v>
      </c>
      <c r="AJ10" s="82">
        <f>IF(Case=$C8,IS!AJ$5,AJ10)</f>
        <v>504.9</v>
      </c>
      <c r="AK10" s="82">
        <f>IF(Case=$C8,IS!AK$5,AK10)</f>
        <v>506.7</v>
      </c>
      <c r="AL10" s="82">
        <f>IF(Case=$C8,IS!AL$5,AL10)</f>
        <v>550.20000000000005</v>
      </c>
      <c r="AM10" s="82">
        <f>IF(Case=$C8,IS!AM$5,AM10)</f>
        <v>638</v>
      </c>
      <c r="AN10" s="82">
        <f>IF(Case=$C8,IS!AN$5,AN10)</f>
        <v>643.5</v>
      </c>
      <c r="AO10" s="82">
        <f>IF(Case=$C8,IS!AO$5,AO10)</f>
        <v>653.5</v>
      </c>
      <c r="AP10" s="82">
        <f ca="1">IF(Case=$C8,IS!AP$5,AP10)</f>
        <v>652.80480431086812</v>
      </c>
      <c r="AQ10" s="82">
        <f ca="1">IF(Case=$C8,IS!AQ$5,AQ10)</f>
        <v>657.83780809026939</v>
      </c>
      <c r="AR10" s="82">
        <f ca="1">IF(Case=$C8,IS!AR$5,AR10)</f>
        <v>663.33243624668933</v>
      </c>
      <c r="AS10" s="82">
        <f ca="1">IF(Case=$C8,IS!AS$5,AS10)</f>
        <v>669.26765209981852</v>
      </c>
      <c r="AT10" s="82">
        <f ca="1">IF(Case=$C8,IS!AT$5,AT10)</f>
        <v>675.54210479847575</v>
      </c>
      <c r="AU10" s="82">
        <f ca="1">IF(Case=$C8,IS!AU$5,AU10)</f>
        <v>682.06050996570434</v>
      </c>
      <c r="AV10" s="82">
        <f ca="1">IF(Case=$C8,IS!AV$5,AV10)</f>
        <v>688.80079027866725</v>
      </c>
      <c r="AW10" s="82">
        <f ca="1">IF(Case=$C8,IS!AW$5,AW10)</f>
        <v>695.74233631079085</v>
      </c>
      <c r="AX10" s="82">
        <f ca="1">IF(Case=$C8,IS!AX$5,AX10)</f>
        <v>702.86557074145185</v>
      </c>
      <c r="AY10" s="82">
        <f ca="1">IF(Case=$C8,IS!AY$5,AY10)</f>
        <v>710.15166213334624</v>
      </c>
      <c r="BA10" s="131">
        <f>(SUM(AL10:AO10)/SUM(AD10:AG10))^(1/2)-1</f>
        <v>0.31416614686672517</v>
      </c>
    </row>
    <row r="11" spans="2:53">
      <c r="B11" s="6" t="s">
        <v>36</v>
      </c>
      <c r="D11" s="48"/>
      <c r="E11" s="48"/>
      <c r="F11" s="48"/>
      <c r="G11" s="48"/>
      <c r="H11" s="48">
        <f t="shared" ref="H11:N11" si="3">+H10/G10-1</f>
        <v>0.118308415130147</v>
      </c>
      <c r="I11" s="48">
        <f t="shared" si="3"/>
        <v>0.1993548129084679</v>
      </c>
      <c r="J11" s="48">
        <f t="shared" si="3"/>
        <v>0.27807883601811301</v>
      </c>
      <c r="K11" s="48">
        <f t="shared" si="3"/>
        <v>0.27769065458558417</v>
      </c>
      <c r="L11" s="48">
        <f t="shared" ca="1" si="3"/>
        <v>0.1853998601696234</v>
      </c>
      <c r="M11" s="48">
        <f t="shared" ca="1" si="3"/>
        <v>3.1660815142734888E-2</v>
      </c>
      <c r="N11" s="48">
        <f t="shared" ca="1" si="3"/>
        <v>3.9906902267784483E-2</v>
      </c>
      <c r="T11" s="48"/>
      <c r="U11" s="48"/>
      <c r="V11" s="48"/>
      <c r="W11" s="48"/>
      <c r="X11" s="48">
        <f>+X10/T10-1</f>
        <v>0.13577143389605717</v>
      </c>
      <c r="Y11" s="48">
        <f t="shared" ref="Y11:AO11" si="4">+Y10/U10-1</f>
        <v>0.10779458557715449</v>
      </c>
      <c r="Z11" s="48">
        <f t="shared" si="4"/>
        <v>9.6817820869124604E-2</v>
      </c>
      <c r="AA11" s="24">
        <f t="shared" si="4"/>
        <v>0.13366813171897385</v>
      </c>
      <c r="AB11" s="48">
        <f t="shared" si="4"/>
        <v>0.19604204130504188</v>
      </c>
      <c r="AC11" s="48">
        <f t="shared" si="4"/>
        <v>0.16941484905326187</v>
      </c>
      <c r="AD11" s="48">
        <f t="shared" si="4"/>
        <v>0.21076239815347586</v>
      </c>
      <c r="AE11" s="48">
        <f t="shared" si="4"/>
        <v>0.21947371077731659</v>
      </c>
      <c r="AF11" s="48">
        <f t="shared" si="4"/>
        <v>0.14410480349344978</v>
      </c>
      <c r="AG11" s="48">
        <f t="shared" si="4"/>
        <v>0.14109292991664102</v>
      </c>
      <c r="AH11" s="48">
        <f t="shared" si="4"/>
        <v>0.40299383621954799</v>
      </c>
      <c r="AI11" s="48">
        <f t="shared" si="4"/>
        <v>0.40176844432163583</v>
      </c>
      <c r="AJ11" s="48">
        <f t="shared" si="4"/>
        <v>0.37649945474372948</v>
      </c>
      <c r="AK11" s="48">
        <f t="shared" si="4"/>
        <v>0.37094155844155829</v>
      </c>
      <c r="AL11" s="48">
        <f t="shared" si="4"/>
        <v>0.15104602510460263</v>
      </c>
      <c r="AM11" s="48">
        <f t="shared" si="4"/>
        <v>0.257638478218017</v>
      </c>
      <c r="AN11" s="48">
        <f t="shared" si="4"/>
        <v>0.27450980392156876</v>
      </c>
      <c r="AO11" s="48">
        <f t="shared" si="4"/>
        <v>0.2897177817248866</v>
      </c>
      <c r="AP11" s="48">
        <f t="shared" ref="AP11:AY11" ca="1" si="5">+AP10/AL10-1</f>
        <v>0.18648637642833155</v>
      </c>
      <c r="AQ11" s="48">
        <f t="shared" ca="1" si="5"/>
        <v>3.1093743088196568E-2</v>
      </c>
      <c r="AR11" s="48">
        <f t="shared" ca="1" si="5"/>
        <v>3.0819636746991952E-2</v>
      </c>
      <c r="AS11" s="48">
        <f t="shared" ca="1" si="5"/>
        <v>2.4128006273631986E-2</v>
      </c>
      <c r="AT11" s="48">
        <f t="shared" ca="1" si="5"/>
        <v>3.4830167206888474E-2</v>
      </c>
      <c r="AU11" s="48">
        <f t="shared" ca="1" si="5"/>
        <v>3.6821693094464258E-2</v>
      </c>
      <c r="AV11" s="48">
        <f t="shared" ca="1" si="5"/>
        <v>3.83945554902827E-2</v>
      </c>
      <c r="AW11" s="48">
        <f t="shared" ca="1" si="5"/>
        <v>3.9557692842181025E-2</v>
      </c>
      <c r="AX11" s="48">
        <f t="shared" ca="1" si="5"/>
        <v>4.0446725302380804E-2</v>
      </c>
      <c r="AY11" s="48">
        <f t="shared" ca="1" si="5"/>
        <v>4.1185718506198787E-2</v>
      </c>
    </row>
    <row r="12" spans="2:53">
      <c r="B12" s="6" t="s">
        <v>37</v>
      </c>
      <c r="D12" s="48"/>
      <c r="E12" s="48"/>
      <c r="F12" s="48"/>
      <c r="G12" s="48"/>
      <c r="H12" s="48"/>
      <c r="I12" s="48"/>
      <c r="J12" s="48"/>
      <c r="K12" s="48"/>
      <c r="L12" s="48"/>
      <c r="M12" s="48"/>
      <c r="N12" s="48"/>
      <c r="T12" s="48"/>
      <c r="U12" s="48">
        <f>+U10/T10-1</f>
        <v>5.939269665626723E-2</v>
      </c>
      <c r="V12" s="48">
        <f t="shared" ref="V12:AO12" si="6">+V10/U10-1</f>
        <v>2.6113980555466876E-2</v>
      </c>
      <c r="W12" s="48">
        <f t="shared" si="6"/>
        <v>2.0355457844198011E-2</v>
      </c>
      <c r="X12" s="48">
        <f t="shared" si="6"/>
        <v>2.3969144495595396E-2</v>
      </c>
      <c r="Y12" s="48">
        <f t="shared" si="6"/>
        <v>3.329724478983298E-2</v>
      </c>
      <c r="Z12" s="48">
        <f t="shared" si="6"/>
        <v>1.5946561545823412E-2</v>
      </c>
      <c r="AA12" s="24">
        <f t="shared" si="6"/>
        <v>5.4636826256961424E-2</v>
      </c>
      <c r="AB12" s="48">
        <f t="shared" si="6"/>
        <v>8.0307465253406374E-2</v>
      </c>
      <c r="AC12" s="48">
        <f t="shared" si="6"/>
        <v>1.0293200249531953E-2</v>
      </c>
      <c r="AD12" s="48">
        <f t="shared" si="6"/>
        <v>5.1867860450756531E-2</v>
      </c>
      <c r="AE12" s="48">
        <f t="shared" si="6"/>
        <v>6.2224831229821032E-2</v>
      </c>
      <c r="AF12" s="48">
        <f t="shared" si="6"/>
        <v>1.3539651837524369E-2</v>
      </c>
      <c r="AG12" s="48">
        <f t="shared" si="6"/>
        <v>7.6335877862596657E-3</v>
      </c>
      <c r="AH12" s="48">
        <f t="shared" si="6"/>
        <v>0.29329004329004316</v>
      </c>
      <c r="AI12" s="48">
        <f t="shared" si="6"/>
        <v>6.129707112970717E-2</v>
      </c>
      <c r="AJ12" s="48">
        <f t="shared" si="6"/>
        <v>-4.7309284447073496E-3</v>
      </c>
      <c r="AK12" s="48">
        <f t="shared" si="6"/>
        <v>3.5650623885918886E-3</v>
      </c>
      <c r="AL12" s="48">
        <f t="shared" si="6"/>
        <v>8.5849615156897707E-2</v>
      </c>
      <c r="AM12" s="48">
        <f t="shared" si="6"/>
        <v>0.15957833515085418</v>
      </c>
      <c r="AN12" s="48">
        <f t="shared" si="6"/>
        <v>8.6206896551723755E-3</v>
      </c>
      <c r="AO12" s="48">
        <f t="shared" si="6"/>
        <v>1.5540015540015606E-2</v>
      </c>
      <c r="AP12" s="48">
        <f t="shared" ref="AP12:AY12" ca="1" si="7">+AP10/AO10-1</f>
        <v>-1.0638036559018627E-3</v>
      </c>
      <c r="AQ12" s="48">
        <f t="shared" ca="1" si="7"/>
        <v>7.7098142448788209E-3</v>
      </c>
      <c r="AR12" s="48">
        <f t="shared" ca="1" si="7"/>
        <v>8.3525575587866108E-3</v>
      </c>
      <c r="AS12" s="48">
        <f t="shared" ca="1" si="7"/>
        <v>8.9475736882582702E-3</v>
      </c>
      <c r="AT12" s="48">
        <f t="shared" ca="1" si="7"/>
        <v>9.3751022912451631E-3</v>
      </c>
      <c r="AU12" s="48">
        <f t="shared" ca="1" si="7"/>
        <v>9.6491471381685567E-3</v>
      </c>
      <c r="AV12" s="48">
        <f t="shared" ca="1" si="7"/>
        <v>9.8822321692568771E-3</v>
      </c>
      <c r="AW12" s="48">
        <f t="shared" ca="1" si="7"/>
        <v>1.0077726579429847E-2</v>
      </c>
      <c r="AX12" s="48">
        <f t="shared" ca="1" si="7"/>
        <v>1.0238322520995879E-2</v>
      </c>
      <c r="AY12" s="48">
        <f t="shared" ca="1" si="7"/>
        <v>1.0366265890941806E-2</v>
      </c>
    </row>
    <row r="13" spans="2:53">
      <c r="B13" s="85" t="s">
        <v>201</v>
      </c>
      <c r="D13" s="18"/>
      <c r="E13" s="18"/>
      <c r="F13" s="18"/>
      <c r="G13" s="18">
        <f>+SUM(T13:W13)</f>
        <v>1004.36266631321</v>
      </c>
      <c r="H13" s="18">
        <f>+SUM(X13:AA13)</f>
        <v>1123.1872215806145</v>
      </c>
      <c r="I13" s="18">
        <f>+SUM(AB13:AE13)</f>
        <v>1315.3549686793588</v>
      </c>
      <c r="J13" s="18">
        <f>+SUM(AF13:AI13)</f>
        <v>1420.2180332242449</v>
      </c>
      <c r="K13" s="18">
        <f>+SUM(AJ13:AM13)</f>
        <v>1542.2692352220251</v>
      </c>
      <c r="L13" s="18">
        <f>+SUM(AN13:AQ13)</f>
        <v>1679.4368364284735</v>
      </c>
      <c r="M13" s="18">
        <f>+SUM(AR13:AU13)</f>
        <v>1832.0184240860021</v>
      </c>
      <c r="N13" s="18">
        <f>+SUM(AV13:AY13)</f>
        <v>2000.1601602864803</v>
      </c>
      <c r="T13" s="19">
        <v>236.00767747572064</v>
      </c>
      <c r="U13" s="19">
        <v>250.02480987258627</v>
      </c>
      <c r="V13" s="19">
        <v>256.55395289598329</v>
      </c>
      <c r="W13" s="19">
        <v>261.77622606891981</v>
      </c>
      <c r="X13" s="19">
        <v>268.05077825707741</v>
      </c>
      <c r="Y13" s="19">
        <v>276.97613063680853</v>
      </c>
      <c r="Z13" s="19">
        <v>281.3929475507324</v>
      </c>
      <c r="AA13" s="20">
        <v>296.76736513599604</v>
      </c>
      <c r="AB13" s="19">
        <v>319.75505220724489</v>
      </c>
      <c r="AC13" s="19">
        <v>325.78568207837179</v>
      </c>
      <c r="AD13" s="19">
        <v>331.76092686712764</v>
      </c>
      <c r="AE13" s="19">
        <v>338.05330752661445</v>
      </c>
      <c r="AF13" s="19">
        <v>344.56396630582566</v>
      </c>
      <c r="AG13" s="19">
        <v>351.39395548715783</v>
      </c>
      <c r="AH13" s="19">
        <v>358.41530233807362</v>
      </c>
      <c r="AI13" s="19">
        <v>365.84480909318762</v>
      </c>
      <c r="AJ13" s="19">
        <v>373.57969423604715</v>
      </c>
      <c r="AK13" s="19">
        <v>381.65958610449979</v>
      </c>
      <c r="AL13" s="19">
        <v>389.36640257075243</v>
      </c>
      <c r="AM13" s="19">
        <v>397.66355231072578</v>
      </c>
      <c r="AN13" s="19">
        <v>406.29617160803031</v>
      </c>
      <c r="AO13" s="19">
        <v>415.1909120423486</v>
      </c>
      <c r="AP13" s="19">
        <v>424.31110406479928</v>
      </c>
      <c r="AQ13" s="19">
        <v>433.63864871329525</v>
      </c>
      <c r="AR13" s="19">
        <v>443.16906941220935</v>
      </c>
      <c r="AS13" s="19">
        <v>452.90802930433392</v>
      </c>
      <c r="AT13" s="19">
        <v>462.869084585655</v>
      </c>
      <c r="AU13" s="19">
        <v>473.07224078380381</v>
      </c>
      <c r="AV13" s="19">
        <v>483.54304612302002</v>
      </c>
      <c r="AW13" s="19">
        <v>494.31205539660903</v>
      </c>
      <c r="AX13" s="19">
        <v>505.41455789587769</v>
      </c>
      <c r="AY13" s="19">
        <v>516.8905008709736</v>
      </c>
      <c r="AZ13" s="19"/>
    </row>
    <row r="14" spans="2:53">
      <c r="B14" s="86" t="s">
        <v>36</v>
      </c>
      <c r="D14" s="48"/>
      <c r="E14" s="48"/>
      <c r="F14" s="48"/>
      <c r="G14" s="48"/>
      <c r="H14" s="48">
        <f t="shared" ref="H14:N14" si="8">+H13/G13-1</f>
        <v>0.118308415130147</v>
      </c>
      <c r="I14" s="48">
        <f t="shared" si="8"/>
        <v>0.17109146490138527</v>
      </c>
      <c r="J14" s="48">
        <f t="shared" si="8"/>
        <v>7.9722255240477491E-2</v>
      </c>
      <c r="K14" s="48">
        <f t="shared" si="8"/>
        <v>8.5938355338788242E-2</v>
      </c>
      <c r="L14" s="48">
        <f t="shared" si="8"/>
        <v>8.8938816954811095E-2</v>
      </c>
      <c r="M14" s="48">
        <f t="shared" si="8"/>
        <v>9.0852828964983257E-2</v>
      </c>
      <c r="N14" s="48">
        <f t="shared" si="8"/>
        <v>9.1779500680712056E-2</v>
      </c>
      <c r="T14" s="48"/>
      <c r="U14" s="48"/>
      <c r="V14" s="48"/>
      <c r="W14" s="48"/>
      <c r="X14" s="48">
        <f t="shared" ref="X14:AY14" si="9">+X13/T13-1</f>
        <v>0.13577143389605717</v>
      </c>
      <c r="Y14" s="48">
        <f t="shared" si="9"/>
        <v>0.10779458557715449</v>
      </c>
      <c r="Z14" s="48">
        <f t="shared" si="9"/>
        <v>9.6817820869124604E-2</v>
      </c>
      <c r="AA14" s="24">
        <f t="shared" si="9"/>
        <v>0.13366813171897385</v>
      </c>
      <c r="AB14" s="48">
        <f t="shared" si="9"/>
        <v>0.19288984828307365</v>
      </c>
      <c r="AC14" s="48">
        <f t="shared" si="9"/>
        <v>0.17622295224264617</v>
      </c>
      <c r="AD14" s="48">
        <f t="shared" si="9"/>
        <v>0.17899517295938772</v>
      </c>
      <c r="AE14" s="48">
        <f t="shared" si="9"/>
        <v>0.13911887640239273</v>
      </c>
      <c r="AF14" s="48">
        <f t="shared" si="9"/>
        <v>7.758724663559402E-2</v>
      </c>
      <c r="AG14" s="48">
        <f t="shared" si="9"/>
        <v>7.8604661952656585E-2</v>
      </c>
      <c r="AH14" s="48">
        <f t="shared" si="9"/>
        <v>8.0342117809494962E-2</v>
      </c>
      <c r="AI14" s="48">
        <f t="shared" si="9"/>
        <v>8.2210411635700975E-2</v>
      </c>
      <c r="AJ14" s="48">
        <f t="shared" si="9"/>
        <v>8.4209989341914815E-2</v>
      </c>
      <c r="AK14" s="48">
        <f t="shared" si="9"/>
        <v>8.6130197018850163E-2</v>
      </c>
      <c r="AL14" s="48">
        <f t="shared" si="9"/>
        <v>8.6355409578702469E-2</v>
      </c>
      <c r="AM14" s="48">
        <f t="shared" si="9"/>
        <v>8.6973335213930358E-2</v>
      </c>
      <c r="AN14" s="48">
        <f t="shared" si="9"/>
        <v>8.7575630787125158E-2</v>
      </c>
      <c r="AO14" s="48">
        <f t="shared" si="9"/>
        <v>8.785663234636476E-2</v>
      </c>
      <c r="AP14" s="48">
        <f t="shared" si="9"/>
        <v>8.9747603448391944E-2</v>
      </c>
      <c r="AQ14" s="48">
        <f t="shared" si="9"/>
        <v>9.0466164659866344E-2</v>
      </c>
      <c r="AR14" s="48">
        <f t="shared" si="9"/>
        <v>9.0753741681208311E-2</v>
      </c>
      <c r="AS14" s="48">
        <f t="shared" si="9"/>
        <v>9.0842829570745076E-2</v>
      </c>
      <c r="AT14" s="48">
        <f t="shared" si="9"/>
        <v>9.0871957277288917E-2</v>
      </c>
      <c r="AU14" s="48">
        <f t="shared" si="9"/>
        <v>9.0936525578421135E-2</v>
      </c>
      <c r="AV14" s="48">
        <f t="shared" si="9"/>
        <v>9.110287584907506E-2</v>
      </c>
      <c r="AW14" s="48">
        <f t="shared" si="9"/>
        <v>9.1418176347793256E-2</v>
      </c>
      <c r="AX14" s="48">
        <f t="shared" si="9"/>
        <v>9.1916861002518724E-2</v>
      </c>
      <c r="AY14" s="48">
        <f t="shared" si="9"/>
        <v>9.2624881169459661E-2</v>
      </c>
      <c r="AZ14" s="86"/>
    </row>
    <row r="15" spans="2:53">
      <c r="B15" s="86" t="s">
        <v>37</v>
      </c>
      <c r="D15" s="48"/>
      <c r="E15" s="48"/>
      <c r="F15" s="48"/>
      <c r="G15" s="48"/>
      <c r="H15" s="48"/>
      <c r="I15" s="48"/>
      <c r="J15" s="48"/>
      <c r="K15" s="48"/>
      <c r="L15" s="48"/>
      <c r="M15" s="48"/>
      <c r="N15" s="48"/>
      <c r="T15" s="48"/>
      <c r="U15" s="48">
        <f>+U13/T13-1</f>
        <v>5.939269665626723E-2</v>
      </c>
      <c r="V15" s="48">
        <f t="shared" ref="V15:AO15" si="10">+V13/U13-1</f>
        <v>2.6113980555466876E-2</v>
      </c>
      <c r="W15" s="48">
        <f t="shared" si="10"/>
        <v>2.0355457844198011E-2</v>
      </c>
      <c r="X15" s="48">
        <f t="shared" si="10"/>
        <v>2.3969144495595396E-2</v>
      </c>
      <c r="Y15" s="48">
        <f t="shared" si="10"/>
        <v>3.329724478983298E-2</v>
      </c>
      <c r="Z15" s="48">
        <f t="shared" si="10"/>
        <v>1.5946561545823412E-2</v>
      </c>
      <c r="AA15" s="24">
        <f t="shared" si="10"/>
        <v>5.4636826256961424E-2</v>
      </c>
      <c r="AB15" s="48">
        <f t="shared" si="10"/>
        <v>7.7460293050465756E-2</v>
      </c>
      <c r="AC15" s="48">
        <f t="shared" si="10"/>
        <v>1.8860155076512175E-2</v>
      </c>
      <c r="AD15" s="48">
        <f t="shared" si="10"/>
        <v>1.8341029448060375E-2</v>
      </c>
      <c r="AE15" s="48">
        <f t="shared" si="10"/>
        <v>1.8966611646846987E-2</v>
      </c>
      <c r="AF15" s="48">
        <f t="shared" si="10"/>
        <v>1.9259266613442794E-2</v>
      </c>
      <c r="AG15" s="48">
        <f t="shared" si="10"/>
        <v>1.9822122593254665E-2</v>
      </c>
      <c r="AH15" s="48">
        <f t="shared" si="10"/>
        <v>1.9981410440545799E-2</v>
      </c>
      <c r="AI15" s="48">
        <f t="shared" si="10"/>
        <v>2.072876550372893E-2</v>
      </c>
      <c r="AJ15" s="48">
        <f t="shared" si="10"/>
        <v>2.1142530796136816E-2</v>
      </c>
      <c r="AK15" s="48">
        <f t="shared" si="10"/>
        <v>2.1628295095041716E-2</v>
      </c>
      <c r="AL15" s="48">
        <f t="shared" si="10"/>
        <v>2.0192906838562896E-2</v>
      </c>
      <c r="AM15" s="48">
        <f t="shared" si="10"/>
        <v>2.1309362300373724E-2</v>
      </c>
      <c r="AN15" s="48">
        <f t="shared" si="10"/>
        <v>2.1708349299659258E-2</v>
      </c>
      <c r="AO15" s="48">
        <f t="shared" si="10"/>
        <v>2.18922575595899E-2</v>
      </c>
      <c r="AP15" s="48">
        <f t="shared" ref="AP15:AY15" si="11">+AP13/AO13-1</f>
        <v>2.196626120159495E-2</v>
      </c>
      <c r="AQ15" s="48">
        <f t="shared" si="11"/>
        <v>2.1982796488567713E-2</v>
      </c>
      <c r="AR15" s="48">
        <f t="shared" si="11"/>
        <v>2.197779355505558E-2</v>
      </c>
      <c r="AS15" s="48">
        <f t="shared" si="11"/>
        <v>2.1975721150940597E-2</v>
      </c>
      <c r="AT15" s="48">
        <f t="shared" si="11"/>
        <v>2.1993549764664611E-2</v>
      </c>
      <c r="AU15" s="48">
        <f t="shared" si="11"/>
        <v>2.2043287266165779E-2</v>
      </c>
      <c r="AV15" s="48">
        <f t="shared" si="11"/>
        <v>2.2133628728389976E-2</v>
      </c>
      <c r="AW15" s="48">
        <f t="shared" si="11"/>
        <v>2.2271045690623437E-2</v>
      </c>
      <c r="AX15" s="48">
        <f t="shared" si="11"/>
        <v>2.2460513309473296E-2</v>
      </c>
      <c r="AY15" s="48">
        <f t="shared" si="11"/>
        <v>2.2706000046520458E-2</v>
      </c>
      <c r="AZ15" s="86"/>
    </row>
    <row r="16" spans="2:53">
      <c r="D16" s="6"/>
      <c r="E16" s="6"/>
      <c r="F16" s="6"/>
      <c r="G16" s="6"/>
      <c r="H16" s="6"/>
      <c r="I16" s="6"/>
      <c r="J16" s="6"/>
      <c r="K16" s="6"/>
      <c r="L16" s="6"/>
      <c r="M16" s="6"/>
      <c r="N16" s="6"/>
    </row>
    <row r="17" spans="2:53">
      <c r="B17" s="6" t="s">
        <v>69</v>
      </c>
      <c r="D17" s="82">
        <f>IF(Case=$C8,IS!D$51,D17)</f>
        <v>72.854000000000013</v>
      </c>
      <c r="E17" s="82">
        <f>IF(Case=$C8,IS!E$51,E17)</f>
        <v>123.48999999999997</v>
      </c>
      <c r="F17" s="82">
        <f>IF(Case=$C8,IS!F$51,F17)</f>
        <v>187.78599999999994</v>
      </c>
      <c r="G17" s="82">
        <f>IF(Case=$C8,IS!G$51,G17)</f>
        <v>554.42707600667359</v>
      </c>
      <c r="H17" s="82">
        <f>IF(Case=$C8,IS!H$51,H17)</f>
        <v>653.61018672880209</v>
      </c>
      <c r="I17" s="108">
        <f>IF(Case=$C8,IS!I$51,I17)</f>
        <v>782.60000000000014</v>
      </c>
      <c r="J17" s="82">
        <f>IF(Case=$C8,IS!J$51,J17)</f>
        <v>934.9</v>
      </c>
      <c r="K17" s="82">
        <f>IF(Case=$C8,IS!K$51,K17)</f>
        <v>1116.8000000000002</v>
      </c>
      <c r="L17" s="82">
        <f ca="1">IF(Case=$C8,IS!L$51,L17)</f>
        <v>1304.4861798408563</v>
      </c>
      <c r="M17" s="82">
        <f ca="1">IF(Case=$C8,IS!M$51,M17)</f>
        <v>1370.016083933192</v>
      </c>
      <c r="N17" s="82">
        <f ca="1">IF(Case=$C8,IS!N$51,N17)</f>
        <v>1451.1599812439413</v>
      </c>
      <c r="O17" s="2">
        <f ca="1">(M17/J17)^(1/3)-1</f>
        <v>0.13584787186280534</v>
      </c>
      <c r="T17" s="82">
        <f>IF(Case=$C8,IS!T$51,T17)</f>
        <v>125.6178835624993</v>
      </c>
      <c r="U17" s="82">
        <f>IF(Case=$C8,IS!U$51,U17)</f>
        <v>139.37871740345793</v>
      </c>
      <c r="V17" s="82">
        <f>IF(Case=$C8,IS!V$51,V17)</f>
        <v>147.59169075010976</v>
      </c>
      <c r="W17" s="82">
        <f>IF(Case=$C8,IS!W$51,W17)</f>
        <v>141.83878429060655</v>
      </c>
      <c r="X17" s="82">
        <f>IF(Case=$C8,IS!X$51,X17)</f>
        <v>155.60177105606058</v>
      </c>
      <c r="Y17" s="82">
        <f>IF(Case=$C8,IS!Y$51,Y17)</f>
        <v>161.66567373765406</v>
      </c>
      <c r="Z17" s="82">
        <f>IF(Case=$C8,IS!Z$51,Z17)</f>
        <v>165.22903738364963</v>
      </c>
      <c r="AA17" s="88">
        <f>IF(Case=$C8,IS!AA$51,AA17)</f>
        <v>171.11370455143791</v>
      </c>
      <c r="AB17" s="82">
        <f>IF(Case=$C8,IS!AB$51,AB17)</f>
        <v>182.99999999999997</v>
      </c>
      <c r="AC17" s="82">
        <f>IF(Case=$C8,IS!AC$51,AC17)</f>
        <v>189.70000000000002</v>
      </c>
      <c r="AD17" s="82">
        <f>IF(Case=$C8,IS!AD$51,AD17)</f>
        <v>199</v>
      </c>
      <c r="AE17" s="82">
        <f>IF(Case=$C8,IS!AE$51,AE17)</f>
        <v>210.90000000000003</v>
      </c>
      <c r="AF17" s="82">
        <f>IF(Case=$C8,IS!AF$51,AF17)</f>
        <v>215.39999999999998</v>
      </c>
      <c r="AG17" s="82">
        <f>IF(Case=$C8,IS!AG$51,AG17)</f>
        <v>218.90000000000006</v>
      </c>
      <c r="AH17" s="82">
        <f>IF(Case=$C8,IS!AH$51,AH17)</f>
        <v>242.79999999999995</v>
      </c>
      <c r="AI17" s="82">
        <f>IF(Case=$C8,IS!AI$51,AI17)</f>
        <v>257.79999999999995</v>
      </c>
      <c r="AJ17" s="82">
        <f>IF(Case=$C8,IS!AJ$51,AJ17)</f>
        <v>260.60000000000002</v>
      </c>
      <c r="AK17" s="82">
        <f>IF(Case=$C8,IS!AK$51,AK17)</f>
        <v>263.39999999999992</v>
      </c>
      <c r="AL17" s="82">
        <f>IF(Case=$C8,IS!AL$51,AL17)</f>
        <v>282.00000000000006</v>
      </c>
      <c r="AM17" s="82">
        <f>IF(Case=$C8,IS!AM$51,AM17)</f>
        <v>310.80000000000007</v>
      </c>
      <c r="AN17" s="82">
        <f>IF(Case=$C8,IS!AN$51,AN17)</f>
        <v>316.60000000000002</v>
      </c>
      <c r="AO17" s="82">
        <f>IF(Case=$C8,IS!AO$51,AO17)</f>
        <v>329.89999999999992</v>
      </c>
      <c r="AP17" s="82">
        <f ca="1">IF(Case=$C8,IS!AP$51,AP17)</f>
        <v>326.94871317149068</v>
      </c>
      <c r="AQ17" s="82">
        <f ca="1">IF(Case=$C8,IS!AQ$51,AQ17)</f>
        <v>331.03746666936564</v>
      </c>
      <c r="AR17" s="82">
        <f ca="1">IF(Case=$C8,IS!AR$51,AR17)</f>
        <v>335.40358115071263</v>
      </c>
      <c r="AS17" s="82">
        <f ca="1">IF(Case=$C8,IS!AS$51,AS17)</f>
        <v>340.01440528747918</v>
      </c>
      <c r="AT17" s="82">
        <f ca="1">IF(Case=$C8,IS!AT$51,AT17)</f>
        <v>344.82110276408577</v>
      </c>
      <c r="AU17" s="82">
        <f ca="1">IF(Case=$C8,IS!AU$51,AU17)</f>
        <v>349.77699473091468</v>
      </c>
      <c r="AV17" s="82">
        <f ca="1">IF(Case=$C8,IS!AV$51,AV17)</f>
        <v>354.87209374973708</v>
      </c>
      <c r="AW17" s="82">
        <f ca="1">IF(Case=$C8,IS!AW$51,AW17)</f>
        <v>360.09695091398476</v>
      </c>
      <c r="AX17" s="82">
        <f ca="1">IF(Case=$C8,IS!AX$51,AX17)</f>
        <v>365.4424473739632</v>
      </c>
      <c r="AY17" s="82">
        <f ca="1">IF(Case=$C8,IS!AY$51,AY17)</f>
        <v>370.74848920625618</v>
      </c>
      <c r="BA17" s="131">
        <f>+SUM(AD17:AG17)/SUM(AD10:AG10)</f>
        <v>0.58665740097289787</v>
      </c>
    </row>
    <row r="18" spans="2:53">
      <c r="B18" s="6" t="s">
        <v>203</v>
      </c>
      <c r="D18" s="48">
        <f>+D17/D10</f>
        <v>0.36815588537008126</v>
      </c>
      <c r="E18" s="48">
        <f>+E17/E10</f>
        <v>0.43768585433627621</v>
      </c>
      <c r="F18" s="48">
        <f>+F17/F10</f>
        <v>0.50006124742361369</v>
      </c>
      <c r="G18" s="48">
        <f>+G17/G10</f>
        <v>0.55201880217416988</v>
      </c>
      <c r="H18" s="48">
        <f>+H17/H10</f>
        <v>0.58192452172755649</v>
      </c>
      <c r="I18" s="48">
        <f t="shared" ref="I18:N18" si="12">+I17/I10</f>
        <v>0.5809516739662981</v>
      </c>
      <c r="J18" s="48">
        <f t="shared" si="12"/>
        <v>0.5430098158796538</v>
      </c>
      <c r="K18" s="48">
        <f t="shared" si="12"/>
        <v>0.50768251659241759</v>
      </c>
      <c r="L18" s="48">
        <f t="shared" ca="1" si="12"/>
        <v>0.50025497115176965</v>
      </c>
      <c r="M18" s="48">
        <f t="shared" ca="1" si="12"/>
        <v>0.50926128441884289</v>
      </c>
      <c r="N18" s="48">
        <f t="shared" ca="1" si="12"/>
        <v>0.51872338565801102</v>
      </c>
      <c r="T18" s="48">
        <f>+T17/T10</f>
        <v>0.53226185226716738</v>
      </c>
      <c r="U18" s="48">
        <f t="shared" ref="U18:AO18" si="13">+U17/U10</f>
        <v>0.55745954761243866</v>
      </c>
      <c r="V18" s="48">
        <f t="shared" si="13"/>
        <v>0.57528519472841266</v>
      </c>
      <c r="W18" s="48">
        <f t="shared" si="13"/>
        <v>0.54183218400155098</v>
      </c>
      <c r="X18" s="48">
        <f t="shared" si="13"/>
        <v>0.58049363657071262</v>
      </c>
      <c r="Y18" s="48">
        <f t="shared" si="13"/>
        <v>0.58368088746839331</v>
      </c>
      <c r="Z18" s="48">
        <f t="shared" si="13"/>
        <v>0.58718258158854686</v>
      </c>
      <c r="AA18" s="24">
        <f t="shared" si="13"/>
        <v>0.57659205375572098</v>
      </c>
      <c r="AB18" s="48">
        <f t="shared" si="13"/>
        <v>0.57080474111041779</v>
      </c>
      <c r="AC18" s="48">
        <f t="shared" si="13"/>
        <v>0.58567459092312446</v>
      </c>
      <c r="AD18" s="48">
        <f t="shared" si="13"/>
        <v>0.58409157616671559</v>
      </c>
      <c r="AE18" s="48">
        <f t="shared" si="13"/>
        <v>0.58275766786405092</v>
      </c>
      <c r="AF18" s="48">
        <f t="shared" si="13"/>
        <v>0.5872410032715375</v>
      </c>
      <c r="AG18" s="48">
        <f t="shared" si="13"/>
        <v>0.59226190476190488</v>
      </c>
      <c r="AH18" s="48">
        <f t="shared" si="13"/>
        <v>0.50794979079497904</v>
      </c>
      <c r="AI18" s="48">
        <f t="shared" si="13"/>
        <v>0.50818056376897291</v>
      </c>
      <c r="AJ18" s="48">
        <f t="shared" si="13"/>
        <v>0.51614181025945738</v>
      </c>
      <c r="AK18" s="48">
        <f t="shared" si="13"/>
        <v>0.51983422143280034</v>
      </c>
      <c r="AL18" s="48">
        <f t="shared" si="13"/>
        <v>0.51254089422028359</v>
      </c>
      <c r="AM18" s="48">
        <f t="shared" si="13"/>
        <v>0.4871473354231976</v>
      </c>
      <c r="AN18" s="48">
        <f t="shared" si="13"/>
        <v>0.49199689199689201</v>
      </c>
      <c r="AO18" s="48">
        <f t="shared" si="13"/>
        <v>0.50482019892884455</v>
      </c>
      <c r="AP18" s="48">
        <f t="shared" ref="AP18:AY18" ca="1" si="14">+AP17/AP10</f>
        <v>0.50083686733377109</v>
      </c>
      <c r="AQ18" s="48">
        <f t="shared" ca="1" si="14"/>
        <v>0.50322049386364887</v>
      </c>
      <c r="AR18" s="48">
        <f t="shared" ca="1" si="14"/>
        <v>0.50563422323882568</v>
      </c>
      <c r="AS18" s="48">
        <f t="shared" ca="1" si="14"/>
        <v>0.50803950291141131</v>
      </c>
      <c r="AT18" s="48">
        <f t="shared" ca="1" si="14"/>
        <v>0.51043613760677586</v>
      </c>
      <c r="AU18" s="48">
        <f t="shared" ca="1" si="14"/>
        <v>0.51282399379565646</v>
      </c>
      <c r="AV18" s="48">
        <f t="shared" ca="1" si="14"/>
        <v>0.5152027970324583</v>
      </c>
      <c r="AW18" s="48">
        <f t="shared" ca="1" si="14"/>
        <v>0.51757228519888143</v>
      </c>
      <c r="AX18" s="48">
        <f t="shared" ca="1" si="14"/>
        <v>0.51993220693461839</v>
      </c>
      <c r="AY18" s="48">
        <f t="shared" ca="1" si="14"/>
        <v>0.52206945216814848</v>
      </c>
    </row>
    <row r="19" spans="2:53">
      <c r="B19" s="85" t="s">
        <v>201</v>
      </c>
      <c r="D19" s="18"/>
      <c r="E19" s="18"/>
      <c r="F19" s="18"/>
      <c r="G19" s="18">
        <f>+SUM(T19:W19)</f>
        <v>554.42707600667347</v>
      </c>
      <c r="H19" s="18">
        <f>+SUM(X19:AA19)</f>
        <v>653.61018672880209</v>
      </c>
      <c r="I19" s="18">
        <f>+SUM(AB19:AE19)</f>
        <v>755.29519908051816</v>
      </c>
      <c r="J19" s="18">
        <f>+SUM(AF19:AI19)</f>
        <v>833.56110694208087</v>
      </c>
      <c r="K19" s="18">
        <f>+SUM(AJ19:AM19)</f>
        <v>919.62996880243179</v>
      </c>
      <c r="L19" s="18">
        <f>+SUM(AN19:AQ19)</f>
        <v>1012.4646824388119</v>
      </c>
      <c r="M19" s="18">
        <f>+SUM(AR19:AU19)</f>
        <v>1120.8728113007905</v>
      </c>
      <c r="N19" s="18">
        <f>+SUM(AV19:AY19)</f>
        <v>1247.1707407331546</v>
      </c>
      <c r="T19" s="19">
        <v>125.6178835624993</v>
      </c>
      <c r="U19" s="19">
        <v>139.37871740345793</v>
      </c>
      <c r="V19" s="19">
        <v>147.59169075010976</v>
      </c>
      <c r="W19" s="19">
        <v>141.8387842906065</v>
      </c>
      <c r="X19" s="19">
        <v>155.60177105606056</v>
      </c>
      <c r="Y19" s="19">
        <v>161.665673737654</v>
      </c>
      <c r="Z19" s="19">
        <v>165.22903738364963</v>
      </c>
      <c r="AA19" s="20">
        <v>171.11370455143788</v>
      </c>
      <c r="AB19" s="19">
        <v>181.374326063746</v>
      </c>
      <c r="AC19" s="19">
        <v>185.94861471488298</v>
      </c>
      <c r="AD19" s="19">
        <v>191.52585143603733</v>
      </c>
      <c r="AE19" s="19">
        <v>196.4464068658518</v>
      </c>
      <c r="AF19" s="19">
        <v>201.08281102719869</v>
      </c>
      <c r="AG19" s="19">
        <v>205.95069045090483</v>
      </c>
      <c r="AH19" s="19">
        <v>210.55745532438084</v>
      </c>
      <c r="AI19" s="19">
        <v>215.97015013959654</v>
      </c>
      <c r="AJ19" s="19">
        <v>221.29396997899585</v>
      </c>
      <c r="AK19" s="19">
        <v>227.6621050362476</v>
      </c>
      <c r="AL19" s="19">
        <v>232.59476372451638</v>
      </c>
      <c r="AM19" s="19">
        <v>238.07913006267202</v>
      </c>
      <c r="AN19" s="19">
        <v>243.73288893524733</v>
      </c>
      <c r="AO19" s="19">
        <v>249.76521937757843</v>
      </c>
      <c r="AP19" s="19">
        <v>256.17404618594469</v>
      </c>
      <c r="AQ19" s="19">
        <v>262.79252794004145</v>
      </c>
      <c r="AR19" s="19">
        <v>269.62074465713675</v>
      </c>
      <c r="AS19" s="19">
        <v>276.52797322790286</v>
      </c>
      <c r="AT19" s="19">
        <v>283.66676558994658</v>
      </c>
      <c r="AU19" s="19">
        <v>291.05732782580429</v>
      </c>
      <c r="AV19" s="19">
        <v>298.72432534755171</v>
      </c>
      <c r="AW19" s="19">
        <v>307.20977716194983</v>
      </c>
      <c r="AX19" s="19">
        <v>316.02612785391062</v>
      </c>
      <c r="AY19" s="19">
        <v>325.21051036974251</v>
      </c>
      <c r="AZ19" s="85"/>
    </row>
    <row r="20" spans="2:53">
      <c r="B20" s="86" t="s">
        <v>203</v>
      </c>
      <c r="D20" s="48"/>
      <c r="E20" s="48"/>
      <c r="F20" s="48"/>
      <c r="G20" s="48">
        <f>+G19/G13</f>
        <v>0.55201880217416976</v>
      </c>
      <c r="H20" s="48">
        <f>+H19/H13</f>
        <v>0.58192452172755649</v>
      </c>
      <c r="I20" s="48">
        <f t="shared" ref="I20:N20" si="15">+I19/I13</f>
        <v>0.57421397042263722</v>
      </c>
      <c r="J20" s="48">
        <f t="shared" si="15"/>
        <v>0.58692474496306157</v>
      </c>
      <c r="K20" s="48">
        <f t="shared" si="15"/>
        <v>0.59628367589789977</v>
      </c>
      <c r="L20" s="48">
        <f t="shared" si="15"/>
        <v>0.6028596375151215</v>
      </c>
      <c r="M20" s="48">
        <f t="shared" si="15"/>
        <v>0.61182398417199124</v>
      </c>
      <c r="N20" s="48">
        <f t="shared" si="15"/>
        <v>0.6235354375594222</v>
      </c>
      <c r="T20" s="48">
        <f>+T19/T13</f>
        <v>0.53226185226716738</v>
      </c>
      <c r="U20" s="48">
        <f t="shared" ref="U20:AO20" si="16">+U19/U13</f>
        <v>0.55745954761243866</v>
      </c>
      <c r="V20" s="48">
        <f t="shared" si="16"/>
        <v>0.57528519472841266</v>
      </c>
      <c r="W20" s="48">
        <f t="shared" si="16"/>
        <v>0.54183218400155075</v>
      </c>
      <c r="X20" s="48">
        <f t="shared" si="16"/>
        <v>0.58049363657071251</v>
      </c>
      <c r="Y20" s="48">
        <f t="shared" si="16"/>
        <v>0.58368088746839319</v>
      </c>
      <c r="Z20" s="48">
        <f t="shared" si="16"/>
        <v>0.58718258158854686</v>
      </c>
      <c r="AA20" s="24">
        <f t="shared" si="16"/>
        <v>0.57659205375572087</v>
      </c>
      <c r="AB20" s="48">
        <f t="shared" si="16"/>
        <v>0.56722896108046694</v>
      </c>
      <c r="AC20" s="48">
        <f t="shared" si="16"/>
        <v>0.57076975737119939</v>
      </c>
      <c r="AD20" s="48">
        <f t="shared" si="16"/>
        <v>0.57730080888261037</v>
      </c>
      <c r="AE20" s="48">
        <f t="shared" si="16"/>
        <v>0.58111073754362208</v>
      </c>
      <c r="AF20" s="48">
        <f t="shared" si="16"/>
        <v>0.58358630237243969</v>
      </c>
      <c r="AG20" s="48">
        <f t="shared" si="16"/>
        <v>0.58609628092601496</v>
      </c>
      <c r="AH20" s="48">
        <f t="shared" si="16"/>
        <v>0.58746781722442609</v>
      </c>
      <c r="AI20" s="48">
        <f t="shared" si="16"/>
        <v>0.590332689631206</v>
      </c>
      <c r="AJ20" s="48">
        <f t="shared" si="16"/>
        <v>0.59236080920171952</v>
      </c>
      <c r="AK20" s="48">
        <f t="shared" si="16"/>
        <v>0.59650566453717446</v>
      </c>
      <c r="AL20" s="48">
        <f t="shared" si="16"/>
        <v>0.59736731826072542</v>
      </c>
      <c r="AM20" s="48">
        <f t="shared" si="16"/>
        <v>0.59869487328987614</v>
      </c>
      <c r="AN20" s="48">
        <f t="shared" si="16"/>
        <v>0.59988970107841899</v>
      </c>
      <c r="AO20" s="48">
        <f t="shared" si="16"/>
        <v>0.60156716376321573</v>
      </c>
      <c r="AP20" s="48">
        <f t="shared" ref="AP20:AY20" si="17">+AP19/AP13</f>
        <v>0.60374108462366027</v>
      </c>
      <c r="AQ20" s="48">
        <f t="shared" si="17"/>
        <v>0.606017311233228</v>
      </c>
      <c r="AR20" s="48">
        <f t="shared" si="17"/>
        <v>0.60839251488093282</v>
      </c>
      <c r="AS20" s="48">
        <f t="shared" si="17"/>
        <v>0.61056098663706504</v>
      </c>
      <c r="AT20" s="48">
        <f t="shared" si="17"/>
        <v>0.61284448462112273</v>
      </c>
      <c r="AU20" s="48">
        <f t="shared" si="17"/>
        <v>0.6152492214372367</v>
      </c>
      <c r="AV20" s="48">
        <f t="shared" si="17"/>
        <v>0.6177822796598591</v>
      </c>
      <c r="AW20" s="48">
        <f t="shared" si="17"/>
        <v>0.62148955059463695</v>
      </c>
      <c r="AX20" s="48">
        <f t="shared" si="17"/>
        <v>0.62528101519192159</v>
      </c>
      <c r="AY20" s="48">
        <f t="shared" si="17"/>
        <v>0.629167124994084</v>
      </c>
      <c r="AZ20" s="86"/>
    </row>
    <row r="21" spans="2:53">
      <c r="D21" s="6"/>
      <c r="E21" s="6"/>
      <c r="F21" s="6"/>
      <c r="G21" s="6"/>
      <c r="H21" s="6"/>
      <c r="I21" s="6"/>
      <c r="J21" s="6"/>
      <c r="K21" s="6"/>
      <c r="L21" s="6"/>
      <c r="M21" s="6"/>
      <c r="N21" s="6"/>
    </row>
    <row r="22" spans="2:53">
      <c r="B22" s="6" t="s">
        <v>251</v>
      </c>
      <c r="D22" s="82"/>
      <c r="E22" s="82"/>
      <c r="F22" s="82"/>
      <c r="G22" s="82">
        <f>IF(Case=$C8,BS!G$69,G22)</f>
        <v>323.23400002</v>
      </c>
      <c r="H22" s="82">
        <f>IF(Case=$C8,BS!H$69,H22)</f>
        <v>360.75700000000001</v>
      </c>
      <c r="I22" s="82">
        <f>IF(Case=$C8,BS!I$69,I22)</f>
        <v>530.4</v>
      </c>
      <c r="J22" s="82">
        <f>IF(Case=$C8,BS!J$69,J22)</f>
        <v>704.10000000000014</v>
      </c>
      <c r="K22" s="82">
        <f>IF(Case=$C8,BS!K$69,K22)</f>
        <v>835.5</v>
      </c>
      <c r="L22" s="82">
        <f ca="1">IF(Case=$C8,BS!L$69,L22)</f>
        <v>832.46881825418075</v>
      </c>
      <c r="M22" s="82">
        <f ca="1">IF(Case=$C8,BS!M$69,M22)</f>
        <v>941.57094608874058</v>
      </c>
      <c r="N22" s="82">
        <f ca="1">IF(Case=$C8,BS!N$69,N22)</f>
        <v>908.13095959915506</v>
      </c>
      <c r="T22" s="82">
        <f>IF(Case=$C8,BS!T$69,T22)</f>
        <v>66.687000019999999</v>
      </c>
      <c r="U22" s="82">
        <f>IF(Case=$C8,BS!U$69,U22)</f>
        <v>58.91</v>
      </c>
      <c r="V22" s="82">
        <f>IF(Case=$C8,BS!V$69,V22)</f>
        <v>95.73</v>
      </c>
      <c r="W22" s="82">
        <f>IF(Case=$C8,BS!W$69,W22)</f>
        <v>101.907</v>
      </c>
      <c r="X22" s="82">
        <f>IF(Case=$C8,BS!X$69,X22)</f>
        <v>86.671996482221047</v>
      </c>
      <c r="Y22" s="82">
        <f>IF(Case=$C8,BS!Y$69,Y22)</f>
        <v>88.276763707906341</v>
      </c>
      <c r="Z22" s="82">
        <f>IF(Case=$C8,BS!Z$69,Z22)</f>
        <v>90.922727784094747</v>
      </c>
      <c r="AA22" s="88">
        <f>IF(Case=$C8,BS!AA$69,AA22)</f>
        <v>94.885512025777871</v>
      </c>
      <c r="AB22" s="82">
        <f>IF(Case=$C8,BS!AB$69,AB22)</f>
        <v>115.3</v>
      </c>
      <c r="AC22" s="82">
        <f>IF(Case=$C8,BS!AC$69,AC22)</f>
        <v>129.5</v>
      </c>
      <c r="AD22" s="82">
        <f>IF(Case=$C8,BS!AD$69,AD22)</f>
        <v>130.09999999999997</v>
      </c>
      <c r="AE22" s="82">
        <f>IF(Case=$C8,BS!AE$69,AE22)</f>
        <v>155.5</v>
      </c>
      <c r="AF22" s="82">
        <f>IF(Case=$C8,BS!AF$69,AF22)</f>
        <v>159.19999999999999</v>
      </c>
      <c r="AG22" s="82">
        <f>IF(Case=$C8,BS!AG$69,AG22)</f>
        <v>172.40000000000003</v>
      </c>
      <c r="AH22" s="82">
        <f>IF(Case=$C8,BS!AH$69,AH22)</f>
        <v>185.10000000000002</v>
      </c>
      <c r="AI22" s="82">
        <f>IF(Case=$C8,BS!AI$69,AI22)</f>
        <v>187.40000000000003</v>
      </c>
      <c r="AJ22" s="82">
        <f>IF(Case=$C8,BS!AJ$69,AJ22)</f>
        <v>208.3</v>
      </c>
      <c r="AK22" s="82">
        <f>IF(Case=$C8,BS!AK$69,AK22)</f>
        <v>213.59999999999997</v>
      </c>
      <c r="AL22" s="82">
        <f>IF(Case=$C8,BS!AL$69,AL22)</f>
        <v>208.30000000000007</v>
      </c>
      <c r="AM22" s="82">
        <f>IF(Case=$C8,BS!AM$69,AM22)</f>
        <v>205.3</v>
      </c>
      <c r="AN22" s="82">
        <f>IF(Case=$C8,BS!AN$69,AN22)</f>
        <v>193.4</v>
      </c>
      <c r="AO22" s="82">
        <f>IF(Case=$C8,BS!AO$69,AO22)</f>
        <v>193.4</v>
      </c>
      <c r="AP22" s="82">
        <f ca="1">IF(Case=$C8,BS!AP$69,AP22)</f>
        <v>215.42558542258649</v>
      </c>
      <c r="AQ22" s="82">
        <f ca="1">IF(Case=$C8,BS!AQ$69,AQ22)</f>
        <v>230.24323283159427</v>
      </c>
      <c r="AR22" s="82">
        <f ca="1">IF(Case=$C8,BS!AR$69,AR22)</f>
        <v>232.16635268634124</v>
      </c>
      <c r="AS22" s="82">
        <f ca="1">IF(Case=$C8,BS!AS$69,AS22)</f>
        <v>234.24367823493645</v>
      </c>
      <c r="AT22" s="82">
        <f ca="1">IF(Case=$C8,BS!AT$69,AT22)</f>
        <v>236.43973667946651</v>
      </c>
      <c r="AU22" s="82">
        <f ca="1">IF(Case=$C8,BS!AU$69,AU22)</f>
        <v>238.7211784879965</v>
      </c>
      <c r="AV22" s="82">
        <f ca="1">IF(Case=$C8,BS!AV$69,AV22)</f>
        <v>241.08027659753353</v>
      </c>
      <c r="AW22" s="82">
        <f ca="1">IF(Case=$C8,BS!AW$69,AW22)</f>
        <v>243.50981770877678</v>
      </c>
      <c r="AX22" s="82">
        <f ca="1">IF(Case=$C8,BS!AX$69,AX22)</f>
        <v>246.00294975950814</v>
      </c>
      <c r="AY22" s="82">
        <f ca="1">IF(Case=$C8,BS!AY$69,AY22)</f>
        <v>177.53791553333656</v>
      </c>
    </row>
    <row r="23" spans="2:53">
      <c r="B23" s="6" t="s">
        <v>202</v>
      </c>
      <c r="D23" s="48"/>
      <c r="E23" s="48"/>
      <c r="F23" s="48"/>
      <c r="G23" s="48">
        <f>+G22/G10</f>
        <v>0.32182996328061408</v>
      </c>
      <c r="H23" s="48">
        <f>+H22/H10</f>
        <v>0.32119044186802781</v>
      </c>
      <c r="I23" s="48">
        <f t="shared" ref="I23:N23" si="18">+I22/I10</f>
        <v>0.3937346893326405</v>
      </c>
      <c r="J23" s="48">
        <f t="shared" si="18"/>
        <v>0.40895626415751879</v>
      </c>
      <c r="K23" s="48">
        <f t="shared" si="18"/>
        <v>0.37980725520501862</v>
      </c>
      <c r="L23" s="48">
        <f t="shared" ca="1" si="18"/>
        <v>0.31924191386320266</v>
      </c>
      <c r="M23" s="48">
        <f t="shared" ca="1" si="18"/>
        <v>0.34999999999999992</v>
      </c>
      <c r="N23" s="48">
        <f t="shared" ca="1" si="18"/>
        <v>0.32461532296413642</v>
      </c>
      <c r="T23" s="48">
        <f>+T22/T10</f>
        <v>0.28256284174001267</v>
      </c>
      <c r="U23" s="48">
        <f t="shared" ref="U23:AO23" si="19">+U22/U10</f>
        <v>0.23561661752695978</v>
      </c>
      <c r="V23" s="48">
        <f t="shared" si="19"/>
        <v>0.3731378874478406</v>
      </c>
      <c r="W23" s="48">
        <f t="shared" si="19"/>
        <v>0.38929050789039249</v>
      </c>
      <c r="X23" s="48">
        <f t="shared" si="19"/>
        <v>0.32334170803674073</v>
      </c>
      <c r="Y23" s="48">
        <f t="shared" si="19"/>
        <v>0.31871614173013818</v>
      </c>
      <c r="Z23" s="48">
        <f t="shared" si="19"/>
        <v>0.32311658332411569</v>
      </c>
      <c r="AA23" s="24">
        <f t="shared" si="19"/>
        <v>0.31973027756032346</v>
      </c>
      <c r="AB23" s="48">
        <f t="shared" si="19"/>
        <v>0.35963817841547097</v>
      </c>
      <c r="AC23" s="48">
        <f t="shared" si="19"/>
        <v>0.39981475764124735</v>
      </c>
      <c r="AD23" s="48">
        <f t="shared" si="19"/>
        <v>0.3818608746697974</v>
      </c>
      <c r="AE23" s="48">
        <f t="shared" si="19"/>
        <v>0.42967670627245097</v>
      </c>
      <c r="AF23" s="48">
        <f t="shared" si="19"/>
        <v>0.43402399127589963</v>
      </c>
      <c r="AG23" s="48">
        <f t="shared" si="19"/>
        <v>0.4664502164502165</v>
      </c>
      <c r="AH23" s="48">
        <f t="shared" si="19"/>
        <v>0.38723849372384944</v>
      </c>
      <c r="AI23" s="48">
        <f t="shared" si="19"/>
        <v>0.36940666272422634</v>
      </c>
      <c r="AJ23" s="48">
        <f t="shared" si="19"/>
        <v>0.41255694196870674</v>
      </c>
      <c r="AK23" s="48">
        <f t="shared" si="19"/>
        <v>0.42155121373593835</v>
      </c>
      <c r="AL23" s="48">
        <f t="shared" si="19"/>
        <v>0.3785896037804436</v>
      </c>
      <c r="AM23" s="48">
        <f t="shared" si="19"/>
        <v>0.32178683385579937</v>
      </c>
      <c r="AN23" s="48">
        <f t="shared" si="19"/>
        <v>0.30054390054390057</v>
      </c>
      <c r="AO23" s="48">
        <f t="shared" si="19"/>
        <v>0.29594491201224177</v>
      </c>
      <c r="AP23" s="48">
        <f t="shared" ref="AP23:AY23" ca="1" si="20">+AP22/AP10</f>
        <v>0.33</v>
      </c>
      <c r="AQ23" s="48">
        <f t="shared" ca="1" si="20"/>
        <v>0.35</v>
      </c>
      <c r="AR23" s="48">
        <f t="shared" ca="1" si="20"/>
        <v>0.35</v>
      </c>
      <c r="AS23" s="48">
        <f t="shared" ca="1" si="20"/>
        <v>0.35</v>
      </c>
      <c r="AT23" s="48">
        <f t="shared" ca="1" si="20"/>
        <v>0.35</v>
      </c>
      <c r="AU23" s="48">
        <f t="shared" ca="1" si="20"/>
        <v>0.35</v>
      </c>
      <c r="AV23" s="48">
        <f t="shared" ca="1" si="20"/>
        <v>0.35</v>
      </c>
      <c r="AW23" s="48">
        <f t="shared" ca="1" si="20"/>
        <v>0.35</v>
      </c>
      <c r="AX23" s="48">
        <f t="shared" ca="1" si="20"/>
        <v>0.35</v>
      </c>
      <c r="AY23" s="48">
        <f t="shared" ca="1" si="20"/>
        <v>0.25</v>
      </c>
    </row>
    <row r="24" spans="2:53">
      <c r="B24" s="85" t="s">
        <v>201</v>
      </c>
      <c r="D24" s="18"/>
      <c r="E24" s="18"/>
      <c r="F24" s="18"/>
      <c r="G24" s="18">
        <f>+SUM(T24:W24)</f>
        <v>323.23400002</v>
      </c>
      <c r="H24" s="18">
        <f>+SUM(X24:AA24)</f>
        <v>360.75696800184278</v>
      </c>
      <c r="I24" s="18">
        <f>+SUM(AB24:AE24)</f>
        <v>517.16227294135183</v>
      </c>
      <c r="J24" s="18">
        <f>+SUM(AF24:AI24)</f>
        <v>544.57055074343282</v>
      </c>
      <c r="K24" s="18">
        <f>+SUM(AJ24:AM24)</f>
        <v>614.84087089037553</v>
      </c>
      <c r="L24" s="18">
        <f>+SUM(AN24:AQ24)</f>
        <v>657.72798252808502</v>
      </c>
      <c r="M24" s="18">
        <f>+SUM(AR24:AU24)</f>
        <v>687.45068952044198</v>
      </c>
      <c r="N24" s="18">
        <f>+SUM(AV24:AY24)</f>
        <v>717.39984705812469</v>
      </c>
      <c r="T24" s="19">
        <v>66.687000019999999</v>
      </c>
      <c r="U24" s="19">
        <v>58.91</v>
      </c>
      <c r="V24" s="19">
        <v>95.73</v>
      </c>
      <c r="W24" s="19">
        <v>101.907</v>
      </c>
      <c r="X24" s="19">
        <v>86.671996822220791</v>
      </c>
      <c r="Y24" s="19">
        <v>88.275342707906788</v>
      </c>
      <c r="Z24" s="19">
        <v>90.922727774094895</v>
      </c>
      <c r="AA24" s="20">
        <v>94.886900697620305</v>
      </c>
      <c r="AB24" s="19">
        <v>122.64550073855338</v>
      </c>
      <c r="AC24" s="19">
        <v>133.53396482554763</v>
      </c>
      <c r="AD24" s="19">
        <v>132.48862971686015</v>
      </c>
      <c r="AE24" s="19">
        <v>128.49417766039068</v>
      </c>
      <c r="AF24" s="19">
        <v>131.32076922124907</v>
      </c>
      <c r="AG24" s="19">
        <v>134.07132987472784</v>
      </c>
      <c r="AH24" s="19">
        <v>137.31113239990361</v>
      </c>
      <c r="AI24" s="19">
        <v>141.86731924755227</v>
      </c>
      <c r="AJ24" s="19">
        <v>147.28795099124267</v>
      </c>
      <c r="AK24" s="19">
        <v>152.37474328197712</v>
      </c>
      <c r="AL24" s="19">
        <v>156.25456642208644</v>
      </c>
      <c r="AM24" s="19">
        <v>158.92361019506922</v>
      </c>
      <c r="AN24" s="19">
        <v>161.37754749869754</v>
      </c>
      <c r="AO24" s="19">
        <v>163.53341443854788</v>
      </c>
      <c r="AP24" s="19">
        <v>165.49930625832536</v>
      </c>
      <c r="AQ24" s="19">
        <v>167.31771433251427</v>
      </c>
      <c r="AR24" s="19">
        <v>169.07863495798779</v>
      </c>
      <c r="AS24" s="19">
        <v>170.89497513343315</v>
      </c>
      <c r="AT24" s="19">
        <v>172.76982543926874</v>
      </c>
      <c r="AU24" s="19">
        <v>174.7072539897523</v>
      </c>
      <c r="AV24" s="19">
        <v>176.71220825629393</v>
      </c>
      <c r="AW24" s="19">
        <v>178.79046096270477</v>
      </c>
      <c r="AX24" s="19">
        <v>180.94858891956298</v>
      </c>
      <c r="AY24" s="19">
        <v>180.94858891956298</v>
      </c>
      <c r="AZ24" s="85"/>
    </row>
    <row r="25" spans="2:53">
      <c r="B25" s="86" t="s">
        <v>202</v>
      </c>
      <c r="D25" s="48"/>
      <c r="E25" s="48"/>
      <c r="F25" s="48"/>
      <c r="G25" s="48">
        <f>+G24/G13</f>
        <v>0.32182996328061408</v>
      </c>
      <c r="H25" s="48">
        <f>+H24/H13</f>
        <v>0.32119041337931581</v>
      </c>
      <c r="I25" s="48">
        <f t="shared" ref="I25:N25" si="21">+I24/I13</f>
        <v>0.39317316257267992</v>
      </c>
      <c r="J25" s="48">
        <f t="shared" si="21"/>
        <v>0.3834415125029243</v>
      </c>
      <c r="K25" s="48">
        <f t="shared" si="21"/>
        <v>0.3986598817176451</v>
      </c>
      <c r="L25" s="48">
        <f t="shared" si="21"/>
        <v>0.39163603433090316</v>
      </c>
      <c r="M25" s="48">
        <f t="shared" si="21"/>
        <v>0.3752422358216253</v>
      </c>
      <c r="N25" s="48">
        <f t="shared" si="21"/>
        <v>0.35867120108790312</v>
      </c>
      <c r="T25" s="48">
        <f>+T24/T13</f>
        <v>0.28256284174001267</v>
      </c>
      <c r="U25" s="48">
        <f t="shared" ref="U25:AO25" si="22">+U24/U13</f>
        <v>0.23561661752695978</v>
      </c>
      <c r="V25" s="48">
        <f t="shared" si="22"/>
        <v>0.3731378874478406</v>
      </c>
      <c r="W25" s="48">
        <f t="shared" si="22"/>
        <v>0.38929050789039249</v>
      </c>
      <c r="X25" s="48">
        <f t="shared" si="22"/>
        <v>0.32334170930515616</v>
      </c>
      <c r="Y25" s="48">
        <f t="shared" si="22"/>
        <v>0.31871101132414875</v>
      </c>
      <c r="Z25" s="48">
        <f t="shared" si="22"/>
        <v>0.32311658328857873</v>
      </c>
      <c r="AA25" s="24">
        <f t="shared" si="22"/>
        <v>0.3197349568883277</v>
      </c>
      <c r="AB25" s="48">
        <f t="shared" si="22"/>
        <v>0.38356079096152129</v>
      </c>
      <c r="AC25" s="48">
        <f t="shared" si="22"/>
        <v>0.40988285296535643</v>
      </c>
      <c r="AD25" s="48">
        <f t="shared" si="22"/>
        <v>0.39934970934634112</v>
      </c>
      <c r="AE25" s="48">
        <f t="shared" si="22"/>
        <v>0.38010034157194134</v>
      </c>
      <c r="AF25" s="48">
        <f t="shared" si="22"/>
        <v>0.38112159733119716</v>
      </c>
      <c r="AG25" s="48">
        <f t="shared" si="22"/>
        <v>0.38154136626754714</v>
      </c>
      <c r="AH25" s="48">
        <f t="shared" si="22"/>
        <v>0.38310622203955319</v>
      </c>
      <c r="AI25" s="48">
        <f t="shared" si="22"/>
        <v>0.3877800524194836</v>
      </c>
      <c r="AJ25" s="48">
        <f t="shared" si="22"/>
        <v>0.39426112624359733</v>
      </c>
      <c r="AK25" s="48">
        <f t="shared" si="22"/>
        <v>0.3992425418609985</v>
      </c>
      <c r="AL25" s="48">
        <f t="shared" si="22"/>
        <v>0.4013046975559047</v>
      </c>
      <c r="AM25" s="48">
        <f t="shared" si="22"/>
        <v>0.39964339017645178</v>
      </c>
      <c r="AN25" s="48">
        <f t="shared" si="22"/>
        <v>0.39719189787095688</v>
      </c>
      <c r="AO25" s="48">
        <f t="shared" si="22"/>
        <v>0.39387522630039601</v>
      </c>
      <c r="AP25" s="48">
        <f t="shared" ref="AP25:AY25" si="23">+AP24/AP13</f>
        <v>0.39004236437105094</v>
      </c>
      <c r="AQ25" s="48">
        <f t="shared" si="23"/>
        <v>0.38584594530257871</v>
      </c>
      <c r="AR25" s="48">
        <f t="shared" si="23"/>
        <v>0.38152174108685588</v>
      </c>
      <c r="AS25" s="48">
        <f t="shared" si="23"/>
        <v>0.37732820810425372</v>
      </c>
      <c r="AT25" s="48">
        <f t="shared" si="23"/>
        <v>0.37325851130007209</v>
      </c>
      <c r="AU25" s="48">
        <f t="shared" si="23"/>
        <v>0.36930354167534918</v>
      </c>
      <c r="AV25" s="48">
        <f t="shared" si="23"/>
        <v>0.3654528995363443</v>
      </c>
      <c r="AW25" s="48">
        <f t="shared" si="23"/>
        <v>0.36169553020359385</v>
      </c>
      <c r="AX25" s="48">
        <f t="shared" si="23"/>
        <v>0.3580201363270602</v>
      </c>
      <c r="AY25" s="48">
        <f t="shared" si="23"/>
        <v>0.35007141476707354</v>
      </c>
      <c r="AZ25" s="86"/>
    </row>
    <row r="26" spans="2:53">
      <c r="D26" s="6"/>
      <c r="E26" s="6"/>
      <c r="F26" s="6"/>
      <c r="G26" s="6"/>
      <c r="H26" s="6"/>
      <c r="I26" s="6"/>
      <c r="J26" s="6"/>
      <c r="K26" s="6"/>
      <c r="L26" s="6"/>
      <c r="M26" s="6"/>
      <c r="N26" s="6"/>
    </row>
    <row r="27" spans="2:53">
      <c r="B27" s="6" t="s">
        <v>249</v>
      </c>
      <c r="D27" s="6"/>
      <c r="E27" s="6"/>
      <c r="F27" s="6"/>
      <c r="G27" s="6"/>
      <c r="H27" s="6"/>
      <c r="I27" s="82">
        <f>IF(Case=$C8,BS!I$75,I27)</f>
        <v>381.29999999999995</v>
      </c>
      <c r="J27" s="82">
        <f>IF(Case=$C8,BS!J$75,J27)</f>
        <v>520.10000000000014</v>
      </c>
      <c r="K27" s="82">
        <f>IF(Case=$C8,BS!K$75,K27)</f>
        <v>635</v>
      </c>
      <c r="L27" s="82">
        <f ca="1">IF(Case=$C8,BS!L$75,L27)</f>
        <v>737.7487208380096</v>
      </c>
      <c r="M27" s="82">
        <f ca="1">IF(Case=$C8,BS!M$75,M27)</f>
        <v>761.8402520972835</v>
      </c>
      <c r="N27" s="82">
        <f ca="1">IF(Case=$C8,BS!N$75,N27)</f>
        <v>700.39535435277912</v>
      </c>
      <c r="AB27" s="82">
        <f>IF(Case=$C8,BS!AB$75,AB27)</f>
        <v>72.099999999999994</v>
      </c>
      <c r="AC27" s="82">
        <f>IF(Case=$C8,BS!AC$75,AC27)</f>
        <v>88.600000000000009</v>
      </c>
      <c r="AD27" s="82">
        <f>IF(Case=$C8,BS!AD$75,AD27)</f>
        <v>90.599999999999966</v>
      </c>
      <c r="AE27" s="82">
        <f>IF(Case=$C8,BS!AE$75,AE27)</f>
        <v>130</v>
      </c>
      <c r="AF27" s="82">
        <f>IF(Case=$C8,BS!AF$75,AF27)</f>
        <v>109.49999999999999</v>
      </c>
      <c r="AG27" s="82">
        <f>IF(Case=$C8,BS!AG$75,AG27)</f>
        <v>135.50000000000006</v>
      </c>
      <c r="AH27" s="82">
        <f>IF(Case=$C8,BS!AH$75,AH27)</f>
        <v>126.30000000000001</v>
      </c>
      <c r="AI27" s="82">
        <f>IF(Case=$C8,BS!AI$75,AI27)</f>
        <v>148.80000000000001</v>
      </c>
      <c r="AJ27" s="82">
        <f>IF(Case=$C8,BS!AJ$75,AJ27)</f>
        <v>167.4</v>
      </c>
      <c r="AK27" s="82">
        <f>IF(Case=$C8,BS!AK$75,AK27)</f>
        <v>170.19999999999996</v>
      </c>
      <c r="AL27" s="82">
        <f>IF(Case=$C8,BS!AL$75,AL27)</f>
        <v>135.90000000000009</v>
      </c>
      <c r="AM27" s="82">
        <f>IF(Case=$C8,BS!AM$75,AM27)</f>
        <v>161.5</v>
      </c>
      <c r="AN27" s="82">
        <f>IF(Case=$C8,BS!AN$75,AN27)</f>
        <v>193.4</v>
      </c>
      <c r="AO27" s="82">
        <f>IF(Case=$C8,BS!AO$75,AO27)</f>
        <v>193.4</v>
      </c>
      <c r="AP27" s="82">
        <f ca="1">IF(Case=$C8,BS!AP$75,AP27)</f>
        <v>177.45334119938025</v>
      </c>
      <c r="AQ27" s="82">
        <f ca="1">IF(Case=$C8,BS!AQ$75,AQ27)</f>
        <v>173.49537963862937</v>
      </c>
      <c r="AR27" s="82">
        <f ca="1">IF(Case=$C8,BS!AR$75,AR27)</f>
        <v>189.16260313292329</v>
      </c>
      <c r="AS27" s="82">
        <f ca="1">IF(Case=$C8,BS!AS$75,AS27)</f>
        <v>189.88537558509398</v>
      </c>
      <c r="AT27" s="82">
        <f ca="1">IF(Case=$C8,BS!AT$75,AT27)</f>
        <v>190.82330278435489</v>
      </c>
      <c r="AU27" s="82">
        <f ca="1">IF(Case=$C8,BS!AU$75,AU27)</f>
        <v>191.96897059491138</v>
      </c>
      <c r="AV27" s="82">
        <f ca="1">IF(Case=$C8,BS!AV$75,AV27)</f>
        <v>193.2327467367414</v>
      </c>
      <c r="AW27" s="82">
        <f ca="1">IF(Case=$C8,BS!AW$75,AW27)</f>
        <v>194.6074187315497</v>
      </c>
      <c r="AX27" s="82">
        <f ca="1">IF(Case=$C8,BS!AX$75,AX27)</f>
        <v>196.08614238717135</v>
      </c>
      <c r="AY27" s="82">
        <f ca="1">IF(Case=$C8,BS!AY$75,AY27)</f>
        <v>116.46904649731664</v>
      </c>
    </row>
    <row r="28" spans="2:53">
      <c r="D28" s="6"/>
      <c r="E28" s="6"/>
      <c r="F28" s="6"/>
      <c r="G28" s="6"/>
      <c r="H28" s="6"/>
      <c r="I28" s="6"/>
      <c r="J28" s="6"/>
      <c r="K28" s="6"/>
      <c r="L28" s="6"/>
      <c r="M28" s="6"/>
      <c r="N28" s="6"/>
    </row>
    <row r="29" spans="2:53">
      <c r="B29" s="6" t="s">
        <v>298</v>
      </c>
      <c r="D29" s="82"/>
      <c r="E29" s="82"/>
      <c r="F29" s="82"/>
      <c r="G29" s="82"/>
      <c r="H29" s="82"/>
      <c r="I29" s="82">
        <f>IF(Case=$C8,CF!I$65,I29)</f>
        <v>401.30000000000018</v>
      </c>
      <c r="J29" s="82">
        <f>IF(Case=$C8,CF!J$65,J29)</f>
        <v>414.79999999999984</v>
      </c>
      <c r="K29" s="82">
        <f>IF(Case=$C8,CF!K$65,K29)</f>
        <v>481.80000000000018</v>
      </c>
      <c r="L29" s="82">
        <f ca="1">IF(Case=$C8,CF!L$65,L29)</f>
        <v>566.73745900284666</v>
      </c>
      <c r="M29" s="82">
        <f ca="1">IF(Case=$C8,CF!M$65,M29)</f>
        <v>608.17583183590853</v>
      </c>
      <c r="N29" s="82">
        <f ca="1">IF(Case=$C8,CF!N$65,N29)</f>
        <v>750.76462689116215</v>
      </c>
      <c r="O29" s="2">
        <f ca="1">(M29/J29)^(1/3)-1</f>
        <v>0.13604831889538849</v>
      </c>
      <c r="T29" s="82"/>
      <c r="U29" s="82"/>
      <c r="V29" s="82"/>
      <c r="W29" s="82"/>
      <c r="X29" s="82"/>
      <c r="Y29" s="82"/>
      <c r="Z29" s="82"/>
      <c r="AA29" s="88"/>
      <c r="AB29" s="82">
        <f>IF(Case=$C8,CF!AB$65,AB29)</f>
        <v>110.89999999999998</v>
      </c>
      <c r="AC29" s="82">
        <f>IF(Case=$C8,CF!AC$65,AC29)</f>
        <v>101.10000000000001</v>
      </c>
      <c r="AD29" s="82">
        <f>IF(Case=$C8,CF!AD$65,AD29)</f>
        <v>108.40000000000003</v>
      </c>
      <c r="AE29" s="82">
        <f>IF(Case=$C8,CF!AE$65,AE29)</f>
        <v>80.900000000000034</v>
      </c>
      <c r="AF29" s="82">
        <f>IF(Case=$C8,CF!AF$65,AF29)</f>
        <v>105.89999999999999</v>
      </c>
      <c r="AG29" s="82">
        <f>IF(Case=$C8,CF!AG$65,AG29)</f>
        <v>83.4</v>
      </c>
      <c r="AH29" s="82">
        <f>IF(Case=$C8,CF!AH$65,AH29)</f>
        <v>116.49999999999994</v>
      </c>
      <c r="AI29" s="82">
        <f>IF(Case=$C8,CF!AI$65,AI29)</f>
        <v>108.99999999999994</v>
      </c>
      <c r="AJ29" s="82">
        <f>IF(Case=$C8,CF!AJ$65,AJ29)</f>
        <v>93.200000000000017</v>
      </c>
      <c r="AK29" s="82">
        <f>IF(Case=$C8,CF!AK$65,AK29)</f>
        <v>93.19999999999996</v>
      </c>
      <c r="AL29" s="82">
        <f>IF(Case=$C8,CF!AL$65,AL29)</f>
        <v>146.09999999999997</v>
      </c>
      <c r="AM29" s="82">
        <f>IF(Case=$C8,CF!AM$65,AM29)</f>
        <v>149.30000000000007</v>
      </c>
      <c r="AN29" s="82">
        <f>IF(Case=$C8,CF!AN$65,AN29)</f>
        <v>123.20000000000002</v>
      </c>
      <c r="AO29" s="82">
        <f>IF(Case=$C8,CF!AO$65,AO29)</f>
        <v>136.49999999999991</v>
      </c>
      <c r="AP29" s="82">
        <f ca="1">IF(Case=$C8,CF!AP$65,AP29)</f>
        <v>149.49537197211043</v>
      </c>
      <c r="AQ29" s="82">
        <f ca="1">IF(Case=$C8,CF!AQ$65,AQ29)</f>
        <v>157.54208703073627</v>
      </c>
      <c r="AR29" s="82">
        <f ca="1">IF(Case=$C8,CF!AR$65,AR29)</f>
        <v>146.24097801778933</v>
      </c>
      <c r="AS29" s="82">
        <f ca="1">IF(Case=$C8,CF!AS$65,AS29)</f>
        <v>150.1290297023852</v>
      </c>
      <c r="AT29" s="82">
        <f ca="1">IF(Case=$C8,CF!AT$65,AT29)</f>
        <v>153.99779997973087</v>
      </c>
      <c r="AU29" s="82">
        <f ca="1">IF(Case=$C8,CF!AU$65,AU29)</f>
        <v>157.8080241360033</v>
      </c>
      <c r="AV29" s="82">
        <f ca="1">IF(Case=$C8,CF!AV$65,AV29)</f>
        <v>161.63934701299567</v>
      </c>
      <c r="AW29" s="82">
        <f ca="1">IF(Case=$C8,CF!AW$65,AW29)</f>
        <v>165.48953218243506</v>
      </c>
      <c r="AX29" s="82">
        <f ca="1">IF(Case=$C8,CF!AX$65,AX29)</f>
        <v>169.35630498679186</v>
      </c>
      <c r="AY29" s="82">
        <f ca="1">IF(Case=$C8,CF!AY$65,AY29)</f>
        <v>254.27944270893954</v>
      </c>
      <c r="BA29" s="131">
        <f>(SUM(AL29:AO29)/SUM(AD29:AG29))^(1/2)-1</f>
        <v>0.21086383662677011</v>
      </c>
    </row>
    <row r="30" spans="2:53">
      <c r="B30" s="85"/>
      <c r="D30" s="18"/>
      <c r="E30" s="18"/>
      <c r="F30" s="18"/>
      <c r="G30" s="18"/>
      <c r="H30" s="18"/>
      <c r="I30" s="18"/>
      <c r="J30" s="18"/>
      <c r="K30" s="18"/>
      <c r="L30" s="18"/>
      <c r="M30" s="18"/>
      <c r="N30" s="18"/>
      <c r="T30" s="19"/>
      <c r="U30" s="19"/>
      <c r="V30" s="19"/>
      <c r="W30" s="19"/>
      <c r="X30" s="19"/>
      <c r="Y30" s="19"/>
      <c r="Z30" s="110"/>
      <c r="AA30" s="20"/>
      <c r="AB30" s="19"/>
      <c r="AC30" s="19"/>
      <c r="AD30" s="19"/>
      <c r="AE30" s="19"/>
      <c r="AF30" s="50"/>
      <c r="AG30" s="50"/>
      <c r="AH30" s="50"/>
      <c r="AI30" s="50"/>
      <c r="AJ30" s="50"/>
      <c r="AK30" s="19"/>
      <c r="AL30" s="19"/>
      <c r="AM30" s="19"/>
      <c r="AN30" s="19"/>
      <c r="AO30" s="19"/>
      <c r="AP30" s="19"/>
      <c r="AQ30" s="19"/>
      <c r="AR30" s="19"/>
      <c r="AS30" s="19"/>
      <c r="AT30" s="19"/>
      <c r="AU30" s="19"/>
      <c r="AV30" s="19"/>
      <c r="AW30" s="19"/>
      <c r="AX30" s="19"/>
      <c r="AY30" s="19"/>
      <c r="AZ30" s="85"/>
    </row>
    <row r="31" spans="2:53">
      <c r="D31" s="6"/>
      <c r="E31" s="6"/>
      <c r="F31" s="6"/>
      <c r="G31" s="6"/>
      <c r="H31" s="6"/>
      <c r="I31" s="6"/>
      <c r="J31" s="40"/>
      <c r="K31" s="6"/>
      <c r="L31" s="6"/>
      <c r="M31" s="6"/>
      <c r="N31" s="6"/>
    </row>
    <row r="32" spans="2:53" s="79" customFormat="1">
      <c r="B32" s="79" t="s">
        <v>247</v>
      </c>
      <c r="C32" s="99">
        <v>1</v>
      </c>
      <c r="D32" s="104">
        <f>D3</f>
        <v>2010</v>
      </c>
      <c r="E32" s="104">
        <f>E3</f>
        <v>2011</v>
      </c>
      <c r="F32" s="104">
        <f>F3</f>
        <v>2012</v>
      </c>
      <c r="G32" s="104">
        <f t="shared" ref="G32:N32" si="24">G3</f>
        <v>2013</v>
      </c>
      <c r="H32" s="104">
        <f t="shared" si="24"/>
        <v>2014</v>
      </c>
      <c r="I32" s="104">
        <f t="shared" si="24"/>
        <v>2015</v>
      </c>
      <c r="J32" s="104">
        <f t="shared" si="24"/>
        <v>2016</v>
      </c>
      <c r="K32" s="104">
        <f t="shared" si="24"/>
        <v>2017</v>
      </c>
      <c r="L32" s="104" t="str">
        <f t="shared" si="24"/>
        <v>2018E</v>
      </c>
      <c r="M32" s="104" t="str">
        <f t="shared" si="24"/>
        <v>2019E</v>
      </c>
      <c r="N32" s="104" t="str">
        <f t="shared" si="24"/>
        <v>2020E</v>
      </c>
      <c r="O32" s="99"/>
      <c r="T32" s="89" t="str">
        <f t="shared" ref="T32:AO32" si="25">T3</f>
        <v>1Q13</v>
      </c>
      <c r="U32" s="89" t="str">
        <f t="shared" si="25"/>
        <v>2Q13</v>
      </c>
      <c r="V32" s="89" t="str">
        <f t="shared" si="25"/>
        <v>3Q13</v>
      </c>
      <c r="W32" s="89" t="str">
        <f t="shared" si="25"/>
        <v>4Q13</v>
      </c>
      <c r="X32" s="89" t="str">
        <f t="shared" si="25"/>
        <v>1Q14</v>
      </c>
      <c r="Y32" s="89" t="str">
        <f t="shared" si="25"/>
        <v>2Q14</v>
      </c>
      <c r="Z32" s="89" t="str">
        <f t="shared" si="25"/>
        <v>3Q14</v>
      </c>
      <c r="AA32" s="90" t="str">
        <f t="shared" si="25"/>
        <v>4Q14</v>
      </c>
      <c r="AB32" s="89" t="str">
        <f t="shared" si="25"/>
        <v>1Q15</v>
      </c>
      <c r="AC32" s="89" t="str">
        <f t="shared" si="25"/>
        <v>2Q15</v>
      </c>
      <c r="AD32" s="89" t="str">
        <f t="shared" si="25"/>
        <v>3Q15</v>
      </c>
      <c r="AE32" s="89" t="str">
        <f t="shared" si="25"/>
        <v>4Q15</v>
      </c>
      <c r="AF32" s="89" t="str">
        <f t="shared" si="25"/>
        <v>1Q16</v>
      </c>
      <c r="AG32" s="89" t="str">
        <f t="shared" si="25"/>
        <v>2Q16</v>
      </c>
      <c r="AH32" s="89" t="str">
        <f t="shared" si="25"/>
        <v>3Q16</v>
      </c>
      <c r="AI32" s="89" t="str">
        <f t="shared" si="25"/>
        <v>4Q16</v>
      </c>
      <c r="AJ32" s="89" t="str">
        <f t="shared" si="25"/>
        <v>1Q17</v>
      </c>
      <c r="AK32" s="89" t="str">
        <f t="shared" si="25"/>
        <v>2Q17</v>
      </c>
      <c r="AL32" s="89" t="str">
        <f t="shared" si="25"/>
        <v>3Q17</v>
      </c>
      <c r="AM32" s="89" t="str">
        <f t="shared" si="25"/>
        <v>4Q17</v>
      </c>
      <c r="AN32" s="89" t="str">
        <f t="shared" si="25"/>
        <v>1Q18</v>
      </c>
      <c r="AO32" s="89" t="str">
        <f t="shared" si="25"/>
        <v>2Q18</v>
      </c>
      <c r="AP32" s="89" t="str">
        <f t="shared" ref="AP32:AY32" si="26">AP3</f>
        <v>3Q18E</v>
      </c>
      <c r="AQ32" s="89" t="str">
        <f t="shared" si="26"/>
        <v>4Q18E</v>
      </c>
      <c r="AR32" s="89" t="str">
        <f t="shared" si="26"/>
        <v>1Q19E</v>
      </c>
      <c r="AS32" s="89" t="str">
        <f t="shared" si="26"/>
        <v>2Q19E</v>
      </c>
      <c r="AT32" s="89" t="str">
        <f t="shared" si="26"/>
        <v>3Q19E</v>
      </c>
      <c r="AU32" s="89" t="str">
        <f t="shared" si="26"/>
        <v>4Q19E</v>
      </c>
      <c r="AV32" s="89" t="str">
        <f t="shared" si="26"/>
        <v>1Q20E</v>
      </c>
      <c r="AW32" s="89" t="str">
        <f t="shared" si="26"/>
        <v>2Q20E</v>
      </c>
      <c r="AX32" s="89" t="str">
        <f t="shared" si="26"/>
        <v>3Q20E</v>
      </c>
      <c r="AY32" s="89" t="str">
        <f t="shared" si="26"/>
        <v>4Q20E</v>
      </c>
    </row>
    <row r="33" spans="2:52" s="81" customFormat="1">
      <c r="C33" s="98"/>
      <c r="O33" s="98"/>
      <c r="AA33" s="8"/>
    </row>
    <row r="34" spans="2:52">
      <c r="B34" s="6" t="s">
        <v>31</v>
      </c>
      <c r="D34" s="82">
        <f ca="1">IF(Case=$C32,IS!D$5,D34)</f>
        <v>197.88900000000001</v>
      </c>
      <c r="E34" s="82">
        <f ca="1">IF(Case=$C32,IS!E$5,E34)</f>
        <v>282.14299999999997</v>
      </c>
      <c r="F34" s="82">
        <f ca="1">IF(Case=$C32,IS!F$5,F34)</f>
        <v>375.52600000000001</v>
      </c>
      <c r="G34" s="82">
        <f ca="1">IF(Case=$C32,IS!G$5,G34)</f>
        <v>1004.36266631321</v>
      </c>
      <c r="H34" s="82">
        <f ca="1">IF(Case=$C32,IS!H$5,H34)</f>
        <v>1123.1872215806145</v>
      </c>
      <c r="I34" s="82">
        <f ca="1">IF(Case=$C32,IS!I$5,I34)</f>
        <v>1347.1</v>
      </c>
      <c r="J34" s="82">
        <f ca="1">IF(Case=$C32,IS!J$5,J34)</f>
        <v>1721.7</v>
      </c>
      <c r="K34" s="82">
        <f ca="1">IF(Case=$C32,IS!K$5,K34)</f>
        <v>2199.8000000000002</v>
      </c>
      <c r="L34" s="82">
        <f ca="1">IF(Case=$C32,IS!L$5,L34)</f>
        <v>2609.2159246205501</v>
      </c>
      <c r="M34" s="82">
        <f ca="1">IF(Case=$C32,IS!M$5,M34)</f>
        <v>2725.1083221261138</v>
      </c>
      <c r="N34" s="82">
        <f ca="1">IF(Case=$C32,IS!N$5,N34)</f>
        <v>2877.8945193243521</v>
      </c>
      <c r="O34" s="2">
        <f ca="1">(M34/J34)^(1/3)-1</f>
        <v>0.16540111745725739</v>
      </c>
      <c r="T34" s="82">
        <f ca="1">IF(Case=$C32,IS!T$5,T34)</f>
        <v>236.00767747572064</v>
      </c>
      <c r="U34" s="82">
        <f ca="1">IF(Case=$C32,IS!U$5,U34)</f>
        <v>250.02480987258627</v>
      </c>
      <c r="V34" s="82">
        <f ca="1">IF(Case=$C32,IS!V$5,V34)</f>
        <v>256.55395289598329</v>
      </c>
      <c r="W34" s="82">
        <f ca="1">IF(Case=$C32,IS!W$5,W34)</f>
        <v>261.77622606891981</v>
      </c>
      <c r="X34" s="82">
        <f ca="1">IF(Case=$C32,IS!X$5,X34)</f>
        <v>268.05077825707741</v>
      </c>
      <c r="Y34" s="82">
        <f ca="1">IF(Case=$C32,IS!Y$5,Y34)</f>
        <v>276.97613063680853</v>
      </c>
      <c r="Z34" s="82">
        <f ca="1">IF(Case=$C32,IS!Z$5,Z34)</f>
        <v>281.3929475507324</v>
      </c>
      <c r="AA34" s="88">
        <f ca="1">IF(Case=$C32,IS!AA$5,AA34)</f>
        <v>296.76736513599604</v>
      </c>
      <c r="AB34" s="82">
        <f ca="1">IF(Case=$C32,IS!AB$5,AB34)</f>
        <v>320.60000000000002</v>
      </c>
      <c r="AC34" s="82">
        <f ca="1">IF(Case=$C32,IS!AC$5,AC34)</f>
        <v>323.89999999999998</v>
      </c>
      <c r="AD34" s="82">
        <f ca="1">IF(Case=$C32,IS!AD$5,AD34)</f>
        <v>340.7</v>
      </c>
      <c r="AE34" s="82">
        <f ca="1">IF(Case=$C32,IS!AE$5,AE34)</f>
        <v>361.9</v>
      </c>
      <c r="AF34" s="82">
        <f ca="1">IF(Case=$C32,IS!AF$5,AF34)</f>
        <v>366.8</v>
      </c>
      <c r="AG34" s="82">
        <f ca="1">IF(Case=$C32,IS!AG$5,AG34)</f>
        <v>369.6</v>
      </c>
      <c r="AH34" s="82">
        <f ca="1">IF(Case=$C32,IS!AH$5,AH34)</f>
        <v>478</v>
      </c>
      <c r="AI34" s="82">
        <f ca="1">IF(Case=$C32,IS!AI$5,AI34)</f>
        <v>507.3</v>
      </c>
      <c r="AJ34" s="82">
        <f ca="1">IF(Case=$C32,IS!AJ$5,AJ34)</f>
        <v>504.9</v>
      </c>
      <c r="AK34" s="82">
        <f ca="1">IF(Case=$C32,IS!AK$5,AK34)</f>
        <v>506.7</v>
      </c>
      <c r="AL34" s="82">
        <f ca="1">IF(Case=$C32,IS!AL$5,AL34)</f>
        <v>550.20000000000005</v>
      </c>
      <c r="AM34" s="82">
        <f ca="1">IF(Case=$C32,IS!AM$5,AM34)</f>
        <v>638</v>
      </c>
      <c r="AN34" s="82">
        <f ca="1">IF(Case=$C32,IS!AN$5,AN34)</f>
        <v>643.5</v>
      </c>
      <c r="AO34" s="82">
        <f ca="1">IF(Case=$C32,IS!AO$5,AO34)</f>
        <v>653.5</v>
      </c>
      <c r="AP34" s="82">
        <f ca="1">IF(Case=$C32,IS!AP$5,AP34)</f>
        <v>652.16910133283318</v>
      </c>
      <c r="AQ34" s="82">
        <f ca="1">IF(Case=$C32,IS!AQ$5,AQ34)</f>
        <v>660.04682328771673</v>
      </c>
      <c r="AR34" s="82">
        <f ca="1">IF(Case=$C32,IS!AR$5,AR34)</f>
        <v>668.17505275061524</v>
      </c>
      <c r="AS34" s="82">
        <f ca="1">IF(Case=$C32,IS!AS$5,AS34)</f>
        <v>676.67342511314746</v>
      </c>
      <c r="AT34" s="82">
        <f ca="1">IF(Case=$C32,IS!AT$5,AT34)</f>
        <v>685.53481670614883</v>
      </c>
      <c r="AU34" s="82">
        <f ca="1">IF(Case=$C32,IS!AU$5,AU34)</f>
        <v>694.72502755620224</v>
      </c>
      <c r="AV34" s="82">
        <f ca="1">IF(Case=$C32,IS!AV$5,AV34)</f>
        <v>704.26429980451405</v>
      </c>
      <c r="AW34" s="82">
        <f ca="1">IF(Case=$C32,IS!AW$5,AW34)</f>
        <v>714.16255252331325</v>
      </c>
      <c r="AX34" s="82">
        <f ca="1">IF(Case=$C32,IS!AX$5,AX34)</f>
        <v>724.42305082011273</v>
      </c>
      <c r="AY34" s="82">
        <f ca="1">IF(Case=$C32,IS!AY$5,AY34)</f>
        <v>735.04461617641209</v>
      </c>
    </row>
    <row r="35" spans="2:52">
      <c r="B35" s="6" t="s">
        <v>36</v>
      </c>
      <c r="D35" s="48"/>
      <c r="E35" s="48"/>
      <c r="F35" s="48"/>
      <c r="G35" s="48"/>
      <c r="H35" s="48">
        <f t="shared" ref="H35:N35" ca="1" si="27">+H34/G34-1</f>
        <v>0.118308415130147</v>
      </c>
      <c r="I35" s="48">
        <f t="shared" ca="1" si="27"/>
        <v>0.1993548129084679</v>
      </c>
      <c r="J35" s="48">
        <f t="shared" ca="1" si="27"/>
        <v>0.27807883601811301</v>
      </c>
      <c r="K35" s="48">
        <f t="shared" ca="1" si="27"/>
        <v>0.27769065458558417</v>
      </c>
      <c r="L35" s="48">
        <f t="shared" ca="1" si="27"/>
        <v>0.18611506710635051</v>
      </c>
      <c r="M35" s="48">
        <f t="shared" ca="1" si="27"/>
        <v>4.4416560703927743E-2</v>
      </c>
      <c r="N35" s="48">
        <f t="shared" ca="1" si="27"/>
        <v>5.6066100550100417E-2</v>
      </c>
      <c r="T35" s="48"/>
      <c r="U35" s="48"/>
      <c r="V35" s="48"/>
      <c r="W35" s="48"/>
      <c r="X35" s="48">
        <f t="shared" ref="X35:AY35" ca="1" si="28">+X34/T34-1</f>
        <v>0.13577143389605717</v>
      </c>
      <c r="Y35" s="48">
        <f t="shared" ca="1" si="28"/>
        <v>0.10779458557715449</v>
      </c>
      <c r="Z35" s="48">
        <f t="shared" ca="1" si="28"/>
        <v>9.6817820869124604E-2</v>
      </c>
      <c r="AA35" s="24">
        <f t="shared" ca="1" si="28"/>
        <v>0.13366813171897385</v>
      </c>
      <c r="AB35" s="48">
        <f t="shared" ca="1" si="28"/>
        <v>0.19604204130504188</v>
      </c>
      <c r="AC35" s="48">
        <f t="shared" ca="1" si="28"/>
        <v>0.16941484905326187</v>
      </c>
      <c r="AD35" s="48">
        <f t="shared" ca="1" si="28"/>
        <v>0.21076239815347586</v>
      </c>
      <c r="AE35" s="48">
        <f t="shared" ca="1" si="28"/>
        <v>0.21947371077731659</v>
      </c>
      <c r="AF35" s="48">
        <f t="shared" ca="1" si="28"/>
        <v>0.14410480349344978</v>
      </c>
      <c r="AG35" s="48">
        <f t="shared" ca="1" si="28"/>
        <v>0.14109292991664102</v>
      </c>
      <c r="AH35" s="48">
        <f t="shared" ca="1" si="28"/>
        <v>0.40299383621954799</v>
      </c>
      <c r="AI35" s="48">
        <f t="shared" ca="1" si="28"/>
        <v>0.40176844432163583</v>
      </c>
      <c r="AJ35" s="48">
        <f t="shared" ca="1" si="28"/>
        <v>0.37649945474372948</v>
      </c>
      <c r="AK35" s="48">
        <f t="shared" ca="1" si="28"/>
        <v>0.37094155844155829</v>
      </c>
      <c r="AL35" s="48">
        <f t="shared" ca="1" si="28"/>
        <v>0.15104602510460263</v>
      </c>
      <c r="AM35" s="48">
        <f t="shared" ca="1" si="28"/>
        <v>0.257638478218017</v>
      </c>
      <c r="AN35" s="48">
        <f t="shared" ca="1" si="28"/>
        <v>0.27450980392156876</v>
      </c>
      <c r="AO35" s="48">
        <f t="shared" ca="1" si="28"/>
        <v>0.2897177817248866</v>
      </c>
      <c r="AP35" s="48">
        <f t="shared" ca="1" si="28"/>
        <v>0.18533097297861345</v>
      </c>
      <c r="AQ35" s="48">
        <f t="shared" ca="1" si="28"/>
        <v>3.4556149353788035E-2</v>
      </c>
      <c r="AR35" s="48">
        <f t="shared" ca="1" si="28"/>
        <v>3.8345070319526497E-2</v>
      </c>
      <c r="AS35" s="48">
        <f t="shared" ca="1" si="28"/>
        <v>3.5460482193033549E-2</v>
      </c>
      <c r="AT35" s="48">
        <f t="shared" ca="1" si="28"/>
        <v>5.1161141037081359E-2</v>
      </c>
      <c r="AU35" s="48">
        <f t="shared" ca="1" si="28"/>
        <v>5.2539006393140575E-2</v>
      </c>
      <c r="AV35" s="48">
        <f t="shared" ca="1" si="28"/>
        <v>5.4011664915254665E-2</v>
      </c>
      <c r="AW35" s="48">
        <f t="shared" ca="1" si="28"/>
        <v>5.5402097997120592E-2</v>
      </c>
      <c r="AX35" s="48">
        <f t="shared" ca="1" si="28"/>
        <v>5.6726854955104544E-2</v>
      </c>
      <c r="AY35" s="48">
        <f t="shared" ca="1" si="28"/>
        <v>5.8036758459731885E-2</v>
      </c>
    </row>
    <row r="36" spans="2:52">
      <c r="B36" s="6" t="s">
        <v>37</v>
      </c>
      <c r="D36" s="48"/>
      <c r="E36" s="48"/>
      <c r="F36" s="48"/>
      <c r="G36" s="48"/>
      <c r="H36" s="48"/>
      <c r="I36" s="48"/>
      <c r="J36" s="48"/>
      <c r="K36" s="48"/>
      <c r="L36" s="48"/>
      <c r="M36" s="48"/>
      <c r="N36" s="48"/>
      <c r="T36" s="48"/>
      <c r="U36" s="48">
        <f ca="1">+U34/T34-1</f>
        <v>5.939269665626723E-2</v>
      </c>
      <c r="V36" s="48">
        <f t="shared" ref="V36:AO36" ca="1" si="29">+V34/U34-1</f>
        <v>2.6113980555466876E-2</v>
      </c>
      <c r="W36" s="48">
        <f t="shared" ca="1" si="29"/>
        <v>2.0355457844198011E-2</v>
      </c>
      <c r="X36" s="48">
        <f t="shared" ca="1" si="29"/>
        <v>2.3969144495595396E-2</v>
      </c>
      <c r="Y36" s="48">
        <f t="shared" ca="1" si="29"/>
        <v>3.329724478983298E-2</v>
      </c>
      <c r="Z36" s="48">
        <f t="shared" ca="1" si="29"/>
        <v>1.5946561545823412E-2</v>
      </c>
      <c r="AA36" s="24">
        <f t="shared" ca="1" si="29"/>
        <v>5.4636826256961424E-2</v>
      </c>
      <c r="AB36" s="48">
        <f t="shared" ca="1" si="29"/>
        <v>8.0307465253406374E-2</v>
      </c>
      <c r="AC36" s="48">
        <f t="shared" ca="1" si="29"/>
        <v>1.0293200249531953E-2</v>
      </c>
      <c r="AD36" s="48">
        <f t="shared" ca="1" si="29"/>
        <v>5.1867860450756531E-2</v>
      </c>
      <c r="AE36" s="48">
        <f t="shared" ca="1" si="29"/>
        <v>6.2224831229821032E-2</v>
      </c>
      <c r="AF36" s="48">
        <f t="shared" ca="1" si="29"/>
        <v>1.3539651837524369E-2</v>
      </c>
      <c r="AG36" s="48">
        <f t="shared" ca="1" si="29"/>
        <v>7.6335877862596657E-3</v>
      </c>
      <c r="AH36" s="48">
        <f t="shared" ca="1" si="29"/>
        <v>0.29329004329004316</v>
      </c>
      <c r="AI36" s="48">
        <f t="shared" ca="1" si="29"/>
        <v>6.129707112970717E-2</v>
      </c>
      <c r="AJ36" s="48">
        <f t="shared" ca="1" si="29"/>
        <v>-4.7309284447073496E-3</v>
      </c>
      <c r="AK36" s="48">
        <f t="shared" ca="1" si="29"/>
        <v>3.5650623885918886E-3</v>
      </c>
      <c r="AL36" s="48">
        <f t="shared" ca="1" si="29"/>
        <v>8.5849615156897707E-2</v>
      </c>
      <c r="AM36" s="48">
        <f t="shared" ca="1" si="29"/>
        <v>0.15957833515085418</v>
      </c>
      <c r="AN36" s="48">
        <f t="shared" ca="1" si="29"/>
        <v>8.6206896551723755E-3</v>
      </c>
      <c r="AO36" s="48">
        <f t="shared" ca="1" si="29"/>
        <v>1.5540015540015606E-2</v>
      </c>
      <c r="AP36" s="48">
        <f t="shared" ref="AP36:AY36" ca="1" si="30">+AP34/AO34-1</f>
        <v>-2.0365702634533855E-3</v>
      </c>
      <c r="AQ36" s="48">
        <f t="shared" ca="1" si="30"/>
        <v>1.2079262784427947E-2</v>
      </c>
      <c r="AR36" s="48">
        <f t="shared" ca="1" si="30"/>
        <v>1.2314625532793944E-2</v>
      </c>
      <c r="AS36" s="48">
        <f t="shared" ca="1" si="30"/>
        <v>1.2718781294733583E-2</v>
      </c>
      <c r="AT36" s="48">
        <f t="shared" ca="1" si="30"/>
        <v>1.3095521804361798E-2</v>
      </c>
      <c r="AU36" s="48">
        <f t="shared" ca="1" si="30"/>
        <v>1.3405899490576578E-2</v>
      </c>
      <c r="AV36" s="48">
        <f t="shared" ca="1" si="30"/>
        <v>1.3731004167026439E-2</v>
      </c>
      <c r="AW36" s="48">
        <f t="shared" ca="1" si="30"/>
        <v>1.4054741553060079E-2</v>
      </c>
      <c r="AX36" s="48">
        <f t="shared" ca="1" si="30"/>
        <v>1.4367174896732671E-2</v>
      </c>
      <c r="AY36" s="48">
        <f t="shared" ca="1" si="30"/>
        <v>1.4662102958036494E-2</v>
      </c>
    </row>
    <row r="37" spans="2:52">
      <c r="B37" s="85" t="s">
        <v>201</v>
      </c>
      <c r="D37" s="18"/>
      <c r="E37" s="18"/>
      <c r="F37" s="18"/>
      <c r="G37" s="18">
        <f>+SUM(T37:W37)</f>
        <v>1004.36266631321</v>
      </c>
      <c r="H37" s="18">
        <f>+SUM(X37:AA37)</f>
        <v>1123.1872215806145</v>
      </c>
      <c r="I37" s="18">
        <f>+SUM(AB37:AE37)</f>
        <v>1315.3549686793588</v>
      </c>
      <c r="J37" s="18">
        <f>+SUM(AF37:AI37)</f>
        <v>1420.2180332242449</v>
      </c>
      <c r="K37" s="18">
        <f>+SUM(AJ37:AM37)</f>
        <v>1542.2692352220251</v>
      </c>
      <c r="L37" s="18">
        <f>+SUM(AN37:AQ37)</f>
        <v>1679.4368364284735</v>
      </c>
      <c r="M37" s="18">
        <f>+SUM(AR37:AU37)</f>
        <v>1832.0184240860021</v>
      </c>
      <c r="N37" s="18">
        <f>+SUM(AV37:AY37)</f>
        <v>2000.1601602864803</v>
      </c>
      <c r="T37" s="19">
        <v>236.00767747572064</v>
      </c>
      <c r="U37" s="19">
        <v>250.02480987258627</v>
      </c>
      <c r="V37" s="19">
        <v>256.55395289598329</v>
      </c>
      <c r="W37" s="19">
        <v>261.77622606891981</v>
      </c>
      <c r="X37" s="19">
        <v>268.05077825707741</v>
      </c>
      <c r="Y37" s="19">
        <v>276.97613063680853</v>
      </c>
      <c r="Z37" s="19">
        <v>281.3929475507324</v>
      </c>
      <c r="AA37" s="20">
        <v>296.76736513599604</v>
      </c>
      <c r="AB37" s="19">
        <v>319.75505220724489</v>
      </c>
      <c r="AC37" s="19">
        <v>325.78568207837179</v>
      </c>
      <c r="AD37" s="19">
        <v>331.76092686712764</v>
      </c>
      <c r="AE37" s="19">
        <v>338.05330752661445</v>
      </c>
      <c r="AF37" s="19">
        <v>344.56396630582566</v>
      </c>
      <c r="AG37" s="19">
        <v>351.39395548715783</v>
      </c>
      <c r="AH37" s="19">
        <v>358.41530233807362</v>
      </c>
      <c r="AI37" s="19">
        <v>365.84480909318762</v>
      </c>
      <c r="AJ37" s="19">
        <v>373.57969423604715</v>
      </c>
      <c r="AK37" s="19">
        <v>381.65958610449979</v>
      </c>
      <c r="AL37" s="19">
        <v>389.36640257075243</v>
      </c>
      <c r="AM37" s="19">
        <v>397.66355231072578</v>
      </c>
      <c r="AN37" s="19">
        <v>406.29617160803031</v>
      </c>
      <c r="AO37" s="19">
        <v>415.1909120423486</v>
      </c>
      <c r="AP37" s="19">
        <v>424.31110406479928</v>
      </c>
      <c r="AQ37" s="19">
        <v>433.63864871329525</v>
      </c>
      <c r="AR37" s="19">
        <v>443.16906941220935</v>
      </c>
      <c r="AS37" s="19">
        <v>452.90802930433392</v>
      </c>
      <c r="AT37" s="19">
        <v>462.869084585655</v>
      </c>
      <c r="AU37" s="19">
        <v>473.07224078380381</v>
      </c>
      <c r="AV37" s="19">
        <v>483.54304612302002</v>
      </c>
      <c r="AW37" s="19">
        <v>494.31205539660903</v>
      </c>
      <c r="AX37" s="19">
        <v>505.41455789587769</v>
      </c>
      <c r="AY37" s="19">
        <v>516.8905008709736</v>
      </c>
      <c r="AZ37" s="85"/>
    </row>
    <row r="38" spans="2:52">
      <c r="B38" s="86" t="s">
        <v>36</v>
      </c>
      <c r="D38" s="48"/>
      <c r="E38" s="48"/>
      <c r="F38" s="48"/>
      <c r="G38" s="48"/>
      <c r="H38" s="48">
        <f t="shared" ref="H38:N38" si="31">+H37/G37-1</f>
        <v>0.118308415130147</v>
      </c>
      <c r="I38" s="48">
        <f t="shared" si="31"/>
        <v>0.17109146490138527</v>
      </c>
      <c r="J38" s="48">
        <f t="shared" si="31"/>
        <v>7.9722255240477491E-2</v>
      </c>
      <c r="K38" s="48">
        <f t="shared" si="31"/>
        <v>8.5938355338788242E-2</v>
      </c>
      <c r="L38" s="48">
        <f t="shared" si="31"/>
        <v>8.8938816954811095E-2</v>
      </c>
      <c r="M38" s="48">
        <f t="shared" si="31"/>
        <v>9.0852828964983257E-2</v>
      </c>
      <c r="N38" s="48">
        <f t="shared" si="31"/>
        <v>9.1779500680712056E-2</v>
      </c>
      <c r="T38" s="48"/>
      <c r="U38" s="48"/>
      <c r="V38" s="48"/>
      <c r="W38" s="48"/>
      <c r="X38" s="48">
        <f t="shared" ref="X38:AY38" si="32">+X37/T37-1</f>
        <v>0.13577143389605717</v>
      </c>
      <c r="Y38" s="48">
        <f t="shared" si="32"/>
        <v>0.10779458557715449</v>
      </c>
      <c r="Z38" s="48">
        <f t="shared" si="32"/>
        <v>9.6817820869124604E-2</v>
      </c>
      <c r="AA38" s="24">
        <f t="shared" si="32"/>
        <v>0.13366813171897385</v>
      </c>
      <c r="AB38" s="48">
        <f t="shared" si="32"/>
        <v>0.19288984828307365</v>
      </c>
      <c r="AC38" s="48">
        <f t="shared" si="32"/>
        <v>0.17622295224264617</v>
      </c>
      <c r="AD38" s="48">
        <f t="shared" si="32"/>
        <v>0.17899517295938772</v>
      </c>
      <c r="AE38" s="48">
        <f t="shared" si="32"/>
        <v>0.13911887640239273</v>
      </c>
      <c r="AF38" s="48">
        <f t="shared" si="32"/>
        <v>7.758724663559402E-2</v>
      </c>
      <c r="AG38" s="48">
        <f t="shared" si="32"/>
        <v>7.8604661952656585E-2</v>
      </c>
      <c r="AH38" s="48">
        <f t="shared" si="32"/>
        <v>8.0342117809494962E-2</v>
      </c>
      <c r="AI38" s="48">
        <f t="shared" si="32"/>
        <v>8.2210411635700975E-2</v>
      </c>
      <c r="AJ38" s="48">
        <f t="shared" si="32"/>
        <v>8.4209989341914815E-2</v>
      </c>
      <c r="AK38" s="48">
        <f t="shared" si="32"/>
        <v>8.6130197018850163E-2</v>
      </c>
      <c r="AL38" s="48">
        <f t="shared" si="32"/>
        <v>8.6355409578702469E-2</v>
      </c>
      <c r="AM38" s="48">
        <f t="shared" si="32"/>
        <v>8.6973335213930358E-2</v>
      </c>
      <c r="AN38" s="48">
        <f t="shared" si="32"/>
        <v>8.7575630787125158E-2</v>
      </c>
      <c r="AO38" s="48">
        <f t="shared" si="32"/>
        <v>8.785663234636476E-2</v>
      </c>
      <c r="AP38" s="48">
        <f t="shared" si="32"/>
        <v>8.9747603448391944E-2</v>
      </c>
      <c r="AQ38" s="48">
        <f t="shared" si="32"/>
        <v>9.0466164659866344E-2</v>
      </c>
      <c r="AR38" s="48">
        <f t="shared" si="32"/>
        <v>9.0753741681208311E-2</v>
      </c>
      <c r="AS38" s="48">
        <f t="shared" si="32"/>
        <v>9.0842829570745076E-2</v>
      </c>
      <c r="AT38" s="48">
        <f t="shared" si="32"/>
        <v>9.0871957277288917E-2</v>
      </c>
      <c r="AU38" s="48">
        <f t="shared" si="32"/>
        <v>9.0936525578421135E-2</v>
      </c>
      <c r="AV38" s="48">
        <f t="shared" si="32"/>
        <v>9.110287584907506E-2</v>
      </c>
      <c r="AW38" s="48">
        <f t="shared" si="32"/>
        <v>9.1418176347793256E-2</v>
      </c>
      <c r="AX38" s="48">
        <f t="shared" si="32"/>
        <v>9.1916861002518724E-2</v>
      </c>
      <c r="AY38" s="48">
        <f t="shared" si="32"/>
        <v>9.2624881169459661E-2</v>
      </c>
      <c r="AZ38" s="86"/>
    </row>
    <row r="39" spans="2:52">
      <c r="B39" s="86" t="s">
        <v>37</v>
      </c>
      <c r="D39" s="48"/>
      <c r="E39" s="48"/>
      <c r="F39" s="48"/>
      <c r="G39" s="48"/>
      <c r="H39" s="48"/>
      <c r="I39" s="48"/>
      <c r="J39" s="48"/>
      <c r="K39" s="48"/>
      <c r="L39" s="48"/>
      <c r="M39" s="48"/>
      <c r="N39" s="48"/>
      <c r="T39" s="48"/>
      <c r="U39" s="48">
        <f>+U37/T37-1</f>
        <v>5.939269665626723E-2</v>
      </c>
      <c r="V39" s="48">
        <f t="shared" ref="V39:AO39" si="33">+V37/U37-1</f>
        <v>2.6113980555466876E-2</v>
      </c>
      <c r="W39" s="48">
        <f t="shared" si="33"/>
        <v>2.0355457844198011E-2</v>
      </c>
      <c r="X39" s="48">
        <f t="shared" si="33"/>
        <v>2.3969144495595396E-2</v>
      </c>
      <c r="Y39" s="48">
        <f t="shared" si="33"/>
        <v>3.329724478983298E-2</v>
      </c>
      <c r="Z39" s="48">
        <f t="shared" si="33"/>
        <v>1.5946561545823412E-2</v>
      </c>
      <c r="AA39" s="24">
        <f t="shared" si="33"/>
        <v>5.4636826256961424E-2</v>
      </c>
      <c r="AB39" s="48">
        <f t="shared" si="33"/>
        <v>7.7460293050465756E-2</v>
      </c>
      <c r="AC39" s="48">
        <f t="shared" si="33"/>
        <v>1.8860155076512175E-2</v>
      </c>
      <c r="AD39" s="48">
        <f t="shared" si="33"/>
        <v>1.8341029448060375E-2</v>
      </c>
      <c r="AE39" s="48">
        <f t="shared" si="33"/>
        <v>1.8966611646846987E-2</v>
      </c>
      <c r="AF39" s="48">
        <f t="shared" si="33"/>
        <v>1.9259266613442794E-2</v>
      </c>
      <c r="AG39" s="48">
        <f t="shared" si="33"/>
        <v>1.9822122593254665E-2</v>
      </c>
      <c r="AH39" s="48">
        <f t="shared" si="33"/>
        <v>1.9981410440545799E-2</v>
      </c>
      <c r="AI39" s="48">
        <f t="shared" si="33"/>
        <v>2.072876550372893E-2</v>
      </c>
      <c r="AJ39" s="48">
        <f t="shared" si="33"/>
        <v>2.1142530796136816E-2</v>
      </c>
      <c r="AK39" s="48">
        <f t="shared" si="33"/>
        <v>2.1628295095041716E-2</v>
      </c>
      <c r="AL39" s="48">
        <f t="shared" si="33"/>
        <v>2.0192906838562896E-2</v>
      </c>
      <c r="AM39" s="48">
        <f t="shared" si="33"/>
        <v>2.1309362300373724E-2</v>
      </c>
      <c r="AN39" s="48">
        <f t="shared" si="33"/>
        <v>2.1708349299659258E-2</v>
      </c>
      <c r="AO39" s="48">
        <f t="shared" si="33"/>
        <v>2.18922575595899E-2</v>
      </c>
      <c r="AP39" s="48">
        <f t="shared" ref="AP39:AY39" si="34">+AP37/AO37-1</f>
        <v>2.196626120159495E-2</v>
      </c>
      <c r="AQ39" s="48">
        <f t="shared" si="34"/>
        <v>2.1982796488567713E-2</v>
      </c>
      <c r="AR39" s="48">
        <f t="shared" si="34"/>
        <v>2.197779355505558E-2</v>
      </c>
      <c r="AS39" s="48">
        <f t="shared" si="34"/>
        <v>2.1975721150940597E-2</v>
      </c>
      <c r="AT39" s="48">
        <f t="shared" si="34"/>
        <v>2.1993549764664611E-2</v>
      </c>
      <c r="AU39" s="48">
        <f t="shared" si="34"/>
        <v>2.2043287266165779E-2</v>
      </c>
      <c r="AV39" s="48">
        <f t="shared" si="34"/>
        <v>2.2133628728389976E-2</v>
      </c>
      <c r="AW39" s="48">
        <f t="shared" si="34"/>
        <v>2.2271045690623437E-2</v>
      </c>
      <c r="AX39" s="48">
        <f t="shared" si="34"/>
        <v>2.2460513309473296E-2</v>
      </c>
      <c r="AY39" s="48">
        <f t="shared" si="34"/>
        <v>2.2706000046520458E-2</v>
      </c>
      <c r="AZ39" s="86"/>
    </row>
    <row r="40" spans="2:52">
      <c r="D40" s="6"/>
      <c r="E40" s="6"/>
      <c r="F40" s="6"/>
      <c r="G40" s="6"/>
      <c r="H40" s="6"/>
      <c r="I40" s="6"/>
      <c r="J40" s="6"/>
      <c r="K40" s="6"/>
      <c r="L40" s="6"/>
      <c r="M40" s="6"/>
      <c r="N40" s="6"/>
    </row>
    <row r="41" spans="2:52">
      <c r="B41" s="6" t="s">
        <v>69</v>
      </c>
      <c r="D41" s="82">
        <f ca="1">IF(Case=$C32,IS!D$51,D41)</f>
        <v>72.854000000000013</v>
      </c>
      <c r="E41" s="82">
        <f ca="1">IF(Case=$C32,IS!E$51,E41)</f>
        <v>123.48999999999997</v>
      </c>
      <c r="F41" s="82">
        <f ca="1">IF(Case=$C32,IS!F$51,F41)</f>
        <v>187.78599999999994</v>
      </c>
      <c r="G41" s="82">
        <f ca="1">IF(Case=$C32,IS!G$51,G41)</f>
        <v>554.42707600667359</v>
      </c>
      <c r="H41" s="82">
        <f ca="1">IF(Case=$C32,IS!H$51,H41)</f>
        <v>653.61018672880209</v>
      </c>
      <c r="I41" s="82">
        <f ca="1">IF(Case=$C32,IS!I$51,I41)</f>
        <v>782.60000000000014</v>
      </c>
      <c r="J41" s="82">
        <f ca="1">IF(Case=$C32,IS!J$51,J41)</f>
        <v>934.9</v>
      </c>
      <c r="K41" s="82">
        <f ca="1">IF(Case=$C32,IS!K$51,K41)</f>
        <v>1116.8000000000002</v>
      </c>
      <c r="L41" s="82">
        <f ca="1">IF(Case=$C32,IS!L$51,L41)</f>
        <v>1324.5472135799414</v>
      </c>
      <c r="M41" s="82">
        <f ca="1">IF(Case=$C32,IS!M$51,M41)</f>
        <v>1427.3844080802958</v>
      </c>
      <c r="N41" s="82">
        <f ca="1">IF(Case=$C32,IS!N$51,N41)</f>
        <v>1533.9196720366431</v>
      </c>
      <c r="O41" s="2">
        <f ca="1">(M41/J41)^(1/3)-1</f>
        <v>0.15148582536917465</v>
      </c>
      <c r="T41" s="82">
        <f ca="1">IF(Case=$C32,IS!T$51,T41)</f>
        <v>125.6178835624993</v>
      </c>
      <c r="U41" s="82">
        <f ca="1">IF(Case=$C32,IS!U$51,U41)</f>
        <v>139.37871740345793</v>
      </c>
      <c r="V41" s="82">
        <f ca="1">IF(Case=$C32,IS!V$51,V41)</f>
        <v>147.59169075010976</v>
      </c>
      <c r="W41" s="82">
        <f ca="1">IF(Case=$C32,IS!W$51,W41)</f>
        <v>141.83878429060655</v>
      </c>
      <c r="X41" s="82">
        <f ca="1">IF(Case=$C32,IS!X$51,X41)</f>
        <v>155.60177105606058</v>
      </c>
      <c r="Y41" s="82">
        <f ca="1">IF(Case=$C32,IS!Y$51,Y41)</f>
        <v>161.66567373765406</v>
      </c>
      <c r="Z41" s="82">
        <f ca="1">IF(Case=$C32,IS!Z$51,Z41)</f>
        <v>165.22903738364963</v>
      </c>
      <c r="AA41" s="88">
        <f ca="1">IF(Case=$C32,IS!AA$51,AA41)</f>
        <v>171.11370455143791</v>
      </c>
      <c r="AB41" s="82">
        <f ca="1">IF(Case=$C32,IS!AB$51,AB41)</f>
        <v>182.99999999999997</v>
      </c>
      <c r="AC41" s="82">
        <f ca="1">IF(Case=$C32,IS!AC$51,AC41)</f>
        <v>189.70000000000002</v>
      </c>
      <c r="AD41" s="82">
        <f ca="1">IF(Case=$C32,IS!AD$51,AD41)</f>
        <v>199</v>
      </c>
      <c r="AE41" s="82">
        <f ca="1">IF(Case=$C32,IS!AE$51,AE41)</f>
        <v>210.90000000000003</v>
      </c>
      <c r="AF41" s="82">
        <f ca="1">IF(Case=$C32,IS!AF$51,AF41)</f>
        <v>215.39999999999998</v>
      </c>
      <c r="AG41" s="82">
        <f ca="1">IF(Case=$C32,IS!AG$51,AG41)</f>
        <v>218.90000000000006</v>
      </c>
      <c r="AH41" s="82">
        <f ca="1">IF(Case=$C32,IS!AH$51,AH41)</f>
        <v>242.79999999999995</v>
      </c>
      <c r="AI41" s="82">
        <f ca="1">IF(Case=$C32,IS!AI$51,AI41)</f>
        <v>257.79999999999995</v>
      </c>
      <c r="AJ41" s="82">
        <f ca="1">IF(Case=$C32,IS!AJ$51,AJ41)</f>
        <v>260.60000000000002</v>
      </c>
      <c r="AK41" s="82">
        <f ca="1">IF(Case=$C32,IS!AK$51,AK41)</f>
        <v>263.39999999999992</v>
      </c>
      <c r="AL41" s="82">
        <f ca="1">IF(Case=$C32,IS!AL$51,AL41)</f>
        <v>282.00000000000006</v>
      </c>
      <c r="AM41" s="82">
        <f ca="1">IF(Case=$C32,IS!AM$51,AM41)</f>
        <v>310.80000000000007</v>
      </c>
      <c r="AN41" s="82">
        <f ca="1">IF(Case=$C32,IS!AN$51,AN41)</f>
        <v>316.60000000000002</v>
      </c>
      <c r="AO41" s="82">
        <f ca="1">IF(Case=$C32,IS!AO$51,AO41)</f>
        <v>329.89999999999992</v>
      </c>
      <c r="AP41" s="82">
        <f ca="1">IF(Case=$C32,IS!AP$51,AP41)</f>
        <v>336.21512138783021</v>
      </c>
      <c r="AQ41" s="82">
        <f ca="1">IF(Case=$C32,IS!AQ$51,AQ41)</f>
        <v>341.83209219211108</v>
      </c>
      <c r="AR41" s="82">
        <f ca="1">IF(Case=$C32,IS!AR$51,AR41)</f>
        <v>347.61330910976346</v>
      </c>
      <c r="AS41" s="82">
        <f ca="1">IF(Case=$C32,IS!AS$51,AS41)</f>
        <v>353.62148896328904</v>
      </c>
      <c r="AT41" s="82">
        <f ca="1">IF(Case=$C32,IS!AT$51,AT41)</f>
        <v>359.85430150052196</v>
      </c>
      <c r="AU41" s="82">
        <f ca="1">IF(Case=$C32,IS!AU$51,AU41)</f>
        <v>366.29530850672143</v>
      </c>
      <c r="AV41" s="82">
        <f ca="1">IF(Case=$C32,IS!AV$51,AV41)</f>
        <v>372.95664415715305</v>
      </c>
      <c r="AW41" s="82">
        <f ca="1">IF(Case=$C32,IS!AW$51,AW41)</f>
        <v>379.84523470137196</v>
      </c>
      <c r="AX41" s="82">
        <f ca="1">IF(Case=$C32,IS!AX$51,AX41)</f>
        <v>386.96460501280603</v>
      </c>
      <c r="AY41" s="82">
        <f ca="1">IF(Case=$C32,IS!AY$51,AY41)</f>
        <v>394.15318825219299</v>
      </c>
    </row>
    <row r="42" spans="2:52">
      <c r="B42" s="6" t="s">
        <v>203</v>
      </c>
      <c r="D42" s="48">
        <f ca="1">+D41/D34</f>
        <v>0.36815588537008126</v>
      </c>
      <c r="E42" s="48">
        <f ca="1">+E41/E34</f>
        <v>0.43768585433627621</v>
      </c>
      <c r="F42" s="48">
        <f ca="1">+F41/F34</f>
        <v>0.50006124742361369</v>
      </c>
      <c r="G42" s="48">
        <f ca="1">+G41/G34</f>
        <v>0.55201880217416988</v>
      </c>
      <c r="H42" s="48">
        <f ca="1">+H41/H34</f>
        <v>0.58192452172755649</v>
      </c>
      <c r="I42" s="48">
        <f t="shared" ref="I42:N42" ca="1" si="35">+I41/I34</f>
        <v>0.5809516739662981</v>
      </c>
      <c r="J42" s="48">
        <f t="shared" ca="1" si="35"/>
        <v>0.5430098158796538</v>
      </c>
      <c r="K42" s="48">
        <f t="shared" ca="1" si="35"/>
        <v>0.50768251659241759</v>
      </c>
      <c r="L42" s="48">
        <f t="shared" ca="1" si="35"/>
        <v>0.50764185557872754</v>
      </c>
      <c r="M42" s="48">
        <f t="shared" ca="1" si="35"/>
        <v>0.52378997065579347</v>
      </c>
      <c r="N42" s="48">
        <f t="shared" ca="1" si="35"/>
        <v>0.53300065785481388</v>
      </c>
      <c r="T42" s="48">
        <f t="shared" ref="T42:AN42" ca="1" si="36">+T41/T34</f>
        <v>0.53226185226716738</v>
      </c>
      <c r="U42" s="48">
        <f t="shared" ca="1" si="36"/>
        <v>0.55745954761243866</v>
      </c>
      <c r="V42" s="48">
        <f t="shared" ca="1" si="36"/>
        <v>0.57528519472841266</v>
      </c>
      <c r="W42" s="48">
        <f t="shared" ca="1" si="36"/>
        <v>0.54183218400155098</v>
      </c>
      <c r="X42" s="48">
        <f t="shared" ca="1" si="36"/>
        <v>0.58049363657071262</v>
      </c>
      <c r="Y42" s="48">
        <f t="shared" ca="1" si="36"/>
        <v>0.58368088746839331</v>
      </c>
      <c r="Z42" s="48">
        <f t="shared" ca="1" si="36"/>
        <v>0.58718258158854686</v>
      </c>
      <c r="AA42" s="24">
        <f t="shared" ca="1" si="36"/>
        <v>0.57659205375572098</v>
      </c>
      <c r="AB42" s="48">
        <f t="shared" ca="1" si="36"/>
        <v>0.57080474111041779</v>
      </c>
      <c r="AC42" s="48">
        <f t="shared" ca="1" si="36"/>
        <v>0.58567459092312446</v>
      </c>
      <c r="AD42" s="48">
        <f t="shared" ca="1" si="36"/>
        <v>0.58409157616671559</v>
      </c>
      <c r="AE42" s="48">
        <f t="shared" ca="1" si="36"/>
        <v>0.58275766786405092</v>
      </c>
      <c r="AF42" s="48">
        <f t="shared" ca="1" si="36"/>
        <v>0.5872410032715375</v>
      </c>
      <c r="AG42" s="48">
        <f t="shared" ca="1" si="36"/>
        <v>0.59226190476190488</v>
      </c>
      <c r="AH42" s="48">
        <f t="shared" ca="1" si="36"/>
        <v>0.50794979079497904</v>
      </c>
      <c r="AI42" s="48">
        <f t="shared" ca="1" si="36"/>
        <v>0.50818056376897291</v>
      </c>
      <c r="AJ42" s="48">
        <f t="shared" ca="1" si="36"/>
        <v>0.51614181025945738</v>
      </c>
      <c r="AK42" s="48">
        <f t="shared" ca="1" si="36"/>
        <v>0.51983422143280034</v>
      </c>
      <c r="AL42" s="48">
        <f t="shared" ca="1" si="36"/>
        <v>0.51254089422028359</v>
      </c>
      <c r="AM42" s="48">
        <f t="shared" ca="1" si="36"/>
        <v>0.4871473354231976</v>
      </c>
      <c r="AN42" s="48">
        <f t="shared" ca="1" si="36"/>
        <v>0.49199689199689201</v>
      </c>
      <c r="AO42" s="48">
        <f t="shared" ref="AO42:AY42" ca="1" si="37">+AO41/AO34</f>
        <v>0.50482019892884455</v>
      </c>
      <c r="AP42" s="48">
        <f t="shared" ca="1" si="37"/>
        <v>0.51553365637947246</v>
      </c>
      <c r="AQ42" s="48">
        <f t="shared" ca="1" si="37"/>
        <v>0.51789067098214825</v>
      </c>
      <c r="AR42" s="48">
        <f t="shared" ca="1" si="37"/>
        <v>0.52024287299978578</v>
      </c>
      <c r="AS42" s="48">
        <f t="shared" ca="1" si="37"/>
        <v>0.52258811391057591</v>
      </c>
      <c r="AT42" s="48">
        <f t="shared" ca="1" si="37"/>
        <v>0.52492490932779534</v>
      </c>
      <c r="AU42" s="48">
        <f t="shared" ca="1" si="37"/>
        <v>0.52725221343359285</v>
      </c>
      <c r="AV42" s="48">
        <f t="shared" ca="1" si="37"/>
        <v>0.52956914649894415</v>
      </c>
      <c r="AW42" s="48">
        <f t="shared" ca="1" si="37"/>
        <v>0.53187503791578628</v>
      </c>
      <c r="AX42" s="48">
        <f t="shared" ca="1" si="37"/>
        <v>0.53416937047313295</v>
      </c>
      <c r="AY42" s="48">
        <f t="shared" ca="1" si="37"/>
        <v>0.53623029075774564</v>
      </c>
    </row>
    <row r="43" spans="2:52">
      <c r="B43" s="85" t="s">
        <v>201</v>
      </c>
      <c r="D43" s="18"/>
      <c r="E43" s="18"/>
      <c r="F43" s="18"/>
      <c r="G43" s="18">
        <f>+SUM(T43:W43)</f>
        <v>554.42707600667347</v>
      </c>
      <c r="H43" s="18">
        <f>+SUM(X43:AA43)</f>
        <v>653.61018672880209</v>
      </c>
      <c r="I43" s="18">
        <f>+SUM(AB43:AE43)</f>
        <v>755.29519908051816</v>
      </c>
      <c r="J43" s="18">
        <f>+SUM(AF43:AI43)</f>
        <v>833.56110694208087</v>
      </c>
      <c r="K43" s="18">
        <f>+SUM(AJ43:AM43)</f>
        <v>919.62996880243179</v>
      </c>
      <c r="L43" s="18">
        <f>+SUM(AN43:AQ43)</f>
        <v>1012.4646824388119</v>
      </c>
      <c r="M43" s="18">
        <f>+SUM(AR43:AU43)</f>
        <v>1120.8728113007905</v>
      </c>
      <c r="N43" s="18">
        <f>+SUM(AV43:AY43)</f>
        <v>1247.1707407331546</v>
      </c>
      <c r="T43" s="19">
        <v>125.6178835624993</v>
      </c>
      <c r="U43" s="19">
        <v>139.37871740345793</v>
      </c>
      <c r="V43" s="19">
        <v>147.59169075010976</v>
      </c>
      <c r="W43" s="19">
        <v>141.8387842906065</v>
      </c>
      <c r="X43" s="19">
        <v>155.60177105606056</v>
      </c>
      <c r="Y43" s="19">
        <v>161.665673737654</v>
      </c>
      <c r="Z43" s="19">
        <v>165.22903738364963</v>
      </c>
      <c r="AA43" s="20">
        <v>171.11370455143788</v>
      </c>
      <c r="AB43" s="19">
        <v>181.374326063746</v>
      </c>
      <c r="AC43" s="19">
        <v>185.94861471488298</v>
      </c>
      <c r="AD43" s="19">
        <v>191.52585143603733</v>
      </c>
      <c r="AE43" s="19">
        <v>196.4464068658518</v>
      </c>
      <c r="AF43" s="19">
        <v>201.08281102719869</v>
      </c>
      <c r="AG43" s="19">
        <v>205.95069045090483</v>
      </c>
      <c r="AH43" s="19">
        <v>210.55745532438084</v>
      </c>
      <c r="AI43" s="19">
        <v>215.97015013959654</v>
      </c>
      <c r="AJ43" s="19">
        <v>221.29396997899585</v>
      </c>
      <c r="AK43" s="19">
        <v>227.6621050362476</v>
      </c>
      <c r="AL43" s="19">
        <v>232.59476372451638</v>
      </c>
      <c r="AM43" s="19">
        <v>238.07913006267202</v>
      </c>
      <c r="AN43" s="19">
        <v>243.73288893524733</v>
      </c>
      <c r="AO43" s="19">
        <v>249.76521937757843</v>
      </c>
      <c r="AP43" s="19">
        <v>256.17404618594469</v>
      </c>
      <c r="AQ43" s="19">
        <v>262.79252794004145</v>
      </c>
      <c r="AR43" s="19">
        <v>269.62074465713675</v>
      </c>
      <c r="AS43" s="19">
        <v>276.52797322790286</v>
      </c>
      <c r="AT43" s="19">
        <v>283.66676558994658</v>
      </c>
      <c r="AU43" s="19">
        <v>291.05732782580429</v>
      </c>
      <c r="AV43" s="19">
        <v>298.72432534755171</v>
      </c>
      <c r="AW43" s="19">
        <v>307.20977716194983</v>
      </c>
      <c r="AX43" s="19">
        <v>316.02612785391062</v>
      </c>
      <c r="AY43" s="19">
        <v>325.21051036974251</v>
      </c>
      <c r="AZ43" s="85"/>
    </row>
    <row r="44" spans="2:52">
      <c r="B44" s="86" t="s">
        <v>203</v>
      </c>
      <c r="D44" s="48"/>
      <c r="E44" s="48"/>
      <c r="F44" s="48"/>
      <c r="G44" s="48">
        <f>+G43/G37</f>
        <v>0.55201880217416976</v>
      </c>
      <c r="H44" s="48">
        <f>+H43/H37</f>
        <v>0.58192452172755649</v>
      </c>
      <c r="I44" s="48">
        <f t="shared" ref="I44:N44" si="38">+I43/I37</f>
        <v>0.57421397042263722</v>
      </c>
      <c r="J44" s="48">
        <f t="shared" si="38"/>
        <v>0.58692474496306157</v>
      </c>
      <c r="K44" s="48">
        <f t="shared" si="38"/>
        <v>0.59628367589789977</v>
      </c>
      <c r="L44" s="48">
        <f t="shared" si="38"/>
        <v>0.6028596375151215</v>
      </c>
      <c r="M44" s="48">
        <f t="shared" si="38"/>
        <v>0.61182398417199124</v>
      </c>
      <c r="N44" s="48">
        <f t="shared" si="38"/>
        <v>0.6235354375594222</v>
      </c>
      <c r="T44" s="48">
        <f t="shared" ref="T44:AN44" si="39">+T43/T37</f>
        <v>0.53226185226716738</v>
      </c>
      <c r="U44" s="48">
        <f t="shared" si="39"/>
        <v>0.55745954761243866</v>
      </c>
      <c r="V44" s="48">
        <f t="shared" si="39"/>
        <v>0.57528519472841266</v>
      </c>
      <c r="W44" s="48">
        <f t="shared" si="39"/>
        <v>0.54183218400155075</v>
      </c>
      <c r="X44" s="48">
        <f t="shared" si="39"/>
        <v>0.58049363657071251</v>
      </c>
      <c r="Y44" s="48">
        <f t="shared" si="39"/>
        <v>0.58368088746839319</v>
      </c>
      <c r="Z44" s="48">
        <f t="shared" si="39"/>
        <v>0.58718258158854686</v>
      </c>
      <c r="AA44" s="24">
        <f t="shared" si="39"/>
        <v>0.57659205375572087</v>
      </c>
      <c r="AB44" s="48">
        <f t="shared" si="39"/>
        <v>0.56722896108046694</v>
      </c>
      <c r="AC44" s="48">
        <f t="shared" si="39"/>
        <v>0.57076975737119939</v>
      </c>
      <c r="AD44" s="48">
        <f t="shared" si="39"/>
        <v>0.57730080888261037</v>
      </c>
      <c r="AE44" s="48">
        <f t="shared" si="39"/>
        <v>0.58111073754362208</v>
      </c>
      <c r="AF44" s="48">
        <f t="shared" si="39"/>
        <v>0.58358630237243969</v>
      </c>
      <c r="AG44" s="48">
        <f t="shared" si="39"/>
        <v>0.58609628092601496</v>
      </c>
      <c r="AH44" s="48">
        <f t="shared" si="39"/>
        <v>0.58746781722442609</v>
      </c>
      <c r="AI44" s="48">
        <f t="shared" si="39"/>
        <v>0.590332689631206</v>
      </c>
      <c r="AJ44" s="48">
        <f t="shared" si="39"/>
        <v>0.59236080920171952</v>
      </c>
      <c r="AK44" s="48">
        <f t="shared" si="39"/>
        <v>0.59650566453717446</v>
      </c>
      <c r="AL44" s="48">
        <f t="shared" si="39"/>
        <v>0.59736731826072542</v>
      </c>
      <c r="AM44" s="48">
        <f t="shared" si="39"/>
        <v>0.59869487328987614</v>
      </c>
      <c r="AN44" s="48">
        <f t="shared" si="39"/>
        <v>0.59988970107841899</v>
      </c>
      <c r="AO44" s="48">
        <f t="shared" ref="AO44:AY44" si="40">+AO43/AO37</f>
        <v>0.60156716376321573</v>
      </c>
      <c r="AP44" s="48">
        <f t="shared" si="40"/>
        <v>0.60374108462366027</v>
      </c>
      <c r="AQ44" s="48">
        <f t="shared" si="40"/>
        <v>0.606017311233228</v>
      </c>
      <c r="AR44" s="48">
        <f t="shared" si="40"/>
        <v>0.60839251488093282</v>
      </c>
      <c r="AS44" s="48">
        <f t="shared" si="40"/>
        <v>0.61056098663706504</v>
      </c>
      <c r="AT44" s="48">
        <f t="shared" si="40"/>
        <v>0.61284448462112273</v>
      </c>
      <c r="AU44" s="48">
        <f t="shared" si="40"/>
        <v>0.6152492214372367</v>
      </c>
      <c r="AV44" s="48">
        <f t="shared" si="40"/>
        <v>0.6177822796598591</v>
      </c>
      <c r="AW44" s="48">
        <f t="shared" si="40"/>
        <v>0.62148955059463695</v>
      </c>
      <c r="AX44" s="48">
        <f t="shared" si="40"/>
        <v>0.62528101519192159</v>
      </c>
      <c r="AY44" s="48">
        <f t="shared" si="40"/>
        <v>0.629167124994084</v>
      </c>
      <c r="AZ44" s="86"/>
    </row>
    <row r="45" spans="2:52">
      <c r="D45" s="6"/>
      <c r="E45" s="6"/>
      <c r="F45" s="6"/>
      <c r="G45" s="6"/>
      <c r="H45" s="6"/>
      <c r="I45" s="6"/>
      <c r="J45" s="6"/>
      <c r="K45" s="6"/>
      <c r="L45" s="6"/>
      <c r="M45" s="6"/>
      <c r="N45" s="6"/>
    </row>
    <row r="46" spans="2:52">
      <c r="B46" s="6" t="s">
        <v>251</v>
      </c>
      <c r="D46" s="82"/>
      <c r="E46" s="82"/>
      <c r="F46" s="82"/>
      <c r="G46" s="82">
        <f ca="1">IF(Case=$C32,BS!G$69,G46)</f>
        <v>323.23400002</v>
      </c>
      <c r="H46" s="82">
        <f ca="1">IF(Case=$C32,BS!H$69,H46)</f>
        <v>360.75700000000001</v>
      </c>
      <c r="I46" s="82">
        <f ca="1">IF(Case=$C32,BS!I$69,I46)</f>
        <v>530.4</v>
      </c>
      <c r="J46" s="82">
        <f ca="1">IF(Case=$C32,BS!J$69,J46)</f>
        <v>704.10000000000014</v>
      </c>
      <c r="K46" s="82">
        <f ca="1">IF(Case=$C32,BS!K$69,K46)</f>
        <v>835.5</v>
      </c>
      <c r="L46" s="82">
        <f ca="1">IF(Case=$C32,BS!L$69,L46)</f>
        <v>819.91003234433026</v>
      </c>
      <c r="M46" s="82">
        <f ca="1">IF(Case=$C32,BS!M$69,M46)</f>
        <v>926.53682952287863</v>
      </c>
      <c r="N46" s="82">
        <f ca="1">IF(Case=$C32,BS!N$69,N46)</f>
        <v>904.97967495263845</v>
      </c>
      <c r="T46" s="82">
        <f ca="1">IF(Case=$C32,BS!T$69,T46)</f>
        <v>66.687000019999999</v>
      </c>
      <c r="U46" s="82">
        <f ca="1">IF(Case=$C32,BS!U$69,U46)</f>
        <v>58.91</v>
      </c>
      <c r="V46" s="82">
        <f ca="1">IF(Case=$C32,BS!V$69,V46)</f>
        <v>95.73</v>
      </c>
      <c r="W46" s="82">
        <f ca="1">IF(Case=$C32,BS!W$69,W46)</f>
        <v>101.907</v>
      </c>
      <c r="X46" s="82">
        <f ca="1">IF(Case=$C32,BS!X$69,X46)</f>
        <v>86.671996482221047</v>
      </c>
      <c r="Y46" s="82">
        <f ca="1">IF(Case=$C32,BS!Y$69,Y46)</f>
        <v>88.276763707906341</v>
      </c>
      <c r="Z46" s="82">
        <f ca="1">IF(Case=$C32,BS!Z$69,Z46)</f>
        <v>90.922727784094747</v>
      </c>
      <c r="AA46" s="88">
        <f ca="1">IF(Case=$C32,BS!AA$69,AA46)</f>
        <v>94.885512025777871</v>
      </c>
      <c r="AB46" s="82">
        <f ca="1">IF(Case=$C32,BS!AB$69,AB46)</f>
        <v>115.3</v>
      </c>
      <c r="AC46" s="82">
        <f ca="1">IF(Case=$C32,BS!AC$69,AC46)</f>
        <v>129.5</v>
      </c>
      <c r="AD46" s="82">
        <f ca="1">IF(Case=$C32,BS!AD$69,AD46)</f>
        <v>130.09999999999997</v>
      </c>
      <c r="AE46" s="82">
        <f ca="1">IF(Case=$C32,BS!AE$69,AE46)</f>
        <v>155.5</v>
      </c>
      <c r="AF46" s="82">
        <f ca="1">IF(Case=$C32,BS!AF$69,AF46)</f>
        <v>159.19999999999999</v>
      </c>
      <c r="AG46" s="82">
        <f ca="1">IF(Case=$C32,BS!AG$69,AG46)</f>
        <v>172.40000000000003</v>
      </c>
      <c r="AH46" s="82">
        <f ca="1">IF(Case=$C32,BS!AH$69,AH46)</f>
        <v>185.10000000000002</v>
      </c>
      <c r="AI46" s="82">
        <f ca="1">IF(Case=$C32,BS!AI$69,AI46)</f>
        <v>187.40000000000003</v>
      </c>
      <c r="AJ46" s="82">
        <f ca="1">IF(Case=$C32,BS!AJ$69,AJ46)</f>
        <v>208.3</v>
      </c>
      <c r="AK46" s="82">
        <f ca="1">IF(Case=$C32,BS!AK$69,AK46)</f>
        <v>213.59999999999997</v>
      </c>
      <c r="AL46" s="82">
        <f ca="1">IF(Case=$C32,BS!AL$69,AL46)</f>
        <v>208.30000000000007</v>
      </c>
      <c r="AM46" s="82">
        <f ca="1">IF(Case=$C32,BS!AM$69,AM46)</f>
        <v>205.3</v>
      </c>
      <c r="AN46" s="82">
        <f ca="1">IF(Case=$C32,BS!AN$69,AN46)</f>
        <v>193.4</v>
      </c>
      <c r="AO46" s="82">
        <f ca="1">IF(Case=$C32,BS!AO$69,AO46)</f>
        <v>193.4</v>
      </c>
      <c r="AP46" s="82">
        <f ca="1">IF(Case=$C32,BS!AP$69,AP46)</f>
        <v>208.69411242650662</v>
      </c>
      <c r="AQ46" s="82">
        <f ca="1">IF(Case=$C32,BS!AQ$69,AQ46)</f>
        <v>224.41591991782366</v>
      </c>
      <c r="AR46" s="82">
        <f ca="1">IF(Case=$C32,BS!AR$69,AR46)</f>
        <v>227.17951793520916</v>
      </c>
      <c r="AS46" s="82">
        <f ca="1">IF(Case=$C32,BS!AS$69,AS46)</f>
        <v>230.06896453847011</v>
      </c>
      <c r="AT46" s="82">
        <f ca="1">IF(Case=$C32,BS!AT$69,AT46)</f>
        <v>233.08183768009059</v>
      </c>
      <c r="AU46" s="82">
        <f ca="1">IF(Case=$C32,BS!AU$69,AU46)</f>
        <v>236.20650936910874</v>
      </c>
      <c r="AV46" s="82">
        <f ca="1">IF(Case=$C32,BS!AV$69,AV46)</f>
        <v>239.44986193353475</v>
      </c>
      <c r="AW46" s="82">
        <f ca="1">IF(Case=$C32,BS!AW$69,AW46)</f>
        <v>242.81526785792647</v>
      </c>
      <c r="AX46" s="82">
        <f ca="1">IF(Case=$C32,BS!AX$69,AX46)</f>
        <v>246.3038372788383</v>
      </c>
      <c r="AY46" s="82">
        <f ca="1">IF(Case=$C32,BS!AY$69,AY46)</f>
        <v>176.4107078823389</v>
      </c>
    </row>
    <row r="47" spans="2:52">
      <c r="B47" s="6" t="s">
        <v>202</v>
      </c>
      <c r="D47" s="48"/>
      <c r="E47" s="48"/>
      <c r="F47" s="48"/>
      <c r="G47" s="48">
        <f ca="1">+G46/G34</f>
        <v>0.32182996328061408</v>
      </c>
      <c r="H47" s="48">
        <f ca="1">+H46/H34</f>
        <v>0.32119044186802781</v>
      </c>
      <c r="I47" s="48">
        <f t="shared" ref="I47:N47" ca="1" si="41">+I46/I34</f>
        <v>0.3937346893326405</v>
      </c>
      <c r="J47" s="48">
        <f t="shared" ca="1" si="41"/>
        <v>0.40895626415751879</v>
      </c>
      <c r="K47" s="48">
        <f t="shared" ca="1" si="41"/>
        <v>0.37980725520501862</v>
      </c>
      <c r="L47" s="48">
        <f t="shared" ca="1" si="41"/>
        <v>0.31423617516958363</v>
      </c>
      <c r="M47" s="48">
        <f t="shared" ca="1" si="41"/>
        <v>0.33999999999999997</v>
      </c>
      <c r="N47" s="48">
        <f t="shared" ca="1" si="41"/>
        <v>0.31445894520314177</v>
      </c>
      <c r="T47" s="48">
        <f t="shared" ref="T47:AN47" ca="1" si="42">+T46/T34</f>
        <v>0.28256284174001267</v>
      </c>
      <c r="U47" s="48">
        <f t="shared" ca="1" si="42"/>
        <v>0.23561661752695978</v>
      </c>
      <c r="V47" s="48">
        <f t="shared" ca="1" si="42"/>
        <v>0.3731378874478406</v>
      </c>
      <c r="W47" s="48">
        <f t="shared" ca="1" si="42"/>
        <v>0.38929050789039249</v>
      </c>
      <c r="X47" s="48">
        <f t="shared" ca="1" si="42"/>
        <v>0.32334170803674073</v>
      </c>
      <c r="Y47" s="48">
        <f t="shared" ca="1" si="42"/>
        <v>0.31871614173013818</v>
      </c>
      <c r="Z47" s="48">
        <f t="shared" ca="1" si="42"/>
        <v>0.32311658332411569</v>
      </c>
      <c r="AA47" s="24">
        <f t="shared" ca="1" si="42"/>
        <v>0.31973027756032346</v>
      </c>
      <c r="AB47" s="48">
        <f t="shared" ca="1" si="42"/>
        <v>0.35963817841547097</v>
      </c>
      <c r="AC47" s="48">
        <f t="shared" ca="1" si="42"/>
        <v>0.39981475764124735</v>
      </c>
      <c r="AD47" s="48">
        <f t="shared" ca="1" si="42"/>
        <v>0.3818608746697974</v>
      </c>
      <c r="AE47" s="48">
        <f t="shared" ca="1" si="42"/>
        <v>0.42967670627245097</v>
      </c>
      <c r="AF47" s="48">
        <f t="shared" ca="1" si="42"/>
        <v>0.43402399127589963</v>
      </c>
      <c r="AG47" s="48">
        <f t="shared" ca="1" si="42"/>
        <v>0.4664502164502165</v>
      </c>
      <c r="AH47" s="48">
        <f t="shared" ca="1" si="42"/>
        <v>0.38723849372384944</v>
      </c>
      <c r="AI47" s="48">
        <f t="shared" ca="1" si="42"/>
        <v>0.36940666272422634</v>
      </c>
      <c r="AJ47" s="48">
        <f t="shared" ca="1" si="42"/>
        <v>0.41255694196870674</v>
      </c>
      <c r="AK47" s="48">
        <f t="shared" ca="1" si="42"/>
        <v>0.42155121373593835</v>
      </c>
      <c r="AL47" s="48">
        <f t="shared" ca="1" si="42"/>
        <v>0.3785896037804436</v>
      </c>
      <c r="AM47" s="48">
        <f t="shared" ca="1" si="42"/>
        <v>0.32178683385579937</v>
      </c>
      <c r="AN47" s="48">
        <f t="shared" ca="1" si="42"/>
        <v>0.30054390054390057</v>
      </c>
      <c r="AO47" s="48">
        <f t="shared" ref="AO47:AY47" ca="1" si="43">+AO46/AO34</f>
        <v>0.29594491201224177</v>
      </c>
      <c r="AP47" s="48">
        <f t="shared" ca="1" si="43"/>
        <v>0.32</v>
      </c>
      <c r="AQ47" s="48">
        <f t="shared" ca="1" si="43"/>
        <v>0.33999999999999997</v>
      </c>
      <c r="AR47" s="48">
        <f t="shared" ca="1" si="43"/>
        <v>0.33999999999999997</v>
      </c>
      <c r="AS47" s="48">
        <f t="shared" ca="1" si="43"/>
        <v>0.33999999999999997</v>
      </c>
      <c r="AT47" s="48">
        <f t="shared" ca="1" si="43"/>
        <v>0.33999999999999997</v>
      </c>
      <c r="AU47" s="48">
        <f t="shared" ca="1" si="43"/>
        <v>0.33999999999999997</v>
      </c>
      <c r="AV47" s="48">
        <f t="shared" ca="1" si="43"/>
        <v>0.33999999999999997</v>
      </c>
      <c r="AW47" s="48">
        <f t="shared" ca="1" si="43"/>
        <v>0.33999999999999997</v>
      </c>
      <c r="AX47" s="48">
        <f t="shared" ca="1" si="43"/>
        <v>0.33999999999999997</v>
      </c>
      <c r="AY47" s="48">
        <f t="shared" ca="1" si="43"/>
        <v>0.24</v>
      </c>
    </row>
    <row r="48" spans="2:52">
      <c r="B48" s="85" t="s">
        <v>201</v>
      </c>
      <c r="D48" s="18"/>
      <c r="E48" s="18"/>
      <c r="F48" s="18"/>
      <c r="G48" s="18">
        <f>+SUM(T48:W48)</f>
        <v>323.23400002</v>
      </c>
      <c r="H48" s="18">
        <f>+SUM(X48:AA48)</f>
        <v>360.75696800184278</v>
      </c>
      <c r="I48" s="18">
        <f>+SUM(AB48:AE48)</f>
        <v>517.16227294135183</v>
      </c>
      <c r="J48" s="18">
        <f>+SUM(AF48:AI48)</f>
        <v>544.57055074343282</v>
      </c>
      <c r="K48" s="18">
        <f>+SUM(AJ48:AM48)</f>
        <v>614.84087089037553</v>
      </c>
      <c r="L48" s="18">
        <f>+SUM(AN48:AQ48)</f>
        <v>657.72798252808502</v>
      </c>
      <c r="M48" s="18">
        <f>+SUM(AR48:AU48)</f>
        <v>687.45068952044198</v>
      </c>
      <c r="N48" s="18">
        <f>+SUM(AV48:AY48)</f>
        <v>717.39984705812469</v>
      </c>
      <c r="T48" s="19">
        <v>66.687000019999999</v>
      </c>
      <c r="U48" s="19">
        <v>58.91</v>
      </c>
      <c r="V48" s="19">
        <v>95.73</v>
      </c>
      <c r="W48" s="19">
        <v>101.907</v>
      </c>
      <c r="X48" s="19">
        <v>86.671996822220791</v>
      </c>
      <c r="Y48" s="19">
        <v>88.275342707906788</v>
      </c>
      <c r="Z48" s="19">
        <v>90.922727774094895</v>
      </c>
      <c r="AA48" s="20">
        <v>94.886900697620305</v>
      </c>
      <c r="AB48" s="19">
        <v>122.64550073855338</v>
      </c>
      <c r="AC48" s="19">
        <v>133.53396482554763</v>
      </c>
      <c r="AD48" s="19">
        <v>132.48862971686015</v>
      </c>
      <c r="AE48" s="19">
        <v>128.49417766039068</v>
      </c>
      <c r="AF48" s="19">
        <v>131.32076922124907</v>
      </c>
      <c r="AG48" s="19">
        <v>134.07132987472784</v>
      </c>
      <c r="AH48" s="19">
        <v>137.31113239990361</v>
      </c>
      <c r="AI48" s="19">
        <v>141.86731924755227</v>
      </c>
      <c r="AJ48" s="19">
        <v>147.28795099124267</v>
      </c>
      <c r="AK48" s="19">
        <v>152.37474328197712</v>
      </c>
      <c r="AL48" s="19">
        <v>156.25456642208644</v>
      </c>
      <c r="AM48" s="19">
        <v>158.92361019506922</v>
      </c>
      <c r="AN48" s="19">
        <v>161.37754749869754</v>
      </c>
      <c r="AO48" s="19">
        <v>163.53341443854788</v>
      </c>
      <c r="AP48" s="19">
        <v>165.49930625832536</v>
      </c>
      <c r="AQ48" s="19">
        <v>167.31771433251427</v>
      </c>
      <c r="AR48" s="19">
        <v>169.07863495798779</v>
      </c>
      <c r="AS48" s="19">
        <v>170.89497513343315</v>
      </c>
      <c r="AT48" s="19">
        <v>172.76982543926874</v>
      </c>
      <c r="AU48" s="19">
        <v>174.7072539897523</v>
      </c>
      <c r="AV48" s="19">
        <v>176.71220825629393</v>
      </c>
      <c r="AW48" s="19">
        <v>178.79046096270477</v>
      </c>
      <c r="AX48" s="19">
        <v>180.94858891956298</v>
      </c>
      <c r="AY48" s="19">
        <v>180.94858891956298</v>
      </c>
      <c r="AZ48" s="85"/>
    </row>
    <row r="49" spans="2:52">
      <c r="B49" s="86" t="s">
        <v>202</v>
      </c>
      <c r="D49" s="48"/>
      <c r="E49" s="48"/>
      <c r="F49" s="48"/>
      <c r="G49" s="48">
        <f>+G48/G37</f>
        <v>0.32182996328061408</v>
      </c>
      <c r="H49" s="48">
        <f>+H48/H37</f>
        <v>0.32119041337931581</v>
      </c>
      <c r="I49" s="48">
        <f t="shared" ref="I49:N49" si="44">+I48/I37</f>
        <v>0.39317316257267992</v>
      </c>
      <c r="J49" s="48">
        <f t="shared" si="44"/>
        <v>0.3834415125029243</v>
      </c>
      <c r="K49" s="48">
        <f t="shared" si="44"/>
        <v>0.3986598817176451</v>
      </c>
      <c r="L49" s="48">
        <f t="shared" si="44"/>
        <v>0.39163603433090316</v>
      </c>
      <c r="M49" s="48">
        <f t="shared" si="44"/>
        <v>0.3752422358216253</v>
      </c>
      <c r="N49" s="48">
        <f t="shared" si="44"/>
        <v>0.35867120108790312</v>
      </c>
      <c r="T49" s="48">
        <f t="shared" ref="T49:AN49" si="45">+T48/T37</f>
        <v>0.28256284174001267</v>
      </c>
      <c r="U49" s="48">
        <f t="shared" si="45"/>
        <v>0.23561661752695978</v>
      </c>
      <c r="V49" s="48">
        <f t="shared" si="45"/>
        <v>0.3731378874478406</v>
      </c>
      <c r="W49" s="48">
        <f t="shared" si="45"/>
        <v>0.38929050789039249</v>
      </c>
      <c r="X49" s="48">
        <f t="shared" si="45"/>
        <v>0.32334170930515616</v>
      </c>
      <c r="Y49" s="48">
        <f t="shared" si="45"/>
        <v>0.31871101132414875</v>
      </c>
      <c r="Z49" s="48">
        <f t="shared" si="45"/>
        <v>0.32311658328857873</v>
      </c>
      <c r="AA49" s="24">
        <f t="shared" si="45"/>
        <v>0.3197349568883277</v>
      </c>
      <c r="AB49" s="48">
        <f t="shared" si="45"/>
        <v>0.38356079096152129</v>
      </c>
      <c r="AC49" s="48">
        <f t="shared" si="45"/>
        <v>0.40988285296535643</v>
      </c>
      <c r="AD49" s="48">
        <f t="shared" si="45"/>
        <v>0.39934970934634112</v>
      </c>
      <c r="AE49" s="48">
        <f t="shared" si="45"/>
        <v>0.38010034157194134</v>
      </c>
      <c r="AF49" s="48">
        <f t="shared" si="45"/>
        <v>0.38112159733119716</v>
      </c>
      <c r="AG49" s="48">
        <f t="shared" si="45"/>
        <v>0.38154136626754714</v>
      </c>
      <c r="AH49" s="48">
        <f t="shared" si="45"/>
        <v>0.38310622203955319</v>
      </c>
      <c r="AI49" s="48">
        <f t="shared" si="45"/>
        <v>0.3877800524194836</v>
      </c>
      <c r="AJ49" s="48">
        <f t="shared" si="45"/>
        <v>0.39426112624359733</v>
      </c>
      <c r="AK49" s="48">
        <f t="shared" si="45"/>
        <v>0.3992425418609985</v>
      </c>
      <c r="AL49" s="48">
        <f t="shared" si="45"/>
        <v>0.4013046975559047</v>
      </c>
      <c r="AM49" s="48">
        <f t="shared" si="45"/>
        <v>0.39964339017645178</v>
      </c>
      <c r="AN49" s="48">
        <f t="shared" si="45"/>
        <v>0.39719189787095688</v>
      </c>
      <c r="AO49" s="48">
        <f t="shared" ref="AO49:AY49" si="46">+AO48/AO37</f>
        <v>0.39387522630039601</v>
      </c>
      <c r="AP49" s="48">
        <f t="shared" si="46"/>
        <v>0.39004236437105094</v>
      </c>
      <c r="AQ49" s="48">
        <f t="shared" si="46"/>
        <v>0.38584594530257871</v>
      </c>
      <c r="AR49" s="48">
        <f t="shared" si="46"/>
        <v>0.38152174108685588</v>
      </c>
      <c r="AS49" s="48">
        <f t="shared" si="46"/>
        <v>0.37732820810425372</v>
      </c>
      <c r="AT49" s="48">
        <f t="shared" si="46"/>
        <v>0.37325851130007209</v>
      </c>
      <c r="AU49" s="48">
        <f t="shared" si="46"/>
        <v>0.36930354167534918</v>
      </c>
      <c r="AV49" s="48">
        <f t="shared" si="46"/>
        <v>0.3654528995363443</v>
      </c>
      <c r="AW49" s="48">
        <f t="shared" si="46"/>
        <v>0.36169553020359385</v>
      </c>
      <c r="AX49" s="48">
        <f t="shared" si="46"/>
        <v>0.3580201363270602</v>
      </c>
      <c r="AY49" s="48">
        <f t="shared" si="46"/>
        <v>0.35007141476707354</v>
      </c>
      <c r="AZ49" s="86"/>
    </row>
    <row r="50" spans="2:52">
      <c r="D50" s="6"/>
      <c r="E50" s="6"/>
      <c r="F50" s="6"/>
      <c r="G50" s="6"/>
      <c r="H50" s="6"/>
      <c r="I50" s="6"/>
      <c r="J50" s="6"/>
      <c r="K50" s="6"/>
      <c r="L50" s="6"/>
      <c r="M50" s="6"/>
      <c r="N50" s="6"/>
    </row>
    <row r="51" spans="2:52">
      <c r="B51" s="6" t="s">
        <v>249</v>
      </c>
      <c r="D51" s="6"/>
      <c r="E51" s="6"/>
      <c r="F51" s="6"/>
      <c r="G51" s="6"/>
      <c r="H51" s="6"/>
      <c r="I51" s="82">
        <f ca="1">IF(Case=$C32,BS!I$75,I51)</f>
        <v>381.29999999999995</v>
      </c>
      <c r="J51" s="82">
        <f ca="1">IF(Case=$C32,BS!J$75,J51)</f>
        <v>520.10000000000014</v>
      </c>
      <c r="K51" s="82">
        <f ca="1">IF(Case=$C32,BS!K$75,K51)</f>
        <v>635</v>
      </c>
      <c r="L51" s="82">
        <f ca="1">IF(Case=$C32,BS!L$75,L51)</f>
        <v>717.30809172483623</v>
      </c>
      <c r="M51" s="82">
        <f ca="1">IF(Case=$C32,BS!M$75,M51)</f>
        <v>693.76935644475975</v>
      </c>
      <c r="N51" s="82">
        <f ca="1">IF(Case=$C32,BS!N$75,N51)</f>
        <v>627.40853627633078</v>
      </c>
      <c r="AB51" s="82">
        <f ca="1">IF(Case=$C32,BS!AB$75,AB51)</f>
        <v>72.099999999999994</v>
      </c>
      <c r="AC51" s="82">
        <f ca="1">IF(Case=$C32,BS!AC$75,AC51)</f>
        <v>88.600000000000009</v>
      </c>
      <c r="AD51" s="82">
        <f ca="1">IF(Case=$C32,BS!AD$75,AD51)</f>
        <v>90.599999999999966</v>
      </c>
      <c r="AE51" s="82">
        <f ca="1">IF(Case=$C32,BS!AE$75,AE51)</f>
        <v>130</v>
      </c>
      <c r="AF51" s="82">
        <f ca="1">IF(Case=$C32,BS!AF$75,AF51)</f>
        <v>109.49999999999999</v>
      </c>
      <c r="AG51" s="82">
        <f ca="1">IF(Case=$C32,BS!AG$75,AG51)</f>
        <v>135.50000000000006</v>
      </c>
      <c r="AH51" s="82">
        <f ca="1">IF(Case=$C32,BS!AH$75,AH51)</f>
        <v>126.30000000000001</v>
      </c>
      <c r="AI51" s="82">
        <f ca="1">IF(Case=$C32,BS!AI$75,AI51)</f>
        <v>148.80000000000001</v>
      </c>
      <c r="AJ51" s="82">
        <f ca="1">IF(Case=$C32,BS!AJ$75,AJ51)</f>
        <v>167.4</v>
      </c>
      <c r="AK51" s="82">
        <f ca="1">IF(Case=$C32,BS!AK$75,AK51)</f>
        <v>170.19999999999996</v>
      </c>
      <c r="AL51" s="82">
        <f ca="1">IF(Case=$C32,BS!AL$75,AL51)</f>
        <v>135.90000000000009</v>
      </c>
      <c r="AM51" s="82">
        <f ca="1">IF(Case=$C32,BS!AM$75,AM51)</f>
        <v>161.5</v>
      </c>
      <c r="AN51" s="82">
        <f ca="1">IF(Case=$C32,BS!AN$75,AN51)</f>
        <v>193.4</v>
      </c>
      <c r="AO51" s="82">
        <f ca="1">IF(Case=$C32,BS!AO$75,AO51)</f>
        <v>193.4</v>
      </c>
      <c r="AP51" s="82">
        <f ca="1">IF(Case=$C32,BS!AP$75,AP51)</f>
        <v>162.25048461751618</v>
      </c>
      <c r="AQ51" s="82">
        <f ca="1">IF(Case=$C32,BS!AQ$75,AQ51)</f>
        <v>168.25760710732004</v>
      </c>
      <c r="AR51" s="82">
        <f ca="1">IF(Case=$C32,BS!AR$75,AR51)</f>
        <v>170.84675839304671</v>
      </c>
      <c r="AS51" s="82">
        <f ca="1">IF(Case=$C32,BS!AS$75,AS51)</f>
        <v>172.78710194297352</v>
      </c>
      <c r="AT51" s="82">
        <f ca="1">IF(Case=$C32,BS!AT$75,AT51)</f>
        <v>174.37037916394601</v>
      </c>
      <c r="AU51" s="82">
        <f ca="1">IF(Case=$C32,BS!AU$75,AU51)</f>
        <v>175.76511694479348</v>
      </c>
      <c r="AV51" s="82">
        <f ca="1">IF(Case=$C32,BS!AV$75,AV51)</f>
        <v>177.00030216993301</v>
      </c>
      <c r="AW51" s="82">
        <f ca="1">IF(Case=$C32,BS!AW$75,AW51)</f>
        <v>178.15163835743758</v>
      </c>
      <c r="AX51" s="82">
        <f ca="1">IF(Case=$C32,BS!AX$75,AX51)</f>
        <v>179.27106564267041</v>
      </c>
      <c r="AY51" s="82">
        <f ca="1">IF(Case=$C32,BS!AY$75,AY51)</f>
        <v>92.9855301062899</v>
      </c>
    </row>
    <row r="52" spans="2:52">
      <c r="D52" s="6"/>
      <c r="E52" s="6"/>
      <c r="F52" s="6"/>
      <c r="G52" s="6"/>
      <c r="H52" s="6"/>
      <c r="I52" s="6"/>
      <c r="J52" s="6"/>
      <c r="K52" s="6"/>
      <c r="L52" s="6"/>
      <c r="M52" s="6"/>
      <c r="N52" s="6"/>
    </row>
    <row r="53" spans="2:52">
      <c r="B53" s="6" t="s">
        <v>298</v>
      </c>
      <c r="D53" s="82"/>
      <c r="E53" s="82"/>
      <c r="F53" s="82"/>
      <c r="G53" s="82"/>
      <c r="H53" s="82"/>
      <c r="I53" s="82">
        <f ca="1">IF(Case=$C32,CF!I$65,I53)</f>
        <v>401.30000000000018</v>
      </c>
      <c r="J53" s="82">
        <f ca="1">IF(Case=$C32,CF!J$65,J53)</f>
        <v>414.79999999999984</v>
      </c>
      <c r="K53" s="82">
        <f ca="1">IF(Case=$C32,CF!K$65,K53)</f>
        <v>481.80000000000018</v>
      </c>
      <c r="L53" s="82">
        <f ca="1">IF(Case=$C32,CF!L$65,L53)</f>
        <v>607.23912185510517</v>
      </c>
      <c r="M53" s="82">
        <f ca="1">IF(Case=$C32,CF!M$65,M53)</f>
        <v>733.61505163553602</v>
      </c>
      <c r="N53" s="82">
        <f ca="1">IF(Case=$C32,CF!N$65,N53)</f>
        <v>906.5111357603123</v>
      </c>
      <c r="O53" s="2">
        <f ca="1">(M53/J53)^(1/3)-1</f>
        <v>0.20932536430388438</v>
      </c>
      <c r="T53" s="82"/>
      <c r="U53" s="82"/>
      <c r="V53" s="82"/>
      <c r="W53" s="82"/>
      <c r="X53" s="82"/>
      <c r="Y53" s="82"/>
      <c r="Z53" s="82"/>
      <c r="AA53" s="88"/>
      <c r="AB53" s="82">
        <f ca="1">IF(Case=$C32,CF!AB$65,AB53)</f>
        <v>110.89999999999998</v>
      </c>
      <c r="AC53" s="82">
        <f ca="1">IF(Case=$C32,CF!AC$65,AC53)</f>
        <v>101.10000000000001</v>
      </c>
      <c r="AD53" s="82">
        <f ca="1">IF(Case=$C32,CF!AD$65,AD53)</f>
        <v>108.40000000000003</v>
      </c>
      <c r="AE53" s="82">
        <f ca="1">IF(Case=$C32,CF!AE$65,AE53)</f>
        <v>80.900000000000034</v>
      </c>
      <c r="AF53" s="82">
        <f ca="1">IF(Case=$C32,CF!AF$65,AF53)</f>
        <v>105.89999999999999</v>
      </c>
      <c r="AG53" s="82">
        <f ca="1">IF(Case=$C32,CF!AG$65,AG53)</f>
        <v>83.4</v>
      </c>
      <c r="AH53" s="82">
        <f ca="1">IF(Case=$C32,CF!AH$65,AH53)</f>
        <v>116.49999999999994</v>
      </c>
      <c r="AI53" s="82">
        <f ca="1">IF(Case=$C32,CF!AI$65,AI53)</f>
        <v>108.99999999999994</v>
      </c>
      <c r="AJ53" s="82">
        <f ca="1">IF(Case=$C32,CF!AJ$65,AJ53)</f>
        <v>93.200000000000017</v>
      </c>
      <c r="AK53" s="82">
        <f ca="1">IF(Case=$C32,CF!AK$65,AK53)</f>
        <v>93.19999999999996</v>
      </c>
      <c r="AL53" s="82">
        <f ca="1">IF(Case=$C32,CF!AL$65,AL53)</f>
        <v>146.09999999999997</v>
      </c>
      <c r="AM53" s="82">
        <f ca="1">IF(Case=$C32,CF!AM$65,AM53)</f>
        <v>149.30000000000007</v>
      </c>
      <c r="AN53" s="82">
        <f ca="1">IF(Case=$C32,CF!AN$65,AN53)</f>
        <v>123.20000000000002</v>
      </c>
      <c r="AO53" s="82">
        <f ca="1">IF(Case=$C32,CF!AO$65,AO53)</f>
        <v>136.49999999999991</v>
      </c>
      <c r="AP53" s="82">
        <f ca="1">IF(Case=$C32,CF!AP$65,AP53)</f>
        <v>173.96463677031403</v>
      </c>
      <c r="AQ53" s="82">
        <f ca="1">IF(Case=$C32,CF!AQ$65,AQ53)</f>
        <v>173.57448508479104</v>
      </c>
      <c r="AR53" s="82">
        <f ca="1">IF(Case=$C32,CF!AR$65,AR53)</f>
        <v>176.76655071671675</v>
      </c>
      <c r="AS53" s="82">
        <f ca="1">IF(Case=$C32,CF!AS$65,AS53)</f>
        <v>180.83438702031552</v>
      </c>
      <c r="AT53" s="82">
        <f ca="1">IF(Case=$C32,CF!AT$65,AT53)</f>
        <v>185.48392233657594</v>
      </c>
      <c r="AU53" s="82">
        <f ca="1">IF(Case=$C32,CF!AU$65,AU53)</f>
        <v>190.53019156192795</v>
      </c>
      <c r="AV53" s="82">
        <f ca="1">IF(Case=$C32,CF!AV$65,AV53)</f>
        <v>195.95634198722004</v>
      </c>
      <c r="AW53" s="82">
        <f ca="1">IF(Case=$C32,CF!AW$65,AW53)</f>
        <v>201.69359634393439</v>
      </c>
      <c r="AX53" s="82">
        <f ca="1">IF(Case=$C32,CF!AX$65,AX53)</f>
        <v>207.69353937013562</v>
      </c>
      <c r="AY53" s="82">
        <f ca="1">IF(Case=$C32,CF!AY$65,AY53)</f>
        <v>301.16765814590309</v>
      </c>
    </row>
    <row r="54" spans="2:52">
      <c r="B54" s="85"/>
      <c r="D54" s="18"/>
      <c r="E54" s="18"/>
      <c r="F54" s="18"/>
      <c r="G54" s="18"/>
      <c r="H54" s="18"/>
      <c r="I54" s="18"/>
      <c r="J54" s="18"/>
      <c r="K54" s="18"/>
      <c r="L54" s="18"/>
      <c r="M54" s="18"/>
      <c r="N54" s="18"/>
      <c r="T54" s="19"/>
      <c r="U54" s="19"/>
      <c r="V54" s="19"/>
      <c r="W54" s="19"/>
      <c r="X54" s="19"/>
      <c r="Y54" s="19"/>
      <c r="Z54" s="110"/>
      <c r="AA54" s="20"/>
      <c r="AB54" s="19"/>
      <c r="AC54" s="19"/>
      <c r="AD54" s="19"/>
      <c r="AE54" s="19"/>
      <c r="AF54" s="19"/>
      <c r="AG54" s="19"/>
      <c r="AH54" s="19"/>
      <c r="AI54" s="19"/>
      <c r="AJ54" s="19"/>
      <c r="AK54" s="19"/>
      <c r="AL54" s="19"/>
      <c r="AM54" s="19"/>
      <c r="AN54" s="19"/>
      <c r="AO54" s="19"/>
      <c r="AP54" s="19"/>
      <c r="AQ54" s="19"/>
      <c r="AR54" s="19"/>
      <c r="AS54" s="19"/>
      <c r="AT54" s="19"/>
      <c r="AU54" s="19"/>
      <c r="AV54" s="19"/>
      <c r="AW54" s="19"/>
      <c r="AX54" s="19"/>
      <c r="AY54" s="19"/>
      <c r="AZ54" s="85"/>
    </row>
    <row r="55" spans="2:52">
      <c r="D55" s="6"/>
      <c r="E55" s="6"/>
      <c r="F55" s="6"/>
      <c r="G55" s="6"/>
      <c r="H55" s="6"/>
      <c r="I55" s="6"/>
      <c r="J55" s="6"/>
      <c r="K55" s="6"/>
      <c r="L55" s="6"/>
      <c r="M55" s="6"/>
      <c r="N55" s="6"/>
    </row>
    <row r="56" spans="2:52" s="79" customFormat="1">
      <c r="B56" s="79" t="s">
        <v>248</v>
      </c>
      <c r="C56" s="99">
        <v>3</v>
      </c>
      <c r="D56" s="104">
        <f>D3</f>
        <v>2010</v>
      </c>
      <c r="E56" s="104">
        <f>E3</f>
        <v>2011</v>
      </c>
      <c r="F56" s="104">
        <f>F3</f>
        <v>2012</v>
      </c>
      <c r="G56" s="104">
        <f t="shared" ref="G56:N56" si="47">G3</f>
        <v>2013</v>
      </c>
      <c r="H56" s="104">
        <f t="shared" si="47"/>
        <v>2014</v>
      </c>
      <c r="I56" s="104">
        <f t="shared" si="47"/>
        <v>2015</v>
      </c>
      <c r="J56" s="104">
        <f t="shared" si="47"/>
        <v>2016</v>
      </c>
      <c r="K56" s="104">
        <f t="shared" si="47"/>
        <v>2017</v>
      </c>
      <c r="L56" s="104" t="str">
        <f t="shared" si="47"/>
        <v>2018E</v>
      </c>
      <c r="M56" s="104" t="str">
        <f t="shared" si="47"/>
        <v>2019E</v>
      </c>
      <c r="N56" s="104" t="str">
        <f t="shared" si="47"/>
        <v>2020E</v>
      </c>
      <c r="O56" s="99"/>
      <c r="T56" s="89" t="str">
        <f t="shared" ref="T56:AO56" si="48">T3</f>
        <v>1Q13</v>
      </c>
      <c r="U56" s="89" t="str">
        <f t="shared" si="48"/>
        <v>2Q13</v>
      </c>
      <c r="V56" s="89" t="str">
        <f t="shared" si="48"/>
        <v>3Q13</v>
      </c>
      <c r="W56" s="89" t="str">
        <f t="shared" si="48"/>
        <v>4Q13</v>
      </c>
      <c r="X56" s="89" t="str">
        <f t="shared" si="48"/>
        <v>1Q14</v>
      </c>
      <c r="Y56" s="89" t="str">
        <f t="shared" si="48"/>
        <v>2Q14</v>
      </c>
      <c r="Z56" s="89" t="str">
        <f t="shared" si="48"/>
        <v>3Q14</v>
      </c>
      <c r="AA56" s="90" t="str">
        <f t="shared" si="48"/>
        <v>4Q14</v>
      </c>
      <c r="AB56" s="89" t="str">
        <f t="shared" si="48"/>
        <v>1Q15</v>
      </c>
      <c r="AC56" s="89" t="str">
        <f t="shared" si="48"/>
        <v>2Q15</v>
      </c>
      <c r="AD56" s="89" t="str">
        <f t="shared" si="48"/>
        <v>3Q15</v>
      </c>
      <c r="AE56" s="89" t="str">
        <f t="shared" si="48"/>
        <v>4Q15</v>
      </c>
      <c r="AF56" s="89" t="str">
        <f t="shared" si="48"/>
        <v>1Q16</v>
      </c>
      <c r="AG56" s="89" t="str">
        <f t="shared" si="48"/>
        <v>2Q16</v>
      </c>
      <c r="AH56" s="89" t="str">
        <f t="shared" si="48"/>
        <v>3Q16</v>
      </c>
      <c r="AI56" s="89" t="str">
        <f t="shared" si="48"/>
        <v>4Q16</v>
      </c>
      <c r="AJ56" s="89" t="str">
        <f t="shared" si="48"/>
        <v>1Q17</v>
      </c>
      <c r="AK56" s="89" t="str">
        <f t="shared" si="48"/>
        <v>2Q17</v>
      </c>
      <c r="AL56" s="89" t="str">
        <f t="shared" si="48"/>
        <v>3Q17</v>
      </c>
      <c r="AM56" s="89" t="str">
        <f t="shared" si="48"/>
        <v>4Q17</v>
      </c>
      <c r="AN56" s="89" t="str">
        <f t="shared" si="48"/>
        <v>1Q18</v>
      </c>
      <c r="AO56" s="89" t="str">
        <f t="shared" si="48"/>
        <v>2Q18</v>
      </c>
      <c r="AP56" s="89" t="str">
        <f t="shared" ref="AP56:AY56" si="49">AP3</f>
        <v>3Q18E</v>
      </c>
      <c r="AQ56" s="89" t="str">
        <f t="shared" si="49"/>
        <v>4Q18E</v>
      </c>
      <c r="AR56" s="89" t="str">
        <f t="shared" si="49"/>
        <v>1Q19E</v>
      </c>
      <c r="AS56" s="89" t="str">
        <f t="shared" si="49"/>
        <v>2Q19E</v>
      </c>
      <c r="AT56" s="89" t="str">
        <f t="shared" si="49"/>
        <v>3Q19E</v>
      </c>
      <c r="AU56" s="89" t="str">
        <f t="shared" si="49"/>
        <v>4Q19E</v>
      </c>
      <c r="AV56" s="89" t="str">
        <f t="shared" si="49"/>
        <v>1Q20E</v>
      </c>
      <c r="AW56" s="89" t="str">
        <f t="shared" si="49"/>
        <v>2Q20E</v>
      </c>
      <c r="AX56" s="89" t="str">
        <f t="shared" si="49"/>
        <v>3Q20E</v>
      </c>
      <c r="AY56" s="89" t="str">
        <f t="shared" si="49"/>
        <v>4Q20E</v>
      </c>
    </row>
    <row r="57" spans="2:52" s="81" customFormat="1">
      <c r="C57" s="98"/>
      <c r="O57" s="98"/>
      <c r="AA57" s="8"/>
    </row>
    <row r="58" spans="2:52">
      <c r="B58" s="6" t="s">
        <v>31</v>
      </c>
      <c r="D58" s="82">
        <f ca="1">IF(Case=$C56,IS!D$5,D58)</f>
        <v>197.88900000000001</v>
      </c>
      <c r="E58" s="82">
        <f ca="1">IF(Case=$C56,IS!E$5,E58)</f>
        <v>282.14299999999997</v>
      </c>
      <c r="F58" s="82">
        <f ca="1">IF(Case=$C56,IS!F$5,F58)</f>
        <v>375.52600000000001</v>
      </c>
      <c r="G58" s="82">
        <f ca="1">IF(Case=$C56,IS!G$5,G58)</f>
        <v>1004.36266631321</v>
      </c>
      <c r="H58" s="82">
        <f ca="1">IF(Case=$C56,IS!H$5,H58)</f>
        <v>1123.1872215806145</v>
      </c>
      <c r="I58" s="82">
        <f ca="1">IF(Case=$C56,IS!I$5,I58)</f>
        <v>1347.1</v>
      </c>
      <c r="J58" s="82">
        <f ca="1">IF(Case=$C56,IS!J$5,J58)</f>
        <v>1721.7</v>
      </c>
      <c r="K58" s="82">
        <f ca="1">IF(Case=$C56,IS!K$5,K58)</f>
        <v>2199.8000000000002</v>
      </c>
      <c r="L58" s="82">
        <f ca="1">IF(Case=$C56,IS!L$5,L58)</f>
        <v>2595.4438497391252</v>
      </c>
      <c r="M58" s="82">
        <f ca="1">IF(Case=$C56,IS!M$5,M58)</f>
        <v>2629.0104817397696</v>
      </c>
      <c r="N58" s="82">
        <f ca="1">IF(Case=$C56,IS!N$5,N58)</f>
        <v>2697.6713597097023</v>
      </c>
      <c r="O58" s="2">
        <f ca="1">(M58/J58)^(1/3)-1</f>
        <v>0.15153801435695291</v>
      </c>
      <c r="T58" s="82">
        <f ca="1">IF(Case=$C56,IS!T$5,T58)</f>
        <v>236.00767747572064</v>
      </c>
      <c r="U58" s="82">
        <f ca="1">IF(Case=$C56,IS!U$5,U58)</f>
        <v>250.02480987258627</v>
      </c>
      <c r="V58" s="82">
        <f ca="1">IF(Case=$C56,IS!V$5,V58)</f>
        <v>256.55395289598329</v>
      </c>
      <c r="W58" s="82">
        <f ca="1">IF(Case=$C56,IS!W$5,W58)</f>
        <v>261.77622606891981</v>
      </c>
      <c r="X58" s="82">
        <f ca="1">IF(Case=$C56,IS!X$5,X58)</f>
        <v>268.05077825707741</v>
      </c>
      <c r="Y58" s="82">
        <f ca="1">IF(Case=$C56,IS!Y$5,Y58)</f>
        <v>276.97613063680853</v>
      </c>
      <c r="Z58" s="82">
        <f ca="1">IF(Case=$C56,IS!Z$5,Z58)</f>
        <v>281.3929475507324</v>
      </c>
      <c r="AA58" s="88">
        <f ca="1">IF(Case=$C56,IS!AA$5,AA58)</f>
        <v>296.76736513599604</v>
      </c>
      <c r="AB58" s="82">
        <f ca="1">IF(Case=$C56,IS!AB$5,AB58)</f>
        <v>320.60000000000002</v>
      </c>
      <c r="AC58" s="82">
        <f ca="1">IF(Case=$C56,IS!AC$5,AC58)</f>
        <v>323.89999999999998</v>
      </c>
      <c r="AD58" s="82">
        <f ca="1">IF(Case=$C56,IS!AD$5,AD58)</f>
        <v>340.7</v>
      </c>
      <c r="AE58" s="82">
        <f ca="1">IF(Case=$C56,IS!AE$5,AE58)</f>
        <v>361.9</v>
      </c>
      <c r="AF58" s="82">
        <f ca="1">IF(Case=$C56,IS!AF$5,AF58)</f>
        <v>366.8</v>
      </c>
      <c r="AG58" s="82">
        <f ca="1">IF(Case=$C56,IS!AG$5,AG58)</f>
        <v>369.6</v>
      </c>
      <c r="AH58" s="82">
        <f ca="1">IF(Case=$C56,IS!AH$5,AH58)</f>
        <v>478</v>
      </c>
      <c r="AI58" s="82">
        <f ca="1">IF(Case=$C56,IS!AI$5,AI58)</f>
        <v>507.3</v>
      </c>
      <c r="AJ58" s="82">
        <f ca="1">IF(Case=$C56,IS!AJ$5,AJ58)</f>
        <v>504.9</v>
      </c>
      <c r="AK58" s="82">
        <f ca="1">IF(Case=$C56,IS!AK$5,AK58)</f>
        <v>506.7</v>
      </c>
      <c r="AL58" s="82">
        <f ca="1">IF(Case=$C56,IS!AL$5,AL58)</f>
        <v>550.20000000000005</v>
      </c>
      <c r="AM58" s="82">
        <f ca="1">IF(Case=$C56,IS!AM$5,AM58)</f>
        <v>638</v>
      </c>
      <c r="AN58" s="82">
        <f ca="1">IF(Case=$C56,IS!AN$5,AN58)</f>
        <v>643.5</v>
      </c>
      <c r="AO58" s="82">
        <f ca="1">IF(Case=$C56,IS!AO$5,AO58)</f>
        <v>653.5</v>
      </c>
      <c r="AP58" s="82">
        <f ca="1">IF(Case=$C56,IS!AP$5,AP58)</f>
        <v>648.62450451911491</v>
      </c>
      <c r="AQ58" s="82">
        <f ca="1">IF(Case=$C56,IS!AQ$5,AQ58)</f>
        <v>649.81934522001018</v>
      </c>
      <c r="AR58" s="82">
        <f ca="1">IF(Case=$C56,IS!AR$5,AR58)</f>
        <v>652.08353247933871</v>
      </c>
      <c r="AS58" s="82">
        <f ca="1">IF(Case=$C56,IS!AS$5,AS58)</f>
        <v>655.17095482828495</v>
      </c>
      <c r="AT58" s="82">
        <f ca="1">IF(Case=$C56,IS!AT$5,AT58)</f>
        <v>658.8431351028762</v>
      </c>
      <c r="AU58" s="82">
        <f ca="1">IF(Case=$C56,IS!AU$5,AU58)</f>
        <v>662.91285932926985</v>
      </c>
      <c r="AV58" s="82">
        <f ca="1">IF(Case=$C56,IS!AV$5,AV58)</f>
        <v>667.29410884567289</v>
      </c>
      <c r="AW58" s="82">
        <f ca="1">IF(Case=$C56,IS!AW$5,AW58)</f>
        <v>671.92114088947903</v>
      </c>
      <c r="AX58" s="82">
        <f ca="1">IF(Case=$C56,IS!AX$5,AX58)</f>
        <v>676.74196327779418</v>
      </c>
      <c r="AY58" s="82">
        <f ca="1">IF(Case=$C56,IS!AY$5,AY58)</f>
        <v>681.71414669675619</v>
      </c>
    </row>
    <row r="59" spans="2:52">
      <c r="B59" s="6" t="s">
        <v>36</v>
      </c>
      <c r="D59" s="48"/>
      <c r="E59" s="48"/>
      <c r="F59" s="48"/>
      <c r="G59" s="48"/>
      <c r="H59" s="48">
        <f t="shared" ref="H59:N59" ca="1" si="50">+H58/G58-1</f>
        <v>0.118308415130147</v>
      </c>
      <c r="I59" s="48">
        <f t="shared" ca="1" si="50"/>
        <v>0.1993548129084679</v>
      </c>
      <c r="J59" s="48">
        <f t="shared" ca="1" si="50"/>
        <v>0.27807883601811301</v>
      </c>
      <c r="K59" s="48">
        <f t="shared" ca="1" si="50"/>
        <v>0.27769065458558417</v>
      </c>
      <c r="L59" s="48">
        <f t="shared" ca="1" si="50"/>
        <v>0.17985446392359528</v>
      </c>
      <c r="M59" s="48">
        <f t="shared" ca="1" si="50"/>
        <v>1.2932906255713528E-2</v>
      </c>
      <c r="N59" s="48">
        <f t="shared" ca="1" si="50"/>
        <v>2.6116623895883428E-2</v>
      </c>
      <c r="T59" s="48"/>
      <c r="U59" s="48"/>
      <c r="V59" s="48"/>
      <c r="W59" s="48"/>
      <c r="X59" s="48">
        <f t="shared" ref="X59:AY59" ca="1" si="51">+X58/T58-1</f>
        <v>0.13577143389605717</v>
      </c>
      <c r="Y59" s="48">
        <f t="shared" ca="1" si="51"/>
        <v>0.10779458557715449</v>
      </c>
      <c r="Z59" s="48">
        <f t="shared" ca="1" si="51"/>
        <v>9.6817820869124604E-2</v>
      </c>
      <c r="AA59" s="24">
        <f t="shared" ca="1" si="51"/>
        <v>0.13366813171897385</v>
      </c>
      <c r="AB59" s="48">
        <f t="shared" ca="1" si="51"/>
        <v>0.19604204130504188</v>
      </c>
      <c r="AC59" s="48">
        <f t="shared" ca="1" si="51"/>
        <v>0.16941484905326187</v>
      </c>
      <c r="AD59" s="48">
        <f t="shared" ca="1" si="51"/>
        <v>0.21076239815347586</v>
      </c>
      <c r="AE59" s="48">
        <f t="shared" ca="1" si="51"/>
        <v>0.21947371077731659</v>
      </c>
      <c r="AF59" s="48">
        <f t="shared" ca="1" si="51"/>
        <v>0.14410480349344978</v>
      </c>
      <c r="AG59" s="48">
        <f t="shared" ca="1" si="51"/>
        <v>0.14109292991664102</v>
      </c>
      <c r="AH59" s="48">
        <f t="shared" ca="1" si="51"/>
        <v>0.40299383621954799</v>
      </c>
      <c r="AI59" s="48">
        <f t="shared" ca="1" si="51"/>
        <v>0.40176844432163583</v>
      </c>
      <c r="AJ59" s="48">
        <f t="shared" ca="1" si="51"/>
        <v>0.37649945474372948</v>
      </c>
      <c r="AK59" s="48">
        <f t="shared" ca="1" si="51"/>
        <v>0.37094155844155829</v>
      </c>
      <c r="AL59" s="48">
        <f t="shared" ca="1" si="51"/>
        <v>0.15104602510460263</v>
      </c>
      <c r="AM59" s="48">
        <f t="shared" ca="1" si="51"/>
        <v>0.257638478218017</v>
      </c>
      <c r="AN59" s="48">
        <f t="shared" ca="1" si="51"/>
        <v>0.27450980392156876</v>
      </c>
      <c r="AO59" s="48">
        <f t="shared" ca="1" si="51"/>
        <v>0.2897177817248866</v>
      </c>
      <c r="AP59" s="48">
        <f t="shared" ca="1" si="51"/>
        <v>0.17888859418232439</v>
      </c>
      <c r="AQ59" s="48">
        <f t="shared" ca="1" si="51"/>
        <v>1.8525619467100629E-2</v>
      </c>
      <c r="AR59" s="48">
        <f t="shared" ca="1" si="51"/>
        <v>1.3338822811715279E-2</v>
      </c>
      <c r="AS59" s="48">
        <f t="shared" ca="1" si="51"/>
        <v>2.5569316423641464E-3</v>
      </c>
      <c r="AT59" s="48">
        <f t="shared" ca="1" si="51"/>
        <v>1.575430855998472E-2</v>
      </c>
      <c r="AU59" s="48">
        <f t="shared" ca="1" si="51"/>
        <v>2.0149468010723259E-2</v>
      </c>
      <c r="AV59" s="48">
        <f t="shared" ca="1" si="51"/>
        <v>2.3326116377300421E-2</v>
      </c>
      <c r="AW59" s="48">
        <f t="shared" ca="1" si="51"/>
        <v>2.5566130393530839E-2</v>
      </c>
      <c r="AX59" s="48">
        <f t="shared" ca="1" si="51"/>
        <v>2.7167055739486745E-2</v>
      </c>
      <c r="AY59" s="48">
        <f t="shared" ca="1" si="51"/>
        <v>2.8361627177528881E-2</v>
      </c>
    </row>
    <row r="60" spans="2:52">
      <c r="B60" s="6" t="s">
        <v>37</v>
      </c>
      <c r="D60" s="48"/>
      <c r="E60" s="48"/>
      <c r="F60" s="48"/>
      <c r="G60" s="48"/>
      <c r="H60" s="48"/>
      <c r="I60" s="48"/>
      <c r="J60" s="48"/>
      <c r="K60" s="48"/>
      <c r="L60" s="48"/>
      <c r="M60" s="48"/>
      <c r="N60" s="48"/>
      <c r="T60" s="48"/>
      <c r="U60" s="48">
        <f ca="1">+U58/T58-1</f>
        <v>5.939269665626723E-2</v>
      </c>
      <c r="V60" s="48">
        <f t="shared" ref="V60:AO60" ca="1" si="52">+V58/U58-1</f>
        <v>2.6113980555466876E-2</v>
      </c>
      <c r="W60" s="48">
        <f t="shared" ca="1" si="52"/>
        <v>2.0355457844198011E-2</v>
      </c>
      <c r="X60" s="48">
        <f t="shared" ca="1" si="52"/>
        <v>2.3969144495595396E-2</v>
      </c>
      <c r="Y60" s="48">
        <f t="shared" ca="1" si="52"/>
        <v>3.329724478983298E-2</v>
      </c>
      <c r="Z60" s="48">
        <f t="shared" ca="1" si="52"/>
        <v>1.5946561545823412E-2</v>
      </c>
      <c r="AA60" s="24">
        <f t="shared" ca="1" si="52"/>
        <v>5.4636826256961424E-2</v>
      </c>
      <c r="AB60" s="48">
        <f t="shared" ca="1" si="52"/>
        <v>8.0307465253406374E-2</v>
      </c>
      <c r="AC60" s="48">
        <f t="shared" ca="1" si="52"/>
        <v>1.0293200249531953E-2</v>
      </c>
      <c r="AD60" s="48">
        <f t="shared" ca="1" si="52"/>
        <v>5.1867860450756531E-2</v>
      </c>
      <c r="AE60" s="48">
        <f t="shared" ca="1" si="52"/>
        <v>6.2224831229821032E-2</v>
      </c>
      <c r="AF60" s="48">
        <f t="shared" ca="1" si="52"/>
        <v>1.3539651837524369E-2</v>
      </c>
      <c r="AG60" s="48">
        <f t="shared" ca="1" si="52"/>
        <v>7.6335877862596657E-3</v>
      </c>
      <c r="AH60" s="48">
        <f t="shared" ca="1" si="52"/>
        <v>0.29329004329004316</v>
      </c>
      <c r="AI60" s="48">
        <f t="shared" ca="1" si="52"/>
        <v>6.129707112970717E-2</v>
      </c>
      <c r="AJ60" s="48">
        <f t="shared" ca="1" si="52"/>
        <v>-4.7309284447073496E-3</v>
      </c>
      <c r="AK60" s="48">
        <f t="shared" ca="1" si="52"/>
        <v>3.5650623885918886E-3</v>
      </c>
      <c r="AL60" s="48">
        <f t="shared" ca="1" si="52"/>
        <v>8.5849615156897707E-2</v>
      </c>
      <c r="AM60" s="48">
        <f t="shared" ca="1" si="52"/>
        <v>0.15957833515085418</v>
      </c>
      <c r="AN60" s="48">
        <f t="shared" ca="1" si="52"/>
        <v>8.6206896551723755E-3</v>
      </c>
      <c r="AO60" s="48">
        <f t="shared" ca="1" si="52"/>
        <v>1.5540015540015606E-2</v>
      </c>
      <c r="AP60" s="48">
        <f t="shared" ref="AP60:AY60" ca="1" si="53">+AP58/AO58-1</f>
        <v>-7.4605898712855057E-3</v>
      </c>
      <c r="AQ60" s="48">
        <f t="shared" ca="1" si="53"/>
        <v>1.8421146481062411E-3</v>
      </c>
      <c r="AR60" s="48">
        <f t="shared" ca="1" si="53"/>
        <v>3.4843334166390072E-3</v>
      </c>
      <c r="AS60" s="48">
        <f t="shared" ca="1" si="53"/>
        <v>4.7347037536851211E-3</v>
      </c>
      <c r="AT60" s="48">
        <f t="shared" ca="1" si="53"/>
        <v>5.6049192161666817E-3</v>
      </c>
      <c r="AU60" s="48">
        <f t="shared" ca="1" si="53"/>
        <v>6.1770761651149808E-3</v>
      </c>
      <c r="AV60" s="48">
        <f t="shared" ca="1" si="53"/>
        <v>6.6090881399343271E-3</v>
      </c>
      <c r="AW60" s="48">
        <f t="shared" ca="1" si="53"/>
        <v>6.9340220188820467E-3</v>
      </c>
      <c r="AX60" s="48">
        <f t="shared" ca="1" si="53"/>
        <v>7.1746847880591602E-3</v>
      </c>
      <c r="AY60" s="48">
        <f t="shared" ca="1" si="53"/>
        <v>7.3472367442375397E-3</v>
      </c>
    </row>
    <row r="61" spans="2:52">
      <c r="B61" s="85" t="s">
        <v>201</v>
      </c>
      <c r="D61" s="18"/>
      <c r="E61" s="18"/>
      <c r="F61" s="18"/>
      <c r="G61" s="18">
        <f>+SUM(T61:W61)</f>
        <v>1004.36266631321</v>
      </c>
      <c r="H61" s="18">
        <f>+SUM(X61:AA61)</f>
        <v>1123.1872215806145</v>
      </c>
      <c r="I61" s="18">
        <f>+SUM(AB61:AE61)</f>
        <v>1315.3549686793588</v>
      </c>
      <c r="J61" s="18">
        <f>+SUM(AF61:AI61)</f>
        <v>1420.2180332242449</v>
      </c>
      <c r="K61" s="18">
        <f>+SUM(AJ61:AM61)</f>
        <v>1542.2692352220251</v>
      </c>
      <c r="L61" s="18">
        <f>+SUM(AN61:AQ61)</f>
        <v>1679.4368364284735</v>
      </c>
      <c r="M61" s="18">
        <f>+SUM(AR61:AU61)</f>
        <v>1832.0184240860021</v>
      </c>
      <c r="N61" s="18">
        <f>+SUM(AV61:AY61)</f>
        <v>2000.1601602864803</v>
      </c>
      <c r="T61" s="19">
        <v>236.00767747572064</v>
      </c>
      <c r="U61" s="19">
        <v>250.02480987258627</v>
      </c>
      <c r="V61" s="19">
        <v>256.55395289598329</v>
      </c>
      <c r="W61" s="19">
        <v>261.77622606891981</v>
      </c>
      <c r="X61" s="19">
        <v>268.05077825707741</v>
      </c>
      <c r="Y61" s="19">
        <v>276.97613063680853</v>
      </c>
      <c r="Z61" s="19">
        <v>281.3929475507324</v>
      </c>
      <c r="AA61" s="20">
        <v>296.76736513599604</v>
      </c>
      <c r="AB61" s="19">
        <v>319.75505220724489</v>
      </c>
      <c r="AC61" s="19">
        <v>325.78568207837179</v>
      </c>
      <c r="AD61" s="19">
        <v>331.76092686712764</v>
      </c>
      <c r="AE61" s="19">
        <v>338.05330752661445</v>
      </c>
      <c r="AF61" s="19">
        <v>344.56396630582566</v>
      </c>
      <c r="AG61" s="19">
        <v>351.39395548715783</v>
      </c>
      <c r="AH61" s="19">
        <v>358.41530233807362</v>
      </c>
      <c r="AI61" s="19">
        <v>365.84480909318762</v>
      </c>
      <c r="AJ61" s="19">
        <v>373.57969423604715</v>
      </c>
      <c r="AK61" s="19">
        <v>381.65958610449979</v>
      </c>
      <c r="AL61" s="19">
        <v>389.36640257075243</v>
      </c>
      <c r="AM61" s="19">
        <v>397.66355231072578</v>
      </c>
      <c r="AN61" s="19">
        <v>406.29617160803031</v>
      </c>
      <c r="AO61" s="19">
        <v>415.1909120423486</v>
      </c>
      <c r="AP61" s="19">
        <v>424.31110406479928</v>
      </c>
      <c r="AQ61" s="19">
        <v>433.63864871329525</v>
      </c>
      <c r="AR61" s="19">
        <v>443.16906941220935</v>
      </c>
      <c r="AS61" s="19">
        <v>452.90802930433392</v>
      </c>
      <c r="AT61" s="19">
        <v>462.869084585655</v>
      </c>
      <c r="AU61" s="19">
        <v>473.07224078380381</v>
      </c>
      <c r="AV61" s="19">
        <v>483.54304612302002</v>
      </c>
      <c r="AW61" s="19">
        <v>494.31205539660903</v>
      </c>
      <c r="AX61" s="19">
        <v>505.41455789587769</v>
      </c>
      <c r="AY61" s="19">
        <v>516.8905008709736</v>
      </c>
      <c r="AZ61" s="85"/>
    </row>
    <row r="62" spans="2:52">
      <c r="B62" s="86" t="s">
        <v>36</v>
      </c>
      <c r="D62" s="48"/>
      <c r="E62" s="48"/>
      <c r="F62" s="48"/>
      <c r="G62" s="48"/>
      <c r="H62" s="48">
        <f t="shared" ref="H62:N62" si="54">+H61/G61-1</f>
        <v>0.118308415130147</v>
      </c>
      <c r="I62" s="48">
        <f t="shared" si="54"/>
        <v>0.17109146490138527</v>
      </c>
      <c r="J62" s="48">
        <f t="shared" si="54"/>
        <v>7.9722255240477491E-2</v>
      </c>
      <c r="K62" s="48">
        <f t="shared" si="54"/>
        <v>8.5938355338788242E-2</v>
      </c>
      <c r="L62" s="48">
        <f t="shared" si="54"/>
        <v>8.8938816954811095E-2</v>
      </c>
      <c r="M62" s="48">
        <f t="shared" si="54"/>
        <v>9.0852828964983257E-2</v>
      </c>
      <c r="N62" s="48">
        <f t="shared" si="54"/>
        <v>9.1779500680712056E-2</v>
      </c>
      <c r="T62" s="48"/>
      <c r="U62" s="48"/>
      <c r="V62" s="48"/>
      <c r="W62" s="48"/>
      <c r="X62" s="48">
        <f t="shared" ref="X62:AY62" si="55">+X61/T61-1</f>
        <v>0.13577143389605717</v>
      </c>
      <c r="Y62" s="48">
        <f t="shared" si="55"/>
        <v>0.10779458557715449</v>
      </c>
      <c r="Z62" s="48">
        <f t="shared" si="55"/>
        <v>9.6817820869124604E-2</v>
      </c>
      <c r="AA62" s="24">
        <f t="shared" si="55"/>
        <v>0.13366813171897385</v>
      </c>
      <c r="AB62" s="48">
        <f t="shared" si="55"/>
        <v>0.19288984828307365</v>
      </c>
      <c r="AC62" s="48">
        <f t="shared" si="55"/>
        <v>0.17622295224264617</v>
      </c>
      <c r="AD62" s="48">
        <f t="shared" si="55"/>
        <v>0.17899517295938772</v>
      </c>
      <c r="AE62" s="48">
        <f t="shared" si="55"/>
        <v>0.13911887640239273</v>
      </c>
      <c r="AF62" s="48">
        <f t="shared" si="55"/>
        <v>7.758724663559402E-2</v>
      </c>
      <c r="AG62" s="48">
        <f t="shared" si="55"/>
        <v>7.8604661952656585E-2</v>
      </c>
      <c r="AH62" s="48">
        <f t="shared" si="55"/>
        <v>8.0342117809494962E-2</v>
      </c>
      <c r="AI62" s="48">
        <f t="shared" si="55"/>
        <v>8.2210411635700975E-2</v>
      </c>
      <c r="AJ62" s="48">
        <f t="shared" si="55"/>
        <v>8.4209989341914815E-2</v>
      </c>
      <c r="AK62" s="48">
        <f t="shared" si="55"/>
        <v>8.6130197018850163E-2</v>
      </c>
      <c r="AL62" s="48">
        <f t="shared" si="55"/>
        <v>8.6355409578702469E-2</v>
      </c>
      <c r="AM62" s="48">
        <f t="shared" si="55"/>
        <v>8.6973335213930358E-2</v>
      </c>
      <c r="AN62" s="48">
        <f t="shared" si="55"/>
        <v>8.7575630787125158E-2</v>
      </c>
      <c r="AO62" s="48">
        <f t="shared" si="55"/>
        <v>8.785663234636476E-2</v>
      </c>
      <c r="AP62" s="48">
        <f t="shared" si="55"/>
        <v>8.9747603448391944E-2</v>
      </c>
      <c r="AQ62" s="48">
        <f t="shared" si="55"/>
        <v>9.0466164659866344E-2</v>
      </c>
      <c r="AR62" s="48">
        <f t="shared" si="55"/>
        <v>9.0753741681208311E-2</v>
      </c>
      <c r="AS62" s="48">
        <f t="shared" si="55"/>
        <v>9.0842829570745076E-2</v>
      </c>
      <c r="AT62" s="48">
        <f t="shared" si="55"/>
        <v>9.0871957277288917E-2</v>
      </c>
      <c r="AU62" s="48">
        <f t="shared" si="55"/>
        <v>9.0936525578421135E-2</v>
      </c>
      <c r="AV62" s="48">
        <f t="shared" si="55"/>
        <v>9.110287584907506E-2</v>
      </c>
      <c r="AW62" s="48">
        <f t="shared" si="55"/>
        <v>9.1418176347793256E-2</v>
      </c>
      <c r="AX62" s="48">
        <f t="shared" si="55"/>
        <v>9.1916861002518724E-2</v>
      </c>
      <c r="AY62" s="48">
        <f t="shared" si="55"/>
        <v>9.2624881169459661E-2</v>
      </c>
      <c r="AZ62" s="86"/>
    </row>
    <row r="63" spans="2:52">
      <c r="B63" s="86" t="s">
        <v>37</v>
      </c>
      <c r="D63" s="48"/>
      <c r="E63" s="48"/>
      <c r="F63" s="48"/>
      <c r="G63" s="48"/>
      <c r="H63" s="48"/>
      <c r="I63" s="48"/>
      <c r="J63" s="48"/>
      <c r="K63" s="48"/>
      <c r="L63" s="48"/>
      <c r="M63" s="48"/>
      <c r="N63" s="48"/>
      <c r="T63" s="48"/>
      <c r="U63" s="48">
        <f>+U61/T61-1</f>
        <v>5.939269665626723E-2</v>
      </c>
      <c r="V63" s="48">
        <f t="shared" ref="V63:AO63" si="56">+V61/U61-1</f>
        <v>2.6113980555466876E-2</v>
      </c>
      <c r="W63" s="48">
        <f t="shared" si="56"/>
        <v>2.0355457844198011E-2</v>
      </c>
      <c r="X63" s="48">
        <f t="shared" si="56"/>
        <v>2.3969144495595396E-2</v>
      </c>
      <c r="Y63" s="48">
        <f t="shared" si="56"/>
        <v>3.329724478983298E-2</v>
      </c>
      <c r="Z63" s="48">
        <f t="shared" si="56"/>
        <v>1.5946561545823412E-2</v>
      </c>
      <c r="AA63" s="24">
        <f t="shared" si="56"/>
        <v>5.4636826256961424E-2</v>
      </c>
      <c r="AB63" s="48">
        <f t="shared" si="56"/>
        <v>7.7460293050465756E-2</v>
      </c>
      <c r="AC63" s="48">
        <f t="shared" si="56"/>
        <v>1.8860155076512175E-2</v>
      </c>
      <c r="AD63" s="48">
        <f t="shared" si="56"/>
        <v>1.8341029448060375E-2</v>
      </c>
      <c r="AE63" s="48">
        <f t="shared" si="56"/>
        <v>1.8966611646846987E-2</v>
      </c>
      <c r="AF63" s="48">
        <f t="shared" si="56"/>
        <v>1.9259266613442794E-2</v>
      </c>
      <c r="AG63" s="48">
        <f t="shared" si="56"/>
        <v>1.9822122593254665E-2</v>
      </c>
      <c r="AH63" s="48">
        <f t="shared" si="56"/>
        <v>1.9981410440545799E-2</v>
      </c>
      <c r="AI63" s="48">
        <f t="shared" si="56"/>
        <v>2.072876550372893E-2</v>
      </c>
      <c r="AJ63" s="48">
        <f t="shared" si="56"/>
        <v>2.1142530796136816E-2</v>
      </c>
      <c r="AK63" s="48">
        <f t="shared" si="56"/>
        <v>2.1628295095041716E-2</v>
      </c>
      <c r="AL63" s="48">
        <f t="shared" si="56"/>
        <v>2.0192906838562896E-2</v>
      </c>
      <c r="AM63" s="48">
        <f t="shared" si="56"/>
        <v>2.1309362300373724E-2</v>
      </c>
      <c r="AN63" s="48">
        <f t="shared" si="56"/>
        <v>2.1708349299659258E-2</v>
      </c>
      <c r="AO63" s="48">
        <f t="shared" si="56"/>
        <v>2.18922575595899E-2</v>
      </c>
      <c r="AP63" s="48">
        <f t="shared" ref="AP63:AY63" si="57">+AP61/AO61-1</f>
        <v>2.196626120159495E-2</v>
      </c>
      <c r="AQ63" s="48">
        <f t="shared" si="57"/>
        <v>2.1982796488567713E-2</v>
      </c>
      <c r="AR63" s="48">
        <f t="shared" si="57"/>
        <v>2.197779355505558E-2</v>
      </c>
      <c r="AS63" s="48">
        <f t="shared" si="57"/>
        <v>2.1975721150940597E-2</v>
      </c>
      <c r="AT63" s="48">
        <f t="shared" si="57"/>
        <v>2.1993549764664611E-2</v>
      </c>
      <c r="AU63" s="48">
        <f t="shared" si="57"/>
        <v>2.2043287266165779E-2</v>
      </c>
      <c r="AV63" s="48">
        <f t="shared" si="57"/>
        <v>2.2133628728389976E-2</v>
      </c>
      <c r="AW63" s="48">
        <f t="shared" si="57"/>
        <v>2.2271045690623437E-2</v>
      </c>
      <c r="AX63" s="48">
        <f t="shared" si="57"/>
        <v>2.2460513309473296E-2</v>
      </c>
      <c r="AY63" s="48">
        <f t="shared" si="57"/>
        <v>2.2706000046520458E-2</v>
      </c>
      <c r="AZ63" s="86"/>
    </row>
    <row r="64" spans="2:52">
      <c r="D64" s="6"/>
      <c r="E64" s="6"/>
      <c r="F64" s="6"/>
      <c r="G64" s="6"/>
      <c r="H64" s="6"/>
      <c r="I64" s="6"/>
      <c r="J64" s="6"/>
      <c r="K64" s="6"/>
      <c r="L64" s="6"/>
      <c r="M64" s="6"/>
      <c r="N64" s="6"/>
    </row>
    <row r="65" spans="2:52">
      <c r="B65" s="6" t="s">
        <v>69</v>
      </c>
      <c r="D65" s="82">
        <f ca="1">IF(Case=$C56,IS!D$51,D65)</f>
        <v>72.854000000000013</v>
      </c>
      <c r="E65" s="82">
        <f ca="1">IF(Case=$C56,IS!E$51,E65)</f>
        <v>123.48999999999997</v>
      </c>
      <c r="F65" s="82">
        <f ca="1">IF(Case=$C56,IS!F$51,F65)</f>
        <v>187.78599999999994</v>
      </c>
      <c r="G65" s="82">
        <f ca="1">IF(Case=$C56,IS!G$51,G65)</f>
        <v>554.42707600667359</v>
      </c>
      <c r="H65" s="82">
        <f ca="1">IF(Case=$C56,IS!H$51,H65)</f>
        <v>653.61018672880209</v>
      </c>
      <c r="I65" s="82">
        <f ca="1">IF(Case=$C56,IS!I$51,I65)</f>
        <v>782.60000000000014</v>
      </c>
      <c r="J65" s="82">
        <f ca="1">IF(Case=$C56,IS!J$51,J65)</f>
        <v>934.9</v>
      </c>
      <c r="K65" s="82">
        <f ca="1">IF(Case=$C56,IS!K$51,K65)</f>
        <v>1116.8000000000002</v>
      </c>
      <c r="L65" s="82">
        <f ca="1">IF(Case=$C56,IS!L$51,L65)</f>
        <v>1265.9530937082568</v>
      </c>
      <c r="M65" s="82">
        <f ca="1">IF(Case=$C56,IS!M$51,M65)</f>
        <v>1274.2100510081896</v>
      </c>
      <c r="N65" s="82">
        <f ca="1">IF(Case=$C56,IS!N$51,N65)</f>
        <v>1334.2380406624088</v>
      </c>
      <c r="O65" s="2">
        <f ca="1">(M65/J65)^(1/3)-1</f>
        <v>0.10872869820559927</v>
      </c>
      <c r="T65" s="82">
        <f ca="1">IF(Case=$C56,IS!T$51,T65)</f>
        <v>125.6178835624993</v>
      </c>
      <c r="U65" s="82">
        <f ca="1">IF(Case=$C56,IS!U$51,U65)</f>
        <v>139.37871740345793</v>
      </c>
      <c r="V65" s="82">
        <f ca="1">IF(Case=$C56,IS!V$51,V65)</f>
        <v>147.59169075010976</v>
      </c>
      <c r="W65" s="82">
        <f ca="1">IF(Case=$C56,IS!W$51,W65)</f>
        <v>141.83878429060655</v>
      </c>
      <c r="X65" s="82">
        <f ca="1">IF(Case=$C56,IS!X$51,X65)</f>
        <v>155.60177105606058</v>
      </c>
      <c r="Y65" s="82">
        <f ca="1">IF(Case=$C56,IS!Y$51,Y65)</f>
        <v>161.66567373765406</v>
      </c>
      <c r="Z65" s="82">
        <f ca="1">IF(Case=$C56,IS!Z$51,Z65)</f>
        <v>165.22903738364963</v>
      </c>
      <c r="AA65" s="88">
        <f ca="1">IF(Case=$C56,IS!AA$51,AA65)</f>
        <v>171.11370455143791</v>
      </c>
      <c r="AB65" s="82">
        <f ca="1">IF(Case=$C56,IS!AB$51,AB65)</f>
        <v>182.99999999999997</v>
      </c>
      <c r="AC65" s="82">
        <f ca="1">IF(Case=$C56,IS!AC$51,AC65)</f>
        <v>189.70000000000002</v>
      </c>
      <c r="AD65" s="82">
        <f ca="1">IF(Case=$C56,IS!AD$51,AD65)</f>
        <v>199</v>
      </c>
      <c r="AE65" s="82">
        <f ca="1">IF(Case=$C56,IS!AE$51,AE65)</f>
        <v>210.90000000000003</v>
      </c>
      <c r="AF65" s="82">
        <f ca="1">IF(Case=$C56,IS!AF$51,AF65)</f>
        <v>215.39999999999998</v>
      </c>
      <c r="AG65" s="82">
        <f ca="1">IF(Case=$C56,IS!AG$51,AG65)</f>
        <v>218.90000000000006</v>
      </c>
      <c r="AH65" s="82">
        <f ca="1">IF(Case=$C56,IS!AH$51,AH65)</f>
        <v>242.79999999999995</v>
      </c>
      <c r="AI65" s="82">
        <f ca="1">IF(Case=$C56,IS!AI$51,AI65)</f>
        <v>257.79999999999995</v>
      </c>
      <c r="AJ65" s="82">
        <f ca="1">IF(Case=$C56,IS!AJ$51,AJ65)</f>
        <v>260.60000000000002</v>
      </c>
      <c r="AK65" s="82">
        <f ca="1">IF(Case=$C56,IS!AK$51,AK65)</f>
        <v>263.39999999999992</v>
      </c>
      <c r="AL65" s="82">
        <f ca="1">IF(Case=$C56,IS!AL$51,AL65)</f>
        <v>282.00000000000006</v>
      </c>
      <c r="AM65" s="82">
        <f ca="1">IF(Case=$C56,IS!AM$51,AM65)</f>
        <v>310.80000000000007</v>
      </c>
      <c r="AN65" s="82">
        <f ca="1">IF(Case=$C56,IS!AN$51,AN65)</f>
        <v>316.60000000000002</v>
      </c>
      <c r="AO65" s="82">
        <f ca="1">IF(Case=$C56,IS!AO$51,AO65)</f>
        <v>329.89999999999992</v>
      </c>
      <c r="AP65" s="82">
        <f ca="1">IF(Case=$C56,IS!AP$51,AP65)</f>
        <v>308.61422022362717</v>
      </c>
      <c r="AQ65" s="82">
        <f ca="1">IF(Case=$C56,IS!AQ$51,AQ65)</f>
        <v>310.83887348462974</v>
      </c>
      <c r="AR65" s="82">
        <f ca="1">IF(Case=$C56,IS!AR$51,AR65)</f>
        <v>313.57526966325213</v>
      </c>
      <c r="AS65" s="82">
        <f ca="1">IF(Case=$C56,IS!AS$51,AS65)</f>
        <v>316.71308664830929</v>
      </c>
      <c r="AT65" s="82">
        <f ca="1">IF(Case=$C56,IS!AT$51,AT65)</f>
        <v>320.14309533470646</v>
      </c>
      <c r="AU65" s="82">
        <f ca="1">IF(Case=$C56,IS!AU$51,AU65)</f>
        <v>323.77859936192169</v>
      </c>
      <c r="AV65" s="82">
        <f ca="1">IF(Case=$C56,IS!AV$51,AV65)</f>
        <v>327.58045948684816</v>
      </c>
      <c r="AW65" s="82">
        <f ca="1">IF(Case=$C56,IS!AW$51,AW65)</f>
        <v>331.51858434464503</v>
      </c>
      <c r="AX65" s="82">
        <f ca="1">IF(Case=$C56,IS!AX$51,AX65)</f>
        <v>335.5689700160757</v>
      </c>
      <c r="AY65" s="82">
        <f ca="1">IF(Case=$C56,IS!AY$51,AY65)</f>
        <v>339.57002676281121</v>
      </c>
    </row>
    <row r="66" spans="2:52">
      <c r="B66" s="6" t="s">
        <v>203</v>
      </c>
      <c r="D66" s="48">
        <f ca="1">+D65/D58</f>
        <v>0.36815588537008126</v>
      </c>
      <c r="E66" s="48">
        <f ca="1">+E65/E58</f>
        <v>0.43768585433627621</v>
      </c>
      <c r="F66" s="48">
        <f ca="1">+F65/F58</f>
        <v>0.50006124742361369</v>
      </c>
      <c r="G66" s="48">
        <f ca="1">+G65/G58</f>
        <v>0.55201880217416988</v>
      </c>
      <c r="H66" s="48">
        <f ca="1">+H65/H58</f>
        <v>0.58192452172755649</v>
      </c>
      <c r="I66" s="48">
        <f t="shared" ref="I66:N66" ca="1" si="58">+I65/I58</f>
        <v>0.5809516739662981</v>
      </c>
      <c r="J66" s="48">
        <f t="shared" ca="1" si="58"/>
        <v>0.5430098158796538</v>
      </c>
      <c r="K66" s="48">
        <f t="shared" ca="1" si="58"/>
        <v>0.50768251659241759</v>
      </c>
      <c r="L66" s="48">
        <f t="shared" ca="1" si="58"/>
        <v>0.48775976942652838</v>
      </c>
      <c r="M66" s="48">
        <f t="shared" ca="1" si="58"/>
        <v>0.48467286831240414</v>
      </c>
      <c r="N66" s="48">
        <f t="shared" ca="1" si="58"/>
        <v>0.49458880002565875</v>
      </c>
      <c r="T66" s="48">
        <f t="shared" ref="T66:AN66" ca="1" si="59">+T65/T58</f>
        <v>0.53226185226716738</v>
      </c>
      <c r="U66" s="48">
        <f t="shared" ca="1" si="59"/>
        <v>0.55745954761243866</v>
      </c>
      <c r="V66" s="48">
        <f t="shared" ca="1" si="59"/>
        <v>0.57528519472841266</v>
      </c>
      <c r="W66" s="48">
        <f t="shared" ca="1" si="59"/>
        <v>0.54183218400155098</v>
      </c>
      <c r="X66" s="48">
        <f t="shared" ca="1" si="59"/>
        <v>0.58049363657071262</v>
      </c>
      <c r="Y66" s="48">
        <f t="shared" ca="1" si="59"/>
        <v>0.58368088746839331</v>
      </c>
      <c r="Z66" s="48">
        <f t="shared" ca="1" si="59"/>
        <v>0.58718258158854686</v>
      </c>
      <c r="AA66" s="24">
        <f t="shared" ca="1" si="59"/>
        <v>0.57659205375572098</v>
      </c>
      <c r="AB66" s="48">
        <f t="shared" ca="1" si="59"/>
        <v>0.57080474111041779</v>
      </c>
      <c r="AC66" s="48">
        <f t="shared" ca="1" si="59"/>
        <v>0.58567459092312446</v>
      </c>
      <c r="AD66" s="48">
        <f t="shared" ca="1" si="59"/>
        <v>0.58409157616671559</v>
      </c>
      <c r="AE66" s="48">
        <f t="shared" ca="1" si="59"/>
        <v>0.58275766786405092</v>
      </c>
      <c r="AF66" s="48">
        <f t="shared" ca="1" si="59"/>
        <v>0.5872410032715375</v>
      </c>
      <c r="AG66" s="48">
        <f t="shared" ca="1" si="59"/>
        <v>0.59226190476190488</v>
      </c>
      <c r="AH66" s="48">
        <f t="shared" ca="1" si="59"/>
        <v>0.50794979079497904</v>
      </c>
      <c r="AI66" s="48">
        <f t="shared" ca="1" si="59"/>
        <v>0.50818056376897291</v>
      </c>
      <c r="AJ66" s="48">
        <f t="shared" ca="1" si="59"/>
        <v>0.51614181025945738</v>
      </c>
      <c r="AK66" s="48">
        <f t="shared" ca="1" si="59"/>
        <v>0.51983422143280034</v>
      </c>
      <c r="AL66" s="48">
        <f t="shared" ca="1" si="59"/>
        <v>0.51254089422028359</v>
      </c>
      <c r="AM66" s="48">
        <f t="shared" ca="1" si="59"/>
        <v>0.4871473354231976</v>
      </c>
      <c r="AN66" s="48">
        <f t="shared" ca="1" si="59"/>
        <v>0.49199689199689201</v>
      </c>
      <c r="AO66" s="48">
        <f t="shared" ref="AO66:AY66" ca="1" si="60">+AO65/AO58</f>
        <v>0.50482019892884455</v>
      </c>
      <c r="AP66" s="48">
        <f t="shared" ca="1" si="60"/>
        <v>0.47579796642501399</v>
      </c>
      <c r="AQ66" s="48">
        <f t="shared" ca="1" si="60"/>
        <v>0.47834659859101092</v>
      </c>
      <c r="AR66" s="48">
        <f t="shared" ca="1" si="60"/>
        <v>0.48088205581727028</v>
      </c>
      <c r="AS66" s="48">
        <f t="shared" ca="1" si="60"/>
        <v>0.48340526135093587</v>
      </c>
      <c r="AT66" s="48">
        <f t="shared" ca="1" si="60"/>
        <v>0.48591702376122831</v>
      </c>
      <c r="AU66" s="48">
        <f t="shared" ca="1" si="60"/>
        <v>0.48841803987558546</v>
      </c>
      <c r="AV66" s="48">
        <f t="shared" ca="1" si="60"/>
        <v>0.49090866402749656</v>
      </c>
      <c r="AW66" s="48">
        <f t="shared" ca="1" si="60"/>
        <v>0.49338912585156308</v>
      </c>
      <c r="AX66" s="48">
        <f t="shared" ca="1" si="60"/>
        <v>0.49585955685494976</v>
      </c>
      <c r="AY66" s="48">
        <f t="shared" ca="1" si="60"/>
        <v>0.49811204360096784</v>
      </c>
    </row>
    <row r="67" spans="2:52">
      <c r="B67" s="85" t="s">
        <v>201</v>
      </c>
      <c r="D67" s="18"/>
      <c r="E67" s="18"/>
      <c r="F67" s="18"/>
      <c r="G67" s="18">
        <f>+SUM(T67:W67)</f>
        <v>554.42707600667347</v>
      </c>
      <c r="H67" s="18">
        <f>+SUM(X67:AA67)</f>
        <v>653.61018672880209</v>
      </c>
      <c r="I67" s="18">
        <f>+SUM(AB67:AE67)</f>
        <v>755.29519908051816</v>
      </c>
      <c r="J67" s="18">
        <f>+SUM(AF67:AI67)</f>
        <v>833.56110694208087</v>
      </c>
      <c r="K67" s="18">
        <f>+SUM(AJ67:AM67)</f>
        <v>919.62996880243179</v>
      </c>
      <c r="L67" s="18">
        <f>+SUM(AN67:AQ67)</f>
        <v>1012.4646824388119</v>
      </c>
      <c r="M67" s="18">
        <f>+SUM(AR67:AU67)</f>
        <v>1120.8728113007905</v>
      </c>
      <c r="N67" s="18">
        <f>+SUM(AV67:AY67)</f>
        <v>1247.1707407331546</v>
      </c>
      <c r="T67" s="19">
        <v>125.6178835624993</v>
      </c>
      <c r="U67" s="19">
        <v>139.37871740345793</v>
      </c>
      <c r="V67" s="19">
        <v>147.59169075010976</v>
      </c>
      <c r="W67" s="19">
        <v>141.8387842906065</v>
      </c>
      <c r="X67" s="19">
        <v>155.60177105606056</v>
      </c>
      <c r="Y67" s="19">
        <v>161.665673737654</v>
      </c>
      <c r="Z67" s="19">
        <v>165.22903738364963</v>
      </c>
      <c r="AA67" s="20">
        <v>171.11370455143788</v>
      </c>
      <c r="AB67" s="19">
        <v>181.374326063746</v>
      </c>
      <c r="AC67" s="19">
        <v>185.94861471488298</v>
      </c>
      <c r="AD67" s="19">
        <v>191.52585143603733</v>
      </c>
      <c r="AE67" s="19">
        <v>196.4464068658518</v>
      </c>
      <c r="AF67" s="19">
        <v>201.08281102719869</v>
      </c>
      <c r="AG67" s="19">
        <v>205.95069045090483</v>
      </c>
      <c r="AH67" s="19">
        <v>210.55745532438084</v>
      </c>
      <c r="AI67" s="19">
        <v>215.97015013959654</v>
      </c>
      <c r="AJ67" s="19">
        <v>221.29396997899585</v>
      </c>
      <c r="AK67" s="19">
        <v>227.6621050362476</v>
      </c>
      <c r="AL67" s="19">
        <v>232.59476372451638</v>
      </c>
      <c r="AM67" s="19">
        <v>238.07913006267202</v>
      </c>
      <c r="AN67" s="19">
        <v>243.73288893524733</v>
      </c>
      <c r="AO67" s="19">
        <v>249.76521937757843</v>
      </c>
      <c r="AP67" s="19">
        <v>256.17404618594469</v>
      </c>
      <c r="AQ67" s="19">
        <v>262.79252794004145</v>
      </c>
      <c r="AR67" s="19">
        <v>269.62074465713675</v>
      </c>
      <c r="AS67" s="19">
        <v>276.52797322790286</v>
      </c>
      <c r="AT67" s="19">
        <v>283.66676558994658</v>
      </c>
      <c r="AU67" s="19">
        <v>291.05732782580429</v>
      </c>
      <c r="AV67" s="19">
        <v>298.72432534755171</v>
      </c>
      <c r="AW67" s="19">
        <v>307.20977716194983</v>
      </c>
      <c r="AX67" s="19">
        <v>316.02612785391062</v>
      </c>
      <c r="AY67" s="19">
        <v>325.21051036974251</v>
      </c>
      <c r="AZ67" s="85"/>
    </row>
    <row r="68" spans="2:52">
      <c r="B68" s="86" t="s">
        <v>203</v>
      </c>
      <c r="D68" s="48"/>
      <c r="E68" s="48"/>
      <c r="F68" s="48"/>
      <c r="G68" s="48">
        <f>+G67/G61</f>
        <v>0.55201880217416976</v>
      </c>
      <c r="H68" s="48">
        <f>+H67/H61</f>
        <v>0.58192452172755649</v>
      </c>
      <c r="I68" s="48">
        <f t="shared" ref="I68:N68" si="61">+I67/I61</f>
        <v>0.57421397042263722</v>
      </c>
      <c r="J68" s="48">
        <f t="shared" si="61"/>
        <v>0.58692474496306157</v>
      </c>
      <c r="K68" s="48">
        <f t="shared" si="61"/>
        <v>0.59628367589789977</v>
      </c>
      <c r="L68" s="48">
        <f t="shared" si="61"/>
        <v>0.6028596375151215</v>
      </c>
      <c r="M68" s="48">
        <f t="shared" si="61"/>
        <v>0.61182398417199124</v>
      </c>
      <c r="N68" s="48">
        <f t="shared" si="61"/>
        <v>0.6235354375594222</v>
      </c>
      <c r="T68" s="48">
        <f t="shared" ref="T68:AN68" si="62">+T67/T61</f>
        <v>0.53226185226716738</v>
      </c>
      <c r="U68" s="48">
        <f t="shared" si="62"/>
        <v>0.55745954761243866</v>
      </c>
      <c r="V68" s="48">
        <f t="shared" si="62"/>
        <v>0.57528519472841266</v>
      </c>
      <c r="W68" s="48">
        <f t="shared" si="62"/>
        <v>0.54183218400155075</v>
      </c>
      <c r="X68" s="48">
        <f t="shared" si="62"/>
        <v>0.58049363657071251</v>
      </c>
      <c r="Y68" s="48">
        <f t="shared" si="62"/>
        <v>0.58368088746839319</v>
      </c>
      <c r="Z68" s="48">
        <f t="shared" si="62"/>
        <v>0.58718258158854686</v>
      </c>
      <c r="AA68" s="24">
        <f t="shared" si="62"/>
        <v>0.57659205375572087</v>
      </c>
      <c r="AB68" s="48">
        <f t="shared" si="62"/>
        <v>0.56722896108046694</v>
      </c>
      <c r="AC68" s="48">
        <f t="shared" si="62"/>
        <v>0.57076975737119939</v>
      </c>
      <c r="AD68" s="48">
        <f t="shared" si="62"/>
        <v>0.57730080888261037</v>
      </c>
      <c r="AE68" s="48">
        <f t="shared" si="62"/>
        <v>0.58111073754362208</v>
      </c>
      <c r="AF68" s="48">
        <f t="shared" si="62"/>
        <v>0.58358630237243969</v>
      </c>
      <c r="AG68" s="48">
        <f t="shared" si="62"/>
        <v>0.58609628092601496</v>
      </c>
      <c r="AH68" s="48">
        <f t="shared" si="62"/>
        <v>0.58746781722442609</v>
      </c>
      <c r="AI68" s="48">
        <f t="shared" si="62"/>
        <v>0.590332689631206</v>
      </c>
      <c r="AJ68" s="48">
        <f t="shared" si="62"/>
        <v>0.59236080920171952</v>
      </c>
      <c r="AK68" s="48">
        <f t="shared" si="62"/>
        <v>0.59650566453717446</v>
      </c>
      <c r="AL68" s="48">
        <f t="shared" si="62"/>
        <v>0.59736731826072542</v>
      </c>
      <c r="AM68" s="48">
        <f t="shared" si="62"/>
        <v>0.59869487328987614</v>
      </c>
      <c r="AN68" s="48">
        <f t="shared" si="62"/>
        <v>0.59988970107841899</v>
      </c>
      <c r="AO68" s="48">
        <f t="shared" ref="AO68:AY68" si="63">+AO67/AO61</f>
        <v>0.60156716376321573</v>
      </c>
      <c r="AP68" s="48">
        <f t="shared" si="63"/>
        <v>0.60374108462366027</v>
      </c>
      <c r="AQ68" s="48">
        <f t="shared" si="63"/>
        <v>0.606017311233228</v>
      </c>
      <c r="AR68" s="48">
        <f t="shared" si="63"/>
        <v>0.60839251488093282</v>
      </c>
      <c r="AS68" s="48">
        <f t="shared" si="63"/>
        <v>0.61056098663706504</v>
      </c>
      <c r="AT68" s="48">
        <f t="shared" si="63"/>
        <v>0.61284448462112273</v>
      </c>
      <c r="AU68" s="48">
        <f t="shared" si="63"/>
        <v>0.6152492214372367</v>
      </c>
      <c r="AV68" s="48">
        <f t="shared" si="63"/>
        <v>0.6177822796598591</v>
      </c>
      <c r="AW68" s="48">
        <f t="shared" si="63"/>
        <v>0.62148955059463695</v>
      </c>
      <c r="AX68" s="48">
        <f t="shared" si="63"/>
        <v>0.62528101519192159</v>
      </c>
      <c r="AY68" s="48">
        <f t="shared" si="63"/>
        <v>0.629167124994084</v>
      </c>
      <c r="AZ68" s="86"/>
    </row>
    <row r="69" spans="2:52">
      <c r="D69" s="6"/>
      <c r="E69" s="6"/>
      <c r="F69" s="6"/>
      <c r="G69" s="6"/>
      <c r="H69" s="6"/>
      <c r="I69" s="6"/>
      <c r="J69" s="6"/>
      <c r="K69" s="6"/>
      <c r="L69" s="6"/>
      <c r="M69" s="6"/>
      <c r="N69" s="6"/>
    </row>
    <row r="70" spans="2:52">
      <c r="B70" s="6" t="s">
        <v>251</v>
      </c>
      <c r="D70" s="82"/>
      <c r="E70" s="82"/>
      <c r="F70" s="82"/>
      <c r="G70" s="82">
        <f ca="1">IF(Case=$C56,BS!G$69,G70)</f>
        <v>323.23400002</v>
      </c>
      <c r="H70" s="82">
        <f ca="1">IF(Case=$C56,BS!H$69,H70)</f>
        <v>360.75700000000001</v>
      </c>
      <c r="I70" s="82">
        <f ca="1">IF(Case=$C56,BS!I$69,I70)</f>
        <v>530.4</v>
      </c>
      <c r="J70" s="82">
        <f ca="1">IF(Case=$C56,BS!J$69,J70)</f>
        <v>704.10000000000014</v>
      </c>
      <c r="K70" s="82">
        <f ca="1">IF(Case=$C56,BS!K$69,K70)</f>
        <v>835.5</v>
      </c>
      <c r="L70" s="82">
        <f ca="1">IF(Case=$C56,BS!L$69,L70)</f>
        <v>867.23617281048519</v>
      </c>
      <c r="M70" s="82">
        <f ca="1">IF(Case=$C56,BS!M$69,M70)</f>
        <v>999.02398306111252</v>
      </c>
      <c r="N70" s="82">
        <f ca="1">IF(Case=$C56,BS!N$69,N70)</f>
        <v>956.9437020200113</v>
      </c>
      <c r="T70" s="82">
        <f ca="1">IF(Case=$C56,BS!T$69,T70)</f>
        <v>66.687000019999999</v>
      </c>
      <c r="U70" s="82">
        <f ca="1">IF(Case=$C56,BS!U$69,U70)</f>
        <v>58.91</v>
      </c>
      <c r="V70" s="82">
        <f ca="1">IF(Case=$C56,BS!V$69,V70)</f>
        <v>95.73</v>
      </c>
      <c r="W70" s="82">
        <f ca="1">IF(Case=$C56,BS!W$69,W70)</f>
        <v>101.907</v>
      </c>
      <c r="X70" s="82">
        <f ca="1">IF(Case=$C56,BS!X$69,X70)</f>
        <v>86.671996482221047</v>
      </c>
      <c r="Y70" s="82">
        <f ca="1">IF(Case=$C56,BS!Y$69,Y70)</f>
        <v>88.276763707906341</v>
      </c>
      <c r="Z70" s="82">
        <f ca="1">IF(Case=$C56,BS!Z$69,Z70)</f>
        <v>90.922727784094747</v>
      </c>
      <c r="AA70" s="88">
        <f ca="1">IF(Case=$C56,BS!AA$69,AA70)</f>
        <v>94.885512025777871</v>
      </c>
      <c r="AB70" s="82">
        <f ca="1">IF(Case=$C56,BS!AB$69,AB70)</f>
        <v>115.3</v>
      </c>
      <c r="AC70" s="82">
        <f ca="1">IF(Case=$C56,BS!AC$69,AC70)</f>
        <v>129.5</v>
      </c>
      <c r="AD70" s="82">
        <f ca="1">IF(Case=$C56,BS!AD$69,AD70)</f>
        <v>130.09999999999997</v>
      </c>
      <c r="AE70" s="82">
        <f ca="1">IF(Case=$C56,BS!AE$69,AE70)</f>
        <v>155.5</v>
      </c>
      <c r="AF70" s="82">
        <f ca="1">IF(Case=$C56,BS!AF$69,AF70)</f>
        <v>159.19999999999999</v>
      </c>
      <c r="AG70" s="82">
        <f ca="1">IF(Case=$C56,BS!AG$69,AG70)</f>
        <v>172.40000000000003</v>
      </c>
      <c r="AH70" s="82">
        <f ca="1">IF(Case=$C56,BS!AH$69,AH70)</f>
        <v>185.10000000000002</v>
      </c>
      <c r="AI70" s="82">
        <f ca="1">IF(Case=$C56,BS!AI$69,AI70)</f>
        <v>187.40000000000003</v>
      </c>
      <c r="AJ70" s="82">
        <f ca="1">IF(Case=$C56,BS!AJ$69,AJ70)</f>
        <v>208.3</v>
      </c>
      <c r="AK70" s="82">
        <f ca="1">IF(Case=$C56,BS!AK$69,AK70)</f>
        <v>213.59999999999997</v>
      </c>
      <c r="AL70" s="82">
        <f ca="1">IF(Case=$C56,BS!AL$69,AL70)</f>
        <v>208.30000000000007</v>
      </c>
      <c r="AM70" s="82">
        <f ca="1">IF(Case=$C56,BS!AM$69,AM70)</f>
        <v>205.3</v>
      </c>
      <c r="AN70" s="82">
        <f ca="1">IF(Case=$C56,BS!AN$69,AN70)</f>
        <v>193.4</v>
      </c>
      <c r="AO70" s="82">
        <f ca="1">IF(Case=$C56,BS!AO$69,AO70)</f>
        <v>193.4</v>
      </c>
      <c r="AP70" s="82">
        <f ca="1">IF(Case=$C56,BS!AP$69,AP70)</f>
        <v>233.50482162688135</v>
      </c>
      <c r="AQ70" s="82">
        <f ca="1">IF(Case=$C56,BS!AQ$69,AQ70)</f>
        <v>246.93135118360388</v>
      </c>
      <c r="AR70" s="82">
        <f ca="1">IF(Case=$C56,BS!AR$69,AR70)</f>
        <v>247.79174234214872</v>
      </c>
      <c r="AS70" s="82">
        <f ca="1">IF(Case=$C56,BS!AS$69,AS70)</f>
        <v>248.96496283474829</v>
      </c>
      <c r="AT70" s="82">
        <f ca="1">IF(Case=$C56,BS!AT$69,AT70)</f>
        <v>250.36039133909296</v>
      </c>
      <c r="AU70" s="82">
        <f ca="1">IF(Case=$C56,BS!AU$69,AU70)</f>
        <v>251.90688654512255</v>
      </c>
      <c r="AV70" s="82">
        <f ca="1">IF(Case=$C56,BS!AV$69,AV70)</f>
        <v>253.5717613613557</v>
      </c>
      <c r="AW70" s="82">
        <f ca="1">IF(Case=$C56,BS!AW$69,AW70)</f>
        <v>255.33003353800203</v>
      </c>
      <c r="AX70" s="82">
        <f ca="1">IF(Case=$C56,BS!AX$69,AX70)</f>
        <v>257.16194604556182</v>
      </c>
      <c r="AY70" s="82">
        <f ca="1">IF(Case=$C56,BS!AY$69,AY70)</f>
        <v>190.87996107509176</v>
      </c>
    </row>
    <row r="71" spans="2:52">
      <c r="B71" s="6" t="s">
        <v>202</v>
      </c>
      <c r="D71" s="48"/>
      <c r="E71" s="48"/>
      <c r="F71" s="48"/>
      <c r="G71" s="48">
        <f ca="1">+G70/G58</f>
        <v>0.32182996328061408</v>
      </c>
      <c r="H71" s="48">
        <f ca="1">+H70/H58</f>
        <v>0.32119044186802781</v>
      </c>
      <c r="I71" s="48">
        <f t="shared" ref="I71:N71" ca="1" si="64">+I70/I58</f>
        <v>0.3937346893326405</v>
      </c>
      <c r="J71" s="48">
        <f t="shared" ca="1" si="64"/>
        <v>0.40895626415751879</v>
      </c>
      <c r="K71" s="48">
        <f t="shared" ca="1" si="64"/>
        <v>0.37980725520501862</v>
      </c>
      <c r="L71" s="48">
        <f t="shared" ca="1" si="64"/>
        <v>0.33413790589137704</v>
      </c>
      <c r="M71" s="48">
        <f t="shared" ca="1" si="64"/>
        <v>0.38</v>
      </c>
      <c r="N71" s="48">
        <f t="shared" ca="1" si="64"/>
        <v>0.35472953314928191</v>
      </c>
      <c r="T71" s="48">
        <f t="shared" ref="T71:AN71" ca="1" si="65">+T70/T58</f>
        <v>0.28256284174001267</v>
      </c>
      <c r="U71" s="48">
        <f t="shared" ca="1" si="65"/>
        <v>0.23561661752695978</v>
      </c>
      <c r="V71" s="48">
        <f t="shared" ca="1" si="65"/>
        <v>0.3731378874478406</v>
      </c>
      <c r="W71" s="48">
        <f t="shared" ca="1" si="65"/>
        <v>0.38929050789039249</v>
      </c>
      <c r="X71" s="48">
        <f t="shared" ca="1" si="65"/>
        <v>0.32334170803674073</v>
      </c>
      <c r="Y71" s="48">
        <f t="shared" ca="1" si="65"/>
        <v>0.31871614173013818</v>
      </c>
      <c r="Z71" s="48">
        <f t="shared" ca="1" si="65"/>
        <v>0.32311658332411569</v>
      </c>
      <c r="AA71" s="24">
        <f t="shared" ca="1" si="65"/>
        <v>0.31973027756032346</v>
      </c>
      <c r="AB71" s="48">
        <f t="shared" ca="1" si="65"/>
        <v>0.35963817841547097</v>
      </c>
      <c r="AC71" s="48">
        <f t="shared" ca="1" si="65"/>
        <v>0.39981475764124735</v>
      </c>
      <c r="AD71" s="48">
        <f t="shared" ca="1" si="65"/>
        <v>0.3818608746697974</v>
      </c>
      <c r="AE71" s="48">
        <f t="shared" ca="1" si="65"/>
        <v>0.42967670627245097</v>
      </c>
      <c r="AF71" s="48">
        <f t="shared" ca="1" si="65"/>
        <v>0.43402399127589963</v>
      </c>
      <c r="AG71" s="48">
        <f t="shared" ca="1" si="65"/>
        <v>0.4664502164502165</v>
      </c>
      <c r="AH71" s="48">
        <f t="shared" ca="1" si="65"/>
        <v>0.38723849372384944</v>
      </c>
      <c r="AI71" s="48">
        <f t="shared" ca="1" si="65"/>
        <v>0.36940666272422634</v>
      </c>
      <c r="AJ71" s="48">
        <f t="shared" ca="1" si="65"/>
        <v>0.41255694196870674</v>
      </c>
      <c r="AK71" s="48">
        <f t="shared" ca="1" si="65"/>
        <v>0.42155121373593835</v>
      </c>
      <c r="AL71" s="48">
        <f t="shared" ca="1" si="65"/>
        <v>0.3785896037804436</v>
      </c>
      <c r="AM71" s="48">
        <f t="shared" ca="1" si="65"/>
        <v>0.32178683385579937</v>
      </c>
      <c r="AN71" s="48">
        <f t="shared" ca="1" si="65"/>
        <v>0.30054390054390057</v>
      </c>
      <c r="AO71" s="48">
        <f t="shared" ref="AO71:AY71" ca="1" si="66">+AO70/AO58</f>
        <v>0.29594491201224177</v>
      </c>
      <c r="AP71" s="48">
        <f t="shared" ca="1" si="66"/>
        <v>0.36</v>
      </c>
      <c r="AQ71" s="48">
        <f t="shared" ca="1" si="66"/>
        <v>0.38</v>
      </c>
      <c r="AR71" s="48">
        <f t="shared" ca="1" si="66"/>
        <v>0.38</v>
      </c>
      <c r="AS71" s="48">
        <f t="shared" ca="1" si="66"/>
        <v>0.38</v>
      </c>
      <c r="AT71" s="48">
        <f t="shared" ca="1" si="66"/>
        <v>0.38</v>
      </c>
      <c r="AU71" s="48">
        <f t="shared" ca="1" si="66"/>
        <v>0.38</v>
      </c>
      <c r="AV71" s="48">
        <f t="shared" ca="1" si="66"/>
        <v>0.38</v>
      </c>
      <c r="AW71" s="48">
        <f t="shared" ca="1" si="66"/>
        <v>0.38</v>
      </c>
      <c r="AX71" s="48">
        <f t="shared" ca="1" si="66"/>
        <v>0.38000000000000006</v>
      </c>
      <c r="AY71" s="48">
        <f t="shared" ca="1" si="66"/>
        <v>0.28000000000000003</v>
      </c>
    </row>
    <row r="72" spans="2:52">
      <c r="B72" s="85" t="s">
        <v>201</v>
      </c>
      <c r="D72" s="18"/>
      <c r="E72" s="18"/>
      <c r="F72" s="18"/>
      <c r="G72" s="18">
        <f>+SUM(T72:W72)</f>
        <v>323.23400002</v>
      </c>
      <c r="H72" s="18">
        <f>+SUM(X72:AA72)</f>
        <v>360.75696800184278</v>
      </c>
      <c r="I72" s="18">
        <f>+SUM(AB72:AE72)</f>
        <v>517.16227294135183</v>
      </c>
      <c r="J72" s="18">
        <f>+SUM(AF72:AI72)</f>
        <v>544.57055074343282</v>
      </c>
      <c r="K72" s="18">
        <f>+SUM(AJ72:AM72)</f>
        <v>614.84087089037553</v>
      </c>
      <c r="L72" s="18">
        <f>+SUM(AN72:AQ72)</f>
        <v>657.72798252808502</v>
      </c>
      <c r="M72" s="18">
        <f>+SUM(AR72:AU72)</f>
        <v>687.45068952044198</v>
      </c>
      <c r="N72" s="18">
        <f>+SUM(AV72:AY72)</f>
        <v>717.39984705812469</v>
      </c>
      <c r="T72" s="19">
        <v>66.687000019999999</v>
      </c>
      <c r="U72" s="19">
        <v>58.91</v>
      </c>
      <c r="V72" s="19">
        <v>95.73</v>
      </c>
      <c r="W72" s="19">
        <v>101.907</v>
      </c>
      <c r="X72" s="19">
        <v>86.671996822220791</v>
      </c>
      <c r="Y72" s="19">
        <v>88.275342707906788</v>
      </c>
      <c r="Z72" s="19">
        <v>90.922727774094895</v>
      </c>
      <c r="AA72" s="20">
        <v>94.886900697620305</v>
      </c>
      <c r="AB72" s="19">
        <v>122.64550073855338</v>
      </c>
      <c r="AC72" s="19">
        <v>133.53396482554763</v>
      </c>
      <c r="AD72" s="19">
        <v>132.48862971686015</v>
      </c>
      <c r="AE72" s="19">
        <v>128.49417766039068</v>
      </c>
      <c r="AF72" s="19">
        <v>131.32076922124907</v>
      </c>
      <c r="AG72" s="19">
        <v>134.07132987472784</v>
      </c>
      <c r="AH72" s="19">
        <v>137.31113239990361</v>
      </c>
      <c r="AI72" s="19">
        <v>141.86731924755227</v>
      </c>
      <c r="AJ72" s="19">
        <v>147.28795099124267</v>
      </c>
      <c r="AK72" s="19">
        <v>152.37474328197712</v>
      </c>
      <c r="AL72" s="19">
        <v>156.25456642208644</v>
      </c>
      <c r="AM72" s="19">
        <v>158.92361019506922</v>
      </c>
      <c r="AN72" s="19">
        <v>161.37754749869754</v>
      </c>
      <c r="AO72" s="19">
        <v>163.53341443854788</v>
      </c>
      <c r="AP72" s="19">
        <v>165.49930625832536</v>
      </c>
      <c r="AQ72" s="19">
        <v>167.31771433251427</v>
      </c>
      <c r="AR72" s="19">
        <v>169.07863495798779</v>
      </c>
      <c r="AS72" s="19">
        <v>170.89497513343315</v>
      </c>
      <c r="AT72" s="19">
        <v>172.76982543926874</v>
      </c>
      <c r="AU72" s="19">
        <v>174.7072539897523</v>
      </c>
      <c r="AV72" s="19">
        <v>176.71220825629393</v>
      </c>
      <c r="AW72" s="19">
        <v>178.79046096270477</v>
      </c>
      <c r="AX72" s="19">
        <v>180.94858891956298</v>
      </c>
      <c r="AY72" s="19">
        <v>180.94858891956298</v>
      </c>
      <c r="AZ72" s="85"/>
    </row>
    <row r="73" spans="2:52">
      <c r="B73" s="86" t="s">
        <v>202</v>
      </c>
      <c r="D73" s="48"/>
      <c r="E73" s="48"/>
      <c r="F73" s="48"/>
      <c r="G73" s="48">
        <f>+G72/G61</f>
        <v>0.32182996328061408</v>
      </c>
      <c r="H73" s="48">
        <f>+H72/H61</f>
        <v>0.32119041337931581</v>
      </c>
      <c r="I73" s="48">
        <f t="shared" ref="I73:N73" si="67">+I72/I61</f>
        <v>0.39317316257267992</v>
      </c>
      <c r="J73" s="48">
        <f t="shared" si="67"/>
        <v>0.3834415125029243</v>
      </c>
      <c r="K73" s="48">
        <f t="shared" si="67"/>
        <v>0.3986598817176451</v>
      </c>
      <c r="L73" s="48">
        <f t="shared" si="67"/>
        <v>0.39163603433090316</v>
      </c>
      <c r="M73" s="48">
        <f t="shared" si="67"/>
        <v>0.3752422358216253</v>
      </c>
      <c r="N73" s="48">
        <f t="shared" si="67"/>
        <v>0.35867120108790312</v>
      </c>
      <c r="T73" s="48">
        <f t="shared" ref="T73:AN73" si="68">+T72/T61</f>
        <v>0.28256284174001267</v>
      </c>
      <c r="U73" s="48">
        <f t="shared" si="68"/>
        <v>0.23561661752695978</v>
      </c>
      <c r="V73" s="48">
        <f t="shared" si="68"/>
        <v>0.3731378874478406</v>
      </c>
      <c r="W73" s="48">
        <f t="shared" si="68"/>
        <v>0.38929050789039249</v>
      </c>
      <c r="X73" s="48">
        <f t="shared" si="68"/>
        <v>0.32334170930515616</v>
      </c>
      <c r="Y73" s="48">
        <f t="shared" si="68"/>
        <v>0.31871101132414875</v>
      </c>
      <c r="Z73" s="48">
        <f t="shared" si="68"/>
        <v>0.32311658328857873</v>
      </c>
      <c r="AA73" s="24">
        <f t="shared" si="68"/>
        <v>0.3197349568883277</v>
      </c>
      <c r="AB73" s="48">
        <f t="shared" si="68"/>
        <v>0.38356079096152129</v>
      </c>
      <c r="AC73" s="48">
        <f t="shared" si="68"/>
        <v>0.40988285296535643</v>
      </c>
      <c r="AD73" s="48">
        <f t="shared" si="68"/>
        <v>0.39934970934634112</v>
      </c>
      <c r="AE73" s="48">
        <f t="shared" si="68"/>
        <v>0.38010034157194134</v>
      </c>
      <c r="AF73" s="48">
        <f t="shared" si="68"/>
        <v>0.38112159733119716</v>
      </c>
      <c r="AG73" s="48">
        <f t="shared" si="68"/>
        <v>0.38154136626754714</v>
      </c>
      <c r="AH73" s="48">
        <f t="shared" si="68"/>
        <v>0.38310622203955319</v>
      </c>
      <c r="AI73" s="48">
        <f t="shared" si="68"/>
        <v>0.3877800524194836</v>
      </c>
      <c r="AJ73" s="48">
        <f t="shared" si="68"/>
        <v>0.39426112624359733</v>
      </c>
      <c r="AK73" s="48">
        <f t="shared" si="68"/>
        <v>0.3992425418609985</v>
      </c>
      <c r="AL73" s="48">
        <f t="shared" si="68"/>
        <v>0.4013046975559047</v>
      </c>
      <c r="AM73" s="48">
        <f t="shared" si="68"/>
        <v>0.39964339017645178</v>
      </c>
      <c r="AN73" s="48">
        <f t="shared" si="68"/>
        <v>0.39719189787095688</v>
      </c>
      <c r="AO73" s="48">
        <f t="shared" ref="AO73:AY73" si="69">+AO72/AO61</f>
        <v>0.39387522630039601</v>
      </c>
      <c r="AP73" s="48">
        <f t="shared" si="69"/>
        <v>0.39004236437105094</v>
      </c>
      <c r="AQ73" s="48">
        <f t="shared" si="69"/>
        <v>0.38584594530257871</v>
      </c>
      <c r="AR73" s="48">
        <f t="shared" si="69"/>
        <v>0.38152174108685588</v>
      </c>
      <c r="AS73" s="48">
        <f t="shared" si="69"/>
        <v>0.37732820810425372</v>
      </c>
      <c r="AT73" s="48">
        <f t="shared" si="69"/>
        <v>0.37325851130007209</v>
      </c>
      <c r="AU73" s="48">
        <f t="shared" si="69"/>
        <v>0.36930354167534918</v>
      </c>
      <c r="AV73" s="48">
        <f t="shared" si="69"/>
        <v>0.3654528995363443</v>
      </c>
      <c r="AW73" s="48">
        <f t="shared" si="69"/>
        <v>0.36169553020359385</v>
      </c>
      <c r="AX73" s="48">
        <f t="shared" si="69"/>
        <v>0.3580201363270602</v>
      </c>
      <c r="AY73" s="48">
        <f t="shared" si="69"/>
        <v>0.35007141476707354</v>
      </c>
      <c r="AZ73" s="86"/>
    </row>
    <row r="74" spans="2:52">
      <c r="D74" s="6"/>
      <c r="E74" s="6"/>
      <c r="F74" s="6"/>
      <c r="G74" s="6"/>
      <c r="H74" s="6"/>
      <c r="I74" s="6"/>
      <c r="J74" s="6"/>
      <c r="K74" s="6"/>
      <c r="L74" s="6"/>
      <c r="M74" s="6"/>
      <c r="N74" s="6"/>
    </row>
    <row r="75" spans="2:52">
      <c r="B75" s="6" t="s">
        <v>249</v>
      </c>
      <c r="D75" s="6"/>
      <c r="E75" s="6"/>
      <c r="F75" s="6"/>
      <c r="G75" s="6"/>
      <c r="H75" s="6"/>
      <c r="I75" s="82">
        <f ca="1">IF(Case=$C56,BS!I$75,I75)</f>
        <v>381.29999999999995</v>
      </c>
      <c r="J75" s="82">
        <f ca="1">IF(Case=$C56,BS!J$75,J75)</f>
        <v>520.10000000000014</v>
      </c>
      <c r="K75" s="82">
        <f ca="1">IF(Case=$C56,BS!K$75,K75)</f>
        <v>635</v>
      </c>
      <c r="L75" s="82">
        <f ca="1">IF(Case=$C56,BS!L$75,L75)</f>
        <v>818.62513314727266</v>
      </c>
      <c r="M75" s="82">
        <f ca="1">IF(Case=$C56,BS!M$75,M75)</f>
        <v>876.25781499236484</v>
      </c>
      <c r="N75" s="82">
        <f ca="1">IF(Case=$C56,BS!N$75,N75)</f>
        <v>796.35651035567253</v>
      </c>
      <c r="AB75" s="82">
        <f ca="1">IF(Case=$C56,BS!AB$75,AB75)</f>
        <v>72.099999999999994</v>
      </c>
      <c r="AC75" s="82">
        <f ca="1">IF(Case=$C56,BS!AC$75,AC75)</f>
        <v>88.600000000000009</v>
      </c>
      <c r="AD75" s="82">
        <f ca="1">IF(Case=$C56,BS!AD$75,AD75)</f>
        <v>90.599999999999966</v>
      </c>
      <c r="AE75" s="82">
        <f ca="1">IF(Case=$C56,BS!AE$75,AE75)</f>
        <v>130</v>
      </c>
      <c r="AF75" s="82">
        <f ca="1">IF(Case=$C56,BS!AF$75,AF75)</f>
        <v>109.49999999999999</v>
      </c>
      <c r="AG75" s="82">
        <f ca="1">IF(Case=$C56,BS!AG$75,AG75)</f>
        <v>135.50000000000006</v>
      </c>
      <c r="AH75" s="82">
        <f ca="1">IF(Case=$C56,BS!AH$75,AH75)</f>
        <v>126.30000000000001</v>
      </c>
      <c r="AI75" s="82">
        <f ca="1">IF(Case=$C56,BS!AI$75,AI75)</f>
        <v>148.80000000000001</v>
      </c>
      <c r="AJ75" s="82">
        <f ca="1">IF(Case=$C56,BS!AJ$75,AJ75)</f>
        <v>167.4</v>
      </c>
      <c r="AK75" s="82">
        <f ca="1">IF(Case=$C56,BS!AK$75,AK75)</f>
        <v>170.19999999999996</v>
      </c>
      <c r="AL75" s="82">
        <f ca="1">IF(Case=$C56,BS!AL$75,AL75)</f>
        <v>135.90000000000009</v>
      </c>
      <c r="AM75" s="82">
        <f ca="1">IF(Case=$C56,BS!AM$75,AM75)</f>
        <v>161.5</v>
      </c>
      <c r="AN75" s="82">
        <f ca="1">IF(Case=$C56,BS!AN$75,AN75)</f>
        <v>193.4</v>
      </c>
      <c r="AO75" s="82">
        <f ca="1">IF(Case=$C56,BS!AO$75,AO75)</f>
        <v>193.4</v>
      </c>
      <c r="AP75" s="82">
        <f ca="1">IF(Case=$C56,BS!AP$75,AP75)</f>
        <v>207.30127100885451</v>
      </c>
      <c r="AQ75" s="82">
        <f ca="1">IF(Case=$C56,BS!AQ$75,AQ75)</f>
        <v>224.5238621384182</v>
      </c>
      <c r="AR75" s="82">
        <f ca="1">IF(Case=$C56,BS!AR$75,AR75)</f>
        <v>221.38387219143192</v>
      </c>
      <c r="AS75" s="82">
        <f ca="1">IF(Case=$C56,BS!AS$75,AS75)</f>
        <v>219.30196751433951</v>
      </c>
      <c r="AT75" s="82">
        <f ca="1">IF(Case=$C56,BS!AT$75,AT75)</f>
        <v>218.0664882583589</v>
      </c>
      <c r="AU75" s="82">
        <f ca="1">IF(Case=$C56,BS!AU$75,AU75)</f>
        <v>217.50548702823463</v>
      </c>
      <c r="AV75" s="82">
        <f ca="1">IF(Case=$C56,BS!AV$75,AV75)</f>
        <v>217.41331675151491</v>
      </c>
      <c r="AW75" s="82">
        <f ca="1">IF(Case=$C56,BS!AW$75,AW75)</f>
        <v>217.69672131489691</v>
      </c>
      <c r="AX75" s="82">
        <f ca="1">IF(Case=$C56,BS!AX$75,AX75)</f>
        <v>218.28421564518155</v>
      </c>
      <c r="AY75" s="82">
        <f ca="1">IF(Case=$C56,BS!AY$75,AY75)</f>
        <v>142.96225664407919</v>
      </c>
    </row>
    <row r="76" spans="2:52">
      <c r="D76" s="6"/>
      <c r="E76" s="6"/>
      <c r="F76" s="6"/>
      <c r="G76" s="6"/>
      <c r="H76" s="6"/>
      <c r="I76" s="6"/>
      <c r="J76" s="6"/>
      <c r="K76" s="6"/>
      <c r="L76" s="6"/>
      <c r="M76" s="6"/>
      <c r="N76" s="6"/>
    </row>
    <row r="77" spans="2:52">
      <c r="B77" s="6" t="s">
        <v>298</v>
      </c>
      <c r="D77" s="82"/>
      <c r="E77" s="82"/>
      <c r="F77" s="82"/>
      <c r="G77" s="82"/>
      <c r="H77" s="82"/>
      <c r="I77" s="82">
        <f ca="1">IF(Case=$C56,CF!I$65,I77)</f>
        <v>401.30000000000018</v>
      </c>
      <c r="J77" s="82">
        <f ca="1">IF(Case=$C56,CF!J$65,J77)</f>
        <v>414.79999999999984</v>
      </c>
      <c r="K77" s="82">
        <f ca="1">IF(Case=$C56,CF!K$65,K77)</f>
        <v>481.80000000000018</v>
      </c>
      <c r="L77" s="82">
        <f ca="1">IF(Case=$C56,CF!L$65,L77)</f>
        <v>447.32796056098414</v>
      </c>
      <c r="M77" s="82">
        <f ca="1">IF(Case=$C56,CF!M$65,M77)</f>
        <v>397.95223601582472</v>
      </c>
      <c r="N77" s="82">
        <f ca="1">IF(Case=$C56,CF!N$65,N77)</f>
        <v>537.88153030673629</v>
      </c>
      <c r="O77" s="2">
        <f ca="1">(M77/J77)^(1/3)-1</f>
        <v>-1.3726417762919829E-2</v>
      </c>
      <c r="T77" s="82"/>
      <c r="U77" s="82"/>
      <c r="V77" s="82"/>
      <c r="W77" s="82"/>
      <c r="X77" s="82"/>
      <c r="Y77" s="82"/>
      <c r="Z77" s="82"/>
      <c r="AA77" s="88"/>
      <c r="AB77" s="82">
        <f ca="1">IF(Case=$C56,CF!AB$65,AB77)</f>
        <v>110.89999999999998</v>
      </c>
      <c r="AC77" s="82">
        <f ca="1">IF(Case=$C56,CF!AC$65,AC77)</f>
        <v>101.10000000000001</v>
      </c>
      <c r="AD77" s="82">
        <f ca="1">IF(Case=$C56,CF!AD$65,AD77)</f>
        <v>108.40000000000003</v>
      </c>
      <c r="AE77" s="82">
        <f ca="1">IF(Case=$C56,CF!AE$65,AE77)</f>
        <v>80.900000000000034</v>
      </c>
      <c r="AF77" s="82">
        <f ca="1">IF(Case=$C56,CF!AF$65,AF77)</f>
        <v>105.89999999999999</v>
      </c>
      <c r="AG77" s="82">
        <f ca="1">IF(Case=$C56,CF!AG$65,AG77)</f>
        <v>83.4</v>
      </c>
      <c r="AH77" s="82">
        <f ca="1">IF(Case=$C56,CF!AH$65,AH77)</f>
        <v>116.49999999999994</v>
      </c>
      <c r="AI77" s="82">
        <f ca="1">IF(Case=$C56,CF!AI$65,AI77)</f>
        <v>108.99999999999994</v>
      </c>
      <c r="AJ77" s="82">
        <f ca="1">IF(Case=$C56,CF!AJ$65,AJ77)</f>
        <v>93.200000000000017</v>
      </c>
      <c r="AK77" s="82">
        <f ca="1">IF(Case=$C56,CF!AK$65,AK77)</f>
        <v>93.19999999999996</v>
      </c>
      <c r="AL77" s="82">
        <f ca="1">IF(Case=$C56,CF!AL$65,AL77)</f>
        <v>146.09999999999997</v>
      </c>
      <c r="AM77" s="82">
        <f ca="1">IF(Case=$C56,CF!AM$65,AM77)</f>
        <v>149.30000000000007</v>
      </c>
      <c r="AN77" s="82">
        <f ca="1">IF(Case=$C56,CF!AN$65,AN77)</f>
        <v>123.20000000000002</v>
      </c>
      <c r="AO77" s="82">
        <f ca="1">IF(Case=$C56,CF!AO$65,AO77)</f>
        <v>136.49999999999991</v>
      </c>
      <c r="AP77" s="82">
        <f ca="1">IF(Case=$C56,CF!AP$65,AP77)</f>
        <v>101.31294921477266</v>
      </c>
      <c r="AQ77" s="82">
        <f ca="1">IF(Case=$C56,CF!AQ$65,AQ77)</f>
        <v>86.315011346211548</v>
      </c>
      <c r="AR77" s="82">
        <f ca="1">IF(Case=$C56,CF!AR$65,AR77)</f>
        <v>92.19139747182021</v>
      </c>
      <c r="AS77" s="82">
        <f ca="1">IF(Case=$C56,CF!AS$65,AS77)</f>
        <v>97.411119133969777</v>
      </c>
      <c r="AT77" s="82">
        <f ca="1">IF(Case=$C56,CF!AT$65,AT77)</f>
        <v>102.07660707634756</v>
      </c>
      <c r="AU77" s="82">
        <f ca="1">IF(Case=$C56,CF!AU$65,AU77)</f>
        <v>106.27311233368707</v>
      </c>
      <c r="AV77" s="82">
        <f ca="1">IF(Case=$C56,CF!AV$65,AV77)</f>
        <v>110.16714273533324</v>
      </c>
      <c r="AW77" s="82">
        <f ca="1">IF(Case=$C56,CF!AW$65,AW77)</f>
        <v>113.82186302974813</v>
      </c>
      <c r="AX77" s="82">
        <f ca="1">IF(Case=$C56,CF!AX$65,AX77)</f>
        <v>117.28475437089415</v>
      </c>
      <c r="AY77" s="82">
        <f ca="1">IF(Case=$C56,CF!AY$65,AY77)</f>
        <v>196.60777011873202</v>
      </c>
    </row>
    <row r="78" spans="2:52">
      <c r="B78" s="85"/>
      <c r="D78" s="18"/>
      <c r="E78" s="18"/>
      <c r="F78" s="18"/>
      <c r="G78" s="18"/>
      <c r="H78" s="18"/>
      <c r="I78" s="18"/>
      <c r="J78" s="18"/>
      <c r="K78" s="18"/>
      <c r="L78" s="18"/>
      <c r="M78" s="18"/>
      <c r="N78" s="18"/>
      <c r="T78" s="19"/>
      <c r="U78" s="19"/>
      <c r="V78" s="19"/>
      <c r="W78" s="19"/>
      <c r="X78" s="19"/>
      <c r="Y78" s="19"/>
      <c r="Z78" s="110"/>
      <c r="AA78" s="20"/>
      <c r="AB78" s="19"/>
      <c r="AC78" s="19"/>
      <c r="AD78" s="19"/>
      <c r="AE78" s="19"/>
      <c r="AF78" s="19"/>
      <c r="AG78" s="19"/>
      <c r="AH78" s="19"/>
      <c r="AI78" s="19"/>
      <c r="AJ78" s="19"/>
      <c r="AK78" s="19"/>
      <c r="AL78" s="19"/>
      <c r="AM78" s="19"/>
      <c r="AN78" s="19"/>
      <c r="AO78" s="19"/>
      <c r="AP78" s="19"/>
      <c r="AQ78" s="19"/>
      <c r="AR78" s="19"/>
      <c r="AS78" s="19"/>
      <c r="AT78" s="19"/>
      <c r="AU78" s="19"/>
      <c r="AV78" s="19"/>
      <c r="AW78" s="19"/>
      <c r="AX78" s="19"/>
      <c r="AY78" s="19"/>
      <c r="AZ78" s="85"/>
    </row>
    <row r="79" spans="2:52">
      <c r="D79" s="6"/>
      <c r="E79" s="6"/>
      <c r="F79" s="6"/>
      <c r="G79" s="6"/>
      <c r="H79" s="6"/>
      <c r="I79" s="6"/>
      <c r="J79" s="6"/>
      <c r="K79" s="6"/>
      <c r="L79" s="6"/>
      <c r="M79" s="6"/>
      <c r="N79" s="6"/>
    </row>
    <row r="80" spans="2:52">
      <c r="D80" s="6"/>
      <c r="E80" s="6"/>
      <c r="F80" s="6"/>
      <c r="G80" s="6"/>
      <c r="H80" s="6"/>
      <c r="I80" s="6"/>
      <c r="J80" s="6"/>
      <c r="K80" s="6"/>
      <c r="L80" s="6"/>
      <c r="M80" s="6"/>
      <c r="N80" s="6"/>
    </row>
    <row r="81" spans="3:27">
      <c r="D81" s="6"/>
      <c r="E81" s="6"/>
      <c r="F81" s="6"/>
      <c r="G81" s="6"/>
      <c r="H81" s="6"/>
      <c r="I81" s="6"/>
      <c r="J81" s="6"/>
      <c r="K81" s="6"/>
      <c r="L81" s="6"/>
      <c r="M81" s="6"/>
      <c r="N81" s="6"/>
    </row>
    <row r="82" spans="3:27">
      <c r="D82" s="6"/>
      <c r="E82" s="6"/>
      <c r="F82" s="6"/>
      <c r="G82" s="6"/>
      <c r="H82" s="6"/>
      <c r="I82" s="6"/>
      <c r="J82" s="6"/>
      <c r="K82" s="6"/>
      <c r="L82" s="6"/>
      <c r="M82" s="6"/>
      <c r="N82" s="6"/>
    </row>
    <row r="83" spans="3:27">
      <c r="D83" s="6"/>
      <c r="E83" s="6"/>
      <c r="F83" s="6"/>
      <c r="G83" s="6"/>
      <c r="H83" s="6"/>
      <c r="I83" s="6"/>
      <c r="J83" s="6"/>
      <c r="K83" s="6"/>
      <c r="L83" s="6"/>
      <c r="M83" s="6"/>
      <c r="N83" s="6"/>
    </row>
    <row r="84" spans="3:27">
      <c r="D84" s="6"/>
      <c r="E84" s="6"/>
      <c r="F84" s="6"/>
      <c r="G84" s="6"/>
      <c r="H84" s="6"/>
      <c r="I84" s="6"/>
      <c r="J84" s="6"/>
      <c r="K84" s="6"/>
      <c r="L84" s="6"/>
      <c r="M84" s="6"/>
      <c r="N84" s="6"/>
    </row>
    <row r="85" spans="3:27">
      <c r="D85" s="6"/>
      <c r="E85" s="6"/>
      <c r="F85" s="6"/>
      <c r="G85" s="6"/>
      <c r="H85" s="6"/>
      <c r="I85" s="6"/>
      <c r="J85" s="6"/>
      <c r="K85" s="6"/>
      <c r="L85" s="6"/>
      <c r="M85" s="6"/>
      <c r="N85" s="6"/>
    </row>
    <row r="86" spans="3:27">
      <c r="D86" s="6"/>
      <c r="E86" s="6"/>
      <c r="F86" s="6"/>
      <c r="G86" s="6"/>
      <c r="H86" s="6"/>
      <c r="I86" s="6"/>
      <c r="J86" s="6"/>
      <c r="K86" s="6"/>
      <c r="L86" s="6"/>
      <c r="M86" s="6"/>
      <c r="N86" s="6"/>
    </row>
    <row r="87" spans="3:27">
      <c r="D87" s="6"/>
      <c r="E87" s="6"/>
      <c r="F87" s="6"/>
      <c r="G87" s="6"/>
      <c r="H87" s="6"/>
      <c r="I87" s="6"/>
      <c r="J87" s="6"/>
      <c r="K87" s="6"/>
      <c r="L87" s="6"/>
      <c r="M87" s="6"/>
      <c r="N87" s="6"/>
    </row>
    <row r="88" spans="3:27">
      <c r="D88" s="6"/>
      <c r="E88" s="6"/>
      <c r="F88" s="6"/>
      <c r="G88" s="6"/>
      <c r="H88" s="6"/>
      <c r="I88" s="6"/>
      <c r="J88" s="6"/>
      <c r="K88" s="6"/>
      <c r="L88" s="6"/>
      <c r="M88" s="6"/>
      <c r="N88" s="6"/>
    </row>
    <row r="89" spans="3:27">
      <c r="D89" s="6"/>
      <c r="E89" s="6"/>
      <c r="F89" s="6"/>
      <c r="G89" s="6"/>
      <c r="H89" s="6"/>
      <c r="I89" s="6"/>
      <c r="J89" s="6"/>
      <c r="K89" s="6"/>
      <c r="L89" s="6"/>
      <c r="M89" s="6"/>
      <c r="N89" s="6"/>
    </row>
    <row r="90" spans="3:27">
      <c r="D90" s="6"/>
      <c r="E90" s="6"/>
      <c r="F90" s="6"/>
      <c r="G90" s="6"/>
      <c r="H90" s="6"/>
      <c r="I90" s="6"/>
      <c r="J90" s="6"/>
      <c r="K90" s="6"/>
      <c r="L90" s="6"/>
      <c r="M90" s="6"/>
      <c r="N90" s="6"/>
    </row>
    <row r="91" spans="3:27">
      <c r="D91" s="6"/>
      <c r="E91" s="6"/>
      <c r="F91" s="6"/>
      <c r="G91" s="6"/>
      <c r="H91" s="6"/>
      <c r="I91" s="6"/>
      <c r="J91" s="6"/>
      <c r="K91" s="6"/>
      <c r="L91" s="6"/>
      <c r="M91" s="6"/>
      <c r="N91" s="6"/>
    </row>
    <row r="92" spans="3:27">
      <c r="D92" s="6"/>
      <c r="E92" s="6"/>
      <c r="F92" s="6"/>
      <c r="G92" s="6"/>
      <c r="H92" s="6"/>
      <c r="I92" s="6"/>
      <c r="J92" s="6"/>
      <c r="K92" s="6"/>
      <c r="L92" s="6"/>
      <c r="M92" s="6"/>
      <c r="N92" s="6"/>
    </row>
    <row r="93" spans="3:27" s="40" customFormat="1">
      <c r="C93" s="105"/>
      <c r="D93" s="106"/>
      <c r="E93" s="106"/>
      <c r="F93" s="106"/>
      <c r="G93" s="106"/>
      <c r="H93" s="106"/>
      <c r="I93" s="106"/>
      <c r="J93" s="106"/>
      <c r="K93" s="106"/>
      <c r="L93" s="106"/>
      <c r="M93" s="106"/>
      <c r="N93" s="106"/>
      <c r="O93" s="105"/>
      <c r="Z93" s="115"/>
      <c r="AA93" s="102"/>
    </row>
    <row r="94" spans="3:27">
      <c r="D94" s="81"/>
      <c r="E94" s="81"/>
      <c r="F94" s="81"/>
      <c r="G94" s="81"/>
      <c r="H94" s="81"/>
      <c r="I94" s="81"/>
      <c r="J94" s="81"/>
      <c r="K94" s="81"/>
      <c r="L94" s="81"/>
      <c r="M94" s="81"/>
      <c r="N94" s="81"/>
    </row>
  </sheetData>
  <pageMargins left="0.7" right="0.7" top="0.75" bottom="0.75" header="0.3" footer="0.3"/>
  <pageSetup scale="21"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C2:I11"/>
  <sheetViews>
    <sheetView showGridLines="0" workbookViewId="0"/>
  </sheetViews>
  <sheetFormatPr defaultRowHeight="12.75"/>
  <cols>
    <col min="3" max="3" width="13.85546875" bestFit="1" customWidth="1"/>
  </cols>
  <sheetData>
    <row r="2" spans="3:9">
      <c r="D2" s="356" t="s">
        <v>370</v>
      </c>
      <c r="E2" s="359"/>
      <c r="F2" s="358" t="s">
        <v>371</v>
      </c>
      <c r="G2" s="360"/>
      <c r="H2" s="357" t="s">
        <v>372</v>
      </c>
      <c r="I2" s="359"/>
    </row>
    <row r="3" spans="3:9">
      <c r="D3" s="350" t="s">
        <v>377</v>
      </c>
      <c r="E3" s="352">
        <v>2018</v>
      </c>
      <c r="F3" s="107" t="str">
        <f t="shared" ref="F3:G3" si="0">D3</f>
        <v>3Q18</v>
      </c>
      <c r="G3" s="355">
        <f t="shared" si="0"/>
        <v>2018</v>
      </c>
      <c r="H3" s="107" t="str">
        <f t="shared" ref="H3:I3" si="1">D3</f>
        <v>3Q18</v>
      </c>
      <c r="I3" s="107">
        <f t="shared" si="1"/>
        <v>2018</v>
      </c>
    </row>
    <row r="4" spans="3:9">
      <c r="C4" t="s">
        <v>53</v>
      </c>
      <c r="D4" s="41">
        <f ca="1">+IS!$AP$5</f>
        <v>652.80480431086812</v>
      </c>
      <c r="E4" s="88">
        <f ca="1">+IS!$L$5</f>
        <v>2607.6426124011377</v>
      </c>
      <c r="F4" s="41">
        <v>651.93604912254466</v>
      </c>
      <c r="G4" s="88">
        <v>2599.3759612676745</v>
      </c>
      <c r="H4" s="6">
        <f ca="1">+D4-F4</f>
        <v>0.86875518832346188</v>
      </c>
      <c r="I4" s="6">
        <f ca="1">+E4-G4</f>
        <v>8.266651133463256</v>
      </c>
    </row>
    <row r="5" spans="3:9">
      <c r="C5" s="7" t="s">
        <v>36</v>
      </c>
      <c r="D5" s="349">
        <f ca="1">+IS!$AP$6</f>
        <v>0.18648637642833155</v>
      </c>
      <c r="E5" s="353">
        <f ca="1">+IS!$L$6</f>
        <v>0.1853998601696234</v>
      </c>
      <c r="F5" s="349">
        <v>0.18490739571527559</v>
      </c>
      <c r="G5" s="353">
        <v>0.18164194984438331</v>
      </c>
      <c r="H5" s="351">
        <f ca="1">+(D5-F5)*10000</f>
        <v>15.789807130559552</v>
      </c>
      <c r="I5" s="351">
        <f ca="1">+(E5-G5)*10000</f>
        <v>37.579103252400884</v>
      </c>
    </row>
    <row r="6" spans="3:9">
      <c r="C6" t="s">
        <v>69</v>
      </c>
      <c r="D6" s="41">
        <f ca="1">+IS!$AP$51</f>
        <v>326.94871317149068</v>
      </c>
      <c r="E6" s="88">
        <f ca="1">+IS!$L$51</f>
        <v>1304.4861798408563</v>
      </c>
      <c r="F6" s="41">
        <v>318.27094569580652</v>
      </c>
      <c r="G6" s="88">
        <v>1282.1332664844654</v>
      </c>
      <c r="H6" s="6">
        <f ca="1">+D6-F6</f>
        <v>8.6777674756841634</v>
      </c>
      <c r="I6" s="6">
        <f ca="1">+E6-G6</f>
        <v>22.3529133563909</v>
      </c>
    </row>
    <row r="7" spans="3:9">
      <c r="C7" s="7" t="s">
        <v>203</v>
      </c>
      <c r="D7" s="35">
        <f ca="1">+D6/D4</f>
        <v>0.50083686733377109</v>
      </c>
      <c r="E7" s="354">
        <f ca="1">+E6/E4</f>
        <v>0.50025497115176965</v>
      </c>
      <c r="F7" s="35">
        <f>+F6/F4</f>
        <v>0.48819350628665881</v>
      </c>
      <c r="G7" s="354">
        <f>+G6/G4</f>
        <v>0.49324656594084576</v>
      </c>
      <c r="H7" s="351">
        <f ca="1">+(D7-F7)*10000</f>
        <v>126.43361047112278</v>
      </c>
      <c r="I7" s="351">
        <f ca="1">+(E7-G7)*10000</f>
        <v>70.084052109238854</v>
      </c>
    </row>
    <row r="8" spans="3:9">
      <c r="C8" t="s">
        <v>365</v>
      </c>
      <c r="D8" s="41">
        <f ca="1">+Rev!$AP$25</f>
        <v>8.1456050000000015</v>
      </c>
      <c r="E8" s="88">
        <f ca="1">+Rev!$L$25</f>
        <v>31.959298038125006</v>
      </c>
      <c r="F8" s="41">
        <v>8.0433720917176892</v>
      </c>
      <c r="G8" s="88">
        <v>31.729335023717262</v>
      </c>
      <c r="H8" s="6">
        <f ca="1">+D8-F8</f>
        <v>0.10223290828231235</v>
      </c>
      <c r="I8" s="6">
        <f ca="1">+E8-G8</f>
        <v>0.22996301440774403</v>
      </c>
    </row>
    <row r="9" spans="3:9">
      <c r="C9" t="s">
        <v>45</v>
      </c>
      <c r="D9" s="41">
        <f ca="1">-Rev!$AP$21</f>
        <v>7.7774646694420078</v>
      </c>
      <c r="E9" s="88">
        <f ca="1">-Rev!$L$21</f>
        <v>30.63608324717077</v>
      </c>
      <c r="F9" s="41">
        <v>7.5090224284816793</v>
      </c>
      <c r="G9" s="88">
        <v>30.159561742831269</v>
      </c>
      <c r="H9" s="6">
        <f ca="1">+D9-F9</f>
        <v>0.26844224096032843</v>
      </c>
      <c r="I9" s="6">
        <f ca="1">+E9-G9</f>
        <v>0.47652150433950169</v>
      </c>
    </row>
    <row r="10" spans="3:9">
      <c r="C10" t="s">
        <v>24</v>
      </c>
      <c r="D10" s="41">
        <f ca="1">-Rev!$AP$30</f>
        <v>5.9852820829212003</v>
      </c>
      <c r="E10" s="88">
        <f ca="1">-Rev!$L$30</f>
        <v>24.089196962225763</v>
      </c>
      <c r="F10" s="41">
        <v>5.8776094953802058</v>
      </c>
      <c r="G10" s="88">
        <v>23.726182765160143</v>
      </c>
      <c r="H10" s="6">
        <f ca="1">+D10-F10</f>
        <v>0.10767258754099451</v>
      </c>
      <c r="I10" s="6">
        <f ca="1">+E10-G10</f>
        <v>0.36301419706562044</v>
      </c>
    </row>
    <row r="11" spans="3:9">
      <c r="C11" t="s">
        <v>25</v>
      </c>
      <c r="D11" s="41">
        <f ca="1">+Rev!$AP$33</f>
        <v>1.7921825865208074</v>
      </c>
      <c r="E11" s="88">
        <f ca="1">+Rev!$L$33</f>
        <v>6.5468862849450087</v>
      </c>
      <c r="F11" s="41">
        <v>1.6314129331014735</v>
      </c>
      <c r="G11" s="88">
        <v>6.4333789776711292</v>
      </c>
      <c r="H11" s="6">
        <f ca="1">+D11-F11</f>
        <v>0.16076965341933391</v>
      </c>
      <c r="I11" s="6">
        <f ca="1">+E11-G11</f>
        <v>0.11350730727387948</v>
      </c>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rgb="FF1275A6"/>
    <pageSetUpPr fitToPage="1"/>
  </sheetPr>
  <dimension ref="A2:AX54"/>
  <sheetViews>
    <sheetView showGridLines="0" zoomScale="85" zoomScaleNormal="85" zoomScaleSheetLayoutView="85" workbookViewId="0">
      <pane xSplit="4" ySplit="9" topLeftCell="E10" activePane="bottomRight" state="frozen"/>
      <selection pane="topRight"/>
      <selection pane="bottomLeft"/>
      <selection pane="bottomRight" activeCell="AK10" sqref="AK10"/>
    </sheetView>
  </sheetViews>
  <sheetFormatPr defaultRowHeight="12.75" outlineLevelCol="1"/>
  <cols>
    <col min="1" max="1" width="9.140625" style="153"/>
    <col min="2" max="2" width="15.5703125" style="153" bestFit="1" customWidth="1"/>
    <col min="3" max="3" width="2.5703125" style="153" customWidth="1"/>
    <col min="4" max="4" width="26.7109375" style="153" bestFit="1" customWidth="1"/>
    <col min="5" max="36" width="9" style="153" hidden="1" customWidth="1" outlineLevel="1"/>
    <col min="37" max="37" width="9" style="153" customWidth="1" collapsed="1"/>
    <col min="38" max="39" width="9" style="153" hidden="1" customWidth="1" outlineLevel="1"/>
    <col min="40" max="40" width="9" style="153" customWidth="1" collapsed="1"/>
    <col min="41" max="41" width="9" style="153" customWidth="1"/>
    <col min="42" max="42" width="9" style="153" customWidth="1" outlineLevel="1"/>
    <col min="43" max="43" width="10" style="153" customWidth="1" outlineLevel="1"/>
    <col min="44" max="44" width="9" style="153" customWidth="1"/>
    <col min="45" max="45" width="9" style="153" hidden="1" customWidth="1" outlineLevel="1"/>
    <col min="46" max="46" width="7.85546875" style="153" customWidth="1" collapsed="1"/>
    <col min="47" max="47" width="49.28515625" style="153" customWidth="1"/>
    <col min="48" max="16384" width="9.140625" style="153"/>
  </cols>
  <sheetData>
    <row r="2" spans="2:50">
      <c r="B2" s="152"/>
    </row>
    <row r="3" spans="2:50">
      <c r="B3" s="152"/>
    </row>
    <row r="4" spans="2:50">
      <c r="B4" s="152"/>
    </row>
    <row r="5" spans="2:50">
      <c r="B5" s="152"/>
    </row>
    <row r="6" spans="2:50">
      <c r="AN6" s="154"/>
    </row>
    <row r="7" spans="2:50">
      <c r="AN7" s="154"/>
      <c r="AO7" s="154"/>
      <c r="AP7" s="290"/>
    </row>
    <row r="8" spans="2:50">
      <c r="B8" s="155"/>
      <c r="C8" s="156"/>
      <c r="D8" s="262" t="s">
        <v>350</v>
      </c>
      <c r="E8" s="157"/>
      <c r="F8" s="157"/>
      <c r="G8" s="157"/>
      <c r="H8" s="157"/>
      <c r="I8" s="157"/>
      <c r="J8" s="157"/>
      <c r="K8" s="157"/>
      <c r="L8" s="157"/>
      <c r="M8" s="157"/>
      <c r="N8" s="157"/>
      <c r="O8" s="157"/>
      <c r="P8" s="157"/>
      <c r="Q8" s="157"/>
      <c r="R8" s="157"/>
      <c r="S8" s="157"/>
      <c r="T8" s="244">
        <v>41182</v>
      </c>
      <c r="U8" s="244">
        <v>41274</v>
      </c>
      <c r="V8" s="244">
        <v>41364</v>
      </c>
      <c r="W8" s="244">
        <v>41455</v>
      </c>
      <c r="X8" s="244">
        <v>41547</v>
      </c>
      <c r="Y8" s="244">
        <v>41639</v>
      </c>
      <c r="Z8" s="244">
        <v>41729</v>
      </c>
      <c r="AA8" s="244">
        <v>41820</v>
      </c>
      <c r="AB8" s="244">
        <v>41912</v>
      </c>
      <c r="AC8" s="244">
        <v>42004</v>
      </c>
      <c r="AD8" s="244">
        <v>42094</v>
      </c>
      <c r="AE8" s="244">
        <v>42185</v>
      </c>
      <c r="AF8" s="244">
        <v>42277</v>
      </c>
      <c r="AG8" s="244">
        <v>42369</v>
      </c>
      <c r="AH8" s="244">
        <v>42460</v>
      </c>
      <c r="AI8" s="244">
        <v>42551</v>
      </c>
      <c r="AJ8" s="244">
        <v>42643</v>
      </c>
      <c r="AK8" s="244">
        <v>42735</v>
      </c>
      <c r="AL8" s="244">
        <v>42825</v>
      </c>
      <c r="AM8" s="244">
        <v>42916</v>
      </c>
      <c r="AN8" s="245">
        <v>43008</v>
      </c>
      <c r="AO8" s="329">
        <v>43100</v>
      </c>
      <c r="AP8" s="158" t="s">
        <v>330</v>
      </c>
      <c r="AQ8" s="158" t="s">
        <v>331</v>
      </c>
      <c r="AR8" s="159"/>
      <c r="AS8" s="158" t="s">
        <v>331</v>
      </c>
      <c r="AT8" s="334" t="s">
        <v>332</v>
      </c>
      <c r="AU8" s="336" t="s">
        <v>333</v>
      </c>
    </row>
    <row r="9" spans="2:50">
      <c r="B9" s="156"/>
      <c r="C9" s="156"/>
      <c r="D9" s="261" t="s">
        <v>1</v>
      </c>
      <c r="E9" s="160"/>
      <c r="F9" s="161"/>
      <c r="G9" s="161"/>
      <c r="H9" s="161"/>
      <c r="I9" s="161"/>
      <c r="J9" s="161"/>
      <c r="K9" s="161"/>
      <c r="L9" s="161"/>
      <c r="M9" s="161"/>
      <c r="N9" s="161"/>
      <c r="O9" s="161"/>
      <c r="P9" s="161"/>
      <c r="Q9" s="161"/>
      <c r="R9" s="161"/>
      <c r="S9" s="161"/>
      <c r="T9" s="161" t="s">
        <v>0</v>
      </c>
      <c r="U9" s="161" t="s">
        <v>3</v>
      </c>
      <c r="V9" s="161" t="s">
        <v>4</v>
      </c>
      <c r="W9" s="161" t="s">
        <v>5</v>
      </c>
      <c r="X9" s="161" t="s">
        <v>6</v>
      </c>
      <c r="Y9" s="161" t="s">
        <v>7</v>
      </c>
      <c r="Z9" s="161" t="s">
        <v>8</v>
      </c>
      <c r="AA9" s="161" t="s">
        <v>9</v>
      </c>
      <c r="AB9" s="161" t="s">
        <v>10</v>
      </c>
      <c r="AC9" s="161" t="s">
        <v>11</v>
      </c>
      <c r="AD9" s="161" t="s">
        <v>12</v>
      </c>
      <c r="AE9" s="161" t="s">
        <v>13</v>
      </c>
      <c r="AF9" s="161" t="s">
        <v>14</v>
      </c>
      <c r="AG9" s="161" t="s">
        <v>15</v>
      </c>
      <c r="AH9" s="161" t="s">
        <v>16</v>
      </c>
      <c r="AI9" s="161" t="s">
        <v>17</v>
      </c>
      <c r="AJ9" s="161" t="s">
        <v>20</v>
      </c>
      <c r="AK9" s="161" t="s">
        <v>21</v>
      </c>
      <c r="AL9" s="161" t="s">
        <v>22</v>
      </c>
      <c r="AM9" s="161" t="s">
        <v>23</v>
      </c>
      <c r="AN9" s="162" t="s">
        <v>50</v>
      </c>
      <c r="AO9" s="162" t="s">
        <v>287</v>
      </c>
      <c r="AP9" s="162" t="s">
        <v>51</v>
      </c>
      <c r="AQ9" s="162" t="s">
        <v>334</v>
      </c>
      <c r="AR9" s="163" t="s">
        <v>335</v>
      </c>
      <c r="AS9" s="162" t="s">
        <v>334</v>
      </c>
      <c r="AT9" s="335"/>
      <c r="AU9" s="337"/>
    </row>
    <row r="10" spans="2:50" ht="15" customHeight="1">
      <c r="B10" s="155"/>
      <c r="C10" s="156"/>
      <c r="D10" s="246" t="s">
        <v>336</v>
      </c>
      <c r="E10" s="222"/>
      <c r="F10" s="222"/>
      <c r="G10" s="222"/>
      <c r="H10" s="222"/>
      <c r="I10" s="222"/>
      <c r="J10" s="222"/>
      <c r="K10" s="222"/>
      <c r="L10" s="222"/>
      <c r="M10" s="222"/>
      <c r="N10" s="222"/>
      <c r="O10" s="222"/>
      <c r="P10" s="222"/>
      <c r="Q10" s="222"/>
      <c r="R10" s="222"/>
      <c r="S10" s="222"/>
      <c r="T10" s="222"/>
      <c r="U10" s="222"/>
      <c r="V10" s="222"/>
      <c r="W10" s="222"/>
      <c r="X10" s="222"/>
      <c r="Y10" s="222"/>
      <c r="Z10" s="222"/>
      <c r="AA10" s="222"/>
      <c r="AB10" s="222"/>
      <c r="AC10" s="222"/>
      <c r="AD10" s="222"/>
      <c r="AE10" s="222"/>
      <c r="AF10" s="222"/>
      <c r="AG10" s="222"/>
      <c r="AH10" s="222"/>
      <c r="AI10" s="222"/>
      <c r="AJ10" s="222"/>
      <c r="AK10" s="222"/>
      <c r="AL10" s="222"/>
      <c r="AM10" s="222"/>
      <c r="AN10" s="223"/>
      <c r="AO10" s="223"/>
      <c r="AP10" s="222"/>
      <c r="AQ10" s="224"/>
      <c r="AR10" s="225"/>
      <c r="AS10" s="224"/>
      <c r="AT10" s="226"/>
      <c r="AU10" s="227"/>
      <c r="AX10" s="164"/>
    </row>
    <row r="11" spans="2:50" ht="15" customHeight="1">
      <c r="B11" s="164"/>
      <c r="C11" s="164"/>
      <c r="D11" s="247" t="s">
        <v>337</v>
      </c>
      <c r="E11" s="165"/>
      <c r="F11" s="166"/>
      <c r="G11" s="166"/>
      <c r="H11" s="166"/>
      <c r="I11" s="166"/>
      <c r="J11" s="166"/>
      <c r="K11" s="166"/>
      <c r="L11" s="166"/>
      <c r="M11" s="166"/>
      <c r="N11" s="166"/>
      <c r="O11" s="166"/>
      <c r="P11" s="166"/>
      <c r="Q11" s="167"/>
      <c r="R11" s="167"/>
      <c r="S11" s="167"/>
      <c r="T11" s="235">
        <f>IS!T5</f>
        <v>236.00767747572064</v>
      </c>
      <c r="U11" s="235">
        <f>IS!U5</f>
        <v>250.02480987258627</v>
      </c>
      <c r="V11" s="235">
        <f>IS!V5</f>
        <v>256.55395289598329</v>
      </c>
      <c r="W11" s="235">
        <f>IS!W5</f>
        <v>261.77622606891981</v>
      </c>
      <c r="X11" s="235">
        <f>IS!X5</f>
        <v>268.05077825707741</v>
      </c>
      <c r="Y11" s="235">
        <f>IS!Y5</f>
        <v>276.97613063680853</v>
      </c>
      <c r="Z11" s="235">
        <f>IS!Z5</f>
        <v>281.3929475507324</v>
      </c>
      <c r="AA11" s="235">
        <f>IS!AA5</f>
        <v>296.76736513599604</v>
      </c>
      <c r="AB11" s="235">
        <f>IS!AB5</f>
        <v>320.60000000000002</v>
      </c>
      <c r="AC11" s="235">
        <f>IS!AC5</f>
        <v>323.89999999999998</v>
      </c>
      <c r="AD11" s="235">
        <f>IS!AD5</f>
        <v>340.7</v>
      </c>
      <c r="AE11" s="235">
        <f>IS!AE5</f>
        <v>361.9</v>
      </c>
      <c r="AF11" s="235">
        <f>IS!AF5</f>
        <v>366.8</v>
      </c>
      <c r="AG11" s="235">
        <f>IS!AG5</f>
        <v>369.6</v>
      </c>
      <c r="AH11" s="235">
        <f>IS!AH5</f>
        <v>478</v>
      </c>
      <c r="AI11" s="235">
        <f>IS!AI5</f>
        <v>507.3</v>
      </c>
      <c r="AJ11" s="235">
        <f>IS!AJ5</f>
        <v>504.9</v>
      </c>
      <c r="AK11" s="235">
        <f>IS!AK5</f>
        <v>506.7</v>
      </c>
      <c r="AL11" s="235">
        <f>IS!AL5</f>
        <v>550.20000000000005</v>
      </c>
      <c r="AM11" s="235">
        <f>IS!AM5</f>
        <v>638</v>
      </c>
      <c r="AN11" s="236">
        <f>IS!AN5</f>
        <v>643.5</v>
      </c>
      <c r="AO11" s="236">
        <v>647.45463059298652</v>
      </c>
      <c r="AP11" s="276">
        <v>653.5</v>
      </c>
      <c r="AQ11" s="168">
        <f>+AP11-AO11</f>
        <v>6.0453694070134816</v>
      </c>
      <c r="AR11" s="269">
        <v>648.4</v>
      </c>
      <c r="AS11" s="168">
        <f>+AR11-AO11</f>
        <v>0.94536940701345884</v>
      </c>
      <c r="AT11" s="338" t="s">
        <v>361</v>
      </c>
      <c r="AU11" s="340"/>
      <c r="AV11" s="152"/>
      <c r="AX11" s="164"/>
    </row>
    <row r="12" spans="2:50" ht="15" customHeight="1">
      <c r="B12" s="164"/>
      <c r="C12" s="164"/>
      <c r="D12" s="248" t="s">
        <v>338</v>
      </c>
      <c r="E12" s="169"/>
      <c r="F12" s="170"/>
      <c r="G12" s="170"/>
      <c r="H12" s="170"/>
      <c r="I12" s="170"/>
      <c r="J12" s="170"/>
      <c r="K12" s="170"/>
      <c r="L12" s="170"/>
      <c r="M12" s="170"/>
      <c r="N12" s="170"/>
      <c r="O12" s="170"/>
      <c r="P12" s="170"/>
      <c r="Q12" s="171"/>
      <c r="R12" s="171"/>
      <c r="S12" s="171"/>
      <c r="T12" s="171"/>
      <c r="U12" s="171"/>
      <c r="V12" s="171"/>
      <c r="W12" s="171"/>
      <c r="X12" s="172">
        <f t="shared" ref="X12:AC12" si="0">+X11/T11-1</f>
        <v>0.13577143389605717</v>
      </c>
      <c r="Y12" s="172">
        <f t="shared" si="0"/>
        <v>0.10779458557715449</v>
      </c>
      <c r="Z12" s="172">
        <f t="shared" si="0"/>
        <v>9.6817820869124604E-2</v>
      </c>
      <c r="AA12" s="172">
        <f t="shared" si="0"/>
        <v>0.13366813171897385</v>
      </c>
      <c r="AB12" s="172">
        <f t="shared" si="0"/>
        <v>0.19604204130504188</v>
      </c>
      <c r="AC12" s="172">
        <f t="shared" si="0"/>
        <v>0.16941484905326187</v>
      </c>
      <c r="AD12" s="172">
        <f t="shared" ref="AD12" si="1">+AD11/Z11-1</f>
        <v>0.21076239815347586</v>
      </c>
      <c r="AE12" s="172">
        <f t="shared" ref="AE12" si="2">+AE11/AA11-1</f>
        <v>0.21947371077731659</v>
      </c>
      <c r="AF12" s="172">
        <f t="shared" ref="AF12" si="3">+AF11/AB11-1</f>
        <v>0.14410480349344978</v>
      </c>
      <c r="AG12" s="172">
        <f t="shared" ref="AG12" si="4">+AG11/AC11-1</f>
        <v>0.14109292991664102</v>
      </c>
      <c r="AH12" s="172">
        <f t="shared" ref="AH12" si="5">+AH11/AD11-1</f>
        <v>0.40299383621954799</v>
      </c>
      <c r="AI12" s="172">
        <f t="shared" ref="AI12" si="6">+AI11/AE11-1</f>
        <v>0.40176844432163583</v>
      </c>
      <c r="AJ12" s="172">
        <f t="shared" ref="AJ12" si="7">+AJ11/AF11-1</f>
        <v>0.37649945474372948</v>
      </c>
      <c r="AK12" s="172">
        <f t="shared" ref="AK12" si="8">+AK11/AG11-1</f>
        <v>0.37094155844155829</v>
      </c>
      <c r="AL12" s="172">
        <f t="shared" ref="AL12" si="9">+AL11/AH11-1</f>
        <v>0.15104602510460263</v>
      </c>
      <c r="AM12" s="172">
        <f t="shared" ref="AM12" si="10">+AM11/AI11-1</f>
        <v>0.257638478218017</v>
      </c>
      <c r="AN12" s="274">
        <f t="shared" ref="AN12" si="11">+AN11/AJ11-1</f>
        <v>0.27450980392156876</v>
      </c>
      <c r="AO12" s="274">
        <v>0.27778691650480858</v>
      </c>
      <c r="AP12" s="172">
        <f>+AP11/AK11-1</f>
        <v>0.2897177817248866</v>
      </c>
      <c r="AQ12" s="173">
        <f>+(AP12-AO12)*10000</f>
        <v>119.30865220078024</v>
      </c>
      <c r="AR12" s="174">
        <f>+AR11/AK11-1</f>
        <v>0.27965265443062948</v>
      </c>
      <c r="AS12" s="173">
        <f>+(AR12-AO12)*10000</f>
        <v>18.657379258208984</v>
      </c>
      <c r="AT12" s="338"/>
      <c r="AU12" s="341"/>
      <c r="AX12" s="175"/>
    </row>
    <row r="13" spans="2:50" ht="15" customHeight="1">
      <c r="B13" s="164"/>
      <c r="C13" s="164"/>
      <c r="D13" s="249" t="s">
        <v>339</v>
      </c>
      <c r="E13" s="176"/>
      <c r="F13" s="177"/>
      <c r="G13" s="177"/>
      <c r="H13" s="177"/>
      <c r="I13" s="177"/>
      <c r="J13" s="177"/>
      <c r="K13" s="177"/>
      <c r="L13" s="177"/>
      <c r="M13" s="177"/>
      <c r="N13" s="177"/>
      <c r="O13" s="177"/>
      <c r="P13" s="177"/>
      <c r="Q13" s="178"/>
      <c r="R13" s="178"/>
      <c r="S13" s="178"/>
      <c r="T13" s="178"/>
      <c r="U13" s="237">
        <f>IS!U7</f>
        <v>5.939269665626723E-2</v>
      </c>
      <c r="V13" s="237">
        <f>IS!V7</f>
        <v>2.6113980555466876E-2</v>
      </c>
      <c r="W13" s="237">
        <f>IS!W7</f>
        <v>2.0355457844198011E-2</v>
      </c>
      <c r="X13" s="237">
        <f>IS!X7</f>
        <v>2.3969144495595396E-2</v>
      </c>
      <c r="Y13" s="237">
        <f>IS!Y7</f>
        <v>3.329724478983298E-2</v>
      </c>
      <c r="Z13" s="237">
        <f>IS!Z7</f>
        <v>1.5946561545823412E-2</v>
      </c>
      <c r="AA13" s="237">
        <f>IS!AA7</f>
        <v>5.4636826256961424E-2</v>
      </c>
      <c r="AB13" s="237">
        <f>IS!AB7</f>
        <v>8.0307465253406374E-2</v>
      </c>
      <c r="AC13" s="237">
        <f>IS!AC7</f>
        <v>1.0293200249531953E-2</v>
      </c>
      <c r="AD13" s="237">
        <f>IS!AD7</f>
        <v>5.1867860450756531E-2</v>
      </c>
      <c r="AE13" s="237">
        <f>IS!AE7</f>
        <v>6.2224831229821032E-2</v>
      </c>
      <c r="AF13" s="237">
        <f>IS!AF7</f>
        <v>1.3539651837524369E-2</v>
      </c>
      <c r="AG13" s="237">
        <f>IS!AG7</f>
        <v>7.6335877862596657E-3</v>
      </c>
      <c r="AH13" s="237">
        <f>IS!AH7</f>
        <v>0.29329004329004316</v>
      </c>
      <c r="AI13" s="237">
        <f>IS!AI7</f>
        <v>6.129707112970717E-2</v>
      </c>
      <c r="AJ13" s="237">
        <f>IS!AJ7</f>
        <v>-4.7309284447073496E-3</v>
      </c>
      <c r="AK13" s="237">
        <f>IS!AK7</f>
        <v>3.5650623885918886E-3</v>
      </c>
      <c r="AL13" s="237">
        <f>IS!AL7</f>
        <v>8.5849615156897707E-2</v>
      </c>
      <c r="AM13" s="237">
        <f>IS!AM7</f>
        <v>0.15957833515085418</v>
      </c>
      <c r="AN13" s="238">
        <f>IS!AN7</f>
        <v>8.6206896551723755E-3</v>
      </c>
      <c r="AO13" s="238">
        <v>6.1455020870031518E-3</v>
      </c>
      <c r="AP13" s="179">
        <f>+AP11/AN11-1</f>
        <v>1.5540015540015606E-2</v>
      </c>
      <c r="AQ13" s="180">
        <f>+(AP13-AO13)*10000</f>
        <v>93.945134530124534</v>
      </c>
      <c r="AR13" s="181">
        <f>+AR11/AN11-1</f>
        <v>7.614607614607527E-3</v>
      </c>
      <c r="AS13" s="180">
        <f>+(AR13-AO13)*10000</f>
        <v>14.691055276043752</v>
      </c>
      <c r="AT13" s="339"/>
      <c r="AU13" s="342"/>
      <c r="AX13" s="175"/>
    </row>
    <row r="14" spans="2:50" ht="15" customHeight="1">
      <c r="B14" s="164"/>
      <c r="C14" s="164"/>
      <c r="D14" s="250" t="s">
        <v>54</v>
      </c>
      <c r="E14" s="182"/>
      <c r="F14" s="187"/>
      <c r="G14" s="187"/>
      <c r="H14" s="187"/>
      <c r="I14" s="187"/>
      <c r="J14" s="187"/>
      <c r="K14" s="187"/>
      <c r="L14" s="187"/>
      <c r="M14" s="187"/>
      <c r="N14" s="187"/>
      <c r="O14" s="187"/>
      <c r="P14" s="187"/>
      <c r="Q14" s="188"/>
      <c r="R14" s="188"/>
      <c r="S14" s="188"/>
      <c r="T14" s="240">
        <f>IS!T9</f>
        <v>78.062713368308792</v>
      </c>
      <c r="U14" s="240">
        <f>IS!U9</f>
        <v>73.523740306161642</v>
      </c>
      <c r="V14" s="240">
        <f>IS!V9</f>
        <v>77.957693549915774</v>
      </c>
      <c r="W14" s="240">
        <f>IS!W9</f>
        <v>84.092457259777021</v>
      </c>
      <c r="X14" s="240">
        <f>IS!X9</f>
        <v>79.962105154915918</v>
      </c>
      <c r="Y14" s="240">
        <f>IS!Y9</f>
        <v>86.005363866164899</v>
      </c>
      <c r="Z14" s="240">
        <f>IS!Z9</f>
        <v>85.134182175978381</v>
      </c>
      <c r="AA14" s="240">
        <f>IS!AA9</f>
        <v>92.884084065927425</v>
      </c>
      <c r="AB14" s="240">
        <f>IS!AB9</f>
        <v>107.3</v>
      </c>
      <c r="AC14" s="240">
        <f>IS!AC9</f>
        <v>97.8</v>
      </c>
      <c r="AD14" s="240">
        <f>IS!AD9</f>
        <v>100.9</v>
      </c>
      <c r="AE14" s="240">
        <f>IS!AE9</f>
        <v>107.5</v>
      </c>
      <c r="AF14" s="240">
        <f>IS!AF9</f>
        <v>113</v>
      </c>
      <c r="AG14" s="240">
        <f>IS!AG9</f>
        <v>112.2</v>
      </c>
      <c r="AH14" s="240">
        <f>IS!AH9</f>
        <v>170.8</v>
      </c>
      <c r="AI14" s="240">
        <f>IS!AI9</f>
        <v>182.70000000000005</v>
      </c>
      <c r="AJ14" s="240">
        <f>IS!AJ9</f>
        <v>173.8</v>
      </c>
      <c r="AK14" s="240">
        <f>IS!AK9</f>
        <v>179.9</v>
      </c>
      <c r="AL14" s="240">
        <f>IS!AL9</f>
        <v>195</v>
      </c>
      <c r="AM14" s="240">
        <f>IS!AM9</f>
        <v>234.19999999999993</v>
      </c>
      <c r="AN14" s="241">
        <f>IS!AN9</f>
        <v>235.7</v>
      </c>
      <c r="AO14" s="241">
        <v>233.08366701347515</v>
      </c>
      <c r="AP14" s="276">
        <v>232</v>
      </c>
      <c r="AQ14" s="190">
        <f>+AO14-AP14</f>
        <v>1.08366701347515</v>
      </c>
      <c r="AR14" s="190"/>
      <c r="AS14" s="190"/>
      <c r="AT14" s="344" t="s">
        <v>361</v>
      </c>
      <c r="AU14" s="345"/>
      <c r="AX14" s="186"/>
    </row>
    <row r="15" spans="2:50" ht="15" customHeight="1">
      <c r="B15" s="164"/>
      <c r="C15" s="164"/>
      <c r="D15" s="248" t="s">
        <v>340</v>
      </c>
      <c r="E15" s="191"/>
      <c r="F15" s="191"/>
      <c r="G15" s="191"/>
      <c r="H15" s="191"/>
      <c r="I15" s="191"/>
      <c r="J15" s="191"/>
      <c r="K15" s="191"/>
      <c r="L15" s="191"/>
      <c r="M15" s="191"/>
      <c r="N15" s="191"/>
      <c r="O15" s="191"/>
      <c r="P15" s="191"/>
      <c r="Q15" s="192"/>
      <c r="R15" s="192"/>
      <c r="S15" s="192"/>
      <c r="T15" s="192">
        <f t="shared" ref="T15:Y15" si="12">1-T14/T11</f>
        <v>0.66923655110186187</v>
      </c>
      <c r="U15" s="192">
        <f t="shared" si="12"/>
        <v>0.70593422171331854</v>
      </c>
      <c r="V15" s="192">
        <f t="shared" si="12"/>
        <v>0.69613528589238771</v>
      </c>
      <c r="W15" s="192">
        <f t="shared" si="12"/>
        <v>0.67876205367237064</v>
      </c>
      <c r="X15" s="192">
        <f t="shared" si="12"/>
        <v>0.70169045702890198</v>
      </c>
      <c r="Y15" s="192">
        <f t="shared" si="12"/>
        <v>0.6894845643614631</v>
      </c>
      <c r="Z15" s="192">
        <f t="shared" ref="Z15:AC15" si="13">1-Z14/Z11</f>
        <v>0.69745445677657036</v>
      </c>
      <c r="AA15" s="192">
        <f t="shared" si="13"/>
        <v>0.68701381965175812</v>
      </c>
      <c r="AB15" s="192">
        <f t="shared" si="13"/>
        <v>0.66531503431066752</v>
      </c>
      <c r="AC15" s="192">
        <f t="shared" si="13"/>
        <v>0.69805495523309657</v>
      </c>
      <c r="AD15" s="192">
        <f t="shared" ref="AD15:AE15" si="14">1-AD14/AD11</f>
        <v>0.70384502494863521</v>
      </c>
      <c r="AE15" s="192">
        <f t="shared" si="14"/>
        <v>0.70295661785023489</v>
      </c>
      <c r="AF15" s="192">
        <f t="shared" ref="AF15" si="15">1-AF14/AF11</f>
        <v>0.69193020719738274</v>
      </c>
      <c r="AG15" s="192">
        <f t="shared" ref="AG15" si="16">1-AG14/AG11</f>
        <v>0.6964285714285714</v>
      </c>
      <c r="AH15" s="192">
        <f t="shared" ref="AH15" si="17">1-AH14/AH11</f>
        <v>0.64267782426778242</v>
      </c>
      <c r="AI15" s="192">
        <f t="shared" ref="AI15:AN15" si="18">1-AI14/AI11</f>
        <v>0.63985807214665869</v>
      </c>
      <c r="AJ15" s="192">
        <f t="shared" si="18"/>
        <v>0.65577342047930287</v>
      </c>
      <c r="AK15" s="192">
        <f t="shared" si="18"/>
        <v>0.64495756858101438</v>
      </c>
      <c r="AL15" s="192">
        <f t="shared" si="18"/>
        <v>0.64558342420937842</v>
      </c>
      <c r="AM15" s="192">
        <f t="shared" si="18"/>
        <v>0.63291536050156749</v>
      </c>
      <c r="AN15" s="193">
        <f t="shared" si="18"/>
        <v>0.63372183372183377</v>
      </c>
      <c r="AO15" s="193">
        <v>0.64</v>
      </c>
      <c r="AP15" s="192">
        <f>1-(AP14/AP11)</f>
        <v>0.64498852333588363</v>
      </c>
      <c r="AQ15" s="173">
        <f>+(AP15-AO15)*10000</f>
        <v>49.88523335883621</v>
      </c>
      <c r="AR15" s="195"/>
      <c r="AS15" s="173"/>
      <c r="AT15" s="339"/>
      <c r="AU15" s="342"/>
      <c r="AX15" s="175"/>
    </row>
    <row r="16" spans="2:50" ht="15" customHeight="1">
      <c r="B16" s="164"/>
      <c r="C16" s="164"/>
      <c r="D16" s="251" t="s">
        <v>55</v>
      </c>
      <c r="E16" s="196"/>
      <c r="F16" s="187"/>
      <c r="G16" s="187"/>
      <c r="H16" s="187"/>
      <c r="I16" s="187"/>
      <c r="J16" s="187"/>
      <c r="K16" s="187"/>
      <c r="L16" s="187"/>
      <c r="M16" s="187"/>
      <c r="N16" s="187"/>
      <c r="O16" s="187"/>
      <c r="P16" s="187"/>
      <c r="Q16" s="188"/>
      <c r="R16" s="188"/>
      <c r="S16" s="188"/>
      <c r="T16" s="240">
        <f>IS!T11</f>
        <v>43.744416494709029</v>
      </c>
      <c r="U16" s="240">
        <f>IS!U11</f>
        <v>38.852421119771691</v>
      </c>
      <c r="V16" s="240">
        <f>IS!V11</f>
        <v>31.205022800382235</v>
      </c>
      <c r="W16" s="240">
        <f>IS!W11</f>
        <v>36.97049062815038</v>
      </c>
      <c r="X16" s="240">
        <f>IS!X11</f>
        <v>33.1149821395828</v>
      </c>
      <c r="Y16" s="240">
        <f>IS!Y11</f>
        <v>29.729599252940243</v>
      </c>
      <c r="Z16" s="240">
        <f>IS!Z11</f>
        <v>31.102834349446798</v>
      </c>
      <c r="AA16" s="240">
        <f>IS!AA11</f>
        <v>37.278557581579236</v>
      </c>
      <c r="AB16" s="240">
        <f>IS!AB11</f>
        <v>33.700000000000017</v>
      </c>
      <c r="AC16" s="240">
        <f>IS!AC11</f>
        <v>38.1</v>
      </c>
      <c r="AD16" s="240">
        <f>IS!AD11</f>
        <v>42.3</v>
      </c>
      <c r="AE16" s="240">
        <f>IS!AE11</f>
        <v>43.599999999999937</v>
      </c>
      <c r="AF16" s="240">
        <f>IS!AF11</f>
        <v>38.499999999999993</v>
      </c>
      <c r="AG16" s="240">
        <f>IS!AG11</f>
        <v>42.1</v>
      </c>
      <c r="AH16" s="240">
        <f>IS!AH11</f>
        <v>79</v>
      </c>
      <c r="AI16" s="240">
        <f>IS!AI11</f>
        <v>70.899999999999977</v>
      </c>
      <c r="AJ16" s="240">
        <f>IS!AJ11</f>
        <v>73.599999999999994</v>
      </c>
      <c r="AK16" s="240">
        <f>IS!AK11</f>
        <v>70.2</v>
      </c>
      <c r="AL16" s="240">
        <f>IS!AL11</f>
        <v>82.3</v>
      </c>
      <c r="AM16" s="240">
        <f>IS!AM11</f>
        <v>96.000000000000028</v>
      </c>
      <c r="AN16" s="241">
        <f>IS!AN11</f>
        <v>100.50000000000001</v>
      </c>
      <c r="AO16" s="241">
        <v>98.736831165430445</v>
      </c>
      <c r="AP16" s="277">
        <f>121.6-23.5</f>
        <v>98.1</v>
      </c>
      <c r="AQ16" s="190">
        <f>+AO16-AP16</f>
        <v>0.6368311654304506</v>
      </c>
      <c r="AR16" s="197"/>
      <c r="AS16" s="190"/>
      <c r="AT16" s="198" t="s">
        <v>361</v>
      </c>
      <c r="AU16" s="199"/>
      <c r="AX16" s="175"/>
    </row>
    <row r="17" spans="1:50" ht="15" customHeight="1">
      <c r="B17" s="164"/>
      <c r="C17" s="164"/>
      <c r="D17" s="252" t="s">
        <v>347</v>
      </c>
      <c r="E17" s="196"/>
      <c r="F17" s="183"/>
      <c r="G17" s="183"/>
      <c r="H17" s="183"/>
      <c r="I17" s="183"/>
      <c r="J17" s="183"/>
      <c r="K17" s="183"/>
      <c r="L17" s="183"/>
      <c r="M17" s="183"/>
      <c r="N17" s="183"/>
      <c r="O17" s="183"/>
      <c r="P17" s="183"/>
      <c r="Q17" s="184"/>
      <c r="R17" s="184"/>
      <c r="S17" s="184"/>
      <c r="T17" s="257">
        <f t="shared" ref="T17:Y17" si="19">+T11-T14-T16-T18</f>
        <v>-11.417335949796467</v>
      </c>
      <c r="U17" s="257">
        <f t="shared" si="19"/>
        <v>-1.7300689568049847</v>
      </c>
      <c r="V17" s="257">
        <f t="shared" si="19"/>
        <v>-0.20045420442448858</v>
      </c>
      <c r="W17" s="257">
        <f t="shared" si="19"/>
        <v>-1.1255061096141219</v>
      </c>
      <c r="X17" s="257">
        <f t="shared" si="19"/>
        <v>-0.62808009348188421</v>
      </c>
      <c r="Y17" s="257">
        <f t="shared" si="19"/>
        <v>-0.42450621995064353</v>
      </c>
      <c r="Z17" s="257">
        <f t="shared" ref="Z17:AC17" si="20">+Z11-Z14-Z16-Z18</f>
        <v>-7.3106358342386102E-2</v>
      </c>
      <c r="AA17" s="257">
        <f t="shared" si="20"/>
        <v>-4.5089810629485214</v>
      </c>
      <c r="AB17" s="257">
        <f t="shared" si="20"/>
        <v>-3.3999999999999773</v>
      </c>
      <c r="AC17" s="257">
        <f t="shared" si="20"/>
        <v>-1.7000000000000455</v>
      </c>
      <c r="AD17" s="257">
        <f t="shared" ref="AD17:AE17" si="21">+AD11-AD14-AD16-AD18</f>
        <v>-1.5</v>
      </c>
      <c r="AE17" s="257">
        <f t="shared" si="21"/>
        <v>-9.9999999999994316E-2</v>
      </c>
      <c r="AF17" s="257">
        <f t="shared" ref="AF17" si="22">+AF11-AF14-AF16-AF18</f>
        <v>-9.9999999999965894E-2</v>
      </c>
      <c r="AG17" s="257">
        <f t="shared" ref="AG17" si="23">+AG11-AG14-AG16-AG18</f>
        <v>-3.6000000000000227</v>
      </c>
      <c r="AH17" s="257">
        <f t="shared" ref="AH17" si="24">+AH11-AH14-AH16-AH18</f>
        <v>-14.599999999999966</v>
      </c>
      <c r="AI17" s="257">
        <f t="shared" ref="AI17:AN17" si="25">+AI11-AI14-AI16-AI18</f>
        <v>-4.0999999999999659</v>
      </c>
      <c r="AJ17" s="257">
        <f t="shared" si="25"/>
        <v>-3.1000000000000227</v>
      </c>
      <c r="AK17" s="257">
        <f t="shared" si="25"/>
        <v>-6.7999999999999545</v>
      </c>
      <c r="AL17" s="257">
        <f t="shared" si="25"/>
        <v>-9.1000000000000227</v>
      </c>
      <c r="AM17" s="257">
        <f t="shared" si="25"/>
        <v>-3</v>
      </c>
      <c r="AN17" s="185">
        <f t="shared" si="25"/>
        <v>-9.3000000000000114</v>
      </c>
      <c r="AO17" s="185">
        <v>-9.5055440751987703</v>
      </c>
      <c r="AP17" s="277"/>
      <c r="AQ17" s="190">
        <f>+AO17-AP17</f>
        <v>-9.5055440751987703</v>
      </c>
      <c r="AR17" s="197"/>
      <c r="AS17" s="190"/>
      <c r="AT17" s="198"/>
      <c r="AU17" s="199"/>
      <c r="AX17" s="175"/>
    </row>
    <row r="18" spans="1:50" ht="15" customHeight="1">
      <c r="B18" s="325"/>
      <c r="C18" s="164"/>
      <c r="D18" s="251" t="s">
        <v>69</v>
      </c>
      <c r="E18" s="196"/>
      <c r="F18" s="200"/>
      <c r="G18" s="200"/>
      <c r="H18" s="200"/>
      <c r="I18" s="200"/>
      <c r="J18" s="200"/>
      <c r="K18" s="200"/>
      <c r="L18" s="200"/>
      <c r="M18" s="200"/>
      <c r="N18" s="200"/>
      <c r="O18" s="200"/>
      <c r="P18" s="200"/>
      <c r="Q18" s="201"/>
      <c r="R18" s="201"/>
      <c r="S18" s="201"/>
      <c r="T18" s="240">
        <f>IS!T51</f>
        <v>125.6178835624993</v>
      </c>
      <c r="U18" s="240">
        <f>IS!U51</f>
        <v>139.37871740345793</v>
      </c>
      <c r="V18" s="240">
        <f>IS!V51</f>
        <v>147.59169075010976</v>
      </c>
      <c r="W18" s="240">
        <f>IS!W51</f>
        <v>141.83878429060655</v>
      </c>
      <c r="X18" s="240">
        <f>IS!X51</f>
        <v>155.60177105606058</v>
      </c>
      <c r="Y18" s="240">
        <f>IS!Y51</f>
        <v>161.66567373765406</v>
      </c>
      <c r="Z18" s="240">
        <f>IS!Z51</f>
        <v>165.22903738364963</v>
      </c>
      <c r="AA18" s="240">
        <f>IS!AA51</f>
        <v>171.11370455143791</v>
      </c>
      <c r="AB18" s="240">
        <f>IS!AB51</f>
        <v>182.99999999999997</v>
      </c>
      <c r="AC18" s="240">
        <f>IS!AC51</f>
        <v>189.70000000000002</v>
      </c>
      <c r="AD18" s="240">
        <f>IS!AD51</f>
        <v>199</v>
      </c>
      <c r="AE18" s="240">
        <f>IS!AE51</f>
        <v>210.90000000000003</v>
      </c>
      <c r="AF18" s="240">
        <f>IS!AF51</f>
        <v>215.39999999999998</v>
      </c>
      <c r="AG18" s="240">
        <f>IS!AG51</f>
        <v>218.90000000000006</v>
      </c>
      <c r="AH18" s="240">
        <f>IS!AH51</f>
        <v>242.79999999999995</v>
      </c>
      <c r="AI18" s="240">
        <f>IS!AI51</f>
        <v>257.79999999999995</v>
      </c>
      <c r="AJ18" s="240">
        <f>IS!AJ51</f>
        <v>260.60000000000002</v>
      </c>
      <c r="AK18" s="240">
        <f>IS!AK51</f>
        <v>263.39999999999992</v>
      </c>
      <c r="AL18" s="240">
        <f>IS!AL51</f>
        <v>282.00000000000006</v>
      </c>
      <c r="AM18" s="240">
        <f>IS!AM51</f>
        <v>310.80000000000007</v>
      </c>
      <c r="AN18" s="241">
        <f>IS!AN51</f>
        <v>316.60000000000002</v>
      </c>
      <c r="AO18" s="241">
        <v>325.13967648927968</v>
      </c>
      <c r="AP18" s="278">
        <v>329.9</v>
      </c>
      <c r="AQ18" s="190">
        <f>+AP18-AO18</f>
        <v>4.7603235107202977</v>
      </c>
      <c r="AR18" s="270">
        <v>323.2</v>
      </c>
      <c r="AS18" s="190">
        <f>+AR18-AO18</f>
        <v>-1.9396764892796909</v>
      </c>
      <c r="AT18" s="344" t="s">
        <v>361</v>
      </c>
      <c r="AU18" s="345"/>
      <c r="AX18" s="175"/>
    </row>
    <row r="19" spans="1:50" ht="15" customHeight="1">
      <c r="A19" s="202"/>
      <c r="B19" s="318"/>
      <c r="C19" s="164"/>
      <c r="D19" s="248" t="s">
        <v>203</v>
      </c>
      <c r="E19" s="191"/>
      <c r="F19" s="191"/>
      <c r="G19" s="191"/>
      <c r="H19" s="191"/>
      <c r="I19" s="191"/>
      <c r="J19" s="191"/>
      <c r="K19" s="191"/>
      <c r="L19" s="191"/>
      <c r="M19" s="191"/>
      <c r="N19" s="191"/>
      <c r="O19" s="191"/>
      <c r="P19" s="191"/>
      <c r="Q19" s="192"/>
      <c r="R19" s="192"/>
      <c r="S19" s="192"/>
      <c r="T19" s="192">
        <f t="shared" ref="T19:Y19" si="26">+T18/T11</f>
        <v>0.53226185226716738</v>
      </c>
      <c r="U19" s="192">
        <f t="shared" si="26"/>
        <v>0.55745954761243866</v>
      </c>
      <c r="V19" s="192">
        <f t="shared" si="26"/>
        <v>0.57528519472841266</v>
      </c>
      <c r="W19" s="192">
        <f t="shared" si="26"/>
        <v>0.54183218400155098</v>
      </c>
      <c r="X19" s="192">
        <f t="shared" si="26"/>
        <v>0.58049363657071262</v>
      </c>
      <c r="Y19" s="192">
        <f t="shared" si="26"/>
        <v>0.58368088746839331</v>
      </c>
      <c r="Z19" s="192">
        <f t="shared" ref="Z19:AC19" si="27">+Z18/Z11</f>
        <v>0.58718258158854686</v>
      </c>
      <c r="AA19" s="192">
        <f t="shared" si="27"/>
        <v>0.57659205375572098</v>
      </c>
      <c r="AB19" s="192">
        <f t="shared" si="27"/>
        <v>0.57080474111041779</v>
      </c>
      <c r="AC19" s="192">
        <f t="shared" si="27"/>
        <v>0.58567459092312446</v>
      </c>
      <c r="AD19" s="192">
        <f t="shared" ref="AD19:AE19" si="28">+AD18/AD11</f>
        <v>0.58409157616671559</v>
      </c>
      <c r="AE19" s="192">
        <f t="shared" si="28"/>
        <v>0.58275766786405092</v>
      </c>
      <c r="AF19" s="192">
        <f t="shared" ref="AF19" si="29">+AF18/AF11</f>
        <v>0.5872410032715375</v>
      </c>
      <c r="AG19" s="192">
        <f t="shared" ref="AG19" si="30">+AG18/AG11</f>
        <v>0.59226190476190488</v>
      </c>
      <c r="AH19" s="192">
        <f t="shared" ref="AH19" si="31">+AH18/AH11</f>
        <v>0.50794979079497904</v>
      </c>
      <c r="AI19" s="192">
        <f t="shared" ref="AI19:AN19" si="32">+AI18/AI11</f>
        <v>0.50818056376897291</v>
      </c>
      <c r="AJ19" s="192">
        <f t="shared" si="32"/>
        <v>0.51614181025945738</v>
      </c>
      <c r="AK19" s="192">
        <f t="shared" si="32"/>
        <v>0.51983422143280034</v>
      </c>
      <c r="AL19" s="192">
        <f t="shared" si="32"/>
        <v>0.51254089422028359</v>
      </c>
      <c r="AM19" s="192">
        <f t="shared" si="32"/>
        <v>0.4871473354231976</v>
      </c>
      <c r="AN19" s="193">
        <f t="shared" si="32"/>
        <v>0.49199689199689201</v>
      </c>
      <c r="AO19" s="193">
        <v>0.50218140565539371</v>
      </c>
      <c r="AP19" s="192">
        <f>+AP18/AP11</f>
        <v>0.50482019892884467</v>
      </c>
      <c r="AQ19" s="173">
        <f>+(AP19-AO19)*10000</f>
        <v>26.387932734509569</v>
      </c>
      <c r="AR19" s="194">
        <f>+AR18/AR11</f>
        <v>0.4984577421344849</v>
      </c>
      <c r="AS19" s="173">
        <f>+(AR19-AO19)*10000</f>
        <v>-37.236635209088043</v>
      </c>
      <c r="AT19" s="339"/>
      <c r="AU19" s="342"/>
      <c r="AX19" s="175"/>
    </row>
    <row r="20" spans="1:50" ht="15" customHeight="1">
      <c r="B20" s="164"/>
      <c r="C20" s="164"/>
      <c r="D20" s="252" t="s">
        <v>341</v>
      </c>
      <c r="E20" s="196"/>
      <c r="F20" s="203"/>
      <c r="G20" s="203"/>
      <c r="H20" s="203"/>
      <c r="I20" s="203"/>
      <c r="J20" s="203"/>
      <c r="K20" s="203"/>
      <c r="L20" s="203"/>
      <c r="M20" s="203"/>
      <c r="N20" s="203"/>
      <c r="O20" s="203"/>
      <c r="P20" s="203"/>
      <c r="Q20" s="204"/>
      <c r="R20" s="204"/>
      <c r="S20" s="204"/>
      <c r="T20" s="204"/>
      <c r="U20" s="204"/>
      <c r="V20" s="204"/>
      <c r="W20" s="204"/>
      <c r="X20" s="204"/>
      <c r="Y20" s="309"/>
      <c r="Z20" s="309"/>
      <c r="AA20" s="309"/>
      <c r="AB20" s="309">
        <f>IS!AB35</f>
        <v>-0.49551569506726462</v>
      </c>
      <c r="AC20" s="309">
        <f>IS!AC35</f>
        <v>1.6019652099781879E-2</v>
      </c>
      <c r="AD20" s="309">
        <f>IS!AD35</f>
        <v>-0.22409463794487838</v>
      </c>
      <c r="AE20" s="309">
        <f>IS!AE35</f>
        <v>2.1282730978005499E-2</v>
      </c>
      <c r="AF20" s="309">
        <f>IS!AF35</f>
        <v>-6.2551440329218028E-2</v>
      </c>
      <c r="AG20" s="309">
        <f>IS!AG35</f>
        <v>-4.4117647058823435E-2</v>
      </c>
      <c r="AH20" s="309">
        <f>IS!AH35</f>
        <v>-7.932593505959723E-2</v>
      </c>
      <c r="AI20" s="309">
        <f>IS!AI35</f>
        <v>-0.12700369913686815</v>
      </c>
      <c r="AJ20" s="309">
        <f>IS!AJ35</f>
        <v>6.4344262295081986E-2</v>
      </c>
      <c r="AK20" s="309">
        <f>IS!AK35</f>
        <v>8.061889250814315E-2</v>
      </c>
      <c r="AL20" s="309">
        <f>IS!AL35</f>
        <v>0.10971149939049185</v>
      </c>
      <c r="AM20" s="309">
        <f>IS!AM35</f>
        <v>9.400324149108602E-2</v>
      </c>
      <c r="AN20" s="310">
        <f>IS!AN35</f>
        <v>9.3548387096774266E-2</v>
      </c>
      <c r="AO20" s="310">
        <v>0.19907482085321343</v>
      </c>
      <c r="AP20" s="279">
        <v>0.05</v>
      </c>
      <c r="AQ20" s="205"/>
      <c r="AR20" s="271">
        <v>0.12</v>
      </c>
      <c r="AS20" s="205">
        <f>+AR20-AO20</f>
        <v>-7.9074820853213434E-2</v>
      </c>
      <c r="AT20" s="198" t="s">
        <v>323</v>
      </c>
      <c r="AU20" s="199"/>
      <c r="AX20" s="164"/>
    </row>
    <row r="21" spans="1:50" ht="15" customHeight="1">
      <c r="B21" s="164"/>
      <c r="C21" s="164"/>
      <c r="D21" s="251" t="s">
        <v>344</v>
      </c>
      <c r="E21" s="196"/>
      <c r="F21" s="187"/>
      <c r="G21" s="187"/>
      <c r="H21" s="187"/>
      <c r="I21" s="187"/>
      <c r="J21" s="187"/>
      <c r="K21" s="187"/>
      <c r="L21" s="187"/>
      <c r="M21" s="187"/>
      <c r="N21" s="187"/>
      <c r="O21" s="187"/>
      <c r="P21" s="187"/>
      <c r="Q21" s="188"/>
      <c r="R21" s="188"/>
      <c r="S21" s="188"/>
      <c r="T21" s="240">
        <f>BS!T69</f>
        <v>66.687000019999999</v>
      </c>
      <c r="U21" s="240">
        <f>BS!U69</f>
        <v>58.91</v>
      </c>
      <c r="V21" s="240">
        <f>BS!V69</f>
        <v>95.73</v>
      </c>
      <c r="W21" s="240">
        <f>BS!W69</f>
        <v>101.907</v>
      </c>
      <c r="X21" s="240">
        <f>BS!X69</f>
        <v>86.671996482221047</v>
      </c>
      <c r="Y21" s="240">
        <f>BS!Y69</f>
        <v>88.276763707906341</v>
      </c>
      <c r="Z21" s="240">
        <f>BS!Z69</f>
        <v>90.922727784094747</v>
      </c>
      <c r="AA21" s="240">
        <f>BS!AA69</f>
        <v>94.885512025777871</v>
      </c>
      <c r="AB21" s="240">
        <f>BS!AB69</f>
        <v>115.3</v>
      </c>
      <c r="AC21" s="240">
        <f>BS!AC69</f>
        <v>129.5</v>
      </c>
      <c r="AD21" s="240">
        <f>BS!AD69</f>
        <v>130.09999999999997</v>
      </c>
      <c r="AE21" s="240">
        <f>BS!AE69</f>
        <v>155.5</v>
      </c>
      <c r="AF21" s="240">
        <f>BS!AF69</f>
        <v>159.19999999999999</v>
      </c>
      <c r="AG21" s="240">
        <f>BS!AG69</f>
        <v>172.40000000000003</v>
      </c>
      <c r="AH21" s="240">
        <f>BS!AH69</f>
        <v>185.10000000000002</v>
      </c>
      <c r="AI21" s="240">
        <f>BS!AI69</f>
        <v>187.40000000000003</v>
      </c>
      <c r="AJ21" s="240">
        <f>BS!AJ69</f>
        <v>208.3</v>
      </c>
      <c r="AK21" s="240">
        <f>BS!AK69</f>
        <v>213.59999999999997</v>
      </c>
      <c r="AL21" s="240">
        <f>BS!AL69</f>
        <v>208.30000000000007</v>
      </c>
      <c r="AM21" s="240">
        <f>BS!AM69</f>
        <v>205.3</v>
      </c>
      <c r="AN21" s="241">
        <f>BS!AN69</f>
        <v>193.4</v>
      </c>
      <c r="AO21" s="241">
        <v>213.66002809568556</v>
      </c>
      <c r="AP21" s="277">
        <v>193.4</v>
      </c>
      <c r="AQ21" s="190">
        <f>+AO21-AP21</f>
        <v>20.260028095685556</v>
      </c>
      <c r="AR21" s="270">
        <v>200.79</v>
      </c>
      <c r="AS21" s="190">
        <f>+AO21-AR21</f>
        <v>12.870028095685569</v>
      </c>
      <c r="AT21" s="344" t="s">
        <v>361</v>
      </c>
      <c r="AU21" s="345"/>
      <c r="AX21" s="164"/>
    </row>
    <row r="22" spans="1:50" ht="15" customHeight="1">
      <c r="B22" s="164"/>
      <c r="C22" s="164"/>
      <c r="D22" s="248" t="s">
        <v>218</v>
      </c>
      <c r="E22" s="191"/>
      <c r="F22" s="191"/>
      <c r="G22" s="191"/>
      <c r="H22" s="191"/>
      <c r="I22" s="191"/>
      <c r="J22" s="191"/>
      <c r="K22" s="191"/>
      <c r="L22" s="191"/>
      <c r="M22" s="191"/>
      <c r="N22" s="191"/>
      <c r="O22" s="191"/>
      <c r="P22" s="191"/>
      <c r="Q22" s="192"/>
      <c r="R22" s="192"/>
      <c r="S22" s="192"/>
      <c r="T22" s="192">
        <f t="shared" ref="T22:Y22" si="33">+T21/T11</f>
        <v>0.28256284174001267</v>
      </c>
      <c r="U22" s="192">
        <f t="shared" si="33"/>
        <v>0.23561661752695978</v>
      </c>
      <c r="V22" s="192">
        <f t="shared" si="33"/>
        <v>0.3731378874478406</v>
      </c>
      <c r="W22" s="192">
        <f t="shared" si="33"/>
        <v>0.38929050789039249</v>
      </c>
      <c r="X22" s="192">
        <f t="shared" si="33"/>
        <v>0.32334170803674073</v>
      </c>
      <c r="Y22" s="192">
        <f t="shared" si="33"/>
        <v>0.31871614173013818</v>
      </c>
      <c r="Z22" s="192">
        <f t="shared" ref="Z22:AC22" si="34">+Z21/Z11</f>
        <v>0.32311658332411569</v>
      </c>
      <c r="AA22" s="192">
        <f t="shared" si="34"/>
        <v>0.31973027756032346</v>
      </c>
      <c r="AB22" s="192">
        <f t="shared" si="34"/>
        <v>0.35963817841547097</v>
      </c>
      <c r="AC22" s="192">
        <f t="shared" si="34"/>
        <v>0.39981475764124735</v>
      </c>
      <c r="AD22" s="192">
        <f t="shared" ref="AD22:AE22" si="35">+AD21/AD11</f>
        <v>0.3818608746697974</v>
      </c>
      <c r="AE22" s="192">
        <f t="shared" si="35"/>
        <v>0.42967670627245097</v>
      </c>
      <c r="AF22" s="192">
        <f t="shared" ref="AF22" si="36">+AF21/AF11</f>
        <v>0.43402399127589963</v>
      </c>
      <c r="AG22" s="192">
        <f t="shared" ref="AG22" si="37">+AG21/AG11</f>
        <v>0.4664502164502165</v>
      </c>
      <c r="AH22" s="192">
        <f t="shared" ref="AH22" si="38">+AH21/AH11</f>
        <v>0.38723849372384944</v>
      </c>
      <c r="AI22" s="192">
        <f t="shared" ref="AI22:AN22" si="39">+AI21/AI11</f>
        <v>0.36940666272422634</v>
      </c>
      <c r="AJ22" s="192">
        <f t="shared" si="39"/>
        <v>0.41255694196870674</v>
      </c>
      <c r="AK22" s="192">
        <f t="shared" si="39"/>
        <v>0.42155121373593835</v>
      </c>
      <c r="AL22" s="192">
        <f t="shared" si="39"/>
        <v>0.3785896037804436</v>
      </c>
      <c r="AM22" s="192">
        <f t="shared" si="39"/>
        <v>0.32178683385579937</v>
      </c>
      <c r="AN22" s="193">
        <f t="shared" si="39"/>
        <v>0.30054390054390057</v>
      </c>
      <c r="AO22" s="193">
        <v>0.33</v>
      </c>
      <c r="AP22" s="192">
        <f>+AP21/AP11</f>
        <v>0.29594491201224177</v>
      </c>
      <c r="AQ22" s="173">
        <f>+(AO22-AP22)*10000</f>
        <v>340.55087987758247</v>
      </c>
      <c r="AR22" s="194">
        <f>+AR21/AR11</f>
        <v>0.30966995681677978</v>
      </c>
      <c r="AS22" s="173">
        <f>+(AO22-AR22)*10000</f>
        <v>203.30043183220238</v>
      </c>
      <c r="AT22" s="339"/>
      <c r="AU22" s="342"/>
      <c r="AW22" s="152"/>
      <c r="AX22" s="164"/>
    </row>
    <row r="23" spans="1:50" ht="18">
      <c r="B23" s="164"/>
      <c r="C23" s="164"/>
      <c r="D23" s="251" t="s">
        <v>346</v>
      </c>
      <c r="E23" s="196"/>
      <c r="F23" s="187"/>
      <c r="G23" s="187"/>
      <c r="H23" s="187"/>
      <c r="I23" s="187"/>
      <c r="J23" s="187"/>
      <c r="K23" s="187"/>
      <c r="L23" s="187"/>
      <c r="M23" s="187"/>
      <c r="N23" s="187"/>
      <c r="O23" s="187"/>
      <c r="P23" s="187"/>
      <c r="Q23" s="188"/>
      <c r="R23" s="188"/>
      <c r="S23" s="188"/>
      <c r="T23" s="240">
        <f>CF!T59</f>
        <v>52.15980218169824</v>
      </c>
      <c r="U23" s="240">
        <f>CF!U59</f>
        <v>46.862897101626189</v>
      </c>
      <c r="V23" s="240">
        <f>CF!V59</f>
        <v>-12.622883935889107</v>
      </c>
      <c r="W23" s="240">
        <f>CF!W59</f>
        <v>26.988096223832443</v>
      </c>
      <c r="X23" s="240">
        <f>CF!X59</f>
        <v>11.776984632705123</v>
      </c>
      <c r="Y23" s="240">
        <f>CF!Y59</f>
        <v>64.89373759998729</v>
      </c>
      <c r="Z23" s="240">
        <f>CF!Z59</f>
        <v>57.606090816951649</v>
      </c>
      <c r="AA23" s="240">
        <f>CF!AA59</f>
        <v>71.4501869503558</v>
      </c>
      <c r="AB23" s="240">
        <f>CF!AB59</f>
        <v>2.8999999999999915</v>
      </c>
      <c r="AC23" s="240">
        <f>CF!AC59</f>
        <v>-5.8000000000000398</v>
      </c>
      <c r="AD23" s="240">
        <f>CF!AD59</f>
        <v>38.400000000000063</v>
      </c>
      <c r="AE23" s="240">
        <f>CF!AE59</f>
        <v>39.500000000000028</v>
      </c>
      <c r="AF23" s="240">
        <f>CF!AF59</f>
        <v>36.000000000000028</v>
      </c>
      <c r="AG23" s="240">
        <f>CF!AG59</f>
        <v>-26.199999999999989</v>
      </c>
      <c r="AH23" s="240">
        <f>CF!AH59</f>
        <v>11.299999999999955</v>
      </c>
      <c r="AI23" s="240">
        <f>CF!AI59</f>
        <v>-11.199999999999989</v>
      </c>
      <c r="AJ23" s="240">
        <f>CF!AJ59</f>
        <v>24.5</v>
      </c>
      <c r="AK23" s="240">
        <f>CF!AK59</f>
        <v>-43.900000000000006</v>
      </c>
      <c r="AL23" s="240">
        <f>CF!AL59</f>
        <v>54.099999999999909</v>
      </c>
      <c r="AM23" s="240">
        <f>CF!AM59</f>
        <v>39.600000000000051</v>
      </c>
      <c r="AN23" s="241">
        <f>CF!AN59</f>
        <v>75.400000000000063</v>
      </c>
      <c r="AO23" s="241">
        <v>17.898651025455706</v>
      </c>
      <c r="AP23" s="277">
        <v>-5.7</v>
      </c>
      <c r="AQ23" s="190">
        <f>+AP23-AO23</f>
        <v>-23.598651025455705</v>
      </c>
      <c r="AR23" s="189"/>
      <c r="AS23" s="206"/>
      <c r="AT23" s="198" t="s">
        <v>323</v>
      </c>
      <c r="AU23" s="207"/>
      <c r="AV23" s="152"/>
      <c r="AX23" s="164"/>
    </row>
    <row r="24" spans="1:50" ht="15" customHeight="1">
      <c r="B24" s="164"/>
      <c r="C24" s="164"/>
      <c r="D24" s="246" t="s">
        <v>342</v>
      </c>
      <c r="E24" s="228"/>
      <c r="F24" s="228"/>
      <c r="G24" s="228"/>
      <c r="H24" s="228"/>
      <c r="I24" s="228"/>
      <c r="J24" s="228"/>
      <c r="K24" s="228"/>
      <c r="L24" s="228"/>
      <c r="M24" s="228"/>
      <c r="N24" s="228"/>
      <c r="O24" s="228"/>
      <c r="P24" s="228"/>
      <c r="Q24" s="229"/>
      <c r="R24" s="229"/>
      <c r="S24" s="229"/>
      <c r="T24" s="229"/>
      <c r="U24" s="229"/>
      <c r="V24" s="229"/>
      <c r="W24" s="229"/>
      <c r="X24" s="229"/>
      <c r="Y24" s="229"/>
      <c r="Z24" s="229"/>
      <c r="AA24" s="229"/>
      <c r="AB24" s="229"/>
      <c r="AC24" s="229"/>
      <c r="AD24" s="229"/>
      <c r="AE24" s="229"/>
      <c r="AF24" s="229"/>
      <c r="AG24" s="229"/>
      <c r="AH24" s="229"/>
      <c r="AI24" s="229"/>
      <c r="AJ24" s="229"/>
      <c r="AK24" s="229"/>
      <c r="AL24" s="229"/>
      <c r="AM24" s="229"/>
      <c r="AN24" s="230"/>
      <c r="AO24" s="230"/>
      <c r="AP24" s="229"/>
      <c r="AQ24" s="232"/>
      <c r="AR24" s="231"/>
      <c r="AS24" s="232"/>
      <c r="AT24" s="233"/>
      <c r="AU24" s="234"/>
      <c r="AX24" s="164"/>
    </row>
    <row r="25" spans="1:50" ht="15" customHeight="1">
      <c r="B25" s="164"/>
      <c r="C25" s="164"/>
      <c r="D25" s="253" t="s">
        <v>406</v>
      </c>
      <c r="E25" s="208"/>
      <c r="F25" s="208"/>
      <c r="G25" s="208"/>
      <c r="H25" s="208"/>
      <c r="I25" s="208"/>
      <c r="J25" s="209"/>
      <c r="K25" s="209"/>
      <c r="L25" s="209"/>
      <c r="M25" s="209"/>
      <c r="N25" s="209"/>
      <c r="O25" s="209"/>
      <c r="P25" s="209"/>
      <c r="Q25" s="210"/>
      <c r="R25" s="210"/>
      <c r="S25" s="210"/>
      <c r="T25" s="242"/>
      <c r="U25" s="242"/>
      <c r="V25" s="242"/>
      <c r="W25" s="242"/>
      <c r="X25" s="242"/>
      <c r="Y25" s="242"/>
      <c r="Z25" s="242"/>
      <c r="AA25" s="242"/>
      <c r="AB25" s="242"/>
      <c r="AC25" s="242"/>
      <c r="AD25" s="242"/>
      <c r="AE25" s="242"/>
      <c r="AF25" s="242"/>
      <c r="AG25" s="242"/>
      <c r="AH25" s="242"/>
      <c r="AI25" s="242"/>
      <c r="AJ25" s="242"/>
      <c r="AK25" s="242">
        <f>Rev!AK82</f>
        <v>177.5</v>
      </c>
      <c r="AL25" s="242">
        <f>Rev!AL82</f>
        <v>179.6</v>
      </c>
      <c r="AM25" s="242">
        <f>Rev!AM82</f>
        <v>190.9</v>
      </c>
      <c r="AN25" s="243">
        <f>Rev!AN82</f>
        <v>195.5</v>
      </c>
      <c r="AO25" s="243">
        <v>199.52423660603174</v>
      </c>
      <c r="AP25" s="276">
        <v>200.5</v>
      </c>
      <c r="AQ25" s="168">
        <f>+AP25-AO25</f>
        <v>0.97576339396826484</v>
      </c>
      <c r="AR25" s="330">
        <v>199.7</v>
      </c>
      <c r="AS25" s="212">
        <f>+AR25-AO25</f>
        <v>0.17576339396825347</v>
      </c>
      <c r="AT25" s="338" t="s">
        <v>361</v>
      </c>
      <c r="AU25" s="340"/>
      <c r="AX25" s="164"/>
    </row>
    <row r="26" spans="1:50" ht="15" customHeight="1">
      <c r="B26" s="164"/>
      <c r="C26" s="164"/>
      <c r="D26" s="248" t="s">
        <v>338</v>
      </c>
      <c r="E26" s="191"/>
      <c r="F26" s="191"/>
      <c r="G26" s="191"/>
      <c r="H26" s="191"/>
      <c r="I26" s="191"/>
      <c r="J26" s="213"/>
      <c r="K26" s="213"/>
      <c r="L26" s="213"/>
      <c r="M26" s="213"/>
      <c r="N26" s="213"/>
      <c r="O26" s="213"/>
      <c r="P26" s="213"/>
      <c r="Q26" s="214"/>
      <c r="R26" s="214"/>
      <c r="S26" s="214"/>
      <c r="T26" s="171"/>
      <c r="U26" s="171"/>
      <c r="V26" s="171"/>
      <c r="W26" s="171"/>
      <c r="X26" s="172"/>
      <c r="Y26" s="172"/>
      <c r="Z26" s="172"/>
      <c r="AA26" s="172"/>
      <c r="AB26" s="172"/>
      <c r="AC26" s="172"/>
      <c r="AD26" s="172"/>
      <c r="AE26" s="172"/>
      <c r="AF26" s="172"/>
      <c r="AG26" s="172"/>
      <c r="AH26" s="172"/>
      <c r="AI26" s="172"/>
      <c r="AJ26" s="172"/>
      <c r="AK26" s="172"/>
      <c r="AL26" s="172"/>
      <c r="AM26" s="172"/>
      <c r="AN26" s="274"/>
      <c r="AO26" s="274">
        <v>0.12408020623116478</v>
      </c>
      <c r="AP26" s="172">
        <f>+AP25/AK25-1</f>
        <v>0.12957746478873244</v>
      </c>
      <c r="AQ26" s="173">
        <f>+(AP26-AO26)*10000</f>
        <v>54.972585575676632</v>
      </c>
      <c r="AR26" s="194">
        <f>+AR25/AK25-1</f>
        <v>0.12507042253521128</v>
      </c>
      <c r="AS26" s="173">
        <f>+(AR26-AO26)*10000</f>
        <v>9.9021630404649841</v>
      </c>
      <c r="AT26" s="338"/>
      <c r="AU26" s="340"/>
      <c r="AV26" s="152"/>
      <c r="AX26" s="164"/>
    </row>
    <row r="27" spans="1:50" ht="15" customHeight="1">
      <c r="B27" s="164"/>
      <c r="C27" s="164"/>
      <c r="D27" s="248" t="s">
        <v>339</v>
      </c>
      <c r="E27" s="191"/>
      <c r="F27" s="191"/>
      <c r="G27" s="191"/>
      <c r="H27" s="191"/>
      <c r="I27" s="191"/>
      <c r="J27" s="213"/>
      <c r="K27" s="213"/>
      <c r="L27" s="213"/>
      <c r="M27" s="213"/>
      <c r="N27" s="213"/>
      <c r="O27" s="213"/>
      <c r="P27" s="213"/>
      <c r="Q27" s="214"/>
      <c r="R27" s="214"/>
      <c r="S27" s="214"/>
      <c r="T27" s="178"/>
      <c r="U27" s="237"/>
      <c r="V27" s="237"/>
      <c r="W27" s="237"/>
      <c r="X27" s="237"/>
      <c r="Y27" s="237"/>
      <c r="Z27" s="179"/>
      <c r="AA27" s="179"/>
      <c r="AB27" s="179"/>
      <c r="AC27" s="179"/>
      <c r="AD27" s="179"/>
      <c r="AE27" s="179"/>
      <c r="AF27" s="179"/>
      <c r="AG27" s="179"/>
      <c r="AH27" s="179"/>
      <c r="AI27" s="179"/>
      <c r="AJ27" s="179"/>
      <c r="AK27" s="179"/>
      <c r="AL27" s="179">
        <f t="shared" ref="AL27" si="40">+AL25/AK25-1</f>
        <v>1.1830985915493031E-2</v>
      </c>
      <c r="AM27" s="179">
        <f t="shared" ref="AM27:AN27" si="41">+AM25/AL25-1</f>
        <v>6.2917594654788411E-2</v>
      </c>
      <c r="AN27" s="300">
        <f t="shared" si="41"/>
        <v>2.4096385542168752E-2</v>
      </c>
      <c r="AO27" s="300">
        <v>2.0531959707945857E-2</v>
      </c>
      <c r="AP27" s="179">
        <f>+AP25/AN25-1</f>
        <v>2.5575447570332477E-2</v>
      </c>
      <c r="AQ27" s="180">
        <f>+(AP27-AO27)*10000</f>
        <v>50.434878623866197</v>
      </c>
      <c r="AR27" s="194">
        <f>+AR25/AN25-1</f>
        <v>2.1483375959079121E-2</v>
      </c>
      <c r="AS27" s="180">
        <f>+(AR27-AO27)*10000</f>
        <v>9.5141625113326356</v>
      </c>
      <c r="AT27" s="343"/>
      <c r="AU27" s="346"/>
      <c r="AV27" s="152"/>
      <c r="AX27" s="164"/>
    </row>
    <row r="28" spans="1:50" ht="15" customHeight="1">
      <c r="B28" s="164"/>
      <c r="C28" s="164"/>
      <c r="D28" s="251" t="s">
        <v>407</v>
      </c>
      <c r="E28" s="216"/>
      <c r="F28" s="216"/>
      <c r="G28" s="216"/>
      <c r="H28" s="216"/>
      <c r="I28" s="216"/>
      <c r="J28" s="217"/>
      <c r="K28" s="217"/>
      <c r="L28" s="217"/>
      <c r="M28" s="217"/>
      <c r="N28" s="217"/>
      <c r="O28" s="217"/>
      <c r="P28" s="217"/>
      <c r="Q28" s="218"/>
      <c r="R28" s="218"/>
      <c r="S28" s="218"/>
      <c r="T28" s="242"/>
      <c r="U28" s="242"/>
      <c r="V28" s="242"/>
      <c r="W28" s="242"/>
      <c r="X28" s="242"/>
      <c r="Y28" s="242"/>
      <c r="Z28" s="242"/>
      <c r="AA28" s="242"/>
      <c r="AB28" s="242"/>
      <c r="AC28" s="242"/>
      <c r="AD28" s="242"/>
      <c r="AE28" s="242"/>
      <c r="AF28" s="242"/>
      <c r="AG28" s="242"/>
      <c r="AH28" s="242"/>
      <c r="AI28" s="242"/>
      <c r="AJ28" s="242"/>
      <c r="AK28" s="242">
        <f>Rev!AK128</f>
        <v>52.5</v>
      </c>
      <c r="AL28" s="242">
        <f>Rev!AL128</f>
        <v>53.6</v>
      </c>
      <c r="AM28" s="242">
        <f>Rev!AM128</f>
        <v>56.7</v>
      </c>
      <c r="AN28" s="243">
        <f>Rev!AN128</f>
        <v>58.4</v>
      </c>
      <c r="AO28" s="243">
        <v>59.176204409120793</v>
      </c>
      <c r="AP28" s="276">
        <v>59.9</v>
      </c>
      <c r="AQ28" s="168">
        <f>+AP28-AO28</f>
        <v>0.72379559087920597</v>
      </c>
      <c r="AR28" s="331">
        <v>59.9</v>
      </c>
      <c r="AS28" s="219">
        <f>+AR28-AO28</f>
        <v>0.72379559087920597</v>
      </c>
      <c r="AT28" s="338" t="s">
        <v>361</v>
      </c>
      <c r="AU28" s="345"/>
      <c r="AV28" s="152"/>
      <c r="AX28" s="164"/>
    </row>
    <row r="29" spans="1:50" ht="15" customHeight="1">
      <c r="B29" s="164"/>
      <c r="C29" s="164"/>
      <c r="D29" s="248" t="s">
        <v>338</v>
      </c>
      <c r="E29" s="191"/>
      <c r="F29" s="191"/>
      <c r="G29" s="191"/>
      <c r="H29" s="191"/>
      <c r="I29" s="191"/>
      <c r="J29" s="213"/>
      <c r="K29" s="213"/>
      <c r="L29" s="213"/>
      <c r="M29" s="213"/>
      <c r="N29" s="213"/>
      <c r="O29" s="213"/>
      <c r="P29" s="213"/>
      <c r="Q29" s="214"/>
      <c r="R29" s="214"/>
      <c r="S29" s="214"/>
      <c r="T29" s="239"/>
      <c r="U29" s="239"/>
      <c r="V29" s="239"/>
      <c r="W29" s="239"/>
      <c r="X29" s="172"/>
      <c r="Y29" s="172"/>
      <c r="Z29" s="172"/>
      <c r="AA29" s="172"/>
      <c r="AB29" s="172"/>
      <c r="AC29" s="172"/>
      <c r="AD29" s="172"/>
      <c r="AE29" s="172"/>
      <c r="AF29" s="172"/>
      <c r="AG29" s="172"/>
      <c r="AH29" s="172"/>
      <c r="AI29" s="172"/>
      <c r="AJ29" s="172"/>
      <c r="AK29" s="172"/>
      <c r="AL29" s="172"/>
      <c r="AM29" s="172"/>
      <c r="AN29" s="274"/>
      <c r="AO29" s="274">
        <v>0.12716579826896757</v>
      </c>
      <c r="AP29" s="172">
        <f>+AP28/AK28-1</f>
        <v>0.14095238095238094</v>
      </c>
      <c r="AQ29" s="173">
        <f>+(AP29-AO29)*10000</f>
        <v>137.86582683413374</v>
      </c>
      <c r="AR29" s="194">
        <f>+AR28/AK28-1</f>
        <v>0.14095238095238094</v>
      </c>
      <c r="AS29" s="173">
        <f>+(AR29-AO29)*10000</f>
        <v>137.86582683413374</v>
      </c>
      <c r="AT29" s="338"/>
      <c r="AU29" s="341"/>
      <c r="AV29" s="152"/>
    </row>
    <row r="30" spans="1:50" ht="15" customHeight="1">
      <c r="B30" s="164"/>
      <c r="C30" s="164"/>
      <c r="D30" s="248" t="s">
        <v>339</v>
      </c>
      <c r="E30" s="191"/>
      <c r="F30" s="191"/>
      <c r="G30" s="191"/>
      <c r="H30" s="191"/>
      <c r="I30" s="191"/>
      <c r="J30" s="213"/>
      <c r="K30" s="213"/>
      <c r="L30" s="213"/>
      <c r="M30" s="213"/>
      <c r="N30" s="213"/>
      <c r="O30" s="213"/>
      <c r="P30" s="213"/>
      <c r="Q30" s="214"/>
      <c r="R30" s="214"/>
      <c r="S30" s="214"/>
      <c r="T30" s="237"/>
      <c r="U30" s="237"/>
      <c r="V30" s="237"/>
      <c r="W30" s="237"/>
      <c r="X30" s="237"/>
      <c r="Y30" s="237"/>
      <c r="Z30" s="179"/>
      <c r="AA30" s="179"/>
      <c r="AB30" s="179"/>
      <c r="AC30" s="179"/>
      <c r="AD30" s="179"/>
      <c r="AE30" s="179"/>
      <c r="AF30" s="179"/>
      <c r="AG30" s="179"/>
      <c r="AH30" s="179"/>
      <c r="AI30" s="179"/>
      <c r="AJ30" s="179"/>
      <c r="AK30" s="179"/>
      <c r="AL30" s="179"/>
      <c r="AM30" s="179">
        <f t="shared" ref="AM30:AN30" si="42">+AM28/AL28-1</f>
        <v>5.7835820895522305E-2</v>
      </c>
      <c r="AN30" s="300">
        <f t="shared" si="42"/>
        <v>2.9982363315696592E-2</v>
      </c>
      <c r="AO30" s="300">
        <v>1.8876025517067463E-2</v>
      </c>
      <c r="AP30" s="179">
        <f>+AP28/AN28-1</f>
        <v>2.5684931506849251E-2</v>
      </c>
      <c r="AQ30" s="180">
        <f>+(AP30-AO30)*10000</f>
        <v>68.08905989781789</v>
      </c>
      <c r="AR30" s="194">
        <f>+AR28/AN28-1</f>
        <v>2.5684931506849251E-2</v>
      </c>
      <c r="AS30" s="180">
        <f>+(AR30-AO30)*10000</f>
        <v>68.08905989781789</v>
      </c>
      <c r="AT30" s="343"/>
      <c r="AU30" s="342"/>
      <c r="AV30" s="152"/>
    </row>
    <row r="31" spans="1:50" ht="15" customHeight="1">
      <c r="B31" s="164"/>
      <c r="C31" s="164"/>
      <c r="D31" s="251" t="s">
        <v>408</v>
      </c>
      <c r="E31" s="216"/>
      <c r="F31" s="216"/>
      <c r="G31" s="216"/>
      <c r="H31" s="216"/>
      <c r="I31" s="216"/>
      <c r="J31" s="217"/>
      <c r="K31" s="217"/>
      <c r="L31" s="217"/>
      <c r="M31" s="217"/>
      <c r="N31" s="217"/>
      <c r="O31" s="217"/>
      <c r="P31" s="217"/>
      <c r="Q31" s="218"/>
      <c r="R31" s="218"/>
      <c r="S31" s="218"/>
      <c r="T31" s="242"/>
      <c r="U31" s="242"/>
      <c r="V31" s="242"/>
      <c r="W31" s="242"/>
      <c r="X31" s="242"/>
      <c r="Y31" s="242"/>
      <c r="Z31" s="242"/>
      <c r="AA31" s="242"/>
      <c r="AB31" s="242"/>
      <c r="AC31" s="242"/>
      <c r="AD31" s="242"/>
      <c r="AE31" s="242"/>
      <c r="AF31" s="242"/>
      <c r="AG31" s="242"/>
      <c r="AH31" s="242"/>
      <c r="AI31" s="242"/>
      <c r="AJ31" s="242"/>
      <c r="AK31" s="242">
        <f>Rev!AK174</f>
        <v>106.4</v>
      </c>
      <c r="AL31" s="242">
        <f>Rev!AL174</f>
        <v>110.5</v>
      </c>
      <c r="AM31" s="242">
        <f>Rev!AM174</f>
        <v>117.4</v>
      </c>
      <c r="AN31" s="243">
        <f>Rev!AN174</f>
        <v>119.1</v>
      </c>
      <c r="AO31" s="243">
        <v>119.2861807418109</v>
      </c>
      <c r="AP31" s="276">
        <v>117.3</v>
      </c>
      <c r="AQ31" s="168">
        <f>+AP31-AO31</f>
        <v>-1.9861807418108981</v>
      </c>
      <c r="AR31" s="331">
        <v>120.1</v>
      </c>
      <c r="AS31" s="219">
        <f>+AR31-AO31</f>
        <v>0.81381925818909906</v>
      </c>
      <c r="AT31" s="338" t="s">
        <v>323</v>
      </c>
      <c r="AU31" s="345"/>
      <c r="AV31" s="152"/>
      <c r="AX31" s="164"/>
    </row>
    <row r="32" spans="1:50" ht="15" customHeight="1">
      <c r="B32" s="164"/>
      <c r="C32" s="164"/>
      <c r="D32" s="248" t="s">
        <v>338</v>
      </c>
      <c r="E32" s="191"/>
      <c r="F32" s="191"/>
      <c r="G32" s="191"/>
      <c r="H32" s="191"/>
      <c r="I32" s="191"/>
      <c r="J32" s="213"/>
      <c r="K32" s="213"/>
      <c r="L32" s="213"/>
      <c r="M32" s="213"/>
      <c r="N32" s="213"/>
      <c r="O32" s="213"/>
      <c r="P32" s="213"/>
      <c r="Q32" s="214"/>
      <c r="R32" s="214"/>
      <c r="S32" s="214"/>
      <c r="T32" s="239"/>
      <c r="U32" s="239"/>
      <c r="V32" s="239"/>
      <c r="W32" s="239"/>
      <c r="X32" s="172"/>
      <c r="Y32" s="172"/>
      <c r="Z32" s="172"/>
      <c r="AA32" s="172"/>
      <c r="AB32" s="172"/>
      <c r="AC32" s="172"/>
      <c r="AD32" s="172"/>
      <c r="AE32" s="172"/>
      <c r="AF32" s="172"/>
      <c r="AG32" s="172"/>
      <c r="AH32" s="172"/>
      <c r="AI32" s="172"/>
      <c r="AJ32" s="172"/>
      <c r="AK32" s="172"/>
      <c r="AL32" s="172"/>
      <c r="AM32" s="172"/>
      <c r="AN32" s="274"/>
      <c r="AO32" s="274">
        <v>0.12111072125762123</v>
      </c>
      <c r="AP32" s="172">
        <f>+AP31/AK31-1</f>
        <v>0.10244360902255623</v>
      </c>
      <c r="AQ32" s="173">
        <f>+(AP32-AO32)*10000</f>
        <v>-186.67112235065008</v>
      </c>
      <c r="AR32" s="194">
        <f>+AR31/AK31-1</f>
        <v>0.12875939849624052</v>
      </c>
      <c r="AS32" s="173">
        <f>+(AR32-AO32)*10000</f>
        <v>76.48677238619284</v>
      </c>
      <c r="AT32" s="338"/>
      <c r="AU32" s="341"/>
      <c r="AV32" s="152"/>
    </row>
    <row r="33" spans="2:48" ht="15" customHeight="1">
      <c r="B33" s="164"/>
      <c r="C33" s="164"/>
      <c r="D33" s="248" t="s">
        <v>339</v>
      </c>
      <c r="E33" s="191"/>
      <c r="F33" s="191"/>
      <c r="G33" s="191"/>
      <c r="H33" s="191"/>
      <c r="I33" s="191"/>
      <c r="J33" s="213"/>
      <c r="K33" s="213"/>
      <c r="L33" s="213"/>
      <c r="M33" s="213"/>
      <c r="N33" s="213"/>
      <c r="O33" s="213"/>
      <c r="P33" s="213"/>
      <c r="Q33" s="214"/>
      <c r="R33" s="214"/>
      <c r="S33" s="214"/>
      <c r="T33" s="237"/>
      <c r="U33" s="237"/>
      <c r="V33" s="237"/>
      <c r="W33" s="237"/>
      <c r="X33" s="237"/>
      <c r="Y33" s="237"/>
      <c r="Z33" s="179"/>
      <c r="AA33" s="179"/>
      <c r="AB33" s="179"/>
      <c r="AC33" s="179"/>
      <c r="AD33" s="179"/>
      <c r="AE33" s="179"/>
      <c r="AF33" s="179"/>
      <c r="AG33" s="179"/>
      <c r="AH33" s="179"/>
      <c r="AI33" s="179"/>
      <c r="AJ33" s="179"/>
      <c r="AK33" s="179"/>
      <c r="AL33" s="179">
        <f t="shared" ref="AL33:AN33" si="43">+AL31/AK31-1</f>
        <v>3.8533834586466087E-2</v>
      </c>
      <c r="AM33" s="179">
        <f t="shared" si="43"/>
        <v>6.244343891402715E-2</v>
      </c>
      <c r="AN33" s="300">
        <f t="shared" si="43"/>
        <v>1.4480408858603022E-2</v>
      </c>
      <c r="AO33" s="300">
        <v>5.282569953174443E-3</v>
      </c>
      <c r="AP33" s="179">
        <f>+AP31/AN31-1</f>
        <v>-1.5113350125944613E-2</v>
      </c>
      <c r="AQ33" s="180">
        <f>+(AP33-AO33)*10000</f>
        <v>-203.95920079119057</v>
      </c>
      <c r="AR33" s="194">
        <f>+AR31/AN31-1</f>
        <v>8.3963056255247359E-3</v>
      </c>
      <c r="AS33" s="180">
        <f>+(AR33-AO33)*10000</f>
        <v>31.137356723502929</v>
      </c>
      <c r="AT33" s="343"/>
      <c r="AU33" s="342"/>
      <c r="AV33" s="152"/>
    </row>
    <row r="34" spans="2:48" ht="15" customHeight="1">
      <c r="B34" s="164"/>
      <c r="C34" s="164"/>
      <c r="D34" s="251" t="s">
        <v>411</v>
      </c>
      <c r="E34" s="216"/>
      <c r="F34" s="216"/>
      <c r="G34" s="216"/>
      <c r="H34" s="216"/>
      <c r="I34" s="216"/>
      <c r="J34" s="217"/>
      <c r="K34" s="217"/>
      <c r="L34" s="217"/>
      <c r="M34" s="217"/>
      <c r="N34" s="217"/>
      <c r="O34" s="217"/>
      <c r="P34" s="217"/>
      <c r="Q34" s="218"/>
      <c r="R34" s="218"/>
      <c r="S34" s="218"/>
      <c r="T34" s="242"/>
      <c r="U34" s="242"/>
      <c r="V34" s="242"/>
      <c r="W34" s="242"/>
      <c r="X34" s="242"/>
      <c r="Y34" s="242"/>
      <c r="Z34" s="242"/>
      <c r="AA34" s="242"/>
      <c r="AB34" s="242"/>
      <c r="AC34" s="242"/>
      <c r="AD34" s="242"/>
      <c r="AE34" s="242"/>
      <c r="AF34" s="242"/>
      <c r="AG34" s="242"/>
      <c r="AH34" s="242"/>
      <c r="AI34" s="242"/>
      <c r="AJ34" s="242"/>
      <c r="AK34" s="242">
        <f>Rev!AK220</f>
        <v>114.7</v>
      </c>
      <c r="AL34" s="242">
        <f>Rev!AL220</f>
        <v>121.7</v>
      </c>
      <c r="AM34" s="242">
        <f>Rev!AM220</f>
        <v>136.6</v>
      </c>
      <c r="AN34" s="243">
        <f>Rev!AN220</f>
        <v>137.69999999999999</v>
      </c>
      <c r="AO34" s="243">
        <v>137.12775356197767</v>
      </c>
      <c r="AP34" s="276">
        <v>145.9</v>
      </c>
      <c r="AQ34" s="168">
        <f>+AP34-AO34</f>
        <v>8.7722464380223357</v>
      </c>
      <c r="AR34" s="331">
        <v>138.19999999999999</v>
      </c>
      <c r="AS34" s="219">
        <f>+AR34-AO34</f>
        <v>1.0722464380223187</v>
      </c>
      <c r="AT34" s="338" t="s">
        <v>361</v>
      </c>
      <c r="AU34" s="345"/>
      <c r="AV34" s="152"/>
    </row>
    <row r="35" spans="2:48" ht="15" customHeight="1">
      <c r="B35" s="164"/>
      <c r="C35" s="164"/>
      <c r="D35" s="248" t="s">
        <v>338</v>
      </c>
      <c r="E35" s="191"/>
      <c r="F35" s="191"/>
      <c r="G35" s="191"/>
      <c r="H35" s="191"/>
      <c r="I35" s="191"/>
      <c r="J35" s="213"/>
      <c r="K35" s="213"/>
      <c r="L35" s="213"/>
      <c r="M35" s="213"/>
      <c r="N35" s="213"/>
      <c r="O35" s="213"/>
      <c r="P35" s="213"/>
      <c r="Q35" s="214"/>
      <c r="R35" s="214"/>
      <c r="S35" s="214"/>
      <c r="T35" s="239"/>
      <c r="U35" s="172"/>
      <c r="V35" s="172"/>
      <c r="W35" s="172"/>
      <c r="X35" s="172"/>
      <c r="Y35" s="172"/>
      <c r="Z35" s="172"/>
      <c r="AA35" s="172"/>
      <c r="AB35" s="172"/>
      <c r="AC35" s="172"/>
      <c r="AD35" s="172"/>
      <c r="AE35" s="172"/>
      <c r="AF35" s="172"/>
      <c r="AG35" s="172"/>
      <c r="AH35" s="172"/>
      <c r="AI35" s="172"/>
      <c r="AJ35" s="172"/>
      <c r="AK35" s="172"/>
      <c r="AL35" s="172"/>
      <c r="AM35" s="172"/>
      <c r="AN35" s="274"/>
      <c r="AO35" s="274">
        <v>0.19553403279841031</v>
      </c>
      <c r="AP35" s="172">
        <f>+AP34/AK34-1</f>
        <v>0.27201394943330426</v>
      </c>
      <c r="AQ35" s="173">
        <f>+(AP35-AO35)*10000</f>
        <v>764.79916634893948</v>
      </c>
      <c r="AR35" s="194">
        <f>+AR34/AK34-1</f>
        <v>0.20488230165649512</v>
      </c>
      <c r="AS35" s="173">
        <f>+(AR35-AO35)*10000</f>
        <v>93.48268858084819</v>
      </c>
      <c r="AT35" s="338"/>
      <c r="AU35" s="341"/>
      <c r="AV35" s="152"/>
    </row>
    <row r="36" spans="2:48" ht="15" customHeight="1">
      <c r="B36" s="164"/>
      <c r="C36" s="164"/>
      <c r="D36" s="248" t="s">
        <v>339</v>
      </c>
      <c r="E36" s="191"/>
      <c r="F36" s="191"/>
      <c r="G36" s="191"/>
      <c r="H36" s="191"/>
      <c r="I36" s="191"/>
      <c r="J36" s="213"/>
      <c r="K36" s="213"/>
      <c r="L36" s="213"/>
      <c r="M36" s="213"/>
      <c r="N36" s="213"/>
      <c r="O36" s="213"/>
      <c r="P36" s="213"/>
      <c r="Q36" s="214"/>
      <c r="R36" s="214"/>
      <c r="S36" s="214"/>
      <c r="T36" s="237"/>
      <c r="U36" s="179"/>
      <c r="V36" s="179"/>
      <c r="W36" s="179"/>
      <c r="X36" s="179"/>
      <c r="Y36" s="179"/>
      <c r="Z36" s="179"/>
      <c r="AA36" s="179"/>
      <c r="AB36" s="179"/>
      <c r="AC36" s="179"/>
      <c r="AD36" s="179"/>
      <c r="AE36" s="179"/>
      <c r="AF36" s="179"/>
      <c r="AG36" s="179"/>
      <c r="AH36" s="179"/>
      <c r="AI36" s="179"/>
      <c r="AJ36" s="179"/>
      <c r="AK36" s="179"/>
      <c r="AL36" s="179">
        <f t="shared" ref="AL36" si="44">+AL34/AK34-1</f>
        <v>6.1028770706190061E-2</v>
      </c>
      <c r="AM36" s="179">
        <f t="shared" ref="AM36:AN36" si="45">+AM34/AL34-1</f>
        <v>0.12243221035332774</v>
      </c>
      <c r="AN36" s="300">
        <f t="shared" si="45"/>
        <v>8.052708638360162E-3</v>
      </c>
      <c r="AO36" s="300">
        <v>6.0021998933759146E-3</v>
      </c>
      <c r="AP36" s="179">
        <f>+AP34/AN34-1</f>
        <v>5.9549745824255762E-2</v>
      </c>
      <c r="AQ36" s="180">
        <f>+(AP36-AO36)*10000</f>
        <v>535.47545930879846</v>
      </c>
      <c r="AR36" s="194">
        <f>+AR34/AN34-1</f>
        <v>3.6310820624545492E-3</v>
      </c>
      <c r="AS36" s="180">
        <f>+(AR36-AO36)*10000</f>
        <v>-23.711178309213654</v>
      </c>
      <c r="AT36" s="343"/>
      <c r="AU36" s="342"/>
      <c r="AV36" s="152"/>
    </row>
    <row r="37" spans="2:48" ht="15" customHeight="1">
      <c r="B37" s="164"/>
      <c r="C37" s="164"/>
      <c r="D37" s="251" t="s">
        <v>410</v>
      </c>
      <c r="E37" s="216"/>
      <c r="F37" s="216"/>
      <c r="G37" s="216"/>
      <c r="H37" s="216"/>
      <c r="I37" s="216"/>
      <c r="J37" s="217"/>
      <c r="K37" s="217"/>
      <c r="L37" s="217"/>
      <c r="M37" s="217"/>
      <c r="N37" s="217"/>
      <c r="O37" s="217"/>
      <c r="P37" s="217"/>
      <c r="Q37" s="218"/>
      <c r="R37" s="218"/>
      <c r="S37" s="218"/>
      <c r="T37" s="242"/>
      <c r="U37" s="242"/>
      <c r="V37" s="242"/>
      <c r="W37" s="242"/>
      <c r="X37" s="242"/>
      <c r="Y37" s="242"/>
      <c r="Z37" s="242"/>
      <c r="AA37" s="242"/>
      <c r="AB37" s="242"/>
      <c r="AC37" s="242"/>
      <c r="AD37" s="242"/>
      <c r="AE37" s="242"/>
      <c r="AF37" s="242"/>
      <c r="AG37" s="242"/>
      <c r="AH37" s="242"/>
      <c r="AI37" s="242"/>
      <c r="AJ37" s="242"/>
      <c r="AK37" s="242">
        <f>Rev!AK276</f>
        <v>57.515489999999993</v>
      </c>
      <c r="AL37" s="242">
        <f>Rev!AL276</f>
        <v>79.3</v>
      </c>
      <c r="AM37" s="242">
        <f>Rev!AM276</f>
        <v>128.9</v>
      </c>
      <c r="AN37" s="243">
        <f>Rev!AN276</f>
        <v>127.7</v>
      </c>
      <c r="AO37" s="243">
        <v>127.0615</v>
      </c>
      <c r="AP37" s="276">
        <v>123.5</v>
      </c>
      <c r="AQ37" s="168">
        <f>+AP37-AO37</f>
        <v>-3.5614999999999952</v>
      </c>
      <c r="AR37" s="331">
        <v>125.4</v>
      </c>
      <c r="AS37" s="219">
        <f>+AR37-AO37</f>
        <v>-1.6614999999999895</v>
      </c>
      <c r="AT37" s="344" t="s">
        <v>323</v>
      </c>
      <c r="AU37" s="345"/>
      <c r="AV37" s="152"/>
    </row>
    <row r="38" spans="2:48" ht="15" customHeight="1">
      <c r="B38" s="164"/>
      <c r="C38" s="164"/>
      <c r="D38" s="248" t="s">
        <v>338</v>
      </c>
      <c r="E38" s="191"/>
      <c r="F38" s="191"/>
      <c r="G38" s="191"/>
      <c r="H38" s="191"/>
      <c r="I38" s="191"/>
      <c r="J38" s="213"/>
      <c r="K38" s="213"/>
      <c r="L38" s="213"/>
      <c r="M38" s="213"/>
      <c r="N38" s="213"/>
      <c r="O38" s="213"/>
      <c r="P38" s="213"/>
      <c r="Q38" s="214"/>
      <c r="R38" s="214"/>
      <c r="S38" s="214"/>
      <c r="T38" s="239"/>
      <c r="U38" s="172"/>
      <c r="V38" s="172"/>
      <c r="W38" s="172"/>
      <c r="X38" s="172"/>
      <c r="Y38" s="172"/>
      <c r="Z38" s="172"/>
      <c r="AA38" s="172"/>
      <c r="AB38" s="172"/>
      <c r="AC38" s="172"/>
      <c r="AD38" s="172"/>
      <c r="AE38" s="172"/>
      <c r="AF38" s="172"/>
      <c r="AG38" s="172"/>
      <c r="AH38" s="172"/>
      <c r="AI38" s="172"/>
      <c r="AJ38" s="172"/>
      <c r="AK38" s="172"/>
      <c r="AL38" s="172"/>
      <c r="AM38" s="172"/>
      <c r="AN38" s="274"/>
      <c r="AO38" s="274">
        <v>1.2091700861802623</v>
      </c>
      <c r="AP38" s="172">
        <f>+AP37/AK37-1</f>
        <v>1.1472476371148019</v>
      </c>
      <c r="AQ38" s="173">
        <f>+(AP38-AO38)*10000</f>
        <v>-619.2244906546041</v>
      </c>
      <c r="AR38" s="194">
        <f>+AR37/AK37-1</f>
        <v>1.1802822161473374</v>
      </c>
      <c r="AS38" s="173">
        <f>+(AR38-AO38)*10000</f>
        <v>-288.87870032924923</v>
      </c>
      <c r="AT38" s="347"/>
      <c r="AU38" s="341"/>
      <c r="AV38" s="152"/>
    </row>
    <row r="39" spans="2:48" ht="15" customHeight="1">
      <c r="B39" s="164"/>
      <c r="C39" s="164"/>
      <c r="D39" s="248" t="s">
        <v>339</v>
      </c>
      <c r="E39" s="191"/>
      <c r="F39" s="191"/>
      <c r="G39" s="191"/>
      <c r="H39" s="191"/>
      <c r="I39" s="191"/>
      <c r="J39" s="213"/>
      <c r="K39" s="213"/>
      <c r="L39" s="213"/>
      <c r="M39" s="213"/>
      <c r="N39" s="213"/>
      <c r="O39" s="213"/>
      <c r="P39" s="213"/>
      <c r="Q39" s="214"/>
      <c r="R39" s="214"/>
      <c r="S39" s="214"/>
      <c r="T39" s="237"/>
      <c r="U39" s="179"/>
      <c r="V39" s="179"/>
      <c r="W39" s="179"/>
      <c r="X39" s="179"/>
      <c r="Y39" s="179"/>
      <c r="Z39" s="179"/>
      <c r="AA39" s="179"/>
      <c r="AB39" s="179"/>
      <c r="AC39" s="179"/>
      <c r="AD39" s="179"/>
      <c r="AE39" s="179"/>
      <c r="AF39" s="179"/>
      <c r="AG39" s="179"/>
      <c r="AH39" s="179"/>
      <c r="AI39" s="179"/>
      <c r="AJ39" s="179"/>
      <c r="AK39" s="179"/>
      <c r="AL39" s="179">
        <f t="shared" ref="AL39" si="46">+AL37/AK37-1</f>
        <v>0.37875900909476745</v>
      </c>
      <c r="AM39" s="179">
        <f t="shared" ref="AM39:AN39" si="47">+AM37/AL37-1</f>
        <v>0.62547288776796983</v>
      </c>
      <c r="AN39" s="300">
        <f t="shared" si="47"/>
        <v>-9.3095422808379125E-3</v>
      </c>
      <c r="AO39" s="300">
        <v>-9.2316923076921631E-3</v>
      </c>
      <c r="AP39" s="179">
        <f>+AP37/AN37-1</f>
        <v>-3.2889584964761132E-2</v>
      </c>
      <c r="AQ39" s="180">
        <f>+(AP39-AO39)*10000</f>
        <v>-236.57892657068967</v>
      </c>
      <c r="AR39" s="194">
        <f>+AR37/AN37-1</f>
        <v>-1.8010963194988183E-2</v>
      </c>
      <c r="AS39" s="180">
        <f>+(AR39-AO39)*10000</f>
        <v>-87.792708872960205</v>
      </c>
      <c r="AT39" s="339"/>
      <c r="AU39" s="342"/>
      <c r="AV39" s="152"/>
    </row>
    <row r="40" spans="2:48" ht="15" customHeight="1">
      <c r="B40" s="164"/>
      <c r="C40" s="164"/>
      <c r="D40" s="246" t="s">
        <v>343</v>
      </c>
      <c r="E40" s="229"/>
      <c r="F40" s="229"/>
      <c r="G40" s="229"/>
      <c r="H40" s="229"/>
      <c r="I40" s="229"/>
      <c r="J40" s="229"/>
      <c r="K40" s="229"/>
      <c r="L40" s="229"/>
      <c r="M40" s="229"/>
      <c r="N40" s="229"/>
      <c r="O40" s="229"/>
      <c r="P40" s="229"/>
      <c r="Q40" s="229"/>
      <c r="R40" s="229"/>
      <c r="S40" s="229"/>
      <c r="T40" s="229"/>
      <c r="U40" s="229"/>
      <c r="V40" s="229"/>
      <c r="W40" s="229"/>
      <c r="X40" s="229"/>
      <c r="Y40" s="229"/>
      <c r="Z40" s="229"/>
      <c r="AA40" s="229"/>
      <c r="AB40" s="229"/>
      <c r="AC40" s="229"/>
      <c r="AD40" s="229"/>
      <c r="AE40" s="229"/>
      <c r="AF40" s="229"/>
      <c r="AG40" s="229"/>
      <c r="AH40" s="229"/>
      <c r="AI40" s="229"/>
      <c r="AJ40" s="229"/>
      <c r="AK40" s="229"/>
      <c r="AL40" s="229"/>
      <c r="AM40" s="229"/>
      <c r="AN40" s="230"/>
      <c r="AO40" s="230"/>
      <c r="AP40" s="229"/>
      <c r="AQ40" s="232"/>
      <c r="AR40" s="231"/>
      <c r="AS40" s="232"/>
      <c r="AT40" s="233"/>
      <c r="AU40" s="234"/>
    </row>
    <row r="41" spans="2:48" ht="15" customHeight="1">
      <c r="B41" s="164"/>
      <c r="C41" s="164"/>
      <c r="D41" s="254" t="s">
        <v>24</v>
      </c>
      <c r="E41" s="208"/>
      <c r="F41" s="208"/>
      <c r="G41" s="208"/>
      <c r="H41" s="208"/>
      <c r="I41" s="208"/>
      <c r="J41" s="208"/>
      <c r="K41" s="208"/>
      <c r="L41" s="208"/>
      <c r="M41" s="208"/>
      <c r="N41" s="208"/>
      <c r="O41" s="208"/>
      <c r="P41" s="208"/>
      <c r="Q41" s="211"/>
      <c r="R41" s="211"/>
      <c r="S41" s="211"/>
      <c r="T41" s="211"/>
      <c r="U41" s="284">
        <f>Rev!U30</f>
        <v>-3.3847779922091425</v>
      </c>
      <c r="V41" s="284">
        <f>Rev!V30</f>
        <v>-3.2878870341218982</v>
      </c>
      <c r="W41" s="284">
        <f>Rev!W30</f>
        <v>-3.8088415057731786</v>
      </c>
      <c r="X41" s="284">
        <f>Rev!X30</f>
        <v>-3.8552381578013568</v>
      </c>
      <c r="Y41" s="284">
        <f>Rev!Y30</f>
        <v>-3.652893991321843</v>
      </c>
      <c r="Z41" s="284">
        <f>Rev!Z30</f>
        <v>-3.5909733759504601</v>
      </c>
      <c r="AA41" s="284">
        <f>Rev!AA30</f>
        <v>-3.5935739113225265</v>
      </c>
      <c r="AB41" s="284">
        <f>Rev!AB30</f>
        <v>-3.9039999999999999</v>
      </c>
      <c r="AC41" s="284">
        <f>Rev!AC30</f>
        <v>-3.7149999999999999</v>
      </c>
      <c r="AD41" s="284">
        <f>Rev!AD30</f>
        <v>-4.1589999999999998</v>
      </c>
      <c r="AE41" s="284">
        <f>Rev!AE30</f>
        <v>-4.032</v>
      </c>
      <c r="AF41" s="284">
        <f>Rev!AF30</f>
        <v>-3.7509999999999999</v>
      </c>
      <c r="AG41" s="284">
        <f>Rev!AG30</f>
        <v>-4.17</v>
      </c>
      <c r="AH41" s="284">
        <f>Rev!AH30</f>
        <v>-3.7229999999999999</v>
      </c>
      <c r="AI41" s="284">
        <f>Rev!AI30</f>
        <v>-4.0890000000000004</v>
      </c>
      <c r="AJ41" s="284">
        <f>Rev!AJ30</f>
        <v>-4.2270000000000003</v>
      </c>
      <c r="AK41" s="284">
        <f>Rev!AK30</f>
        <v>-4.7439999999999998</v>
      </c>
      <c r="AL41" s="284">
        <f>Rev!AL30</f>
        <v>-5.6</v>
      </c>
      <c r="AM41" s="284">
        <f>Rev!AM30</f>
        <v>-5.9</v>
      </c>
      <c r="AN41" s="285">
        <f>Rev!AN30</f>
        <v>-6.1</v>
      </c>
      <c r="AO41" s="285">
        <v>-5.7887469617837795</v>
      </c>
      <c r="AP41" s="303">
        <v>-6</v>
      </c>
      <c r="AQ41" s="288">
        <f>+AP41-AO41</f>
        <v>-0.21125303821622055</v>
      </c>
      <c r="AR41" s="303"/>
      <c r="AS41" s="215"/>
      <c r="AT41" s="275" t="s">
        <v>323</v>
      </c>
      <c r="AU41" s="340"/>
    </row>
    <row r="42" spans="2:48" ht="15" customHeight="1">
      <c r="B42" s="164"/>
      <c r="C42" s="164"/>
      <c r="D42" s="254" t="s">
        <v>268</v>
      </c>
      <c r="E42" s="220"/>
      <c r="F42" s="191"/>
      <c r="G42" s="191"/>
      <c r="H42" s="191"/>
      <c r="I42" s="191"/>
      <c r="J42" s="191"/>
      <c r="K42" s="191"/>
      <c r="L42" s="191"/>
      <c r="M42" s="191"/>
      <c r="N42" s="191"/>
      <c r="O42" s="191"/>
      <c r="P42" s="191"/>
      <c r="Q42" s="192"/>
      <c r="R42" s="192"/>
      <c r="S42" s="192"/>
      <c r="T42" s="192"/>
      <c r="U42" s="284">
        <f>Rev!U12</f>
        <v>232.56893385403922</v>
      </c>
      <c r="V42" s="284">
        <f>Rev!V12</f>
        <v>241.22097620742522</v>
      </c>
      <c r="W42" s="284">
        <f>Rev!W12</f>
        <v>244.11265646467817</v>
      </c>
      <c r="X42" s="284">
        <f>Rev!X12</f>
        <v>248.91391997559191</v>
      </c>
      <c r="Y42" s="284">
        <f>Rev!Y12</f>
        <v>254.71517916105748</v>
      </c>
      <c r="Z42" s="284">
        <f>Rev!Z12</f>
        <v>258.77268313643515</v>
      </c>
      <c r="AA42" s="284">
        <f>Rev!AA12</f>
        <v>267.63603426923299</v>
      </c>
      <c r="AB42" s="284">
        <f>Rev!AB12</f>
        <v>289.39999999999998</v>
      </c>
      <c r="AC42" s="284">
        <f>Rev!AC12</f>
        <v>292</v>
      </c>
      <c r="AD42" s="284">
        <f>Rev!AD12</f>
        <v>303.39999999999998</v>
      </c>
      <c r="AE42" s="284">
        <f>Rev!AE12</f>
        <v>327.10000000000002</v>
      </c>
      <c r="AF42" s="284">
        <f>Rev!AF12</f>
        <v>332.3</v>
      </c>
      <c r="AG42" s="284">
        <f>Rev!AG12</f>
        <v>336.4</v>
      </c>
      <c r="AH42" s="284">
        <f>Rev!AH12</f>
        <v>347</v>
      </c>
      <c r="AI42" s="284">
        <f>Rev!AI12</f>
        <v>354.6</v>
      </c>
      <c r="AJ42" s="284">
        <f>Rev!AJ12</f>
        <v>357.3</v>
      </c>
      <c r="AK42" s="284">
        <f>Rev!AK12</f>
        <v>360.7</v>
      </c>
      <c r="AL42" s="284">
        <f>Rev!AL12</f>
        <v>430.7</v>
      </c>
      <c r="AM42" s="284">
        <f>Rev!AM12</f>
        <v>464.4</v>
      </c>
      <c r="AN42" s="285">
        <f>Rev!AN12</f>
        <v>474.5</v>
      </c>
      <c r="AO42" s="285">
        <v>478.52020353935484</v>
      </c>
      <c r="AP42" s="303"/>
      <c r="AQ42" s="288"/>
      <c r="AR42" s="303"/>
      <c r="AS42" s="173"/>
      <c r="AT42" s="275"/>
      <c r="AU42" s="341"/>
    </row>
    <row r="43" spans="2:48" ht="15" customHeight="1">
      <c r="D43" s="254" t="s">
        <v>345</v>
      </c>
      <c r="U43" s="284">
        <f>Rev!U13</f>
        <v>10.232671236630621</v>
      </c>
      <c r="V43" s="284">
        <f>Rev!V13</f>
        <v>11.072148425762913</v>
      </c>
      <c r="W43" s="284">
        <f>Rev!W13</f>
        <v>11.983189684674628</v>
      </c>
      <c r="X43" s="284">
        <f>Rev!X13</f>
        <v>12.579583534913418</v>
      </c>
      <c r="Y43" s="284">
        <f>Rev!Y13</f>
        <v>13.647021736125499</v>
      </c>
      <c r="Z43" s="284">
        <f>Rev!Z13</f>
        <v>14.215296579786239</v>
      </c>
      <c r="AA43" s="284">
        <f>Rev!AA13</f>
        <v>15.183913416865535</v>
      </c>
      <c r="AB43" s="284">
        <f>Rev!AB13</f>
        <v>17.3</v>
      </c>
      <c r="AC43" s="284">
        <f>Rev!AC13</f>
        <v>17.3</v>
      </c>
      <c r="AD43" s="284">
        <f>Rev!AD13</f>
        <v>18.3</v>
      </c>
      <c r="AE43" s="284">
        <f>Rev!AE13</f>
        <v>19.2</v>
      </c>
      <c r="AF43" s="284">
        <f>Rev!AF13</f>
        <v>20.399999999999999</v>
      </c>
      <c r="AG43" s="284">
        <f>Rev!AG13</f>
        <v>21.5</v>
      </c>
      <c r="AH43" s="284">
        <f>Rev!AH13</f>
        <v>23.8</v>
      </c>
      <c r="AI43" s="284">
        <f>Rev!AI13</f>
        <v>24.6</v>
      </c>
      <c r="AJ43" s="284">
        <f>Rev!AJ13</f>
        <v>25.9</v>
      </c>
      <c r="AK43" s="284">
        <f>Rev!AK13</f>
        <v>26.5</v>
      </c>
      <c r="AL43" s="284">
        <f>Rev!AL13</f>
        <v>29.6</v>
      </c>
      <c r="AM43" s="284">
        <f>Rev!AM13</f>
        <v>31.7</v>
      </c>
      <c r="AN43" s="285">
        <f>Rev!AN13</f>
        <v>32.4</v>
      </c>
      <c r="AO43" s="285">
        <v>32.9729270536317</v>
      </c>
      <c r="AP43" s="303"/>
      <c r="AQ43" s="288"/>
      <c r="AR43" s="303"/>
      <c r="AS43" s="272"/>
      <c r="AT43" s="275"/>
    </row>
    <row r="44" spans="2:48" ht="15" customHeight="1">
      <c r="D44" s="254" t="s">
        <v>400</v>
      </c>
      <c r="U44" s="284">
        <f>Rev!U25</f>
        <v>4.3020691542186364</v>
      </c>
      <c r="V44" s="284">
        <f>Rev!V25</f>
        <v>4.3874324694491582</v>
      </c>
      <c r="W44" s="284">
        <f>Rev!W25</f>
        <v>4.8744985513680605</v>
      </c>
      <c r="X44" s="284">
        <f>Rev!X25</f>
        <v>4.8657646557816276</v>
      </c>
      <c r="Y44" s="284">
        <f>Rev!Y25</f>
        <v>5.6956468711855681</v>
      </c>
      <c r="Z44" s="284">
        <f>Rev!Z25</f>
        <v>5.1641991607568052</v>
      </c>
      <c r="AA44" s="284">
        <f>Rev!AA25</f>
        <v>6.0786694935206267</v>
      </c>
      <c r="AB44" s="284">
        <f>Rev!AB25</f>
        <v>5.7960000000000003</v>
      </c>
      <c r="AC44" s="284">
        <f>Rev!AC25</f>
        <v>5.218</v>
      </c>
      <c r="AD44" s="284">
        <f>Rev!AD25</f>
        <v>7.0350000000000001</v>
      </c>
      <c r="AE44" s="284">
        <f>Rev!AE25</f>
        <v>6.7990000000000004</v>
      </c>
      <c r="AF44" s="284">
        <f>Rev!AF25</f>
        <v>6.3719999999999999</v>
      </c>
      <c r="AG44" s="284">
        <f>Rev!AG25</f>
        <v>6.7850000000000001</v>
      </c>
      <c r="AH44" s="284">
        <f>Rev!AH25</f>
        <v>6.9729999999999999</v>
      </c>
      <c r="AI44" s="284">
        <f>Rev!AI25</f>
        <v>6.4379999999999997</v>
      </c>
      <c r="AJ44" s="284">
        <f>Rev!AJ25</f>
        <v>7.2210000000000001</v>
      </c>
      <c r="AK44" s="284">
        <f>Rev!AK25</f>
        <v>5.2460000000000004</v>
      </c>
      <c r="AL44" s="284">
        <f>Rev!AL25</f>
        <v>6.9</v>
      </c>
      <c r="AM44" s="284">
        <f>Rev!AM25</f>
        <v>7.5</v>
      </c>
      <c r="AN44" s="285">
        <f>Rev!AN25</f>
        <v>7.6</v>
      </c>
      <c r="AO44" s="285">
        <v>7.8203613164206285</v>
      </c>
      <c r="AP44" s="303">
        <v>7.9</v>
      </c>
      <c r="AQ44" s="288">
        <f>+AP44-AO44</f>
        <v>7.9638683579371872E-2</v>
      </c>
      <c r="AR44" s="303">
        <v>7.8</v>
      </c>
      <c r="AS44" s="272">
        <f>+AR44-AO44</f>
        <v>-2.0361316420628661E-2</v>
      </c>
      <c r="AT44" s="275" t="s">
        <v>361</v>
      </c>
    </row>
    <row r="45" spans="2:48" ht="15" customHeight="1">
      <c r="D45" s="254" t="s">
        <v>45</v>
      </c>
      <c r="E45" s="316"/>
      <c r="F45" s="316"/>
      <c r="G45" s="316"/>
      <c r="H45" s="316"/>
      <c r="I45" s="316"/>
      <c r="J45" s="316"/>
      <c r="K45" s="316"/>
      <c r="L45" s="316"/>
      <c r="M45" s="316"/>
      <c r="N45" s="316"/>
      <c r="O45" s="316"/>
      <c r="P45" s="316"/>
      <c r="Q45" s="316"/>
      <c r="R45" s="316"/>
      <c r="S45" s="316"/>
      <c r="T45" s="316"/>
      <c r="U45" s="284">
        <f>-Rev!U21</f>
        <v>4.7375208576502388</v>
      </c>
      <c r="V45" s="284">
        <f>-Rev!V21</f>
        <v>4.9914637830107766</v>
      </c>
      <c r="W45" s="284">
        <f>-Rev!W21</f>
        <v>4.5963591481748987</v>
      </c>
      <c r="X45" s="284">
        <f>-Rev!X21</f>
        <v>4.7631153775913999</v>
      </c>
      <c r="Y45" s="284">
        <f>-Rev!Y21</f>
        <v>4.7565037952673777</v>
      </c>
      <c r="Z45" s="284">
        <f>-Rev!Z21</f>
        <v>5.077222210130822</v>
      </c>
      <c r="AA45" s="284">
        <f>-Rev!AA21</f>
        <v>5.2677130277272664</v>
      </c>
      <c r="AB45" s="284">
        <f>-Rev!AB21</f>
        <v>5.3929999999999998</v>
      </c>
      <c r="AC45" s="284">
        <f>-Rev!AC21</f>
        <v>5.4779999999999998</v>
      </c>
      <c r="AD45" s="284">
        <f>-Rev!AD21</f>
        <v>5.9009999999999998</v>
      </c>
      <c r="AE45" s="284">
        <f>-Rev!AE21</f>
        <v>6.2549999999999999</v>
      </c>
      <c r="AF45" s="284">
        <f>-Rev!AF21</f>
        <v>5.99</v>
      </c>
      <c r="AG45" s="284">
        <f>-Rev!AG21</f>
        <v>6.3680000000000003</v>
      </c>
      <c r="AH45" s="284">
        <f>-Rev!AH21</f>
        <v>5.8620000000000001</v>
      </c>
      <c r="AI45" s="284">
        <f>-Rev!AI21</f>
        <v>6.476</v>
      </c>
      <c r="AJ45" s="284">
        <f>-Rev!AJ21</f>
        <v>6.4820000000000002</v>
      </c>
      <c r="AK45" s="284">
        <f>-Rev!AK21</f>
        <v>6.73</v>
      </c>
      <c r="AL45" s="284">
        <f>-Rev!AL21</f>
        <v>7.1</v>
      </c>
      <c r="AM45" s="284">
        <f>-Rev!AM21</f>
        <v>7.3</v>
      </c>
      <c r="AN45" s="285">
        <f>-Rev!AN21</f>
        <v>7.3</v>
      </c>
      <c r="AO45" s="285">
        <v>7.5870253175756499</v>
      </c>
      <c r="AP45" s="303">
        <v>7.6</v>
      </c>
      <c r="AQ45" s="317">
        <f>+AP45-AO45</f>
        <v>1.2974682424349737E-2</v>
      </c>
      <c r="AR45" s="303"/>
      <c r="AS45" s="272"/>
      <c r="AT45" s="315" t="s">
        <v>360</v>
      </c>
      <c r="AU45" s="316"/>
    </row>
    <row r="46" spans="2:48" ht="15" customHeight="1">
      <c r="D46" s="255" t="s">
        <v>25</v>
      </c>
      <c r="E46" s="256"/>
      <c r="F46" s="256"/>
      <c r="G46" s="256"/>
      <c r="H46" s="256"/>
      <c r="I46" s="256"/>
      <c r="J46" s="256"/>
      <c r="K46" s="256"/>
      <c r="L46" s="256"/>
      <c r="M46" s="256"/>
      <c r="N46" s="256"/>
      <c r="O46" s="256"/>
      <c r="P46" s="256"/>
      <c r="Q46" s="256"/>
      <c r="R46" s="256"/>
      <c r="S46" s="256"/>
      <c r="T46" s="256"/>
      <c r="U46" s="286">
        <f>Rev!U33</f>
        <v>1.3527428654410962</v>
      </c>
      <c r="V46" s="286">
        <f>Rev!V33</f>
        <v>1.7035767488888784</v>
      </c>
      <c r="W46" s="286">
        <f>Rev!W33</f>
        <v>0.78751764240172006</v>
      </c>
      <c r="X46" s="286">
        <f>Rev!X33</f>
        <v>0.9078772197900431</v>
      </c>
      <c r="Y46" s="286">
        <f>Rev!Y33</f>
        <v>1.1036098039455347</v>
      </c>
      <c r="Z46" s="286">
        <f>Rev!Z33</f>
        <v>1.4862488341803619</v>
      </c>
      <c r="AA46" s="286">
        <f>Rev!AA33</f>
        <v>1.6741391164047399</v>
      </c>
      <c r="AB46" s="286">
        <f>Rev!AB33</f>
        <v>1.4889999999999999</v>
      </c>
      <c r="AC46" s="286">
        <f>Rev!AC33</f>
        <v>1.7629999999999999</v>
      </c>
      <c r="AD46" s="286">
        <f>Rev!AD33</f>
        <v>1.742</v>
      </c>
      <c r="AE46" s="286">
        <f>Rev!AE33</f>
        <v>2.2229999999999999</v>
      </c>
      <c r="AF46" s="286">
        <f>Rev!AF33</f>
        <v>2.2390000000000003</v>
      </c>
      <c r="AG46" s="286">
        <f>Rev!AG33</f>
        <v>2.1980000000000004</v>
      </c>
      <c r="AH46" s="286">
        <f>Rev!AH33</f>
        <v>2.1390000000000002</v>
      </c>
      <c r="AI46" s="286">
        <f>Rev!AI33</f>
        <v>2.3869999999999996</v>
      </c>
      <c r="AJ46" s="286">
        <f>Rev!AJ33</f>
        <v>2.2549999999999999</v>
      </c>
      <c r="AK46" s="286">
        <f>Rev!AK33</f>
        <v>1.9860000000000007</v>
      </c>
      <c r="AL46" s="286">
        <f>Rev!AL33</f>
        <v>1.5</v>
      </c>
      <c r="AM46" s="286">
        <f>Rev!AM33</f>
        <v>1.3999999999999995</v>
      </c>
      <c r="AN46" s="287">
        <f>Rev!AN33</f>
        <v>1.2000000000000002</v>
      </c>
      <c r="AO46" s="287">
        <v>1.7982783557918705</v>
      </c>
      <c r="AP46" s="321">
        <f>+AP45+AP41</f>
        <v>1.5999999999999996</v>
      </c>
      <c r="AQ46" s="289">
        <f>+AP46-AO46</f>
        <v>-0.19827835579187081</v>
      </c>
      <c r="AR46" s="332">
        <v>1.8</v>
      </c>
      <c r="AS46" s="273">
        <f>+AR46-AO46</f>
        <v>1.7216442081295913E-3</v>
      </c>
      <c r="AT46" s="280" t="s">
        <v>323</v>
      </c>
      <c r="AU46" s="256"/>
    </row>
    <row r="47" spans="2:48">
      <c r="AP47" s="221"/>
    </row>
    <row r="48" spans="2:48">
      <c r="AP48" s="221"/>
    </row>
    <row r="49" spans="42:42">
      <c r="AP49" s="221"/>
    </row>
    <row r="50" spans="42:42">
      <c r="AP50" s="221"/>
    </row>
    <row r="51" spans="42:42">
      <c r="AP51" s="221"/>
    </row>
    <row r="52" spans="42:42">
      <c r="AP52" s="221"/>
    </row>
    <row r="53" spans="42:42">
      <c r="AP53" s="221"/>
    </row>
    <row r="54" spans="42:42">
      <c r="AP54" s="221"/>
    </row>
  </sheetData>
  <mergeCells count="21">
    <mergeCell ref="AU41:AU42"/>
    <mergeCell ref="AT21:AT22"/>
    <mergeCell ref="AU21:AU22"/>
    <mergeCell ref="AT25:AT27"/>
    <mergeCell ref="AU25:AU27"/>
    <mergeCell ref="AT28:AT30"/>
    <mergeCell ref="AU37:AU39"/>
    <mergeCell ref="AT37:AT39"/>
    <mergeCell ref="AT8:AT9"/>
    <mergeCell ref="AU8:AU9"/>
    <mergeCell ref="AT11:AT13"/>
    <mergeCell ref="AU11:AU13"/>
    <mergeCell ref="AT34:AT36"/>
    <mergeCell ref="AT14:AT15"/>
    <mergeCell ref="AT18:AT19"/>
    <mergeCell ref="AU14:AU15"/>
    <mergeCell ref="AU18:AU19"/>
    <mergeCell ref="AU28:AU30"/>
    <mergeCell ref="AU31:AU33"/>
    <mergeCell ref="AT31:AT33"/>
    <mergeCell ref="AU34:AU36"/>
  </mergeCells>
  <pageMargins left="0" right="0" top="0" bottom="0" header="0" footer="0"/>
  <pageSetup paperSize="5" orientation="landscape"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2:AZ802"/>
  <sheetViews>
    <sheetView showGridLines="0" zoomScale="85" zoomScaleNormal="85" workbookViewId="0">
      <pane xSplit="3" ySplit="3" topLeftCell="D4" activePane="bottomRight" state="frozen"/>
      <selection pane="topRight" activeCell="D1" sqref="D1"/>
      <selection pane="bottomLeft" activeCell="A4" sqref="A4"/>
      <selection pane="bottomRight" activeCell="D4" sqref="D4"/>
    </sheetView>
  </sheetViews>
  <sheetFormatPr defaultRowHeight="12.75" outlineLevelCol="1"/>
  <cols>
    <col min="1" max="1" width="2" bestFit="1" customWidth="1"/>
    <col min="2" max="2" width="63.85546875" customWidth="1"/>
    <col min="3" max="3" width="1.5703125" customWidth="1"/>
    <col min="4" max="15" width="9.140625" customWidth="1"/>
    <col min="16" max="19" width="9.140625" customWidth="1" outlineLevel="1"/>
    <col min="20" max="20" width="9.42578125" bestFit="1" customWidth="1"/>
    <col min="21" max="23" width="9.28515625" bestFit="1" customWidth="1"/>
    <col min="24" max="26" width="9.42578125" bestFit="1" customWidth="1"/>
    <col min="42" max="51" width="9.140625" customWidth="1"/>
  </cols>
  <sheetData>
    <row r="2" spans="1:52" s="14" customFormat="1">
      <c r="B2" s="13" t="s">
        <v>2</v>
      </c>
      <c r="C2" s="13"/>
      <c r="D2" s="52">
        <f>Rev!D2</f>
        <v>40359</v>
      </c>
      <c r="E2" s="52">
        <f>Rev!E2</f>
        <v>40724</v>
      </c>
      <c r="F2" s="52">
        <f>Rev!F2</f>
        <v>41090</v>
      </c>
      <c r="G2" s="52">
        <f>Rev!G2</f>
        <v>41455</v>
      </c>
      <c r="H2" s="52">
        <f>Rev!H2</f>
        <v>41820</v>
      </c>
      <c r="I2" s="52">
        <f>Rev!I2</f>
        <v>42185</v>
      </c>
      <c r="J2" s="52">
        <f>Rev!J2</f>
        <v>42551</v>
      </c>
      <c r="K2" s="52">
        <f>Rev!K2</f>
        <v>42916</v>
      </c>
      <c r="L2" s="52">
        <f>Rev!L2</f>
        <v>43281</v>
      </c>
      <c r="M2" s="52">
        <f>Rev!M2</f>
        <v>43646</v>
      </c>
      <c r="N2" s="52">
        <f>Rev!N2</f>
        <v>44012</v>
      </c>
      <c r="O2" s="13"/>
      <c r="P2" s="13"/>
      <c r="Q2" s="13"/>
      <c r="R2" s="13"/>
      <c r="S2" s="13"/>
      <c r="T2" s="52">
        <f>Rev!T2</f>
        <v>41182</v>
      </c>
      <c r="U2" s="52">
        <f>Rev!U2</f>
        <v>41274</v>
      </c>
      <c r="V2" s="52">
        <f>Rev!V2</f>
        <v>41364</v>
      </c>
      <c r="W2" s="52">
        <f>Rev!W2</f>
        <v>41455</v>
      </c>
      <c r="X2" s="52">
        <f>Rev!X2</f>
        <v>41547</v>
      </c>
      <c r="Y2" s="52">
        <f>Rev!Y2</f>
        <v>41639</v>
      </c>
      <c r="Z2" s="52">
        <f>Rev!Z2</f>
        <v>41729</v>
      </c>
      <c r="AA2" s="52">
        <f>Rev!AA2</f>
        <v>41820</v>
      </c>
      <c r="AB2" s="52">
        <f>Rev!AB2</f>
        <v>41912</v>
      </c>
      <c r="AC2" s="52">
        <f>Rev!AC2</f>
        <v>42004</v>
      </c>
      <c r="AD2" s="52">
        <f>Rev!AD2</f>
        <v>42094</v>
      </c>
      <c r="AE2" s="52">
        <f>Rev!AE2</f>
        <v>42185</v>
      </c>
      <c r="AF2" s="52">
        <f>Rev!AF2</f>
        <v>42277</v>
      </c>
      <c r="AG2" s="52">
        <f>Rev!AG2</f>
        <v>42369</v>
      </c>
      <c r="AH2" s="52">
        <f>Rev!AH2</f>
        <v>42460</v>
      </c>
      <c r="AI2" s="52">
        <f>Rev!AI2</f>
        <v>42551</v>
      </c>
      <c r="AJ2" s="52">
        <f>Rev!AJ2</f>
        <v>42643</v>
      </c>
      <c r="AK2" s="52">
        <f>Rev!AK2</f>
        <v>42735</v>
      </c>
      <c r="AL2" s="52">
        <f>Rev!AL2</f>
        <v>42825</v>
      </c>
      <c r="AM2" s="52">
        <f>Rev!AM2</f>
        <v>42916</v>
      </c>
      <c r="AN2" s="52">
        <f>Rev!AN2</f>
        <v>43008</v>
      </c>
      <c r="AO2" s="52">
        <f>Rev!AO2</f>
        <v>43100</v>
      </c>
      <c r="AP2" s="52">
        <f>Rev!AP2</f>
        <v>43190</v>
      </c>
      <c r="AQ2" s="52">
        <f>Rev!AQ2</f>
        <v>43281</v>
      </c>
      <c r="AR2" s="52">
        <f>Rev!AR2</f>
        <v>43373</v>
      </c>
      <c r="AS2" s="52">
        <f>Rev!AS2</f>
        <v>43465</v>
      </c>
      <c r="AT2" s="52">
        <f>Rev!AT2</f>
        <v>43555</v>
      </c>
      <c r="AU2" s="52">
        <f>Rev!AU2</f>
        <v>43646</v>
      </c>
      <c r="AV2" s="52">
        <f>Rev!AV2</f>
        <v>43738</v>
      </c>
      <c r="AW2" s="52">
        <f>Rev!AW2</f>
        <v>43830</v>
      </c>
      <c r="AX2" s="52">
        <f>Rev!AX2</f>
        <v>43921</v>
      </c>
      <c r="AY2" s="52">
        <f>Rev!AY2</f>
        <v>44012</v>
      </c>
    </row>
    <row r="3" spans="1:52" s="16" customFormat="1">
      <c r="B3" s="15" t="s">
        <v>1</v>
      </c>
      <c r="C3" s="15"/>
      <c r="D3" s="103">
        <f>Rev!D3</f>
        <v>2010</v>
      </c>
      <c r="E3" s="103">
        <f>Rev!E3</f>
        <v>2011</v>
      </c>
      <c r="F3" s="103">
        <f>Rev!F3</f>
        <v>2012</v>
      </c>
      <c r="G3" s="103">
        <f>Rev!G3</f>
        <v>2013</v>
      </c>
      <c r="H3" s="103">
        <f>Rev!H3</f>
        <v>2014</v>
      </c>
      <c r="I3" s="54">
        <f>Rev!I3</f>
        <v>2015</v>
      </c>
      <c r="J3" s="54">
        <f>Rev!J3</f>
        <v>2016</v>
      </c>
      <c r="K3" s="54">
        <f>Rev!K3</f>
        <v>2017</v>
      </c>
      <c r="L3" s="54" t="str">
        <f>Rev!L3</f>
        <v>2018E</v>
      </c>
      <c r="M3" s="54" t="str">
        <f>Rev!M3</f>
        <v>2019E</v>
      </c>
      <c r="N3" s="54" t="str">
        <f>Rev!N3</f>
        <v>2020E</v>
      </c>
      <c r="O3" s="15"/>
      <c r="P3" s="15"/>
      <c r="Q3" s="15"/>
      <c r="R3" s="15"/>
      <c r="S3" s="15"/>
      <c r="T3" s="54" t="str">
        <f>Rev!T3</f>
        <v>1Q13</v>
      </c>
      <c r="U3" s="54" t="str">
        <f>Rev!U3</f>
        <v>2Q13</v>
      </c>
      <c r="V3" s="54" t="str">
        <f>Rev!V3</f>
        <v>3Q13</v>
      </c>
      <c r="W3" s="54" t="str">
        <f>Rev!W3</f>
        <v>4Q13</v>
      </c>
      <c r="X3" s="54" t="str">
        <f>Rev!X3</f>
        <v>1Q14</v>
      </c>
      <c r="Y3" s="54" t="str">
        <f>Rev!Y3</f>
        <v>2Q14</v>
      </c>
      <c r="Z3" s="54" t="str">
        <f>Rev!Z3</f>
        <v>3Q14</v>
      </c>
      <c r="AA3" s="56" t="str">
        <f>Rev!AA3</f>
        <v>4Q14</v>
      </c>
      <c r="AB3" s="56" t="str">
        <f>Rev!AB3</f>
        <v>1Q15</v>
      </c>
      <c r="AC3" s="56" t="str">
        <f>Rev!AC3</f>
        <v>2Q15</v>
      </c>
      <c r="AD3" s="56" t="str">
        <f>Rev!AD3</f>
        <v>3Q15</v>
      </c>
      <c r="AE3" s="56" t="str">
        <f>Rev!AE3</f>
        <v>4Q15</v>
      </c>
      <c r="AF3" s="56" t="str">
        <f>Rev!AF3</f>
        <v>1Q16</v>
      </c>
      <c r="AG3" s="56" t="str">
        <f>Rev!AG3</f>
        <v>2Q16</v>
      </c>
      <c r="AH3" s="56" t="str">
        <f>Rev!AH3</f>
        <v>3Q16</v>
      </c>
      <c r="AI3" s="56" t="str">
        <f>Rev!AI3</f>
        <v>4Q16</v>
      </c>
      <c r="AJ3" s="56" t="str">
        <f>Rev!AJ3</f>
        <v>1Q17</v>
      </c>
      <c r="AK3" s="56" t="str">
        <f>Rev!AK3</f>
        <v>2Q17</v>
      </c>
      <c r="AL3" s="56" t="str">
        <f>Rev!AL3</f>
        <v>3Q17</v>
      </c>
      <c r="AM3" s="56" t="str">
        <f>Rev!AM3</f>
        <v>4Q17</v>
      </c>
      <c r="AN3" s="56" t="str">
        <f>Rev!AN3</f>
        <v>1Q18</v>
      </c>
      <c r="AO3" s="56" t="str">
        <f>Rev!AO3</f>
        <v>2Q18</v>
      </c>
      <c r="AP3" s="56" t="str">
        <f>Rev!AP3</f>
        <v>3Q18E</v>
      </c>
      <c r="AQ3" s="56" t="str">
        <f>Rev!AQ3</f>
        <v>4Q18E</v>
      </c>
      <c r="AR3" s="56" t="str">
        <f>Rev!AR3</f>
        <v>1Q19E</v>
      </c>
      <c r="AS3" s="56" t="str">
        <f>Rev!AS3</f>
        <v>2Q19E</v>
      </c>
      <c r="AT3" s="56" t="str">
        <f>Rev!AT3</f>
        <v>3Q19E</v>
      </c>
      <c r="AU3" s="56" t="str">
        <f>Rev!AU3</f>
        <v>4Q19E</v>
      </c>
      <c r="AV3" s="56" t="str">
        <f>Rev!AV3</f>
        <v>1Q20E</v>
      </c>
      <c r="AW3" s="56" t="str">
        <f>Rev!AW3</f>
        <v>2Q20E</v>
      </c>
      <c r="AX3" s="56" t="str">
        <f>Rev!AX3</f>
        <v>3Q20E</v>
      </c>
      <c r="AY3" s="56" t="str">
        <f>Rev!AY3</f>
        <v>4Q20E</v>
      </c>
    </row>
    <row r="4" spans="1:52" s="13" customFormat="1"/>
    <row r="5" spans="1:52" s="64" customFormat="1">
      <c r="A5" s="63" t="s">
        <v>40</v>
      </c>
      <c r="B5" s="63"/>
      <c r="C5" s="67"/>
      <c r="D5" s="67"/>
      <c r="E5" s="67"/>
      <c r="F5" s="67"/>
      <c r="G5" s="67"/>
      <c r="H5" s="67"/>
      <c r="I5" s="67"/>
      <c r="J5" s="67"/>
      <c r="K5" s="67"/>
      <c r="L5" s="67"/>
      <c r="M5" s="67"/>
      <c r="N5" s="67"/>
      <c r="O5" s="127"/>
      <c r="V5" s="71"/>
      <c r="Y5" s="71"/>
      <c r="Z5" s="75"/>
      <c r="AA5" s="75"/>
      <c r="AB5" s="75"/>
      <c r="AC5" s="75"/>
      <c r="AD5" s="75"/>
      <c r="AE5" s="75"/>
      <c r="AF5" s="75"/>
      <c r="AG5" s="75"/>
      <c r="AH5" s="75"/>
      <c r="AI5" s="75"/>
      <c r="AJ5" s="75"/>
      <c r="AK5" s="75"/>
      <c r="AL5" s="75"/>
      <c r="AM5" s="75"/>
      <c r="AN5" s="75"/>
      <c r="AO5" s="75"/>
      <c r="AP5" s="75"/>
      <c r="AQ5" s="75"/>
      <c r="AR5" s="75"/>
      <c r="AS5" s="75"/>
      <c r="AT5" s="75"/>
      <c r="AU5" s="75"/>
      <c r="AV5" s="75"/>
      <c r="AW5" s="75"/>
      <c r="AX5" s="75"/>
      <c r="AY5" s="75"/>
      <c r="AZ5" s="75"/>
    </row>
    <row r="6" spans="1:52">
      <c r="B6" t="s">
        <v>53</v>
      </c>
      <c r="D6" s="41">
        <f>Rev!D35</f>
        <v>197.88900000000001</v>
      </c>
      <c r="E6" s="41">
        <f>Rev!E35</f>
        <v>282.14299999999997</v>
      </c>
      <c r="F6" s="41">
        <f>Rev!F35</f>
        <v>375.52600000000001</v>
      </c>
      <c r="G6" s="41">
        <f>Rev!G35</f>
        <v>1004.36266631321</v>
      </c>
      <c r="H6" s="41">
        <f>Rev!H35</f>
        <v>1123.1872215806145</v>
      </c>
      <c r="I6" s="41">
        <f>Rev!I35</f>
        <v>1347.1</v>
      </c>
      <c r="J6" s="41">
        <f>Rev!J35</f>
        <v>1721.7</v>
      </c>
      <c r="K6" s="41">
        <f>Rev!K35</f>
        <v>2199.8000000000002</v>
      </c>
      <c r="L6" s="41">
        <f ca="1">Rev!L35</f>
        <v>2607.6426124011377</v>
      </c>
      <c r="M6" s="41">
        <f ca="1">Rev!M35</f>
        <v>2690.2027031106882</v>
      </c>
      <c r="N6" s="41">
        <f ca="1">Rev!N35</f>
        <v>2797.5603594642562</v>
      </c>
      <c r="T6" s="41">
        <f>Rev!T35</f>
        <v>236.00767747572064</v>
      </c>
      <c r="U6" s="41">
        <f>Rev!U35</f>
        <v>250.02480987258627</v>
      </c>
      <c r="V6" s="41">
        <f>Rev!V35</f>
        <v>256.55395289598329</v>
      </c>
      <c r="W6" s="41">
        <f>Rev!W35</f>
        <v>261.77622606891981</v>
      </c>
      <c r="X6" s="41">
        <f>Rev!X35</f>
        <v>268.05077825707741</v>
      </c>
      <c r="Y6" s="41">
        <f>Rev!Y35</f>
        <v>276.97613063680853</v>
      </c>
      <c r="Z6" s="41">
        <f>Rev!Z35</f>
        <v>281.3929475507324</v>
      </c>
      <c r="AA6" s="41">
        <f>Rev!AA35</f>
        <v>296.76736513599604</v>
      </c>
      <c r="AB6" s="41">
        <f>Rev!AB35</f>
        <v>320.60000000000002</v>
      </c>
      <c r="AC6" s="41">
        <f>Rev!AC35</f>
        <v>323.89999999999998</v>
      </c>
      <c r="AD6" s="41">
        <f>Rev!AD35</f>
        <v>340.7</v>
      </c>
      <c r="AE6" s="41">
        <f>Rev!AE35</f>
        <v>361.9</v>
      </c>
      <c r="AF6" s="41">
        <f>Rev!AF35</f>
        <v>366.8</v>
      </c>
      <c r="AG6" s="41">
        <f>Rev!AG35</f>
        <v>369.6</v>
      </c>
      <c r="AH6" s="41">
        <f>Rev!AH35</f>
        <v>478</v>
      </c>
      <c r="AI6" s="41">
        <f>Rev!AI35</f>
        <v>507.3</v>
      </c>
      <c r="AJ6" s="41">
        <f>Rev!AJ35</f>
        <v>504.9</v>
      </c>
      <c r="AK6" s="41">
        <f>Rev!AK35</f>
        <v>506.7</v>
      </c>
      <c r="AL6" s="41">
        <f>Rev!AL35</f>
        <v>550.20000000000005</v>
      </c>
      <c r="AM6" s="41">
        <f>Rev!AM35</f>
        <v>638</v>
      </c>
      <c r="AN6" s="41">
        <f>Rev!AN35</f>
        <v>643.5</v>
      </c>
      <c r="AO6" s="41">
        <f>Rev!AO35</f>
        <v>653.5</v>
      </c>
      <c r="AP6" s="41">
        <f ca="1">Rev!AP35</f>
        <v>652.80480431086812</v>
      </c>
      <c r="AQ6" s="41">
        <f ca="1">Rev!AQ35</f>
        <v>657.83780809026939</v>
      </c>
      <c r="AR6" s="41">
        <f ca="1">Rev!AR35</f>
        <v>663.33243624668933</v>
      </c>
      <c r="AS6" s="41">
        <f ca="1">Rev!AS35</f>
        <v>669.26765209981852</v>
      </c>
      <c r="AT6" s="41">
        <f ca="1">Rev!AT35</f>
        <v>675.54210479847575</v>
      </c>
      <c r="AU6" s="41">
        <f ca="1">Rev!AU35</f>
        <v>682.06050996570434</v>
      </c>
      <c r="AV6" s="41">
        <f ca="1">Rev!AV35</f>
        <v>688.80079027866725</v>
      </c>
      <c r="AW6" s="41">
        <f ca="1">Rev!AW35</f>
        <v>695.74233631079085</v>
      </c>
      <c r="AX6" s="41">
        <f ca="1">Rev!AX35</f>
        <v>702.86557074145185</v>
      </c>
      <c r="AY6" s="41">
        <f ca="1">Rev!AY35</f>
        <v>710.15166213334624</v>
      </c>
    </row>
    <row r="7" spans="1:52">
      <c r="B7" s="7" t="s">
        <v>36</v>
      </c>
      <c r="D7" s="126"/>
      <c r="E7" s="126">
        <f t="shared" ref="E7:N7" si="0">+E6/D6-1</f>
        <v>0.42576393836948978</v>
      </c>
      <c r="F7" s="126">
        <f t="shared" si="0"/>
        <v>0.33097755393541584</v>
      </c>
      <c r="G7" s="126"/>
      <c r="H7" s="126">
        <f t="shared" si="0"/>
        <v>0.118308415130147</v>
      </c>
      <c r="I7" s="126">
        <f t="shared" si="0"/>
        <v>0.1993548129084679</v>
      </c>
      <c r="J7" s="126">
        <f t="shared" si="0"/>
        <v>0.27807883601811301</v>
      </c>
      <c r="K7" s="126">
        <f t="shared" si="0"/>
        <v>0.27769065458558417</v>
      </c>
      <c r="L7" s="126">
        <f t="shared" ca="1" si="0"/>
        <v>0.1853998601696234</v>
      </c>
      <c r="M7" s="126">
        <f t="shared" ca="1" si="0"/>
        <v>3.1660815142734888E-2</v>
      </c>
      <c r="N7" s="126">
        <f t="shared" ca="1" si="0"/>
        <v>3.9906902267784483E-2</v>
      </c>
      <c r="T7" s="126"/>
      <c r="X7" s="126">
        <f t="shared" ref="X7:AY7" si="1">+X6/T6-1</f>
        <v>0.13577143389605717</v>
      </c>
      <c r="Y7" s="126">
        <f t="shared" si="1"/>
        <v>0.10779458557715449</v>
      </c>
      <c r="Z7" s="126">
        <f t="shared" si="1"/>
        <v>9.6817820869124604E-2</v>
      </c>
      <c r="AA7" s="126">
        <f t="shared" si="1"/>
        <v>0.13366813171897385</v>
      </c>
      <c r="AB7" s="126">
        <f t="shared" si="1"/>
        <v>0.19604204130504188</v>
      </c>
      <c r="AC7" s="126">
        <f t="shared" si="1"/>
        <v>0.16941484905326187</v>
      </c>
      <c r="AD7" s="126">
        <f t="shared" si="1"/>
        <v>0.21076239815347586</v>
      </c>
      <c r="AE7" s="126">
        <f t="shared" si="1"/>
        <v>0.21947371077731659</v>
      </c>
      <c r="AF7" s="126">
        <f t="shared" si="1"/>
        <v>0.14410480349344978</v>
      </c>
      <c r="AG7" s="126">
        <f t="shared" si="1"/>
        <v>0.14109292991664102</v>
      </c>
      <c r="AH7" s="126">
        <f t="shared" si="1"/>
        <v>0.40299383621954799</v>
      </c>
      <c r="AI7" s="126">
        <f t="shared" si="1"/>
        <v>0.40176844432163583</v>
      </c>
      <c r="AJ7" s="126">
        <f t="shared" si="1"/>
        <v>0.37649945474372948</v>
      </c>
      <c r="AK7" s="126">
        <f t="shared" si="1"/>
        <v>0.37094155844155829</v>
      </c>
      <c r="AL7" s="126">
        <f t="shared" si="1"/>
        <v>0.15104602510460263</v>
      </c>
      <c r="AM7" s="126">
        <f t="shared" si="1"/>
        <v>0.257638478218017</v>
      </c>
      <c r="AN7" s="126">
        <f t="shared" si="1"/>
        <v>0.27450980392156876</v>
      </c>
      <c r="AO7" s="126">
        <f t="shared" si="1"/>
        <v>0.2897177817248866</v>
      </c>
      <c r="AP7" s="126">
        <f t="shared" ca="1" si="1"/>
        <v>0.18648637642833155</v>
      </c>
      <c r="AQ7" s="126">
        <f t="shared" ca="1" si="1"/>
        <v>3.1093743088196568E-2</v>
      </c>
      <c r="AR7" s="126">
        <f t="shared" ca="1" si="1"/>
        <v>3.0819636746991952E-2</v>
      </c>
      <c r="AS7" s="126">
        <f t="shared" ca="1" si="1"/>
        <v>2.4128006273631986E-2</v>
      </c>
      <c r="AT7" s="126">
        <f t="shared" ca="1" si="1"/>
        <v>3.4830167206888474E-2</v>
      </c>
      <c r="AU7" s="126">
        <f t="shared" ca="1" si="1"/>
        <v>3.6821693094464258E-2</v>
      </c>
      <c r="AV7" s="126">
        <f t="shared" ca="1" si="1"/>
        <v>3.83945554902827E-2</v>
      </c>
      <c r="AW7" s="126">
        <f t="shared" ca="1" si="1"/>
        <v>3.9557692842181025E-2</v>
      </c>
      <c r="AX7" s="126">
        <f t="shared" ca="1" si="1"/>
        <v>4.0446725302380804E-2</v>
      </c>
      <c r="AY7" s="126">
        <f t="shared" ca="1" si="1"/>
        <v>4.1185718506198787E-2</v>
      </c>
    </row>
    <row r="8" spans="1:52">
      <c r="B8" s="7" t="s">
        <v>37</v>
      </c>
      <c r="U8" s="126">
        <f t="shared" ref="U8:AY8" si="2">+U6/T6-1</f>
        <v>5.939269665626723E-2</v>
      </c>
      <c r="V8" s="126">
        <f t="shared" si="2"/>
        <v>2.6113980555466876E-2</v>
      </c>
      <c r="W8" s="126">
        <f t="shared" si="2"/>
        <v>2.0355457844198011E-2</v>
      </c>
      <c r="X8" s="126">
        <f t="shared" si="2"/>
        <v>2.3969144495595396E-2</v>
      </c>
      <c r="Y8" s="126">
        <f t="shared" si="2"/>
        <v>3.329724478983298E-2</v>
      </c>
      <c r="Z8" s="126">
        <f t="shared" si="2"/>
        <v>1.5946561545823412E-2</v>
      </c>
      <c r="AA8" s="126">
        <f t="shared" si="2"/>
        <v>5.4636826256961424E-2</v>
      </c>
      <c r="AB8" s="126">
        <f t="shared" si="2"/>
        <v>8.0307465253406374E-2</v>
      </c>
      <c r="AC8" s="126">
        <f t="shared" si="2"/>
        <v>1.0293200249531953E-2</v>
      </c>
      <c r="AD8" s="126">
        <f t="shared" si="2"/>
        <v>5.1867860450756531E-2</v>
      </c>
      <c r="AE8" s="126">
        <f t="shared" si="2"/>
        <v>6.2224831229821032E-2</v>
      </c>
      <c r="AF8" s="126">
        <f t="shared" si="2"/>
        <v>1.3539651837524369E-2</v>
      </c>
      <c r="AG8" s="126">
        <f t="shared" si="2"/>
        <v>7.6335877862596657E-3</v>
      </c>
      <c r="AH8" s="126">
        <f t="shared" si="2"/>
        <v>0.29329004329004316</v>
      </c>
      <c r="AI8" s="126">
        <f t="shared" si="2"/>
        <v>6.129707112970717E-2</v>
      </c>
      <c r="AJ8" s="126">
        <f t="shared" si="2"/>
        <v>-4.7309284447073496E-3</v>
      </c>
      <c r="AK8" s="126">
        <f t="shared" si="2"/>
        <v>3.5650623885918886E-3</v>
      </c>
      <c r="AL8" s="126">
        <f t="shared" si="2"/>
        <v>8.5849615156897707E-2</v>
      </c>
      <c r="AM8" s="126">
        <f t="shared" si="2"/>
        <v>0.15957833515085418</v>
      </c>
      <c r="AN8" s="126">
        <f t="shared" si="2"/>
        <v>8.6206896551723755E-3</v>
      </c>
      <c r="AO8" s="126">
        <f t="shared" si="2"/>
        <v>1.5540015540015606E-2</v>
      </c>
      <c r="AP8" s="126">
        <f t="shared" ca="1" si="2"/>
        <v>-1.0638036559018627E-3</v>
      </c>
      <c r="AQ8" s="126">
        <f t="shared" ca="1" si="2"/>
        <v>7.7098142448788209E-3</v>
      </c>
      <c r="AR8" s="126">
        <f t="shared" ca="1" si="2"/>
        <v>8.3525575587866108E-3</v>
      </c>
      <c r="AS8" s="126">
        <f t="shared" ca="1" si="2"/>
        <v>8.9475736882582702E-3</v>
      </c>
      <c r="AT8" s="126">
        <f t="shared" ca="1" si="2"/>
        <v>9.3751022912451631E-3</v>
      </c>
      <c r="AU8" s="126">
        <f t="shared" ca="1" si="2"/>
        <v>9.6491471381685567E-3</v>
      </c>
      <c r="AV8" s="126">
        <f t="shared" ca="1" si="2"/>
        <v>9.8822321692568771E-3</v>
      </c>
      <c r="AW8" s="126">
        <f t="shared" ca="1" si="2"/>
        <v>1.0077726579429847E-2</v>
      </c>
      <c r="AX8" s="126">
        <f t="shared" ca="1" si="2"/>
        <v>1.0238322520995879E-2</v>
      </c>
      <c r="AY8" s="126">
        <f t="shared" ca="1" si="2"/>
        <v>1.0366265890941806E-2</v>
      </c>
    </row>
    <row r="9" spans="1:52">
      <c r="B9" t="s">
        <v>399</v>
      </c>
      <c r="U9" s="126"/>
      <c r="V9" s="126"/>
      <c r="W9" s="126"/>
      <c r="X9" s="126"/>
      <c r="Y9" s="126"/>
      <c r="Z9" s="126"/>
      <c r="AA9" s="126"/>
      <c r="AB9" s="47">
        <v>0.06</v>
      </c>
      <c r="AC9" s="47">
        <v>7.0000000000000007E-2</v>
      </c>
      <c r="AD9" s="47">
        <v>7.0000000000000007E-2</v>
      </c>
      <c r="AE9" s="47">
        <v>7.0000000000000007E-2</v>
      </c>
      <c r="AF9" s="47">
        <v>0.05</v>
      </c>
      <c r="AG9" s="47">
        <v>0.05</v>
      </c>
      <c r="AH9" s="47">
        <v>0.04</v>
      </c>
      <c r="AI9" s="47">
        <v>0.04</v>
      </c>
      <c r="AJ9" s="47">
        <v>2.5000000000000001E-2</v>
      </c>
      <c r="AK9" s="47">
        <v>2.1999999999999999E-2</v>
      </c>
      <c r="AL9" s="47">
        <v>-7.0000000000000001E-3</v>
      </c>
      <c r="AM9" s="126"/>
      <c r="AN9" s="47">
        <v>-1E-3</v>
      </c>
      <c r="AO9" s="126"/>
      <c r="AP9" s="126"/>
      <c r="AQ9" s="126"/>
      <c r="AR9" s="126"/>
      <c r="AS9" s="126"/>
      <c r="AT9" s="126"/>
      <c r="AU9" s="126"/>
      <c r="AV9" s="126"/>
      <c r="AW9" s="126"/>
      <c r="AX9" s="126"/>
      <c r="AY9" s="126"/>
    </row>
    <row r="10" spans="1:52">
      <c r="B10" t="s">
        <v>268</v>
      </c>
      <c r="F10" s="41">
        <f>Rev!F12</f>
        <v>350.9</v>
      </c>
      <c r="G10" s="41">
        <f>Rev!G12</f>
        <v>941.07600000000002</v>
      </c>
      <c r="H10" s="41">
        <f>Rev!H12</f>
        <v>1030.0378165423176</v>
      </c>
      <c r="I10" s="41">
        <f>Rev!I12</f>
        <v>1211.9000000000001</v>
      </c>
      <c r="J10" s="41">
        <f>Rev!J12</f>
        <v>1370.3000000000002</v>
      </c>
      <c r="K10" s="41">
        <f>Rev!K12</f>
        <v>1613.1</v>
      </c>
      <c r="L10" s="41">
        <f ca="1">Rev!L12</f>
        <v>1918.2704858738143</v>
      </c>
      <c r="M10" s="41">
        <f ca="1">Rev!M12</f>
        <v>2005.9140106130967</v>
      </c>
      <c r="N10" s="41">
        <f ca="1">Rev!N12</f>
        <v>2110.1147576462581</v>
      </c>
      <c r="T10" s="41"/>
      <c r="U10" s="41">
        <f>Rev!U12</f>
        <v>232.56893385403922</v>
      </c>
      <c r="V10" s="41">
        <f>Rev!V12</f>
        <v>241.22097620742522</v>
      </c>
      <c r="W10" s="41">
        <f>Rev!W12</f>
        <v>244.11265646467817</v>
      </c>
      <c r="X10" s="41">
        <f>Rev!X12</f>
        <v>248.91391997559191</v>
      </c>
      <c r="Y10" s="41">
        <f>Rev!Y12</f>
        <v>254.71517916105748</v>
      </c>
      <c r="Z10" s="41">
        <f>Rev!Z12</f>
        <v>258.77268313643515</v>
      </c>
      <c r="AA10" s="41">
        <f>Rev!AA12</f>
        <v>267.63603426923299</v>
      </c>
      <c r="AB10" s="41">
        <f>Rev!AB12</f>
        <v>289.39999999999998</v>
      </c>
      <c r="AC10" s="41">
        <f>Rev!AC12</f>
        <v>292</v>
      </c>
      <c r="AD10" s="41">
        <f>Rev!AD12</f>
        <v>303.39999999999998</v>
      </c>
      <c r="AE10" s="41">
        <f>Rev!AE12</f>
        <v>327.10000000000002</v>
      </c>
      <c r="AF10" s="41">
        <f>Rev!AF12</f>
        <v>332.3</v>
      </c>
      <c r="AG10" s="41">
        <f>Rev!AG12</f>
        <v>336.4</v>
      </c>
      <c r="AH10" s="41">
        <f>Rev!AH12</f>
        <v>347</v>
      </c>
      <c r="AI10" s="41">
        <f>Rev!AI12</f>
        <v>354.6</v>
      </c>
      <c r="AJ10" s="41">
        <f>Rev!AJ12</f>
        <v>357.3</v>
      </c>
      <c r="AK10" s="41">
        <f>Rev!AK12</f>
        <v>360.7</v>
      </c>
      <c r="AL10" s="41">
        <f>Rev!AL12</f>
        <v>430.7</v>
      </c>
      <c r="AM10" s="41">
        <f>Rev!AM12</f>
        <v>464.4</v>
      </c>
      <c r="AN10" s="41">
        <f>Rev!AN12</f>
        <v>474.5</v>
      </c>
      <c r="AO10" s="41">
        <f>Rev!AO12</f>
        <v>476.1</v>
      </c>
      <c r="AP10" s="41">
        <f ca="1">Rev!AP12</f>
        <v>480.57943357381458</v>
      </c>
      <c r="AQ10" s="41">
        <f ca="1">Rev!AQ12</f>
        <v>487.09105229999989</v>
      </c>
      <c r="AR10" s="41">
        <f ca="1">Rev!AR12</f>
        <v>492.48029173469615</v>
      </c>
      <c r="AS10" s="41">
        <f ca="1">Rev!AS12</f>
        <v>498.28448627897376</v>
      </c>
      <c r="AT10" s="41">
        <f ca="1">Rev!AT12</f>
        <v>504.40390739601509</v>
      </c>
      <c r="AU10" s="41">
        <f ca="1">Rev!AU12</f>
        <v>510.74532520341165</v>
      </c>
      <c r="AV10" s="41">
        <f ca="1">Rev!AV12</f>
        <v>517.28735170988909</v>
      </c>
      <c r="AW10" s="41">
        <f ca="1">Rev!AW12</f>
        <v>524.01006675846361</v>
      </c>
      <c r="AX10" s="41">
        <f ca="1">Rev!AX12</f>
        <v>530.89458235399343</v>
      </c>
      <c r="AY10" s="41">
        <f ca="1">Rev!AY12</f>
        <v>537.92275682391232</v>
      </c>
    </row>
    <row r="11" spans="1:52">
      <c r="B11" t="s">
        <v>132</v>
      </c>
      <c r="F11" s="18">
        <f>+F6-F10</f>
        <v>24.626000000000033</v>
      </c>
      <c r="G11" s="18">
        <f>+G6-G10</f>
        <v>63.286666313209935</v>
      </c>
      <c r="H11" s="18">
        <f>+H6-H10</f>
        <v>93.149405038296891</v>
      </c>
      <c r="I11" s="18">
        <f t="shared" ref="I11:N11" si="3">+I6-I10</f>
        <v>135.19999999999982</v>
      </c>
      <c r="J11" s="18">
        <f t="shared" si="3"/>
        <v>351.39999999999986</v>
      </c>
      <c r="K11" s="18">
        <f t="shared" si="3"/>
        <v>586.70000000000027</v>
      </c>
      <c r="L11" s="18">
        <f t="shared" ca="1" si="3"/>
        <v>689.37212652732342</v>
      </c>
      <c r="M11" s="18">
        <f t="shared" ca="1" si="3"/>
        <v>684.28869249759146</v>
      </c>
      <c r="N11" s="18">
        <f t="shared" ca="1" si="3"/>
        <v>687.44560181799807</v>
      </c>
      <c r="T11" s="41"/>
      <c r="U11" s="41"/>
      <c r="V11" s="41"/>
      <c r="W11" s="41"/>
      <c r="X11" s="41"/>
      <c r="Y11" s="41"/>
      <c r="Z11" s="41"/>
      <c r="AA11" s="41"/>
      <c r="AB11" s="41"/>
      <c r="AC11" s="41"/>
      <c r="AD11" s="41"/>
      <c r="AE11" s="41"/>
      <c r="AF11" s="41"/>
      <c r="AG11" s="41"/>
      <c r="AH11" s="41"/>
      <c r="AI11" s="41"/>
      <c r="AJ11" s="41"/>
      <c r="AK11" s="41"/>
      <c r="AL11" s="41"/>
      <c r="AM11" s="41"/>
      <c r="AN11" s="41"/>
      <c r="AO11" s="41"/>
      <c r="AP11" s="41"/>
      <c r="AQ11" s="41"/>
      <c r="AR11" s="41"/>
      <c r="AS11" s="41"/>
      <c r="AT11" s="41"/>
      <c r="AU11" s="41"/>
      <c r="AV11" s="41"/>
      <c r="AW11" s="41"/>
      <c r="AX11" s="41"/>
      <c r="AY11" s="41"/>
    </row>
    <row r="12" spans="1:52">
      <c r="B12" t="s">
        <v>47</v>
      </c>
      <c r="G12" s="41"/>
      <c r="H12" s="18"/>
      <c r="I12" s="41">
        <f>Rev!I22</f>
        <v>12.66624364616953</v>
      </c>
      <c r="J12" s="41">
        <f>Rev!J22</f>
        <v>14.538243646169533</v>
      </c>
      <c r="K12" s="41">
        <f>Rev!K22</f>
        <v>13.79324364616954</v>
      </c>
      <c r="L12" s="41">
        <f ca="1">Rev!L22</f>
        <v>15.116458437123772</v>
      </c>
      <c r="M12" s="41">
        <f ca="1">Rev!M22</f>
        <v>16.461280311643122</v>
      </c>
      <c r="N12" s="41">
        <f ca="1">Rev!N22</f>
        <v>17.737790108630676</v>
      </c>
      <c r="T12" s="41"/>
      <c r="U12" s="41"/>
      <c r="V12" s="41"/>
      <c r="W12" s="41"/>
      <c r="X12" s="41"/>
      <c r="Y12" s="41"/>
      <c r="Z12" s="41"/>
      <c r="AA12" s="41"/>
      <c r="AB12" s="41"/>
      <c r="AC12" s="41"/>
      <c r="AD12" s="41"/>
      <c r="AE12" s="41"/>
      <c r="AF12" s="41"/>
      <c r="AG12" s="41"/>
      <c r="AH12" s="41"/>
      <c r="AI12" s="41"/>
      <c r="AJ12" s="41"/>
      <c r="AK12" s="41"/>
      <c r="AL12" s="41"/>
      <c r="AM12" s="41"/>
      <c r="AN12" s="41"/>
      <c r="AO12" s="41"/>
      <c r="AP12" s="41"/>
      <c r="AQ12" s="41"/>
      <c r="AR12" s="41"/>
      <c r="AS12" s="41"/>
      <c r="AT12" s="41"/>
      <c r="AU12" s="41"/>
      <c r="AV12" s="41"/>
      <c r="AW12" s="41"/>
      <c r="AX12" s="41"/>
      <c r="AY12" s="41"/>
    </row>
    <row r="13" spans="1:52">
      <c r="B13" s="7" t="s">
        <v>36</v>
      </c>
      <c r="G13" s="41"/>
      <c r="H13" s="18"/>
      <c r="I13" s="18"/>
      <c r="J13" s="129">
        <f>+J12/I12-1</f>
        <v>0.1477944094787822</v>
      </c>
      <c r="K13" s="129">
        <f>+K12/J12-1</f>
        <v>-5.1244154254924901E-2</v>
      </c>
      <c r="L13" s="129">
        <f ca="1">+L12/K12-1</f>
        <v>9.5932097257028781E-2</v>
      </c>
      <c r="M13" s="129">
        <f ca="1">+M12/L12-1</f>
        <v>8.8964083757652412E-2</v>
      </c>
      <c r="N13" s="129">
        <f ca="1">+N12/M12-1</f>
        <v>7.7546203747267173E-2</v>
      </c>
      <c r="T13" s="41"/>
      <c r="U13" s="41"/>
      <c r="V13" s="41"/>
      <c r="W13" s="41"/>
      <c r="X13" s="41"/>
      <c r="Y13" s="41"/>
      <c r="Z13" s="41"/>
      <c r="AA13" s="41"/>
      <c r="AB13" s="41"/>
      <c r="AC13" s="41"/>
      <c r="AD13" s="41"/>
      <c r="AE13" s="41"/>
      <c r="AF13" s="41"/>
      <c r="AG13" s="41"/>
      <c r="AH13" s="41"/>
      <c r="AI13" s="41"/>
      <c r="AJ13" s="41"/>
      <c r="AK13" s="41"/>
      <c r="AL13" s="41"/>
      <c r="AM13" s="41"/>
      <c r="AN13" s="41"/>
      <c r="AO13" s="41"/>
      <c r="AP13" s="41"/>
      <c r="AQ13" s="41"/>
      <c r="AR13" s="41"/>
      <c r="AS13" s="41"/>
      <c r="AT13" s="41"/>
      <c r="AU13" s="41"/>
      <c r="AV13" s="41"/>
      <c r="AW13" s="41"/>
      <c r="AX13" s="41"/>
      <c r="AY13" s="41"/>
    </row>
    <row r="14" spans="1:52" s="128" customFormat="1">
      <c r="B14" s="61" t="s">
        <v>436</v>
      </c>
      <c r="D14" s="19"/>
      <c r="E14" s="19"/>
      <c r="F14" s="19"/>
      <c r="G14" s="19"/>
      <c r="H14" s="19"/>
      <c r="I14" s="19"/>
      <c r="J14" s="19"/>
      <c r="K14" s="19"/>
      <c r="L14" s="19"/>
      <c r="M14" s="19"/>
      <c r="N14" s="19"/>
      <c r="T14" s="19"/>
      <c r="U14" s="19"/>
      <c r="V14" s="19"/>
      <c r="W14" s="19"/>
      <c r="X14" s="19"/>
      <c r="Y14" s="19"/>
      <c r="Z14" s="19"/>
      <c r="AA14" s="19"/>
      <c r="AB14" s="19"/>
      <c r="AC14" s="19"/>
      <c r="AD14" s="19"/>
      <c r="AE14" s="19"/>
      <c r="AF14" s="19"/>
      <c r="AG14" s="19"/>
      <c r="AH14" s="19"/>
      <c r="AI14" s="19"/>
      <c r="AJ14" s="19"/>
      <c r="AK14" s="19">
        <v>637.20000000000005</v>
      </c>
      <c r="AL14" s="19">
        <v>640.5</v>
      </c>
      <c r="AM14" s="19">
        <v>639.29999999999995</v>
      </c>
      <c r="AN14" s="18">
        <f t="shared" ref="AN14:AY14" si="4">+AN6</f>
        <v>643.5</v>
      </c>
      <c r="AO14" s="18">
        <f t="shared" si="4"/>
        <v>653.5</v>
      </c>
      <c r="AP14" s="18">
        <f t="shared" ca="1" si="4"/>
        <v>652.80480431086812</v>
      </c>
      <c r="AQ14" s="18">
        <f t="shared" ca="1" si="4"/>
        <v>657.83780809026939</v>
      </c>
      <c r="AR14" s="18">
        <f t="shared" ca="1" si="4"/>
        <v>663.33243624668933</v>
      </c>
      <c r="AS14" s="18">
        <f t="shared" ca="1" si="4"/>
        <v>669.26765209981852</v>
      </c>
      <c r="AT14" s="18">
        <f t="shared" ca="1" si="4"/>
        <v>675.54210479847575</v>
      </c>
      <c r="AU14" s="18">
        <f t="shared" ca="1" si="4"/>
        <v>682.06050996570434</v>
      </c>
      <c r="AV14" s="18">
        <f t="shared" ca="1" si="4"/>
        <v>688.80079027866725</v>
      </c>
      <c r="AW14" s="18">
        <f t="shared" ca="1" si="4"/>
        <v>695.74233631079085</v>
      </c>
      <c r="AX14" s="18">
        <f t="shared" ca="1" si="4"/>
        <v>702.86557074145185</v>
      </c>
      <c r="AY14" s="18">
        <f t="shared" ca="1" si="4"/>
        <v>710.15166213334624</v>
      </c>
    </row>
    <row r="15" spans="1:52">
      <c r="B15" s="7" t="s">
        <v>36</v>
      </c>
      <c r="D15" s="126"/>
      <c r="E15" s="126"/>
      <c r="F15" s="126"/>
      <c r="G15" s="126"/>
      <c r="H15" s="126"/>
      <c r="I15" s="126"/>
      <c r="J15" s="126"/>
      <c r="K15" s="126"/>
      <c r="L15" s="126"/>
      <c r="M15" s="126"/>
      <c r="N15" s="126"/>
      <c r="T15" s="126"/>
      <c r="X15" s="126"/>
      <c r="Y15" s="126"/>
      <c r="Z15" s="126"/>
      <c r="AA15" s="126"/>
      <c r="AB15" s="126"/>
      <c r="AC15" s="126"/>
      <c r="AD15" s="126"/>
      <c r="AE15" s="126"/>
      <c r="AF15" s="126"/>
      <c r="AG15" s="126"/>
      <c r="AH15" s="126"/>
      <c r="AI15" s="126"/>
      <c r="AJ15" s="126"/>
      <c r="AK15" s="126"/>
      <c r="AL15" s="126"/>
      <c r="AM15" s="126"/>
      <c r="AN15" s="126"/>
      <c r="AO15" s="126">
        <f>+AO14/AK14-1</f>
        <v>2.5580665411173875E-2</v>
      </c>
      <c r="AP15" s="126">
        <f t="shared" ref="AP15:AY15" ca="1" si="5">+AP14/AL14-1</f>
        <v>1.9211247948271781E-2</v>
      </c>
      <c r="AQ15" s="126">
        <f t="shared" ca="1" si="5"/>
        <v>2.8997040654261674E-2</v>
      </c>
      <c r="AR15" s="126">
        <f t="shared" ca="1" si="5"/>
        <v>3.0819636746991952E-2</v>
      </c>
      <c r="AS15" s="126">
        <f t="shared" ca="1" si="5"/>
        <v>2.4128006273631986E-2</v>
      </c>
      <c r="AT15" s="126">
        <f t="shared" ca="1" si="5"/>
        <v>3.4830167206888474E-2</v>
      </c>
      <c r="AU15" s="126">
        <f t="shared" ca="1" si="5"/>
        <v>3.6821693094464258E-2</v>
      </c>
      <c r="AV15" s="126">
        <f t="shared" ca="1" si="5"/>
        <v>3.83945554902827E-2</v>
      </c>
      <c r="AW15" s="126">
        <f t="shared" ca="1" si="5"/>
        <v>3.9557692842181025E-2</v>
      </c>
      <c r="AX15" s="126">
        <f t="shared" ca="1" si="5"/>
        <v>4.0446725302380804E-2</v>
      </c>
      <c r="AY15" s="126">
        <f t="shared" ca="1" si="5"/>
        <v>4.1185718506198787E-2</v>
      </c>
    </row>
    <row r="16" spans="1:52" s="128" customFormat="1">
      <c r="B16" s="61" t="s">
        <v>437</v>
      </c>
      <c r="D16" s="19"/>
      <c r="E16" s="19"/>
      <c r="F16" s="19"/>
      <c r="G16" s="19"/>
      <c r="H16" s="19"/>
      <c r="I16" s="19"/>
      <c r="J16" s="19"/>
      <c r="K16" s="19"/>
      <c r="L16" s="19"/>
      <c r="M16" s="19"/>
      <c r="N16" s="19"/>
      <c r="T16" s="19"/>
      <c r="U16" s="19"/>
      <c r="V16" s="19"/>
      <c r="W16" s="19"/>
      <c r="X16" s="19"/>
      <c r="Y16" s="19"/>
      <c r="Z16" s="19"/>
      <c r="AA16" s="19"/>
      <c r="AB16" s="19"/>
      <c r="AC16" s="19"/>
      <c r="AD16" s="19"/>
      <c r="AE16" s="19"/>
      <c r="AF16" s="19"/>
      <c r="AG16" s="19"/>
      <c r="AH16" s="19"/>
      <c r="AI16" s="19"/>
      <c r="AJ16" s="19"/>
      <c r="AK16" s="19"/>
      <c r="AL16" s="19">
        <f>+AL14-128.9</f>
        <v>511.6</v>
      </c>
      <c r="AM16" s="41">
        <f>+Rev!AM35-Rev!AM276</f>
        <v>509.1</v>
      </c>
      <c r="AN16" s="41">
        <f>+Rev!AN35-Rev!AN276</f>
        <v>515.79999999999995</v>
      </c>
      <c r="AO16" s="41">
        <f>+Rev!AO35-Rev!AO276</f>
        <v>530</v>
      </c>
      <c r="AP16" s="41">
        <f ca="1">+Rev!AP35-Rev!AP276</f>
        <v>529.92230431086818</v>
      </c>
      <c r="AQ16" s="41">
        <f ca="1">+Rev!AQ35-Rev!AQ276</f>
        <v>535.56972059026941</v>
      </c>
      <c r="AR16" s="41">
        <f ca="1">+Rev!AR35-Rev!AR276</f>
        <v>541.67568918418931</v>
      </c>
      <c r="AS16" s="41">
        <f ca="1">+Rev!AS35-Rev!AS276</f>
        <v>548.21918877263101</v>
      </c>
      <c r="AT16" s="41">
        <f ca="1">+Rev!AT35-Rev!AT276</f>
        <v>555.09888378792425</v>
      </c>
      <c r="AU16" s="41">
        <f ca="1">+Rev!AU35-Rev!AU276</f>
        <v>562.21950506020551</v>
      </c>
      <c r="AV16" s="41">
        <f ca="1">+Rev!AV35-Rev!AV276</f>
        <v>569.55899039769599</v>
      </c>
      <c r="AW16" s="41">
        <f ca="1">+Rev!AW35-Rev!AW276</f>
        <v>577.09674542922437</v>
      </c>
      <c r="AX16" s="41">
        <f ca="1">+Rev!AX35-Rev!AX276</f>
        <v>584.81320781429326</v>
      </c>
      <c r="AY16" s="41">
        <f ca="1">+Rev!AY35-Rev!AY276</f>
        <v>592.68956102082348</v>
      </c>
    </row>
    <row r="17" spans="2:51">
      <c r="B17" s="7" t="s">
        <v>36</v>
      </c>
      <c r="D17" s="126"/>
      <c r="E17" s="126"/>
      <c r="F17" s="126"/>
      <c r="G17" s="126"/>
      <c r="H17" s="126"/>
      <c r="I17" s="126"/>
      <c r="J17" s="126"/>
      <c r="K17" s="126"/>
      <c r="L17" s="126"/>
      <c r="M17" s="126"/>
      <c r="N17" s="126"/>
      <c r="T17" s="126"/>
      <c r="X17" s="126"/>
      <c r="Y17" s="126"/>
      <c r="Z17" s="126"/>
      <c r="AA17" s="126"/>
      <c r="AB17" s="126"/>
      <c r="AC17" s="126"/>
      <c r="AD17" s="126"/>
      <c r="AE17" s="126"/>
      <c r="AF17" s="126"/>
      <c r="AG17" s="126"/>
      <c r="AH17" s="126"/>
      <c r="AI17" s="126"/>
      <c r="AJ17" s="126"/>
      <c r="AK17" s="126"/>
      <c r="AL17" s="126"/>
      <c r="AM17" s="126"/>
      <c r="AN17" s="126"/>
      <c r="AO17" s="126"/>
      <c r="AP17" s="126">
        <f t="shared" ref="AP17" ca="1" si="6">+AP16/AL16-1</f>
        <v>3.5813730083792406E-2</v>
      </c>
      <c r="AQ17" s="126">
        <f t="shared" ref="AQ17" ca="1" si="7">+AQ16/AM16-1</f>
        <v>5.1993165567215449E-2</v>
      </c>
      <c r="AR17" s="126">
        <f t="shared" ref="AR17" ca="1" si="8">+AR16/AN16-1</f>
        <v>5.0166128701414126E-2</v>
      </c>
      <c r="AS17" s="126">
        <f t="shared" ref="AS17" ca="1" si="9">+AS16/AO16-1</f>
        <v>3.4375827872888731E-2</v>
      </c>
      <c r="AT17" s="126">
        <f t="shared" ref="AT17" ca="1" si="10">+AT16/AP16-1</f>
        <v>4.7509944896161116E-2</v>
      </c>
      <c r="AU17" s="126">
        <f t="shared" ref="AU17" ca="1" si="11">+AU16/AQ16-1</f>
        <v>4.975969224056298E-2</v>
      </c>
      <c r="AV17" s="126">
        <f t="shared" ref="AV17" ca="1" si="12">+AV16/AR16-1</f>
        <v>5.1476006345238412E-2</v>
      </c>
      <c r="AW17" s="126">
        <f t="shared" ref="AW17" ca="1" si="13">+AW16/AS16-1</f>
        <v>5.2675202269452326E-2</v>
      </c>
      <c r="AX17" s="126">
        <f t="shared" ref="AX17" ca="1" si="14">+AX16/AT16-1</f>
        <v>5.3529785222413473E-2</v>
      </c>
      <c r="AY17" s="126">
        <f t="shared" ref="AY17" ca="1" si="15">+AY16/AU16-1</f>
        <v>5.4196013632353601E-2</v>
      </c>
    </row>
    <row r="18" spans="2:51">
      <c r="B18" s="7" t="s">
        <v>37</v>
      </c>
      <c r="U18" s="126"/>
      <c r="V18" s="126"/>
      <c r="W18" s="126"/>
      <c r="X18" s="126"/>
      <c r="Y18" s="126"/>
      <c r="Z18" s="126"/>
      <c r="AA18" s="126"/>
      <c r="AB18" s="126"/>
      <c r="AC18" s="126"/>
      <c r="AD18" s="126"/>
      <c r="AE18" s="126"/>
      <c r="AF18" s="126"/>
      <c r="AG18" s="126"/>
      <c r="AH18" s="126"/>
      <c r="AI18" s="126"/>
      <c r="AJ18" s="126"/>
      <c r="AK18" s="126"/>
      <c r="AL18" s="126"/>
      <c r="AM18" s="126">
        <f t="shared" ref="AM18" si="16">+AM16/AL16-1</f>
        <v>-4.8866301798280443E-3</v>
      </c>
      <c r="AN18" s="126">
        <f t="shared" ref="AN18" si="17">+AN16/AM16-1</f>
        <v>1.3160479277155579E-2</v>
      </c>
      <c r="AO18" s="126">
        <f t="shared" ref="AO18" si="18">+AO16/AN16-1</f>
        <v>2.7530050407134743E-2</v>
      </c>
      <c r="AP18" s="126">
        <f t="shared" ref="AP18" ca="1" si="19">+AP16/AO16-1</f>
        <v>-1.465956398712942E-4</v>
      </c>
      <c r="AQ18" s="126">
        <f t="shared" ref="AQ18" ca="1" si="20">+AQ16/AP16-1</f>
        <v>1.0657064693182505E-2</v>
      </c>
      <c r="AR18" s="126">
        <f t="shared" ref="AR18" ca="1" si="21">+AR16/AQ16-1</f>
        <v>1.140088462654365E-2</v>
      </c>
      <c r="AS18" s="126">
        <f t="shared" ref="AS18" ca="1" si="22">+AS16/AR16-1</f>
        <v>1.2080105714725287E-2</v>
      </c>
      <c r="AT18" s="126">
        <f t="shared" ref="AT18" ca="1" si="23">+AT16/AS16-1</f>
        <v>1.2549168573788405E-2</v>
      </c>
      <c r="AU18" s="126">
        <f t="shared" ref="AU18" ca="1" si="24">+AU16/AT16-1</f>
        <v>1.2827662746664137E-2</v>
      </c>
      <c r="AV18" s="126">
        <f t="shared" ref="AV18" ca="1" si="25">+AV16/AU16-1</f>
        <v>1.3054483651727011E-2</v>
      </c>
      <c r="AW18" s="126">
        <f t="shared" ref="AW18" ca="1" si="26">+AW16/AV16-1</f>
        <v>1.323437108115022E-2</v>
      </c>
      <c r="AX18" s="126">
        <f t="shared" ref="AX18" ca="1" si="27">+AX16/AW16-1</f>
        <v>1.3371176403584872E-2</v>
      </c>
      <c r="AY18" s="126">
        <f t="shared" ref="AY18" ca="1" si="28">+AY16/AX16-1</f>
        <v>1.3468152054854743E-2</v>
      </c>
    </row>
    <row r="19" spans="2:51">
      <c r="AO19" s="6"/>
      <c r="AQ19" s="6">
        <f ca="1">+SUM(AN14:AQ14)</f>
        <v>2607.6426124011377</v>
      </c>
      <c r="AS19" s="6"/>
      <c r="AU19" s="6">
        <f ca="1">+SUM(AR14:AU14)</f>
        <v>2690.2027031106882</v>
      </c>
      <c r="AY19" s="6">
        <f ca="1">+SUM(AV14:AY14)</f>
        <v>2797.5603594642562</v>
      </c>
    </row>
    <row r="20" spans="2:51">
      <c r="AU20">
        <f ca="1">+AU19/AQ19-1</f>
        <v>3.1660815142734888E-2</v>
      </c>
      <c r="AY20">
        <f ca="1">+AY19/AU19-1</f>
        <v>3.9906902267784483E-2</v>
      </c>
    </row>
    <row r="21" spans="2:51">
      <c r="AO21" s="6"/>
      <c r="AQ21" s="6">
        <f ca="1">+SUM(AN16:AQ16)</f>
        <v>2111.2920249011377</v>
      </c>
      <c r="AS21" s="6"/>
      <c r="AU21" s="6">
        <f ca="1">+SUM(AR16:AU16)</f>
        <v>2207.2132668049503</v>
      </c>
      <c r="AY21" s="6">
        <f ca="1">+SUM(AV16:AY16)</f>
        <v>2324.1585046620371</v>
      </c>
    </row>
    <row r="22" spans="2:51">
      <c r="AU22">
        <f ca="1">+AU21/AQ21-1</f>
        <v>4.543248436146774E-2</v>
      </c>
      <c r="AY22">
        <f ca="1">+AY21/AU21-1</f>
        <v>5.29832072033396E-2</v>
      </c>
    </row>
    <row r="119" spans="1:52" s="64" customFormat="1">
      <c r="A119" s="63" t="s">
        <v>40</v>
      </c>
      <c r="B119" s="63"/>
      <c r="C119" s="67"/>
      <c r="D119" s="67"/>
      <c r="E119" s="67"/>
      <c r="F119" s="67"/>
      <c r="G119" s="67"/>
      <c r="H119" s="67"/>
      <c r="I119" s="67"/>
      <c r="J119" s="67"/>
      <c r="K119" s="67"/>
      <c r="L119" s="67"/>
      <c r="M119" s="67"/>
      <c r="N119" s="67"/>
      <c r="O119" s="67"/>
      <c r="V119" s="71"/>
      <c r="Y119" s="71"/>
      <c r="Z119" s="75"/>
      <c r="AA119" s="75"/>
      <c r="AB119" s="75"/>
      <c r="AC119" s="75"/>
      <c r="AD119" s="75"/>
      <c r="AE119" s="75"/>
      <c r="AF119" s="75"/>
      <c r="AG119" s="75"/>
      <c r="AH119" s="75"/>
      <c r="AI119" s="75"/>
      <c r="AJ119" s="75"/>
      <c r="AK119" s="75"/>
      <c r="AL119" s="75"/>
      <c r="AM119" s="75"/>
      <c r="AN119" s="75"/>
      <c r="AO119" s="75"/>
      <c r="AP119" s="75"/>
      <c r="AQ119" s="75"/>
      <c r="AR119" s="75"/>
      <c r="AS119" s="75"/>
      <c r="AT119" s="75"/>
      <c r="AU119" s="75"/>
      <c r="AV119" s="75"/>
      <c r="AW119" s="75"/>
      <c r="AX119" s="75"/>
      <c r="AY119" s="75"/>
      <c r="AZ119" s="75"/>
    </row>
    <row r="120" spans="1:52">
      <c r="B120" t="s">
        <v>69</v>
      </c>
      <c r="D120" s="41">
        <f>IS!D51</f>
        <v>72.854000000000013</v>
      </c>
      <c r="E120" s="41">
        <f>IS!E51</f>
        <v>123.48999999999997</v>
      </c>
      <c r="F120" s="41">
        <f>IS!F51</f>
        <v>187.78599999999994</v>
      </c>
      <c r="G120" s="41">
        <f>IS!G51</f>
        <v>554.42707600667359</v>
      </c>
      <c r="H120" s="41">
        <f>IS!H51</f>
        <v>653.61018672880209</v>
      </c>
      <c r="I120" s="41">
        <f>IS!I51</f>
        <v>782.60000000000014</v>
      </c>
      <c r="J120" s="41">
        <f>IS!J51</f>
        <v>934.9</v>
      </c>
      <c r="K120" s="41">
        <f>IS!K51</f>
        <v>1116.8000000000002</v>
      </c>
      <c r="L120" s="41">
        <f ca="1">IS!L51</f>
        <v>1304.4861798408563</v>
      </c>
      <c r="M120" s="41">
        <f ca="1">IS!M51</f>
        <v>1370.016083933192</v>
      </c>
      <c r="N120" s="41">
        <f ca="1">IS!N51</f>
        <v>1451.1599812439413</v>
      </c>
      <c r="T120" s="41">
        <f>IS!T51</f>
        <v>125.6178835624993</v>
      </c>
      <c r="U120" s="41">
        <f>IS!U51</f>
        <v>139.37871740345793</v>
      </c>
      <c r="V120" s="41">
        <f>IS!V51</f>
        <v>147.59169075010976</v>
      </c>
      <c r="W120" s="41">
        <f>IS!W51</f>
        <v>141.83878429060655</v>
      </c>
      <c r="X120" s="41">
        <f>IS!X51</f>
        <v>155.60177105606058</v>
      </c>
      <c r="Y120" s="41">
        <f>IS!Y51</f>
        <v>161.66567373765406</v>
      </c>
      <c r="Z120" s="41">
        <f>IS!Z51</f>
        <v>165.22903738364963</v>
      </c>
      <c r="AA120" s="41">
        <f>IS!AA51</f>
        <v>171.11370455143791</v>
      </c>
      <c r="AB120" s="41">
        <f>IS!AB51</f>
        <v>182.99999999999997</v>
      </c>
      <c r="AC120" s="41">
        <f>IS!AC51</f>
        <v>189.70000000000002</v>
      </c>
      <c r="AD120" s="41">
        <f>IS!AD51</f>
        <v>199</v>
      </c>
      <c r="AE120" s="41">
        <f>IS!AE51</f>
        <v>210.90000000000003</v>
      </c>
      <c r="AF120" s="41">
        <f>IS!AF51</f>
        <v>215.39999999999998</v>
      </c>
      <c r="AG120" s="41">
        <f>IS!AG51</f>
        <v>218.90000000000006</v>
      </c>
      <c r="AH120" s="41">
        <f>IS!AH51</f>
        <v>242.79999999999995</v>
      </c>
      <c r="AI120" s="41">
        <f>IS!AI51</f>
        <v>257.79999999999995</v>
      </c>
      <c r="AJ120" s="41">
        <f>IS!AJ51</f>
        <v>260.60000000000002</v>
      </c>
      <c r="AK120" s="41">
        <f>IS!AK51</f>
        <v>263.39999999999992</v>
      </c>
      <c r="AL120" s="41">
        <f>IS!AL51</f>
        <v>282.00000000000006</v>
      </c>
      <c r="AM120" s="41">
        <f>IS!AM51</f>
        <v>310.80000000000007</v>
      </c>
      <c r="AN120" s="41">
        <f>IS!AN51</f>
        <v>316.60000000000002</v>
      </c>
      <c r="AO120" s="41">
        <f>IS!AO51</f>
        <v>329.89999999999992</v>
      </c>
      <c r="AP120" s="41">
        <f ca="1">IS!AP51</f>
        <v>326.94871317149068</v>
      </c>
      <c r="AQ120" s="41">
        <f ca="1">IS!AQ51</f>
        <v>331.03746666936564</v>
      </c>
      <c r="AR120" s="41">
        <f ca="1">IS!AR51</f>
        <v>335.40358115071263</v>
      </c>
      <c r="AS120" s="41">
        <f ca="1">IS!AS51</f>
        <v>340.01440528747918</v>
      </c>
      <c r="AT120" s="41">
        <f ca="1">IS!AT51</f>
        <v>344.82110276408577</v>
      </c>
      <c r="AU120" s="41">
        <f ca="1">IS!AU51</f>
        <v>349.77699473091468</v>
      </c>
      <c r="AV120" s="41">
        <f ca="1">IS!AV51</f>
        <v>354.87209374973708</v>
      </c>
      <c r="AW120" s="41">
        <f ca="1">IS!AW51</f>
        <v>360.09695091398476</v>
      </c>
      <c r="AX120" s="41">
        <f ca="1">IS!AX51</f>
        <v>365.4424473739632</v>
      </c>
      <c r="AY120" s="41">
        <f ca="1">IS!AY51</f>
        <v>370.74848920625618</v>
      </c>
    </row>
    <row r="121" spans="1:52">
      <c r="B121" t="s">
        <v>265</v>
      </c>
      <c r="D121" s="126">
        <f t="shared" ref="D121:N121" si="29">+D120/D6</f>
        <v>0.36815588537008126</v>
      </c>
      <c r="E121" s="126">
        <f t="shared" si="29"/>
        <v>0.43768585433627621</v>
      </c>
      <c r="F121" s="126">
        <f t="shared" si="29"/>
        <v>0.50006124742361369</v>
      </c>
      <c r="G121" s="126">
        <f t="shared" si="29"/>
        <v>0.55201880217416988</v>
      </c>
      <c r="H121" s="126">
        <f t="shared" si="29"/>
        <v>0.58192452172755649</v>
      </c>
      <c r="I121" s="126">
        <f t="shared" si="29"/>
        <v>0.5809516739662981</v>
      </c>
      <c r="J121" s="126">
        <f t="shared" si="29"/>
        <v>0.5430098158796538</v>
      </c>
      <c r="K121" s="126">
        <f t="shared" si="29"/>
        <v>0.50768251659241759</v>
      </c>
      <c r="L121" s="126">
        <f t="shared" ca="1" si="29"/>
        <v>0.50025497115176965</v>
      </c>
      <c r="M121" s="126">
        <f t="shared" ca="1" si="29"/>
        <v>0.50926128441884289</v>
      </c>
      <c r="N121" s="126">
        <f t="shared" ca="1" si="29"/>
        <v>0.51872338565801102</v>
      </c>
      <c r="T121" s="126">
        <f t="shared" ref="T121:AY121" si="30">+T120/T6</f>
        <v>0.53226185226716738</v>
      </c>
      <c r="U121" s="126">
        <f t="shared" si="30"/>
        <v>0.55745954761243866</v>
      </c>
      <c r="V121" s="126">
        <f t="shared" si="30"/>
        <v>0.57528519472841266</v>
      </c>
      <c r="W121" s="126">
        <f t="shared" si="30"/>
        <v>0.54183218400155098</v>
      </c>
      <c r="X121" s="126">
        <f t="shared" si="30"/>
        <v>0.58049363657071262</v>
      </c>
      <c r="Y121" s="126">
        <f t="shared" si="30"/>
        <v>0.58368088746839331</v>
      </c>
      <c r="Z121" s="126">
        <f t="shared" si="30"/>
        <v>0.58718258158854686</v>
      </c>
      <c r="AA121" s="126">
        <f t="shared" si="30"/>
        <v>0.57659205375572098</v>
      </c>
      <c r="AB121" s="126">
        <f t="shared" si="30"/>
        <v>0.57080474111041779</v>
      </c>
      <c r="AC121" s="126">
        <f t="shared" si="30"/>
        <v>0.58567459092312446</v>
      </c>
      <c r="AD121" s="126">
        <f t="shared" si="30"/>
        <v>0.58409157616671559</v>
      </c>
      <c r="AE121" s="126">
        <f t="shared" si="30"/>
        <v>0.58275766786405092</v>
      </c>
      <c r="AF121" s="126">
        <f t="shared" si="30"/>
        <v>0.5872410032715375</v>
      </c>
      <c r="AG121" s="126">
        <f t="shared" si="30"/>
        <v>0.59226190476190488</v>
      </c>
      <c r="AH121" s="126">
        <f t="shared" si="30"/>
        <v>0.50794979079497904</v>
      </c>
      <c r="AI121" s="126">
        <f t="shared" si="30"/>
        <v>0.50818056376897291</v>
      </c>
      <c r="AJ121" s="126">
        <f t="shared" si="30"/>
        <v>0.51614181025945738</v>
      </c>
      <c r="AK121" s="126">
        <f t="shared" si="30"/>
        <v>0.51983422143280034</v>
      </c>
      <c r="AL121" s="126">
        <f t="shared" si="30"/>
        <v>0.51254089422028359</v>
      </c>
      <c r="AM121" s="126">
        <f t="shared" si="30"/>
        <v>0.4871473354231976</v>
      </c>
      <c r="AN121" s="126">
        <f t="shared" si="30"/>
        <v>0.49199689199689201</v>
      </c>
      <c r="AO121" s="126">
        <f t="shared" si="30"/>
        <v>0.50482019892884455</v>
      </c>
      <c r="AP121" s="126">
        <f t="shared" ca="1" si="30"/>
        <v>0.50083686733377109</v>
      </c>
      <c r="AQ121" s="126">
        <f t="shared" ca="1" si="30"/>
        <v>0.50322049386364887</v>
      </c>
      <c r="AR121" s="126">
        <f t="shared" ca="1" si="30"/>
        <v>0.50563422323882568</v>
      </c>
      <c r="AS121" s="126">
        <f t="shared" ca="1" si="30"/>
        <v>0.50803950291141131</v>
      </c>
      <c r="AT121" s="126">
        <f t="shared" ca="1" si="30"/>
        <v>0.51043613760677586</v>
      </c>
      <c r="AU121" s="126">
        <f t="shared" ca="1" si="30"/>
        <v>0.51282399379565646</v>
      </c>
      <c r="AV121" s="126">
        <f t="shared" ca="1" si="30"/>
        <v>0.5152027970324583</v>
      </c>
      <c r="AW121" s="126">
        <f t="shared" ca="1" si="30"/>
        <v>0.51757228519888143</v>
      </c>
      <c r="AX121" s="126">
        <f t="shared" ca="1" si="30"/>
        <v>0.51993220693461839</v>
      </c>
      <c r="AY121" s="126">
        <f t="shared" ca="1" si="30"/>
        <v>0.52206945216814848</v>
      </c>
    </row>
    <row r="122" spans="1:52">
      <c r="B122" t="s">
        <v>36</v>
      </c>
      <c r="D122" s="126"/>
      <c r="E122" s="126">
        <f t="shared" ref="E122:N122" si="31">+E120/D120-1</f>
        <v>0.69503390342328419</v>
      </c>
      <c r="F122" s="126">
        <f t="shared" si="31"/>
        <v>0.5206575431209004</v>
      </c>
      <c r="G122" s="126">
        <f t="shared" si="31"/>
        <v>1.9524409487750618</v>
      </c>
      <c r="H122" s="126">
        <f t="shared" si="31"/>
        <v>0.17889297802067428</v>
      </c>
      <c r="I122" s="126">
        <f t="shared" si="31"/>
        <v>0.19734975967367974</v>
      </c>
      <c r="J122" s="126">
        <f t="shared" si="31"/>
        <v>0.19460771786353148</v>
      </c>
      <c r="K122" s="126">
        <f t="shared" si="31"/>
        <v>0.19456626377152664</v>
      </c>
      <c r="L122" s="126">
        <f t="shared" ca="1" si="31"/>
        <v>0.16805710945635388</v>
      </c>
      <c r="M122" s="126">
        <f t="shared" ca="1" si="31"/>
        <v>5.0234264728147737E-2</v>
      </c>
      <c r="N122" s="126">
        <f t="shared" ca="1" si="31"/>
        <v>5.9228426777145904E-2</v>
      </c>
      <c r="T122" s="126"/>
      <c r="X122" s="126">
        <f t="shared" ref="X122:AY122" si="32">+X120/T120-1</f>
        <v>0.23869123283424254</v>
      </c>
      <c r="Y122" s="126">
        <f t="shared" si="32"/>
        <v>0.15990214825755888</v>
      </c>
      <c r="Z122" s="126">
        <f t="shared" si="32"/>
        <v>0.1195009457775098</v>
      </c>
      <c r="AA122" s="126">
        <f t="shared" si="32"/>
        <v>0.20639573588597182</v>
      </c>
      <c r="AB122" s="126">
        <f t="shared" si="32"/>
        <v>0.17607915872672364</v>
      </c>
      <c r="AC122" s="126">
        <f t="shared" si="32"/>
        <v>0.17340926873467999</v>
      </c>
      <c r="AD122" s="126">
        <f t="shared" si="32"/>
        <v>0.20438878753458267</v>
      </c>
      <c r="AE122" s="126">
        <f t="shared" si="32"/>
        <v>0.23251378697491831</v>
      </c>
      <c r="AF122" s="126">
        <f t="shared" si="32"/>
        <v>0.17704918032786887</v>
      </c>
      <c r="AG122" s="126">
        <f t="shared" si="32"/>
        <v>0.1539272535582501</v>
      </c>
      <c r="AH122" s="126">
        <f t="shared" si="32"/>
        <v>0.22010050251256263</v>
      </c>
      <c r="AI122" s="126">
        <f t="shared" si="32"/>
        <v>0.22238027501185353</v>
      </c>
      <c r="AJ122" s="126">
        <f t="shared" si="32"/>
        <v>0.20984215413184804</v>
      </c>
      <c r="AK122" s="126">
        <f t="shared" si="32"/>
        <v>0.20328917313841877</v>
      </c>
      <c r="AL122" s="126">
        <f t="shared" si="32"/>
        <v>0.16144975288303165</v>
      </c>
      <c r="AM122" s="126">
        <f t="shared" si="32"/>
        <v>0.20558572536850317</v>
      </c>
      <c r="AN122" s="126">
        <f t="shared" si="32"/>
        <v>0.21488871834228696</v>
      </c>
      <c r="AO122" s="126">
        <f t="shared" si="32"/>
        <v>0.25246772968868658</v>
      </c>
      <c r="AP122" s="126">
        <f t="shared" ca="1" si="32"/>
        <v>0.15939259989890298</v>
      </c>
      <c r="AQ122" s="126">
        <f t="shared" ca="1" si="32"/>
        <v>6.5114114122797773E-2</v>
      </c>
      <c r="AR122" s="126">
        <f t="shared" ca="1" si="32"/>
        <v>5.9392233577740372E-2</v>
      </c>
      <c r="AS122" s="126">
        <f t="shared" ca="1" si="32"/>
        <v>3.065900359951268E-2</v>
      </c>
      <c r="AT122" s="126">
        <f t="shared" ca="1" si="32"/>
        <v>5.4664199223260601E-2</v>
      </c>
      <c r="AU122" s="126">
        <f t="shared" ca="1" si="32"/>
        <v>5.6608480756245472E-2</v>
      </c>
      <c r="AV122" s="126">
        <f t="shared" ca="1" si="32"/>
        <v>5.8045034976166088E-2</v>
      </c>
      <c r="AW122" s="126">
        <f t="shared" ca="1" si="32"/>
        <v>5.9063808221672121E-2</v>
      </c>
      <c r="AX122" s="126">
        <f t="shared" ca="1" si="32"/>
        <v>5.9803023784150033E-2</v>
      </c>
      <c r="AY122" s="126">
        <f t="shared" ca="1" si="32"/>
        <v>5.9956757566274499E-2</v>
      </c>
    </row>
    <row r="123" spans="1:52">
      <c r="B123" t="s">
        <v>37</v>
      </c>
      <c r="U123" s="126">
        <f>+U120/T120-1</f>
        <v>0.10954518139220304</v>
      </c>
      <c r="V123" s="126">
        <f t="shared" ref="V123:AY123" si="33">+V120/U120-1</f>
        <v>5.8925591364697771E-2</v>
      </c>
      <c r="W123" s="126">
        <f t="shared" si="33"/>
        <v>-3.8978525351020976E-2</v>
      </c>
      <c r="X123" s="126">
        <f t="shared" si="33"/>
        <v>9.7032605251718085E-2</v>
      </c>
      <c r="Y123" s="126">
        <f t="shared" si="33"/>
        <v>3.8970653357208729E-2</v>
      </c>
      <c r="Z123" s="126">
        <f t="shared" si="33"/>
        <v>2.2041559989896653E-2</v>
      </c>
      <c r="AA123" s="126">
        <f t="shared" si="33"/>
        <v>3.5615211835462679E-2</v>
      </c>
      <c r="AB123" s="126">
        <f t="shared" si="33"/>
        <v>6.9464310177382416E-2</v>
      </c>
      <c r="AC123" s="126">
        <f t="shared" si="33"/>
        <v>3.6612021857923782E-2</v>
      </c>
      <c r="AD123" s="126">
        <f t="shared" si="33"/>
        <v>4.9024775962045242E-2</v>
      </c>
      <c r="AE123" s="126">
        <f t="shared" si="33"/>
        <v>5.9798994974874509E-2</v>
      </c>
      <c r="AF123" s="126">
        <f t="shared" si="33"/>
        <v>2.1337126600284195E-2</v>
      </c>
      <c r="AG123" s="126">
        <f t="shared" si="33"/>
        <v>1.6248839368616874E-2</v>
      </c>
      <c r="AH123" s="126">
        <f t="shared" si="33"/>
        <v>0.10918227501142019</v>
      </c>
      <c r="AI123" s="126">
        <f t="shared" si="33"/>
        <v>6.1779242174629267E-2</v>
      </c>
      <c r="AJ123" s="126">
        <f t="shared" si="33"/>
        <v>1.0861132660977768E-2</v>
      </c>
      <c r="AK123" s="126">
        <f t="shared" si="33"/>
        <v>1.0744435917114048E-2</v>
      </c>
      <c r="AL123" s="126">
        <f t="shared" si="33"/>
        <v>7.0615034168565405E-2</v>
      </c>
      <c r="AM123" s="126">
        <f t="shared" si="33"/>
        <v>0.10212765957446801</v>
      </c>
      <c r="AN123" s="126">
        <f t="shared" si="33"/>
        <v>1.8661518661518439E-2</v>
      </c>
      <c r="AO123" s="126">
        <f t="shared" si="33"/>
        <v>4.2008843967150655E-2</v>
      </c>
      <c r="AP123" s="126">
        <f t="shared" ca="1" si="33"/>
        <v>-8.9460043301280434E-3</v>
      </c>
      <c r="AQ123" s="126">
        <f t="shared" ca="1" si="33"/>
        <v>1.2505794741361598E-2</v>
      </c>
      <c r="AR123" s="126">
        <f t="shared" ca="1" si="33"/>
        <v>1.3189185276444304E-2</v>
      </c>
      <c r="AS123" s="126">
        <f t="shared" ca="1" si="33"/>
        <v>1.3747092744053502E-2</v>
      </c>
      <c r="AT123" s="126">
        <f t="shared" ca="1" si="33"/>
        <v>1.4136746566788982E-2</v>
      </c>
      <c r="AU123" s="126">
        <f t="shared" ca="1" si="33"/>
        <v>1.4372356932631059E-2</v>
      </c>
      <c r="AV123" s="126">
        <f t="shared" ca="1" si="33"/>
        <v>1.4566707060714723E-2</v>
      </c>
      <c r="AW123" s="126">
        <f t="shared" ca="1" si="33"/>
        <v>1.4723212267945707E-2</v>
      </c>
      <c r="AX123" s="126">
        <f t="shared" ca="1" si="33"/>
        <v>1.4844603505835607E-2</v>
      </c>
      <c r="AY123" s="126">
        <f t="shared" ca="1" si="33"/>
        <v>1.45195005955705E-2</v>
      </c>
    </row>
    <row r="157" spans="1:52" s="64" customFormat="1">
      <c r="A157" s="63" t="s">
        <v>40</v>
      </c>
      <c r="B157" s="63"/>
      <c r="C157" s="67"/>
      <c r="D157" s="67"/>
      <c r="E157" s="67"/>
      <c r="F157" s="67"/>
      <c r="G157" s="67"/>
      <c r="H157" s="67"/>
      <c r="I157" s="67"/>
      <c r="J157" s="67"/>
      <c r="K157" s="67"/>
      <c r="L157" s="67"/>
      <c r="M157" s="67"/>
      <c r="N157" s="67"/>
      <c r="O157" s="67"/>
      <c r="V157" s="71"/>
      <c r="Y157" s="71"/>
      <c r="Z157" s="75"/>
      <c r="AA157" s="75"/>
      <c r="AB157" s="75"/>
      <c r="AC157" s="75"/>
      <c r="AD157" s="75"/>
      <c r="AE157" s="75"/>
      <c r="AF157" s="75"/>
      <c r="AG157" s="75"/>
      <c r="AH157" s="75"/>
      <c r="AI157" s="75"/>
      <c r="AJ157" s="75"/>
      <c r="AK157" s="75"/>
      <c r="AL157" s="75"/>
      <c r="AM157" s="75"/>
      <c r="AN157" s="75"/>
      <c r="AO157" s="75"/>
      <c r="AP157" s="75"/>
      <c r="AQ157" s="75"/>
      <c r="AR157" s="75"/>
      <c r="AS157" s="75"/>
      <c r="AT157" s="75"/>
      <c r="AU157" s="75"/>
      <c r="AV157" s="75"/>
      <c r="AW157" s="75"/>
      <c r="AX157" s="75"/>
      <c r="AY157" s="75"/>
      <c r="AZ157" s="75"/>
    </row>
    <row r="158" spans="1:52">
      <c r="B158" t="s">
        <v>252</v>
      </c>
      <c r="E158" s="41"/>
      <c r="F158" s="41"/>
      <c r="G158" s="41">
        <f>CF!G59</f>
        <v>113.38791157126776</v>
      </c>
      <c r="H158" s="41">
        <f>CF!H59</f>
        <v>205.72699999999986</v>
      </c>
      <c r="I158" s="41">
        <f>CF!I59</f>
        <v>75.000000000000043</v>
      </c>
      <c r="J158" s="41">
        <f>CF!J59</f>
        <v>9.9000000000000057</v>
      </c>
      <c r="K158" s="41">
        <f>CF!K59</f>
        <v>74.299999999999955</v>
      </c>
      <c r="L158" s="41">
        <f ca="1">CF!L59</f>
        <v>156.64749522767741</v>
      </c>
      <c r="M158" s="41">
        <f ca="1">CF!M59</f>
        <v>160.6506093697019</v>
      </c>
      <c r="N158" s="41">
        <f ca="1">CF!N59</f>
        <v>294.90575568268082</v>
      </c>
      <c r="T158" s="41">
        <f>CF!T59</f>
        <v>52.15980218169824</v>
      </c>
      <c r="U158" s="41">
        <f>CF!U59</f>
        <v>46.862897101626189</v>
      </c>
      <c r="V158" s="41">
        <f>CF!V59</f>
        <v>-12.622883935889107</v>
      </c>
      <c r="W158" s="41">
        <f>CF!W59</f>
        <v>26.988096223832443</v>
      </c>
      <c r="X158" s="41">
        <f>CF!X59</f>
        <v>11.776984632705123</v>
      </c>
      <c r="Y158" s="41">
        <f>CF!Y59</f>
        <v>64.89373759998729</v>
      </c>
      <c r="Z158" s="41">
        <f>CF!Z59</f>
        <v>57.606090816951649</v>
      </c>
      <c r="AA158" s="41">
        <f>CF!AA59</f>
        <v>71.4501869503558</v>
      </c>
      <c r="AB158" s="41">
        <f>CF!AB59</f>
        <v>2.8999999999999915</v>
      </c>
      <c r="AC158" s="41">
        <f>CF!AC59</f>
        <v>-5.8000000000000398</v>
      </c>
      <c r="AD158" s="41">
        <f>CF!AD59</f>
        <v>38.400000000000063</v>
      </c>
      <c r="AE158" s="41">
        <f>CF!AE59</f>
        <v>39.500000000000028</v>
      </c>
      <c r="AF158" s="41">
        <f>CF!AF59</f>
        <v>36.000000000000028</v>
      </c>
      <c r="AG158" s="41">
        <f>CF!AG59</f>
        <v>-26.199999999999989</v>
      </c>
      <c r="AH158" s="41">
        <f>CF!AH59</f>
        <v>11.299999999999955</v>
      </c>
      <c r="AI158" s="41">
        <f>CF!AI59</f>
        <v>-11.199999999999989</v>
      </c>
      <c r="AJ158" s="41">
        <f>CF!AJ59</f>
        <v>24.5</v>
      </c>
      <c r="AK158" s="41">
        <f>CF!AK59</f>
        <v>-43.900000000000006</v>
      </c>
      <c r="AL158" s="41">
        <f>CF!AL59</f>
        <v>54.099999999999909</v>
      </c>
      <c r="AM158" s="41">
        <f>CF!AM59</f>
        <v>39.600000000000051</v>
      </c>
      <c r="AN158" s="41">
        <f>CF!AN59</f>
        <v>75.400000000000063</v>
      </c>
      <c r="AO158" s="41">
        <f>CF!AO59</f>
        <v>-5.7000000000000171</v>
      </c>
      <c r="AP158" s="41">
        <f ca="1">CF!AP59</f>
        <v>39.54310887179787</v>
      </c>
      <c r="AQ158" s="41">
        <f ca="1">CF!AQ59</f>
        <v>47.404386355879495</v>
      </c>
      <c r="AR158" s="41">
        <f ca="1">CF!AR59</f>
        <v>35.342809732368465</v>
      </c>
      <c r="AS158" s="41">
        <f ca="1">CF!AS59</f>
        <v>38.536294769972017</v>
      </c>
      <c r="AT158" s="41">
        <f ca="1">CF!AT59</f>
        <v>41.767361269856821</v>
      </c>
      <c r="AU158" s="41">
        <f ca="1">CF!AU59</f>
        <v>45.004143597504594</v>
      </c>
      <c r="AV158" s="41">
        <f ca="1">CF!AV59</f>
        <v>48.338781077433026</v>
      </c>
      <c r="AW158" s="41">
        <f ca="1">CF!AW59</f>
        <v>51.767332028832698</v>
      </c>
      <c r="AX158" s="41">
        <f ca="1">CF!AX59</f>
        <v>55.285886042691828</v>
      </c>
      <c r="AY158" s="41">
        <f ca="1">CF!AY59</f>
        <v>139.51375653372327</v>
      </c>
    </row>
    <row r="159" spans="1:52">
      <c r="B159" t="s">
        <v>36</v>
      </c>
      <c r="I159" s="126">
        <f t="shared" ref="I159:N159" si="34">+I158/H158-1</f>
        <v>-0.63543919854953357</v>
      </c>
      <c r="J159" s="126">
        <f t="shared" si="34"/>
        <v>-0.86799999999999999</v>
      </c>
      <c r="K159" s="126">
        <f t="shared" si="34"/>
        <v>6.5050505050504963</v>
      </c>
      <c r="L159" s="126">
        <f t="shared" ca="1" si="34"/>
        <v>1.1083108375192126</v>
      </c>
      <c r="M159" s="126">
        <f t="shared" ca="1" si="34"/>
        <v>2.5554919574080737E-2</v>
      </c>
      <c r="N159" s="126">
        <f t="shared" ca="1" si="34"/>
        <v>0.83569646476734083</v>
      </c>
      <c r="T159" s="126"/>
      <c r="X159" s="126">
        <f t="shared" ref="X159:AY159" si="35">+X158/T158-1</f>
        <v>-0.77421339537139933</v>
      </c>
      <c r="Y159" s="126">
        <f t="shared" si="35"/>
        <v>0.38475727309943486</v>
      </c>
      <c r="Z159" s="126">
        <f t="shared" si="35"/>
        <v>-5.5636235831312115</v>
      </c>
      <c r="AA159" s="126">
        <f t="shared" si="35"/>
        <v>1.647470438735879</v>
      </c>
      <c r="AB159" s="126">
        <f t="shared" si="35"/>
        <v>-0.75375700228506848</v>
      </c>
      <c r="AC159" s="126">
        <f t="shared" si="35"/>
        <v>-1.089376883109306</v>
      </c>
      <c r="AD159" s="126">
        <f t="shared" si="35"/>
        <v>-0.33340382144625313</v>
      </c>
      <c r="AE159" s="126">
        <f t="shared" si="35"/>
        <v>-0.44716729674276479</v>
      </c>
      <c r="AF159" s="126">
        <f t="shared" si="35"/>
        <v>11.413793103448322</v>
      </c>
      <c r="AG159" s="126">
        <f t="shared" si="35"/>
        <v>3.5172413793103114</v>
      </c>
      <c r="AH159" s="126">
        <f t="shared" si="35"/>
        <v>-0.70572916666666829</v>
      </c>
      <c r="AI159" s="126">
        <f t="shared" si="35"/>
        <v>-1.2835443037974679</v>
      </c>
      <c r="AJ159" s="126">
        <f t="shared" si="35"/>
        <v>-0.31944444444444497</v>
      </c>
      <c r="AK159" s="126">
        <f t="shared" si="35"/>
        <v>0.67557251908397031</v>
      </c>
      <c r="AL159" s="126">
        <f t="shared" si="35"/>
        <v>3.7876106194690378</v>
      </c>
      <c r="AM159" s="126">
        <f t="shared" si="35"/>
        <v>-4.5357142857142936</v>
      </c>
      <c r="AN159" s="126">
        <f t="shared" si="35"/>
        <v>2.077551020408166</v>
      </c>
      <c r="AO159" s="126">
        <f t="shared" si="35"/>
        <v>-0.87015945330296085</v>
      </c>
      <c r="AP159" s="126">
        <f t="shared" ca="1" si="35"/>
        <v>-0.26907377316454828</v>
      </c>
      <c r="AQ159" s="126">
        <f t="shared" ca="1" si="35"/>
        <v>0.1970804635323089</v>
      </c>
      <c r="AR159" s="126">
        <f t="shared" ca="1" si="35"/>
        <v>-0.53126247039299157</v>
      </c>
      <c r="AS159" s="126">
        <f t="shared" ca="1" si="35"/>
        <v>-7.760753468416123</v>
      </c>
      <c r="AT159" s="126">
        <f t="shared" ca="1" si="35"/>
        <v>5.6248799386769743E-2</v>
      </c>
      <c r="AU159" s="126">
        <f t="shared" ca="1" si="35"/>
        <v>-5.0633347310004795E-2</v>
      </c>
      <c r="AV159" s="126">
        <f t="shared" ca="1" si="35"/>
        <v>0.36771188944726974</v>
      </c>
      <c r="AW159" s="126">
        <f t="shared" ca="1" si="35"/>
        <v>0.3433396318415769</v>
      </c>
      <c r="AX159" s="126">
        <f t="shared" ca="1" si="35"/>
        <v>0.3236624091594511</v>
      </c>
      <c r="AY159" s="126">
        <f t="shared" ca="1" si="35"/>
        <v>2.1000202510565953</v>
      </c>
    </row>
    <row r="160" spans="1:52">
      <c r="B160" t="s">
        <v>37</v>
      </c>
      <c r="U160" s="126">
        <f t="shared" ref="U160:AY160" si="36">+U158/T158-1</f>
        <v>-0.10155147946344445</v>
      </c>
      <c r="V160" s="126">
        <f t="shared" si="36"/>
        <v>-1.2693577374978613</v>
      </c>
      <c r="W160" s="126">
        <f t="shared" si="36"/>
        <v>-3.1380293410684446</v>
      </c>
      <c r="X160" s="126">
        <f t="shared" si="36"/>
        <v>-0.563622993818097</v>
      </c>
      <c r="Y160" s="126">
        <f t="shared" si="36"/>
        <v>4.5102167170852017</v>
      </c>
      <c r="Z160" s="126">
        <f t="shared" si="36"/>
        <v>-0.11230123356366928</v>
      </c>
      <c r="AA160" s="126">
        <f t="shared" si="36"/>
        <v>0.24032347859525771</v>
      </c>
      <c r="AB160" s="126">
        <f t="shared" si="36"/>
        <v>-0.95941228254567146</v>
      </c>
      <c r="AC160" s="126">
        <f t="shared" si="36"/>
        <v>-3.0000000000000195</v>
      </c>
      <c r="AD160" s="126">
        <f t="shared" si="36"/>
        <v>-7.6206896551723791</v>
      </c>
      <c r="AE160" s="126">
        <f t="shared" si="36"/>
        <v>2.8645833333332371E-2</v>
      </c>
      <c r="AF160" s="126">
        <f t="shared" si="36"/>
        <v>-8.8607594936708778E-2</v>
      </c>
      <c r="AG160" s="126">
        <f t="shared" si="36"/>
        <v>-1.727777777777777</v>
      </c>
      <c r="AH160" s="126">
        <f t="shared" si="36"/>
        <v>-1.4312977099236626</v>
      </c>
      <c r="AI160" s="126">
        <f t="shared" si="36"/>
        <v>-1.991150442477879</v>
      </c>
      <c r="AJ160" s="126">
        <f t="shared" si="36"/>
        <v>-3.1875000000000022</v>
      </c>
      <c r="AK160" s="126">
        <f t="shared" si="36"/>
        <v>-2.7918367346938777</v>
      </c>
      <c r="AL160" s="126">
        <f t="shared" si="36"/>
        <v>-2.2323462414578565</v>
      </c>
      <c r="AM160" s="126">
        <f t="shared" si="36"/>
        <v>-0.26802218114602372</v>
      </c>
      <c r="AN160" s="126">
        <f t="shared" si="36"/>
        <v>0.90404040404040309</v>
      </c>
      <c r="AO160" s="126">
        <f t="shared" si="36"/>
        <v>-1.0755968169761274</v>
      </c>
      <c r="AP160" s="126">
        <f t="shared" ca="1" si="36"/>
        <v>-7.9373875213680263</v>
      </c>
      <c r="AQ160" s="126">
        <f t="shared" ca="1" si="36"/>
        <v>0.19880271704403807</v>
      </c>
      <c r="AR160" s="126">
        <f t="shared" ca="1" si="36"/>
        <v>-0.25444009617508845</v>
      </c>
      <c r="AS160" s="126">
        <f t="shared" ca="1" si="36"/>
        <v>9.0357418150567081E-2</v>
      </c>
      <c r="AT160" s="126">
        <f t="shared" ca="1" si="36"/>
        <v>8.3844762948058316E-2</v>
      </c>
      <c r="AU160" s="126">
        <f t="shared" ca="1" si="36"/>
        <v>7.7495494789222796E-2</v>
      </c>
      <c r="AV160" s="126">
        <f t="shared" ca="1" si="36"/>
        <v>7.4096232332556466E-2</v>
      </c>
      <c r="AW160" s="126">
        <f t="shared" ca="1" si="36"/>
        <v>7.0927542544102051E-2</v>
      </c>
      <c r="AX160" s="126">
        <f t="shared" ca="1" si="36"/>
        <v>6.796861796739706E-2</v>
      </c>
      <c r="AY160" s="126">
        <f t="shared" ca="1" si="36"/>
        <v>1.5234968003586045</v>
      </c>
    </row>
    <row r="178" spans="1:52" s="64" customFormat="1">
      <c r="A178" s="63" t="s">
        <v>40</v>
      </c>
      <c r="B178" s="63"/>
      <c r="C178" s="67"/>
      <c r="D178" s="67"/>
      <c r="E178" s="67"/>
      <c r="F178" s="67"/>
      <c r="G178" s="67"/>
      <c r="H178" s="67"/>
      <c r="I178" s="67"/>
      <c r="J178" s="67"/>
      <c r="K178" s="67"/>
      <c r="L178" s="67"/>
      <c r="M178" s="67"/>
      <c r="N178" s="67"/>
      <c r="O178" s="67"/>
      <c r="V178" s="71"/>
      <c r="Y178" s="71"/>
      <c r="Z178" s="75"/>
      <c r="AA178" s="75"/>
      <c r="AB178" s="75"/>
      <c r="AC178" s="75"/>
      <c r="AD178" s="75"/>
      <c r="AE178" s="75"/>
      <c r="AF178" s="75"/>
      <c r="AG178" s="75"/>
      <c r="AH178" s="75"/>
      <c r="AI178" s="75"/>
      <c r="AJ178" s="75"/>
      <c r="AK178" s="75"/>
      <c r="AL178" s="75"/>
      <c r="AM178" s="75"/>
      <c r="AN178" s="75"/>
      <c r="AO178" s="75"/>
      <c r="AP178" s="75"/>
      <c r="AQ178" s="75"/>
      <c r="AR178" s="75"/>
      <c r="AS178" s="75"/>
      <c r="AT178" s="75"/>
      <c r="AU178" s="75"/>
      <c r="AV178" s="75"/>
      <c r="AW178" s="75"/>
      <c r="AX178" s="75"/>
      <c r="AY178" s="75"/>
      <c r="AZ178" s="75"/>
    </row>
    <row r="179" spans="1:52">
      <c r="B179" t="s">
        <v>280</v>
      </c>
      <c r="E179" s="41"/>
      <c r="F179" s="41"/>
      <c r="G179" s="41"/>
      <c r="H179" s="41"/>
      <c r="I179" s="41">
        <f>CF!I65</f>
        <v>401.30000000000018</v>
      </c>
      <c r="J179" s="41">
        <f>CF!J65</f>
        <v>414.79999999999984</v>
      </c>
      <c r="K179" s="41">
        <f>CF!K65</f>
        <v>481.80000000000018</v>
      </c>
      <c r="L179" s="41">
        <f ca="1">CF!L65</f>
        <v>566.73745900284666</v>
      </c>
      <c r="M179" s="41">
        <f ca="1">CF!M65</f>
        <v>608.17583183590853</v>
      </c>
      <c r="N179" s="41">
        <f ca="1">CF!N65</f>
        <v>750.76462689116215</v>
      </c>
      <c r="T179" s="41"/>
      <c r="U179" s="41"/>
      <c r="V179" s="41"/>
      <c r="W179" s="41"/>
      <c r="X179" s="41"/>
      <c r="Y179" s="41"/>
      <c r="Z179" s="41"/>
      <c r="AA179" s="41"/>
      <c r="AB179" s="41">
        <f>CF!AB65</f>
        <v>110.89999999999998</v>
      </c>
      <c r="AC179" s="41">
        <f>CF!AC65</f>
        <v>101.10000000000001</v>
      </c>
      <c r="AD179" s="41">
        <f>CF!AD65</f>
        <v>108.40000000000003</v>
      </c>
      <c r="AE179" s="41">
        <f>CF!AE65</f>
        <v>80.900000000000034</v>
      </c>
      <c r="AF179" s="41">
        <f>CF!AF65</f>
        <v>105.89999999999999</v>
      </c>
      <c r="AG179" s="41">
        <f>CF!AG65</f>
        <v>83.4</v>
      </c>
      <c r="AH179" s="41">
        <f>CF!AH65</f>
        <v>116.49999999999994</v>
      </c>
      <c r="AI179" s="41">
        <f>CF!AI65</f>
        <v>108.99999999999994</v>
      </c>
      <c r="AJ179" s="41">
        <f>CF!AJ65</f>
        <v>93.200000000000017</v>
      </c>
      <c r="AK179" s="41">
        <f>CF!AK65</f>
        <v>93.19999999999996</v>
      </c>
      <c r="AL179" s="41">
        <f>CF!AL65</f>
        <v>146.09999999999997</v>
      </c>
      <c r="AM179" s="41">
        <f>CF!AM65</f>
        <v>149.30000000000007</v>
      </c>
      <c r="AN179" s="41">
        <f>CF!AN65</f>
        <v>123.20000000000002</v>
      </c>
      <c r="AO179" s="41">
        <f>CF!AO65</f>
        <v>136.49999999999991</v>
      </c>
      <c r="AP179" s="41">
        <f ca="1">CF!AP65</f>
        <v>149.49537197211043</v>
      </c>
      <c r="AQ179" s="41">
        <f ca="1">CF!AQ65</f>
        <v>157.54208703073627</v>
      </c>
      <c r="AR179" s="41">
        <f ca="1">CF!AR65</f>
        <v>146.24097801778933</v>
      </c>
      <c r="AS179" s="41">
        <f ca="1">CF!AS65</f>
        <v>150.1290297023852</v>
      </c>
      <c r="AT179" s="41">
        <f ca="1">CF!AT65</f>
        <v>153.99779997973087</v>
      </c>
      <c r="AU179" s="41">
        <f ca="1">CF!AU65</f>
        <v>157.8080241360033</v>
      </c>
      <c r="AV179" s="41">
        <f ca="1">CF!AV65</f>
        <v>161.63934701299567</v>
      </c>
      <c r="AW179" s="41">
        <f ca="1">CF!AW65</f>
        <v>165.48953218243506</v>
      </c>
      <c r="AX179" s="41">
        <f ca="1">CF!AX65</f>
        <v>169.35630498679186</v>
      </c>
      <c r="AY179" s="41">
        <f ca="1">CF!AY65</f>
        <v>254.27944270893954</v>
      </c>
    </row>
    <row r="180" spans="1:52">
      <c r="B180" t="s">
        <v>36</v>
      </c>
      <c r="I180" s="126"/>
      <c r="J180" s="126">
        <f>+J179/I179-1</f>
        <v>3.3640667829553106E-2</v>
      </c>
      <c r="K180" s="126">
        <f>+K179/J179-1</f>
        <v>0.1615236258437811</v>
      </c>
      <c r="L180" s="126">
        <f ca="1">+L179/K179-1</f>
        <v>0.17629194479627741</v>
      </c>
      <c r="M180" s="126">
        <f ca="1">+M179/L179-1</f>
        <v>7.3117405907792143E-2</v>
      </c>
      <c r="N180" s="126">
        <f ca="1">+N179/M179-1</f>
        <v>0.23445324130164624</v>
      </c>
      <c r="T180" s="126"/>
      <c r="X180" s="126"/>
      <c r="Y180" s="126"/>
      <c r="Z180" s="126"/>
      <c r="AA180" s="126"/>
      <c r="AB180" s="126"/>
      <c r="AC180" s="126"/>
      <c r="AD180" s="126"/>
      <c r="AE180" s="126"/>
      <c r="AF180" s="126">
        <f t="shared" ref="AF180:AY180" si="37">+AF179/AB179-1</f>
        <v>-4.5085662759242418E-2</v>
      </c>
      <c r="AG180" s="126">
        <f t="shared" si="37"/>
        <v>-0.17507418397626118</v>
      </c>
      <c r="AH180" s="126">
        <f t="shared" si="37"/>
        <v>7.4723247232471479E-2</v>
      </c>
      <c r="AI180" s="126">
        <f t="shared" si="37"/>
        <v>0.34734239802224831</v>
      </c>
      <c r="AJ180" s="126">
        <f t="shared" si="37"/>
        <v>-0.11992445703493837</v>
      </c>
      <c r="AK180" s="126">
        <f t="shared" si="37"/>
        <v>0.11750599520383642</v>
      </c>
      <c r="AL180" s="126">
        <f t="shared" si="37"/>
        <v>0.25407725321888441</v>
      </c>
      <c r="AM180" s="126">
        <f t="shared" si="37"/>
        <v>0.3697247706422031</v>
      </c>
      <c r="AN180" s="126">
        <f t="shared" si="37"/>
        <v>0.32188841201716722</v>
      </c>
      <c r="AO180" s="126">
        <f t="shared" si="37"/>
        <v>0.46459227467811126</v>
      </c>
      <c r="AP180" s="126">
        <f t="shared" ca="1" si="37"/>
        <v>2.3240054566122215E-2</v>
      </c>
      <c r="AQ180" s="126">
        <f t="shared" ca="1" si="37"/>
        <v>5.520486959635762E-2</v>
      </c>
      <c r="AR180" s="126">
        <f t="shared" ca="1" si="37"/>
        <v>0.18702092546906912</v>
      </c>
      <c r="AS180" s="126">
        <f t="shared" ca="1" si="37"/>
        <v>9.9846371446046023E-2</v>
      </c>
      <c r="AT180" s="126">
        <f t="shared" ca="1" si="37"/>
        <v>3.0117507640707419E-2</v>
      </c>
      <c r="AU180" s="126">
        <f t="shared" ca="1" si="37"/>
        <v>1.6880384808863891E-3</v>
      </c>
      <c r="AV180" s="126">
        <f t="shared" ca="1" si="37"/>
        <v>0.10529448861681723</v>
      </c>
      <c r="AW180" s="126">
        <f t="shared" ca="1" si="37"/>
        <v>0.10231533841589746</v>
      </c>
      <c r="AX180" s="126">
        <f t="shared" ca="1" si="37"/>
        <v>9.9731976749553919E-2</v>
      </c>
      <c r="AY180" s="126">
        <f t="shared" ca="1" si="37"/>
        <v>0.61132137672412989</v>
      </c>
    </row>
    <row r="181" spans="1:52">
      <c r="B181" t="s">
        <v>37</v>
      </c>
      <c r="U181" s="126"/>
      <c r="V181" s="126"/>
      <c r="W181" s="126"/>
      <c r="X181" s="126"/>
      <c r="Y181" s="126"/>
      <c r="Z181" s="126"/>
      <c r="AA181" s="126"/>
      <c r="AB181" s="126"/>
      <c r="AC181" s="126"/>
      <c r="AD181" s="126">
        <f t="shared" ref="AD181:AY181" si="38">+AD179/AC179-1</f>
        <v>7.220573689416443E-2</v>
      </c>
      <c r="AE181" s="126">
        <f t="shared" si="38"/>
        <v>-0.25369003690036895</v>
      </c>
      <c r="AF181" s="126">
        <f t="shared" si="38"/>
        <v>0.30902348578491901</v>
      </c>
      <c r="AG181" s="126">
        <f t="shared" si="38"/>
        <v>-0.21246458923512734</v>
      </c>
      <c r="AH181" s="126">
        <f t="shared" si="38"/>
        <v>0.39688249400479547</v>
      </c>
      <c r="AI181" s="126">
        <f t="shared" si="38"/>
        <v>-6.4377682403433556E-2</v>
      </c>
      <c r="AJ181" s="126">
        <f t="shared" si="38"/>
        <v>-0.14495412844036637</v>
      </c>
      <c r="AK181" s="126">
        <f t="shared" si="38"/>
        <v>0</v>
      </c>
      <c r="AL181" s="126">
        <f t="shared" si="38"/>
        <v>0.56759656652360535</v>
      </c>
      <c r="AM181" s="126">
        <f t="shared" si="38"/>
        <v>2.1902806297057431E-2</v>
      </c>
      <c r="AN181" s="126">
        <f t="shared" si="38"/>
        <v>-0.17481580709979927</v>
      </c>
      <c r="AO181" s="126">
        <f t="shared" si="38"/>
        <v>0.10795454545454453</v>
      </c>
      <c r="AP181" s="126">
        <f t="shared" ca="1" si="38"/>
        <v>9.5204190271872102E-2</v>
      </c>
      <c r="AQ181" s="126">
        <f t="shared" ca="1" si="38"/>
        <v>5.3825847265205118E-2</v>
      </c>
      <c r="AR181" s="126">
        <f t="shared" ca="1" si="38"/>
        <v>-7.1733904418456174E-2</v>
      </c>
      <c r="AS181" s="126">
        <f t="shared" ca="1" si="38"/>
        <v>2.6586608878688578E-2</v>
      </c>
      <c r="AT181" s="126">
        <f t="shared" ca="1" si="38"/>
        <v>2.5769634860193902E-2</v>
      </c>
      <c r="AU181" s="126">
        <f t="shared" ca="1" si="38"/>
        <v>2.4742068761852032E-2</v>
      </c>
      <c r="AV181" s="126">
        <f t="shared" ca="1" si="38"/>
        <v>2.4278378098761433E-2</v>
      </c>
      <c r="AW181" s="126">
        <f t="shared" ca="1" si="38"/>
        <v>2.3819603584081639E-2</v>
      </c>
      <c r="AX181" s="126">
        <f t="shared" ca="1" si="38"/>
        <v>2.3365663999183273E-2</v>
      </c>
      <c r="AY181" s="126">
        <f t="shared" ca="1" si="38"/>
        <v>0.50144656692156131</v>
      </c>
    </row>
    <row r="199" spans="1:52" s="64" customFormat="1">
      <c r="A199" s="63" t="s">
        <v>40</v>
      </c>
      <c r="B199" s="63"/>
      <c r="C199" s="67"/>
      <c r="D199" s="67"/>
      <c r="E199" s="67"/>
      <c r="F199" s="67"/>
      <c r="G199" s="67"/>
      <c r="H199" s="67"/>
      <c r="I199" s="67"/>
      <c r="J199" s="67"/>
      <c r="K199" s="67"/>
      <c r="L199" s="67"/>
      <c r="M199" s="67"/>
      <c r="N199" s="67"/>
      <c r="O199" s="67"/>
      <c r="V199" s="71"/>
      <c r="Y199" s="71"/>
      <c r="Z199" s="75"/>
      <c r="AA199" s="75"/>
      <c r="AB199" s="75"/>
      <c r="AC199" s="75"/>
      <c r="AD199" s="75"/>
      <c r="AE199" s="75"/>
      <c r="AF199" s="75"/>
      <c r="AG199" s="75"/>
      <c r="AH199" s="75"/>
      <c r="AI199" s="75"/>
      <c r="AJ199" s="75"/>
      <c r="AK199" s="75"/>
      <c r="AL199" s="75"/>
      <c r="AM199" s="75"/>
      <c r="AN199" s="75"/>
      <c r="AO199" s="75"/>
      <c r="AP199" s="75"/>
      <c r="AQ199" s="75"/>
      <c r="AR199" s="75"/>
      <c r="AS199" s="75"/>
      <c r="AT199" s="75"/>
      <c r="AU199" s="75"/>
      <c r="AV199" s="75"/>
      <c r="AW199" s="75"/>
      <c r="AX199" s="75"/>
      <c r="AY199" s="75"/>
      <c r="AZ199" s="75"/>
    </row>
    <row r="200" spans="1:52">
      <c r="B200" t="s">
        <v>348</v>
      </c>
      <c r="E200" s="41"/>
      <c r="F200" s="41"/>
      <c r="G200" s="41">
        <f>CF!G59</f>
        <v>113.38791157126776</v>
      </c>
      <c r="H200" s="41">
        <f>CF!H59</f>
        <v>205.72699999999986</v>
      </c>
      <c r="I200" s="41">
        <f>CF!I59</f>
        <v>75.000000000000043</v>
      </c>
      <c r="J200" s="41">
        <f>CF!J59</f>
        <v>9.9000000000000057</v>
      </c>
      <c r="K200" s="41">
        <f>CF!K59</f>
        <v>74.299999999999955</v>
      </c>
      <c r="L200" s="41">
        <f ca="1">CF!L59</f>
        <v>156.64749522767741</v>
      </c>
      <c r="M200" s="41">
        <f ca="1">CF!M59</f>
        <v>160.6506093697019</v>
      </c>
      <c r="N200" s="41">
        <f ca="1">CF!N59</f>
        <v>294.90575568268082</v>
      </c>
      <c r="T200" s="41">
        <f>CF!T59</f>
        <v>52.15980218169824</v>
      </c>
      <c r="U200" s="41">
        <f>CF!U59</f>
        <v>46.862897101626189</v>
      </c>
      <c r="V200" s="41">
        <f>CF!V59</f>
        <v>-12.622883935889107</v>
      </c>
      <c r="W200" s="41">
        <f>CF!W59</f>
        <v>26.988096223832443</v>
      </c>
      <c r="X200" s="41">
        <f>CF!X59</f>
        <v>11.776984632705123</v>
      </c>
      <c r="Y200" s="41">
        <f>CF!Y59</f>
        <v>64.89373759998729</v>
      </c>
      <c r="Z200" s="41">
        <f>CF!Z59</f>
        <v>57.606090816951649</v>
      </c>
      <c r="AA200" s="41">
        <f>CF!AA59</f>
        <v>71.4501869503558</v>
      </c>
      <c r="AB200" s="41">
        <f>CF!AB59</f>
        <v>2.8999999999999915</v>
      </c>
      <c r="AC200" s="41">
        <f>CF!AC59</f>
        <v>-5.8000000000000398</v>
      </c>
      <c r="AD200" s="41">
        <f>CF!AD59</f>
        <v>38.400000000000063</v>
      </c>
      <c r="AE200" s="41">
        <f>CF!AE59</f>
        <v>39.500000000000028</v>
      </c>
      <c r="AF200" s="41">
        <f>CF!AF59</f>
        <v>36.000000000000028</v>
      </c>
      <c r="AG200" s="41">
        <f>CF!AG59</f>
        <v>-26.199999999999989</v>
      </c>
      <c r="AH200" s="41">
        <f>CF!AH59</f>
        <v>11.299999999999955</v>
      </c>
      <c r="AI200" s="41">
        <f>CF!AI59</f>
        <v>-11.199999999999989</v>
      </c>
      <c r="AJ200" s="41">
        <f>CF!AJ59</f>
        <v>24.5</v>
      </c>
      <c r="AK200" s="41">
        <f>CF!AK59</f>
        <v>-43.900000000000006</v>
      </c>
      <c r="AL200" s="41">
        <f>CF!AL59</f>
        <v>54.099999999999909</v>
      </c>
      <c r="AM200" s="41">
        <f>CF!AM59</f>
        <v>39.600000000000051</v>
      </c>
      <c r="AN200" s="41">
        <f>CF!AN59</f>
        <v>75.400000000000063</v>
      </c>
      <c r="AO200" s="41">
        <f>CF!AO59</f>
        <v>-5.7000000000000171</v>
      </c>
      <c r="AP200" s="41">
        <f ca="1">CF!AP59</f>
        <v>39.54310887179787</v>
      </c>
      <c r="AQ200" s="41">
        <f ca="1">CF!AQ59</f>
        <v>47.404386355879495</v>
      </c>
      <c r="AR200" s="41">
        <f ca="1">CF!AR59</f>
        <v>35.342809732368465</v>
      </c>
      <c r="AS200" s="41">
        <f ca="1">CF!AS59</f>
        <v>38.536294769972017</v>
      </c>
      <c r="AT200" s="41">
        <f ca="1">CF!AT59</f>
        <v>41.767361269856821</v>
      </c>
      <c r="AU200" s="41">
        <f ca="1">CF!AU59</f>
        <v>45.004143597504594</v>
      </c>
      <c r="AV200" s="41">
        <f ca="1">CF!AV59</f>
        <v>48.338781077433026</v>
      </c>
      <c r="AW200" s="41">
        <f ca="1">CF!AW59</f>
        <v>51.767332028832698</v>
      </c>
      <c r="AX200" s="41">
        <f ca="1">CF!AX59</f>
        <v>55.285886042691828</v>
      </c>
      <c r="AY200" s="41">
        <f ca="1">CF!AY59</f>
        <v>139.51375653372327</v>
      </c>
    </row>
    <row r="201" spans="1:52">
      <c r="B201" t="s">
        <v>36</v>
      </c>
      <c r="G201" s="126"/>
      <c r="H201" s="126">
        <f t="shared" ref="H201:N201" si="39">+H200/G200-1</f>
        <v>0.81436448691176544</v>
      </c>
      <c r="I201" s="126">
        <f t="shared" si="39"/>
        <v>-0.63543919854953357</v>
      </c>
      <c r="J201" s="126">
        <f t="shared" si="39"/>
        <v>-0.86799999999999999</v>
      </c>
      <c r="K201" s="126">
        <f t="shared" si="39"/>
        <v>6.5050505050504963</v>
      </c>
      <c r="L201" s="126">
        <f t="shared" ca="1" si="39"/>
        <v>1.1083108375192126</v>
      </c>
      <c r="M201" s="126">
        <f t="shared" ca="1" si="39"/>
        <v>2.5554919574080737E-2</v>
      </c>
      <c r="N201" s="126">
        <f t="shared" ca="1" si="39"/>
        <v>0.83569646476734083</v>
      </c>
      <c r="T201" s="126"/>
      <c r="U201" s="126"/>
      <c r="V201" s="126"/>
      <c r="W201" s="126"/>
      <c r="X201" s="126">
        <f t="shared" ref="X201:AE201" si="40">+X200/T200-1</f>
        <v>-0.77421339537139933</v>
      </c>
      <c r="Y201" s="126">
        <f t="shared" si="40"/>
        <v>0.38475727309943486</v>
      </c>
      <c r="Z201" s="126">
        <f t="shared" si="40"/>
        <v>-5.5636235831312115</v>
      </c>
      <c r="AA201" s="126">
        <f t="shared" si="40"/>
        <v>1.647470438735879</v>
      </c>
      <c r="AB201" s="126">
        <f t="shared" si="40"/>
        <v>-0.75375700228506848</v>
      </c>
      <c r="AC201" s="126">
        <f t="shared" si="40"/>
        <v>-1.089376883109306</v>
      </c>
      <c r="AD201" s="126">
        <f t="shared" si="40"/>
        <v>-0.33340382144625313</v>
      </c>
      <c r="AE201" s="126">
        <f t="shared" si="40"/>
        <v>-0.44716729674276479</v>
      </c>
      <c r="AF201" s="126">
        <f t="shared" ref="AF201:AY201" si="41">+AF200/AB200-1</f>
        <v>11.413793103448322</v>
      </c>
      <c r="AG201" s="126">
        <f t="shared" si="41"/>
        <v>3.5172413793103114</v>
      </c>
      <c r="AH201" s="126">
        <f t="shared" si="41"/>
        <v>-0.70572916666666829</v>
      </c>
      <c r="AI201" s="126">
        <f t="shared" si="41"/>
        <v>-1.2835443037974679</v>
      </c>
      <c r="AJ201" s="126">
        <f t="shared" si="41"/>
        <v>-0.31944444444444497</v>
      </c>
      <c r="AK201" s="126">
        <f t="shared" si="41"/>
        <v>0.67557251908397031</v>
      </c>
      <c r="AL201" s="126">
        <f t="shared" si="41"/>
        <v>3.7876106194690378</v>
      </c>
      <c r="AM201" s="126">
        <f t="shared" si="41"/>
        <v>-4.5357142857142936</v>
      </c>
      <c r="AN201" s="126">
        <f t="shared" si="41"/>
        <v>2.077551020408166</v>
      </c>
      <c r="AO201" s="126">
        <f t="shared" si="41"/>
        <v>-0.87015945330296085</v>
      </c>
      <c r="AP201" s="126">
        <f t="shared" ca="1" si="41"/>
        <v>-0.26907377316454828</v>
      </c>
      <c r="AQ201" s="126">
        <f t="shared" ca="1" si="41"/>
        <v>0.1970804635323089</v>
      </c>
      <c r="AR201" s="126">
        <f t="shared" ca="1" si="41"/>
        <v>-0.53126247039299157</v>
      </c>
      <c r="AS201" s="126">
        <f t="shared" ca="1" si="41"/>
        <v>-7.760753468416123</v>
      </c>
      <c r="AT201" s="126">
        <f t="shared" ca="1" si="41"/>
        <v>5.6248799386769743E-2</v>
      </c>
      <c r="AU201" s="126">
        <f t="shared" ca="1" si="41"/>
        <v>-5.0633347310004795E-2</v>
      </c>
      <c r="AV201" s="126">
        <f t="shared" ca="1" si="41"/>
        <v>0.36771188944726974</v>
      </c>
      <c r="AW201" s="126">
        <f t="shared" ca="1" si="41"/>
        <v>0.3433396318415769</v>
      </c>
      <c r="AX201" s="126">
        <f t="shared" ca="1" si="41"/>
        <v>0.3236624091594511</v>
      </c>
      <c r="AY201" s="126">
        <f t="shared" ca="1" si="41"/>
        <v>2.1000202510565953</v>
      </c>
    </row>
    <row r="202" spans="1:52">
      <c r="B202" t="s">
        <v>37</v>
      </c>
      <c r="T202" s="126"/>
      <c r="U202" s="126">
        <f t="shared" ref="U202:AE202" si="42">+U200/T200-1</f>
        <v>-0.10155147946344445</v>
      </c>
      <c r="V202" s="126">
        <f t="shared" si="42"/>
        <v>-1.2693577374978613</v>
      </c>
      <c r="W202" s="126">
        <f t="shared" si="42"/>
        <v>-3.1380293410684446</v>
      </c>
      <c r="X202" s="126">
        <f t="shared" si="42"/>
        <v>-0.563622993818097</v>
      </c>
      <c r="Y202" s="126">
        <f t="shared" si="42"/>
        <v>4.5102167170852017</v>
      </c>
      <c r="Z202" s="126">
        <f t="shared" si="42"/>
        <v>-0.11230123356366928</v>
      </c>
      <c r="AA202" s="126">
        <f t="shared" si="42"/>
        <v>0.24032347859525771</v>
      </c>
      <c r="AB202" s="126">
        <f t="shared" si="42"/>
        <v>-0.95941228254567146</v>
      </c>
      <c r="AC202" s="126">
        <f t="shared" si="42"/>
        <v>-3.0000000000000195</v>
      </c>
      <c r="AD202" s="126">
        <f t="shared" si="42"/>
        <v>-7.6206896551723791</v>
      </c>
      <c r="AE202" s="126">
        <f t="shared" si="42"/>
        <v>2.8645833333332371E-2</v>
      </c>
      <c r="AF202" s="126">
        <f t="shared" ref="AF202:AY202" si="43">+AF200/AE200-1</f>
        <v>-8.8607594936708778E-2</v>
      </c>
      <c r="AG202" s="126">
        <f t="shared" si="43"/>
        <v>-1.727777777777777</v>
      </c>
      <c r="AH202" s="126">
        <f t="shared" si="43"/>
        <v>-1.4312977099236626</v>
      </c>
      <c r="AI202" s="126">
        <f t="shared" si="43"/>
        <v>-1.991150442477879</v>
      </c>
      <c r="AJ202" s="126">
        <f t="shared" si="43"/>
        <v>-3.1875000000000022</v>
      </c>
      <c r="AK202" s="126">
        <f t="shared" si="43"/>
        <v>-2.7918367346938777</v>
      </c>
      <c r="AL202" s="126">
        <f t="shared" si="43"/>
        <v>-2.2323462414578565</v>
      </c>
      <c r="AM202" s="126">
        <f t="shared" si="43"/>
        <v>-0.26802218114602372</v>
      </c>
      <c r="AN202" s="126">
        <f t="shared" si="43"/>
        <v>0.90404040404040309</v>
      </c>
      <c r="AO202" s="126">
        <f t="shared" si="43"/>
        <v>-1.0755968169761274</v>
      </c>
      <c r="AP202" s="126">
        <f t="shared" ca="1" si="43"/>
        <v>-7.9373875213680263</v>
      </c>
      <c r="AQ202" s="126">
        <f t="shared" ca="1" si="43"/>
        <v>0.19880271704403807</v>
      </c>
      <c r="AR202" s="126">
        <f t="shared" ca="1" si="43"/>
        <v>-0.25444009617508845</v>
      </c>
      <c r="AS202" s="126">
        <f t="shared" ca="1" si="43"/>
        <v>9.0357418150567081E-2</v>
      </c>
      <c r="AT202" s="126">
        <f t="shared" ca="1" si="43"/>
        <v>8.3844762948058316E-2</v>
      </c>
      <c r="AU202" s="126">
        <f t="shared" ca="1" si="43"/>
        <v>7.7495494789222796E-2</v>
      </c>
      <c r="AV202" s="126">
        <f t="shared" ca="1" si="43"/>
        <v>7.4096232332556466E-2</v>
      </c>
      <c r="AW202" s="126">
        <f t="shared" ca="1" si="43"/>
        <v>7.0927542544102051E-2</v>
      </c>
      <c r="AX202" s="126">
        <f t="shared" ca="1" si="43"/>
        <v>6.796861796739706E-2</v>
      </c>
      <c r="AY202" s="126">
        <f t="shared" ca="1" si="43"/>
        <v>1.5234968003586045</v>
      </c>
    </row>
    <row r="236" spans="1:52" s="64" customFormat="1">
      <c r="A236" s="63" t="s">
        <v>40</v>
      </c>
      <c r="B236" s="63"/>
      <c r="C236" s="67"/>
      <c r="D236" s="67"/>
      <c r="E236" s="67"/>
      <c r="F236" s="67"/>
      <c r="G236" s="67"/>
      <c r="H236" s="67"/>
      <c r="I236" s="67"/>
      <c r="J236" s="67"/>
      <c r="K236" s="67"/>
      <c r="L236" s="67"/>
      <c r="M236" s="67"/>
      <c r="N236" s="67"/>
      <c r="O236" s="67"/>
      <c r="V236" s="71"/>
      <c r="Y236" s="71"/>
      <c r="Z236" s="75"/>
      <c r="AA236" s="75"/>
      <c r="AB236" s="75"/>
      <c r="AC236" s="75"/>
      <c r="AD236" s="75"/>
      <c r="AE236" s="75"/>
      <c r="AF236" s="75"/>
      <c r="AG236" s="75"/>
      <c r="AH236" s="75"/>
      <c r="AI236" s="75"/>
      <c r="AJ236" s="75"/>
      <c r="AK236" s="75"/>
      <c r="AL236" s="75"/>
      <c r="AM236" s="75"/>
      <c r="AN236" s="75"/>
      <c r="AO236" s="75"/>
      <c r="AP236" s="75"/>
      <c r="AQ236" s="75"/>
      <c r="AR236" s="75"/>
      <c r="AS236" s="75"/>
      <c r="AT236" s="75"/>
      <c r="AU236" s="75"/>
      <c r="AV236" s="75"/>
      <c r="AW236" s="75"/>
      <c r="AX236" s="75"/>
      <c r="AY236" s="75"/>
      <c r="AZ236" s="75"/>
    </row>
    <row r="237" spans="1:52">
      <c r="B237" t="s">
        <v>422</v>
      </c>
      <c r="E237" s="41"/>
      <c r="F237" s="41"/>
      <c r="G237" s="41"/>
      <c r="H237" s="41">
        <f>CF!H81</f>
        <v>335.14955717167567</v>
      </c>
      <c r="I237" s="41">
        <f>CF!I81</f>
        <v>480.09999999999997</v>
      </c>
      <c r="J237" s="41">
        <f>CF!J81</f>
        <v>567.5</v>
      </c>
      <c r="K237" s="41">
        <f>CF!K81</f>
        <v>710.40000000000009</v>
      </c>
      <c r="L237" s="41">
        <f ca="1">CF!L81</f>
        <v>802.66605982034173</v>
      </c>
      <c r="M237" s="41">
        <f ca="1">CF!M81</f>
        <v>860.73362112429345</v>
      </c>
      <c r="N237" s="41">
        <f ca="1">CF!N81</f>
        <v>929.3887670927686</v>
      </c>
      <c r="T237" s="41"/>
      <c r="U237" s="41"/>
      <c r="V237" s="41"/>
      <c r="W237" s="41"/>
      <c r="X237" s="41">
        <f>CF!X81</f>
        <v>77.156228678049104</v>
      </c>
      <c r="Y237" s="41">
        <f>CF!Y81</f>
        <v>82.506400997711708</v>
      </c>
      <c r="Z237" s="41">
        <f>CF!Z81</f>
        <v>87.459242023450983</v>
      </c>
      <c r="AA237" s="41">
        <f>CF!AA81</f>
        <v>88.027685472463858</v>
      </c>
      <c r="AB237" s="41">
        <f>CF!AB81</f>
        <v>103.69999999999999</v>
      </c>
      <c r="AC237" s="41">
        <f>CF!AC81</f>
        <v>117.19999999999996</v>
      </c>
      <c r="AD237" s="41">
        <f>CF!AD81</f>
        <v>132.59999999999997</v>
      </c>
      <c r="AE237" s="41">
        <f>CF!AE81</f>
        <v>126.60000000000005</v>
      </c>
      <c r="AF237" s="41">
        <f>CF!AF81</f>
        <v>131.5</v>
      </c>
      <c r="AG237" s="41">
        <f>CF!AG81</f>
        <v>128.60000000000002</v>
      </c>
      <c r="AH237" s="41">
        <f>CF!AH81</f>
        <v>144.39999999999998</v>
      </c>
      <c r="AI237" s="41">
        <f>CF!AI81</f>
        <v>163</v>
      </c>
      <c r="AJ237" s="41">
        <f>CF!AJ81</f>
        <v>166.10000000000002</v>
      </c>
      <c r="AK237" s="41">
        <f>CF!AK81</f>
        <v>173.89999999999995</v>
      </c>
      <c r="AL237" s="41">
        <f>CF!AL81</f>
        <v>181.30000000000004</v>
      </c>
      <c r="AM237" s="41">
        <f>CF!AM81</f>
        <v>189.10000000000005</v>
      </c>
      <c r="AN237" s="41">
        <f>CF!AN81</f>
        <v>198.20000000000002</v>
      </c>
      <c r="AO237" s="41">
        <f>CF!AO81</f>
        <v>194.89999999999995</v>
      </c>
      <c r="AP237" s="41">
        <f ca="1">CF!AP81</f>
        <v>203.4432441215057</v>
      </c>
      <c r="AQ237" s="41">
        <f ca="1">CF!AQ81</f>
        <v>206.12281569883598</v>
      </c>
      <c r="AR237" s="41">
        <f ca="1">CF!AR81</f>
        <v>209.46656529498514</v>
      </c>
      <c r="AS237" s="41">
        <f ca="1">CF!AS81</f>
        <v>213.10993510224307</v>
      </c>
      <c r="AT237" s="41">
        <f ca="1">CF!AT81</f>
        <v>217.01427950274405</v>
      </c>
      <c r="AU237" s="41">
        <f ca="1">CF!AU81</f>
        <v>221.14284122432105</v>
      </c>
      <c r="AV237" s="41">
        <f ca="1">CF!AV81</f>
        <v>225.48435985393084</v>
      </c>
      <c r="AW237" s="41">
        <f ca="1">CF!AW81</f>
        <v>230.02818234740124</v>
      </c>
      <c r="AX237" s="41">
        <f ca="1">CF!AX81</f>
        <v>234.76409932410832</v>
      </c>
      <c r="AY237" s="41">
        <f ca="1">CF!AY81</f>
        <v>239.11212556732821</v>
      </c>
    </row>
    <row r="238" spans="1:52">
      <c r="B238" t="s">
        <v>36</v>
      </c>
      <c r="G238" s="126"/>
      <c r="H238" s="126"/>
      <c r="I238" s="126">
        <f t="shared" ref="I238" si="44">+I237/H237-1</f>
        <v>0.43249480635319903</v>
      </c>
      <c r="J238" s="126">
        <f t="shared" ref="J238" si="45">+J237/I237-1</f>
        <v>0.18204540720683204</v>
      </c>
      <c r="K238" s="126">
        <f t="shared" ref="K238" si="46">+K237/J237-1</f>
        <v>0.25180616740088113</v>
      </c>
      <c r="L238" s="126">
        <f t="shared" ref="L238" ca="1" si="47">+L237/K237-1</f>
        <v>0.12987902564800335</v>
      </c>
      <c r="M238" s="126">
        <f t="shared" ref="M238:N238" ca="1" si="48">+M237/L237-1</f>
        <v>7.2343361966679787E-2</v>
      </c>
      <c r="N238" s="126">
        <f t="shared" ca="1" si="48"/>
        <v>7.9763522980312418E-2</v>
      </c>
      <c r="T238" s="126"/>
      <c r="U238" s="126"/>
      <c r="V238" s="126"/>
      <c r="W238" s="126"/>
      <c r="X238" s="126"/>
      <c r="Y238" s="126"/>
      <c r="Z238" s="126"/>
      <c r="AA238" s="126"/>
      <c r="AB238" s="126">
        <f t="shared" ref="AB238" si="49">+AB237/X237-1</f>
        <v>0.34402629284422992</v>
      </c>
      <c r="AC238" s="126">
        <f t="shared" ref="AC238" si="50">+AC237/Y237-1</f>
        <v>0.42049584738583468</v>
      </c>
      <c r="AD238" s="126">
        <f t="shared" ref="AD238" si="51">+AD237/Z237-1</f>
        <v>0.51613479527349559</v>
      </c>
      <c r="AE238" s="126">
        <f t="shared" ref="AE238" si="52">+AE237/AA237-1</f>
        <v>0.43818389999135077</v>
      </c>
      <c r="AF238" s="126">
        <f t="shared" ref="AF238" si="53">+AF237/AB237-1</f>
        <v>0.26808100289296055</v>
      </c>
      <c r="AG238" s="126">
        <f t="shared" ref="AG238" si="54">+AG237/AC237-1</f>
        <v>9.726962457337951E-2</v>
      </c>
      <c r="AH238" s="126">
        <f t="shared" ref="AH238" si="55">+AH237/AD237-1</f>
        <v>8.8989441930618529E-2</v>
      </c>
      <c r="AI238" s="126">
        <f t="shared" ref="AI238" si="56">+AI237/AE237-1</f>
        <v>0.28751974723538654</v>
      </c>
      <c r="AJ238" s="126">
        <f t="shared" ref="AJ238" si="57">+AJ237/AF237-1</f>
        <v>0.26311787072243353</v>
      </c>
      <c r="AK238" s="126">
        <f t="shared" ref="AK238" si="58">+AK237/AG237-1</f>
        <v>0.35225505443234773</v>
      </c>
      <c r="AL238" s="126">
        <f t="shared" ref="AL238" si="59">+AL237/AH237-1</f>
        <v>0.25554016620498654</v>
      </c>
      <c r="AM238" s="126">
        <f t="shared" ref="AM238" si="60">+AM237/AI237-1</f>
        <v>0.16012269938650348</v>
      </c>
      <c r="AN238" s="126">
        <f t="shared" ref="AN238" si="61">+AN237/AJ237-1</f>
        <v>0.19325707405177606</v>
      </c>
      <c r="AO238" s="126">
        <f t="shared" ref="AO238" si="62">+AO237/AK237-1</f>
        <v>0.1207590569292698</v>
      </c>
      <c r="AP238" s="126">
        <f t="shared" ref="AP238" ca="1" si="63">+AP237/AL237-1</f>
        <v>0.12213593006897772</v>
      </c>
      <c r="AQ238" s="126">
        <f t="shared" ref="AQ238" ca="1" si="64">+AQ237/AM237-1</f>
        <v>9.0020178206430046E-2</v>
      </c>
      <c r="AR238" s="126">
        <f t="shared" ref="AR238" ca="1" si="65">+AR237/AN237-1</f>
        <v>5.6844426311731144E-2</v>
      </c>
      <c r="AS238" s="126">
        <f t="shared" ref="AS238" ca="1" si="66">+AS237/AO237-1</f>
        <v>9.3432196522540423E-2</v>
      </c>
      <c r="AT238" s="126">
        <f t="shared" ref="AT238" ca="1" si="67">+AT237/AP237-1</f>
        <v>6.6706738972040158E-2</v>
      </c>
      <c r="AU238" s="126">
        <f t="shared" ref="AU238" ca="1" si="68">+AU237/AQ237-1</f>
        <v>7.2869301123028807E-2</v>
      </c>
      <c r="AV238" s="126">
        <f t="shared" ref="AV238" ca="1" si="69">+AV237/AR237-1</f>
        <v>7.6469457244349837E-2</v>
      </c>
      <c r="AW238" s="126">
        <f t="shared" ref="AW238" ca="1" si="70">+AW237/AS237-1</f>
        <v>7.9387416813962108E-2</v>
      </c>
      <c r="AX238" s="126">
        <f t="shared" ref="AX238" ca="1" si="71">+AX237/AT237-1</f>
        <v>8.1791022517206491E-2</v>
      </c>
      <c r="AY238" s="126">
        <f t="shared" ref="AY238" ca="1" si="72">+AY237/AU237-1</f>
        <v>8.1256459596535713E-2</v>
      </c>
    </row>
    <row r="239" spans="1:52">
      <c r="B239" t="s">
        <v>37</v>
      </c>
      <c r="T239" s="126"/>
      <c r="U239" s="126"/>
      <c r="V239" s="126"/>
      <c r="W239" s="126"/>
      <c r="X239" s="126"/>
      <c r="Y239" s="126">
        <f t="shared" ref="Y239" si="73">+Y237/X237-1</f>
        <v>6.9342066237935818E-2</v>
      </c>
      <c r="Z239" s="126">
        <f t="shared" ref="Z239" si="74">+Z237/Y237-1</f>
        <v>6.0029779094068703E-2</v>
      </c>
      <c r="AA239" s="126">
        <f t="shared" ref="AA239" si="75">+AA237/Z237-1</f>
        <v>6.4995240738590088E-3</v>
      </c>
      <c r="AB239" s="126">
        <f t="shared" ref="AB239" si="76">+AB237/AA237-1</f>
        <v>0.1780384710039733</v>
      </c>
      <c r="AC239" s="126">
        <f t="shared" ref="AC239" si="77">+AC237/AB237-1</f>
        <v>0.13018322082931499</v>
      </c>
      <c r="AD239" s="126">
        <f t="shared" ref="AD239" si="78">+AD237/AC237-1</f>
        <v>0.13139931740614341</v>
      </c>
      <c r="AE239" s="126">
        <f t="shared" ref="AE239" si="79">+AE237/AD237-1</f>
        <v>-4.5248868778279938E-2</v>
      </c>
      <c r="AF239" s="126">
        <f t="shared" ref="AF239" si="80">+AF237/AE237-1</f>
        <v>3.8704581358609325E-2</v>
      </c>
      <c r="AG239" s="126">
        <f t="shared" ref="AG239" si="81">+AG237/AF237-1</f>
        <v>-2.2053231939163309E-2</v>
      </c>
      <c r="AH239" s="126">
        <f t="shared" ref="AH239" si="82">+AH237/AG237-1</f>
        <v>0.122861586314152</v>
      </c>
      <c r="AI239" s="126">
        <f t="shared" ref="AI239" si="83">+AI237/AH237-1</f>
        <v>0.12880886426592819</v>
      </c>
      <c r="AJ239" s="126">
        <f t="shared" ref="AJ239" si="84">+AJ237/AI237-1</f>
        <v>1.9018404907975572E-2</v>
      </c>
      <c r="AK239" s="126">
        <f t="shared" ref="AK239" si="85">+AK237/AJ237-1</f>
        <v>4.6959662853702122E-2</v>
      </c>
      <c r="AL239" s="126">
        <f t="shared" ref="AL239" si="86">+AL237/AK237-1</f>
        <v>4.2553191489362208E-2</v>
      </c>
      <c r="AM239" s="126">
        <f t="shared" ref="AM239" si="87">+AM237/AL237-1</f>
        <v>4.3022614451185826E-2</v>
      </c>
      <c r="AN239" s="126">
        <f t="shared" ref="AN239" si="88">+AN237/AM237-1</f>
        <v>4.8122686409306947E-2</v>
      </c>
      <c r="AO239" s="126">
        <f t="shared" ref="AO239" si="89">+AO237/AN237-1</f>
        <v>-1.6649848637739995E-2</v>
      </c>
      <c r="AP239" s="126">
        <f t="shared" ref="AP239" ca="1" si="90">+AP237/AO237-1</f>
        <v>4.3833987283251608E-2</v>
      </c>
      <c r="AQ239" s="126">
        <f t="shared" ref="AQ239" ca="1" si="91">+AQ237/AP237-1</f>
        <v>1.317110130100918E-2</v>
      </c>
      <c r="AR239" s="126">
        <f t="shared" ref="AR239" ca="1" si="92">+AR237/AQ237-1</f>
        <v>1.6222122644756976E-2</v>
      </c>
      <c r="AS239" s="126">
        <f t="shared" ref="AS239" ca="1" si="93">+AS237/AR237-1</f>
        <v>1.7393562557953324E-2</v>
      </c>
      <c r="AT239" s="126">
        <f t="shared" ref="AT239" ca="1" si="94">+AT237/AS237-1</f>
        <v>1.8320799537702381E-2</v>
      </c>
      <c r="AU239" s="126">
        <f t="shared" ref="AU239" ca="1" si="95">+AU237/AT237-1</f>
        <v>1.9024378170123146E-2</v>
      </c>
      <c r="AV239" s="126">
        <f t="shared" ref="AV239" ca="1" si="96">+AV237/AU237-1</f>
        <v>1.9632191598758952E-2</v>
      </c>
      <c r="AW239" s="126">
        <f t="shared" ref="AW239" ca="1" si="97">+AW237/AV237-1</f>
        <v>2.0151386537025973E-2</v>
      </c>
      <c r="AX239" s="126">
        <f t="shared" ref="AX239" ca="1" si="98">+AX237/AW237-1</f>
        <v>2.0588420637757565E-2</v>
      </c>
      <c r="AY239" s="126">
        <f t="shared" ref="AY239" ca="1" si="99">+AY237/AX237-1</f>
        <v>1.8520831148109762E-2</v>
      </c>
    </row>
    <row r="259" spans="1:52" s="64" customFormat="1">
      <c r="A259" s="63" t="s">
        <v>40</v>
      </c>
      <c r="B259" s="63"/>
      <c r="C259" s="67"/>
      <c r="D259" s="67"/>
      <c r="E259" s="67"/>
      <c r="F259" s="67"/>
      <c r="G259" s="67"/>
      <c r="H259" s="67"/>
      <c r="I259" s="67"/>
      <c r="J259" s="67"/>
      <c r="K259" s="67"/>
      <c r="L259" s="67"/>
      <c r="M259" s="67"/>
      <c r="N259" s="67"/>
      <c r="O259" s="67"/>
      <c r="V259" s="71"/>
      <c r="Y259" s="71"/>
      <c r="Z259" s="75"/>
      <c r="AA259" s="75"/>
      <c r="AB259" s="75"/>
      <c r="AC259" s="75"/>
      <c r="AD259" s="75"/>
      <c r="AE259" s="75"/>
      <c r="AF259" s="75"/>
      <c r="AG259" s="75"/>
      <c r="AH259" s="75"/>
      <c r="AI259" s="75"/>
      <c r="AJ259" s="75"/>
      <c r="AK259" s="75"/>
      <c r="AL259" s="75"/>
      <c r="AM259" s="75"/>
      <c r="AN259" s="75"/>
      <c r="AO259" s="75"/>
      <c r="AP259" s="75"/>
      <c r="AQ259" s="75"/>
      <c r="AR259" s="75"/>
      <c r="AS259" s="75"/>
      <c r="AT259" s="75"/>
      <c r="AU259" s="75"/>
      <c r="AV259" s="75"/>
      <c r="AW259" s="75"/>
      <c r="AX259" s="75"/>
      <c r="AY259" s="75"/>
      <c r="AZ259" s="75"/>
    </row>
    <row r="260" spans="1:52">
      <c r="B260" t="s">
        <v>158</v>
      </c>
      <c r="E260" s="41"/>
      <c r="F260" s="41"/>
      <c r="G260" s="41">
        <f>BS!G69</f>
        <v>323.23400002</v>
      </c>
      <c r="H260" s="41">
        <f>BS!H69</f>
        <v>360.75700000000001</v>
      </c>
      <c r="I260" s="41">
        <f>BS!I69</f>
        <v>530.4</v>
      </c>
      <c r="J260" s="41">
        <f>BS!J69</f>
        <v>704.10000000000014</v>
      </c>
      <c r="K260" s="41">
        <f>BS!K69</f>
        <v>835.5</v>
      </c>
      <c r="L260" s="41">
        <f ca="1">BS!L69</f>
        <v>832.46881825418075</v>
      </c>
      <c r="M260" s="41">
        <f ca="1">BS!M69</f>
        <v>941.57094608874058</v>
      </c>
      <c r="N260" s="41">
        <f ca="1">BS!N69</f>
        <v>908.13095959915506</v>
      </c>
      <c r="T260" s="41">
        <f>BS!T69</f>
        <v>66.687000019999999</v>
      </c>
      <c r="U260" s="41">
        <f>BS!U69</f>
        <v>58.91</v>
      </c>
      <c r="V260" s="41">
        <f>BS!V69</f>
        <v>95.73</v>
      </c>
      <c r="W260" s="41">
        <f>BS!W69</f>
        <v>101.907</v>
      </c>
      <c r="X260" s="41">
        <f>BS!X69</f>
        <v>86.671996482221047</v>
      </c>
      <c r="Y260" s="41">
        <f>BS!Y69</f>
        <v>88.276763707906341</v>
      </c>
      <c r="Z260" s="41">
        <f>BS!Z69</f>
        <v>90.922727784094747</v>
      </c>
      <c r="AA260" s="41">
        <f>BS!AA69</f>
        <v>94.885512025777871</v>
      </c>
      <c r="AB260" s="41">
        <f>BS!AB69</f>
        <v>115.3</v>
      </c>
      <c r="AC260" s="41">
        <f>BS!AC69</f>
        <v>129.5</v>
      </c>
      <c r="AD260" s="41">
        <f>BS!AD69</f>
        <v>130.09999999999997</v>
      </c>
      <c r="AE260" s="41">
        <f>BS!AE69</f>
        <v>155.5</v>
      </c>
      <c r="AF260" s="41">
        <f>BS!AF69</f>
        <v>159.19999999999999</v>
      </c>
      <c r="AG260" s="41">
        <f>BS!AG69</f>
        <v>172.40000000000003</v>
      </c>
      <c r="AH260" s="41">
        <f>BS!AH69</f>
        <v>185.10000000000002</v>
      </c>
      <c r="AI260" s="41">
        <f>BS!AI69</f>
        <v>187.40000000000003</v>
      </c>
      <c r="AJ260" s="41">
        <f>BS!AJ69</f>
        <v>208.3</v>
      </c>
      <c r="AK260" s="41">
        <f>BS!AK69</f>
        <v>213.59999999999997</v>
      </c>
      <c r="AL260" s="41">
        <f>BS!AL69</f>
        <v>208.30000000000007</v>
      </c>
      <c r="AM260" s="41">
        <f>BS!AM69</f>
        <v>205.3</v>
      </c>
      <c r="AN260" s="41">
        <f>BS!AN69</f>
        <v>193.4</v>
      </c>
      <c r="AO260" s="41">
        <f>BS!AO69</f>
        <v>193.4</v>
      </c>
      <c r="AP260" s="41">
        <f ca="1">BS!AP69</f>
        <v>215.42558542258649</v>
      </c>
      <c r="AQ260" s="41">
        <f ca="1">BS!AQ69</f>
        <v>230.24323283159427</v>
      </c>
      <c r="AR260" s="41">
        <f ca="1">BS!AR69</f>
        <v>232.16635268634124</v>
      </c>
      <c r="AS260" s="41">
        <f ca="1">BS!AS69</f>
        <v>234.24367823493645</v>
      </c>
      <c r="AT260" s="41">
        <f ca="1">BS!AT69</f>
        <v>236.43973667946651</v>
      </c>
      <c r="AU260" s="41">
        <f ca="1">BS!AU69</f>
        <v>238.7211784879965</v>
      </c>
      <c r="AV260" s="41">
        <f ca="1">BS!AV69</f>
        <v>241.08027659753353</v>
      </c>
      <c r="AW260" s="41">
        <f ca="1">BS!AW69</f>
        <v>243.50981770877678</v>
      </c>
      <c r="AX260" s="41">
        <f ca="1">BS!AX69</f>
        <v>246.00294975950814</v>
      </c>
      <c r="AY260" s="41">
        <f ca="1">BS!AY69</f>
        <v>177.53791553333656</v>
      </c>
    </row>
    <row r="261" spans="1:52">
      <c r="B261" t="s">
        <v>366</v>
      </c>
      <c r="G261" s="126">
        <f t="shared" ref="G261:N261" si="100">+G260/G6</f>
        <v>0.32182996328061408</v>
      </c>
      <c r="H261" s="126">
        <f t="shared" si="100"/>
        <v>0.32119044186802781</v>
      </c>
      <c r="I261" s="126">
        <f t="shared" si="100"/>
        <v>0.3937346893326405</v>
      </c>
      <c r="J261" s="126">
        <f t="shared" si="100"/>
        <v>0.40895626415751879</v>
      </c>
      <c r="K261" s="126">
        <f t="shared" si="100"/>
        <v>0.37980725520501862</v>
      </c>
      <c r="L261" s="126">
        <f t="shared" ca="1" si="100"/>
        <v>0.31924191386320266</v>
      </c>
      <c r="M261" s="126">
        <f t="shared" ca="1" si="100"/>
        <v>0.34999999999999992</v>
      </c>
      <c r="N261" s="126">
        <f t="shared" ca="1" si="100"/>
        <v>0.32461532296413642</v>
      </c>
      <c r="T261" s="126">
        <f t="shared" ref="T261:AY261" si="101">+T260/T6</f>
        <v>0.28256284174001267</v>
      </c>
      <c r="U261" s="126">
        <f t="shared" si="101"/>
        <v>0.23561661752695978</v>
      </c>
      <c r="V261" s="126">
        <f t="shared" si="101"/>
        <v>0.3731378874478406</v>
      </c>
      <c r="W261" s="126">
        <f t="shared" si="101"/>
        <v>0.38929050789039249</v>
      </c>
      <c r="X261" s="126">
        <f t="shared" si="101"/>
        <v>0.32334170803674073</v>
      </c>
      <c r="Y261" s="126">
        <f t="shared" si="101"/>
        <v>0.31871614173013818</v>
      </c>
      <c r="Z261" s="126">
        <f t="shared" si="101"/>
        <v>0.32311658332411569</v>
      </c>
      <c r="AA261" s="126">
        <f t="shared" si="101"/>
        <v>0.31973027756032346</v>
      </c>
      <c r="AB261" s="126">
        <f t="shared" si="101"/>
        <v>0.35963817841547097</v>
      </c>
      <c r="AC261" s="126">
        <f t="shared" si="101"/>
        <v>0.39981475764124735</v>
      </c>
      <c r="AD261" s="126">
        <f t="shared" si="101"/>
        <v>0.3818608746697974</v>
      </c>
      <c r="AE261" s="126">
        <f t="shared" si="101"/>
        <v>0.42967670627245097</v>
      </c>
      <c r="AF261" s="126">
        <f t="shared" si="101"/>
        <v>0.43402399127589963</v>
      </c>
      <c r="AG261" s="126">
        <f t="shared" si="101"/>
        <v>0.4664502164502165</v>
      </c>
      <c r="AH261" s="126">
        <f t="shared" si="101"/>
        <v>0.38723849372384944</v>
      </c>
      <c r="AI261" s="126">
        <f t="shared" si="101"/>
        <v>0.36940666272422634</v>
      </c>
      <c r="AJ261" s="126">
        <f t="shared" si="101"/>
        <v>0.41255694196870674</v>
      </c>
      <c r="AK261" s="126">
        <f t="shared" si="101"/>
        <v>0.42155121373593835</v>
      </c>
      <c r="AL261" s="126">
        <f t="shared" si="101"/>
        <v>0.3785896037804436</v>
      </c>
      <c r="AM261" s="126">
        <f t="shared" si="101"/>
        <v>0.32178683385579937</v>
      </c>
      <c r="AN261" s="126">
        <f t="shared" si="101"/>
        <v>0.30054390054390057</v>
      </c>
      <c r="AO261" s="126">
        <f t="shared" si="101"/>
        <v>0.29594491201224177</v>
      </c>
      <c r="AP261" s="126">
        <f t="shared" ca="1" si="101"/>
        <v>0.33</v>
      </c>
      <c r="AQ261" s="126">
        <f t="shared" ca="1" si="101"/>
        <v>0.35</v>
      </c>
      <c r="AR261" s="126">
        <f t="shared" ca="1" si="101"/>
        <v>0.35</v>
      </c>
      <c r="AS261" s="126">
        <f t="shared" ca="1" si="101"/>
        <v>0.35</v>
      </c>
      <c r="AT261" s="126">
        <f t="shared" ca="1" si="101"/>
        <v>0.35</v>
      </c>
      <c r="AU261" s="126">
        <f t="shared" ca="1" si="101"/>
        <v>0.35</v>
      </c>
      <c r="AV261" s="126">
        <f t="shared" ca="1" si="101"/>
        <v>0.35</v>
      </c>
      <c r="AW261" s="126">
        <f t="shared" ca="1" si="101"/>
        <v>0.35</v>
      </c>
      <c r="AX261" s="126">
        <f t="shared" ca="1" si="101"/>
        <v>0.35</v>
      </c>
      <c r="AY261" s="126">
        <f t="shared" ca="1" si="101"/>
        <v>0.25</v>
      </c>
    </row>
    <row r="262" spans="1:52">
      <c r="B262" t="s">
        <v>37</v>
      </c>
      <c r="T262" s="126"/>
      <c r="U262" s="126"/>
      <c r="V262" s="126"/>
      <c r="W262" s="126"/>
      <c r="X262" s="126"/>
      <c r="Y262" s="126"/>
      <c r="Z262" s="126"/>
      <c r="AA262" s="126"/>
      <c r="AB262" s="126"/>
      <c r="AC262" s="126"/>
      <c r="AD262" s="126"/>
      <c r="AE262" s="126"/>
      <c r="AF262" s="126"/>
      <c r="AG262" s="126"/>
      <c r="AH262" s="126"/>
      <c r="AI262" s="126"/>
      <c r="AJ262" s="126"/>
      <c r="AK262" s="126"/>
      <c r="AL262" s="126"/>
      <c r="AM262" s="126"/>
      <c r="AN262" s="126"/>
      <c r="AO262" s="126"/>
      <c r="AP262" s="126"/>
      <c r="AQ262" s="126"/>
      <c r="AR262" s="126"/>
      <c r="AS262" s="126"/>
      <c r="AT262" s="126"/>
      <c r="AU262" s="126"/>
      <c r="AV262" s="126"/>
      <c r="AW262" s="126"/>
      <c r="AX262" s="126"/>
      <c r="AY262" s="126"/>
    </row>
    <row r="263" spans="1:52">
      <c r="T263" s="126"/>
      <c r="U263" s="126"/>
      <c r="V263" s="126"/>
      <c r="W263" s="126"/>
      <c r="X263" s="126"/>
      <c r="Y263" s="126"/>
      <c r="Z263" s="126"/>
      <c r="AA263" s="126"/>
      <c r="AB263" s="126"/>
      <c r="AC263" s="126"/>
      <c r="AD263" s="126"/>
      <c r="AE263" s="126"/>
      <c r="AF263" s="126"/>
      <c r="AG263" s="126"/>
      <c r="AH263" s="126"/>
      <c r="AI263" s="126"/>
      <c r="AJ263" s="126"/>
      <c r="AK263" s="126"/>
      <c r="AL263" s="126"/>
      <c r="AM263" s="126"/>
      <c r="AN263" s="126"/>
      <c r="AO263" s="126"/>
      <c r="AP263" s="126"/>
      <c r="AQ263" s="126"/>
      <c r="AR263" s="126"/>
      <c r="AS263" s="126"/>
      <c r="AT263" s="126"/>
      <c r="AU263" s="126"/>
      <c r="AV263" s="126"/>
      <c r="AW263" s="126"/>
      <c r="AX263" s="126"/>
      <c r="AY263" s="126"/>
    </row>
    <row r="264" spans="1:52">
      <c r="T264" s="126"/>
      <c r="U264" s="126"/>
      <c r="V264" s="126"/>
      <c r="W264" s="126"/>
      <c r="X264" s="126"/>
      <c r="Y264" s="126"/>
      <c r="Z264" s="126"/>
      <c r="AA264" s="126"/>
      <c r="AB264" s="126"/>
      <c r="AC264" s="126"/>
      <c r="AD264" s="126"/>
      <c r="AE264" s="126"/>
      <c r="AF264" s="126"/>
      <c r="AG264" s="126"/>
      <c r="AH264" s="126"/>
      <c r="AI264" s="126"/>
      <c r="AJ264" s="126"/>
      <c r="AK264" s="126"/>
      <c r="AL264" s="126"/>
      <c r="AM264" s="126"/>
      <c r="AN264" s="126"/>
      <c r="AO264" s="126"/>
      <c r="AP264" s="126"/>
      <c r="AQ264" s="126"/>
      <c r="AR264" s="126"/>
      <c r="AS264" s="126"/>
      <c r="AT264" s="126"/>
      <c r="AU264" s="126"/>
      <c r="AV264" s="126"/>
      <c r="AW264" s="126"/>
      <c r="AX264" s="126"/>
      <c r="AY264" s="126"/>
    </row>
    <row r="265" spans="1:52">
      <c r="T265" s="126"/>
      <c r="U265" s="126"/>
      <c r="V265" s="126"/>
      <c r="W265" s="126"/>
      <c r="X265" s="126"/>
      <c r="Y265" s="126"/>
      <c r="Z265" s="126"/>
      <c r="AA265" s="126"/>
      <c r="AB265" s="126"/>
      <c r="AC265" s="126"/>
      <c r="AD265" s="126"/>
      <c r="AE265" s="126"/>
      <c r="AF265" s="126"/>
      <c r="AG265" s="126"/>
      <c r="AH265" s="126"/>
      <c r="AI265" s="126"/>
      <c r="AJ265" s="126"/>
      <c r="AK265" s="126"/>
      <c r="AL265" s="126"/>
      <c r="AM265" s="126"/>
      <c r="AN265" s="126"/>
      <c r="AO265" s="126"/>
      <c r="AP265" s="126"/>
      <c r="AQ265" s="126"/>
      <c r="AR265" s="126"/>
      <c r="AS265" s="126"/>
      <c r="AT265" s="126"/>
      <c r="AU265" s="126"/>
      <c r="AV265" s="126"/>
      <c r="AW265" s="126"/>
      <c r="AX265" s="126"/>
      <c r="AY265" s="126"/>
    </row>
    <row r="266" spans="1:52">
      <c r="T266" s="126"/>
      <c r="U266" s="126"/>
      <c r="V266" s="126"/>
      <c r="W266" s="126"/>
      <c r="X266" s="126"/>
      <c r="Y266" s="126"/>
      <c r="Z266" s="126"/>
      <c r="AA266" s="126"/>
      <c r="AB266" s="126"/>
      <c r="AC266" s="126"/>
      <c r="AD266" s="126"/>
      <c r="AE266" s="126"/>
      <c r="AF266" s="126"/>
      <c r="AG266" s="126"/>
      <c r="AH266" s="126"/>
      <c r="AI266" s="126"/>
      <c r="AJ266" s="126"/>
      <c r="AK266" s="126"/>
      <c r="AL266" s="126"/>
      <c r="AM266" s="126"/>
      <c r="AN266" s="126"/>
      <c r="AO266" s="126"/>
      <c r="AP266" s="126"/>
      <c r="AQ266" s="126"/>
      <c r="AR266" s="126"/>
      <c r="AS266" s="126"/>
      <c r="AT266" s="126"/>
      <c r="AU266" s="126"/>
      <c r="AV266" s="126"/>
      <c r="AW266" s="126"/>
      <c r="AX266" s="126"/>
      <c r="AY266" s="126"/>
    </row>
    <row r="267" spans="1:52">
      <c r="T267" s="126"/>
      <c r="U267" s="126"/>
      <c r="V267" s="126"/>
      <c r="W267" s="126"/>
      <c r="X267" s="126"/>
      <c r="Y267" s="126"/>
      <c r="Z267" s="126"/>
      <c r="AA267" s="126"/>
      <c r="AB267" s="126"/>
      <c r="AC267" s="126"/>
      <c r="AD267" s="126"/>
      <c r="AE267" s="126"/>
      <c r="AF267" s="126"/>
      <c r="AG267" s="126"/>
      <c r="AH267" s="126"/>
      <c r="AI267" s="126"/>
      <c r="AJ267" s="126"/>
      <c r="AK267" s="126"/>
      <c r="AL267" s="126"/>
      <c r="AM267" s="126"/>
      <c r="AN267" s="126"/>
      <c r="AO267" s="126"/>
      <c r="AP267" s="126"/>
      <c r="AQ267" s="126"/>
      <c r="AR267" s="126"/>
      <c r="AS267" s="126"/>
      <c r="AT267" s="126"/>
      <c r="AU267" s="126"/>
      <c r="AV267" s="126"/>
      <c r="AW267" s="126"/>
      <c r="AX267" s="126"/>
      <c r="AY267" s="126"/>
    </row>
    <row r="268" spans="1:52">
      <c r="T268" s="126"/>
      <c r="U268" s="126"/>
      <c r="V268" s="126"/>
      <c r="W268" s="126"/>
      <c r="X268" s="126"/>
      <c r="Y268" s="126"/>
      <c r="Z268" s="126"/>
      <c r="AA268" s="126"/>
      <c r="AB268" s="126"/>
      <c r="AC268" s="126"/>
      <c r="AD268" s="126"/>
      <c r="AE268" s="126"/>
      <c r="AF268" s="126"/>
      <c r="AG268" s="126"/>
      <c r="AH268" s="126"/>
      <c r="AI268" s="126"/>
      <c r="AJ268" s="126"/>
      <c r="AK268" s="126"/>
      <c r="AL268" s="126"/>
      <c r="AM268" s="126"/>
      <c r="AN268" s="126"/>
      <c r="AO268" s="126"/>
      <c r="AP268" s="126"/>
      <c r="AQ268" s="126"/>
      <c r="AR268" s="126"/>
      <c r="AS268" s="126"/>
      <c r="AT268" s="126"/>
      <c r="AU268" s="126"/>
      <c r="AV268" s="126"/>
      <c r="AW268" s="126"/>
      <c r="AX268" s="126"/>
      <c r="AY268" s="126"/>
    </row>
    <row r="269" spans="1:52">
      <c r="T269" s="126"/>
      <c r="U269" s="126"/>
      <c r="V269" s="126"/>
      <c r="W269" s="126"/>
      <c r="X269" s="126"/>
      <c r="Y269" s="126"/>
      <c r="Z269" s="126"/>
      <c r="AA269" s="126"/>
      <c r="AB269" s="126"/>
      <c r="AC269" s="126"/>
      <c r="AD269" s="126"/>
      <c r="AE269" s="126"/>
      <c r="AF269" s="126"/>
      <c r="AG269" s="126"/>
      <c r="AH269" s="126"/>
      <c r="AI269" s="126"/>
      <c r="AJ269" s="126"/>
      <c r="AK269" s="126"/>
      <c r="AL269" s="126"/>
      <c r="AM269" s="126"/>
      <c r="AN269" s="126"/>
      <c r="AO269" s="126"/>
      <c r="AP269" s="126"/>
      <c r="AQ269" s="126"/>
      <c r="AR269" s="126"/>
      <c r="AS269" s="126"/>
      <c r="AT269" s="126"/>
      <c r="AU269" s="126"/>
      <c r="AV269" s="126"/>
      <c r="AW269" s="126"/>
      <c r="AX269" s="126"/>
      <c r="AY269" s="126"/>
    </row>
    <row r="270" spans="1:52">
      <c r="T270" s="126"/>
      <c r="U270" s="126"/>
      <c r="V270" s="126"/>
      <c r="W270" s="126"/>
      <c r="X270" s="126"/>
      <c r="Y270" s="126"/>
      <c r="Z270" s="126"/>
      <c r="AA270" s="126"/>
      <c r="AB270" s="126"/>
      <c r="AC270" s="126"/>
      <c r="AD270" s="126"/>
      <c r="AE270" s="126"/>
      <c r="AF270" s="126"/>
      <c r="AG270" s="126"/>
      <c r="AH270" s="126"/>
      <c r="AI270" s="126"/>
      <c r="AJ270" s="126"/>
      <c r="AK270" s="126"/>
      <c r="AL270" s="126"/>
      <c r="AM270" s="126"/>
      <c r="AN270" s="126"/>
      <c r="AO270" s="126"/>
      <c r="AP270" s="126"/>
      <c r="AQ270" s="126"/>
      <c r="AR270" s="126"/>
      <c r="AS270" s="126"/>
      <c r="AT270" s="126"/>
      <c r="AU270" s="126"/>
      <c r="AV270" s="126"/>
      <c r="AW270" s="126"/>
      <c r="AX270" s="126"/>
      <c r="AY270" s="126"/>
    </row>
    <row r="271" spans="1:52">
      <c r="T271" s="126"/>
      <c r="U271" s="126"/>
      <c r="V271" s="126"/>
      <c r="W271" s="126"/>
      <c r="X271" s="126"/>
      <c r="Y271" s="126"/>
      <c r="Z271" s="126"/>
      <c r="AA271" s="126"/>
      <c r="AB271" s="126"/>
      <c r="AC271" s="126"/>
      <c r="AD271" s="126"/>
      <c r="AE271" s="126"/>
      <c r="AF271" s="126"/>
      <c r="AG271" s="126"/>
      <c r="AH271" s="126"/>
      <c r="AI271" s="126"/>
      <c r="AJ271" s="126"/>
      <c r="AK271" s="126"/>
      <c r="AL271" s="126"/>
      <c r="AM271" s="126"/>
      <c r="AN271" s="126"/>
      <c r="AO271" s="126"/>
      <c r="AP271" s="126"/>
      <c r="AQ271" s="126"/>
      <c r="AR271" s="126"/>
      <c r="AS271" s="126"/>
      <c r="AT271" s="126"/>
      <c r="AU271" s="126"/>
      <c r="AV271" s="126"/>
      <c r="AW271" s="126"/>
      <c r="AX271" s="126"/>
      <c r="AY271" s="126"/>
    </row>
    <row r="272" spans="1:52">
      <c r="T272" s="126"/>
      <c r="U272" s="126"/>
      <c r="V272" s="126"/>
      <c r="W272" s="126"/>
      <c r="X272" s="126"/>
      <c r="Y272" s="126"/>
      <c r="Z272" s="126"/>
      <c r="AA272" s="126"/>
      <c r="AB272" s="126"/>
      <c r="AC272" s="126"/>
      <c r="AD272" s="126"/>
      <c r="AE272" s="126"/>
      <c r="AF272" s="126"/>
      <c r="AG272" s="126"/>
      <c r="AH272" s="126"/>
      <c r="AI272" s="126"/>
      <c r="AJ272" s="126"/>
      <c r="AK272" s="126"/>
      <c r="AL272" s="126"/>
      <c r="AM272" s="126"/>
      <c r="AN272" s="126"/>
      <c r="AO272" s="126"/>
      <c r="AP272" s="126"/>
      <c r="AQ272" s="126"/>
      <c r="AR272" s="126"/>
      <c r="AS272" s="126"/>
      <c r="AT272" s="126"/>
      <c r="AU272" s="126"/>
      <c r="AV272" s="126"/>
      <c r="AW272" s="126"/>
      <c r="AX272" s="126"/>
      <c r="AY272" s="126"/>
    </row>
    <row r="273" spans="20:51">
      <c r="T273" s="126"/>
      <c r="U273" s="126"/>
      <c r="V273" s="126"/>
      <c r="W273" s="126"/>
      <c r="X273" s="126"/>
      <c r="Y273" s="126"/>
      <c r="Z273" s="126"/>
      <c r="AA273" s="126"/>
      <c r="AB273" s="126"/>
      <c r="AC273" s="126"/>
      <c r="AD273" s="126"/>
      <c r="AE273" s="126"/>
      <c r="AF273" s="126"/>
      <c r="AG273" s="126"/>
      <c r="AH273" s="126"/>
      <c r="AI273" s="126"/>
      <c r="AJ273" s="126"/>
      <c r="AK273" s="126"/>
      <c r="AL273" s="126"/>
      <c r="AM273" s="126"/>
      <c r="AN273" s="126"/>
      <c r="AO273" s="126"/>
      <c r="AP273" s="126"/>
      <c r="AQ273" s="126"/>
      <c r="AR273" s="126"/>
      <c r="AS273" s="126"/>
      <c r="AT273" s="126"/>
      <c r="AU273" s="126"/>
      <c r="AV273" s="126"/>
      <c r="AW273" s="126"/>
      <c r="AX273" s="126"/>
      <c r="AY273" s="126"/>
    </row>
    <row r="274" spans="20:51">
      <c r="T274" s="126"/>
      <c r="U274" s="126"/>
      <c r="V274" s="126"/>
      <c r="W274" s="126"/>
      <c r="X274" s="126"/>
      <c r="Y274" s="126"/>
      <c r="Z274" s="126"/>
      <c r="AA274" s="126"/>
      <c r="AB274" s="126"/>
      <c r="AC274" s="126"/>
      <c r="AD274" s="126"/>
      <c r="AE274" s="126"/>
      <c r="AF274" s="126"/>
      <c r="AG274" s="126"/>
      <c r="AH274" s="126"/>
      <c r="AI274" s="126"/>
      <c r="AJ274" s="126"/>
      <c r="AK274" s="126"/>
      <c r="AL274" s="126"/>
      <c r="AM274" s="126"/>
      <c r="AN274" s="126"/>
      <c r="AO274" s="126"/>
      <c r="AP274" s="126"/>
      <c r="AQ274" s="126"/>
      <c r="AR274" s="126"/>
      <c r="AS274" s="126"/>
      <c r="AT274" s="126"/>
      <c r="AU274" s="126"/>
      <c r="AV274" s="126"/>
      <c r="AW274" s="126"/>
      <c r="AX274" s="126"/>
      <c r="AY274" s="126"/>
    </row>
    <row r="275" spans="20:51">
      <c r="T275" s="126"/>
      <c r="U275" s="126"/>
      <c r="V275" s="126"/>
      <c r="W275" s="126"/>
      <c r="X275" s="126"/>
      <c r="Y275" s="126"/>
      <c r="Z275" s="126"/>
      <c r="AA275" s="126"/>
      <c r="AB275" s="126"/>
      <c r="AC275" s="126"/>
      <c r="AD275" s="126"/>
      <c r="AE275" s="126"/>
      <c r="AF275" s="126"/>
      <c r="AG275" s="126"/>
      <c r="AH275" s="126"/>
      <c r="AI275" s="126"/>
      <c r="AJ275" s="126"/>
      <c r="AK275" s="126"/>
      <c r="AL275" s="126"/>
      <c r="AM275" s="126"/>
      <c r="AN275" s="126"/>
      <c r="AO275" s="126"/>
      <c r="AP275" s="126"/>
      <c r="AQ275" s="126"/>
      <c r="AR275" s="126"/>
      <c r="AS275" s="126"/>
      <c r="AT275" s="126"/>
      <c r="AU275" s="126"/>
      <c r="AV275" s="126"/>
      <c r="AW275" s="126"/>
      <c r="AX275" s="126"/>
      <c r="AY275" s="126"/>
    </row>
    <row r="276" spans="20:51">
      <c r="T276" s="126"/>
      <c r="U276" s="126"/>
      <c r="V276" s="126"/>
      <c r="W276" s="126"/>
      <c r="X276" s="126"/>
      <c r="Y276" s="126"/>
      <c r="Z276" s="126"/>
      <c r="AA276" s="126"/>
      <c r="AB276" s="126"/>
      <c r="AC276" s="126"/>
      <c r="AD276" s="126"/>
      <c r="AE276" s="126"/>
      <c r="AF276" s="126"/>
      <c r="AG276" s="126"/>
      <c r="AH276" s="126"/>
      <c r="AI276" s="126"/>
      <c r="AJ276" s="126"/>
      <c r="AK276" s="126"/>
      <c r="AL276" s="126"/>
      <c r="AM276" s="126"/>
      <c r="AN276" s="126"/>
      <c r="AO276" s="126"/>
      <c r="AP276" s="126"/>
      <c r="AQ276" s="126"/>
      <c r="AR276" s="126"/>
      <c r="AS276" s="126"/>
      <c r="AT276" s="126"/>
      <c r="AU276" s="126"/>
      <c r="AV276" s="126"/>
      <c r="AW276" s="126"/>
      <c r="AX276" s="126"/>
      <c r="AY276" s="126"/>
    </row>
    <row r="277" spans="20:51">
      <c r="T277" s="126"/>
      <c r="U277" s="126"/>
      <c r="V277" s="126"/>
      <c r="W277" s="126"/>
      <c r="X277" s="126"/>
      <c r="Y277" s="126"/>
      <c r="Z277" s="126"/>
      <c r="AA277" s="126"/>
      <c r="AB277" s="126"/>
      <c r="AC277" s="126"/>
      <c r="AD277" s="126"/>
      <c r="AE277" s="126"/>
      <c r="AF277" s="126"/>
      <c r="AG277" s="126"/>
      <c r="AH277" s="126"/>
      <c r="AI277" s="126"/>
      <c r="AJ277" s="126"/>
      <c r="AK277" s="126"/>
      <c r="AL277" s="126"/>
      <c r="AM277" s="126"/>
      <c r="AN277" s="126"/>
      <c r="AO277" s="126"/>
      <c r="AP277" s="126"/>
      <c r="AQ277" s="126"/>
      <c r="AR277" s="126"/>
      <c r="AS277" s="126"/>
      <c r="AT277" s="126"/>
      <c r="AU277" s="126"/>
      <c r="AV277" s="126"/>
      <c r="AW277" s="126"/>
      <c r="AX277" s="126"/>
      <c r="AY277" s="126"/>
    </row>
    <row r="278" spans="20:51">
      <c r="T278" s="126"/>
      <c r="U278" s="126"/>
      <c r="V278" s="126"/>
      <c r="W278" s="126"/>
      <c r="X278" s="126"/>
      <c r="Y278" s="126"/>
      <c r="Z278" s="126"/>
      <c r="AA278" s="126"/>
      <c r="AB278" s="126"/>
      <c r="AC278" s="126"/>
      <c r="AD278" s="126"/>
      <c r="AE278" s="126"/>
      <c r="AF278" s="126"/>
      <c r="AG278" s="126"/>
      <c r="AH278" s="126"/>
      <c r="AI278" s="126"/>
      <c r="AJ278" s="126"/>
      <c r="AK278" s="126"/>
      <c r="AL278" s="126"/>
      <c r="AM278" s="126"/>
      <c r="AN278" s="126"/>
      <c r="AO278" s="126"/>
      <c r="AP278" s="126"/>
      <c r="AQ278" s="126"/>
      <c r="AR278" s="126"/>
      <c r="AS278" s="126"/>
      <c r="AT278" s="126"/>
      <c r="AU278" s="126"/>
      <c r="AV278" s="126"/>
      <c r="AW278" s="126"/>
      <c r="AX278" s="126"/>
      <c r="AY278" s="126"/>
    </row>
    <row r="279" spans="20:51">
      <c r="T279" s="126"/>
      <c r="U279" s="126"/>
      <c r="V279" s="126"/>
      <c r="W279" s="126"/>
      <c r="X279" s="126"/>
      <c r="Y279" s="126"/>
      <c r="Z279" s="126"/>
      <c r="AA279" s="126"/>
      <c r="AB279" s="126"/>
      <c r="AC279" s="126"/>
      <c r="AD279" s="126"/>
      <c r="AE279" s="126"/>
      <c r="AF279" s="126"/>
      <c r="AG279" s="126"/>
      <c r="AH279" s="126"/>
      <c r="AI279" s="126"/>
      <c r="AJ279" s="126"/>
      <c r="AK279" s="126"/>
      <c r="AL279" s="126"/>
      <c r="AM279" s="126"/>
      <c r="AN279" s="126"/>
      <c r="AO279" s="126"/>
      <c r="AP279" s="126"/>
      <c r="AQ279" s="126"/>
      <c r="AR279" s="126"/>
      <c r="AS279" s="126"/>
      <c r="AT279" s="126"/>
      <c r="AU279" s="126"/>
      <c r="AV279" s="126"/>
      <c r="AW279" s="126"/>
      <c r="AX279" s="126"/>
      <c r="AY279" s="126"/>
    </row>
    <row r="297" spans="1:52" s="64" customFormat="1">
      <c r="A297" s="63" t="s">
        <v>40</v>
      </c>
      <c r="B297" s="63"/>
      <c r="C297" s="67"/>
      <c r="D297" s="67"/>
      <c r="E297" s="67"/>
      <c r="F297" s="67"/>
      <c r="G297" s="67"/>
      <c r="H297" s="67"/>
      <c r="I297" s="67"/>
      <c r="J297" s="67"/>
      <c r="K297" s="67"/>
      <c r="L297" s="67"/>
      <c r="M297" s="67"/>
      <c r="N297" s="67"/>
      <c r="O297" s="67"/>
      <c r="V297" s="71"/>
      <c r="Y297" s="71"/>
      <c r="Z297" s="75"/>
      <c r="AA297" s="75"/>
      <c r="AB297" s="75"/>
      <c r="AC297" s="75"/>
      <c r="AD297" s="75"/>
      <c r="AE297" s="75"/>
      <c r="AF297" s="75"/>
      <c r="AG297" s="75"/>
      <c r="AH297" s="75"/>
      <c r="AI297" s="75"/>
      <c r="AJ297" s="75"/>
      <c r="AK297" s="75"/>
      <c r="AL297" s="75"/>
      <c r="AM297" s="75"/>
      <c r="AN297" s="75"/>
      <c r="AO297" s="75"/>
      <c r="AP297" s="75"/>
      <c r="AQ297" s="75"/>
      <c r="AR297" s="75"/>
      <c r="AS297" s="75"/>
      <c r="AT297" s="75"/>
      <c r="AU297" s="75"/>
      <c r="AV297" s="75"/>
      <c r="AW297" s="75"/>
      <c r="AX297" s="75"/>
      <c r="AY297" s="75"/>
      <c r="AZ297" s="75"/>
    </row>
    <row r="298" spans="1:52">
      <c r="B298" t="s">
        <v>349</v>
      </c>
      <c r="E298" s="41"/>
      <c r="F298" s="41"/>
      <c r="G298" s="258">
        <f>Capital!G144</f>
        <v>4.9646910783634146</v>
      </c>
      <c r="H298" s="258">
        <f>Capital!H144</f>
        <v>4.5059196747525538</v>
      </c>
      <c r="I298" s="258">
        <f>Capital!I144</f>
        <v>4.2991311014566822</v>
      </c>
      <c r="J298" s="258">
        <f>Capital!J144</f>
        <v>4.1933896673441016</v>
      </c>
      <c r="K298" s="258">
        <f>Capital!K144</f>
        <v>4.7680873925501421</v>
      </c>
      <c r="L298" s="258">
        <f ca="1">Capital!L144</f>
        <v>4.0173307971815042</v>
      </c>
      <c r="M298" s="258">
        <f ca="1">Capital!M144</f>
        <v>3.7079140566136148</v>
      </c>
      <c r="N298" s="258">
        <f ca="1">Capital!N144</f>
        <v>3.2973594927957004</v>
      </c>
      <c r="T298" s="41"/>
      <c r="U298" s="41"/>
      <c r="V298" s="41"/>
      <c r="W298" s="41"/>
      <c r="X298" s="41"/>
      <c r="Y298" s="41"/>
      <c r="Z298" s="41"/>
      <c r="AA298" s="41"/>
      <c r="AB298" s="41" t="e">
        <f>CF!#REF!</f>
        <v>#REF!</v>
      </c>
      <c r="AC298" s="41" t="e">
        <f>CF!#REF!</f>
        <v>#REF!</v>
      </c>
      <c r="AD298" s="41" t="e">
        <f>CF!#REF!</f>
        <v>#REF!</v>
      </c>
      <c r="AE298" s="41" t="e">
        <f>CF!#REF!</f>
        <v>#REF!</v>
      </c>
      <c r="AF298" s="41" t="e">
        <f>CF!#REF!</f>
        <v>#REF!</v>
      </c>
      <c r="AG298" s="41" t="e">
        <f>CF!#REF!</f>
        <v>#REF!</v>
      </c>
      <c r="AH298" s="41" t="e">
        <f>CF!#REF!</f>
        <v>#REF!</v>
      </c>
      <c r="AI298" s="41" t="e">
        <f>CF!#REF!</f>
        <v>#REF!</v>
      </c>
      <c r="AJ298" s="41" t="e">
        <f>CF!#REF!</f>
        <v>#REF!</v>
      </c>
      <c r="AK298" s="41" t="e">
        <f>CF!#REF!</f>
        <v>#REF!</v>
      </c>
      <c r="AL298" s="41" t="e">
        <f>CF!#REF!</f>
        <v>#REF!</v>
      </c>
      <c r="AM298" s="41" t="e">
        <f>CF!#REF!</f>
        <v>#REF!</v>
      </c>
      <c r="AN298" s="41" t="e">
        <f>CF!#REF!</f>
        <v>#REF!</v>
      </c>
      <c r="AO298" s="41" t="e">
        <f>CF!#REF!</f>
        <v>#REF!</v>
      </c>
      <c r="AP298" s="41" t="e">
        <f>CF!#REF!</f>
        <v>#REF!</v>
      </c>
      <c r="AQ298" s="41" t="e">
        <f>CF!#REF!</f>
        <v>#REF!</v>
      </c>
      <c r="AR298" s="41" t="e">
        <f>CF!#REF!</f>
        <v>#REF!</v>
      </c>
      <c r="AS298" s="41" t="e">
        <f>CF!#REF!</f>
        <v>#REF!</v>
      </c>
      <c r="AT298" s="41" t="e">
        <f>CF!#REF!</f>
        <v>#REF!</v>
      </c>
      <c r="AU298" s="41" t="e">
        <f>CF!#REF!</f>
        <v>#REF!</v>
      </c>
      <c r="AV298" s="41" t="e">
        <f>CF!#REF!</f>
        <v>#REF!</v>
      </c>
      <c r="AW298" s="41" t="e">
        <f>CF!#REF!</f>
        <v>#REF!</v>
      </c>
      <c r="AX298" s="41" t="e">
        <f>CF!#REF!</f>
        <v>#REF!</v>
      </c>
      <c r="AY298" s="41" t="e">
        <f>CF!#REF!</f>
        <v>#REF!</v>
      </c>
    </row>
    <row r="318" spans="1:52" s="64" customFormat="1">
      <c r="A318" s="63" t="s">
        <v>40</v>
      </c>
      <c r="B318" s="63"/>
      <c r="C318" s="67"/>
      <c r="D318" s="67"/>
      <c r="E318" s="67"/>
      <c r="F318" s="67"/>
      <c r="G318" s="67"/>
      <c r="H318" s="67"/>
      <c r="I318" s="67"/>
      <c r="J318" s="67"/>
      <c r="K318" s="67"/>
      <c r="L318" s="67"/>
      <c r="M318" s="67"/>
      <c r="N318" s="67"/>
      <c r="O318" s="67"/>
      <c r="V318" s="71"/>
      <c r="Y318" s="71"/>
      <c r="Z318" s="75"/>
      <c r="AA318" s="75"/>
      <c r="AB318" s="75"/>
      <c r="AC318" s="75"/>
      <c r="AD318" s="75"/>
      <c r="AE318" s="75"/>
      <c r="AF318" s="75"/>
      <c r="AG318" s="75"/>
      <c r="AH318" s="75"/>
      <c r="AI318" s="75"/>
      <c r="AJ318" s="75"/>
      <c r="AK318" s="75"/>
      <c r="AL318" s="75"/>
      <c r="AM318" s="75"/>
      <c r="AN318" s="75"/>
      <c r="AO318" s="75"/>
      <c r="AP318" s="75"/>
      <c r="AQ318" s="75"/>
      <c r="AR318" s="75"/>
      <c r="AS318" s="75"/>
      <c r="AT318" s="75"/>
      <c r="AU318" s="75"/>
      <c r="AV318" s="75"/>
      <c r="AW318" s="75"/>
      <c r="AX318" s="75"/>
      <c r="AY318" s="75"/>
      <c r="AZ318" s="75"/>
    </row>
    <row r="319" spans="1:52">
      <c r="B319" t="s">
        <v>268</v>
      </c>
      <c r="D319" s="41"/>
      <c r="E319" s="41"/>
      <c r="F319" s="41">
        <f>Rev!F12</f>
        <v>350.9</v>
      </c>
      <c r="G319" s="41">
        <f>Rev!G12</f>
        <v>941.07600000000002</v>
      </c>
      <c r="H319" s="41">
        <f>Rev!H12</f>
        <v>1030.0378165423176</v>
      </c>
      <c r="I319" s="41">
        <f>Rev!I12</f>
        <v>1211.9000000000001</v>
      </c>
      <c r="J319" s="41">
        <f>Rev!J12</f>
        <v>1370.3000000000002</v>
      </c>
      <c r="K319" s="41">
        <f>Rev!K12</f>
        <v>1613.1</v>
      </c>
      <c r="L319" s="41">
        <f ca="1">Rev!L12</f>
        <v>1918.2704858738143</v>
      </c>
      <c r="M319" s="41">
        <f ca="1">Rev!M12</f>
        <v>2005.9140106130967</v>
      </c>
      <c r="N319" s="41">
        <f ca="1">Rev!N12</f>
        <v>2110.1147576462581</v>
      </c>
      <c r="T319" s="41"/>
      <c r="U319" s="41">
        <f>Rev!U12</f>
        <v>232.56893385403922</v>
      </c>
      <c r="V319" s="41">
        <f>Rev!V12</f>
        <v>241.22097620742522</v>
      </c>
      <c r="W319" s="41">
        <f>Rev!W12</f>
        <v>244.11265646467817</v>
      </c>
      <c r="X319" s="41">
        <f>Rev!X12</f>
        <v>248.91391997559191</v>
      </c>
      <c r="Y319" s="41">
        <f>Rev!Y12</f>
        <v>254.71517916105748</v>
      </c>
      <c r="Z319" s="41">
        <f>Rev!Z12</f>
        <v>258.77268313643515</v>
      </c>
      <c r="AA319" s="41">
        <f>Rev!AA12</f>
        <v>267.63603426923299</v>
      </c>
      <c r="AB319" s="41">
        <f>Rev!AB12</f>
        <v>289.39999999999998</v>
      </c>
      <c r="AC319" s="41">
        <f>Rev!AC12</f>
        <v>292</v>
      </c>
      <c r="AD319" s="41">
        <f>Rev!AD12</f>
        <v>303.39999999999998</v>
      </c>
      <c r="AE319" s="41">
        <f>Rev!AE12</f>
        <v>327.10000000000002</v>
      </c>
      <c r="AF319" s="41">
        <f>Rev!AF12</f>
        <v>332.3</v>
      </c>
      <c r="AG319" s="41">
        <f>Rev!AG12</f>
        <v>336.4</v>
      </c>
      <c r="AH319" s="41">
        <f>Rev!AH12</f>
        <v>347</v>
      </c>
      <c r="AI319" s="41">
        <f>Rev!AI12</f>
        <v>354.6</v>
      </c>
      <c r="AJ319" s="41">
        <f>Rev!AJ12</f>
        <v>357.3</v>
      </c>
      <c r="AK319" s="41">
        <f>Rev!AK12</f>
        <v>360.7</v>
      </c>
      <c r="AL319" s="41">
        <f>Rev!AL12</f>
        <v>430.7</v>
      </c>
      <c r="AM319" s="41">
        <f>Rev!AM12</f>
        <v>464.4</v>
      </c>
      <c r="AN319" s="41">
        <f>Rev!AN12</f>
        <v>474.5</v>
      </c>
      <c r="AO319" s="41">
        <f>Rev!AO12</f>
        <v>476.1</v>
      </c>
      <c r="AP319" s="41">
        <f ca="1">Rev!AP12</f>
        <v>480.57943357381458</v>
      </c>
      <c r="AQ319" s="41">
        <f ca="1">Rev!AQ12</f>
        <v>487.09105229999989</v>
      </c>
      <c r="AR319" s="41">
        <f ca="1">Rev!AR12</f>
        <v>492.48029173469615</v>
      </c>
      <c r="AS319" s="41">
        <f ca="1">Rev!AS12</f>
        <v>498.28448627897376</v>
      </c>
      <c r="AT319" s="41">
        <f ca="1">Rev!AT12</f>
        <v>504.40390739601509</v>
      </c>
      <c r="AU319" s="41">
        <f ca="1">Rev!AU12</f>
        <v>510.74532520341165</v>
      </c>
      <c r="AV319" s="41">
        <f ca="1">Rev!AV12</f>
        <v>517.28735170988909</v>
      </c>
      <c r="AW319" s="41">
        <f ca="1">Rev!AW12</f>
        <v>524.01006675846361</v>
      </c>
      <c r="AX319" s="41">
        <f ca="1">Rev!AX12</f>
        <v>530.89458235399343</v>
      </c>
      <c r="AY319" s="41">
        <f ca="1">Rev!AY12</f>
        <v>537.92275682391232</v>
      </c>
    </row>
    <row r="320" spans="1:52">
      <c r="B320" t="s">
        <v>398</v>
      </c>
      <c r="D320" s="41"/>
      <c r="E320" s="41"/>
      <c r="F320" s="41"/>
      <c r="G320" s="41"/>
      <c r="H320" s="41"/>
      <c r="I320" s="41"/>
      <c r="J320" s="41"/>
      <c r="K320" s="41"/>
      <c r="L320" s="41"/>
      <c r="M320" s="41"/>
      <c r="N320" s="41"/>
      <c r="T320" s="41"/>
      <c r="U320" s="18">
        <f t="shared" ref="U320:AG320" si="102">+U6</f>
        <v>250.02480987258627</v>
      </c>
      <c r="V320" s="18">
        <f t="shared" si="102"/>
        <v>256.55395289598329</v>
      </c>
      <c r="W320" s="18">
        <f t="shared" si="102"/>
        <v>261.77622606891981</v>
      </c>
      <c r="X320" s="18">
        <f t="shared" si="102"/>
        <v>268.05077825707741</v>
      </c>
      <c r="Y320" s="18">
        <f t="shared" si="102"/>
        <v>276.97613063680853</v>
      </c>
      <c r="Z320" s="18">
        <f t="shared" si="102"/>
        <v>281.3929475507324</v>
      </c>
      <c r="AA320" s="18">
        <f t="shared" si="102"/>
        <v>296.76736513599604</v>
      </c>
      <c r="AB320" s="18">
        <f t="shared" si="102"/>
        <v>320.60000000000002</v>
      </c>
      <c r="AC320" s="18">
        <f t="shared" si="102"/>
        <v>323.89999999999998</v>
      </c>
      <c r="AD320" s="18">
        <f t="shared" si="102"/>
        <v>340.7</v>
      </c>
      <c r="AE320" s="18">
        <f t="shared" si="102"/>
        <v>361.9</v>
      </c>
      <c r="AF320" s="18">
        <f t="shared" si="102"/>
        <v>366.8</v>
      </c>
      <c r="AG320" s="18">
        <f t="shared" si="102"/>
        <v>369.6</v>
      </c>
      <c r="AH320" s="41">
        <f>IS!AH54</f>
        <v>0</v>
      </c>
      <c r="AI320" s="41">
        <f>IS!AI54</f>
        <v>0</v>
      </c>
      <c r="AJ320" s="41">
        <f>IS!AJ54</f>
        <v>0</v>
      </c>
      <c r="AK320" s="41">
        <f>IS!AK54</f>
        <v>0</v>
      </c>
      <c r="AL320" s="41">
        <f>IS!AL54</f>
        <v>0</v>
      </c>
      <c r="AM320" s="41">
        <f>IS!AM54</f>
        <v>0</v>
      </c>
      <c r="AN320" s="41">
        <f>IS!AN54</f>
        <v>0</v>
      </c>
      <c r="AO320" s="41">
        <f>IS!AO54</f>
        <v>0</v>
      </c>
      <c r="AP320" s="41">
        <f>IS!AP54</f>
        <v>0</v>
      </c>
      <c r="AQ320" s="41">
        <f>IS!AQ54</f>
        <v>0</v>
      </c>
      <c r="AR320" s="41">
        <f>IS!AR54</f>
        <v>0</v>
      </c>
      <c r="AS320" s="41">
        <f>IS!AS54</f>
        <v>0</v>
      </c>
      <c r="AT320" s="41">
        <f>IS!AT54</f>
        <v>0</v>
      </c>
      <c r="AU320" s="41">
        <f>IS!AU54</f>
        <v>0</v>
      </c>
      <c r="AV320" s="41">
        <f>IS!AV54</f>
        <v>0</v>
      </c>
      <c r="AW320" s="41">
        <f>IS!AW54</f>
        <v>0</v>
      </c>
      <c r="AX320" s="41">
        <f>IS!AX54</f>
        <v>0</v>
      </c>
      <c r="AY320" s="41">
        <f>IS!AY54</f>
        <v>0</v>
      </c>
    </row>
    <row r="321" spans="2:51">
      <c r="B321" t="s">
        <v>267</v>
      </c>
      <c r="D321" s="126"/>
      <c r="E321" s="126"/>
      <c r="F321" s="126">
        <f t="shared" ref="F321:N321" si="103">+F319/F6</f>
        <v>0.93442264982983858</v>
      </c>
      <c r="G321" s="126">
        <f t="shared" si="103"/>
        <v>0.93698823300001677</v>
      </c>
      <c r="H321" s="126">
        <f t="shared" si="103"/>
        <v>0.91706689388149232</v>
      </c>
      <c r="I321" s="126">
        <f t="shared" si="103"/>
        <v>0.89963625566030747</v>
      </c>
      <c r="J321" s="126">
        <f t="shared" si="103"/>
        <v>0.79589940175408036</v>
      </c>
      <c r="K321" s="126">
        <f t="shared" si="103"/>
        <v>0.73329393581234648</v>
      </c>
      <c r="L321" s="126">
        <f t="shared" ca="1" si="103"/>
        <v>0.73563396945237669</v>
      </c>
      <c r="M321" s="126">
        <f t="shared" ca="1" si="103"/>
        <v>0.74563675380061634</v>
      </c>
      <c r="N321" s="126">
        <f t="shared" ca="1" si="103"/>
        <v>0.75426960869947179</v>
      </c>
      <c r="T321" s="126"/>
      <c r="U321" s="126">
        <f>+U319/U320</f>
        <v>0.93018342448718327</v>
      </c>
      <c r="V321" s="126">
        <f t="shared" ref="V321:AG321" si="104">+V319/V320</f>
        <v>0.94023488425931745</v>
      </c>
      <c r="W321" s="126">
        <f t="shared" si="104"/>
        <v>0.93252416436169716</v>
      </c>
      <c r="X321" s="126">
        <f t="shared" si="104"/>
        <v>0.92860733922909167</v>
      </c>
      <c r="Y321" s="126">
        <f t="shared" si="104"/>
        <v>0.91962862855882244</v>
      </c>
      <c r="Z321" s="126">
        <f t="shared" si="104"/>
        <v>0.91961325039882513</v>
      </c>
      <c r="AA321" s="126">
        <f t="shared" si="104"/>
        <v>0.90183782218299713</v>
      </c>
      <c r="AB321" s="126">
        <f t="shared" si="104"/>
        <v>0.90268247036805971</v>
      </c>
      <c r="AC321" s="126">
        <f t="shared" si="104"/>
        <v>0.90151281259648042</v>
      </c>
      <c r="AD321" s="126">
        <f t="shared" si="104"/>
        <v>0.89051951863809797</v>
      </c>
      <c r="AE321" s="126">
        <f t="shared" si="104"/>
        <v>0.90384084001105292</v>
      </c>
      <c r="AF321" s="126">
        <f t="shared" si="104"/>
        <v>0.90594329334787349</v>
      </c>
      <c r="AG321" s="126">
        <f t="shared" si="104"/>
        <v>0.91017316017316008</v>
      </c>
      <c r="AH321" s="126"/>
      <c r="AI321" s="126"/>
      <c r="AJ321" s="126"/>
      <c r="AK321" s="126"/>
      <c r="AL321" s="126"/>
      <c r="AM321" s="126"/>
      <c r="AN321" s="126"/>
      <c r="AO321" s="126"/>
      <c r="AP321" s="126"/>
      <c r="AQ321" s="126"/>
      <c r="AR321" s="126"/>
      <c r="AS321" s="126"/>
      <c r="AT321" s="126"/>
      <c r="AU321" s="126"/>
      <c r="AV321" s="126"/>
      <c r="AW321" s="126"/>
      <c r="AX321" s="126"/>
      <c r="AY321" s="126"/>
    </row>
    <row r="322" spans="2:51">
      <c r="B322" t="s">
        <v>36</v>
      </c>
      <c r="D322" s="126"/>
      <c r="E322" s="126"/>
      <c r="F322" s="126"/>
      <c r="G322" s="126">
        <f t="shared" ref="G322:N322" si="105">+G319/F319-1</f>
        <v>1.6818922770019951</v>
      </c>
      <c r="H322" s="126">
        <f t="shared" si="105"/>
        <v>9.4532021369493568E-2</v>
      </c>
      <c r="I322" s="126">
        <f t="shared" si="105"/>
        <v>0.17655874428782292</v>
      </c>
      <c r="J322" s="126">
        <f t="shared" si="105"/>
        <v>0.13070385345325519</v>
      </c>
      <c r="K322" s="126">
        <f t="shared" si="105"/>
        <v>0.17718747719477457</v>
      </c>
      <c r="L322" s="126">
        <f t="shared" ca="1" si="105"/>
        <v>0.18918262096200755</v>
      </c>
      <c r="M322" s="126">
        <f t="shared" ca="1" si="105"/>
        <v>4.5688825108185283E-2</v>
      </c>
      <c r="N322" s="126">
        <f t="shared" ca="1" si="105"/>
        <v>5.1946766651932874E-2</v>
      </c>
      <c r="T322" s="126"/>
      <c r="X322" s="126"/>
      <c r="Y322" s="126">
        <f t="shared" ref="Y322:AY322" si="106">+Y319/U319-1</f>
        <v>9.5224434923528056E-2</v>
      </c>
      <c r="Z322" s="126">
        <f t="shared" si="106"/>
        <v>7.2761943032339182E-2</v>
      </c>
      <c r="AA322" s="126">
        <f t="shared" si="106"/>
        <v>9.6362794724486278E-2</v>
      </c>
      <c r="AB322" s="126">
        <f t="shared" si="106"/>
        <v>0.16265092779213819</v>
      </c>
      <c r="AC322" s="126">
        <f t="shared" si="106"/>
        <v>0.1463784803157222</v>
      </c>
      <c r="AD322" s="126">
        <f t="shared" si="106"/>
        <v>0.17245760380370423</v>
      </c>
      <c r="AE322" s="126">
        <f t="shared" si="106"/>
        <v>0.22218221060228482</v>
      </c>
      <c r="AF322" s="126">
        <f t="shared" si="106"/>
        <v>0.14823773324118883</v>
      </c>
      <c r="AG322" s="126">
        <f t="shared" si="106"/>
        <v>0.15205479452054793</v>
      </c>
      <c r="AH322" s="126">
        <f t="shared" si="106"/>
        <v>0.14370468029004613</v>
      </c>
      <c r="AI322" s="126">
        <f t="shared" si="106"/>
        <v>8.4072149189850176E-2</v>
      </c>
      <c r="AJ322" s="126">
        <f t="shared" si="106"/>
        <v>7.5233222991272886E-2</v>
      </c>
      <c r="AK322" s="126">
        <f t="shared" si="106"/>
        <v>7.2235434007134502E-2</v>
      </c>
      <c r="AL322" s="126">
        <f t="shared" si="106"/>
        <v>0.24121037463976935</v>
      </c>
      <c r="AM322" s="126">
        <f t="shared" si="106"/>
        <v>0.30964467005076135</v>
      </c>
      <c r="AN322" s="126">
        <f t="shared" si="106"/>
        <v>0.32801567310383417</v>
      </c>
      <c r="AO322" s="126">
        <f t="shared" si="106"/>
        <v>0.31993346271139456</v>
      </c>
      <c r="AP322" s="126">
        <f t="shared" ca="1" si="106"/>
        <v>0.11581015457119714</v>
      </c>
      <c r="AQ322" s="126">
        <f t="shared" ca="1" si="106"/>
        <v>4.8861008397932615E-2</v>
      </c>
      <c r="AR322" s="126">
        <f t="shared" ca="1" si="106"/>
        <v>3.7893133265956003E-2</v>
      </c>
      <c r="AS322" s="126">
        <f t="shared" ca="1" si="106"/>
        <v>4.6596274477995747E-2</v>
      </c>
      <c r="AT322" s="126">
        <f t="shared" ca="1" si="106"/>
        <v>4.9574476471101692E-2</v>
      </c>
      <c r="AU322" s="126">
        <f t="shared" ca="1" si="106"/>
        <v>4.8562322776652289E-2</v>
      </c>
      <c r="AV322" s="126">
        <f t="shared" ca="1" si="106"/>
        <v>5.0371680636829952E-2</v>
      </c>
      <c r="AW322" s="126">
        <f t="shared" ca="1" si="106"/>
        <v>5.1628299069874872E-2</v>
      </c>
      <c r="AX322" s="126">
        <f t="shared" ca="1" si="106"/>
        <v>5.2518774279002756E-2</v>
      </c>
      <c r="AY322" s="126">
        <f t="shared" ca="1" si="106"/>
        <v>5.3211317420628124E-2</v>
      </c>
    </row>
    <row r="323" spans="2:51">
      <c r="B323" t="s">
        <v>37</v>
      </c>
      <c r="U323" s="126"/>
      <c r="V323" s="126">
        <f t="shared" ref="V323:AY323" si="107">+V319/U319-1</f>
        <v>3.7202055364866871E-2</v>
      </c>
      <c r="W323" s="126">
        <f t="shared" si="107"/>
        <v>1.1987681596837607E-2</v>
      </c>
      <c r="X323" s="126">
        <f t="shared" si="107"/>
        <v>1.966822851566663E-2</v>
      </c>
      <c r="Y323" s="126">
        <f t="shared" si="107"/>
        <v>2.3306286711624713E-2</v>
      </c>
      <c r="Z323" s="126">
        <f t="shared" si="107"/>
        <v>1.5929572743727638E-2</v>
      </c>
      <c r="AA323" s="126">
        <f t="shared" si="107"/>
        <v>3.4251494498454216E-2</v>
      </c>
      <c r="AB323" s="126">
        <f t="shared" si="107"/>
        <v>8.1319265509939287E-2</v>
      </c>
      <c r="AC323" s="126">
        <f t="shared" si="107"/>
        <v>8.9841050449206428E-3</v>
      </c>
      <c r="AD323" s="126">
        <f t="shared" si="107"/>
        <v>3.9041095890410826E-2</v>
      </c>
      <c r="AE323" s="126">
        <f t="shared" si="107"/>
        <v>7.8114700065919696E-2</v>
      </c>
      <c r="AF323" s="126">
        <f t="shared" si="107"/>
        <v>1.5897279119535312E-2</v>
      </c>
      <c r="AG323" s="126">
        <f t="shared" si="107"/>
        <v>1.2338248570568755E-2</v>
      </c>
      <c r="AH323" s="126">
        <f t="shared" si="107"/>
        <v>3.1510107015457756E-2</v>
      </c>
      <c r="AI323" s="126">
        <f t="shared" si="107"/>
        <v>2.1902017291066445E-2</v>
      </c>
      <c r="AJ323" s="126">
        <f t="shared" si="107"/>
        <v>7.6142131979695105E-3</v>
      </c>
      <c r="AK323" s="126">
        <f t="shared" si="107"/>
        <v>9.5158130422612341E-3</v>
      </c>
      <c r="AL323" s="126">
        <f t="shared" si="107"/>
        <v>0.19406709176601056</v>
      </c>
      <c r="AM323" s="126">
        <f t="shared" si="107"/>
        <v>7.8244717901091221E-2</v>
      </c>
      <c r="AN323" s="126">
        <f t="shared" si="107"/>
        <v>2.1748492678725251E-2</v>
      </c>
      <c r="AO323" s="126">
        <f t="shared" si="107"/>
        <v>3.3719704952581697E-3</v>
      </c>
      <c r="AP323" s="126">
        <f t="shared" ca="1" si="107"/>
        <v>9.4085981386569095E-3</v>
      </c>
      <c r="AQ323" s="126">
        <f t="shared" ca="1" si="107"/>
        <v>1.3549516003549922E-2</v>
      </c>
      <c r="AR323" s="126">
        <f t="shared" ca="1" si="107"/>
        <v>1.1064131458068838E-2</v>
      </c>
      <c r="AS323" s="126">
        <f t="shared" ca="1" si="107"/>
        <v>1.1785638210684679E-2</v>
      </c>
      <c r="AT323" s="126">
        <f t="shared" ca="1" si="107"/>
        <v>1.2280978608704363E-2</v>
      </c>
      <c r="AU323" s="126">
        <f t="shared" ca="1" si="107"/>
        <v>1.2572102861244883E-2</v>
      </c>
      <c r="AV323" s="126">
        <f t="shared" ca="1" si="107"/>
        <v>1.2808783915686295E-2</v>
      </c>
      <c r="AW323" s="126">
        <f t="shared" ca="1" si="107"/>
        <v>1.2996094001433978E-2</v>
      </c>
      <c r="AX323" s="126">
        <f t="shared" ca="1" si="107"/>
        <v>1.3138136139478229E-2</v>
      </c>
      <c r="AY323" s="126">
        <f t="shared" ca="1" si="107"/>
        <v>1.323836163246539E-2</v>
      </c>
    </row>
    <row r="357" spans="1:52" s="64" customFormat="1">
      <c r="A357" s="63" t="s">
        <v>40</v>
      </c>
      <c r="B357" s="63" t="s">
        <v>392</v>
      </c>
      <c r="C357" s="67"/>
      <c r="D357" s="67"/>
      <c r="E357" s="67"/>
      <c r="F357" s="67"/>
      <c r="G357" s="67"/>
      <c r="H357" s="67"/>
      <c r="I357" s="67"/>
      <c r="J357" s="67"/>
      <c r="K357" s="67"/>
      <c r="L357" s="67"/>
      <c r="M357" s="67"/>
      <c r="N357" s="67"/>
      <c r="O357" s="127"/>
      <c r="V357" s="71"/>
      <c r="Y357" s="71"/>
      <c r="Z357" s="75"/>
      <c r="AA357" s="75"/>
      <c r="AB357" s="75"/>
      <c r="AC357" s="75"/>
      <c r="AD357" s="75"/>
      <c r="AE357" s="75"/>
      <c r="AF357" s="75"/>
      <c r="AG357" s="75"/>
      <c r="AH357" s="75"/>
      <c r="AI357" s="75"/>
      <c r="AJ357" s="75"/>
      <c r="AK357" s="75"/>
      <c r="AL357" s="75"/>
      <c r="AM357" s="75"/>
      <c r="AN357" s="75"/>
      <c r="AO357" s="75"/>
      <c r="AP357" s="75"/>
      <c r="AQ357" s="75"/>
      <c r="AR357" s="75"/>
      <c r="AS357" s="75"/>
      <c r="AT357" s="75"/>
      <c r="AU357" s="75"/>
      <c r="AV357" s="75"/>
      <c r="AW357" s="75"/>
      <c r="AX357" s="75"/>
      <c r="AY357" s="75"/>
      <c r="AZ357" s="75"/>
    </row>
    <row r="358" spans="1:52">
      <c r="B358" t="s">
        <v>53</v>
      </c>
      <c r="E358" s="41"/>
      <c r="F358" s="41">
        <f>Rev!F82</f>
        <v>0</v>
      </c>
      <c r="G358" s="41">
        <f>Rev!G82</f>
        <v>0</v>
      </c>
      <c r="H358" s="41">
        <f>Rev!H82</f>
        <v>0</v>
      </c>
      <c r="I358" s="41">
        <f>Rev!I82</f>
        <v>0</v>
      </c>
      <c r="J358" s="41">
        <f>Rev!J82</f>
        <v>0</v>
      </c>
      <c r="K358" s="41">
        <f>Rev!K82</f>
        <v>722.1</v>
      </c>
      <c r="L358" s="41">
        <f ca="1">Rev!L82</f>
        <v>808.90814860736361</v>
      </c>
      <c r="M358" s="41">
        <f ca="1">Rev!M82</f>
        <v>889.56697589129101</v>
      </c>
      <c r="N358" s="41">
        <f ca="1">Rev!N82</f>
        <v>976.29295301973787</v>
      </c>
      <c r="T358" s="41"/>
      <c r="U358" s="41"/>
      <c r="V358" s="41"/>
      <c r="W358" s="41"/>
      <c r="X358" s="41"/>
      <c r="Y358" s="41">
        <f>Rev!Y82</f>
        <v>0</v>
      </c>
      <c r="Z358" s="41">
        <f>Rev!Z82</f>
        <v>0</v>
      </c>
      <c r="AA358" s="41">
        <f>Rev!AA82</f>
        <v>0</v>
      </c>
      <c r="AB358" s="41">
        <f>Rev!AB82</f>
        <v>0</v>
      </c>
      <c r="AC358" s="41">
        <f>Rev!AC82</f>
        <v>0</v>
      </c>
      <c r="AD358" s="41">
        <f>Rev!AD82</f>
        <v>0</v>
      </c>
      <c r="AE358" s="41">
        <f>Rev!AE82</f>
        <v>0</v>
      </c>
      <c r="AF358" s="41">
        <f>Rev!AF82</f>
        <v>0</v>
      </c>
      <c r="AG358" s="41">
        <f>Rev!AG82</f>
        <v>0</v>
      </c>
      <c r="AH358" s="41">
        <f>Rev!AH82</f>
        <v>0</v>
      </c>
      <c r="AI358" s="41">
        <f>Rev!AI82</f>
        <v>172.2</v>
      </c>
      <c r="AJ358" s="41">
        <f>Rev!AJ82</f>
        <v>174.1</v>
      </c>
      <c r="AK358" s="41">
        <f>Rev!AK82</f>
        <v>177.5</v>
      </c>
      <c r="AL358" s="41">
        <f>Rev!AL82</f>
        <v>179.6</v>
      </c>
      <c r="AM358" s="41">
        <f>Rev!AM82</f>
        <v>190.9</v>
      </c>
      <c r="AN358" s="41">
        <f>Rev!AN82</f>
        <v>195.5</v>
      </c>
      <c r="AO358" s="41">
        <f>Rev!AO82</f>
        <v>200.5</v>
      </c>
      <c r="AP358" s="41">
        <f ca="1">Rev!AP82</f>
        <v>203.14489823122202</v>
      </c>
      <c r="AQ358" s="41">
        <f ca="1">Rev!AQ82</f>
        <v>209.7632503761416</v>
      </c>
      <c r="AR358" s="41">
        <f ca="1">Rev!AR82</f>
        <v>214.68740416370065</v>
      </c>
      <c r="AS358" s="41">
        <f ca="1">Rev!AS82</f>
        <v>219.73995293510205</v>
      </c>
      <c r="AT358" s="41">
        <f ca="1">Rev!AT82</f>
        <v>224.9186169319654</v>
      </c>
      <c r="AU358" s="41">
        <f ca="1">Rev!AU82</f>
        <v>230.22100186052299</v>
      </c>
      <c r="AV358" s="41">
        <f ca="1">Rev!AV82</f>
        <v>235.64461009732483</v>
      </c>
      <c r="AW358" s="41">
        <f ca="1">Rev!AW82</f>
        <v>241.18685043694808</v>
      </c>
      <c r="AX358" s="41">
        <f ca="1">Rev!AX82</f>
        <v>246.84504673989963</v>
      </c>
      <c r="AY358" s="41">
        <f ca="1">Rev!AY82</f>
        <v>252.61644574556533</v>
      </c>
    </row>
    <row r="359" spans="1:52">
      <c r="B359" t="s">
        <v>271</v>
      </c>
      <c r="E359" s="126"/>
      <c r="F359" s="126"/>
      <c r="G359" s="126"/>
      <c r="H359" s="126" t="e">
        <f t="shared" ref="H359:N359" si="108">+H358/G358-1</f>
        <v>#DIV/0!</v>
      </c>
      <c r="I359" s="126" t="e">
        <f t="shared" si="108"/>
        <v>#DIV/0!</v>
      </c>
      <c r="J359" s="126" t="e">
        <f t="shared" si="108"/>
        <v>#DIV/0!</v>
      </c>
      <c r="K359" s="126" t="e">
        <f t="shared" si="108"/>
        <v>#DIV/0!</v>
      </c>
      <c r="L359" s="126">
        <f t="shared" ca="1" si="108"/>
        <v>0.1202162423589026</v>
      </c>
      <c r="M359" s="126">
        <f t="shared" ca="1" si="108"/>
        <v>9.9713209000047431E-2</v>
      </c>
      <c r="N359" s="126">
        <f t="shared" ca="1" si="108"/>
        <v>9.7492352435355256E-2</v>
      </c>
      <c r="T359" s="126"/>
      <c r="X359" s="126"/>
      <c r="Y359" s="126"/>
      <c r="Z359" s="126"/>
      <c r="AA359" s="126"/>
      <c r="AB359" s="126"/>
      <c r="AC359" s="126"/>
      <c r="AD359" s="126"/>
      <c r="AE359" s="126"/>
      <c r="AF359" s="126"/>
      <c r="AG359" s="126"/>
      <c r="AH359" s="126"/>
      <c r="AI359" s="126"/>
      <c r="AJ359" s="126"/>
      <c r="AK359" s="126"/>
      <c r="AL359" s="126"/>
      <c r="AM359" s="126">
        <f t="shared" ref="AM359:AY359" si="109">+AM358/AI358-1</f>
        <v>0.10859465737514529</v>
      </c>
      <c r="AN359" s="126">
        <f t="shared" si="109"/>
        <v>0.12291786329695586</v>
      </c>
      <c r="AO359" s="126">
        <f t="shared" si="109"/>
        <v>0.12957746478873244</v>
      </c>
      <c r="AP359" s="126">
        <f t="shared" ca="1" si="109"/>
        <v>0.13109631531860821</v>
      </c>
      <c r="AQ359" s="126">
        <f t="shared" ca="1" si="109"/>
        <v>9.8812207313470957E-2</v>
      </c>
      <c r="AR359" s="126">
        <f t="shared" ca="1" si="109"/>
        <v>9.8145289839901118E-2</v>
      </c>
      <c r="AS359" s="126">
        <f t="shared" ca="1" si="109"/>
        <v>9.5959865012977819E-2</v>
      </c>
      <c r="AT359" s="126">
        <f t="shared" ca="1" si="109"/>
        <v>0.10718319234362594</v>
      </c>
      <c r="AU359" s="126">
        <f t="shared" ca="1" si="109"/>
        <v>9.7527815037653731E-2</v>
      </c>
      <c r="AV359" s="126">
        <f t="shared" ca="1" si="109"/>
        <v>9.7617305566954249E-2</v>
      </c>
      <c r="AW359" s="126">
        <f t="shared" ca="1" si="109"/>
        <v>9.7601265565848916E-2</v>
      </c>
      <c r="AX359" s="126">
        <f t="shared" ca="1" si="109"/>
        <v>9.7486060100425709E-2</v>
      </c>
      <c r="AY359" s="126">
        <f t="shared" ca="1" si="109"/>
        <v>9.7278022873909631E-2</v>
      </c>
    </row>
    <row r="360" spans="1:52">
      <c r="B360" t="s">
        <v>37</v>
      </c>
      <c r="U360" s="126"/>
      <c r="V360" s="126"/>
      <c r="W360" s="126"/>
      <c r="X360" s="126"/>
      <c r="Y360" s="126"/>
      <c r="Z360" s="126" t="e">
        <f t="shared" ref="Z360:AY360" si="110">+Z358/Y358-1</f>
        <v>#DIV/0!</v>
      </c>
      <c r="AA360" s="126" t="e">
        <f t="shared" si="110"/>
        <v>#DIV/0!</v>
      </c>
      <c r="AB360" s="126" t="e">
        <f t="shared" si="110"/>
        <v>#DIV/0!</v>
      </c>
      <c r="AC360" s="126" t="e">
        <f t="shared" si="110"/>
        <v>#DIV/0!</v>
      </c>
      <c r="AD360" s="126" t="e">
        <f t="shared" si="110"/>
        <v>#DIV/0!</v>
      </c>
      <c r="AE360" s="126" t="e">
        <f t="shared" si="110"/>
        <v>#DIV/0!</v>
      </c>
      <c r="AF360" s="126" t="e">
        <f t="shared" si="110"/>
        <v>#DIV/0!</v>
      </c>
      <c r="AG360" s="126" t="e">
        <f t="shared" si="110"/>
        <v>#DIV/0!</v>
      </c>
      <c r="AH360" s="126" t="e">
        <f t="shared" si="110"/>
        <v>#DIV/0!</v>
      </c>
      <c r="AI360" s="126" t="e">
        <f t="shared" si="110"/>
        <v>#DIV/0!</v>
      </c>
      <c r="AJ360" s="126">
        <f t="shared" si="110"/>
        <v>1.1033681765389103E-2</v>
      </c>
      <c r="AK360" s="126">
        <f t="shared" si="110"/>
        <v>1.9529006318207864E-2</v>
      </c>
      <c r="AL360" s="126">
        <f t="shared" si="110"/>
        <v>1.1830985915493031E-2</v>
      </c>
      <c r="AM360" s="126">
        <f t="shared" si="110"/>
        <v>6.2917594654788411E-2</v>
      </c>
      <c r="AN360" s="126">
        <f t="shared" si="110"/>
        <v>2.4096385542168752E-2</v>
      </c>
      <c r="AO360" s="126">
        <f t="shared" si="110"/>
        <v>2.5575447570332477E-2</v>
      </c>
      <c r="AP360" s="126">
        <f t="shared" ca="1" si="110"/>
        <v>1.3191512375172243E-2</v>
      </c>
      <c r="AQ360" s="126">
        <f t="shared" ca="1" si="110"/>
        <v>3.2579465212001057E-2</v>
      </c>
      <c r="AR360" s="126">
        <f t="shared" ca="1" si="110"/>
        <v>2.347481638813842E-2</v>
      </c>
      <c r="AS360" s="126">
        <f t="shared" ca="1" si="110"/>
        <v>2.3534444375454822E-2</v>
      </c>
      <c r="AT360" s="126">
        <f t="shared" ca="1" si="110"/>
        <v>2.3567239037285193E-2</v>
      </c>
      <c r="AU360" s="126">
        <f t="shared" ca="1" si="110"/>
        <v>2.3574682260123714E-2</v>
      </c>
      <c r="AV360" s="126">
        <f t="shared" ca="1" si="110"/>
        <v>2.3558268763367085E-2</v>
      </c>
      <c r="AW360" s="126">
        <f t="shared" ca="1" si="110"/>
        <v>2.3519486982257698E-2</v>
      </c>
      <c r="AX360" s="126">
        <f t="shared" ca="1" si="110"/>
        <v>2.3459804266695361E-2</v>
      </c>
      <c r="AY360" s="126">
        <f t="shared" ca="1" si="110"/>
        <v>2.3380655524139371E-2</v>
      </c>
    </row>
    <row r="361" spans="1:52">
      <c r="B361" t="s">
        <v>270</v>
      </c>
      <c r="E361" s="126"/>
      <c r="F361" s="126">
        <f t="shared" ref="F361:N361" si="111">+F358/F6</f>
        <v>0</v>
      </c>
      <c r="G361" s="126">
        <f t="shared" si="111"/>
        <v>0</v>
      </c>
      <c r="H361" s="126">
        <f t="shared" si="111"/>
        <v>0</v>
      </c>
      <c r="I361" s="126">
        <f t="shared" si="111"/>
        <v>0</v>
      </c>
      <c r="J361" s="126">
        <f t="shared" si="111"/>
        <v>0</v>
      </c>
      <c r="K361" s="126">
        <f t="shared" si="111"/>
        <v>0.32825711428311666</v>
      </c>
      <c r="L361" s="126">
        <f t="shared" ca="1" si="111"/>
        <v>0.31020667662065649</v>
      </c>
      <c r="M361" s="126">
        <f t="shared" ca="1" si="111"/>
        <v>0.33066912573639246</v>
      </c>
      <c r="N361" s="126">
        <f t="shared" ca="1" si="111"/>
        <v>0.34898012109619031</v>
      </c>
      <c r="T361" s="126"/>
      <c r="U361" s="126"/>
      <c r="V361" s="126"/>
      <c r="W361" s="126"/>
      <c r="X361" s="126"/>
      <c r="Y361" s="126">
        <f t="shared" ref="Y361:AY361" si="112">+Y358/Y6</f>
        <v>0</v>
      </c>
      <c r="Z361" s="126">
        <f t="shared" si="112"/>
        <v>0</v>
      </c>
      <c r="AA361" s="126">
        <f t="shared" si="112"/>
        <v>0</v>
      </c>
      <c r="AB361" s="126">
        <f t="shared" si="112"/>
        <v>0</v>
      </c>
      <c r="AC361" s="126">
        <f t="shared" si="112"/>
        <v>0</v>
      </c>
      <c r="AD361" s="126">
        <f t="shared" si="112"/>
        <v>0</v>
      </c>
      <c r="AE361" s="126">
        <f t="shared" si="112"/>
        <v>0</v>
      </c>
      <c r="AF361" s="126">
        <f t="shared" si="112"/>
        <v>0</v>
      </c>
      <c r="AG361" s="126">
        <f t="shared" si="112"/>
        <v>0</v>
      </c>
      <c r="AH361" s="126">
        <f t="shared" si="112"/>
        <v>0</v>
      </c>
      <c r="AI361" s="126">
        <f t="shared" si="112"/>
        <v>0.33944411590774687</v>
      </c>
      <c r="AJ361" s="126">
        <f t="shared" si="112"/>
        <v>0.34482075658546246</v>
      </c>
      <c r="AK361" s="126">
        <f t="shared" si="112"/>
        <v>0.35030590092757058</v>
      </c>
      <c r="AL361" s="126">
        <f t="shared" si="112"/>
        <v>0.3264267539076699</v>
      </c>
      <c r="AM361" s="126">
        <f t="shared" si="112"/>
        <v>0.29921630094043888</v>
      </c>
      <c r="AN361" s="126">
        <f t="shared" si="112"/>
        <v>0.30380730380730381</v>
      </c>
      <c r="AO361" s="126">
        <f t="shared" si="112"/>
        <v>0.30680948737566949</v>
      </c>
      <c r="AP361" s="126">
        <f t="shared" ca="1" si="112"/>
        <v>0.31118781125649259</v>
      </c>
      <c r="AQ361" s="126">
        <f t="shared" ca="1" si="112"/>
        <v>0.31886773273961416</v>
      </c>
      <c r="AR361" s="126">
        <f t="shared" ca="1" si="112"/>
        <v>0.3236497907119677</v>
      </c>
      <c r="AS361" s="126">
        <f t="shared" ca="1" si="112"/>
        <v>0.3283289611348626</v>
      </c>
      <c r="AT361" s="126">
        <f t="shared" ca="1" si="112"/>
        <v>0.33294537133116514</v>
      </c>
      <c r="AU361" s="126">
        <f t="shared" ca="1" si="112"/>
        <v>0.33753750363307072</v>
      </c>
      <c r="AV361" s="126">
        <f t="shared" ca="1" si="112"/>
        <v>0.34210850716647756</v>
      </c>
      <c r="AW361" s="126">
        <f t="shared" ca="1" si="112"/>
        <v>0.34666116728766805</v>
      </c>
      <c r="AX361" s="126">
        <f t="shared" ca="1" si="112"/>
        <v>0.3511980910937253</v>
      </c>
      <c r="AY361" s="126">
        <f t="shared" ca="1" si="112"/>
        <v>0.35572182565437854</v>
      </c>
    </row>
    <row r="362" spans="1:52">
      <c r="U362" s="126"/>
      <c r="V362" s="126"/>
      <c r="W362" s="126"/>
      <c r="X362" s="126"/>
      <c r="Y362" s="126"/>
      <c r="Z362" s="126"/>
      <c r="AA362" s="126"/>
      <c r="AB362" s="126"/>
      <c r="AC362" s="126"/>
      <c r="AD362" s="126"/>
      <c r="AE362" s="126"/>
      <c r="AF362" s="126"/>
      <c r="AG362" s="126"/>
      <c r="AH362" s="126"/>
      <c r="AI362" s="126"/>
      <c r="AJ362" s="126"/>
      <c r="AK362" s="126"/>
      <c r="AL362" s="126"/>
      <c r="AM362" s="126"/>
      <c r="AN362" s="126"/>
      <c r="AO362" s="126"/>
      <c r="AP362" s="126"/>
      <c r="AQ362" s="126"/>
      <c r="AR362" s="126"/>
      <c r="AS362" s="126"/>
      <c r="AT362" s="126"/>
      <c r="AU362" s="126"/>
      <c r="AV362" s="126"/>
      <c r="AW362" s="126"/>
      <c r="AX362" s="126"/>
      <c r="AY362" s="126"/>
    </row>
    <row r="363" spans="1:52">
      <c r="B363" t="s">
        <v>268</v>
      </c>
      <c r="E363" s="41"/>
      <c r="F363" s="41">
        <f>Rev!F51</f>
        <v>0</v>
      </c>
      <c r="G363" s="41">
        <f>Rev!G51</f>
        <v>0</v>
      </c>
      <c r="H363" s="41">
        <f>Rev!H51</f>
        <v>0</v>
      </c>
      <c r="I363" s="41">
        <f>Rev!I51</f>
        <v>0</v>
      </c>
      <c r="J363" s="41">
        <f>Rev!J51</f>
        <v>0</v>
      </c>
      <c r="K363" s="41">
        <f>Rev!K51</f>
        <v>620.20000000000005</v>
      </c>
      <c r="L363" s="41">
        <f ca="1">Rev!L51</f>
        <v>683.5918146985116</v>
      </c>
      <c r="M363" s="41">
        <f ca="1">Rev!M51</f>
        <v>754.52085019203423</v>
      </c>
      <c r="N363" s="41">
        <f ca="1">Rev!N51</f>
        <v>829.25706089719347</v>
      </c>
      <c r="T363" s="41"/>
      <c r="U363" s="41"/>
      <c r="V363" s="41"/>
      <c r="W363" s="41"/>
      <c r="X363" s="41"/>
      <c r="Y363" s="41">
        <f>Rev!Y51</f>
        <v>0</v>
      </c>
      <c r="Z363" s="41">
        <f>Rev!Z51</f>
        <v>0</v>
      </c>
      <c r="AA363" s="41">
        <f>Rev!AA51</f>
        <v>0</v>
      </c>
      <c r="AB363" s="41">
        <f>Rev!AB51</f>
        <v>0</v>
      </c>
      <c r="AC363" s="41">
        <f>Rev!AC51</f>
        <v>0</v>
      </c>
      <c r="AD363" s="41">
        <f>Rev!AD51</f>
        <v>0</v>
      </c>
      <c r="AE363" s="41">
        <f>Rev!AE51</f>
        <v>0</v>
      </c>
      <c r="AF363" s="41">
        <f>Rev!AF51</f>
        <v>0</v>
      </c>
      <c r="AG363" s="41">
        <f>Rev!AG51</f>
        <v>0</v>
      </c>
      <c r="AH363" s="41">
        <f>Rev!AH51</f>
        <v>0</v>
      </c>
      <c r="AI363" s="41">
        <f>Rev!AI51</f>
        <v>149.5</v>
      </c>
      <c r="AJ363" s="41">
        <f>Rev!AJ51</f>
        <v>150.9</v>
      </c>
      <c r="AK363" s="41">
        <f>Rev!AK51</f>
        <v>151.80000000000001</v>
      </c>
      <c r="AL363" s="41">
        <f>Rev!AL51</f>
        <v>155.4</v>
      </c>
      <c r="AM363" s="41">
        <f>Rev!AM51</f>
        <v>162.1</v>
      </c>
      <c r="AN363" s="41">
        <f>Rev!AN51</f>
        <v>165.5</v>
      </c>
      <c r="AO363" s="41">
        <f>Rev!AO51</f>
        <v>168.3</v>
      </c>
      <c r="AP363" s="41">
        <f ca="1">Rev!AP51</f>
        <v>172.0442210563987</v>
      </c>
      <c r="AQ363" s="41">
        <f ca="1">Rev!AQ51</f>
        <v>177.7475936421128</v>
      </c>
      <c r="AR363" s="41">
        <f ca="1">Rev!AR51</f>
        <v>181.99098884153005</v>
      </c>
      <c r="AS363" s="41">
        <f ca="1">Rev!AS51</f>
        <v>186.34502856619395</v>
      </c>
      <c r="AT363" s="41">
        <f ca="1">Rev!AT51</f>
        <v>190.80774823169369</v>
      </c>
      <c r="AU363" s="41">
        <f ca="1">Rev!AU51</f>
        <v>195.37708455261659</v>
      </c>
      <c r="AV363" s="41">
        <f ca="1">Rev!AV51</f>
        <v>200.05088519907716</v>
      </c>
      <c r="AW363" s="41">
        <f ca="1">Rev!AW51</f>
        <v>204.82691719681702</v>
      </c>
      <c r="AX363" s="41">
        <f ca="1">Rev!AX51</f>
        <v>209.70287437954485</v>
      </c>
      <c r="AY363" s="41">
        <f ca="1">Rev!AY51</f>
        <v>214.67638412175447</v>
      </c>
    </row>
    <row r="364" spans="1:52">
      <c r="B364" t="s">
        <v>132</v>
      </c>
      <c r="E364" s="18"/>
      <c r="F364" s="18">
        <f>+F358-F363</f>
        <v>0</v>
      </c>
      <c r="G364" s="18">
        <f>+G358-G363</f>
        <v>0</v>
      </c>
      <c r="H364" s="18">
        <f>+H358-H363</f>
        <v>0</v>
      </c>
      <c r="I364" s="18">
        <f t="shared" ref="I364:N364" si="113">+I358-I363</f>
        <v>0</v>
      </c>
      <c r="J364" s="18">
        <f t="shared" si="113"/>
        <v>0</v>
      </c>
      <c r="K364" s="18">
        <f t="shared" si="113"/>
        <v>101.89999999999998</v>
      </c>
      <c r="L364" s="18">
        <f t="shared" ca="1" si="113"/>
        <v>125.31633390885202</v>
      </c>
      <c r="M364" s="18">
        <f t="shared" ca="1" si="113"/>
        <v>135.04612569925678</v>
      </c>
      <c r="N364" s="18">
        <f t="shared" ca="1" si="113"/>
        <v>147.0358921225444</v>
      </c>
      <c r="T364" s="41"/>
      <c r="U364" s="41"/>
      <c r="V364" s="41"/>
      <c r="W364" s="41"/>
      <c r="X364" s="41"/>
      <c r="Y364" s="41"/>
      <c r="Z364" s="41"/>
      <c r="AA364" s="41"/>
      <c r="AB364" s="41"/>
      <c r="AC364" s="41"/>
      <c r="AD364" s="41"/>
      <c r="AE364" s="41"/>
      <c r="AF364" s="41"/>
      <c r="AG364" s="41"/>
      <c r="AH364" s="41"/>
      <c r="AI364" s="41"/>
      <c r="AJ364" s="41"/>
      <c r="AK364" s="41"/>
      <c r="AL364" s="41"/>
      <c r="AM364" s="41"/>
      <c r="AN364" s="41"/>
      <c r="AO364" s="41"/>
      <c r="AP364" s="41"/>
      <c r="AQ364" s="41"/>
      <c r="AR364" s="41"/>
      <c r="AS364" s="41"/>
      <c r="AT364" s="41"/>
      <c r="AU364" s="41"/>
      <c r="AV364" s="41"/>
      <c r="AW364" s="41"/>
      <c r="AX364" s="41"/>
      <c r="AY364" s="41"/>
    </row>
    <row r="365" spans="1:52">
      <c r="E365" s="18"/>
      <c r="F365" s="18"/>
      <c r="G365" s="18"/>
      <c r="H365" s="18"/>
      <c r="I365" s="18"/>
      <c r="J365" s="18"/>
      <c r="K365" s="18"/>
      <c r="L365" s="18"/>
      <c r="M365" s="18"/>
      <c r="N365" s="18"/>
      <c r="T365" s="41"/>
      <c r="U365" s="41"/>
      <c r="V365" s="41"/>
      <c r="W365" s="41"/>
      <c r="X365" s="41"/>
      <c r="Y365" s="41"/>
      <c r="Z365" s="41"/>
      <c r="AA365" s="41"/>
      <c r="AB365" s="41"/>
      <c r="AC365" s="41"/>
      <c r="AD365" s="41"/>
      <c r="AE365" s="41"/>
      <c r="AF365" s="41"/>
      <c r="AG365" s="41"/>
      <c r="AH365" s="41"/>
      <c r="AI365" s="41"/>
      <c r="AJ365" s="41"/>
      <c r="AK365" s="41"/>
      <c r="AL365" s="41"/>
      <c r="AM365" s="41"/>
      <c r="AN365" s="41"/>
      <c r="AO365" s="41"/>
      <c r="AP365" s="41"/>
      <c r="AQ365" s="41"/>
      <c r="AR365" s="41"/>
      <c r="AS365" s="41"/>
      <c r="AT365" s="41"/>
      <c r="AU365" s="41"/>
      <c r="AV365" s="41"/>
      <c r="AW365" s="41"/>
      <c r="AX365" s="41"/>
      <c r="AY365" s="41"/>
    </row>
    <row r="366" spans="1:52" s="15" customFormat="1">
      <c r="B366" s="15" t="s">
        <v>69</v>
      </c>
      <c r="E366" s="41"/>
      <c r="F366" s="41">
        <f>IS!F91</f>
        <v>0</v>
      </c>
      <c r="G366" s="41">
        <f>IS!G91</f>
        <v>0</v>
      </c>
      <c r="H366" s="41">
        <f>IS!H91</f>
        <v>0</v>
      </c>
      <c r="I366" s="41">
        <f>IS!I91</f>
        <v>0</v>
      </c>
      <c r="J366" s="41">
        <f>IS!J91</f>
        <v>0</v>
      </c>
      <c r="K366" s="41">
        <f>IS!K91</f>
        <v>0</v>
      </c>
      <c r="L366" s="41">
        <f>IS!L91</f>
        <v>0</v>
      </c>
      <c r="M366" s="41">
        <f ca="1">IS!M91</f>
        <v>714.3156265261739</v>
      </c>
      <c r="N366" s="41">
        <f ca="1">IS!N91</f>
        <v>783.95593733754515</v>
      </c>
      <c r="T366" s="41"/>
      <c r="U366" s="41"/>
      <c r="V366" s="41"/>
      <c r="W366" s="41"/>
      <c r="X366" s="41"/>
      <c r="Y366" s="41">
        <f>IS!Y91</f>
        <v>0</v>
      </c>
      <c r="Z366" s="41">
        <f>IS!Z91</f>
        <v>0</v>
      </c>
      <c r="AA366" s="41">
        <f>IS!AA91</f>
        <v>0</v>
      </c>
      <c r="AB366" s="41">
        <f>IS!AB91</f>
        <v>0</v>
      </c>
      <c r="AC366" s="41">
        <f>IS!AC91</f>
        <v>0</v>
      </c>
      <c r="AD366" s="41">
        <f>IS!AD91</f>
        <v>0</v>
      </c>
      <c r="AE366" s="41">
        <f>IS!AE91</f>
        <v>0</v>
      </c>
      <c r="AF366" s="41">
        <f>IS!AF91</f>
        <v>0</v>
      </c>
      <c r="AG366" s="41">
        <f>IS!AG91</f>
        <v>0</v>
      </c>
      <c r="AH366" s="41">
        <f>IS!AH91</f>
        <v>0</v>
      </c>
      <c r="AI366" s="41">
        <f>IS!AI91</f>
        <v>0</v>
      </c>
      <c r="AJ366" s="41">
        <f>IS!AJ91</f>
        <v>0</v>
      </c>
      <c r="AK366" s="41">
        <f>IS!AK91</f>
        <v>0</v>
      </c>
      <c r="AL366" s="41">
        <f>IS!AL91</f>
        <v>137.6</v>
      </c>
      <c r="AM366" s="41">
        <f>IS!AM91</f>
        <v>149.5</v>
      </c>
      <c r="AN366" s="41">
        <f>IS!AN91</f>
        <v>154.19999999999999</v>
      </c>
      <c r="AO366" s="41">
        <f>IS!AO91</f>
        <v>161</v>
      </c>
      <c r="AP366" s="41">
        <f ca="1">IS!AP91</f>
        <v>163.1238334924027</v>
      </c>
      <c r="AQ366" s="41">
        <f ca="1">IS!AQ91</f>
        <v>168.43832075091669</v>
      </c>
      <c r="AR366" s="41">
        <f ca="1">IS!AR91</f>
        <v>172.39237940327084</v>
      </c>
      <c r="AS366" s="41">
        <f ca="1">IS!AS91</f>
        <v>176.44953826708942</v>
      </c>
      <c r="AT366" s="41">
        <f ca="1">IS!AT91</f>
        <v>180.60796671344852</v>
      </c>
      <c r="AU366" s="41">
        <f ca="1">IS!AU91</f>
        <v>184.86574214236509</v>
      </c>
      <c r="AV366" s="41">
        <f ca="1">IS!AV91</f>
        <v>189.22085898089423</v>
      </c>
      <c r="AW366" s="41">
        <f ca="1">IS!AW91</f>
        <v>193.67123651046703</v>
      </c>
      <c r="AX366" s="41">
        <f ca="1">IS!AX91</f>
        <v>198.21472581109145</v>
      </c>
      <c r="AY366" s="41">
        <f ca="1">IS!AY91</f>
        <v>202.84911603509235</v>
      </c>
    </row>
    <row r="367" spans="1:52" s="15" customFormat="1">
      <c r="B367" s="80" t="s">
        <v>203</v>
      </c>
      <c r="E367" s="126"/>
      <c r="F367" s="126" t="e">
        <f>+F366/F358</f>
        <v>#DIV/0!</v>
      </c>
      <c r="G367" s="126" t="e">
        <f>+G366/G358</f>
        <v>#DIV/0!</v>
      </c>
      <c r="H367" s="126" t="e">
        <f>+H366/H358</f>
        <v>#DIV/0!</v>
      </c>
      <c r="I367" s="126" t="e">
        <f t="shared" ref="I367:N367" si="114">+I366/I358</f>
        <v>#DIV/0!</v>
      </c>
      <c r="J367" s="126" t="e">
        <f t="shared" si="114"/>
        <v>#DIV/0!</v>
      </c>
      <c r="K367" s="126">
        <f t="shared" si="114"/>
        <v>0</v>
      </c>
      <c r="L367" s="126">
        <f t="shared" ca="1" si="114"/>
        <v>0</v>
      </c>
      <c r="M367" s="126">
        <f t="shared" ca="1" si="114"/>
        <v>0.80299251870324195</v>
      </c>
      <c r="N367" s="126">
        <f t="shared" ca="1" si="114"/>
        <v>0.80299251870324195</v>
      </c>
      <c r="T367" s="126"/>
      <c r="U367" s="126"/>
      <c r="V367" s="126"/>
      <c r="W367" s="126"/>
      <c r="X367" s="126"/>
      <c r="Y367" s="126" t="e">
        <f t="shared" ref="Y367:AY367" si="115">+Y366/Y358</f>
        <v>#DIV/0!</v>
      </c>
      <c r="Z367" s="126" t="e">
        <f t="shared" si="115"/>
        <v>#DIV/0!</v>
      </c>
      <c r="AA367" s="126" t="e">
        <f t="shared" si="115"/>
        <v>#DIV/0!</v>
      </c>
      <c r="AB367" s="126" t="e">
        <f t="shared" si="115"/>
        <v>#DIV/0!</v>
      </c>
      <c r="AC367" s="126" t="e">
        <f t="shared" si="115"/>
        <v>#DIV/0!</v>
      </c>
      <c r="AD367" s="126" t="e">
        <f t="shared" si="115"/>
        <v>#DIV/0!</v>
      </c>
      <c r="AE367" s="126" t="e">
        <f t="shared" si="115"/>
        <v>#DIV/0!</v>
      </c>
      <c r="AF367" s="126" t="e">
        <f t="shared" si="115"/>
        <v>#DIV/0!</v>
      </c>
      <c r="AG367" s="126" t="e">
        <f t="shared" si="115"/>
        <v>#DIV/0!</v>
      </c>
      <c r="AH367" s="126" t="e">
        <f t="shared" si="115"/>
        <v>#DIV/0!</v>
      </c>
      <c r="AI367" s="126">
        <f t="shared" si="115"/>
        <v>0</v>
      </c>
      <c r="AJ367" s="126">
        <f t="shared" si="115"/>
        <v>0</v>
      </c>
      <c r="AK367" s="126">
        <f t="shared" si="115"/>
        <v>0</v>
      </c>
      <c r="AL367" s="126">
        <f t="shared" si="115"/>
        <v>0.76614699331848557</v>
      </c>
      <c r="AM367" s="126">
        <f t="shared" si="115"/>
        <v>0.7831325301204819</v>
      </c>
      <c r="AN367" s="126">
        <f t="shared" si="115"/>
        <v>0.78874680306905365</v>
      </c>
      <c r="AO367" s="126">
        <f t="shared" si="115"/>
        <v>0.80299251870324184</v>
      </c>
      <c r="AP367" s="126">
        <f t="shared" ca="1" si="115"/>
        <v>0.80299251870324184</v>
      </c>
      <c r="AQ367" s="126">
        <f t="shared" ca="1" si="115"/>
        <v>0.80299251870324184</v>
      </c>
      <c r="AR367" s="126">
        <f t="shared" ca="1" si="115"/>
        <v>0.80299251870324184</v>
      </c>
      <c r="AS367" s="126">
        <f t="shared" ca="1" si="115"/>
        <v>0.80299251870324184</v>
      </c>
      <c r="AT367" s="126">
        <f t="shared" ca="1" si="115"/>
        <v>0.80299251870324184</v>
      </c>
      <c r="AU367" s="126">
        <f t="shared" ca="1" si="115"/>
        <v>0.80299251870324184</v>
      </c>
      <c r="AV367" s="126">
        <f t="shared" ca="1" si="115"/>
        <v>0.80299251870324184</v>
      </c>
      <c r="AW367" s="126">
        <f t="shared" ca="1" si="115"/>
        <v>0.80299251870324184</v>
      </c>
      <c r="AX367" s="126">
        <f t="shared" ca="1" si="115"/>
        <v>0.80299251870324184</v>
      </c>
      <c r="AY367" s="126">
        <f t="shared" ca="1" si="115"/>
        <v>0.80299251870324184</v>
      </c>
    </row>
    <row r="368" spans="1:52" s="15" customFormat="1">
      <c r="G368" s="41"/>
      <c r="H368" s="41"/>
      <c r="I368" s="41"/>
      <c r="J368" s="41"/>
      <c r="K368" s="41"/>
      <c r="L368" s="41"/>
      <c r="M368" s="41"/>
      <c r="N368" s="41"/>
      <c r="T368" s="82"/>
      <c r="U368" s="82"/>
      <c r="V368" s="82"/>
      <c r="W368" s="82"/>
      <c r="X368" s="82"/>
      <c r="Y368" s="82"/>
      <c r="Z368" s="82"/>
      <c r="AA368" s="82"/>
      <c r="AB368" s="82"/>
      <c r="AC368" s="82"/>
      <c r="AD368" s="82"/>
      <c r="AE368" s="82"/>
      <c r="AF368" s="82"/>
      <c r="AG368" s="82"/>
      <c r="AH368" s="82"/>
      <c r="AI368" s="82"/>
      <c r="AJ368" s="82"/>
      <c r="AK368" s="82"/>
      <c r="AL368" s="82"/>
      <c r="AM368" s="82"/>
      <c r="AN368" s="82"/>
      <c r="AO368" s="82"/>
      <c r="AP368" s="82"/>
      <c r="AQ368" s="82"/>
      <c r="AR368" s="82"/>
      <c r="AS368" s="82"/>
      <c r="AT368" s="82"/>
      <c r="AU368" s="82"/>
      <c r="AV368" s="82"/>
      <c r="AW368" s="82"/>
      <c r="AX368" s="82"/>
      <c r="AY368" s="82"/>
    </row>
    <row r="369" s="15" customFormat="1"/>
    <row r="418" spans="1:52" s="64" customFormat="1">
      <c r="A418" s="63" t="s">
        <v>40</v>
      </c>
      <c r="B418" s="63" t="s">
        <v>391</v>
      </c>
      <c r="C418" s="67"/>
      <c r="D418" s="67"/>
      <c r="E418" s="67"/>
      <c r="F418" s="67"/>
      <c r="G418" s="67"/>
      <c r="H418" s="67"/>
      <c r="I418" s="67"/>
      <c r="J418" s="67"/>
      <c r="K418" s="67"/>
      <c r="L418" s="67"/>
      <c r="M418" s="67"/>
      <c r="N418" s="67"/>
      <c r="O418" s="127"/>
      <c r="V418" s="71"/>
      <c r="Y418" s="71"/>
      <c r="Z418" s="75"/>
      <c r="AA418" s="75"/>
      <c r="AB418" s="75"/>
      <c r="AC418" s="75"/>
      <c r="AD418" s="75"/>
      <c r="AE418" s="75"/>
      <c r="AF418" s="75"/>
      <c r="AG418" s="75"/>
      <c r="AH418" s="75"/>
      <c r="AI418" s="75"/>
      <c r="AJ418" s="75"/>
      <c r="AK418" s="75"/>
      <c r="AL418" s="75"/>
      <c r="AM418" s="75"/>
      <c r="AN418" s="75"/>
      <c r="AO418" s="75"/>
      <c r="AP418" s="75"/>
      <c r="AQ418" s="75"/>
      <c r="AR418" s="75"/>
      <c r="AS418" s="75"/>
      <c r="AT418" s="75"/>
      <c r="AU418" s="75"/>
      <c r="AV418" s="75"/>
      <c r="AW418" s="75"/>
      <c r="AX418" s="75"/>
      <c r="AY418" s="75"/>
      <c r="AZ418" s="75"/>
    </row>
    <row r="419" spans="1:52">
      <c r="B419" t="s">
        <v>53</v>
      </c>
      <c r="E419" s="41"/>
      <c r="F419" s="41">
        <f>Rev!F128</f>
        <v>0</v>
      </c>
      <c r="G419" s="41">
        <f>Rev!G128</f>
        <v>0</v>
      </c>
      <c r="H419" s="41">
        <f>Rev!H128</f>
        <v>0</v>
      </c>
      <c r="I419" s="41">
        <f>Rev!I128</f>
        <v>0</v>
      </c>
      <c r="J419" s="41">
        <f>Rev!J128</f>
        <v>0</v>
      </c>
      <c r="K419" s="41">
        <f>Rev!K128</f>
        <v>214</v>
      </c>
      <c r="L419" s="41">
        <f ca="1">Rev!L128</f>
        <v>241.45193531810386</v>
      </c>
      <c r="M419" s="41">
        <f ca="1">Rev!M128</f>
        <v>262.51983174127736</v>
      </c>
      <c r="N419" s="41">
        <f ca="1">Rev!N128</f>
        <v>285.99361677124421</v>
      </c>
      <c r="T419" s="41"/>
      <c r="U419" s="41"/>
      <c r="V419" s="41"/>
      <c r="W419" s="41"/>
      <c r="X419" s="41"/>
      <c r="Y419" s="41">
        <f>Rev!Y128</f>
        <v>0</v>
      </c>
      <c r="Z419" s="41">
        <f>Rev!Z128</f>
        <v>0</v>
      </c>
      <c r="AA419" s="41">
        <f>Rev!AA128</f>
        <v>0</v>
      </c>
      <c r="AB419" s="41">
        <f>Rev!AB128</f>
        <v>0</v>
      </c>
      <c r="AC419" s="41">
        <f>Rev!AC128</f>
        <v>0</v>
      </c>
      <c r="AD419" s="41">
        <f>Rev!AD128</f>
        <v>0</v>
      </c>
      <c r="AE419" s="41">
        <f>Rev!AE128</f>
        <v>0</v>
      </c>
      <c r="AF419" s="41">
        <f>Rev!AF128</f>
        <v>0</v>
      </c>
      <c r="AG419" s="41">
        <f>Rev!AG128</f>
        <v>0</v>
      </c>
      <c r="AH419" s="41">
        <f>Rev!AH128</f>
        <v>0</v>
      </c>
      <c r="AI419" s="41">
        <f>Rev!AI128</f>
        <v>50.4</v>
      </c>
      <c r="AJ419" s="41">
        <f>Rev!AJ128</f>
        <v>51.2</v>
      </c>
      <c r="AK419" s="41">
        <f>Rev!AK128</f>
        <v>52.5</v>
      </c>
      <c r="AL419" s="41">
        <f>Rev!AL128</f>
        <v>53.6</v>
      </c>
      <c r="AM419" s="41">
        <f>Rev!AM128</f>
        <v>56.7</v>
      </c>
      <c r="AN419" s="41">
        <f>Rev!AN128</f>
        <v>58.4</v>
      </c>
      <c r="AO419" s="41">
        <f>Rev!AO128</f>
        <v>59.9</v>
      </c>
      <c r="AP419" s="41">
        <f ca="1">Rev!AP128</f>
        <v>60.92210385555483</v>
      </c>
      <c r="AQ419" s="41">
        <f ca="1">Rev!AQ128</f>
        <v>62.229831462549043</v>
      </c>
      <c r="AR419" s="41">
        <f ca="1">Rev!AR128</f>
        <v>63.556887548144353</v>
      </c>
      <c r="AS419" s="41">
        <f ca="1">Rev!AS128</f>
        <v>64.914855476672813</v>
      </c>
      <c r="AT419" s="41">
        <f ca="1">Rev!AT128</f>
        <v>66.308561121931916</v>
      </c>
      <c r="AU419" s="41">
        <f ca="1">Rev!AU128</f>
        <v>67.739527594528283</v>
      </c>
      <c r="AV419" s="41">
        <f ca="1">Rev!AV128</f>
        <v>69.207632702158662</v>
      </c>
      <c r="AW419" s="41">
        <f ca="1">Rev!AW128</f>
        <v>70.711913033925981</v>
      </c>
      <c r="AX419" s="41">
        <f ca="1">Rev!AX128</f>
        <v>72.250959007980413</v>
      </c>
      <c r="AY419" s="41">
        <f ca="1">Rev!AY128</f>
        <v>73.823112027179178</v>
      </c>
    </row>
    <row r="420" spans="1:52">
      <c r="B420" t="s">
        <v>271</v>
      </c>
      <c r="G420" s="126"/>
      <c r="H420" s="126" t="e">
        <f t="shared" ref="H420:N420" si="116">+H419/G419-1</f>
        <v>#DIV/0!</v>
      </c>
      <c r="I420" s="126" t="e">
        <f t="shared" si="116"/>
        <v>#DIV/0!</v>
      </c>
      <c r="J420" s="126" t="e">
        <f t="shared" si="116"/>
        <v>#DIV/0!</v>
      </c>
      <c r="K420" s="126" t="e">
        <f t="shared" si="116"/>
        <v>#DIV/0!</v>
      </c>
      <c r="L420" s="126">
        <f t="shared" ca="1" si="116"/>
        <v>0.1282800715799246</v>
      </c>
      <c r="M420" s="126">
        <f t="shared" ca="1" si="116"/>
        <v>8.7255032333525717E-2</v>
      </c>
      <c r="N420" s="126">
        <f t="shared" ca="1" si="116"/>
        <v>8.9417187548333832E-2</v>
      </c>
      <c r="T420" s="126"/>
      <c r="X420" s="126"/>
      <c r="Y420" s="126"/>
      <c r="Z420" s="126"/>
      <c r="AA420" s="126"/>
      <c r="AB420" s="126"/>
      <c r="AC420" s="126"/>
      <c r="AD420" s="126"/>
      <c r="AE420" s="126"/>
      <c r="AF420" s="126"/>
      <c r="AG420" s="126"/>
      <c r="AH420" s="126"/>
      <c r="AI420" s="126"/>
      <c r="AJ420" s="126"/>
      <c r="AK420" s="126"/>
      <c r="AL420" s="126"/>
      <c r="AM420" s="126">
        <f t="shared" ref="AM420:AY420" si="117">+AM419/AI419-1</f>
        <v>0.125</v>
      </c>
      <c r="AN420" s="126">
        <f t="shared" si="117"/>
        <v>0.140625</v>
      </c>
      <c r="AO420" s="126">
        <f t="shared" si="117"/>
        <v>0.14095238095238094</v>
      </c>
      <c r="AP420" s="126">
        <f t="shared" ca="1" si="117"/>
        <v>0.13660641521557526</v>
      </c>
      <c r="AQ420" s="126">
        <f t="shared" ca="1" si="117"/>
        <v>9.7527891755714968E-2</v>
      </c>
      <c r="AR420" s="126">
        <f t="shared" ca="1" si="117"/>
        <v>8.8302868975074666E-2</v>
      </c>
      <c r="AS420" s="126">
        <f t="shared" ca="1" si="117"/>
        <v>8.3720458709062084E-2</v>
      </c>
      <c r="AT420" s="126">
        <f t="shared" ca="1" si="117"/>
        <v>8.8415483469649558E-2</v>
      </c>
      <c r="AU420" s="126">
        <f t="shared" ca="1" si="117"/>
        <v>8.853786041980638E-2</v>
      </c>
      <c r="AV420" s="126">
        <f t="shared" ca="1" si="117"/>
        <v>8.8908462512955255E-2</v>
      </c>
      <c r="AW420" s="126">
        <f t="shared" ca="1" si="117"/>
        <v>8.9302479604785434E-2</v>
      </c>
      <c r="AX420" s="126">
        <f t="shared" ca="1" si="117"/>
        <v>8.9617355368657226E-2</v>
      </c>
      <c r="AY420" s="126">
        <f t="shared" ca="1" si="117"/>
        <v>8.9808486251420128E-2</v>
      </c>
    </row>
    <row r="421" spans="1:52">
      <c r="B421" t="s">
        <v>37</v>
      </c>
      <c r="U421" s="126"/>
      <c r="V421" s="126"/>
      <c r="W421" s="126"/>
      <c r="X421" s="126"/>
      <c r="Y421" s="126"/>
      <c r="Z421" s="126" t="e">
        <f t="shared" ref="Z421:AY421" si="118">+Z419/Y419-1</f>
        <v>#DIV/0!</v>
      </c>
      <c r="AA421" s="126" t="e">
        <f t="shared" si="118"/>
        <v>#DIV/0!</v>
      </c>
      <c r="AB421" s="126" t="e">
        <f t="shared" si="118"/>
        <v>#DIV/0!</v>
      </c>
      <c r="AC421" s="126" t="e">
        <f t="shared" si="118"/>
        <v>#DIV/0!</v>
      </c>
      <c r="AD421" s="126" t="e">
        <f t="shared" si="118"/>
        <v>#DIV/0!</v>
      </c>
      <c r="AE421" s="126" t="e">
        <f t="shared" si="118"/>
        <v>#DIV/0!</v>
      </c>
      <c r="AF421" s="126" t="e">
        <f t="shared" si="118"/>
        <v>#DIV/0!</v>
      </c>
      <c r="AG421" s="126" t="e">
        <f t="shared" si="118"/>
        <v>#DIV/0!</v>
      </c>
      <c r="AH421" s="126" t="e">
        <f t="shared" si="118"/>
        <v>#DIV/0!</v>
      </c>
      <c r="AI421" s="126" t="e">
        <f t="shared" si="118"/>
        <v>#DIV/0!</v>
      </c>
      <c r="AJ421" s="126">
        <f t="shared" si="118"/>
        <v>1.5873015873016039E-2</v>
      </c>
      <c r="AK421" s="126">
        <f t="shared" si="118"/>
        <v>2.5390625E-2</v>
      </c>
      <c r="AL421" s="126">
        <f t="shared" si="118"/>
        <v>2.0952380952381056E-2</v>
      </c>
      <c r="AM421" s="126">
        <f t="shared" si="118"/>
        <v>5.7835820895522305E-2</v>
      </c>
      <c r="AN421" s="126">
        <f t="shared" si="118"/>
        <v>2.9982363315696592E-2</v>
      </c>
      <c r="AO421" s="126">
        <f t="shared" si="118"/>
        <v>2.5684931506849251E-2</v>
      </c>
      <c r="AP421" s="126">
        <f t="shared" ca="1" si="118"/>
        <v>1.706350343163332E-2</v>
      </c>
      <c r="AQ421" s="126">
        <f t="shared" ca="1" si="118"/>
        <v>2.1465568721901196E-2</v>
      </c>
      <c r="AR421" s="126">
        <f t="shared" ca="1" si="118"/>
        <v>2.132507921693394E-2</v>
      </c>
      <c r="AS421" s="126">
        <f t="shared" ca="1" si="118"/>
        <v>2.1366180455262285E-2</v>
      </c>
      <c r="AT421" s="126">
        <f t="shared" ca="1" si="118"/>
        <v>2.1469748873737204E-2</v>
      </c>
      <c r="AU421" s="126">
        <f t="shared" ca="1" si="118"/>
        <v>2.158041809963307E-2</v>
      </c>
      <c r="AV421" s="126">
        <f t="shared" ca="1" si="118"/>
        <v>2.1672798139634075E-2</v>
      </c>
      <c r="AW421" s="126">
        <f t="shared" ca="1" si="118"/>
        <v>2.1735757647442178E-2</v>
      </c>
      <c r="AX421" s="126">
        <f t="shared" ca="1" si="118"/>
        <v>2.1765016784597968E-2</v>
      </c>
      <c r="AY421" s="126">
        <f t="shared" ca="1" si="118"/>
        <v>2.1759614554391016E-2</v>
      </c>
    </row>
    <row r="422" spans="1:52">
      <c r="B422" t="s">
        <v>270</v>
      </c>
      <c r="E422" s="126"/>
      <c r="F422" s="126">
        <f t="shared" ref="F422:N422" si="119">+F419/F6</f>
        <v>0</v>
      </c>
      <c r="G422" s="126">
        <f t="shared" si="119"/>
        <v>0</v>
      </c>
      <c r="H422" s="126">
        <f t="shared" si="119"/>
        <v>0</v>
      </c>
      <c r="I422" s="126">
        <f t="shared" si="119"/>
        <v>0</v>
      </c>
      <c r="J422" s="126">
        <f t="shared" si="119"/>
        <v>0</v>
      </c>
      <c r="K422" s="126">
        <f t="shared" si="119"/>
        <v>9.7281571051913804E-2</v>
      </c>
      <c r="L422" s="126">
        <f t="shared" ca="1" si="119"/>
        <v>9.2593952165773596E-2</v>
      </c>
      <c r="M422" s="126">
        <f t="shared" ca="1" si="119"/>
        <v>9.7583662167064586E-2</v>
      </c>
      <c r="N422" s="126">
        <f t="shared" ca="1" si="119"/>
        <v>0.10222965013202186</v>
      </c>
      <c r="T422" s="126"/>
      <c r="U422" s="126"/>
      <c r="V422" s="126"/>
      <c r="W422" s="126"/>
      <c r="X422" s="126"/>
      <c r="Y422" s="126">
        <f t="shared" ref="Y422:AY422" si="120">+Y419/Y6</f>
        <v>0</v>
      </c>
      <c r="Z422" s="126">
        <f t="shared" si="120"/>
        <v>0</v>
      </c>
      <c r="AA422" s="126">
        <f t="shared" si="120"/>
        <v>0</v>
      </c>
      <c r="AB422" s="126">
        <f t="shared" si="120"/>
        <v>0</v>
      </c>
      <c r="AC422" s="126">
        <f t="shared" si="120"/>
        <v>0</v>
      </c>
      <c r="AD422" s="126">
        <f t="shared" si="120"/>
        <v>0</v>
      </c>
      <c r="AE422" s="126">
        <f t="shared" si="120"/>
        <v>0</v>
      </c>
      <c r="AF422" s="126">
        <f t="shared" si="120"/>
        <v>0</v>
      </c>
      <c r="AG422" s="126">
        <f t="shared" si="120"/>
        <v>0</v>
      </c>
      <c r="AH422" s="126">
        <f t="shared" si="120"/>
        <v>0</v>
      </c>
      <c r="AI422" s="126">
        <f t="shared" si="120"/>
        <v>9.9349497338852746E-2</v>
      </c>
      <c r="AJ422" s="126">
        <f t="shared" si="120"/>
        <v>0.10140621905327789</v>
      </c>
      <c r="AK422" s="126">
        <f t="shared" si="120"/>
        <v>0.10361160449970397</v>
      </c>
      <c r="AL422" s="126">
        <f t="shared" si="120"/>
        <v>9.7419120319883673E-2</v>
      </c>
      <c r="AM422" s="126">
        <f t="shared" si="120"/>
        <v>8.8871473354231983E-2</v>
      </c>
      <c r="AN422" s="126">
        <f t="shared" si="120"/>
        <v>9.0753690753690747E-2</v>
      </c>
      <c r="AO422" s="126">
        <f t="shared" si="120"/>
        <v>9.1660290742157605E-2</v>
      </c>
      <c r="AP422" s="126">
        <f t="shared" ca="1" si="120"/>
        <v>9.3323614429993526E-2</v>
      </c>
      <c r="AQ422" s="126">
        <f t="shared" ca="1" si="120"/>
        <v>9.4597529508382683E-2</v>
      </c>
      <c r="AR422" s="126">
        <f t="shared" ca="1" si="120"/>
        <v>9.5814532917711762E-2</v>
      </c>
      <c r="AS422" s="126">
        <f t="shared" ca="1" si="120"/>
        <v>9.699386377483403E-2</v>
      </c>
      <c r="AT422" s="126">
        <f t="shared" ca="1" si="120"/>
        <v>9.8156074434046933E-2</v>
      </c>
      <c r="AU422" s="126">
        <f t="shared" ca="1" si="120"/>
        <v>9.9316008777482798E-2</v>
      </c>
      <c r="AV422" s="126">
        <f t="shared" ca="1" si="120"/>
        <v>0.10047554195482183</v>
      </c>
      <c r="AW422" s="126">
        <f t="shared" ca="1" si="120"/>
        <v>0.10163520220557441</v>
      </c>
      <c r="AX422" s="126">
        <f t="shared" ca="1" si="120"/>
        <v>0.10279484728745923</v>
      </c>
      <c r="AY422" s="126">
        <f t="shared" ca="1" si="120"/>
        <v>0.1039540086485319</v>
      </c>
    </row>
    <row r="423" spans="1:52">
      <c r="U423" s="126"/>
      <c r="V423" s="126"/>
      <c r="W423" s="126"/>
      <c r="X423" s="126"/>
      <c r="Y423" s="126"/>
      <c r="Z423" s="126"/>
      <c r="AA423" s="126"/>
      <c r="AB423" s="126"/>
      <c r="AC423" s="126"/>
      <c r="AD423" s="126"/>
      <c r="AE423" s="126"/>
      <c r="AF423" s="126"/>
      <c r="AG423" s="126"/>
      <c r="AH423" s="126"/>
      <c r="AI423" s="126"/>
      <c r="AJ423" s="126"/>
      <c r="AK423" s="126"/>
      <c r="AL423" s="126"/>
      <c r="AM423" s="126"/>
      <c r="AN423" s="126"/>
      <c r="AO423" s="126"/>
      <c r="AP423" s="126"/>
      <c r="AQ423" s="126"/>
      <c r="AR423" s="126"/>
      <c r="AS423" s="126"/>
      <c r="AT423" s="126"/>
      <c r="AU423" s="126"/>
      <c r="AV423" s="126"/>
      <c r="AW423" s="126"/>
      <c r="AX423" s="126"/>
      <c r="AY423" s="126"/>
    </row>
    <row r="424" spans="1:52">
      <c r="B424" t="s">
        <v>268</v>
      </c>
      <c r="E424" s="41"/>
      <c r="F424" s="41">
        <f>Rev!F97</f>
        <v>0</v>
      </c>
      <c r="G424" s="41">
        <f>Rev!G97</f>
        <v>0</v>
      </c>
      <c r="H424" s="41">
        <f>Rev!H97</f>
        <v>0</v>
      </c>
      <c r="I424" s="41">
        <f>Rev!I97</f>
        <v>0</v>
      </c>
      <c r="J424" s="41">
        <f>Rev!J97</f>
        <v>0</v>
      </c>
      <c r="K424" s="41">
        <f>Rev!K97</f>
        <v>197.7</v>
      </c>
      <c r="L424" s="41">
        <f ca="1">Rev!L97</f>
        <v>223.07481114264311</v>
      </c>
      <c r="M424" s="41">
        <f ca="1">Rev!M97</f>
        <v>243.19247278085862</v>
      </c>
      <c r="N424" s="41">
        <f ca="1">Rev!N97</f>
        <v>266.12615302252539</v>
      </c>
      <c r="T424" s="41"/>
      <c r="U424" s="41"/>
      <c r="V424" s="41"/>
      <c r="W424" s="41"/>
      <c r="X424" s="41"/>
      <c r="Y424" s="41">
        <f>Rev!Y97</f>
        <v>0</v>
      </c>
      <c r="Z424" s="41">
        <f>Rev!Z97</f>
        <v>0</v>
      </c>
      <c r="AA424" s="41">
        <f>Rev!AA97</f>
        <v>0</v>
      </c>
      <c r="AB424" s="41">
        <f>Rev!AB97</f>
        <v>0</v>
      </c>
      <c r="AC424" s="41">
        <f>Rev!AC97</f>
        <v>0</v>
      </c>
      <c r="AD424" s="41">
        <f>Rev!AD97</f>
        <v>0</v>
      </c>
      <c r="AE424" s="41">
        <f>Rev!AE97</f>
        <v>0</v>
      </c>
      <c r="AF424" s="41">
        <f>Rev!AF97</f>
        <v>0</v>
      </c>
      <c r="AG424" s="41">
        <f>Rev!AG97</f>
        <v>0</v>
      </c>
      <c r="AH424" s="41">
        <f>Rev!AH97</f>
        <v>0</v>
      </c>
      <c r="AI424" s="41">
        <f>Rev!AI97</f>
        <v>46.9</v>
      </c>
      <c r="AJ424" s="41">
        <f>Rev!AJ97</f>
        <v>47.5</v>
      </c>
      <c r="AK424" s="41">
        <f>Rev!AK97</f>
        <v>48.5</v>
      </c>
      <c r="AL424" s="41">
        <f>Rev!AL97</f>
        <v>49.1</v>
      </c>
      <c r="AM424" s="41">
        <f>Rev!AM97</f>
        <v>52.6</v>
      </c>
      <c r="AN424" s="41">
        <f>Rev!AN97</f>
        <v>54.2</v>
      </c>
      <c r="AO424" s="41">
        <f>Rev!AO97</f>
        <v>55.2</v>
      </c>
      <c r="AP424" s="41">
        <f ca="1">Rev!AP97</f>
        <v>56.19858642171021</v>
      </c>
      <c r="AQ424" s="41">
        <f ca="1">Rev!AQ97</f>
        <v>57.476224720932876</v>
      </c>
      <c r="AR424" s="41">
        <f ca="1">Rev!AR97</f>
        <v>58.77274677270033</v>
      </c>
      <c r="AS424" s="41">
        <f ca="1">Rev!AS97</f>
        <v>60.099469421457336</v>
      </c>
      <c r="AT424" s="41">
        <f ca="1">Rev!AT97</f>
        <v>61.461107503197205</v>
      </c>
      <c r="AU424" s="41">
        <f ca="1">Rev!AU97</f>
        <v>62.859149083503752</v>
      </c>
      <c r="AV424" s="41">
        <f ca="1">Rev!AV97</f>
        <v>64.293474781578041</v>
      </c>
      <c r="AW424" s="41">
        <f ca="1">Rev!AW97</f>
        <v>65.763143353499387</v>
      </c>
      <c r="AX424" s="41">
        <f ca="1">Rev!AX97</f>
        <v>67.266777650274676</v>
      </c>
      <c r="AY424" s="41">
        <f ca="1">Rev!AY97</f>
        <v>68.802757237173296</v>
      </c>
    </row>
    <row r="425" spans="1:52">
      <c r="B425" t="s">
        <v>132</v>
      </c>
      <c r="E425" s="18"/>
      <c r="F425" s="18">
        <f>+F419-F424</f>
        <v>0</v>
      </c>
      <c r="G425" s="18">
        <f>+G419-G424</f>
        <v>0</v>
      </c>
      <c r="H425" s="18">
        <f>+H419-H424</f>
        <v>0</v>
      </c>
      <c r="I425" s="18">
        <f t="shared" ref="I425:N425" si="121">+I419-I424</f>
        <v>0</v>
      </c>
      <c r="J425" s="18">
        <f t="shared" si="121"/>
        <v>0</v>
      </c>
      <c r="K425" s="18">
        <f t="shared" si="121"/>
        <v>16.300000000000011</v>
      </c>
      <c r="L425" s="18">
        <f t="shared" ca="1" si="121"/>
        <v>18.37712417546075</v>
      </c>
      <c r="M425" s="18">
        <f t="shared" ca="1" si="121"/>
        <v>19.327358960418735</v>
      </c>
      <c r="N425" s="18">
        <f t="shared" ca="1" si="121"/>
        <v>19.867463748718819</v>
      </c>
      <c r="T425" s="41"/>
      <c r="U425" s="41"/>
      <c r="V425" s="41"/>
      <c r="W425" s="41"/>
      <c r="X425" s="41"/>
      <c r="Y425" s="41"/>
      <c r="Z425" s="41"/>
      <c r="AA425" s="41"/>
      <c r="AB425" s="41"/>
      <c r="AC425" s="41"/>
      <c r="AD425" s="41"/>
      <c r="AE425" s="41"/>
      <c r="AF425" s="41"/>
      <c r="AG425" s="41"/>
      <c r="AH425" s="41"/>
      <c r="AI425" s="41"/>
      <c r="AJ425" s="41"/>
      <c r="AK425" s="41"/>
      <c r="AL425" s="41"/>
      <c r="AM425" s="41"/>
      <c r="AN425" s="41"/>
      <c r="AO425" s="41"/>
      <c r="AP425" s="41"/>
      <c r="AQ425" s="41"/>
      <c r="AR425" s="41"/>
      <c r="AS425" s="41"/>
      <c r="AT425" s="41"/>
      <c r="AU425" s="41"/>
      <c r="AV425" s="41"/>
      <c r="AW425" s="41"/>
      <c r="AX425" s="41"/>
      <c r="AY425" s="41"/>
    </row>
    <row r="426" spans="1:52">
      <c r="E426" s="18"/>
      <c r="F426" s="18"/>
      <c r="G426" s="18"/>
      <c r="H426" s="18"/>
      <c r="I426" s="18"/>
      <c r="J426" s="18"/>
      <c r="K426" s="18"/>
      <c r="L426" s="18"/>
      <c r="M426" s="18"/>
      <c r="N426" s="18"/>
      <c r="T426" s="41"/>
      <c r="U426" s="41"/>
      <c r="V426" s="41"/>
      <c r="W426" s="41"/>
      <c r="X426" s="41"/>
      <c r="Y426" s="41"/>
      <c r="Z426" s="41"/>
      <c r="AA426" s="41"/>
      <c r="AB426" s="41"/>
      <c r="AC426" s="41"/>
      <c r="AD426" s="41"/>
      <c r="AE426" s="41"/>
      <c r="AF426" s="41"/>
      <c r="AG426" s="41"/>
      <c r="AH426" s="41"/>
      <c r="AI426" s="41"/>
      <c r="AJ426" s="41"/>
      <c r="AK426" s="41"/>
      <c r="AL426" s="41"/>
      <c r="AM426" s="41"/>
      <c r="AN426" s="41"/>
      <c r="AO426" s="41"/>
      <c r="AP426" s="41"/>
      <c r="AQ426" s="41"/>
      <c r="AR426" s="41"/>
      <c r="AS426" s="41"/>
      <c r="AT426" s="41"/>
      <c r="AU426" s="41"/>
      <c r="AV426" s="41"/>
      <c r="AW426" s="41"/>
      <c r="AX426" s="41"/>
      <c r="AY426" s="41"/>
    </row>
    <row r="427" spans="1:52" s="15" customFormat="1">
      <c r="B427" s="15" t="s">
        <v>69</v>
      </c>
      <c r="E427" s="41"/>
      <c r="F427" s="41">
        <f>IS!F92</f>
        <v>0</v>
      </c>
      <c r="G427" s="41">
        <f>IS!G92</f>
        <v>0</v>
      </c>
      <c r="H427" s="41">
        <f>IS!H92</f>
        <v>0</v>
      </c>
      <c r="I427" s="41">
        <f>IS!I92</f>
        <v>0</v>
      </c>
      <c r="J427" s="41">
        <f>IS!J92</f>
        <v>0</v>
      </c>
      <c r="K427" s="41">
        <f>IS!K92</f>
        <v>0</v>
      </c>
      <c r="L427" s="41">
        <f>IS!L92</f>
        <v>0</v>
      </c>
      <c r="M427" s="41">
        <f ca="1">IS!M92</f>
        <v>138.0529999974998</v>
      </c>
      <c r="N427" s="41">
        <f ca="1">IS!N92</f>
        <v>150.39731098988636</v>
      </c>
      <c r="T427" s="41"/>
      <c r="U427" s="41"/>
      <c r="V427" s="41"/>
      <c r="W427" s="41"/>
      <c r="X427" s="41"/>
      <c r="Y427" s="41">
        <f>IS!Y92</f>
        <v>0</v>
      </c>
      <c r="Z427" s="41">
        <f>IS!Z92</f>
        <v>0</v>
      </c>
      <c r="AA427" s="41">
        <f>IS!AA92</f>
        <v>0</v>
      </c>
      <c r="AB427" s="41">
        <f>IS!AB92</f>
        <v>0</v>
      </c>
      <c r="AC427" s="41">
        <f>IS!AC92</f>
        <v>0</v>
      </c>
      <c r="AD427" s="41">
        <f>IS!AD92</f>
        <v>0</v>
      </c>
      <c r="AE427" s="41">
        <f>IS!AE92</f>
        <v>0</v>
      </c>
      <c r="AF427" s="41">
        <f>IS!AF92</f>
        <v>0</v>
      </c>
      <c r="AG427" s="41">
        <f>IS!AG92</f>
        <v>0</v>
      </c>
      <c r="AH427" s="41">
        <f>IS!AH92</f>
        <v>0</v>
      </c>
      <c r="AI427" s="41">
        <f>IS!AI92</f>
        <v>0</v>
      </c>
      <c r="AJ427" s="41">
        <f>IS!AJ92</f>
        <v>0</v>
      </c>
      <c r="AK427" s="41">
        <f>IS!AK92</f>
        <v>0</v>
      </c>
      <c r="AL427" s="41">
        <f>IS!AL92</f>
        <v>28.7</v>
      </c>
      <c r="AM427" s="41">
        <f>IS!AM92</f>
        <v>29.3</v>
      </c>
      <c r="AN427" s="41">
        <f>IS!AN92</f>
        <v>29.4</v>
      </c>
      <c r="AO427" s="41">
        <f>IS!AO92</f>
        <v>31.5</v>
      </c>
      <c r="AP427" s="41">
        <f ca="1">IS!AP92</f>
        <v>32.037500358096445</v>
      </c>
      <c r="AQ427" s="41">
        <f ca="1">IS!AQ92</f>
        <v>32.725203523711102</v>
      </c>
      <c r="AR427" s="41">
        <f ca="1">IS!AR92</f>
        <v>33.42307108124453</v>
      </c>
      <c r="AS427" s="41">
        <f ca="1">IS!AS92</f>
        <v>34.137194449335453</v>
      </c>
      <c r="AT427" s="41">
        <f ca="1">IS!AT92</f>
        <v>34.870111441416618</v>
      </c>
      <c r="AU427" s="41">
        <f ca="1">IS!AU92</f>
        <v>35.622623025503188</v>
      </c>
      <c r="AV427" s="41">
        <f ca="1">IS!AV92</f>
        <v>36.394664943539198</v>
      </c>
      <c r="AW427" s="41">
        <f ca="1">IS!AW92</f>
        <v>37.185730560411827</v>
      </c>
      <c r="AX427" s="41">
        <f ca="1">IS!AX92</f>
        <v>37.995078610206726</v>
      </c>
      <c r="AY427" s="41">
        <f ca="1">IS!AY92</f>
        <v>38.821836875728614</v>
      </c>
    </row>
    <row r="428" spans="1:52" s="15" customFormat="1">
      <c r="B428" s="80" t="s">
        <v>203</v>
      </c>
      <c r="E428" s="126"/>
      <c r="F428" s="126" t="e">
        <f t="shared" ref="F428:N428" si="122">+F427/F419</f>
        <v>#DIV/0!</v>
      </c>
      <c r="G428" s="126" t="e">
        <f t="shared" si="122"/>
        <v>#DIV/0!</v>
      </c>
      <c r="H428" s="126" t="e">
        <f t="shared" si="122"/>
        <v>#DIV/0!</v>
      </c>
      <c r="I428" s="126" t="e">
        <f t="shared" si="122"/>
        <v>#DIV/0!</v>
      </c>
      <c r="J428" s="126" t="e">
        <f t="shared" si="122"/>
        <v>#DIV/0!</v>
      </c>
      <c r="K428" s="126">
        <f t="shared" si="122"/>
        <v>0</v>
      </c>
      <c r="L428" s="126">
        <f t="shared" ca="1" si="122"/>
        <v>0</v>
      </c>
      <c r="M428" s="126">
        <f t="shared" ca="1" si="122"/>
        <v>0.5258764607679467</v>
      </c>
      <c r="N428" s="126">
        <f t="shared" ca="1" si="122"/>
        <v>0.52587646076794659</v>
      </c>
      <c r="T428" s="126"/>
      <c r="U428" s="126"/>
      <c r="V428" s="126"/>
      <c r="W428" s="126"/>
      <c r="X428" s="126"/>
      <c r="Y428" s="126" t="e">
        <f t="shared" ref="Y428:AY428" si="123">+Y427/Y419</f>
        <v>#DIV/0!</v>
      </c>
      <c r="Z428" s="126" t="e">
        <f t="shared" si="123"/>
        <v>#DIV/0!</v>
      </c>
      <c r="AA428" s="126" t="e">
        <f t="shared" si="123"/>
        <v>#DIV/0!</v>
      </c>
      <c r="AB428" s="126" t="e">
        <f t="shared" si="123"/>
        <v>#DIV/0!</v>
      </c>
      <c r="AC428" s="126" t="e">
        <f t="shared" si="123"/>
        <v>#DIV/0!</v>
      </c>
      <c r="AD428" s="126" t="e">
        <f t="shared" si="123"/>
        <v>#DIV/0!</v>
      </c>
      <c r="AE428" s="126" t="e">
        <f t="shared" si="123"/>
        <v>#DIV/0!</v>
      </c>
      <c r="AF428" s="126" t="e">
        <f t="shared" si="123"/>
        <v>#DIV/0!</v>
      </c>
      <c r="AG428" s="126" t="e">
        <f t="shared" si="123"/>
        <v>#DIV/0!</v>
      </c>
      <c r="AH428" s="126" t="e">
        <f t="shared" si="123"/>
        <v>#DIV/0!</v>
      </c>
      <c r="AI428" s="126">
        <f t="shared" si="123"/>
        <v>0</v>
      </c>
      <c r="AJ428" s="126">
        <f t="shared" si="123"/>
        <v>0</v>
      </c>
      <c r="AK428" s="126">
        <f t="shared" si="123"/>
        <v>0</v>
      </c>
      <c r="AL428" s="126">
        <f t="shared" si="123"/>
        <v>0.53544776119402981</v>
      </c>
      <c r="AM428" s="126">
        <f t="shared" si="123"/>
        <v>0.51675485008818345</v>
      </c>
      <c r="AN428" s="126">
        <f t="shared" si="123"/>
        <v>0.50342465753424659</v>
      </c>
      <c r="AO428" s="126">
        <f t="shared" si="123"/>
        <v>0.52587646076794659</v>
      </c>
      <c r="AP428" s="126">
        <f t="shared" ca="1" si="123"/>
        <v>0.52587646076794659</v>
      </c>
      <c r="AQ428" s="126">
        <f t="shared" ca="1" si="123"/>
        <v>0.52587646076794659</v>
      </c>
      <c r="AR428" s="126">
        <f t="shared" ca="1" si="123"/>
        <v>0.52587646076794659</v>
      </c>
      <c r="AS428" s="126">
        <f t="shared" ca="1" si="123"/>
        <v>0.52587646076794659</v>
      </c>
      <c r="AT428" s="126">
        <f t="shared" ca="1" si="123"/>
        <v>0.52587646076794659</v>
      </c>
      <c r="AU428" s="126">
        <f t="shared" ca="1" si="123"/>
        <v>0.52587646076794659</v>
      </c>
      <c r="AV428" s="126">
        <f t="shared" ca="1" si="123"/>
        <v>0.52587646076794659</v>
      </c>
      <c r="AW428" s="126">
        <f t="shared" ca="1" si="123"/>
        <v>0.52587646076794659</v>
      </c>
      <c r="AX428" s="126">
        <f t="shared" ca="1" si="123"/>
        <v>0.52587646076794659</v>
      </c>
      <c r="AY428" s="126">
        <f t="shared" ca="1" si="123"/>
        <v>0.52587646076794659</v>
      </c>
    </row>
    <row r="429" spans="1:52">
      <c r="G429" s="41"/>
      <c r="H429" s="18"/>
      <c r="I429" s="18"/>
      <c r="J429" s="18"/>
      <c r="K429" s="18"/>
      <c r="L429" s="18"/>
      <c r="M429" s="18"/>
      <c r="N429" s="18"/>
      <c r="T429" s="41"/>
      <c r="U429" s="41"/>
      <c r="V429" s="41"/>
      <c r="W429" s="41"/>
      <c r="X429" s="41"/>
      <c r="Y429" s="41"/>
      <c r="Z429" s="41"/>
      <c r="AA429" s="41"/>
      <c r="AB429" s="41"/>
      <c r="AC429" s="41"/>
      <c r="AD429" s="41"/>
      <c r="AE429" s="41"/>
      <c r="AF429" s="41"/>
      <c r="AG429" s="41"/>
      <c r="AH429" s="41"/>
      <c r="AI429" s="41"/>
      <c r="AJ429" s="41"/>
      <c r="AK429" s="41"/>
      <c r="AL429" s="41"/>
      <c r="AM429" s="41"/>
      <c r="AN429" s="41"/>
      <c r="AO429" s="41"/>
      <c r="AP429" s="41"/>
      <c r="AQ429" s="41"/>
      <c r="AR429" s="41"/>
      <c r="AS429" s="41"/>
      <c r="AT429" s="41"/>
      <c r="AU429" s="41"/>
      <c r="AV429" s="41"/>
      <c r="AW429" s="41"/>
      <c r="AX429" s="41"/>
      <c r="AY429" s="41"/>
    </row>
    <row r="479" spans="1:52" s="64" customFormat="1">
      <c r="A479" s="63" t="s">
        <v>40</v>
      </c>
      <c r="B479" s="63" t="s">
        <v>390</v>
      </c>
      <c r="C479" s="67"/>
      <c r="D479" s="67"/>
      <c r="E479" s="67"/>
      <c r="F479" s="67"/>
      <c r="G479" s="67"/>
      <c r="H479" s="67"/>
      <c r="I479" s="67"/>
      <c r="J479" s="67"/>
      <c r="K479" s="67"/>
      <c r="L479" s="67"/>
      <c r="M479" s="67"/>
      <c r="N479" s="67"/>
      <c r="O479" s="127"/>
      <c r="V479" s="71"/>
      <c r="Y479" s="71"/>
      <c r="Z479" s="75"/>
      <c r="AA479" s="75"/>
      <c r="AB479" s="75"/>
      <c r="AC479" s="75"/>
      <c r="AD479" s="75"/>
      <c r="AE479" s="75"/>
      <c r="AF479" s="75"/>
      <c r="AG479" s="75"/>
      <c r="AH479" s="75"/>
      <c r="AI479" s="75"/>
      <c r="AJ479" s="75"/>
      <c r="AK479" s="75"/>
      <c r="AL479" s="75"/>
      <c r="AM479" s="75"/>
      <c r="AN479" s="75"/>
      <c r="AO479" s="75"/>
      <c r="AP479" s="75"/>
      <c r="AQ479" s="75"/>
      <c r="AR479" s="75"/>
      <c r="AS479" s="75"/>
      <c r="AT479" s="75"/>
      <c r="AU479" s="75"/>
      <c r="AV479" s="75"/>
      <c r="AW479" s="75"/>
      <c r="AX479" s="75"/>
      <c r="AY479" s="75"/>
      <c r="AZ479" s="75"/>
    </row>
    <row r="480" spans="1:52">
      <c r="B480" t="s">
        <v>53</v>
      </c>
      <c r="E480" s="41"/>
      <c r="F480" s="41" t="e">
        <f>Rev!#REF!</f>
        <v>#REF!</v>
      </c>
      <c r="G480" s="41" t="e">
        <f>Rev!#REF!</f>
        <v>#REF!</v>
      </c>
      <c r="H480" s="41" t="e">
        <f>Rev!#REF!</f>
        <v>#REF!</v>
      </c>
      <c r="I480" s="41" t="e">
        <f>Rev!#REF!</f>
        <v>#REF!</v>
      </c>
      <c r="J480" s="41" t="e">
        <f>Rev!#REF!</f>
        <v>#REF!</v>
      </c>
      <c r="K480" s="41" t="e">
        <f>Rev!#REF!</f>
        <v>#REF!</v>
      </c>
      <c r="L480" s="41" t="e">
        <f>Rev!#REF!</f>
        <v>#REF!</v>
      </c>
      <c r="M480" s="41" t="e">
        <f>Rev!#REF!</f>
        <v>#REF!</v>
      </c>
      <c r="N480" s="41" t="e">
        <f>Rev!#REF!</f>
        <v>#REF!</v>
      </c>
      <c r="T480" s="41"/>
      <c r="U480" s="41"/>
      <c r="V480" s="41"/>
      <c r="W480" s="41"/>
      <c r="X480" s="41"/>
      <c r="Y480" s="41">
        <f>Rev!Y174</f>
        <v>0</v>
      </c>
      <c r="Z480" s="41">
        <f>Rev!Z174</f>
        <v>0</v>
      </c>
      <c r="AA480" s="41">
        <f>Rev!AA174</f>
        <v>0</v>
      </c>
      <c r="AB480" s="41">
        <f>Rev!AB174</f>
        <v>0</v>
      </c>
      <c r="AC480" s="41">
        <f>Rev!AC174</f>
        <v>0</v>
      </c>
      <c r="AD480" s="41">
        <f>Rev!AD174</f>
        <v>0</v>
      </c>
      <c r="AE480" s="41">
        <f>Rev!AE174</f>
        <v>0</v>
      </c>
      <c r="AF480" s="41">
        <f>Rev!AF174</f>
        <v>0</v>
      </c>
      <c r="AG480" s="41">
        <f>Rev!AG174</f>
        <v>0</v>
      </c>
      <c r="AH480" s="41">
        <f>Rev!AH174</f>
        <v>0</v>
      </c>
      <c r="AI480" s="41">
        <f>Rev!AI174</f>
        <v>107</v>
      </c>
      <c r="AJ480" s="41">
        <f>Rev!AJ174</f>
        <v>106.1</v>
      </c>
      <c r="AK480" s="41">
        <f>Rev!AK174</f>
        <v>106.4</v>
      </c>
      <c r="AL480" s="41">
        <f>Rev!AL174</f>
        <v>110.5</v>
      </c>
      <c r="AM480" s="41">
        <f>Rev!AM174</f>
        <v>117.4</v>
      </c>
      <c r="AN480" s="41">
        <f>Rev!AN174</f>
        <v>119.1</v>
      </c>
      <c r="AO480" s="41">
        <f>Rev!AO174</f>
        <v>117.3</v>
      </c>
      <c r="AP480" s="41">
        <f ca="1">Rev!AP174</f>
        <v>119.44471339235969</v>
      </c>
      <c r="AQ480" s="41">
        <f ca="1">Rev!AQ174</f>
        <v>119.61445744275919</v>
      </c>
      <c r="AR480" s="41">
        <f ca="1">Rev!AR174</f>
        <v>119.86541192617626</v>
      </c>
      <c r="AS480" s="41">
        <f ca="1">Rev!AS174</f>
        <v>120.19316838505046</v>
      </c>
      <c r="AT480" s="41">
        <f ca="1">Rev!AT174</f>
        <v>120.55138562504385</v>
      </c>
      <c r="AU480" s="41">
        <f ca="1">Rev!AU174</f>
        <v>120.90248522748608</v>
      </c>
      <c r="AV480" s="41">
        <f ca="1">Rev!AV174</f>
        <v>121.2417919269561</v>
      </c>
      <c r="AW480" s="41">
        <f ca="1">Rev!AW174</f>
        <v>121.56432144897782</v>
      </c>
      <c r="AX480" s="41">
        <f ca="1">Rev!AX174</f>
        <v>121.86498450720332</v>
      </c>
      <c r="AY480" s="41">
        <f ca="1">Rev!AY174</f>
        <v>122.13871515809832</v>
      </c>
    </row>
    <row r="481" spans="2:51">
      <c r="B481" t="s">
        <v>271</v>
      </c>
      <c r="G481" s="126"/>
      <c r="H481" s="126" t="e">
        <f t="shared" ref="H481:N481" si="124">+H480/G480-1</f>
        <v>#REF!</v>
      </c>
      <c r="I481" s="126" t="e">
        <f t="shared" si="124"/>
        <v>#REF!</v>
      </c>
      <c r="J481" s="126" t="e">
        <f t="shared" si="124"/>
        <v>#REF!</v>
      </c>
      <c r="K481" s="126" t="e">
        <f t="shared" si="124"/>
        <v>#REF!</v>
      </c>
      <c r="L481" s="126" t="e">
        <f t="shared" si="124"/>
        <v>#REF!</v>
      </c>
      <c r="M481" s="126" t="e">
        <f t="shared" si="124"/>
        <v>#REF!</v>
      </c>
      <c r="N481" s="126" t="e">
        <f t="shared" si="124"/>
        <v>#REF!</v>
      </c>
      <c r="T481" s="126"/>
      <c r="X481" s="126"/>
      <c r="Y481" s="126"/>
      <c r="Z481" s="126"/>
      <c r="AA481" s="126"/>
      <c r="AB481" s="126"/>
      <c r="AC481" s="126"/>
      <c r="AD481" s="126"/>
      <c r="AE481" s="126"/>
      <c r="AF481" s="126"/>
      <c r="AG481" s="126"/>
      <c r="AH481" s="126"/>
      <c r="AI481" s="126"/>
      <c r="AJ481" s="126"/>
      <c r="AK481" s="126"/>
      <c r="AL481" s="126"/>
      <c r="AM481" s="126">
        <f t="shared" ref="AM481:AY481" si="125">+AM480/AI480-1</f>
        <v>9.7196261682243046E-2</v>
      </c>
      <c r="AN481" s="126">
        <f t="shared" si="125"/>
        <v>0.12252591894439213</v>
      </c>
      <c r="AO481" s="126">
        <f t="shared" si="125"/>
        <v>0.10244360902255623</v>
      </c>
      <c r="AP481" s="126">
        <f t="shared" ca="1" si="125"/>
        <v>8.0947632510042444E-2</v>
      </c>
      <c r="AQ481" s="126">
        <f t="shared" ca="1" si="125"/>
        <v>1.8862499512429132E-2</v>
      </c>
      <c r="AR481" s="126">
        <f t="shared" ca="1" si="125"/>
        <v>6.4266324615975812E-3</v>
      </c>
      <c r="AS481" s="126">
        <f t="shared" ca="1" si="125"/>
        <v>2.4664692114667153E-2</v>
      </c>
      <c r="AT481" s="126">
        <f t="shared" ca="1" si="125"/>
        <v>9.2651420163645248E-3</v>
      </c>
      <c r="AU481" s="126">
        <f t="shared" ca="1" si="125"/>
        <v>1.0768161410114496E-2</v>
      </c>
      <c r="AV481" s="126">
        <f t="shared" ca="1" si="125"/>
        <v>1.1482711973888948E-2</v>
      </c>
      <c r="AW481" s="126">
        <f t="shared" ca="1" si="125"/>
        <v>1.1407911800234372E-2</v>
      </c>
      <c r="AX481" s="126">
        <f t="shared" ca="1" si="125"/>
        <v>1.0896588830967113E-2</v>
      </c>
      <c r="AY481" s="126">
        <f t="shared" ca="1" si="125"/>
        <v>1.0225016700741829E-2</v>
      </c>
    </row>
    <row r="482" spans="2:51">
      <c r="B482" t="s">
        <v>37</v>
      </c>
      <c r="U482" s="126"/>
      <c r="V482" s="126"/>
      <c r="W482" s="126"/>
      <c r="X482" s="126"/>
      <c r="Y482" s="126"/>
      <c r="Z482" s="126" t="e">
        <f t="shared" ref="Z482:AY482" si="126">+Z480/Y480-1</f>
        <v>#DIV/0!</v>
      </c>
      <c r="AA482" s="126" t="e">
        <f t="shared" si="126"/>
        <v>#DIV/0!</v>
      </c>
      <c r="AB482" s="126" t="e">
        <f t="shared" si="126"/>
        <v>#DIV/0!</v>
      </c>
      <c r="AC482" s="126" t="e">
        <f t="shared" si="126"/>
        <v>#DIV/0!</v>
      </c>
      <c r="AD482" s="126" t="e">
        <f t="shared" si="126"/>
        <v>#DIV/0!</v>
      </c>
      <c r="AE482" s="126" t="e">
        <f t="shared" si="126"/>
        <v>#DIV/0!</v>
      </c>
      <c r="AF482" s="126" t="e">
        <f t="shared" si="126"/>
        <v>#DIV/0!</v>
      </c>
      <c r="AG482" s="126" t="e">
        <f t="shared" si="126"/>
        <v>#DIV/0!</v>
      </c>
      <c r="AH482" s="126" t="e">
        <f t="shared" si="126"/>
        <v>#DIV/0!</v>
      </c>
      <c r="AI482" s="126" t="e">
        <f t="shared" si="126"/>
        <v>#DIV/0!</v>
      </c>
      <c r="AJ482" s="126">
        <f t="shared" si="126"/>
        <v>-8.4112149532711289E-3</v>
      </c>
      <c r="AK482" s="126">
        <f t="shared" si="126"/>
        <v>2.827521206409056E-3</v>
      </c>
      <c r="AL482" s="126">
        <f t="shared" si="126"/>
        <v>3.8533834586466087E-2</v>
      </c>
      <c r="AM482" s="126">
        <f t="shared" si="126"/>
        <v>6.244343891402715E-2</v>
      </c>
      <c r="AN482" s="126">
        <f t="shared" si="126"/>
        <v>1.4480408858603022E-2</v>
      </c>
      <c r="AO482" s="126">
        <f t="shared" si="126"/>
        <v>-1.5113350125944613E-2</v>
      </c>
      <c r="AP482" s="126">
        <f t="shared" ca="1" si="126"/>
        <v>1.8284001639895076E-2</v>
      </c>
      <c r="AQ482" s="126">
        <f t="shared" ca="1" si="126"/>
        <v>1.4211097802370176E-3</v>
      </c>
      <c r="AR482" s="126">
        <f t="shared" ca="1" si="126"/>
        <v>2.0980280208784396E-3</v>
      </c>
      <c r="AS482" s="126">
        <f t="shared" ca="1" si="126"/>
        <v>2.7343706045581673E-3</v>
      </c>
      <c r="AT482" s="126">
        <f t="shared" ca="1" si="126"/>
        <v>2.9803460945951876E-3</v>
      </c>
      <c r="AU482" s="126">
        <f t="shared" ca="1" si="126"/>
        <v>2.9124476721842374E-3</v>
      </c>
      <c r="AV482" s="126">
        <f t="shared" ca="1" si="126"/>
        <v>2.806449336683059E-3</v>
      </c>
      <c r="AW482" s="126">
        <f t="shared" ca="1" si="126"/>
        <v>2.6602173796312911E-3</v>
      </c>
      <c r="AX482" s="126">
        <f t="shared" ca="1" si="126"/>
        <v>2.4732837286611797E-3</v>
      </c>
      <c r="AY482" s="126">
        <f t="shared" ca="1" si="126"/>
        <v>2.2461796717236915E-3</v>
      </c>
    </row>
    <row r="483" spans="2:51">
      <c r="B483" t="s">
        <v>270</v>
      </c>
      <c r="E483" s="126"/>
      <c r="F483" s="126" t="e">
        <f t="shared" ref="F483:N483" si="127">+F480/F73</f>
        <v>#REF!</v>
      </c>
      <c r="G483" s="126" t="e">
        <f t="shared" si="127"/>
        <v>#REF!</v>
      </c>
      <c r="H483" s="126" t="e">
        <f t="shared" si="127"/>
        <v>#REF!</v>
      </c>
      <c r="I483" s="126" t="e">
        <f t="shared" si="127"/>
        <v>#REF!</v>
      </c>
      <c r="J483" s="126" t="e">
        <f t="shared" si="127"/>
        <v>#REF!</v>
      </c>
      <c r="K483" s="126" t="e">
        <f t="shared" si="127"/>
        <v>#REF!</v>
      </c>
      <c r="L483" s="126" t="e">
        <f t="shared" si="127"/>
        <v>#REF!</v>
      </c>
      <c r="M483" s="126" t="e">
        <f t="shared" si="127"/>
        <v>#REF!</v>
      </c>
      <c r="N483" s="126" t="e">
        <f t="shared" si="127"/>
        <v>#REF!</v>
      </c>
      <c r="T483" s="126"/>
      <c r="U483" s="126"/>
      <c r="V483" s="126"/>
      <c r="W483" s="126"/>
      <c r="X483" s="126"/>
      <c r="Y483" s="126">
        <f t="shared" ref="Y483:AY483" si="128">+Y480/Y6</f>
        <v>0</v>
      </c>
      <c r="Z483" s="126">
        <f t="shared" si="128"/>
        <v>0</v>
      </c>
      <c r="AA483" s="126">
        <f t="shared" si="128"/>
        <v>0</v>
      </c>
      <c r="AB483" s="126">
        <f t="shared" si="128"/>
        <v>0</v>
      </c>
      <c r="AC483" s="126">
        <f t="shared" si="128"/>
        <v>0</v>
      </c>
      <c r="AD483" s="126">
        <f t="shared" si="128"/>
        <v>0</v>
      </c>
      <c r="AE483" s="126">
        <f t="shared" si="128"/>
        <v>0</v>
      </c>
      <c r="AF483" s="126">
        <f t="shared" si="128"/>
        <v>0</v>
      </c>
      <c r="AG483" s="126">
        <f t="shared" si="128"/>
        <v>0</v>
      </c>
      <c r="AH483" s="126">
        <f t="shared" si="128"/>
        <v>0</v>
      </c>
      <c r="AI483" s="126">
        <f t="shared" si="128"/>
        <v>0.21092055982653263</v>
      </c>
      <c r="AJ483" s="126">
        <f t="shared" si="128"/>
        <v>0.21014062190532778</v>
      </c>
      <c r="AK483" s="126">
        <f t="shared" si="128"/>
        <v>0.20998618511940007</v>
      </c>
      <c r="AL483" s="126">
        <f t="shared" si="128"/>
        <v>0.20083605961468556</v>
      </c>
      <c r="AM483" s="126">
        <f t="shared" si="128"/>
        <v>0.184012539184953</v>
      </c>
      <c r="AN483" s="126">
        <f t="shared" si="128"/>
        <v>0.18508158508158506</v>
      </c>
      <c r="AO483" s="126">
        <f t="shared" si="128"/>
        <v>0.17949502677888293</v>
      </c>
      <c r="AP483" s="126">
        <f t="shared" ca="1" si="128"/>
        <v>0.18297155995726966</v>
      </c>
      <c r="AQ483" s="126">
        <f t="shared" ca="1" si="128"/>
        <v>0.1818297093473617</v>
      </c>
      <c r="AR483" s="126">
        <f t="shared" ca="1" si="128"/>
        <v>0.18070187039911167</v>
      </c>
      <c r="AS483" s="126">
        <f t="shared" ca="1" si="128"/>
        <v>0.17958908966830528</v>
      </c>
      <c r="AT483" s="126">
        <f t="shared" ca="1" si="128"/>
        <v>0.17845132785765608</v>
      </c>
      <c r="AU483" s="126">
        <f t="shared" ca="1" si="128"/>
        <v>0.17726064397653715</v>
      </c>
      <c r="AV483" s="126">
        <f t="shared" ca="1" si="128"/>
        <v>0.17601865973165545</v>
      </c>
      <c r="AW483" s="126">
        <f t="shared" ca="1" si="128"/>
        <v>0.17472606610886843</v>
      </c>
      <c r="AX483" s="126">
        <f t="shared" ca="1" si="128"/>
        <v>0.17338306154140987</v>
      </c>
      <c r="AY483" s="126">
        <f t="shared" ca="1" si="128"/>
        <v>0.17198962090884207</v>
      </c>
    </row>
    <row r="484" spans="2:51">
      <c r="U484" s="126"/>
      <c r="V484" s="126"/>
      <c r="W484" s="126"/>
      <c r="X484" s="126"/>
      <c r="Y484" s="126"/>
      <c r="Z484" s="126"/>
      <c r="AA484" s="126"/>
      <c r="AB484" s="126"/>
      <c r="AC484" s="126"/>
      <c r="AD484" s="126"/>
      <c r="AE484" s="126"/>
      <c r="AF484" s="126"/>
      <c r="AG484" s="126"/>
      <c r="AH484" s="126"/>
      <c r="AI484" s="126"/>
      <c r="AJ484" s="126"/>
      <c r="AK484" s="126"/>
      <c r="AL484" s="126"/>
      <c r="AM484" s="126"/>
      <c r="AN484" s="126"/>
      <c r="AO484" s="126"/>
      <c r="AP484" s="126"/>
      <c r="AQ484" s="126"/>
      <c r="AR484" s="126"/>
      <c r="AS484" s="126"/>
      <c r="AT484" s="126"/>
      <c r="AU484" s="126"/>
      <c r="AV484" s="126"/>
      <c r="AW484" s="126"/>
      <c r="AX484" s="126"/>
      <c r="AY484" s="126"/>
    </row>
    <row r="485" spans="2:51">
      <c r="B485" t="s">
        <v>268</v>
      </c>
      <c r="E485" s="41"/>
      <c r="F485" s="41">
        <f>Rev!F158</f>
        <v>0</v>
      </c>
      <c r="G485" s="41">
        <f>Rev!G158</f>
        <v>0</v>
      </c>
      <c r="H485" s="41">
        <f>Rev!H158</f>
        <v>0</v>
      </c>
      <c r="I485" s="41">
        <f>Rev!I158</f>
        <v>0</v>
      </c>
      <c r="J485" s="41">
        <f>Rev!J158</f>
        <v>0</v>
      </c>
      <c r="K485" s="41">
        <f>Rev!K158</f>
        <v>5.5495000000000001</v>
      </c>
      <c r="L485" s="41">
        <f ca="1">Rev!L158</f>
        <v>8.1541490000000003</v>
      </c>
      <c r="M485" s="41">
        <f ca="1">Rev!M158</f>
        <v>8.3866493921234184</v>
      </c>
      <c r="N485" s="41">
        <f ca="1">Rev!N158</f>
        <v>8.5553901201913476</v>
      </c>
      <c r="T485" s="41"/>
      <c r="U485" s="41"/>
      <c r="V485" s="41"/>
      <c r="W485" s="41"/>
      <c r="X485" s="41"/>
      <c r="Y485" s="41">
        <f>Rev!Y143</f>
        <v>0</v>
      </c>
      <c r="Z485" s="41">
        <f>Rev!Z143</f>
        <v>0</v>
      </c>
      <c r="AA485" s="41">
        <f>Rev!AA143</f>
        <v>0</v>
      </c>
      <c r="AB485" s="41">
        <f>Rev!AB143</f>
        <v>0</v>
      </c>
      <c r="AC485" s="41">
        <f>Rev!AC143</f>
        <v>0</v>
      </c>
      <c r="AD485" s="41">
        <f>Rev!AD143</f>
        <v>0</v>
      </c>
      <c r="AE485" s="41">
        <f>Rev!AE143</f>
        <v>0</v>
      </c>
      <c r="AF485" s="41">
        <f>Rev!AF143</f>
        <v>0</v>
      </c>
      <c r="AG485" s="41">
        <f>Rev!AG143</f>
        <v>0</v>
      </c>
      <c r="AH485" s="41">
        <f>Rev!AH143</f>
        <v>0</v>
      </c>
      <c r="AI485" s="41">
        <f>Rev!AI143</f>
        <v>101.5</v>
      </c>
      <c r="AJ485" s="41">
        <f>Rev!AJ143</f>
        <v>101.4</v>
      </c>
      <c r="AK485" s="41">
        <f>Rev!AK143</f>
        <v>101.8</v>
      </c>
      <c r="AL485" s="41">
        <f>Rev!AL143</f>
        <v>106.6</v>
      </c>
      <c r="AM485" s="41">
        <f>Rev!AM143</f>
        <v>114.9</v>
      </c>
      <c r="AN485" s="41">
        <f>Rev!AN143</f>
        <v>116.8</v>
      </c>
      <c r="AO485" s="41">
        <f>Rev!AO143</f>
        <v>116.6</v>
      </c>
      <c r="AP485" s="41">
        <f ca="1">Rev!AP143</f>
        <v>116.54605507572501</v>
      </c>
      <c r="AQ485" s="41">
        <f ca="1">Rev!AQ143</f>
        <v>116.71167981444118</v>
      </c>
      <c r="AR485" s="41">
        <f ca="1">Rev!AR143</f>
        <v>116.95654418905566</v>
      </c>
      <c r="AS485" s="41">
        <f ca="1">Rev!AS143</f>
        <v>117.27634672549692</v>
      </c>
      <c r="AT485" s="41">
        <f ca="1">Rev!AT143</f>
        <v>117.62587082744864</v>
      </c>
      <c r="AU485" s="41">
        <f ca="1">Rev!AU143</f>
        <v>117.96845002112867</v>
      </c>
      <c r="AV485" s="41">
        <f ca="1">Rev!AV143</f>
        <v>118.29952249944</v>
      </c>
      <c r="AW485" s="41">
        <f ca="1">Rev!AW143</f>
        <v>118.61422494519509</v>
      </c>
      <c r="AX485" s="41">
        <f ca="1">Rev!AX143</f>
        <v>118.90759157773979</v>
      </c>
      <c r="AY485" s="41">
        <f ca="1">Rev!AY143</f>
        <v>119.17467939275534</v>
      </c>
    </row>
    <row r="486" spans="2:51">
      <c r="B486" t="s">
        <v>132</v>
      </c>
      <c r="E486" s="18"/>
      <c r="F486" s="18" t="e">
        <f>+F480-F485</f>
        <v>#REF!</v>
      </c>
      <c r="G486" s="18" t="e">
        <f>+G480-G485</f>
        <v>#REF!</v>
      </c>
      <c r="H486" s="18" t="e">
        <f>+H480-H485</f>
        <v>#REF!</v>
      </c>
      <c r="I486" s="18" t="e">
        <f t="shared" ref="I486:N486" si="129">+I480-I485</f>
        <v>#REF!</v>
      </c>
      <c r="J486" s="18" t="e">
        <f t="shared" si="129"/>
        <v>#REF!</v>
      </c>
      <c r="K486" s="18" t="e">
        <f t="shared" si="129"/>
        <v>#REF!</v>
      </c>
      <c r="L486" s="18" t="e">
        <f t="shared" ca="1" si="129"/>
        <v>#REF!</v>
      </c>
      <c r="M486" s="18" t="e">
        <f t="shared" ca="1" si="129"/>
        <v>#REF!</v>
      </c>
      <c r="N486" s="18" t="e">
        <f t="shared" ca="1" si="129"/>
        <v>#REF!</v>
      </c>
      <c r="T486" s="41"/>
      <c r="U486" s="41"/>
      <c r="V486" s="41"/>
      <c r="W486" s="41"/>
      <c r="X486" s="41"/>
      <c r="Y486" s="41"/>
      <c r="Z486" s="41"/>
      <c r="AA486" s="41"/>
      <c r="AB486" s="41"/>
      <c r="AC486" s="41"/>
      <c r="AD486" s="41"/>
      <c r="AE486" s="41"/>
      <c r="AF486" s="41"/>
      <c r="AG486" s="41"/>
      <c r="AH486" s="41"/>
      <c r="AI486" s="41"/>
      <c r="AJ486" s="41"/>
      <c r="AK486" s="41"/>
      <c r="AL486" s="41"/>
      <c r="AM486" s="41"/>
      <c r="AN486" s="41"/>
      <c r="AO486" s="41"/>
      <c r="AP486" s="41"/>
      <c r="AQ486" s="41"/>
      <c r="AR486" s="41"/>
      <c r="AS486" s="41"/>
      <c r="AT486" s="41"/>
      <c r="AU486" s="41"/>
      <c r="AV486" s="41"/>
      <c r="AW486" s="41"/>
      <c r="AX486" s="41"/>
      <c r="AY486" s="41"/>
    </row>
    <row r="487" spans="2:51">
      <c r="E487" s="18"/>
      <c r="F487" s="18"/>
      <c r="G487" s="18"/>
      <c r="H487" s="18"/>
      <c r="I487" s="18"/>
      <c r="J487" s="18"/>
      <c r="K487" s="18"/>
      <c r="L487" s="18"/>
      <c r="M487" s="18"/>
      <c r="N487" s="18"/>
      <c r="T487" s="41"/>
      <c r="U487" s="41"/>
      <c r="V487" s="41"/>
      <c r="W487" s="41"/>
      <c r="X487" s="41"/>
      <c r="Y487" s="41"/>
      <c r="Z487" s="41"/>
      <c r="AA487" s="41"/>
      <c r="AB487" s="41"/>
      <c r="AC487" s="41"/>
      <c r="AD487" s="41"/>
      <c r="AE487" s="41"/>
      <c r="AF487" s="41"/>
      <c r="AG487" s="41"/>
      <c r="AH487" s="41"/>
      <c r="AI487" s="41"/>
      <c r="AJ487" s="41"/>
      <c r="AK487" s="41"/>
      <c r="AL487" s="41"/>
      <c r="AM487" s="41"/>
      <c r="AN487" s="41"/>
      <c r="AO487" s="41"/>
      <c r="AP487" s="41"/>
      <c r="AQ487" s="41"/>
      <c r="AR487" s="41"/>
      <c r="AS487" s="41"/>
      <c r="AT487" s="41"/>
      <c r="AU487" s="41"/>
      <c r="AV487" s="41"/>
      <c r="AW487" s="41"/>
      <c r="AX487" s="41"/>
      <c r="AY487" s="41"/>
    </row>
    <row r="488" spans="2:51" s="15" customFormat="1">
      <c r="B488" s="15" t="s">
        <v>69</v>
      </c>
      <c r="E488" s="41"/>
      <c r="F488" s="41">
        <f>IS!F159</f>
        <v>0</v>
      </c>
      <c r="G488" s="41">
        <f>IS!G159</f>
        <v>0</v>
      </c>
      <c r="H488" s="41">
        <f>IS!H159</f>
        <v>0</v>
      </c>
      <c r="I488" s="41">
        <f>IS!I159</f>
        <v>0</v>
      </c>
      <c r="J488" s="41">
        <f>IS!J159</f>
        <v>0</v>
      </c>
      <c r="K488" s="41">
        <f>IS!K159</f>
        <v>0</v>
      </c>
      <c r="L488" s="41">
        <f>IS!L159</f>
        <v>0</v>
      </c>
      <c r="M488" s="41">
        <f>IS!M159</f>
        <v>0</v>
      </c>
      <c r="N488" s="41">
        <f>IS!N159</f>
        <v>0</v>
      </c>
      <c r="T488" s="41"/>
      <c r="U488" s="41"/>
      <c r="V488" s="41"/>
      <c r="W488" s="41"/>
      <c r="X488" s="41"/>
      <c r="Y488" s="41">
        <f>IS!Y159</f>
        <v>0</v>
      </c>
      <c r="Z488" s="41">
        <f>IS!Z159</f>
        <v>0</v>
      </c>
      <c r="AA488" s="41">
        <f>IS!AA159</f>
        <v>0</v>
      </c>
      <c r="AB488" s="41">
        <f>IS!AB159</f>
        <v>0</v>
      </c>
      <c r="AC488" s="41">
        <f>IS!AC159</f>
        <v>0</v>
      </c>
      <c r="AD488" s="41">
        <f>IS!AD159</f>
        <v>0</v>
      </c>
      <c r="AE488" s="41">
        <f>IS!AE159</f>
        <v>0</v>
      </c>
      <c r="AF488" s="41">
        <f>IS!AF159</f>
        <v>0</v>
      </c>
      <c r="AG488" s="41">
        <f>IS!AG159</f>
        <v>0</v>
      </c>
      <c r="AH488" s="41">
        <f>IS!AH159</f>
        <v>0</v>
      </c>
      <c r="AI488" s="41">
        <f>IS!AI159</f>
        <v>0</v>
      </c>
      <c r="AJ488" s="41">
        <f>IS!AJ159</f>
        <v>0</v>
      </c>
      <c r="AK488" s="41">
        <f>IS!AK159</f>
        <v>0</v>
      </c>
      <c r="AL488" s="41">
        <f>IS!AL159</f>
        <v>0</v>
      </c>
      <c r="AM488" s="41">
        <f>IS!AM159</f>
        <v>0</v>
      </c>
      <c r="AN488" s="41">
        <f>IS!AN159</f>
        <v>0</v>
      </c>
      <c r="AO488" s="41">
        <f>IS!AO159</f>
        <v>0</v>
      </c>
      <c r="AP488" s="41">
        <f>IS!AP159</f>
        <v>0</v>
      </c>
      <c r="AQ488" s="41">
        <f>IS!AQ159</f>
        <v>0</v>
      </c>
      <c r="AR488" s="41">
        <f>IS!AR159</f>
        <v>0</v>
      </c>
      <c r="AS488" s="41">
        <f>IS!AS159</f>
        <v>0</v>
      </c>
      <c r="AT488" s="41">
        <f>IS!AT159</f>
        <v>0</v>
      </c>
      <c r="AU488" s="41">
        <f>IS!AU159</f>
        <v>0</v>
      </c>
      <c r="AV488" s="41">
        <f>IS!AV159</f>
        <v>0</v>
      </c>
      <c r="AW488" s="41">
        <f>IS!AW159</f>
        <v>0</v>
      </c>
      <c r="AX488" s="41">
        <f>IS!AX159</f>
        <v>0</v>
      </c>
      <c r="AY488" s="41">
        <f>IS!AY159</f>
        <v>0</v>
      </c>
    </row>
    <row r="489" spans="2:51" s="15" customFormat="1">
      <c r="B489" s="80" t="s">
        <v>203</v>
      </c>
      <c r="E489" s="126"/>
      <c r="F489" s="126" t="e">
        <f t="shared" ref="F489:N489" si="130">+F488/F480</f>
        <v>#REF!</v>
      </c>
      <c r="G489" s="126" t="e">
        <f t="shared" si="130"/>
        <v>#REF!</v>
      </c>
      <c r="H489" s="126" t="e">
        <f t="shared" si="130"/>
        <v>#REF!</v>
      </c>
      <c r="I489" s="126" t="e">
        <f t="shared" si="130"/>
        <v>#REF!</v>
      </c>
      <c r="J489" s="126" t="e">
        <f t="shared" si="130"/>
        <v>#REF!</v>
      </c>
      <c r="K489" s="126" t="e">
        <f t="shared" si="130"/>
        <v>#REF!</v>
      </c>
      <c r="L489" s="126" t="e">
        <f t="shared" si="130"/>
        <v>#REF!</v>
      </c>
      <c r="M489" s="126" t="e">
        <f t="shared" si="130"/>
        <v>#REF!</v>
      </c>
      <c r="N489" s="126" t="e">
        <f t="shared" si="130"/>
        <v>#REF!</v>
      </c>
      <c r="T489" s="126"/>
      <c r="U489" s="126"/>
      <c r="V489" s="126"/>
      <c r="W489" s="126"/>
      <c r="X489" s="126"/>
      <c r="Y489" s="126" t="e">
        <f t="shared" ref="Y489:AY489" si="131">+Y488/Y480</f>
        <v>#DIV/0!</v>
      </c>
      <c r="Z489" s="126" t="e">
        <f t="shared" si="131"/>
        <v>#DIV/0!</v>
      </c>
      <c r="AA489" s="126" t="e">
        <f t="shared" si="131"/>
        <v>#DIV/0!</v>
      </c>
      <c r="AB489" s="126" t="e">
        <f t="shared" si="131"/>
        <v>#DIV/0!</v>
      </c>
      <c r="AC489" s="126" t="e">
        <f t="shared" si="131"/>
        <v>#DIV/0!</v>
      </c>
      <c r="AD489" s="126" t="e">
        <f t="shared" si="131"/>
        <v>#DIV/0!</v>
      </c>
      <c r="AE489" s="126" t="e">
        <f t="shared" si="131"/>
        <v>#DIV/0!</v>
      </c>
      <c r="AF489" s="126" t="e">
        <f t="shared" si="131"/>
        <v>#DIV/0!</v>
      </c>
      <c r="AG489" s="126" t="e">
        <f t="shared" si="131"/>
        <v>#DIV/0!</v>
      </c>
      <c r="AH489" s="126" t="e">
        <f t="shared" si="131"/>
        <v>#DIV/0!</v>
      </c>
      <c r="AI489" s="126">
        <f t="shared" si="131"/>
        <v>0</v>
      </c>
      <c r="AJ489" s="126">
        <f t="shared" si="131"/>
        <v>0</v>
      </c>
      <c r="AK489" s="126">
        <f t="shared" si="131"/>
        <v>0</v>
      </c>
      <c r="AL489" s="126">
        <f t="shared" si="131"/>
        <v>0</v>
      </c>
      <c r="AM489" s="126">
        <f t="shared" si="131"/>
        <v>0</v>
      </c>
      <c r="AN489" s="126">
        <f t="shared" si="131"/>
        <v>0</v>
      </c>
      <c r="AO489" s="126">
        <f t="shared" si="131"/>
        <v>0</v>
      </c>
      <c r="AP489" s="126">
        <f t="shared" ca="1" si="131"/>
        <v>0</v>
      </c>
      <c r="AQ489" s="126">
        <f t="shared" ca="1" si="131"/>
        <v>0</v>
      </c>
      <c r="AR489" s="126">
        <f t="shared" ca="1" si="131"/>
        <v>0</v>
      </c>
      <c r="AS489" s="126">
        <f t="shared" ca="1" si="131"/>
        <v>0</v>
      </c>
      <c r="AT489" s="126">
        <f t="shared" ca="1" si="131"/>
        <v>0</v>
      </c>
      <c r="AU489" s="126">
        <f t="shared" ca="1" si="131"/>
        <v>0</v>
      </c>
      <c r="AV489" s="126">
        <f t="shared" ca="1" si="131"/>
        <v>0</v>
      </c>
      <c r="AW489" s="126">
        <f t="shared" ca="1" si="131"/>
        <v>0</v>
      </c>
      <c r="AX489" s="126">
        <f t="shared" ca="1" si="131"/>
        <v>0</v>
      </c>
      <c r="AY489" s="126">
        <f t="shared" ca="1" si="131"/>
        <v>0</v>
      </c>
    </row>
    <row r="490" spans="2:51">
      <c r="G490" s="41"/>
      <c r="H490" s="18"/>
      <c r="I490" s="18"/>
      <c r="J490" s="18"/>
      <c r="K490" s="18"/>
      <c r="L490" s="18"/>
      <c r="M490" s="18"/>
      <c r="N490" s="18"/>
      <c r="T490" s="41"/>
      <c r="U490" s="41"/>
      <c r="V490" s="41"/>
      <c r="W490" s="41"/>
      <c r="X490" s="41"/>
      <c r="Y490" s="41"/>
      <c r="Z490" s="41"/>
      <c r="AA490" s="41"/>
      <c r="AB490" s="41"/>
      <c r="AC490" s="41"/>
      <c r="AD490" s="41"/>
      <c r="AE490" s="41"/>
      <c r="AF490" s="41"/>
      <c r="AG490" s="41"/>
      <c r="AH490" s="41"/>
      <c r="AI490" s="41"/>
      <c r="AJ490" s="41"/>
      <c r="AK490" s="41"/>
      <c r="AL490" s="41"/>
      <c r="AM490" s="41"/>
      <c r="AN490" s="41"/>
      <c r="AO490" s="41"/>
      <c r="AP490" s="41"/>
      <c r="AQ490" s="41"/>
      <c r="AR490" s="41"/>
      <c r="AS490" s="41"/>
      <c r="AT490" s="41"/>
      <c r="AU490" s="41"/>
      <c r="AV490" s="41"/>
      <c r="AW490" s="41"/>
      <c r="AX490" s="41"/>
      <c r="AY490" s="41"/>
    </row>
    <row r="540" spans="1:52" s="64" customFormat="1">
      <c r="A540" s="63" t="s">
        <v>40</v>
      </c>
      <c r="B540" s="63" t="s">
        <v>277</v>
      </c>
      <c r="C540" s="67"/>
      <c r="D540" s="67"/>
      <c r="E540" s="67"/>
      <c r="F540" s="67"/>
      <c r="G540" s="67"/>
      <c r="H540" s="67"/>
      <c r="I540" s="67"/>
      <c r="J540" s="67"/>
      <c r="K540" s="67"/>
      <c r="L540" s="67"/>
      <c r="M540" s="67"/>
      <c r="N540" s="67"/>
      <c r="O540" s="127"/>
      <c r="V540" s="71"/>
      <c r="Y540" s="71"/>
      <c r="Z540" s="75"/>
      <c r="AA540" s="75"/>
      <c r="AB540" s="75"/>
      <c r="AC540" s="75"/>
      <c r="AD540" s="75"/>
      <c r="AE540" s="75"/>
      <c r="AF540" s="75"/>
      <c r="AG540" s="75"/>
      <c r="AH540" s="75"/>
      <c r="AI540" s="75"/>
      <c r="AJ540" s="75"/>
      <c r="AK540" s="75"/>
      <c r="AL540" s="75"/>
      <c r="AM540" s="75"/>
      <c r="AN540" s="75"/>
      <c r="AO540" s="75"/>
      <c r="AP540" s="75"/>
      <c r="AQ540" s="75"/>
      <c r="AR540" s="75"/>
      <c r="AS540" s="75"/>
      <c r="AT540" s="75"/>
      <c r="AU540" s="75"/>
      <c r="AV540" s="75"/>
      <c r="AW540" s="75"/>
      <c r="AX540" s="75"/>
      <c r="AY540" s="75"/>
      <c r="AZ540" s="75"/>
    </row>
    <row r="541" spans="1:52">
      <c r="B541" t="s">
        <v>76</v>
      </c>
      <c r="H541" s="2">
        <f t="shared" ref="H541:N541" si="132">+H7</f>
        <v>0.118308415130147</v>
      </c>
      <c r="I541" s="2">
        <f t="shared" si="132"/>
        <v>0.1993548129084679</v>
      </c>
      <c r="J541" s="2">
        <f t="shared" si="132"/>
        <v>0.27807883601811301</v>
      </c>
      <c r="K541" s="2">
        <f t="shared" si="132"/>
        <v>0.27769065458558417</v>
      </c>
      <c r="L541" s="2">
        <f t="shared" ca="1" si="132"/>
        <v>0.1853998601696234</v>
      </c>
      <c r="M541" s="2">
        <f t="shared" ca="1" si="132"/>
        <v>3.1660815142734888E-2</v>
      </c>
      <c r="N541" s="2">
        <f t="shared" ca="1" si="132"/>
        <v>3.9906902267784483E-2</v>
      </c>
      <c r="O541" s="2"/>
      <c r="P541" s="2"/>
      <c r="Q541" s="2"/>
      <c r="R541" s="2"/>
      <c r="S541" s="2"/>
      <c r="T541" s="2"/>
      <c r="U541" s="2"/>
      <c r="V541" s="2"/>
      <c r="W541" s="2"/>
      <c r="X541" s="2">
        <f t="shared" ref="X541:AY541" si="133">+X7</f>
        <v>0.13577143389605717</v>
      </c>
      <c r="Y541" s="2">
        <f t="shared" si="133"/>
        <v>0.10779458557715449</v>
      </c>
      <c r="Z541" s="2">
        <f t="shared" si="133"/>
        <v>9.6817820869124604E-2</v>
      </c>
      <c r="AA541" s="2">
        <f t="shared" si="133"/>
        <v>0.13366813171897385</v>
      </c>
      <c r="AB541" s="2">
        <f t="shared" si="133"/>
        <v>0.19604204130504188</v>
      </c>
      <c r="AC541" s="2">
        <f t="shared" si="133"/>
        <v>0.16941484905326187</v>
      </c>
      <c r="AD541" s="2">
        <f t="shared" si="133"/>
        <v>0.21076239815347586</v>
      </c>
      <c r="AE541" s="2">
        <f t="shared" si="133"/>
        <v>0.21947371077731659</v>
      </c>
      <c r="AF541" s="2">
        <f t="shared" si="133"/>
        <v>0.14410480349344978</v>
      </c>
      <c r="AG541" s="2">
        <f t="shared" si="133"/>
        <v>0.14109292991664102</v>
      </c>
      <c r="AH541" s="2">
        <f t="shared" si="133"/>
        <v>0.40299383621954799</v>
      </c>
      <c r="AI541" s="2">
        <f t="shared" si="133"/>
        <v>0.40176844432163583</v>
      </c>
      <c r="AJ541" s="2">
        <f t="shared" si="133"/>
        <v>0.37649945474372948</v>
      </c>
      <c r="AK541" s="2">
        <f t="shared" si="133"/>
        <v>0.37094155844155829</v>
      </c>
      <c r="AL541" s="2">
        <f t="shared" si="133"/>
        <v>0.15104602510460263</v>
      </c>
      <c r="AM541" s="2">
        <f t="shared" si="133"/>
        <v>0.257638478218017</v>
      </c>
      <c r="AN541" s="2">
        <f t="shared" si="133"/>
        <v>0.27450980392156876</v>
      </c>
      <c r="AO541" s="2">
        <f t="shared" si="133"/>
        <v>0.2897177817248866</v>
      </c>
      <c r="AP541" s="2">
        <f t="shared" ca="1" si="133"/>
        <v>0.18648637642833155</v>
      </c>
      <c r="AQ541" s="2">
        <f t="shared" ca="1" si="133"/>
        <v>3.1093743088196568E-2</v>
      </c>
      <c r="AR541" s="2">
        <f t="shared" ca="1" si="133"/>
        <v>3.0819636746991952E-2</v>
      </c>
      <c r="AS541" s="2">
        <f t="shared" ca="1" si="133"/>
        <v>2.4128006273631986E-2</v>
      </c>
      <c r="AT541" s="2">
        <f t="shared" ca="1" si="133"/>
        <v>3.4830167206888474E-2</v>
      </c>
      <c r="AU541" s="2">
        <f t="shared" ca="1" si="133"/>
        <v>3.6821693094464258E-2</v>
      </c>
      <c r="AV541" s="2">
        <f t="shared" ca="1" si="133"/>
        <v>3.83945554902827E-2</v>
      </c>
      <c r="AW541" s="2">
        <f t="shared" ca="1" si="133"/>
        <v>3.9557692842181025E-2</v>
      </c>
      <c r="AX541" s="2">
        <f t="shared" ca="1" si="133"/>
        <v>4.0446725302380804E-2</v>
      </c>
      <c r="AY541" s="2">
        <f t="shared" ca="1" si="133"/>
        <v>4.1185718506198787E-2</v>
      </c>
    </row>
    <row r="542" spans="1:52">
      <c r="B542" t="s">
        <v>328</v>
      </c>
      <c r="H542" s="2" t="e">
        <f>H359</f>
        <v>#DIV/0!</v>
      </c>
      <c r="I542" s="2" t="e">
        <f>I359</f>
        <v>#DIV/0!</v>
      </c>
      <c r="J542" s="2" t="e">
        <f t="shared" ref="J542:AY542" si="134">J359</f>
        <v>#DIV/0!</v>
      </c>
      <c r="K542" s="2" t="e">
        <f t="shared" si="134"/>
        <v>#DIV/0!</v>
      </c>
      <c r="L542" s="2">
        <f t="shared" ca="1" si="134"/>
        <v>0.1202162423589026</v>
      </c>
      <c r="M542" s="2">
        <f t="shared" ca="1" si="134"/>
        <v>9.9713209000047431E-2</v>
      </c>
      <c r="N542" s="2">
        <f t="shared" ca="1" si="134"/>
        <v>9.7492352435355256E-2</v>
      </c>
      <c r="O542" s="2"/>
      <c r="P542" s="2"/>
      <c r="Q542" s="2"/>
      <c r="R542" s="2"/>
      <c r="S542" s="2"/>
      <c r="T542" s="2"/>
      <c r="U542" s="2"/>
      <c r="V542" s="2"/>
      <c r="W542" s="2"/>
      <c r="X542" s="2">
        <f t="shared" si="134"/>
        <v>0</v>
      </c>
      <c r="Y542" s="2">
        <f t="shared" si="134"/>
        <v>0</v>
      </c>
      <c r="Z542" s="2">
        <f t="shared" si="134"/>
        <v>0</v>
      </c>
      <c r="AA542" s="2">
        <f t="shared" si="134"/>
        <v>0</v>
      </c>
      <c r="AB542" s="2">
        <f t="shared" si="134"/>
        <v>0</v>
      </c>
      <c r="AC542" s="2">
        <f t="shared" si="134"/>
        <v>0</v>
      </c>
      <c r="AD542" s="2">
        <f t="shared" si="134"/>
        <v>0</v>
      </c>
      <c r="AE542" s="2">
        <f t="shared" si="134"/>
        <v>0</v>
      </c>
      <c r="AF542" s="2">
        <f t="shared" si="134"/>
        <v>0</v>
      </c>
      <c r="AG542" s="2">
        <f t="shared" si="134"/>
        <v>0</v>
      </c>
      <c r="AH542" s="2">
        <f t="shared" si="134"/>
        <v>0</v>
      </c>
      <c r="AI542" s="2">
        <f t="shared" si="134"/>
        <v>0</v>
      </c>
      <c r="AJ542" s="2">
        <f t="shared" si="134"/>
        <v>0</v>
      </c>
      <c r="AK542" s="2">
        <f t="shared" si="134"/>
        <v>0</v>
      </c>
      <c r="AL542" s="2">
        <f t="shared" si="134"/>
        <v>0</v>
      </c>
      <c r="AM542" s="2">
        <f t="shared" si="134"/>
        <v>0.10859465737514529</v>
      </c>
      <c r="AN542" s="2">
        <f t="shared" si="134"/>
        <v>0.12291786329695586</v>
      </c>
      <c r="AO542" s="2">
        <f t="shared" si="134"/>
        <v>0.12957746478873244</v>
      </c>
      <c r="AP542" s="2">
        <f t="shared" ca="1" si="134"/>
        <v>0.13109631531860821</v>
      </c>
      <c r="AQ542" s="2">
        <f t="shared" ca="1" si="134"/>
        <v>9.8812207313470957E-2</v>
      </c>
      <c r="AR542" s="2">
        <f t="shared" ca="1" si="134"/>
        <v>9.8145289839901118E-2</v>
      </c>
      <c r="AS542" s="2">
        <f t="shared" ca="1" si="134"/>
        <v>9.5959865012977819E-2</v>
      </c>
      <c r="AT542" s="2">
        <f t="shared" ca="1" si="134"/>
        <v>0.10718319234362594</v>
      </c>
      <c r="AU542" s="2">
        <f t="shared" ca="1" si="134"/>
        <v>9.7527815037653731E-2</v>
      </c>
      <c r="AV542" s="2">
        <f t="shared" ca="1" si="134"/>
        <v>9.7617305566954249E-2</v>
      </c>
      <c r="AW542" s="2">
        <f t="shared" ca="1" si="134"/>
        <v>9.7601265565848916E-2</v>
      </c>
      <c r="AX542" s="2">
        <f t="shared" ca="1" si="134"/>
        <v>9.7486060100425709E-2</v>
      </c>
      <c r="AY542" s="2">
        <f t="shared" ca="1" si="134"/>
        <v>9.7278022873909631E-2</v>
      </c>
    </row>
    <row r="543" spans="1:52">
      <c r="B543" t="s">
        <v>329</v>
      </c>
      <c r="H543" s="2" t="e">
        <f t="shared" ref="H543:AY543" si="135">H420</f>
        <v>#DIV/0!</v>
      </c>
      <c r="I543" s="2" t="e">
        <f t="shared" si="135"/>
        <v>#DIV/0!</v>
      </c>
      <c r="J543" s="2" t="e">
        <f t="shared" si="135"/>
        <v>#DIV/0!</v>
      </c>
      <c r="K543" s="2" t="e">
        <f t="shared" si="135"/>
        <v>#DIV/0!</v>
      </c>
      <c r="L543" s="2">
        <f t="shared" ca="1" si="135"/>
        <v>0.1282800715799246</v>
      </c>
      <c r="M543" s="2">
        <f t="shared" ca="1" si="135"/>
        <v>8.7255032333525717E-2</v>
      </c>
      <c r="N543" s="2">
        <f t="shared" ca="1" si="135"/>
        <v>8.9417187548333832E-2</v>
      </c>
      <c r="O543" s="2"/>
      <c r="P543" s="2"/>
      <c r="Q543" s="2"/>
      <c r="R543" s="2"/>
      <c r="S543" s="2"/>
      <c r="T543" s="2"/>
      <c r="U543" s="2"/>
      <c r="V543" s="2"/>
      <c r="W543" s="2"/>
      <c r="X543" s="2">
        <f t="shared" si="135"/>
        <v>0</v>
      </c>
      <c r="Y543" s="2">
        <f t="shared" si="135"/>
        <v>0</v>
      </c>
      <c r="Z543" s="2">
        <f t="shared" si="135"/>
        <v>0</v>
      </c>
      <c r="AA543" s="2">
        <f t="shared" si="135"/>
        <v>0</v>
      </c>
      <c r="AB543" s="2">
        <f t="shared" si="135"/>
        <v>0</v>
      </c>
      <c r="AC543" s="2">
        <f t="shared" si="135"/>
        <v>0</v>
      </c>
      <c r="AD543" s="2">
        <f t="shared" si="135"/>
        <v>0</v>
      </c>
      <c r="AE543" s="2">
        <f t="shared" si="135"/>
        <v>0</v>
      </c>
      <c r="AF543" s="2">
        <f t="shared" si="135"/>
        <v>0</v>
      </c>
      <c r="AG543" s="2">
        <f t="shared" si="135"/>
        <v>0</v>
      </c>
      <c r="AH543" s="2">
        <f t="shared" si="135"/>
        <v>0</v>
      </c>
      <c r="AI543" s="2">
        <f t="shared" si="135"/>
        <v>0</v>
      </c>
      <c r="AJ543" s="2">
        <f t="shared" si="135"/>
        <v>0</v>
      </c>
      <c r="AK543" s="2">
        <f t="shared" si="135"/>
        <v>0</v>
      </c>
      <c r="AL543" s="2">
        <f t="shared" si="135"/>
        <v>0</v>
      </c>
      <c r="AM543" s="2">
        <f t="shared" si="135"/>
        <v>0.125</v>
      </c>
      <c r="AN543" s="2">
        <f t="shared" si="135"/>
        <v>0.140625</v>
      </c>
      <c r="AO543" s="2">
        <f t="shared" si="135"/>
        <v>0.14095238095238094</v>
      </c>
      <c r="AP543" s="2">
        <f t="shared" ca="1" si="135"/>
        <v>0.13660641521557526</v>
      </c>
      <c r="AQ543" s="2">
        <f t="shared" ca="1" si="135"/>
        <v>9.7527891755714968E-2</v>
      </c>
      <c r="AR543" s="2">
        <f t="shared" ca="1" si="135"/>
        <v>8.8302868975074666E-2</v>
      </c>
      <c r="AS543" s="2">
        <f t="shared" ca="1" si="135"/>
        <v>8.3720458709062084E-2</v>
      </c>
      <c r="AT543" s="2">
        <f t="shared" ca="1" si="135"/>
        <v>8.8415483469649558E-2</v>
      </c>
      <c r="AU543" s="2">
        <f t="shared" ca="1" si="135"/>
        <v>8.853786041980638E-2</v>
      </c>
      <c r="AV543" s="2">
        <f t="shared" ca="1" si="135"/>
        <v>8.8908462512955255E-2</v>
      </c>
      <c r="AW543" s="2">
        <f t="shared" ca="1" si="135"/>
        <v>8.9302479604785434E-2</v>
      </c>
      <c r="AX543" s="2">
        <f t="shared" ca="1" si="135"/>
        <v>8.9617355368657226E-2</v>
      </c>
      <c r="AY543" s="2">
        <f t="shared" ca="1" si="135"/>
        <v>8.9808486251420128E-2</v>
      </c>
    </row>
    <row r="577" spans="1:52" s="64" customFormat="1">
      <c r="A577" s="63" t="s">
        <v>40</v>
      </c>
      <c r="B577" s="63" t="s">
        <v>439</v>
      </c>
      <c r="C577" s="67"/>
      <c r="D577" s="67"/>
      <c r="E577" s="67"/>
      <c r="F577" s="67"/>
      <c r="G577" s="67"/>
      <c r="H577" s="67"/>
      <c r="I577" s="67"/>
      <c r="J577" s="67"/>
      <c r="K577" s="67"/>
      <c r="L577" s="67"/>
      <c r="M577" s="67"/>
      <c r="N577" s="67"/>
      <c r="O577" s="127"/>
      <c r="V577" s="71"/>
      <c r="Y577" s="71"/>
      <c r="Z577" s="75"/>
      <c r="AA577" s="75"/>
      <c r="AB577" s="75"/>
      <c r="AC577" s="75"/>
      <c r="AD577" s="75"/>
      <c r="AE577" s="75"/>
      <c r="AF577" s="75"/>
      <c r="AG577" s="75"/>
      <c r="AH577" s="75"/>
      <c r="AI577" s="75"/>
      <c r="AJ577" s="75"/>
      <c r="AK577" s="75"/>
      <c r="AL577" s="75"/>
      <c r="AM577" s="75"/>
      <c r="AN577" s="75"/>
      <c r="AO577" s="75"/>
      <c r="AP577" s="75"/>
      <c r="AQ577" s="75"/>
      <c r="AR577" s="75"/>
      <c r="AS577" s="75"/>
      <c r="AT577" s="75"/>
      <c r="AU577" s="75"/>
      <c r="AV577" s="75"/>
      <c r="AW577" s="75"/>
      <c r="AX577" s="75"/>
      <c r="AY577" s="75"/>
      <c r="AZ577" s="75"/>
    </row>
    <row r="578" spans="1:52">
      <c r="B578" t="s">
        <v>421</v>
      </c>
      <c r="E578" s="41"/>
      <c r="F578" s="41"/>
      <c r="G578" s="41"/>
      <c r="H578" s="41"/>
      <c r="I578" s="41"/>
      <c r="J578" s="41"/>
      <c r="K578" s="41"/>
      <c r="L578" s="41"/>
      <c r="M578" s="41"/>
      <c r="N578" s="41"/>
      <c r="T578" s="41"/>
      <c r="U578" s="41"/>
      <c r="V578" s="41"/>
      <c r="W578" s="41"/>
      <c r="X578" s="41"/>
      <c r="Y578" s="41"/>
      <c r="Z578" s="41"/>
      <c r="AA578" s="41"/>
      <c r="AB578" s="41"/>
      <c r="AC578" s="41"/>
      <c r="AD578" s="41"/>
      <c r="AE578" s="41"/>
      <c r="AF578" s="41"/>
      <c r="AG578" s="41"/>
      <c r="AH578" s="41"/>
      <c r="AI578" s="41"/>
      <c r="AJ578" s="41"/>
      <c r="AK578" s="41"/>
      <c r="AL578" s="41">
        <f>Rev!AL82</f>
        <v>179.6</v>
      </c>
      <c r="AM578" s="41">
        <f>Rev!AM82</f>
        <v>190.9</v>
      </c>
      <c r="AN578" s="41">
        <f>Rev!AN82</f>
        <v>195.5</v>
      </c>
      <c r="AO578" s="41">
        <f>Rev!AO82</f>
        <v>200.5</v>
      </c>
      <c r="AP578" s="41">
        <f ca="1">Rev!AP82</f>
        <v>203.14489823122202</v>
      </c>
      <c r="AQ578" s="41">
        <f ca="1">Rev!AQ82</f>
        <v>209.7632503761416</v>
      </c>
      <c r="AR578" s="41">
        <f ca="1">Rev!AR82</f>
        <v>214.68740416370065</v>
      </c>
      <c r="AS578" s="41">
        <f ca="1">Rev!AS82</f>
        <v>219.73995293510205</v>
      </c>
      <c r="AT578" s="41">
        <f ca="1">Rev!AT82</f>
        <v>224.9186169319654</v>
      </c>
      <c r="AU578" s="41">
        <f ca="1">Rev!AU82</f>
        <v>230.22100186052299</v>
      </c>
      <c r="AV578" s="41">
        <f ca="1">Rev!AV82</f>
        <v>235.64461009732483</v>
      </c>
      <c r="AW578" s="41">
        <f ca="1">Rev!AW82</f>
        <v>241.18685043694808</v>
      </c>
      <c r="AX578" s="41">
        <f ca="1">Rev!AX82</f>
        <v>246.84504673989963</v>
      </c>
      <c r="AY578" s="41">
        <f ca="1">Rev!AY82</f>
        <v>252.61644574556533</v>
      </c>
    </row>
    <row r="579" spans="1:52">
      <c r="B579" t="s">
        <v>419</v>
      </c>
      <c r="E579" s="41"/>
      <c r="F579" s="41"/>
      <c r="G579" s="41"/>
      <c r="H579" s="41"/>
      <c r="I579" s="41"/>
      <c r="J579" s="41"/>
      <c r="K579" s="41"/>
      <c r="L579" s="41"/>
      <c r="M579" s="41"/>
      <c r="N579" s="41"/>
      <c r="T579" s="41"/>
      <c r="U579" s="41"/>
      <c r="V579" s="41"/>
      <c r="W579" s="41"/>
      <c r="X579" s="41"/>
      <c r="Y579" s="41"/>
      <c r="Z579" s="41"/>
      <c r="AA579" s="41"/>
      <c r="AB579" s="41"/>
      <c r="AC579" s="41"/>
      <c r="AD579" s="41"/>
      <c r="AE579" s="41"/>
      <c r="AF579" s="41"/>
      <c r="AG579" s="41"/>
      <c r="AH579" s="41"/>
      <c r="AI579" s="41"/>
      <c r="AJ579" s="41"/>
      <c r="AK579" s="41"/>
      <c r="AL579" s="41">
        <f>Rev!AL128</f>
        <v>53.6</v>
      </c>
      <c r="AM579" s="41">
        <f>Rev!AM128</f>
        <v>56.7</v>
      </c>
      <c r="AN579" s="41">
        <f>Rev!AN128</f>
        <v>58.4</v>
      </c>
      <c r="AO579" s="41">
        <f>Rev!AO128</f>
        <v>59.9</v>
      </c>
      <c r="AP579" s="41">
        <f ca="1">Rev!AP128</f>
        <v>60.92210385555483</v>
      </c>
      <c r="AQ579" s="41">
        <f ca="1">Rev!AQ128</f>
        <v>62.229831462549043</v>
      </c>
      <c r="AR579" s="41">
        <f ca="1">Rev!AR128</f>
        <v>63.556887548144353</v>
      </c>
      <c r="AS579" s="41">
        <f ca="1">Rev!AS128</f>
        <v>64.914855476672813</v>
      </c>
      <c r="AT579" s="41">
        <f ca="1">Rev!AT128</f>
        <v>66.308561121931916</v>
      </c>
      <c r="AU579" s="41">
        <f ca="1">Rev!AU128</f>
        <v>67.739527594528283</v>
      </c>
      <c r="AV579" s="41">
        <f ca="1">Rev!AV128</f>
        <v>69.207632702158662</v>
      </c>
      <c r="AW579" s="41">
        <f ca="1">Rev!AW128</f>
        <v>70.711913033925981</v>
      </c>
      <c r="AX579" s="41">
        <f ca="1">Rev!AX128</f>
        <v>72.250959007980413</v>
      </c>
      <c r="AY579" s="41">
        <f ca="1">Rev!AY128</f>
        <v>73.823112027179178</v>
      </c>
    </row>
    <row r="580" spans="1:52">
      <c r="B580" t="s">
        <v>418</v>
      </c>
      <c r="E580" s="41"/>
      <c r="F580" s="41"/>
      <c r="G580" s="41"/>
      <c r="H580" s="41"/>
      <c r="I580" s="41"/>
      <c r="J580" s="41"/>
      <c r="K580" s="41"/>
      <c r="L580" s="41"/>
      <c r="M580" s="41"/>
      <c r="N580" s="41"/>
      <c r="T580" s="41"/>
      <c r="U580" s="41"/>
      <c r="V580" s="41"/>
      <c r="W580" s="41"/>
      <c r="X580" s="41"/>
      <c r="Y580" s="41"/>
      <c r="Z580" s="41"/>
      <c r="AA580" s="41"/>
      <c r="AB580" s="41"/>
      <c r="AC580" s="41"/>
      <c r="AD580" s="41"/>
      <c r="AE580" s="41"/>
      <c r="AF580" s="41"/>
      <c r="AG580" s="41"/>
      <c r="AH580" s="41"/>
      <c r="AI580" s="41"/>
      <c r="AJ580" s="41"/>
      <c r="AK580" s="41"/>
      <c r="AL580" s="41">
        <f>Rev!AL174</f>
        <v>110.5</v>
      </c>
      <c r="AM580" s="41">
        <f>Rev!AM174</f>
        <v>117.4</v>
      </c>
      <c r="AN580" s="41">
        <f>Rev!AN174</f>
        <v>119.1</v>
      </c>
      <c r="AO580" s="41">
        <f>Rev!AO174</f>
        <v>117.3</v>
      </c>
      <c r="AP580" s="41">
        <f ca="1">Rev!AP174</f>
        <v>119.44471339235969</v>
      </c>
      <c r="AQ580" s="41">
        <f ca="1">Rev!AQ174</f>
        <v>119.61445744275919</v>
      </c>
      <c r="AR580" s="41">
        <f ca="1">Rev!AR174</f>
        <v>119.86541192617626</v>
      </c>
      <c r="AS580" s="41">
        <f ca="1">Rev!AS174</f>
        <v>120.19316838505046</v>
      </c>
      <c r="AT580" s="41">
        <f ca="1">Rev!AT174</f>
        <v>120.55138562504385</v>
      </c>
      <c r="AU580" s="41">
        <f ca="1">Rev!AU174</f>
        <v>120.90248522748608</v>
      </c>
      <c r="AV580" s="41">
        <f ca="1">Rev!AV174</f>
        <v>121.2417919269561</v>
      </c>
      <c r="AW580" s="41">
        <f ca="1">Rev!AW174</f>
        <v>121.56432144897782</v>
      </c>
      <c r="AX580" s="41">
        <f ca="1">Rev!AX174</f>
        <v>121.86498450720332</v>
      </c>
      <c r="AY580" s="41">
        <f ca="1">Rev!AY174</f>
        <v>122.13871515809832</v>
      </c>
    </row>
    <row r="581" spans="1:52">
      <c r="B581" t="s">
        <v>420</v>
      </c>
      <c r="E581" s="41"/>
      <c r="F581" s="41"/>
      <c r="G581" s="41"/>
      <c r="H581" s="41"/>
      <c r="I581" s="41"/>
      <c r="J581" s="41"/>
      <c r="K581" s="41"/>
      <c r="L581" s="41"/>
      <c r="M581" s="41"/>
      <c r="N581" s="41"/>
      <c r="T581" s="41"/>
      <c r="U581" s="41"/>
      <c r="V581" s="41"/>
      <c r="W581" s="41"/>
      <c r="X581" s="41"/>
      <c r="Y581" s="41"/>
      <c r="Z581" s="41"/>
      <c r="AA581" s="41"/>
      <c r="AB581" s="41"/>
      <c r="AC581" s="41"/>
      <c r="AD581" s="41"/>
      <c r="AE581" s="41"/>
      <c r="AF581" s="41"/>
      <c r="AG581" s="41"/>
      <c r="AH581" s="41"/>
      <c r="AI581" s="41"/>
      <c r="AJ581" s="41"/>
      <c r="AK581" s="41"/>
      <c r="AL581" s="41">
        <f>Rev!AL220</f>
        <v>121.7</v>
      </c>
      <c r="AM581" s="41">
        <f>Rev!AM220</f>
        <v>136.6</v>
      </c>
      <c r="AN581" s="41">
        <f>Rev!AN220</f>
        <v>137.69999999999999</v>
      </c>
      <c r="AO581" s="41">
        <f>Rev!AO220</f>
        <v>145.9</v>
      </c>
      <c r="AP581" s="41">
        <f ca="1">Rev!AP220</f>
        <v>137.77920314101951</v>
      </c>
      <c r="AQ581" s="41">
        <f ca="1">Rev!AQ220</f>
        <v>136.94544590042713</v>
      </c>
      <c r="AR581" s="41">
        <f ca="1">Rev!AR220</f>
        <v>136.38082178804112</v>
      </c>
      <c r="AS581" s="41">
        <f ca="1">Rev!AS220</f>
        <v>136.04084543801477</v>
      </c>
      <c r="AT581" s="41">
        <f ca="1">Rev!AT220</f>
        <v>135.84948093032287</v>
      </c>
      <c r="AU581" s="41">
        <f ca="1">Rev!AU220</f>
        <v>135.74975196833617</v>
      </c>
      <c r="AV581" s="41">
        <f ca="1">Rev!AV220</f>
        <v>135.72673898845346</v>
      </c>
      <c r="AW581" s="41">
        <f ca="1">Rev!AW220</f>
        <v>135.76823821845551</v>
      </c>
      <c r="AX581" s="41">
        <f ca="1">Rev!AX220</f>
        <v>135.86371808334965</v>
      </c>
      <c r="AY581" s="41">
        <f ca="1">Rev!AY220</f>
        <v>136.0036995511997</v>
      </c>
    </row>
    <row r="582" spans="1:52" s="15" customFormat="1">
      <c r="B582" s="15" t="s">
        <v>132</v>
      </c>
      <c r="E582" s="41"/>
      <c r="F582" s="41"/>
      <c r="G582" s="41"/>
      <c r="H582" s="41"/>
      <c r="I582" s="41"/>
      <c r="J582" s="41"/>
      <c r="K582" s="41"/>
      <c r="L582" s="41"/>
      <c r="M582" s="41"/>
      <c r="N582" s="41"/>
      <c r="T582" s="41"/>
      <c r="U582" s="41"/>
      <c r="V582" s="41"/>
      <c r="W582" s="41"/>
      <c r="X582" s="41"/>
      <c r="Y582" s="41"/>
      <c r="Z582" s="41"/>
      <c r="AA582" s="41"/>
      <c r="AB582" s="41"/>
      <c r="AC582" s="41"/>
      <c r="AD582" s="41"/>
      <c r="AE582" s="41"/>
      <c r="AF582" s="41"/>
      <c r="AG582" s="41"/>
      <c r="AH582" s="41"/>
      <c r="AI582" s="41"/>
      <c r="AJ582" s="41"/>
      <c r="AK582" s="41"/>
      <c r="AL582" s="41">
        <f>Rev!AL265</f>
        <v>5.5</v>
      </c>
      <c r="AM582" s="41">
        <f>Rev!AM265</f>
        <v>7.5</v>
      </c>
      <c r="AN582" s="41">
        <f>Rev!AN265</f>
        <v>5.0999999999999996</v>
      </c>
      <c r="AO582" s="41">
        <f>Rev!AO265</f>
        <v>6.4</v>
      </c>
      <c r="AP582" s="41">
        <f>Rev!AP265</f>
        <v>6.8213856907120078</v>
      </c>
      <c r="AQ582" s="41">
        <f>Rev!AQ265</f>
        <v>7.0167354083924884</v>
      </c>
      <c r="AR582" s="41">
        <f>Rev!AR265</f>
        <v>7.185163758126949</v>
      </c>
      <c r="AS582" s="41">
        <f>Rev!AS265</f>
        <v>7.3303665377908853</v>
      </c>
      <c r="AT582" s="41">
        <f>Rev!AT265</f>
        <v>7.4708391786600838</v>
      </c>
      <c r="AU582" s="41">
        <f>Rev!AU265</f>
        <v>7.606738409331971</v>
      </c>
      <c r="AV582" s="41">
        <f>Rev!AV265</f>
        <v>7.738216682803003</v>
      </c>
      <c r="AW582" s="41">
        <f>Rev!AW265</f>
        <v>7.8654222909168947</v>
      </c>
      <c r="AX582" s="41">
        <f>Rev!AX265</f>
        <v>7.9884994758602303</v>
      </c>
      <c r="AY582" s="41">
        <f>Rev!AY265</f>
        <v>8.1075885387808917</v>
      </c>
    </row>
    <row r="583" spans="1:52" s="15" customFormat="1">
      <c r="B583" s="80" t="s">
        <v>393</v>
      </c>
      <c r="E583" s="41"/>
      <c r="F583" s="41"/>
      <c r="G583" s="41"/>
      <c r="H583" s="41"/>
      <c r="I583" s="41"/>
      <c r="J583" s="41"/>
      <c r="K583" s="41"/>
      <c r="L583" s="41"/>
      <c r="M583" s="41"/>
      <c r="N583" s="41"/>
      <c r="T583" s="41"/>
      <c r="U583" s="41"/>
      <c r="V583" s="41"/>
      <c r="W583" s="41"/>
      <c r="X583" s="41"/>
      <c r="Y583" s="41"/>
      <c r="Z583" s="41"/>
      <c r="AA583" s="41"/>
      <c r="AB583" s="41"/>
      <c r="AC583" s="41"/>
      <c r="AD583" s="41"/>
      <c r="AE583" s="41"/>
      <c r="AF583" s="41"/>
      <c r="AG583" s="41"/>
      <c r="AH583" s="41"/>
      <c r="AI583" s="41"/>
      <c r="AJ583" s="41"/>
      <c r="AK583" s="41"/>
      <c r="AL583" s="41">
        <f>Rev!AL276</f>
        <v>79.3</v>
      </c>
      <c r="AM583" s="41">
        <f>Rev!AM276</f>
        <v>128.9</v>
      </c>
      <c r="AN583" s="41">
        <f>Rev!AN276</f>
        <v>127.7</v>
      </c>
      <c r="AO583" s="41">
        <f>Rev!AO276</f>
        <v>123.5</v>
      </c>
      <c r="AP583" s="41">
        <f>Rev!AP276</f>
        <v>122.88249999999999</v>
      </c>
      <c r="AQ583" s="41">
        <f>Rev!AQ276</f>
        <v>122.26808749999999</v>
      </c>
      <c r="AR583" s="41">
        <f>Rev!AR276</f>
        <v>121.65674706249999</v>
      </c>
      <c r="AS583" s="41">
        <f>Rev!AS276</f>
        <v>121.04846332718749</v>
      </c>
      <c r="AT583" s="41">
        <f>Rev!AT276</f>
        <v>120.44322101055155</v>
      </c>
      <c r="AU583" s="41">
        <f>Rev!AU276</f>
        <v>119.84100490549879</v>
      </c>
      <c r="AV583" s="41">
        <f>Rev!AV276</f>
        <v>119.2417998809713</v>
      </c>
      <c r="AW583" s="41">
        <f>Rev!AW276</f>
        <v>118.64559088156645</v>
      </c>
      <c r="AX583" s="41">
        <f>Rev!AX276</f>
        <v>118.05236292715861</v>
      </c>
      <c r="AY583" s="41">
        <f>Rev!AY276</f>
        <v>117.46210111252282</v>
      </c>
    </row>
    <row r="584" spans="1:52">
      <c r="B584" s="80" t="s">
        <v>76</v>
      </c>
      <c r="G584" s="41"/>
      <c r="H584" s="41"/>
      <c r="I584" s="41"/>
      <c r="J584" s="41"/>
      <c r="K584" s="41"/>
      <c r="L584" s="41"/>
      <c r="M584" s="41"/>
      <c r="N584" s="41"/>
      <c r="T584" s="41"/>
      <c r="U584" s="41"/>
      <c r="V584" s="41"/>
      <c r="W584" s="41"/>
      <c r="X584" s="41"/>
      <c r="Y584" s="41"/>
      <c r="Z584" s="41"/>
      <c r="AA584" s="41"/>
      <c r="AB584" s="41"/>
      <c r="AC584" s="41"/>
      <c r="AD584" s="41"/>
      <c r="AE584" s="41"/>
      <c r="AF584" s="41"/>
      <c r="AG584" s="41"/>
      <c r="AH584" s="41"/>
      <c r="AI584" s="41"/>
      <c r="AJ584" s="41"/>
      <c r="AK584" s="41"/>
      <c r="AL584" s="41">
        <f>Rev!AL35</f>
        <v>550.20000000000005</v>
      </c>
      <c r="AM584" s="41">
        <f>Rev!AM35</f>
        <v>638</v>
      </c>
      <c r="AN584" s="41">
        <f>Rev!AN35</f>
        <v>643.5</v>
      </c>
      <c r="AO584" s="41">
        <f>Rev!AO35</f>
        <v>653.5</v>
      </c>
      <c r="AP584" s="41">
        <f ca="1">Rev!AP35</f>
        <v>652.80480431086812</v>
      </c>
      <c r="AQ584" s="41">
        <f ca="1">Rev!AQ35</f>
        <v>657.83780809026939</v>
      </c>
      <c r="AR584" s="41">
        <f ca="1">Rev!AR35</f>
        <v>663.33243624668933</v>
      </c>
      <c r="AS584" s="41">
        <f ca="1">Rev!AS35</f>
        <v>669.26765209981852</v>
      </c>
      <c r="AT584" s="41">
        <f ca="1">Rev!AT35</f>
        <v>675.54210479847575</v>
      </c>
      <c r="AU584" s="41">
        <f ca="1">Rev!AU35</f>
        <v>682.06050996570434</v>
      </c>
      <c r="AV584" s="41">
        <f ca="1">Rev!AV35</f>
        <v>688.80079027866725</v>
      </c>
      <c r="AW584" s="41">
        <f ca="1">Rev!AW35</f>
        <v>695.74233631079085</v>
      </c>
      <c r="AX584" s="41">
        <f ca="1">Rev!AX35</f>
        <v>702.86557074145185</v>
      </c>
      <c r="AY584" s="41">
        <f ca="1">Rev!AY35</f>
        <v>710.15166213334624</v>
      </c>
    </row>
    <row r="585" spans="1:52">
      <c r="B585" s="80"/>
      <c r="G585" s="41"/>
      <c r="H585" s="41"/>
      <c r="I585" s="41"/>
      <c r="J585" s="41"/>
      <c r="K585" s="41"/>
      <c r="L585" s="41"/>
      <c r="M585" s="41"/>
      <c r="N585" s="41"/>
      <c r="T585" s="41"/>
      <c r="U585" s="41"/>
      <c r="V585" s="41"/>
      <c r="W585" s="41"/>
      <c r="X585" s="41"/>
      <c r="Y585" s="41"/>
      <c r="Z585" s="41"/>
      <c r="AA585" s="41"/>
      <c r="AB585" s="41"/>
      <c r="AC585" s="41"/>
      <c r="AD585" s="41"/>
      <c r="AE585" s="41"/>
      <c r="AF585" s="41"/>
      <c r="AG585" s="41"/>
      <c r="AH585" s="41"/>
      <c r="AI585" s="41"/>
      <c r="AJ585" s="41"/>
      <c r="AK585" s="41"/>
      <c r="AL585" s="41"/>
      <c r="AM585" s="41"/>
      <c r="AN585" s="41"/>
      <c r="AO585" s="41"/>
      <c r="AP585" s="41"/>
      <c r="AQ585" s="41"/>
      <c r="AR585" s="41"/>
      <c r="AS585" s="41"/>
      <c r="AT585" s="41"/>
      <c r="AU585" s="41"/>
      <c r="AV585" s="41"/>
      <c r="AW585" s="41"/>
      <c r="AX585" s="41"/>
      <c r="AY585" s="41"/>
    </row>
    <row r="586" spans="1:52">
      <c r="B586" s="80"/>
      <c r="G586" s="41"/>
      <c r="H586" s="41"/>
      <c r="I586" s="41"/>
      <c r="J586" s="41"/>
      <c r="K586" s="41"/>
      <c r="L586" s="41"/>
      <c r="M586" s="41"/>
      <c r="N586" s="41"/>
      <c r="T586" s="41"/>
      <c r="U586" s="41"/>
      <c r="V586" s="41"/>
      <c r="W586" s="41"/>
      <c r="X586" s="41"/>
      <c r="Y586" s="41"/>
      <c r="Z586" s="41"/>
      <c r="AA586" s="41"/>
      <c r="AB586" s="41"/>
      <c r="AC586" s="41"/>
      <c r="AD586" s="41"/>
      <c r="AE586" s="41"/>
      <c r="AF586" s="41"/>
      <c r="AG586" s="41"/>
      <c r="AH586" s="41"/>
      <c r="AI586" s="41"/>
      <c r="AJ586" s="41"/>
      <c r="AK586" s="41"/>
      <c r="AL586" s="41"/>
      <c r="AM586" s="41"/>
      <c r="AN586" s="41"/>
      <c r="AO586" s="41"/>
      <c r="AP586" s="41"/>
      <c r="AQ586" s="41"/>
      <c r="AR586" s="41"/>
      <c r="AS586" s="41"/>
      <c r="AT586" s="41"/>
      <c r="AU586" s="41"/>
      <c r="AV586" s="41"/>
      <c r="AW586" s="41"/>
      <c r="AX586" s="41"/>
      <c r="AY586" s="41"/>
    </row>
    <row r="587" spans="1:52">
      <c r="B587" s="80"/>
      <c r="G587" s="41"/>
      <c r="H587" s="41"/>
      <c r="I587" s="41"/>
      <c r="J587" s="41"/>
      <c r="K587" s="41"/>
      <c r="L587" s="41"/>
      <c r="M587" s="41"/>
      <c r="N587" s="41"/>
      <c r="T587" s="41"/>
      <c r="U587" s="41"/>
      <c r="V587" s="41"/>
      <c r="W587" s="41"/>
      <c r="X587" s="41"/>
      <c r="Y587" s="41"/>
      <c r="Z587" s="41"/>
      <c r="AA587" s="41"/>
      <c r="AB587" s="41"/>
      <c r="AC587" s="41"/>
      <c r="AD587" s="41"/>
      <c r="AE587" s="41"/>
      <c r="AF587" s="41"/>
      <c r="AG587" s="41"/>
      <c r="AH587" s="41"/>
      <c r="AI587" s="41"/>
      <c r="AJ587" s="41"/>
      <c r="AK587" s="41"/>
      <c r="AL587" s="41"/>
      <c r="AM587" s="41"/>
      <c r="AN587" s="41"/>
      <c r="AO587" s="41"/>
      <c r="AP587" s="41"/>
      <c r="AQ587" s="41"/>
      <c r="AR587" s="41"/>
      <c r="AS587" s="41"/>
      <c r="AT587" s="41"/>
      <c r="AU587" s="41"/>
      <c r="AV587" s="41"/>
      <c r="AW587" s="41"/>
      <c r="AX587" s="41"/>
      <c r="AY587" s="41"/>
    </row>
    <row r="588" spans="1:52">
      <c r="B588" s="80"/>
      <c r="G588" s="41"/>
      <c r="H588" s="41"/>
      <c r="I588" s="41"/>
      <c r="J588" s="41"/>
      <c r="K588" s="41"/>
      <c r="L588" s="41"/>
      <c r="M588" s="41"/>
      <c r="N588" s="41"/>
      <c r="T588" s="41"/>
      <c r="U588" s="41"/>
      <c r="V588" s="41"/>
      <c r="W588" s="41"/>
      <c r="X588" s="41"/>
      <c r="Y588" s="41"/>
      <c r="Z588" s="41"/>
      <c r="AA588" s="41"/>
      <c r="AB588" s="41"/>
      <c r="AC588" s="41"/>
      <c r="AD588" s="41"/>
      <c r="AE588" s="41"/>
      <c r="AF588" s="41"/>
      <c r="AG588" s="41"/>
      <c r="AH588" s="41"/>
      <c r="AI588" s="41"/>
      <c r="AJ588" s="41"/>
      <c r="AK588" s="41"/>
      <c r="AL588" s="41"/>
      <c r="AM588" s="41"/>
      <c r="AN588" s="41"/>
      <c r="AO588" s="41"/>
      <c r="AP588" s="41"/>
      <c r="AQ588" s="41"/>
      <c r="AR588" s="41"/>
      <c r="AS588" s="41"/>
      <c r="AT588" s="41"/>
      <c r="AU588" s="41"/>
      <c r="AV588" s="41"/>
      <c r="AW588" s="41"/>
      <c r="AX588" s="41"/>
      <c r="AY588" s="41"/>
    </row>
    <row r="589" spans="1:52">
      <c r="B589" s="80"/>
      <c r="G589" s="41"/>
      <c r="H589" s="41"/>
      <c r="I589" s="41"/>
      <c r="J589" s="41"/>
      <c r="K589" s="41"/>
      <c r="L589" s="41"/>
      <c r="M589" s="41"/>
      <c r="N589" s="41"/>
      <c r="T589" s="41"/>
      <c r="U589" s="41"/>
      <c r="V589" s="41"/>
      <c r="W589" s="41"/>
      <c r="X589" s="41"/>
      <c r="Y589" s="41"/>
      <c r="Z589" s="41"/>
      <c r="AA589" s="41"/>
      <c r="AB589" s="41"/>
      <c r="AC589" s="41"/>
      <c r="AD589" s="41"/>
      <c r="AE589" s="41"/>
      <c r="AF589" s="41"/>
      <c r="AG589" s="41"/>
      <c r="AH589" s="41"/>
      <c r="AI589" s="41"/>
      <c r="AJ589" s="41"/>
      <c r="AK589" s="41"/>
      <c r="AL589" s="41"/>
      <c r="AM589" s="41"/>
      <c r="AN589" s="41"/>
      <c r="AO589" s="41"/>
      <c r="AP589" s="41"/>
      <c r="AQ589" s="41"/>
      <c r="AR589" s="41"/>
      <c r="AS589" s="41"/>
      <c r="AT589" s="41"/>
      <c r="AU589" s="41"/>
      <c r="AV589" s="41"/>
      <c r="AW589" s="41"/>
      <c r="AX589" s="41"/>
      <c r="AY589" s="41"/>
    </row>
    <row r="590" spans="1:52">
      <c r="B590" s="80"/>
      <c r="G590" s="41"/>
      <c r="H590" s="41"/>
      <c r="I590" s="41"/>
      <c r="J590" s="41"/>
      <c r="K590" s="41"/>
      <c r="L590" s="41"/>
      <c r="M590" s="41"/>
      <c r="N590" s="41"/>
      <c r="T590" s="41"/>
      <c r="U590" s="41"/>
      <c r="V590" s="41"/>
      <c r="W590" s="41"/>
      <c r="X590" s="41"/>
      <c r="Y590" s="41"/>
      <c r="Z590" s="41"/>
      <c r="AA590" s="41"/>
      <c r="AB590" s="41"/>
      <c r="AC590" s="41"/>
      <c r="AD590" s="41"/>
      <c r="AE590" s="41"/>
      <c r="AF590" s="41"/>
      <c r="AG590" s="41"/>
      <c r="AH590" s="41"/>
      <c r="AI590" s="41"/>
      <c r="AJ590" s="41"/>
      <c r="AK590" s="41"/>
      <c r="AL590" s="41"/>
      <c r="AM590" s="41"/>
      <c r="AN590" s="41"/>
      <c r="AO590" s="41"/>
      <c r="AP590" s="41"/>
      <c r="AQ590" s="41"/>
      <c r="AR590" s="41"/>
      <c r="AS590" s="41"/>
      <c r="AT590" s="41"/>
      <c r="AU590" s="41"/>
      <c r="AV590" s="41"/>
      <c r="AW590" s="41"/>
      <c r="AX590" s="41"/>
      <c r="AY590" s="41"/>
    </row>
    <row r="591" spans="1:52">
      <c r="B591" s="80"/>
      <c r="G591" s="41"/>
      <c r="H591" s="41"/>
      <c r="I591" s="41"/>
      <c r="J591" s="41"/>
      <c r="K591" s="41"/>
      <c r="L591" s="41"/>
      <c r="M591" s="41"/>
      <c r="N591" s="41"/>
      <c r="T591" s="41"/>
      <c r="U591" s="41"/>
      <c r="V591" s="41"/>
      <c r="W591" s="41"/>
      <c r="X591" s="41"/>
      <c r="Y591" s="41"/>
      <c r="Z591" s="41"/>
      <c r="AA591" s="41"/>
      <c r="AB591" s="41"/>
      <c r="AC591" s="41"/>
      <c r="AD591" s="41"/>
      <c r="AE591" s="41"/>
      <c r="AF591" s="41"/>
      <c r="AG591" s="41"/>
      <c r="AH591" s="41"/>
      <c r="AI591" s="41"/>
      <c r="AJ591" s="41"/>
      <c r="AK591" s="41"/>
      <c r="AL591" s="41"/>
      <c r="AM591" s="41"/>
      <c r="AN591" s="41"/>
      <c r="AO591" s="41"/>
      <c r="AP591" s="41"/>
      <c r="AQ591" s="41"/>
      <c r="AR591" s="41"/>
      <c r="AS591" s="41"/>
      <c r="AT591" s="41"/>
      <c r="AU591" s="41"/>
      <c r="AV591" s="41"/>
      <c r="AW591" s="41"/>
      <c r="AX591" s="41"/>
      <c r="AY591" s="41"/>
    </row>
    <row r="592" spans="1:52">
      <c r="B592" s="80"/>
      <c r="G592" s="41"/>
      <c r="H592" s="41"/>
      <c r="I592" s="41"/>
      <c r="J592" s="41"/>
      <c r="K592" s="41"/>
      <c r="L592" s="41"/>
      <c r="M592" s="41"/>
      <c r="N592" s="41"/>
      <c r="T592" s="41"/>
      <c r="U592" s="41"/>
      <c r="V592" s="41"/>
      <c r="W592" s="41"/>
      <c r="X592" s="41"/>
      <c r="Y592" s="41"/>
      <c r="Z592" s="41"/>
      <c r="AA592" s="41"/>
      <c r="AB592" s="41"/>
      <c r="AC592" s="41"/>
      <c r="AD592" s="41"/>
      <c r="AE592" s="41"/>
      <c r="AF592" s="41"/>
      <c r="AG592" s="41"/>
      <c r="AH592" s="41"/>
      <c r="AI592" s="41"/>
      <c r="AJ592" s="41"/>
      <c r="AK592" s="41"/>
      <c r="AL592" s="41"/>
      <c r="AM592" s="41"/>
      <c r="AN592" s="41"/>
      <c r="AO592" s="41"/>
      <c r="AP592" s="41"/>
      <c r="AQ592" s="41"/>
      <c r="AR592" s="41"/>
      <c r="AS592" s="41"/>
      <c r="AT592" s="41"/>
      <c r="AU592" s="41"/>
      <c r="AV592" s="41"/>
      <c r="AW592" s="41"/>
      <c r="AX592" s="41"/>
      <c r="AY592" s="41"/>
    </row>
    <row r="593" spans="2:51">
      <c r="B593" s="80"/>
      <c r="G593" s="41"/>
      <c r="H593" s="41"/>
      <c r="I593" s="41"/>
      <c r="J593" s="41"/>
      <c r="K593" s="41"/>
      <c r="L593" s="41"/>
      <c r="M593" s="41"/>
      <c r="N593" s="41"/>
      <c r="T593" s="41"/>
      <c r="U593" s="41"/>
      <c r="V593" s="41"/>
      <c r="W593" s="41"/>
      <c r="X593" s="41"/>
      <c r="Y593" s="41"/>
      <c r="Z593" s="41"/>
      <c r="AA593" s="41"/>
      <c r="AB593" s="41"/>
      <c r="AC593" s="41"/>
      <c r="AD593" s="41"/>
      <c r="AE593" s="41"/>
      <c r="AF593" s="41"/>
      <c r="AG593" s="41"/>
      <c r="AH593" s="41"/>
      <c r="AI593" s="41"/>
      <c r="AJ593" s="41"/>
      <c r="AK593" s="41"/>
      <c r="AL593" s="41"/>
      <c r="AM593" s="41"/>
      <c r="AN593" s="41"/>
      <c r="AO593" s="41"/>
      <c r="AP593" s="41"/>
      <c r="AQ593" s="41"/>
      <c r="AR593" s="41"/>
      <c r="AS593" s="41"/>
      <c r="AT593" s="41"/>
      <c r="AU593" s="41"/>
      <c r="AV593" s="41"/>
      <c r="AW593" s="41"/>
      <c r="AX593" s="41"/>
      <c r="AY593" s="41"/>
    </row>
    <row r="594" spans="2:51">
      <c r="B594" s="80"/>
      <c r="G594" s="41"/>
      <c r="H594" s="41"/>
      <c r="I594" s="41"/>
      <c r="J594" s="41"/>
      <c r="K594" s="41"/>
      <c r="L594" s="41"/>
      <c r="M594" s="41"/>
      <c r="N594" s="41"/>
      <c r="T594" s="41"/>
      <c r="U594" s="41"/>
      <c r="V594" s="41"/>
      <c r="W594" s="41"/>
      <c r="X594" s="41"/>
      <c r="Y594" s="41"/>
      <c r="Z594" s="41"/>
      <c r="AA594" s="41"/>
      <c r="AB594" s="41"/>
      <c r="AC594" s="41"/>
      <c r="AD594" s="41"/>
      <c r="AE594" s="41"/>
      <c r="AF594" s="41"/>
      <c r="AG594" s="41"/>
      <c r="AH594" s="41"/>
      <c r="AI594" s="41"/>
      <c r="AJ594" s="41"/>
      <c r="AK594" s="41"/>
      <c r="AL594" s="41"/>
      <c r="AM594" s="41"/>
      <c r="AN594" s="41"/>
      <c r="AO594" s="41"/>
      <c r="AP594" s="41"/>
      <c r="AQ594" s="41"/>
      <c r="AR594" s="41"/>
      <c r="AS594" s="41"/>
      <c r="AT594" s="41"/>
      <c r="AU594" s="41"/>
      <c r="AV594" s="41"/>
      <c r="AW594" s="41"/>
      <c r="AX594" s="41"/>
      <c r="AY594" s="41"/>
    </row>
    <row r="595" spans="2:51">
      <c r="B595" s="80"/>
      <c r="G595" s="41"/>
      <c r="H595" s="41"/>
      <c r="I595" s="41"/>
      <c r="J595" s="41"/>
      <c r="K595" s="41"/>
      <c r="L595" s="41"/>
      <c r="M595" s="41"/>
      <c r="N595" s="41"/>
      <c r="T595" s="41"/>
      <c r="U595" s="41"/>
      <c r="V595" s="41"/>
      <c r="W595" s="41"/>
      <c r="X595" s="41"/>
      <c r="Y595" s="41"/>
      <c r="Z595" s="41"/>
      <c r="AA595" s="41"/>
      <c r="AB595" s="41"/>
      <c r="AC595" s="41"/>
      <c r="AD595" s="41"/>
      <c r="AE595" s="41"/>
      <c r="AF595" s="41"/>
      <c r="AG595" s="41"/>
      <c r="AH595" s="41"/>
      <c r="AI595" s="41"/>
      <c r="AJ595" s="41"/>
      <c r="AK595" s="41"/>
      <c r="AL595" s="41"/>
      <c r="AM595" s="41"/>
      <c r="AN595" s="41"/>
      <c r="AO595" s="41"/>
      <c r="AP595" s="41"/>
      <c r="AQ595" s="41"/>
      <c r="AR595" s="41"/>
      <c r="AS595" s="41"/>
      <c r="AT595" s="41"/>
      <c r="AU595" s="41"/>
      <c r="AV595" s="41"/>
      <c r="AW595" s="41"/>
      <c r="AX595" s="41"/>
      <c r="AY595" s="41"/>
    </row>
    <row r="596" spans="2:51">
      <c r="B596" s="80"/>
      <c r="G596" s="41"/>
      <c r="H596" s="41"/>
      <c r="I596" s="41"/>
      <c r="J596" s="41"/>
      <c r="K596" s="41"/>
      <c r="L596" s="41"/>
      <c r="M596" s="41"/>
      <c r="N596" s="41"/>
      <c r="T596" s="41"/>
      <c r="U596" s="41"/>
      <c r="V596" s="41"/>
      <c r="W596" s="41"/>
      <c r="X596" s="41"/>
      <c r="Y596" s="41"/>
      <c r="Z596" s="41"/>
      <c r="AA596" s="41"/>
      <c r="AB596" s="41"/>
      <c r="AC596" s="41"/>
      <c r="AD596" s="41"/>
      <c r="AE596" s="41"/>
      <c r="AF596" s="41"/>
      <c r="AG596" s="41"/>
      <c r="AH596" s="41"/>
      <c r="AI596" s="41"/>
      <c r="AJ596" s="41"/>
      <c r="AK596" s="41"/>
      <c r="AL596" s="41"/>
      <c r="AM596" s="41"/>
      <c r="AN596" s="41"/>
      <c r="AO596" s="41"/>
      <c r="AP596" s="41"/>
      <c r="AQ596" s="41"/>
      <c r="AR596" s="41"/>
      <c r="AS596" s="41"/>
      <c r="AT596" s="41"/>
      <c r="AU596" s="41"/>
      <c r="AV596" s="41"/>
      <c r="AW596" s="41"/>
      <c r="AX596" s="41"/>
      <c r="AY596" s="41"/>
    </row>
    <row r="597" spans="2:51">
      <c r="B597" s="80"/>
      <c r="G597" s="41"/>
      <c r="H597" s="41"/>
      <c r="I597" s="41"/>
      <c r="J597" s="41"/>
      <c r="K597" s="41"/>
      <c r="L597" s="41"/>
      <c r="M597" s="41"/>
      <c r="N597" s="41"/>
      <c r="T597" s="41"/>
      <c r="U597" s="41"/>
      <c r="V597" s="41"/>
      <c r="W597" s="41"/>
      <c r="X597" s="41"/>
      <c r="Y597" s="41"/>
      <c r="Z597" s="41"/>
      <c r="AA597" s="41"/>
      <c r="AB597" s="41"/>
      <c r="AC597" s="41"/>
      <c r="AD597" s="41"/>
      <c r="AE597" s="41"/>
      <c r="AF597" s="41"/>
      <c r="AG597" s="41"/>
      <c r="AH597" s="41"/>
      <c r="AI597" s="41"/>
      <c r="AJ597" s="41"/>
      <c r="AK597" s="41"/>
      <c r="AL597" s="41"/>
      <c r="AM597" s="41"/>
      <c r="AN597" s="41"/>
      <c r="AO597" s="41"/>
      <c r="AP597" s="41"/>
      <c r="AQ597" s="41"/>
      <c r="AR597" s="41"/>
      <c r="AS597" s="41"/>
      <c r="AT597" s="41"/>
      <c r="AU597" s="41"/>
      <c r="AV597" s="41"/>
      <c r="AW597" s="41"/>
      <c r="AX597" s="41"/>
      <c r="AY597" s="41"/>
    </row>
    <row r="598" spans="2:51">
      <c r="B598" s="80"/>
      <c r="G598" s="41"/>
      <c r="H598" s="41"/>
      <c r="I598" s="41"/>
      <c r="J598" s="41"/>
      <c r="K598" s="41"/>
      <c r="L598" s="41"/>
      <c r="M598" s="41"/>
      <c r="N598" s="41"/>
      <c r="T598" s="41"/>
      <c r="U598" s="41"/>
      <c r="V598" s="41"/>
      <c r="W598" s="41"/>
      <c r="X598" s="41"/>
      <c r="Y598" s="41"/>
      <c r="Z598" s="41"/>
      <c r="AA598" s="41"/>
      <c r="AB598" s="41"/>
      <c r="AC598" s="41"/>
      <c r="AD598" s="41"/>
      <c r="AE598" s="41"/>
      <c r="AF598" s="41"/>
      <c r="AG598" s="41"/>
      <c r="AH598" s="41"/>
      <c r="AI598" s="41"/>
      <c r="AJ598" s="41"/>
      <c r="AK598" s="41"/>
      <c r="AL598" s="41"/>
      <c r="AM598" s="41"/>
      <c r="AN598" s="41"/>
      <c r="AO598" s="41"/>
      <c r="AP598" s="41"/>
      <c r="AQ598" s="41"/>
      <c r="AR598" s="41"/>
      <c r="AS598" s="41"/>
      <c r="AT598" s="41"/>
      <c r="AU598" s="41"/>
      <c r="AV598" s="41"/>
      <c r="AW598" s="41"/>
      <c r="AX598" s="41"/>
      <c r="AY598" s="41"/>
    </row>
    <row r="599" spans="2:51">
      <c r="B599" s="80"/>
      <c r="G599" s="41"/>
      <c r="H599" s="41"/>
      <c r="I599" s="41"/>
      <c r="J599" s="41"/>
      <c r="K599" s="41"/>
      <c r="L599" s="41"/>
      <c r="M599" s="41"/>
      <c r="N599" s="41"/>
      <c r="T599" s="41"/>
      <c r="U599" s="41"/>
      <c r="V599" s="41"/>
      <c r="W599" s="41"/>
      <c r="X599" s="41"/>
      <c r="Y599" s="41"/>
      <c r="Z599" s="41"/>
      <c r="AA599" s="41"/>
      <c r="AB599" s="41"/>
      <c r="AC599" s="41"/>
      <c r="AD599" s="41"/>
      <c r="AE599" s="41"/>
      <c r="AF599" s="41"/>
      <c r="AG599" s="41"/>
      <c r="AH599" s="41"/>
      <c r="AI599" s="41"/>
      <c r="AJ599" s="41"/>
      <c r="AK599" s="41"/>
      <c r="AL599" s="41"/>
      <c r="AM599" s="41"/>
      <c r="AN599" s="41"/>
      <c r="AO599" s="41"/>
      <c r="AP599" s="41"/>
      <c r="AQ599" s="41"/>
      <c r="AR599" s="41"/>
      <c r="AS599" s="41"/>
      <c r="AT599" s="41"/>
      <c r="AU599" s="41"/>
      <c r="AV599" s="41"/>
      <c r="AW599" s="41"/>
      <c r="AX599" s="41"/>
      <c r="AY599" s="41"/>
    </row>
    <row r="600" spans="2:51">
      <c r="B600" s="80"/>
      <c r="G600" s="41"/>
      <c r="H600" s="41"/>
      <c r="I600" s="41"/>
      <c r="J600" s="41"/>
      <c r="K600" s="41"/>
      <c r="L600" s="41"/>
      <c r="M600" s="41"/>
      <c r="N600" s="41"/>
      <c r="T600" s="41"/>
      <c r="U600" s="41"/>
      <c r="V600" s="41"/>
      <c r="W600" s="41"/>
      <c r="X600" s="41"/>
      <c r="Y600" s="41"/>
      <c r="Z600" s="41"/>
      <c r="AA600" s="41"/>
      <c r="AB600" s="41"/>
      <c r="AC600" s="41"/>
      <c r="AD600" s="41"/>
      <c r="AE600" s="41"/>
      <c r="AF600" s="41"/>
      <c r="AG600" s="41"/>
      <c r="AH600" s="41"/>
      <c r="AI600" s="41"/>
      <c r="AJ600" s="41"/>
      <c r="AK600" s="41"/>
      <c r="AL600" s="41"/>
      <c r="AM600" s="41"/>
      <c r="AN600" s="41"/>
      <c r="AO600" s="41"/>
      <c r="AP600" s="41"/>
      <c r="AQ600" s="41"/>
      <c r="AR600" s="41"/>
      <c r="AS600" s="41"/>
      <c r="AT600" s="41"/>
      <c r="AU600" s="41"/>
      <c r="AV600" s="41"/>
      <c r="AW600" s="41"/>
      <c r="AX600" s="41"/>
      <c r="AY600" s="41"/>
    </row>
    <row r="601" spans="2:51">
      <c r="B601" s="80"/>
      <c r="G601" s="41"/>
      <c r="H601" s="41"/>
      <c r="I601" s="41"/>
      <c r="J601" s="41"/>
      <c r="K601" s="41"/>
      <c r="L601" s="41"/>
      <c r="M601" s="41"/>
      <c r="N601" s="41"/>
      <c r="T601" s="41"/>
      <c r="U601" s="41"/>
      <c r="V601" s="41"/>
      <c r="W601" s="41"/>
      <c r="X601" s="41"/>
      <c r="Y601" s="41"/>
      <c r="Z601" s="41"/>
      <c r="AA601" s="41"/>
      <c r="AB601" s="41"/>
      <c r="AC601" s="41"/>
      <c r="AD601" s="41"/>
      <c r="AE601" s="41"/>
      <c r="AF601" s="41"/>
      <c r="AG601" s="41"/>
      <c r="AH601" s="41"/>
      <c r="AI601" s="41"/>
      <c r="AJ601" s="41"/>
      <c r="AK601" s="41"/>
      <c r="AL601" s="41"/>
      <c r="AM601" s="41"/>
      <c r="AN601" s="41"/>
      <c r="AO601" s="41"/>
      <c r="AP601" s="41"/>
      <c r="AQ601" s="41"/>
      <c r="AR601" s="41"/>
      <c r="AS601" s="41"/>
      <c r="AT601" s="41"/>
      <c r="AU601" s="41"/>
      <c r="AV601" s="41"/>
      <c r="AW601" s="41"/>
      <c r="AX601" s="41"/>
      <c r="AY601" s="41"/>
    </row>
    <row r="602" spans="2:51">
      <c r="B602" s="80"/>
      <c r="G602" s="41"/>
      <c r="H602" s="41"/>
      <c r="I602" s="41"/>
      <c r="J602" s="41"/>
      <c r="K602" s="41"/>
      <c r="L602" s="41"/>
      <c r="M602" s="41"/>
      <c r="N602" s="41"/>
      <c r="T602" s="41"/>
      <c r="U602" s="41"/>
      <c r="V602" s="41"/>
      <c r="W602" s="41"/>
      <c r="X602" s="41"/>
      <c r="Y602" s="41"/>
      <c r="Z602" s="41"/>
      <c r="AA602" s="41"/>
      <c r="AB602" s="41"/>
      <c r="AC602" s="41"/>
      <c r="AD602" s="41"/>
      <c r="AE602" s="41"/>
      <c r="AF602" s="41"/>
      <c r="AG602" s="41"/>
      <c r="AH602" s="41"/>
      <c r="AI602" s="41"/>
      <c r="AJ602" s="41"/>
      <c r="AK602" s="41"/>
      <c r="AL602" s="41"/>
      <c r="AM602" s="41"/>
      <c r="AN602" s="41"/>
      <c r="AO602" s="41"/>
      <c r="AP602" s="41"/>
      <c r="AQ602" s="41"/>
      <c r="AR602" s="41"/>
      <c r="AS602" s="41"/>
      <c r="AT602" s="41"/>
      <c r="AU602" s="41"/>
      <c r="AV602" s="41"/>
      <c r="AW602" s="41"/>
      <c r="AX602" s="41"/>
      <c r="AY602" s="41"/>
    </row>
    <row r="603" spans="2:51">
      <c r="B603" s="80"/>
      <c r="G603" s="41"/>
      <c r="H603" s="41"/>
      <c r="I603" s="41"/>
      <c r="J603" s="41"/>
      <c r="K603" s="41"/>
      <c r="L603" s="41"/>
      <c r="M603" s="41"/>
      <c r="N603" s="41"/>
      <c r="T603" s="41"/>
      <c r="U603" s="41"/>
      <c r="V603" s="41"/>
      <c r="W603" s="41"/>
      <c r="X603" s="41"/>
      <c r="Y603" s="41"/>
      <c r="Z603" s="41"/>
      <c r="AA603" s="41"/>
      <c r="AB603" s="41"/>
      <c r="AC603" s="41"/>
      <c r="AD603" s="41"/>
      <c r="AE603" s="41"/>
      <c r="AF603" s="41"/>
      <c r="AG603" s="41"/>
      <c r="AH603" s="41"/>
      <c r="AI603" s="41"/>
      <c r="AJ603" s="41"/>
      <c r="AK603" s="41"/>
      <c r="AL603" s="41"/>
      <c r="AM603" s="41"/>
      <c r="AN603" s="41"/>
      <c r="AO603" s="41"/>
      <c r="AP603" s="41"/>
      <c r="AQ603" s="41"/>
      <c r="AR603" s="41"/>
      <c r="AS603" s="41"/>
      <c r="AT603" s="41"/>
      <c r="AU603" s="41"/>
      <c r="AV603" s="41"/>
      <c r="AW603" s="41"/>
      <c r="AX603" s="41"/>
      <c r="AY603" s="41"/>
    </row>
    <row r="604" spans="2:51">
      <c r="B604" s="80"/>
      <c r="G604" s="41"/>
      <c r="H604" s="41"/>
      <c r="I604" s="41"/>
      <c r="J604" s="41"/>
      <c r="K604" s="41"/>
      <c r="L604" s="41"/>
      <c r="M604" s="41"/>
      <c r="N604" s="41"/>
      <c r="T604" s="41"/>
      <c r="U604" s="41"/>
      <c r="V604" s="41"/>
      <c r="W604" s="41"/>
      <c r="X604" s="41"/>
      <c r="Y604" s="41"/>
      <c r="Z604" s="41"/>
      <c r="AA604" s="41"/>
      <c r="AB604" s="41"/>
      <c r="AC604" s="41"/>
      <c r="AD604" s="41"/>
      <c r="AE604" s="41"/>
      <c r="AF604" s="41"/>
      <c r="AG604" s="41"/>
      <c r="AH604" s="41"/>
      <c r="AI604" s="41"/>
      <c r="AJ604" s="41"/>
      <c r="AK604" s="41"/>
      <c r="AL604" s="41"/>
      <c r="AM604" s="41"/>
      <c r="AN604" s="41"/>
      <c r="AO604" s="41"/>
      <c r="AP604" s="41"/>
      <c r="AQ604" s="41"/>
      <c r="AR604" s="41"/>
      <c r="AS604" s="41"/>
      <c r="AT604" s="41"/>
      <c r="AU604" s="41"/>
      <c r="AV604" s="41"/>
      <c r="AW604" s="41"/>
      <c r="AX604" s="41"/>
      <c r="AY604" s="41"/>
    </row>
    <row r="605" spans="2:51">
      <c r="B605" s="80"/>
      <c r="G605" s="41"/>
      <c r="H605" s="41"/>
      <c r="I605" s="41"/>
      <c r="J605" s="41"/>
      <c r="K605" s="41"/>
      <c r="L605" s="41"/>
      <c r="M605" s="41"/>
      <c r="N605" s="41"/>
      <c r="T605" s="41"/>
      <c r="U605" s="41"/>
      <c r="V605" s="41"/>
      <c r="W605" s="41"/>
      <c r="X605" s="41"/>
      <c r="Y605" s="41"/>
      <c r="Z605" s="41"/>
      <c r="AA605" s="41"/>
      <c r="AB605" s="41"/>
      <c r="AC605" s="41"/>
      <c r="AD605" s="41"/>
      <c r="AE605" s="41"/>
      <c r="AF605" s="41"/>
      <c r="AG605" s="41"/>
      <c r="AH605" s="41"/>
      <c r="AI605" s="41"/>
      <c r="AJ605" s="41"/>
      <c r="AK605" s="41"/>
      <c r="AL605" s="41"/>
      <c r="AM605" s="41"/>
      <c r="AN605" s="41"/>
      <c r="AO605" s="41"/>
      <c r="AP605" s="41"/>
      <c r="AQ605" s="41"/>
      <c r="AR605" s="41"/>
      <c r="AS605" s="41"/>
      <c r="AT605" s="41"/>
      <c r="AU605" s="41"/>
      <c r="AV605" s="41"/>
      <c r="AW605" s="41"/>
      <c r="AX605" s="41"/>
      <c r="AY605" s="41"/>
    </row>
    <row r="606" spans="2:51">
      <c r="B606" s="80"/>
      <c r="G606" s="41"/>
      <c r="H606" s="41"/>
      <c r="I606" s="41"/>
      <c r="J606" s="41"/>
      <c r="K606" s="41"/>
      <c r="L606" s="41"/>
      <c r="M606" s="41"/>
      <c r="N606" s="41"/>
      <c r="T606" s="41"/>
      <c r="U606" s="41"/>
      <c r="V606" s="41"/>
      <c r="W606" s="41"/>
      <c r="X606" s="41"/>
      <c r="Y606" s="41"/>
      <c r="Z606" s="41"/>
      <c r="AA606" s="41"/>
      <c r="AB606" s="41"/>
      <c r="AC606" s="41"/>
      <c r="AD606" s="41"/>
      <c r="AE606" s="41"/>
      <c r="AF606" s="41"/>
      <c r="AG606" s="41"/>
      <c r="AH606" s="41"/>
      <c r="AI606" s="41"/>
      <c r="AJ606" s="41"/>
      <c r="AK606" s="41"/>
      <c r="AL606" s="41"/>
      <c r="AM606" s="41"/>
      <c r="AN606" s="41"/>
      <c r="AO606" s="41"/>
      <c r="AP606" s="41"/>
      <c r="AQ606" s="41"/>
      <c r="AR606" s="41"/>
      <c r="AS606" s="41"/>
      <c r="AT606" s="41"/>
      <c r="AU606" s="41"/>
      <c r="AV606" s="41"/>
      <c r="AW606" s="41"/>
      <c r="AX606" s="41"/>
      <c r="AY606" s="41"/>
    </row>
    <row r="607" spans="2:51">
      <c r="B607" s="80"/>
      <c r="G607" s="41"/>
      <c r="H607" s="41"/>
      <c r="I607" s="41"/>
      <c r="J607" s="41"/>
      <c r="K607" s="41"/>
      <c r="L607" s="41"/>
      <c r="M607" s="41"/>
      <c r="N607" s="41"/>
      <c r="T607" s="41"/>
      <c r="U607" s="41"/>
      <c r="V607" s="41"/>
      <c r="W607" s="41"/>
      <c r="X607" s="41"/>
      <c r="Y607" s="41"/>
      <c r="Z607" s="41"/>
      <c r="AA607" s="41"/>
      <c r="AB607" s="41"/>
      <c r="AC607" s="41"/>
      <c r="AD607" s="41"/>
      <c r="AE607" s="41"/>
      <c r="AF607" s="41"/>
      <c r="AG607" s="41"/>
      <c r="AH607" s="41"/>
      <c r="AI607" s="41"/>
      <c r="AJ607" s="41"/>
      <c r="AK607" s="41"/>
      <c r="AL607" s="41"/>
      <c r="AM607" s="41"/>
      <c r="AN607" s="41"/>
      <c r="AO607" s="41"/>
      <c r="AP607" s="41"/>
      <c r="AQ607" s="41"/>
      <c r="AR607" s="41"/>
      <c r="AS607" s="41"/>
      <c r="AT607" s="41"/>
      <c r="AU607" s="41"/>
      <c r="AV607" s="41"/>
      <c r="AW607" s="41"/>
      <c r="AX607" s="41"/>
      <c r="AY607" s="41"/>
    </row>
    <row r="608" spans="2:51">
      <c r="B608" s="80"/>
      <c r="G608" s="41"/>
      <c r="H608" s="41"/>
      <c r="I608" s="41"/>
      <c r="J608" s="41"/>
      <c r="K608" s="41"/>
      <c r="L608" s="41"/>
      <c r="M608" s="41"/>
      <c r="N608" s="41"/>
      <c r="T608" s="41"/>
      <c r="U608" s="41"/>
      <c r="V608" s="41"/>
      <c r="W608" s="41"/>
      <c r="X608" s="41"/>
      <c r="Y608" s="41"/>
      <c r="Z608" s="41"/>
      <c r="AA608" s="41"/>
      <c r="AB608" s="41"/>
      <c r="AC608" s="41"/>
      <c r="AD608" s="41"/>
      <c r="AE608" s="41"/>
      <c r="AF608" s="41"/>
      <c r="AG608" s="41"/>
      <c r="AH608" s="41"/>
      <c r="AI608" s="41"/>
      <c r="AJ608" s="41"/>
      <c r="AK608" s="41"/>
      <c r="AL608" s="41"/>
      <c r="AM608" s="41"/>
      <c r="AN608" s="41"/>
      <c r="AO608" s="41"/>
      <c r="AP608" s="41"/>
      <c r="AQ608" s="41"/>
      <c r="AR608" s="41"/>
      <c r="AS608" s="41"/>
      <c r="AT608" s="41"/>
      <c r="AU608" s="41"/>
      <c r="AV608" s="41"/>
      <c r="AW608" s="41"/>
      <c r="AX608" s="41"/>
      <c r="AY608" s="41"/>
    </row>
    <row r="609" spans="1:52">
      <c r="B609" s="80"/>
      <c r="G609" s="41"/>
      <c r="H609" s="41"/>
      <c r="I609" s="41"/>
      <c r="J609" s="41"/>
      <c r="K609" s="41"/>
      <c r="L609" s="41"/>
      <c r="M609" s="41"/>
      <c r="N609" s="41"/>
      <c r="T609" s="41"/>
      <c r="U609" s="41"/>
      <c r="V609" s="41"/>
      <c r="W609" s="41"/>
      <c r="X609" s="41"/>
      <c r="Y609" s="41"/>
      <c r="Z609" s="41"/>
      <c r="AA609" s="41"/>
      <c r="AB609" s="41"/>
      <c r="AC609" s="41"/>
      <c r="AD609" s="41"/>
      <c r="AE609" s="41"/>
      <c r="AF609" s="41"/>
      <c r="AG609" s="41"/>
      <c r="AH609" s="41"/>
      <c r="AI609" s="41"/>
      <c r="AJ609" s="41"/>
      <c r="AK609" s="41"/>
      <c r="AL609" s="41"/>
      <c r="AM609" s="41"/>
      <c r="AN609" s="41"/>
      <c r="AO609" s="41"/>
      <c r="AP609" s="41"/>
      <c r="AQ609" s="41"/>
      <c r="AR609" s="41"/>
      <c r="AS609" s="41"/>
      <c r="AT609" s="41"/>
      <c r="AU609" s="41"/>
      <c r="AV609" s="41"/>
      <c r="AW609" s="41"/>
      <c r="AX609" s="41"/>
      <c r="AY609" s="41"/>
    </row>
    <row r="610" spans="1:52">
      <c r="B610" s="80"/>
      <c r="G610" s="41"/>
      <c r="H610" s="41"/>
      <c r="I610" s="41"/>
      <c r="J610" s="41"/>
      <c r="K610" s="41"/>
      <c r="L610" s="41"/>
      <c r="M610" s="41"/>
      <c r="N610" s="41"/>
      <c r="T610" s="41"/>
      <c r="U610" s="41"/>
      <c r="V610" s="41"/>
      <c r="W610" s="41"/>
      <c r="X610" s="41"/>
      <c r="Y610" s="41"/>
      <c r="Z610" s="41"/>
      <c r="AA610" s="41"/>
      <c r="AB610" s="41"/>
      <c r="AC610" s="41"/>
      <c r="AD610" s="41"/>
      <c r="AE610" s="41"/>
      <c r="AF610" s="41"/>
      <c r="AG610" s="41"/>
      <c r="AH610" s="41"/>
      <c r="AI610" s="41"/>
      <c r="AJ610" s="41"/>
      <c r="AK610" s="41"/>
      <c r="AL610" s="41"/>
      <c r="AM610" s="41"/>
      <c r="AN610" s="41"/>
      <c r="AO610" s="41"/>
      <c r="AP610" s="41"/>
      <c r="AQ610" s="41"/>
      <c r="AR610" s="41"/>
      <c r="AS610" s="41"/>
      <c r="AT610" s="41"/>
      <c r="AU610" s="41"/>
      <c r="AV610" s="41"/>
      <c r="AW610" s="41"/>
      <c r="AX610" s="41"/>
      <c r="AY610" s="41"/>
    </row>
    <row r="611" spans="1:52">
      <c r="B611" s="80"/>
      <c r="G611" s="41"/>
      <c r="H611" s="41"/>
      <c r="I611" s="41"/>
      <c r="J611" s="41"/>
      <c r="K611" s="41"/>
      <c r="L611" s="41"/>
      <c r="M611" s="41"/>
      <c r="N611" s="41"/>
      <c r="T611" s="41"/>
      <c r="U611" s="41"/>
      <c r="V611" s="41"/>
      <c r="W611" s="41"/>
      <c r="X611" s="41"/>
      <c r="Y611" s="41"/>
      <c r="Z611" s="41"/>
      <c r="AA611" s="41"/>
      <c r="AB611" s="41"/>
      <c r="AC611" s="41"/>
      <c r="AD611" s="41"/>
      <c r="AE611" s="41"/>
      <c r="AF611" s="41"/>
      <c r="AG611" s="41"/>
      <c r="AH611" s="41"/>
      <c r="AI611" s="41"/>
      <c r="AJ611" s="41"/>
      <c r="AK611" s="41"/>
      <c r="AL611" s="41"/>
      <c r="AM611" s="41"/>
      <c r="AN611" s="41"/>
      <c r="AO611" s="41"/>
      <c r="AP611" s="41"/>
      <c r="AQ611" s="41"/>
      <c r="AR611" s="41"/>
      <c r="AS611" s="41"/>
      <c r="AT611" s="41"/>
      <c r="AU611" s="41"/>
      <c r="AV611" s="41"/>
      <c r="AW611" s="41"/>
      <c r="AX611" s="41"/>
      <c r="AY611" s="41"/>
    </row>
    <row r="612" spans="1:52">
      <c r="B612" s="80"/>
      <c r="G612" s="41"/>
      <c r="H612" s="41"/>
      <c r="I612" s="41"/>
      <c r="J612" s="41"/>
      <c r="K612" s="41"/>
      <c r="L612" s="41"/>
      <c r="M612" s="41"/>
      <c r="N612" s="41"/>
      <c r="T612" s="41"/>
      <c r="U612" s="41"/>
      <c r="V612" s="41"/>
      <c r="W612" s="41"/>
      <c r="X612" s="41"/>
      <c r="Y612" s="41"/>
      <c r="Z612" s="41"/>
      <c r="AA612" s="41"/>
      <c r="AB612" s="41"/>
      <c r="AC612" s="41"/>
      <c r="AD612" s="41"/>
      <c r="AE612" s="41"/>
      <c r="AF612" s="41"/>
      <c r="AG612" s="41"/>
      <c r="AH612" s="41"/>
      <c r="AI612" s="41"/>
      <c r="AJ612" s="41"/>
      <c r="AK612" s="41"/>
      <c r="AL612" s="41"/>
      <c r="AM612" s="41"/>
      <c r="AN612" s="41"/>
      <c r="AO612" s="41"/>
      <c r="AP612" s="41"/>
      <c r="AQ612" s="41"/>
      <c r="AR612" s="41"/>
      <c r="AS612" s="41"/>
      <c r="AT612" s="41"/>
      <c r="AU612" s="41"/>
      <c r="AV612" s="41"/>
      <c r="AW612" s="41"/>
      <c r="AX612" s="41"/>
      <c r="AY612" s="41"/>
    </row>
    <row r="613" spans="1:52">
      <c r="B613" s="80"/>
      <c r="G613" s="41"/>
      <c r="H613" s="41"/>
      <c r="I613" s="41"/>
      <c r="J613" s="41"/>
      <c r="K613" s="41"/>
      <c r="L613" s="41"/>
      <c r="M613" s="41"/>
      <c r="N613" s="41"/>
      <c r="T613" s="41"/>
      <c r="U613" s="41"/>
      <c r="V613" s="41"/>
      <c r="W613" s="41"/>
      <c r="X613" s="41"/>
      <c r="Y613" s="41"/>
      <c r="Z613" s="41"/>
      <c r="AA613" s="41"/>
      <c r="AB613" s="41"/>
      <c r="AC613" s="41"/>
      <c r="AD613" s="41"/>
      <c r="AE613" s="41"/>
      <c r="AF613" s="41"/>
      <c r="AG613" s="41"/>
      <c r="AH613" s="41"/>
      <c r="AI613" s="41"/>
      <c r="AJ613" s="41"/>
      <c r="AK613" s="41"/>
      <c r="AL613" s="41"/>
      <c r="AM613" s="41"/>
      <c r="AN613" s="41"/>
      <c r="AO613" s="41"/>
      <c r="AP613" s="41"/>
      <c r="AQ613" s="41"/>
      <c r="AR613" s="41"/>
      <c r="AS613" s="41"/>
      <c r="AT613" s="41"/>
      <c r="AU613" s="41"/>
      <c r="AV613" s="41"/>
      <c r="AW613" s="41"/>
      <c r="AX613" s="41"/>
      <c r="AY613" s="41"/>
    </row>
    <row r="614" spans="1:52">
      <c r="B614" s="80"/>
      <c r="G614" s="41"/>
      <c r="H614" s="41"/>
      <c r="I614" s="41"/>
      <c r="J614" s="41"/>
      <c r="K614" s="41"/>
      <c r="L614" s="41"/>
      <c r="M614" s="41"/>
      <c r="N614" s="41"/>
      <c r="T614" s="41"/>
      <c r="U614" s="41"/>
      <c r="V614" s="41"/>
      <c r="W614" s="41"/>
      <c r="X614" s="41"/>
      <c r="Y614" s="41"/>
      <c r="Z614" s="41"/>
      <c r="AA614" s="41"/>
      <c r="AB614" s="41"/>
      <c r="AC614" s="41"/>
      <c r="AD614" s="41"/>
      <c r="AE614" s="41"/>
      <c r="AF614" s="41"/>
      <c r="AG614" s="41"/>
      <c r="AH614" s="41"/>
      <c r="AI614" s="41"/>
      <c r="AJ614" s="41"/>
      <c r="AK614" s="41"/>
      <c r="AL614" s="41"/>
      <c r="AM614" s="41"/>
      <c r="AN614" s="41"/>
      <c r="AO614" s="41"/>
      <c r="AP614" s="41"/>
      <c r="AQ614" s="41"/>
      <c r="AR614" s="41"/>
      <c r="AS614" s="41"/>
      <c r="AT614" s="41"/>
      <c r="AU614" s="41"/>
      <c r="AV614" s="41"/>
      <c r="AW614" s="41"/>
      <c r="AX614" s="41"/>
      <c r="AY614" s="41"/>
    </row>
    <row r="615" spans="1:52">
      <c r="B615" s="80"/>
      <c r="G615" s="41"/>
      <c r="H615" s="41"/>
      <c r="I615" s="41"/>
      <c r="J615" s="41"/>
      <c r="K615" s="41"/>
      <c r="L615" s="41"/>
      <c r="M615" s="41"/>
      <c r="N615" s="41"/>
      <c r="T615" s="41"/>
      <c r="U615" s="41"/>
      <c r="V615" s="41"/>
      <c r="W615" s="41"/>
      <c r="X615" s="41"/>
      <c r="Y615" s="41"/>
      <c r="Z615" s="41"/>
      <c r="AA615" s="41"/>
      <c r="AB615" s="41"/>
      <c r="AC615" s="41"/>
      <c r="AD615" s="41"/>
      <c r="AE615" s="41"/>
      <c r="AF615" s="41"/>
      <c r="AG615" s="41"/>
      <c r="AH615" s="41"/>
      <c r="AI615" s="41"/>
      <c r="AJ615" s="41"/>
      <c r="AK615" s="41"/>
      <c r="AL615" s="41"/>
      <c r="AM615" s="41"/>
      <c r="AN615" s="41"/>
      <c r="AO615" s="41"/>
      <c r="AP615" s="41"/>
      <c r="AQ615" s="41"/>
      <c r="AR615" s="41"/>
      <c r="AS615" s="41"/>
      <c r="AT615" s="41"/>
      <c r="AU615" s="41"/>
      <c r="AV615" s="41"/>
      <c r="AW615" s="41"/>
      <c r="AX615" s="41"/>
      <c r="AY615" s="41"/>
    </row>
    <row r="616" spans="1:52">
      <c r="B616" s="80"/>
      <c r="G616" s="41"/>
      <c r="H616" s="41"/>
      <c r="I616" s="41"/>
      <c r="J616" s="41"/>
      <c r="K616" s="41"/>
      <c r="L616" s="41"/>
      <c r="M616" s="41"/>
      <c r="N616" s="41"/>
      <c r="T616" s="41"/>
      <c r="U616" s="41"/>
      <c r="V616" s="41"/>
      <c r="W616" s="41"/>
      <c r="X616" s="41"/>
      <c r="Y616" s="41"/>
      <c r="Z616" s="41"/>
      <c r="AA616" s="41"/>
      <c r="AB616" s="41"/>
      <c r="AC616" s="41"/>
      <c r="AD616" s="41"/>
      <c r="AE616" s="41"/>
      <c r="AF616" s="41"/>
      <c r="AG616" s="41"/>
      <c r="AH616" s="41"/>
      <c r="AI616" s="41"/>
      <c r="AJ616" s="41"/>
      <c r="AK616" s="41"/>
      <c r="AL616" s="41"/>
      <c r="AM616" s="41"/>
      <c r="AN616" s="41"/>
      <c r="AO616" s="41"/>
      <c r="AP616" s="41"/>
      <c r="AQ616" s="41"/>
      <c r="AR616" s="41"/>
      <c r="AS616" s="41"/>
      <c r="AT616" s="41"/>
      <c r="AU616" s="41"/>
      <c r="AV616" s="41"/>
      <c r="AW616" s="41"/>
      <c r="AX616" s="41"/>
      <c r="AY616" s="41"/>
    </row>
    <row r="617" spans="1:52">
      <c r="B617" s="80"/>
      <c r="G617" s="41"/>
      <c r="H617" s="41"/>
      <c r="I617" s="41"/>
      <c r="J617" s="41"/>
      <c r="K617" s="41"/>
      <c r="L617" s="41"/>
      <c r="M617" s="41"/>
      <c r="N617" s="41"/>
      <c r="T617" s="41"/>
      <c r="U617" s="41"/>
      <c r="V617" s="41"/>
      <c r="W617" s="41"/>
      <c r="X617" s="41"/>
      <c r="Y617" s="41"/>
      <c r="Z617" s="41"/>
      <c r="AA617" s="41"/>
      <c r="AB617" s="41"/>
      <c r="AC617" s="41"/>
      <c r="AD617" s="41"/>
      <c r="AE617" s="41"/>
      <c r="AF617" s="41"/>
      <c r="AG617" s="41"/>
      <c r="AH617" s="41"/>
      <c r="AI617" s="41"/>
      <c r="AJ617" s="41"/>
      <c r="AK617" s="41"/>
      <c r="AL617" s="41"/>
      <c r="AM617" s="41"/>
      <c r="AN617" s="41"/>
      <c r="AO617" s="41"/>
      <c r="AP617" s="41"/>
      <c r="AQ617" s="41"/>
      <c r="AR617" s="41"/>
      <c r="AS617" s="41"/>
      <c r="AT617" s="41"/>
      <c r="AU617" s="41"/>
      <c r="AV617" s="41"/>
      <c r="AW617" s="41"/>
      <c r="AX617" s="41"/>
      <c r="AY617" s="41"/>
    </row>
    <row r="618" spans="1:52">
      <c r="B618" s="80"/>
      <c r="G618" s="41"/>
      <c r="H618" s="41"/>
      <c r="I618" s="41"/>
      <c r="J618" s="41"/>
      <c r="K618" s="41"/>
      <c r="L618" s="41"/>
      <c r="M618" s="41"/>
      <c r="N618" s="41"/>
      <c r="T618" s="41"/>
      <c r="U618" s="41"/>
      <c r="V618" s="41"/>
      <c r="W618" s="41"/>
      <c r="X618" s="41"/>
      <c r="Y618" s="41"/>
      <c r="Z618" s="41"/>
      <c r="AA618" s="41"/>
      <c r="AB618" s="41"/>
      <c r="AC618" s="41"/>
      <c r="AD618" s="41"/>
      <c r="AE618" s="41"/>
      <c r="AF618" s="41"/>
      <c r="AG618" s="41"/>
      <c r="AH618" s="41"/>
      <c r="AI618" s="41"/>
      <c r="AJ618" s="41"/>
      <c r="AK618" s="41"/>
      <c r="AL618" s="41"/>
      <c r="AM618" s="41"/>
      <c r="AN618" s="41"/>
      <c r="AO618" s="41"/>
      <c r="AP618" s="41"/>
      <c r="AQ618" s="41"/>
      <c r="AR618" s="41"/>
      <c r="AS618" s="41"/>
      <c r="AT618" s="41"/>
      <c r="AU618" s="41"/>
      <c r="AV618" s="41"/>
      <c r="AW618" s="41"/>
      <c r="AX618" s="41"/>
      <c r="AY618" s="41"/>
    </row>
    <row r="619" spans="1:52">
      <c r="B619" s="80"/>
      <c r="G619" s="41"/>
      <c r="H619" s="41"/>
      <c r="I619" s="41"/>
      <c r="J619" s="41"/>
      <c r="K619" s="41"/>
      <c r="L619" s="41"/>
      <c r="M619" s="41"/>
      <c r="N619" s="41"/>
      <c r="T619" s="41"/>
      <c r="U619" s="41"/>
      <c r="V619" s="41"/>
      <c r="W619" s="41"/>
      <c r="X619" s="41"/>
      <c r="Y619" s="41"/>
      <c r="Z619" s="41"/>
      <c r="AA619" s="41"/>
      <c r="AB619" s="41"/>
      <c r="AC619" s="41"/>
      <c r="AD619" s="41"/>
      <c r="AE619" s="41"/>
      <c r="AF619" s="41"/>
      <c r="AG619" s="41"/>
      <c r="AH619" s="41"/>
      <c r="AI619" s="41"/>
      <c r="AJ619" s="41"/>
      <c r="AK619" s="41"/>
      <c r="AL619" s="41"/>
      <c r="AM619" s="41"/>
      <c r="AN619" s="41"/>
      <c r="AO619" s="41"/>
      <c r="AP619" s="41"/>
      <c r="AQ619" s="41"/>
      <c r="AR619" s="41"/>
      <c r="AS619" s="41"/>
      <c r="AT619" s="41"/>
      <c r="AU619" s="41"/>
      <c r="AV619" s="41"/>
      <c r="AW619" s="41"/>
      <c r="AX619" s="41"/>
      <c r="AY619" s="41"/>
    </row>
    <row r="620" spans="1:52">
      <c r="B620" s="80"/>
      <c r="G620" s="41"/>
      <c r="H620" s="41"/>
      <c r="I620" s="41"/>
      <c r="J620" s="41"/>
      <c r="K620" s="41"/>
      <c r="L620" s="41"/>
      <c r="M620" s="41"/>
      <c r="N620" s="41"/>
      <c r="T620" s="41"/>
      <c r="U620" s="41"/>
      <c r="V620" s="41"/>
      <c r="W620" s="41"/>
      <c r="X620" s="41"/>
      <c r="Y620" s="41"/>
      <c r="Z620" s="41"/>
      <c r="AA620" s="41"/>
      <c r="AB620" s="41"/>
      <c r="AC620" s="41"/>
      <c r="AD620" s="41"/>
      <c r="AE620" s="41"/>
      <c r="AF620" s="41"/>
      <c r="AG620" s="41"/>
      <c r="AH620" s="41"/>
      <c r="AI620" s="41"/>
      <c r="AJ620" s="41"/>
      <c r="AK620" s="41"/>
      <c r="AL620" s="41"/>
      <c r="AM620" s="41"/>
      <c r="AN620" s="41"/>
      <c r="AO620" s="41"/>
      <c r="AP620" s="41"/>
      <c r="AQ620" s="41"/>
      <c r="AR620" s="41"/>
      <c r="AS620" s="41"/>
      <c r="AT620" s="41"/>
      <c r="AU620" s="41"/>
      <c r="AV620" s="41"/>
      <c r="AW620" s="41"/>
      <c r="AX620" s="41"/>
      <c r="AY620" s="41"/>
    </row>
    <row r="621" spans="1:52">
      <c r="B621" s="80"/>
      <c r="G621" s="41"/>
      <c r="H621" s="41"/>
      <c r="I621" s="41"/>
      <c r="J621" s="41"/>
      <c r="K621" s="41"/>
      <c r="L621" s="41"/>
      <c r="M621" s="41"/>
      <c r="N621" s="41"/>
      <c r="T621" s="41"/>
      <c r="U621" s="41"/>
      <c r="V621" s="41"/>
      <c r="W621" s="41"/>
      <c r="X621" s="41"/>
      <c r="Y621" s="41"/>
      <c r="Z621" s="41"/>
      <c r="AA621" s="41"/>
      <c r="AB621" s="41"/>
      <c r="AC621" s="41"/>
      <c r="AD621" s="41"/>
      <c r="AE621" s="41"/>
      <c r="AF621" s="41"/>
      <c r="AG621" s="41"/>
      <c r="AH621" s="41"/>
      <c r="AI621" s="41"/>
      <c r="AJ621" s="41"/>
      <c r="AK621" s="41"/>
      <c r="AL621" s="41"/>
      <c r="AM621" s="41"/>
      <c r="AN621" s="41"/>
      <c r="AO621" s="41"/>
      <c r="AP621" s="41"/>
      <c r="AQ621" s="41"/>
      <c r="AR621" s="41"/>
      <c r="AS621" s="41"/>
      <c r="AT621" s="41"/>
      <c r="AU621" s="41"/>
      <c r="AV621" s="41"/>
      <c r="AW621" s="41"/>
      <c r="AX621" s="41"/>
      <c r="AY621" s="41"/>
    </row>
    <row r="622" spans="1:52" s="64" customFormat="1">
      <c r="A622" s="63" t="s">
        <v>40</v>
      </c>
      <c r="B622" s="63" t="s">
        <v>440</v>
      </c>
      <c r="C622" s="67"/>
      <c r="D622" s="67"/>
      <c r="E622" s="67"/>
      <c r="F622" s="67"/>
      <c r="G622" s="67"/>
      <c r="H622" s="67"/>
      <c r="I622" s="67"/>
      <c r="J622" s="67"/>
      <c r="K622" s="67"/>
      <c r="L622" s="67"/>
      <c r="M622" s="67"/>
      <c r="N622" s="67"/>
      <c r="O622" s="127"/>
      <c r="V622" s="71"/>
      <c r="Y622" s="71"/>
      <c r="Z622" s="75"/>
      <c r="AA622" s="75"/>
      <c r="AB622" s="75"/>
      <c r="AC622" s="75"/>
      <c r="AD622" s="75"/>
      <c r="AE622" s="75"/>
      <c r="AF622" s="75"/>
      <c r="AG622" s="75"/>
      <c r="AH622" s="75"/>
      <c r="AI622" s="75"/>
      <c r="AJ622" s="75"/>
      <c r="AK622" s="75"/>
      <c r="AL622" s="75"/>
      <c r="AM622" s="75"/>
      <c r="AN622" s="75"/>
      <c r="AO622" s="75"/>
      <c r="AP622" s="75"/>
      <c r="AQ622" s="75"/>
      <c r="AR622" s="75"/>
      <c r="AS622" s="75"/>
      <c r="AT622" s="75"/>
      <c r="AU622" s="75"/>
      <c r="AV622" s="75"/>
      <c r="AW622" s="75"/>
      <c r="AX622" s="75"/>
      <c r="AY622" s="75"/>
      <c r="AZ622" s="75"/>
    </row>
    <row r="623" spans="1:52">
      <c r="B623" t="s">
        <v>421</v>
      </c>
      <c r="E623" s="41"/>
      <c r="F623" s="41"/>
      <c r="G623" s="41"/>
      <c r="H623" s="41"/>
      <c r="I623" s="41"/>
      <c r="J623" s="41"/>
      <c r="K623" s="41"/>
      <c r="L623" s="41"/>
      <c r="M623" s="41"/>
      <c r="N623" s="41"/>
      <c r="T623" s="41"/>
      <c r="U623" s="41"/>
      <c r="V623" s="41"/>
      <c r="W623" s="41"/>
      <c r="X623" s="41"/>
      <c r="Y623" s="41"/>
      <c r="Z623" s="41"/>
      <c r="AA623" s="41"/>
      <c r="AB623" s="41"/>
      <c r="AC623" s="41"/>
      <c r="AD623" s="41"/>
      <c r="AE623" s="41"/>
      <c r="AF623" s="41"/>
      <c r="AG623" s="41"/>
      <c r="AH623" s="41"/>
      <c r="AI623" s="41"/>
      <c r="AJ623" s="41"/>
      <c r="AK623" s="41"/>
      <c r="AL623" s="41">
        <f>IS!AL91</f>
        <v>137.6</v>
      </c>
      <c r="AM623" s="41">
        <f>IS!AM91</f>
        <v>149.5</v>
      </c>
      <c r="AN623" s="41">
        <f>IS!AN91</f>
        <v>154.19999999999999</v>
      </c>
      <c r="AO623" s="41">
        <f>IS!AO91</f>
        <v>161</v>
      </c>
      <c r="AP623" s="41">
        <f ca="1">IS!AP91</f>
        <v>163.1238334924027</v>
      </c>
      <c r="AQ623" s="41">
        <f ca="1">IS!AQ91</f>
        <v>168.43832075091669</v>
      </c>
      <c r="AR623" s="41">
        <f ca="1">IS!AR91</f>
        <v>172.39237940327084</v>
      </c>
      <c r="AS623" s="41">
        <f ca="1">IS!AS91</f>
        <v>176.44953826708942</v>
      </c>
      <c r="AT623" s="41">
        <f ca="1">IS!AT91</f>
        <v>180.60796671344852</v>
      </c>
      <c r="AU623" s="41">
        <f ca="1">IS!AU91</f>
        <v>184.86574214236509</v>
      </c>
      <c r="AV623" s="41">
        <f ca="1">IS!AV91</f>
        <v>189.22085898089423</v>
      </c>
      <c r="AW623" s="41">
        <f ca="1">IS!AW91</f>
        <v>193.67123651046703</v>
      </c>
      <c r="AX623" s="41">
        <f ca="1">IS!AX91</f>
        <v>198.21472581109145</v>
      </c>
      <c r="AY623" s="41">
        <f ca="1">IS!AY91</f>
        <v>202.84911603509235</v>
      </c>
    </row>
    <row r="624" spans="1:52">
      <c r="B624" t="s">
        <v>419</v>
      </c>
      <c r="E624" s="41"/>
      <c r="F624" s="41"/>
      <c r="G624" s="41"/>
      <c r="H624" s="41"/>
      <c r="I624" s="41"/>
      <c r="J624" s="41"/>
      <c r="K624" s="41"/>
      <c r="L624" s="41"/>
      <c r="M624" s="41"/>
      <c r="N624" s="41"/>
      <c r="T624" s="41"/>
      <c r="U624" s="41"/>
      <c r="V624" s="41"/>
      <c r="W624" s="41"/>
      <c r="X624" s="41"/>
      <c r="Y624" s="41"/>
      <c r="Z624" s="41"/>
      <c r="AA624" s="41"/>
      <c r="AB624" s="41"/>
      <c r="AC624" s="41"/>
      <c r="AD624" s="41"/>
      <c r="AE624" s="41"/>
      <c r="AF624" s="41"/>
      <c r="AG624" s="41"/>
      <c r="AH624" s="41"/>
      <c r="AI624" s="41"/>
      <c r="AJ624" s="41"/>
      <c r="AK624" s="41"/>
      <c r="AL624" s="41">
        <f>IS!AL92</f>
        <v>28.7</v>
      </c>
      <c r="AM624" s="41">
        <f>IS!AM92</f>
        <v>29.3</v>
      </c>
      <c r="AN624" s="41">
        <f>IS!AN92</f>
        <v>29.4</v>
      </c>
      <c r="AO624" s="41">
        <f>IS!AO92</f>
        <v>31.5</v>
      </c>
      <c r="AP624" s="41">
        <f ca="1">IS!AP92</f>
        <v>32.037500358096445</v>
      </c>
      <c r="AQ624" s="41">
        <f ca="1">IS!AQ92</f>
        <v>32.725203523711102</v>
      </c>
      <c r="AR624" s="41">
        <f ca="1">IS!AR92</f>
        <v>33.42307108124453</v>
      </c>
      <c r="AS624" s="41">
        <f ca="1">IS!AS92</f>
        <v>34.137194449335453</v>
      </c>
      <c r="AT624" s="41">
        <f ca="1">IS!AT92</f>
        <v>34.870111441416618</v>
      </c>
      <c r="AU624" s="41">
        <f ca="1">IS!AU92</f>
        <v>35.622623025503188</v>
      </c>
      <c r="AV624" s="41">
        <f ca="1">IS!AV92</f>
        <v>36.394664943539198</v>
      </c>
      <c r="AW624" s="41">
        <f ca="1">IS!AW92</f>
        <v>37.185730560411827</v>
      </c>
      <c r="AX624" s="41">
        <f ca="1">IS!AX92</f>
        <v>37.995078610206726</v>
      </c>
      <c r="AY624" s="41">
        <f ca="1">IS!AY92</f>
        <v>38.821836875728614</v>
      </c>
    </row>
    <row r="625" spans="2:51">
      <c r="B625" t="s">
        <v>418</v>
      </c>
      <c r="E625" s="41"/>
      <c r="F625" s="41"/>
      <c r="G625" s="41"/>
      <c r="H625" s="41"/>
      <c r="I625" s="41"/>
      <c r="J625" s="41"/>
      <c r="K625" s="41"/>
      <c r="L625" s="41"/>
      <c r="M625" s="41"/>
      <c r="N625" s="41"/>
      <c r="T625" s="41"/>
      <c r="U625" s="41"/>
      <c r="V625" s="41"/>
      <c r="W625" s="41"/>
      <c r="X625" s="41"/>
      <c r="Y625" s="41"/>
      <c r="Z625" s="41"/>
      <c r="AA625" s="41"/>
      <c r="AB625" s="41"/>
      <c r="AC625" s="41"/>
      <c r="AD625" s="41"/>
      <c r="AE625" s="41"/>
      <c r="AF625" s="41"/>
      <c r="AG625" s="41"/>
      <c r="AH625" s="41"/>
      <c r="AI625" s="41"/>
      <c r="AJ625" s="41"/>
      <c r="AK625" s="41"/>
      <c r="AL625" s="41">
        <f>IS!AL93</f>
        <v>45.7</v>
      </c>
      <c r="AM625" s="41">
        <f>IS!AM93</f>
        <v>49.3</v>
      </c>
      <c r="AN625" s="41">
        <f>IS!AN93</f>
        <v>51.6</v>
      </c>
      <c r="AO625" s="41">
        <f>IS!AO93</f>
        <v>49.2</v>
      </c>
      <c r="AP625" s="41">
        <f ca="1">IS!AP93</f>
        <v>50.099572880682842</v>
      </c>
      <c r="AQ625" s="41">
        <f ca="1">IS!AQ93</f>
        <v>50.170769873689281</v>
      </c>
      <c r="AR625" s="41">
        <f ca="1">IS!AR93</f>
        <v>50.276029554713325</v>
      </c>
      <c r="AS625" s="41">
        <f ca="1">IS!AS93</f>
        <v>50.413502852041631</v>
      </c>
      <c r="AT625" s="41">
        <f ca="1">IS!AT93</f>
        <v>50.563752538381571</v>
      </c>
      <c r="AU625" s="41">
        <f ca="1">IS!AU93</f>
        <v>50.711016821758875</v>
      </c>
      <c r="AV625" s="41">
        <f ca="1">IS!AV93</f>
        <v>50.853334721280824</v>
      </c>
      <c r="AW625" s="41">
        <f ca="1">IS!AW93</f>
        <v>50.988615646118582</v>
      </c>
      <c r="AX625" s="41">
        <f ca="1">IS!AX93</f>
        <v>51.114724959543089</v>
      </c>
      <c r="AY625" s="41">
        <f ca="1">IS!AY93</f>
        <v>51.229537815672963</v>
      </c>
    </row>
    <row r="626" spans="2:51">
      <c r="B626" t="s">
        <v>420</v>
      </c>
      <c r="E626" s="41"/>
      <c r="F626" s="41"/>
      <c r="G626" s="41"/>
      <c r="H626" s="41"/>
      <c r="I626" s="41"/>
      <c r="J626" s="41"/>
      <c r="K626" s="41"/>
      <c r="L626" s="41"/>
      <c r="M626" s="41"/>
      <c r="N626" s="41"/>
      <c r="T626" s="41"/>
      <c r="U626" s="41"/>
      <c r="V626" s="41"/>
      <c r="W626" s="41"/>
      <c r="X626" s="41"/>
      <c r="Y626" s="41"/>
      <c r="Z626" s="41"/>
      <c r="AA626" s="41"/>
      <c r="AB626" s="41"/>
      <c r="AC626" s="41"/>
      <c r="AD626" s="41"/>
      <c r="AE626" s="41"/>
      <c r="AF626" s="41"/>
      <c r="AG626" s="41"/>
      <c r="AH626" s="41"/>
      <c r="AI626" s="41"/>
      <c r="AJ626" s="41"/>
      <c r="AK626" s="41"/>
      <c r="AL626" s="41">
        <f>IS!AL94</f>
        <v>46.6</v>
      </c>
      <c r="AM626" s="41">
        <f>IS!AM94</f>
        <v>51.1</v>
      </c>
      <c r="AN626" s="41">
        <f>IS!AN94</f>
        <v>49.5</v>
      </c>
      <c r="AO626" s="41">
        <f>IS!AO94</f>
        <v>57</v>
      </c>
      <c r="AP626" s="41">
        <f ca="1">IS!AP94</f>
        <v>53.827378883057655</v>
      </c>
      <c r="AQ626" s="41">
        <f ca="1">IS!AQ94</f>
        <v>53.501647815794016</v>
      </c>
      <c r="AR626" s="41">
        <f ca="1">IS!AR94</f>
        <v>53.281061287994135</v>
      </c>
      <c r="AS626" s="41">
        <f ca="1">IS!AS94</f>
        <v>53.148239821568488</v>
      </c>
      <c r="AT626" s="41">
        <f ca="1">IS!AT94</f>
        <v>53.073477813765621</v>
      </c>
      <c r="AU626" s="41">
        <f ca="1">IS!AU94</f>
        <v>53.034515847807825</v>
      </c>
      <c r="AV626" s="41">
        <f ca="1">IS!AV94</f>
        <v>53.025525170266263</v>
      </c>
      <c r="AW626" s="41">
        <f ca="1">IS!AW94</f>
        <v>53.041738029143005</v>
      </c>
      <c r="AX626" s="41">
        <f ca="1">IS!AX94</f>
        <v>53.079039964022826</v>
      </c>
      <c r="AY626" s="41">
        <f ca="1">IS!AY94</f>
        <v>53.133727720482405</v>
      </c>
    </row>
    <row r="627" spans="2:51" s="15" customFormat="1">
      <c r="B627" s="15" t="s">
        <v>132</v>
      </c>
      <c r="E627" s="41"/>
      <c r="F627" s="41"/>
      <c r="G627" s="41"/>
      <c r="H627" s="41"/>
      <c r="I627" s="41"/>
      <c r="J627" s="41"/>
      <c r="K627" s="41"/>
      <c r="L627" s="41"/>
      <c r="M627" s="41"/>
      <c r="N627" s="41"/>
      <c r="T627" s="41"/>
      <c r="U627" s="41"/>
      <c r="V627" s="41"/>
      <c r="W627" s="41"/>
      <c r="X627" s="41"/>
      <c r="Y627" s="41"/>
      <c r="Z627" s="41"/>
      <c r="AA627" s="41"/>
      <c r="AB627" s="41"/>
      <c r="AC627" s="41"/>
      <c r="AD627" s="41"/>
      <c r="AE627" s="41"/>
      <c r="AF627" s="41"/>
      <c r="AG627" s="41"/>
      <c r="AH627" s="41"/>
      <c r="AI627" s="41"/>
      <c r="AJ627" s="41"/>
      <c r="AK627" s="41"/>
      <c r="AL627" s="41">
        <f>IS!AL95</f>
        <v>1.4</v>
      </c>
      <c r="AM627" s="41">
        <f>IS!AM95</f>
        <v>1.6</v>
      </c>
      <c r="AN627" s="41">
        <f>IS!AN95</f>
        <v>1.1000000000000001</v>
      </c>
      <c r="AO627" s="41">
        <f>IS!AO95</f>
        <v>1.3</v>
      </c>
      <c r="AP627" s="41">
        <f ca="1">IS!AP95</f>
        <v>-1.8900724427489592</v>
      </c>
      <c r="AQ627" s="41">
        <f ca="1">IS!AQ95</f>
        <v>-3.4002227947454244</v>
      </c>
      <c r="AR627" s="41">
        <f ca="1">IS!AR95</f>
        <v>-3.4226989390101892</v>
      </c>
      <c r="AS627" s="41">
        <f ca="1">IS!AS95</f>
        <v>-3.4405401712433132</v>
      </c>
      <c r="AT627" s="41">
        <f ca="1">IS!AT95</f>
        <v>-3.4541434612706219</v>
      </c>
      <c r="AU627" s="41">
        <f ca="1">IS!AU95</f>
        <v>-3.4710411362726212</v>
      </c>
      <c r="AV627" s="41">
        <f ca="1">IS!AV95</f>
        <v>-3.4913574058470118</v>
      </c>
      <c r="AW627" s="41">
        <f ca="1">IS!AW95</f>
        <v>-3.5150918350612343</v>
      </c>
      <c r="AX627" s="41">
        <f ca="1">IS!AX95</f>
        <v>-3.5422203637919054</v>
      </c>
      <c r="AY627" s="41">
        <f ca="1">IS!AY95</f>
        <v>-3.7239221416467245</v>
      </c>
    </row>
    <row r="628" spans="2:51" s="15" customFormat="1">
      <c r="B628" s="80" t="s">
        <v>393</v>
      </c>
      <c r="E628" s="41"/>
      <c r="F628" s="41"/>
      <c r="G628" s="41"/>
      <c r="H628" s="41"/>
      <c r="I628" s="41"/>
      <c r="J628" s="41"/>
      <c r="K628" s="41"/>
      <c r="L628" s="41"/>
      <c r="M628" s="41"/>
      <c r="N628" s="41"/>
      <c r="T628" s="41"/>
      <c r="U628" s="41"/>
      <c r="V628" s="41"/>
      <c r="W628" s="41"/>
      <c r="X628" s="41"/>
      <c r="Y628" s="41"/>
      <c r="Z628" s="41"/>
      <c r="AA628" s="41"/>
      <c r="AB628" s="41"/>
      <c r="AC628" s="41"/>
      <c r="AD628" s="41"/>
      <c r="AE628" s="41"/>
      <c r="AF628" s="41"/>
      <c r="AG628" s="41"/>
      <c r="AH628" s="41"/>
      <c r="AI628" s="41"/>
      <c r="AJ628" s="41"/>
      <c r="AK628" s="41"/>
      <c r="AL628" s="41">
        <f>IS!AL96</f>
        <v>22</v>
      </c>
      <c r="AM628" s="41">
        <f>IS!AM96</f>
        <v>30</v>
      </c>
      <c r="AN628" s="41">
        <f>IS!AN96</f>
        <v>30.8</v>
      </c>
      <c r="AO628" s="41">
        <f>IS!AO96</f>
        <v>29.9</v>
      </c>
      <c r="AP628" s="41">
        <f>IS!AP96</f>
        <v>29.750499999999995</v>
      </c>
      <c r="AQ628" s="41">
        <f>IS!AQ96</f>
        <v>29.601747499999995</v>
      </c>
      <c r="AR628" s="41">
        <f>IS!AR96</f>
        <v>29.453738762499995</v>
      </c>
      <c r="AS628" s="41">
        <f>IS!AS96</f>
        <v>29.306470068687496</v>
      </c>
      <c r="AT628" s="41">
        <f>IS!AT96</f>
        <v>29.159937718344057</v>
      </c>
      <c r="AU628" s="41">
        <f>IS!AU96</f>
        <v>29.014138029752335</v>
      </c>
      <c r="AV628" s="41">
        <f>IS!AV96</f>
        <v>28.869067339603575</v>
      </c>
      <c r="AW628" s="41">
        <f>IS!AW96</f>
        <v>28.724722002905558</v>
      </c>
      <c r="AX628" s="41">
        <f>IS!AX96</f>
        <v>28.581098392891029</v>
      </c>
      <c r="AY628" s="41">
        <f>IS!AY96</f>
        <v>28.438192900926573</v>
      </c>
    </row>
    <row r="629" spans="2:51">
      <c r="B629" s="80" t="s">
        <v>76</v>
      </c>
      <c r="G629" s="41"/>
      <c r="H629" s="41"/>
      <c r="I629" s="41"/>
      <c r="J629" s="41"/>
      <c r="K629" s="41"/>
      <c r="L629" s="41"/>
      <c r="M629" s="41"/>
      <c r="N629" s="41"/>
      <c r="T629" s="41"/>
      <c r="U629" s="41"/>
      <c r="V629" s="41"/>
      <c r="W629" s="41"/>
      <c r="X629" s="41"/>
      <c r="Y629" s="41"/>
      <c r="Z629" s="41"/>
      <c r="AA629" s="41"/>
      <c r="AB629" s="41"/>
      <c r="AC629" s="41"/>
      <c r="AD629" s="41"/>
      <c r="AE629" s="41"/>
      <c r="AF629" s="41"/>
      <c r="AG629" s="41"/>
      <c r="AH629" s="41"/>
      <c r="AI629" s="41"/>
      <c r="AJ629" s="41"/>
      <c r="AK629" s="41"/>
      <c r="AL629" s="41">
        <f>IS!AL97</f>
        <v>282</v>
      </c>
      <c r="AM629" s="41">
        <f>IS!AM97</f>
        <v>310.80000000000007</v>
      </c>
      <c r="AN629" s="41">
        <f>IS!AN97</f>
        <v>316.60000000000002</v>
      </c>
      <c r="AO629" s="41">
        <f>IS!AO97</f>
        <v>329.9</v>
      </c>
      <c r="AP629" s="41">
        <f ca="1">IS!AP97</f>
        <v>326.94871317149068</v>
      </c>
      <c r="AQ629" s="41">
        <f ca="1">IS!AQ97</f>
        <v>331.03746666936564</v>
      </c>
      <c r="AR629" s="41">
        <f ca="1">IS!AR97</f>
        <v>335.40358115071263</v>
      </c>
      <c r="AS629" s="41">
        <f ca="1">IS!AS97</f>
        <v>340.01440528747918</v>
      </c>
      <c r="AT629" s="41">
        <f ca="1">IS!AT97</f>
        <v>344.82110276408577</v>
      </c>
      <c r="AU629" s="41">
        <f ca="1">IS!AU97</f>
        <v>349.77699473091468</v>
      </c>
      <c r="AV629" s="41">
        <f ca="1">IS!AV97</f>
        <v>354.87209374973708</v>
      </c>
      <c r="AW629" s="41">
        <f ca="1">IS!AW97</f>
        <v>360.09695091398476</v>
      </c>
      <c r="AX629" s="41">
        <f ca="1">IS!AX97</f>
        <v>365.4424473739632</v>
      </c>
      <c r="AY629" s="41">
        <f ca="1">IS!AY97</f>
        <v>370.74848920625618</v>
      </c>
    </row>
    <row r="630" spans="2:51">
      <c r="B630" s="80"/>
      <c r="G630" s="41"/>
      <c r="H630" s="41"/>
      <c r="I630" s="41"/>
      <c r="J630" s="41"/>
      <c r="K630" s="41"/>
      <c r="L630" s="41"/>
      <c r="M630" s="41"/>
      <c r="N630" s="41"/>
      <c r="T630" s="41"/>
      <c r="U630" s="41"/>
      <c r="V630" s="41"/>
      <c r="W630" s="41"/>
      <c r="X630" s="41"/>
      <c r="Y630" s="41"/>
      <c r="Z630" s="41"/>
      <c r="AA630" s="41"/>
      <c r="AB630" s="41"/>
      <c r="AC630" s="41"/>
      <c r="AD630" s="41"/>
      <c r="AE630" s="41"/>
      <c r="AF630" s="41"/>
      <c r="AG630" s="41"/>
      <c r="AH630" s="41"/>
      <c r="AI630" s="41"/>
      <c r="AJ630" s="41"/>
      <c r="AK630" s="41"/>
      <c r="AL630" s="41"/>
      <c r="AM630" s="41"/>
      <c r="AN630" s="41"/>
      <c r="AO630" s="41"/>
      <c r="AP630" s="41"/>
      <c r="AQ630" s="41"/>
      <c r="AR630" s="41"/>
      <c r="AS630" s="41"/>
      <c r="AT630" s="41"/>
      <c r="AU630" s="41"/>
      <c r="AV630" s="41"/>
      <c r="AW630" s="41"/>
      <c r="AX630" s="41"/>
      <c r="AY630" s="41"/>
    </row>
    <row r="631" spans="2:51">
      <c r="B631" s="80"/>
      <c r="G631" s="41"/>
      <c r="H631" s="41"/>
      <c r="I631" s="41"/>
      <c r="J631" s="41"/>
      <c r="K631" s="41"/>
      <c r="L631" s="41"/>
      <c r="M631" s="41"/>
      <c r="N631" s="41"/>
      <c r="T631" s="41"/>
      <c r="U631" s="41"/>
      <c r="V631" s="41"/>
      <c r="W631" s="41"/>
      <c r="X631" s="41"/>
      <c r="Y631" s="41"/>
      <c r="Z631" s="41"/>
      <c r="AA631" s="41"/>
      <c r="AB631" s="41"/>
      <c r="AC631" s="41"/>
      <c r="AD631" s="41"/>
      <c r="AE631" s="41"/>
      <c r="AF631" s="41"/>
      <c r="AG631" s="41"/>
      <c r="AH631" s="41"/>
      <c r="AI631" s="41"/>
      <c r="AJ631" s="41"/>
      <c r="AK631" s="41"/>
      <c r="AL631" s="41"/>
      <c r="AM631" s="41"/>
      <c r="AN631" s="41"/>
      <c r="AO631" s="41"/>
      <c r="AP631" s="41"/>
      <c r="AQ631" s="41"/>
      <c r="AR631" s="41"/>
      <c r="AS631" s="41"/>
      <c r="AT631" s="41"/>
      <c r="AU631" s="41"/>
      <c r="AV631" s="41"/>
      <c r="AW631" s="41"/>
      <c r="AX631" s="41"/>
      <c r="AY631" s="41"/>
    </row>
    <row r="632" spans="2:51">
      <c r="B632" s="80"/>
      <c r="G632" s="41"/>
      <c r="H632" s="41"/>
      <c r="I632" s="41"/>
      <c r="J632" s="41"/>
      <c r="K632" s="41"/>
      <c r="L632" s="41"/>
      <c r="M632" s="41"/>
      <c r="N632" s="41"/>
      <c r="T632" s="41"/>
      <c r="U632" s="41"/>
      <c r="V632" s="41"/>
      <c r="W632" s="41"/>
      <c r="X632" s="41"/>
      <c r="Y632" s="41"/>
      <c r="Z632" s="41"/>
      <c r="AA632" s="41"/>
      <c r="AB632" s="41"/>
      <c r="AC632" s="41"/>
      <c r="AD632" s="41"/>
      <c r="AE632" s="41"/>
      <c r="AF632" s="41"/>
      <c r="AG632" s="41"/>
      <c r="AH632" s="41"/>
      <c r="AI632" s="41"/>
      <c r="AJ632" s="41"/>
      <c r="AK632" s="41"/>
      <c r="AL632" s="41"/>
      <c r="AM632" s="41"/>
      <c r="AN632" s="41"/>
      <c r="AO632" s="41"/>
      <c r="AP632" s="41"/>
      <c r="AQ632" s="41"/>
      <c r="AR632" s="41"/>
      <c r="AS632" s="41"/>
      <c r="AT632" s="41"/>
      <c r="AU632" s="41"/>
      <c r="AV632" s="41"/>
      <c r="AW632" s="41"/>
      <c r="AX632" s="41"/>
      <c r="AY632" s="41"/>
    </row>
    <row r="633" spans="2:51">
      <c r="B633" s="80"/>
      <c r="G633" s="41"/>
      <c r="H633" s="41"/>
      <c r="I633" s="41"/>
      <c r="J633" s="41"/>
      <c r="K633" s="41"/>
      <c r="L633" s="41"/>
      <c r="M633" s="41"/>
      <c r="N633" s="41"/>
      <c r="T633" s="41"/>
      <c r="U633" s="41"/>
      <c r="V633" s="41"/>
      <c r="W633" s="41"/>
      <c r="X633" s="41"/>
      <c r="Y633" s="41"/>
      <c r="Z633" s="41"/>
      <c r="AA633" s="41"/>
      <c r="AB633" s="41"/>
      <c r="AC633" s="41"/>
      <c r="AD633" s="41"/>
      <c r="AE633" s="41"/>
      <c r="AF633" s="41"/>
      <c r="AG633" s="41"/>
      <c r="AH633" s="41"/>
      <c r="AI633" s="41"/>
      <c r="AJ633" s="41"/>
      <c r="AK633" s="41"/>
      <c r="AL633" s="41"/>
      <c r="AM633" s="41"/>
      <c r="AN633" s="41"/>
      <c r="AO633" s="41"/>
      <c r="AP633" s="41"/>
      <c r="AQ633" s="41"/>
      <c r="AR633" s="41"/>
      <c r="AS633" s="41"/>
      <c r="AT633" s="41"/>
      <c r="AU633" s="41"/>
      <c r="AV633" s="41"/>
      <c r="AW633" s="41"/>
      <c r="AX633" s="41"/>
      <c r="AY633" s="41"/>
    </row>
    <row r="634" spans="2:51">
      <c r="B634" s="80"/>
      <c r="G634" s="41"/>
      <c r="H634" s="41"/>
      <c r="I634" s="41"/>
      <c r="J634" s="41"/>
      <c r="K634" s="41"/>
      <c r="L634" s="41"/>
      <c r="M634" s="41"/>
      <c r="N634" s="41"/>
      <c r="T634" s="41"/>
      <c r="U634" s="41"/>
      <c r="V634" s="41"/>
      <c r="W634" s="41"/>
      <c r="X634" s="41"/>
      <c r="Y634" s="41"/>
      <c r="Z634" s="41"/>
      <c r="AA634" s="41"/>
      <c r="AB634" s="41"/>
      <c r="AC634" s="41"/>
      <c r="AD634" s="41"/>
      <c r="AE634" s="41"/>
      <c r="AF634" s="41"/>
      <c r="AG634" s="41"/>
      <c r="AH634" s="41"/>
      <c r="AI634" s="41"/>
      <c r="AJ634" s="41"/>
      <c r="AK634" s="41"/>
      <c r="AL634" s="41"/>
      <c r="AM634" s="41"/>
      <c r="AN634" s="41"/>
      <c r="AO634" s="41"/>
      <c r="AP634" s="41"/>
      <c r="AQ634" s="41"/>
      <c r="AR634" s="41"/>
      <c r="AS634" s="41"/>
      <c r="AT634" s="41"/>
      <c r="AU634" s="41"/>
      <c r="AV634" s="41"/>
      <c r="AW634" s="41"/>
      <c r="AX634" s="41"/>
      <c r="AY634" s="41"/>
    </row>
    <row r="635" spans="2:51">
      <c r="B635" s="80"/>
      <c r="G635" s="41"/>
      <c r="H635" s="41"/>
      <c r="I635" s="41"/>
      <c r="J635" s="41"/>
      <c r="K635" s="41"/>
      <c r="L635" s="41"/>
      <c r="M635" s="41"/>
      <c r="N635" s="41"/>
      <c r="T635" s="41"/>
      <c r="U635" s="41"/>
      <c r="V635" s="41"/>
      <c r="W635" s="41"/>
      <c r="X635" s="41"/>
      <c r="Y635" s="41"/>
      <c r="Z635" s="41"/>
      <c r="AA635" s="41"/>
      <c r="AB635" s="41"/>
      <c r="AC635" s="41"/>
      <c r="AD635" s="41"/>
      <c r="AE635" s="41"/>
      <c r="AF635" s="41"/>
      <c r="AG635" s="41"/>
      <c r="AH635" s="41"/>
      <c r="AI635" s="41"/>
      <c r="AJ635" s="41"/>
      <c r="AK635" s="41"/>
      <c r="AL635" s="41"/>
      <c r="AM635" s="41"/>
      <c r="AN635" s="41"/>
      <c r="AO635" s="41"/>
      <c r="AP635" s="41"/>
      <c r="AQ635" s="41"/>
      <c r="AR635" s="41"/>
      <c r="AS635" s="41"/>
      <c r="AT635" s="41"/>
      <c r="AU635" s="41"/>
      <c r="AV635" s="41"/>
      <c r="AW635" s="41"/>
      <c r="AX635" s="41"/>
      <c r="AY635" s="41"/>
    </row>
    <row r="636" spans="2:51">
      <c r="B636" s="80"/>
      <c r="G636" s="41"/>
      <c r="H636" s="41"/>
      <c r="I636" s="41"/>
      <c r="J636" s="41"/>
      <c r="K636" s="41"/>
      <c r="L636" s="41"/>
      <c r="M636" s="41"/>
      <c r="N636" s="41"/>
      <c r="T636" s="41"/>
      <c r="U636" s="41"/>
      <c r="V636" s="41"/>
      <c r="W636" s="41"/>
      <c r="X636" s="41"/>
      <c r="Y636" s="41"/>
      <c r="Z636" s="41"/>
      <c r="AA636" s="41"/>
      <c r="AB636" s="41"/>
      <c r="AC636" s="41"/>
      <c r="AD636" s="41"/>
      <c r="AE636" s="41"/>
      <c r="AF636" s="41"/>
      <c r="AG636" s="41"/>
      <c r="AH636" s="41"/>
      <c r="AI636" s="41"/>
      <c r="AJ636" s="41"/>
      <c r="AK636" s="41"/>
      <c r="AL636" s="41"/>
      <c r="AM636" s="41"/>
      <c r="AN636" s="41"/>
      <c r="AO636" s="41"/>
      <c r="AP636" s="41"/>
      <c r="AQ636" s="41"/>
      <c r="AR636" s="41"/>
      <c r="AS636" s="41"/>
      <c r="AT636" s="41"/>
      <c r="AU636" s="41"/>
      <c r="AV636" s="41"/>
      <c r="AW636" s="41"/>
      <c r="AX636" s="41"/>
      <c r="AY636" s="41"/>
    </row>
    <row r="637" spans="2:51">
      <c r="B637" s="80"/>
      <c r="G637" s="41"/>
      <c r="H637" s="41"/>
      <c r="I637" s="41"/>
      <c r="J637" s="41"/>
      <c r="K637" s="41"/>
      <c r="L637" s="41"/>
      <c r="M637" s="41"/>
      <c r="N637" s="41"/>
      <c r="T637" s="41"/>
      <c r="U637" s="41"/>
      <c r="V637" s="41"/>
      <c r="W637" s="41"/>
      <c r="X637" s="41"/>
      <c r="Y637" s="41"/>
      <c r="Z637" s="41"/>
      <c r="AA637" s="41"/>
      <c r="AB637" s="41"/>
      <c r="AC637" s="41"/>
      <c r="AD637" s="41"/>
      <c r="AE637" s="41"/>
      <c r="AF637" s="41"/>
      <c r="AG637" s="41"/>
      <c r="AH637" s="41"/>
      <c r="AI637" s="41"/>
      <c r="AJ637" s="41"/>
      <c r="AK637" s="41"/>
      <c r="AL637" s="41"/>
      <c r="AM637" s="41"/>
      <c r="AN637" s="41"/>
      <c r="AO637" s="41"/>
      <c r="AP637" s="41"/>
      <c r="AQ637" s="41"/>
      <c r="AR637" s="41"/>
      <c r="AS637" s="41"/>
      <c r="AT637" s="41"/>
      <c r="AU637" s="41"/>
      <c r="AV637" s="41"/>
      <c r="AW637" s="41"/>
      <c r="AX637" s="41"/>
      <c r="AY637" s="41"/>
    </row>
    <row r="638" spans="2:51">
      <c r="B638" s="80"/>
      <c r="G638" s="41"/>
      <c r="H638" s="41"/>
      <c r="I638" s="41"/>
      <c r="J638" s="41"/>
      <c r="K638" s="41"/>
      <c r="L638" s="41"/>
      <c r="M638" s="41"/>
      <c r="N638" s="41"/>
      <c r="T638" s="41"/>
      <c r="U638" s="41"/>
      <c r="V638" s="41"/>
      <c r="W638" s="41"/>
      <c r="X638" s="41"/>
      <c r="Y638" s="41"/>
      <c r="Z638" s="41"/>
      <c r="AA638" s="41"/>
      <c r="AB638" s="41"/>
      <c r="AC638" s="41"/>
      <c r="AD638" s="41"/>
      <c r="AE638" s="41"/>
      <c r="AF638" s="41"/>
      <c r="AG638" s="41"/>
      <c r="AH638" s="41"/>
      <c r="AI638" s="41"/>
      <c r="AJ638" s="41"/>
      <c r="AK638" s="41"/>
      <c r="AL638" s="41"/>
      <c r="AM638" s="41"/>
      <c r="AN638" s="41"/>
      <c r="AO638" s="41"/>
      <c r="AP638" s="41"/>
      <c r="AQ638" s="41"/>
      <c r="AR638" s="41"/>
      <c r="AS638" s="41"/>
      <c r="AT638" s="41"/>
      <c r="AU638" s="41"/>
      <c r="AV638" s="41"/>
      <c r="AW638" s="41"/>
      <c r="AX638" s="41"/>
      <c r="AY638" s="41"/>
    </row>
    <row r="639" spans="2:51">
      <c r="B639" s="80"/>
      <c r="G639" s="41"/>
      <c r="H639" s="41"/>
      <c r="I639" s="41"/>
      <c r="J639" s="41"/>
      <c r="K639" s="41"/>
      <c r="L639" s="41"/>
      <c r="M639" s="41"/>
      <c r="N639" s="41"/>
      <c r="T639" s="41"/>
      <c r="U639" s="41"/>
      <c r="V639" s="41"/>
      <c r="W639" s="41"/>
      <c r="X639" s="41"/>
      <c r="Y639" s="41"/>
      <c r="Z639" s="41"/>
      <c r="AA639" s="41"/>
      <c r="AB639" s="41"/>
      <c r="AC639" s="41"/>
      <c r="AD639" s="41"/>
      <c r="AE639" s="41"/>
      <c r="AF639" s="41"/>
      <c r="AG639" s="41"/>
      <c r="AH639" s="41"/>
      <c r="AI639" s="41"/>
      <c r="AJ639" s="41"/>
      <c r="AK639" s="41"/>
      <c r="AL639" s="41"/>
      <c r="AM639" s="41"/>
      <c r="AN639" s="41"/>
      <c r="AO639" s="41"/>
      <c r="AP639" s="41"/>
      <c r="AQ639" s="41"/>
      <c r="AR639" s="41"/>
      <c r="AS639" s="41"/>
      <c r="AT639" s="41"/>
      <c r="AU639" s="41"/>
      <c r="AV639" s="41"/>
      <c r="AW639" s="41"/>
      <c r="AX639" s="41"/>
      <c r="AY639" s="41"/>
    </row>
    <row r="640" spans="2:51">
      <c r="B640" s="80"/>
      <c r="G640" s="41"/>
      <c r="H640" s="41"/>
      <c r="I640" s="41"/>
      <c r="J640" s="41"/>
      <c r="K640" s="41"/>
      <c r="L640" s="41"/>
      <c r="M640" s="41"/>
      <c r="N640" s="41"/>
      <c r="T640" s="41"/>
      <c r="U640" s="41"/>
      <c r="V640" s="41"/>
      <c r="W640" s="41"/>
      <c r="X640" s="41"/>
      <c r="Y640" s="41"/>
      <c r="Z640" s="41"/>
      <c r="AA640" s="41"/>
      <c r="AB640" s="41"/>
      <c r="AC640" s="41"/>
      <c r="AD640" s="41"/>
      <c r="AE640" s="41"/>
      <c r="AF640" s="41"/>
      <c r="AG640" s="41"/>
      <c r="AH640" s="41"/>
      <c r="AI640" s="41"/>
      <c r="AJ640" s="41"/>
      <c r="AK640" s="41"/>
      <c r="AL640" s="41"/>
      <c r="AM640" s="41"/>
      <c r="AN640" s="41"/>
      <c r="AO640" s="41"/>
      <c r="AP640" s="41"/>
      <c r="AQ640" s="41"/>
      <c r="AR640" s="41"/>
      <c r="AS640" s="41"/>
      <c r="AT640" s="41"/>
      <c r="AU640" s="41"/>
      <c r="AV640" s="41"/>
      <c r="AW640" s="41"/>
      <c r="AX640" s="41"/>
      <c r="AY640" s="41"/>
    </row>
    <row r="641" spans="2:51">
      <c r="B641" s="80"/>
      <c r="G641" s="41"/>
      <c r="H641" s="41"/>
      <c r="I641" s="41"/>
      <c r="J641" s="41"/>
      <c r="K641" s="41"/>
      <c r="L641" s="41"/>
      <c r="M641" s="41"/>
      <c r="N641" s="41"/>
      <c r="T641" s="41"/>
      <c r="U641" s="41"/>
      <c r="V641" s="41"/>
      <c r="W641" s="41"/>
      <c r="X641" s="41"/>
      <c r="Y641" s="41"/>
      <c r="Z641" s="41"/>
      <c r="AA641" s="41"/>
      <c r="AB641" s="41"/>
      <c r="AC641" s="41"/>
      <c r="AD641" s="41"/>
      <c r="AE641" s="41"/>
      <c r="AF641" s="41"/>
      <c r="AG641" s="41"/>
      <c r="AH641" s="41"/>
      <c r="AI641" s="41"/>
      <c r="AJ641" s="41"/>
      <c r="AK641" s="41"/>
      <c r="AL641" s="41"/>
      <c r="AM641" s="41"/>
      <c r="AN641" s="41"/>
      <c r="AO641" s="41"/>
      <c r="AP641" s="41"/>
      <c r="AQ641" s="41"/>
      <c r="AR641" s="41"/>
      <c r="AS641" s="41"/>
      <c r="AT641" s="41"/>
      <c r="AU641" s="41"/>
      <c r="AV641" s="41"/>
      <c r="AW641" s="41"/>
      <c r="AX641" s="41"/>
      <c r="AY641" s="41"/>
    </row>
    <row r="642" spans="2:51">
      <c r="B642" s="80"/>
      <c r="G642" s="41"/>
      <c r="H642" s="41"/>
      <c r="I642" s="41"/>
      <c r="J642" s="41"/>
      <c r="K642" s="41"/>
      <c r="L642" s="41"/>
      <c r="M642" s="41"/>
      <c r="N642" s="41"/>
      <c r="T642" s="41"/>
      <c r="U642" s="41"/>
      <c r="V642" s="41"/>
      <c r="W642" s="41"/>
      <c r="X642" s="41"/>
      <c r="Y642" s="41"/>
      <c r="Z642" s="41"/>
      <c r="AA642" s="41"/>
      <c r="AB642" s="41"/>
      <c r="AC642" s="41"/>
      <c r="AD642" s="41"/>
      <c r="AE642" s="41"/>
      <c r="AF642" s="41"/>
      <c r="AG642" s="41"/>
      <c r="AH642" s="41"/>
      <c r="AI642" s="41"/>
      <c r="AJ642" s="41"/>
      <c r="AK642" s="41"/>
      <c r="AL642" s="41"/>
      <c r="AM642" s="41"/>
      <c r="AN642" s="41"/>
      <c r="AO642" s="41"/>
      <c r="AP642" s="41"/>
      <c r="AQ642" s="41"/>
      <c r="AR642" s="41"/>
      <c r="AS642" s="41"/>
      <c r="AT642" s="41"/>
      <c r="AU642" s="41"/>
      <c r="AV642" s="41"/>
      <c r="AW642" s="41"/>
      <c r="AX642" s="41"/>
      <c r="AY642" s="41"/>
    </row>
    <row r="643" spans="2:51">
      <c r="B643" s="80"/>
      <c r="G643" s="41"/>
      <c r="H643" s="41"/>
      <c r="I643" s="41"/>
      <c r="J643" s="41"/>
      <c r="K643" s="41"/>
      <c r="L643" s="41"/>
      <c r="M643" s="41"/>
      <c r="N643" s="41"/>
      <c r="T643" s="41"/>
      <c r="U643" s="41"/>
      <c r="V643" s="41"/>
      <c r="W643" s="41"/>
      <c r="X643" s="41"/>
      <c r="Y643" s="41"/>
      <c r="Z643" s="41"/>
      <c r="AA643" s="41"/>
      <c r="AB643" s="41"/>
      <c r="AC643" s="41"/>
      <c r="AD643" s="41"/>
      <c r="AE643" s="41"/>
      <c r="AF643" s="41"/>
      <c r="AG643" s="41"/>
      <c r="AH643" s="41"/>
      <c r="AI643" s="41"/>
      <c r="AJ643" s="41"/>
      <c r="AK643" s="41"/>
      <c r="AL643" s="41"/>
      <c r="AM643" s="41"/>
      <c r="AN643" s="41"/>
      <c r="AO643" s="41"/>
      <c r="AP643" s="41"/>
      <c r="AQ643" s="41"/>
      <c r="AR643" s="41"/>
      <c r="AS643" s="41"/>
      <c r="AT643" s="41"/>
      <c r="AU643" s="41"/>
      <c r="AV643" s="41"/>
      <c r="AW643" s="41"/>
      <c r="AX643" s="41"/>
      <c r="AY643" s="41"/>
    </row>
    <row r="644" spans="2:51">
      <c r="B644" s="80"/>
      <c r="G644" s="41"/>
      <c r="H644" s="41"/>
      <c r="I644" s="41"/>
      <c r="J644" s="41"/>
      <c r="K644" s="41"/>
      <c r="L644" s="41"/>
      <c r="M644" s="41"/>
      <c r="N644" s="41"/>
      <c r="T644" s="41"/>
      <c r="U644" s="41"/>
      <c r="V644" s="41"/>
      <c r="W644" s="41"/>
      <c r="X644" s="41"/>
      <c r="Y644" s="41"/>
      <c r="Z644" s="41"/>
      <c r="AA644" s="41"/>
      <c r="AB644" s="41"/>
      <c r="AC644" s="41"/>
      <c r="AD644" s="41"/>
      <c r="AE644" s="41"/>
      <c r="AF644" s="41"/>
      <c r="AG644" s="41"/>
      <c r="AH644" s="41"/>
      <c r="AI644" s="41"/>
      <c r="AJ644" s="41"/>
      <c r="AK644" s="41"/>
      <c r="AL644" s="41"/>
      <c r="AM644" s="41"/>
      <c r="AN644" s="41"/>
      <c r="AO644" s="41"/>
      <c r="AP644" s="41"/>
      <c r="AQ644" s="41"/>
      <c r="AR644" s="41"/>
      <c r="AS644" s="41"/>
      <c r="AT644" s="41"/>
      <c r="AU644" s="41"/>
      <c r="AV644" s="41"/>
      <c r="AW644" s="41"/>
      <c r="AX644" s="41"/>
      <c r="AY644" s="41"/>
    </row>
    <row r="645" spans="2:51">
      <c r="B645" s="80"/>
      <c r="G645" s="41"/>
      <c r="H645" s="41"/>
      <c r="I645" s="41"/>
      <c r="J645" s="41"/>
      <c r="K645" s="41"/>
      <c r="L645" s="41"/>
      <c r="M645" s="41"/>
      <c r="N645" s="41"/>
      <c r="T645" s="41"/>
      <c r="U645" s="41"/>
      <c r="V645" s="41"/>
      <c r="W645" s="41"/>
      <c r="X645" s="41"/>
      <c r="Y645" s="41"/>
      <c r="Z645" s="41"/>
      <c r="AA645" s="41"/>
      <c r="AB645" s="41"/>
      <c r="AC645" s="41"/>
      <c r="AD645" s="41"/>
      <c r="AE645" s="41"/>
      <c r="AF645" s="41"/>
      <c r="AG645" s="41"/>
      <c r="AH645" s="41"/>
      <c r="AI645" s="41"/>
      <c r="AJ645" s="41"/>
      <c r="AK645" s="41"/>
      <c r="AL645" s="41"/>
      <c r="AM645" s="41"/>
      <c r="AN645" s="41"/>
      <c r="AO645" s="41"/>
      <c r="AP645" s="41"/>
      <c r="AQ645" s="41"/>
      <c r="AR645" s="41"/>
      <c r="AS645" s="41"/>
      <c r="AT645" s="41"/>
      <c r="AU645" s="41"/>
      <c r="AV645" s="41"/>
      <c r="AW645" s="41"/>
      <c r="AX645" s="41"/>
      <c r="AY645" s="41"/>
    </row>
    <row r="646" spans="2:51">
      <c r="B646" s="80"/>
      <c r="G646" s="41"/>
      <c r="H646" s="41"/>
      <c r="I646" s="41"/>
      <c r="J646" s="41"/>
      <c r="K646" s="41"/>
      <c r="L646" s="41"/>
      <c r="M646" s="41"/>
      <c r="N646" s="41"/>
      <c r="T646" s="41"/>
      <c r="U646" s="41"/>
      <c r="V646" s="41"/>
      <c r="W646" s="41"/>
      <c r="X646" s="41"/>
      <c r="Y646" s="41"/>
      <c r="Z646" s="41"/>
      <c r="AA646" s="41"/>
      <c r="AB646" s="41"/>
      <c r="AC646" s="41"/>
      <c r="AD646" s="41"/>
      <c r="AE646" s="41"/>
      <c r="AF646" s="41"/>
      <c r="AG646" s="41"/>
      <c r="AH646" s="41"/>
      <c r="AI646" s="41"/>
      <c r="AJ646" s="41"/>
      <c r="AK646" s="41"/>
      <c r="AL646" s="41"/>
      <c r="AM646" s="41"/>
      <c r="AN646" s="41"/>
      <c r="AO646" s="41"/>
      <c r="AP646" s="41"/>
      <c r="AQ646" s="41"/>
      <c r="AR646" s="41"/>
      <c r="AS646" s="41"/>
      <c r="AT646" s="41"/>
      <c r="AU646" s="41"/>
      <c r="AV646" s="41"/>
      <c r="AW646" s="41"/>
      <c r="AX646" s="41"/>
      <c r="AY646" s="41"/>
    </row>
    <row r="647" spans="2:51">
      <c r="B647" s="80"/>
      <c r="G647" s="41"/>
      <c r="H647" s="41"/>
      <c r="I647" s="41"/>
      <c r="J647" s="41"/>
      <c r="K647" s="41"/>
      <c r="L647" s="41"/>
      <c r="M647" s="41"/>
      <c r="N647" s="41"/>
      <c r="T647" s="41"/>
      <c r="U647" s="41"/>
      <c r="V647" s="41"/>
      <c r="W647" s="41"/>
      <c r="X647" s="41"/>
      <c r="Y647" s="41"/>
      <c r="Z647" s="41"/>
      <c r="AA647" s="41"/>
      <c r="AB647" s="41"/>
      <c r="AC647" s="41"/>
      <c r="AD647" s="41"/>
      <c r="AE647" s="41"/>
      <c r="AF647" s="41"/>
      <c r="AG647" s="41"/>
      <c r="AH647" s="41"/>
      <c r="AI647" s="41"/>
      <c r="AJ647" s="41"/>
      <c r="AK647" s="41"/>
      <c r="AL647" s="41"/>
      <c r="AM647" s="41"/>
      <c r="AN647" s="41"/>
      <c r="AO647" s="41"/>
      <c r="AP647" s="41"/>
      <c r="AQ647" s="41"/>
      <c r="AR647" s="41"/>
      <c r="AS647" s="41"/>
      <c r="AT647" s="41"/>
      <c r="AU647" s="41"/>
      <c r="AV647" s="41"/>
      <c r="AW647" s="41"/>
      <c r="AX647" s="41"/>
      <c r="AY647" s="41"/>
    </row>
    <row r="648" spans="2:51">
      <c r="B648" s="80"/>
      <c r="G648" s="41"/>
      <c r="H648" s="41"/>
      <c r="I648" s="41"/>
      <c r="J648" s="41"/>
      <c r="K648" s="41"/>
      <c r="L648" s="41"/>
      <c r="M648" s="41"/>
      <c r="N648" s="41"/>
      <c r="T648" s="41"/>
      <c r="U648" s="41"/>
      <c r="V648" s="41"/>
      <c r="W648" s="41"/>
      <c r="X648" s="41"/>
      <c r="Y648" s="41"/>
      <c r="Z648" s="41"/>
      <c r="AA648" s="41"/>
      <c r="AB648" s="41"/>
      <c r="AC648" s="41"/>
      <c r="AD648" s="41"/>
      <c r="AE648" s="41"/>
      <c r="AF648" s="41"/>
      <c r="AG648" s="41"/>
      <c r="AH648" s="41"/>
      <c r="AI648" s="41"/>
      <c r="AJ648" s="41"/>
      <c r="AK648" s="41"/>
      <c r="AL648" s="41"/>
      <c r="AM648" s="41"/>
      <c r="AN648" s="41"/>
      <c r="AO648" s="41"/>
      <c r="AP648" s="41"/>
      <c r="AQ648" s="41"/>
      <c r="AR648" s="41"/>
      <c r="AS648" s="41"/>
      <c r="AT648" s="41"/>
      <c r="AU648" s="41"/>
      <c r="AV648" s="41"/>
      <c r="AW648" s="41"/>
      <c r="AX648" s="41"/>
      <c r="AY648" s="41"/>
    </row>
    <row r="649" spans="2:51">
      <c r="B649" s="80"/>
      <c r="G649" s="41"/>
      <c r="H649" s="41"/>
      <c r="I649" s="41"/>
      <c r="J649" s="41"/>
      <c r="K649" s="41"/>
      <c r="L649" s="41"/>
      <c r="M649" s="41"/>
      <c r="N649" s="41"/>
      <c r="T649" s="41"/>
      <c r="U649" s="41"/>
      <c r="V649" s="41"/>
      <c r="W649" s="41"/>
      <c r="X649" s="41"/>
      <c r="Y649" s="41"/>
      <c r="Z649" s="41"/>
      <c r="AA649" s="41"/>
      <c r="AB649" s="41"/>
      <c r="AC649" s="41"/>
      <c r="AD649" s="41"/>
      <c r="AE649" s="41"/>
      <c r="AF649" s="41"/>
      <c r="AG649" s="41"/>
      <c r="AH649" s="41"/>
      <c r="AI649" s="41"/>
      <c r="AJ649" s="41"/>
      <c r="AK649" s="41"/>
      <c r="AL649" s="41"/>
      <c r="AM649" s="41"/>
      <c r="AN649" s="41"/>
      <c r="AO649" s="41"/>
      <c r="AP649" s="41"/>
      <c r="AQ649" s="41"/>
      <c r="AR649" s="41"/>
      <c r="AS649" s="41"/>
      <c r="AT649" s="41"/>
      <c r="AU649" s="41"/>
      <c r="AV649" s="41"/>
      <c r="AW649" s="41"/>
      <c r="AX649" s="41"/>
      <c r="AY649" s="41"/>
    </row>
    <row r="650" spans="2:51">
      <c r="B650" s="80"/>
      <c r="G650" s="41"/>
      <c r="H650" s="41"/>
      <c r="I650" s="41"/>
      <c r="J650" s="41"/>
      <c r="K650" s="41"/>
      <c r="L650" s="41"/>
      <c r="M650" s="41"/>
      <c r="N650" s="41"/>
      <c r="T650" s="41"/>
      <c r="U650" s="41"/>
      <c r="V650" s="41"/>
      <c r="W650" s="41"/>
      <c r="X650" s="41"/>
      <c r="Y650" s="41"/>
      <c r="Z650" s="41"/>
      <c r="AA650" s="41"/>
      <c r="AB650" s="41"/>
      <c r="AC650" s="41"/>
      <c r="AD650" s="41"/>
      <c r="AE650" s="41"/>
      <c r="AF650" s="41"/>
      <c r="AG650" s="41"/>
      <c r="AH650" s="41"/>
      <c r="AI650" s="41"/>
      <c r="AJ650" s="41"/>
      <c r="AK650" s="41"/>
      <c r="AL650" s="41"/>
      <c r="AM650" s="41"/>
      <c r="AN650" s="41"/>
      <c r="AO650" s="41"/>
      <c r="AP650" s="41"/>
      <c r="AQ650" s="41"/>
      <c r="AR650" s="41"/>
      <c r="AS650" s="41"/>
      <c r="AT650" s="41"/>
      <c r="AU650" s="41"/>
      <c r="AV650" s="41"/>
      <c r="AW650" s="41"/>
      <c r="AX650" s="41"/>
      <c r="AY650" s="41"/>
    </row>
    <row r="651" spans="2:51">
      <c r="B651" s="80"/>
      <c r="G651" s="41"/>
      <c r="H651" s="41"/>
      <c r="I651" s="41"/>
      <c r="J651" s="41"/>
      <c r="K651" s="41"/>
      <c r="L651" s="41"/>
      <c r="M651" s="41"/>
      <c r="N651" s="41"/>
      <c r="T651" s="41"/>
      <c r="U651" s="41"/>
      <c r="V651" s="41"/>
      <c r="W651" s="41"/>
      <c r="X651" s="41"/>
      <c r="Y651" s="41"/>
      <c r="Z651" s="41"/>
      <c r="AA651" s="41"/>
      <c r="AB651" s="41"/>
      <c r="AC651" s="41"/>
      <c r="AD651" s="41"/>
      <c r="AE651" s="41"/>
      <c r="AF651" s="41"/>
      <c r="AG651" s="41"/>
      <c r="AH651" s="41"/>
      <c r="AI651" s="41"/>
      <c r="AJ651" s="41"/>
      <c r="AK651" s="41"/>
      <c r="AL651" s="41"/>
      <c r="AM651" s="41"/>
      <c r="AN651" s="41"/>
      <c r="AO651" s="41"/>
      <c r="AP651" s="41"/>
      <c r="AQ651" s="41"/>
      <c r="AR651" s="41"/>
      <c r="AS651" s="41"/>
      <c r="AT651" s="41"/>
      <c r="AU651" s="41"/>
      <c r="AV651" s="41"/>
      <c r="AW651" s="41"/>
      <c r="AX651" s="41"/>
      <c r="AY651" s="41"/>
    </row>
    <row r="652" spans="2:51">
      <c r="B652" s="80"/>
      <c r="G652" s="41"/>
      <c r="H652" s="41"/>
      <c r="I652" s="41"/>
      <c r="J652" s="41"/>
      <c r="K652" s="41"/>
      <c r="L652" s="41"/>
      <c r="M652" s="41"/>
      <c r="N652" s="41"/>
      <c r="T652" s="41"/>
      <c r="U652" s="41"/>
      <c r="V652" s="41"/>
      <c r="W652" s="41"/>
      <c r="X652" s="41"/>
      <c r="Y652" s="41"/>
      <c r="Z652" s="41"/>
      <c r="AA652" s="41"/>
      <c r="AB652" s="41"/>
      <c r="AC652" s="41"/>
      <c r="AD652" s="41"/>
      <c r="AE652" s="41"/>
      <c r="AF652" s="41"/>
      <c r="AG652" s="41"/>
      <c r="AH652" s="41"/>
      <c r="AI652" s="41"/>
      <c r="AJ652" s="41"/>
      <c r="AK652" s="41"/>
      <c r="AL652" s="41"/>
      <c r="AM652" s="41"/>
      <c r="AN652" s="41"/>
      <c r="AO652" s="41"/>
      <c r="AP652" s="41"/>
      <c r="AQ652" s="41"/>
      <c r="AR652" s="41"/>
      <c r="AS652" s="41"/>
      <c r="AT652" s="41"/>
      <c r="AU652" s="41"/>
      <c r="AV652" s="41"/>
      <c r="AW652" s="41"/>
      <c r="AX652" s="41"/>
      <c r="AY652" s="41"/>
    </row>
    <row r="653" spans="2:51">
      <c r="B653" s="80"/>
      <c r="G653" s="41"/>
      <c r="H653" s="41"/>
      <c r="I653" s="41"/>
      <c r="J653" s="41"/>
      <c r="K653" s="41"/>
      <c r="L653" s="41"/>
      <c r="M653" s="41"/>
      <c r="N653" s="41"/>
      <c r="T653" s="41"/>
      <c r="U653" s="41"/>
      <c r="V653" s="41"/>
      <c r="W653" s="41"/>
      <c r="X653" s="41"/>
      <c r="Y653" s="41"/>
      <c r="Z653" s="41"/>
      <c r="AA653" s="41"/>
      <c r="AB653" s="41"/>
      <c r="AC653" s="41"/>
      <c r="AD653" s="41"/>
      <c r="AE653" s="41"/>
      <c r="AF653" s="41"/>
      <c r="AG653" s="41"/>
      <c r="AH653" s="41"/>
      <c r="AI653" s="41"/>
      <c r="AJ653" s="41"/>
      <c r="AK653" s="41"/>
      <c r="AL653" s="41"/>
      <c r="AM653" s="41"/>
      <c r="AN653" s="41"/>
      <c r="AO653" s="41"/>
      <c r="AP653" s="41"/>
      <c r="AQ653" s="41"/>
      <c r="AR653" s="41"/>
      <c r="AS653" s="41"/>
      <c r="AT653" s="41"/>
      <c r="AU653" s="41"/>
      <c r="AV653" s="41"/>
      <c r="AW653" s="41"/>
      <c r="AX653" s="41"/>
      <c r="AY653" s="41"/>
    </row>
    <row r="654" spans="2:51">
      <c r="B654" s="80"/>
      <c r="G654" s="41"/>
      <c r="H654" s="41"/>
      <c r="I654" s="41"/>
      <c r="J654" s="41"/>
      <c r="K654" s="41"/>
      <c r="L654" s="41"/>
      <c r="M654" s="41"/>
      <c r="N654" s="41"/>
      <c r="T654" s="41"/>
      <c r="U654" s="41"/>
      <c r="V654" s="41"/>
      <c r="W654" s="41"/>
      <c r="X654" s="41"/>
      <c r="Y654" s="41"/>
      <c r="Z654" s="41"/>
      <c r="AA654" s="41"/>
      <c r="AB654" s="41"/>
      <c r="AC654" s="41"/>
      <c r="AD654" s="41"/>
      <c r="AE654" s="41"/>
      <c r="AF654" s="41"/>
      <c r="AG654" s="41"/>
      <c r="AH654" s="41"/>
      <c r="AI654" s="41"/>
      <c r="AJ654" s="41"/>
      <c r="AK654" s="41"/>
      <c r="AL654" s="41"/>
      <c r="AM654" s="41"/>
      <c r="AN654" s="41"/>
      <c r="AO654" s="41"/>
      <c r="AP654" s="41"/>
      <c r="AQ654" s="41"/>
      <c r="AR654" s="41"/>
      <c r="AS654" s="41"/>
      <c r="AT654" s="41"/>
      <c r="AU654" s="41"/>
      <c r="AV654" s="41"/>
      <c r="AW654" s="41"/>
      <c r="AX654" s="41"/>
      <c r="AY654" s="41"/>
    </row>
    <row r="655" spans="2:51">
      <c r="B655" s="80"/>
      <c r="G655" s="41"/>
      <c r="H655" s="41"/>
      <c r="I655" s="41"/>
      <c r="J655" s="41"/>
      <c r="K655" s="41"/>
      <c r="L655" s="41"/>
      <c r="M655" s="41"/>
      <c r="N655" s="41"/>
      <c r="T655" s="41"/>
      <c r="U655" s="41"/>
      <c r="V655" s="41"/>
      <c r="W655" s="41"/>
      <c r="X655" s="41"/>
      <c r="Y655" s="41"/>
      <c r="Z655" s="41"/>
      <c r="AA655" s="41"/>
      <c r="AB655" s="41"/>
      <c r="AC655" s="41"/>
      <c r="AD655" s="41"/>
      <c r="AE655" s="41"/>
      <c r="AF655" s="41"/>
      <c r="AG655" s="41"/>
      <c r="AH655" s="41"/>
      <c r="AI655" s="41"/>
      <c r="AJ655" s="41"/>
      <c r="AK655" s="41"/>
      <c r="AL655" s="41"/>
      <c r="AM655" s="41"/>
      <c r="AN655" s="41"/>
      <c r="AO655" s="41"/>
      <c r="AP655" s="41"/>
      <c r="AQ655" s="41"/>
      <c r="AR655" s="41"/>
      <c r="AS655" s="41"/>
      <c r="AT655" s="41"/>
      <c r="AU655" s="41"/>
      <c r="AV655" s="41"/>
      <c r="AW655" s="41"/>
      <c r="AX655" s="41"/>
      <c r="AY655" s="41"/>
    </row>
    <row r="656" spans="2:51">
      <c r="B656" s="80"/>
      <c r="G656" s="41"/>
      <c r="H656" s="41"/>
      <c r="I656" s="41"/>
      <c r="J656" s="41"/>
      <c r="K656" s="41"/>
      <c r="L656" s="41"/>
      <c r="M656" s="41"/>
      <c r="N656" s="41"/>
      <c r="T656" s="41"/>
      <c r="U656" s="41"/>
      <c r="V656" s="41"/>
      <c r="W656" s="41"/>
      <c r="X656" s="41"/>
      <c r="Y656" s="41"/>
      <c r="Z656" s="41"/>
      <c r="AA656" s="41"/>
      <c r="AB656" s="41"/>
      <c r="AC656" s="41"/>
      <c r="AD656" s="41"/>
      <c r="AE656" s="41"/>
      <c r="AF656" s="41"/>
      <c r="AG656" s="41"/>
      <c r="AH656" s="41"/>
      <c r="AI656" s="41"/>
      <c r="AJ656" s="41"/>
      <c r="AK656" s="41"/>
      <c r="AL656" s="41"/>
      <c r="AM656" s="41"/>
      <c r="AN656" s="41"/>
      <c r="AO656" s="41"/>
      <c r="AP656" s="41"/>
      <c r="AQ656" s="41"/>
      <c r="AR656" s="41"/>
      <c r="AS656" s="41"/>
      <c r="AT656" s="41"/>
      <c r="AU656" s="41"/>
      <c r="AV656" s="41"/>
      <c r="AW656" s="41"/>
      <c r="AX656" s="41"/>
      <c r="AY656" s="41"/>
    </row>
    <row r="657" spans="1:52">
      <c r="B657" s="80"/>
      <c r="G657" s="41"/>
      <c r="H657" s="41"/>
      <c r="I657" s="41"/>
      <c r="J657" s="41"/>
      <c r="K657" s="41"/>
      <c r="L657" s="41"/>
      <c r="M657" s="41"/>
      <c r="N657" s="41"/>
      <c r="T657" s="41"/>
      <c r="U657" s="41"/>
      <c r="V657" s="41"/>
      <c r="W657" s="41"/>
      <c r="X657" s="41"/>
      <c r="Y657" s="41"/>
      <c r="Z657" s="41"/>
      <c r="AA657" s="41"/>
      <c r="AB657" s="41"/>
      <c r="AC657" s="41"/>
      <c r="AD657" s="41"/>
      <c r="AE657" s="41"/>
      <c r="AF657" s="41"/>
      <c r="AG657" s="41"/>
      <c r="AH657" s="41"/>
      <c r="AI657" s="41"/>
      <c r="AJ657" s="41"/>
      <c r="AK657" s="41"/>
      <c r="AL657" s="41"/>
      <c r="AM657" s="41"/>
      <c r="AN657" s="41"/>
      <c r="AO657" s="41"/>
      <c r="AP657" s="41"/>
      <c r="AQ657" s="41"/>
      <c r="AR657" s="41"/>
      <c r="AS657" s="41"/>
      <c r="AT657" s="41"/>
      <c r="AU657" s="41"/>
      <c r="AV657" s="41"/>
      <c r="AW657" s="41"/>
      <c r="AX657" s="41"/>
      <c r="AY657" s="41"/>
    </row>
    <row r="658" spans="1:52">
      <c r="B658" s="80"/>
      <c r="G658" s="41"/>
      <c r="H658" s="41"/>
      <c r="I658" s="41"/>
      <c r="J658" s="41"/>
      <c r="K658" s="41"/>
      <c r="L658" s="41"/>
      <c r="M658" s="41"/>
      <c r="N658" s="41"/>
      <c r="T658" s="41"/>
      <c r="U658" s="41"/>
      <c r="V658" s="41"/>
      <c r="W658" s="41"/>
      <c r="X658" s="41"/>
      <c r="Y658" s="41"/>
      <c r="Z658" s="41"/>
      <c r="AA658" s="41"/>
      <c r="AB658" s="41"/>
      <c r="AC658" s="41"/>
      <c r="AD658" s="41"/>
      <c r="AE658" s="41"/>
      <c r="AF658" s="41"/>
      <c r="AG658" s="41"/>
      <c r="AH658" s="41"/>
      <c r="AI658" s="41"/>
      <c r="AJ658" s="41"/>
      <c r="AK658" s="41"/>
      <c r="AL658" s="41"/>
      <c r="AM658" s="41"/>
      <c r="AN658" s="41"/>
      <c r="AO658" s="41"/>
      <c r="AP658" s="41"/>
      <c r="AQ658" s="41"/>
      <c r="AR658" s="41"/>
      <c r="AS658" s="41"/>
      <c r="AT658" s="41"/>
      <c r="AU658" s="41"/>
      <c r="AV658" s="41"/>
      <c r="AW658" s="41"/>
      <c r="AX658" s="41"/>
      <c r="AY658" s="41"/>
    </row>
    <row r="659" spans="1:52">
      <c r="B659" s="80"/>
      <c r="G659" s="41"/>
      <c r="H659" s="41"/>
      <c r="I659" s="41"/>
      <c r="J659" s="41"/>
      <c r="K659" s="41"/>
      <c r="L659" s="41"/>
      <c r="M659" s="41"/>
      <c r="N659" s="41"/>
      <c r="T659" s="41"/>
      <c r="U659" s="41"/>
      <c r="V659" s="41"/>
      <c r="W659" s="41"/>
      <c r="X659" s="41"/>
      <c r="Y659" s="41"/>
      <c r="Z659" s="41"/>
      <c r="AA659" s="41"/>
      <c r="AB659" s="41"/>
      <c r="AC659" s="41"/>
      <c r="AD659" s="41"/>
      <c r="AE659" s="41"/>
      <c r="AF659" s="41"/>
      <c r="AG659" s="41"/>
      <c r="AH659" s="41"/>
      <c r="AI659" s="41"/>
      <c r="AJ659" s="41"/>
      <c r="AK659" s="41"/>
      <c r="AL659" s="41"/>
      <c r="AM659" s="41"/>
      <c r="AN659" s="41"/>
      <c r="AO659" s="41"/>
      <c r="AP659" s="41"/>
      <c r="AQ659" s="41"/>
      <c r="AR659" s="41"/>
      <c r="AS659" s="41"/>
      <c r="AT659" s="41"/>
      <c r="AU659" s="41"/>
      <c r="AV659" s="41"/>
      <c r="AW659" s="41"/>
      <c r="AX659" s="41"/>
      <c r="AY659" s="41"/>
    </row>
    <row r="660" spans="1:52">
      <c r="B660" s="80"/>
      <c r="G660" s="41"/>
      <c r="H660" s="41"/>
      <c r="I660" s="41"/>
      <c r="J660" s="41"/>
      <c r="K660" s="41"/>
      <c r="L660" s="41"/>
      <c r="M660" s="41"/>
      <c r="N660" s="41"/>
      <c r="T660" s="41"/>
      <c r="U660" s="41"/>
      <c r="V660" s="41"/>
      <c r="W660" s="41"/>
      <c r="X660" s="41"/>
      <c r="Y660" s="41"/>
      <c r="Z660" s="41"/>
      <c r="AA660" s="41"/>
      <c r="AB660" s="41"/>
      <c r="AC660" s="41"/>
      <c r="AD660" s="41"/>
      <c r="AE660" s="41"/>
      <c r="AF660" s="41"/>
      <c r="AG660" s="41"/>
      <c r="AH660" s="41"/>
      <c r="AI660" s="41"/>
      <c r="AJ660" s="41"/>
      <c r="AK660" s="41"/>
      <c r="AL660" s="41"/>
      <c r="AM660" s="41"/>
      <c r="AN660" s="41"/>
      <c r="AO660" s="41"/>
      <c r="AP660" s="41"/>
      <c r="AQ660" s="41"/>
      <c r="AR660" s="41"/>
      <c r="AS660" s="41"/>
      <c r="AT660" s="41"/>
      <c r="AU660" s="41"/>
      <c r="AV660" s="41"/>
      <c r="AW660" s="41"/>
      <c r="AX660" s="41"/>
      <c r="AY660" s="41"/>
    </row>
    <row r="661" spans="1:52">
      <c r="B661" s="80"/>
      <c r="G661" s="41"/>
      <c r="H661" s="41"/>
      <c r="I661" s="41"/>
      <c r="J661" s="41"/>
      <c r="K661" s="41"/>
      <c r="L661" s="41"/>
      <c r="M661" s="41"/>
      <c r="N661" s="41"/>
      <c r="T661" s="41"/>
      <c r="U661" s="41"/>
      <c r="V661" s="41"/>
      <c r="W661" s="41"/>
      <c r="X661" s="41"/>
      <c r="Y661" s="41"/>
      <c r="Z661" s="41"/>
      <c r="AA661" s="41"/>
      <c r="AB661" s="41"/>
      <c r="AC661" s="41"/>
      <c r="AD661" s="41"/>
      <c r="AE661" s="41"/>
      <c r="AF661" s="41"/>
      <c r="AG661" s="41"/>
      <c r="AH661" s="41"/>
      <c r="AI661" s="41"/>
      <c r="AJ661" s="41"/>
      <c r="AK661" s="41"/>
      <c r="AL661" s="41"/>
      <c r="AM661" s="41"/>
      <c r="AN661" s="41"/>
      <c r="AO661" s="41"/>
      <c r="AP661" s="41"/>
      <c r="AQ661" s="41"/>
      <c r="AR661" s="41"/>
      <c r="AS661" s="41"/>
      <c r="AT661" s="41"/>
      <c r="AU661" s="41"/>
      <c r="AV661" s="41"/>
      <c r="AW661" s="41"/>
      <c r="AX661" s="41"/>
      <c r="AY661" s="41"/>
    </row>
    <row r="662" spans="1:52">
      <c r="B662" s="80"/>
      <c r="G662" s="41"/>
      <c r="H662" s="41"/>
      <c r="I662" s="41"/>
      <c r="J662" s="41"/>
      <c r="K662" s="41"/>
      <c r="L662" s="41"/>
      <c r="M662" s="41"/>
      <c r="N662" s="41"/>
      <c r="T662" s="41"/>
      <c r="U662" s="41"/>
      <c r="V662" s="41"/>
      <c r="W662" s="41"/>
      <c r="X662" s="41"/>
      <c r="Y662" s="41"/>
      <c r="Z662" s="41"/>
      <c r="AA662" s="41"/>
      <c r="AB662" s="41"/>
      <c r="AC662" s="41"/>
      <c r="AD662" s="41"/>
      <c r="AE662" s="41"/>
      <c r="AF662" s="41"/>
      <c r="AG662" s="41"/>
      <c r="AH662" s="41"/>
      <c r="AI662" s="41"/>
      <c r="AJ662" s="41"/>
      <c r="AK662" s="41"/>
      <c r="AL662" s="41"/>
      <c r="AM662" s="41"/>
      <c r="AN662" s="41"/>
      <c r="AO662" s="41"/>
      <c r="AP662" s="41"/>
      <c r="AQ662" s="41"/>
      <c r="AR662" s="41"/>
      <c r="AS662" s="41"/>
      <c r="AT662" s="41"/>
      <c r="AU662" s="41"/>
      <c r="AV662" s="41"/>
      <c r="AW662" s="41"/>
      <c r="AX662" s="41"/>
      <c r="AY662" s="41"/>
    </row>
    <row r="663" spans="1:52">
      <c r="B663" s="80"/>
      <c r="G663" s="41"/>
      <c r="H663" s="41"/>
      <c r="I663" s="41"/>
      <c r="J663" s="41"/>
      <c r="K663" s="41"/>
      <c r="L663" s="41"/>
      <c r="M663" s="41"/>
      <c r="N663" s="41"/>
      <c r="T663" s="41"/>
      <c r="U663" s="41"/>
      <c r="V663" s="41"/>
      <c r="W663" s="41"/>
      <c r="X663" s="41"/>
      <c r="Y663" s="41"/>
      <c r="Z663" s="41"/>
      <c r="AA663" s="41"/>
      <c r="AB663" s="41"/>
      <c r="AC663" s="41"/>
      <c r="AD663" s="41"/>
      <c r="AE663" s="41"/>
      <c r="AF663" s="41"/>
      <c r="AG663" s="41"/>
      <c r="AH663" s="41"/>
      <c r="AI663" s="41"/>
      <c r="AJ663" s="41"/>
      <c r="AK663" s="41"/>
      <c r="AL663" s="41"/>
      <c r="AM663" s="41"/>
      <c r="AN663" s="41"/>
      <c r="AO663" s="41"/>
      <c r="AP663" s="41"/>
      <c r="AQ663" s="41"/>
      <c r="AR663" s="41"/>
      <c r="AS663" s="41"/>
      <c r="AT663" s="41"/>
      <c r="AU663" s="41"/>
      <c r="AV663" s="41"/>
      <c r="AW663" s="41"/>
      <c r="AX663" s="41"/>
      <c r="AY663" s="41"/>
    </row>
    <row r="664" spans="1:52">
      <c r="B664" s="80"/>
      <c r="G664" s="41"/>
      <c r="H664" s="41"/>
      <c r="I664" s="41"/>
      <c r="J664" s="41"/>
      <c r="K664" s="41"/>
      <c r="L664" s="41"/>
      <c r="M664" s="41"/>
      <c r="N664" s="41"/>
      <c r="T664" s="41"/>
      <c r="U664" s="41"/>
      <c r="V664" s="41"/>
      <c r="W664" s="41"/>
      <c r="X664" s="41"/>
      <c r="Y664" s="41"/>
      <c r="Z664" s="41"/>
      <c r="AA664" s="41"/>
      <c r="AB664" s="41"/>
      <c r="AC664" s="41"/>
      <c r="AD664" s="41"/>
      <c r="AE664" s="41"/>
      <c r="AF664" s="41"/>
      <c r="AG664" s="41"/>
      <c r="AH664" s="41"/>
      <c r="AI664" s="41"/>
      <c r="AJ664" s="41"/>
      <c r="AK664" s="41"/>
      <c r="AL664" s="41"/>
      <c r="AM664" s="41"/>
      <c r="AN664" s="41"/>
      <c r="AO664" s="41"/>
      <c r="AP664" s="41"/>
      <c r="AQ664" s="41"/>
      <c r="AR664" s="41"/>
      <c r="AS664" s="41"/>
      <c r="AT664" s="41"/>
      <c r="AU664" s="41"/>
      <c r="AV664" s="41"/>
      <c r="AW664" s="41"/>
      <c r="AX664" s="41"/>
      <c r="AY664" s="41"/>
    </row>
    <row r="665" spans="1:52">
      <c r="B665" s="80"/>
      <c r="G665" s="41"/>
      <c r="H665" s="41"/>
      <c r="I665" s="41"/>
      <c r="J665" s="41"/>
      <c r="K665" s="41"/>
      <c r="L665" s="41"/>
      <c r="M665" s="41"/>
      <c r="N665" s="41"/>
      <c r="T665" s="41"/>
      <c r="U665" s="41"/>
      <c r="V665" s="41"/>
      <c r="W665" s="41"/>
      <c r="X665" s="41"/>
      <c r="Y665" s="41"/>
      <c r="Z665" s="41"/>
      <c r="AA665" s="41"/>
      <c r="AB665" s="41"/>
      <c r="AC665" s="41"/>
      <c r="AD665" s="41"/>
      <c r="AE665" s="41"/>
      <c r="AF665" s="41"/>
      <c r="AG665" s="41"/>
      <c r="AH665" s="41"/>
      <c r="AI665" s="41"/>
      <c r="AJ665" s="41"/>
      <c r="AK665" s="41"/>
      <c r="AL665" s="41"/>
      <c r="AM665" s="41"/>
      <c r="AN665" s="41"/>
      <c r="AO665" s="41"/>
      <c r="AP665" s="41"/>
      <c r="AQ665" s="41"/>
      <c r="AR665" s="41"/>
      <c r="AS665" s="41"/>
      <c r="AT665" s="41"/>
      <c r="AU665" s="41"/>
      <c r="AV665" s="41"/>
      <c r="AW665" s="41"/>
      <c r="AX665" s="41"/>
      <c r="AY665" s="41"/>
    </row>
    <row r="666" spans="1:52">
      <c r="B666" s="80"/>
      <c r="G666" s="41"/>
      <c r="H666" s="41"/>
      <c r="I666" s="41"/>
      <c r="J666" s="41"/>
      <c r="K666" s="41"/>
      <c r="L666" s="41"/>
      <c r="M666" s="41"/>
      <c r="N666" s="41"/>
      <c r="T666" s="41"/>
      <c r="U666" s="41"/>
      <c r="V666" s="41"/>
      <c r="W666" s="41"/>
      <c r="X666" s="41"/>
      <c r="Y666" s="41"/>
      <c r="Z666" s="41"/>
      <c r="AA666" s="41"/>
      <c r="AB666" s="41"/>
      <c r="AC666" s="41"/>
      <c r="AD666" s="41"/>
      <c r="AE666" s="41"/>
      <c r="AF666" s="41"/>
      <c r="AG666" s="41"/>
      <c r="AH666" s="41"/>
      <c r="AI666" s="41"/>
      <c r="AJ666" s="41"/>
      <c r="AK666" s="41"/>
      <c r="AL666" s="41"/>
      <c r="AM666" s="41"/>
      <c r="AN666" s="41"/>
      <c r="AO666" s="41"/>
      <c r="AP666" s="41"/>
      <c r="AQ666" s="41"/>
      <c r="AR666" s="41"/>
      <c r="AS666" s="41"/>
      <c r="AT666" s="41"/>
      <c r="AU666" s="41"/>
      <c r="AV666" s="41"/>
      <c r="AW666" s="41"/>
      <c r="AX666" s="41"/>
      <c r="AY666" s="41"/>
    </row>
    <row r="667" spans="1:52">
      <c r="B667" s="80"/>
      <c r="G667" s="41"/>
      <c r="H667" s="41"/>
      <c r="I667" s="41"/>
      <c r="J667" s="41"/>
      <c r="K667" s="41"/>
      <c r="L667" s="41"/>
      <c r="M667" s="41"/>
      <c r="N667" s="41"/>
      <c r="T667" s="41"/>
      <c r="U667" s="41"/>
      <c r="V667" s="41"/>
      <c r="W667" s="41"/>
      <c r="X667" s="41"/>
      <c r="Y667" s="41"/>
      <c r="Z667" s="41"/>
      <c r="AA667" s="41"/>
      <c r="AB667" s="41"/>
      <c r="AC667" s="41"/>
      <c r="AD667" s="41"/>
      <c r="AE667" s="41"/>
      <c r="AF667" s="41"/>
      <c r="AG667" s="41"/>
      <c r="AH667" s="41"/>
      <c r="AI667" s="41"/>
      <c r="AJ667" s="41"/>
      <c r="AK667" s="41"/>
      <c r="AL667" s="41"/>
      <c r="AM667" s="41"/>
      <c r="AN667" s="41"/>
      <c r="AO667" s="41"/>
      <c r="AP667" s="41"/>
      <c r="AQ667" s="41"/>
      <c r="AR667" s="41"/>
      <c r="AS667" s="41"/>
      <c r="AT667" s="41"/>
      <c r="AU667" s="41"/>
      <c r="AV667" s="41"/>
      <c r="AW667" s="41"/>
      <c r="AX667" s="41"/>
      <c r="AY667" s="41"/>
    </row>
    <row r="668" spans="1:52" s="64" customFormat="1">
      <c r="A668" s="63" t="s">
        <v>40</v>
      </c>
      <c r="B668" s="63" t="s">
        <v>365</v>
      </c>
      <c r="C668" s="67"/>
      <c r="D668" s="67"/>
      <c r="E668" s="67"/>
      <c r="F668" s="67"/>
      <c r="G668" s="67"/>
      <c r="H668" s="67"/>
      <c r="I668" s="67"/>
      <c r="J668" s="67"/>
      <c r="K668" s="67"/>
      <c r="L668" s="67"/>
      <c r="M668" s="67"/>
      <c r="N668" s="67"/>
      <c r="O668" s="127"/>
      <c r="V668" s="71"/>
      <c r="Y668" s="71"/>
      <c r="Z668" s="75"/>
      <c r="AA668" s="75"/>
      <c r="AB668" s="75"/>
      <c r="AC668" s="75"/>
      <c r="AD668" s="75"/>
      <c r="AE668" s="75"/>
      <c r="AF668" s="75"/>
      <c r="AG668" s="75"/>
      <c r="AH668" s="75"/>
      <c r="AI668" s="75"/>
      <c r="AJ668" s="75"/>
      <c r="AK668" s="75"/>
      <c r="AL668" s="75"/>
      <c r="AM668" s="75"/>
      <c r="AN668" s="75"/>
      <c r="AO668" s="75"/>
      <c r="AP668" s="75"/>
      <c r="AQ668" s="75"/>
      <c r="AR668" s="75"/>
      <c r="AS668" s="75"/>
      <c r="AT668" s="75"/>
      <c r="AU668" s="75"/>
      <c r="AV668" s="75"/>
      <c r="AW668" s="75"/>
      <c r="AX668" s="75"/>
      <c r="AY668" s="75"/>
      <c r="AZ668" s="75"/>
    </row>
    <row r="669" spans="1:52">
      <c r="B669" t="s">
        <v>421</v>
      </c>
      <c r="E669" s="41"/>
      <c r="F669" s="41"/>
      <c r="G669" s="41"/>
      <c r="H669" s="41"/>
      <c r="I669" s="41"/>
      <c r="J669" s="41"/>
      <c r="K669" s="41"/>
      <c r="L669" s="41">
        <f ca="1">Rev!L66</f>
        <v>11.499204531249999</v>
      </c>
      <c r="M669" s="41">
        <f ca="1">Rev!M66</f>
        <v>12.946430818380309</v>
      </c>
      <c r="N669" s="41">
        <f ca="1">Rev!N66</f>
        <v>14.095094133623702</v>
      </c>
      <c r="T669" s="41"/>
      <c r="U669" s="41"/>
      <c r="V669" s="41"/>
      <c r="W669" s="41"/>
      <c r="X669" s="41"/>
      <c r="Y669" s="41"/>
      <c r="Z669" s="41"/>
      <c r="AA669" s="41"/>
      <c r="AB669" s="41"/>
      <c r="AC669" s="41"/>
      <c r="AD669" s="41"/>
      <c r="AE669" s="41"/>
      <c r="AF669" s="41"/>
      <c r="AG669" s="41"/>
      <c r="AH669" s="41"/>
      <c r="AI669" s="41"/>
      <c r="AJ669" s="41"/>
      <c r="AK669" s="41">
        <f>Rev!AK58</f>
        <v>1.53</v>
      </c>
      <c r="AL669" s="41">
        <f>Rev!AL58</f>
        <v>1.7</v>
      </c>
      <c r="AM669" s="41">
        <f>Rev!AM58</f>
        <v>2.339</v>
      </c>
      <c r="AN669" s="41">
        <f>Rev!AN58</f>
        <v>2.5510000000000002</v>
      </c>
      <c r="AO669" s="41">
        <f>Rev!AO58</f>
        <v>2.91</v>
      </c>
      <c r="AP669" s="41">
        <f ca="1">Rev!AP58</f>
        <v>2.9827499999999998</v>
      </c>
      <c r="AQ669" s="41">
        <f ca="1">Rev!AQ58</f>
        <v>3.0554545312500001</v>
      </c>
      <c r="AR669" s="41">
        <f ca="1">Rev!AR58</f>
        <v>3.1280693178442385</v>
      </c>
      <c r="AS669" s="41">
        <f ca="1">Rev!AS58</f>
        <v>3.2005513271665831</v>
      </c>
      <c r="AT669" s="41">
        <f ca="1">Rev!AT58</f>
        <v>3.2728588141086883</v>
      </c>
      <c r="AU669" s="41">
        <f ca="1">Rev!AU58</f>
        <v>3.3449513592607993</v>
      </c>
      <c r="AV669" s="41">
        <f ca="1">Rev!AV58</f>
        <v>3.4167899012911183</v>
      </c>
      <c r="AW669" s="41">
        <f ca="1">Rev!AW58</f>
        <v>3.4883367637430256</v>
      </c>
      <c r="AX669" s="41">
        <f ca="1">Rev!AX58</f>
        <v>3.5595556764903287</v>
      </c>
      <c r="AY669" s="41">
        <f ca="1">Rev!AY58</f>
        <v>3.6304117920992294</v>
      </c>
    </row>
    <row r="670" spans="1:52">
      <c r="B670" t="s">
        <v>419</v>
      </c>
      <c r="E670" s="41"/>
      <c r="F670" s="41"/>
      <c r="G670" s="41"/>
      <c r="H670" s="41"/>
      <c r="I670" s="41"/>
      <c r="J670" s="41"/>
      <c r="K670" s="41"/>
      <c r="L670" s="41">
        <f ca="1">Rev!L112</f>
        <v>3.9686885268749998</v>
      </c>
      <c r="M670" s="41">
        <f ca="1">Rev!M112</f>
        <v>4.7002256612160433</v>
      </c>
      <c r="N670" s="41">
        <f ca="1">Rev!N112</f>
        <v>5.291430671857821</v>
      </c>
      <c r="T670" s="41"/>
      <c r="U670" s="41"/>
      <c r="V670" s="41"/>
      <c r="W670" s="41"/>
      <c r="X670" s="41"/>
      <c r="Y670" s="41"/>
      <c r="Z670" s="41"/>
      <c r="AA670" s="41"/>
      <c r="AB670" s="41"/>
      <c r="AC670" s="41"/>
      <c r="AD670" s="41"/>
      <c r="AE670" s="41"/>
      <c r="AF670" s="41"/>
      <c r="AG670" s="41"/>
      <c r="AH670" s="41"/>
      <c r="AI670" s="41"/>
      <c r="AJ670" s="41"/>
      <c r="AK670" s="41">
        <f>Rev!AK104</f>
        <v>0.749</v>
      </c>
      <c r="AL670" s="41">
        <f>Rev!AL104</f>
        <v>0.9</v>
      </c>
      <c r="AM670" s="41">
        <f>Rev!AM104</f>
        <v>0.70199999999999996</v>
      </c>
      <c r="AN670" s="41">
        <f>Rev!AN104</f>
        <v>0.82299999999999995</v>
      </c>
      <c r="AO670" s="41">
        <f>Rev!AO104</f>
        <v>1.0129999999999999</v>
      </c>
      <c r="AP670" s="41">
        <f ca="1">Rev!AP104</f>
        <v>1.0484549999999999</v>
      </c>
      <c r="AQ670" s="41">
        <f ca="1">Rev!AQ104</f>
        <v>1.0842335268749999</v>
      </c>
      <c r="AR670" s="41">
        <f ca="1">Rev!AR104</f>
        <v>1.1203080092519941</v>
      </c>
      <c r="AS670" s="41">
        <f ca="1">Rev!AS104</f>
        <v>1.1566508885961921</v>
      </c>
      <c r="AT670" s="41">
        <f ca="1">Rev!AT104</f>
        <v>1.1932346876558679</v>
      </c>
      <c r="AU670" s="41">
        <f ca="1">Rev!AU104</f>
        <v>1.2300320757119891</v>
      </c>
      <c r="AV670" s="41">
        <f ca="1">Rev!AV104</f>
        <v>1.2670159305040911</v>
      </c>
      <c r="AW670" s="41">
        <f ca="1">Rev!AW104</f>
        <v>1.3041593967318086</v>
      </c>
      <c r="AX670" s="41">
        <f ca="1">Rev!AX104</f>
        <v>1.3414359410579526</v>
      </c>
      <c r="AY670" s="41">
        <f ca="1">Rev!AY104</f>
        <v>1.3788194035639683</v>
      </c>
    </row>
    <row r="671" spans="1:52">
      <c r="B671" t="s">
        <v>418</v>
      </c>
      <c r="E671" s="41"/>
      <c r="F671" s="41"/>
      <c r="G671" s="41"/>
      <c r="H671" s="41"/>
      <c r="I671" s="41"/>
      <c r="J671" s="41"/>
      <c r="K671" s="41"/>
      <c r="L671" s="41"/>
      <c r="M671" s="41"/>
      <c r="N671" s="41"/>
      <c r="T671" s="41"/>
      <c r="U671" s="41"/>
      <c r="V671" s="41"/>
      <c r="W671" s="41"/>
      <c r="X671" s="41"/>
      <c r="Y671" s="41"/>
      <c r="Z671" s="41"/>
      <c r="AA671" s="41"/>
      <c r="AB671" s="41"/>
      <c r="AC671" s="41"/>
      <c r="AD671" s="41"/>
      <c r="AE671" s="41"/>
      <c r="AF671" s="41"/>
      <c r="AG671" s="41"/>
      <c r="AH671" s="41"/>
      <c r="AI671" s="41"/>
      <c r="AJ671" s="41"/>
      <c r="AK671" s="41">
        <f>Rev!AK150</f>
        <v>1.4575</v>
      </c>
      <c r="AL671" s="41">
        <f>Rev!AL150</f>
        <v>2</v>
      </c>
      <c r="AM671" s="41">
        <f>Rev!AM150</f>
        <v>2.0920000000000001</v>
      </c>
      <c r="AN671" s="41">
        <f>Rev!AN150</f>
        <v>2.1259999999999999</v>
      </c>
      <c r="AO671" s="41">
        <f>Rev!AO150</f>
        <v>1.9379999999999999</v>
      </c>
      <c r="AP671" s="41">
        <f ca="1">Rev!AP150</f>
        <v>2.0348999999999999</v>
      </c>
      <c r="AQ671" s="41">
        <f ca="1">Rev!AQ150</f>
        <v>2.0552489999999999</v>
      </c>
      <c r="AR671" s="41">
        <f ca="1">Rev!AR150</f>
        <v>2.0737462409999998</v>
      </c>
      <c r="AS671" s="41">
        <f ca="1">Rev!AS150</f>
        <v>2.0903362109279997</v>
      </c>
      <c r="AT671" s="41">
        <f ca="1">Rev!AT150</f>
        <v>2.1049685644044955</v>
      </c>
      <c r="AU671" s="41">
        <f ca="1">Rev!AU150</f>
        <v>2.1175983757909225</v>
      </c>
      <c r="AV671" s="41">
        <f ca="1">Rev!AV150</f>
        <v>2.1281863676698767</v>
      </c>
      <c r="AW671" s="41">
        <f ca="1">Rev!AW150</f>
        <v>2.1366991131405562</v>
      </c>
      <c r="AX671" s="41">
        <f ca="1">Rev!AX150</f>
        <v>2.1431092104799774</v>
      </c>
      <c r="AY671" s="41">
        <f ca="1">Rev!AY150</f>
        <v>2.1473954289009374</v>
      </c>
    </row>
    <row r="672" spans="1:52">
      <c r="B672" t="s">
        <v>420</v>
      </c>
      <c r="E672" s="41"/>
      <c r="F672" s="41"/>
      <c r="G672" s="41"/>
      <c r="H672" s="41"/>
      <c r="I672" s="41"/>
      <c r="J672" s="41"/>
      <c r="K672" s="41"/>
      <c r="L672" s="41"/>
      <c r="M672" s="41"/>
      <c r="N672" s="41"/>
      <c r="T672" s="41"/>
      <c r="U672" s="41"/>
      <c r="V672" s="41"/>
      <c r="W672" s="41"/>
      <c r="X672" s="41"/>
      <c r="Y672" s="41"/>
      <c r="Z672" s="41"/>
      <c r="AA672" s="41"/>
      <c r="AB672" s="41"/>
      <c r="AC672" s="41"/>
      <c r="AD672" s="41"/>
      <c r="AE672" s="41"/>
      <c r="AF672" s="41"/>
      <c r="AG672" s="41"/>
      <c r="AH672" s="41"/>
      <c r="AI672" s="41"/>
      <c r="AJ672" s="41"/>
      <c r="AK672" s="41">
        <f>Rev!AK196</f>
        <v>1.4575</v>
      </c>
      <c r="AL672" s="41">
        <f>Rev!AL196</f>
        <v>2.2999999999999998</v>
      </c>
      <c r="AM672" s="41">
        <f>Rev!AM196</f>
        <v>2.3290000000000002</v>
      </c>
      <c r="AN672" s="41">
        <f>Rev!AN196</f>
        <v>2.085</v>
      </c>
      <c r="AO672" s="41">
        <f>Rev!AO196</f>
        <v>2.0110000000000001</v>
      </c>
      <c r="AP672" s="41">
        <f ca="1">Rev!AP196</f>
        <v>2.0512200000000003</v>
      </c>
      <c r="AQ672" s="41">
        <f ca="1">Rev!AQ196</f>
        <v>2.09019318</v>
      </c>
      <c r="AR672" s="41">
        <f ca="1">Rev!AR196</f>
        <v>2.1278166572399999</v>
      </c>
      <c r="AS672" s="41">
        <f ca="1">Rev!AS196</f>
        <v>2.1639895404130796</v>
      </c>
      <c r="AT672" s="41">
        <f ca="1">Rev!AT196</f>
        <v>2.1986133730596888</v>
      </c>
      <c r="AU672" s="41">
        <f ca="1">Rev!AU196</f>
        <v>2.2315925736555839</v>
      </c>
      <c r="AV672" s="41">
        <f ca="1">Rev!AV196</f>
        <v>2.262834869686762</v>
      </c>
      <c r="AW672" s="41">
        <f ca="1">Rev!AW196</f>
        <v>2.2922517229926895</v>
      </c>
      <c r="AX672" s="41">
        <f ca="1">Rev!AX196</f>
        <v>2.319758743668602</v>
      </c>
      <c r="AY672" s="41">
        <f ca="1">Rev!AY196</f>
        <v>2.3452760898489564</v>
      </c>
    </row>
    <row r="673" spans="2:51" s="15" customFormat="1">
      <c r="B673" s="15" t="s">
        <v>132</v>
      </c>
      <c r="E673" s="41"/>
      <c r="F673" s="41"/>
      <c r="G673" s="41"/>
      <c r="H673" s="41"/>
      <c r="I673" s="41"/>
      <c r="J673" s="41"/>
      <c r="K673" s="41"/>
      <c r="L673" s="41" t="e">
        <f>Rev!#REF!</f>
        <v>#REF!</v>
      </c>
      <c r="M673" s="41" t="e">
        <f>Rev!#REF!</f>
        <v>#REF!</v>
      </c>
      <c r="N673" s="41" t="e">
        <f>Rev!#REF!</f>
        <v>#REF!</v>
      </c>
      <c r="T673" s="41"/>
      <c r="U673" s="41"/>
      <c r="V673" s="41"/>
      <c r="W673" s="41"/>
      <c r="X673" s="41"/>
      <c r="Y673" s="41"/>
      <c r="Z673" s="41"/>
      <c r="AA673" s="41"/>
      <c r="AB673" s="41"/>
      <c r="AC673" s="41"/>
      <c r="AD673" s="41"/>
      <c r="AE673" s="41"/>
      <c r="AF673" s="41"/>
      <c r="AG673" s="41"/>
      <c r="AH673" s="41"/>
      <c r="AI673" s="41"/>
      <c r="AJ673" s="41"/>
      <c r="AK673" s="41"/>
      <c r="AL673" s="41">
        <f>Rev!AL242</f>
        <v>0.1</v>
      </c>
      <c r="AM673" s="41">
        <f>Rev!AM242</f>
        <v>3.7999999999999368E-2</v>
      </c>
      <c r="AN673" s="41">
        <f>Rev!AN242</f>
        <v>1.5000000000000124E-2</v>
      </c>
      <c r="AO673" s="41">
        <f>Rev!AO242</f>
        <v>2.8000000000000469E-2</v>
      </c>
      <c r="AP673" s="41">
        <f>Rev!AP242</f>
        <v>2.8280000000000475E-2</v>
      </c>
      <c r="AQ673" s="41">
        <f>Rev!AQ242</f>
        <v>2.8562800000000482E-2</v>
      </c>
      <c r="AR673" s="41">
        <f>Rev!AR242</f>
        <v>2.8848428000000488E-2</v>
      </c>
      <c r="AS673" s="41">
        <f>Rev!AS242</f>
        <v>2.9136912280000492E-2</v>
      </c>
      <c r="AT673" s="41">
        <f>Rev!AT242</f>
        <v>2.9428281402800498E-2</v>
      </c>
      <c r="AU673" s="41">
        <f>Rev!AU242</f>
        <v>2.9722564216828503E-2</v>
      </c>
      <c r="AV673" s="41">
        <f>Rev!AV242</f>
        <v>3.0019789858996788E-2</v>
      </c>
      <c r="AW673" s="41">
        <f>Rev!AW242</f>
        <v>3.0319987757586757E-2</v>
      </c>
      <c r="AX673" s="41">
        <f>Rev!AX242</f>
        <v>3.0623187635162624E-2</v>
      </c>
      <c r="AY673" s="41">
        <f>Rev!AY242</f>
        <v>3.0929419511514251E-2</v>
      </c>
    </row>
    <row r="674" spans="2:51">
      <c r="B674" s="80" t="s">
        <v>76</v>
      </c>
      <c r="G674" s="41"/>
      <c r="H674" s="41">
        <f>Rev!H25</f>
        <v>21.804280181244629</v>
      </c>
      <c r="I674" s="41">
        <f>Rev!I25</f>
        <v>24.847999999999999</v>
      </c>
      <c r="J674" s="41">
        <f>Rev!J25</f>
        <v>26.567999999999998</v>
      </c>
      <c r="K674" s="41">
        <f>Rev!K25</f>
        <v>26.867000000000001</v>
      </c>
      <c r="L674" s="41">
        <f ca="1">Rev!L25</f>
        <v>31.959298038125006</v>
      </c>
      <c r="M674" s="41">
        <f ca="1">Rev!M25</f>
        <v>34.87245420198775</v>
      </c>
      <c r="N674" s="41">
        <f ca="1">Rev!N25</f>
        <v>37.283928736633143</v>
      </c>
      <c r="T674" s="41"/>
      <c r="U674" s="41">
        <f>Rev!U25</f>
        <v>4.3020691542186364</v>
      </c>
      <c r="V674" s="41">
        <f>Rev!V25</f>
        <v>4.3874324694491582</v>
      </c>
      <c r="W674" s="41">
        <f>Rev!W25</f>
        <v>4.8744985513680605</v>
      </c>
      <c r="X674" s="41">
        <f>Rev!X25</f>
        <v>4.8657646557816276</v>
      </c>
      <c r="Y674" s="41">
        <f>Rev!Y25</f>
        <v>5.6956468711855681</v>
      </c>
      <c r="Z674" s="41">
        <f>Rev!Z25</f>
        <v>5.1641991607568052</v>
      </c>
      <c r="AA674" s="41">
        <f>Rev!AA25</f>
        <v>6.0786694935206267</v>
      </c>
      <c r="AB674" s="41">
        <f>Rev!AB25</f>
        <v>5.7960000000000003</v>
      </c>
      <c r="AC674" s="41">
        <f>Rev!AC25</f>
        <v>5.218</v>
      </c>
      <c r="AD674" s="41">
        <f>Rev!AD25</f>
        <v>7.0350000000000001</v>
      </c>
      <c r="AE674" s="41">
        <f>Rev!AE25</f>
        <v>6.7990000000000004</v>
      </c>
      <c r="AF674" s="41">
        <f>Rev!AF25</f>
        <v>6.3719999999999999</v>
      </c>
      <c r="AG674" s="41">
        <f>Rev!AG25</f>
        <v>6.7850000000000001</v>
      </c>
      <c r="AH674" s="41">
        <f>Rev!AH25</f>
        <v>6.9729999999999999</v>
      </c>
      <c r="AI674" s="41">
        <f>Rev!AI25</f>
        <v>6.4379999999999997</v>
      </c>
      <c r="AJ674" s="41">
        <f>Rev!AJ25</f>
        <v>7.2210000000000001</v>
      </c>
      <c r="AK674" s="41">
        <f>Rev!AK25</f>
        <v>5.2460000000000004</v>
      </c>
      <c r="AL674" s="41">
        <f>Rev!AL25</f>
        <v>6.9</v>
      </c>
      <c r="AM674" s="41">
        <f>Rev!AM25</f>
        <v>7.5</v>
      </c>
      <c r="AN674" s="41">
        <f>Rev!AN25</f>
        <v>7.6</v>
      </c>
      <c r="AO674" s="41">
        <f>Rev!AO25</f>
        <v>7.9</v>
      </c>
      <c r="AP674" s="41">
        <f ca="1">Rev!AP25</f>
        <v>8.1456050000000015</v>
      </c>
      <c r="AQ674" s="41">
        <f ca="1">Rev!AQ25</f>
        <v>8.3136930381250007</v>
      </c>
      <c r="AR674" s="41">
        <f ca="1">Rev!AR25</f>
        <v>8.4787886533362329</v>
      </c>
      <c r="AS674" s="41">
        <f ca="1">Rev!AS25</f>
        <v>8.6406648793838539</v>
      </c>
      <c r="AT674" s="41">
        <f ca="1">Rev!AT25</f>
        <v>8.7991037206315426</v>
      </c>
      <c r="AU674" s="41">
        <f ca="1">Rev!AU25</f>
        <v>8.9538969486361246</v>
      </c>
      <c r="AV674" s="41">
        <f ca="1">Rev!AV25</f>
        <v>9.1048468590108449</v>
      </c>
      <c r="AW674" s="41">
        <f ca="1">Rev!AW25</f>
        <v>9.2517669843656662</v>
      </c>
      <c r="AX674" s="41">
        <f ca="1">Rev!AX25</f>
        <v>9.394482759332023</v>
      </c>
      <c r="AY674" s="41">
        <f ca="1">Rev!AY25</f>
        <v>9.5328321339246056</v>
      </c>
    </row>
    <row r="675" spans="2:51">
      <c r="B675" s="80"/>
      <c r="G675" s="41"/>
      <c r="H675" s="41"/>
      <c r="I675" s="41"/>
      <c r="J675" s="41"/>
      <c r="K675" s="41"/>
      <c r="L675" s="41"/>
      <c r="M675" s="41"/>
      <c r="N675" s="41"/>
      <c r="T675" s="41"/>
      <c r="U675" s="41"/>
      <c r="V675" s="41"/>
      <c r="W675" s="41"/>
      <c r="X675" s="41"/>
      <c r="Y675" s="41"/>
      <c r="Z675" s="41"/>
      <c r="AA675" s="41"/>
      <c r="AB675" s="41"/>
      <c r="AC675" s="41"/>
      <c r="AD675" s="41"/>
      <c r="AE675" s="41"/>
      <c r="AF675" s="41"/>
      <c r="AG675" s="41"/>
      <c r="AH675" s="41"/>
      <c r="AI675" s="41"/>
      <c r="AJ675" s="41"/>
      <c r="AK675" s="41"/>
      <c r="AL675" s="41"/>
      <c r="AM675" s="41"/>
      <c r="AN675" s="41"/>
      <c r="AO675" s="41"/>
      <c r="AP675" s="41"/>
      <c r="AQ675" s="41"/>
      <c r="AR675" s="41"/>
      <c r="AS675" s="41"/>
      <c r="AT675" s="41"/>
      <c r="AU675" s="41"/>
      <c r="AV675" s="41"/>
      <c r="AW675" s="41"/>
      <c r="AX675" s="41"/>
      <c r="AY675" s="41"/>
    </row>
    <row r="676" spans="2:51">
      <c r="B676" s="80"/>
      <c r="G676" s="41"/>
      <c r="H676" s="41"/>
      <c r="I676" s="41"/>
      <c r="J676" s="41"/>
      <c r="K676" s="41"/>
      <c r="L676" s="41"/>
      <c r="M676" s="41"/>
      <c r="N676" s="41"/>
      <c r="T676" s="41"/>
      <c r="U676" s="41"/>
      <c r="V676" s="41"/>
      <c r="W676" s="41"/>
      <c r="X676" s="41"/>
      <c r="Y676" s="41"/>
      <c r="Z676" s="41"/>
      <c r="AA676" s="41"/>
      <c r="AB676" s="41"/>
      <c r="AC676" s="41"/>
      <c r="AD676" s="41"/>
      <c r="AE676" s="41"/>
      <c r="AF676" s="41"/>
      <c r="AG676" s="41"/>
      <c r="AH676" s="41"/>
      <c r="AI676" s="41"/>
      <c r="AJ676" s="41"/>
      <c r="AK676" s="41"/>
      <c r="AL676" s="41"/>
      <c r="AM676" s="41"/>
      <c r="AN676" s="41"/>
      <c r="AO676" s="41"/>
      <c r="AP676" s="41"/>
      <c r="AQ676" s="41"/>
      <c r="AR676" s="41"/>
      <c r="AS676" s="41"/>
      <c r="AT676" s="41"/>
      <c r="AU676" s="41"/>
      <c r="AV676" s="41"/>
      <c r="AW676" s="41"/>
      <c r="AX676" s="41"/>
      <c r="AY676" s="41"/>
    </row>
    <row r="677" spans="2:51">
      <c r="B677" s="80"/>
      <c r="G677" s="41"/>
      <c r="H677" s="41"/>
      <c r="I677" s="41"/>
      <c r="J677" s="41"/>
      <c r="K677" s="41"/>
      <c r="L677" s="41"/>
      <c r="M677" s="41"/>
      <c r="N677" s="41"/>
      <c r="T677" s="41"/>
      <c r="U677" s="41"/>
      <c r="V677" s="41"/>
      <c r="W677" s="41"/>
      <c r="X677" s="41"/>
      <c r="Y677" s="41"/>
      <c r="Z677" s="41"/>
      <c r="AA677" s="41"/>
      <c r="AB677" s="41"/>
      <c r="AC677" s="41"/>
      <c r="AD677" s="41"/>
      <c r="AE677" s="41"/>
      <c r="AF677" s="41"/>
      <c r="AG677" s="41"/>
      <c r="AH677" s="41"/>
      <c r="AI677" s="41"/>
      <c r="AJ677" s="41"/>
      <c r="AK677" s="41"/>
      <c r="AL677" s="41"/>
      <c r="AM677" s="41"/>
      <c r="AN677" s="41"/>
      <c r="AO677" s="41"/>
      <c r="AP677" s="41"/>
      <c r="AQ677" s="41"/>
      <c r="AR677" s="41"/>
      <c r="AS677" s="41"/>
      <c r="AT677" s="41"/>
      <c r="AU677" s="41"/>
      <c r="AV677" s="41"/>
      <c r="AW677" s="41"/>
      <c r="AX677" s="41"/>
      <c r="AY677" s="41"/>
    </row>
    <row r="678" spans="2:51">
      <c r="B678" s="80"/>
      <c r="G678" s="41"/>
      <c r="H678" s="41"/>
      <c r="I678" s="41"/>
      <c r="J678" s="41"/>
      <c r="K678" s="41"/>
      <c r="L678" s="41"/>
      <c r="M678" s="41"/>
      <c r="N678" s="41"/>
      <c r="T678" s="41"/>
      <c r="U678" s="41"/>
      <c r="V678" s="41"/>
      <c r="W678" s="41"/>
      <c r="X678" s="41"/>
      <c r="Y678" s="41"/>
      <c r="Z678" s="41"/>
      <c r="AA678" s="41"/>
      <c r="AB678" s="41"/>
      <c r="AC678" s="41"/>
      <c r="AD678" s="41"/>
      <c r="AE678" s="41"/>
      <c r="AF678" s="41"/>
      <c r="AG678" s="41"/>
      <c r="AH678" s="41"/>
      <c r="AI678" s="41"/>
      <c r="AJ678" s="41"/>
      <c r="AK678" s="41"/>
      <c r="AL678" s="41"/>
      <c r="AM678" s="41"/>
      <c r="AN678" s="41"/>
      <c r="AO678" s="41"/>
      <c r="AP678" s="41"/>
      <c r="AQ678" s="41"/>
      <c r="AR678" s="41"/>
      <c r="AS678" s="41"/>
      <c r="AT678" s="41"/>
      <c r="AU678" s="41"/>
      <c r="AV678" s="41"/>
      <c r="AW678" s="41"/>
      <c r="AX678" s="41"/>
      <c r="AY678" s="41"/>
    </row>
    <row r="679" spans="2:51">
      <c r="B679" s="80"/>
      <c r="G679" s="41"/>
      <c r="H679" s="41"/>
      <c r="I679" s="41"/>
      <c r="J679" s="41"/>
      <c r="K679" s="41"/>
      <c r="L679" s="41"/>
      <c r="M679" s="41"/>
      <c r="N679" s="41"/>
      <c r="T679" s="41"/>
      <c r="U679" s="41"/>
      <c r="V679" s="41"/>
      <c r="W679" s="41"/>
      <c r="X679" s="41"/>
      <c r="Y679" s="41"/>
      <c r="Z679" s="41"/>
      <c r="AA679" s="41"/>
      <c r="AB679" s="41"/>
      <c r="AC679" s="41"/>
      <c r="AD679" s="41"/>
      <c r="AE679" s="41"/>
      <c r="AF679" s="41"/>
      <c r="AG679" s="41"/>
      <c r="AH679" s="41"/>
      <c r="AI679" s="41"/>
      <c r="AJ679" s="41"/>
      <c r="AK679" s="41"/>
      <c r="AL679" s="41"/>
      <c r="AM679" s="41"/>
      <c r="AN679" s="41"/>
      <c r="AO679" s="41"/>
      <c r="AP679" s="41"/>
      <c r="AQ679" s="41"/>
      <c r="AR679" s="41"/>
      <c r="AS679" s="41"/>
      <c r="AT679" s="41"/>
      <c r="AU679" s="41"/>
      <c r="AV679" s="41"/>
      <c r="AW679" s="41"/>
      <c r="AX679" s="41"/>
      <c r="AY679" s="41"/>
    </row>
    <row r="680" spans="2:51">
      <c r="B680" s="80"/>
      <c r="G680" s="41"/>
      <c r="H680" s="41"/>
      <c r="I680" s="41"/>
      <c r="J680" s="41"/>
      <c r="K680" s="41"/>
      <c r="L680" s="41"/>
      <c r="M680" s="41"/>
      <c r="N680" s="41"/>
      <c r="T680" s="41"/>
      <c r="U680" s="41"/>
      <c r="V680" s="41"/>
      <c r="W680" s="41"/>
      <c r="X680" s="41"/>
      <c r="Y680" s="41"/>
      <c r="Z680" s="41"/>
      <c r="AA680" s="41"/>
      <c r="AB680" s="41"/>
      <c r="AC680" s="41"/>
      <c r="AD680" s="41"/>
      <c r="AE680" s="41"/>
      <c r="AF680" s="41"/>
      <c r="AG680" s="41"/>
      <c r="AH680" s="41"/>
      <c r="AI680" s="41"/>
      <c r="AJ680" s="41"/>
      <c r="AK680" s="41"/>
      <c r="AL680" s="41"/>
      <c r="AM680" s="41"/>
      <c r="AN680" s="41"/>
      <c r="AO680" s="41"/>
      <c r="AP680" s="41"/>
      <c r="AQ680" s="41"/>
      <c r="AR680" s="41"/>
      <c r="AS680" s="41"/>
      <c r="AT680" s="41"/>
      <c r="AU680" s="41"/>
      <c r="AV680" s="41"/>
      <c r="AW680" s="41"/>
      <c r="AX680" s="41"/>
      <c r="AY680" s="41"/>
    </row>
    <row r="681" spans="2:51">
      <c r="B681" s="80"/>
      <c r="G681" s="41"/>
      <c r="H681" s="41"/>
      <c r="I681" s="41"/>
      <c r="J681" s="41"/>
      <c r="K681" s="41"/>
      <c r="L681" s="41"/>
      <c r="M681" s="41"/>
      <c r="N681" s="41"/>
      <c r="T681" s="41"/>
      <c r="U681" s="41"/>
      <c r="V681" s="41"/>
      <c r="W681" s="41"/>
      <c r="X681" s="41"/>
      <c r="Y681" s="41"/>
      <c r="Z681" s="41"/>
      <c r="AA681" s="41"/>
      <c r="AB681" s="41"/>
      <c r="AC681" s="41"/>
      <c r="AD681" s="41"/>
      <c r="AE681" s="41"/>
      <c r="AF681" s="41"/>
      <c r="AG681" s="41"/>
      <c r="AH681" s="41"/>
      <c r="AI681" s="41"/>
      <c r="AJ681" s="41"/>
      <c r="AK681" s="41"/>
      <c r="AL681" s="41"/>
      <c r="AM681" s="41"/>
      <c r="AN681" s="41"/>
      <c r="AO681" s="41"/>
      <c r="AP681" s="41"/>
      <c r="AQ681" s="41"/>
      <c r="AR681" s="41"/>
      <c r="AS681" s="41"/>
      <c r="AT681" s="41"/>
      <c r="AU681" s="41"/>
      <c r="AV681" s="41"/>
      <c r="AW681" s="41"/>
      <c r="AX681" s="41"/>
      <c r="AY681" s="41"/>
    </row>
    <row r="682" spans="2:51">
      <c r="B682" s="80"/>
      <c r="G682" s="41"/>
      <c r="H682" s="41"/>
      <c r="I682" s="41"/>
      <c r="J682" s="41"/>
      <c r="K682" s="41"/>
      <c r="L682" s="41"/>
      <c r="M682" s="41"/>
      <c r="N682" s="41"/>
      <c r="T682" s="41"/>
      <c r="U682" s="41"/>
      <c r="V682" s="41"/>
      <c r="W682" s="41"/>
      <c r="X682" s="41"/>
      <c r="Y682" s="41"/>
      <c r="Z682" s="41"/>
      <c r="AA682" s="41"/>
      <c r="AB682" s="41"/>
      <c r="AC682" s="41"/>
      <c r="AD682" s="41"/>
      <c r="AE682" s="41"/>
      <c r="AF682" s="41"/>
      <c r="AG682" s="41"/>
      <c r="AH682" s="41"/>
      <c r="AI682" s="41"/>
      <c r="AJ682" s="41"/>
      <c r="AK682" s="41"/>
      <c r="AL682" s="41"/>
      <c r="AM682" s="41"/>
      <c r="AN682" s="41"/>
      <c r="AO682" s="41"/>
      <c r="AP682" s="41"/>
      <c r="AQ682" s="41"/>
      <c r="AR682" s="41"/>
      <c r="AS682" s="41"/>
      <c r="AT682" s="41"/>
      <c r="AU682" s="41"/>
      <c r="AV682" s="41"/>
      <c r="AW682" s="41"/>
      <c r="AX682" s="41"/>
      <c r="AY682" s="41"/>
    </row>
    <row r="683" spans="2:51">
      <c r="B683" s="80"/>
      <c r="G683" s="41"/>
      <c r="H683" s="41"/>
      <c r="I683" s="41"/>
      <c r="J683" s="41"/>
      <c r="K683" s="41"/>
      <c r="L683" s="41"/>
      <c r="M683" s="41"/>
      <c r="N683" s="41"/>
      <c r="T683" s="41"/>
      <c r="U683" s="41"/>
      <c r="V683" s="41"/>
      <c r="W683" s="41"/>
      <c r="X683" s="41"/>
      <c r="Y683" s="41"/>
      <c r="Z683" s="41"/>
      <c r="AA683" s="41"/>
      <c r="AB683" s="41"/>
      <c r="AC683" s="41"/>
      <c r="AD683" s="41"/>
      <c r="AE683" s="41"/>
      <c r="AF683" s="41"/>
      <c r="AG683" s="41"/>
      <c r="AH683" s="41"/>
      <c r="AI683" s="41"/>
      <c r="AJ683" s="41"/>
      <c r="AK683" s="41"/>
      <c r="AL683" s="41"/>
      <c r="AM683" s="41"/>
      <c r="AN683" s="41"/>
      <c r="AO683" s="41"/>
      <c r="AP683" s="41"/>
      <c r="AQ683" s="41"/>
      <c r="AR683" s="41"/>
      <c r="AS683" s="41"/>
      <c r="AT683" s="41"/>
      <c r="AU683" s="41"/>
      <c r="AV683" s="41"/>
      <c r="AW683" s="41"/>
      <c r="AX683" s="41"/>
      <c r="AY683" s="41"/>
    </row>
    <row r="684" spans="2:51">
      <c r="B684" s="80"/>
      <c r="G684" s="41"/>
      <c r="H684" s="41"/>
      <c r="I684" s="41"/>
      <c r="J684" s="41"/>
      <c r="K684" s="41"/>
      <c r="L684" s="41"/>
      <c r="M684" s="41"/>
      <c r="N684" s="41"/>
      <c r="T684" s="41"/>
      <c r="U684" s="41"/>
      <c r="V684" s="41"/>
      <c r="W684" s="41"/>
      <c r="X684" s="41"/>
      <c r="Y684" s="41"/>
      <c r="Z684" s="41"/>
      <c r="AA684" s="41"/>
      <c r="AB684" s="41"/>
      <c r="AC684" s="41"/>
      <c r="AD684" s="41"/>
      <c r="AE684" s="41"/>
      <c r="AF684" s="41"/>
      <c r="AG684" s="41"/>
      <c r="AH684" s="41"/>
      <c r="AI684" s="41"/>
      <c r="AJ684" s="41"/>
      <c r="AK684" s="41"/>
      <c r="AL684" s="41"/>
      <c r="AM684" s="41"/>
      <c r="AN684" s="41"/>
      <c r="AO684" s="41"/>
      <c r="AP684" s="41"/>
      <c r="AQ684" s="41"/>
      <c r="AR684" s="41"/>
      <c r="AS684" s="41"/>
      <c r="AT684" s="41"/>
      <c r="AU684" s="41"/>
      <c r="AV684" s="41"/>
      <c r="AW684" s="41"/>
      <c r="AX684" s="41"/>
      <c r="AY684" s="41"/>
    </row>
    <row r="685" spans="2:51">
      <c r="B685" s="80"/>
      <c r="G685" s="41"/>
      <c r="H685" s="41"/>
      <c r="I685" s="41"/>
      <c r="J685" s="41"/>
      <c r="K685" s="41"/>
      <c r="L685" s="41"/>
      <c r="M685" s="41"/>
      <c r="N685" s="41"/>
      <c r="T685" s="41"/>
      <c r="U685" s="41"/>
      <c r="V685" s="41"/>
      <c r="W685" s="41"/>
      <c r="X685" s="41"/>
      <c r="Y685" s="41"/>
      <c r="Z685" s="41"/>
      <c r="AA685" s="41"/>
      <c r="AB685" s="41"/>
      <c r="AC685" s="41"/>
      <c r="AD685" s="41"/>
      <c r="AE685" s="41"/>
      <c r="AF685" s="41"/>
      <c r="AG685" s="41"/>
      <c r="AH685" s="41"/>
      <c r="AI685" s="41"/>
      <c r="AJ685" s="41"/>
      <c r="AK685" s="41"/>
      <c r="AL685" s="41"/>
      <c r="AM685" s="41"/>
      <c r="AN685" s="41"/>
      <c r="AO685" s="41"/>
      <c r="AP685" s="41"/>
      <c r="AQ685" s="41"/>
      <c r="AR685" s="41"/>
      <c r="AS685" s="41"/>
      <c r="AT685" s="41"/>
      <c r="AU685" s="41"/>
      <c r="AV685" s="41"/>
      <c r="AW685" s="41"/>
      <c r="AX685" s="41"/>
      <c r="AY685" s="41"/>
    </row>
    <row r="686" spans="2:51">
      <c r="B686" s="80"/>
      <c r="G686" s="41"/>
      <c r="H686" s="41"/>
      <c r="I686" s="41"/>
      <c r="J686" s="41"/>
      <c r="K686" s="41"/>
      <c r="L686" s="41"/>
      <c r="M686" s="41"/>
      <c r="N686" s="41"/>
      <c r="T686" s="41"/>
      <c r="U686" s="41"/>
      <c r="V686" s="41"/>
      <c r="W686" s="41"/>
      <c r="X686" s="41"/>
      <c r="Y686" s="41"/>
      <c r="Z686" s="41"/>
      <c r="AA686" s="41"/>
      <c r="AB686" s="41"/>
      <c r="AC686" s="41"/>
      <c r="AD686" s="41"/>
      <c r="AE686" s="41"/>
      <c r="AF686" s="41"/>
      <c r="AG686" s="41"/>
      <c r="AH686" s="41"/>
      <c r="AI686" s="41"/>
      <c r="AJ686" s="41"/>
      <c r="AK686" s="41"/>
      <c r="AL686" s="41"/>
      <c r="AM686" s="41"/>
      <c r="AN686" s="41"/>
      <c r="AO686" s="41"/>
      <c r="AP686" s="41"/>
      <c r="AQ686" s="41"/>
      <c r="AR686" s="41"/>
      <c r="AS686" s="41"/>
      <c r="AT686" s="41"/>
      <c r="AU686" s="41"/>
      <c r="AV686" s="41"/>
      <c r="AW686" s="41"/>
      <c r="AX686" s="41"/>
      <c r="AY686" s="41"/>
    </row>
    <row r="687" spans="2:51">
      <c r="B687" s="80"/>
      <c r="G687" s="41"/>
      <c r="H687" s="41"/>
      <c r="I687" s="41"/>
      <c r="J687" s="41"/>
      <c r="K687" s="41"/>
      <c r="L687" s="41"/>
      <c r="M687" s="41"/>
      <c r="N687" s="41"/>
      <c r="T687" s="41"/>
      <c r="U687" s="41"/>
      <c r="V687" s="41"/>
      <c r="W687" s="41"/>
      <c r="X687" s="41"/>
      <c r="Y687" s="41"/>
      <c r="Z687" s="41"/>
      <c r="AA687" s="41"/>
      <c r="AB687" s="41"/>
      <c r="AC687" s="41"/>
      <c r="AD687" s="41"/>
      <c r="AE687" s="41"/>
      <c r="AF687" s="41"/>
      <c r="AG687" s="41"/>
      <c r="AH687" s="41"/>
      <c r="AI687" s="41"/>
      <c r="AJ687" s="41"/>
      <c r="AK687" s="41"/>
      <c r="AL687" s="41"/>
      <c r="AM687" s="41"/>
      <c r="AN687" s="41"/>
      <c r="AO687" s="41"/>
      <c r="AP687" s="41"/>
      <c r="AQ687" s="41"/>
      <c r="AR687" s="41"/>
      <c r="AS687" s="41"/>
      <c r="AT687" s="41"/>
      <c r="AU687" s="41"/>
      <c r="AV687" s="41"/>
      <c r="AW687" s="41"/>
      <c r="AX687" s="41"/>
      <c r="AY687" s="41"/>
    </row>
    <row r="688" spans="2:51">
      <c r="B688" s="80"/>
      <c r="G688" s="41"/>
      <c r="H688" s="41"/>
      <c r="I688" s="41"/>
      <c r="J688" s="41"/>
      <c r="K688" s="41"/>
      <c r="L688" s="41"/>
      <c r="M688" s="41"/>
      <c r="N688" s="41"/>
      <c r="T688" s="41"/>
      <c r="U688" s="41"/>
      <c r="V688" s="41"/>
      <c r="W688" s="41"/>
      <c r="X688" s="41"/>
      <c r="Y688" s="41"/>
      <c r="Z688" s="41"/>
      <c r="AA688" s="41"/>
      <c r="AB688" s="41"/>
      <c r="AC688" s="41"/>
      <c r="AD688" s="41"/>
      <c r="AE688" s="41"/>
      <c r="AF688" s="41"/>
      <c r="AG688" s="41"/>
      <c r="AH688" s="41"/>
      <c r="AI688" s="41"/>
      <c r="AJ688" s="41"/>
      <c r="AK688" s="41"/>
      <c r="AL688" s="41"/>
      <c r="AM688" s="41"/>
      <c r="AN688" s="41"/>
      <c r="AO688" s="41"/>
      <c r="AP688" s="41"/>
      <c r="AQ688" s="41"/>
      <c r="AR688" s="41"/>
      <c r="AS688" s="41"/>
      <c r="AT688" s="41"/>
      <c r="AU688" s="41"/>
      <c r="AV688" s="41"/>
      <c r="AW688" s="41"/>
      <c r="AX688" s="41"/>
      <c r="AY688" s="41"/>
    </row>
    <row r="689" spans="2:51">
      <c r="B689" s="80"/>
      <c r="G689" s="41"/>
      <c r="H689" s="41"/>
      <c r="I689" s="41"/>
      <c r="J689" s="41"/>
      <c r="K689" s="41"/>
      <c r="L689" s="41"/>
      <c r="M689" s="41"/>
      <c r="N689" s="41"/>
      <c r="T689" s="41"/>
      <c r="U689" s="41"/>
      <c r="V689" s="41"/>
      <c r="W689" s="41"/>
      <c r="X689" s="41"/>
      <c r="Y689" s="41"/>
      <c r="Z689" s="41"/>
      <c r="AA689" s="41"/>
      <c r="AB689" s="41"/>
      <c r="AC689" s="41"/>
      <c r="AD689" s="41"/>
      <c r="AE689" s="41"/>
      <c r="AF689" s="41"/>
      <c r="AG689" s="41"/>
      <c r="AH689" s="41"/>
      <c r="AI689" s="41"/>
      <c r="AJ689" s="41"/>
      <c r="AK689" s="41"/>
      <c r="AL689" s="41"/>
      <c r="AM689" s="41"/>
      <c r="AN689" s="41"/>
      <c r="AO689" s="41"/>
      <c r="AP689" s="41"/>
      <c r="AQ689" s="41"/>
      <c r="AR689" s="41"/>
      <c r="AS689" s="41"/>
      <c r="AT689" s="41"/>
      <c r="AU689" s="41"/>
      <c r="AV689" s="41"/>
      <c r="AW689" s="41"/>
      <c r="AX689" s="41"/>
      <c r="AY689" s="41"/>
    </row>
    <row r="690" spans="2:51">
      <c r="B690" s="80"/>
      <c r="G690" s="41"/>
      <c r="H690" s="41"/>
      <c r="I690" s="41"/>
      <c r="J690" s="41"/>
      <c r="K690" s="41"/>
      <c r="L690" s="41"/>
      <c r="M690" s="41"/>
      <c r="N690" s="41"/>
      <c r="T690" s="41"/>
      <c r="U690" s="41"/>
      <c r="V690" s="41"/>
      <c r="W690" s="41"/>
      <c r="X690" s="41"/>
      <c r="Y690" s="41"/>
      <c r="Z690" s="41"/>
      <c r="AA690" s="41"/>
      <c r="AB690" s="41"/>
      <c r="AC690" s="41"/>
      <c r="AD690" s="41"/>
      <c r="AE690" s="41"/>
      <c r="AF690" s="41"/>
      <c r="AG690" s="41"/>
      <c r="AH690" s="41"/>
      <c r="AI690" s="41"/>
      <c r="AJ690" s="41"/>
      <c r="AK690" s="41"/>
      <c r="AL690" s="41"/>
      <c r="AM690" s="41"/>
      <c r="AN690" s="41"/>
      <c r="AO690" s="41"/>
      <c r="AP690" s="41"/>
      <c r="AQ690" s="41"/>
      <c r="AR690" s="41"/>
      <c r="AS690" s="41"/>
      <c r="AT690" s="41"/>
      <c r="AU690" s="41"/>
      <c r="AV690" s="41"/>
      <c r="AW690" s="41"/>
      <c r="AX690" s="41"/>
      <c r="AY690" s="41"/>
    </row>
    <row r="691" spans="2:51">
      <c r="B691" s="80"/>
      <c r="G691" s="41"/>
      <c r="H691" s="41"/>
      <c r="I691" s="41"/>
      <c r="J691" s="41"/>
      <c r="K691" s="41"/>
      <c r="L691" s="41"/>
      <c r="M691" s="41"/>
      <c r="N691" s="41"/>
      <c r="T691" s="41"/>
      <c r="U691" s="41"/>
      <c r="V691" s="41"/>
      <c r="W691" s="41"/>
      <c r="X691" s="41"/>
      <c r="Y691" s="41"/>
      <c r="Z691" s="41"/>
      <c r="AA691" s="41"/>
      <c r="AB691" s="41"/>
      <c r="AC691" s="41"/>
      <c r="AD691" s="41"/>
      <c r="AE691" s="41"/>
      <c r="AF691" s="41"/>
      <c r="AG691" s="41"/>
      <c r="AH691" s="41"/>
      <c r="AI691" s="41"/>
      <c r="AJ691" s="41"/>
      <c r="AK691" s="41"/>
      <c r="AL691" s="41"/>
      <c r="AM691" s="41"/>
      <c r="AN691" s="41"/>
      <c r="AO691" s="41"/>
      <c r="AP691" s="41"/>
      <c r="AQ691" s="41"/>
      <c r="AR691" s="41"/>
      <c r="AS691" s="41"/>
      <c r="AT691" s="41"/>
      <c r="AU691" s="41"/>
      <c r="AV691" s="41"/>
      <c r="AW691" s="41"/>
      <c r="AX691" s="41"/>
      <c r="AY691" s="41"/>
    </row>
    <row r="692" spans="2:51">
      <c r="Z692" s="6"/>
      <c r="AA692" s="6"/>
      <c r="AB692" s="6"/>
      <c r="AC692" s="6"/>
      <c r="AD692" s="6"/>
      <c r="AE692" s="6"/>
      <c r="AF692" s="6"/>
      <c r="AG692" s="6"/>
      <c r="AH692" s="6"/>
      <c r="AI692" s="6"/>
      <c r="AJ692" s="6"/>
      <c r="AK692" s="6"/>
      <c r="AL692" s="6"/>
      <c r="AM692" s="6"/>
      <c r="AN692" s="6"/>
      <c r="AO692" s="6"/>
      <c r="AP692" s="6"/>
      <c r="AQ692" s="6"/>
      <c r="AR692" s="6"/>
      <c r="AS692" s="6"/>
      <c r="AT692" s="6"/>
      <c r="AU692" s="6"/>
      <c r="AV692" s="6"/>
      <c r="AW692" s="6"/>
      <c r="AX692" s="6"/>
      <c r="AY692" s="6"/>
    </row>
    <row r="693" spans="2:51">
      <c r="Y693" s="6"/>
    </row>
    <row r="727" spans="1:52" s="64" customFormat="1">
      <c r="A727" s="63" t="s">
        <v>40</v>
      </c>
      <c r="B727" s="63" t="s">
        <v>24</v>
      </c>
      <c r="C727" s="67"/>
      <c r="D727" s="67"/>
      <c r="E727" s="67"/>
      <c r="F727" s="67"/>
      <c r="G727" s="67"/>
      <c r="H727" s="67"/>
      <c r="I727" s="67"/>
      <c r="J727" s="67"/>
      <c r="K727" s="67"/>
      <c r="L727" s="67"/>
      <c r="M727" s="67"/>
      <c r="N727" s="67"/>
      <c r="O727" s="127"/>
      <c r="V727" s="71"/>
      <c r="Y727" s="71"/>
      <c r="Z727" s="75"/>
      <c r="AA727" s="75"/>
      <c r="AB727" s="75"/>
      <c r="AC727" s="75"/>
      <c r="AD727" s="75"/>
      <c r="AE727" s="75"/>
      <c r="AF727" s="75"/>
      <c r="AG727" s="75"/>
      <c r="AH727" s="75"/>
      <c r="AI727" s="75"/>
      <c r="AJ727" s="75"/>
      <c r="AK727" s="75"/>
      <c r="AL727" s="75"/>
      <c r="AM727" s="75"/>
      <c r="AN727" s="75"/>
      <c r="AO727" s="75"/>
      <c r="AP727" s="75"/>
      <c r="AQ727" s="75"/>
      <c r="AR727" s="75"/>
      <c r="AS727" s="75"/>
      <c r="AT727" s="75"/>
      <c r="AU727" s="75"/>
      <c r="AV727" s="75"/>
      <c r="AW727" s="75"/>
      <c r="AX727" s="75"/>
      <c r="AY727" s="75"/>
      <c r="AZ727" s="75"/>
    </row>
    <row r="728" spans="1:52">
      <c r="B728" t="s">
        <v>421</v>
      </c>
      <c r="E728" s="41"/>
      <c r="F728" s="41"/>
      <c r="G728" s="41"/>
      <c r="H728" s="41"/>
      <c r="I728" s="41"/>
      <c r="J728" s="41"/>
      <c r="K728" s="41"/>
      <c r="L728" s="41"/>
      <c r="M728" s="41"/>
      <c r="N728" s="41"/>
      <c r="T728" s="41"/>
      <c r="U728" s="41"/>
      <c r="V728" s="41"/>
      <c r="W728" s="41"/>
      <c r="X728" s="41"/>
      <c r="Y728" s="41"/>
      <c r="Z728" s="41">
        <f>-Rev!Z74</f>
        <v>0</v>
      </c>
      <c r="AA728" s="41">
        <f>-Rev!AA74</f>
        <v>0</v>
      </c>
      <c r="AB728" s="41">
        <f>-Rev!AB74</f>
        <v>0</v>
      </c>
      <c r="AC728" s="41">
        <f>-Rev!AC74</f>
        <v>0</v>
      </c>
      <c r="AD728" s="41">
        <f>-Rev!AD74</f>
        <v>0</v>
      </c>
      <c r="AE728" s="41">
        <f>-Rev!AE74</f>
        <v>0</v>
      </c>
      <c r="AF728" s="41">
        <f>-Rev!AF74</f>
        <v>0</v>
      </c>
      <c r="AG728" s="41">
        <f>-Rev!AG74</f>
        <v>0</v>
      </c>
      <c r="AH728" s="41">
        <f>-Rev!AH74</f>
        <v>0</v>
      </c>
      <c r="AI728" s="41">
        <f>-Rev!AI74</f>
        <v>0</v>
      </c>
      <c r="AJ728" s="41">
        <f>-Rev!AJ74</f>
        <v>0</v>
      </c>
      <c r="AK728" s="41">
        <f>-Rev!AK74</f>
        <v>0.93899999999999995</v>
      </c>
      <c r="AL728" s="41">
        <f>-Rev!AL74</f>
        <v>1.0775999999999999</v>
      </c>
      <c r="AM728" s="41">
        <f>-Rev!AM74</f>
        <v>1.1020000000000001</v>
      </c>
      <c r="AN728" s="41">
        <f>-Rev!AN74</f>
        <v>1.1679999999999999</v>
      </c>
      <c r="AO728" s="41">
        <f>-Rev!AO74</f>
        <v>1.0840000000000001</v>
      </c>
      <c r="AP728" s="41">
        <f ca="1">-Rev!AP74</f>
        <v>1.1820240000000002</v>
      </c>
      <c r="AQ728" s="41">
        <f ca="1">-Rev!AQ74</f>
        <v>1.2214057008971977</v>
      </c>
      <c r="AR728" s="41">
        <f ca="1">-Rev!AR74</f>
        <v>1.2505185433445711</v>
      </c>
      <c r="AS728" s="41">
        <f ca="1">-Rev!AS74</f>
        <v>1.28040913029231</v>
      </c>
      <c r="AT728" s="41">
        <f ca="1">-Rev!AT74</f>
        <v>1.311064187465254</v>
      </c>
      <c r="AU728" s="41">
        <f ca="1">-Rev!AU74</f>
        <v>1.3424697128930232</v>
      </c>
      <c r="AV728" s="41">
        <f ca="1">-Rev!AV74</f>
        <v>1.3746110497792297</v>
      </c>
      <c r="AW728" s="41">
        <f ca="1">-Rev!AW74</f>
        <v>1.4074729492277243</v>
      </c>
      <c r="AX728" s="41">
        <f ca="1">-Rev!AX74</f>
        <v>1.4410396253368596</v>
      </c>
      <c r="AY728" s="41">
        <f ca="1">-Rev!AY74</f>
        <v>1.4752948045214282</v>
      </c>
    </row>
    <row r="729" spans="1:52">
      <c r="B729" t="s">
        <v>419</v>
      </c>
      <c r="E729" s="41"/>
      <c r="F729" s="41"/>
      <c r="G729" s="41"/>
      <c r="H729" s="41"/>
      <c r="I729" s="41"/>
      <c r="J729" s="41"/>
      <c r="K729" s="41"/>
      <c r="L729" s="41"/>
      <c r="M729" s="41"/>
      <c r="N729" s="41"/>
      <c r="T729" s="41"/>
      <c r="U729" s="41"/>
      <c r="V729" s="41"/>
      <c r="W729" s="41"/>
      <c r="X729" s="41"/>
      <c r="Y729" s="41"/>
      <c r="Z729" s="41">
        <f>-Rev!Z120</f>
        <v>0</v>
      </c>
      <c r="AA729" s="41">
        <f>-Rev!AA120</f>
        <v>0</v>
      </c>
      <c r="AB729" s="41">
        <f>-Rev!AB120</f>
        <v>0</v>
      </c>
      <c r="AC729" s="41">
        <f>-Rev!AC120</f>
        <v>0</v>
      </c>
      <c r="AD729" s="41">
        <f>-Rev!AD120</f>
        <v>0</v>
      </c>
      <c r="AE729" s="41">
        <f>-Rev!AE120</f>
        <v>0</v>
      </c>
      <c r="AF729" s="41">
        <f>-Rev!AF120</f>
        <v>0</v>
      </c>
      <c r="AG729" s="41">
        <f>-Rev!AG120</f>
        <v>0</v>
      </c>
      <c r="AH729" s="41">
        <f>-Rev!AH120</f>
        <v>0</v>
      </c>
      <c r="AI729" s="41">
        <f>-Rev!AI120</f>
        <v>0</v>
      </c>
      <c r="AJ729" s="41">
        <f>-Rev!AJ120</f>
        <v>0</v>
      </c>
      <c r="AK729" s="41">
        <f>-Rev!AK120</f>
        <v>0.70399999999999996</v>
      </c>
      <c r="AL729" s="41">
        <f>-Rev!AL120</f>
        <v>0.58960000000000001</v>
      </c>
      <c r="AM729" s="41">
        <f>-Rev!AM120</f>
        <v>0.51700000000000002</v>
      </c>
      <c r="AN729" s="41">
        <f>-Rev!AN120</f>
        <v>0.51900000000000002</v>
      </c>
      <c r="AO729" s="41">
        <f>-Rev!AO120</f>
        <v>0.55300000000000005</v>
      </c>
      <c r="AP729" s="41">
        <f ca="1">-Rev!AP120</f>
        <v>0.58409593211706701</v>
      </c>
      <c r="AQ729" s="41">
        <f ca="1">-Rev!AQ120</f>
        <v>0.60329721377064904</v>
      </c>
      <c r="AR729" s="41">
        <f ca="1">-Rev!AR120</f>
        <v>0.62286348806226843</v>
      </c>
      <c r="AS729" s="41">
        <f ca="1">-Rev!AS120</f>
        <v>0.64297596983368666</v>
      </c>
      <c r="AT729" s="41">
        <f ca="1">-Rev!AT120</f>
        <v>0.66372153151316271</v>
      </c>
      <c r="AU729" s="41">
        <f ca="1">-Rev!AU120</f>
        <v>0.68514044998161883</v>
      </c>
      <c r="AV729" s="41">
        <f ca="1">-Rev!AV120</f>
        <v>0.70724941792071649</v>
      </c>
      <c r="AW729" s="41">
        <f ca="1">-Rev!AW120</f>
        <v>0.73005274506270934</v>
      </c>
      <c r="AX729" s="41">
        <f ca="1">-Rev!AX120</f>
        <v>0.75354786846639343</v>
      </c>
      <c r="AY729" s="41">
        <f ca="1">-Rev!AY120</f>
        <v>0.77772809580408786</v>
      </c>
    </row>
    <row r="730" spans="1:52">
      <c r="B730" t="s">
        <v>418</v>
      </c>
      <c r="E730" s="41"/>
      <c r="F730" s="41"/>
      <c r="G730" s="41"/>
      <c r="H730" s="41"/>
      <c r="I730" s="41"/>
      <c r="J730" s="41"/>
      <c r="K730" s="41"/>
      <c r="L730" s="41"/>
      <c r="M730" s="41"/>
      <c r="N730" s="41"/>
      <c r="T730" s="41"/>
      <c r="U730" s="41"/>
      <c r="V730" s="41"/>
      <c r="W730" s="41"/>
      <c r="X730" s="41"/>
      <c r="Y730" s="41"/>
      <c r="Z730" s="41">
        <f>-Rev!Z166</f>
        <v>0</v>
      </c>
      <c r="AA730" s="41">
        <f>-Rev!AA166</f>
        <v>0</v>
      </c>
      <c r="AB730" s="41">
        <f>-Rev!AB166</f>
        <v>0</v>
      </c>
      <c r="AC730" s="41">
        <f>-Rev!AC166</f>
        <v>0</v>
      </c>
      <c r="AD730" s="41">
        <f>-Rev!AD166</f>
        <v>0</v>
      </c>
      <c r="AE730" s="41">
        <f>-Rev!AE166</f>
        <v>0</v>
      </c>
      <c r="AF730" s="41">
        <f>-Rev!AF166</f>
        <v>0</v>
      </c>
      <c r="AG730" s="41">
        <f>-Rev!AG166</f>
        <v>0</v>
      </c>
      <c r="AH730" s="41">
        <f>-Rev!AH166</f>
        <v>0</v>
      </c>
      <c r="AI730" s="41">
        <f>-Rev!AI166</f>
        <v>0</v>
      </c>
      <c r="AJ730" s="41">
        <f>-Rev!AJ166</f>
        <v>0</v>
      </c>
      <c r="AK730" s="41">
        <f>-Rev!AK166</f>
        <v>1.5369999999999999</v>
      </c>
      <c r="AL730" s="41">
        <f>-Rev!AL166</f>
        <v>1.768</v>
      </c>
      <c r="AM730" s="41">
        <f>-Rev!AM166</f>
        <v>2.218</v>
      </c>
      <c r="AN730" s="41">
        <f>-Rev!AN166</f>
        <v>1.7230000000000001</v>
      </c>
      <c r="AO730" s="41">
        <f>-Rev!AO166</f>
        <v>2.2229999999999999</v>
      </c>
      <c r="AP730" s="41">
        <f ca="1">-Rev!AP166</f>
        <v>1.9697039999999997</v>
      </c>
      <c r="AQ730" s="41">
        <f ca="1">-Rev!AQ166</f>
        <v>1.9597948193424588</v>
      </c>
      <c r="AR730" s="41">
        <f ca="1">-Rev!AR166</f>
        <v>1.9512123006250881</v>
      </c>
      <c r="AS730" s="41">
        <f ca="1">-Rev!AS166</f>
        <v>1.943882073356187</v>
      </c>
      <c r="AT730" s="41">
        <f ca="1">-Rev!AT166</f>
        <v>1.9617624840862273</v>
      </c>
      <c r="AU730" s="41">
        <f ca="1">-Rev!AU166</f>
        <v>1.9796386342518284</v>
      </c>
      <c r="AV730" s="41">
        <f ca="1">-Rev!AV166</f>
        <v>1.9974361300292554</v>
      </c>
      <c r="AW730" s="41">
        <f ca="1">-Rev!AW166</f>
        <v>2.015071299941781</v>
      </c>
      <c r="AX730" s="41">
        <f ca="1">-Rev!AX166</f>
        <v>2.0324552758151775</v>
      </c>
      <c r="AY730" s="41">
        <f ca="1">-Rev!AY166</f>
        <v>2.0494965981471704</v>
      </c>
    </row>
    <row r="731" spans="1:52">
      <c r="B731" t="s">
        <v>420</v>
      </c>
      <c r="E731" s="41"/>
      <c r="F731" s="41"/>
      <c r="G731" s="41"/>
      <c r="H731" s="41"/>
      <c r="I731" s="41"/>
      <c r="J731" s="41"/>
      <c r="K731" s="41"/>
      <c r="L731" s="41"/>
      <c r="M731" s="41"/>
      <c r="N731" s="41"/>
      <c r="T731" s="41"/>
      <c r="U731" s="41"/>
      <c r="V731" s="41"/>
      <c r="W731" s="41"/>
      <c r="X731" s="41"/>
      <c r="Y731" s="41"/>
      <c r="Z731" s="41"/>
      <c r="AA731" s="41"/>
      <c r="AB731" s="41"/>
      <c r="AC731" s="41"/>
      <c r="AD731" s="41"/>
      <c r="AE731" s="41"/>
      <c r="AF731" s="41"/>
      <c r="AG731" s="41"/>
      <c r="AH731" s="41"/>
      <c r="AI731" s="41"/>
      <c r="AJ731" s="41"/>
      <c r="AK731" s="41">
        <f>-Rev!AK212</f>
        <v>1.5369999999999999</v>
      </c>
      <c r="AL731" s="41">
        <f>-Rev!AL212</f>
        <v>1.9472</v>
      </c>
      <c r="AM731" s="41">
        <f>-Rev!AM212</f>
        <v>2.024</v>
      </c>
      <c r="AN731" s="41">
        <f>-Rev!AN212</f>
        <v>2.6930000000000001</v>
      </c>
      <c r="AO731" s="41">
        <f>-Rev!AO212</f>
        <v>2.1459999999999999</v>
      </c>
      <c r="AP731" s="41">
        <f ca="1">-Rev!AP212</f>
        <v>2.2494581508041338</v>
      </c>
      <c r="AQ731" s="41">
        <f ca="1">-Rev!AQ212</f>
        <v>2.2194171452942562</v>
      </c>
      <c r="AR731" s="41">
        <f ca="1">-Rev!AR212</f>
        <v>2.1944668246415069</v>
      </c>
      <c r="AS731" s="41">
        <f ca="1">-Rev!AS212</f>
        <v>2.1736451408518302</v>
      </c>
      <c r="AT731" s="41">
        <f ca="1">-Rev!AT212</f>
        <v>2.1829642684192514</v>
      </c>
      <c r="AU731" s="41">
        <f ca="1">-Rev!AU212</f>
        <v>2.193896277189304</v>
      </c>
      <c r="AV731" s="41">
        <f ca="1">-Rev!AV212</f>
        <v>2.2061925264622979</v>
      </c>
      <c r="AW731" s="41">
        <f ca="1">-Rev!AW212</f>
        <v>2.2196553444962177</v>
      </c>
      <c r="AX731" s="41">
        <f ca="1">-Rev!AX212</f>
        <v>2.2341171964920283</v>
      </c>
      <c r="AY731" s="41">
        <f ca="1">-Rev!AY212</f>
        <v>2.2494282306251683</v>
      </c>
    </row>
    <row r="732" spans="1:52" s="15" customFormat="1">
      <c r="B732" s="15" t="s">
        <v>132</v>
      </c>
      <c r="E732" s="41"/>
      <c r="F732" s="41"/>
      <c r="G732" s="41"/>
      <c r="H732" s="41"/>
      <c r="I732" s="41"/>
      <c r="J732" s="41"/>
      <c r="K732" s="41"/>
      <c r="L732" s="41"/>
      <c r="M732" s="41"/>
      <c r="N732" s="41"/>
      <c r="T732" s="41"/>
      <c r="U732" s="41"/>
      <c r="V732" s="41"/>
      <c r="W732" s="41"/>
      <c r="X732" s="41"/>
      <c r="Y732" s="41"/>
      <c r="Z732" s="41"/>
      <c r="AA732" s="41"/>
      <c r="AB732" s="41"/>
      <c r="AC732" s="41"/>
      <c r="AD732" s="41"/>
      <c r="AE732" s="41"/>
      <c r="AF732" s="41"/>
      <c r="AG732" s="41"/>
      <c r="AH732" s="41"/>
      <c r="AI732" s="41"/>
      <c r="AJ732" s="41"/>
      <c r="AK732" s="41"/>
      <c r="AL732" s="41">
        <f>-Rev!AL257</f>
        <v>0</v>
      </c>
      <c r="AM732" s="41">
        <f>-Rev!AM257</f>
        <v>0</v>
      </c>
      <c r="AN732" s="41">
        <f>-Rev!AN257</f>
        <v>0</v>
      </c>
      <c r="AO732" s="41">
        <f>-Rev!AO257</f>
        <v>0</v>
      </c>
      <c r="AP732" s="41"/>
      <c r="AQ732" s="41"/>
      <c r="AR732" s="41"/>
      <c r="AS732" s="41"/>
      <c r="AT732" s="41"/>
      <c r="AU732" s="41"/>
      <c r="AV732" s="41"/>
      <c r="AW732" s="41"/>
      <c r="AX732" s="41"/>
      <c r="AY732" s="41"/>
    </row>
    <row r="733" spans="1:52">
      <c r="B733" s="80" t="s">
        <v>76</v>
      </c>
      <c r="G733" s="41"/>
      <c r="H733" s="41"/>
      <c r="I733" s="41"/>
      <c r="J733" s="41"/>
      <c r="K733" s="41"/>
      <c r="L733" s="41"/>
      <c r="M733" s="41"/>
      <c r="N733" s="41"/>
      <c r="T733" s="41"/>
      <c r="U733" s="41"/>
      <c r="V733" s="41"/>
      <c r="W733" s="41"/>
      <c r="X733" s="41"/>
      <c r="Y733" s="41"/>
      <c r="Z733" s="41">
        <f>-Rev!Z30</f>
        <v>3.5909733759504601</v>
      </c>
      <c r="AA733" s="41">
        <f>-Rev!AA30</f>
        <v>3.5935739113225265</v>
      </c>
      <c r="AB733" s="41">
        <f>-Rev!AB30</f>
        <v>3.9039999999999999</v>
      </c>
      <c r="AC733" s="41">
        <f>-Rev!AC30</f>
        <v>3.7149999999999999</v>
      </c>
      <c r="AD733" s="41">
        <f>-Rev!AD30</f>
        <v>4.1589999999999998</v>
      </c>
      <c r="AE733" s="41">
        <f>-Rev!AE30</f>
        <v>4.032</v>
      </c>
      <c r="AF733" s="41">
        <f>-Rev!AF30</f>
        <v>3.7509999999999999</v>
      </c>
      <c r="AG733" s="41">
        <f>-Rev!AG30</f>
        <v>4.17</v>
      </c>
      <c r="AH733" s="41">
        <f>-Rev!AH30</f>
        <v>3.7229999999999999</v>
      </c>
      <c r="AI733" s="41">
        <f>-Rev!AI30</f>
        <v>4.0890000000000004</v>
      </c>
      <c r="AJ733" s="41">
        <f>-Rev!AJ30</f>
        <v>4.2270000000000003</v>
      </c>
      <c r="AK733" s="41">
        <f>-Rev!AK30</f>
        <v>4.7439999999999998</v>
      </c>
      <c r="AL733" s="41">
        <f>-Rev!AL30</f>
        <v>5.6</v>
      </c>
      <c r="AM733" s="41">
        <f>-Rev!AM30</f>
        <v>5.9</v>
      </c>
      <c r="AN733" s="41">
        <f>-Rev!AN30</f>
        <v>6.1</v>
      </c>
      <c r="AO733" s="41">
        <f>-Rev!AO30</f>
        <v>6</v>
      </c>
      <c r="AP733" s="41">
        <f ca="1">-Rev!AP30</f>
        <v>5.9852820829212003</v>
      </c>
      <c r="AQ733" s="41">
        <f ca="1">-Rev!AQ30</f>
        <v>6.0039148793045616</v>
      </c>
      <c r="AR733" s="41">
        <f ca="1">-Rev!AR30</f>
        <v>6.0335761983758402</v>
      </c>
      <c r="AS733" s="41">
        <f ca="1">-Rev!AS30</f>
        <v>6.0561667547952309</v>
      </c>
      <c r="AT733" s="41">
        <f ca="1">-Rev!AT30</f>
        <v>6.1354822179550395</v>
      </c>
      <c r="AU733" s="41">
        <f ca="1">-Rev!AU30</f>
        <v>6.2178068297467997</v>
      </c>
      <c r="AV733" s="41">
        <f ca="1">-Rev!AV30</f>
        <v>6.3028203655306667</v>
      </c>
      <c r="AW733" s="41">
        <f ca="1">-Rev!AW30</f>
        <v>6.3902312958023257</v>
      </c>
      <c r="AX733" s="41">
        <f ca="1">-Rev!AX30</f>
        <v>6.4797656010695963</v>
      </c>
      <c r="AY733" s="41">
        <f ca="1">-Rev!AY30</f>
        <v>6.5711597164132867</v>
      </c>
    </row>
    <row r="734" spans="1:52">
      <c r="Z734" s="6"/>
      <c r="AA734" s="6"/>
      <c r="AB734" s="6"/>
      <c r="AC734" s="6"/>
      <c r="AD734" s="6"/>
      <c r="AE734" s="6"/>
      <c r="AF734" s="6"/>
      <c r="AG734" s="6"/>
      <c r="AH734" s="6"/>
      <c r="AI734" s="6"/>
      <c r="AJ734" s="6"/>
      <c r="AK734" s="6"/>
      <c r="AL734" s="6"/>
      <c r="AM734" s="6"/>
      <c r="AN734" s="6"/>
      <c r="AO734" s="6"/>
      <c r="AP734" s="6"/>
      <c r="AQ734" s="6"/>
      <c r="AR734" s="6"/>
      <c r="AS734" s="6"/>
      <c r="AT734" s="6"/>
      <c r="AU734" s="6"/>
      <c r="AV734" s="6"/>
      <c r="AW734" s="6"/>
      <c r="AX734" s="6"/>
      <c r="AY734" s="6"/>
    </row>
    <row r="735" spans="1:52">
      <c r="Y735" s="6"/>
    </row>
    <row r="771" spans="1:52" s="64" customFormat="1">
      <c r="A771" s="63" t="s">
        <v>40</v>
      </c>
      <c r="B771" s="63" t="s">
        <v>404</v>
      </c>
      <c r="C771" s="67"/>
      <c r="D771" s="67"/>
      <c r="E771" s="67"/>
      <c r="F771" s="67"/>
      <c r="G771" s="67"/>
      <c r="H771" s="67"/>
      <c r="I771" s="67"/>
      <c r="J771" s="67"/>
      <c r="K771" s="67"/>
      <c r="L771" s="67"/>
      <c r="M771" s="67"/>
      <c r="N771" s="67"/>
      <c r="O771" s="127"/>
      <c r="V771" s="71"/>
      <c r="Y771" s="71"/>
      <c r="Z771" s="75"/>
      <c r="AA771" s="75"/>
      <c r="AB771" s="75"/>
      <c r="AC771" s="75"/>
      <c r="AD771" s="75"/>
      <c r="AE771" s="75"/>
      <c r="AF771" s="75"/>
      <c r="AG771" s="75"/>
      <c r="AH771" s="75"/>
      <c r="AI771" s="75"/>
      <c r="AJ771" s="75"/>
      <c r="AK771" s="75"/>
      <c r="AL771" s="75"/>
      <c r="AM771" s="75"/>
      <c r="AN771" s="75"/>
      <c r="AO771" s="75"/>
      <c r="AP771" s="75"/>
      <c r="AQ771" s="75"/>
      <c r="AR771" s="75"/>
      <c r="AS771" s="75"/>
      <c r="AT771" s="75"/>
      <c r="AU771" s="75"/>
      <c r="AV771" s="75"/>
      <c r="AW771" s="75"/>
      <c r="AX771" s="75"/>
      <c r="AY771" s="75"/>
      <c r="AZ771" s="75"/>
    </row>
    <row r="772" spans="1:52">
      <c r="B772" t="s">
        <v>421</v>
      </c>
      <c r="E772" s="41"/>
      <c r="F772" s="41"/>
      <c r="G772" s="41"/>
      <c r="H772" s="41"/>
      <c r="I772" s="41"/>
      <c r="J772" s="41"/>
      <c r="K772" s="41"/>
      <c r="L772" s="41"/>
      <c r="M772" s="41"/>
      <c r="N772" s="41"/>
      <c r="T772" s="41"/>
      <c r="U772" s="41"/>
      <c r="V772" s="41"/>
      <c r="W772" s="41"/>
      <c r="X772" s="41"/>
      <c r="Y772" s="41"/>
      <c r="Z772" s="41">
        <f>-Rev!Z59</f>
        <v>0</v>
      </c>
      <c r="AA772" s="41">
        <f>-Rev!AA59</f>
        <v>0</v>
      </c>
      <c r="AB772" s="41">
        <f>-Rev!AB59</f>
        <v>0</v>
      </c>
      <c r="AC772" s="41">
        <f>-Rev!AC59</f>
        <v>0</v>
      </c>
      <c r="AD772" s="41">
        <f>-Rev!AD59</f>
        <v>0</v>
      </c>
      <c r="AE772" s="41">
        <f>-Rev!AE59</f>
        <v>0</v>
      </c>
      <c r="AF772" s="41">
        <f>-Rev!AF59</f>
        <v>0</v>
      </c>
      <c r="AG772" s="41">
        <f>-Rev!AG59</f>
        <v>0</v>
      </c>
      <c r="AH772" s="41">
        <f>-Rev!AH59</f>
        <v>0</v>
      </c>
      <c r="AI772" s="41">
        <f>-Rev!AI59</f>
        <v>0</v>
      </c>
      <c r="AJ772" s="41">
        <f>-Rev!AJ59</f>
        <v>0</v>
      </c>
      <c r="AK772" s="41">
        <f>-Rev!AK59</f>
        <v>1.6180000000000001</v>
      </c>
      <c r="AL772" s="41">
        <f>-Rev!AL59</f>
        <v>2.0775999999999999</v>
      </c>
      <c r="AM772" s="41">
        <f>-Rev!AM59</f>
        <v>2.165</v>
      </c>
      <c r="AN772" s="41">
        <f>-Rev!AN59</f>
        <v>2.4459999999999997</v>
      </c>
      <c r="AO772" s="41">
        <f>-Rev!AO59</f>
        <v>2.3620000000000001</v>
      </c>
      <c r="AP772" s="41">
        <f ca="1">-Rev!AP59</f>
        <v>2.7665629387331911</v>
      </c>
      <c r="AQ772" s="41">
        <f ca="1">-Rev!AQ59</f>
        <v>2.8387858368623933</v>
      </c>
      <c r="AR772" s="41">
        <f ca="1">-Rev!AR59</f>
        <v>2.9111067071078547</v>
      </c>
      <c r="AS772" s="41">
        <f ca="1">-Rev!AS59</f>
        <v>2.9834678621225366</v>
      </c>
      <c r="AT772" s="41">
        <f ca="1">-Rev!AT59</f>
        <v>3.0558156001190744</v>
      </c>
      <c r="AU772" s="41">
        <f ca="1">-Rev!AU59</f>
        <v>3.1280995399045053</v>
      </c>
      <c r="AV772" s="41">
        <f ca="1">-Rev!AV59</f>
        <v>3.2002721302511583</v>
      </c>
      <c r="AW772" s="41">
        <f ca="1">-Rev!AW59</f>
        <v>3.2722882886241251</v>
      </c>
      <c r="AX772" s="41">
        <f ca="1">-Rev!AX59</f>
        <v>3.3441051355906759</v>
      </c>
      <c r="AY772" s="41">
        <f ca="1">-Rev!AY59</f>
        <v>3.4156817997178144</v>
      </c>
    </row>
    <row r="773" spans="1:52">
      <c r="B773" t="s">
        <v>419</v>
      </c>
      <c r="E773" s="41"/>
      <c r="F773" s="41"/>
      <c r="G773" s="41"/>
      <c r="H773" s="41"/>
      <c r="I773" s="41"/>
      <c r="J773" s="41"/>
      <c r="K773" s="41"/>
      <c r="L773" s="41"/>
      <c r="M773" s="41"/>
      <c r="N773" s="41"/>
      <c r="T773" s="41"/>
      <c r="U773" s="41"/>
      <c r="V773" s="41"/>
      <c r="W773" s="41"/>
      <c r="X773" s="41"/>
      <c r="Y773" s="41"/>
      <c r="Z773" s="41">
        <f>-Rev!Z105</f>
        <v>0</v>
      </c>
      <c r="AA773" s="41">
        <f>-Rev!AA105</f>
        <v>0</v>
      </c>
      <c r="AB773" s="41">
        <f>-Rev!AB105</f>
        <v>0</v>
      </c>
      <c r="AC773" s="41">
        <f>-Rev!AC105</f>
        <v>0</v>
      </c>
      <c r="AD773" s="41">
        <f>-Rev!AD105</f>
        <v>0</v>
      </c>
      <c r="AE773" s="41">
        <f>-Rev!AE105</f>
        <v>0</v>
      </c>
      <c r="AF773" s="41">
        <f>-Rev!AF105</f>
        <v>0</v>
      </c>
      <c r="AG773" s="41">
        <f>-Rev!AG105</f>
        <v>0</v>
      </c>
      <c r="AH773" s="41">
        <f>-Rev!AH105</f>
        <v>0</v>
      </c>
      <c r="AI773" s="41">
        <f>-Rev!AI105</f>
        <v>0</v>
      </c>
      <c r="AJ773" s="41">
        <f>-Rev!AJ105</f>
        <v>0</v>
      </c>
      <c r="AK773" s="41">
        <f>-Rev!AK105</f>
        <v>1.1599999999999999</v>
      </c>
      <c r="AL773" s="41">
        <f>-Rev!AL105</f>
        <v>0.88959999999999995</v>
      </c>
      <c r="AM773" s="41">
        <f>-Rev!AM105</f>
        <v>0.73399999999999999</v>
      </c>
      <c r="AN773" s="41">
        <f>-Rev!AN105</f>
        <v>0.78800000000000003</v>
      </c>
      <c r="AO773" s="41">
        <f>-Rev!AO105</f>
        <v>0.77700000000000002</v>
      </c>
      <c r="AP773" s="41">
        <f ca="1">-Rev!AP105</f>
        <v>1.018158245449964</v>
      </c>
      <c r="AQ773" s="41">
        <f ca="1">-Rev!AQ105</f>
        <v>1.040683927300857</v>
      </c>
      <c r="AR773" s="41">
        <f ca="1">-Rev!AR105</f>
        <v>1.0691877685952895</v>
      </c>
      <c r="AS773" s="41">
        <f ca="1">-Rev!AS105</f>
        <v>1.1006973025243469</v>
      </c>
      <c r="AT773" s="41">
        <f ca="1">-Rev!AT105</f>
        <v>1.1337678525160919</v>
      </c>
      <c r="AU773" s="41">
        <f ca="1">-Rev!AU105</f>
        <v>1.1676832767371004</v>
      </c>
      <c r="AV773" s="41">
        <f ca="1">-Rev!AV105</f>
        <v>1.2020782210945637</v>
      </c>
      <c r="AW773" s="41">
        <f ca="1">-Rev!AW105</f>
        <v>1.2367579015840255</v>
      </c>
      <c r="AX773" s="41">
        <f ca="1">-Rev!AX105</f>
        <v>1.2716113276819887</v>
      </c>
      <c r="AY773" s="41">
        <f ca="1">-Rev!AY105</f>
        <v>1.3065691399508765</v>
      </c>
    </row>
    <row r="774" spans="1:52">
      <c r="B774" t="s">
        <v>418</v>
      </c>
      <c r="E774" s="41"/>
      <c r="F774" s="41"/>
      <c r="G774" s="41"/>
      <c r="H774" s="41"/>
      <c r="I774" s="41"/>
      <c r="J774" s="41"/>
      <c r="K774" s="41"/>
      <c r="L774" s="41"/>
      <c r="M774" s="41"/>
      <c r="N774" s="41"/>
      <c r="T774" s="41"/>
      <c r="U774" s="41"/>
      <c r="V774" s="41"/>
      <c r="W774" s="41"/>
      <c r="X774" s="41"/>
      <c r="Y774" s="41"/>
      <c r="Z774" s="41">
        <f>-Rev!Z151</f>
        <v>0</v>
      </c>
      <c r="AA774" s="41">
        <f>-Rev!AA151</f>
        <v>0</v>
      </c>
      <c r="AB774" s="41">
        <f>-Rev!AB151</f>
        <v>0</v>
      </c>
      <c r="AC774" s="41">
        <f>-Rev!AC151</f>
        <v>0</v>
      </c>
      <c r="AD774" s="41">
        <f>-Rev!AD151</f>
        <v>0</v>
      </c>
      <c r="AE774" s="41">
        <f>-Rev!AE151</f>
        <v>0</v>
      </c>
      <c r="AF774" s="41">
        <f>-Rev!AF151</f>
        <v>0</v>
      </c>
      <c r="AG774" s="41">
        <f>-Rev!AG151</f>
        <v>0</v>
      </c>
      <c r="AH774" s="41">
        <f>-Rev!AH151</f>
        <v>0</v>
      </c>
      <c r="AI774" s="41">
        <f>-Rev!AI151</f>
        <v>0</v>
      </c>
      <c r="AJ774" s="41">
        <f>-Rev!AJ151</f>
        <v>0</v>
      </c>
      <c r="AK774" s="41">
        <f>-Rev!AK151</f>
        <v>1.7324999999999999</v>
      </c>
      <c r="AL774" s="41">
        <f>-Rev!AL151</f>
        <v>1.768</v>
      </c>
      <c r="AM774" s="41">
        <f>-Rev!AM151</f>
        <v>2.1819999999999999</v>
      </c>
      <c r="AN774" s="41">
        <f>-Rev!AN151</f>
        <v>1.778</v>
      </c>
      <c r="AO774" s="41">
        <f>-Rev!AO151</f>
        <v>2.13</v>
      </c>
      <c r="AP774" s="41">
        <f ca="1">-Rev!AP151</f>
        <v>2.0109320354158235</v>
      </c>
      <c r="AQ774" s="41">
        <f ca="1">-Rev!AQ151</f>
        <v>2.0286588212494943</v>
      </c>
      <c r="AR774" s="41">
        <f ca="1">-Rev!AR151</f>
        <v>2.0466937891496961</v>
      </c>
      <c r="AS774" s="41">
        <f ca="1">-Rev!AS151</f>
        <v>2.0641507578610176</v>
      </c>
      <c r="AT774" s="41">
        <f ca="1">-Rev!AT151</f>
        <v>2.0804778804784085</v>
      </c>
      <c r="AU774" s="41">
        <f ca="1">-Rev!AU151</f>
        <v>2.0953260786034145</v>
      </c>
      <c r="AV774" s="41">
        <f ca="1">-Rev!AV151</f>
        <v>2.1084701942299993</v>
      </c>
      <c r="AW774" s="41">
        <f ca="1">-Rev!AW151</f>
        <v>2.1197617617942224</v>
      </c>
      <c r="AX774" s="41">
        <f ca="1">-Rev!AX151</f>
        <v>2.1291007412685241</v>
      </c>
      <c r="AY774" s="41">
        <f ca="1">-Rev!AY151</f>
        <v>2.1364186163214893</v>
      </c>
    </row>
    <row r="775" spans="1:52">
      <c r="B775" t="s">
        <v>420</v>
      </c>
      <c r="E775" s="41"/>
      <c r="F775" s="41"/>
      <c r="G775" s="41"/>
      <c r="H775" s="41"/>
      <c r="I775" s="41"/>
      <c r="J775" s="41"/>
      <c r="K775" s="41"/>
      <c r="L775" s="41"/>
      <c r="M775" s="41"/>
      <c r="N775" s="41"/>
      <c r="T775" s="41"/>
      <c r="U775" s="41"/>
      <c r="V775" s="41"/>
      <c r="W775" s="41"/>
      <c r="X775" s="41"/>
      <c r="Y775" s="41"/>
      <c r="Z775" s="41"/>
      <c r="AA775" s="41"/>
      <c r="AB775" s="41"/>
      <c r="AC775" s="41"/>
      <c r="AD775" s="41"/>
      <c r="AE775" s="41"/>
      <c r="AF775" s="41"/>
      <c r="AG775" s="41"/>
      <c r="AH775" s="41"/>
      <c r="AI775" s="41"/>
      <c r="AJ775" s="41"/>
      <c r="AK775" s="41">
        <f>-Rev!AK197</f>
        <v>1.7324999999999999</v>
      </c>
      <c r="AL775" s="41">
        <f>-Rev!AL197</f>
        <v>2.1472000000000002</v>
      </c>
      <c r="AM775" s="41">
        <f>-Rev!AM197</f>
        <v>2.194</v>
      </c>
      <c r="AN775" s="41">
        <f>-Rev!AN197</f>
        <v>2.242</v>
      </c>
      <c r="AO775" s="41">
        <f>-Rev!AO197</f>
        <v>2.097</v>
      </c>
      <c r="AP775" s="41">
        <f ca="1">-Rev!AP197</f>
        <v>1.9161800354158236</v>
      </c>
      <c r="AQ775" s="41">
        <f ca="1">-Rev!AQ197</f>
        <v>1.9857852932494939</v>
      </c>
      <c r="AR775" s="41">
        <f ca="1">-Rev!AR197</f>
        <v>2.0425978388456962</v>
      </c>
      <c r="AS775" s="41">
        <f ca="1">-Rev!AS197</f>
        <v>2.0911545194726493</v>
      </c>
      <c r="AT775" s="41">
        <f ca="1">-Rev!AT197</f>
        <v>2.1341380609074654</v>
      </c>
      <c r="AU775" s="41">
        <f ca="1">-Rev!AU197</f>
        <v>2.1731198660067128</v>
      </c>
      <c r="AV775" s="41">
        <f ca="1">-Rev!AV197</f>
        <v>2.2090058674787323</v>
      </c>
      <c r="AW775" s="41">
        <f ca="1">-Rev!AW197</f>
        <v>2.2423042096843151</v>
      </c>
      <c r="AX775" s="41">
        <f ca="1">-Rev!AX197</f>
        <v>2.2732860232780299</v>
      </c>
      <c r="AY775" s="41">
        <f ca="1">-Rev!AY197</f>
        <v>2.3020820499064003</v>
      </c>
    </row>
    <row r="776" spans="1:52" s="15" customFormat="1">
      <c r="B776" s="15" t="s">
        <v>132</v>
      </c>
      <c r="E776" s="41"/>
      <c r="F776" s="41"/>
      <c r="G776" s="41"/>
      <c r="H776" s="41"/>
      <c r="I776" s="41"/>
      <c r="J776" s="41"/>
      <c r="K776" s="41"/>
      <c r="L776" s="41"/>
      <c r="M776" s="41"/>
      <c r="N776" s="41"/>
      <c r="T776" s="41"/>
      <c r="U776" s="41"/>
      <c r="V776" s="41"/>
      <c r="W776" s="41"/>
      <c r="X776" s="41"/>
      <c r="Y776" s="41"/>
      <c r="Z776" s="41"/>
      <c r="AA776" s="41"/>
      <c r="AB776" s="41"/>
      <c r="AC776" s="41"/>
      <c r="AD776" s="41"/>
      <c r="AE776" s="41"/>
      <c r="AF776" s="41"/>
      <c r="AG776" s="41"/>
      <c r="AH776" s="41"/>
      <c r="AI776" s="41"/>
      <c r="AJ776" s="41"/>
      <c r="AK776" s="41"/>
      <c r="AL776" s="41">
        <f>-Rev!AL243</f>
        <v>0.21759999999999979</v>
      </c>
      <c r="AM776" s="41">
        <f>-Rev!AM243</f>
        <v>2.5000000000000355E-2</v>
      </c>
      <c r="AN776" s="41">
        <f>-Rev!AN243</f>
        <v>4.6000000000000485E-2</v>
      </c>
      <c r="AO776" s="41">
        <f>-Rev!AO243</f>
        <v>0.23399999999999965</v>
      </c>
      <c r="AP776" s="41">
        <f>-Rev!AP243</f>
        <v>6.563141442720484E-2</v>
      </c>
      <c r="AQ776" s="41">
        <f>-Rev!AQ243</f>
        <v>6.4704699066524735E-2</v>
      </c>
      <c r="AR776" s="41">
        <f>-Rev!AR243</f>
        <v>6.3808292289861623E-2</v>
      </c>
      <c r="AS776" s="41">
        <f>-Rev!AS243</f>
        <v>6.2941507789615103E-2</v>
      </c>
      <c r="AT776" s="41">
        <f>-Rev!AT243</f>
        <v>6.2103677129944738E-2</v>
      </c>
      <c r="AU776" s="41">
        <f>-Rev!AU243</f>
        <v>6.1294149307116831E-2</v>
      </c>
      <c r="AV776" s="41">
        <f>-Rev!AV243</f>
        <v>6.0512290320913834E-2</v>
      </c>
      <c r="AW776" s="41">
        <f>-Rev!AW243</f>
        <v>5.9757482756830661E-2</v>
      </c>
      <c r="AX776" s="41">
        <f>-Rev!AX243</f>
        <v>5.902912537878896E-2</v>
      </c>
      <c r="AY776" s="41">
        <f>-Rev!AY243</f>
        <v>5.83266327321071E-2</v>
      </c>
    </row>
    <row r="777" spans="1:52">
      <c r="B777" s="80" t="s">
        <v>76</v>
      </c>
      <c r="G777" s="41"/>
      <c r="H777" s="41"/>
      <c r="I777" s="41"/>
      <c r="J777" s="41"/>
      <c r="K777" s="41"/>
      <c r="L777" s="41"/>
      <c r="M777" s="41"/>
      <c r="N777" s="41"/>
      <c r="T777" s="41"/>
      <c r="U777" s="41"/>
      <c r="V777" s="41"/>
      <c r="W777" s="41"/>
      <c r="X777" s="41"/>
      <c r="Y777" s="41"/>
      <c r="Z777" s="41">
        <f>-Rev!Z21</f>
        <v>5.077222210130822</v>
      </c>
      <c r="AA777" s="41">
        <f>-Rev!AA21</f>
        <v>5.2677130277272664</v>
      </c>
      <c r="AB777" s="41">
        <f>-Rev!AB21</f>
        <v>5.3929999999999998</v>
      </c>
      <c r="AC777" s="41">
        <f>-Rev!AC21</f>
        <v>5.4779999999999998</v>
      </c>
      <c r="AD777" s="41">
        <f>-Rev!AD21</f>
        <v>5.9009999999999998</v>
      </c>
      <c r="AE777" s="41">
        <f>-Rev!AE21</f>
        <v>6.2549999999999999</v>
      </c>
      <c r="AF777" s="41">
        <f>-Rev!AF21</f>
        <v>5.99</v>
      </c>
      <c r="AG777" s="41">
        <f>-Rev!AG21</f>
        <v>6.3680000000000003</v>
      </c>
      <c r="AH777" s="41">
        <f>-Rev!AH21</f>
        <v>5.8620000000000001</v>
      </c>
      <c r="AI777" s="41">
        <f>-Rev!AI21</f>
        <v>6.476</v>
      </c>
      <c r="AJ777" s="41">
        <f>-Rev!AJ21</f>
        <v>6.4820000000000002</v>
      </c>
      <c r="AK777" s="41">
        <f>-Rev!AK21</f>
        <v>6.73</v>
      </c>
      <c r="AL777" s="41">
        <f>-Rev!AL21</f>
        <v>7.1</v>
      </c>
      <c r="AM777" s="41">
        <f>-Rev!AM21</f>
        <v>7.3</v>
      </c>
      <c r="AN777" s="41">
        <f>-Rev!AN21</f>
        <v>7.3</v>
      </c>
      <c r="AO777" s="41">
        <f>-Rev!AO21</f>
        <v>7.6</v>
      </c>
      <c r="AP777" s="41">
        <f ca="1">-Rev!AP21</f>
        <v>7.7774646694420078</v>
      </c>
      <c r="AQ777" s="41">
        <f ca="1">-Rev!AQ21</f>
        <v>7.958618577728763</v>
      </c>
      <c r="AR777" s="41">
        <f ca="1">-Rev!AR21</f>
        <v>8.1333943959883985</v>
      </c>
      <c r="AS777" s="41">
        <f ca="1">-Rev!AS21</f>
        <v>8.3024119497701658</v>
      </c>
      <c r="AT777" s="41">
        <f ca="1">-Rev!AT21</f>
        <v>8.4663030711509855</v>
      </c>
      <c r="AU777" s="41">
        <f ca="1">-Rev!AU21</f>
        <v>8.6255229105588498</v>
      </c>
      <c r="AV777" s="41">
        <f ca="1">-Rev!AV21</f>
        <v>8.7803387033753673</v>
      </c>
      <c r="AW777" s="41">
        <f ca="1">-Rev!AW21</f>
        <v>8.9308696444435203</v>
      </c>
      <c r="AX777" s="41">
        <f ca="1">-Rev!AX21</f>
        <v>9.0771323531980066</v>
      </c>
      <c r="AY777" s="41">
        <f ca="1">-Rev!AY21</f>
        <v>9.2190782386286898</v>
      </c>
    </row>
    <row r="778" spans="1:52">
      <c r="Z778" s="6"/>
      <c r="AA778" s="6"/>
      <c r="AB778" s="6"/>
      <c r="AC778" s="6"/>
      <c r="AD778" s="6"/>
      <c r="AE778" s="6"/>
      <c r="AF778" s="6"/>
      <c r="AG778" s="6"/>
      <c r="AH778" s="6"/>
      <c r="AI778" s="6"/>
      <c r="AJ778" s="6"/>
      <c r="AK778" s="6"/>
      <c r="AL778" s="6"/>
      <c r="AM778" s="6"/>
      <c r="AN778" s="6"/>
      <c r="AO778" s="6"/>
      <c r="AP778" s="6"/>
      <c r="AQ778" s="6"/>
      <c r="AR778" s="6"/>
      <c r="AS778" s="6"/>
      <c r="AT778" s="6"/>
      <c r="AU778" s="6"/>
      <c r="AV778" s="6"/>
      <c r="AW778" s="6"/>
      <c r="AX778" s="6"/>
      <c r="AY778" s="6"/>
    </row>
    <row r="779" spans="1:52">
      <c r="Y779" s="6"/>
    </row>
    <row r="794" spans="1:52" s="64" customFormat="1">
      <c r="A794" s="63" t="s">
        <v>40</v>
      </c>
      <c r="B794" s="63" t="s">
        <v>405</v>
      </c>
      <c r="C794" s="67"/>
      <c r="D794" s="67"/>
      <c r="E794" s="67"/>
      <c r="F794" s="67"/>
      <c r="G794" s="67"/>
      <c r="H794" s="67"/>
      <c r="I794" s="67"/>
      <c r="J794" s="67"/>
      <c r="K794" s="67"/>
      <c r="L794" s="67"/>
      <c r="M794" s="67"/>
      <c r="N794" s="67"/>
      <c r="O794" s="127"/>
      <c r="V794" s="71"/>
      <c r="Y794" s="71"/>
      <c r="Z794" s="75"/>
      <c r="AA794" s="75"/>
      <c r="AB794" s="75"/>
      <c r="AC794" s="75"/>
      <c r="AD794" s="75"/>
      <c r="AE794" s="75"/>
      <c r="AF794" s="75"/>
      <c r="AG794" s="75"/>
      <c r="AH794" s="75"/>
      <c r="AI794" s="75"/>
      <c r="AJ794" s="75"/>
      <c r="AK794" s="75"/>
      <c r="AL794" s="75"/>
      <c r="AM794" s="75"/>
      <c r="AN794" s="75"/>
      <c r="AO794" s="75"/>
      <c r="AP794" s="75"/>
      <c r="AQ794" s="75"/>
      <c r="AR794" s="75"/>
      <c r="AS794" s="75"/>
      <c r="AT794" s="75"/>
      <c r="AU794" s="75"/>
      <c r="AV794" s="75"/>
      <c r="AW794" s="75"/>
      <c r="AX794" s="75"/>
      <c r="AY794" s="75"/>
      <c r="AZ794" s="75"/>
    </row>
    <row r="795" spans="1:52">
      <c r="B795" t="s">
        <v>421</v>
      </c>
      <c r="E795" s="41"/>
      <c r="F795" s="41"/>
      <c r="G795" s="41"/>
      <c r="H795" s="41"/>
      <c r="I795" s="41"/>
      <c r="J795" s="41"/>
      <c r="K795" s="41"/>
      <c r="L795" s="41"/>
      <c r="M795" s="41"/>
      <c r="N795" s="41"/>
      <c r="T795" s="41"/>
      <c r="U795" s="41"/>
      <c r="V795" s="41"/>
      <c r="W795" s="41"/>
      <c r="X795" s="41"/>
      <c r="Y795" s="41"/>
      <c r="Z795" s="41">
        <f>Rev!Z80</f>
        <v>0</v>
      </c>
      <c r="AA795" s="41">
        <f>Rev!AA80</f>
        <v>0</v>
      </c>
      <c r="AB795" s="41">
        <f>Rev!AB80</f>
        <v>0</v>
      </c>
      <c r="AC795" s="41">
        <f>Rev!AC80</f>
        <v>0</v>
      </c>
      <c r="AD795" s="41">
        <f>Rev!AD80</f>
        <v>0</v>
      </c>
      <c r="AE795" s="41">
        <f>Rev!AE80</f>
        <v>0</v>
      </c>
      <c r="AF795" s="41">
        <f>Rev!AF80</f>
        <v>0</v>
      </c>
      <c r="AG795" s="41">
        <f>Rev!AG80</f>
        <v>0</v>
      </c>
      <c r="AH795" s="41">
        <f>Rev!AH80</f>
        <v>0</v>
      </c>
      <c r="AI795" s="41">
        <f>Rev!AI80</f>
        <v>0</v>
      </c>
      <c r="AJ795" s="41">
        <f>Rev!AJ80</f>
        <v>0</v>
      </c>
      <c r="AK795" s="41">
        <f>Rev!AK80</f>
        <v>0.67900000000000016</v>
      </c>
      <c r="AL795" s="41">
        <f>Rev!AL80</f>
        <v>1</v>
      </c>
      <c r="AM795" s="41">
        <f>Rev!AM80</f>
        <v>1.0629999999999999</v>
      </c>
      <c r="AN795" s="41">
        <f>Rev!AN80</f>
        <v>1.278</v>
      </c>
      <c r="AO795" s="41">
        <f>Rev!AO80</f>
        <v>1.278</v>
      </c>
      <c r="AP795" s="41">
        <f ca="1">Rev!AP80</f>
        <v>1.584538938733191</v>
      </c>
      <c r="AQ795" s="41">
        <f ca="1">Rev!AQ80</f>
        <v>1.6173801359651956</v>
      </c>
      <c r="AR795" s="41">
        <f ca="1">Rev!AR80</f>
        <v>1.6605881637632836</v>
      </c>
      <c r="AS795" s="41">
        <f ca="1">Rev!AS80</f>
        <v>1.7030587318302266</v>
      </c>
      <c r="AT795" s="41">
        <f ca="1">Rev!AT80</f>
        <v>1.7447514126538204</v>
      </c>
      <c r="AU795" s="41">
        <f ca="1">Rev!AU80</f>
        <v>1.7856298270114821</v>
      </c>
      <c r="AV795" s="41">
        <f ca="1">Rev!AV80</f>
        <v>1.8256610804719287</v>
      </c>
      <c r="AW795" s="41">
        <f ca="1">Rev!AW80</f>
        <v>1.8648153393964009</v>
      </c>
      <c r="AX795" s="41">
        <f ca="1">Rev!AX80</f>
        <v>1.9030655102538163</v>
      </c>
      <c r="AY795" s="41">
        <f ca="1">Rev!AY80</f>
        <v>1.9403869951963861</v>
      </c>
    </row>
    <row r="796" spans="1:52">
      <c r="B796" t="s">
        <v>419</v>
      </c>
      <c r="E796" s="41"/>
      <c r="F796" s="41"/>
      <c r="G796" s="41"/>
      <c r="H796" s="41"/>
      <c r="I796" s="41"/>
      <c r="J796" s="41"/>
      <c r="K796" s="41"/>
      <c r="L796" s="41"/>
      <c r="M796" s="41"/>
      <c r="N796" s="41"/>
      <c r="T796" s="41"/>
      <c r="U796" s="41"/>
      <c r="V796" s="41"/>
      <c r="W796" s="41"/>
      <c r="X796" s="41"/>
      <c r="Y796" s="41"/>
      <c r="Z796" s="41">
        <f>Rev!Z126</f>
        <v>0</v>
      </c>
      <c r="AA796" s="41">
        <f>Rev!AA126</f>
        <v>0</v>
      </c>
      <c r="AB796" s="41">
        <f>Rev!AB126</f>
        <v>0</v>
      </c>
      <c r="AC796" s="41">
        <f>Rev!AC126</f>
        <v>0</v>
      </c>
      <c r="AD796" s="41">
        <f>Rev!AD126</f>
        <v>0</v>
      </c>
      <c r="AE796" s="41">
        <f>Rev!AE126</f>
        <v>0</v>
      </c>
      <c r="AF796" s="41">
        <f>Rev!AF126</f>
        <v>0</v>
      </c>
      <c r="AG796" s="41">
        <f>Rev!AG126</f>
        <v>0</v>
      </c>
      <c r="AH796" s="41">
        <f>Rev!AH126</f>
        <v>0</v>
      </c>
      <c r="AI796" s="41">
        <f>Rev!AI126</f>
        <v>0</v>
      </c>
      <c r="AJ796" s="41">
        <f>Rev!AJ126</f>
        <v>0</v>
      </c>
      <c r="AK796" s="41">
        <f>Rev!AK126</f>
        <v>0.45599999999999996</v>
      </c>
      <c r="AL796" s="41">
        <f>Rev!AL126</f>
        <v>0.3</v>
      </c>
      <c r="AM796" s="41">
        <f>Rev!AM126</f>
        <v>0.217</v>
      </c>
      <c r="AN796" s="41">
        <f>Rev!AN126</f>
        <v>0.26900000000000002</v>
      </c>
      <c r="AO796" s="41">
        <f>Rev!AO126</f>
        <v>0.224</v>
      </c>
      <c r="AP796" s="41">
        <f ca="1">Rev!AP126</f>
        <v>0.43406231333289702</v>
      </c>
      <c r="AQ796" s="41">
        <f ca="1">Rev!AQ126</f>
        <v>0.43738671353020797</v>
      </c>
      <c r="AR796" s="41">
        <f ca="1">Rev!AR126</f>
        <v>0.44632428053302109</v>
      </c>
      <c r="AS796" s="41">
        <f ca="1">Rev!AS126</f>
        <v>0.45772133269066029</v>
      </c>
      <c r="AT796" s="41">
        <f ca="1">Rev!AT126</f>
        <v>0.4700463210029292</v>
      </c>
      <c r="AU796" s="41">
        <f ca="1">Rev!AU126</f>
        <v>0.48254282675548155</v>
      </c>
      <c r="AV796" s="41">
        <f ca="1">Rev!AV126</f>
        <v>0.49482880317384725</v>
      </c>
      <c r="AW796" s="41">
        <f ca="1">Rev!AW126</f>
        <v>0.5067051565213162</v>
      </c>
      <c r="AX796" s="41">
        <f ca="1">Rev!AX126</f>
        <v>0.51806345921559527</v>
      </c>
      <c r="AY796" s="41">
        <f ca="1">Rev!AY126</f>
        <v>0.52884104414678867</v>
      </c>
    </row>
    <row r="797" spans="1:52">
      <c r="B797" t="s">
        <v>418</v>
      </c>
      <c r="E797" s="41"/>
      <c r="F797" s="41"/>
      <c r="G797" s="41"/>
      <c r="H797" s="41"/>
      <c r="I797" s="41"/>
      <c r="J797" s="41"/>
      <c r="K797" s="41"/>
      <c r="L797" s="41"/>
      <c r="M797" s="41"/>
      <c r="N797" s="41"/>
      <c r="T797" s="41"/>
      <c r="U797" s="41"/>
      <c r="V797" s="41"/>
      <c r="W797" s="41"/>
      <c r="X797" s="41"/>
      <c r="Y797" s="41"/>
      <c r="Z797" s="41">
        <f>Rev!Z172</f>
        <v>0</v>
      </c>
      <c r="AA797" s="41">
        <f>Rev!AA172</f>
        <v>0</v>
      </c>
      <c r="AB797" s="41">
        <f>Rev!AB172</f>
        <v>0</v>
      </c>
      <c r="AC797" s="41">
        <f>Rev!AC172</f>
        <v>0</v>
      </c>
      <c r="AD797" s="41">
        <f>Rev!AD172</f>
        <v>0</v>
      </c>
      <c r="AE797" s="41">
        <f>Rev!AE172</f>
        <v>0</v>
      </c>
      <c r="AF797" s="41">
        <f>Rev!AF172</f>
        <v>0</v>
      </c>
      <c r="AG797" s="41">
        <f>Rev!AG172</f>
        <v>0</v>
      </c>
      <c r="AH797" s="41">
        <f>Rev!AH172</f>
        <v>0</v>
      </c>
      <c r="AI797" s="41">
        <f>Rev!AI172</f>
        <v>0</v>
      </c>
      <c r="AJ797" s="41">
        <f>Rev!AJ172</f>
        <v>0</v>
      </c>
      <c r="AK797" s="41">
        <f>Rev!AK172</f>
        <v>0.19550000000000001</v>
      </c>
      <c r="AL797" s="41">
        <f>Rev!AL172</f>
        <v>0</v>
      </c>
      <c r="AM797" s="41">
        <f>Rev!AM172</f>
        <v>-3.5999999999999997E-2</v>
      </c>
      <c r="AN797" s="41">
        <f>Rev!AN172</f>
        <v>5.5E-2</v>
      </c>
      <c r="AO797" s="41">
        <f>Rev!AO172</f>
        <v>-9.2999999999999999E-2</v>
      </c>
      <c r="AP797" s="41">
        <f ca="1">Rev!AP172</f>
        <v>4.1228035415823872E-2</v>
      </c>
      <c r="AQ797" s="41">
        <f ca="1">Rev!AQ172</f>
        <v>6.8864001907035455E-2</v>
      </c>
      <c r="AR797" s="41">
        <f ca="1">Rev!AR172</f>
        <v>9.5481488524608027E-2</v>
      </c>
      <c r="AS797" s="41">
        <f ca="1">Rev!AS172</f>
        <v>0.12026868450483064</v>
      </c>
      <c r="AT797" s="41">
        <f ca="1">Rev!AT172</f>
        <v>0.1187153963921812</v>
      </c>
      <c r="AU797" s="41">
        <f ca="1">Rev!AU172</f>
        <v>0.11568744435158607</v>
      </c>
      <c r="AV797" s="41">
        <f ca="1">Rev!AV172</f>
        <v>0.11103406420074391</v>
      </c>
      <c r="AW797" s="41">
        <f ca="1">Rev!AW172</f>
        <v>0.10469046185244135</v>
      </c>
      <c r="AX797" s="41">
        <f ca="1">Rev!AX172</f>
        <v>9.6645465453346624E-2</v>
      </c>
      <c r="AY797" s="41">
        <f ca="1">Rev!AY172</f>
        <v>8.6922018174318882E-2</v>
      </c>
    </row>
    <row r="798" spans="1:52">
      <c r="B798" t="s">
        <v>420</v>
      </c>
      <c r="E798" s="41"/>
      <c r="F798" s="41"/>
      <c r="G798" s="41"/>
      <c r="H798" s="41"/>
      <c r="I798" s="41"/>
      <c r="J798" s="41"/>
      <c r="K798" s="41"/>
      <c r="L798" s="41"/>
      <c r="M798" s="41"/>
      <c r="N798" s="41"/>
      <c r="T798" s="41"/>
      <c r="U798" s="41"/>
      <c r="V798" s="41"/>
      <c r="W798" s="41"/>
      <c r="X798" s="41"/>
      <c r="Y798" s="41"/>
      <c r="Z798" s="41"/>
      <c r="AA798" s="41"/>
      <c r="AB798" s="41"/>
      <c r="AC798" s="41"/>
      <c r="AD798" s="41"/>
      <c r="AE798" s="41"/>
      <c r="AF798" s="41"/>
      <c r="AG798" s="41"/>
      <c r="AH798" s="41"/>
      <c r="AI798" s="41"/>
      <c r="AJ798" s="41"/>
      <c r="AK798" s="41">
        <f>Rev!AK218</f>
        <v>0.19550000000000001</v>
      </c>
      <c r="AL798" s="41">
        <f>Rev!AL218</f>
        <v>0.2</v>
      </c>
      <c r="AM798" s="41">
        <f>Rev!AM218</f>
        <v>0.17</v>
      </c>
      <c r="AN798" s="41">
        <f>Rev!AN218</f>
        <v>-0.45100000000000001</v>
      </c>
      <c r="AO798" s="41">
        <f>Rev!AO218</f>
        <v>-4.9000000000000002E-2</v>
      </c>
      <c r="AP798" s="41"/>
      <c r="AQ798" s="41"/>
      <c r="AR798" s="41"/>
      <c r="AS798" s="41"/>
      <c r="AT798" s="41"/>
      <c r="AU798" s="41"/>
      <c r="AV798" s="41"/>
      <c r="AW798" s="41"/>
      <c r="AX798" s="41"/>
      <c r="AY798" s="41"/>
    </row>
    <row r="799" spans="1:52" s="15" customFormat="1">
      <c r="B799" s="15" t="s">
        <v>132</v>
      </c>
      <c r="E799" s="41"/>
      <c r="F799" s="41"/>
      <c r="G799" s="41"/>
      <c r="H799" s="41"/>
      <c r="I799" s="41"/>
      <c r="J799" s="41"/>
      <c r="K799" s="41"/>
      <c r="L799" s="41"/>
      <c r="M799" s="41"/>
      <c r="N799" s="41"/>
      <c r="T799" s="41"/>
      <c r="U799" s="41"/>
      <c r="V799" s="41"/>
      <c r="W799" s="41"/>
      <c r="X799" s="41"/>
      <c r="Y799" s="41"/>
      <c r="Z799" s="41"/>
      <c r="AA799" s="41"/>
      <c r="AB799" s="41"/>
      <c r="AC799" s="41"/>
      <c r="AD799" s="41"/>
      <c r="AE799" s="41"/>
      <c r="AF799" s="41"/>
      <c r="AG799" s="41"/>
      <c r="AH799" s="41"/>
      <c r="AI799" s="41"/>
      <c r="AJ799" s="41"/>
      <c r="AK799" s="41"/>
      <c r="AL799" s="41">
        <f>Rev!AL263</f>
        <v>0.21759999999999979</v>
      </c>
      <c r="AM799" s="41">
        <f>Rev!AM263</f>
        <v>2.5000000000000355E-2</v>
      </c>
      <c r="AN799" s="41">
        <f>Rev!AN263</f>
        <v>4.6000000000000485E-2</v>
      </c>
      <c r="AO799" s="41">
        <f>Rev!AO263</f>
        <v>0.23399999999999965</v>
      </c>
      <c r="AP799" s="41"/>
      <c r="AQ799" s="41"/>
      <c r="AR799" s="41"/>
      <c r="AS799" s="41"/>
      <c r="AT799" s="41"/>
      <c r="AU799" s="41"/>
      <c r="AV799" s="41"/>
      <c r="AW799" s="41"/>
      <c r="AX799" s="41"/>
      <c r="AY799" s="41"/>
    </row>
    <row r="800" spans="1:52">
      <c r="B800" s="80" t="s">
        <v>76</v>
      </c>
      <c r="G800" s="41"/>
      <c r="H800" s="41"/>
      <c r="I800" s="41"/>
      <c r="J800" s="41"/>
      <c r="K800" s="41"/>
      <c r="L800" s="41"/>
      <c r="M800" s="41"/>
      <c r="N800" s="41"/>
      <c r="T800" s="41"/>
      <c r="U800" s="41"/>
      <c r="V800" s="41"/>
      <c r="W800" s="41"/>
      <c r="X800" s="41"/>
      <c r="Y800" s="41"/>
      <c r="Z800" s="41">
        <f>Rev!Z33</f>
        <v>1.4862488341803619</v>
      </c>
      <c r="AA800" s="41">
        <f>Rev!AA33</f>
        <v>1.6741391164047399</v>
      </c>
      <c r="AB800" s="41">
        <f>Rev!AB33</f>
        <v>1.4889999999999999</v>
      </c>
      <c r="AC800" s="41">
        <f>Rev!AC33</f>
        <v>1.7629999999999999</v>
      </c>
      <c r="AD800" s="41">
        <f>Rev!AD33</f>
        <v>1.742</v>
      </c>
      <c r="AE800" s="41">
        <f>Rev!AE33</f>
        <v>2.2229999999999999</v>
      </c>
      <c r="AF800" s="41">
        <f>Rev!AF33</f>
        <v>2.2390000000000003</v>
      </c>
      <c r="AG800" s="41">
        <f>Rev!AG33</f>
        <v>2.1980000000000004</v>
      </c>
      <c r="AH800" s="41">
        <f>Rev!AH33</f>
        <v>2.1390000000000002</v>
      </c>
      <c r="AI800" s="41">
        <f>Rev!AI33</f>
        <v>2.3869999999999996</v>
      </c>
      <c r="AJ800" s="41">
        <f>Rev!AJ33</f>
        <v>2.2549999999999999</v>
      </c>
      <c r="AK800" s="41">
        <f>Rev!AK33</f>
        <v>1.9860000000000007</v>
      </c>
      <c r="AL800" s="41">
        <f>Rev!AL33</f>
        <v>1.5</v>
      </c>
      <c r="AM800" s="41">
        <f>Rev!AM33</f>
        <v>1.3999999999999995</v>
      </c>
      <c r="AN800" s="41">
        <f>Rev!AN33</f>
        <v>1.2000000000000002</v>
      </c>
      <c r="AO800" s="41">
        <f>Rev!AO33</f>
        <v>1.5999999999999996</v>
      </c>
      <c r="AP800" s="41">
        <f ca="1">Rev!AP33</f>
        <v>1.7921825865208074</v>
      </c>
      <c r="AQ800" s="41">
        <f ca="1">Rev!AQ33</f>
        <v>1.9547036984242014</v>
      </c>
      <c r="AR800" s="41">
        <f ca="1">Rev!AR33</f>
        <v>2.0998181976125583</v>
      </c>
      <c r="AS800" s="41">
        <f ca="1">Rev!AS33</f>
        <v>2.2462451949749349</v>
      </c>
      <c r="AT800" s="41">
        <f ca="1">Rev!AT33</f>
        <v>2.330820853195946</v>
      </c>
      <c r="AU800" s="41">
        <f ca="1">Rev!AU33</f>
        <v>2.4077160808120501</v>
      </c>
      <c r="AV800" s="41">
        <f ca="1">Rev!AV33</f>
        <v>2.4775183378447005</v>
      </c>
      <c r="AW800" s="41">
        <f ca="1">Rev!AW33</f>
        <v>2.5406383486411945</v>
      </c>
      <c r="AX800" s="41">
        <f ca="1">Rev!AX33</f>
        <v>2.5973667521284103</v>
      </c>
      <c r="AY800" s="41">
        <f ca="1">Rev!AY33</f>
        <v>2.6479185222154031</v>
      </c>
    </row>
    <row r="801" spans="25:51">
      <c r="Z801" s="6"/>
      <c r="AA801" s="6"/>
      <c r="AB801" s="6"/>
      <c r="AC801" s="6"/>
      <c r="AD801" s="6"/>
      <c r="AE801" s="6"/>
      <c r="AF801" s="6"/>
      <c r="AG801" s="6"/>
      <c r="AH801" s="6"/>
      <c r="AI801" s="6"/>
      <c r="AJ801" s="6"/>
      <c r="AK801" s="6"/>
      <c r="AL801" s="6"/>
      <c r="AM801" s="6"/>
      <c r="AN801" s="6"/>
      <c r="AO801" s="6"/>
      <c r="AP801" s="6"/>
      <c r="AQ801" s="6"/>
      <c r="AR801" s="6"/>
      <c r="AS801" s="6"/>
      <c r="AT801" s="6"/>
      <c r="AU801" s="6"/>
      <c r="AV801" s="6"/>
      <c r="AW801" s="6"/>
      <c r="AX801" s="6"/>
      <c r="AY801" s="6"/>
    </row>
    <row r="802" spans="25:51">
      <c r="Y802" s="6"/>
    </row>
  </sheetData>
  <pageMargins left="0.7" right="0.7" top="0.75" bottom="0.75" header="0.3" footer="0.3"/>
  <pageSetup orientation="portrait" r:id="rId1"/>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AZ281"/>
  <sheetViews>
    <sheetView showGridLines="0" zoomScale="70" zoomScaleNormal="70" workbookViewId="0">
      <pane xSplit="3" ySplit="3" topLeftCell="J4" activePane="bottomRight" state="frozen"/>
      <selection activeCell="E21" sqref="E21"/>
      <selection pane="topRight" activeCell="E21" sqref="E21"/>
      <selection pane="bottomLeft" activeCell="E21" sqref="E21"/>
      <selection pane="bottomRight" activeCell="J4" sqref="J4"/>
    </sheetView>
  </sheetViews>
  <sheetFormatPr defaultRowHeight="12.75" outlineLevelCol="1"/>
  <cols>
    <col min="1" max="1" width="2" bestFit="1" customWidth="1"/>
    <col min="2" max="2" width="32.5703125" bestFit="1" customWidth="1"/>
    <col min="3" max="3" width="9.140625" customWidth="1"/>
    <col min="4" max="7" width="9.140625" hidden="1" customWidth="1" outlineLevel="1"/>
    <col min="8" max="9" width="9.140625" hidden="1" customWidth="1" outlineLevel="1" collapsed="1"/>
    <col min="10" max="10" width="9.140625" customWidth="1" collapsed="1"/>
    <col min="11" max="13" width="9.140625" customWidth="1"/>
    <col min="14" max="14" width="9.140625" hidden="1" customWidth="1" outlineLevel="1"/>
    <col min="15" max="15" width="9.140625" customWidth="1" collapsed="1"/>
    <col min="16" max="19" width="9.140625" hidden="1" customWidth="1" outlineLevel="1"/>
    <col min="20" max="20" width="9.42578125" hidden="1" customWidth="1" outlineLevel="1" collapsed="1"/>
    <col min="21" max="23" width="9.28515625" hidden="1" customWidth="1" outlineLevel="1"/>
    <col min="24" max="24" width="9.42578125" hidden="1" customWidth="1" outlineLevel="1" collapsed="1"/>
    <col min="25" max="25" width="9.42578125" hidden="1" customWidth="1" outlineLevel="1"/>
    <col min="26" max="26" width="9.42578125" style="15" hidden="1" customWidth="1" outlineLevel="1"/>
    <col min="27" max="27" width="9.140625" hidden="1" customWidth="1" outlineLevel="1"/>
    <col min="28" max="28" width="9.140625" hidden="1" customWidth="1" outlineLevel="1" collapsed="1"/>
    <col min="29" max="30" width="9.140625" hidden="1" customWidth="1" outlineLevel="1"/>
    <col min="31" max="31" width="9.140625" style="301" hidden="1" customWidth="1" outlineLevel="1"/>
    <col min="32" max="32" width="9.140625" style="301" hidden="1" customWidth="1" outlineLevel="1" collapsed="1"/>
    <col min="33" max="35" width="9.140625" style="301" hidden="1" customWidth="1" outlineLevel="1"/>
    <col min="36" max="36" width="9.140625" style="301" collapsed="1"/>
    <col min="37" max="39" width="9.140625" style="301"/>
    <col min="40" max="43" width="9.140625" style="301" customWidth="1"/>
    <col min="44" max="51" width="9.140625" style="301" hidden="1" customWidth="1" outlineLevel="1"/>
    <col min="52" max="52" width="9.140625" style="301" collapsed="1"/>
    <col min="53" max="16384" width="9.140625" style="301"/>
  </cols>
  <sheetData>
    <row r="1" spans="1:51" customFormat="1">
      <c r="Z1" s="15"/>
    </row>
    <row r="2" spans="1:51" s="14" customFormat="1">
      <c r="B2" s="13" t="s">
        <v>2</v>
      </c>
      <c r="C2" s="13"/>
      <c r="D2" s="58">
        <v>40359</v>
      </c>
      <c r="E2" s="58">
        <v>40724</v>
      </c>
      <c r="F2" s="58">
        <v>41090</v>
      </c>
      <c r="G2" s="58">
        <v>41455</v>
      </c>
      <c r="H2" s="58">
        <f t="shared" ref="H2:N2" si="0">+EOMONTH(G2,12)</f>
        <v>41820</v>
      </c>
      <c r="I2" s="58">
        <f t="shared" si="0"/>
        <v>42185</v>
      </c>
      <c r="J2" s="58">
        <f t="shared" si="0"/>
        <v>42551</v>
      </c>
      <c r="K2" s="58">
        <f t="shared" si="0"/>
        <v>42916</v>
      </c>
      <c r="L2" s="58">
        <f t="shared" si="0"/>
        <v>43281</v>
      </c>
      <c r="M2" s="58">
        <f t="shared" si="0"/>
        <v>43646</v>
      </c>
      <c r="N2" s="58">
        <f t="shared" si="0"/>
        <v>44012</v>
      </c>
      <c r="O2" s="58"/>
      <c r="P2" s="58"/>
      <c r="Q2" s="58"/>
      <c r="R2" s="58"/>
      <c r="S2" s="13"/>
      <c r="T2" s="58">
        <v>41182</v>
      </c>
      <c r="U2" s="58">
        <f>+EOMONTH(T2,3)</f>
        <v>41274</v>
      </c>
      <c r="V2" s="58">
        <f t="shared" ref="V2:AM2" si="1">+EOMONTH(U2,3)</f>
        <v>41364</v>
      </c>
      <c r="W2" s="58">
        <f t="shared" si="1"/>
        <v>41455</v>
      </c>
      <c r="X2" s="58">
        <f t="shared" si="1"/>
        <v>41547</v>
      </c>
      <c r="Y2" s="58">
        <f t="shared" si="1"/>
        <v>41639</v>
      </c>
      <c r="Z2" s="58">
        <f t="shared" si="1"/>
        <v>41729</v>
      </c>
      <c r="AA2" s="58">
        <f t="shared" si="1"/>
        <v>41820</v>
      </c>
      <c r="AB2" s="58">
        <f t="shared" si="1"/>
        <v>41912</v>
      </c>
      <c r="AC2" s="58">
        <f t="shared" si="1"/>
        <v>42004</v>
      </c>
      <c r="AD2" s="58">
        <f t="shared" si="1"/>
        <v>42094</v>
      </c>
      <c r="AE2" s="58">
        <f t="shared" si="1"/>
        <v>42185</v>
      </c>
      <c r="AF2" s="58">
        <f t="shared" si="1"/>
        <v>42277</v>
      </c>
      <c r="AG2" s="58">
        <f t="shared" si="1"/>
        <v>42369</v>
      </c>
      <c r="AH2" s="58">
        <f t="shared" si="1"/>
        <v>42460</v>
      </c>
      <c r="AI2" s="58">
        <f t="shared" si="1"/>
        <v>42551</v>
      </c>
      <c r="AJ2" s="58">
        <f t="shared" si="1"/>
        <v>42643</v>
      </c>
      <c r="AK2" s="58">
        <f t="shared" si="1"/>
        <v>42735</v>
      </c>
      <c r="AL2" s="58">
        <f t="shared" si="1"/>
        <v>42825</v>
      </c>
      <c r="AM2" s="58">
        <f t="shared" si="1"/>
        <v>42916</v>
      </c>
      <c r="AN2" s="58">
        <f t="shared" ref="AN2:AY2" si="2">+EOMONTH(AM2,3)</f>
        <v>43008</v>
      </c>
      <c r="AO2" s="58">
        <f t="shared" si="2"/>
        <v>43100</v>
      </c>
      <c r="AP2" s="58">
        <f t="shared" si="2"/>
        <v>43190</v>
      </c>
      <c r="AQ2" s="58">
        <f t="shared" si="2"/>
        <v>43281</v>
      </c>
      <c r="AR2" s="58">
        <f t="shared" si="2"/>
        <v>43373</v>
      </c>
      <c r="AS2" s="58">
        <f t="shared" si="2"/>
        <v>43465</v>
      </c>
      <c r="AT2" s="58">
        <f t="shared" si="2"/>
        <v>43555</v>
      </c>
      <c r="AU2" s="58">
        <f t="shared" si="2"/>
        <v>43646</v>
      </c>
      <c r="AV2" s="58">
        <f t="shared" si="2"/>
        <v>43738</v>
      </c>
      <c r="AW2" s="58">
        <f t="shared" si="2"/>
        <v>43830</v>
      </c>
      <c r="AX2" s="58">
        <f t="shared" si="2"/>
        <v>43921</v>
      </c>
      <c r="AY2" s="58">
        <f t="shared" si="2"/>
        <v>44012</v>
      </c>
    </row>
    <row r="3" spans="1:51" s="16" customFormat="1">
      <c r="B3" s="15" t="s">
        <v>1</v>
      </c>
      <c r="C3" s="15"/>
      <c r="D3" s="101">
        <v>2010</v>
      </c>
      <c r="E3" s="101">
        <v>2011</v>
      </c>
      <c r="F3" s="101">
        <v>2012</v>
      </c>
      <c r="G3" s="101">
        <v>2013</v>
      </c>
      <c r="H3" s="101">
        <f>+G3+1</f>
        <v>2014</v>
      </c>
      <c r="I3" s="59">
        <v>2015</v>
      </c>
      <c r="J3" s="59">
        <v>2016</v>
      </c>
      <c r="K3" s="59">
        <v>2017</v>
      </c>
      <c r="L3" s="59" t="s">
        <v>284</v>
      </c>
      <c r="M3" s="59" t="s">
        <v>285</v>
      </c>
      <c r="N3" s="59" t="s">
        <v>286</v>
      </c>
      <c r="O3" s="15"/>
      <c r="P3" s="15"/>
      <c r="Q3" s="15"/>
      <c r="R3" s="15"/>
      <c r="S3" s="15"/>
      <c r="T3" s="59" t="s">
        <v>0</v>
      </c>
      <c r="U3" s="59" t="s">
        <v>3</v>
      </c>
      <c r="V3" s="59" t="s">
        <v>4</v>
      </c>
      <c r="W3" s="59" t="s">
        <v>5</v>
      </c>
      <c r="X3" s="59" t="s">
        <v>6</v>
      </c>
      <c r="Y3" s="59" t="s">
        <v>7</v>
      </c>
      <c r="Z3" s="59" t="s">
        <v>8</v>
      </c>
      <c r="AA3" s="60" t="s">
        <v>9</v>
      </c>
      <c r="AB3" s="60" t="s">
        <v>10</v>
      </c>
      <c r="AC3" s="60" t="s">
        <v>11</v>
      </c>
      <c r="AD3" s="60" t="s">
        <v>12</v>
      </c>
      <c r="AE3" s="60" t="s">
        <v>13</v>
      </c>
      <c r="AF3" s="60" t="s">
        <v>14</v>
      </c>
      <c r="AG3" s="60" t="s">
        <v>15</v>
      </c>
      <c r="AH3" s="60" t="s">
        <v>16</v>
      </c>
      <c r="AI3" s="60" t="s">
        <v>17</v>
      </c>
      <c r="AJ3" s="60" t="s">
        <v>20</v>
      </c>
      <c r="AK3" s="60" t="s">
        <v>21</v>
      </c>
      <c r="AL3" s="60" t="s">
        <v>22</v>
      </c>
      <c r="AM3" s="60" t="s">
        <v>23</v>
      </c>
      <c r="AN3" s="60" t="s">
        <v>50</v>
      </c>
      <c r="AO3" s="60" t="s">
        <v>51</v>
      </c>
      <c r="AP3" s="60" t="s">
        <v>288</v>
      </c>
      <c r="AQ3" s="60" t="s">
        <v>289</v>
      </c>
      <c r="AR3" s="60" t="s">
        <v>290</v>
      </c>
      <c r="AS3" s="60" t="s">
        <v>291</v>
      </c>
      <c r="AT3" s="60" t="s">
        <v>292</v>
      </c>
      <c r="AU3" s="60" t="s">
        <v>293</v>
      </c>
      <c r="AV3" s="60" t="s">
        <v>294</v>
      </c>
      <c r="AW3" s="60" t="s">
        <v>295</v>
      </c>
      <c r="AX3" s="60" t="s">
        <v>296</v>
      </c>
      <c r="AY3" s="60" t="s">
        <v>297</v>
      </c>
    </row>
    <row r="4" spans="1:51" s="13" customFormat="1"/>
    <row r="5" spans="1:51" s="1" customFormat="1">
      <c r="A5" s="27" t="s">
        <v>40</v>
      </c>
      <c r="B5" s="1" t="s">
        <v>49</v>
      </c>
      <c r="Z5" s="109"/>
      <c r="AL5" s="326"/>
      <c r="AM5" s="326"/>
      <c r="AN5" s="326"/>
      <c r="AO5" s="326"/>
      <c r="AP5" s="326"/>
      <c r="AQ5" s="326"/>
      <c r="AR5" s="326"/>
      <c r="AS5" s="326"/>
      <c r="AT5" s="326"/>
      <c r="AU5" s="326"/>
      <c r="AV5" s="326"/>
      <c r="AW5" s="326"/>
      <c r="AX5" s="326"/>
      <c r="AY5" s="326"/>
    </row>
    <row r="6" spans="1:51" customFormat="1">
      <c r="U6" s="19"/>
      <c r="Z6" s="15"/>
      <c r="AA6" s="6"/>
      <c r="AB6" s="6"/>
      <c r="AS6" s="6"/>
    </row>
    <row r="7" spans="1:51" customFormat="1">
      <c r="B7" t="s">
        <v>41</v>
      </c>
      <c r="H7" s="6">
        <f>+AVERAGE(X7:AA7)</f>
        <v>89.89213912187526</v>
      </c>
      <c r="I7" s="6">
        <f>+AVERAGE(AB7:AE7)</f>
        <v>105.575</v>
      </c>
      <c r="J7" s="6">
        <f>+AVERAGE(AF7:AI7)</f>
        <v>121.625</v>
      </c>
      <c r="K7" s="6">
        <f>+AVERAGE(AJ7:AM7)</f>
        <v>138.19999999999999</v>
      </c>
      <c r="L7" s="6">
        <f ca="1">+AVERAGE(AN7:AQ7)</f>
        <v>170.37810120218577</v>
      </c>
      <c r="M7" s="6">
        <f ca="1">+AVERAGE(AR7:AU7)</f>
        <v>178.13935552171867</v>
      </c>
      <c r="N7" s="6">
        <f ca="1">+AVERAGE(AV7:AY7)</f>
        <v>187.7210640050545</v>
      </c>
      <c r="U7" s="19">
        <v>80.073165453623261</v>
      </c>
      <c r="V7" s="19">
        <v>83.374313259015565</v>
      </c>
      <c r="W7" s="19">
        <v>84.983016394612505</v>
      </c>
      <c r="X7" s="19">
        <v>86.719447219698026</v>
      </c>
      <c r="Y7" s="19">
        <v>89.418210697396646</v>
      </c>
      <c r="Z7" s="19">
        <v>90.604259596249946</v>
      </c>
      <c r="AA7" s="19">
        <v>92.826638974156424</v>
      </c>
      <c r="AB7" s="19">
        <v>98.8</v>
      </c>
      <c r="AC7" s="19">
        <v>103.7</v>
      </c>
      <c r="AD7" s="19">
        <v>104.8</v>
      </c>
      <c r="AE7" s="19">
        <v>115</v>
      </c>
      <c r="AF7" s="19">
        <v>117.4</v>
      </c>
      <c r="AG7" s="19">
        <v>119.8</v>
      </c>
      <c r="AH7" s="19">
        <v>123.5</v>
      </c>
      <c r="AI7" s="19">
        <v>125.8</v>
      </c>
      <c r="AJ7" s="19">
        <v>127.8</v>
      </c>
      <c r="AK7" s="19">
        <v>129.4</v>
      </c>
      <c r="AL7" s="19">
        <v>131.30000000000001</v>
      </c>
      <c r="AM7" s="19">
        <v>164.3</v>
      </c>
      <c r="AN7" s="19">
        <v>167.7</v>
      </c>
      <c r="AO7" s="19">
        <v>170.4</v>
      </c>
      <c r="AP7" s="6">
        <f t="shared" ref="AP7:AY7" si="3">+AP46+AP92+AP138+AP184+AP230</f>
        <v>170.50844444444448</v>
      </c>
      <c r="AQ7" s="6">
        <f t="shared" ca="1" si="3"/>
        <v>172.90396036429857</v>
      </c>
      <c r="AR7" s="6">
        <f t="shared" ca="1" si="3"/>
        <v>174.8586640627228</v>
      </c>
      <c r="AS7" s="6">
        <f t="shared" ca="1" si="3"/>
        <v>176.95848226033536</v>
      </c>
      <c r="AT7" s="6">
        <f t="shared" ca="1" si="3"/>
        <v>179.20472745531026</v>
      </c>
      <c r="AU7" s="6">
        <f t="shared" ca="1" si="3"/>
        <v>181.53554830850624</v>
      </c>
      <c r="AV7" s="6">
        <f t="shared" ca="1" si="3"/>
        <v>183.94326438931827</v>
      </c>
      <c r="AW7" s="6">
        <f t="shared" ca="1" si="3"/>
        <v>186.42078272716296</v>
      </c>
      <c r="AX7" s="6">
        <f t="shared" ca="1" si="3"/>
        <v>188.96142107580417</v>
      </c>
      <c r="AY7" s="6">
        <f t="shared" ca="1" si="3"/>
        <v>191.5587878279326</v>
      </c>
    </row>
    <row r="8" spans="1:51" customFormat="1">
      <c r="B8" t="s">
        <v>42</v>
      </c>
      <c r="H8" s="6">
        <f>+SUM(X8:AA8)</f>
        <v>1078.705669462503</v>
      </c>
      <c r="I8" s="6">
        <f>+SUM(AB8:AE8)</f>
        <v>1266.9000000000001</v>
      </c>
      <c r="J8" s="6">
        <f>+SUM(AF8:AI8)</f>
        <v>1459.5</v>
      </c>
      <c r="K8" s="6">
        <f>+SUM(AJ8:AM8)</f>
        <v>1658.4</v>
      </c>
      <c r="L8" s="6">
        <f ca="1">+SUM(AN8:AQ8)</f>
        <v>2044.5372144262292</v>
      </c>
      <c r="M8" s="6">
        <f ca="1">+SUM(AR8:AU8)</f>
        <v>2137.6722662606239</v>
      </c>
      <c r="N8" s="6">
        <f ca="1">+SUM(AV8:AY8)</f>
        <v>2252.6527680606541</v>
      </c>
      <c r="U8" s="18">
        <f t="shared" ref="U8:AB8" si="4">+U7*3</f>
        <v>240.21949636086978</v>
      </c>
      <c r="V8" s="18">
        <f t="shared" si="4"/>
        <v>250.1229397770467</v>
      </c>
      <c r="W8" s="18">
        <f t="shared" si="4"/>
        <v>254.94904918383753</v>
      </c>
      <c r="X8" s="18">
        <f t="shared" si="4"/>
        <v>260.15834165909405</v>
      </c>
      <c r="Y8" s="18">
        <f t="shared" si="4"/>
        <v>268.25463209218992</v>
      </c>
      <c r="Z8" s="111">
        <f t="shared" si="4"/>
        <v>271.81277878874982</v>
      </c>
      <c r="AA8" s="111">
        <f t="shared" si="4"/>
        <v>278.47991692246927</v>
      </c>
      <c r="AB8" s="111">
        <f t="shared" si="4"/>
        <v>296.39999999999998</v>
      </c>
      <c r="AC8" s="111">
        <f t="shared" ref="AC8:AH8" si="5">+AC7*3</f>
        <v>311.10000000000002</v>
      </c>
      <c r="AD8" s="111">
        <f t="shared" si="5"/>
        <v>314.39999999999998</v>
      </c>
      <c r="AE8" s="111">
        <f t="shared" si="5"/>
        <v>345</v>
      </c>
      <c r="AF8" s="111">
        <f t="shared" si="5"/>
        <v>352.20000000000005</v>
      </c>
      <c r="AG8" s="111">
        <f t="shared" si="5"/>
        <v>359.4</v>
      </c>
      <c r="AH8" s="111">
        <f t="shared" si="5"/>
        <v>370.5</v>
      </c>
      <c r="AI8" s="111">
        <f t="shared" ref="AI8:AN8" si="6">+AI7*3</f>
        <v>377.4</v>
      </c>
      <c r="AJ8" s="111">
        <f t="shared" si="6"/>
        <v>383.4</v>
      </c>
      <c r="AK8" s="111">
        <f t="shared" si="6"/>
        <v>388.20000000000005</v>
      </c>
      <c r="AL8" s="111">
        <f t="shared" si="6"/>
        <v>393.90000000000003</v>
      </c>
      <c r="AM8" s="111">
        <f t="shared" si="6"/>
        <v>492.90000000000003</v>
      </c>
      <c r="AN8" s="111">
        <f t="shared" si="6"/>
        <v>503.09999999999997</v>
      </c>
      <c r="AO8" s="111">
        <f t="shared" ref="AO8" si="7">+AO7*3</f>
        <v>511.20000000000005</v>
      </c>
      <c r="AP8" s="6">
        <f t="shared" ref="AP8:AY8" si="8">+AP47+AP93+AP139+AP185+AP231</f>
        <v>511.52533333333338</v>
      </c>
      <c r="AQ8" s="6">
        <f t="shared" ca="1" si="8"/>
        <v>518.71188109289585</v>
      </c>
      <c r="AR8" s="6">
        <f t="shared" ca="1" si="8"/>
        <v>524.57599218816836</v>
      </c>
      <c r="AS8" s="6">
        <f t="shared" ca="1" si="8"/>
        <v>530.87544678100608</v>
      </c>
      <c r="AT8" s="6">
        <f t="shared" ca="1" si="8"/>
        <v>537.61418236593079</v>
      </c>
      <c r="AU8" s="6">
        <f t="shared" ca="1" si="8"/>
        <v>544.60664492551871</v>
      </c>
      <c r="AV8" s="6">
        <f t="shared" ca="1" si="8"/>
        <v>551.8297931679549</v>
      </c>
      <c r="AW8" s="6">
        <f t="shared" ca="1" si="8"/>
        <v>559.26234818148896</v>
      </c>
      <c r="AX8" s="6">
        <f t="shared" ca="1" si="8"/>
        <v>566.88426322741248</v>
      </c>
      <c r="AY8" s="6">
        <f t="shared" ca="1" si="8"/>
        <v>574.67636348379779</v>
      </c>
    </row>
    <row r="9" spans="1:51" customFormat="1">
      <c r="B9" t="s">
        <v>43</v>
      </c>
      <c r="H9" s="6">
        <f>+SUM(X9:AA9)</f>
        <v>8.6197916238677994</v>
      </c>
      <c r="I9" s="6">
        <f>+SUM(AB9:AE9)</f>
        <v>12.028333333333334</v>
      </c>
      <c r="J9" s="6">
        <f>+SUM(AF9:AI9)</f>
        <v>14.938333333333333</v>
      </c>
      <c r="K9" s="6">
        <f>+SUM(AJ9:AM9)</f>
        <v>11.901666666666667</v>
      </c>
      <c r="L9" s="6">
        <f ca="1">+SUM(AN9:AQ9)</f>
        <v>10.911477141575013</v>
      </c>
      <c r="M9" s="6">
        <f ca="1">+SUM(AR9:AU9)</f>
        <v>15.141000544325815</v>
      </c>
      <c r="N9" s="6">
        <f ca="1">+SUM(AV9:AY9)</f>
        <v>17.105736601382844</v>
      </c>
      <c r="U9" s="18">
        <f t="shared" ref="U9:AB9" si="9">U33*(5/3)</f>
        <v>2.2545714424018271</v>
      </c>
      <c r="V9" s="18">
        <f t="shared" si="9"/>
        <v>2.8392945814814641</v>
      </c>
      <c r="W9" s="18">
        <f t="shared" si="9"/>
        <v>1.3125294040028668</v>
      </c>
      <c r="X9" s="18">
        <f t="shared" si="9"/>
        <v>1.5131286996500719</v>
      </c>
      <c r="Y9" s="18">
        <f t="shared" si="9"/>
        <v>1.8393496732425578</v>
      </c>
      <c r="Z9" s="111">
        <f t="shared" si="9"/>
        <v>2.4770813903006035</v>
      </c>
      <c r="AA9" s="111">
        <f t="shared" si="9"/>
        <v>2.7902318606745666</v>
      </c>
      <c r="AB9" s="111">
        <f t="shared" si="9"/>
        <v>2.4816666666666665</v>
      </c>
      <c r="AC9" s="111">
        <f t="shared" ref="AC9:AH9" si="10">AC33*(5/3)</f>
        <v>2.9383333333333335</v>
      </c>
      <c r="AD9" s="111">
        <f t="shared" si="10"/>
        <v>2.9033333333333333</v>
      </c>
      <c r="AE9" s="111">
        <f t="shared" si="10"/>
        <v>3.7050000000000001</v>
      </c>
      <c r="AF9" s="111">
        <f t="shared" si="10"/>
        <v>3.7316666666666674</v>
      </c>
      <c r="AG9" s="111">
        <f t="shared" si="10"/>
        <v>3.663333333333334</v>
      </c>
      <c r="AH9" s="111">
        <f t="shared" si="10"/>
        <v>3.5650000000000004</v>
      </c>
      <c r="AI9" s="111">
        <f t="shared" ref="AI9:AN9" si="11">AI33*(5/3)</f>
        <v>3.9783333333333326</v>
      </c>
      <c r="AJ9" s="111">
        <f t="shared" si="11"/>
        <v>3.7583333333333333</v>
      </c>
      <c r="AK9" s="111">
        <f t="shared" si="11"/>
        <v>3.3100000000000014</v>
      </c>
      <c r="AL9" s="111">
        <f t="shared" si="11"/>
        <v>2.5</v>
      </c>
      <c r="AM9" s="111">
        <f t="shared" si="11"/>
        <v>2.3333333333333326</v>
      </c>
      <c r="AN9" s="111">
        <f t="shared" si="11"/>
        <v>2.0000000000000004</v>
      </c>
      <c r="AO9" s="111">
        <f t="shared" ref="AO9" si="12">AO33*(5/3)</f>
        <v>2.6666666666666661</v>
      </c>
      <c r="AP9" s="6">
        <f t="shared" ref="AP9:AY9" ca="1" si="13">+AP48+AP94+AP140+AP186+AP232</f>
        <v>2.9869709775346776</v>
      </c>
      <c r="AQ9" s="6">
        <f t="shared" ca="1" si="13"/>
        <v>3.2578394973736691</v>
      </c>
      <c r="AR9" s="6">
        <f t="shared" ca="1" si="13"/>
        <v>3.4996969960209299</v>
      </c>
      <c r="AS9" s="6">
        <f t="shared" ca="1" si="13"/>
        <v>3.7437419916248902</v>
      </c>
      <c r="AT9" s="6">
        <f t="shared" ca="1" si="13"/>
        <v>3.8847014219932436</v>
      </c>
      <c r="AU9" s="6">
        <f t="shared" ca="1" si="13"/>
        <v>4.0128601346867505</v>
      </c>
      <c r="AV9" s="6">
        <f t="shared" ca="1" si="13"/>
        <v>4.1291972297411679</v>
      </c>
      <c r="AW9" s="6">
        <f t="shared" ca="1" si="13"/>
        <v>4.2343972477353216</v>
      </c>
      <c r="AX9" s="6">
        <f t="shared" ca="1" si="13"/>
        <v>4.3289445868806862</v>
      </c>
      <c r="AY9" s="6">
        <f t="shared" ca="1" si="13"/>
        <v>4.4131975370256686</v>
      </c>
    </row>
    <row r="10" spans="1:51" customFormat="1">
      <c r="B10" t="s">
        <v>44</v>
      </c>
      <c r="H10" s="6">
        <f>+SUM(X10:AA10)</f>
        <v>1087.325461086371</v>
      </c>
      <c r="I10" s="6">
        <f>+SUM(AB10:AE10)</f>
        <v>1278.9283333333333</v>
      </c>
      <c r="J10" s="6">
        <f>+SUM(AF10:AI10)</f>
        <v>1474.4383333333335</v>
      </c>
      <c r="K10" s="6">
        <f>+SUM(AJ10:AM10)</f>
        <v>1670.3016666666667</v>
      </c>
      <c r="L10" s="6">
        <f ca="1">+SUM(AN10:AQ10)</f>
        <v>2055.4486915678044</v>
      </c>
      <c r="M10" s="6">
        <f ca="1">+SUM(AR10:AU10)</f>
        <v>2152.8132668049498</v>
      </c>
      <c r="N10" s="6">
        <f ca="1">+SUM(AV10:AY10)</f>
        <v>2269.758504662037</v>
      </c>
      <c r="U10" s="18">
        <f t="shared" ref="U10:AB10" si="14">+U8+U9</f>
        <v>242.47406780327162</v>
      </c>
      <c r="V10" s="18">
        <f t="shared" si="14"/>
        <v>252.96223435852815</v>
      </c>
      <c r="W10" s="18">
        <f t="shared" si="14"/>
        <v>256.2615785878404</v>
      </c>
      <c r="X10" s="18">
        <f t="shared" si="14"/>
        <v>261.6714703587441</v>
      </c>
      <c r="Y10" s="18">
        <f t="shared" si="14"/>
        <v>270.09398176543249</v>
      </c>
      <c r="Z10" s="111">
        <f t="shared" si="14"/>
        <v>274.28986017905044</v>
      </c>
      <c r="AA10" s="111">
        <f t="shared" si="14"/>
        <v>281.27014878314384</v>
      </c>
      <c r="AB10" s="111">
        <f t="shared" si="14"/>
        <v>298.88166666666666</v>
      </c>
      <c r="AC10" s="111">
        <f t="shared" ref="AC10:AH10" si="15">+AC8+AC9</f>
        <v>314.03833333333336</v>
      </c>
      <c r="AD10" s="111">
        <f t="shared" si="15"/>
        <v>317.30333333333328</v>
      </c>
      <c r="AE10" s="111">
        <f t="shared" si="15"/>
        <v>348.70499999999998</v>
      </c>
      <c r="AF10" s="111">
        <f t="shared" si="15"/>
        <v>355.93166666666673</v>
      </c>
      <c r="AG10" s="111">
        <f t="shared" si="15"/>
        <v>363.06333333333333</v>
      </c>
      <c r="AH10" s="111">
        <f t="shared" si="15"/>
        <v>374.065</v>
      </c>
      <c r="AI10" s="111">
        <f t="shared" ref="AI10:AN10" si="16">+AI8+AI9</f>
        <v>381.37833333333333</v>
      </c>
      <c r="AJ10" s="111">
        <f t="shared" si="16"/>
        <v>387.1583333333333</v>
      </c>
      <c r="AK10" s="111">
        <f t="shared" si="16"/>
        <v>391.51000000000005</v>
      </c>
      <c r="AL10" s="111">
        <f t="shared" si="16"/>
        <v>396.40000000000003</v>
      </c>
      <c r="AM10" s="111">
        <f t="shared" si="16"/>
        <v>495.23333333333335</v>
      </c>
      <c r="AN10" s="111">
        <f t="shared" si="16"/>
        <v>505.09999999999997</v>
      </c>
      <c r="AO10" s="111">
        <f t="shared" ref="AO10" si="17">+AO8+AO9</f>
        <v>513.86666666666667</v>
      </c>
      <c r="AP10" s="6">
        <f t="shared" ref="AP10:AY10" ca="1" si="18">+AP49+AP95+AP141+AP187+AP233</f>
        <v>514.5123043108681</v>
      </c>
      <c r="AQ10" s="6">
        <f t="shared" ca="1" si="18"/>
        <v>521.96972059026939</v>
      </c>
      <c r="AR10" s="6">
        <f t="shared" ca="1" si="18"/>
        <v>528.07568918418929</v>
      </c>
      <c r="AS10" s="6">
        <f t="shared" ca="1" si="18"/>
        <v>534.61918877263099</v>
      </c>
      <c r="AT10" s="6">
        <f t="shared" ca="1" si="18"/>
        <v>541.49888378792411</v>
      </c>
      <c r="AU10" s="6">
        <f t="shared" ca="1" si="18"/>
        <v>548.61950506020548</v>
      </c>
      <c r="AV10" s="6">
        <f t="shared" ca="1" si="18"/>
        <v>555.95899039769597</v>
      </c>
      <c r="AW10" s="6">
        <f t="shared" ca="1" si="18"/>
        <v>563.49674542922435</v>
      </c>
      <c r="AX10" s="6">
        <f t="shared" ca="1" si="18"/>
        <v>571.21320781429324</v>
      </c>
      <c r="AY10" s="6">
        <f t="shared" ca="1" si="18"/>
        <v>579.08956102082334</v>
      </c>
    </row>
    <row r="11" spans="1:51" customFormat="1">
      <c r="U11" s="19"/>
      <c r="V11" s="19"/>
      <c r="W11" s="19"/>
      <c r="X11" s="19"/>
      <c r="Y11" s="19"/>
      <c r="Z11" s="110"/>
      <c r="AA11" s="110"/>
      <c r="AB11" s="110"/>
      <c r="AC11" s="110"/>
      <c r="AD11" s="110"/>
      <c r="AE11" s="110"/>
      <c r="AF11" s="110"/>
      <c r="AG11" s="110"/>
      <c r="AH11" s="110"/>
      <c r="AI11" s="110"/>
      <c r="AJ11" s="110"/>
      <c r="AK11" s="110"/>
      <c r="AL11" s="110"/>
      <c r="AM11" s="110"/>
      <c r="AN11" s="110"/>
      <c r="AO11" s="110"/>
    </row>
    <row r="12" spans="1:51" customFormat="1">
      <c r="B12" t="s">
        <v>19</v>
      </c>
      <c r="F12" s="19">
        <v>350.9</v>
      </c>
      <c r="G12" s="19">
        <v>941.07600000000002</v>
      </c>
      <c r="H12" s="6">
        <f>+SUM(X12:AA12)</f>
        <v>1030.0378165423176</v>
      </c>
      <c r="I12" s="6">
        <f>+SUM(AB12:AE12)</f>
        <v>1211.9000000000001</v>
      </c>
      <c r="J12" s="6">
        <f>+SUM(AF12:AI12)</f>
        <v>1370.3000000000002</v>
      </c>
      <c r="K12" s="6">
        <f>+SUM(AJ12:AM12)</f>
        <v>1613.1</v>
      </c>
      <c r="L12" s="6">
        <f ca="1">+SUM(AN12:AQ12)</f>
        <v>1918.2704858738143</v>
      </c>
      <c r="M12" s="6">
        <f ca="1">+SUM(AR12:AU12)</f>
        <v>2005.9140106130967</v>
      </c>
      <c r="N12" s="6">
        <f ca="1">+SUM(AV12:AY12)</f>
        <v>2110.1147576462581</v>
      </c>
      <c r="U12" s="19">
        <v>232.56893385403922</v>
      </c>
      <c r="V12" s="19">
        <v>241.22097620742522</v>
      </c>
      <c r="W12" s="19">
        <v>244.11265646467817</v>
      </c>
      <c r="X12" s="19">
        <v>248.91391997559191</v>
      </c>
      <c r="Y12" s="19">
        <v>254.71517916105748</v>
      </c>
      <c r="Z12" s="19">
        <v>258.77268313643515</v>
      </c>
      <c r="AA12" s="19">
        <v>267.63603426923299</v>
      </c>
      <c r="AB12" s="50">
        <v>289.39999999999998</v>
      </c>
      <c r="AC12" s="50">
        <v>292</v>
      </c>
      <c r="AD12" s="50">
        <v>303.39999999999998</v>
      </c>
      <c r="AE12" s="50">
        <v>327.10000000000002</v>
      </c>
      <c r="AF12" s="50">
        <v>332.3</v>
      </c>
      <c r="AG12" s="50">
        <v>336.4</v>
      </c>
      <c r="AH12" s="50">
        <v>347</v>
      </c>
      <c r="AI12" s="50">
        <v>354.6</v>
      </c>
      <c r="AJ12" s="50">
        <v>357.3</v>
      </c>
      <c r="AK12" s="50">
        <v>360.7</v>
      </c>
      <c r="AL12" s="50">
        <v>430.7</v>
      </c>
      <c r="AM12" s="50">
        <v>464.4</v>
      </c>
      <c r="AN12" s="50">
        <v>474.5</v>
      </c>
      <c r="AO12" s="50">
        <v>476.1</v>
      </c>
      <c r="AP12" s="6">
        <f t="shared" ref="AP12:AY13" ca="1" si="19">+AP51+AP97+AP143+AP189+AP235</f>
        <v>480.57943357381458</v>
      </c>
      <c r="AQ12" s="6">
        <f t="shared" ca="1" si="19"/>
        <v>487.09105229999989</v>
      </c>
      <c r="AR12" s="6">
        <f t="shared" ca="1" si="19"/>
        <v>492.48029173469615</v>
      </c>
      <c r="AS12" s="6">
        <f t="shared" ca="1" si="19"/>
        <v>498.28448627897376</v>
      </c>
      <c r="AT12" s="6">
        <f t="shared" ca="1" si="19"/>
        <v>504.40390739601509</v>
      </c>
      <c r="AU12" s="6">
        <f t="shared" ca="1" si="19"/>
        <v>510.74532520341165</v>
      </c>
      <c r="AV12" s="6">
        <f t="shared" ca="1" si="19"/>
        <v>517.28735170988909</v>
      </c>
      <c r="AW12" s="6">
        <f t="shared" ca="1" si="19"/>
        <v>524.01006675846361</v>
      </c>
      <c r="AX12" s="6">
        <f t="shared" ca="1" si="19"/>
        <v>530.89458235399343</v>
      </c>
      <c r="AY12" s="6">
        <f t="shared" ca="1" si="19"/>
        <v>537.92275682391232</v>
      </c>
    </row>
    <row r="13" spans="1:51" customFormat="1">
      <c r="B13" t="s">
        <v>18</v>
      </c>
      <c r="F13" s="19">
        <v>13.785</v>
      </c>
      <c r="G13" s="19">
        <v>43.14</v>
      </c>
      <c r="H13" s="6">
        <f>+SUM(X13:AA13)</f>
        <v>55.62581526769069</v>
      </c>
      <c r="I13" s="6">
        <f>+SUM(AB13:AE13)</f>
        <v>72.100000000000009</v>
      </c>
      <c r="J13" s="6">
        <f>+SUM(AF13:AI13)</f>
        <v>90.300000000000011</v>
      </c>
      <c r="K13" s="6">
        <f>+SUM(AJ13:AM13)</f>
        <v>113.7</v>
      </c>
      <c r="L13" s="6">
        <f ca="1">+SUM(AN13:AQ13)</f>
        <v>134.51153902732295</v>
      </c>
      <c r="M13" s="6">
        <f ca="1">+SUM(AR13:AU13)</f>
        <v>146.8992561918532</v>
      </c>
      <c r="N13" s="6">
        <f ca="1">+SUM(AV13:AY13)</f>
        <v>159.64374701577864</v>
      </c>
      <c r="U13" s="19">
        <v>10.232671236630621</v>
      </c>
      <c r="V13" s="19">
        <v>11.072148425762913</v>
      </c>
      <c r="W13" s="19">
        <v>11.983189684674628</v>
      </c>
      <c r="X13" s="19">
        <v>12.579583534913418</v>
      </c>
      <c r="Y13" s="19">
        <v>13.647021736125499</v>
      </c>
      <c r="Z13" s="19">
        <v>14.215296579786239</v>
      </c>
      <c r="AA13" s="19">
        <v>15.183913416865535</v>
      </c>
      <c r="AB13" s="19">
        <v>17.3</v>
      </c>
      <c r="AC13" s="19">
        <v>17.3</v>
      </c>
      <c r="AD13" s="19">
        <v>18.3</v>
      </c>
      <c r="AE13" s="19">
        <v>19.2</v>
      </c>
      <c r="AF13" s="19">
        <v>20.399999999999999</v>
      </c>
      <c r="AG13" s="19">
        <v>21.5</v>
      </c>
      <c r="AH13" s="19">
        <v>23.8</v>
      </c>
      <c r="AI13" s="19">
        <v>24.6</v>
      </c>
      <c r="AJ13" s="19">
        <v>25.9</v>
      </c>
      <c r="AK13" s="19">
        <v>26.5</v>
      </c>
      <c r="AL13" s="19">
        <v>29.6</v>
      </c>
      <c r="AM13" s="19">
        <v>31.7</v>
      </c>
      <c r="AN13" s="19">
        <v>32.4</v>
      </c>
      <c r="AO13" s="19">
        <v>33.299999999999997</v>
      </c>
      <c r="AP13" s="6">
        <f t="shared" ca="1" si="19"/>
        <v>33.932870737053435</v>
      </c>
      <c r="AQ13" s="6">
        <f t="shared" ca="1" si="19"/>
        <v>34.878668290269516</v>
      </c>
      <c r="AR13" s="6">
        <f t="shared" ca="1" si="19"/>
        <v>35.595397449493149</v>
      </c>
      <c r="AS13" s="6">
        <f t="shared" ca="1" si="19"/>
        <v>36.33470249365719</v>
      </c>
      <c r="AT13" s="6">
        <f t="shared" ca="1" si="19"/>
        <v>37.09497639190905</v>
      </c>
      <c r="AU13" s="6">
        <f t="shared" ca="1" si="19"/>
        <v>37.874179856793802</v>
      </c>
      <c r="AV13" s="6">
        <f t="shared" ca="1" si="19"/>
        <v>38.671638687807004</v>
      </c>
      <c r="AW13" s="6">
        <f t="shared" ca="1" si="19"/>
        <v>39.486678670760789</v>
      </c>
      <c r="AX13" s="6">
        <f t="shared" ca="1" si="19"/>
        <v>40.318625460299735</v>
      </c>
      <c r="AY13" s="6">
        <f t="shared" ca="1" si="19"/>
        <v>41.166804196911123</v>
      </c>
    </row>
    <row r="14" spans="1:51" customFormat="1">
      <c r="B14" t="s">
        <v>76</v>
      </c>
      <c r="F14" s="19"/>
      <c r="G14" s="19"/>
      <c r="H14" s="6"/>
      <c r="I14" s="6"/>
      <c r="J14" s="6"/>
      <c r="K14" s="6"/>
      <c r="L14" s="6"/>
      <c r="M14" s="6"/>
      <c r="N14" s="6"/>
      <c r="U14" s="18">
        <f>SUM(U12:U13)</f>
        <v>242.80160509066982</v>
      </c>
      <c r="V14" s="18">
        <f t="shared" ref="V14:AF14" si="20">SUM(V12:V13)</f>
        <v>252.29312463318814</v>
      </c>
      <c r="W14" s="18">
        <f t="shared" si="20"/>
        <v>256.09584614935278</v>
      </c>
      <c r="X14" s="18">
        <f t="shared" si="20"/>
        <v>261.49350351050532</v>
      </c>
      <c r="Y14" s="18">
        <f t="shared" si="20"/>
        <v>268.36220089718296</v>
      </c>
      <c r="Z14" s="18">
        <f t="shared" si="20"/>
        <v>272.98797971622139</v>
      </c>
      <c r="AA14" s="18">
        <f t="shared" si="20"/>
        <v>282.81994768609854</v>
      </c>
      <c r="AB14" s="18">
        <f t="shared" si="20"/>
        <v>306.7</v>
      </c>
      <c r="AC14" s="18">
        <f t="shared" si="20"/>
        <v>309.3</v>
      </c>
      <c r="AD14" s="18">
        <f t="shared" si="20"/>
        <v>321.7</v>
      </c>
      <c r="AE14" s="18">
        <f t="shared" si="20"/>
        <v>346.3</v>
      </c>
      <c r="AF14" s="18">
        <f t="shared" si="20"/>
        <v>352.7</v>
      </c>
      <c r="AG14" s="18">
        <f t="shared" ref="AG14:AL14" si="21">SUM(AG12:AG13)</f>
        <v>357.9</v>
      </c>
      <c r="AH14" s="18">
        <f t="shared" si="21"/>
        <v>370.8</v>
      </c>
      <c r="AI14" s="18">
        <f t="shared" si="21"/>
        <v>379.20000000000005</v>
      </c>
      <c r="AJ14" s="18">
        <f t="shared" si="21"/>
        <v>383.2</v>
      </c>
      <c r="AK14" s="18">
        <f t="shared" si="21"/>
        <v>387.2</v>
      </c>
      <c r="AL14" s="18">
        <f t="shared" si="21"/>
        <v>460.3</v>
      </c>
      <c r="AM14" s="18">
        <f t="shared" ref="AM14:AN14" si="22">SUM(AM12:AM13)</f>
        <v>496.09999999999997</v>
      </c>
      <c r="AN14" s="18">
        <f t="shared" si="22"/>
        <v>506.9</v>
      </c>
      <c r="AO14" s="18">
        <f t="shared" ref="AO14" si="23">SUM(AO12:AO13)</f>
        <v>509.40000000000003</v>
      </c>
      <c r="AP14" s="18">
        <f t="shared" ref="AP14" ca="1" si="24">SUM(AP12:AP13)</f>
        <v>514.51230431086799</v>
      </c>
      <c r="AQ14" s="18">
        <f t="shared" ref="AQ14" ca="1" si="25">SUM(AQ12:AQ13)</f>
        <v>521.96972059026939</v>
      </c>
      <c r="AR14" s="18">
        <f t="shared" ref="AR14" ca="1" si="26">SUM(AR12:AR13)</f>
        <v>528.07568918418929</v>
      </c>
      <c r="AS14" s="18">
        <f t="shared" ref="AS14" ca="1" si="27">SUM(AS12:AS13)</f>
        <v>534.61918877263099</v>
      </c>
      <c r="AT14" s="18">
        <f t="shared" ref="AT14" ca="1" si="28">SUM(AT12:AT13)</f>
        <v>541.49888378792411</v>
      </c>
      <c r="AU14" s="18">
        <f t="shared" ref="AU14" ca="1" si="29">SUM(AU12:AU13)</f>
        <v>548.61950506020548</v>
      </c>
      <c r="AV14" s="18">
        <f t="shared" ref="AV14" ca="1" si="30">SUM(AV12:AV13)</f>
        <v>555.95899039769608</v>
      </c>
      <c r="AW14" s="18">
        <f t="shared" ref="AW14" ca="1" si="31">SUM(AW12:AW13)</f>
        <v>563.49674542922435</v>
      </c>
      <c r="AX14" s="18">
        <f t="shared" ref="AX14" ca="1" si="32">SUM(AX12:AX13)</f>
        <v>571.21320781429313</v>
      </c>
      <c r="AY14" s="18">
        <f t="shared" ref="AY14" ca="1" si="33">SUM(AY12:AY13)</f>
        <v>579.08956102082345</v>
      </c>
    </row>
    <row r="15" spans="1:51" customFormat="1">
      <c r="U15" s="6"/>
      <c r="V15" s="6"/>
      <c r="W15" s="6"/>
      <c r="X15" s="6"/>
      <c r="Y15" s="6"/>
      <c r="Z15" s="81"/>
      <c r="AA15" s="81"/>
      <c r="AB15" s="81"/>
      <c r="AC15" s="81"/>
      <c r="AD15" s="81"/>
      <c r="AE15" s="81"/>
      <c r="AF15" s="81"/>
      <c r="AG15" s="81"/>
      <c r="AH15" s="81"/>
      <c r="AI15" s="81"/>
      <c r="AJ15" s="81"/>
      <c r="AK15" s="81"/>
      <c r="AL15" s="81"/>
      <c r="AM15" s="81"/>
      <c r="AN15" s="81"/>
      <c r="AO15" s="81"/>
    </row>
    <row r="16" spans="1:51" customFormat="1">
      <c r="B16" t="s">
        <v>32</v>
      </c>
      <c r="U16" s="2">
        <f t="shared" ref="U16:AG16" si="34">+U12/SUM(U12:U13)</f>
        <v>0.95785583364323557</v>
      </c>
      <c r="V16" s="2">
        <f t="shared" si="34"/>
        <v>0.95611395101685448</v>
      </c>
      <c r="W16" s="2">
        <f t="shared" si="34"/>
        <v>0.95320818410429775</v>
      </c>
      <c r="X16" s="2">
        <f t="shared" si="34"/>
        <v>0.95189332290846751</v>
      </c>
      <c r="Y16" s="2">
        <f t="shared" si="34"/>
        <v>0.94914700471787372</v>
      </c>
      <c r="Z16" s="112">
        <f t="shared" si="34"/>
        <v>0.94792702376652838</v>
      </c>
      <c r="AA16" s="112">
        <f t="shared" si="34"/>
        <v>0.94631243820991662</v>
      </c>
      <c r="AB16" s="112">
        <f t="shared" si="34"/>
        <v>0.94359308770785777</v>
      </c>
      <c r="AC16" s="112">
        <f t="shared" si="34"/>
        <v>0.9440672486259295</v>
      </c>
      <c r="AD16" s="112">
        <f t="shared" si="34"/>
        <v>0.94311470313957102</v>
      </c>
      <c r="AE16" s="112">
        <f t="shared" si="34"/>
        <v>0.94455674270863421</v>
      </c>
      <c r="AF16" s="112">
        <f t="shared" si="34"/>
        <v>0.94216047632548916</v>
      </c>
      <c r="AG16" s="112">
        <f t="shared" si="34"/>
        <v>0.93992735400949989</v>
      </c>
      <c r="AH16" s="112">
        <f t="shared" ref="AH16:AI16" si="35">+AH12/SUM(AH12:AH13)</f>
        <v>0.93581445523193096</v>
      </c>
      <c r="AI16" s="112">
        <f t="shared" si="35"/>
        <v>0.935126582278481</v>
      </c>
      <c r="AJ16" s="112">
        <f t="shared" ref="AJ16:AK16" si="36">+AJ12/SUM(AJ12:AJ13)</f>
        <v>0.93241127348643016</v>
      </c>
      <c r="AK16" s="112">
        <f t="shared" si="36"/>
        <v>0.93155991735537191</v>
      </c>
      <c r="AL16" s="112">
        <f t="shared" ref="AL16:AM16" si="37">+AL12/SUM(AL12:AL13)</f>
        <v>0.93569411253530299</v>
      </c>
      <c r="AM16" s="112">
        <f t="shared" si="37"/>
        <v>0.93610159242088287</v>
      </c>
      <c r="AN16" s="112">
        <f t="shared" ref="AN16:AO16" si="38">+AN12/SUM(AN12:AN13)</f>
        <v>0.93608206746892886</v>
      </c>
      <c r="AO16" s="112">
        <f t="shared" si="38"/>
        <v>0.93462897526501765</v>
      </c>
      <c r="AP16" s="112">
        <f t="shared" ref="AP16:AY16" ca="1" si="39">+AP12/SUM(AP12:AP13)</f>
        <v>0.93404847570651839</v>
      </c>
      <c r="AQ16" s="112">
        <f t="shared" ca="1" si="39"/>
        <v>0.93317875172753895</v>
      </c>
      <c r="AR16" s="112">
        <f t="shared" ca="1" si="39"/>
        <v>0.93259413720695317</v>
      </c>
      <c r="AS16" s="112">
        <f t="shared" ca="1" si="39"/>
        <v>0.93203629189391091</v>
      </c>
      <c r="AT16" s="112">
        <f t="shared" ca="1" si="39"/>
        <v>0.93149574726281958</v>
      </c>
      <c r="AU16" s="112">
        <f t="shared" ca="1" si="39"/>
        <v>0.93096457652806652</v>
      </c>
      <c r="AV16" s="112">
        <f t="shared" ca="1" si="39"/>
        <v>0.93044156249700383</v>
      </c>
      <c r="AW16" s="112">
        <f t="shared" ca="1" si="39"/>
        <v>0.9299256313527009</v>
      </c>
      <c r="AX16" s="112">
        <f t="shared" ca="1" si="39"/>
        <v>0.92941580322595119</v>
      </c>
      <c r="AY16" s="112">
        <f t="shared" ca="1" si="39"/>
        <v>0.92891116164425069</v>
      </c>
    </row>
    <row r="17" spans="2:52" customFormat="1">
      <c r="B17" t="s">
        <v>33</v>
      </c>
      <c r="U17" s="2">
        <f t="shared" ref="U17:AG17" si="40">+U13/SUM(U12:U13)</f>
        <v>4.2144166356764476E-2</v>
      </c>
      <c r="V17" s="2">
        <f t="shared" si="40"/>
        <v>4.3886048983145444E-2</v>
      </c>
      <c r="W17" s="2">
        <f t="shared" si="40"/>
        <v>4.6791815895702346E-2</v>
      </c>
      <c r="X17" s="2">
        <f t="shared" si="40"/>
        <v>4.8106677091532567E-2</v>
      </c>
      <c r="Y17" s="2">
        <f t="shared" si="40"/>
        <v>5.085299528212639E-2</v>
      </c>
      <c r="Z17" s="112">
        <f t="shared" si="40"/>
        <v>5.2072976233471659E-2</v>
      </c>
      <c r="AA17" s="112">
        <f t="shared" si="40"/>
        <v>5.3687561790083271E-2</v>
      </c>
      <c r="AB17" s="112">
        <f t="shared" si="40"/>
        <v>5.6406912292142161E-2</v>
      </c>
      <c r="AC17" s="112">
        <f t="shared" si="40"/>
        <v>5.5932751374070479E-2</v>
      </c>
      <c r="AD17" s="112">
        <f t="shared" si="40"/>
        <v>5.6885296860428973E-2</v>
      </c>
      <c r="AE17" s="112">
        <f t="shared" si="40"/>
        <v>5.5443257291365865E-2</v>
      </c>
      <c r="AF17" s="112">
        <f t="shared" si="40"/>
        <v>5.7839523674510916E-2</v>
      </c>
      <c r="AG17" s="112">
        <f t="shared" si="40"/>
        <v>6.0072645990500141E-2</v>
      </c>
      <c r="AH17" s="112">
        <f t="shared" ref="AH17:AI17" si="41">+AH13/SUM(AH12:AH13)</f>
        <v>6.4185544768069036E-2</v>
      </c>
      <c r="AI17" s="112">
        <f t="shared" si="41"/>
        <v>6.4873417721518986E-2</v>
      </c>
      <c r="AJ17" s="112">
        <f t="shared" ref="AJ17:AK17" si="42">+AJ13/SUM(AJ12:AJ13)</f>
        <v>6.7588726513569938E-2</v>
      </c>
      <c r="AK17" s="112">
        <f t="shared" si="42"/>
        <v>6.84400826446281E-2</v>
      </c>
      <c r="AL17" s="112">
        <f t="shared" ref="AL17:AM17" si="43">+AL13/SUM(AL12:AL13)</f>
        <v>6.430588746469694E-2</v>
      </c>
      <c r="AM17" s="112">
        <f t="shared" si="43"/>
        <v>6.389840757911712E-2</v>
      </c>
      <c r="AN17" s="112">
        <f t="shared" ref="AN17:AO17" si="44">+AN13/SUM(AN12:AN13)</f>
        <v>6.3917932531071212E-2</v>
      </c>
      <c r="AO17" s="112">
        <f t="shared" si="44"/>
        <v>6.5371024734982325E-2</v>
      </c>
      <c r="AP17" s="112">
        <f t="shared" ref="AP17:AY17" ca="1" si="45">+AP13/SUM(AP12:AP13)</f>
        <v>6.5951524293481653E-2</v>
      </c>
      <c r="AQ17" s="112">
        <f t="shared" ca="1" si="45"/>
        <v>6.6821248272461053E-2</v>
      </c>
      <c r="AR17" s="112">
        <f t="shared" ca="1" si="45"/>
        <v>6.7405862793046903E-2</v>
      </c>
      <c r="AS17" s="112">
        <f t="shared" ca="1" si="45"/>
        <v>6.796370810608901E-2</v>
      </c>
      <c r="AT17" s="112">
        <f t="shared" ca="1" si="45"/>
        <v>6.8504252737180429E-2</v>
      </c>
      <c r="AU17" s="112">
        <f t="shared" ca="1" si="45"/>
        <v>6.9035423471933408E-2</v>
      </c>
      <c r="AV17" s="112">
        <f t="shared" ca="1" si="45"/>
        <v>6.9558437502996187E-2</v>
      </c>
      <c r="AW17" s="112">
        <f t="shared" ca="1" si="45"/>
        <v>7.0074368647299226E-2</v>
      </c>
      <c r="AX17" s="112">
        <f t="shared" ca="1" si="45"/>
        <v>7.0584196774048868E-2</v>
      </c>
      <c r="AY17" s="112">
        <f t="shared" ca="1" si="45"/>
        <v>7.1088838355749279E-2</v>
      </c>
    </row>
    <row r="18" spans="2:52" customFormat="1">
      <c r="U18" s="6"/>
      <c r="V18" s="6"/>
      <c r="W18" s="6"/>
      <c r="X18" s="6"/>
      <c r="Y18" s="6"/>
      <c r="Z18" s="81"/>
      <c r="AA18" s="81"/>
      <c r="AB18" s="81"/>
      <c r="AC18" s="81"/>
      <c r="AD18" s="81"/>
      <c r="AE18" s="81"/>
      <c r="AF18" s="81"/>
      <c r="AG18" s="81"/>
      <c r="AH18" s="81"/>
      <c r="AI18" s="81"/>
      <c r="AJ18" s="81"/>
      <c r="AK18" s="81"/>
      <c r="AL18" s="81"/>
      <c r="AM18" s="81"/>
      <c r="AN18" s="81"/>
      <c r="AO18" s="81"/>
    </row>
    <row r="19" spans="2:52" customFormat="1">
      <c r="B19" t="s">
        <v>46</v>
      </c>
      <c r="I19" s="6">
        <f>+AA22</f>
        <v>10.84524364616953</v>
      </c>
      <c r="J19" s="6">
        <f>+I22</f>
        <v>12.66624364616953</v>
      </c>
      <c r="K19" s="6">
        <f>+J22</f>
        <v>14.538243646169533</v>
      </c>
      <c r="L19" s="6">
        <f>+K22</f>
        <v>13.79324364616954</v>
      </c>
      <c r="M19" s="6">
        <f ca="1">+L22</f>
        <v>15.116458437123772</v>
      </c>
      <c r="N19" s="6">
        <f ca="1">+M22</f>
        <v>16.461280311643122</v>
      </c>
      <c r="U19" s="6"/>
      <c r="V19" s="6"/>
      <c r="W19" s="6"/>
      <c r="X19" s="6"/>
      <c r="Y19" s="6"/>
      <c r="Z19" s="110">
        <v>9.6999999999999993</v>
      </c>
      <c r="AA19" s="110">
        <v>10.03428718037617</v>
      </c>
      <c r="AB19" s="110">
        <v>10.7</v>
      </c>
      <c r="AC19" s="110">
        <v>11.3</v>
      </c>
      <c r="AD19" s="110">
        <v>11</v>
      </c>
      <c r="AE19" s="110">
        <v>13.2</v>
      </c>
      <c r="AF19" s="110">
        <v>13.7</v>
      </c>
      <c r="AG19" s="110">
        <v>14</v>
      </c>
      <c r="AH19" s="110">
        <v>14.4</v>
      </c>
      <c r="AI19" s="110">
        <v>15.6</v>
      </c>
      <c r="AJ19" s="110">
        <v>15.5</v>
      </c>
      <c r="AK19" s="110">
        <v>16.2</v>
      </c>
      <c r="AL19" s="110">
        <v>14.6</v>
      </c>
      <c r="AM19" s="110">
        <v>16.399999999999999</v>
      </c>
      <c r="AN19" s="110">
        <v>16.8</v>
      </c>
      <c r="AO19" s="110">
        <v>17.100000000000001</v>
      </c>
      <c r="AP19" s="6">
        <f t="shared" ref="AP19" si="46">+AO22</f>
        <v>17.399999999999999</v>
      </c>
      <c r="AQ19" s="6">
        <f t="shared" ref="AQ19" ca="1" si="47">+AP22</f>
        <v>17.768140330557994</v>
      </c>
      <c r="AR19" s="6">
        <f t="shared" ref="AR19" ca="1" si="48">+AQ22</f>
        <v>18.123214790954229</v>
      </c>
      <c r="AS19" s="6">
        <f t="shared" ref="AS19" ca="1" si="49">+AR22</f>
        <v>18.468609048302064</v>
      </c>
      <c r="AT19" s="6">
        <f t="shared" ref="AT19" ca="1" si="50">+AS22</f>
        <v>18.806861977915752</v>
      </c>
      <c r="AU19" s="6">
        <f t="shared" ref="AU19" ca="1" si="51">+AT22</f>
        <v>19.139662627396309</v>
      </c>
      <c r="AV19" s="6">
        <f t="shared" ref="AV19" ca="1" si="52">+AU22</f>
        <v>19.468036665473583</v>
      </c>
      <c r="AW19" s="6">
        <f t="shared" ref="AW19" ca="1" si="53">+AV22</f>
        <v>19.792544821109061</v>
      </c>
      <c r="AX19" s="6">
        <f t="shared" ref="AX19" ca="1" si="54">+AW22</f>
        <v>20.113442161031209</v>
      </c>
      <c r="AY19" s="6">
        <f t="shared" ref="AY19" ca="1" si="55">+AX22</f>
        <v>20.430792567165224</v>
      </c>
    </row>
    <row r="20" spans="2:52" customFormat="1">
      <c r="B20" t="s">
        <v>29</v>
      </c>
      <c r="I20" s="6">
        <f>+SUM(AB20:AE20)</f>
        <v>24.847999999999999</v>
      </c>
      <c r="J20" s="6">
        <f>+SUM(AF20:AI20)</f>
        <v>26.567999999999998</v>
      </c>
      <c r="K20" s="6">
        <f>+SUM(AJ20:AM20)</f>
        <v>26.867000000000001</v>
      </c>
      <c r="L20" s="6">
        <f ca="1">+SUM(AN20:AQ20)</f>
        <v>31.959298038125006</v>
      </c>
      <c r="M20" s="6">
        <f ca="1">+SUM(AR20:AU20)</f>
        <v>34.87245420198775</v>
      </c>
      <c r="N20" s="6">
        <f ca="1">+SUM(AV20:AY20)</f>
        <v>37.283928736633143</v>
      </c>
      <c r="U20" s="19"/>
      <c r="V20" s="6"/>
      <c r="W20" s="6"/>
      <c r="X20" s="6"/>
      <c r="Y20" s="6"/>
      <c r="Z20" s="81">
        <f>+Z25</f>
        <v>5.1641991607568052</v>
      </c>
      <c r="AA20" s="81">
        <f>+AA25</f>
        <v>6.0786694935206267</v>
      </c>
      <c r="AB20" s="50">
        <v>5.7960000000000003</v>
      </c>
      <c r="AC20" s="50">
        <v>5.218</v>
      </c>
      <c r="AD20" s="50">
        <v>7.0350000000000001</v>
      </c>
      <c r="AE20" s="50">
        <v>6.7990000000000004</v>
      </c>
      <c r="AF20" s="50">
        <v>6.3719999999999999</v>
      </c>
      <c r="AG20" s="50">
        <v>6.7850000000000001</v>
      </c>
      <c r="AH20" s="50">
        <v>6.9729999999999999</v>
      </c>
      <c r="AI20" s="50">
        <v>6.4379999999999997</v>
      </c>
      <c r="AJ20" s="50">
        <v>7.2210000000000001</v>
      </c>
      <c r="AK20" s="50">
        <v>5.2460000000000004</v>
      </c>
      <c r="AL20" s="50">
        <v>6.9</v>
      </c>
      <c r="AM20" s="50">
        <v>7.5</v>
      </c>
      <c r="AN20" s="50">
        <v>7.6</v>
      </c>
      <c r="AO20" s="50">
        <v>7.9</v>
      </c>
      <c r="AP20" s="6">
        <f t="shared" ref="AP20:AY21" ca="1" si="56">+AP58+AP104+AP150+AP196+AP242</f>
        <v>8.1456050000000015</v>
      </c>
      <c r="AQ20" s="6">
        <f t="shared" ca="1" si="56"/>
        <v>8.3136930381250007</v>
      </c>
      <c r="AR20" s="6">
        <f t="shared" ca="1" si="56"/>
        <v>8.4787886533362329</v>
      </c>
      <c r="AS20" s="40">
        <f t="shared" ca="1" si="56"/>
        <v>8.6406648793838539</v>
      </c>
      <c r="AT20" s="6">
        <f t="shared" ca="1" si="56"/>
        <v>8.7991037206315426</v>
      </c>
      <c r="AU20" s="6">
        <f t="shared" ca="1" si="56"/>
        <v>8.9538969486361246</v>
      </c>
      <c r="AV20" s="6">
        <f t="shared" ca="1" si="56"/>
        <v>9.1048468590108449</v>
      </c>
      <c r="AW20" s="6">
        <f t="shared" ca="1" si="56"/>
        <v>9.2517669843656662</v>
      </c>
      <c r="AX20" s="6">
        <f t="shared" ca="1" si="56"/>
        <v>9.394482759332023</v>
      </c>
      <c r="AY20" s="6">
        <f t="shared" ca="1" si="56"/>
        <v>9.5328321339246056</v>
      </c>
    </row>
    <row r="21" spans="2:52" customFormat="1">
      <c r="B21" t="s">
        <v>45</v>
      </c>
      <c r="H21" s="6">
        <f>+SUM(X21:AA21)</f>
        <v>-19.864554410716867</v>
      </c>
      <c r="I21" s="6">
        <f>+SUM(AB21:AE21)</f>
        <v>-23.026999999999997</v>
      </c>
      <c r="J21" s="6">
        <f>+SUM(AF21:AI21)</f>
        <v>-24.695999999999998</v>
      </c>
      <c r="K21" s="6">
        <f>+SUM(AJ21:AM21)</f>
        <v>-27.611999999999998</v>
      </c>
      <c r="L21" s="6">
        <f ca="1">+SUM(AN21:AQ21)</f>
        <v>-30.63608324717077</v>
      </c>
      <c r="M21" s="6">
        <f ca="1">+SUM(AR21:AU21)</f>
        <v>-33.527632327468396</v>
      </c>
      <c r="N21" s="6">
        <f ca="1">+SUM(AV21:AY21)</f>
        <v>-36.007418939645589</v>
      </c>
      <c r="U21" s="19">
        <v>-4.7375208576502388</v>
      </c>
      <c r="V21" s="19">
        <v>-4.9914637830107766</v>
      </c>
      <c r="W21" s="19">
        <v>-4.5963591481748987</v>
      </c>
      <c r="X21" s="19">
        <v>-4.7631153775913999</v>
      </c>
      <c r="Y21" s="19">
        <v>-4.7565037952673777</v>
      </c>
      <c r="Z21" s="19">
        <v>-5.077222210130822</v>
      </c>
      <c r="AA21" s="19">
        <v>-5.2677130277272664</v>
      </c>
      <c r="AB21" s="50">
        <v>-5.3929999999999998</v>
      </c>
      <c r="AC21" s="50">
        <v>-5.4779999999999998</v>
      </c>
      <c r="AD21" s="50">
        <v>-5.9009999999999998</v>
      </c>
      <c r="AE21" s="50">
        <v>-6.2549999999999999</v>
      </c>
      <c r="AF21" s="50">
        <v>-5.99</v>
      </c>
      <c r="AG21" s="50">
        <v>-6.3680000000000003</v>
      </c>
      <c r="AH21" s="50">
        <v>-5.8620000000000001</v>
      </c>
      <c r="AI21" s="50">
        <v>-6.476</v>
      </c>
      <c r="AJ21" s="50">
        <v>-6.4820000000000002</v>
      </c>
      <c r="AK21" s="50">
        <v>-6.73</v>
      </c>
      <c r="AL21" s="50">
        <v>-7.1</v>
      </c>
      <c r="AM21" s="50">
        <v>-7.3</v>
      </c>
      <c r="AN21" s="50">
        <v>-7.3</v>
      </c>
      <c r="AO21" s="50">
        <v>-7.6</v>
      </c>
      <c r="AP21" s="6">
        <f t="shared" ca="1" si="56"/>
        <v>-7.7774646694420078</v>
      </c>
      <c r="AQ21" s="6">
        <f t="shared" ca="1" si="56"/>
        <v>-7.958618577728763</v>
      </c>
      <c r="AR21" s="6">
        <f t="shared" ca="1" si="56"/>
        <v>-8.1333943959883985</v>
      </c>
      <c r="AS21" s="6">
        <f t="shared" ca="1" si="56"/>
        <v>-8.3024119497701658</v>
      </c>
      <c r="AT21" s="6">
        <f t="shared" ca="1" si="56"/>
        <v>-8.4663030711509855</v>
      </c>
      <c r="AU21" s="6">
        <f t="shared" ca="1" si="56"/>
        <v>-8.6255229105588498</v>
      </c>
      <c r="AV21" s="6">
        <f t="shared" ca="1" si="56"/>
        <v>-8.7803387033753673</v>
      </c>
      <c r="AW21" s="6">
        <f t="shared" ca="1" si="56"/>
        <v>-8.9308696444435203</v>
      </c>
      <c r="AX21" s="6">
        <f t="shared" ca="1" si="56"/>
        <v>-9.0771323531980066</v>
      </c>
      <c r="AY21" s="6">
        <f t="shared" ca="1" si="56"/>
        <v>-9.2190782386286898</v>
      </c>
    </row>
    <row r="22" spans="2:52" customFormat="1">
      <c r="B22" t="s">
        <v>47</v>
      </c>
      <c r="I22" s="6">
        <f t="shared" ref="I22:N22" si="57">SUM(I19:I21)</f>
        <v>12.66624364616953</v>
      </c>
      <c r="J22" s="6">
        <f t="shared" si="57"/>
        <v>14.538243646169533</v>
      </c>
      <c r="K22" s="6">
        <f t="shared" si="57"/>
        <v>13.79324364616954</v>
      </c>
      <c r="L22" s="6">
        <f t="shared" ca="1" si="57"/>
        <v>15.116458437123772</v>
      </c>
      <c r="M22" s="6">
        <f t="shared" ca="1" si="57"/>
        <v>16.461280311643122</v>
      </c>
      <c r="N22" s="6">
        <f t="shared" ca="1" si="57"/>
        <v>17.737790108630676</v>
      </c>
      <c r="U22" s="6"/>
      <c r="V22" s="6"/>
      <c r="W22" s="6"/>
      <c r="X22" s="6"/>
      <c r="Y22" s="6"/>
      <c r="Z22" s="81">
        <f t="shared" ref="Z22:AB22" si="58">SUM(Z19:Z21)</f>
        <v>9.7869769506259825</v>
      </c>
      <c r="AA22" s="81">
        <f t="shared" si="58"/>
        <v>10.84524364616953</v>
      </c>
      <c r="AB22" s="81">
        <f t="shared" si="58"/>
        <v>11.102999999999998</v>
      </c>
      <c r="AC22" s="81">
        <f t="shared" ref="AC22:AH22" si="59">SUM(AC19:AC21)</f>
        <v>11.040000000000001</v>
      </c>
      <c r="AD22" s="81">
        <f t="shared" si="59"/>
        <v>12.134</v>
      </c>
      <c r="AE22" s="81">
        <f t="shared" si="59"/>
        <v>13.744</v>
      </c>
      <c r="AF22" s="81">
        <f t="shared" si="59"/>
        <v>14.081999999999999</v>
      </c>
      <c r="AG22" s="81">
        <f t="shared" si="59"/>
        <v>14.417</v>
      </c>
      <c r="AH22" s="81">
        <f t="shared" si="59"/>
        <v>15.511000000000001</v>
      </c>
      <c r="AI22" s="81">
        <f t="shared" ref="AI22:AN22" si="60">SUM(AI19:AI21)</f>
        <v>15.562000000000001</v>
      </c>
      <c r="AJ22" s="81">
        <f t="shared" si="60"/>
        <v>16.239000000000001</v>
      </c>
      <c r="AK22" s="81">
        <f t="shared" si="60"/>
        <v>14.715999999999998</v>
      </c>
      <c r="AL22" s="81">
        <f t="shared" si="60"/>
        <v>14.4</v>
      </c>
      <c r="AM22" s="81">
        <f t="shared" si="60"/>
        <v>16.599999999999998</v>
      </c>
      <c r="AN22" s="81">
        <f t="shared" si="60"/>
        <v>17.099999999999998</v>
      </c>
      <c r="AO22" s="81">
        <f t="shared" ref="AO22" si="61">SUM(AO19:AO21)</f>
        <v>17.399999999999999</v>
      </c>
      <c r="AP22" s="6">
        <f t="shared" ref="AP22:AY22" ca="1" si="62">SUM(AP19:AP21)</f>
        <v>17.768140330557994</v>
      </c>
      <c r="AQ22" s="6">
        <f t="shared" ca="1" si="62"/>
        <v>18.123214790954229</v>
      </c>
      <c r="AR22" s="6">
        <f t="shared" ca="1" si="62"/>
        <v>18.468609048302064</v>
      </c>
      <c r="AS22" s="6">
        <f t="shared" ca="1" si="62"/>
        <v>18.806861977915752</v>
      </c>
      <c r="AT22" s="6">
        <f t="shared" ca="1" si="62"/>
        <v>19.139662627396309</v>
      </c>
      <c r="AU22" s="6">
        <f t="shared" ca="1" si="62"/>
        <v>19.468036665473583</v>
      </c>
      <c r="AV22" s="6">
        <f t="shared" ca="1" si="62"/>
        <v>19.792544821109061</v>
      </c>
      <c r="AW22" s="6">
        <f t="shared" ca="1" si="62"/>
        <v>20.113442161031209</v>
      </c>
      <c r="AX22" s="6">
        <f t="shared" ca="1" si="62"/>
        <v>20.430792567165224</v>
      </c>
      <c r="AY22" s="6">
        <f t="shared" ca="1" si="62"/>
        <v>20.744546462461138</v>
      </c>
    </row>
    <row r="23" spans="2:52" customFormat="1">
      <c r="B23" s="7" t="s">
        <v>48</v>
      </c>
      <c r="I23" s="113"/>
      <c r="J23" s="113"/>
      <c r="K23" s="113"/>
      <c r="L23" s="113"/>
      <c r="M23" s="113"/>
      <c r="N23" s="113"/>
      <c r="U23" s="6"/>
      <c r="V23" s="6"/>
      <c r="W23" s="6"/>
      <c r="X23" s="6"/>
      <c r="Y23" s="6"/>
      <c r="Z23" s="113">
        <f t="shared" ref="Z23:AB23" si="63">-Z21/(Z19+Z20)</f>
        <v>0.34157388199798028</v>
      </c>
      <c r="AA23" s="113">
        <f t="shared" si="63"/>
        <v>0.32692404841260642</v>
      </c>
      <c r="AB23" s="113">
        <f t="shared" si="63"/>
        <v>0.32692774005819591</v>
      </c>
      <c r="AC23" s="113">
        <f t="shared" ref="AC23:AH23" si="64">-AC21/(AC19+AC20)</f>
        <v>0.3316382128586996</v>
      </c>
      <c r="AD23" s="113">
        <f t="shared" si="64"/>
        <v>0.32719711671749374</v>
      </c>
      <c r="AE23" s="113">
        <f t="shared" si="64"/>
        <v>0.31276563828191412</v>
      </c>
      <c r="AF23" s="113">
        <f t="shared" si="64"/>
        <v>0.29842566759665207</v>
      </c>
      <c r="AG23" s="113">
        <f t="shared" si="64"/>
        <v>0.30637478951166708</v>
      </c>
      <c r="AH23" s="113">
        <f t="shared" si="64"/>
        <v>0.27427127684461705</v>
      </c>
      <c r="AI23" s="113">
        <f t="shared" ref="AI23:AN23" si="65">-AI21/(AI19+AI20)</f>
        <v>0.29385606679371995</v>
      </c>
      <c r="AJ23" s="113">
        <f t="shared" si="65"/>
        <v>0.28528673914000263</v>
      </c>
      <c r="AK23" s="113">
        <f t="shared" si="65"/>
        <v>0.31381143336752781</v>
      </c>
      <c r="AL23" s="113">
        <f t="shared" si="65"/>
        <v>0.33023255813953489</v>
      </c>
      <c r="AM23" s="113">
        <f t="shared" si="65"/>
        <v>0.30543933054393307</v>
      </c>
      <c r="AN23" s="113">
        <f t="shared" si="65"/>
        <v>0.29918032786885246</v>
      </c>
      <c r="AO23" s="113">
        <f t="shared" ref="AO23" si="66">-AO21/(AO19+AO20)</f>
        <v>0.30399999999999999</v>
      </c>
      <c r="AP23" s="29">
        <f t="shared" ref="AP23:AY23" ca="1" si="67">-AP21/(AP19+AP20)</f>
        <v>0.30445411918966125</v>
      </c>
      <c r="AQ23" s="29">
        <f t="shared" ca="1" si="67"/>
        <v>0.30514030456481805</v>
      </c>
      <c r="AR23" s="29">
        <f t="shared" ca="1" si="67"/>
        <v>0.30574367878048125</v>
      </c>
      <c r="AS23" s="29">
        <f t="shared" ca="1" si="67"/>
        <v>0.30625725985568181</v>
      </c>
      <c r="AT23" s="29">
        <f t="shared" ca="1" si="67"/>
        <v>0.30668382202606687</v>
      </c>
      <c r="AU23" s="29">
        <f t="shared" ca="1" si="67"/>
        <v>0.30702848057451487</v>
      </c>
      <c r="AV23" s="29">
        <f t="shared" ca="1" si="67"/>
        <v>0.30729620606374558</v>
      </c>
      <c r="AW23" s="29">
        <f t="shared" ca="1" si="67"/>
        <v>0.30749117776514473</v>
      </c>
      <c r="AX23" s="29">
        <f t="shared" ca="1" si="67"/>
        <v>0.30761676321515702</v>
      </c>
      <c r="AY23" s="29">
        <f t="shared" ca="1" si="67"/>
        <v>0.30767566776703675</v>
      </c>
    </row>
    <row r="24" spans="2:52" customFormat="1">
      <c r="U24" s="19"/>
      <c r="V24" s="6"/>
      <c r="W24" s="6"/>
      <c r="X24" s="6"/>
      <c r="Y24" s="6"/>
      <c r="Z24" s="81"/>
      <c r="AA24" s="81"/>
      <c r="AB24" s="81"/>
      <c r="AC24" s="81"/>
      <c r="AD24" s="81"/>
      <c r="AE24" s="81"/>
      <c r="AF24" s="81"/>
      <c r="AG24" s="81"/>
      <c r="AH24" s="81"/>
      <c r="AI24" s="81"/>
      <c r="AJ24" s="81"/>
      <c r="AK24" s="81"/>
      <c r="AL24" s="81"/>
      <c r="AM24" s="81"/>
      <c r="AN24" s="81"/>
      <c r="AO24" s="81"/>
    </row>
    <row r="25" spans="2:52" customFormat="1">
      <c r="B25" t="s">
        <v>29</v>
      </c>
      <c r="H25" s="6">
        <f>+SUM(X25:AA25)</f>
        <v>21.804280181244629</v>
      </c>
      <c r="I25" s="6">
        <f>+SUM(AB25:AE25)</f>
        <v>24.847999999999999</v>
      </c>
      <c r="J25" s="6">
        <f>+SUM(AF25:AI25)</f>
        <v>26.567999999999998</v>
      </c>
      <c r="K25" s="6">
        <f>+SUM(AJ25:AM25)</f>
        <v>26.867000000000001</v>
      </c>
      <c r="L25" s="6">
        <f ca="1">+SUM(AN25:AQ25)</f>
        <v>31.959298038125006</v>
      </c>
      <c r="M25" s="6">
        <f ca="1">+SUM(AR25:AU25)</f>
        <v>34.87245420198775</v>
      </c>
      <c r="N25" s="6">
        <f ca="1">+SUM(AV25:AY25)</f>
        <v>37.283928736633143</v>
      </c>
      <c r="U25" s="19">
        <v>4.3020691542186364</v>
      </c>
      <c r="V25" s="19">
        <v>4.3874324694491582</v>
      </c>
      <c r="W25" s="19">
        <v>4.8744985513680605</v>
      </c>
      <c r="X25" s="19">
        <v>4.8657646557816276</v>
      </c>
      <c r="Y25" s="19">
        <v>5.6956468711855681</v>
      </c>
      <c r="Z25" s="19">
        <v>5.1641991607568052</v>
      </c>
      <c r="AA25" s="19">
        <v>6.0786694935206267</v>
      </c>
      <c r="AB25" s="18">
        <f t="shared" ref="AB25:AG25" si="68">+AB20</f>
        <v>5.7960000000000003</v>
      </c>
      <c r="AC25" s="18">
        <f t="shared" si="68"/>
        <v>5.218</v>
      </c>
      <c r="AD25" s="18">
        <f t="shared" si="68"/>
        <v>7.0350000000000001</v>
      </c>
      <c r="AE25" s="18">
        <f t="shared" si="68"/>
        <v>6.7990000000000004</v>
      </c>
      <c r="AF25" s="18">
        <f t="shared" si="68"/>
        <v>6.3719999999999999</v>
      </c>
      <c r="AG25" s="18">
        <f t="shared" si="68"/>
        <v>6.7850000000000001</v>
      </c>
      <c r="AH25" s="18">
        <f t="shared" ref="AH25:AY25" si="69">+AH20</f>
        <v>6.9729999999999999</v>
      </c>
      <c r="AI25" s="18">
        <f t="shared" si="69"/>
        <v>6.4379999999999997</v>
      </c>
      <c r="AJ25" s="18">
        <f t="shared" si="69"/>
        <v>7.2210000000000001</v>
      </c>
      <c r="AK25" s="18">
        <f t="shared" si="69"/>
        <v>5.2460000000000004</v>
      </c>
      <c r="AL25" s="18">
        <f t="shared" si="69"/>
        <v>6.9</v>
      </c>
      <c r="AM25" s="18">
        <f t="shared" si="69"/>
        <v>7.5</v>
      </c>
      <c r="AN25" s="18">
        <f t="shared" ref="AN25:AO25" si="70">+AN20</f>
        <v>7.6</v>
      </c>
      <c r="AO25" s="18">
        <f t="shared" si="70"/>
        <v>7.9</v>
      </c>
      <c r="AP25" s="6">
        <f t="shared" ca="1" si="69"/>
        <v>8.1456050000000015</v>
      </c>
      <c r="AQ25" s="6">
        <f t="shared" ca="1" si="69"/>
        <v>8.3136930381250007</v>
      </c>
      <c r="AR25" s="6">
        <f t="shared" ca="1" si="69"/>
        <v>8.4787886533362329</v>
      </c>
      <c r="AS25" s="6">
        <f t="shared" ca="1" si="69"/>
        <v>8.6406648793838539</v>
      </c>
      <c r="AT25" s="6">
        <f t="shared" ca="1" si="69"/>
        <v>8.7991037206315426</v>
      </c>
      <c r="AU25" s="6">
        <f t="shared" ca="1" si="69"/>
        <v>8.9538969486361246</v>
      </c>
      <c r="AV25" s="6">
        <f t="shared" ca="1" si="69"/>
        <v>9.1048468590108449</v>
      </c>
      <c r="AW25" s="6">
        <f t="shared" ca="1" si="69"/>
        <v>9.2517669843656662</v>
      </c>
      <c r="AX25" s="6">
        <f t="shared" ca="1" si="69"/>
        <v>9.394482759332023</v>
      </c>
      <c r="AY25" s="6">
        <f t="shared" ca="1" si="69"/>
        <v>9.5328321339246056</v>
      </c>
    </row>
    <row r="26" spans="2:52" customFormat="1">
      <c r="B26" s="7" t="s">
        <v>36</v>
      </c>
      <c r="I26" s="2">
        <f t="shared" ref="I26:N26" si="71">+I25/H25-1</f>
        <v>0.13959276772518647</v>
      </c>
      <c r="J26" s="2">
        <f t="shared" si="71"/>
        <v>6.9220862846104181E-2</v>
      </c>
      <c r="K26" s="2">
        <f t="shared" si="71"/>
        <v>1.1254140319181039E-2</v>
      </c>
      <c r="L26" s="2">
        <f t="shared" ca="1" si="71"/>
        <v>0.1895372776314812</v>
      </c>
      <c r="M26" s="2">
        <f t="shared" ca="1" si="71"/>
        <v>9.1152069747826525E-2</v>
      </c>
      <c r="N26" s="2">
        <f t="shared" ca="1" si="71"/>
        <v>6.9151271105775347E-2</v>
      </c>
      <c r="U26" s="19"/>
      <c r="V26" s="19"/>
      <c r="W26" s="19"/>
      <c r="X26" s="19"/>
      <c r="Y26" s="23">
        <f t="shared" ref="Y26:AO26" si="72">+Y25/U25-1</f>
        <v>0.32393196552881554</v>
      </c>
      <c r="Z26" s="48">
        <f t="shared" si="72"/>
        <v>0.17704356630363582</v>
      </c>
      <c r="AA26" s="48">
        <f t="shared" si="72"/>
        <v>0.247034834345085</v>
      </c>
      <c r="AB26" s="48">
        <f t="shared" si="72"/>
        <v>0.19117968295343735</v>
      </c>
      <c r="AC26" s="48">
        <f t="shared" si="72"/>
        <v>-8.3861742483017476E-2</v>
      </c>
      <c r="AD26" s="48">
        <f t="shared" si="72"/>
        <v>0.36226349546306658</v>
      </c>
      <c r="AE26" s="48">
        <f t="shared" si="72"/>
        <v>0.11850134429042214</v>
      </c>
      <c r="AF26" s="48">
        <f t="shared" si="72"/>
        <v>9.9378881987577605E-2</v>
      </c>
      <c r="AG26" s="48">
        <f t="shared" si="72"/>
        <v>0.30030663089306242</v>
      </c>
      <c r="AH26" s="48">
        <f t="shared" si="72"/>
        <v>-8.813077469793873E-3</v>
      </c>
      <c r="AI26" s="48">
        <f t="shared" si="72"/>
        <v>-5.3096043535814208E-2</v>
      </c>
      <c r="AJ26" s="48">
        <f t="shared" si="72"/>
        <v>0.13323917137476471</v>
      </c>
      <c r="AK26" s="48">
        <f t="shared" si="72"/>
        <v>-0.22682387619749445</v>
      </c>
      <c r="AL26" s="48">
        <f t="shared" si="72"/>
        <v>-1.046895167072992E-2</v>
      </c>
      <c r="AM26" s="48">
        <f t="shared" si="72"/>
        <v>0.16495806150978565</v>
      </c>
      <c r="AN26" s="48">
        <f t="shared" si="72"/>
        <v>5.2485805290126031E-2</v>
      </c>
      <c r="AO26" s="48">
        <f t="shared" si="72"/>
        <v>0.50590926420129612</v>
      </c>
      <c r="AP26" s="23">
        <f t="shared" ref="AP26" ca="1" si="73">+AP25/AL25-1</f>
        <v>0.1805224637681162</v>
      </c>
      <c r="AQ26" s="23">
        <f t="shared" ref="AQ26" ca="1" si="74">+AQ25/AM25-1</f>
        <v>0.10849240508333335</v>
      </c>
      <c r="AR26" s="23">
        <f t="shared" ref="AR26" ca="1" si="75">+AR25/AN25-1</f>
        <v>0.11563008596529389</v>
      </c>
      <c r="AS26" s="23">
        <f t="shared" ref="AS26" ca="1" si="76">+AS25/AO25-1</f>
        <v>9.3755048023272503E-2</v>
      </c>
      <c r="AT26" s="23">
        <f t="shared" ref="AT26" ca="1" si="77">+AT25/AP25-1</f>
        <v>8.0227155703172626E-2</v>
      </c>
      <c r="AU26" s="23">
        <f t="shared" ref="AU26" ca="1" si="78">+AU25/AQ25-1</f>
        <v>7.7005959634938614E-2</v>
      </c>
      <c r="AV26" s="23">
        <f t="shared" ref="AV26" ca="1" si="79">+AV25/AR25-1</f>
        <v>7.3838166189962751E-2</v>
      </c>
      <c r="AW26" s="23">
        <f t="shared" ref="AW26" ca="1" si="80">+AW25/AS25-1</f>
        <v>7.0723967832599044E-2</v>
      </c>
      <c r="AX26" s="23">
        <f t="shared" ref="AX26" ca="1" si="81">+AX25/AT25-1</f>
        <v>6.7663600476088881E-2</v>
      </c>
      <c r="AY26" s="23">
        <f t="shared" ref="AY26" ca="1" si="82">+AY25/AU25-1</f>
        <v>6.4657342898799541E-2</v>
      </c>
    </row>
    <row r="27" spans="2:52" customFormat="1">
      <c r="B27" s="7" t="s">
        <v>37</v>
      </c>
      <c r="U27" s="19"/>
      <c r="V27" s="23">
        <f t="shared" ref="V27:AO27" si="83">+V25/U25-1</f>
        <v>1.9842385645245653E-2</v>
      </c>
      <c r="W27" s="23">
        <f t="shared" si="83"/>
        <v>0.11101392108265395</v>
      </c>
      <c r="X27" s="23">
        <f t="shared" si="83"/>
        <v>-1.7917526273510953E-3</v>
      </c>
      <c r="Y27" s="23">
        <f t="shared" si="83"/>
        <v>0.1705553544226297</v>
      </c>
      <c r="Z27" s="48">
        <f t="shared" si="83"/>
        <v>-9.3307700152088335E-2</v>
      </c>
      <c r="AA27" s="48">
        <f t="shared" si="83"/>
        <v>0.17707882757755744</v>
      </c>
      <c r="AB27" s="48">
        <f t="shared" si="83"/>
        <v>-4.6501869170865295E-2</v>
      </c>
      <c r="AC27" s="48">
        <f t="shared" si="83"/>
        <v>-9.9723947550034553E-2</v>
      </c>
      <c r="AD27" s="48">
        <f t="shared" si="83"/>
        <v>0.34821770793407447</v>
      </c>
      <c r="AE27" s="48">
        <f t="shared" si="83"/>
        <v>-3.3546552949538011E-2</v>
      </c>
      <c r="AF27" s="48">
        <f t="shared" si="83"/>
        <v>-6.2803353434328635E-2</v>
      </c>
      <c r="AG27" s="48">
        <f t="shared" si="83"/>
        <v>6.4814814814814881E-2</v>
      </c>
      <c r="AH27" s="48">
        <f t="shared" si="83"/>
        <v>2.7708179808400901E-2</v>
      </c>
      <c r="AI27" s="48">
        <f t="shared" si="83"/>
        <v>-7.672450881973325E-2</v>
      </c>
      <c r="AJ27" s="48">
        <f t="shared" si="83"/>
        <v>0.12162162162162171</v>
      </c>
      <c r="AK27" s="48">
        <f t="shared" si="83"/>
        <v>-0.27350782440105248</v>
      </c>
      <c r="AL27" s="48">
        <f t="shared" si="83"/>
        <v>0.31528783835303087</v>
      </c>
      <c r="AM27" s="48">
        <f t="shared" si="83"/>
        <v>8.6956521739130377E-2</v>
      </c>
      <c r="AN27" s="48">
        <f t="shared" si="83"/>
        <v>1.3333333333333197E-2</v>
      </c>
      <c r="AO27" s="48">
        <f t="shared" si="83"/>
        <v>3.9473684210526327E-2</v>
      </c>
      <c r="AP27" s="23">
        <f t="shared" ref="AP27" ca="1" si="84">+AP25/AO25-1</f>
        <v>3.1089240506329219E-2</v>
      </c>
      <c r="AQ27" s="23">
        <f t="shared" ref="AQ27" ca="1" si="85">+AQ25/AP25-1</f>
        <v>2.0635427095347714E-2</v>
      </c>
      <c r="AR27" s="23">
        <f t="shared" ref="AR27" ca="1" si="86">+AR25/AQ25-1</f>
        <v>1.9858276514917561E-2</v>
      </c>
      <c r="AS27" s="23">
        <f t="shared" ref="AS27" ca="1" si="87">+AS25/AR25-1</f>
        <v>1.9091904830523809E-2</v>
      </c>
      <c r="AT27" s="23">
        <f t="shared" ref="AT27" ca="1" si="88">+AT25/AS25-1</f>
        <v>1.8336417794157844E-2</v>
      </c>
      <c r="AU27" s="23">
        <f t="shared" ref="AU27" ca="1" si="89">+AU25/AT25-1</f>
        <v>1.7591931282913809E-2</v>
      </c>
      <c r="AV27" s="23">
        <f t="shared" ref="AV27" ca="1" si="90">+AV25/AU25-1</f>
        <v>1.685857132828783E-2</v>
      </c>
      <c r="AW27" s="23">
        <f t="shared" ref="AW27" ca="1" si="91">+AW25/AV25-1</f>
        <v>1.6136474081320573E-2</v>
      </c>
      <c r="AX27" s="23">
        <f t="shared" ref="AX27" ca="1" si="92">+AX25/AW25-1</f>
        <v>1.5425785712883666E-2</v>
      </c>
      <c r="AY27" s="23">
        <f t="shared" ref="AY27" ca="1" si="93">+AY25/AX25-1</f>
        <v>1.4726662248132127E-2</v>
      </c>
    </row>
    <row r="28" spans="2:52" customFormat="1">
      <c r="B28" t="s">
        <v>373</v>
      </c>
      <c r="U28" s="19"/>
      <c r="V28" s="23"/>
      <c r="W28" s="23"/>
      <c r="X28" s="23"/>
      <c r="Y28" s="23"/>
      <c r="Z28" s="48"/>
      <c r="AA28" s="48"/>
      <c r="AB28" s="18">
        <f>+AVERAGE(U25:AA25)</f>
        <v>5.0526114794686396</v>
      </c>
      <c r="AC28" s="18">
        <f t="shared" ref="AC28:AO28" si="94">+AVERAGE(V25:AB25)</f>
        <v>5.2660301717231208</v>
      </c>
      <c r="AD28" s="18">
        <f t="shared" si="94"/>
        <v>5.3846826760875279</v>
      </c>
      <c r="AE28" s="18">
        <f t="shared" si="94"/>
        <v>5.6933257401778041</v>
      </c>
      <c r="AF28" s="18">
        <f t="shared" si="94"/>
        <v>5.9695022179232851</v>
      </c>
      <c r="AG28" s="18">
        <f t="shared" si="94"/>
        <v>6.066124093468205</v>
      </c>
      <c r="AH28" s="18">
        <f t="shared" si="94"/>
        <v>6.2976670705029472</v>
      </c>
      <c r="AI28" s="18">
        <f t="shared" si="94"/>
        <v>6.4254285714285704</v>
      </c>
      <c r="AJ28" s="18">
        <f t="shared" si="94"/>
        <v>6.5171428571428578</v>
      </c>
      <c r="AK28" s="18">
        <f t="shared" si="94"/>
        <v>6.8032857142857148</v>
      </c>
      <c r="AL28" s="18">
        <f t="shared" si="94"/>
        <v>6.5477142857142852</v>
      </c>
      <c r="AM28" s="18">
        <f t="shared" si="94"/>
        <v>6.5621428571428577</v>
      </c>
      <c r="AN28" s="18">
        <f t="shared" si="94"/>
        <v>6.7232857142857139</v>
      </c>
      <c r="AO28" s="18">
        <f t="shared" si="94"/>
        <v>6.8397142857142859</v>
      </c>
      <c r="AP28" s="18">
        <f t="shared" ref="AP28" si="95">+AVERAGE(AI25:AO25)</f>
        <v>6.972142857142857</v>
      </c>
      <c r="AQ28" s="18">
        <f t="shared" ref="AQ28" ca="1" si="96">+AVERAGE(AJ25:AP25)</f>
        <v>7.2160864285714288</v>
      </c>
      <c r="AR28" s="18">
        <f t="shared" ref="AR28" ca="1" si="97">+AVERAGE(AK25:AQ25)</f>
        <v>7.3721854340178581</v>
      </c>
      <c r="AS28" s="18">
        <f t="shared" ref="AS28" ca="1" si="98">+AVERAGE(AL25:AR25)</f>
        <v>7.8340123844944625</v>
      </c>
      <c r="AT28" s="18">
        <f t="shared" ref="AT28" ca="1" si="99">+AVERAGE(AM25:AS25)</f>
        <v>8.0826787958350135</v>
      </c>
      <c r="AU28" s="18">
        <f t="shared" ref="AU28" ca="1" si="100">+AVERAGE(AN25:AT25)</f>
        <v>8.2682650416395198</v>
      </c>
      <c r="AV28" s="18">
        <f t="shared" ref="AV28" ca="1" si="101">+AVERAGE(AO25:AU25)</f>
        <v>8.461678891444679</v>
      </c>
      <c r="AW28" s="18">
        <f t="shared" ref="AW28" ca="1" si="102">+AVERAGE(AP25:AV25)</f>
        <v>8.6337998713033723</v>
      </c>
      <c r="AX28" s="18">
        <f t="shared" ref="AX28" ca="1" si="103">+AVERAGE(AQ25:AW25)</f>
        <v>8.7918230119270397</v>
      </c>
      <c r="AY28" s="18">
        <f t="shared" ref="AY28" ca="1" si="104">+AVERAGE(AR25:AX25)</f>
        <v>8.9462215435280417</v>
      </c>
    </row>
    <row r="29" spans="2:52" customFormat="1">
      <c r="U29" s="19"/>
      <c r="V29" s="6"/>
      <c r="W29" s="6"/>
      <c r="X29" s="6"/>
      <c r="Y29" s="6"/>
      <c r="Z29" s="81"/>
      <c r="AA29" s="81"/>
      <c r="AB29" s="81"/>
      <c r="AC29" s="81"/>
      <c r="AD29" s="81"/>
      <c r="AE29" s="81"/>
      <c r="AF29" s="81"/>
      <c r="AG29" s="81"/>
      <c r="AH29" s="81"/>
      <c r="AI29" s="81"/>
      <c r="AJ29" s="81"/>
      <c r="AK29" s="81"/>
      <c r="AL29" s="81"/>
      <c r="AM29" s="81"/>
      <c r="AN29" s="81"/>
      <c r="AO29" s="81"/>
    </row>
    <row r="30" spans="2:52" customFormat="1">
      <c r="B30" t="s">
        <v>266</v>
      </c>
      <c r="H30" s="6">
        <f>+SUM(X30:AA30)</f>
        <v>-14.692679436396187</v>
      </c>
      <c r="I30" s="6">
        <f>+SUM(AB30:AE30)</f>
        <v>-15.809999999999999</v>
      </c>
      <c r="J30" s="6">
        <f>+SUM(AF30:AI30)</f>
        <v>-15.732999999999999</v>
      </c>
      <c r="K30" s="6">
        <f>+SUM(AJ30:AM30)</f>
        <v>-20.471</v>
      </c>
      <c r="L30" s="6">
        <f ca="1">+SUM(AN30:AQ30)</f>
        <v>-24.089196962225763</v>
      </c>
      <c r="M30" s="6">
        <f ca="1">+SUM(AR30:AU30)</f>
        <v>-24.443032000872911</v>
      </c>
      <c r="N30" s="6">
        <f ca="1">+SUM(AV30:AY30)</f>
        <v>-25.743976978815876</v>
      </c>
      <c r="U30" s="19">
        <v>-3.3847779922091425</v>
      </c>
      <c r="V30" s="19">
        <v>-3.2878870341218982</v>
      </c>
      <c r="W30" s="19">
        <v>-3.8088415057731786</v>
      </c>
      <c r="X30" s="19">
        <v>-3.8552381578013568</v>
      </c>
      <c r="Y30" s="19">
        <v>-3.652893991321843</v>
      </c>
      <c r="Z30" s="19">
        <v>-3.5909733759504601</v>
      </c>
      <c r="AA30" s="19">
        <v>-3.5935739113225265</v>
      </c>
      <c r="AB30" s="19">
        <v>-3.9039999999999999</v>
      </c>
      <c r="AC30" s="19">
        <v>-3.7149999999999999</v>
      </c>
      <c r="AD30" s="19">
        <v>-4.1589999999999998</v>
      </c>
      <c r="AE30" s="19">
        <v>-4.032</v>
      </c>
      <c r="AF30" s="19">
        <v>-3.7509999999999999</v>
      </c>
      <c r="AG30" s="19">
        <v>-4.17</v>
      </c>
      <c r="AH30" s="19">
        <v>-3.7229999999999999</v>
      </c>
      <c r="AI30" s="19">
        <v>-4.0890000000000004</v>
      </c>
      <c r="AJ30" s="19">
        <v>-4.2270000000000003</v>
      </c>
      <c r="AK30" s="19">
        <v>-4.7439999999999998</v>
      </c>
      <c r="AL30" s="19">
        <v>-5.6</v>
      </c>
      <c r="AM30" s="19">
        <v>-5.9</v>
      </c>
      <c r="AN30" s="19">
        <v>-6.1</v>
      </c>
      <c r="AO30" s="19">
        <v>-6</v>
      </c>
      <c r="AP30" s="6">
        <f t="shared" ref="AP30:AY30" ca="1" si="105">+AP74+AP120+AP166+AP212+AP257</f>
        <v>-5.9852820829212003</v>
      </c>
      <c r="AQ30" s="6">
        <f t="shared" ca="1" si="105"/>
        <v>-6.0039148793045616</v>
      </c>
      <c r="AR30" s="6">
        <f t="shared" ca="1" si="105"/>
        <v>-6.0335761983758402</v>
      </c>
      <c r="AS30" s="6">
        <f t="shared" ca="1" si="105"/>
        <v>-6.0561667547952309</v>
      </c>
      <c r="AT30" s="6">
        <f t="shared" ca="1" si="105"/>
        <v>-6.1354822179550395</v>
      </c>
      <c r="AU30" s="6">
        <f t="shared" ca="1" si="105"/>
        <v>-6.2178068297467997</v>
      </c>
      <c r="AV30" s="6">
        <f t="shared" ca="1" si="105"/>
        <v>-6.3028203655306667</v>
      </c>
      <c r="AW30" s="6">
        <f t="shared" ca="1" si="105"/>
        <v>-6.3902312958023257</v>
      </c>
      <c r="AX30" s="6">
        <f t="shared" ca="1" si="105"/>
        <v>-6.4797656010695963</v>
      </c>
      <c r="AY30" s="6">
        <f t="shared" ca="1" si="105"/>
        <v>-6.5711597164132867</v>
      </c>
      <c r="AZ30" s="6"/>
    </row>
    <row r="31" spans="2:52" s="3" customFormat="1">
      <c r="B31" s="10" t="s">
        <v>30</v>
      </c>
      <c r="H31" s="4">
        <f t="shared" ref="H31:N31" si="106">+H30/(H7*12)</f>
        <v>-1.3620656544539391E-2</v>
      </c>
      <c r="I31" s="4">
        <f t="shared" si="106"/>
        <v>-1.247928013260715E-2</v>
      </c>
      <c r="J31" s="4">
        <f t="shared" si="106"/>
        <v>-1.0779719081877354E-2</v>
      </c>
      <c r="K31" s="4">
        <f t="shared" si="106"/>
        <v>-1.2343825373854318E-2</v>
      </c>
      <c r="L31" s="4">
        <f t="shared" ca="1" si="106"/>
        <v>-1.1782224746144354E-2</v>
      </c>
      <c r="M31" s="4">
        <f t="shared" ca="1" si="106"/>
        <v>-1.1434415081611407E-2</v>
      </c>
      <c r="N31" s="4">
        <f t="shared" ca="1" si="106"/>
        <v>-1.142829349637374E-2</v>
      </c>
      <c r="U31" s="4">
        <f t="shared" ref="U31:AH31" si="107">+U30/(U7*3)</f>
        <v>-1.4090355043973447E-2</v>
      </c>
      <c r="V31" s="4">
        <f t="shared" si="107"/>
        <v>-1.3145083921741197E-2</v>
      </c>
      <c r="W31" s="4">
        <f t="shared" si="107"/>
        <v>-1.4939618398132232E-2</v>
      </c>
      <c r="X31" s="4">
        <f t="shared" si="107"/>
        <v>-1.4818814315987526E-2</v>
      </c>
      <c r="Y31" s="4">
        <f t="shared" si="107"/>
        <v>-1.3617263429272186E-2</v>
      </c>
      <c r="Z31" s="114">
        <f t="shared" si="107"/>
        <v>-1.3211201445173145E-2</v>
      </c>
      <c r="AA31" s="114">
        <f t="shared" si="107"/>
        <v>-1.2904248001205064E-2</v>
      </c>
      <c r="AB31" s="114">
        <f t="shared" si="107"/>
        <v>-1.3171390013495278E-2</v>
      </c>
      <c r="AC31" s="114">
        <f t="shared" si="107"/>
        <v>-1.1941497910639665E-2</v>
      </c>
      <c r="AD31" s="114">
        <f t="shared" si="107"/>
        <v>-1.3228371501272264E-2</v>
      </c>
      <c r="AE31" s="114">
        <f t="shared" si="107"/>
        <v>-1.1686956521739131E-2</v>
      </c>
      <c r="AF31" s="114">
        <f t="shared" si="107"/>
        <v>-1.0650198750709822E-2</v>
      </c>
      <c r="AG31" s="114">
        <f t="shared" si="107"/>
        <v>-1.1602671118530885E-2</v>
      </c>
      <c r="AH31" s="114">
        <f t="shared" si="107"/>
        <v>-1.0048582995951417E-2</v>
      </c>
      <c r="AI31" s="114">
        <f t="shared" ref="AI31:AN31" si="108">+AI30/(AI7*3)</f>
        <v>-1.0834658187599365E-2</v>
      </c>
      <c r="AJ31" s="114">
        <f t="shared" si="108"/>
        <v>-1.1025039123630674E-2</v>
      </c>
      <c r="AK31" s="114">
        <f t="shared" si="108"/>
        <v>-1.2220504894384336E-2</v>
      </c>
      <c r="AL31" s="114">
        <f t="shared" si="108"/>
        <v>-1.4216806296014215E-2</v>
      </c>
      <c r="AM31" s="114">
        <f t="shared" si="108"/>
        <v>-1.1969973625481842E-2</v>
      </c>
      <c r="AN31" s="114">
        <f t="shared" si="108"/>
        <v>-1.212482607831445E-2</v>
      </c>
      <c r="AO31" s="114">
        <f t="shared" ref="AO31" si="109">+AO30/(AO7*3)</f>
        <v>-1.1737089201877934E-2</v>
      </c>
      <c r="AP31" s="4">
        <f t="shared" ref="AP31:AY31" ca="1" si="110">+AP30/(AP7*3)</f>
        <v>-1.1700851732832781E-2</v>
      </c>
      <c r="AQ31" s="4">
        <f t="shared" ca="1" si="110"/>
        <v>-1.1574662347534169E-2</v>
      </c>
      <c r="AR31" s="4">
        <f t="shared" ca="1" si="110"/>
        <v>-1.1501815348445384E-2</v>
      </c>
      <c r="AS31" s="4">
        <f t="shared" ca="1" si="110"/>
        <v>-1.1407886334764864E-2</v>
      </c>
      <c r="AT31" s="4">
        <f t="shared" ca="1" si="110"/>
        <v>-1.1412426269995387E-2</v>
      </c>
      <c r="AU31" s="4">
        <f t="shared" ca="1" si="110"/>
        <v>-1.1417060162013186E-2</v>
      </c>
      <c r="AV31" s="4">
        <f t="shared" ca="1" si="110"/>
        <v>-1.1421674660491449E-2</v>
      </c>
      <c r="AW31" s="4">
        <f t="shared" ca="1" si="110"/>
        <v>-1.1426178280338303E-2</v>
      </c>
      <c r="AX31" s="4">
        <f t="shared" ca="1" si="110"/>
        <v>-1.1430491233216964E-2</v>
      </c>
      <c r="AY31" s="4">
        <f t="shared" ca="1" si="110"/>
        <v>-1.1434539740903318E-2</v>
      </c>
    </row>
    <row r="32" spans="2:52" s="3" customFormat="1">
      <c r="B32" s="10"/>
      <c r="U32" s="4"/>
      <c r="V32" s="4"/>
      <c r="W32" s="4"/>
      <c r="X32" s="4"/>
      <c r="Y32" s="4"/>
      <c r="Z32" s="114"/>
      <c r="AA32" s="114"/>
      <c r="AB32" s="114"/>
      <c r="AC32" s="114"/>
      <c r="AD32" s="114"/>
      <c r="AE32" s="114"/>
      <c r="AF32" s="114"/>
      <c r="AG32" s="114"/>
      <c r="AH32" s="114"/>
      <c r="AI32" s="114"/>
      <c r="AJ32" s="114"/>
      <c r="AK32" s="114"/>
      <c r="AL32" s="114"/>
      <c r="AM32" s="114"/>
      <c r="AN32" s="114"/>
      <c r="AO32" s="114"/>
    </row>
    <row r="33" spans="1:51" customFormat="1">
      <c r="B33" t="s">
        <v>25</v>
      </c>
      <c r="H33" s="6">
        <f>+SUM(X33:AA33)</f>
        <v>5.17187497432068</v>
      </c>
      <c r="I33" s="6">
        <f>+SUM(AB33:AE33)</f>
        <v>7.2169999999999996</v>
      </c>
      <c r="J33" s="6">
        <f>+SUM(AF33:AI33)</f>
        <v>8.963000000000001</v>
      </c>
      <c r="K33" s="6">
        <f>+SUM(AJ33:AM33)</f>
        <v>7.141</v>
      </c>
      <c r="L33" s="6">
        <f ca="1">+SUM(AN33:AQ33)</f>
        <v>6.5468862849450087</v>
      </c>
      <c r="M33" s="6">
        <f ca="1">+SUM(AR33:AU33)</f>
        <v>9.0846003265954884</v>
      </c>
      <c r="N33" s="6">
        <f ca="1">+SUM(AV33:AY33)</f>
        <v>10.263441960829709</v>
      </c>
      <c r="U33" s="6">
        <f t="shared" ref="U33:Z33" si="111">-U21+U30</f>
        <v>1.3527428654410962</v>
      </c>
      <c r="V33" s="6">
        <f t="shared" si="111"/>
        <v>1.7035767488888784</v>
      </c>
      <c r="W33" s="6">
        <f t="shared" si="111"/>
        <v>0.78751764240172006</v>
      </c>
      <c r="X33" s="6">
        <f t="shared" si="111"/>
        <v>0.9078772197900431</v>
      </c>
      <c r="Y33" s="6">
        <f t="shared" si="111"/>
        <v>1.1036098039455347</v>
      </c>
      <c r="Z33" s="81">
        <f t="shared" si="111"/>
        <v>1.4862488341803619</v>
      </c>
      <c r="AA33" s="81">
        <f t="shared" ref="AA33:AF33" si="112">-AA21+AA30</f>
        <v>1.6741391164047399</v>
      </c>
      <c r="AB33" s="81">
        <f t="shared" si="112"/>
        <v>1.4889999999999999</v>
      </c>
      <c r="AC33" s="81">
        <f t="shared" si="112"/>
        <v>1.7629999999999999</v>
      </c>
      <c r="AD33" s="81">
        <f t="shared" si="112"/>
        <v>1.742</v>
      </c>
      <c r="AE33" s="81">
        <f t="shared" si="112"/>
        <v>2.2229999999999999</v>
      </c>
      <c r="AF33" s="81">
        <f t="shared" si="112"/>
        <v>2.2390000000000003</v>
      </c>
      <c r="AG33" s="81">
        <f t="shared" ref="AG33:AL33" si="113">-AG21+AG30</f>
        <v>2.1980000000000004</v>
      </c>
      <c r="AH33" s="81">
        <f t="shared" si="113"/>
        <v>2.1390000000000002</v>
      </c>
      <c r="AI33" s="81">
        <f t="shared" si="113"/>
        <v>2.3869999999999996</v>
      </c>
      <c r="AJ33" s="81">
        <f t="shared" si="113"/>
        <v>2.2549999999999999</v>
      </c>
      <c r="AK33" s="81">
        <f t="shared" si="113"/>
        <v>1.9860000000000007</v>
      </c>
      <c r="AL33" s="81">
        <f t="shared" si="113"/>
        <v>1.5</v>
      </c>
      <c r="AM33" s="81">
        <f t="shared" ref="AM33:AN33" si="114">-AM21+AM30</f>
        <v>1.3999999999999995</v>
      </c>
      <c r="AN33" s="81">
        <f t="shared" si="114"/>
        <v>1.2000000000000002</v>
      </c>
      <c r="AO33" s="81">
        <f t="shared" ref="AO33" si="115">-AO21+AO30</f>
        <v>1.5999999999999996</v>
      </c>
      <c r="AP33" s="6">
        <f t="shared" ref="AP33:AY33" ca="1" si="116">-AP21+AP30</f>
        <v>1.7921825865208074</v>
      </c>
      <c r="AQ33" s="6">
        <f t="shared" ca="1" si="116"/>
        <v>1.9547036984242014</v>
      </c>
      <c r="AR33" s="6">
        <f t="shared" ca="1" si="116"/>
        <v>2.0998181976125583</v>
      </c>
      <c r="AS33" s="6">
        <f t="shared" ca="1" si="116"/>
        <v>2.2462451949749349</v>
      </c>
      <c r="AT33" s="6">
        <f t="shared" ca="1" si="116"/>
        <v>2.330820853195946</v>
      </c>
      <c r="AU33" s="6">
        <f t="shared" ca="1" si="116"/>
        <v>2.4077160808120501</v>
      </c>
      <c r="AV33" s="6">
        <f t="shared" ca="1" si="116"/>
        <v>2.4775183378447005</v>
      </c>
      <c r="AW33" s="6">
        <f t="shared" ca="1" si="116"/>
        <v>2.5406383486411945</v>
      </c>
      <c r="AX33" s="6">
        <f t="shared" ca="1" si="116"/>
        <v>2.5973667521284103</v>
      </c>
      <c r="AY33" s="6">
        <f t="shared" ca="1" si="116"/>
        <v>2.6479185222154031</v>
      </c>
    </row>
    <row r="34" spans="1:51" customFormat="1">
      <c r="I34" s="6"/>
      <c r="J34" s="6"/>
      <c r="T34" s="19"/>
      <c r="Z34" s="15"/>
      <c r="AA34" s="15"/>
      <c r="AB34" s="15"/>
      <c r="AC34" s="15"/>
      <c r="AD34" s="15"/>
      <c r="AE34" s="15"/>
      <c r="AF34" s="15"/>
      <c r="AG34" s="15"/>
      <c r="AH34" s="15"/>
      <c r="AI34" s="15"/>
      <c r="AJ34" s="15"/>
      <c r="AK34" s="15"/>
      <c r="AL34" s="15"/>
      <c r="AM34" s="15"/>
      <c r="AN34" s="15"/>
      <c r="AO34" s="15"/>
      <c r="AP34" s="40"/>
      <c r="AQ34" s="40"/>
      <c r="AR34" s="40"/>
      <c r="AS34" s="40"/>
      <c r="AT34" s="40"/>
      <c r="AU34" s="40"/>
      <c r="AV34" s="40"/>
      <c r="AW34" s="40"/>
      <c r="AX34" s="40"/>
      <c r="AY34" s="40"/>
    </row>
    <row r="35" spans="1:51" customFormat="1">
      <c r="B35" t="s">
        <v>31</v>
      </c>
      <c r="D35" s="19">
        <v>197.88900000000001</v>
      </c>
      <c r="E35" s="19">
        <v>282.14299999999997</v>
      </c>
      <c r="F35" s="19">
        <v>375.52600000000001</v>
      </c>
      <c r="G35" s="6">
        <f>+SUM(T35:W35)</f>
        <v>1004.36266631321</v>
      </c>
      <c r="H35" s="6">
        <f>+SUM(X35:AA35)</f>
        <v>1123.1872215806145</v>
      </c>
      <c r="I35" s="6">
        <f>+SUM(AB35:AE35)</f>
        <v>1347.1</v>
      </c>
      <c r="J35" s="6">
        <f>+SUM(AF35:AI35)</f>
        <v>1721.7</v>
      </c>
      <c r="K35" s="6">
        <f>+SUM(AJ35:AM35)</f>
        <v>2199.8000000000002</v>
      </c>
      <c r="L35" s="6">
        <f ca="1">+SUM(AN35:AQ35)</f>
        <v>2607.6426124011377</v>
      </c>
      <c r="M35" s="6">
        <f ca="1">+SUM(AR35:AU35)</f>
        <v>2690.2027031106882</v>
      </c>
      <c r="N35" s="6">
        <f ca="1">+SUM(AV35:AY35)</f>
        <v>2797.5603594642562</v>
      </c>
      <c r="T35" s="19">
        <v>236.00767747572064</v>
      </c>
      <c r="U35" s="19">
        <v>250.02480987258627</v>
      </c>
      <c r="V35" s="19">
        <v>256.55395289598329</v>
      </c>
      <c r="W35" s="19">
        <v>261.77622606891981</v>
      </c>
      <c r="X35" s="19">
        <v>268.05077825707741</v>
      </c>
      <c r="Y35" s="19">
        <v>276.97613063680853</v>
      </c>
      <c r="Z35" s="19">
        <v>281.3929475507324</v>
      </c>
      <c r="AA35" s="19">
        <v>296.76736513599604</v>
      </c>
      <c r="AB35" s="19">
        <v>320.60000000000002</v>
      </c>
      <c r="AC35" s="19">
        <v>323.89999999999998</v>
      </c>
      <c r="AD35" s="19">
        <v>340.7</v>
      </c>
      <c r="AE35" s="19">
        <v>361.9</v>
      </c>
      <c r="AF35" s="19">
        <v>366.8</v>
      </c>
      <c r="AG35" s="19">
        <v>369.6</v>
      </c>
      <c r="AH35" s="50">
        <v>478</v>
      </c>
      <c r="AI35" s="50">
        <v>507.3</v>
      </c>
      <c r="AJ35" s="50">
        <v>504.9</v>
      </c>
      <c r="AK35" s="50">
        <v>506.7</v>
      </c>
      <c r="AL35" s="50">
        <v>550.20000000000005</v>
      </c>
      <c r="AM35" s="50">
        <v>638</v>
      </c>
      <c r="AN35" s="50">
        <v>643.5</v>
      </c>
      <c r="AO35" s="50">
        <v>653.5</v>
      </c>
      <c r="AP35" s="6">
        <f t="shared" ref="AP35:AY35" ca="1" si="117">+SUM(AP38:AP39)+AP42</f>
        <v>652.80480431086812</v>
      </c>
      <c r="AQ35" s="6">
        <f t="shared" ca="1" si="117"/>
        <v>657.83780809026939</v>
      </c>
      <c r="AR35" s="6">
        <f t="shared" ca="1" si="117"/>
        <v>663.33243624668933</v>
      </c>
      <c r="AS35" s="6">
        <f t="shared" ca="1" si="117"/>
        <v>669.26765209981852</v>
      </c>
      <c r="AT35" s="6">
        <f t="shared" ca="1" si="117"/>
        <v>675.54210479847575</v>
      </c>
      <c r="AU35" s="6">
        <f t="shared" ca="1" si="117"/>
        <v>682.06050996570434</v>
      </c>
      <c r="AV35" s="6">
        <f t="shared" ca="1" si="117"/>
        <v>688.80079027866725</v>
      </c>
      <c r="AW35" s="6">
        <f t="shared" ca="1" si="117"/>
        <v>695.74233631079085</v>
      </c>
      <c r="AX35" s="6">
        <f t="shared" ca="1" si="117"/>
        <v>702.86557074145185</v>
      </c>
      <c r="AY35" s="6">
        <f t="shared" ca="1" si="117"/>
        <v>710.15166213334624</v>
      </c>
    </row>
    <row r="36" spans="1:51" customFormat="1">
      <c r="B36" s="7" t="s">
        <v>36</v>
      </c>
      <c r="D36" s="23"/>
      <c r="E36" s="23">
        <f t="shared" ref="E36:N36" si="118">+E35/D35-1</f>
        <v>0.42576393836948978</v>
      </c>
      <c r="F36" s="23">
        <f t="shared" si="118"/>
        <v>0.33097755393541584</v>
      </c>
      <c r="G36" s="23">
        <f t="shared" si="118"/>
        <v>1.6745489428513869</v>
      </c>
      <c r="H36" s="23">
        <f t="shared" si="118"/>
        <v>0.118308415130147</v>
      </c>
      <c r="I36" s="23">
        <f t="shared" si="118"/>
        <v>0.1993548129084679</v>
      </c>
      <c r="J36" s="23">
        <f t="shared" si="118"/>
        <v>0.27807883601811301</v>
      </c>
      <c r="K36" s="23">
        <f t="shared" si="118"/>
        <v>0.27769065458558417</v>
      </c>
      <c r="L36" s="23">
        <f t="shared" ca="1" si="118"/>
        <v>0.1853998601696234</v>
      </c>
      <c r="M36" s="23">
        <f t="shared" ca="1" si="118"/>
        <v>3.1660815142734888E-2</v>
      </c>
      <c r="N36" s="23">
        <f t="shared" ca="1" si="118"/>
        <v>3.9906902267784483E-2</v>
      </c>
      <c r="U36" s="19"/>
      <c r="V36" s="19"/>
      <c r="W36" s="19"/>
      <c r="X36" s="23"/>
      <c r="Y36" s="23"/>
      <c r="Z36" s="48"/>
      <c r="AA36" s="48"/>
      <c r="AB36" s="48"/>
      <c r="AC36" s="48"/>
      <c r="AD36" s="48"/>
      <c r="AE36" s="48"/>
      <c r="AF36" s="48"/>
      <c r="AG36" s="48"/>
      <c r="AH36" s="48"/>
      <c r="AI36" s="48"/>
      <c r="AJ36" s="48"/>
      <c r="AK36" s="48"/>
      <c r="AL36" s="48"/>
      <c r="AM36" s="48"/>
      <c r="AN36" s="48"/>
      <c r="AO36" s="48"/>
      <c r="AP36" s="23">
        <f t="shared" ref="AP36" ca="1" si="119">+AP35/AL35-1</f>
        <v>0.18648637642833155</v>
      </c>
      <c r="AQ36" s="23">
        <f t="shared" ref="AQ36" ca="1" si="120">+AQ35/AM35-1</f>
        <v>3.1093743088196568E-2</v>
      </c>
      <c r="AR36" s="23">
        <f t="shared" ref="AR36" ca="1" si="121">+AR35/AN35-1</f>
        <v>3.0819636746991952E-2</v>
      </c>
      <c r="AS36" s="23">
        <f t="shared" ref="AS36" ca="1" si="122">+AS35/AO35-1</f>
        <v>2.4128006273631986E-2</v>
      </c>
      <c r="AT36" s="23">
        <f t="shared" ref="AT36" ca="1" si="123">+AT35/AP35-1</f>
        <v>3.4830167206888474E-2</v>
      </c>
      <c r="AU36" s="23">
        <f t="shared" ref="AU36" ca="1" si="124">+AU35/AQ35-1</f>
        <v>3.6821693094464258E-2</v>
      </c>
      <c r="AV36" s="23">
        <f t="shared" ref="AV36" ca="1" si="125">+AV35/AR35-1</f>
        <v>3.83945554902827E-2</v>
      </c>
      <c r="AW36" s="23">
        <f t="shared" ref="AW36" ca="1" si="126">+AW35/AS35-1</f>
        <v>3.9557692842181025E-2</v>
      </c>
      <c r="AX36" s="23">
        <f t="shared" ref="AX36" ca="1" si="127">+AX35/AT35-1</f>
        <v>4.0446725302380804E-2</v>
      </c>
      <c r="AY36" s="23">
        <f t="shared" ref="AY36" ca="1" si="128">+AY35/AU35-1</f>
        <v>4.1185718506198787E-2</v>
      </c>
    </row>
    <row r="37" spans="1:51" customFormat="1">
      <c r="B37" s="7" t="s">
        <v>37</v>
      </c>
      <c r="J37" s="3"/>
      <c r="K37" s="3"/>
      <c r="L37" s="3"/>
      <c r="M37" s="3"/>
      <c r="N37" s="3"/>
      <c r="U37" s="19"/>
      <c r="V37" s="23"/>
      <c r="W37" s="23"/>
      <c r="X37" s="23"/>
      <c r="Y37" s="23"/>
      <c r="Z37" s="48"/>
      <c r="AA37" s="48"/>
      <c r="AB37" s="48"/>
      <c r="AC37" s="48"/>
      <c r="AD37" s="48"/>
      <c r="AE37" s="48"/>
      <c r="AF37" s="48"/>
      <c r="AG37" s="48"/>
      <c r="AH37" s="48"/>
      <c r="AI37" s="48"/>
      <c r="AJ37" s="48"/>
      <c r="AK37" s="48"/>
      <c r="AL37" s="48"/>
      <c r="AM37" s="48"/>
      <c r="AN37" s="48"/>
      <c r="AO37" s="48"/>
      <c r="AP37" s="23">
        <f t="shared" ref="AP37" ca="1" si="129">+AP35/AO35-1</f>
        <v>-1.0638036559018627E-3</v>
      </c>
      <c r="AQ37" s="23">
        <f t="shared" ref="AQ37" ca="1" si="130">+AQ35/AP35-1</f>
        <v>7.7098142448788209E-3</v>
      </c>
      <c r="AR37" s="23">
        <f t="shared" ref="AR37" ca="1" si="131">+AR35/AQ35-1</f>
        <v>8.3525575587866108E-3</v>
      </c>
      <c r="AS37" s="23">
        <f t="shared" ref="AS37" ca="1" si="132">+AS35/AR35-1</f>
        <v>8.9475736882582702E-3</v>
      </c>
      <c r="AT37" s="23">
        <f t="shared" ref="AT37" ca="1" si="133">+AT35/AS35-1</f>
        <v>9.3751022912451631E-3</v>
      </c>
      <c r="AU37" s="23">
        <f t="shared" ref="AU37" ca="1" si="134">+AU35/AT35-1</f>
        <v>9.6491471381685567E-3</v>
      </c>
      <c r="AV37" s="23">
        <f t="shared" ref="AV37" ca="1" si="135">+AV35/AU35-1</f>
        <v>9.8822321692568771E-3</v>
      </c>
      <c r="AW37" s="23">
        <f t="shared" ref="AW37" ca="1" si="136">+AW35/AV35-1</f>
        <v>1.0077726579429847E-2</v>
      </c>
      <c r="AX37" s="23">
        <f t="shared" ref="AX37" ca="1" si="137">+AX35/AW35-1</f>
        <v>1.0238322520995879E-2</v>
      </c>
      <c r="AY37" s="23">
        <f t="shared" ref="AY37" ca="1" si="138">+AY35/AX35-1</f>
        <v>1.0366265890941806E-2</v>
      </c>
    </row>
    <row r="38" spans="1:51" customFormat="1">
      <c r="B38" t="s">
        <v>35</v>
      </c>
      <c r="F38" s="18">
        <f>+F35-F39-F40</f>
        <v>371.202</v>
      </c>
      <c r="G38" s="18">
        <f>+G35-G39-G40</f>
        <v>991.12066631320988</v>
      </c>
      <c r="H38" s="6">
        <f>+SUM(X38:AA38)</f>
        <v>0</v>
      </c>
      <c r="I38" s="6"/>
      <c r="J38" s="6"/>
      <c r="K38" s="6">
        <f>+SUM(AJ38:AM38)</f>
        <v>0</v>
      </c>
      <c r="L38" s="6">
        <f ca="1">+SUM(AN38:AQ38)</f>
        <v>1036.4820249011375</v>
      </c>
      <c r="M38" s="6">
        <f ca="1">+SUM(AR38:AU38)</f>
        <v>2152.8132668049498</v>
      </c>
      <c r="N38" s="6">
        <f ca="1">+SUM(AV38:AY38)</f>
        <v>2269.758504662037</v>
      </c>
      <c r="U38" s="18"/>
      <c r="V38" s="18"/>
      <c r="W38" s="18"/>
      <c r="X38" s="18"/>
      <c r="Y38" s="18"/>
      <c r="Z38" s="111"/>
      <c r="AA38" s="111"/>
      <c r="AB38" s="111"/>
      <c r="AC38" s="111"/>
      <c r="AD38" s="111"/>
      <c r="AE38" s="111"/>
      <c r="AF38" s="111"/>
      <c r="AG38" s="111"/>
      <c r="AH38" s="111"/>
      <c r="AI38" s="111"/>
      <c r="AJ38" s="111"/>
      <c r="AK38" s="111"/>
      <c r="AL38" s="111"/>
      <c r="AM38" s="111"/>
      <c r="AN38" s="111"/>
      <c r="AO38" s="111"/>
      <c r="AP38" s="18">
        <f t="shared" ref="AP38:AY38" ca="1" si="139">+AP85+AP131+AP177+AP223+AP268</f>
        <v>514.5123043108681</v>
      </c>
      <c r="AQ38" s="18">
        <f t="shared" ca="1" si="139"/>
        <v>521.96972059026939</v>
      </c>
      <c r="AR38" s="18">
        <f t="shared" ca="1" si="139"/>
        <v>528.07568918418929</v>
      </c>
      <c r="AS38" s="18">
        <f t="shared" ca="1" si="139"/>
        <v>534.61918877263099</v>
      </c>
      <c r="AT38" s="18">
        <f t="shared" ca="1" si="139"/>
        <v>541.49888378792411</v>
      </c>
      <c r="AU38" s="18">
        <f t="shared" ca="1" si="139"/>
        <v>548.61950506020548</v>
      </c>
      <c r="AV38" s="18">
        <f t="shared" ca="1" si="139"/>
        <v>555.95899039769597</v>
      </c>
      <c r="AW38" s="18">
        <f t="shared" ca="1" si="139"/>
        <v>563.49674542922435</v>
      </c>
      <c r="AX38" s="18">
        <f t="shared" ca="1" si="139"/>
        <v>571.21320781429324</v>
      </c>
      <c r="AY38" s="18">
        <f t="shared" ca="1" si="139"/>
        <v>579.08956102082334</v>
      </c>
    </row>
    <row r="39" spans="1:51" customFormat="1">
      <c r="B39" t="s">
        <v>34</v>
      </c>
      <c r="F39" s="19">
        <v>10.840999999999999</v>
      </c>
      <c r="G39" s="19">
        <v>20.138000000000002</v>
      </c>
      <c r="H39" s="6">
        <f>+SUM(X39:AA39)</f>
        <v>0</v>
      </c>
      <c r="I39" s="6"/>
      <c r="J39" s="6"/>
      <c r="K39" s="6">
        <f>+SUM(AJ39:AM39)</f>
        <v>0</v>
      </c>
      <c r="L39" s="6">
        <f>+SUM(AN39:AQ39)</f>
        <v>27.200000000000038</v>
      </c>
      <c r="M39" s="6">
        <f>+SUM(AR39:AU39)</f>
        <v>54.400000000000077</v>
      </c>
      <c r="N39" s="6">
        <f>+SUM(AV39:AY39)</f>
        <v>54.400000000000077</v>
      </c>
      <c r="U39" s="81"/>
      <c r="V39" s="81"/>
      <c r="W39" s="81"/>
      <c r="X39" s="81"/>
      <c r="Y39" s="81"/>
      <c r="Z39" s="81"/>
      <c r="AA39" s="81"/>
      <c r="AB39" s="81"/>
      <c r="AC39" s="81"/>
      <c r="AD39" s="81"/>
      <c r="AE39" s="81"/>
      <c r="AF39" s="81"/>
      <c r="AG39" s="81"/>
      <c r="AH39" s="81"/>
      <c r="AI39" s="81"/>
      <c r="AJ39" s="81"/>
      <c r="AK39" s="81"/>
      <c r="AL39" s="81"/>
      <c r="AM39" s="81"/>
      <c r="AN39" s="81"/>
      <c r="AO39" s="81"/>
      <c r="AP39" s="18">
        <f t="shared" ref="AP39:AY39" si="140">+AP86+AP132+AP178+AP224+AP269</f>
        <v>13.600000000000019</v>
      </c>
      <c r="AQ39" s="18">
        <f t="shared" si="140"/>
        <v>13.600000000000019</v>
      </c>
      <c r="AR39" s="18">
        <f t="shared" si="140"/>
        <v>13.600000000000019</v>
      </c>
      <c r="AS39" s="18">
        <f t="shared" si="140"/>
        <v>13.600000000000019</v>
      </c>
      <c r="AT39" s="18">
        <f t="shared" si="140"/>
        <v>13.600000000000019</v>
      </c>
      <c r="AU39" s="18">
        <f t="shared" si="140"/>
        <v>13.600000000000019</v>
      </c>
      <c r="AV39" s="18">
        <f t="shared" si="140"/>
        <v>13.600000000000019</v>
      </c>
      <c r="AW39" s="18">
        <f t="shared" si="140"/>
        <v>13.600000000000019</v>
      </c>
      <c r="AX39" s="18">
        <f t="shared" si="140"/>
        <v>13.600000000000019</v>
      </c>
      <c r="AY39" s="18">
        <f t="shared" si="140"/>
        <v>13.600000000000019</v>
      </c>
    </row>
    <row r="40" spans="1:51" s="3" customFormat="1">
      <c r="B40" s="3" t="s">
        <v>39</v>
      </c>
      <c r="F40" s="19">
        <v>-6.5170000000000003</v>
      </c>
      <c r="G40" s="19">
        <v>-6.8959999999999999</v>
      </c>
      <c r="H40" s="40">
        <f>+SUM(X40:AA40)</f>
        <v>0</v>
      </c>
      <c r="I40" s="40"/>
      <c r="J40" s="40"/>
      <c r="K40" s="40">
        <f>+SUM(AJ40:AM40)</f>
        <v>0</v>
      </c>
      <c r="L40" s="40">
        <f ca="1">+SUM(AN40:AQ40)</f>
        <v>0</v>
      </c>
      <c r="M40" s="40">
        <f ca="1">+SUM(AR40:AU40)</f>
        <v>0</v>
      </c>
      <c r="N40" s="40">
        <f ca="1">+SUM(AV40:AY40)</f>
        <v>0</v>
      </c>
      <c r="U40" s="40"/>
      <c r="V40" s="40"/>
      <c r="W40" s="40"/>
      <c r="X40" s="40"/>
      <c r="Y40" s="40"/>
      <c r="Z40" s="115"/>
      <c r="AA40" s="115"/>
      <c r="AB40" s="115"/>
      <c r="AC40" s="115"/>
      <c r="AD40" s="115"/>
      <c r="AE40" s="115"/>
      <c r="AF40" s="115"/>
      <c r="AG40" s="115"/>
      <c r="AH40" s="115"/>
      <c r="AI40" s="115"/>
      <c r="AJ40" s="115"/>
      <c r="AK40" s="115"/>
      <c r="AL40" s="115"/>
      <c r="AM40" s="115"/>
      <c r="AN40" s="115"/>
      <c r="AO40" s="115"/>
      <c r="AP40" s="115">
        <f t="shared" ref="AP40:AY40" ca="1" si="141">+AP35-AP38-AP39-AP42</f>
        <v>0</v>
      </c>
      <c r="AQ40" s="115">
        <f t="shared" ca="1" si="141"/>
        <v>0</v>
      </c>
      <c r="AR40" s="115">
        <f t="shared" ca="1" si="141"/>
        <v>0</v>
      </c>
      <c r="AS40" s="115">
        <f t="shared" ca="1" si="141"/>
        <v>0</v>
      </c>
      <c r="AT40" s="115">
        <f t="shared" ca="1" si="141"/>
        <v>0</v>
      </c>
      <c r="AU40" s="115">
        <f t="shared" ca="1" si="141"/>
        <v>0</v>
      </c>
      <c r="AV40" s="115">
        <f t="shared" ca="1" si="141"/>
        <v>0</v>
      </c>
      <c r="AW40" s="115">
        <f t="shared" ca="1" si="141"/>
        <v>0</v>
      </c>
      <c r="AX40" s="115">
        <f t="shared" ca="1" si="141"/>
        <v>0</v>
      </c>
      <c r="AY40" s="115">
        <f t="shared" ca="1" si="141"/>
        <v>0</v>
      </c>
    </row>
    <row r="41" spans="1:51" s="3" customFormat="1">
      <c r="F41" s="19"/>
      <c r="G41" s="19"/>
      <c r="H41" s="40"/>
      <c r="I41" s="40"/>
      <c r="J41" s="40"/>
      <c r="K41" s="40"/>
      <c r="L41" s="40"/>
      <c r="M41" s="40"/>
      <c r="N41" s="40"/>
      <c r="U41" s="40"/>
      <c r="V41" s="40"/>
      <c r="W41" s="40"/>
      <c r="X41" s="40"/>
      <c r="Y41" s="40"/>
      <c r="Z41" s="115"/>
      <c r="AA41" s="115"/>
      <c r="AB41" s="115"/>
      <c r="AC41" s="115"/>
      <c r="AD41" s="115"/>
      <c r="AE41" s="115"/>
      <c r="AF41" s="115"/>
      <c r="AG41" s="115"/>
      <c r="AH41" s="115"/>
      <c r="AI41" s="115"/>
      <c r="AJ41" s="115"/>
      <c r="AK41" s="115"/>
      <c r="AL41" s="115"/>
      <c r="AM41" s="115"/>
      <c r="AN41" s="115"/>
      <c r="AO41" s="115"/>
      <c r="AP41" s="50"/>
      <c r="AQ41" s="50"/>
      <c r="AR41" s="50"/>
      <c r="AS41" s="50"/>
      <c r="AT41" s="50"/>
      <c r="AU41" s="50"/>
      <c r="AV41" s="50"/>
      <c r="AW41" s="50"/>
      <c r="AX41" s="50"/>
      <c r="AY41" s="50"/>
    </row>
    <row r="42" spans="1:51" s="5" customFormat="1">
      <c r="B42" s="5" t="s">
        <v>395</v>
      </c>
      <c r="F42" s="38"/>
      <c r="G42" s="38"/>
      <c r="H42" s="37"/>
      <c r="I42" s="37"/>
      <c r="J42" s="37"/>
      <c r="K42" s="37"/>
      <c r="L42" s="37"/>
      <c r="M42" s="37"/>
      <c r="N42" s="37"/>
      <c r="U42" s="37"/>
      <c r="V42" s="37"/>
      <c r="W42" s="37"/>
      <c r="X42" s="37"/>
      <c r="Y42" s="37"/>
      <c r="Z42" s="96"/>
      <c r="AA42" s="96"/>
      <c r="AB42" s="96"/>
      <c r="AC42" s="96"/>
      <c r="AD42" s="96"/>
      <c r="AE42" s="96"/>
      <c r="AF42" s="96"/>
      <c r="AG42" s="96"/>
      <c r="AH42" s="36">
        <v>96.09999999999998</v>
      </c>
      <c r="AI42" s="291">
        <v>117.2</v>
      </c>
      <c r="AJ42" s="291">
        <v>112.2</v>
      </c>
      <c r="AK42" s="291">
        <v>107.9</v>
      </c>
      <c r="AL42" s="291">
        <f t="shared" ref="AL42:AY42" si="142">+AL88+AL134+AL180+AL226+AL280+AL271+AL276</f>
        <v>79.3</v>
      </c>
      <c r="AM42" s="291">
        <f t="shared" si="142"/>
        <v>128.9</v>
      </c>
      <c r="AN42" s="291">
        <f t="shared" ref="AN42:AO42" si="143">+AN88+AN134+AN180+AN226+AN280+AN271+AN276</f>
        <v>127.7</v>
      </c>
      <c r="AO42" s="291">
        <f t="shared" si="143"/>
        <v>123.5</v>
      </c>
      <c r="AP42" s="291">
        <f t="shared" si="142"/>
        <v>124.6925</v>
      </c>
      <c r="AQ42" s="291">
        <f t="shared" si="142"/>
        <v>122.26808749999999</v>
      </c>
      <c r="AR42" s="291">
        <f t="shared" si="142"/>
        <v>121.65674706249999</v>
      </c>
      <c r="AS42" s="291">
        <f t="shared" si="142"/>
        <v>121.04846332718749</v>
      </c>
      <c r="AT42" s="291">
        <f t="shared" si="142"/>
        <v>120.44322101055155</v>
      </c>
      <c r="AU42" s="291">
        <f t="shared" si="142"/>
        <v>119.84100490549879</v>
      </c>
      <c r="AV42" s="291">
        <f t="shared" si="142"/>
        <v>119.2417998809713</v>
      </c>
      <c r="AW42" s="291">
        <f t="shared" si="142"/>
        <v>118.64559088156645</v>
      </c>
      <c r="AX42" s="291">
        <f t="shared" si="142"/>
        <v>118.05236292715861</v>
      </c>
      <c r="AY42" s="291">
        <f t="shared" si="142"/>
        <v>117.46210111252282</v>
      </c>
    </row>
    <row r="43" spans="1:51" customFormat="1">
      <c r="W43" s="6"/>
      <c r="X43" s="6"/>
      <c r="Y43" s="6"/>
      <c r="Z43" s="15"/>
      <c r="AA43" s="15"/>
      <c r="AB43" s="15"/>
      <c r="AC43" s="15"/>
      <c r="AD43" s="15"/>
      <c r="AE43" s="15"/>
      <c r="AF43" s="15"/>
      <c r="AG43" s="15"/>
      <c r="AH43" s="15"/>
      <c r="AI43" s="15"/>
      <c r="AJ43" s="15"/>
      <c r="AK43" s="15"/>
      <c r="AL43" s="6"/>
      <c r="AM43" s="6"/>
      <c r="AN43" s="6"/>
      <c r="AO43" s="6"/>
      <c r="AP43" s="6"/>
      <c r="AQ43" s="6"/>
      <c r="AR43" s="6"/>
      <c r="AS43" s="6"/>
      <c r="AT43" s="6"/>
      <c r="AU43" s="6"/>
      <c r="AV43" s="6"/>
      <c r="AW43" s="6"/>
      <c r="AX43" s="6"/>
      <c r="AY43" s="6"/>
    </row>
    <row r="44" spans="1:51" s="1" customFormat="1">
      <c r="A44" s="27" t="s">
        <v>40</v>
      </c>
      <c r="B44" s="149" t="s">
        <v>406</v>
      </c>
      <c r="T44" s="33" t="str">
        <f>+T$3</f>
        <v>1Q13</v>
      </c>
      <c r="U44" s="33" t="str">
        <f t="shared" ref="U44:AY44" si="144">+U$3</f>
        <v>2Q13</v>
      </c>
      <c r="V44" s="33" t="str">
        <f t="shared" si="144"/>
        <v>3Q13</v>
      </c>
      <c r="W44" s="33" t="str">
        <f t="shared" si="144"/>
        <v>4Q13</v>
      </c>
      <c r="X44" s="33" t="str">
        <f t="shared" si="144"/>
        <v>1Q14</v>
      </c>
      <c r="Y44" s="33" t="str">
        <f t="shared" si="144"/>
        <v>2Q14</v>
      </c>
      <c r="Z44" s="33" t="str">
        <f t="shared" si="144"/>
        <v>3Q14</v>
      </c>
      <c r="AA44" s="33" t="str">
        <f t="shared" si="144"/>
        <v>4Q14</v>
      </c>
      <c r="AB44" s="33" t="str">
        <f t="shared" si="144"/>
        <v>1Q15</v>
      </c>
      <c r="AC44" s="33" t="str">
        <f t="shared" si="144"/>
        <v>2Q15</v>
      </c>
      <c r="AD44" s="33" t="str">
        <f t="shared" si="144"/>
        <v>3Q15</v>
      </c>
      <c r="AE44" s="33" t="str">
        <f t="shared" si="144"/>
        <v>4Q15</v>
      </c>
      <c r="AF44" s="33" t="str">
        <f t="shared" si="144"/>
        <v>1Q16</v>
      </c>
      <c r="AG44" s="33" t="str">
        <f t="shared" si="144"/>
        <v>2Q16</v>
      </c>
      <c r="AH44" s="33" t="str">
        <f t="shared" si="144"/>
        <v>3Q16</v>
      </c>
      <c r="AI44" s="33" t="str">
        <f t="shared" si="144"/>
        <v>4Q16</v>
      </c>
      <c r="AJ44" s="33" t="str">
        <f t="shared" si="144"/>
        <v>1Q17</v>
      </c>
      <c r="AK44" s="33" t="str">
        <f t="shared" si="144"/>
        <v>2Q17</v>
      </c>
      <c r="AL44" s="33" t="str">
        <f t="shared" si="144"/>
        <v>3Q17</v>
      </c>
      <c r="AM44" s="33" t="str">
        <f t="shared" si="144"/>
        <v>4Q17</v>
      </c>
      <c r="AN44" s="33" t="str">
        <f t="shared" si="144"/>
        <v>1Q18</v>
      </c>
      <c r="AO44" s="33" t="str">
        <f t="shared" si="144"/>
        <v>2Q18</v>
      </c>
      <c r="AP44" s="33" t="str">
        <f t="shared" si="144"/>
        <v>3Q18E</v>
      </c>
      <c r="AQ44" s="33" t="str">
        <f t="shared" si="144"/>
        <v>4Q18E</v>
      </c>
      <c r="AR44" s="33" t="str">
        <f t="shared" si="144"/>
        <v>1Q19E</v>
      </c>
      <c r="AS44" s="33" t="str">
        <f t="shared" si="144"/>
        <v>2Q19E</v>
      </c>
      <c r="AT44" s="33" t="str">
        <f t="shared" si="144"/>
        <v>3Q19E</v>
      </c>
      <c r="AU44" s="33" t="str">
        <f t="shared" si="144"/>
        <v>4Q19E</v>
      </c>
      <c r="AV44" s="33" t="str">
        <f t="shared" si="144"/>
        <v>1Q20E</v>
      </c>
      <c r="AW44" s="33" t="str">
        <f t="shared" si="144"/>
        <v>2Q20E</v>
      </c>
      <c r="AX44" s="33" t="str">
        <f t="shared" si="144"/>
        <v>3Q20E</v>
      </c>
      <c r="AY44" s="33" t="str">
        <f t="shared" si="144"/>
        <v>4Q20E</v>
      </c>
    </row>
    <row r="45" spans="1:51" customFormat="1">
      <c r="O45" s="3"/>
      <c r="P45" s="3"/>
      <c r="Q45" s="3"/>
      <c r="R45" s="3"/>
      <c r="S45" s="3"/>
      <c r="T45" s="3"/>
      <c r="U45" s="3"/>
      <c r="V45" s="3"/>
      <c r="W45" s="3"/>
      <c r="X45" s="3"/>
      <c r="Y45" s="3"/>
      <c r="Z45" s="3"/>
      <c r="AA45" s="3"/>
      <c r="AB45" s="3"/>
      <c r="AC45" s="3"/>
      <c r="AD45" s="3"/>
      <c r="AE45" s="3"/>
      <c r="AF45" s="3"/>
      <c r="AG45" s="3"/>
      <c r="AH45" s="3"/>
      <c r="AI45" s="3"/>
      <c r="AJ45" s="3"/>
      <c r="AK45" s="3"/>
    </row>
    <row r="46" spans="1:51" customFormat="1">
      <c r="B46" t="s">
        <v>41</v>
      </c>
      <c r="U46" s="19"/>
      <c r="V46" s="19"/>
      <c r="W46" s="19"/>
      <c r="X46" s="19"/>
      <c r="Y46" s="146"/>
      <c r="Z46" s="146"/>
      <c r="AA46" s="146"/>
      <c r="AB46" s="146"/>
      <c r="AC46" s="146"/>
      <c r="AD46" s="146"/>
      <c r="AE46" s="146"/>
      <c r="AF46" s="146"/>
      <c r="AG46" s="146"/>
      <c r="AH46" s="146"/>
      <c r="AI46" s="146"/>
      <c r="AJ46" s="146"/>
      <c r="AK46" s="146">
        <f t="shared" ref="AK46:AO46" si="145">+AK47/3</f>
        <v>57.522777777777783</v>
      </c>
      <c r="AL46" s="146">
        <f t="shared" si="145"/>
        <v>59.044444444444451</v>
      </c>
      <c r="AM46" s="146">
        <f t="shared" si="145"/>
        <v>61.909444444444439</v>
      </c>
      <c r="AN46" s="146">
        <f t="shared" si="145"/>
        <v>63.19</v>
      </c>
      <c r="AO46" s="146">
        <f t="shared" si="145"/>
        <v>64.39</v>
      </c>
      <c r="AP46" s="6">
        <f t="shared" ref="AP46:AY46" si="146">+AO46+AO80+AO88/3</f>
        <v>65.668000000000006</v>
      </c>
      <c r="AQ46" s="6">
        <f t="shared" ca="1" si="146"/>
        <v>67.855872272066534</v>
      </c>
      <c r="AR46" s="6">
        <f t="shared" ca="1" si="146"/>
        <v>69.473252408031726</v>
      </c>
      <c r="AS46" s="6">
        <f t="shared" ca="1" si="146"/>
        <v>71.133840571795005</v>
      </c>
      <c r="AT46" s="6">
        <f t="shared" ca="1" si="146"/>
        <v>72.836899303625231</v>
      </c>
      <c r="AU46" s="6">
        <f t="shared" ca="1" si="146"/>
        <v>74.581650716279057</v>
      </c>
      <c r="AV46" s="6">
        <f t="shared" ca="1" si="146"/>
        <v>76.367280543290534</v>
      </c>
      <c r="AW46" s="6">
        <f t="shared" ca="1" si="146"/>
        <v>78.192941623762465</v>
      </c>
      <c r="AX46" s="6">
        <f t="shared" ca="1" si="146"/>
        <v>80.057756963158866</v>
      </c>
      <c r="AY46" s="6">
        <f t="shared" ca="1" si="146"/>
        <v>81.960822473412676</v>
      </c>
    </row>
    <row r="47" spans="1:51" customFormat="1">
      <c r="B47" t="s">
        <v>42</v>
      </c>
      <c r="U47" s="18"/>
      <c r="V47" s="18"/>
      <c r="W47" s="18"/>
      <c r="X47" s="18"/>
      <c r="Y47" s="18"/>
      <c r="Z47" s="111"/>
      <c r="AA47" s="111"/>
      <c r="AB47" s="111"/>
      <c r="AC47" s="111"/>
      <c r="AD47" s="111"/>
      <c r="AE47" s="111"/>
      <c r="AF47" s="111"/>
      <c r="AG47" s="111"/>
      <c r="AH47" s="111"/>
      <c r="AI47" s="111"/>
      <c r="AJ47" s="18"/>
      <c r="AK47" s="111">
        <f>+AK49-AK48</f>
        <v>172.56833333333336</v>
      </c>
      <c r="AL47" s="111">
        <f>+AL49-AL48</f>
        <v>177.13333333333335</v>
      </c>
      <c r="AM47" s="111">
        <f>+AM49-AM48</f>
        <v>185.72833333333332</v>
      </c>
      <c r="AN47" s="111">
        <f>+AN49-AN48</f>
        <v>189.57</v>
      </c>
      <c r="AO47" s="111">
        <f>+AO49-AO48</f>
        <v>193.17000000000002</v>
      </c>
      <c r="AP47" s="18">
        <f t="shared" ref="AP47:AY47" si="147">+AP46*3</f>
        <v>197.00400000000002</v>
      </c>
      <c r="AQ47" s="18">
        <f t="shared" ca="1" si="147"/>
        <v>203.5676168161996</v>
      </c>
      <c r="AR47" s="18">
        <f t="shared" ca="1" si="147"/>
        <v>208.41975722409518</v>
      </c>
      <c r="AS47" s="18">
        <f t="shared" ca="1" si="147"/>
        <v>213.401521715385</v>
      </c>
      <c r="AT47" s="18">
        <f t="shared" ca="1" si="147"/>
        <v>218.51069791087571</v>
      </c>
      <c r="AU47" s="18">
        <f t="shared" ca="1" si="147"/>
        <v>223.74495214883717</v>
      </c>
      <c r="AV47" s="18">
        <f t="shared" ca="1" si="147"/>
        <v>229.10184162987161</v>
      </c>
      <c r="AW47" s="18">
        <f t="shared" ca="1" si="147"/>
        <v>234.5788248712874</v>
      </c>
      <c r="AX47" s="18">
        <f t="shared" ca="1" si="147"/>
        <v>240.17327088947661</v>
      </c>
      <c r="AY47" s="18">
        <f t="shared" ca="1" si="147"/>
        <v>245.88246742023802</v>
      </c>
    </row>
    <row r="48" spans="1:51" customFormat="1">
      <c r="B48" t="s">
        <v>43</v>
      </c>
      <c r="U48" s="18"/>
      <c r="V48" s="18"/>
      <c r="W48" s="18"/>
      <c r="X48" s="18"/>
      <c r="Y48" s="18"/>
      <c r="Z48" s="111"/>
      <c r="AA48" s="111"/>
      <c r="AB48" s="111"/>
      <c r="AC48" s="111"/>
      <c r="AD48" s="111"/>
      <c r="AE48" s="111"/>
      <c r="AF48" s="111"/>
      <c r="AG48" s="111"/>
      <c r="AH48" s="111"/>
      <c r="AI48" s="111"/>
      <c r="AJ48" s="18"/>
      <c r="AK48" s="111">
        <f t="shared" ref="AK48" si="148">AK80*(5/3)</f>
        <v>1.131666666666667</v>
      </c>
      <c r="AL48" s="111">
        <f>AL80*(5/3)</f>
        <v>1.6666666666666667</v>
      </c>
      <c r="AM48" s="111">
        <f>AM80*(5/3)</f>
        <v>1.7716666666666667</v>
      </c>
      <c r="AN48" s="111">
        <f>AN80*(5/3)</f>
        <v>2.1300000000000003</v>
      </c>
      <c r="AO48" s="111">
        <f>AO80*(5/3)</f>
        <v>2.1300000000000003</v>
      </c>
      <c r="AP48" s="18">
        <f t="shared" ref="AP48:AY48" ca="1" si="149">AP80*(5/3)</f>
        <v>2.6408982312219851</v>
      </c>
      <c r="AQ48" s="18">
        <f t="shared" ca="1" si="149"/>
        <v>2.6956335599419927</v>
      </c>
      <c r="AR48" s="18">
        <f t="shared" ca="1" si="149"/>
        <v>2.7676469396054726</v>
      </c>
      <c r="AS48" s="18">
        <f t="shared" ca="1" si="149"/>
        <v>2.8384312197170445</v>
      </c>
      <c r="AT48" s="18">
        <f t="shared" ca="1" si="149"/>
        <v>2.9079190210897008</v>
      </c>
      <c r="AU48" s="18">
        <f t="shared" ca="1" si="149"/>
        <v>2.9760497116858038</v>
      </c>
      <c r="AV48" s="18">
        <f t="shared" ca="1" si="149"/>
        <v>3.0427684674532145</v>
      </c>
      <c r="AW48" s="18">
        <f t="shared" ca="1" si="149"/>
        <v>3.1080255656606681</v>
      </c>
      <c r="AX48" s="18">
        <f t="shared" ca="1" si="149"/>
        <v>3.1717758504230273</v>
      </c>
      <c r="AY48" s="18">
        <f t="shared" ca="1" si="149"/>
        <v>3.2339783253273104</v>
      </c>
    </row>
    <row r="49" spans="2:51" customFormat="1">
      <c r="B49" t="s">
        <v>44</v>
      </c>
      <c r="U49" s="18"/>
      <c r="V49" s="18"/>
      <c r="W49" s="18"/>
      <c r="X49" s="18"/>
      <c r="Y49" s="18"/>
      <c r="Z49" s="111"/>
      <c r="AA49" s="111"/>
      <c r="AB49" s="146"/>
      <c r="AC49" s="146"/>
      <c r="AD49" s="146"/>
      <c r="AE49" s="146"/>
      <c r="AF49" s="146"/>
      <c r="AG49" s="146"/>
      <c r="AH49" s="146"/>
      <c r="AI49" s="146"/>
      <c r="AJ49" s="18"/>
      <c r="AK49" s="146">
        <f>+SUM(AK51:AK52)</f>
        <v>173.70000000000002</v>
      </c>
      <c r="AL49" s="146">
        <f>+SUM(AL51:AL52)</f>
        <v>178.8</v>
      </c>
      <c r="AM49" s="146">
        <f>+SUM(AM51:AM52)</f>
        <v>187.5</v>
      </c>
      <c r="AN49" s="146">
        <f>+SUM(AN51:AN52)</f>
        <v>191.7</v>
      </c>
      <c r="AO49" s="146">
        <f>+SUM(AO51:AO52)</f>
        <v>195.3</v>
      </c>
      <c r="AP49" s="18">
        <f t="shared" ref="AP49:AY49" ca="1" si="150">+AP47+AP48</f>
        <v>199.64489823122202</v>
      </c>
      <c r="AQ49" s="18">
        <f t="shared" ca="1" si="150"/>
        <v>206.2632503761416</v>
      </c>
      <c r="AR49" s="18">
        <f t="shared" ca="1" si="150"/>
        <v>211.18740416370065</v>
      </c>
      <c r="AS49" s="18">
        <f t="shared" ca="1" si="150"/>
        <v>216.23995293510205</v>
      </c>
      <c r="AT49" s="18">
        <f t="shared" ca="1" si="150"/>
        <v>221.4186169319654</v>
      </c>
      <c r="AU49" s="18">
        <f t="shared" ca="1" si="150"/>
        <v>226.72100186052299</v>
      </c>
      <c r="AV49" s="18">
        <f t="shared" ca="1" si="150"/>
        <v>232.14461009732483</v>
      </c>
      <c r="AW49" s="18">
        <f t="shared" ca="1" si="150"/>
        <v>237.68685043694808</v>
      </c>
      <c r="AX49" s="18">
        <f t="shared" ca="1" si="150"/>
        <v>243.34504673989963</v>
      </c>
      <c r="AY49" s="18">
        <f t="shared" ca="1" si="150"/>
        <v>249.11644574556533</v>
      </c>
    </row>
    <row r="50" spans="2:51" customFormat="1">
      <c r="U50" s="19"/>
      <c r="V50" s="19"/>
      <c r="W50" s="19"/>
      <c r="X50" s="19"/>
      <c r="Y50" s="19"/>
      <c r="Z50" s="110"/>
      <c r="AA50" s="110"/>
      <c r="AB50" s="144"/>
      <c r="AC50" s="144"/>
      <c r="AD50" s="144"/>
      <c r="AE50" s="144"/>
      <c r="AF50" s="144"/>
      <c r="AG50" s="144"/>
      <c r="AH50" s="144"/>
      <c r="AI50" s="144"/>
      <c r="AJ50" s="19"/>
      <c r="AK50" s="110"/>
      <c r="AL50" s="144"/>
      <c r="AM50" s="144"/>
      <c r="AN50" s="144"/>
      <c r="AO50" s="144"/>
    </row>
    <row r="51" spans="2:51" customFormat="1">
      <c r="B51" t="s">
        <v>19</v>
      </c>
      <c r="H51" s="6"/>
      <c r="I51" s="6"/>
      <c r="J51" s="6"/>
      <c r="K51" s="6">
        <f>+SUM(AJ51:AM51)</f>
        <v>620.20000000000005</v>
      </c>
      <c r="L51" s="6">
        <f ca="1">+SUM(AN51:AQ51)</f>
        <v>683.5918146985116</v>
      </c>
      <c r="M51" s="6">
        <f ca="1">+SUM(AR51:AU51)</f>
        <v>754.52085019203423</v>
      </c>
      <c r="N51" s="6">
        <f ca="1">+SUM(AV51:AY51)</f>
        <v>829.25706089719347</v>
      </c>
      <c r="U51" s="19"/>
      <c r="V51" s="19"/>
      <c r="W51" s="19"/>
      <c r="X51" s="19"/>
      <c r="Y51" s="19"/>
      <c r="Z51" s="110"/>
      <c r="AA51" s="110"/>
      <c r="AB51" s="144"/>
      <c r="AC51" s="144"/>
      <c r="AD51" s="144"/>
      <c r="AE51" s="144"/>
      <c r="AF51" s="144"/>
      <c r="AG51" s="144"/>
      <c r="AH51" s="144"/>
      <c r="AI51" s="144">
        <v>149.5</v>
      </c>
      <c r="AJ51" s="144">
        <v>150.9</v>
      </c>
      <c r="AK51" s="144">
        <v>151.80000000000001</v>
      </c>
      <c r="AL51" s="144">
        <v>155.4</v>
      </c>
      <c r="AM51" s="144">
        <v>162.1</v>
      </c>
      <c r="AN51" s="144">
        <v>165.5</v>
      </c>
      <c r="AO51" s="144">
        <v>168.3</v>
      </c>
      <c r="AP51" s="6">
        <f t="shared" ref="AP51:AY51" ca="1" si="151">+AP49*AP54</f>
        <v>172.0442210563987</v>
      </c>
      <c r="AQ51" s="6">
        <f t="shared" ca="1" si="151"/>
        <v>177.7475936421128</v>
      </c>
      <c r="AR51" s="6">
        <f t="shared" ca="1" si="151"/>
        <v>181.99098884153005</v>
      </c>
      <c r="AS51" s="6">
        <f t="shared" ca="1" si="151"/>
        <v>186.34502856619395</v>
      </c>
      <c r="AT51" s="6">
        <f t="shared" ca="1" si="151"/>
        <v>190.80774823169369</v>
      </c>
      <c r="AU51" s="6">
        <f t="shared" ca="1" si="151"/>
        <v>195.37708455261659</v>
      </c>
      <c r="AV51" s="6">
        <f t="shared" ca="1" si="151"/>
        <v>200.05088519907716</v>
      </c>
      <c r="AW51" s="6">
        <f t="shared" ca="1" si="151"/>
        <v>204.82691719681702</v>
      </c>
      <c r="AX51" s="6">
        <f t="shared" ca="1" si="151"/>
        <v>209.70287437954485</v>
      </c>
      <c r="AY51" s="6">
        <f t="shared" ca="1" si="151"/>
        <v>214.67638412175447</v>
      </c>
    </row>
    <row r="52" spans="2:51" customFormat="1">
      <c r="B52" t="s">
        <v>18</v>
      </c>
      <c r="H52" s="6"/>
      <c r="I52" s="6"/>
      <c r="J52" s="6"/>
      <c r="K52" s="6">
        <f>+SUM(AJ52:AM52)</f>
        <v>91.9</v>
      </c>
      <c r="L52" s="6">
        <f ca="1">+SUM(AN52:AQ52)</f>
        <v>109.3163339088521</v>
      </c>
      <c r="M52" s="6">
        <f ca="1">+SUM(AR52:AU52)</f>
        <v>121.04612569925683</v>
      </c>
      <c r="N52" s="6">
        <f ca="1">+SUM(AV52:AY52)</f>
        <v>133.0358921225444</v>
      </c>
      <c r="U52" s="19"/>
      <c r="V52" s="19"/>
      <c r="W52" s="19"/>
      <c r="X52" s="19"/>
      <c r="Y52" s="19"/>
      <c r="Z52" s="110"/>
      <c r="AA52" s="110"/>
      <c r="AB52" s="144"/>
      <c r="AC52" s="144"/>
      <c r="AD52" s="144"/>
      <c r="AE52" s="144"/>
      <c r="AF52" s="144"/>
      <c r="AG52" s="144"/>
      <c r="AH52" s="144"/>
      <c r="AI52" s="144">
        <v>20</v>
      </c>
      <c r="AJ52" s="144">
        <v>21.2</v>
      </c>
      <c r="AK52" s="144">
        <v>21.9</v>
      </c>
      <c r="AL52" s="144">
        <v>23.4</v>
      </c>
      <c r="AM52" s="144">
        <v>25.4</v>
      </c>
      <c r="AN52" s="144">
        <v>26.2</v>
      </c>
      <c r="AO52" s="144">
        <v>27</v>
      </c>
      <c r="AP52" s="6">
        <f t="shared" ref="AP52:AY52" ca="1" si="152">+AP49*AP55</f>
        <v>27.600677174823318</v>
      </c>
      <c r="AQ52" s="6">
        <f t="shared" ca="1" si="152"/>
        <v>28.515656734028788</v>
      </c>
      <c r="AR52" s="6">
        <f t="shared" ca="1" si="152"/>
        <v>29.196415322170594</v>
      </c>
      <c r="AS52" s="6">
        <f t="shared" ca="1" si="152"/>
        <v>29.894924368908114</v>
      </c>
      <c r="AT52" s="6">
        <f t="shared" ca="1" si="152"/>
        <v>30.610868700271713</v>
      </c>
      <c r="AU52" s="6">
        <f t="shared" ca="1" si="152"/>
        <v>31.343917307906402</v>
      </c>
      <c r="AV52" s="6">
        <f t="shared" ca="1" si="152"/>
        <v>32.093724898247672</v>
      </c>
      <c r="AW52" s="6">
        <f t="shared" ca="1" si="152"/>
        <v>32.85993324013107</v>
      </c>
      <c r="AX52" s="6">
        <f t="shared" ca="1" si="152"/>
        <v>33.642172360354785</v>
      </c>
      <c r="AY52" s="6">
        <f t="shared" ca="1" si="152"/>
        <v>34.44006162381087</v>
      </c>
    </row>
    <row r="53" spans="2:51" customFormat="1">
      <c r="U53" s="6"/>
      <c r="V53" s="6"/>
      <c r="W53" s="6"/>
      <c r="X53" s="6"/>
      <c r="Y53" s="6"/>
      <c r="Z53" s="81"/>
      <c r="AA53" s="81"/>
      <c r="AB53" s="81"/>
      <c r="AC53" s="81"/>
      <c r="AD53" s="81"/>
      <c r="AE53" s="81"/>
      <c r="AF53" s="81"/>
      <c r="AG53" s="81"/>
      <c r="AH53" s="81"/>
      <c r="AI53" s="81"/>
      <c r="AJ53" s="6"/>
      <c r="AK53" s="81"/>
      <c r="AL53" s="81"/>
      <c r="AM53" s="81"/>
      <c r="AN53" s="81"/>
      <c r="AO53" s="81"/>
    </row>
    <row r="54" spans="2:51" customFormat="1">
      <c r="B54" t="s">
        <v>32</v>
      </c>
      <c r="U54" s="2"/>
      <c r="V54" s="2"/>
      <c r="W54" s="2"/>
      <c r="X54" s="2"/>
      <c r="Y54" s="2"/>
      <c r="Z54" s="112"/>
      <c r="AA54" s="112"/>
      <c r="AB54" s="112"/>
      <c r="AC54" s="112"/>
      <c r="AD54" s="112"/>
      <c r="AE54" s="112"/>
      <c r="AF54" s="112"/>
      <c r="AG54" s="112"/>
      <c r="AH54" s="112"/>
      <c r="AI54" s="112">
        <f t="shared" ref="AI54:AN54" si="153">+AI51/SUM(AI51:AI52)</f>
        <v>0.88200589970501475</v>
      </c>
      <c r="AJ54" s="112">
        <f t="shared" si="153"/>
        <v>0.8768158047646718</v>
      </c>
      <c r="AK54" s="112">
        <f t="shared" si="153"/>
        <v>0.87392055267702939</v>
      </c>
      <c r="AL54" s="112">
        <f t="shared" si="153"/>
        <v>0.86912751677852351</v>
      </c>
      <c r="AM54" s="112">
        <f t="shared" si="153"/>
        <v>0.86453333333333326</v>
      </c>
      <c r="AN54" s="112">
        <f t="shared" si="153"/>
        <v>0.86332811684924371</v>
      </c>
      <c r="AO54" s="112">
        <f t="shared" ref="AO54" si="154">+AO51/SUM(AO51:AO52)</f>
        <v>0.86175115207373276</v>
      </c>
      <c r="AP54" s="30">
        <f t="shared" ref="AP54:AY54" si="155">+AO54</f>
        <v>0.86175115207373276</v>
      </c>
      <c r="AQ54" s="30">
        <f t="shared" si="155"/>
        <v>0.86175115207373276</v>
      </c>
      <c r="AR54" s="30">
        <f t="shared" si="155"/>
        <v>0.86175115207373276</v>
      </c>
      <c r="AS54" s="30">
        <f t="shared" si="155"/>
        <v>0.86175115207373276</v>
      </c>
      <c r="AT54" s="30">
        <f t="shared" si="155"/>
        <v>0.86175115207373276</v>
      </c>
      <c r="AU54" s="30">
        <f t="shared" si="155"/>
        <v>0.86175115207373276</v>
      </c>
      <c r="AV54" s="30">
        <f t="shared" si="155"/>
        <v>0.86175115207373276</v>
      </c>
      <c r="AW54" s="30">
        <f t="shared" si="155"/>
        <v>0.86175115207373276</v>
      </c>
      <c r="AX54" s="30">
        <f t="shared" si="155"/>
        <v>0.86175115207373276</v>
      </c>
      <c r="AY54" s="30">
        <f t="shared" si="155"/>
        <v>0.86175115207373276</v>
      </c>
    </row>
    <row r="55" spans="2:51" customFormat="1">
      <c r="B55" t="s">
        <v>33</v>
      </c>
      <c r="U55" s="2"/>
      <c r="V55" s="2"/>
      <c r="W55" s="2"/>
      <c r="X55" s="2"/>
      <c r="Y55" s="2"/>
      <c r="Z55" s="112"/>
      <c r="AA55" s="112"/>
      <c r="AB55" s="112"/>
      <c r="AC55" s="112"/>
      <c r="AD55" s="112"/>
      <c r="AE55" s="112"/>
      <c r="AF55" s="112"/>
      <c r="AG55" s="112"/>
      <c r="AH55" s="112"/>
      <c r="AI55" s="112">
        <f t="shared" ref="AI55:AN55" si="156">+AI52/SUM(AI51:AI52)</f>
        <v>0.11799410029498525</v>
      </c>
      <c r="AJ55" s="112">
        <f t="shared" si="156"/>
        <v>0.12318419523532829</v>
      </c>
      <c r="AK55" s="112">
        <f t="shared" si="156"/>
        <v>0.12607944732297061</v>
      </c>
      <c r="AL55" s="112">
        <f t="shared" si="156"/>
        <v>0.13087248322147649</v>
      </c>
      <c r="AM55" s="112">
        <f t="shared" si="156"/>
        <v>0.13546666666666665</v>
      </c>
      <c r="AN55" s="112">
        <f t="shared" si="156"/>
        <v>0.1366718831507564</v>
      </c>
      <c r="AO55" s="112">
        <f t="shared" ref="AO55" si="157">+AO52/SUM(AO51:AO52)</f>
        <v>0.13824884792626727</v>
      </c>
      <c r="AP55" s="30">
        <f t="shared" ref="AP55:AY55" si="158">+AO55</f>
        <v>0.13824884792626727</v>
      </c>
      <c r="AQ55" s="30">
        <f t="shared" si="158"/>
        <v>0.13824884792626727</v>
      </c>
      <c r="AR55" s="30">
        <f t="shared" si="158"/>
        <v>0.13824884792626727</v>
      </c>
      <c r="AS55" s="30">
        <f t="shared" si="158"/>
        <v>0.13824884792626727</v>
      </c>
      <c r="AT55" s="30">
        <f t="shared" si="158"/>
        <v>0.13824884792626727</v>
      </c>
      <c r="AU55" s="30">
        <f t="shared" si="158"/>
        <v>0.13824884792626727</v>
      </c>
      <c r="AV55" s="30">
        <f t="shared" si="158"/>
        <v>0.13824884792626727</v>
      </c>
      <c r="AW55" s="30">
        <f t="shared" si="158"/>
        <v>0.13824884792626727</v>
      </c>
      <c r="AX55" s="30">
        <f t="shared" si="158"/>
        <v>0.13824884792626727</v>
      </c>
      <c r="AY55" s="30">
        <f t="shared" si="158"/>
        <v>0.13824884792626727</v>
      </c>
    </row>
    <row r="56" spans="2:51" customFormat="1">
      <c r="U56" s="6"/>
      <c r="V56" s="6"/>
      <c r="W56" s="6"/>
      <c r="X56" s="6"/>
      <c r="Y56" s="6"/>
      <c r="Z56" s="81"/>
      <c r="AA56" s="81"/>
      <c r="AB56" s="81"/>
      <c r="AC56" s="81"/>
      <c r="AD56" s="81"/>
      <c r="AE56" s="81"/>
      <c r="AF56" s="81"/>
      <c r="AG56" s="81"/>
      <c r="AH56" s="81"/>
      <c r="AI56" s="81"/>
      <c r="AJ56" s="6"/>
      <c r="AK56" s="81"/>
      <c r="AL56" s="81"/>
      <c r="AM56" s="81"/>
      <c r="AN56" s="81"/>
      <c r="AO56" s="81"/>
    </row>
    <row r="57" spans="2:51" customFormat="1">
      <c r="B57" t="s">
        <v>46</v>
      </c>
      <c r="U57" s="6"/>
      <c r="V57" s="6"/>
      <c r="W57" s="6"/>
      <c r="X57" s="40"/>
      <c r="Y57" s="299"/>
      <c r="Z57" s="299"/>
      <c r="AA57" s="40"/>
      <c r="AB57" s="40"/>
      <c r="AC57" s="40"/>
      <c r="AD57" s="40"/>
      <c r="AE57" s="40"/>
      <c r="AF57" s="40"/>
      <c r="AG57" s="40"/>
      <c r="AH57" s="40"/>
      <c r="AI57" s="40"/>
      <c r="AJ57" s="299"/>
      <c r="AK57" s="299">
        <v>7.7221017549327673</v>
      </c>
      <c r="AL57" s="40">
        <f>+AK60</f>
        <v>7.6341017549327663</v>
      </c>
      <c r="AM57" s="40">
        <f>+AL60</f>
        <v>7.2565017549327653</v>
      </c>
      <c r="AN57" s="40">
        <f>+AM60</f>
        <v>7.4305017549327657</v>
      </c>
      <c r="AO57" s="40">
        <f>+AN60</f>
        <v>7.5355017549327652</v>
      </c>
      <c r="AP57" s="6">
        <f t="shared" ref="AP57:AY57" si="159">+AO60</f>
        <v>8.0835017549327652</v>
      </c>
      <c r="AQ57" s="6">
        <f t="shared" ca="1" si="159"/>
        <v>8.2996888161995734</v>
      </c>
      <c r="AR57" s="6">
        <f t="shared" ca="1" si="159"/>
        <v>8.5163575105871807</v>
      </c>
      <c r="AS57" s="6">
        <f t="shared" ca="1" si="159"/>
        <v>8.7333201213235636</v>
      </c>
      <c r="AT57" s="6">
        <f t="shared" ca="1" si="159"/>
        <v>8.9504035863676101</v>
      </c>
      <c r="AU57" s="6">
        <f t="shared" ca="1" si="159"/>
        <v>9.1674468003572223</v>
      </c>
      <c r="AV57" s="6">
        <f t="shared" ca="1" si="159"/>
        <v>9.3842986197135154</v>
      </c>
      <c r="AW57" s="6">
        <f t="shared" ca="1" si="159"/>
        <v>9.6008163907534758</v>
      </c>
      <c r="AX57" s="6">
        <f t="shared" ca="1" si="159"/>
        <v>9.8168648658723754</v>
      </c>
      <c r="AY57" s="6">
        <f t="shared" ca="1" si="159"/>
        <v>10.032315406772028</v>
      </c>
    </row>
    <row r="58" spans="2:51" customFormat="1">
      <c r="B58" t="s">
        <v>29</v>
      </c>
      <c r="I58" s="40"/>
      <c r="J58" s="40"/>
      <c r="K58" s="40">
        <f>+SUM(AJ58:AM58)</f>
        <v>5.569</v>
      </c>
      <c r="L58" s="40">
        <f ca="1">+SUM(AN58:AQ58)</f>
        <v>11.499204531249999</v>
      </c>
      <c r="M58" s="40">
        <f ca="1">+SUM(AR58:AU58)</f>
        <v>12.946430818380309</v>
      </c>
      <c r="N58" s="40">
        <f ca="1">+SUM(AV58:AY58)</f>
        <v>14.095094133623702</v>
      </c>
      <c r="U58" s="6"/>
      <c r="V58" s="6"/>
      <c r="W58" s="6"/>
      <c r="X58" s="6"/>
      <c r="Y58" s="81"/>
      <c r="Z58" s="81"/>
      <c r="AA58" s="81"/>
      <c r="AB58" s="81"/>
      <c r="AC58" s="81"/>
      <c r="AD58" s="81"/>
      <c r="AE58" s="81"/>
      <c r="AF58" s="81"/>
      <c r="AG58" s="81"/>
      <c r="AH58" s="81"/>
      <c r="AI58" s="81"/>
      <c r="AJ58" s="81"/>
      <c r="AK58" s="81">
        <f t="shared" ref="AK58" si="160">+AK66</f>
        <v>1.53</v>
      </c>
      <c r="AL58" s="81">
        <f>+AL66</f>
        <v>1.7</v>
      </c>
      <c r="AM58" s="81">
        <f>+AM66</f>
        <v>2.339</v>
      </c>
      <c r="AN58" s="81">
        <f>+AN66</f>
        <v>2.5510000000000002</v>
      </c>
      <c r="AO58" s="81">
        <f>+AO66</f>
        <v>2.91</v>
      </c>
      <c r="AP58" s="6">
        <f t="shared" ref="AP58:AY58" ca="1" si="161">+AP66</f>
        <v>2.9827499999999998</v>
      </c>
      <c r="AQ58" s="6">
        <f t="shared" ca="1" si="161"/>
        <v>3.0554545312500001</v>
      </c>
      <c r="AR58" s="6">
        <f t="shared" ca="1" si="161"/>
        <v>3.1280693178442385</v>
      </c>
      <c r="AS58" s="6">
        <f t="shared" ca="1" si="161"/>
        <v>3.2005513271665831</v>
      </c>
      <c r="AT58" s="6">
        <f t="shared" ca="1" si="161"/>
        <v>3.2728588141086883</v>
      </c>
      <c r="AU58" s="6">
        <f t="shared" ca="1" si="161"/>
        <v>3.3449513592607993</v>
      </c>
      <c r="AV58" s="6">
        <f t="shared" ca="1" si="161"/>
        <v>3.4167899012911183</v>
      </c>
      <c r="AW58" s="6">
        <f t="shared" ca="1" si="161"/>
        <v>3.4883367637430256</v>
      </c>
      <c r="AX58" s="6">
        <f t="shared" ca="1" si="161"/>
        <v>3.5595556764903287</v>
      </c>
      <c r="AY58" s="6">
        <f t="shared" ca="1" si="161"/>
        <v>3.6304117920992294</v>
      </c>
    </row>
    <row r="59" spans="2:51" customFormat="1">
      <c r="B59" t="s">
        <v>45</v>
      </c>
      <c r="H59" s="40"/>
      <c r="I59" s="40"/>
      <c r="J59" s="40"/>
      <c r="K59" s="40">
        <f>+SUM(AJ59:AM59)</f>
        <v>-5.8605999999999998</v>
      </c>
      <c r="L59" s="40">
        <f ca="1">+SUM(AN59:AQ59)</f>
        <v>-10.413348775595583</v>
      </c>
      <c r="M59" s="40">
        <f ca="1">+SUM(AR59:AU59)</f>
        <v>-12.07848970925397</v>
      </c>
      <c r="N59" s="40">
        <f ca="1">+SUM(AV59:AY59)</f>
        <v>-13.232347354183775</v>
      </c>
      <c r="U59" s="19"/>
      <c r="V59" s="19"/>
      <c r="W59" s="19"/>
      <c r="X59" s="19"/>
      <c r="Y59" s="19"/>
      <c r="Z59" s="110"/>
      <c r="AA59" s="110"/>
      <c r="AB59" s="110"/>
      <c r="AC59" s="110"/>
      <c r="AD59" s="110"/>
      <c r="AE59" s="110"/>
      <c r="AF59" s="110"/>
      <c r="AG59" s="110"/>
      <c r="AH59" s="110"/>
      <c r="AI59" s="110"/>
      <c r="AJ59" s="19"/>
      <c r="AK59" s="110">
        <v>-1.6180000000000001</v>
      </c>
      <c r="AL59" s="146">
        <f>-(AL80-AL74)</f>
        <v>-2.0775999999999999</v>
      </c>
      <c r="AM59" s="146">
        <f>-(AM80-AM74)</f>
        <v>-2.165</v>
      </c>
      <c r="AN59" s="146">
        <f>-(AN80-AN74)</f>
        <v>-2.4459999999999997</v>
      </c>
      <c r="AO59" s="146">
        <f>-(AO80-AO74)</f>
        <v>-2.3620000000000001</v>
      </c>
      <c r="AP59" s="6">
        <f t="shared" ref="AP59:AY59" ca="1" si="162">-AP61*SUM(AP57:AP58)</f>
        <v>-2.7665629387331911</v>
      </c>
      <c r="AQ59" s="6">
        <f t="shared" ca="1" si="162"/>
        <v>-2.8387858368623933</v>
      </c>
      <c r="AR59" s="6">
        <f t="shared" ca="1" si="162"/>
        <v>-2.9111067071078547</v>
      </c>
      <c r="AS59" s="6">
        <f t="shared" ca="1" si="162"/>
        <v>-2.9834678621225366</v>
      </c>
      <c r="AT59" s="6">
        <f t="shared" ca="1" si="162"/>
        <v>-3.0558156001190744</v>
      </c>
      <c r="AU59" s="6">
        <f t="shared" ca="1" si="162"/>
        <v>-3.1280995399045053</v>
      </c>
      <c r="AV59" s="6">
        <f t="shared" ca="1" si="162"/>
        <v>-3.2002721302511583</v>
      </c>
      <c r="AW59" s="6">
        <f t="shared" ca="1" si="162"/>
        <v>-3.2722882886241251</v>
      </c>
      <c r="AX59" s="6">
        <f t="shared" ca="1" si="162"/>
        <v>-3.3441051355906759</v>
      </c>
      <c r="AY59" s="6">
        <f t="shared" ca="1" si="162"/>
        <v>-3.4156817997178144</v>
      </c>
    </row>
    <row r="60" spans="2:51" customFormat="1">
      <c r="B60" t="s">
        <v>47</v>
      </c>
      <c r="U60" s="6"/>
      <c r="V60" s="6"/>
      <c r="W60" s="6"/>
      <c r="X60" s="6"/>
      <c r="Y60" s="6"/>
      <c r="Z60" s="81"/>
      <c r="AA60" s="81"/>
      <c r="AB60" s="81"/>
      <c r="AC60" s="81"/>
      <c r="AD60" s="81"/>
      <c r="AE60" s="81"/>
      <c r="AF60" s="81"/>
      <c r="AG60" s="81"/>
      <c r="AH60" s="81"/>
      <c r="AI60" s="81"/>
      <c r="AJ60" s="6"/>
      <c r="AK60" s="81">
        <f t="shared" ref="AK60" si="163">SUM(AK57:AK59)</f>
        <v>7.6341017549327663</v>
      </c>
      <c r="AL60" s="81">
        <f>SUM(AL57:AL59)</f>
        <v>7.2565017549327653</v>
      </c>
      <c r="AM60" s="81">
        <f>SUM(AM57:AM59)</f>
        <v>7.4305017549327657</v>
      </c>
      <c r="AN60" s="81">
        <f>SUM(AN57:AN59)</f>
        <v>7.5355017549327652</v>
      </c>
      <c r="AO60" s="81">
        <f>SUM(AO57:AO59)</f>
        <v>8.0835017549327652</v>
      </c>
      <c r="AP60" s="6">
        <f t="shared" ref="AP60:AY60" ca="1" si="164">SUM(AP57:AP59)</f>
        <v>8.2996888161995734</v>
      </c>
      <c r="AQ60" s="6">
        <f t="shared" ca="1" si="164"/>
        <v>8.5163575105871807</v>
      </c>
      <c r="AR60" s="6">
        <f t="shared" ca="1" si="164"/>
        <v>8.7333201213235636</v>
      </c>
      <c r="AS60" s="6">
        <f t="shared" ca="1" si="164"/>
        <v>8.9504035863676101</v>
      </c>
      <c r="AT60" s="6">
        <f t="shared" ca="1" si="164"/>
        <v>9.1674468003572223</v>
      </c>
      <c r="AU60" s="6">
        <f t="shared" ca="1" si="164"/>
        <v>9.3842986197135154</v>
      </c>
      <c r="AV60" s="6">
        <f t="shared" ca="1" si="164"/>
        <v>9.6008163907534758</v>
      </c>
      <c r="AW60" s="6">
        <f t="shared" ca="1" si="164"/>
        <v>9.8168648658723754</v>
      </c>
      <c r="AX60" s="6">
        <f t="shared" ca="1" si="164"/>
        <v>10.032315406772028</v>
      </c>
      <c r="AY60" s="6">
        <f t="shared" ca="1" si="164"/>
        <v>10.247045399153443</v>
      </c>
    </row>
    <row r="61" spans="2:51" customFormat="1">
      <c r="B61" s="7" t="s">
        <v>48</v>
      </c>
      <c r="U61" s="6"/>
      <c r="V61" s="6"/>
      <c r="W61" s="6"/>
      <c r="X61" s="6"/>
      <c r="Y61" s="6"/>
      <c r="Z61" s="113"/>
      <c r="AA61" s="113"/>
      <c r="AB61" s="113"/>
      <c r="AC61" s="113"/>
      <c r="AD61" s="113"/>
      <c r="AE61" s="113"/>
      <c r="AF61" s="113"/>
      <c r="AG61" s="113"/>
      <c r="AH61" s="113"/>
      <c r="AI61" s="113"/>
      <c r="AJ61" s="6"/>
      <c r="AK61" s="113">
        <f t="shared" ref="AK61:AL61" si="165">-AK59/(AK57+AK58)</f>
        <v>0.1748791834393047</v>
      </c>
      <c r="AL61" s="113">
        <f t="shared" si="165"/>
        <v>0.22258167465359552</v>
      </c>
      <c r="AM61" s="113">
        <f t="shared" ref="AM61:AN61" si="166">-AM59/(AM57+AM58)</f>
        <v>0.2256265545349973</v>
      </c>
      <c r="AN61" s="113">
        <f t="shared" si="166"/>
        <v>0.24505330561017127</v>
      </c>
      <c r="AO61" s="113">
        <f t="shared" ref="AO61" si="167">-AO59/(AO57+AO58)</f>
        <v>0.2261260450111526</v>
      </c>
      <c r="AP61" s="29">
        <f ca="1">+OFFSET(AP61,Valuation!$C$5,0)</f>
        <v>0.25</v>
      </c>
      <c r="AQ61" s="29">
        <f ca="1">+OFFSET(AQ61,Valuation!$C$5,0)</f>
        <v>0.25</v>
      </c>
      <c r="AR61" s="29">
        <f ca="1">+OFFSET(AR61,Valuation!$C$5,0)</f>
        <v>0.25</v>
      </c>
      <c r="AS61" s="29">
        <f ca="1">+OFFSET(AS61,Valuation!$C$5,0)</f>
        <v>0.25</v>
      </c>
      <c r="AT61" s="29">
        <f ca="1">+OFFSET(AT61,Valuation!$C$5,0)</f>
        <v>0.25</v>
      </c>
      <c r="AU61" s="29">
        <f ca="1">+OFFSET(AU61,Valuation!$C$5,0)</f>
        <v>0.25</v>
      </c>
      <c r="AV61" s="29">
        <f ca="1">+OFFSET(AV61,Valuation!$C$5,0)</f>
        <v>0.25</v>
      </c>
      <c r="AW61" s="29">
        <f ca="1">+OFFSET(AW61,Valuation!$C$5,0)</f>
        <v>0.25</v>
      </c>
      <c r="AX61" s="29">
        <f ca="1">+OFFSET(AX61,Valuation!$C$5,0)</f>
        <v>0.25</v>
      </c>
      <c r="AY61" s="29">
        <f ca="1">+OFFSET(AY61,Valuation!$C$5,0)</f>
        <v>0.25</v>
      </c>
    </row>
    <row r="62" spans="2:51" s="11" customFormat="1">
      <c r="B62" s="11" t="s">
        <v>26</v>
      </c>
      <c r="U62" s="12"/>
      <c r="V62" s="12"/>
      <c r="W62" s="12"/>
      <c r="X62" s="12"/>
      <c r="Y62" s="12"/>
      <c r="Z62" s="79"/>
      <c r="AA62" s="79"/>
      <c r="AB62" s="79"/>
      <c r="AC62" s="79"/>
      <c r="AD62" s="79"/>
      <c r="AE62" s="79"/>
      <c r="AF62" s="79"/>
      <c r="AG62" s="79"/>
      <c r="AH62" s="79"/>
      <c r="AI62" s="79"/>
      <c r="AJ62" s="12"/>
      <c r="AK62" s="79"/>
      <c r="AL62" s="79"/>
      <c r="AM62" s="79"/>
      <c r="AN62" s="79"/>
      <c r="AO62" s="79"/>
      <c r="AP62" s="30">
        <f t="shared" ref="AP62:AY62" si="168">+AP63+0.05</f>
        <v>0.3</v>
      </c>
      <c r="AQ62" s="30">
        <f t="shared" si="168"/>
        <v>0.3</v>
      </c>
      <c r="AR62" s="30">
        <f t="shared" si="168"/>
        <v>0.3</v>
      </c>
      <c r="AS62" s="30">
        <f t="shared" si="168"/>
        <v>0.3</v>
      </c>
      <c r="AT62" s="30">
        <f t="shared" si="168"/>
        <v>0.3</v>
      </c>
      <c r="AU62" s="30">
        <f t="shared" si="168"/>
        <v>0.3</v>
      </c>
      <c r="AV62" s="30">
        <f t="shared" si="168"/>
        <v>0.3</v>
      </c>
      <c r="AW62" s="30">
        <f t="shared" si="168"/>
        <v>0.3</v>
      </c>
      <c r="AX62" s="30">
        <f t="shared" si="168"/>
        <v>0.3</v>
      </c>
      <c r="AY62" s="30">
        <f t="shared" si="168"/>
        <v>0.3</v>
      </c>
    </row>
    <row r="63" spans="2:51" s="11" customFormat="1">
      <c r="B63" s="11" t="s">
        <v>27</v>
      </c>
      <c r="U63" s="12"/>
      <c r="V63" s="12"/>
      <c r="W63" s="12"/>
      <c r="X63" s="12"/>
      <c r="Y63" s="12"/>
      <c r="Z63" s="79"/>
      <c r="AA63" s="79"/>
      <c r="AB63" s="79"/>
      <c r="AC63" s="79"/>
      <c r="AD63" s="30"/>
      <c r="AE63" s="30"/>
      <c r="AF63" s="30"/>
      <c r="AG63" s="30"/>
      <c r="AH63" s="30"/>
      <c r="AI63" s="30"/>
      <c r="AJ63" s="12"/>
      <c r="AK63" s="79"/>
      <c r="AL63" s="30">
        <f t="shared" ref="AL63:AO63" si="169">+AVERAGE(AI61:AL61)</f>
        <v>0.19873042904645011</v>
      </c>
      <c r="AM63" s="30">
        <f t="shared" si="169"/>
        <v>0.2076958042092992</v>
      </c>
      <c r="AN63" s="30">
        <f t="shared" si="169"/>
        <v>0.21703517955951721</v>
      </c>
      <c r="AO63" s="30">
        <f t="shared" si="169"/>
        <v>0.22984689495247917</v>
      </c>
      <c r="AP63" s="31">
        <v>0.25</v>
      </c>
      <c r="AQ63" s="31">
        <v>0.25</v>
      </c>
      <c r="AR63" s="31">
        <v>0.25</v>
      </c>
      <c r="AS63" s="31">
        <v>0.25</v>
      </c>
      <c r="AT63" s="31">
        <v>0.25</v>
      </c>
      <c r="AU63" s="31">
        <v>0.25</v>
      </c>
      <c r="AV63" s="31">
        <v>0.25</v>
      </c>
      <c r="AW63" s="31">
        <v>0.25</v>
      </c>
      <c r="AX63" s="31">
        <v>0.25</v>
      </c>
      <c r="AY63" s="31">
        <v>0.25</v>
      </c>
    </row>
    <row r="64" spans="2:51" s="11" customFormat="1">
      <c r="B64" s="11" t="s">
        <v>28</v>
      </c>
      <c r="U64" s="12"/>
      <c r="V64" s="12"/>
      <c r="W64" s="12"/>
      <c r="X64" s="12"/>
      <c r="Y64" s="12"/>
      <c r="Z64" s="79"/>
      <c r="AA64" s="79"/>
      <c r="AB64" s="79"/>
      <c r="AC64" s="79"/>
      <c r="AD64" s="79"/>
      <c r="AE64" s="79"/>
      <c r="AF64" s="79"/>
      <c r="AG64" s="79"/>
      <c r="AH64" s="79"/>
      <c r="AI64" s="79"/>
      <c r="AJ64" s="12"/>
      <c r="AK64" s="79"/>
      <c r="AL64" s="79"/>
      <c r="AM64" s="79"/>
      <c r="AN64" s="79"/>
      <c r="AO64" s="79"/>
      <c r="AP64" s="30">
        <f t="shared" ref="AP64:AY64" si="170">+AP63-0.05</f>
        <v>0.2</v>
      </c>
      <c r="AQ64" s="30">
        <f t="shared" si="170"/>
        <v>0.2</v>
      </c>
      <c r="AR64" s="30">
        <f t="shared" si="170"/>
        <v>0.2</v>
      </c>
      <c r="AS64" s="30">
        <f t="shared" si="170"/>
        <v>0.2</v>
      </c>
      <c r="AT64" s="30">
        <f t="shared" si="170"/>
        <v>0.2</v>
      </c>
      <c r="AU64" s="30">
        <f t="shared" si="170"/>
        <v>0.2</v>
      </c>
      <c r="AV64" s="30">
        <f t="shared" si="170"/>
        <v>0.2</v>
      </c>
      <c r="AW64" s="30">
        <f t="shared" si="170"/>
        <v>0.2</v>
      </c>
      <c r="AX64" s="30">
        <f t="shared" si="170"/>
        <v>0.2</v>
      </c>
      <c r="AY64" s="30">
        <f t="shared" si="170"/>
        <v>0.2</v>
      </c>
    </row>
    <row r="65" spans="2:51" customFormat="1">
      <c r="U65" s="6"/>
      <c r="V65" s="6"/>
      <c r="W65" s="6"/>
      <c r="X65" s="6"/>
      <c r="Y65" s="6"/>
      <c r="Z65" s="81"/>
      <c r="AA65" s="81"/>
      <c r="AB65" s="81"/>
      <c r="AC65" s="81"/>
      <c r="AD65" s="81"/>
      <c r="AE65" s="81"/>
      <c r="AF65" s="81"/>
      <c r="AG65" s="81"/>
      <c r="AH65" s="81"/>
      <c r="AI65" s="81"/>
      <c r="AJ65" s="6"/>
      <c r="AK65" s="81"/>
      <c r="AL65" s="81"/>
      <c r="AM65" s="81"/>
      <c r="AN65" s="81"/>
      <c r="AO65" s="81"/>
    </row>
    <row r="66" spans="2:51" customFormat="1">
      <c r="B66" t="s">
        <v>29</v>
      </c>
      <c r="H66" s="40"/>
      <c r="I66" s="40"/>
      <c r="J66" s="40"/>
      <c r="K66" s="40">
        <f>+SUM(AJ66:AM66)</f>
        <v>5.569</v>
      </c>
      <c r="L66" s="40">
        <f ca="1">+SUM(AN66:AQ66)</f>
        <v>11.499204531249999</v>
      </c>
      <c r="M66" s="40">
        <f ca="1">+SUM(AR66:AU66)</f>
        <v>12.946430818380309</v>
      </c>
      <c r="N66" s="40">
        <f ca="1">+SUM(AV66:AY66)</f>
        <v>14.095094133623702</v>
      </c>
      <c r="U66" s="19"/>
      <c r="V66" s="19"/>
      <c r="W66" s="19"/>
      <c r="X66" s="19"/>
      <c r="Y66" s="19"/>
      <c r="Z66" s="110"/>
      <c r="AA66" s="110"/>
      <c r="AB66" s="110"/>
      <c r="AC66" s="110"/>
      <c r="AD66" s="110"/>
      <c r="AE66" s="110"/>
      <c r="AF66" s="110"/>
      <c r="AG66" s="110"/>
      <c r="AH66" s="110"/>
      <c r="AI66" s="110"/>
      <c r="AJ66" s="19"/>
      <c r="AK66" s="110">
        <v>1.53</v>
      </c>
      <c r="AL66" s="110">
        <v>1.7</v>
      </c>
      <c r="AM66" s="110">
        <v>2.339</v>
      </c>
      <c r="AN66" s="110">
        <v>2.5510000000000002</v>
      </c>
      <c r="AO66" s="110">
        <v>2.91</v>
      </c>
      <c r="AP66" s="6">
        <f t="shared" ref="AP66:AY66" ca="1" si="171">+AO66*(1+AP69)</f>
        <v>2.9827499999999998</v>
      </c>
      <c r="AQ66" s="6">
        <f t="shared" ca="1" si="171"/>
        <v>3.0554545312500001</v>
      </c>
      <c r="AR66" s="6">
        <f t="shared" ca="1" si="171"/>
        <v>3.1280693178442385</v>
      </c>
      <c r="AS66" s="6">
        <f t="shared" ca="1" si="171"/>
        <v>3.2005513271665831</v>
      </c>
      <c r="AT66" s="6">
        <f t="shared" ca="1" si="171"/>
        <v>3.2728588141086883</v>
      </c>
      <c r="AU66" s="6">
        <f t="shared" ca="1" si="171"/>
        <v>3.3449513592607993</v>
      </c>
      <c r="AV66" s="6">
        <f t="shared" ca="1" si="171"/>
        <v>3.4167899012911183</v>
      </c>
      <c r="AW66" s="6">
        <f t="shared" ca="1" si="171"/>
        <v>3.4883367637430256</v>
      </c>
      <c r="AX66" s="6">
        <f t="shared" ca="1" si="171"/>
        <v>3.5595556764903287</v>
      </c>
      <c r="AY66" s="6">
        <f t="shared" ca="1" si="171"/>
        <v>3.6304117920992294</v>
      </c>
    </row>
    <row r="67" spans="2:51" customFormat="1">
      <c r="B67" t="s">
        <v>389</v>
      </c>
      <c r="H67" s="40"/>
      <c r="I67" s="40"/>
      <c r="J67" s="40"/>
      <c r="K67" s="40"/>
      <c r="L67" s="40"/>
      <c r="M67" s="40"/>
      <c r="N67" s="40"/>
      <c r="U67" s="19"/>
      <c r="V67" s="19"/>
      <c r="W67" s="19"/>
      <c r="X67" s="19"/>
      <c r="Y67" s="18"/>
      <c r="Z67" s="18"/>
      <c r="AA67" s="18"/>
      <c r="AB67" s="18"/>
      <c r="AC67" s="18"/>
      <c r="AD67" s="18"/>
      <c r="AE67" s="18"/>
      <c r="AF67" s="18"/>
      <c r="AG67" s="18"/>
      <c r="AH67" s="18"/>
      <c r="AI67" s="18"/>
      <c r="AJ67" s="18"/>
      <c r="AK67" s="18"/>
      <c r="AL67" s="18">
        <f t="shared" ref="AL67:AO67" si="172">+AVERAGE(AH66:AK66)</f>
        <v>1.53</v>
      </c>
      <c r="AM67" s="18">
        <f t="shared" si="172"/>
        <v>1.615</v>
      </c>
      <c r="AN67" s="18">
        <f t="shared" si="172"/>
        <v>1.8563333333333334</v>
      </c>
      <c r="AO67" s="18">
        <f t="shared" si="172"/>
        <v>2.0300000000000002</v>
      </c>
      <c r="AP67" s="18">
        <f t="shared" ref="AP67:AY67" si="173">+AVERAGE(AL66:AO66)</f>
        <v>2.375</v>
      </c>
      <c r="AQ67" s="18">
        <f t="shared" ca="1" si="173"/>
        <v>2.6956875</v>
      </c>
      <c r="AR67" s="18">
        <f t="shared" ca="1" si="173"/>
        <v>2.8748011328124998</v>
      </c>
      <c r="AS67" s="18">
        <f t="shared" ca="1" si="173"/>
        <v>3.0190684622735593</v>
      </c>
      <c r="AT67" s="18">
        <f t="shared" ca="1" si="173"/>
        <v>3.0917062940652054</v>
      </c>
      <c r="AU67" s="18">
        <f t="shared" ca="1" si="173"/>
        <v>3.1642334975923774</v>
      </c>
      <c r="AV67" s="18">
        <f t="shared" ca="1" si="173"/>
        <v>3.2366077045950772</v>
      </c>
      <c r="AW67" s="18">
        <f t="shared" ca="1" si="173"/>
        <v>3.3087878504567971</v>
      </c>
      <c r="AX67" s="18">
        <f t="shared" ca="1" si="173"/>
        <v>3.3807342096009076</v>
      </c>
      <c r="AY67" s="18">
        <f t="shared" ca="1" si="173"/>
        <v>3.4524084251963179</v>
      </c>
    </row>
    <row r="68" spans="2:51" customFormat="1">
      <c r="B68" s="7" t="s">
        <v>36</v>
      </c>
      <c r="U68" s="19"/>
      <c r="V68" s="19"/>
      <c r="W68" s="19"/>
      <c r="X68" s="19"/>
      <c r="Y68" s="23"/>
      <c r="Z68" s="48"/>
      <c r="AA68" s="48"/>
      <c r="AB68" s="48"/>
      <c r="AC68" s="48"/>
      <c r="AD68" s="48"/>
      <c r="AE68" s="48"/>
      <c r="AF68" s="48"/>
      <c r="AG68" s="48"/>
      <c r="AH68" s="48"/>
      <c r="AI68" s="48"/>
      <c r="AJ68" s="23"/>
      <c r="AK68" s="48"/>
      <c r="AL68" s="48"/>
      <c r="AM68" s="48"/>
      <c r="AN68" s="48"/>
      <c r="AO68" s="48"/>
      <c r="AP68" s="23">
        <f t="shared" ref="AP68:AY68" ca="1" si="174">+AP66/AL66-1</f>
        <v>0.75455882352941162</v>
      </c>
      <c r="AQ68" s="23">
        <f t="shared" ca="1" si="174"/>
        <v>0.30630805098332625</v>
      </c>
      <c r="AR68" s="23">
        <f t="shared" ca="1" si="174"/>
        <v>0.22621298229879971</v>
      </c>
      <c r="AS68" s="23">
        <f t="shared" ca="1" si="174"/>
        <v>9.9845816895733019E-2</v>
      </c>
      <c r="AT68" s="23">
        <f t="shared" ca="1" si="174"/>
        <v>9.7262195661281803E-2</v>
      </c>
      <c r="AU68" s="23">
        <f t="shared" ca="1" si="174"/>
        <v>9.4747549030737677E-2</v>
      </c>
      <c r="AV68" s="23">
        <f t="shared" ca="1" si="174"/>
        <v>9.2299931398533319E-2</v>
      </c>
      <c r="AW68" s="23">
        <f t="shared" ca="1" si="174"/>
        <v>8.9917457074877305E-2</v>
      </c>
      <c r="AX68" s="23">
        <f t="shared" ca="1" si="174"/>
        <v>8.7598298205148195E-2</v>
      </c>
      <c r="AY68" s="23">
        <f t="shared" ca="1" si="174"/>
        <v>8.5340682771995136E-2</v>
      </c>
    </row>
    <row r="69" spans="2:51" customFormat="1">
      <c r="B69" s="7" t="s">
        <v>37</v>
      </c>
      <c r="U69" s="19"/>
      <c r="V69" s="23"/>
      <c r="W69" s="23"/>
      <c r="X69" s="23"/>
      <c r="Y69" s="23"/>
      <c r="Z69" s="48"/>
      <c r="AA69" s="48"/>
      <c r="AB69" s="48"/>
      <c r="AC69" s="48"/>
      <c r="AD69" s="48"/>
      <c r="AE69" s="48"/>
      <c r="AF69" s="48"/>
      <c r="AG69" s="48"/>
      <c r="AH69" s="48"/>
      <c r="AI69" s="48"/>
      <c r="AJ69" s="23"/>
      <c r="AK69" s="48"/>
      <c r="AL69" s="48">
        <f t="shared" ref="AL69:AO69" si="175">+AL66/AK66-1</f>
        <v>0.11111111111111116</v>
      </c>
      <c r="AM69" s="48">
        <f t="shared" si="175"/>
        <v>0.37588235294117656</v>
      </c>
      <c r="AN69" s="48">
        <f t="shared" si="175"/>
        <v>9.0637024369388808E-2</v>
      </c>
      <c r="AO69" s="48">
        <f t="shared" si="175"/>
        <v>0.14072912583300656</v>
      </c>
      <c r="AP69" s="23">
        <f ca="1">+OFFSET(AP69,Valuation!$C$5,0)</f>
        <v>2.5000000000000001E-2</v>
      </c>
      <c r="AQ69" s="23">
        <f ca="1">+OFFSET(AQ69,Valuation!$C$5,0)</f>
        <v>2.4375000000000001E-2</v>
      </c>
      <c r="AR69" s="23">
        <f ca="1">+OFFSET(AR69,Valuation!$C$5,0)</f>
        <v>2.3765624999999999E-2</v>
      </c>
      <c r="AS69" s="23">
        <f ca="1">+OFFSET(AS69,Valuation!$C$5,0)</f>
        <v>2.3171484374999999E-2</v>
      </c>
      <c r="AT69" s="23">
        <f ca="1">+OFFSET(AT69,Valuation!$C$5,0)</f>
        <v>2.2592197265624999E-2</v>
      </c>
      <c r="AU69" s="23">
        <f ca="1">+OFFSET(AU69,Valuation!$C$5,0)</f>
        <v>2.2027392333984375E-2</v>
      </c>
      <c r="AV69" s="23">
        <f ca="1">+OFFSET(AV69,Valuation!$C$5,0)</f>
        <v>2.1476707525634766E-2</v>
      </c>
      <c r="AW69" s="23">
        <f ca="1">+OFFSET(AW69,Valuation!$C$5,0)</f>
        <v>2.0939789837493897E-2</v>
      </c>
      <c r="AX69" s="23">
        <f ca="1">+OFFSET(AX69,Valuation!$C$5,0)</f>
        <v>2.0416295091556548E-2</v>
      </c>
      <c r="AY69" s="23">
        <f ca="1">+OFFSET(AY69,Valuation!$C$5,0)</f>
        <v>1.9905887714267635E-2</v>
      </c>
    </row>
    <row r="70" spans="2:51" s="11" customFormat="1">
      <c r="B70" s="11" t="s">
        <v>26</v>
      </c>
      <c r="U70" s="12"/>
      <c r="V70" s="12"/>
      <c r="W70" s="12"/>
      <c r="X70" s="12"/>
      <c r="Y70" s="12"/>
      <c r="Z70" s="79"/>
      <c r="AA70" s="79"/>
      <c r="AB70" s="79"/>
      <c r="AC70" s="79"/>
      <c r="AD70" s="79"/>
      <c r="AE70" s="79"/>
      <c r="AF70" s="79"/>
      <c r="AG70" s="79"/>
      <c r="AH70" s="79"/>
      <c r="AI70" s="79"/>
      <c r="AJ70" s="12"/>
      <c r="AK70" s="79"/>
      <c r="AL70" s="79"/>
      <c r="AM70" s="79"/>
      <c r="AN70" s="79"/>
      <c r="AO70" s="79"/>
      <c r="AP70" s="30">
        <f t="shared" ref="AP70:AY70" si="176">+AP71+0.0175</f>
        <v>4.2500000000000003E-2</v>
      </c>
      <c r="AQ70" s="30">
        <f t="shared" si="176"/>
        <v>4.1875000000000002E-2</v>
      </c>
      <c r="AR70" s="30">
        <f t="shared" si="176"/>
        <v>4.1265625E-2</v>
      </c>
      <c r="AS70" s="30">
        <f t="shared" si="176"/>
        <v>4.0671484374999997E-2</v>
      </c>
      <c r="AT70" s="30">
        <f t="shared" si="176"/>
        <v>4.0092197265625004E-2</v>
      </c>
      <c r="AU70" s="30">
        <f t="shared" si="176"/>
        <v>3.9527392333984376E-2</v>
      </c>
      <c r="AV70" s="30">
        <f t="shared" si="176"/>
        <v>3.8976707525634771E-2</v>
      </c>
      <c r="AW70" s="30">
        <f t="shared" si="176"/>
        <v>3.8439789837493896E-2</v>
      </c>
      <c r="AX70" s="30">
        <f t="shared" si="176"/>
        <v>3.791629509155655E-2</v>
      </c>
      <c r="AY70" s="30">
        <f t="shared" si="176"/>
        <v>3.7405887714267637E-2</v>
      </c>
    </row>
    <row r="71" spans="2:51" s="11" customFormat="1">
      <c r="B71" s="11" t="s">
        <v>27</v>
      </c>
      <c r="U71" s="12"/>
      <c r="V71" s="12"/>
      <c r="W71" s="12"/>
      <c r="X71" s="12"/>
      <c r="Y71" s="12"/>
      <c r="Z71" s="79"/>
      <c r="AA71" s="79"/>
      <c r="AB71" s="79"/>
      <c r="AC71" s="79"/>
      <c r="AD71" s="30"/>
      <c r="AE71" s="30"/>
      <c r="AF71" s="30"/>
      <c r="AG71" s="30"/>
      <c r="AH71" s="30"/>
      <c r="AI71" s="30"/>
      <c r="AJ71" s="12"/>
      <c r="AK71" s="79"/>
      <c r="AL71" s="30">
        <f t="shared" ref="AL71:AO71" si="177">+AVERAGE(AI69:AL69)</f>
        <v>0.11111111111111116</v>
      </c>
      <c r="AM71" s="30">
        <f t="shared" si="177"/>
        <v>0.24349673202614386</v>
      </c>
      <c r="AN71" s="30">
        <f t="shared" si="177"/>
        <v>0.19254349614055885</v>
      </c>
      <c r="AO71" s="30">
        <f t="shared" si="177"/>
        <v>0.17958990356367077</v>
      </c>
      <c r="AP71" s="31">
        <v>2.5000000000000001E-2</v>
      </c>
      <c r="AQ71" s="31">
        <f>+AP71*0.975</f>
        <v>2.4375000000000001E-2</v>
      </c>
      <c r="AR71" s="31">
        <f t="shared" ref="AR71:AY71" si="178">+AQ71*0.975</f>
        <v>2.3765624999999999E-2</v>
      </c>
      <c r="AS71" s="31">
        <f t="shared" si="178"/>
        <v>2.3171484374999999E-2</v>
      </c>
      <c r="AT71" s="31">
        <f t="shared" si="178"/>
        <v>2.2592197265624999E-2</v>
      </c>
      <c r="AU71" s="31">
        <f t="shared" si="178"/>
        <v>2.2027392333984375E-2</v>
      </c>
      <c r="AV71" s="31">
        <f t="shared" si="178"/>
        <v>2.1476707525634766E-2</v>
      </c>
      <c r="AW71" s="31">
        <f t="shared" si="178"/>
        <v>2.0939789837493897E-2</v>
      </c>
      <c r="AX71" s="31">
        <f t="shared" si="178"/>
        <v>2.0416295091556548E-2</v>
      </c>
      <c r="AY71" s="31">
        <f t="shared" si="178"/>
        <v>1.9905887714267635E-2</v>
      </c>
    </row>
    <row r="72" spans="2:51" s="11" customFormat="1">
      <c r="B72" s="11" t="s">
        <v>28</v>
      </c>
      <c r="U72" s="12"/>
      <c r="V72" s="12"/>
      <c r="W72" s="12"/>
      <c r="X72" s="12"/>
      <c r="Y72" s="12"/>
      <c r="Z72" s="79"/>
      <c r="AA72" s="79"/>
      <c r="AB72" s="79"/>
      <c r="AC72" s="79"/>
      <c r="AD72" s="79"/>
      <c r="AE72" s="79"/>
      <c r="AF72" s="79"/>
      <c r="AG72" s="79"/>
      <c r="AH72" s="79"/>
      <c r="AI72" s="79"/>
      <c r="AJ72" s="12"/>
      <c r="AK72" s="79"/>
      <c r="AL72" s="79"/>
      <c r="AM72" s="79"/>
      <c r="AN72" s="79"/>
      <c r="AO72" s="79"/>
      <c r="AP72" s="30">
        <f t="shared" ref="AP72:AY72" si="179">+AP71-0.005</f>
        <v>0.02</v>
      </c>
      <c r="AQ72" s="30">
        <f t="shared" si="179"/>
        <v>1.9375E-2</v>
      </c>
      <c r="AR72" s="30">
        <f t="shared" si="179"/>
        <v>1.8765624999999998E-2</v>
      </c>
      <c r="AS72" s="30">
        <f t="shared" si="179"/>
        <v>1.8171484374999998E-2</v>
      </c>
      <c r="AT72" s="30">
        <f t="shared" si="179"/>
        <v>1.7592197265624998E-2</v>
      </c>
      <c r="AU72" s="30">
        <f t="shared" si="179"/>
        <v>1.7027392333984374E-2</v>
      </c>
      <c r="AV72" s="30">
        <f t="shared" si="179"/>
        <v>1.6476707525634765E-2</v>
      </c>
      <c r="AW72" s="30">
        <f t="shared" si="179"/>
        <v>1.5939789837493896E-2</v>
      </c>
      <c r="AX72" s="30">
        <f t="shared" si="179"/>
        <v>1.5416295091556547E-2</v>
      </c>
      <c r="AY72" s="30">
        <f t="shared" si="179"/>
        <v>1.4905887714267634E-2</v>
      </c>
    </row>
    <row r="73" spans="2:51" customFormat="1">
      <c r="U73" s="6"/>
      <c r="V73" s="6"/>
      <c r="W73" s="6"/>
      <c r="X73" s="6"/>
      <c r="Y73" s="6"/>
      <c r="Z73" s="81"/>
      <c r="AA73" s="81"/>
      <c r="AB73" s="81"/>
      <c r="AC73" s="81"/>
      <c r="AD73" s="81"/>
      <c r="AE73" s="81"/>
      <c r="AF73" s="81"/>
      <c r="AG73" s="81"/>
      <c r="AH73" s="81"/>
      <c r="AI73" s="81"/>
      <c r="AJ73" s="6"/>
      <c r="AK73" s="81"/>
      <c r="AL73" s="81"/>
      <c r="AM73" s="81"/>
      <c r="AN73" s="81"/>
      <c r="AO73" s="81"/>
    </row>
    <row r="74" spans="2:51" customFormat="1">
      <c r="B74" t="s">
        <v>24</v>
      </c>
      <c r="H74" s="40"/>
      <c r="I74" s="40"/>
      <c r="J74" s="40"/>
      <c r="K74" s="40">
        <f>+SUM(AJ74:AM74)</f>
        <v>-3.1185999999999998</v>
      </c>
      <c r="L74" s="40">
        <f ca="1">+SUM(AN74:AQ74)</f>
        <v>-4.6554297008971979</v>
      </c>
      <c r="M74" s="40">
        <f ca="1">+SUM(AR74:AU74)</f>
        <v>-5.1844615739951578</v>
      </c>
      <c r="N74" s="40">
        <f ca="1">+SUM(AV74:AY74)</f>
        <v>-5.6984184288652413</v>
      </c>
      <c r="U74" s="19"/>
      <c r="V74" s="19"/>
      <c r="W74" s="19"/>
      <c r="X74" s="19"/>
      <c r="Y74" s="19"/>
      <c r="Z74" s="110"/>
      <c r="AA74" s="110"/>
      <c r="AB74" s="110"/>
      <c r="AC74" s="110"/>
      <c r="AD74" s="110"/>
      <c r="AE74" s="110"/>
      <c r="AF74" s="110"/>
      <c r="AG74" s="110"/>
      <c r="AH74" s="110"/>
      <c r="AI74" s="110"/>
      <c r="AJ74" s="19"/>
      <c r="AK74" s="110">
        <v>-0.93899999999999995</v>
      </c>
      <c r="AL74" s="299">
        <f>-AL82*0.006</f>
        <v>-1.0775999999999999</v>
      </c>
      <c r="AM74" s="110">
        <v>-1.1020000000000001</v>
      </c>
      <c r="AN74" s="110">
        <v>-1.1679999999999999</v>
      </c>
      <c r="AO74" s="110">
        <v>-1.0840000000000001</v>
      </c>
      <c r="AP74" s="6">
        <f t="shared" ref="AP74:AY74" ca="1" si="180">+AP$75*AP46*3</f>
        <v>-1.1820240000000002</v>
      </c>
      <c r="AQ74" s="6">
        <f t="shared" ca="1" si="180"/>
        <v>-1.2214057008971977</v>
      </c>
      <c r="AR74" s="6">
        <f t="shared" ca="1" si="180"/>
        <v>-1.2505185433445711</v>
      </c>
      <c r="AS74" s="6">
        <f t="shared" ca="1" si="180"/>
        <v>-1.28040913029231</v>
      </c>
      <c r="AT74" s="6">
        <f t="shared" ca="1" si="180"/>
        <v>-1.311064187465254</v>
      </c>
      <c r="AU74" s="6">
        <f t="shared" ca="1" si="180"/>
        <v>-1.3424697128930232</v>
      </c>
      <c r="AV74" s="6">
        <f t="shared" ca="1" si="180"/>
        <v>-1.3746110497792297</v>
      </c>
      <c r="AW74" s="6">
        <f t="shared" ca="1" si="180"/>
        <v>-1.4074729492277243</v>
      </c>
      <c r="AX74" s="6">
        <f t="shared" ca="1" si="180"/>
        <v>-1.4410396253368596</v>
      </c>
      <c r="AY74" s="6">
        <f t="shared" ca="1" si="180"/>
        <v>-1.4752948045214282</v>
      </c>
    </row>
    <row r="75" spans="2:51" s="3" customFormat="1">
      <c r="B75" s="10" t="s">
        <v>30</v>
      </c>
      <c r="U75" s="4"/>
      <c r="V75" s="4"/>
      <c r="W75" s="4"/>
      <c r="X75" s="4"/>
      <c r="Y75" s="4"/>
      <c r="Z75" s="114"/>
      <c r="AA75" s="114"/>
      <c r="AB75" s="114"/>
      <c r="AC75" s="114"/>
      <c r="AD75" s="114"/>
      <c r="AE75" s="114"/>
      <c r="AF75" s="114"/>
      <c r="AG75" s="114"/>
      <c r="AH75" s="114"/>
      <c r="AI75" s="114"/>
      <c r="AJ75" s="4"/>
      <c r="AK75" s="114">
        <f>+AK74/(AK46*3)</f>
        <v>-5.441322761031861E-3</v>
      </c>
      <c r="AL75" s="114">
        <f>+AL74/(AL46*3)</f>
        <v>-6.083552879187052E-3</v>
      </c>
      <c r="AM75" s="114">
        <f>+AM74/(AM46*3)</f>
        <v>-5.9333973455853988E-3</v>
      </c>
      <c r="AN75" s="114">
        <f>+AN74/(AN46*3)</f>
        <v>-6.161312443952102E-3</v>
      </c>
      <c r="AO75" s="114">
        <f>+AO74/(AO46*3)</f>
        <v>-5.6116374178185021E-3</v>
      </c>
      <c r="AP75" s="4">
        <f ca="1">+OFFSET(AP75,Valuation!$C$5,0)</f>
        <v>-6.0000000000000001E-3</v>
      </c>
      <c r="AQ75" s="4">
        <f ca="1">+OFFSET(AQ75,Valuation!$C$5,0)</f>
        <v>-6.0000000000000001E-3</v>
      </c>
      <c r="AR75" s="4">
        <f ca="1">+OFFSET(AR75,Valuation!$C$5,0)</f>
        <v>-6.0000000000000001E-3</v>
      </c>
      <c r="AS75" s="4">
        <f ca="1">+OFFSET(AS75,Valuation!$C$5,0)</f>
        <v>-6.0000000000000001E-3</v>
      </c>
      <c r="AT75" s="4">
        <f ca="1">+OFFSET(AT75,Valuation!$C$5,0)</f>
        <v>-6.0000000000000001E-3</v>
      </c>
      <c r="AU75" s="4">
        <f ca="1">+OFFSET(AU75,Valuation!$C$5,0)</f>
        <v>-6.0000000000000001E-3</v>
      </c>
      <c r="AV75" s="4">
        <f ca="1">+OFFSET(AV75,Valuation!$C$5,0)</f>
        <v>-6.0000000000000001E-3</v>
      </c>
      <c r="AW75" s="4">
        <f ca="1">+OFFSET(AW75,Valuation!$C$5,0)</f>
        <v>-6.0000000000000001E-3</v>
      </c>
      <c r="AX75" s="4">
        <f ca="1">+OFFSET(AX75,Valuation!$C$5,0)</f>
        <v>-6.0000000000000001E-3</v>
      </c>
      <c r="AY75" s="4">
        <f ca="1">+OFFSET(AY75,Valuation!$C$5,0)</f>
        <v>-6.0000000000000001E-3</v>
      </c>
    </row>
    <row r="76" spans="2:51" s="11" customFormat="1">
      <c r="B76" s="11" t="s">
        <v>26</v>
      </c>
      <c r="U76" s="12"/>
      <c r="V76" s="12"/>
      <c r="W76" s="12"/>
      <c r="X76" s="12"/>
      <c r="Y76" s="12"/>
      <c r="Z76" s="79"/>
      <c r="AA76" s="79"/>
      <c r="AB76" s="79"/>
      <c r="AC76" s="79"/>
      <c r="AD76" s="79"/>
      <c r="AE76" s="79"/>
      <c r="AF76" s="79"/>
      <c r="AG76" s="79"/>
      <c r="AH76" s="79"/>
      <c r="AI76" s="79"/>
      <c r="AJ76" s="12"/>
      <c r="AK76" s="79"/>
      <c r="AL76" s="79"/>
      <c r="AM76" s="79"/>
      <c r="AN76" s="79"/>
      <c r="AO76" s="79"/>
      <c r="AP76" s="21">
        <f t="shared" ref="AP76:AY76" si="181">+AP77+0.001</f>
        <v>-5.0000000000000001E-3</v>
      </c>
      <c r="AQ76" s="21">
        <f t="shared" si="181"/>
        <v>-5.0000000000000001E-3</v>
      </c>
      <c r="AR76" s="21">
        <f t="shared" si="181"/>
        <v>-5.0000000000000001E-3</v>
      </c>
      <c r="AS76" s="21">
        <f t="shared" si="181"/>
        <v>-5.0000000000000001E-3</v>
      </c>
      <c r="AT76" s="21">
        <f t="shared" si="181"/>
        <v>-5.0000000000000001E-3</v>
      </c>
      <c r="AU76" s="21">
        <f t="shared" si="181"/>
        <v>-5.0000000000000001E-3</v>
      </c>
      <c r="AV76" s="21">
        <f t="shared" si="181"/>
        <v>-5.0000000000000001E-3</v>
      </c>
      <c r="AW76" s="21">
        <f t="shared" si="181"/>
        <v>-5.0000000000000001E-3</v>
      </c>
      <c r="AX76" s="21">
        <f t="shared" si="181"/>
        <v>-5.0000000000000001E-3</v>
      </c>
      <c r="AY76" s="21">
        <f t="shared" si="181"/>
        <v>-5.0000000000000001E-3</v>
      </c>
    </row>
    <row r="77" spans="2:51" s="11" customFormat="1">
      <c r="B77" s="11" t="s">
        <v>27</v>
      </c>
      <c r="U77" s="12"/>
      <c r="V77" s="12"/>
      <c r="W77" s="12"/>
      <c r="X77" s="12"/>
      <c r="Y77" s="12"/>
      <c r="Z77" s="79"/>
      <c r="AA77" s="79"/>
      <c r="AB77" s="79"/>
      <c r="AC77" s="79"/>
      <c r="AD77" s="21"/>
      <c r="AE77" s="21"/>
      <c r="AF77" s="21"/>
      <c r="AG77" s="21"/>
      <c r="AH77" s="21"/>
      <c r="AI77" s="21"/>
      <c r="AJ77" s="12"/>
      <c r="AK77" s="79"/>
      <c r="AL77" s="21">
        <f t="shared" ref="AL77:AO77" si="182">+AVERAGE(AI75:AL75)</f>
        <v>-5.7624378201094565E-3</v>
      </c>
      <c r="AM77" s="21">
        <f t="shared" si="182"/>
        <v>-5.819424328601437E-3</v>
      </c>
      <c r="AN77" s="21">
        <f t="shared" si="182"/>
        <v>-5.9048963574391032E-3</v>
      </c>
      <c r="AO77" s="21">
        <f t="shared" si="182"/>
        <v>-5.9474750216357633E-3</v>
      </c>
      <c r="AP77" s="28">
        <v>-6.0000000000000001E-3</v>
      </c>
      <c r="AQ77" s="28">
        <v>-6.0000000000000001E-3</v>
      </c>
      <c r="AR77" s="28">
        <v>-6.0000000000000001E-3</v>
      </c>
      <c r="AS77" s="28">
        <v>-6.0000000000000001E-3</v>
      </c>
      <c r="AT77" s="28">
        <v>-6.0000000000000001E-3</v>
      </c>
      <c r="AU77" s="28">
        <v>-6.0000000000000001E-3</v>
      </c>
      <c r="AV77" s="28">
        <v>-6.0000000000000001E-3</v>
      </c>
      <c r="AW77" s="28">
        <v>-6.0000000000000001E-3</v>
      </c>
      <c r="AX77" s="28">
        <v>-6.0000000000000001E-3</v>
      </c>
      <c r="AY77" s="28">
        <v>-6.0000000000000001E-3</v>
      </c>
    </row>
    <row r="78" spans="2:51" s="11" customFormat="1">
      <c r="B78" s="11" t="s">
        <v>28</v>
      </c>
      <c r="U78" s="12"/>
      <c r="V78" s="12"/>
      <c r="W78" s="12"/>
      <c r="X78" s="12"/>
      <c r="Y78" s="12"/>
      <c r="Z78" s="79"/>
      <c r="AA78" s="79"/>
      <c r="AB78" s="79"/>
      <c r="AC78" s="79"/>
      <c r="AD78" s="79"/>
      <c r="AE78" s="79"/>
      <c r="AF78" s="79"/>
      <c r="AG78" s="79"/>
      <c r="AH78" s="79"/>
      <c r="AI78" s="79"/>
      <c r="AJ78" s="12"/>
      <c r="AK78" s="79"/>
      <c r="AL78" s="79"/>
      <c r="AM78" s="79"/>
      <c r="AN78" s="79"/>
      <c r="AO78" s="79"/>
      <c r="AP78" s="21">
        <f t="shared" ref="AP78:AY78" si="183">+AP77-0.001</f>
        <v>-7.0000000000000001E-3</v>
      </c>
      <c r="AQ78" s="21">
        <f t="shared" si="183"/>
        <v>-7.0000000000000001E-3</v>
      </c>
      <c r="AR78" s="21">
        <f t="shared" si="183"/>
        <v>-7.0000000000000001E-3</v>
      </c>
      <c r="AS78" s="21">
        <f t="shared" si="183"/>
        <v>-7.0000000000000001E-3</v>
      </c>
      <c r="AT78" s="21">
        <f t="shared" si="183"/>
        <v>-7.0000000000000001E-3</v>
      </c>
      <c r="AU78" s="21">
        <f t="shared" si="183"/>
        <v>-7.0000000000000001E-3</v>
      </c>
      <c r="AV78" s="21">
        <f t="shared" si="183"/>
        <v>-7.0000000000000001E-3</v>
      </c>
      <c r="AW78" s="21">
        <f t="shared" si="183"/>
        <v>-7.0000000000000001E-3</v>
      </c>
      <c r="AX78" s="21">
        <f t="shared" si="183"/>
        <v>-7.0000000000000001E-3</v>
      </c>
      <c r="AY78" s="21">
        <f t="shared" si="183"/>
        <v>-7.0000000000000001E-3</v>
      </c>
    </row>
    <row r="79" spans="2:51" s="3" customFormat="1">
      <c r="B79" s="10"/>
      <c r="U79" s="4"/>
      <c r="V79" s="4"/>
      <c r="W79" s="4"/>
      <c r="X79" s="4"/>
      <c r="Y79" s="4"/>
      <c r="Z79" s="114"/>
      <c r="AA79" s="114"/>
      <c r="AB79" s="114"/>
      <c r="AC79" s="114"/>
      <c r="AD79" s="114"/>
      <c r="AE79" s="114"/>
      <c r="AF79" s="114"/>
      <c r="AG79" s="114"/>
      <c r="AH79" s="114"/>
      <c r="AI79" s="114"/>
      <c r="AJ79" s="4"/>
      <c r="AK79" s="114"/>
      <c r="AL79" s="114"/>
      <c r="AM79" s="114"/>
      <c r="AN79" s="114"/>
      <c r="AO79" s="114"/>
    </row>
    <row r="80" spans="2:51" customFormat="1">
      <c r="B80" t="s">
        <v>25</v>
      </c>
      <c r="H80" s="40"/>
      <c r="I80" s="40"/>
      <c r="J80" s="40"/>
      <c r="K80" s="40">
        <f>+SUM(AJ80:AM80)</f>
        <v>2.742</v>
      </c>
      <c r="L80" s="40">
        <f ca="1">+SUM(AN80:AQ80)</f>
        <v>5.7579190746983864</v>
      </c>
      <c r="M80" s="40">
        <f ca="1">+SUM(AR80:AU80)</f>
        <v>6.8940281352588126</v>
      </c>
      <c r="N80" s="40">
        <f ca="1">+SUM(AV80:AY80)</f>
        <v>7.5339289253185324</v>
      </c>
      <c r="U80" s="6"/>
      <c r="V80" s="6"/>
      <c r="W80" s="6"/>
      <c r="X80" s="6"/>
      <c r="Y80" s="6"/>
      <c r="Z80" s="81"/>
      <c r="AA80" s="81"/>
      <c r="AB80" s="81"/>
      <c r="AC80" s="81"/>
      <c r="AD80" s="81"/>
      <c r="AE80" s="81"/>
      <c r="AF80" s="81"/>
      <c r="AG80" s="81"/>
      <c r="AH80" s="81"/>
      <c r="AI80" s="81"/>
      <c r="AJ80" s="6"/>
      <c r="AK80" s="81">
        <f>-AK59+AK74</f>
        <v>0.67900000000000016</v>
      </c>
      <c r="AL80" s="110">
        <v>1</v>
      </c>
      <c r="AM80" s="110">
        <v>1.0629999999999999</v>
      </c>
      <c r="AN80" s="110">
        <v>1.278</v>
      </c>
      <c r="AO80" s="110">
        <v>1.278</v>
      </c>
      <c r="AP80" s="6">
        <f t="shared" ref="AP80:AY80" ca="1" si="184">-AP59+AP74</f>
        <v>1.584538938733191</v>
      </c>
      <c r="AQ80" s="6">
        <f t="shared" ca="1" si="184"/>
        <v>1.6173801359651956</v>
      </c>
      <c r="AR80" s="6">
        <f t="shared" ca="1" si="184"/>
        <v>1.6605881637632836</v>
      </c>
      <c r="AS80" s="6">
        <f t="shared" ca="1" si="184"/>
        <v>1.7030587318302266</v>
      </c>
      <c r="AT80" s="6">
        <f t="shared" ca="1" si="184"/>
        <v>1.7447514126538204</v>
      </c>
      <c r="AU80" s="6">
        <f t="shared" ca="1" si="184"/>
        <v>1.7856298270114821</v>
      </c>
      <c r="AV80" s="6">
        <f t="shared" ca="1" si="184"/>
        <v>1.8256610804719287</v>
      </c>
      <c r="AW80" s="6">
        <f t="shared" ca="1" si="184"/>
        <v>1.8648153393964009</v>
      </c>
      <c r="AX80" s="6">
        <f t="shared" ca="1" si="184"/>
        <v>1.9030655102538163</v>
      </c>
      <c r="AY80" s="6">
        <f t="shared" ca="1" si="184"/>
        <v>1.9403869951963861</v>
      </c>
    </row>
    <row r="81" spans="1:51" s="3" customFormat="1">
      <c r="Z81" s="80"/>
      <c r="AA81" s="80"/>
      <c r="AB81" s="80"/>
      <c r="AC81" s="80"/>
      <c r="AD81" s="80"/>
      <c r="AE81" s="80"/>
      <c r="AF81" s="80"/>
      <c r="AG81" s="80"/>
      <c r="AH81" s="80"/>
      <c r="AI81" s="80"/>
      <c r="AK81" s="80"/>
      <c r="AL81" s="80"/>
      <c r="AM81" s="80"/>
      <c r="AN81" s="80"/>
      <c r="AO81" s="80"/>
      <c r="AP81" s="40"/>
      <c r="AQ81" s="40"/>
      <c r="AR81" s="40"/>
      <c r="AS81" s="40"/>
      <c r="AT81" s="40"/>
      <c r="AU81" s="40"/>
      <c r="AV81" s="40"/>
      <c r="AW81" s="40"/>
      <c r="AX81" s="40"/>
      <c r="AY81" s="40"/>
    </row>
    <row r="82" spans="1:51" customFormat="1">
      <c r="B82" t="s">
        <v>31</v>
      </c>
      <c r="F82" s="19"/>
      <c r="G82" s="6"/>
      <c r="H82" s="40"/>
      <c r="I82" s="40"/>
      <c r="J82" s="40"/>
      <c r="K82" s="40">
        <f>+SUM(AJ82:AM82)</f>
        <v>722.1</v>
      </c>
      <c r="L82" s="40">
        <f ca="1">+SUM(AN82:AQ82)</f>
        <v>808.90814860736361</v>
      </c>
      <c r="M82" s="40">
        <f ca="1">+SUM(AR82:AU82)</f>
        <v>889.56697589129101</v>
      </c>
      <c r="N82" s="40">
        <f ca="1">+SUM(AV82:AY82)</f>
        <v>976.29295301973787</v>
      </c>
      <c r="T82" s="19"/>
      <c r="U82" s="19"/>
      <c r="V82" s="19"/>
      <c r="W82" s="19"/>
      <c r="X82" s="19"/>
      <c r="Y82" s="19"/>
      <c r="Z82" s="19"/>
      <c r="AA82" s="19"/>
      <c r="AB82" s="19"/>
      <c r="AC82" s="19"/>
      <c r="AD82" s="19"/>
      <c r="AE82" s="19"/>
      <c r="AF82" s="19"/>
      <c r="AG82" s="19"/>
      <c r="AH82" s="19"/>
      <c r="AI82" s="50">
        <v>172.2</v>
      </c>
      <c r="AJ82" s="50">
        <v>174.1</v>
      </c>
      <c r="AK82" s="50">
        <v>177.5</v>
      </c>
      <c r="AL82" s="19">
        <v>179.6</v>
      </c>
      <c r="AM82" s="19">
        <v>190.9</v>
      </c>
      <c r="AN82" s="19">
        <v>195.5</v>
      </c>
      <c r="AO82" s="19">
        <v>200.5</v>
      </c>
      <c r="AP82" s="6">
        <f t="shared" ref="AP82:AY82" ca="1" si="185">+SUM(AP85:AP86)</f>
        <v>203.14489823122202</v>
      </c>
      <c r="AQ82" s="6">
        <f t="shared" ca="1" si="185"/>
        <v>209.7632503761416</v>
      </c>
      <c r="AR82" s="6">
        <f t="shared" ca="1" si="185"/>
        <v>214.68740416370065</v>
      </c>
      <c r="AS82" s="6">
        <f t="shared" ca="1" si="185"/>
        <v>219.73995293510205</v>
      </c>
      <c r="AT82" s="6">
        <f t="shared" ca="1" si="185"/>
        <v>224.9186169319654</v>
      </c>
      <c r="AU82" s="6">
        <f t="shared" ca="1" si="185"/>
        <v>230.22100186052299</v>
      </c>
      <c r="AV82" s="6">
        <f t="shared" ca="1" si="185"/>
        <v>235.64461009732483</v>
      </c>
      <c r="AW82" s="6">
        <f t="shared" ca="1" si="185"/>
        <v>241.18685043694808</v>
      </c>
      <c r="AX82" s="6">
        <f t="shared" ca="1" si="185"/>
        <v>246.84504673989963</v>
      </c>
      <c r="AY82" s="6">
        <f t="shared" ca="1" si="185"/>
        <v>252.61644574556533</v>
      </c>
    </row>
    <row r="83" spans="1:51" customFormat="1">
      <c r="B83" s="7" t="s">
        <v>36</v>
      </c>
      <c r="G83" s="23"/>
      <c r="H83" s="23"/>
      <c r="I83" s="23"/>
      <c r="J83" s="23"/>
      <c r="K83" s="23"/>
      <c r="L83" s="23">
        <f ca="1">+L82/K82-1</f>
        <v>0.1202162423589026</v>
      </c>
      <c r="M83" s="23">
        <f ca="1">+M82/L82-1</f>
        <v>9.9713209000047431E-2</v>
      </c>
      <c r="N83" s="23">
        <f ca="1">+N82/M82-1</f>
        <v>9.7492352435355256E-2</v>
      </c>
      <c r="U83" s="19"/>
      <c r="V83" s="19"/>
      <c r="W83" s="19"/>
      <c r="X83" s="23"/>
      <c r="Y83" s="23"/>
      <c r="Z83" s="48"/>
      <c r="AA83" s="48"/>
      <c r="AB83" s="48"/>
      <c r="AC83" s="48"/>
      <c r="AD83" s="48"/>
      <c r="AE83" s="48"/>
      <c r="AF83" s="48"/>
      <c r="AG83" s="48"/>
      <c r="AH83" s="48"/>
      <c r="AI83" s="48"/>
      <c r="AJ83" s="23"/>
      <c r="AK83" s="48"/>
      <c r="AL83" s="23"/>
      <c r="AM83" s="23">
        <f t="shared" ref="AM83:AY83" si="186">+AM82/AI82-1</f>
        <v>0.10859465737514529</v>
      </c>
      <c r="AN83" s="23">
        <f t="shared" si="186"/>
        <v>0.12291786329695586</v>
      </c>
      <c r="AO83" s="23">
        <f t="shared" si="186"/>
        <v>0.12957746478873244</v>
      </c>
      <c r="AP83" s="23">
        <f t="shared" ca="1" si="186"/>
        <v>0.13109631531860821</v>
      </c>
      <c r="AQ83" s="23">
        <f t="shared" ca="1" si="186"/>
        <v>9.8812207313470957E-2</v>
      </c>
      <c r="AR83" s="23">
        <f t="shared" ca="1" si="186"/>
        <v>9.8145289839901118E-2</v>
      </c>
      <c r="AS83" s="23">
        <f t="shared" ca="1" si="186"/>
        <v>9.5959865012977819E-2</v>
      </c>
      <c r="AT83" s="23">
        <f t="shared" ca="1" si="186"/>
        <v>0.10718319234362594</v>
      </c>
      <c r="AU83" s="23">
        <f t="shared" ca="1" si="186"/>
        <v>9.7527815037653731E-2</v>
      </c>
      <c r="AV83" s="23">
        <f t="shared" ca="1" si="186"/>
        <v>9.7617305566954249E-2</v>
      </c>
      <c r="AW83" s="23">
        <f t="shared" ca="1" si="186"/>
        <v>9.7601265565848916E-2</v>
      </c>
      <c r="AX83" s="23">
        <f t="shared" ca="1" si="186"/>
        <v>9.7486060100425709E-2</v>
      </c>
      <c r="AY83" s="23">
        <f t="shared" ca="1" si="186"/>
        <v>9.7278022873909631E-2</v>
      </c>
    </row>
    <row r="84" spans="1:51" customFormat="1">
      <c r="B84" s="7" t="s">
        <v>37</v>
      </c>
      <c r="U84" s="23"/>
      <c r="V84" s="23"/>
      <c r="W84" s="23"/>
      <c r="X84" s="23"/>
      <c r="Y84" s="23"/>
      <c r="Z84" s="48"/>
      <c r="AA84" s="48"/>
      <c r="AB84" s="48"/>
      <c r="AC84" s="48"/>
      <c r="AD84" s="48"/>
      <c r="AE84" s="48"/>
      <c r="AF84" s="48"/>
      <c r="AG84" s="48"/>
      <c r="AH84" s="48"/>
      <c r="AI84" s="48"/>
      <c r="AJ84" s="23"/>
      <c r="AK84" s="48">
        <f t="shared" ref="AK84:AO84" si="187">+AK82/AJ82-1</f>
        <v>1.9529006318207864E-2</v>
      </c>
      <c r="AL84" s="48">
        <f t="shared" si="187"/>
        <v>1.1830985915493031E-2</v>
      </c>
      <c r="AM84" s="48">
        <f t="shared" si="187"/>
        <v>6.2917594654788411E-2</v>
      </c>
      <c r="AN84" s="48">
        <f t="shared" si="187"/>
        <v>2.4096385542168752E-2</v>
      </c>
      <c r="AO84" s="48">
        <f t="shared" si="187"/>
        <v>2.5575447570332477E-2</v>
      </c>
      <c r="AP84" s="23">
        <f t="shared" ref="AP84:AY84" ca="1" si="188">+AP82/AO82-1</f>
        <v>1.3191512375172243E-2</v>
      </c>
      <c r="AQ84" s="23">
        <f t="shared" ca="1" si="188"/>
        <v>3.2579465212001057E-2</v>
      </c>
      <c r="AR84" s="23">
        <f t="shared" ca="1" si="188"/>
        <v>2.347481638813842E-2</v>
      </c>
      <c r="AS84" s="23">
        <f t="shared" ca="1" si="188"/>
        <v>2.3534444375454822E-2</v>
      </c>
      <c r="AT84" s="23">
        <f t="shared" ca="1" si="188"/>
        <v>2.3567239037285193E-2</v>
      </c>
      <c r="AU84" s="23">
        <f t="shared" ca="1" si="188"/>
        <v>2.3574682260123714E-2</v>
      </c>
      <c r="AV84" s="23">
        <f t="shared" ca="1" si="188"/>
        <v>2.3558268763367085E-2</v>
      </c>
      <c r="AW84" s="23">
        <f t="shared" ca="1" si="188"/>
        <v>2.3519486982257698E-2</v>
      </c>
      <c r="AX84" s="23">
        <f t="shared" ca="1" si="188"/>
        <v>2.3459804266695361E-2</v>
      </c>
      <c r="AY84" s="23">
        <f t="shared" ca="1" si="188"/>
        <v>2.3380655524139371E-2</v>
      </c>
    </row>
    <row r="85" spans="1:51" customFormat="1">
      <c r="B85" t="s">
        <v>35</v>
      </c>
      <c r="H85" s="40"/>
      <c r="I85" s="40"/>
      <c r="J85" s="40"/>
      <c r="K85" s="40">
        <f>+SUM(AJ85:AM85)</f>
        <v>712.1</v>
      </c>
      <c r="L85" s="40">
        <f ca="1">+SUM(AN85:AQ85)</f>
        <v>792.90814860736361</v>
      </c>
      <c r="M85" s="40">
        <f ca="1">+SUM(AR85:AU85)</f>
        <v>875.56697589129101</v>
      </c>
      <c r="N85" s="40">
        <f ca="1">+SUM(AV85:AY85)</f>
        <v>962.29295301973787</v>
      </c>
      <c r="U85" s="18"/>
      <c r="V85" s="18"/>
      <c r="W85" s="18"/>
      <c r="X85" s="18"/>
      <c r="Y85" s="18"/>
      <c r="Z85" s="111"/>
      <c r="AA85" s="111"/>
      <c r="AB85" s="111"/>
      <c r="AC85" s="111"/>
      <c r="AD85" s="111"/>
      <c r="AE85" s="111"/>
      <c r="AF85" s="111"/>
      <c r="AG85" s="111"/>
      <c r="AH85" s="111"/>
      <c r="AI85" s="111"/>
      <c r="AJ85" s="18">
        <f t="shared" ref="AJ85:AO85" si="189">+SUM(AJ51:AJ52)</f>
        <v>172.1</v>
      </c>
      <c r="AK85" s="111">
        <f t="shared" si="189"/>
        <v>173.70000000000002</v>
      </c>
      <c r="AL85" s="111">
        <f t="shared" si="189"/>
        <v>178.8</v>
      </c>
      <c r="AM85" s="111">
        <f t="shared" si="189"/>
        <v>187.5</v>
      </c>
      <c r="AN85" s="111">
        <f t="shared" si="189"/>
        <v>191.7</v>
      </c>
      <c r="AO85" s="111">
        <f t="shared" si="189"/>
        <v>195.3</v>
      </c>
      <c r="AP85" s="6">
        <f t="shared" ref="AP85:AY85" ca="1" si="190">+AP49</f>
        <v>199.64489823122202</v>
      </c>
      <c r="AQ85" s="6">
        <f t="shared" ca="1" si="190"/>
        <v>206.2632503761416</v>
      </c>
      <c r="AR85" s="6">
        <f t="shared" ca="1" si="190"/>
        <v>211.18740416370065</v>
      </c>
      <c r="AS85" s="6">
        <f t="shared" ca="1" si="190"/>
        <v>216.23995293510205</v>
      </c>
      <c r="AT85" s="6">
        <f t="shared" ca="1" si="190"/>
        <v>221.4186169319654</v>
      </c>
      <c r="AU85" s="6">
        <f t="shared" ca="1" si="190"/>
        <v>226.72100186052299</v>
      </c>
      <c r="AV85" s="6">
        <f t="shared" ca="1" si="190"/>
        <v>232.14461009732483</v>
      </c>
      <c r="AW85" s="6">
        <f t="shared" ca="1" si="190"/>
        <v>237.68685043694808</v>
      </c>
      <c r="AX85" s="6">
        <f t="shared" ca="1" si="190"/>
        <v>243.34504673989963</v>
      </c>
      <c r="AY85" s="6">
        <f t="shared" ca="1" si="190"/>
        <v>249.11644574556533</v>
      </c>
    </row>
    <row r="86" spans="1:51" customFormat="1">
      <c r="B86" t="s">
        <v>34</v>
      </c>
      <c r="H86" s="40"/>
      <c r="I86" s="40"/>
      <c r="J86" s="40"/>
      <c r="K86" s="40">
        <f>+SUM(AJ86:AM86)</f>
        <v>9.9999999999999716</v>
      </c>
      <c r="L86" s="40">
        <f>+SUM(AN86:AQ86)</f>
        <v>16</v>
      </c>
      <c r="M86" s="40">
        <f>+SUM(AR86:AU86)</f>
        <v>14</v>
      </c>
      <c r="N86" s="40">
        <f>+SUM(AV86:AY86)</f>
        <v>14</v>
      </c>
      <c r="U86" s="6"/>
      <c r="V86" s="6"/>
      <c r="W86" s="6"/>
      <c r="X86" s="6"/>
      <c r="Y86" s="6"/>
      <c r="Z86" s="81"/>
      <c r="AA86" s="81"/>
      <c r="AB86" s="81"/>
      <c r="AC86" s="81"/>
      <c r="AD86" s="81"/>
      <c r="AE86" s="81"/>
      <c r="AF86" s="81"/>
      <c r="AG86" s="81"/>
      <c r="AH86" s="81"/>
      <c r="AI86" s="81"/>
      <c r="AJ86" s="6">
        <f t="shared" ref="AJ86:AO86" si="191">+AJ82-SUM(AJ51,AJ52)</f>
        <v>2</v>
      </c>
      <c r="AK86" s="81">
        <f t="shared" si="191"/>
        <v>3.7999999999999829</v>
      </c>
      <c r="AL86" s="81">
        <f t="shared" si="191"/>
        <v>0.79999999999998295</v>
      </c>
      <c r="AM86" s="81">
        <f t="shared" si="191"/>
        <v>3.4000000000000057</v>
      </c>
      <c r="AN86" s="81">
        <f t="shared" si="191"/>
        <v>3.8000000000000114</v>
      </c>
      <c r="AO86" s="81">
        <f t="shared" si="191"/>
        <v>5.1999999999999886</v>
      </c>
      <c r="AP86" s="19">
        <v>3.5</v>
      </c>
      <c r="AQ86" s="19">
        <f t="shared" ref="AQ86:AY86" si="192">+AP86</f>
        <v>3.5</v>
      </c>
      <c r="AR86" s="19">
        <f t="shared" si="192"/>
        <v>3.5</v>
      </c>
      <c r="AS86" s="19">
        <f t="shared" si="192"/>
        <v>3.5</v>
      </c>
      <c r="AT86" s="19">
        <f t="shared" si="192"/>
        <v>3.5</v>
      </c>
      <c r="AU86" s="19">
        <f t="shared" si="192"/>
        <v>3.5</v>
      </c>
      <c r="AV86" s="19">
        <f t="shared" si="192"/>
        <v>3.5</v>
      </c>
      <c r="AW86" s="19">
        <f t="shared" si="192"/>
        <v>3.5</v>
      </c>
      <c r="AX86" s="19">
        <f t="shared" si="192"/>
        <v>3.5</v>
      </c>
      <c r="AY86" s="19">
        <f t="shared" si="192"/>
        <v>3.5</v>
      </c>
    </row>
    <row r="87" spans="1:51" customFormat="1">
      <c r="U87" s="6"/>
      <c r="V87" s="6"/>
      <c r="W87" s="6"/>
      <c r="X87" s="6"/>
      <c r="Y87" s="6"/>
      <c r="Z87" s="81"/>
      <c r="AA87" s="81"/>
      <c r="AB87" s="81"/>
      <c r="AC87" s="81"/>
      <c r="AD87" s="81"/>
      <c r="AE87" s="81"/>
      <c r="AF87" s="81"/>
      <c r="AG87" s="81"/>
      <c r="AH87" s="81"/>
      <c r="AI87" s="81"/>
      <c r="AJ87" s="81"/>
      <c r="AK87" s="81"/>
      <c r="AL87" s="81"/>
      <c r="AM87" s="81"/>
      <c r="AN87" s="81"/>
      <c r="AO87" s="81"/>
      <c r="AP87" s="19"/>
      <c r="AQ87" s="19"/>
      <c r="AR87" s="19"/>
      <c r="AS87" s="19"/>
      <c r="AT87" s="19"/>
      <c r="AU87" s="19"/>
      <c r="AV87" s="19"/>
      <c r="AW87" s="19"/>
      <c r="AX87" s="19"/>
      <c r="AY87" s="19"/>
    </row>
    <row r="88" spans="1:51" s="5" customFormat="1">
      <c r="B88" s="5" t="s">
        <v>52</v>
      </c>
      <c r="U88" s="37"/>
      <c r="V88" s="37"/>
      <c r="W88" s="37"/>
      <c r="X88" s="37"/>
      <c r="Y88" s="37"/>
      <c r="Z88" s="96"/>
      <c r="AA88" s="96"/>
      <c r="AB88" s="36"/>
      <c r="AC88" s="36"/>
      <c r="AD88" s="36"/>
      <c r="AE88" s="36"/>
      <c r="AF88" s="36"/>
      <c r="AG88" s="36"/>
      <c r="AH88" s="36"/>
      <c r="AI88" s="36"/>
      <c r="AJ88" s="36"/>
      <c r="AK88" s="36"/>
      <c r="AL88" s="36"/>
      <c r="AM88" s="36"/>
      <c r="AN88" s="36"/>
      <c r="AO88" s="36"/>
      <c r="AP88" s="38">
        <f>(2.1/0.5+1.9/1.25/0.5)/4</f>
        <v>1.81</v>
      </c>
      <c r="AQ88" s="38"/>
      <c r="AR88" s="38"/>
      <c r="AS88" s="38"/>
      <c r="AT88" s="38"/>
      <c r="AU88" s="38"/>
      <c r="AV88" s="38"/>
      <c r="AW88" s="38"/>
      <c r="AX88" s="38"/>
      <c r="AY88" s="38"/>
    </row>
    <row r="89" spans="1:51" customFormat="1">
      <c r="U89" s="6"/>
      <c r="Z89" s="15"/>
      <c r="AA89" s="15"/>
      <c r="AB89" s="15"/>
      <c r="AC89" s="15"/>
      <c r="AD89" s="6"/>
      <c r="AE89" s="6"/>
      <c r="AF89" s="6"/>
      <c r="AG89" s="6"/>
      <c r="AH89" s="6"/>
      <c r="AI89" s="6"/>
      <c r="AJ89" s="6"/>
      <c r="AK89" s="6"/>
      <c r="AL89" s="32"/>
      <c r="AM89" s="32"/>
      <c r="AN89" s="32"/>
      <c r="AO89" s="32"/>
      <c r="AP89" s="32"/>
      <c r="AQ89" s="32"/>
      <c r="AR89" s="32"/>
      <c r="AS89" s="32"/>
      <c r="AT89" s="32"/>
      <c r="AU89" s="32"/>
      <c r="AV89" s="32"/>
      <c r="AW89" s="32"/>
      <c r="AX89" s="32"/>
      <c r="AY89" s="32"/>
    </row>
    <row r="90" spans="1:51" s="1" customFormat="1">
      <c r="A90" s="27" t="s">
        <v>40</v>
      </c>
      <c r="B90" s="149" t="s">
        <v>407</v>
      </c>
      <c r="T90" s="33" t="str">
        <f>+T$3</f>
        <v>1Q13</v>
      </c>
      <c r="U90" s="33" t="str">
        <f t="shared" ref="U90:AY90" si="193">+U$3</f>
        <v>2Q13</v>
      </c>
      <c r="V90" s="33" t="str">
        <f t="shared" si="193"/>
        <v>3Q13</v>
      </c>
      <c r="W90" s="33" t="str">
        <f t="shared" si="193"/>
        <v>4Q13</v>
      </c>
      <c r="X90" s="33" t="str">
        <f t="shared" si="193"/>
        <v>1Q14</v>
      </c>
      <c r="Y90" s="33" t="str">
        <f t="shared" si="193"/>
        <v>2Q14</v>
      </c>
      <c r="Z90" s="33" t="str">
        <f t="shared" si="193"/>
        <v>3Q14</v>
      </c>
      <c r="AA90" s="33" t="str">
        <f t="shared" si="193"/>
        <v>4Q14</v>
      </c>
      <c r="AB90" s="33" t="str">
        <f t="shared" si="193"/>
        <v>1Q15</v>
      </c>
      <c r="AC90" s="33" t="str">
        <f t="shared" si="193"/>
        <v>2Q15</v>
      </c>
      <c r="AD90" s="33" t="str">
        <f t="shared" si="193"/>
        <v>3Q15</v>
      </c>
      <c r="AE90" s="33" t="str">
        <f t="shared" si="193"/>
        <v>4Q15</v>
      </c>
      <c r="AF90" s="33" t="str">
        <f t="shared" si="193"/>
        <v>1Q16</v>
      </c>
      <c r="AG90" s="33" t="str">
        <f t="shared" si="193"/>
        <v>2Q16</v>
      </c>
      <c r="AH90" s="33" t="str">
        <f t="shared" si="193"/>
        <v>3Q16</v>
      </c>
      <c r="AI90" s="33" t="str">
        <f t="shared" si="193"/>
        <v>4Q16</v>
      </c>
      <c r="AJ90" s="33" t="str">
        <f t="shared" si="193"/>
        <v>1Q17</v>
      </c>
      <c r="AK90" s="33" t="str">
        <f t="shared" si="193"/>
        <v>2Q17</v>
      </c>
      <c r="AL90" s="33" t="str">
        <f t="shared" si="193"/>
        <v>3Q17</v>
      </c>
      <c r="AM90" s="33" t="str">
        <f t="shared" si="193"/>
        <v>4Q17</v>
      </c>
      <c r="AN90" s="33" t="str">
        <f t="shared" si="193"/>
        <v>1Q18</v>
      </c>
      <c r="AO90" s="33" t="str">
        <f t="shared" si="193"/>
        <v>2Q18</v>
      </c>
      <c r="AP90" s="33" t="str">
        <f t="shared" si="193"/>
        <v>3Q18E</v>
      </c>
      <c r="AQ90" s="33" t="str">
        <f t="shared" si="193"/>
        <v>4Q18E</v>
      </c>
      <c r="AR90" s="33" t="str">
        <f t="shared" si="193"/>
        <v>1Q19E</v>
      </c>
      <c r="AS90" s="33" t="str">
        <f t="shared" si="193"/>
        <v>2Q19E</v>
      </c>
      <c r="AT90" s="33" t="str">
        <f t="shared" si="193"/>
        <v>3Q19E</v>
      </c>
      <c r="AU90" s="33" t="str">
        <f t="shared" si="193"/>
        <v>4Q19E</v>
      </c>
      <c r="AV90" s="33" t="str">
        <f t="shared" si="193"/>
        <v>1Q20E</v>
      </c>
      <c r="AW90" s="33" t="str">
        <f t="shared" si="193"/>
        <v>2Q20E</v>
      </c>
      <c r="AX90" s="33" t="str">
        <f t="shared" si="193"/>
        <v>3Q20E</v>
      </c>
      <c r="AY90" s="33" t="str">
        <f t="shared" si="193"/>
        <v>4Q20E</v>
      </c>
    </row>
    <row r="91" spans="1:51" customFormat="1">
      <c r="T91" s="19"/>
      <c r="U91" s="19"/>
      <c r="V91" s="19"/>
      <c r="W91" s="19"/>
      <c r="X91" s="19"/>
      <c r="Y91" s="19"/>
      <c r="Z91" s="19"/>
      <c r="AA91" s="19"/>
      <c r="AB91" s="19"/>
      <c r="AC91" s="19"/>
    </row>
    <row r="92" spans="1:51" customFormat="1">
      <c r="B92" t="s">
        <v>41</v>
      </c>
      <c r="U92" s="19"/>
      <c r="V92" s="19"/>
      <c r="W92" s="19"/>
      <c r="X92" s="19"/>
      <c r="Y92" s="146"/>
      <c r="Z92" s="146"/>
      <c r="AA92" s="146"/>
      <c r="AB92" s="146"/>
      <c r="AC92" s="146"/>
      <c r="AD92" s="146"/>
      <c r="AE92" s="146"/>
      <c r="AF92" s="146"/>
      <c r="AG92" s="146"/>
      <c r="AH92" s="146"/>
      <c r="AI92" s="146"/>
      <c r="AJ92" s="146"/>
      <c r="AK92" s="146">
        <f t="shared" ref="AK92:AO92" si="194">+AK93/3</f>
        <v>16.313333333333336</v>
      </c>
      <c r="AL92" s="146">
        <f t="shared" si="194"/>
        <v>16.633333333333333</v>
      </c>
      <c r="AM92" s="146">
        <f t="shared" si="194"/>
        <v>17.879444444444445</v>
      </c>
      <c r="AN92" s="146">
        <f t="shared" si="194"/>
        <v>18.350555555555555</v>
      </c>
      <c r="AO92" s="146">
        <f t="shared" si="194"/>
        <v>18.70888888888889</v>
      </c>
      <c r="AP92" s="6">
        <f t="shared" ref="AP92:AY92" si="195">+AO92+AO126+AO134/3</f>
        <v>18.93288888888889</v>
      </c>
      <c r="AQ92" s="6">
        <f t="shared" ca="1" si="195"/>
        <v>19.366951202221788</v>
      </c>
      <c r="AR92" s="6">
        <f t="shared" ca="1" si="195"/>
        <v>19.804337915751997</v>
      </c>
      <c r="AS92" s="6">
        <f t="shared" ca="1" si="195"/>
        <v>20.250662196285017</v>
      </c>
      <c r="AT92" s="6">
        <f t="shared" ca="1" si="195"/>
        <v>20.708383528975677</v>
      </c>
      <c r="AU92" s="6">
        <f t="shared" ca="1" si="195"/>
        <v>21.178429849978606</v>
      </c>
      <c r="AV92" s="6">
        <f t="shared" ca="1" si="195"/>
        <v>21.660972676734087</v>
      </c>
      <c r="AW92" s="6">
        <f t="shared" ca="1" si="195"/>
        <v>22.155801479907932</v>
      </c>
      <c r="AX92" s="6">
        <f t="shared" ca="1" si="195"/>
        <v>22.662506636429249</v>
      </c>
      <c r="AY92" s="6">
        <f t="shared" ca="1" si="195"/>
        <v>23.180570095644846</v>
      </c>
    </row>
    <row r="93" spans="1:51" customFormat="1">
      <c r="B93" t="s">
        <v>42</v>
      </c>
      <c r="U93" s="18"/>
      <c r="V93" s="18"/>
      <c r="W93" s="18"/>
      <c r="X93" s="18"/>
      <c r="Y93" s="18"/>
      <c r="Z93" s="111"/>
      <c r="AA93" s="111"/>
      <c r="AB93" s="111"/>
      <c r="AC93" s="111"/>
      <c r="AD93" s="111"/>
      <c r="AE93" s="111"/>
      <c r="AF93" s="111"/>
      <c r="AG93" s="111"/>
      <c r="AH93" s="111"/>
      <c r="AI93" s="111"/>
      <c r="AJ93" s="18"/>
      <c r="AK93" s="111">
        <f>+AK95-AK94</f>
        <v>48.940000000000005</v>
      </c>
      <c r="AL93" s="111">
        <f>+AL95-AL94</f>
        <v>49.9</v>
      </c>
      <c r="AM93" s="111">
        <f>+AM95-AM94</f>
        <v>53.638333333333335</v>
      </c>
      <c r="AN93" s="111">
        <f>+AN95-AN94</f>
        <v>55.051666666666669</v>
      </c>
      <c r="AO93" s="111">
        <f>+AO95-AO94</f>
        <v>56.126666666666665</v>
      </c>
      <c r="AP93" s="18">
        <f t="shared" ref="AP93:AY93" si="196">+AP92*3</f>
        <v>56.798666666666669</v>
      </c>
      <c r="AQ93" s="18">
        <f t="shared" ca="1" si="196"/>
        <v>58.100853606665368</v>
      </c>
      <c r="AR93" s="18">
        <f t="shared" ca="1" si="196"/>
        <v>59.413013747255988</v>
      </c>
      <c r="AS93" s="18">
        <f t="shared" ca="1" si="196"/>
        <v>60.751986588855047</v>
      </c>
      <c r="AT93" s="18">
        <f t="shared" ca="1" si="196"/>
        <v>62.125150586927035</v>
      </c>
      <c r="AU93" s="18">
        <f t="shared" ca="1" si="196"/>
        <v>63.535289549935818</v>
      </c>
      <c r="AV93" s="18">
        <f t="shared" ca="1" si="196"/>
        <v>64.982918030202256</v>
      </c>
      <c r="AW93" s="18">
        <f t="shared" ca="1" si="196"/>
        <v>66.467404439723794</v>
      </c>
      <c r="AX93" s="18">
        <f t="shared" ca="1" si="196"/>
        <v>67.987519909287755</v>
      </c>
      <c r="AY93" s="18">
        <f t="shared" ca="1" si="196"/>
        <v>69.541710286934546</v>
      </c>
    </row>
    <row r="94" spans="1:51" customFormat="1">
      <c r="B94" t="s">
        <v>43</v>
      </c>
      <c r="U94" s="18"/>
      <c r="V94" s="18"/>
      <c r="W94" s="18"/>
      <c r="X94" s="18"/>
      <c r="Y94" s="18"/>
      <c r="Z94" s="111"/>
      <c r="AA94" s="111"/>
      <c r="AB94" s="111"/>
      <c r="AC94" s="111"/>
      <c r="AD94" s="111"/>
      <c r="AE94" s="111"/>
      <c r="AF94" s="111"/>
      <c r="AG94" s="111"/>
      <c r="AH94" s="111"/>
      <c r="AI94" s="111"/>
      <c r="AJ94" s="18"/>
      <c r="AK94" s="111">
        <f>AK126*(5/3)</f>
        <v>0.76</v>
      </c>
      <c r="AL94" s="111">
        <f>AL126*(5/3)</f>
        <v>0.5</v>
      </c>
      <c r="AM94" s="111">
        <f>AM126*(5/3)</f>
        <v>0.36166666666666669</v>
      </c>
      <c r="AN94" s="111">
        <f>AN126*(5/3)</f>
        <v>0.44833333333333336</v>
      </c>
      <c r="AO94" s="111">
        <f>AO126*(5/3)</f>
        <v>0.37333333333333335</v>
      </c>
      <c r="AP94" s="18">
        <f t="shared" ref="AP94:AY94" ca="1" si="197">AP126*(5/3)</f>
        <v>0.72343718888816178</v>
      </c>
      <c r="AQ94" s="18">
        <f t="shared" ca="1" si="197"/>
        <v>0.72897785588368003</v>
      </c>
      <c r="AR94" s="18">
        <f t="shared" ca="1" si="197"/>
        <v>0.74387380088836852</v>
      </c>
      <c r="AS94" s="18">
        <f t="shared" ca="1" si="197"/>
        <v>0.76286888781776718</v>
      </c>
      <c r="AT94" s="18">
        <f t="shared" ca="1" si="197"/>
        <v>0.783410535004882</v>
      </c>
      <c r="AU94" s="18">
        <f t="shared" ca="1" si="197"/>
        <v>0.80423804459246928</v>
      </c>
      <c r="AV94" s="18">
        <f t="shared" ca="1" si="197"/>
        <v>0.82471467195641213</v>
      </c>
      <c r="AW94" s="18">
        <f t="shared" ca="1" si="197"/>
        <v>0.84450859420219371</v>
      </c>
      <c r="AX94" s="18">
        <f t="shared" ca="1" si="197"/>
        <v>0.86343909869265878</v>
      </c>
      <c r="AY94" s="18">
        <f t="shared" ca="1" si="197"/>
        <v>0.88140174024464779</v>
      </c>
    </row>
    <row r="95" spans="1:51" customFormat="1">
      <c r="B95" t="s">
        <v>44</v>
      </c>
      <c r="U95" s="18"/>
      <c r="V95" s="18"/>
      <c r="W95" s="18"/>
      <c r="X95" s="18"/>
      <c r="Y95" s="18"/>
      <c r="Z95" s="111"/>
      <c r="AA95" s="111"/>
      <c r="AB95" s="146"/>
      <c r="AC95" s="146"/>
      <c r="AD95" s="146"/>
      <c r="AE95" s="146"/>
      <c r="AF95" s="146"/>
      <c r="AG95" s="146"/>
      <c r="AH95" s="146"/>
      <c r="AI95" s="146"/>
      <c r="AJ95" s="18"/>
      <c r="AK95" s="146">
        <f>+SUM(AK97:AK98)</f>
        <v>49.7</v>
      </c>
      <c r="AL95" s="146">
        <f>+SUM(AL97:AL98)</f>
        <v>50.4</v>
      </c>
      <c r="AM95" s="146">
        <f>+SUM(AM97:AM98)</f>
        <v>54</v>
      </c>
      <c r="AN95" s="146">
        <f>+SUM(AN97:AN98)</f>
        <v>55.5</v>
      </c>
      <c r="AO95" s="146">
        <f>+SUM(AO97:AO98)</f>
        <v>56.5</v>
      </c>
      <c r="AP95" s="18">
        <f t="shared" ref="AP95:AY95" ca="1" si="198">+AP93+AP94</f>
        <v>57.522103855554832</v>
      </c>
      <c r="AQ95" s="18">
        <f t="shared" ca="1" si="198"/>
        <v>58.829831462549045</v>
      </c>
      <c r="AR95" s="18">
        <f t="shared" ca="1" si="198"/>
        <v>60.156887548144354</v>
      </c>
      <c r="AS95" s="18">
        <f t="shared" ca="1" si="198"/>
        <v>61.514855476672814</v>
      </c>
      <c r="AT95" s="18">
        <f t="shared" ca="1" si="198"/>
        <v>62.908561121931918</v>
      </c>
      <c r="AU95" s="18">
        <f t="shared" ca="1" si="198"/>
        <v>64.339527594528292</v>
      </c>
      <c r="AV95" s="18">
        <f t="shared" ca="1" si="198"/>
        <v>65.807632702158671</v>
      </c>
      <c r="AW95" s="18">
        <f t="shared" ca="1" si="198"/>
        <v>67.31191303392599</v>
      </c>
      <c r="AX95" s="18">
        <f t="shared" ca="1" si="198"/>
        <v>68.850959007980407</v>
      </c>
      <c r="AY95" s="18">
        <f t="shared" ca="1" si="198"/>
        <v>70.423112027179187</v>
      </c>
    </row>
    <row r="96" spans="1:51" customFormat="1">
      <c r="U96" s="19"/>
      <c r="V96" s="19"/>
      <c r="W96" s="19"/>
      <c r="X96" s="19"/>
      <c r="Y96" s="19"/>
      <c r="Z96" s="110"/>
      <c r="AA96" s="110"/>
      <c r="AB96" s="144"/>
      <c r="AC96" s="144"/>
      <c r="AD96" s="144"/>
      <c r="AE96" s="144"/>
      <c r="AF96" s="144"/>
      <c r="AG96" s="144"/>
      <c r="AH96" s="144"/>
      <c r="AI96" s="144"/>
      <c r="AJ96" s="19"/>
      <c r="AK96" s="110"/>
      <c r="AL96" s="144"/>
      <c r="AM96" s="144"/>
      <c r="AN96" s="144"/>
      <c r="AO96" s="144"/>
    </row>
    <row r="97" spans="2:51" customFormat="1">
      <c r="B97" t="s">
        <v>19</v>
      </c>
      <c r="H97" s="6"/>
      <c r="I97" s="6"/>
      <c r="J97" s="6"/>
      <c r="K97" s="6">
        <f>+SUM(AJ97:AM97)</f>
        <v>197.7</v>
      </c>
      <c r="L97" s="6">
        <f ca="1">+SUM(AN97:AQ97)</f>
        <v>223.07481114264311</v>
      </c>
      <c r="M97" s="6">
        <f ca="1">+SUM(AR97:AU97)</f>
        <v>243.19247278085862</v>
      </c>
      <c r="N97" s="6">
        <f ca="1">+SUM(AV97:AY97)</f>
        <v>266.12615302252539</v>
      </c>
      <c r="U97" s="19"/>
      <c r="V97" s="19"/>
      <c r="W97" s="19"/>
      <c r="X97" s="19"/>
      <c r="Y97" s="19"/>
      <c r="Z97" s="19"/>
      <c r="AA97" s="19"/>
      <c r="AB97" s="50"/>
      <c r="AC97" s="50"/>
      <c r="AD97" s="50"/>
      <c r="AE97" s="50"/>
      <c r="AF97" s="50"/>
      <c r="AG97" s="50"/>
      <c r="AH97" s="50"/>
      <c r="AI97" s="144">
        <v>46.9</v>
      </c>
      <c r="AJ97" s="144">
        <v>47.5</v>
      </c>
      <c r="AK97" s="144">
        <v>48.5</v>
      </c>
      <c r="AL97" s="144">
        <v>49.1</v>
      </c>
      <c r="AM97" s="144">
        <v>52.6</v>
      </c>
      <c r="AN97" s="144">
        <v>54.2</v>
      </c>
      <c r="AO97" s="144">
        <v>55.2</v>
      </c>
      <c r="AP97" s="6">
        <f t="shared" ref="AP97:AY97" ca="1" si="199">+AP95*AP100</f>
        <v>56.19858642171021</v>
      </c>
      <c r="AQ97" s="6">
        <f t="shared" ca="1" si="199"/>
        <v>57.476224720932876</v>
      </c>
      <c r="AR97" s="6">
        <f t="shared" ca="1" si="199"/>
        <v>58.77274677270033</v>
      </c>
      <c r="AS97" s="6">
        <f t="shared" ca="1" si="199"/>
        <v>60.099469421457336</v>
      </c>
      <c r="AT97" s="6">
        <f t="shared" ca="1" si="199"/>
        <v>61.461107503197205</v>
      </c>
      <c r="AU97" s="6">
        <f t="shared" ca="1" si="199"/>
        <v>62.859149083503752</v>
      </c>
      <c r="AV97" s="6">
        <f t="shared" ca="1" si="199"/>
        <v>64.293474781578041</v>
      </c>
      <c r="AW97" s="6">
        <f t="shared" ca="1" si="199"/>
        <v>65.763143353499387</v>
      </c>
      <c r="AX97" s="6">
        <f t="shared" ca="1" si="199"/>
        <v>67.266777650274676</v>
      </c>
      <c r="AY97" s="6">
        <f t="shared" ca="1" si="199"/>
        <v>68.802757237173296</v>
      </c>
    </row>
    <row r="98" spans="2:51" customFormat="1">
      <c r="B98" t="s">
        <v>18</v>
      </c>
      <c r="H98" s="6"/>
      <c r="I98" s="6"/>
      <c r="J98" s="6"/>
      <c r="K98" s="6">
        <f>+SUM(AJ98:AM98)</f>
        <v>5</v>
      </c>
      <c r="L98" s="6">
        <f ca="1">+SUM(AN98:AQ98)</f>
        <v>5.2771241754607976</v>
      </c>
      <c r="M98" s="6">
        <f ca="1">+SUM(AR98:AU98)</f>
        <v>5.7273589604187718</v>
      </c>
      <c r="N98" s="6">
        <f ca="1">+SUM(AV98:AY98)</f>
        <v>6.2674637487188942</v>
      </c>
      <c r="U98" s="19"/>
      <c r="V98" s="19"/>
      <c r="W98" s="19"/>
      <c r="X98" s="19"/>
      <c r="Y98" s="19"/>
      <c r="Z98" s="19"/>
      <c r="AA98" s="19"/>
      <c r="AB98" s="50"/>
      <c r="AC98" s="50"/>
      <c r="AD98" s="50"/>
      <c r="AE98" s="50"/>
      <c r="AF98" s="50"/>
      <c r="AG98" s="50"/>
      <c r="AH98" s="50"/>
      <c r="AI98" s="144">
        <v>0.9</v>
      </c>
      <c r="AJ98" s="144">
        <v>1.1000000000000001</v>
      </c>
      <c r="AK98" s="144">
        <v>1.2</v>
      </c>
      <c r="AL98" s="144">
        <v>1.3</v>
      </c>
      <c r="AM98" s="144">
        <v>1.4</v>
      </c>
      <c r="AN98" s="144">
        <v>1.3</v>
      </c>
      <c r="AO98" s="144">
        <v>1.3</v>
      </c>
      <c r="AP98" s="6">
        <f t="shared" ref="AP98:AY98" ca="1" si="200">+AP95*AP101</f>
        <v>1.3235174338446245</v>
      </c>
      <c r="AQ98" s="6">
        <f t="shared" ca="1" si="200"/>
        <v>1.3536067416161728</v>
      </c>
      <c r="AR98" s="6">
        <f t="shared" ca="1" si="200"/>
        <v>1.3841407754440294</v>
      </c>
      <c r="AS98" s="6">
        <f t="shared" ca="1" si="200"/>
        <v>1.4153860552154807</v>
      </c>
      <c r="AT98" s="6">
        <f t="shared" ca="1" si="200"/>
        <v>1.4474536187347167</v>
      </c>
      <c r="AU98" s="6">
        <f t="shared" ca="1" si="200"/>
        <v>1.4803785110245447</v>
      </c>
      <c r="AV98" s="6">
        <f t="shared" ca="1" si="200"/>
        <v>1.5141579205806419</v>
      </c>
      <c r="AW98" s="6">
        <f t="shared" ca="1" si="200"/>
        <v>1.5487696804266158</v>
      </c>
      <c r="AX98" s="6">
        <f t="shared" ca="1" si="200"/>
        <v>1.5841813577057438</v>
      </c>
      <c r="AY98" s="6">
        <f t="shared" ca="1" si="200"/>
        <v>1.6203547900058928</v>
      </c>
    </row>
    <row r="99" spans="2:51" customFormat="1">
      <c r="U99" s="6"/>
      <c r="V99" s="6"/>
      <c r="W99" s="6"/>
      <c r="X99" s="6"/>
      <c r="Y99" s="6"/>
      <c r="Z99" s="81"/>
      <c r="AA99" s="81"/>
      <c r="AB99" s="81"/>
      <c r="AC99" s="81"/>
      <c r="AD99" s="81"/>
      <c r="AE99" s="81"/>
      <c r="AF99" s="81"/>
      <c r="AG99" s="81"/>
      <c r="AH99" s="81"/>
      <c r="AI99" s="81"/>
      <c r="AJ99" s="6"/>
      <c r="AK99" s="81"/>
      <c r="AL99" s="81"/>
      <c r="AM99" s="81"/>
      <c r="AN99" s="81"/>
      <c r="AO99" s="81"/>
    </row>
    <row r="100" spans="2:51" customFormat="1">
      <c r="B100" t="s">
        <v>32</v>
      </c>
      <c r="U100" s="2"/>
      <c r="V100" s="2"/>
      <c r="W100" s="2"/>
      <c r="X100" s="2"/>
      <c r="Y100" s="2"/>
      <c r="Z100" s="112"/>
      <c r="AA100" s="112"/>
      <c r="AB100" s="112"/>
      <c r="AC100" s="112"/>
      <c r="AD100" s="112"/>
      <c r="AE100" s="112"/>
      <c r="AF100" s="112"/>
      <c r="AG100" s="112"/>
      <c r="AH100" s="112"/>
      <c r="AI100" s="112">
        <f t="shared" ref="AI100:AN100" si="201">+AI97/SUM(AI97:AI98)</f>
        <v>0.98117154811715479</v>
      </c>
      <c r="AJ100" s="112">
        <f t="shared" si="201"/>
        <v>0.97736625514403286</v>
      </c>
      <c r="AK100" s="112">
        <f t="shared" si="201"/>
        <v>0.9758551307847082</v>
      </c>
      <c r="AL100" s="112">
        <f t="shared" si="201"/>
        <v>0.9742063492063493</v>
      </c>
      <c r="AM100" s="112">
        <f t="shared" si="201"/>
        <v>0.97407407407407409</v>
      </c>
      <c r="AN100" s="112">
        <f t="shared" si="201"/>
        <v>0.97657657657657659</v>
      </c>
      <c r="AO100" s="112">
        <f t="shared" ref="AO100" si="202">+AO97/SUM(AO97:AO98)</f>
        <v>0.97699115044247797</v>
      </c>
      <c r="AP100" s="2">
        <f t="shared" ref="AP100:AY100" si="203">+AO100</f>
        <v>0.97699115044247797</v>
      </c>
      <c r="AQ100" s="2">
        <f t="shared" si="203"/>
        <v>0.97699115044247797</v>
      </c>
      <c r="AR100" s="2">
        <f t="shared" si="203"/>
        <v>0.97699115044247797</v>
      </c>
      <c r="AS100" s="2">
        <f t="shared" si="203"/>
        <v>0.97699115044247797</v>
      </c>
      <c r="AT100" s="2">
        <f t="shared" si="203"/>
        <v>0.97699115044247797</v>
      </c>
      <c r="AU100" s="2">
        <f t="shared" si="203"/>
        <v>0.97699115044247797</v>
      </c>
      <c r="AV100" s="2">
        <f t="shared" si="203"/>
        <v>0.97699115044247797</v>
      </c>
      <c r="AW100" s="2">
        <f t="shared" si="203"/>
        <v>0.97699115044247797</v>
      </c>
      <c r="AX100" s="2">
        <f t="shared" si="203"/>
        <v>0.97699115044247797</v>
      </c>
      <c r="AY100" s="2">
        <f t="shared" si="203"/>
        <v>0.97699115044247797</v>
      </c>
    </row>
    <row r="101" spans="2:51" customFormat="1">
      <c r="B101" t="s">
        <v>33</v>
      </c>
      <c r="U101" s="2"/>
      <c r="V101" s="2"/>
      <c r="W101" s="2"/>
      <c r="X101" s="2"/>
      <c r="Y101" s="2"/>
      <c r="Z101" s="112"/>
      <c r="AA101" s="112"/>
      <c r="AB101" s="112"/>
      <c r="AC101" s="112"/>
      <c r="AD101" s="112"/>
      <c r="AE101" s="112"/>
      <c r="AF101" s="112"/>
      <c r="AG101" s="112"/>
      <c r="AH101" s="112"/>
      <c r="AI101" s="112">
        <f t="shared" ref="AI101:AN101" si="204">+AI98/SUM(AI97:AI98)</f>
        <v>1.8828451882845189E-2</v>
      </c>
      <c r="AJ101" s="112">
        <f t="shared" si="204"/>
        <v>2.2633744855967079E-2</v>
      </c>
      <c r="AK101" s="112">
        <f t="shared" si="204"/>
        <v>2.4144869215291749E-2</v>
      </c>
      <c r="AL101" s="112">
        <f t="shared" si="204"/>
        <v>2.5793650793650796E-2</v>
      </c>
      <c r="AM101" s="112">
        <f t="shared" si="204"/>
        <v>2.5925925925925925E-2</v>
      </c>
      <c r="AN101" s="112">
        <f t="shared" si="204"/>
        <v>2.3423423423423424E-2</v>
      </c>
      <c r="AO101" s="112">
        <f t="shared" ref="AO101" si="205">+AO98/SUM(AO97:AO98)</f>
        <v>2.3008849557522124E-2</v>
      </c>
      <c r="AP101" s="2">
        <f t="shared" ref="AP101:AY101" si="206">+AO101</f>
        <v>2.3008849557522124E-2</v>
      </c>
      <c r="AQ101" s="2">
        <f t="shared" si="206"/>
        <v>2.3008849557522124E-2</v>
      </c>
      <c r="AR101" s="2">
        <f t="shared" si="206"/>
        <v>2.3008849557522124E-2</v>
      </c>
      <c r="AS101" s="2">
        <f t="shared" si="206"/>
        <v>2.3008849557522124E-2</v>
      </c>
      <c r="AT101" s="2">
        <f t="shared" si="206"/>
        <v>2.3008849557522124E-2</v>
      </c>
      <c r="AU101" s="2">
        <f t="shared" si="206"/>
        <v>2.3008849557522124E-2</v>
      </c>
      <c r="AV101" s="2">
        <f t="shared" si="206"/>
        <v>2.3008849557522124E-2</v>
      </c>
      <c r="AW101" s="2">
        <f t="shared" si="206"/>
        <v>2.3008849557522124E-2</v>
      </c>
      <c r="AX101" s="2">
        <f t="shared" si="206"/>
        <v>2.3008849557522124E-2</v>
      </c>
      <c r="AY101" s="2">
        <f t="shared" si="206"/>
        <v>2.3008849557522124E-2</v>
      </c>
    </row>
    <row r="102" spans="2:51" customFormat="1">
      <c r="U102" s="6"/>
      <c r="V102" s="6"/>
      <c r="W102" s="6"/>
      <c r="X102" s="6"/>
      <c r="Y102" s="6"/>
      <c r="Z102" s="81"/>
      <c r="AA102" s="81"/>
      <c r="AB102" s="81"/>
      <c r="AC102" s="81"/>
      <c r="AD102" s="81"/>
      <c r="AE102" s="81"/>
      <c r="AF102" s="81"/>
      <c r="AG102" s="81"/>
      <c r="AH102" s="81"/>
      <c r="AI102" s="81"/>
      <c r="AJ102" s="6"/>
      <c r="AK102" s="81"/>
      <c r="AL102" s="81"/>
      <c r="AM102" s="81"/>
      <c r="AN102" s="81"/>
      <c r="AO102" s="81"/>
    </row>
    <row r="103" spans="2:51" customFormat="1">
      <c r="B103" t="s">
        <v>46</v>
      </c>
      <c r="U103" s="6"/>
      <c r="V103" s="6"/>
      <c r="W103" s="6"/>
      <c r="X103" s="40"/>
      <c r="Y103" s="40"/>
      <c r="Z103" s="299"/>
      <c r="AA103" s="6"/>
      <c r="AB103" s="6"/>
      <c r="AC103" s="6"/>
      <c r="AD103" s="6"/>
      <c r="AE103" s="6"/>
      <c r="AF103" s="6"/>
      <c r="AG103" s="6"/>
      <c r="AH103" s="6"/>
      <c r="AI103" s="6"/>
      <c r="AJ103" s="299"/>
      <c r="AK103" s="299">
        <v>1.1494614908999281</v>
      </c>
      <c r="AL103" s="40">
        <f>+AK106</f>
        <v>0.73846149089992807</v>
      </c>
      <c r="AM103" s="40">
        <f>+AL106</f>
        <v>0.74886149089992826</v>
      </c>
      <c r="AN103" s="40">
        <f>+AM106</f>
        <v>0.71686149089992823</v>
      </c>
      <c r="AO103" s="40">
        <f>+AN106</f>
        <v>0.75186149089992815</v>
      </c>
      <c r="AP103" s="6">
        <f t="shared" ref="AP103:AY103" si="207">+AO106</f>
        <v>0.98786149089992803</v>
      </c>
      <c r="AQ103" s="6">
        <f t="shared" ca="1" si="207"/>
        <v>1.018158245449964</v>
      </c>
      <c r="AR103" s="6">
        <f t="shared" ca="1" si="207"/>
        <v>1.0617078450241069</v>
      </c>
      <c r="AS103" s="6">
        <f t="shared" ca="1" si="207"/>
        <v>1.1128280856808117</v>
      </c>
      <c r="AT103" s="6">
        <f t="shared" ca="1" si="207"/>
        <v>1.1687816717526569</v>
      </c>
      <c r="AU103" s="6">
        <f t="shared" ca="1" si="207"/>
        <v>1.2282485068924329</v>
      </c>
      <c r="AV103" s="6">
        <f t="shared" ca="1" si="207"/>
        <v>1.2905973058673215</v>
      </c>
      <c r="AW103" s="6">
        <f t="shared" ca="1" si="207"/>
        <v>1.3555350152768488</v>
      </c>
      <c r="AX103" s="6">
        <f t="shared" ca="1" si="207"/>
        <v>1.4229365104246319</v>
      </c>
      <c r="AY103" s="6">
        <f t="shared" ca="1" si="207"/>
        <v>1.4927611238005958</v>
      </c>
    </row>
    <row r="104" spans="2:51" customFormat="1">
      <c r="B104" t="s">
        <v>29</v>
      </c>
      <c r="U104" s="19"/>
      <c r="V104" s="19"/>
      <c r="W104" s="19"/>
      <c r="X104" s="19"/>
      <c r="Y104" s="19"/>
      <c r="Z104" s="19"/>
      <c r="AA104" s="19"/>
      <c r="AB104" s="19"/>
      <c r="AC104" s="19"/>
      <c r="AD104" s="19"/>
      <c r="AE104" s="19"/>
      <c r="AF104" s="19"/>
      <c r="AG104" s="19"/>
      <c r="AH104" s="19"/>
      <c r="AI104" s="19"/>
      <c r="AJ104" s="81"/>
      <c r="AK104" s="19">
        <v>0.749</v>
      </c>
      <c r="AL104" s="81">
        <f>+AL112</f>
        <v>0.9</v>
      </c>
      <c r="AM104" s="81">
        <f>+AM112</f>
        <v>0.70199999999999996</v>
      </c>
      <c r="AN104" s="81">
        <f>+AN112</f>
        <v>0.82299999999999995</v>
      </c>
      <c r="AO104" s="81">
        <f>+AO112</f>
        <v>1.0129999999999999</v>
      </c>
      <c r="AP104" s="6">
        <f t="shared" ref="AP104:AY104" ca="1" si="208">+AP112</f>
        <v>1.0484549999999999</v>
      </c>
      <c r="AQ104" s="6">
        <f t="shared" ca="1" si="208"/>
        <v>1.0842335268749999</v>
      </c>
      <c r="AR104" s="6">
        <f t="shared" ca="1" si="208"/>
        <v>1.1203080092519941</v>
      </c>
      <c r="AS104" s="6">
        <f t="shared" ca="1" si="208"/>
        <v>1.1566508885961921</v>
      </c>
      <c r="AT104" s="6">
        <f t="shared" ca="1" si="208"/>
        <v>1.1932346876558679</v>
      </c>
      <c r="AU104" s="6">
        <f t="shared" ca="1" si="208"/>
        <v>1.2300320757119891</v>
      </c>
      <c r="AV104" s="6">
        <f t="shared" ca="1" si="208"/>
        <v>1.2670159305040911</v>
      </c>
      <c r="AW104" s="6">
        <f t="shared" ca="1" si="208"/>
        <v>1.3041593967318086</v>
      </c>
      <c r="AX104" s="6">
        <f t="shared" ca="1" si="208"/>
        <v>1.3414359410579526</v>
      </c>
      <c r="AY104" s="6">
        <f t="shared" ca="1" si="208"/>
        <v>1.3788194035639683</v>
      </c>
    </row>
    <row r="105" spans="2:51" customFormat="1">
      <c r="B105" t="s">
        <v>45</v>
      </c>
      <c r="H105" s="40"/>
      <c r="I105" s="40"/>
      <c r="J105" s="40"/>
      <c r="K105" s="40">
        <f>+SUM(AJ105:AM105)</f>
        <v>-2.7835999999999999</v>
      </c>
      <c r="L105" s="40">
        <f ca="1">+SUM(AN105:AQ105)</f>
        <v>-3.623842172750821</v>
      </c>
      <c r="M105" s="40">
        <f ca="1">+SUM(AR105:AU105)</f>
        <v>-4.4713362003728285</v>
      </c>
      <c r="N105" s="40">
        <f ca="1">+SUM(AV105:AY105)</f>
        <v>-5.0170165903114547</v>
      </c>
      <c r="U105" s="19"/>
      <c r="V105" s="19"/>
      <c r="W105" s="19"/>
      <c r="X105" s="19"/>
      <c r="Y105" s="19"/>
      <c r="Z105" s="19"/>
      <c r="AA105" s="19"/>
      <c r="AB105" s="19"/>
      <c r="AC105" s="19"/>
      <c r="AD105" s="19"/>
      <c r="AE105" s="19"/>
      <c r="AF105" s="19"/>
      <c r="AG105" s="19"/>
      <c r="AH105" s="19"/>
      <c r="AI105" s="19"/>
      <c r="AJ105" s="19"/>
      <c r="AK105" s="110">
        <v>-1.1599999999999999</v>
      </c>
      <c r="AL105" s="146">
        <f>-(AL126-AL120)</f>
        <v>-0.88959999999999995</v>
      </c>
      <c r="AM105" s="146">
        <f>-(AM126-AM120)</f>
        <v>-0.73399999999999999</v>
      </c>
      <c r="AN105" s="146">
        <f>-(AN126-AN120)</f>
        <v>-0.78800000000000003</v>
      </c>
      <c r="AO105" s="146">
        <f>-(AO126-AO120)</f>
        <v>-0.77700000000000002</v>
      </c>
      <c r="AP105" s="6">
        <f t="shared" ref="AP105:AY105" ca="1" si="209">-AP107*SUM(AP103:AP104)</f>
        <v>-1.018158245449964</v>
      </c>
      <c r="AQ105" s="6">
        <f t="shared" ca="1" si="209"/>
        <v>-1.040683927300857</v>
      </c>
      <c r="AR105" s="6">
        <f t="shared" ca="1" si="209"/>
        <v>-1.0691877685952895</v>
      </c>
      <c r="AS105" s="6">
        <f t="shared" ca="1" si="209"/>
        <v>-1.1006973025243469</v>
      </c>
      <c r="AT105" s="6">
        <f t="shared" ca="1" si="209"/>
        <v>-1.1337678525160919</v>
      </c>
      <c r="AU105" s="6">
        <f t="shared" ca="1" si="209"/>
        <v>-1.1676832767371004</v>
      </c>
      <c r="AV105" s="6">
        <f t="shared" ca="1" si="209"/>
        <v>-1.2020782210945637</v>
      </c>
      <c r="AW105" s="6">
        <f t="shared" ca="1" si="209"/>
        <v>-1.2367579015840255</v>
      </c>
      <c r="AX105" s="6">
        <f t="shared" ca="1" si="209"/>
        <v>-1.2716113276819887</v>
      </c>
      <c r="AY105" s="6">
        <f t="shared" ca="1" si="209"/>
        <v>-1.3065691399508765</v>
      </c>
    </row>
    <row r="106" spans="2:51" customFormat="1">
      <c r="B106" t="s">
        <v>47</v>
      </c>
      <c r="U106" s="6"/>
      <c r="V106" s="6"/>
      <c r="W106" s="6"/>
      <c r="X106" s="6"/>
      <c r="Y106" s="6"/>
      <c r="Z106" s="81"/>
      <c r="AA106" s="81"/>
      <c r="AB106" s="81"/>
      <c r="AC106" s="81"/>
      <c r="AD106" s="81"/>
      <c r="AE106" s="81"/>
      <c r="AF106" s="81"/>
      <c r="AG106" s="81"/>
      <c r="AH106" s="81"/>
      <c r="AI106" s="81"/>
      <c r="AJ106" s="6"/>
      <c r="AK106" s="81">
        <f t="shared" ref="AK106" si="210">SUM(AK103:AK105)</f>
        <v>0.73846149089992807</v>
      </c>
      <c r="AL106" s="81">
        <f>SUM(AL103:AL105)</f>
        <v>0.74886149089992826</v>
      </c>
      <c r="AM106" s="81">
        <f>SUM(AM103:AM105)</f>
        <v>0.71686149089992823</v>
      </c>
      <c r="AN106" s="81">
        <f>SUM(AN103:AN105)</f>
        <v>0.75186149089992815</v>
      </c>
      <c r="AO106" s="81">
        <f>SUM(AO103:AO105)</f>
        <v>0.98786149089992803</v>
      </c>
      <c r="AP106" s="6">
        <f t="shared" ref="AP106:AY106" ca="1" si="211">SUM(AP103:AP105)</f>
        <v>1.018158245449964</v>
      </c>
      <c r="AQ106" s="6">
        <f t="shared" ca="1" si="211"/>
        <v>1.0617078450241069</v>
      </c>
      <c r="AR106" s="6">
        <f t="shared" ca="1" si="211"/>
        <v>1.1128280856808117</v>
      </c>
      <c r="AS106" s="6">
        <f t="shared" ca="1" si="211"/>
        <v>1.1687816717526569</v>
      </c>
      <c r="AT106" s="6">
        <f t="shared" ca="1" si="211"/>
        <v>1.2282485068924329</v>
      </c>
      <c r="AU106" s="6">
        <f t="shared" ca="1" si="211"/>
        <v>1.2905973058673215</v>
      </c>
      <c r="AV106" s="6">
        <f t="shared" ca="1" si="211"/>
        <v>1.3555350152768488</v>
      </c>
      <c r="AW106" s="6">
        <f t="shared" ca="1" si="211"/>
        <v>1.4229365104246319</v>
      </c>
      <c r="AX106" s="6">
        <f t="shared" ca="1" si="211"/>
        <v>1.4927611238005958</v>
      </c>
      <c r="AY106" s="6">
        <f t="shared" ca="1" si="211"/>
        <v>1.5650113874136877</v>
      </c>
    </row>
    <row r="107" spans="2:51" customFormat="1">
      <c r="B107" s="7" t="s">
        <v>48</v>
      </c>
      <c r="U107" s="6"/>
      <c r="V107" s="6"/>
      <c r="W107" s="6"/>
      <c r="X107" s="6"/>
      <c r="Y107" s="6"/>
      <c r="Z107" s="113"/>
      <c r="AA107" s="113"/>
      <c r="AB107" s="113"/>
      <c r="AC107" s="113"/>
      <c r="AD107" s="113"/>
      <c r="AE107" s="113"/>
      <c r="AF107" s="113"/>
      <c r="AG107" s="113"/>
      <c r="AH107" s="113"/>
      <c r="AI107" s="113"/>
      <c r="AJ107" s="6"/>
      <c r="AK107" s="113">
        <f t="shared" ref="AK107:AL107" si="212">-AK105/(AK103+AK104)</f>
        <v>0.61102108499979368</v>
      </c>
      <c r="AL107" s="113">
        <f t="shared" si="212"/>
        <v>0.54294837256833262</v>
      </c>
      <c r="AM107" s="113">
        <f t="shared" ref="AM107:AN107" si="213">-AM105/(AM103+AM104)</f>
        <v>0.50590632159153981</v>
      </c>
      <c r="AN107" s="113">
        <f t="shared" si="213"/>
        <v>0.51173433757309938</v>
      </c>
      <c r="AO107" s="113">
        <f t="shared" ref="AO107" si="214">-AO105/(AO103+AO104)</f>
        <v>0.44026117857203434</v>
      </c>
      <c r="AP107" s="29">
        <f ca="1">+OFFSET(AP107,Valuation!$C$5,0)</f>
        <v>0.5</v>
      </c>
      <c r="AQ107" s="29">
        <f ca="1">+OFFSET(AQ107,Valuation!$C$5,0)</f>
        <v>0.495</v>
      </c>
      <c r="AR107" s="29">
        <f ca="1">+OFFSET(AR107,Valuation!$C$5,0)</f>
        <v>0.49</v>
      </c>
      <c r="AS107" s="29">
        <f ca="1">+OFFSET(AS107,Valuation!$C$5,0)</f>
        <v>0.48499999999999999</v>
      </c>
      <c r="AT107" s="29">
        <f ca="1">+OFFSET(AT107,Valuation!$C$5,0)</f>
        <v>0.48</v>
      </c>
      <c r="AU107" s="29">
        <f ca="1">+OFFSET(AU107,Valuation!$C$5,0)</f>
        <v>0.47499999999999998</v>
      </c>
      <c r="AV107" s="29">
        <f ca="1">+OFFSET(AV107,Valuation!$C$5,0)</f>
        <v>0.47</v>
      </c>
      <c r="AW107" s="29">
        <f ca="1">+OFFSET(AW107,Valuation!$C$5,0)</f>
        <v>0.46499999999999997</v>
      </c>
      <c r="AX107" s="29">
        <f ca="1">+OFFSET(AX107,Valuation!$C$5,0)</f>
        <v>0.45999999999999996</v>
      </c>
      <c r="AY107" s="29">
        <f ca="1">+OFFSET(AY107,Valuation!$C$5,0)</f>
        <v>0.45499999999999996</v>
      </c>
    </row>
    <row r="108" spans="2:51" s="11" customFormat="1">
      <c r="B108" s="11" t="s">
        <v>26</v>
      </c>
      <c r="U108" s="12"/>
      <c r="V108" s="12"/>
      <c r="W108" s="12"/>
      <c r="X108" s="12"/>
      <c r="Y108" s="12"/>
      <c r="Z108" s="79"/>
      <c r="AA108" s="79"/>
      <c r="AB108" s="79"/>
      <c r="AC108" s="79"/>
      <c r="AD108" s="79"/>
      <c r="AE108" s="79"/>
      <c r="AF108" s="79"/>
      <c r="AG108" s="79"/>
      <c r="AH108" s="79"/>
      <c r="AI108" s="79"/>
      <c r="AJ108" s="12"/>
      <c r="AK108" s="79"/>
      <c r="AL108" s="79"/>
      <c r="AM108" s="79"/>
      <c r="AN108" s="79"/>
      <c r="AO108" s="79"/>
      <c r="AP108" s="30">
        <f t="shared" ref="AP108:AY108" si="215">+AP109+0.05</f>
        <v>0.55000000000000004</v>
      </c>
      <c r="AQ108" s="30">
        <f t="shared" si="215"/>
        <v>0.54500000000000004</v>
      </c>
      <c r="AR108" s="30">
        <f t="shared" si="215"/>
        <v>0.54</v>
      </c>
      <c r="AS108" s="30">
        <f t="shared" si="215"/>
        <v>0.53500000000000003</v>
      </c>
      <c r="AT108" s="30">
        <f t="shared" si="215"/>
        <v>0.53</v>
      </c>
      <c r="AU108" s="30">
        <f t="shared" si="215"/>
        <v>0.52500000000000002</v>
      </c>
      <c r="AV108" s="30">
        <f t="shared" si="215"/>
        <v>0.52</v>
      </c>
      <c r="AW108" s="30">
        <f t="shared" si="215"/>
        <v>0.51500000000000001</v>
      </c>
      <c r="AX108" s="30">
        <f t="shared" si="215"/>
        <v>0.51</v>
      </c>
      <c r="AY108" s="30">
        <f t="shared" si="215"/>
        <v>0.505</v>
      </c>
    </row>
    <row r="109" spans="2:51" s="11" customFormat="1">
      <c r="B109" s="11" t="s">
        <v>27</v>
      </c>
      <c r="U109" s="12"/>
      <c r="V109" s="12"/>
      <c r="W109" s="12"/>
      <c r="X109" s="12"/>
      <c r="Y109" s="12"/>
      <c r="Z109" s="79"/>
      <c r="AA109" s="79"/>
      <c r="AB109" s="79"/>
      <c r="AC109" s="79"/>
      <c r="AD109" s="30"/>
      <c r="AE109" s="30"/>
      <c r="AF109" s="30"/>
      <c r="AG109" s="30"/>
      <c r="AH109" s="30"/>
      <c r="AI109" s="30"/>
      <c r="AJ109" s="12"/>
      <c r="AK109" s="79"/>
      <c r="AL109" s="30">
        <f t="shared" ref="AL109:AO109" si="216">+AVERAGE(AI107:AL107)</f>
        <v>0.57698472878406315</v>
      </c>
      <c r="AM109" s="30">
        <f t="shared" si="216"/>
        <v>0.55329192638655533</v>
      </c>
      <c r="AN109" s="30">
        <f t="shared" si="216"/>
        <v>0.54290252918319137</v>
      </c>
      <c r="AO109" s="30">
        <f t="shared" si="216"/>
        <v>0.50021255257625152</v>
      </c>
      <c r="AP109" s="31">
        <v>0.5</v>
      </c>
      <c r="AQ109" s="31">
        <f t="shared" ref="AQ109:AY109" si="217">+AP109-0.005</f>
        <v>0.495</v>
      </c>
      <c r="AR109" s="31">
        <f t="shared" si="217"/>
        <v>0.49</v>
      </c>
      <c r="AS109" s="31">
        <f t="shared" si="217"/>
        <v>0.48499999999999999</v>
      </c>
      <c r="AT109" s="31">
        <f t="shared" si="217"/>
        <v>0.48</v>
      </c>
      <c r="AU109" s="31">
        <f t="shared" si="217"/>
        <v>0.47499999999999998</v>
      </c>
      <c r="AV109" s="31">
        <f t="shared" si="217"/>
        <v>0.47</v>
      </c>
      <c r="AW109" s="31">
        <f t="shared" si="217"/>
        <v>0.46499999999999997</v>
      </c>
      <c r="AX109" s="31">
        <f t="shared" si="217"/>
        <v>0.45999999999999996</v>
      </c>
      <c r="AY109" s="31">
        <f t="shared" si="217"/>
        <v>0.45499999999999996</v>
      </c>
    </row>
    <row r="110" spans="2:51" s="11" customFormat="1">
      <c r="B110" s="11" t="s">
        <v>28</v>
      </c>
      <c r="U110" s="12"/>
      <c r="V110" s="12"/>
      <c r="W110" s="12"/>
      <c r="X110" s="12"/>
      <c r="Y110" s="12"/>
      <c r="Z110" s="79"/>
      <c r="AA110" s="79"/>
      <c r="AB110" s="79"/>
      <c r="AC110" s="79"/>
      <c r="AD110" s="79"/>
      <c r="AE110" s="79"/>
      <c r="AF110" s="79"/>
      <c r="AG110" s="79"/>
      <c r="AH110" s="79"/>
      <c r="AI110" s="79"/>
      <c r="AJ110" s="12"/>
      <c r="AK110" s="79"/>
      <c r="AL110" s="79"/>
      <c r="AM110" s="79"/>
      <c r="AN110" s="79"/>
      <c r="AO110" s="79"/>
      <c r="AP110" s="30">
        <f t="shared" ref="AP110:AY110" si="218">+AP109-0.05</f>
        <v>0.45</v>
      </c>
      <c r="AQ110" s="30">
        <f t="shared" si="218"/>
        <v>0.44500000000000001</v>
      </c>
      <c r="AR110" s="30">
        <f t="shared" si="218"/>
        <v>0.44</v>
      </c>
      <c r="AS110" s="30">
        <f t="shared" si="218"/>
        <v>0.435</v>
      </c>
      <c r="AT110" s="30">
        <f t="shared" si="218"/>
        <v>0.43</v>
      </c>
      <c r="AU110" s="30">
        <f t="shared" si="218"/>
        <v>0.42499999999999999</v>
      </c>
      <c r="AV110" s="30">
        <f t="shared" si="218"/>
        <v>0.42</v>
      </c>
      <c r="AW110" s="30">
        <f t="shared" si="218"/>
        <v>0.41499999999999998</v>
      </c>
      <c r="AX110" s="30">
        <f t="shared" si="218"/>
        <v>0.41</v>
      </c>
      <c r="AY110" s="30">
        <f t="shared" si="218"/>
        <v>0.40499999999999997</v>
      </c>
    </row>
    <row r="111" spans="2:51" customFormat="1">
      <c r="U111" s="6"/>
      <c r="V111" s="6"/>
      <c r="W111" s="6"/>
      <c r="X111" s="6"/>
      <c r="Y111" s="6"/>
      <c r="Z111" s="81"/>
      <c r="AA111" s="81"/>
      <c r="AB111" s="81"/>
      <c r="AC111" s="81"/>
      <c r="AD111" s="81"/>
      <c r="AE111" s="81"/>
      <c r="AF111" s="81"/>
      <c r="AG111" s="81"/>
      <c r="AH111" s="81"/>
      <c r="AI111" s="81"/>
      <c r="AJ111" s="6"/>
      <c r="AK111" s="81"/>
      <c r="AL111" s="81"/>
      <c r="AM111" s="81"/>
      <c r="AN111" s="81"/>
      <c r="AO111" s="81"/>
      <c r="AP111" s="35"/>
      <c r="AQ111" s="35"/>
      <c r="AR111" s="35"/>
      <c r="AS111" s="35"/>
      <c r="AT111" s="35"/>
      <c r="AU111" s="35"/>
      <c r="AV111" s="35"/>
      <c r="AW111" s="35"/>
      <c r="AX111" s="35"/>
      <c r="AY111" s="35"/>
    </row>
    <row r="112" spans="2:51" customFormat="1">
      <c r="B112" t="s">
        <v>29</v>
      </c>
      <c r="H112" s="40"/>
      <c r="I112" s="40"/>
      <c r="J112" s="40"/>
      <c r="K112" s="40">
        <f>+SUM(AJ112:AM112)</f>
        <v>2.351</v>
      </c>
      <c r="L112" s="40">
        <f ca="1">+SUM(AN112:AQ112)</f>
        <v>3.9686885268749998</v>
      </c>
      <c r="M112" s="40">
        <f ca="1">+SUM(AR112:AU112)</f>
        <v>4.7002256612160433</v>
      </c>
      <c r="N112" s="40">
        <f ca="1">+SUM(AV112:AY112)</f>
        <v>5.291430671857821</v>
      </c>
      <c r="U112" s="19"/>
      <c r="V112" s="19"/>
      <c r="W112" s="19"/>
      <c r="X112" s="19"/>
      <c r="Y112" s="111"/>
      <c r="Z112" s="111"/>
      <c r="AA112" s="111"/>
      <c r="AB112" s="111"/>
      <c r="AC112" s="111"/>
      <c r="AD112" s="111"/>
      <c r="AE112" s="111"/>
      <c r="AF112" s="111"/>
      <c r="AG112" s="111"/>
      <c r="AH112" s="111"/>
      <c r="AI112" s="111"/>
      <c r="AJ112" s="19"/>
      <c r="AK112" s="6">
        <f>+AK104</f>
        <v>0.749</v>
      </c>
      <c r="AL112" s="110">
        <v>0.9</v>
      </c>
      <c r="AM112" s="110">
        <v>0.70199999999999996</v>
      </c>
      <c r="AN112" s="110">
        <v>0.82299999999999995</v>
      </c>
      <c r="AO112" s="110">
        <v>1.0129999999999999</v>
      </c>
      <c r="AP112" s="6">
        <f t="shared" ref="AP112:AY112" ca="1" si="219">+AO112*(1+AP115)</f>
        <v>1.0484549999999999</v>
      </c>
      <c r="AQ112" s="6">
        <f t="shared" ca="1" si="219"/>
        <v>1.0842335268749999</v>
      </c>
      <c r="AR112" s="6">
        <f t="shared" ca="1" si="219"/>
        <v>1.1203080092519941</v>
      </c>
      <c r="AS112" s="6">
        <f t="shared" ca="1" si="219"/>
        <v>1.1566508885961921</v>
      </c>
      <c r="AT112" s="6">
        <f t="shared" ca="1" si="219"/>
        <v>1.1932346876558679</v>
      </c>
      <c r="AU112" s="6">
        <f t="shared" ca="1" si="219"/>
        <v>1.2300320757119891</v>
      </c>
      <c r="AV112" s="6">
        <f t="shared" ca="1" si="219"/>
        <v>1.2670159305040911</v>
      </c>
      <c r="AW112" s="6">
        <f t="shared" ca="1" si="219"/>
        <v>1.3041593967318086</v>
      </c>
      <c r="AX112" s="6">
        <f t="shared" ca="1" si="219"/>
        <v>1.3414359410579526</v>
      </c>
      <c r="AY112" s="6">
        <f t="shared" ca="1" si="219"/>
        <v>1.3788194035639683</v>
      </c>
    </row>
    <row r="113" spans="2:51" customFormat="1">
      <c r="B113" t="s">
        <v>389</v>
      </c>
      <c r="H113" s="40"/>
      <c r="I113" s="40"/>
      <c r="J113" s="40"/>
      <c r="K113" s="40"/>
      <c r="L113" s="40"/>
      <c r="M113" s="40"/>
      <c r="N113" s="40"/>
      <c r="U113" s="19"/>
      <c r="V113" s="19"/>
      <c r="W113" s="19"/>
      <c r="X113" s="19"/>
      <c r="Y113" s="18"/>
      <c r="Z113" s="18"/>
      <c r="AA113" s="18"/>
      <c r="AB113" s="18"/>
      <c r="AC113" s="18"/>
      <c r="AD113" s="18"/>
      <c r="AE113" s="18"/>
      <c r="AF113" s="18"/>
      <c r="AG113" s="18"/>
      <c r="AH113" s="18"/>
      <c r="AI113" s="18"/>
      <c r="AJ113" s="18"/>
      <c r="AK113" s="18"/>
      <c r="AL113" s="18">
        <f t="shared" ref="AL113:AO113" si="220">+AVERAGE(AH112:AK112)</f>
        <v>0.749</v>
      </c>
      <c r="AM113" s="18">
        <f t="shared" si="220"/>
        <v>0.82450000000000001</v>
      </c>
      <c r="AN113" s="18">
        <f t="shared" si="220"/>
        <v>0.78366666666666662</v>
      </c>
      <c r="AO113" s="18">
        <f t="shared" si="220"/>
        <v>0.79349999999999998</v>
      </c>
      <c r="AP113" s="18">
        <f t="shared" ref="AP113:AY113" si="221">+AVERAGE(AL112:AO112)</f>
        <v>0.85949999999999993</v>
      </c>
      <c r="AQ113" s="18">
        <f t="shared" ca="1" si="221"/>
        <v>0.89661374999999999</v>
      </c>
      <c r="AR113" s="18">
        <f t="shared" ca="1" si="221"/>
        <v>0.99217213171874996</v>
      </c>
      <c r="AS113" s="18">
        <f t="shared" ca="1" si="221"/>
        <v>1.0664991340317485</v>
      </c>
      <c r="AT113" s="18">
        <f t="shared" ca="1" si="221"/>
        <v>1.1024118561807965</v>
      </c>
      <c r="AU113" s="18">
        <f t="shared" ca="1" si="221"/>
        <v>1.1386067780947635</v>
      </c>
      <c r="AV113" s="18">
        <f t="shared" ca="1" si="221"/>
        <v>1.1750564153040108</v>
      </c>
      <c r="AW113" s="18">
        <f t="shared" ca="1" si="221"/>
        <v>1.2117333956170351</v>
      </c>
      <c r="AX113" s="18">
        <f t="shared" ca="1" si="221"/>
        <v>1.2486105226509392</v>
      </c>
      <c r="AY113" s="18">
        <f t="shared" ca="1" si="221"/>
        <v>1.2856608360014605</v>
      </c>
    </row>
    <row r="114" spans="2:51" customFormat="1">
      <c r="B114" s="7" t="s">
        <v>36</v>
      </c>
      <c r="U114" s="19"/>
      <c r="V114" s="19"/>
      <c r="W114" s="19"/>
      <c r="X114" s="19"/>
      <c r="Y114" s="23"/>
      <c r="Z114" s="48"/>
      <c r="AA114" s="48"/>
      <c r="AB114" s="48"/>
      <c r="AC114" s="48"/>
      <c r="AD114" s="48"/>
      <c r="AE114" s="48"/>
      <c r="AF114" s="48"/>
      <c r="AG114" s="48"/>
      <c r="AH114" s="48"/>
      <c r="AI114" s="48"/>
      <c r="AJ114" s="23"/>
      <c r="AK114" s="48"/>
      <c r="AL114" s="48"/>
      <c r="AM114" s="48"/>
      <c r="AN114" s="48"/>
      <c r="AO114" s="48"/>
      <c r="AP114" s="23">
        <f t="shared" ref="AP114:AY114" ca="1" si="222">+AP112/AL112-1</f>
        <v>0.16494999999999993</v>
      </c>
      <c r="AQ114" s="23">
        <f t="shared" ca="1" si="222"/>
        <v>0.54449220352564098</v>
      </c>
      <c r="AR114" s="23">
        <f t="shared" ca="1" si="222"/>
        <v>0.36124909994166976</v>
      </c>
      <c r="AS114" s="23">
        <f t="shared" ca="1" si="222"/>
        <v>0.14180739249377328</v>
      </c>
      <c r="AT114" s="23">
        <f t="shared" ca="1" si="222"/>
        <v>0.13808860433291659</v>
      </c>
      <c r="AU114" s="23">
        <f t="shared" ca="1" si="222"/>
        <v>0.13447153701030889</v>
      </c>
      <c r="AV114" s="23">
        <f t="shared" ca="1" si="222"/>
        <v>0.13095320219128914</v>
      </c>
      <c r="AW114" s="23">
        <f t="shared" ca="1" si="222"/>
        <v>0.12753070921394882</v>
      </c>
      <c r="AX114" s="23">
        <f t="shared" ca="1" si="222"/>
        <v>0.12420126144105725</v>
      </c>
      <c r="AY114" s="23">
        <f t="shared" ca="1" si="222"/>
        <v>0.12096215276813438</v>
      </c>
    </row>
    <row r="115" spans="2:51" customFormat="1">
      <c r="B115" s="7" t="s">
        <v>37</v>
      </c>
      <c r="U115" s="19"/>
      <c r="V115" s="23"/>
      <c r="W115" s="23"/>
      <c r="X115" s="23"/>
      <c r="Y115" s="23"/>
      <c r="Z115" s="48"/>
      <c r="AA115" s="48"/>
      <c r="AB115" s="48"/>
      <c r="AC115" s="48"/>
      <c r="AD115" s="48"/>
      <c r="AE115" s="48"/>
      <c r="AF115" s="48"/>
      <c r="AG115" s="48"/>
      <c r="AH115" s="48"/>
      <c r="AI115" s="48"/>
      <c r="AJ115" s="23"/>
      <c r="AK115" s="48"/>
      <c r="AL115" s="48">
        <f t="shared" ref="AL115:AO115" si="223">+AL112/AK112-1</f>
        <v>0.20160213618157541</v>
      </c>
      <c r="AM115" s="48">
        <f t="shared" si="223"/>
        <v>-0.22000000000000008</v>
      </c>
      <c r="AN115" s="48">
        <f t="shared" si="223"/>
        <v>0.17236467236467234</v>
      </c>
      <c r="AO115" s="48">
        <f t="shared" si="223"/>
        <v>0.23086269744835963</v>
      </c>
      <c r="AP115" s="23">
        <f ca="1">+OFFSET(AP115,Valuation!$C$5,0)</f>
        <v>3.5000000000000003E-2</v>
      </c>
      <c r="AQ115" s="23">
        <f ca="1">+OFFSET(AQ115,Valuation!$C$5,0)</f>
        <v>3.4125000000000003E-2</v>
      </c>
      <c r="AR115" s="23">
        <f ca="1">+OFFSET(AR115,Valuation!$C$5,0)</f>
        <v>3.3271874999999999E-2</v>
      </c>
      <c r="AS115" s="23">
        <f ca="1">+OFFSET(AS115,Valuation!$C$5,0)</f>
        <v>3.2440078125000001E-2</v>
      </c>
      <c r="AT115" s="23">
        <f ca="1">+OFFSET(AT115,Valuation!$C$5,0)</f>
        <v>3.1629076171874999E-2</v>
      </c>
      <c r="AU115" s="23">
        <f ca="1">+OFFSET(AU115,Valuation!$C$5,0)</f>
        <v>3.0838349267578124E-2</v>
      </c>
      <c r="AV115" s="23">
        <f ca="1">+OFFSET(AV115,Valuation!$C$5,0)</f>
        <v>3.006739053588867E-2</v>
      </c>
      <c r="AW115" s="23">
        <f ca="1">+OFFSET(AW115,Valuation!$C$5,0)</f>
        <v>2.9315705772491454E-2</v>
      </c>
      <c r="AX115" s="23">
        <f ca="1">+OFFSET(AX115,Valuation!$C$5,0)</f>
        <v>2.8582813128179167E-2</v>
      </c>
      <c r="AY115" s="23">
        <f ca="1">+OFFSET(AY115,Valuation!$C$5,0)</f>
        <v>2.7868242799974689E-2</v>
      </c>
    </row>
    <row r="116" spans="2:51" s="11" customFormat="1">
      <c r="B116" s="11" t="s">
        <v>26</v>
      </c>
      <c r="U116" s="12"/>
      <c r="V116" s="12"/>
      <c r="W116" s="12"/>
      <c r="X116" s="12"/>
      <c r="Y116" s="12"/>
      <c r="Z116" s="79"/>
      <c r="AA116" s="79"/>
      <c r="AB116" s="79"/>
      <c r="AC116" s="79"/>
      <c r="AD116" s="79"/>
      <c r="AE116" s="79"/>
      <c r="AF116" s="79"/>
      <c r="AG116" s="79"/>
      <c r="AH116" s="79"/>
      <c r="AI116" s="79"/>
      <c r="AJ116" s="12"/>
      <c r="AK116" s="79"/>
      <c r="AL116" s="79"/>
      <c r="AM116" s="79"/>
      <c r="AN116" s="79"/>
      <c r="AO116" s="79"/>
      <c r="AP116" s="30">
        <f t="shared" ref="AP116:AY116" si="224">+AP117+0.005</f>
        <v>0.04</v>
      </c>
      <c r="AQ116" s="30">
        <f t="shared" si="224"/>
        <v>3.9125E-2</v>
      </c>
      <c r="AR116" s="30">
        <f t="shared" si="224"/>
        <v>3.8271874999999997E-2</v>
      </c>
      <c r="AS116" s="30">
        <f t="shared" si="224"/>
        <v>3.7440078124999998E-2</v>
      </c>
      <c r="AT116" s="30">
        <f t="shared" si="224"/>
        <v>3.6629076171874997E-2</v>
      </c>
      <c r="AU116" s="30">
        <f t="shared" si="224"/>
        <v>3.5838349267578125E-2</v>
      </c>
      <c r="AV116" s="30">
        <f t="shared" si="224"/>
        <v>3.5067390535888671E-2</v>
      </c>
      <c r="AW116" s="30">
        <f t="shared" si="224"/>
        <v>3.4315705772491455E-2</v>
      </c>
      <c r="AX116" s="30">
        <f t="shared" si="224"/>
        <v>3.3582813128179165E-2</v>
      </c>
      <c r="AY116" s="30">
        <f t="shared" si="224"/>
        <v>3.286824279997469E-2</v>
      </c>
    </row>
    <row r="117" spans="2:51" s="11" customFormat="1">
      <c r="B117" s="11" t="s">
        <v>27</v>
      </c>
      <c r="U117" s="12"/>
      <c r="V117" s="12"/>
      <c r="W117" s="12"/>
      <c r="X117" s="12"/>
      <c r="Y117" s="12"/>
      <c r="Z117" s="79"/>
      <c r="AA117" s="79"/>
      <c r="AB117" s="79"/>
      <c r="AC117" s="79"/>
      <c r="AD117" s="30"/>
      <c r="AE117" s="30"/>
      <c r="AF117" s="30"/>
      <c r="AG117" s="30"/>
      <c r="AH117" s="30"/>
      <c r="AI117" s="30"/>
      <c r="AJ117" s="12"/>
      <c r="AK117" s="79"/>
      <c r="AL117" s="30">
        <f t="shared" ref="AL117:AO117" si="225">+AVERAGE(AI115:AL115)</f>
        <v>0.20160213618157541</v>
      </c>
      <c r="AM117" s="30">
        <f t="shared" si="225"/>
        <v>-9.1989319092123378E-3</v>
      </c>
      <c r="AN117" s="30">
        <f t="shared" si="225"/>
        <v>5.1322269515415887E-2</v>
      </c>
      <c r="AO117" s="30">
        <f t="shared" si="225"/>
        <v>9.6207376498651825E-2</v>
      </c>
      <c r="AP117" s="31">
        <v>3.5000000000000003E-2</v>
      </c>
      <c r="AQ117" s="31">
        <f>+AP117*0.975</f>
        <v>3.4125000000000003E-2</v>
      </c>
      <c r="AR117" s="31">
        <f t="shared" ref="AR117:AY117" si="226">+AQ117*0.975</f>
        <v>3.3271874999999999E-2</v>
      </c>
      <c r="AS117" s="31">
        <f t="shared" si="226"/>
        <v>3.2440078125000001E-2</v>
      </c>
      <c r="AT117" s="31">
        <f t="shared" si="226"/>
        <v>3.1629076171874999E-2</v>
      </c>
      <c r="AU117" s="31">
        <f t="shared" si="226"/>
        <v>3.0838349267578124E-2</v>
      </c>
      <c r="AV117" s="31">
        <f t="shared" si="226"/>
        <v>3.006739053588867E-2</v>
      </c>
      <c r="AW117" s="31">
        <f t="shared" si="226"/>
        <v>2.9315705772491454E-2</v>
      </c>
      <c r="AX117" s="31">
        <f t="shared" si="226"/>
        <v>2.8582813128179167E-2</v>
      </c>
      <c r="AY117" s="31">
        <f t="shared" si="226"/>
        <v>2.7868242799974689E-2</v>
      </c>
    </row>
    <row r="118" spans="2:51" s="11" customFormat="1">
      <c r="B118" s="11" t="s">
        <v>28</v>
      </c>
      <c r="U118" s="12"/>
      <c r="V118" s="12"/>
      <c r="W118" s="12"/>
      <c r="X118" s="12"/>
      <c r="Y118" s="12"/>
      <c r="Z118" s="79"/>
      <c r="AA118" s="79"/>
      <c r="AB118" s="79"/>
      <c r="AC118" s="79"/>
      <c r="AD118" s="79"/>
      <c r="AE118" s="79"/>
      <c r="AF118" s="79"/>
      <c r="AG118" s="79"/>
      <c r="AH118" s="79"/>
      <c r="AI118" s="79"/>
      <c r="AJ118" s="12"/>
      <c r="AK118" s="79"/>
      <c r="AL118" s="79"/>
      <c r="AM118" s="79"/>
      <c r="AN118" s="79"/>
      <c r="AO118" s="79"/>
      <c r="AP118" s="30">
        <f t="shared" ref="AP118:AY118" si="227">+AP117-0.005</f>
        <v>3.0000000000000002E-2</v>
      </c>
      <c r="AQ118" s="30">
        <f t="shared" si="227"/>
        <v>2.9125000000000002E-2</v>
      </c>
      <c r="AR118" s="30">
        <f t="shared" si="227"/>
        <v>2.8271874999999998E-2</v>
      </c>
      <c r="AS118" s="30">
        <f t="shared" si="227"/>
        <v>2.7440078125E-2</v>
      </c>
      <c r="AT118" s="30">
        <f t="shared" si="227"/>
        <v>2.6629076171874998E-2</v>
      </c>
      <c r="AU118" s="30">
        <f t="shared" si="227"/>
        <v>2.5838349267578123E-2</v>
      </c>
      <c r="AV118" s="30">
        <f t="shared" si="227"/>
        <v>2.5067390535888669E-2</v>
      </c>
      <c r="AW118" s="30">
        <f t="shared" si="227"/>
        <v>2.4315705772491453E-2</v>
      </c>
      <c r="AX118" s="30">
        <f t="shared" si="227"/>
        <v>2.3582813128179166E-2</v>
      </c>
      <c r="AY118" s="30">
        <f t="shared" si="227"/>
        <v>2.2868242799974688E-2</v>
      </c>
    </row>
    <row r="119" spans="2:51" customFormat="1">
      <c r="U119" s="6"/>
      <c r="V119" s="6"/>
      <c r="W119" s="6"/>
      <c r="X119" s="6"/>
      <c r="Y119" s="6"/>
      <c r="Z119" s="81"/>
      <c r="AA119" s="81"/>
      <c r="AB119" s="81"/>
      <c r="AC119" s="81"/>
      <c r="AD119" s="81"/>
      <c r="AE119" s="81"/>
      <c r="AF119" s="81"/>
      <c r="AG119" s="81"/>
      <c r="AH119" s="81"/>
      <c r="AI119" s="81"/>
      <c r="AJ119" s="6"/>
      <c r="AK119" s="81"/>
      <c r="AL119" s="81"/>
      <c r="AM119" s="81"/>
      <c r="AN119" s="81"/>
      <c r="AO119" s="81"/>
    </row>
    <row r="120" spans="2:51" customFormat="1">
      <c r="B120" t="s">
        <v>24</v>
      </c>
      <c r="H120" s="40"/>
      <c r="I120" s="40"/>
      <c r="J120" s="40"/>
      <c r="K120" s="40">
        <f>+SUM(AJ120:AM120)</f>
        <v>-1.8106</v>
      </c>
      <c r="L120" s="40">
        <f ca="1">+SUM(AN120:AQ120)</f>
        <v>-2.2593931458877163</v>
      </c>
      <c r="M120" s="40">
        <f ca="1">+SUM(AR120:AU120)</f>
        <v>-2.6147014393907364</v>
      </c>
      <c r="N120" s="40">
        <f ca="1">+SUM(AV120:AY120)</f>
        <v>-2.9685781272539069</v>
      </c>
      <c r="T120" s="19"/>
      <c r="U120" s="19"/>
      <c r="V120" s="19"/>
      <c r="W120" s="19"/>
      <c r="X120" s="19"/>
      <c r="Y120" s="19"/>
      <c r="Z120" s="19"/>
      <c r="AA120" s="19"/>
      <c r="AB120" s="19"/>
      <c r="AC120" s="19"/>
      <c r="AD120" s="19"/>
      <c r="AE120" s="19"/>
      <c r="AF120" s="19"/>
      <c r="AG120" s="19"/>
      <c r="AH120" s="19"/>
      <c r="AI120" s="19"/>
      <c r="AJ120" s="19"/>
      <c r="AK120" s="110">
        <v>-0.70399999999999996</v>
      </c>
      <c r="AL120" s="299">
        <f>-AL128*0.011</f>
        <v>-0.58960000000000001</v>
      </c>
      <c r="AM120" s="110">
        <v>-0.51700000000000002</v>
      </c>
      <c r="AN120" s="110">
        <v>-0.51900000000000002</v>
      </c>
      <c r="AO120" s="110">
        <v>-0.55300000000000005</v>
      </c>
      <c r="AP120" s="6">
        <f t="shared" ref="AP120:AY120" ca="1" si="228">+AP121*AP92*3</f>
        <v>-0.58409593211706701</v>
      </c>
      <c r="AQ120" s="6">
        <f t="shared" ca="1" si="228"/>
        <v>-0.60329721377064904</v>
      </c>
      <c r="AR120" s="6">
        <f t="shared" ca="1" si="228"/>
        <v>-0.62286348806226843</v>
      </c>
      <c r="AS120" s="6">
        <f t="shared" ca="1" si="228"/>
        <v>-0.64297596983368666</v>
      </c>
      <c r="AT120" s="6">
        <f t="shared" ca="1" si="228"/>
        <v>-0.66372153151316271</v>
      </c>
      <c r="AU120" s="6">
        <f t="shared" ca="1" si="228"/>
        <v>-0.68514044998161883</v>
      </c>
      <c r="AV120" s="6">
        <f t="shared" ca="1" si="228"/>
        <v>-0.70724941792071649</v>
      </c>
      <c r="AW120" s="6">
        <f t="shared" ca="1" si="228"/>
        <v>-0.73005274506270934</v>
      </c>
      <c r="AX120" s="6">
        <f t="shared" ca="1" si="228"/>
        <v>-0.75354786846639343</v>
      </c>
      <c r="AY120" s="6">
        <f t="shared" ca="1" si="228"/>
        <v>-0.77772809580408786</v>
      </c>
    </row>
    <row r="121" spans="2:51" s="3" customFormat="1">
      <c r="B121" s="10" t="s">
        <v>30</v>
      </c>
      <c r="U121" s="4"/>
      <c r="V121" s="4"/>
      <c r="W121" s="4"/>
      <c r="X121" s="4"/>
      <c r="Y121" s="4"/>
      <c r="Z121" s="114"/>
      <c r="AA121" s="114"/>
      <c r="AB121" s="114"/>
      <c r="AC121" s="114"/>
      <c r="AD121" s="114"/>
      <c r="AE121" s="114"/>
      <c r="AF121" s="114"/>
      <c r="AG121" s="114"/>
      <c r="AH121" s="114"/>
      <c r="AI121" s="114"/>
      <c r="AJ121" s="4"/>
      <c r="AK121" s="114">
        <f>+AK120/(AK92*3)</f>
        <v>-1.4384961176951365E-2</v>
      </c>
      <c r="AL121" s="114">
        <f>+AL120/(AL92*3)</f>
        <v>-1.181563126252505E-2</v>
      </c>
      <c r="AM121" s="114">
        <f>+AM120/(AM92*3)</f>
        <v>-9.6386290898921798E-3</v>
      </c>
      <c r="AN121" s="114">
        <f>+AN120/(AN92*3)</f>
        <v>-9.4275074929611579E-3</v>
      </c>
      <c r="AO121" s="114">
        <f>+AO120/(AO92*3)</f>
        <v>-9.852714099061648E-3</v>
      </c>
      <c r="AP121" s="4">
        <f ca="1">+OFFSET(AP121,Valuation!$C$5,0)</f>
        <v>-1.0283620486110008E-2</v>
      </c>
      <c r="AQ121" s="4">
        <f ca="1">+OFFSET(AQ121,Valuation!$C$5,0)</f>
        <v>-1.0383620486110008E-2</v>
      </c>
      <c r="AR121" s="4">
        <f ca="1">+OFFSET(AR121,Valuation!$C$5,0)</f>
        <v>-1.0483620486110007E-2</v>
      </c>
      <c r="AS121" s="4">
        <f ca="1">+OFFSET(AS121,Valuation!$C$5,0)</f>
        <v>-1.0583620486110007E-2</v>
      </c>
      <c r="AT121" s="4">
        <f ca="1">+OFFSET(AT121,Valuation!$C$5,0)</f>
        <v>-1.0683620486110006E-2</v>
      </c>
      <c r="AU121" s="4">
        <f ca="1">+OFFSET(AU121,Valuation!$C$5,0)</f>
        <v>-1.0783620486110005E-2</v>
      </c>
      <c r="AV121" s="4">
        <f ca="1">+OFFSET(AV121,Valuation!$C$5,0)</f>
        <v>-1.0883620486110005E-2</v>
      </c>
      <c r="AW121" s="4">
        <f ca="1">+OFFSET(AW121,Valuation!$C$5,0)</f>
        <v>-1.0983620486110004E-2</v>
      </c>
      <c r="AX121" s="4">
        <f ca="1">+OFFSET(AX121,Valuation!$C$5,0)</f>
        <v>-1.1083620486110004E-2</v>
      </c>
      <c r="AY121" s="4">
        <f ca="1">+OFFSET(AY121,Valuation!$C$5,0)</f>
        <v>-1.1183620486110003E-2</v>
      </c>
    </row>
    <row r="122" spans="2:51" s="11" customFormat="1">
      <c r="B122" s="11" t="s">
        <v>26</v>
      </c>
      <c r="U122" s="12"/>
      <c r="V122" s="12"/>
      <c r="W122" s="12"/>
      <c r="X122" s="12"/>
      <c r="Y122" s="12"/>
      <c r="Z122" s="79"/>
      <c r="AA122" s="79"/>
      <c r="AB122" s="79"/>
      <c r="AC122" s="79"/>
      <c r="AD122" s="79"/>
      <c r="AE122" s="79"/>
      <c r="AF122" s="79"/>
      <c r="AG122" s="79"/>
      <c r="AH122" s="79"/>
      <c r="AI122" s="79"/>
      <c r="AJ122" s="12"/>
      <c r="AK122" s="79"/>
      <c r="AL122" s="79"/>
      <c r="AM122" s="79"/>
      <c r="AN122" s="79"/>
      <c r="AO122" s="79"/>
      <c r="AP122" s="21">
        <f t="shared" ref="AP122:AY122" si="229">+AP123+0.002</f>
        <v>-8.2836204861100084E-3</v>
      </c>
      <c r="AQ122" s="21">
        <f t="shared" si="229"/>
        <v>-8.3836204861100078E-3</v>
      </c>
      <c r="AR122" s="21">
        <f t="shared" si="229"/>
        <v>-8.4836204861100072E-3</v>
      </c>
      <c r="AS122" s="21">
        <f t="shared" si="229"/>
        <v>-8.5836204861100066E-3</v>
      </c>
      <c r="AT122" s="21">
        <f t="shared" si="229"/>
        <v>-8.6836204861100059E-3</v>
      </c>
      <c r="AU122" s="21">
        <f t="shared" si="229"/>
        <v>-8.7836204861100053E-3</v>
      </c>
      <c r="AV122" s="21">
        <f t="shared" si="229"/>
        <v>-8.8836204861100047E-3</v>
      </c>
      <c r="AW122" s="21">
        <f t="shared" si="229"/>
        <v>-8.9836204861100041E-3</v>
      </c>
      <c r="AX122" s="21">
        <f t="shared" si="229"/>
        <v>-9.0836204861100035E-3</v>
      </c>
      <c r="AY122" s="21">
        <f t="shared" si="229"/>
        <v>-9.1836204861100029E-3</v>
      </c>
    </row>
    <row r="123" spans="2:51" s="11" customFormat="1">
      <c r="B123" s="11" t="s">
        <v>27</v>
      </c>
      <c r="U123" s="12"/>
      <c r="V123" s="12"/>
      <c r="W123" s="12"/>
      <c r="X123" s="12"/>
      <c r="Y123" s="12"/>
      <c r="Z123" s="79"/>
      <c r="AA123" s="79"/>
      <c r="AB123" s="79"/>
      <c r="AC123" s="21"/>
      <c r="AD123" s="21"/>
      <c r="AE123" s="21"/>
      <c r="AF123" s="21"/>
      <c r="AG123" s="21"/>
      <c r="AH123" s="21"/>
      <c r="AI123" s="21"/>
      <c r="AJ123" s="12"/>
      <c r="AK123" s="79"/>
      <c r="AL123" s="21">
        <f t="shared" ref="AL123:AO123" si="230">+AVERAGE(AI121:AL121)</f>
        <v>-1.3100296219738208E-2</v>
      </c>
      <c r="AM123" s="21">
        <f t="shared" si="230"/>
        <v>-1.1946407176456198E-2</v>
      </c>
      <c r="AN123" s="21">
        <f t="shared" si="230"/>
        <v>-1.1316682255582439E-2</v>
      </c>
      <c r="AO123" s="21">
        <f t="shared" si="230"/>
        <v>-1.0183620486110009E-2</v>
      </c>
      <c r="AP123" s="28">
        <f t="shared" ref="AP123:AY123" si="231">+AO123-0.0001</f>
        <v>-1.0283620486110008E-2</v>
      </c>
      <c r="AQ123" s="28">
        <f t="shared" si="231"/>
        <v>-1.0383620486110008E-2</v>
      </c>
      <c r="AR123" s="28">
        <f t="shared" si="231"/>
        <v>-1.0483620486110007E-2</v>
      </c>
      <c r="AS123" s="28">
        <f t="shared" si="231"/>
        <v>-1.0583620486110007E-2</v>
      </c>
      <c r="AT123" s="28">
        <f t="shared" si="231"/>
        <v>-1.0683620486110006E-2</v>
      </c>
      <c r="AU123" s="28">
        <f t="shared" si="231"/>
        <v>-1.0783620486110005E-2</v>
      </c>
      <c r="AV123" s="28">
        <f t="shared" si="231"/>
        <v>-1.0883620486110005E-2</v>
      </c>
      <c r="AW123" s="28">
        <f t="shared" si="231"/>
        <v>-1.0983620486110004E-2</v>
      </c>
      <c r="AX123" s="28">
        <f t="shared" si="231"/>
        <v>-1.1083620486110004E-2</v>
      </c>
      <c r="AY123" s="28">
        <f t="shared" si="231"/>
        <v>-1.1183620486110003E-2</v>
      </c>
    </row>
    <row r="124" spans="2:51" s="11" customFormat="1">
      <c r="B124" s="11" t="s">
        <v>28</v>
      </c>
      <c r="U124" s="12"/>
      <c r="V124" s="12"/>
      <c r="W124" s="12"/>
      <c r="X124" s="12"/>
      <c r="Y124" s="12"/>
      <c r="Z124" s="79"/>
      <c r="AA124" s="79"/>
      <c r="AB124" s="79"/>
      <c r="AC124" s="79"/>
      <c r="AD124" s="79"/>
      <c r="AE124" s="79"/>
      <c r="AF124" s="79"/>
      <c r="AG124" s="79"/>
      <c r="AH124" s="79"/>
      <c r="AI124" s="79"/>
      <c r="AJ124" s="12"/>
      <c r="AK124" s="79"/>
      <c r="AL124" s="79"/>
      <c r="AM124" s="79"/>
      <c r="AN124" s="79"/>
      <c r="AO124" s="79"/>
      <c r="AP124" s="21">
        <f t="shared" ref="AP124:AY124" si="232">+AP123-0.001</f>
        <v>-1.1283620486110008E-2</v>
      </c>
      <c r="AQ124" s="21">
        <f t="shared" si="232"/>
        <v>-1.1383620486110007E-2</v>
      </c>
      <c r="AR124" s="21">
        <f t="shared" si="232"/>
        <v>-1.1483620486110006E-2</v>
      </c>
      <c r="AS124" s="21">
        <f t="shared" si="232"/>
        <v>-1.1583620486110006E-2</v>
      </c>
      <c r="AT124" s="21">
        <f t="shared" si="232"/>
        <v>-1.1683620486110005E-2</v>
      </c>
      <c r="AU124" s="21">
        <f t="shared" si="232"/>
        <v>-1.1783620486110005E-2</v>
      </c>
      <c r="AV124" s="21">
        <f t="shared" si="232"/>
        <v>-1.1883620486110004E-2</v>
      </c>
      <c r="AW124" s="21">
        <f t="shared" si="232"/>
        <v>-1.1983620486110003E-2</v>
      </c>
      <c r="AX124" s="21">
        <f t="shared" si="232"/>
        <v>-1.2083620486110003E-2</v>
      </c>
      <c r="AY124" s="21">
        <f t="shared" si="232"/>
        <v>-1.2183620486110002E-2</v>
      </c>
    </row>
    <row r="125" spans="2:51" s="3" customFormat="1">
      <c r="B125" s="10"/>
      <c r="U125" s="4"/>
      <c r="V125" s="4"/>
      <c r="W125" s="4"/>
      <c r="X125" s="4"/>
      <c r="Y125" s="4"/>
      <c r="Z125" s="114"/>
      <c r="AA125" s="114"/>
      <c r="AB125" s="114"/>
      <c r="AC125" s="114"/>
      <c r="AD125" s="114"/>
      <c r="AE125" s="114"/>
      <c r="AF125" s="114"/>
      <c r="AG125" s="114"/>
      <c r="AH125" s="114"/>
      <c r="AI125" s="114"/>
      <c r="AJ125" s="4"/>
      <c r="AK125" s="114"/>
      <c r="AL125" s="114"/>
      <c r="AM125" s="114"/>
      <c r="AN125" s="114"/>
      <c r="AO125" s="114"/>
    </row>
    <row r="126" spans="2:51" customFormat="1">
      <c r="B126" t="s">
        <v>25</v>
      </c>
      <c r="H126" s="40"/>
      <c r="I126" s="40"/>
      <c r="J126" s="40"/>
      <c r="K126" s="40">
        <f>+SUM(AJ126:AM126)</f>
        <v>0.97299999999999998</v>
      </c>
      <c r="L126" s="40">
        <f ca="1">+SUM(AN126:AQ126)</f>
        <v>1.3644490268631051</v>
      </c>
      <c r="M126" s="40">
        <f ca="1">+SUM(AR126:AU126)</f>
        <v>1.8566347609820921</v>
      </c>
      <c r="N126" s="40">
        <f ca="1">+SUM(AV126:AY126)</f>
        <v>2.0484384630575474</v>
      </c>
      <c r="U126" s="6"/>
      <c r="V126" s="6"/>
      <c r="W126" s="6"/>
      <c r="X126" s="6"/>
      <c r="Y126" s="6"/>
      <c r="Z126" s="81"/>
      <c r="AA126" s="81"/>
      <c r="AB126" s="81"/>
      <c r="AC126" s="81"/>
      <c r="AD126" s="81"/>
      <c r="AE126" s="81"/>
      <c r="AF126" s="81"/>
      <c r="AG126" s="81"/>
      <c r="AH126" s="81"/>
      <c r="AI126" s="81"/>
      <c r="AJ126" s="6"/>
      <c r="AK126" s="81">
        <f>-AK105+AK120</f>
        <v>0.45599999999999996</v>
      </c>
      <c r="AL126" s="110">
        <v>0.3</v>
      </c>
      <c r="AM126" s="110">
        <v>0.217</v>
      </c>
      <c r="AN126" s="110">
        <v>0.26900000000000002</v>
      </c>
      <c r="AO126" s="110">
        <v>0.224</v>
      </c>
      <c r="AP126" s="6">
        <f t="shared" ref="AP126:AY126" ca="1" si="233">-AP105+AP120</f>
        <v>0.43406231333289702</v>
      </c>
      <c r="AQ126" s="6">
        <f t="shared" ca="1" si="233"/>
        <v>0.43738671353020797</v>
      </c>
      <c r="AR126" s="6">
        <f t="shared" ca="1" si="233"/>
        <v>0.44632428053302109</v>
      </c>
      <c r="AS126" s="6">
        <f t="shared" ca="1" si="233"/>
        <v>0.45772133269066029</v>
      </c>
      <c r="AT126" s="6">
        <f t="shared" ca="1" si="233"/>
        <v>0.4700463210029292</v>
      </c>
      <c r="AU126" s="6">
        <f t="shared" ca="1" si="233"/>
        <v>0.48254282675548155</v>
      </c>
      <c r="AV126" s="6">
        <f t="shared" ca="1" si="233"/>
        <v>0.49482880317384725</v>
      </c>
      <c r="AW126" s="6">
        <f t="shared" ca="1" si="233"/>
        <v>0.5067051565213162</v>
      </c>
      <c r="AX126" s="6">
        <f t="shared" ca="1" si="233"/>
        <v>0.51806345921559527</v>
      </c>
      <c r="AY126" s="6">
        <f t="shared" ca="1" si="233"/>
        <v>0.52884104414678867</v>
      </c>
    </row>
    <row r="127" spans="2:51" customFormat="1">
      <c r="Z127" s="15"/>
      <c r="AA127" s="15"/>
      <c r="AB127" s="15"/>
      <c r="AC127" s="15"/>
      <c r="AD127" s="15"/>
      <c r="AE127" s="15"/>
      <c r="AF127" s="15"/>
      <c r="AG127" s="15"/>
      <c r="AH127" s="15"/>
      <c r="AI127" s="15"/>
      <c r="AJ127" s="3"/>
      <c r="AK127" s="80"/>
      <c r="AL127" s="80"/>
      <c r="AM127" s="80"/>
      <c r="AN127" s="80"/>
      <c r="AO127" s="80"/>
      <c r="AP127" s="40"/>
      <c r="AQ127" s="40"/>
      <c r="AR127" s="40"/>
      <c r="AS127" s="40"/>
      <c r="AT127" s="40"/>
      <c r="AU127" s="40"/>
      <c r="AV127" s="40"/>
      <c r="AW127" s="40"/>
      <c r="AX127" s="40"/>
      <c r="AY127" s="40"/>
    </row>
    <row r="128" spans="2:51" customFormat="1">
      <c r="B128" t="s">
        <v>31</v>
      </c>
      <c r="F128" s="19"/>
      <c r="G128" s="6"/>
      <c r="H128" s="40"/>
      <c r="I128" s="40"/>
      <c r="J128" s="40"/>
      <c r="K128" s="40">
        <f>+SUM(AJ128:AM128)</f>
        <v>214</v>
      </c>
      <c r="L128" s="40">
        <f ca="1">+SUM(AN128:AQ128)</f>
        <v>241.45193531810386</v>
      </c>
      <c r="M128" s="40">
        <f ca="1">+SUM(AR128:AU128)</f>
        <v>262.51983174127736</v>
      </c>
      <c r="N128" s="40">
        <f ca="1">+SUM(AV128:AY128)</f>
        <v>285.99361677124421</v>
      </c>
      <c r="T128" s="19"/>
      <c r="U128" s="19"/>
      <c r="V128" s="19"/>
      <c r="W128" s="19"/>
      <c r="X128" s="19"/>
      <c r="Y128" s="19"/>
      <c r="Z128" s="19"/>
      <c r="AA128" s="19"/>
      <c r="AB128" s="19"/>
      <c r="AC128" s="19"/>
      <c r="AD128" s="19"/>
      <c r="AE128" s="19"/>
      <c r="AF128" s="19"/>
      <c r="AG128" s="19"/>
      <c r="AH128" s="19"/>
      <c r="AI128" s="19">
        <v>50.4</v>
      </c>
      <c r="AJ128" s="19">
        <v>51.2</v>
      </c>
      <c r="AK128" s="19">
        <v>52.5</v>
      </c>
      <c r="AL128" s="19">
        <v>53.6</v>
      </c>
      <c r="AM128" s="19">
        <v>56.7</v>
      </c>
      <c r="AN128" s="19">
        <v>58.4</v>
      </c>
      <c r="AO128" s="19">
        <v>59.9</v>
      </c>
      <c r="AP128" s="6">
        <f t="shared" ref="AP128:AY128" ca="1" si="234">+SUM(AP131:AP132)</f>
        <v>60.92210385555483</v>
      </c>
      <c r="AQ128" s="6">
        <f t="shared" ca="1" si="234"/>
        <v>62.229831462549043</v>
      </c>
      <c r="AR128" s="6">
        <f t="shared" ca="1" si="234"/>
        <v>63.556887548144353</v>
      </c>
      <c r="AS128" s="6">
        <f t="shared" ca="1" si="234"/>
        <v>64.914855476672813</v>
      </c>
      <c r="AT128" s="6">
        <f t="shared" ca="1" si="234"/>
        <v>66.308561121931916</v>
      </c>
      <c r="AU128" s="6">
        <f t="shared" ca="1" si="234"/>
        <v>67.739527594528283</v>
      </c>
      <c r="AV128" s="6">
        <f t="shared" ca="1" si="234"/>
        <v>69.207632702158662</v>
      </c>
      <c r="AW128" s="6">
        <f t="shared" ca="1" si="234"/>
        <v>70.711913033925981</v>
      </c>
      <c r="AX128" s="6">
        <f t="shared" ca="1" si="234"/>
        <v>72.250959007980413</v>
      </c>
      <c r="AY128" s="6">
        <f t="shared" ca="1" si="234"/>
        <v>73.823112027179178</v>
      </c>
    </row>
    <row r="129" spans="1:51" customFormat="1">
      <c r="B129" s="7" t="s">
        <v>36</v>
      </c>
      <c r="G129" s="23"/>
      <c r="H129" s="23"/>
      <c r="I129" s="23"/>
      <c r="J129" s="23"/>
      <c r="K129" s="23"/>
      <c r="L129" s="23">
        <f ca="1">+L128/K128-1</f>
        <v>0.1282800715799246</v>
      </c>
      <c r="M129" s="23">
        <f ca="1">+M128/L128-1</f>
        <v>8.7255032333525717E-2</v>
      </c>
      <c r="N129" s="23">
        <f ca="1">+N128/M128-1</f>
        <v>8.9417187548333832E-2</v>
      </c>
      <c r="U129" s="19"/>
      <c r="V129" s="19"/>
      <c r="W129" s="19"/>
      <c r="X129" s="23"/>
      <c r="Y129" s="23"/>
      <c r="Z129" s="48"/>
      <c r="AA129" s="48"/>
      <c r="AB129" s="48"/>
      <c r="AC129" s="48"/>
      <c r="AD129" s="48"/>
      <c r="AE129" s="48"/>
      <c r="AF129" s="48"/>
      <c r="AG129" s="48"/>
      <c r="AH129" s="48"/>
      <c r="AI129" s="48"/>
      <c r="AJ129" s="23"/>
      <c r="AK129" s="48"/>
      <c r="AL129" s="48"/>
      <c r="AM129" s="48"/>
      <c r="AN129" s="48"/>
      <c r="AO129" s="48"/>
      <c r="AP129" s="23">
        <f t="shared" ref="AP129:AY129" ca="1" si="235">+AP128/AL128-1</f>
        <v>0.13660641521557526</v>
      </c>
      <c r="AQ129" s="23">
        <f t="shared" ca="1" si="235"/>
        <v>9.7527891755714968E-2</v>
      </c>
      <c r="AR129" s="23">
        <f t="shared" ca="1" si="235"/>
        <v>8.8302868975074666E-2</v>
      </c>
      <c r="AS129" s="23">
        <f t="shared" ca="1" si="235"/>
        <v>8.3720458709062084E-2</v>
      </c>
      <c r="AT129" s="23">
        <f t="shared" ca="1" si="235"/>
        <v>8.8415483469649558E-2</v>
      </c>
      <c r="AU129" s="23">
        <f t="shared" ca="1" si="235"/>
        <v>8.853786041980638E-2</v>
      </c>
      <c r="AV129" s="23">
        <f t="shared" ca="1" si="235"/>
        <v>8.8908462512955255E-2</v>
      </c>
      <c r="AW129" s="23">
        <f t="shared" ca="1" si="235"/>
        <v>8.9302479604785434E-2</v>
      </c>
      <c r="AX129" s="23">
        <f t="shared" ca="1" si="235"/>
        <v>8.9617355368657226E-2</v>
      </c>
      <c r="AY129" s="23">
        <f t="shared" ca="1" si="235"/>
        <v>8.9808486251420128E-2</v>
      </c>
    </row>
    <row r="130" spans="1:51" customFormat="1">
      <c r="B130" s="7" t="s">
        <v>37</v>
      </c>
      <c r="U130" s="23"/>
      <c r="V130" s="23"/>
      <c r="W130" s="23"/>
      <c r="X130" s="23"/>
      <c r="Y130" s="23"/>
      <c r="Z130" s="48"/>
      <c r="AA130" s="48"/>
      <c r="AB130" s="48"/>
      <c r="AC130" s="48"/>
      <c r="AD130" s="48"/>
      <c r="AE130" s="48"/>
      <c r="AF130" s="48"/>
      <c r="AG130" s="48"/>
      <c r="AH130" s="48"/>
      <c r="AI130" s="48"/>
      <c r="AJ130" s="23"/>
      <c r="AK130" s="48">
        <f t="shared" ref="AK130:AO130" si="236">+AK128/AJ128-1</f>
        <v>2.5390625E-2</v>
      </c>
      <c r="AL130" s="48">
        <f t="shared" si="236"/>
        <v>2.0952380952381056E-2</v>
      </c>
      <c r="AM130" s="48">
        <f t="shared" si="236"/>
        <v>5.7835820895522305E-2</v>
      </c>
      <c r="AN130" s="48">
        <f t="shared" si="236"/>
        <v>2.9982363315696592E-2</v>
      </c>
      <c r="AO130" s="48">
        <f t="shared" si="236"/>
        <v>2.5684931506849251E-2</v>
      </c>
      <c r="AP130" s="23">
        <f t="shared" ref="AP130:AY130" ca="1" si="237">+AP128/AO128-1</f>
        <v>1.706350343163332E-2</v>
      </c>
      <c r="AQ130" s="23">
        <f t="shared" ca="1" si="237"/>
        <v>2.1465568721901196E-2</v>
      </c>
      <c r="AR130" s="23">
        <f t="shared" ca="1" si="237"/>
        <v>2.132507921693394E-2</v>
      </c>
      <c r="AS130" s="23">
        <f t="shared" ca="1" si="237"/>
        <v>2.1366180455262285E-2</v>
      </c>
      <c r="AT130" s="23">
        <f t="shared" ca="1" si="237"/>
        <v>2.1469748873737204E-2</v>
      </c>
      <c r="AU130" s="23">
        <f t="shared" ca="1" si="237"/>
        <v>2.158041809963307E-2</v>
      </c>
      <c r="AV130" s="23">
        <f t="shared" ca="1" si="237"/>
        <v>2.1672798139634075E-2</v>
      </c>
      <c r="AW130" s="23">
        <f t="shared" ca="1" si="237"/>
        <v>2.1735757647442178E-2</v>
      </c>
      <c r="AX130" s="23">
        <f t="shared" ca="1" si="237"/>
        <v>2.1765016784597968E-2</v>
      </c>
      <c r="AY130" s="23">
        <f t="shared" ca="1" si="237"/>
        <v>2.1759614554391016E-2</v>
      </c>
    </row>
    <row r="131" spans="1:51" customFormat="1">
      <c r="B131" t="s">
        <v>35</v>
      </c>
      <c r="H131" s="40"/>
      <c r="I131" s="40"/>
      <c r="J131" s="40"/>
      <c r="K131" s="40">
        <f>+SUM(AJ131:AM131)</f>
        <v>201.6</v>
      </c>
      <c r="L131" s="40">
        <f ca="1">+SUM(AN131:AQ131)</f>
        <v>228.35193531810387</v>
      </c>
      <c r="M131" s="40">
        <f ca="1">+SUM(AR131:AU131)</f>
        <v>248.91983174127739</v>
      </c>
      <c r="N131" s="40">
        <f ca="1">+SUM(AV131:AY131)</f>
        <v>272.39361677124424</v>
      </c>
      <c r="U131" s="18"/>
      <c r="V131" s="18"/>
      <c r="W131" s="18"/>
      <c r="X131" s="18"/>
      <c r="Y131" s="18"/>
      <c r="Z131" s="111"/>
      <c r="AA131" s="111"/>
      <c r="AB131" s="111"/>
      <c r="AC131" s="111"/>
      <c r="AD131" s="111"/>
      <c r="AE131" s="111"/>
      <c r="AF131" s="111"/>
      <c r="AG131" s="111"/>
      <c r="AH131" s="111"/>
      <c r="AI131" s="111"/>
      <c r="AJ131" s="18">
        <f>+SUM(AJ97:AJ98)</f>
        <v>48.6</v>
      </c>
      <c r="AK131" s="116">
        <f>+AK128-AK132</f>
        <v>48.6</v>
      </c>
      <c r="AL131" s="111">
        <f>+SUM(AL97:AL98)</f>
        <v>50.4</v>
      </c>
      <c r="AM131" s="111">
        <f>+SUM(AM97:AM98)</f>
        <v>54</v>
      </c>
      <c r="AN131" s="111">
        <f>+SUM(AN97:AN98)</f>
        <v>55.5</v>
      </c>
      <c r="AO131" s="111">
        <f>+SUM(AO97:AO98)</f>
        <v>56.5</v>
      </c>
      <c r="AP131" s="6">
        <f t="shared" ref="AP131:AY131" ca="1" si="238">+AP95</f>
        <v>57.522103855554832</v>
      </c>
      <c r="AQ131" s="6">
        <f t="shared" ca="1" si="238"/>
        <v>58.829831462549045</v>
      </c>
      <c r="AR131" s="6">
        <f t="shared" ca="1" si="238"/>
        <v>60.156887548144354</v>
      </c>
      <c r="AS131" s="6">
        <f t="shared" ca="1" si="238"/>
        <v>61.514855476672814</v>
      </c>
      <c r="AT131" s="6">
        <f t="shared" ca="1" si="238"/>
        <v>62.908561121931918</v>
      </c>
      <c r="AU131" s="6">
        <f t="shared" ca="1" si="238"/>
        <v>64.339527594528292</v>
      </c>
      <c r="AV131" s="6">
        <f t="shared" ca="1" si="238"/>
        <v>65.807632702158671</v>
      </c>
      <c r="AW131" s="6">
        <f t="shared" ca="1" si="238"/>
        <v>67.31191303392599</v>
      </c>
      <c r="AX131" s="6">
        <f t="shared" ca="1" si="238"/>
        <v>68.850959007980407</v>
      </c>
      <c r="AY131" s="6">
        <f t="shared" ca="1" si="238"/>
        <v>70.423112027179187</v>
      </c>
    </row>
    <row r="132" spans="1:51" customFormat="1">
      <c r="B132" t="s">
        <v>34</v>
      </c>
      <c r="H132" s="40"/>
      <c r="I132" s="40"/>
      <c r="J132" s="40"/>
      <c r="K132" s="40">
        <f>+SUM(AJ132:AM132)</f>
        <v>12.400000000000006</v>
      </c>
      <c r="L132" s="40">
        <f>+SUM(AN132:AQ132)</f>
        <v>13.099999999999994</v>
      </c>
      <c r="M132" s="40">
        <f>+SUM(AR132:AU132)</f>
        <v>13.599999999999994</v>
      </c>
      <c r="N132" s="40">
        <f>+SUM(AV132:AY132)</f>
        <v>13.599999999999994</v>
      </c>
      <c r="U132" s="6"/>
      <c r="V132" s="6"/>
      <c r="W132" s="6"/>
      <c r="X132" s="6"/>
      <c r="Y132" s="6"/>
      <c r="Z132" s="81"/>
      <c r="AA132" s="81"/>
      <c r="AB132" s="81"/>
      <c r="AC132" s="81"/>
      <c r="AD132" s="81"/>
      <c r="AE132" s="81"/>
      <c r="AF132" s="81"/>
      <c r="AG132" s="81"/>
      <c r="AH132" s="81"/>
      <c r="AI132" s="81"/>
      <c r="AJ132" s="6">
        <f>+AJ128-SUM(AJ97,AJ98)</f>
        <v>2.6000000000000014</v>
      </c>
      <c r="AK132" s="116">
        <v>3.8999999999999986</v>
      </c>
      <c r="AL132" s="81">
        <f>+AL128-SUM(AL97,AL98)</f>
        <v>3.2000000000000028</v>
      </c>
      <c r="AM132" s="81">
        <f>+AM128-SUM(AM97,AM98)</f>
        <v>2.7000000000000028</v>
      </c>
      <c r="AN132" s="81">
        <f>+AN128-SUM(AN97,AN98)</f>
        <v>2.8999999999999986</v>
      </c>
      <c r="AO132" s="81">
        <f>+AO128-SUM(AO97,AO98)</f>
        <v>3.3999999999999986</v>
      </c>
      <c r="AP132" s="19">
        <f t="shared" ref="AP132:AY132" si="239">+AO132</f>
        <v>3.3999999999999986</v>
      </c>
      <c r="AQ132" s="19">
        <f t="shared" si="239"/>
        <v>3.3999999999999986</v>
      </c>
      <c r="AR132" s="19">
        <f t="shared" si="239"/>
        <v>3.3999999999999986</v>
      </c>
      <c r="AS132" s="19">
        <f t="shared" si="239"/>
        <v>3.3999999999999986</v>
      </c>
      <c r="AT132" s="19">
        <f t="shared" si="239"/>
        <v>3.3999999999999986</v>
      </c>
      <c r="AU132" s="19">
        <f t="shared" si="239"/>
        <v>3.3999999999999986</v>
      </c>
      <c r="AV132" s="19">
        <f t="shared" si="239"/>
        <v>3.3999999999999986</v>
      </c>
      <c r="AW132" s="19">
        <f t="shared" si="239"/>
        <v>3.3999999999999986</v>
      </c>
      <c r="AX132" s="19">
        <f t="shared" si="239"/>
        <v>3.3999999999999986</v>
      </c>
      <c r="AY132" s="19">
        <f t="shared" si="239"/>
        <v>3.3999999999999986</v>
      </c>
    </row>
    <row r="133" spans="1:51" customFormat="1">
      <c r="U133" s="6"/>
      <c r="V133" s="6"/>
      <c r="W133" s="6"/>
      <c r="X133" s="6"/>
      <c r="Y133" s="6"/>
      <c r="Z133" s="81"/>
      <c r="AA133" s="81"/>
      <c r="AB133" s="81"/>
      <c r="AC133" s="81"/>
      <c r="AD133" s="19"/>
      <c r="AE133" s="19"/>
      <c r="AF133" s="19"/>
      <c r="AG133" s="19"/>
      <c r="AH133" s="19"/>
      <c r="AI133" s="19"/>
      <c r="AJ133" s="19"/>
      <c r="AK133" s="19"/>
      <c r="AL133" s="19"/>
      <c r="AM133" s="19"/>
      <c r="AN133" s="19"/>
      <c r="AO133" s="19"/>
      <c r="AP133" s="19"/>
      <c r="AQ133" s="19"/>
      <c r="AR133" s="19"/>
      <c r="AS133" s="19"/>
      <c r="AT133" s="19"/>
      <c r="AU133" s="19"/>
      <c r="AV133" s="19"/>
      <c r="AW133" s="19"/>
      <c r="AX133" s="19"/>
      <c r="AY133" s="19"/>
    </row>
    <row r="134" spans="1:51" s="5" customFormat="1">
      <c r="B134" s="5" t="s">
        <v>52</v>
      </c>
      <c r="U134" s="37"/>
      <c r="V134" s="37"/>
      <c r="W134" s="37"/>
      <c r="X134" s="37"/>
      <c r="Y134" s="37"/>
      <c r="Z134" s="96"/>
      <c r="AA134" s="96"/>
      <c r="AB134" s="36"/>
      <c r="AC134" s="36"/>
      <c r="AD134" s="38"/>
      <c r="AE134" s="291"/>
      <c r="AF134" s="291"/>
      <c r="AG134" s="291"/>
      <c r="AH134" s="291"/>
      <c r="AI134" s="291"/>
      <c r="AJ134" s="291"/>
      <c r="AK134" s="291"/>
      <c r="AL134" s="38"/>
      <c r="AM134" s="38"/>
      <c r="AN134" s="38"/>
      <c r="AO134" s="38"/>
      <c r="AP134" s="38"/>
      <c r="AQ134" s="38"/>
      <c r="AR134" s="38"/>
      <c r="AS134" s="38"/>
      <c r="AT134" s="38"/>
      <c r="AU134" s="38"/>
      <c r="AV134" s="38"/>
      <c r="AW134" s="38"/>
      <c r="AX134" s="38"/>
      <c r="AY134" s="38"/>
    </row>
    <row r="135" spans="1:51" customFormat="1">
      <c r="U135" s="6"/>
      <c r="Z135" s="15"/>
      <c r="AA135" s="15"/>
      <c r="AB135" s="15"/>
      <c r="AC135" s="15"/>
      <c r="AD135" s="32"/>
      <c r="AE135" s="32"/>
      <c r="AF135" s="32"/>
      <c r="AG135" s="32"/>
      <c r="AH135" s="32"/>
      <c r="AI135" s="32"/>
      <c r="AJ135" s="32"/>
      <c r="AK135" s="32"/>
      <c r="AL135" s="32"/>
      <c r="AM135" s="32"/>
      <c r="AN135" s="32"/>
      <c r="AO135" s="32"/>
      <c r="AP135" s="32"/>
      <c r="AQ135" s="32"/>
      <c r="AR135" s="32"/>
      <c r="AS135" s="32"/>
      <c r="AT135" s="32"/>
      <c r="AU135" s="32"/>
      <c r="AV135" s="32"/>
      <c r="AW135" s="32"/>
      <c r="AX135" s="32"/>
      <c r="AY135" s="32"/>
    </row>
    <row r="136" spans="1:51" s="1" customFormat="1">
      <c r="A136" s="27" t="s">
        <v>40</v>
      </c>
      <c r="B136" s="149" t="s">
        <v>408</v>
      </c>
      <c r="T136" s="33" t="str">
        <f>+T$3</f>
        <v>1Q13</v>
      </c>
      <c r="U136" s="33" t="str">
        <f t="shared" ref="U136:AY136" si="240">+U$3</f>
        <v>2Q13</v>
      </c>
      <c r="V136" s="33" t="str">
        <f t="shared" si="240"/>
        <v>3Q13</v>
      </c>
      <c r="W136" s="33" t="str">
        <f t="shared" si="240"/>
        <v>4Q13</v>
      </c>
      <c r="X136" s="33" t="str">
        <f t="shared" si="240"/>
        <v>1Q14</v>
      </c>
      <c r="Y136" s="33" t="str">
        <f t="shared" si="240"/>
        <v>2Q14</v>
      </c>
      <c r="Z136" s="33" t="str">
        <f t="shared" si="240"/>
        <v>3Q14</v>
      </c>
      <c r="AA136" s="33" t="str">
        <f t="shared" si="240"/>
        <v>4Q14</v>
      </c>
      <c r="AB136" s="33" t="str">
        <f t="shared" si="240"/>
        <v>1Q15</v>
      </c>
      <c r="AC136" s="33" t="str">
        <f t="shared" si="240"/>
        <v>2Q15</v>
      </c>
      <c r="AD136" s="33" t="str">
        <f t="shared" si="240"/>
        <v>3Q15</v>
      </c>
      <c r="AE136" s="33" t="str">
        <f t="shared" si="240"/>
        <v>4Q15</v>
      </c>
      <c r="AF136" s="33" t="str">
        <f t="shared" si="240"/>
        <v>1Q16</v>
      </c>
      <c r="AG136" s="33" t="str">
        <f t="shared" si="240"/>
        <v>2Q16</v>
      </c>
      <c r="AH136" s="33" t="str">
        <f t="shared" si="240"/>
        <v>3Q16</v>
      </c>
      <c r="AI136" s="33" t="str">
        <f t="shared" si="240"/>
        <v>4Q16</v>
      </c>
      <c r="AJ136" s="33" t="str">
        <f t="shared" si="240"/>
        <v>1Q17</v>
      </c>
      <c r="AK136" s="33" t="str">
        <f t="shared" si="240"/>
        <v>2Q17</v>
      </c>
      <c r="AL136" s="33" t="str">
        <f t="shared" si="240"/>
        <v>3Q17</v>
      </c>
      <c r="AM136" s="33" t="str">
        <f t="shared" si="240"/>
        <v>4Q17</v>
      </c>
      <c r="AN136" s="33" t="str">
        <f t="shared" si="240"/>
        <v>1Q18</v>
      </c>
      <c r="AO136" s="33" t="str">
        <f t="shared" si="240"/>
        <v>2Q18</v>
      </c>
      <c r="AP136" s="33" t="str">
        <f t="shared" si="240"/>
        <v>3Q18E</v>
      </c>
      <c r="AQ136" s="33" t="str">
        <f t="shared" si="240"/>
        <v>4Q18E</v>
      </c>
      <c r="AR136" s="33" t="str">
        <f t="shared" si="240"/>
        <v>1Q19E</v>
      </c>
      <c r="AS136" s="33" t="str">
        <f t="shared" si="240"/>
        <v>2Q19E</v>
      </c>
      <c r="AT136" s="33" t="str">
        <f t="shared" si="240"/>
        <v>3Q19E</v>
      </c>
      <c r="AU136" s="33" t="str">
        <f t="shared" si="240"/>
        <v>4Q19E</v>
      </c>
      <c r="AV136" s="33" t="str">
        <f t="shared" si="240"/>
        <v>1Q20E</v>
      </c>
      <c r="AW136" s="33" t="str">
        <f t="shared" si="240"/>
        <v>2Q20E</v>
      </c>
      <c r="AX136" s="33" t="str">
        <f t="shared" si="240"/>
        <v>3Q20E</v>
      </c>
      <c r="AY136" s="33" t="str">
        <f t="shared" si="240"/>
        <v>4Q20E</v>
      </c>
    </row>
    <row r="137" spans="1:51" customFormat="1">
      <c r="B137" s="294"/>
      <c r="T137" s="19"/>
      <c r="U137" s="19"/>
      <c r="V137" s="19"/>
      <c r="W137" s="19"/>
      <c r="X137" s="19"/>
      <c r="Y137" s="19"/>
      <c r="Z137" s="19"/>
      <c r="AA137" s="19"/>
      <c r="AB137" s="19"/>
      <c r="AC137" s="19"/>
    </row>
    <row r="138" spans="1:51" customFormat="1">
      <c r="B138" s="61" t="s">
        <v>41</v>
      </c>
      <c r="U138" s="19"/>
      <c r="V138" s="19"/>
      <c r="W138" s="19"/>
      <c r="X138" s="19"/>
      <c r="Y138" s="146"/>
      <c r="Z138" s="146"/>
      <c r="AA138" s="146"/>
      <c r="AB138" s="146"/>
      <c r="AC138" s="146"/>
      <c r="AD138" s="146"/>
      <c r="AE138" s="146"/>
      <c r="AF138" s="146"/>
      <c r="AG138" s="146"/>
      <c r="AH138" s="146"/>
      <c r="AI138" s="146"/>
      <c r="AJ138" s="146"/>
      <c r="AK138" s="146">
        <f t="shared" ref="AK138:AO138" si="241">+AK139/3</f>
        <v>34.791388888888889</v>
      </c>
      <c r="AL138" s="146">
        <f t="shared" si="241"/>
        <v>36.466666666666661</v>
      </c>
      <c r="AM138" s="146">
        <f t="shared" si="241"/>
        <v>39.286666666666669</v>
      </c>
      <c r="AN138" s="146">
        <f t="shared" si="241"/>
        <v>39.869444444444447</v>
      </c>
      <c r="AO138" s="146">
        <f t="shared" si="241"/>
        <v>39.884999999999998</v>
      </c>
      <c r="AP138" s="6">
        <f t="shared" ref="AP138:AY138" si="242">+AO138+AO172+AO180/3</f>
        <v>39.791999999999994</v>
      </c>
      <c r="AQ138" s="6">
        <f t="shared" ca="1" si="242"/>
        <v>39.833228035415821</v>
      </c>
      <c r="AR138" s="6">
        <f t="shared" ca="1" si="242"/>
        <v>39.902092037322859</v>
      </c>
      <c r="AS138" s="6">
        <f t="shared" ca="1" si="242"/>
        <v>39.997573525847464</v>
      </c>
      <c r="AT138" s="6">
        <f t="shared" ca="1" si="242"/>
        <v>40.117842210352293</v>
      </c>
      <c r="AU138" s="6">
        <f t="shared" ca="1" si="242"/>
        <v>40.236557606744476</v>
      </c>
      <c r="AV138" s="6">
        <f t="shared" ca="1" si="242"/>
        <v>40.352245051096062</v>
      </c>
      <c r="AW138" s="6">
        <f t="shared" ca="1" si="242"/>
        <v>40.463279115296807</v>
      </c>
      <c r="AX138" s="6">
        <f t="shared" ca="1" si="242"/>
        <v>40.567969577149249</v>
      </c>
      <c r="AY138" s="6">
        <f t="shared" ca="1" si="242"/>
        <v>40.664615042602598</v>
      </c>
    </row>
    <row r="139" spans="1:51" customFormat="1">
      <c r="B139" s="61" t="s">
        <v>42</v>
      </c>
      <c r="U139" s="18"/>
      <c r="V139" s="18"/>
      <c r="W139" s="18"/>
      <c r="X139" s="18"/>
      <c r="Y139" s="18"/>
      <c r="Z139" s="111"/>
      <c r="AA139" s="111"/>
      <c r="AB139" s="111"/>
      <c r="AC139" s="111"/>
      <c r="AD139" s="111"/>
      <c r="AE139" s="111"/>
      <c r="AF139" s="111"/>
      <c r="AG139" s="111"/>
      <c r="AH139" s="111"/>
      <c r="AI139" s="111"/>
      <c r="AJ139" s="111"/>
      <c r="AK139" s="116">
        <f>+AK141-AK140</f>
        <v>104.37416666666667</v>
      </c>
      <c r="AL139" s="111">
        <f>+AL141-AL140</f>
        <v>109.39999999999999</v>
      </c>
      <c r="AM139" s="111">
        <f>+AM141-AM140</f>
        <v>117.86000000000001</v>
      </c>
      <c r="AN139" s="111">
        <f>+AN141-AN140</f>
        <v>119.60833333333333</v>
      </c>
      <c r="AO139" s="111">
        <f>+AO141-AO140</f>
        <v>119.655</v>
      </c>
      <c r="AP139" s="18">
        <f t="shared" ref="AP139:AY139" si="243">+AP138*3</f>
        <v>119.37599999999998</v>
      </c>
      <c r="AQ139" s="18">
        <f t="shared" ca="1" si="243"/>
        <v>119.49968410624746</v>
      </c>
      <c r="AR139" s="18">
        <f t="shared" ca="1" si="243"/>
        <v>119.70627611196858</v>
      </c>
      <c r="AS139" s="18">
        <f t="shared" ca="1" si="243"/>
        <v>119.9927205775424</v>
      </c>
      <c r="AT139" s="18">
        <f t="shared" ca="1" si="243"/>
        <v>120.35352663105688</v>
      </c>
      <c r="AU139" s="18">
        <f t="shared" ca="1" si="243"/>
        <v>120.70967282023344</v>
      </c>
      <c r="AV139" s="18">
        <f t="shared" ca="1" si="243"/>
        <v>121.05673515328819</v>
      </c>
      <c r="AW139" s="18">
        <f t="shared" ca="1" si="243"/>
        <v>121.38983734589041</v>
      </c>
      <c r="AX139" s="18">
        <f t="shared" ca="1" si="243"/>
        <v>121.70390873144774</v>
      </c>
      <c r="AY139" s="18">
        <f t="shared" ca="1" si="243"/>
        <v>121.99384512780779</v>
      </c>
    </row>
    <row r="140" spans="1:51" customFormat="1">
      <c r="B140" s="61" t="s">
        <v>43</v>
      </c>
      <c r="U140" s="18"/>
      <c r="V140" s="18"/>
      <c r="W140" s="18"/>
      <c r="X140" s="18"/>
      <c r="Y140" s="18"/>
      <c r="Z140" s="111"/>
      <c r="AA140" s="111"/>
      <c r="AB140" s="111"/>
      <c r="AC140" s="111"/>
      <c r="AD140" s="111"/>
      <c r="AE140" s="111"/>
      <c r="AF140" s="111"/>
      <c r="AG140" s="111"/>
      <c r="AH140" s="111"/>
      <c r="AI140" s="111"/>
      <c r="AJ140" s="111"/>
      <c r="AK140" s="111">
        <f t="shared" ref="AK140" si="244">AK172*(5/3)</f>
        <v>0.32583333333333336</v>
      </c>
      <c r="AL140" s="111">
        <f>AL172*(5/3)</f>
        <v>0</v>
      </c>
      <c r="AM140" s="111">
        <f>AM172*(5/3)</f>
        <v>-0.06</v>
      </c>
      <c r="AN140" s="111">
        <f>AN172*(5/3)</f>
        <v>9.1666666666666674E-2</v>
      </c>
      <c r="AO140" s="111">
        <f>AO172*(5/3)</f>
        <v>-0.155</v>
      </c>
      <c r="AP140" s="18">
        <f t="shared" ref="AP140:AY140" ca="1" si="245">AP172*(5/3)</f>
        <v>6.8713392359706457E-2</v>
      </c>
      <c r="AQ140" s="18">
        <f t="shared" ca="1" si="245"/>
        <v>0.11477333651172576</v>
      </c>
      <c r="AR140" s="18">
        <f t="shared" ca="1" si="245"/>
        <v>0.15913581420768005</v>
      </c>
      <c r="AS140" s="18">
        <f t="shared" ca="1" si="245"/>
        <v>0.20044780750805108</v>
      </c>
      <c r="AT140" s="18">
        <f t="shared" ca="1" si="245"/>
        <v>0.19785899398696868</v>
      </c>
      <c r="AU140" s="18">
        <f t="shared" ca="1" si="245"/>
        <v>0.19281240725264345</v>
      </c>
      <c r="AV140" s="18">
        <f t="shared" ca="1" si="245"/>
        <v>0.18505677366790652</v>
      </c>
      <c r="AW140" s="18">
        <f t="shared" ca="1" si="245"/>
        <v>0.17448410308740225</v>
      </c>
      <c r="AX140" s="18">
        <f t="shared" ca="1" si="245"/>
        <v>0.16107577575557772</v>
      </c>
      <c r="AY140" s="18">
        <f t="shared" ca="1" si="245"/>
        <v>0.14487003029053147</v>
      </c>
    </row>
    <row r="141" spans="1:51" customFormat="1">
      <c r="B141" s="61" t="s">
        <v>44</v>
      </c>
      <c r="U141" s="18"/>
      <c r="V141" s="18"/>
      <c r="W141" s="18"/>
      <c r="X141" s="18"/>
      <c r="Y141" s="18"/>
      <c r="Z141" s="111"/>
      <c r="AA141" s="111"/>
      <c r="AB141" s="146"/>
      <c r="AC141" s="146"/>
      <c r="AD141" s="146"/>
      <c r="AE141" s="146"/>
      <c r="AF141" s="146"/>
      <c r="AG141" s="146"/>
      <c r="AH141" s="146"/>
      <c r="AI141" s="146"/>
      <c r="AJ141" s="146"/>
      <c r="AK141" s="116">
        <f>+AK143+AK144</f>
        <v>104.7</v>
      </c>
      <c r="AL141" s="146">
        <f>+SUM(AL143:AL144)</f>
        <v>109.39999999999999</v>
      </c>
      <c r="AM141" s="146">
        <f>+SUM(AM143:AM144)</f>
        <v>117.80000000000001</v>
      </c>
      <c r="AN141" s="146">
        <f>+SUM(AN143:AN144)</f>
        <v>119.7</v>
      </c>
      <c r="AO141" s="146">
        <f>+SUM(AO143:AO144)</f>
        <v>119.5</v>
      </c>
      <c r="AP141" s="18">
        <f t="shared" ref="AP141:AY141" ca="1" si="246">+AP139+AP140</f>
        <v>119.44471339235969</v>
      </c>
      <c r="AQ141" s="18">
        <f t="shared" ca="1" si="246"/>
        <v>119.61445744275919</v>
      </c>
      <c r="AR141" s="18">
        <f t="shared" ca="1" si="246"/>
        <v>119.86541192617626</v>
      </c>
      <c r="AS141" s="18">
        <f t="shared" ca="1" si="246"/>
        <v>120.19316838505046</v>
      </c>
      <c r="AT141" s="18">
        <f t="shared" ca="1" si="246"/>
        <v>120.55138562504385</v>
      </c>
      <c r="AU141" s="18">
        <f t="shared" ca="1" si="246"/>
        <v>120.90248522748608</v>
      </c>
      <c r="AV141" s="18">
        <f t="shared" ca="1" si="246"/>
        <v>121.2417919269561</v>
      </c>
      <c r="AW141" s="18">
        <f t="shared" ca="1" si="246"/>
        <v>121.56432144897782</v>
      </c>
      <c r="AX141" s="18">
        <f t="shared" ca="1" si="246"/>
        <v>121.86498450720332</v>
      </c>
      <c r="AY141" s="18">
        <f t="shared" ca="1" si="246"/>
        <v>122.13871515809832</v>
      </c>
    </row>
    <row r="142" spans="1:51" customFormat="1">
      <c r="B142" s="61"/>
      <c r="U142" s="19"/>
      <c r="V142" s="19"/>
      <c r="W142" s="19"/>
      <c r="X142" s="19"/>
      <c r="Y142" s="19"/>
      <c r="Z142" s="110"/>
      <c r="AA142" s="110"/>
      <c r="AB142" s="144"/>
      <c r="AC142" s="144"/>
      <c r="AD142" s="144"/>
      <c r="AE142" s="144"/>
      <c r="AF142" s="144"/>
      <c r="AG142" s="144"/>
      <c r="AH142" s="144"/>
      <c r="AI142" s="144"/>
      <c r="AJ142" s="144"/>
      <c r="AK142" s="110"/>
      <c r="AL142" s="144"/>
      <c r="AM142" s="144"/>
      <c r="AN142" s="144"/>
      <c r="AO142" s="144"/>
    </row>
    <row r="143" spans="1:51" customFormat="1">
      <c r="B143" s="61" t="s">
        <v>19</v>
      </c>
      <c r="H143" s="6"/>
      <c r="I143" s="6"/>
      <c r="J143" s="6"/>
      <c r="K143" s="6">
        <f>+SUM(AJ143:AM143)</f>
        <v>424.69999999999993</v>
      </c>
      <c r="L143" s="6">
        <f ca="1">+SUM(AN143:AQ143)</f>
        <v>466.65773489016618</v>
      </c>
      <c r="M143" s="6">
        <f ca="1">+SUM(AR143:AU143)</f>
        <v>469.82721176312987</v>
      </c>
      <c r="N143" s="6">
        <f ca="1">+SUM(AV143:AY143)</f>
        <v>474.99601841513027</v>
      </c>
      <c r="U143" s="19"/>
      <c r="V143" s="19"/>
      <c r="W143" s="19"/>
      <c r="X143" s="19"/>
      <c r="Y143" s="19"/>
      <c r="Z143" s="19"/>
      <c r="AA143" s="19"/>
      <c r="AB143" s="50"/>
      <c r="AC143" s="50"/>
      <c r="AD143" s="50"/>
      <c r="AE143" s="50"/>
      <c r="AF143" s="19"/>
      <c r="AG143" s="19"/>
      <c r="AH143" s="19"/>
      <c r="AI143" s="144">
        <v>101.5</v>
      </c>
      <c r="AJ143" s="144">
        <v>101.4</v>
      </c>
      <c r="AK143" s="144">
        <v>101.8</v>
      </c>
      <c r="AL143" s="144">
        <v>106.6</v>
      </c>
      <c r="AM143" s="144">
        <v>114.9</v>
      </c>
      <c r="AN143" s="144">
        <v>116.8</v>
      </c>
      <c r="AO143" s="144">
        <v>116.6</v>
      </c>
      <c r="AP143" s="6">
        <f t="shared" ref="AP143:AY143" ca="1" si="247">+AP141*AP146</f>
        <v>116.54605507572501</v>
      </c>
      <c r="AQ143" s="6">
        <f t="shared" ca="1" si="247"/>
        <v>116.71167981444118</v>
      </c>
      <c r="AR143" s="6">
        <f t="shared" ca="1" si="247"/>
        <v>116.95654418905566</v>
      </c>
      <c r="AS143" s="6">
        <f t="shared" ca="1" si="247"/>
        <v>117.27634672549692</v>
      </c>
      <c r="AT143" s="6">
        <f t="shared" ca="1" si="247"/>
        <v>117.62587082744864</v>
      </c>
      <c r="AU143" s="6">
        <f t="shared" ca="1" si="247"/>
        <v>117.96845002112867</v>
      </c>
      <c r="AV143" s="6">
        <f t="shared" ca="1" si="247"/>
        <v>118.29952249944</v>
      </c>
      <c r="AW143" s="6">
        <f t="shared" ca="1" si="247"/>
        <v>118.61422494519509</v>
      </c>
      <c r="AX143" s="6">
        <f t="shared" ca="1" si="247"/>
        <v>118.90759157773979</v>
      </c>
      <c r="AY143" s="6">
        <f t="shared" ca="1" si="247"/>
        <v>119.17467939275534</v>
      </c>
    </row>
    <row r="144" spans="1:51" customFormat="1">
      <c r="B144" s="61" t="s">
        <v>18</v>
      </c>
      <c r="H144" s="6"/>
      <c r="I144" s="6"/>
      <c r="J144" s="6"/>
      <c r="K144" s="6">
        <f>+SUM(AJ144:AM144)</f>
        <v>11.6</v>
      </c>
      <c r="L144" s="6">
        <f ca="1">+SUM(AN144:AQ144)</f>
        <v>11.601435944952676</v>
      </c>
      <c r="M144" s="6">
        <f ca="1">+SUM(AR144:AU144)</f>
        <v>11.685239400626731</v>
      </c>
      <c r="N144" s="6">
        <f ca="1">+SUM(AV144:AY144)</f>
        <v>11.813794626105299</v>
      </c>
      <c r="U144" s="19"/>
      <c r="V144" s="19"/>
      <c r="W144" s="19"/>
      <c r="X144" s="19"/>
      <c r="Y144" s="19"/>
      <c r="Z144" s="19"/>
      <c r="AA144" s="19"/>
      <c r="AB144" s="50"/>
      <c r="AC144" s="50"/>
      <c r="AD144" s="50"/>
      <c r="AE144" s="50"/>
      <c r="AF144" s="19"/>
      <c r="AG144" s="19"/>
      <c r="AH144" s="19"/>
      <c r="AI144" s="144">
        <v>2.9</v>
      </c>
      <c r="AJ144" s="144">
        <v>3</v>
      </c>
      <c r="AK144" s="144">
        <v>2.9</v>
      </c>
      <c r="AL144" s="144">
        <v>2.8</v>
      </c>
      <c r="AM144" s="144">
        <v>2.9</v>
      </c>
      <c r="AN144" s="144">
        <v>2.9</v>
      </c>
      <c r="AO144" s="144">
        <v>2.9</v>
      </c>
      <c r="AP144" s="6">
        <f t="shared" ref="AP144:AY144" ca="1" si="248">+AP141*AP147</f>
        <v>2.8986583166346702</v>
      </c>
      <c r="AQ144" s="6">
        <f t="shared" ca="1" si="248"/>
        <v>2.9027776283180056</v>
      </c>
      <c r="AR144" s="6">
        <f t="shared" ca="1" si="248"/>
        <v>2.9088677371205955</v>
      </c>
      <c r="AS144" s="6">
        <f t="shared" ca="1" si="248"/>
        <v>2.9168216595535257</v>
      </c>
      <c r="AT144" s="6">
        <f t="shared" ca="1" si="248"/>
        <v>2.9255147975952065</v>
      </c>
      <c r="AU144" s="6">
        <f t="shared" ca="1" si="248"/>
        <v>2.9340352063574029</v>
      </c>
      <c r="AV144" s="6">
        <f t="shared" ca="1" si="248"/>
        <v>2.9422694275160892</v>
      </c>
      <c r="AW144" s="6">
        <f t="shared" ca="1" si="248"/>
        <v>2.9500965037827256</v>
      </c>
      <c r="AX144" s="6">
        <f t="shared" ca="1" si="248"/>
        <v>2.9573929294635115</v>
      </c>
      <c r="AY144" s="6">
        <f t="shared" ca="1" si="248"/>
        <v>2.9640357653429716</v>
      </c>
    </row>
    <row r="145" spans="2:51" customFormat="1">
      <c r="B145" s="61"/>
      <c r="U145" s="6"/>
      <c r="V145" s="6"/>
      <c r="W145" s="6"/>
      <c r="X145" s="6"/>
      <c r="Y145" s="6"/>
      <c r="Z145" s="81"/>
      <c r="AA145" s="81"/>
      <c r="AB145" s="81"/>
      <c r="AC145" s="81"/>
      <c r="AD145" s="81"/>
      <c r="AE145" s="81"/>
      <c r="AF145" s="81"/>
      <c r="AG145" s="81"/>
      <c r="AH145" s="81"/>
      <c r="AI145" s="81"/>
      <c r="AJ145" s="81"/>
      <c r="AK145" s="81"/>
      <c r="AL145" s="81"/>
      <c r="AM145" s="81"/>
      <c r="AN145" s="81"/>
      <c r="AO145" s="81"/>
    </row>
    <row r="146" spans="2:51" customFormat="1">
      <c r="B146" s="61" t="s">
        <v>32</v>
      </c>
      <c r="U146" s="2"/>
      <c r="V146" s="2"/>
      <c r="W146" s="2"/>
      <c r="X146" s="2"/>
      <c r="Y146" s="2"/>
      <c r="Z146" s="112"/>
      <c r="AA146" s="112"/>
      <c r="AB146" s="112"/>
      <c r="AC146" s="112"/>
      <c r="AD146" s="112"/>
      <c r="AE146" s="112"/>
      <c r="AF146" s="112"/>
      <c r="AG146" s="112"/>
      <c r="AH146" s="112"/>
      <c r="AI146" s="112">
        <f t="shared" ref="AI146:AN146" si="249">+AI143/SUM(AI143:AI144)</f>
        <v>0.97222222222222221</v>
      </c>
      <c r="AJ146" s="112">
        <f t="shared" si="249"/>
        <v>0.97126436781609193</v>
      </c>
      <c r="AK146" s="112">
        <f t="shared" si="249"/>
        <v>0.97230181470869148</v>
      </c>
      <c r="AL146" s="112">
        <f t="shared" si="249"/>
        <v>0.97440585009140768</v>
      </c>
      <c r="AM146" s="112">
        <f t="shared" si="249"/>
        <v>0.97538200339558567</v>
      </c>
      <c r="AN146" s="112">
        <f t="shared" si="249"/>
        <v>0.9757727652464494</v>
      </c>
      <c r="AO146" s="112">
        <f t="shared" ref="AO146" si="250">+AO143/SUM(AO143:AO144)</f>
        <v>0.97573221757322171</v>
      </c>
      <c r="AP146" s="2">
        <f t="shared" ref="AP146:AY146" si="251">+AO146</f>
        <v>0.97573221757322171</v>
      </c>
      <c r="AQ146" s="2">
        <f t="shared" si="251"/>
        <v>0.97573221757322171</v>
      </c>
      <c r="AR146" s="2">
        <f t="shared" si="251"/>
        <v>0.97573221757322171</v>
      </c>
      <c r="AS146" s="2">
        <f t="shared" si="251"/>
        <v>0.97573221757322171</v>
      </c>
      <c r="AT146" s="2">
        <f t="shared" si="251"/>
        <v>0.97573221757322171</v>
      </c>
      <c r="AU146" s="2">
        <f t="shared" si="251"/>
        <v>0.97573221757322171</v>
      </c>
      <c r="AV146" s="2">
        <f t="shared" si="251"/>
        <v>0.97573221757322171</v>
      </c>
      <c r="AW146" s="2">
        <f t="shared" si="251"/>
        <v>0.97573221757322171</v>
      </c>
      <c r="AX146" s="2">
        <f t="shared" si="251"/>
        <v>0.97573221757322171</v>
      </c>
      <c r="AY146" s="2">
        <f t="shared" si="251"/>
        <v>0.97573221757322171</v>
      </c>
    </row>
    <row r="147" spans="2:51" customFormat="1">
      <c r="B147" s="61" t="s">
        <v>33</v>
      </c>
      <c r="U147" s="2"/>
      <c r="V147" s="2"/>
      <c r="W147" s="2"/>
      <c r="X147" s="2"/>
      <c r="Y147" s="2"/>
      <c r="Z147" s="112"/>
      <c r="AA147" s="112"/>
      <c r="AB147" s="112"/>
      <c r="AC147" s="112"/>
      <c r="AD147" s="112"/>
      <c r="AE147" s="112"/>
      <c r="AF147" s="112"/>
      <c r="AG147" s="112"/>
      <c r="AH147" s="112"/>
      <c r="AI147" s="112">
        <f t="shared" ref="AI147:AN147" si="252">+AI144/SUM(AI143:AI144)</f>
        <v>2.7777777777777776E-2</v>
      </c>
      <c r="AJ147" s="112">
        <f t="shared" si="252"/>
        <v>2.8735632183908046E-2</v>
      </c>
      <c r="AK147" s="112">
        <f t="shared" si="252"/>
        <v>2.7698185291308498E-2</v>
      </c>
      <c r="AL147" s="112">
        <f t="shared" si="252"/>
        <v>2.5594149908592323E-2</v>
      </c>
      <c r="AM147" s="112">
        <f t="shared" si="252"/>
        <v>2.4617996604414258E-2</v>
      </c>
      <c r="AN147" s="112">
        <f t="shared" si="252"/>
        <v>2.4227234753550542E-2</v>
      </c>
      <c r="AO147" s="112">
        <f t="shared" ref="AO147" si="253">+AO144/SUM(AO143:AO144)</f>
        <v>2.4267782426778243E-2</v>
      </c>
      <c r="AP147" s="2">
        <f t="shared" ref="AP147:AY147" si="254">+AO147</f>
        <v>2.4267782426778243E-2</v>
      </c>
      <c r="AQ147" s="2">
        <f t="shared" si="254"/>
        <v>2.4267782426778243E-2</v>
      </c>
      <c r="AR147" s="2">
        <f t="shared" si="254"/>
        <v>2.4267782426778243E-2</v>
      </c>
      <c r="AS147" s="2">
        <f t="shared" si="254"/>
        <v>2.4267782426778243E-2</v>
      </c>
      <c r="AT147" s="2">
        <f t="shared" si="254"/>
        <v>2.4267782426778243E-2</v>
      </c>
      <c r="AU147" s="2">
        <f t="shared" si="254"/>
        <v>2.4267782426778243E-2</v>
      </c>
      <c r="AV147" s="2">
        <f t="shared" si="254"/>
        <v>2.4267782426778243E-2</v>
      </c>
      <c r="AW147" s="2">
        <f t="shared" si="254"/>
        <v>2.4267782426778243E-2</v>
      </c>
      <c r="AX147" s="2">
        <f t="shared" si="254"/>
        <v>2.4267782426778243E-2</v>
      </c>
      <c r="AY147" s="2">
        <f t="shared" si="254"/>
        <v>2.4267782426778243E-2</v>
      </c>
    </row>
    <row r="148" spans="2:51" customFormat="1">
      <c r="B148" s="61"/>
      <c r="U148" s="6"/>
      <c r="V148" s="6"/>
      <c r="W148" s="6"/>
      <c r="X148" s="6"/>
      <c r="Y148" s="6"/>
      <c r="Z148" s="81"/>
      <c r="AA148" s="81"/>
      <c r="AB148" s="81"/>
      <c r="AC148" s="81"/>
      <c r="AD148" s="81"/>
      <c r="AE148" s="81"/>
      <c r="AF148" s="81"/>
      <c r="AG148" s="81"/>
      <c r="AH148" s="81"/>
      <c r="AI148" s="81"/>
      <c r="AJ148" s="81"/>
      <c r="AK148" s="81"/>
      <c r="AL148" s="81"/>
      <c r="AM148" s="81"/>
      <c r="AN148" s="81"/>
      <c r="AO148" s="81"/>
    </row>
    <row r="149" spans="2:51" customFormat="1">
      <c r="B149" s="61" t="s">
        <v>46</v>
      </c>
      <c r="U149" s="6"/>
      <c r="V149" s="6"/>
      <c r="W149" s="6"/>
      <c r="X149" s="6"/>
      <c r="Y149" s="40"/>
      <c r="Z149" s="299"/>
      <c r="AA149" s="40"/>
      <c r="AB149" s="40"/>
      <c r="AC149" s="40"/>
      <c r="AD149" s="40"/>
      <c r="AE149" s="40"/>
      <c r="AF149" s="40"/>
      <c r="AG149" s="40"/>
      <c r="AH149" s="40"/>
      <c r="AI149" s="40"/>
      <c r="AJ149" s="40"/>
      <c r="AK149" s="299">
        <v>2.9694300885395579</v>
      </c>
      <c r="AL149" s="40">
        <f>+AK152</f>
        <v>2.6944300885395585</v>
      </c>
      <c r="AM149" s="40">
        <f>+AL152</f>
        <v>2.9264300885395587</v>
      </c>
      <c r="AN149" s="40">
        <f>+AM152</f>
        <v>2.8364300885395584</v>
      </c>
      <c r="AO149" s="40">
        <f>+AN152</f>
        <v>3.1844300885395582</v>
      </c>
      <c r="AP149" s="6">
        <f t="shared" ref="AP149:AY149" si="255">+AO152</f>
        <v>2.9924300885395585</v>
      </c>
      <c r="AQ149" s="6">
        <f t="shared" ca="1" si="255"/>
        <v>3.0163980531237353</v>
      </c>
      <c r="AR149" s="6">
        <f t="shared" ca="1" si="255"/>
        <v>3.0429882318742409</v>
      </c>
      <c r="AS149" s="6">
        <f t="shared" ca="1" si="255"/>
        <v>3.0700406837245442</v>
      </c>
      <c r="AT149" s="6">
        <f t="shared" ca="1" si="255"/>
        <v>3.0962261367915258</v>
      </c>
      <c r="AU149" s="6">
        <f t="shared" ca="1" si="255"/>
        <v>3.1207168207176128</v>
      </c>
      <c r="AV149" s="6">
        <f t="shared" ca="1" si="255"/>
        <v>3.1429891179051213</v>
      </c>
      <c r="AW149" s="6">
        <f t="shared" ca="1" si="255"/>
        <v>3.1627052913449991</v>
      </c>
      <c r="AX149" s="6">
        <f t="shared" ca="1" si="255"/>
        <v>3.1796426426913329</v>
      </c>
      <c r="AY149" s="6">
        <f t="shared" ca="1" si="255"/>
        <v>3.1936511119027857</v>
      </c>
    </row>
    <row r="150" spans="2:51" customFormat="1">
      <c r="B150" s="61" t="s">
        <v>29</v>
      </c>
      <c r="U150" s="19"/>
      <c r="V150" s="19"/>
      <c r="W150" s="19"/>
      <c r="X150" s="19"/>
      <c r="Y150" s="19"/>
      <c r="Z150" s="19"/>
      <c r="AA150" s="19"/>
      <c r="AB150" s="19"/>
      <c r="AC150" s="19"/>
      <c r="AD150" s="19"/>
      <c r="AE150" s="19"/>
      <c r="AF150" s="19"/>
      <c r="AG150" s="19"/>
      <c r="AH150" s="19"/>
      <c r="AI150" s="19"/>
      <c r="AJ150" s="19"/>
      <c r="AK150" s="19">
        <v>1.4575</v>
      </c>
      <c r="AL150" s="81">
        <f>+AL158</f>
        <v>2</v>
      </c>
      <c r="AM150" s="81">
        <f>+AM158</f>
        <v>2.0920000000000001</v>
      </c>
      <c r="AN150" s="81">
        <f>+AN158</f>
        <v>2.1259999999999999</v>
      </c>
      <c r="AO150" s="81">
        <f>+AO158</f>
        <v>1.9379999999999999</v>
      </c>
      <c r="AP150" s="6">
        <f t="shared" ref="AP150:AY150" ca="1" si="256">+AP158</f>
        <v>2.0348999999999999</v>
      </c>
      <c r="AQ150" s="6">
        <f t="shared" ca="1" si="256"/>
        <v>2.0552489999999999</v>
      </c>
      <c r="AR150" s="6">
        <f t="shared" ca="1" si="256"/>
        <v>2.0737462409999998</v>
      </c>
      <c r="AS150" s="6">
        <f t="shared" ca="1" si="256"/>
        <v>2.0903362109279997</v>
      </c>
      <c r="AT150" s="6">
        <f t="shared" ca="1" si="256"/>
        <v>2.1049685644044955</v>
      </c>
      <c r="AU150" s="6">
        <f t="shared" ca="1" si="256"/>
        <v>2.1175983757909225</v>
      </c>
      <c r="AV150" s="6">
        <f t="shared" ca="1" si="256"/>
        <v>2.1281863676698767</v>
      </c>
      <c r="AW150" s="6">
        <f t="shared" ca="1" si="256"/>
        <v>2.1366991131405562</v>
      </c>
      <c r="AX150" s="6">
        <f t="shared" ca="1" si="256"/>
        <v>2.1431092104799774</v>
      </c>
      <c r="AY150" s="6">
        <f t="shared" ca="1" si="256"/>
        <v>2.1473954289009374</v>
      </c>
    </row>
    <row r="151" spans="2:51" customFormat="1">
      <c r="B151" s="61" t="s">
        <v>45</v>
      </c>
      <c r="H151" s="40"/>
      <c r="I151" s="40"/>
      <c r="J151" s="40"/>
      <c r="K151" s="40">
        <f>+SUM(AJ151:AM151)</f>
        <v>-5.6824999999999992</v>
      </c>
      <c r="L151" s="40">
        <f ca="1">+SUM(AN151:AQ151)</f>
        <v>-7.9475908566653173</v>
      </c>
      <c r="M151" s="40">
        <f ca="1">+SUM(AR151:AU151)</f>
        <v>-8.2866485060925363</v>
      </c>
      <c r="N151" s="40">
        <f ca="1">+SUM(AV151:AY151)</f>
        <v>-8.4937513136142346</v>
      </c>
      <c r="U151" s="19"/>
      <c r="V151" s="19"/>
      <c r="W151" s="19"/>
      <c r="X151" s="19"/>
      <c r="Y151" s="19"/>
      <c r="Z151" s="19"/>
      <c r="AA151" s="19"/>
      <c r="AB151" s="19"/>
      <c r="AC151" s="19"/>
      <c r="AD151" s="19"/>
      <c r="AE151" s="19"/>
      <c r="AF151" s="19"/>
      <c r="AG151" s="19"/>
      <c r="AH151" s="19"/>
      <c r="AI151" s="19"/>
      <c r="AJ151" s="19"/>
      <c r="AK151" s="110">
        <v>-1.7324999999999999</v>
      </c>
      <c r="AL151" s="146">
        <f>-(AL172-AL166)</f>
        <v>-1.768</v>
      </c>
      <c r="AM151" s="146">
        <f>-(AM172-AM166)</f>
        <v>-2.1819999999999999</v>
      </c>
      <c r="AN151" s="146">
        <f>-(AN172-AN166)</f>
        <v>-1.778</v>
      </c>
      <c r="AO151" s="146">
        <f>-(AO172-AO166)</f>
        <v>-2.13</v>
      </c>
      <c r="AP151" s="6">
        <f t="shared" ref="AP151:AY151" ca="1" si="257">-AP153*SUM(AP149:AP150)</f>
        <v>-2.0109320354158235</v>
      </c>
      <c r="AQ151" s="6">
        <f t="shared" ca="1" si="257"/>
        <v>-2.0286588212494943</v>
      </c>
      <c r="AR151" s="6">
        <f t="shared" ca="1" si="257"/>
        <v>-2.0466937891496961</v>
      </c>
      <c r="AS151" s="6">
        <f t="shared" ca="1" si="257"/>
        <v>-2.0641507578610176</v>
      </c>
      <c r="AT151" s="6">
        <f t="shared" ca="1" si="257"/>
        <v>-2.0804778804784085</v>
      </c>
      <c r="AU151" s="6">
        <f t="shared" ca="1" si="257"/>
        <v>-2.0953260786034145</v>
      </c>
      <c r="AV151" s="6">
        <f t="shared" ca="1" si="257"/>
        <v>-2.1084701942299993</v>
      </c>
      <c r="AW151" s="6">
        <f t="shared" ca="1" si="257"/>
        <v>-2.1197617617942224</v>
      </c>
      <c r="AX151" s="6">
        <f t="shared" ca="1" si="257"/>
        <v>-2.1291007412685241</v>
      </c>
      <c r="AY151" s="6">
        <f t="shared" ca="1" si="257"/>
        <v>-2.1364186163214893</v>
      </c>
    </row>
    <row r="152" spans="2:51" customFormat="1">
      <c r="B152" s="61" t="s">
        <v>47</v>
      </c>
      <c r="U152" s="6"/>
      <c r="V152" s="6"/>
      <c r="W152" s="6"/>
      <c r="X152" s="6"/>
      <c r="Y152" s="6"/>
      <c r="Z152" s="81"/>
      <c r="AA152" s="81"/>
      <c r="AB152" s="81"/>
      <c r="AC152" s="81"/>
      <c r="AD152" s="81"/>
      <c r="AE152" s="81"/>
      <c r="AF152" s="81"/>
      <c r="AG152" s="81"/>
      <c r="AH152" s="81"/>
      <c r="AI152" s="81"/>
      <c r="AJ152" s="81"/>
      <c r="AK152" s="81">
        <f t="shared" ref="AK152" si="258">SUM(AK149:AK151)</f>
        <v>2.6944300885395585</v>
      </c>
      <c r="AL152" s="81">
        <f>SUM(AL149:AL151)</f>
        <v>2.9264300885395587</v>
      </c>
      <c r="AM152" s="81">
        <f>SUM(AM149:AM151)</f>
        <v>2.8364300885395584</v>
      </c>
      <c r="AN152" s="81">
        <f>SUM(AN149:AN151)</f>
        <v>3.1844300885395582</v>
      </c>
      <c r="AO152" s="81">
        <f>SUM(AO149:AO151)</f>
        <v>2.9924300885395585</v>
      </c>
      <c r="AP152" s="6">
        <f t="shared" ref="AP152:AY152" ca="1" si="259">SUM(AP149:AP151)</f>
        <v>3.0163980531237353</v>
      </c>
      <c r="AQ152" s="6">
        <f t="shared" ca="1" si="259"/>
        <v>3.0429882318742409</v>
      </c>
      <c r="AR152" s="6">
        <f t="shared" ca="1" si="259"/>
        <v>3.0700406837245442</v>
      </c>
      <c r="AS152" s="6">
        <f t="shared" ca="1" si="259"/>
        <v>3.0962261367915258</v>
      </c>
      <c r="AT152" s="6">
        <f t="shared" ca="1" si="259"/>
        <v>3.1207168207176128</v>
      </c>
      <c r="AU152" s="6">
        <f t="shared" ca="1" si="259"/>
        <v>3.1429891179051213</v>
      </c>
      <c r="AV152" s="6">
        <f t="shared" ca="1" si="259"/>
        <v>3.1627052913449991</v>
      </c>
      <c r="AW152" s="6">
        <f t="shared" ca="1" si="259"/>
        <v>3.1796426426913329</v>
      </c>
      <c r="AX152" s="6">
        <f t="shared" ca="1" si="259"/>
        <v>3.1936511119027857</v>
      </c>
      <c r="AY152" s="6">
        <f t="shared" ca="1" si="259"/>
        <v>3.2046279244822338</v>
      </c>
    </row>
    <row r="153" spans="2:51" customFormat="1">
      <c r="B153" s="295" t="s">
        <v>48</v>
      </c>
      <c r="U153" s="6"/>
      <c r="V153" s="6"/>
      <c r="W153" s="6"/>
      <c r="X153" s="6"/>
      <c r="Y153" s="6"/>
      <c r="Z153" s="113"/>
      <c r="AA153" s="113"/>
      <c r="AB153" s="113"/>
      <c r="AC153" s="113"/>
      <c r="AD153" s="113"/>
      <c r="AE153" s="113"/>
      <c r="AF153" s="113"/>
      <c r="AG153" s="113"/>
      <c r="AH153" s="113"/>
      <c r="AI153" s="113"/>
      <c r="AJ153" s="113"/>
      <c r="AK153" s="113">
        <f t="shared" ref="AK153:AL153" si="260">-AK151/(AK149+AK150)</f>
        <v>0.39135472332962695</v>
      </c>
      <c r="AL153" s="113">
        <f t="shared" si="260"/>
        <v>0.37661653633232112</v>
      </c>
      <c r="AM153" s="113">
        <f t="shared" ref="AM153:AN153" si="261">-AM151/(AM149+AM150)</f>
        <v>0.43479732934468279</v>
      </c>
      <c r="AN153" s="113">
        <f t="shared" si="261"/>
        <v>0.35829220125562816</v>
      </c>
      <c r="AO153" s="113">
        <f t="shared" ref="AO153" si="262">-AO151/(AO149+AO150)</f>
        <v>0.41581826656169713</v>
      </c>
      <c r="AP153" s="29">
        <f ca="1">+OFFSET(AP153,Valuation!$C$5,0)</f>
        <v>0.4</v>
      </c>
      <c r="AQ153" s="29">
        <f ca="1">+OFFSET(AQ153,Valuation!$C$5,0)</f>
        <v>0.4</v>
      </c>
      <c r="AR153" s="29">
        <f ca="1">+OFFSET(AR153,Valuation!$C$5,0)</f>
        <v>0.4</v>
      </c>
      <c r="AS153" s="29">
        <f ca="1">+OFFSET(AS153,Valuation!$C$5,0)</f>
        <v>0.4</v>
      </c>
      <c r="AT153" s="29">
        <f ca="1">+OFFSET(AT153,Valuation!$C$5,0)</f>
        <v>0.4</v>
      </c>
      <c r="AU153" s="29">
        <f ca="1">+OFFSET(AU153,Valuation!$C$5,0)</f>
        <v>0.4</v>
      </c>
      <c r="AV153" s="29">
        <f ca="1">+OFFSET(AV153,Valuation!$C$5,0)</f>
        <v>0.4</v>
      </c>
      <c r="AW153" s="29">
        <f ca="1">+OFFSET(AW153,Valuation!$C$5,0)</f>
        <v>0.4</v>
      </c>
      <c r="AX153" s="29">
        <f ca="1">+OFFSET(AX153,Valuation!$C$5,0)</f>
        <v>0.4</v>
      </c>
      <c r="AY153" s="29">
        <f ca="1">+OFFSET(AY153,Valuation!$C$5,0)</f>
        <v>0.4</v>
      </c>
    </row>
    <row r="154" spans="2:51" s="11" customFormat="1">
      <c r="B154" s="296" t="s">
        <v>26</v>
      </c>
      <c r="U154" s="12"/>
      <c r="V154" s="12"/>
      <c r="W154" s="12"/>
      <c r="X154" s="12"/>
      <c r="Y154" s="12"/>
      <c r="Z154" s="79"/>
      <c r="AA154" s="79"/>
      <c r="AB154" s="79"/>
      <c r="AC154" s="79"/>
      <c r="AD154" s="79"/>
      <c r="AE154" s="79"/>
      <c r="AF154" s="79"/>
      <c r="AG154" s="79"/>
      <c r="AH154" s="79"/>
      <c r="AI154" s="79"/>
      <c r="AJ154" s="79"/>
      <c r="AK154" s="79"/>
      <c r="AL154" s="79"/>
      <c r="AM154" s="79"/>
      <c r="AN154" s="79"/>
      <c r="AO154" s="79"/>
      <c r="AP154" s="30">
        <f t="shared" ref="AP154:AY154" si="263">+AP155+0.025</f>
        <v>0.42500000000000004</v>
      </c>
      <c r="AQ154" s="30">
        <f t="shared" si="263"/>
        <v>0.42500000000000004</v>
      </c>
      <c r="AR154" s="30">
        <f t="shared" si="263"/>
        <v>0.42500000000000004</v>
      </c>
      <c r="AS154" s="30">
        <f t="shared" si="263"/>
        <v>0.42500000000000004</v>
      </c>
      <c r="AT154" s="30">
        <f t="shared" si="263"/>
        <v>0.42500000000000004</v>
      </c>
      <c r="AU154" s="30">
        <f t="shared" si="263"/>
        <v>0.42500000000000004</v>
      </c>
      <c r="AV154" s="30">
        <f t="shared" si="263"/>
        <v>0.42500000000000004</v>
      </c>
      <c r="AW154" s="30">
        <f t="shared" si="263"/>
        <v>0.42500000000000004</v>
      </c>
      <c r="AX154" s="30">
        <f t="shared" si="263"/>
        <v>0.42500000000000004</v>
      </c>
      <c r="AY154" s="30">
        <f t="shared" si="263"/>
        <v>0.42500000000000004</v>
      </c>
    </row>
    <row r="155" spans="2:51" s="11" customFormat="1">
      <c r="B155" s="296" t="s">
        <v>27</v>
      </c>
      <c r="U155" s="12"/>
      <c r="V155" s="12"/>
      <c r="W155" s="12"/>
      <c r="X155" s="12"/>
      <c r="Y155" s="12"/>
      <c r="Z155" s="79"/>
      <c r="AA155" s="79"/>
      <c r="AB155" s="79"/>
      <c r="AC155" s="79"/>
      <c r="AD155" s="30"/>
      <c r="AE155" s="30"/>
      <c r="AF155" s="30"/>
      <c r="AG155" s="30"/>
      <c r="AH155" s="30"/>
      <c r="AI155" s="30"/>
      <c r="AJ155" s="30"/>
      <c r="AK155" s="79"/>
      <c r="AL155" s="30">
        <f t="shared" ref="AL155:AO155" si="264">+AVERAGE(AI153:AL153)</f>
        <v>0.38398562983097406</v>
      </c>
      <c r="AM155" s="30">
        <f t="shared" si="264"/>
        <v>0.40092286300221031</v>
      </c>
      <c r="AN155" s="30">
        <f t="shared" si="264"/>
        <v>0.39026519756556477</v>
      </c>
      <c r="AO155" s="30">
        <f t="shared" si="264"/>
        <v>0.3963810833735823</v>
      </c>
      <c r="AP155" s="31">
        <v>0.4</v>
      </c>
      <c r="AQ155" s="31">
        <v>0.4</v>
      </c>
      <c r="AR155" s="31">
        <v>0.4</v>
      </c>
      <c r="AS155" s="31">
        <v>0.4</v>
      </c>
      <c r="AT155" s="31">
        <v>0.4</v>
      </c>
      <c r="AU155" s="31">
        <v>0.4</v>
      </c>
      <c r="AV155" s="31">
        <v>0.4</v>
      </c>
      <c r="AW155" s="31">
        <v>0.4</v>
      </c>
      <c r="AX155" s="31">
        <v>0.4</v>
      </c>
      <c r="AY155" s="31">
        <v>0.4</v>
      </c>
    </row>
    <row r="156" spans="2:51" s="11" customFormat="1">
      <c r="B156" s="296" t="s">
        <v>28</v>
      </c>
      <c r="U156" s="12"/>
      <c r="V156" s="12"/>
      <c r="W156" s="12"/>
      <c r="X156" s="12"/>
      <c r="Y156" s="12"/>
      <c r="Z156" s="79"/>
      <c r="AA156" s="79"/>
      <c r="AB156" s="79"/>
      <c r="AC156" s="79"/>
      <c r="AD156" s="79"/>
      <c r="AE156" s="79"/>
      <c r="AF156" s="79"/>
      <c r="AG156" s="79"/>
      <c r="AH156" s="79"/>
      <c r="AI156" s="79"/>
      <c r="AJ156" s="79"/>
      <c r="AK156" s="79"/>
      <c r="AL156" s="79"/>
      <c r="AM156" s="79"/>
      <c r="AN156" s="79"/>
      <c r="AO156" s="79"/>
      <c r="AP156" s="30">
        <f t="shared" ref="AP156:AY156" si="265">+AP155-0.025</f>
        <v>0.375</v>
      </c>
      <c r="AQ156" s="30">
        <f t="shared" si="265"/>
        <v>0.375</v>
      </c>
      <c r="AR156" s="30">
        <f t="shared" si="265"/>
        <v>0.375</v>
      </c>
      <c r="AS156" s="30">
        <f t="shared" si="265"/>
        <v>0.375</v>
      </c>
      <c r="AT156" s="30">
        <f t="shared" si="265"/>
        <v>0.375</v>
      </c>
      <c r="AU156" s="30">
        <f t="shared" si="265"/>
        <v>0.375</v>
      </c>
      <c r="AV156" s="30">
        <f t="shared" si="265"/>
        <v>0.375</v>
      </c>
      <c r="AW156" s="30">
        <f t="shared" si="265"/>
        <v>0.375</v>
      </c>
      <c r="AX156" s="30">
        <f t="shared" si="265"/>
        <v>0.375</v>
      </c>
      <c r="AY156" s="30">
        <f t="shared" si="265"/>
        <v>0.375</v>
      </c>
    </row>
    <row r="157" spans="2:51" customFormat="1">
      <c r="B157" s="61"/>
      <c r="U157" s="6"/>
      <c r="V157" s="6"/>
      <c r="W157" s="6"/>
      <c r="X157" s="6"/>
      <c r="Y157" s="6"/>
      <c r="Z157" s="81"/>
      <c r="AA157" s="81"/>
      <c r="AB157" s="81"/>
      <c r="AC157" s="81"/>
      <c r="AD157" s="81"/>
      <c r="AE157" s="81"/>
      <c r="AF157" s="81"/>
      <c r="AG157" s="81"/>
      <c r="AH157" s="81"/>
      <c r="AI157" s="81"/>
      <c r="AJ157" s="81"/>
      <c r="AK157" s="81"/>
      <c r="AL157" s="81"/>
      <c r="AM157" s="81"/>
      <c r="AN157" s="81"/>
      <c r="AO157" s="81"/>
      <c r="AP157" s="35"/>
      <c r="AQ157" s="35"/>
      <c r="AR157" s="35"/>
      <c r="AS157" s="35"/>
      <c r="AT157" s="35"/>
      <c r="AU157" s="35"/>
      <c r="AV157" s="35"/>
      <c r="AW157" s="35"/>
      <c r="AX157" s="35"/>
      <c r="AY157" s="35"/>
    </row>
    <row r="158" spans="2:51" customFormat="1">
      <c r="B158" s="61" t="s">
        <v>29</v>
      </c>
      <c r="H158" s="40"/>
      <c r="I158" s="40"/>
      <c r="J158" s="40"/>
      <c r="K158" s="40">
        <f>+SUM(AJ158:AM158)</f>
        <v>5.5495000000000001</v>
      </c>
      <c r="L158" s="40">
        <f ca="1">+SUM(AN158:AQ158)</f>
        <v>8.1541490000000003</v>
      </c>
      <c r="M158" s="40">
        <f ca="1">+SUM(AR158:AU158)</f>
        <v>8.3866493921234184</v>
      </c>
      <c r="N158" s="40">
        <f ca="1">+SUM(AV158:AY158)</f>
        <v>8.5553901201913476</v>
      </c>
      <c r="U158" s="19"/>
      <c r="V158" s="19"/>
      <c r="W158" s="19"/>
      <c r="X158" s="19"/>
      <c r="Y158" s="18"/>
      <c r="Z158" s="18"/>
      <c r="AA158" s="18"/>
      <c r="AB158" s="18"/>
      <c r="AC158" s="18"/>
      <c r="AD158" s="18"/>
      <c r="AE158" s="18"/>
      <c r="AF158" s="18"/>
      <c r="AG158" s="18"/>
      <c r="AH158" s="18"/>
      <c r="AI158" s="18"/>
      <c r="AJ158" s="18"/>
      <c r="AK158" s="6">
        <f>+AK150</f>
        <v>1.4575</v>
      </c>
      <c r="AL158" s="110">
        <v>2</v>
      </c>
      <c r="AM158" s="110">
        <v>2.0920000000000001</v>
      </c>
      <c r="AN158" s="110">
        <v>2.1259999999999999</v>
      </c>
      <c r="AO158" s="110">
        <v>1.9379999999999999</v>
      </c>
      <c r="AP158" s="6">
        <f t="shared" ref="AP158:AY158" ca="1" si="266">+AO158*(1+AP161)</f>
        <v>2.0348999999999999</v>
      </c>
      <c r="AQ158" s="6">
        <f t="shared" ca="1" si="266"/>
        <v>2.0552489999999999</v>
      </c>
      <c r="AR158" s="6">
        <f t="shared" ca="1" si="266"/>
        <v>2.0737462409999998</v>
      </c>
      <c r="AS158" s="6">
        <f t="shared" ca="1" si="266"/>
        <v>2.0903362109279997</v>
      </c>
      <c r="AT158" s="6">
        <f t="shared" ca="1" si="266"/>
        <v>2.1049685644044955</v>
      </c>
      <c r="AU158" s="6">
        <f t="shared" ca="1" si="266"/>
        <v>2.1175983757909225</v>
      </c>
      <c r="AV158" s="6">
        <f t="shared" ca="1" si="266"/>
        <v>2.1281863676698767</v>
      </c>
      <c r="AW158" s="6">
        <f t="shared" ca="1" si="266"/>
        <v>2.1366991131405562</v>
      </c>
      <c r="AX158" s="6">
        <f t="shared" ca="1" si="266"/>
        <v>2.1431092104799774</v>
      </c>
      <c r="AY158" s="6">
        <f t="shared" ca="1" si="266"/>
        <v>2.1473954289009374</v>
      </c>
    </row>
    <row r="159" spans="2:51" customFormat="1">
      <c r="B159" s="61" t="s">
        <v>389</v>
      </c>
      <c r="H159" s="40"/>
      <c r="I159" s="40"/>
      <c r="J159" s="40"/>
      <c r="K159" s="40"/>
      <c r="L159" s="40"/>
      <c r="M159" s="40"/>
      <c r="N159" s="40"/>
      <c r="U159" s="19"/>
      <c r="V159" s="19"/>
      <c r="W159" s="19"/>
      <c r="X159" s="19"/>
      <c r="Y159" s="18"/>
      <c r="Z159" s="18"/>
      <c r="AA159" s="18"/>
      <c r="AB159" s="18"/>
      <c r="AC159" s="18"/>
      <c r="AD159" s="18"/>
      <c r="AE159" s="18"/>
      <c r="AF159" s="18"/>
      <c r="AG159" s="18"/>
      <c r="AH159" s="18"/>
      <c r="AI159" s="18"/>
      <c r="AJ159" s="18"/>
      <c r="AK159" s="18"/>
      <c r="AL159" s="18">
        <f t="shared" ref="AL159:AO159" si="267">+AVERAGE(AH158:AK158)</f>
        <v>1.4575</v>
      </c>
      <c r="AM159" s="18">
        <f t="shared" si="267"/>
        <v>1.72875</v>
      </c>
      <c r="AN159" s="18">
        <f t="shared" si="267"/>
        <v>1.8498333333333334</v>
      </c>
      <c r="AO159" s="18">
        <f t="shared" si="267"/>
        <v>1.9188749999999999</v>
      </c>
      <c r="AP159" s="18">
        <f t="shared" ref="AP159:AY159" si="268">+AVERAGE(AL158:AO158)</f>
        <v>2.0390000000000001</v>
      </c>
      <c r="AQ159" s="18">
        <f t="shared" ca="1" si="268"/>
        <v>2.0477249999999998</v>
      </c>
      <c r="AR159" s="18">
        <f t="shared" ca="1" si="268"/>
        <v>2.0385372500000001</v>
      </c>
      <c r="AS159" s="18">
        <f t="shared" ca="1" si="268"/>
        <v>2.0254738102499998</v>
      </c>
      <c r="AT159" s="18">
        <f t="shared" ca="1" si="268"/>
        <v>2.0635578629819999</v>
      </c>
      <c r="AU159" s="18">
        <f t="shared" ca="1" si="268"/>
        <v>2.0810750040831238</v>
      </c>
      <c r="AV159" s="18">
        <f t="shared" ca="1" si="268"/>
        <v>2.0966623480308546</v>
      </c>
      <c r="AW159" s="18">
        <f t="shared" ca="1" si="268"/>
        <v>2.1102723796983236</v>
      </c>
      <c r="AX159" s="18">
        <f t="shared" ca="1" si="268"/>
        <v>2.1218631052514629</v>
      </c>
      <c r="AY159" s="18">
        <f t="shared" ca="1" si="268"/>
        <v>2.1313982667703333</v>
      </c>
    </row>
    <row r="160" spans="2:51" customFormat="1">
      <c r="B160" s="295" t="s">
        <v>36</v>
      </c>
      <c r="U160" s="19"/>
      <c r="V160" s="19"/>
      <c r="W160" s="19"/>
      <c r="X160" s="19"/>
      <c r="Y160" s="23"/>
      <c r="Z160" s="48"/>
      <c r="AA160" s="48"/>
      <c r="AB160" s="48"/>
      <c r="AC160" s="48"/>
      <c r="AD160" s="48"/>
      <c r="AE160" s="48"/>
      <c r="AF160" s="48"/>
      <c r="AG160" s="48"/>
      <c r="AH160" s="48"/>
      <c r="AI160" s="48"/>
      <c r="AJ160" s="48"/>
      <c r="AK160" s="48"/>
      <c r="AL160" s="48"/>
      <c r="AM160" s="48"/>
      <c r="AN160" s="48"/>
      <c r="AO160" s="48"/>
      <c r="AP160" s="23">
        <f t="shared" ref="AP160:AY160" ca="1" si="269">+AP158/AL158-1</f>
        <v>1.7449999999999966E-2</v>
      </c>
      <c r="AQ160" s="23">
        <f t="shared" ca="1" si="269"/>
        <v>-1.7567399617590906E-2</v>
      </c>
      <c r="AR160" s="23">
        <f t="shared" ca="1" si="269"/>
        <v>-2.4578437911571105E-2</v>
      </c>
      <c r="AS160" s="23">
        <f t="shared" ca="1" si="269"/>
        <v>7.860485599999989E-2</v>
      </c>
      <c r="AT160" s="23">
        <f t="shared" ca="1" si="269"/>
        <v>3.4433419039999746E-2</v>
      </c>
      <c r="AU160" s="23">
        <f t="shared" ca="1" si="269"/>
        <v>3.0336653023999904E-2</v>
      </c>
      <c r="AV160" s="23">
        <f t="shared" ca="1" si="269"/>
        <v>2.6252067679999547E-2</v>
      </c>
      <c r="AW160" s="23">
        <f t="shared" ca="1" si="269"/>
        <v>2.2179638839999738E-2</v>
      </c>
      <c r="AX160" s="23">
        <f t="shared" ca="1" si="269"/>
        <v>1.8119342359999457E-2</v>
      </c>
      <c r="AY160" s="23">
        <f t="shared" ca="1" si="269"/>
        <v>1.4071154119999596E-2</v>
      </c>
    </row>
    <row r="161" spans="2:51" customFormat="1">
      <c r="B161" s="295" t="s">
        <v>37</v>
      </c>
      <c r="U161" s="19"/>
      <c r="V161" s="23"/>
      <c r="W161" s="23"/>
      <c r="X161" s="23"/>
      <c r="Y161" s="23"/>
      <c r="Z161" s="48"/>
      <c r="AA161" s="48"/>
      <c r="AB161" s="48"/>
      <c r="AC161" s="48"/>
      <c r="AD161" s="48"/>
      <c r="AE161" s="48"/>
      <c r="AF161" s="48"/>
      <c r="AG161" s="48"/>
      <c r="AH161" s="48"/>
      <c r="AI161" s="48"/>
      <c r="AJ161" s="48"/>
      <c r="AK161" s="48"/>
      <c r="AL161" s="48">
        <f t="shared" ref="AL161:AO161" si="270">+AL158/AK158-1</f>
        <v>0.37221269296740989</v>
      </c>
      <c r="AM161" s="48">
        <f t="shared" si="270"/>
        <v>4.6000000000000041E-2</v>
      </c>
      <c r="AN161" s="48">
        <f t="shared" si="270"/>
        <v>1.6252390057361232E-2</v>
      </c>
      <c r="AO161" s="48">
        <f t="shared" si="270"/>
        <v>-8.842897460018817E-2</v>
      </c>
      <c r="AP161" s="23">
        <f ca="1">+OFFSET(AP161,Valuation!$C$5,0)</f>
        <v>0.05</v>
      </c>
      <c r="AQ161" s="23">
        <f ca="1">+OFFSET(AQ161,Valuation!$C$5,0)</f>
        <v>0.01</v>
      </c>
      <c r="AR161" s="23">
        <f ca="1">+OFFSET(AR161,Valuation!$C$5,0)</f>
        <v>9.0000000000000011E-3</v>
      </c>
      <c r="AS161" s="23">
        <f ca="1">+OFFSET(AS161,Valuation!$C$5,0)</f>
        <v>8.0000000000000002E-3</v>
      </c>
      <c r="AT161" s="23">
        <f ca="1">+OFFSET(AT161,Valuation!$C$5,0)</f>
        <v>7.0000000000000001E-3</v>
      </c>
      <c r="AU161" s="23">
        <f ca="1">+OFFSET(AU161,Valuation!$C$5,0)</f>
        <v>6.0000000000000001E-3</v>
      </c>
      <c r="AV161" s="23">
        <f ca="1">+OFFSET(AV161,Valuation!$C$5,0)</f>
        <v>5.0000000000000001E-3</v>
      </c>
      <c r="AW161" s="23">
        <f ca="1">+OFFSET(AW161,Valuation!$C$5,0)</f>
        <v>4.0000000000000001E-3</v>
      </c>
      <c r="AX161" s="23">
        <f ca="1">+OFFSET(AX161,Valuation!$C$5,0)</f>
        <v>3.0000000000000001E-3</v>
      </c>
      <c r="AY161" s="23">
        <f ca="1">+OFFSET(AY161,Valuation!$C$5,0)</f>
        <v>2E-3</v>
      </c>
    </row>
    <row r="162" spans="2:51" s="11" customFormat="1">
      <c r="B162" s="296" t="s">
        <v>26</v>
      </c>
      <c r="U162" s="12"/>
      <c r="V162" s="12"/>
      <c r="W162" s="12"/>
      <c r="X162" s="12"/>
      <c r="Y162" s="12"/>
      <c r="Z162" s="79"/>
      <c r="AA162" s="79"/>
      <c r="AB162" s="79"/>
      <c r="AC162" s="79"/>
      <c r="AD162" s="79"/>
      <c r="AE162" s="79"/>
      <c r="AF162" s="79"/>
      <c r="AG162" s="79"/>
      <c r="AH162" s="79"/>
      <c r="AI162" s="79"/>
      <c r="AJ162" s="79"/>
      <c r="AK162" s="79"/>
      <c r="AL162" s="79"/>
      <c r="AM162" s="79"/>
      <c r="AN162" s="79"/>
      <c r="AO162" s="79"/>
      <c r="AP162" s="30">
        <f t="shared" ref="AP162:AY162" si="271">+AP163+0.005</f>
        <v>5.5E-2</v>
      </c>
      <c r="AQ162" s="30">
        <f t="shared" si="271"/>
        <v>1.4999999999999999E-2</v>
      </c>
      <c r="AR162" s="30">
        <f t="shared" si="271"/>
        <v>1.4000000000000002E-2</v>
      </c>
      <c r="AS162" s="30">
        <f t="shared" si="271"/>
        <v>1.3000000000000001E-2</v>
      </c>
      <c r="AT162" s="30">
        <f t="shared" si="271"/>
        <v>1.2E-2</v>
      </c>
      <c r="AU162" s="30">
        <f t="shared" si="271"/>
        <v>1.0999999999999999E-2</v>
      </c>
      <c r="AV162" s="30">
        <f t="shared" si="271"/>
        <v>0.01</v>
      </c>
      <c r="AW162" s="30">
        <f t="shared" si="271"/>
        <v>9.0000000000000011E-3</v>
      </c>
      <c r="AX162" s="30">
        <f t="shared" si="271"/>
        <v>8.0000000000000002E-3</v>
      </c>
      <c r="AY162" s="30">
        <f t="shared" si="271"/>
        <v>7.0000000000000001E-3</v>
      </c>
    </row>
    <row r="163" spans="2:51" s="11" customFormat="1">
      <c r="B163" s="296" t="s">
        <v>27</v>
      </c>
      <c r="U163" s="12"/>
      <c r="V163" s="12"/>
      <c r="W163" s="12"/>
      <c r="X163" s="12"/>
      <c r="Y163" s="12"/>
      <c r="Z163" s="79"/>
      <c r="AA163" s="79"/>
      <c r="AB163" s="79"/>
      <c r="AC163" s="79"/>
      <c r="AD163" s="30"/>
      <c r="AE163" s="30"/>
      <c r="AF163" s="30"/>
      <c r="AG163" s="30"/>
      <c r="AH163" s="30"/>
      <c r="AI163" s="30"/>
      <c r="AJ163" s="30"/>
      <c r="AK163" s="79"/>
      <c r="AL163" s="30">
        <f t="shared" ref="AL163:AO163" si="272">+AVERAGE(AI161:AL161)</f>
        <v>0.37221269296740989</v>
      </c>
      <c r="AM163" s="30">
        <f t="shared" si="272"/>
        <v>0.20910634648370496</v>
      </c>
      <c r="AN163" s="30">
        <f t="shared" si="272"/>
        <v>0.1448216943415904</v>
      </c>
      <c r="AO163" s="30">
        <f t="shared" si="272"/>
        <v>8.6509027106145747E-2</v>
      </c>
      <c r="AP163" s="31">
        <v>0.05</v>
      </c>
      <c r="AQ163" s="31">
        <v>0.01</v>
      </c>
      <c r="AR163" s="31">
        <f t="shared" ref="AR163:AY163" si="273">+AQ163-0.001</f>
        <v>9.0000000000000011E-3</v>
      </c>
      <c r="AS163" s="31">
        <f t="shared" si="273"/>
        <v>8.0000000000000002E-3</v>
      </c>
      <c r="AT163" s="31">
        <f t="shared" si="273"/>
        <v>7.0000000000000001E-3</v>
      </c>
      <c r="AU163" s="31">
        <f t="shared" si="273"/>
        <v>6.0000000000000001E-3</v>
      </c>
      <c r="AV163" s="31">
        <f t="shared" si="273"/>
        <v>5.0000000000000001E-3</v>
      </c>
      <c r="AW163" s="31">
        <f t="shared" si="273"/>
        <v>4.0000000000000001E-3</v>
      </c>
      <c r="AX163" s="31">
        <f t="shared" si="273"/>
        <v>3.0000000000000001E-3</v>
      </c>
      <c r="AY163" s="31">
        <f t="shared" si="273"/>
        <v>2E-3</v>
      </c>
    </row>
    <row r="164" spans="2:51" s="11" customFormat="1">
      <c r="B164" s="296" t="s">
        <v>28</v>
      </c>
      <c r="U164" s="12"/>
      <c r="V164" s="12"/>
      <c r="W164" s="12"/>
      <c r="X164" s="12"/>
      <c r="Y164" s="12"/>
      <c r="Z164" s="79"/>
      <c r="AA164" s="79"/>
      <c r="AB164" s="79"/>
      <c r="AC164" s="79"/>
      <c r="AD164" s="79"/>
      <c r="AE164" s="79"/>
      <c r="AF164" s="79"/>
      <c r="AG164" s="79"/>
      <c r="AH164" s="79"/>
      <c r="AI164" s="79"/>
      <c r="AJ164" s="79"/>
      <c r="AK164" s="79"/>
      <c r="AL164" s="79"/>
      <c r="AM164" s="79"/>
      <c r="AN164" s="79"/>
      <c r="AO164" s="79"/>
      <c r="AP164" s="30">
        <f t="shared" ref="AP164:AY164" si="274">+AP163-0.005</f>
        <v>4.5000000000000005E-2</v>
      </c>
      <c r="AQ164" s="30">
        <f t="shared" si="274"/>
        <v>5.0000000000000001E-3</v>
      </c>
      <c r="AR164" s="30">
        <f t="shared" si="274"/>
        <v>4.000000000000001E-3</v>
      </c>
      <c r="AS164" s="30">
        <f t="shared" si="274"/>
        <v>3.0000000000000001E-3</v>
      </c>
      <c r="AT164" s="30">
        <f t="shared" si="274"/>
        <v>2E-3</v>
      </c>
      <c r="AU164" s="30">
        <f t="shared" si="274"/>
        <v>1E-3</v>
      </c>
      <c r="AV164" s="30">
        <f t="shared" si="274"/>
        <v>0</v>
      </c>
      <c r="AW164" s="30">
        <f t="shared" si="274"/>
        <v>-1E-3</v>
      </c>
      <c r="AX164" s="30">
        <f t="shared" si="274"/>
        <v>-2E-3</v>
      </c>
      <c r="AY164" s="30">
        <f t="shared" si="274"/>
        <v>-3.0000000000000001E-3</v>
      </c>
    </row>
    <row r="165" spans="2:51" customFormat="1">
      <c r="B165" s="61"/>
      <c r="U165" s="6"/>
      <c r="V165" s="6"/>
      <c r="W165" s="6"/>
      <c r="X165" s="6"/>
      <c r="Y165" s="6"/>
      <c r="Z165" s="81"/>
      <c r="AA165" s="81"/>
      <c r="AB165" s="81"/>
      <c r="AC165" s="81"/>
      <c r="AD165" s="81"/>
      <c r="AE165" s="81"/>
      <c r="AF165" s="81"/>
      <c r="AG165" s="81"/>
      <c r="AH165" s="81"/>
      <c r="AI165" s="81"/>
      <c r="AJ165" s="81"/>
      <c r="AK165" s="81"/>
      <c r="AL165" s="81"/>
      <c r="AM165" s="81"/>
      <c r="AN165" s="81"/>
      <c r="AO165" s="81"/>
    </row>
    <row r="166" spans="2:51" customFormat="1">
      <c r="B166" s="61" t="s">
        <v>24</v>
      </c>
      <c r="H166" s="40"/>
      <c r="I166" s="40"/>
      <c r="J166" s="40"/>
      <c r="K166" s="40">
        <f>+SUM(AJ166:AM166)</f>
        <v>-5.5229999999999997</v>
      </c>
      <c r="L166" s="40">
        <f ca="1">+SUM(AN166:AQ166)</f>
        <v>-7.8754988193424591</v>
      </c>
      <c r="M166" s="40">
        <f ca="1">+SUM(AR166:AU166)</f>
        <v>-7.8364954923193304</v>
      </c>
      <c r="N166" s="40">
        <f ca="1">+SUM(AV166:AY166)</f>
        <v>-8.0944593039333839</v>
      </c>
      <c r="T166" s="19"/>
      <c r="U166" s="19"/>
      <c r="V166" s="19"/>
      <c r="W166" s="19"/>
      <c r="X166" s="19"/>
      <c r="Y166" s="19"/>
      <c r="Z166" s="19"/>
      <c r="AA166" s="19"/>
      <c r="AB166" s="19"/>
      <c r="AC166" s="19"/>
      <c r="AD166" s="19"/>
      <c r="AE166" s="19"/>
      <c r="AF166" s="19"/>
      <c r="AG166" s="19"/>
      <c r="AH166" s="19"/>
      <c r="AI166" s="19"/>
      <c r="AJ166" s="19"/>
      <c r="AK166" s="110">
        <v>-1.5369999999999999</v>
      </c>
      <c r="AL166" s="299">
        <f>-AL174*0.016</f>
        <v>-1.768</v>
      </c>
      <c r="AM166" s="110">
        <v>-2.218</v>
      </c>
      <c r="AN166" s="110">
        <v>-1.7230000000000001</v>
      </c>
      <c r="AO166" s="110">
        <v>-2.2229999999999999</v>
      </c>
      <c r="AP166" s="6">
        <f t="shared" ref="AP166:AY166" ca="1" si="275">+AP167*AP138*3</f>
        <v>-1.9697039999999997</v>
      </c>
      <c r="AQ166" s="6">
        <f t="shared" ca="1" si="275"/>
        <v>-1.9597948193424588</v>
      </c>
      <c r="AR166" s="6">
        <f t="shared" ca="1" si="275"/>
        <v>-1.9512123006250881</v>
      </c>
      <c r="AS166" s="6">
        <f t="shared" ca="1" si="275"/>
        <v>-1.943882073356187</v>
      </c>
      <c r="AT166" s="6">
        <f t="shared" ca="1" si="275"/>
        <v>-1.9617624840862273</v>
      </c>
      <c r="AU166" s="6">
        <f t="shared" ca="1" si="275"/>
        <v>-1.9796386342518284</v>
      </c>
      <c r="AV166" s="6">
        <f t="shared" ca="1" si="275"/>
        <v>-1.9974361300292554</v>
      </c>
      <c r="AW166" s="6">
        <f t="shared" ca="1" si="275"/>
        <v>-2.015071299941781</v>
      </c>
      <c r="AX166" s="6">
        <f t="shared" ca="1" si="275"/>
        <v>-2.0324552758151775</v>
      </c>
      <c r="AY166" s="6">
        <f t="shared" ca="1" si="275"/>
        <v>-2.0494965981471704</v>
      </c>
    </row>
    <row r="167" spans="2:51" s="3" customFormat="1">
      <c r="B167" s="297" t="s">
        <v>30</v>
      </c>
      <c r="U167" s="4"/>
      <c r="V167" s="4"/>
      <c r="W167" s="4"/>
      <c r="X167" s="4"/>
      <c r="Y167" s="4"/>
      <c r="Z167" s="114"/>
      <c r="AA167" s="114"/>
      <c r="AB167" s="114"/>
      <c r="AC167" s="114"/>
      <c r="AD167" s="114"/>
      <c r="AE167" s="114"/>
      <c r="AF167" s="114"/>
      <c r="AG167" s="114"/>
      <c r="AH167" s="114"/>
      <c r="AI167" s="114"/>
      <c r="AJ167" s="114"/>
      <c r="AK167" s="114">
        <f>+AK166/(AK138*3)</f>
        <v>-1.472586607477904E-2</v>
      </c>
      <c r="AL167" s="114">
        <f>+AL166/(AL138*3)</f>
        <v>-1.6160877513711154E-2</v>
      </c>
      <c r="AM167" s="114">
        <f>+AM166/(AM138*3)</f>
        <v>-1.8818937722721869E-2</v>
      </c>
      <c r="AN167" s="114">
        <f>+AN166/(AN138*3)</f>
        <v>-1.4405350797742631E-2</v>
      </c>
      <c r="AO167" s="114">
        <f>+AO166/(AO138*3)</f>
        <v>-1.8578412937194432E-2</v>
      </c>
      <c r="AP167" s="4">
        <f ca="1">+OFFSET(AP167,Valuation!$C$5,0)</f>
        <v>-1.6500000000000001E-2</v>
      </c>
      <c r="AQ167" s="4">
        <f ca="1">+OFFSET(AQ167,Valuation!$C$5,0)</f>
        <v>-1.6400000000000001E-2</v>
      </c>
      <c r="AR167" s="4">
        <f ca="1">+OFFSET(AR167,Valuation!$C$5,0)</f>
        <v>-1.6300000000000002E-2</v>
      </c>
      <c r="AS167" s="4">
        <f ca="1">+OFFSET(AS167,Valuation!$C$5,0)</f>
        <v>-1.6200000000000003E-2</v>
      </c>
      <c r="AT167" s="4">
        <f ca="1">+OFFSET(AT167,Valuation!$C$5,0)</f>
        <v>-1.6300000000000002E-2</v>
      </c>
      <c r="AU167" s="4">
        <f ca="1">+OFFSET(AU167,Valuation!$C$5,0)</f>
        <v>-1.6400000000000001E-2</v>
      </c>
      <c r="AV167" s="4">
        <f ca="1">+OFFSET(AV167,Valuation!$C$5,0)</f>
        <v>-1.6500000000000001E-2</v>
      </c>
      <c r="AW167" s="4">
        <f ca="1">+OFFSET(AW167,Valuation!$C$5,0)</f>
        <v>-1.66E-2</v>
      </c>
      <c r="AX167" s="4">
        <f ca="1">+OFFSET(AX167,Valuation!$C$5,0)</f>
        <v>-1.67E-2</v>
      </c>
      <c r="AY167" s="4">
        <f ca="1">+OFFSET(AY167,Valuation!$C$5,0)</f>
        <v>-1.6799999999999999E-2</v>
      </c>
    </row>
    <row r="168" spans="2:51" s="11" customFormat="1">
      <c r="B168" s="296" t="s">
        <v>26</v>
      </c>
      <c r="U168" s="12"/>
      <c r="V168" s="12"/>
      <c r="W168" s="12"/>
      <c r="X168" s="12"/>
      <c r="Y168" s="12"/>
      <c r="Z168" s="79"/>
      <c r="AA168" s="79"/>
      <c r="AB168" s="79"/>
      <c r="AC168" s="79"/>
      <c r="AD168" s="79"/>
      <c r="AE168" s="79"/>
      <c r="AF168" s="79"/>
      <c r="AG168" s="79"/>
      <c r="AH168" s="79"/>
      <c r="AI168" s="79"/>
      <c r="AJ168" s="79"/>
      <c r="AK168" s="79"/>
      <c r="AL168" s="79"/>
      <c r="AM168" s="79"/>
      <c r="AN168" s="79"/>
      <c r="AO168" s="79"/>
      <c r="AP168" s="21">
        <f t="shared" ref="AP168:AY168" si="276">+AP169+0.001</f>
        <v>-1.55E-2</v>
      </c>
      <c r="AQ168" s="21">
        <f t="shared" si="276"/>
        <v>-1.54E-2</v>
      </c>
      <c r="AR168" s="21">
        <f t="shared" si="276"/>
        <v>-1.5300000000000001E-2</v>
      </c>
      <c r="AS168" s="21">
        <f t="shared" si="276"/>
        <v>-1.5200000000000002E-2</v>
      </c>
      <c r="AT168" s="21">
        <f t="shared" si="276"/>
        <v>-1.5300000000000001E-2</v>
      </c>
      <c r="AU168" s="21">
        <f t="shared" si="276"/>
        <v>-1.54E-2</v>
      </c>
      <c r="AV168" s="21">
        <f t="shared" si="276"/>
        <v>-1.55E-2</v>
      </c>
      <c r="AW168" s="21">
        <f t="shared" si="276"/>
        <v>-1.5599999999999999E-2</v>
      </c>
      <c r="AX168" s="21">
        <f t="shared" si="276"/>
        <v>-1.5699999999999999E-2</v>
      </c>
      <c r="AY168" s="21">
        <f t="shared" si="276"/>
        <v>-1.5799999999999998E-2</v>
      </c>
    </row>
    <row r="169" spans="2:51" s="11" customFormat="1">
      <c r="B169" s="296" t="s">
        <v>27</v>
      </c>
      <c r="U169" s="12"/>
      <c r="V169" s="12"/>
      <c r="W169" s="12"/>
      <c r="X169" s="12"/>
      <c r="Y169" s="12"/>
      <c r="Z169" s="79"/>
      <c r="AA169" s="79"/>
      <c r="AB169" s="79"/>
      <c r="AC169" s="79"/>
      <c r="AD169" s="21"/>
      <c r="AE169" s="21"/>
      <c r="AF169" s="21"/>
      <c r="AG169" s="21"/>
      <c r="AH169" s="21"/>
      <c r="AI169" s="21"/>
      <c r="AJ169" s="21"/>
      <c r="AK169" s="79"/>
      <c r="AL169" s="21">
        <f t="shared" ref="AL169:AO169" si="277">+AVERAGE(AI167:AL167)</f>
        <v>-1.5443371794245098E-2</v>
      </c>
      <c r="AM169" s="21">
        <f t="shared" si="277"/>
        <v>-1.6568560437070688E-2</v>
      </c>
      <c r="AN169" s="21">
        <f t="shared" si="277"/>
        <v>-1.6027758027238673E-2</v>
      </c>
      <c r="AO169" s="21">
        <f t="shared" si="277"/>
        <v>-1.6990894742842523E-2</v>
      </c>
      <c r="AP169" s="333">
        <v>-1.6500000000000001E-2</v>
      </c>
      <c r="AQ169" s="333">
        <f>+AP169+0.0001</f>
        <v>-1.6400000000000001E-2</v>
      </c>
      <c r="AR169" s="333">
        <f t="shared" ref="AR169:AS169" si="278">+AQ169+0.0001</f>
        <v>-1.6300000000000002E-2</v>
      </c>
      <c r="AS169" s="333">
        <f t="shared" si="278"/>
        <v>-1.6200000000000003E-2</v>
      </c>
      <c r="AT169" s="28">
        <f t="shared" ref="AT169:AY169" si="279">+AS169-0.0001</f>
        <v>-1.6300000000000002E-2</v>
      </c>
      <c r="AU169" s="28">
        <f t="shared" si="279"/>
        <v>-1.6400000000000001E-2</v>
      </c>
      <c r="AV169" s="28">
        <f t="shared" si="279"/>
        <v>-1.6500000000000001E-2</v>
      </c>
      <c r="AW169" s="28">
        <f t="shared" si="279"/>
        <v>-1.66E-2</v>
      </c>
      <c r="AX169" s="28">
        <f t="shared" si="279"/>
        <v>-1.67E-2</v>
      </c>
      <c r="AY169" s="28">
        <f t="shared" si="279"/>
        <v>-1.6799999999999999E-2</v>
      </c>
    </row>
    <row r="170" spans="2:51" s="11" customFormat="1">
      <c r="B170" s="296" t="s">
        <v>28</v>
      </c>
      <c r="U170" s="12"/>
      <c r="V170" s="12"/>
      <c r="W170" s="12"/>
      <c r="X170" s="12"/>
      <c r="Y170" s="12"/>
      <c r="Z170" s="79"/>
      <c r="AA170" s="79"/>
      <c r="AB170" s="79"/>
      <c r="AC170" s="79"/>
      <c r="AD170" s="79"/>
      <c r="AE170" s="79"/>
      <c r="AF170" s="79"/>
      <c r="AG170" s="79"/>
      <c r="AH170" s="79"/>
      <c r="AI170" s="79"/>
      <c r="AJ170" s="79"/>
      <c r="AK170" s="79"/>
      <c r="AL170" s="79"/>
      <c r="AM170" s="79"/>
      <c r="AN170" s="79"/>
      <c r="AO170" s="79"/>
      <c r="AP170" s="21">
        <f t="shared" ref="AP170:AY170" si="280">+AP169-0.001</f>
        <v>-1.7500000000000002E-2</v>
      </c>
      <c r="AQ170" s="21">
        <f t="shared" si="280"/>
        <v>-1.7400000000000002E-2</v>
      </c>
      <c r="AR170" s="21">
        <f t="shared" si="280"/>
        <v>-1.7300000000000003E-2</v>
      </c>
      <c r="AS170" s="21">
        <f t="shared" si="280"/>
        <v>-1.7200000000000003E-2</v>
      </c>
      <c r="AT170" s="21">
        <f t="shared" si="280"/>
        <v>-1.7300000000000003E-2</v>
      </c>
      <c r="AU170" s="21">
        <f t="shared" si="280"/>
        <v>-1.7400000000000002E-2</v>
      </c>
      <c r="AV170" s="21">
        <f t="shared" si="280"/>
        <v>-1.7500000000000002E-2</v>
      </c>
      <c r="AW170" s="21">
        <f t="shared" si="280"/>
        <v>-1.7600000000000001E-2</v>
      </c>
      <c r="AX170" s="21">
        <f t="shared" si="280"/>
        <v>-1.77E-2</v>
      </c>
      <c r="AY170" s="21">
        <f t="shared" si="280"/>
        <v>-1.78E-2</v>
      </c>
    </row>
    <row r="171" spans="2:51" s="3" customFormat="1">
      <c r="B171" s="297"/>
      <c r="U171" s="4"/>
      <c r="V171" s="4"/>
      <c r="W171" s="4"/>
      <c r="X171" s="4"/>
      <c r="Y171" s="4"/>
      <c r="Z171" s="114"/>
      <c r="AA171" s="114"/>
      <c r="AB171" s="114"/>
      <c r="AC171" s="114"/>
      <c r="AD171" s="114"/>
      <c r="AE171" s="114"/>
      <c r="AF171" s="114"/>
      <c r="AG171" s="114"/>
      <c r="AH171" s="114"/>
      <c r="AI171" s="114"/>
      <c r="AJ171" s="114"/>
      <c r="AK171" s="114"/>
      <c r="AL171" s="114"/>
      <c r="AM171" s="114"/>
      <c r="AN171" s="114"/>
      <c r="AO171" s="114"/>
    </row>
    <row r="172" spans="2:51" customFormat="1">
      <c r="B172" s="61" t="s">
        <v>25</v>
      </c>
      <c r="H172" s="40"/>
      <c r="I172" s="40"/>
      <c r="J172" s="40"/>
      <c r="K172" s="40">
        <f>+SUM(AJ172:AM172)</f>
        <v>0.1595</v>
      </c>
      <c r="L172" s="40">
        <f ca="1">+SUM(AN172:AQ172)</f>
        <v>7.209203732285932E-2</v>
      </c>
      <c r="M172" s="40">
        <f ca="1">+SUM(AR172:AU172)</f>
        <v>0.45015301377320593</v>
      </c>
      <c r="N172" s="40">
        <f ca="1">+SUM(AV172:AY172)</f>
        <v>0.39929200968085077</v>
      </c>
      <c r="U172" s="6"/>
      <c r="V172" s="6"/>
      <c r="W172" s="6"/>
      <c r="X172" s="6"/>
      <c r="Y172" s="6"/>
      <c r="Z172" s="81"/>
      <c r="AA172" s="81"/>
      <c r="AB172" s="81"/>
      <c r="AC172" s="81"/>
      <c r="AD172" s="81"/>
      <c r="AE172" s="81"/>
      <c r="AF172" s="81"/>
      <c r="AG172" s="81"/>
      <c r="AH172" s="81"/>
      <c r="AI172" s="81"/>
      <c r="AJ172" s="81"/>
      <c r="AK172" s="81">
        <f>-AK151+AK166</f>
        <v>0.19550000000000001</v>
      </c>
      <c r="AL172" s="110">
        <v>0</v>
      </c>
      <c r="AM172" s="110">
        <v>-3.5999999999999997E-2</v>
      </c>
      <c r="AN172" s="110">
        <v>5.5E-2</v>
      </c>
      <c r="AO172" s="110">
        <v>-9.2999999999999999E-2</v>
      </c>
      <c r="AP172" s="6">
        <f t="shared" ref="AP172:AY172" ca="1" si="281">-AP151+AP166</f>
        <v>4.1228035415823872E-2</v>
      </c>
      <c r="AQ172" s="6">
        <f t="shared" ca="1" si="281"/>
        <v>6.8864001907035455E-2</v>
      </c>
      <c r="AR172" s="6">
        <f t="shared" ca="1" si="281"/>
        <v>9.5481488524608027E-2</v>
      </c>
      <c r="AS172" s="6">
        <f t="shared" ca="1" si="281"/>
        <v>0.12026868450483064</v>
      </c>
      <c r="AT172" s="6">
        <f t="shared" ca="1" si="281"/>
        <v>0.1187153963921812</v>
      </c>
      <c r="AU172" s="6">
        <f t="shared" ca="1" si="281"/>
        <v>0.11568744435158607</v>
      </c>
      <c r="AV172" s="6">
        <f t="shared" ca="1" si="281"/>
        <v>0.11103406420074391</v>
      </c>
      <c r="AW172" s="6">
        <f t="shared" ca="1" si="281"/>
        <v>0.10469046185244135</v>
      </c>
      <c r="AX172" s="6">
        <f t="shared" ca="1" si="281"/>
        <v>9.6645465453346624E-2</v>
      </c>
      <c r="AY172" s="6">
        <f t="shared" ca="1" si="281"/>
        <v>8.6922018174318882E-2</v>
      </c>
    </row>
    <row r="173" spans="2:51" customFormat="1">
      <c r="B173" s="61"/>
      <c r="Z173" s="15"/>
      <c r="AA173" s="15"/>
      <c r="AB173" s="15"/>
      <c r="AC173" s="15"/>
      <c r="AD173" s="15"/>
      <c r="AE173" s="15"/>
      <c r="AF173" s="15"/>
      <c r="AG173" s="15"/>
      <c r="AH173" s="15"/>
      <c r="AI173" s="15"/>
      <c r="AJ173" s="15"/>
      <c r="AK173" s="80"/>
      <c r="AL173" s="80"/>
      <c r="AM173" s="80"/>
      <c r="AN173" s="80"/>
      <c r="AO173" s="80"/>
      <c r="AP173" s="40"/>
      <c r="AQ173" s="40"/>
      <c r="AR173" s="40"/>
      <c r="AS173" s="40"/>
      <c r="AT173" s="40"/>
      <c r="AU173" s="40"/>
      <c r="AV173" s="40"/>
      <c r="AW173" s="40"/>
      <c r="AX173" s="40"/>
      <c r="AY173" s="40"/>
    </row>
    <row r="174" spans="2:51" customFormat="1">
      <c r="B174" s="61" t="s">
        <v>31</v>
      </c>
      <c r="F174" s="19"/>
      <c r="G174" s="6"/>
      <c r="H174" s="40"/>
      <c r="I174" s="40"/>
      <c r="J174" s="40"/>
      <c r="K174" s="40">
        <f>+SUM(AJ174:AM174)</f>
        <v>440.4</v>
      </c>
      <c r="L174" s="40">
        <f ca="1">+SUM(AN174:AQ174)</f>
        <v>475.45917083511887</v>
      </c>
      <c r="M174" s="40">
        <f ca="1">+SUM(AR174:AU174)</f>
        <v>481.51245116375662</v>
      </c>
      <c r="N174" s="40">
        <f ca="1">+SUM(AV174:AY174)</f>
        <v>486.80981304123554</v>
      </c>
      <c r="T174" s="19"/>
      <c r="U174" s="19"/>
      <c r="V174" s="19"/>
      <c r="W174" s="19"/>
      <c r="X174" s="19"/>
      <c r="Y174" s="19"/>
      <c r="Z174" s="19"/>
      <c r="AA174" s="19"/>
      <c r="AB174" s="19"/>
      <c r="AC174" s="19"/>
      <c r="AD174" s="19"/>
      <c r="AE174" s="19"/>
      <c r="AF174" s="19"/>
      <c r="AG174" s="19"/>
      <c r="AH174" s="19"/>
      <c r="AI174" s="19">
        <v>107</v>
      </c>
      <c r="AJ174" s="19">
        <v>106.1</v>
      </c>
      <c r="AK174" s="19">
        <v>106.4</v>
      </c>
      <c r="AL174" s="19">
        <v>110.5</v>
      </c>
      <c r="AM174" s="19">
        <v>117.4</v>
      </c>
      <c r="AN174" s="19">
        <v>119.1</v>
      </c>
      <c r="AO174" s="19">
        <v>117.3</v>
      </c>
      <c r="AP174" s="6">
        <f t="shared" ref="AP174:AY174" ca="1" si="282">+SUM(AP177:AP178)</f>
        <v>119.44471339235969</v>
      </c>
      <c r="AQ174" s="6">
        <f t="shared" ca="1" si="282"/>
        <v>119.61445744275919</v>
      </c>
      <c r="AR174" s="6">
        <f t="shared" ca="1" si="282"/>
        <v>119.86541192617626</v>
      </c>
      <c r="AS174" s="6">
        <f t="shared" ca="1" si="282"/>
        <v>120.19316838505046</v>
      </c>
      <c r="AT174" s="6">
        <f t="shared" ca="1" si="282"/>
        <v>120.55138562504385</v>
      </c>
      <c r="AU174" s="6">
        <f t="shared" ca="1" si="282"/>
        <v>120.90248522748608</v>
      </c>
      <c r="AV174" s="6">
        <f t="shared" ca="1" si="282"/>
        <v>121.2417919269561</v>
      </c>
      <c r="AW174" s="6">
        <f t="shared" ca="1" si="282"/>
        <v>121.56432144897782</v>
      </c>
      <c r="AX174" s="6">
        <f t="shared" ca="1" si="282"/>
        <v>121.86498450720332</v>
      </c>
      <c r="AY174" s="6">
        <f t="shared" ca="1" si="282"/>
        <v>122.13871515809832</v>
      </c>
    </row>
    <row r="175" spans="2:51" customFormat="1">
      <c r="B175" s="295" t="s">
        <v>36</v>
      </c>
      <c r="G175" s="23"/>
      <c r="H175" s="23"/>
      <c r="I175" s="23"/>
      <c r="J175" s="23"/>
      <c r="K175" s="23"/>
      <c r="L175" s="23">
        <f ca="1">+L174/K174-1</f>
        <v>7.9607563204175502E-2</v>
      </c>
      <c r="M175" s="23">
        <f ca="1">+M174/L174-1</f>
        <v>1.2731440889036882E-2</v>
      </c>
      <c r="N175" s="23">
        <f ca="1">+N174/M174-1</f>
        <v>1.1001505495186858E-2</v>
      </c>
      <c r="U175" s="19"/>
      <c r="V175" s="19"/>
      <c r="W175" s="19"/>
      <c r="X175" s="23"/>
      <c r="Y175" s="23"/>
      <c r="Z175" s="48"/>
      <c r="AA175" s="48"/>
      <c r="AB175" s="48"/>
      <c r="AC175" s="48"/>
      <c r="AD175" s="48"/>
      <c r="AE175" s="48"/>
      <c r="AF175" s="48"/>
      <c r="AG175" s="48"/>
      <c r="AH175" s="48"/>
      <c r="AI175" s="48"/>
      <c r="AJ175" s="48"/>
      <c r="AK175" s="48"/>
      <c r="AL175" s="48"/>
      <c r="AM175" s="23">
        <f t="shared" ref="AM175:AY175" si="283">+AM174/AI174-1</f>
        <v>9.7196261682243046E-2</v>
      </c>
      <c r="AN175" s="23">
        <f t="shared" si="283"/>
        <v>0.12252591894439213</v>
      </c>
      <c r="AO175" s="23">
        <f t="shared" si="283"/>
        <v>0.10244360902255623</v>
      </c>
      <c r="AP175" s="23">
        <f t="shared" ca="1" si="283"/>
        <v>8.0947632510042444E-2</v>
      </c>
      <c r="AQ175" s="23">
        <f t="shared" ca="1" si="283"/>
        <v>1.8862499512429132E-2</v>
      </c>
      <c r="AR175" s="23">
        <f t="shared" ca="1" si="283"/>
        <v>6.4266324615975812E-3</v>
      </c>
      <c r="AS175" s="23">
        <f t="shared" ca="1" si="283"/>
        <v>2.4664692114667153E-2</v>
      </c>
      <c r="AT175" s="23">
        <f t="shared" ca="1" si="283"/>
        <v>9.2651420163645248E-3</v>
      </c>
      <c r="AU175" s="23">
        <f t="shared" ca="1" si="283"/>
        <v>1.0768161410114496E-2</v>
      </c>
      <c r="AV175" s="23">
        <f t="shared" ca="1" si="283"/>
        <v>1.1482711973888948E-2</v>
      </c>
      <c r="AW175" s="23">
        <f t="shared" ca="1" si="283"/>
        <v>1.1407911800234372E-2</v>
      </c>
      <c r="AX175" s="23">
        <f t="shared" ca="1" si="283"/>
        <v>1.0896588830967113E-2</v>
      </c>
      <c r="AY175" s="23">
        <f t="shared" ca="1" si="283"/>
        <v>1.0225016700741829E-2</v>
      </c>
    </row>
    <row r="176" spans="2:51" customFormat="1">
      <c r="B176" s="295" t="s">
        <v>37</v>
      </c>
      <c r="U176" s="23"/>
      <c r="V176" s="23"/>
      <c r="W176" s="23"/>
      <c r="X176" s="23"/>
      <c r="Y176" s="23"/>
      <c r="Z176" s="48"/>
      <c r="AA176" s="48"/>
      <c r="AB176" s="48"/>
      <c r="AC176" s="48"/>
      <c r="AD176" s="48"/>
      <c r="AE176" s="48"/>
      <c r="AF176" s="48"/>
      <c r="AG176" s="48"/>
      <c r="AH176" s="48"/>
      <c r="AI176" s="48"/>
      <c r="AJ176" s="48"/>
      <c r="AK176" s="48">
        <f t="shared" ref="AK176:AY176" si="284">+AK174/AJ174-1</f>
        <v>2.827521206409056E-3</v>
      </c>
      <c r="AL176" s="48">
        <f t="shared" si="284"/>
        <v>3.8533834586466087E-2</v>
      </c>
      <c r="AM176" s="48">
        <f t="shared" si="284"/>
        <v>6.244343891402715E-2</v>
      </c>
      <c r="AN176" s="48">
        <f t="shared" si="284"/>
        <v>1.4480408858603022E-2</v>
      </c>
      <c r="AO176" s="48">
        <f t="shared" si="284"/>
        <v>-1.5113350125944613E-2</v>
      </c>
      <c r="AP176" s="23">
        <f t="shared" ca="1" si="284"/>
        <v>1.8284001639895076E-2</v>
      </c>
      <c r="AQ176" s="23">
        <f t="shared" ca="1" si="284"/>
        <v>1.4211097802370176E-3</v>
      </c>
      <c r="AR176" s="23">
        <f t="shared" ca="1" si="284"/>
        <v>2.0980280208784396E-3</v>
      </c>
      <c r="AS176" s="23">
        <f t="shared" ca="1" si="284"/>
        <v>2.7343706045581673E-3</v>
      </c>
      <c r="AT176" s="23">
        <f t="shared" ca="1" si="284"/>
        <v>2.9803460945951876E-3</v>
      </c>
      <c r="AU176" s="23">
        <f t="shared" ca="1" si="284"/>
        <v>2.9124476721842374E-3</v>
      </c>
      <c r="AV176" s="23">
        <f t="shared" ca="1" si="284"/>
        <v>2.806449336683059E-3</v>
      </c>
      <c r="AW176" s="23">
        <f t="shared" ca="1" si="284"/>
        <v>2.6602173796312911E-3</v>
      </c>
      <c r="AX176" s="23">
        <f t="shared" ca="1" si="284"/>
        <v>2.4732837286611797E-3</v>
      </c>
      <c r="AY176" s="23">
        <f t="shared" ca="1" si="284"/>
        <v>2.2461796717236915E-3</v>
      </c>
    </row>
    <row r="177" spans="1:51" customFormat="1">
      <c r="B177" s="61" t="s">
        <v>35</v>
      </c>
      <c r="H177" s="40"/>
      <c r="I177" s="40"/>
      <c r="J177" s="40"/>
      <c r="K177" s="40">
        <f>+SUM(AJ177:AM177)</f>
        <v>434.90000000000003</v>
      </c>
      <c r="L177" s="40">
        <f ca="1">+SUM(AN177:AQ177)</f>
        <v>478.25917083511888</v>
      </c>
      <c r="M177" s="40">
        <f ca="1">+SUM(AR177:AU177)</f>
        <v>481.51245116375662</v>
      </c>
      <c r="N177" s="40">
        <f ca="1">+SUM(AV177:AY177)</f>
        <v>486.80981304123554</v>
      </c>
      <c r="U177" s="18"/>
      <c r="V177" s="18"/>
      <c r="W177" s="18"/>
      <c r="X177" s="18"/>
      <c r="Y177" s="18"/>
      <c r="Z177" s="111"/>
      <c r="AA177" s="111"/>
      <c r="AB177" s="111"/>
      <c r="AC177" s="111"/>
      <c r="AD177" s="111"/>
      <c r="AE177" s="111"/>
      <c r="AF177" s="111"/>
      <c r="AG177" s="111"/>
      <c r="AH177" s="111"/>
      <c r="AI177" s="111"/>
      <c r="AJ177" s="111">
        <f>+SUM(AJ143:AJ144)</f>
        <v>104.4</v>
      </c>
      <c r="AK177" s="116">
        <f>+AK174-AK178</f>
        <v>103.30000000000001</v>
      </c>
      <c r="AL177" s="111">
        <f>+SUM(AL143:AL144)</f>
        <v>109.39999999999999</v>
      </c>
      <c r="AM177" s="111">
        <f>+SUM(AM143:AM144)</f>
        <v>117.80000000000001</v>
      </c>
      <c r="AN177" s="111">
        <f>+SUM(AN143:AN144)</f>
        <v>119.7</v>
      </c>
      <c r="AO177" s="111">
        <f>+SUM(AO143:AO144)</f>
        <v>119.5</v>
      </c>
      <c r="AP177" s="6">
        <f t="shared" ref="AP177:AY177" ca="1" si="285">+AP141</f>
        <v>119.44471339235969</v>
      </c>
      <c r="AQ177" s="6">
        <f t="shared" ca="1" si="285"/>
        <v>119.61445744275919</v>
      </c>
      <c r="AR177" s="6">
        <f t="shared" ca="1" si="285"/>
        <v>119.86541192617626</v>
      </c>
      <c r="AS177" s="6">
        <f t="shared" ca="1" si="285"/>
        <v>120.19316838505046</v>
      </c>
      <c r="AT177" s="6">
        <f t="shared" ca="1" si="285"/>
        <v>120.55138562504385</v>
      </c>
      <c r="AU177" s="6">
        <f t="shared" ca="1" si="285"/>
        <v>120.90248522748608</v>
      </c>
      <c r="AV177" s="6">
        <f t="shared" ca="1" si="285"/>
        <v>121.2417919269561</v>
      </c>
      <c r="AW177" s="6">
        <f t="shared" ca="1" si="285"/>
        <v>121.56432144897782</v>
      </c>
      <c r="AX177" s="6">
        <f t="shared" ca="1" si="285"/>
        <v>121.86498450720332</v>
      </c>
      <c r="AY177" s="6">
        <f t="shared" ca="1" si="285"/>
        <v>122.13871515809832</v>
      </c>
    </row>
    <row r="178" spans="1:51" customFormat="1">
      <c r="B178" s="61" t="s">
        <v>34</v>
      </c>
      <c r="H178" s="40"/>
      <c r="I178" s="40"/>
      <c r="J178" s="40"/>
      <c r="K178" s="40">
        <f>+SUM(AJ178:AM178)</f>
        <v>5.4999999999999858</v>
      </c>
      <c r="L178" s="40">
        <f>+SUM(AN178:AQ178)</f>
        <v>-2.8000000000000114</v>
      </c>
      <c r="M178" s="40">
        <f>+SUM(AR178:AU178)</f>
        <v>0</v>
      </c>
      <c r="N178" s="40">
        <f>+SUM(AV178:AY178)</f>
        <v>0</v>
      </c>
      <c r="U178" s="6"/>
      <c r="V178" s="6"/>
      <c r="W178" s="6"/>
      <c r="X178" s="6"/>
      <c r="Y178" s="6"/>
      <c r="Z178" s="81"/>
      <c r="AA178" s="81"/>
      <c r="AB178" s="81"/>
      <c r="AC178" s="81"/>
      <c r="AD178" s="81"/>
      <c r="AE178" s="81"/>
      <c r="AF178" s="81"/>
      <c r="AG178" s="81"/>
      <c r="AH178" s="81"/>
      <c r="AI178" s="81"/>
      <c r="AJ178" s="81">
        <f>+AJ174-SUM(AJ143,AJ144)</f>
        <v>1.6999999999999886</v>
      </c>
      <c r="AK178" s="116">
        <v>3.0999999999999943</v>
      </c>
      <c r="AL178" s="81">
        <f>+AL174-SUM(AL143,AL144)</f>
        <v>1.1000000000000085</v>
      </c>
      <c r="AM178" s="81">
        <f>+AM174-SUM(AM143,AM144)</f>
        <v>-0.40000000000000568</v>
      </c>
      <c r="AN178" s="81">
        <f>+AN174-SUM(AN143,AN144)</f>
        <v>-0.60000000000000853</v>
      </c>
      <c r="AO178" s="81">
        <f>+AO174-SUM(AO143,AO144)</f>
        <v>-2.2000000000000028</v>
      </c>
      <c r="AP178" s="19">
        <v>0</v>
      </c>
      <c r="AQ178" s="19">
        <f t="shared" ref="AQ178:AY178" si="286">+AP178</f>
        <v>0</v>
      </c>
      <c r="AR178" s="19">
        <f t="shared" si="286"/>
        <v>0</v>
      </c>
      <c r="AS178" s="19">
        <f t="shared" si="286"/>
        <v>0</v>
      </c>
      <c r="AT178" s="19">
        <f t="shared" si="286"/>
        <v>0</v>
      </c>
      <c r="AU178" s="19">
        <f t="shared" si="286"/>
        <v>0</v>
      </c>
      <c r="AV178" s="19">
        <f t="shared" si="286"/>
        <v>0</v>
      </c>
      <c r="AW178" s="19">
        <f t="shared" si="286"/>
        <v>0</v>
      </c>
      <c r="AX178" s="19">
        <f t="shared" si="286"/>
        <v>0</v>
      </c>
      <c r="AY178" s="19">
        <f t="shared" si="286"/>
        <v>0</v>
      </c>
    </row>
    <row r="179" spans="1:51" customFormat="1">
      <c r="B179" s="61"/>
      <c r="U179" s="6"/>
      <c r="V179" s="6"/>
      <c r="W179" s="6"/>
      <c r="X179" s="6"/>
      <c r="Y179" s="6"/>
      <c r="Z179" s="81"/>
      <c r="AA179" s="81"/>
      <c r="AB179" s="81"/>
      <c r="AC179" s="81"/>
      <c r="AD179" s="19"/>
      <c r="AE179" s="19"/>
      <c r="AF179" s="19"/>
      <c r="AG179" s="19"/>
      <c r="AH179" s="19"/>
      <c r="AI179" s="19"/>
      <c r="AJ179" s="19"/>
      <c r="AK179" s="19"/>
      <c r="AL179" s="19"/>
      <c r="AM179" s="19"/>
      <c r="AN179" s="19"/>
      <c r="AO179" s="19"/>
      <c r="AP179" s="19"/>
      <c r="AQ179" s="19"/>
      <c r="AR179" s="19"/>
      <c r="AS179" s="19"/>
      <c r="AT179" s="19"/>
      <c r="AU179" s="19"/>
      <c r="AV179" s="19"/>
      <c r="AW179" s="19"/>
      <c r="AX179" s="19"/>
      <c r="AY179" s="19"/>
    </row>
    <row r="180" spans="1:51" s="5" customFormat="1">
      <c r="B180" s="298" t="s">
        <v>52</v>
      </c>
      <c r="U180" s="37"/>
      <c r="V180" s="37"/>
      <c r="W180" s="37"/>
      <c r="X180" s="37"/>
      <c r="Y180" s="37"/>
      <c r="Z180" s="96"/>
      <c r="AA180" s="96"/>
      <c r="AB180" s="36"/>
      <c r="AC180" s="36"/>
      <c r="AD180" s="38"/>
      <c r="AE180" s="291"/>
      <c r="AF180" s="291"/>
      <c r="AG180" s="291"/>
      <c r="AH180" s="291"/>
      <c r="AI180" s="291"/>
      <c r="AJ180" s="291"/>
      <c r="AK180" s="291"/>
      <c r="AL180" s="38"/>
      <c r="AM180" s="38"/>
      <c r="AN180" s="38"/>
      <c r="AO180" s="38"/>
      <c r="AP180" s="38"/>
      <c r="AQ180" s="38"/>
      <c r="AR180" s="38"/>
      <c r="AS180" s="38"/>
      <c r="AT180" s="38"/>
      <c r="AU180" s="38"/>
      <c r="AV180" s="38"/>
      <c r="AW180" s="38"/>
      <c r="AX180" s="38"/>
      <c r="AY180" s="38"/>
    </row>
    <row r="181" spans="1:51" customFormat="1">
      <c r="B181" s="61"/>
    </row>
    <row r="182" spans="1:51" s="1" customFormat="1">
      <c r="A182" s="27" t="s">
        <v>40</v>
      </c>
      <c r="B182" s="149" t="s">
        <v>409</v>
      </c>
      <c r="T182" s="33" t="str">
        <f>+T$3</f>
        <v>1Q13</v>
      </c>
      <c r="U182" s="33" t="str">
        <f t="shared" ref="U182:AY182" si="287">+U$3</f>
        <v>2Q13</v>
      </c>
      <c r="V182" s="33" t="str">
        <f t="shared" si="287"/>
        <v>3Q13</v>
      </c>
      <c r="W182" s="33" t="str">
        <f t="shared" si="287"/>
        <v>4Q13</v>
      </c>
      <c r="X182" s="33" t="str">
        <f t="shared" si="287"/>
        <v>1Q14</v>
      </c>
      <c r="Y182" s="33" t="str">
        <f t="shared" si="287"/>
        <v>2Q14</v>
      </c>
      <c r="Z182" s="33" t="str">
        <f t="shared" si="287"/>
        <v>3Q14</v>
      </c>
      <c r="AA182" s="33" t="str">
        <f t="shared" si="287"/>
        <v>4Q14</v>
      </c>
      <c r="AB182" s="33" t="str">
        <f t="shared" si="287"/>
        <v>1Q15</v>
      </c>
      <c r="AC182" s="33" t="str">
        <f t="shared" si="287"/>
        <v>2Q15</v>
      </c>
      <c r="AD182" s="33" t="str">
        <f t="shared" si="287"/>
        <v>3Q15</v>
      </c>
      <c r="AE182" s="33" t="str">
        <f t="shared" si="287"/>
        <v>4Q15</v>
      </c>
      <c r="AF182" s="33" t="str">
        <f t="shared" si="287"/>
        <v>1Q16</v>
      </c>
      <c r="AG182" s="33" t="str">
        <f t="shared" si="287"/>
        <v>2Q16</v>
      </c>
      <c r="AH182" s="33" t="str">
        <f t="shared" si="287"/>
        <v>3Q16</v>
      </c>
      <c r="AI182" s="33" t="str">
        <f t="shared" si="287"/>
        <v>4Q16</v>
      </c>
      <c r="AJ182" s="33" t="str">
        <f t="shared" si="287"/>
        <v>1Q17</v>
      </c>
      <c r="AK182" s="33" t="str">
        <f t="shared" si="287"/>
        <v>2Q17</v>
      </c>
      <c r="AL182" s="33" t="str">
        <f t="shared" si="287"/>
        <v>3Q17</v>
      </c>
      <c r="AM182" s="33" t="str">
        <f t="shared" si="287"/>
        <v>4Q17</v>
      </c>
      <c r="AN182" s="33" t="str">
        <f t="shared" si="287"/>
        <v>1Q18</v>
      </c>
      <c r="AO182" s="33" t="str">
        <f t="shared" si="287"/>
        <v>2Q18</v>
      </c>
      <c r="AP182" s="33" t="str">
        <f t="shared" si="287"/>
        <v>3Q18E</v>
      </c>
      <c r="AQ182" s="33" t="str">
        <f t="shared" si="287"/>
        <v>4Q18E</v>
      </c>
      <c r="AR182" s="33" t="str">
        <f t="shared" si="287"/>
        <v>1Q19E</v>
      </c>
      <c r="AS182" s="33" t="str">
        <f t="shared" si="287"/>
        <v>2Q19E</v>
      </c>
      <c r="AT182" s="33" t="str">
        <f t="shared" si="287"/>
        <v>3Q19E</v>
      </c>
      <c r="AU182" s="33" t="str">
        <f t="shared" si="287"/>
        <v>4Q19E</v>
      </c>
      <c r="AV182" s="33" t="str">
        <f t="shared" si="287"/>
        <v>1Q20E</v>
      </c>
      <c r="AW182" s="33" t="str">
        <f t="shared" si="287"/>
        <v>2Q20E</v>
      </c>
      <c r="AX182" s="33" t="str">
        <f t="shared" si="287"/>
        <v>3Q20E</v>
      </c>
      <c r="AY182" s="33" t="str">
        <f t="shared" si="287"/>
        <v>4Q20E</v>
      </c>
    </row>
    <row r="183" spans="1:51" customFormat="1">
      <c r="B183" s="294"/>
      <c r="T183" s="19"/>
      <c r="U183" s="19"/>
      <c r="V183" s="19"/>
      <c r="W183" s="19"/>
      <c r="X183" s="19"/>
      <c r="Y183" s="19"/>
      <c r="Z183" s="19"/>
      <c r="AA183" s="19"/>
      <c r="AB183" s="19"/>
      <c r="AC183" s="19"/>
    </row>
    <row r="184" spans="1:51" customFormat="1">
      <c r="B184" s="61" t="s">
        <v>41</v>
      </c>
      <c r="U184" s="19"/>
      <c r="V184" s="19"/>
      <c r="W184" s="19"/>
      <c r="X184" s="19"/>
      <c r="Y184" s="146"/>
      <c r="Z184" s="146"/>
      <c r="AA184" s="146"/>
      <c r="AB184" s="146"/>
      <c r="AC184" s="146"/>
      <c r="AD184" s="146"/>
      <c r="AE184" s="146"/>
      <c r="AF184" s="146"/>
      <c r="AG184" s="146">
        <f t="shared" ref="AG184:AO184" si="288">+AG185/3</f>
        <v>22.733333333333334</v>
      </c>
      <c r="AH184" s="146">
        <f t="shared" si="288"/>
        <v>31.666666666666668</v>
      </c>
      <c r="AI184" s="146">
        <f t="shared" si="288"/>
        <v>37.06666666666667</v>
      </c>
      <c r="AJ184" s="146">
        <f t="shared" si="288"/>
        <v>37.133333333333333</v>
      </c>
      <c r="AK184" s="146">
        <f t="shared" si="288"/>
        <v>36.991388888888892</v>
      </c>
      <c r="AL184" s="146">
        <f t="shared" si="288"/>
        <v>39.68888888888889</v>
      </c>
      <c r="AM184" s="146">
        <f t="shared" si="288"/>
        <v>44.772222222222219</v>
      </c>
      <c r="AN184" s="146">
        <f t="shared" si="288"/>
        <v>46.183888888888895</v>
      </c>
      <c r="AO184" s="146">
        <f t="shared" si="288"/>
        <v>45.327222222222225</v>
      </c>
      <c r="AP184" s="6">
        <f t="shared" ref="AP184:AY184" si="289">+AO184+AO218+AO226/3</f>
        <v>45.278222222222226</v>
      </c>
      <c r="AQ184" s="6">
        <f t="shared" ca="1" si="289"/>
        <v>44.944944106833915</v>
      </c>
      <c r="AR184" s="6">
        <f t="shared" ca="1" si="289"/>
        <v>44.711312254789156</v>
      </c>
      <c r="AS184" s="6">
        <f t="shared" ca="1" si="289"/>
        <v>44.559443268993348</v>
      </c>
      <c r="AT184" s="6">
        <f t="shared" ca="1" si="289"/>
        <v>44.476952647614169</v>
      </c>
      <c r="AU184" s="6">
        <f t="shared" ca="1" si="289"/>
        <v>44.428126440102382</v>
      </c>
      <c r="AV184" s="6">
        <f t="shared" ca="1" si="289"/>
        <v>44.407350028919794</v>
      </c>
      <c r="AW184" s="6">
        <f t="shared" ca="1" si="289"/>
        <v>44.410163369936228</v>
      </c>
      <c r="AX184" s="6">
        <f t="shared" ca="1" si="289"/>
        <v>44.432812235124324</v>
      </c>
      <c r="AY184" s="6">
        <f t="shared" ca="1" si="289"/>
        <v>44.471981061910327</v>
      </c>
    </row>
    <row r="185" spans="1:51" customFormat="1">
      <c r="B185" s="61" t="s">
        <v>42</v>
      </c>
      <c r="U185" s="18"/>
      <c r="V185" s="18"/>
      <c r="W185" s="18"/>
      <c r="X185" s="18"/>
      <c r="Y185" s="18"/>
      <c r="Z185" s="111"/>
      <c r="AA185" s="111"/>
      <c r="AB185" s="111"/>
      <c r="AC185" s="111"/>
      <c r="AD185" s="111"/>
      <c r="AE185" s="111"/>
      <c r="AF185" s="111"/>
      <c r="AG185" s="111">
        <f t="shared" ref="AG185:AN185" si="290">+AG187-AG186</f>
        <v>68.2</v>
      </c>
      <c r="AH185" s="111">
        <f t="shared" si="290"/>
        <v>95</v>
      </c>
      <c r="AI185" s="111">
        <f t="shared" si="290"/>
        <v>111.2</v>
      </c>
      <c r="AJ185" s="111">
        <f t="shared" si="290"/>
        <v>111.4</v>
      </c>
      <c r="AK185" s="111">
        <f t="shared" si="290"/>
        <v>110.97416666666668</v>
      </c>
      <c r="AL185" s="111">
        <f t="shared" si="290"/>
        <v>119.06666666666668</v>
      </c>
      <c r="AM185" s="111">
        <f t="shared" si="290"/>
        <v>134.31666666666666</v>
      </c>
      <c r="AN185" s="111">
        <f t="shared" si="290"/>
        <v>138.55166666666668</v>
      </c>
      <c r="AO185" s="111">
        <f t="shared" ref="AO185" si="291">+AO187-AO186</f>
        <v>135.98166666666668</v>
      </c>
      <c r="AP185" s="18">
        <f t="shared" ref="AP185:AY185" si="292">+AP184*3</f>
        <v>135.83466666666669</v>
      </c>
      <c r="AQ185" s="18">
        <f t="shared" ca="1" si="292"/>
        <v>134.83483232050173</v>
      </c>
      <c r="AR185" s="18">
        <f t="shared" ca="1" si="292"/>
        <v>134.13393676436746</v>
      </c>
      <c r="AS185" s="18">
        <f t="shared" ca="1" si="292"/>
        <v>133.67832980698006</v>
      </c>
      <c r="AT185" s="18">
        <f t="shared" ca="1" si="292"/>
        <v>133.43085794284252</v>
      </c>
      <c r="AU185" s="18">
        <f t="shared" ca="1" si="292"/>
        <v>133.28437932030715</v>
      </c>
      <c r="AV185" s="18">
        <f t="shared" ca="1" si="292"/>
        <v>133.2220500867594</v>
      </c>
      <c r="AW185" s="18">
        <f t="shared" ca="1" si="292"/>
        <v>133.23049010980867</v>
      </c>
      <c r="AX185" s="18">
        <f t="shared" ca="1" si="292"/>
        <v>133.29843670537298</v>
      </c>
      <c r="AY185" s="18">
        <f t="shared" ca="1" si="292"/>
        <v>133.41594318573098</v>
      </c>
    </row>
    <row r="186" spans="1:51" customFormat="1">
      <c r="B186" s="61" t="s">
        <v>43</v>
      </c>
      <c r="U186" s="18"/>
      <c r="V186" s="18"/>
      <c r="W186" s="18"/>
      <c r="X186" s="18"/>
      <c r="Y186" s="18"/>
      <c r="Z186" s="111"/>
      <c r="AA186" s="111"/>
      <c r="AB186" s="111"/>
      <c r="AC186" s="111"/>
      <c r="AD186" s="111"/>
      <c r="AE186" s="111"/>
      <c r="AF186" s="111"/>
      <c r="AG186" s="111">
        <f t="shared" ref="AG186:AN186" si="293">AG218*(5/3)</f>
        <v>0</v>
      </c>
      <c r="AH186" s="111">
        <f t="shared" si="293"/>
        <v>0</v>
      </c>
      <c r="AI186" s="111">
        <f t="shared" si="293"/>
        <v>0</v>
      </c>
      <c r="AJ186" s="111">
        <f t="shared" si="293"/>
        <v>0</v>
      </c>
      <c r="AK186" s="111">
        <f t="shared" si="293"/>
        <v>0.32583333333333336</v>
      </c>
      <c r="AL186" s="111">
        <f t="shared" si="293"/>
        <v>0.33333333333333337</v>
      </c>
      <c r="AM186" s="111">
        <f t="shared" si="293"/>
        <v>0.28333333333333338</v>
      </c>
      <c r="AN186" s="111">
        <f t="shared" si="293"/>
        <v>-0.75166666666666671</v>
      </c>
      <c r="AO186" s="111">
        <f t="shared" ref="AO186" si="294">AO218*(5/3)</f>
        <v>-8.1666666666666679E-2</v>
      </c>
      <c r="AP186" s="18">
        <f t="shared" ref="AP186:AY186" ca="1" si="295">AP218*(5/3)</f>
        <v>-0.55546352564718371</v>
      </c>
      <c r="AQ186" s="18">
        <f t="shared" ca="1" si="295"/>
        <v>-0.38938642007460372</v>
      </c>
      <c r="AR186" s="18">
        <f t="shared" ca="1" si="295"/>
        <v>-0.2531149763263511</v>
      </c>
      <c r="AS186" s="18">
        <f t="shared" ca="1" si="295"/>
        <v>-0.13748436896530158</v>
      </c>
      <c r="AT186" s="18">
        <f t="shared" ca="1" si="295"/>
        <v>-8.1377012519643355E-2</v>
      </c>
      <c r="AU186" s="18">
        <f t="shared" ca="1" si="295"/>
        <v>-3.4627351970985362E-2</v>
      </c>
      <c r="AV186" s="18">
        <f t="shared" ca="1" si="295"/>
        <v>4.6889016940572983E-3</v>
      </c>
      <c r="AW186" s="18">
        <f t="shared" ca="1" si="295"/>
        <v>3.7748108646828982E-2</v>
      </c>
      <c r="AX186" s="18">
        <f t="shared" ca="1" si="295"/>
        <v>6.5281377976669219E-2</v>
      </c>
      <c r="AY186" s="18">
        <f t="shared" ca="1" si="295"/>
        <v>8.7756365468720052E-2</v>
      </c>
    </row>
    <row r="187" spans="1:51" customFormat="1">
      <c r="B187" s="61" t="s">
        <v>44</v>
      </c>
      <c r="U187" s="18"/>
      <c r="V187" s="18"/>
      <c r="W187" s="18"/>
      <c r="X187" s="18"/>
      <c r="Y187" s="18"/>
      <c r="Z187" s="111"/>
      <c r="AA187" s="111"/>
      <c r="AB187" s="146"/>
      <c r="AC187" s="146"/>
      <c r="AD187" s="146"/>
      <c r="AE187" s="146"/>
      <c r="AF187" s="146"/>
      <c r="AG187" s="146">
        <f t="shared" ref="AG187:AN187" si="296">+SUM(AG189:AG190)</f>
        <v>68.2</v>
      </c>
      <c r="AH187" s="146">
        <f t="shared" si="296"/>
        <v>95</v>
      </c>
      <c r="AI187" s="146">
        <f t="shared" si="296"/>
        <v>111.2</v>
      </c>
      <c r="AJ187" s="146">
        <f t="shared" si="296"/>
        <v>111.4</v>
      </c>
      <c r="AK187" s="146">
        <f t="shared" si="296"/>
        <v>111.30000000000001</v>
      </c>
      <c r="AL187" s="146">
        <f t="shared" si="296"/>
        <v>119.4</v>
      </c>
      <c r="AM187" s="146">
        <f t="shared" si="296"/>
        <v>134.6</v>
      </c>
      <c r="AN187" s="146">
        <f t="shared" si="296"/>
        <v>137.80000000000001</v>
      </c>
      <c r="AO187" s="146">
        <f t="shared" ref="AO187" si="297">+SUM(AO189:AO190)</f>
        <v>135.9</v>
      </c>
      <c r="AP187" s="18">
        <f t="shared" ref="AP187:AY187" ca="1" si="298">+AP185+AP186</f>
        <v>135.27920314101951</v>
      </c>
      <c r="AQ187" s="18">
        <f t="shared" ca="1" si="298"/>
        <v>134.44544590042713</v>
      </c>
      <c r="AR187" s="18">
        <f t="shared" ca="1" si="298"/>
        <v>133.88082178804112</v>
      </c>
      <c r="AS187" s="18">
        <f t="shared" ca="1" si="298"/>
        <v>133.54084543801477</v>
      </c>
      <c r="AT187" s="18">
        <f t="shared" ca="1" si="298"/>
        <v>133.34948093032287</v>
      </c>
      <c r="AU187" s="18">
        <f t="shared" ca="1" si="298"/>
        <v>133.24975196833617</v>
      </c>
      <c r="AV187" s="18">
        <f t="shared" ca="1" si="298"/>
        <v>133.22673898845346</v>
      </c>
      <c r="AW187" s="18">
        <f t="shared" ca="1" si="298"/>
        <v>133.26823821845551</v>
      </c>
      <c r="AX187" s="18">
        <f t="shared" ca="1" si="298"/>
        <v>133.36371808334965</v>
      </c>
      <c r="AY187" s="18">
        <f t="shared" ca="1" si="298"/>
        <v>133.5036995511997</v>
      </c>
    </row>
    <row r="188" spans="1:51" customFormat="1">
      <c r="B188" s="61"/>
      <c r="U188" s="19"/>
      <c r="V188" s="19"/>
      <c r="W188" s="19"/>
      <c r="X188" s="19"/>
      <c r="Y188" s="19"/>
      <c r="Z188" s="110"/>
      <c r="AA188" s="110"/>
      <c r="AB188" s="144"/>
      <c r="AC188" s="144"/>
      <c r="AD188" s="144"/>
      <c r="AE188" s="144"/>
      <c r="AF188" s="144"/>
      <c r="AG188" s="144"/>
      <c r="AH188" s="144"/>
      <c r="AI188" s="144"/>
      <c r="AJ188" s="144"/>
      <c r="AK188" s="110"/>
      <c r="AL188" s="144"/>
      <c r="AM188" s="144"/>
      <c r="AN188" s="144"/>
      <c r="AO188" s="144"/>
    </row>
    <row r="189" spans="1:51" customFormat="1">
      <c r="B189" s="61" t="s">
        <v>19</v>
      </c>
      <c r="H189" s="6"/>
      <c r="I189" s="6"/>
      <c r="J189" s="6"/>
      <c r="K189" s="6">
        <f>+SUM(AJ189:AM189)</f>
        <v>469.09999999999997</v>
      </c>
      <c r="L189" s="6">
        <f ca="1">+SUM(AN189:AQ189)</f>
        <v>535.55519136607586</v>
      </c>
      <c r="M189" s="6">
        <f ca="1">+SUM(AR189:AU189)</f>
        <v>526.16187289697814</v>
      </c>
      <c r="N189" s="6">
        <f ca="1">+SUM(AV189:AY189)</f>
        <v>525.51305864070105</v>
      </c>
      <c r="U189" s="19"/>
      <c r="V189" s="19"/>
      <c r="W189" s="19"/>
      <c r="X189" s="19"/>
      <c r="Y189" s="19"/>
      <c r="Z189" s="19"/>
      <c r="AA189" s="19"/>
      <c r="AB189" s="50"/>
      <c r="AC189" s="50"/>
      <c r="AD189" s="50"/>
      <c r="AE189" s="50"/>
      <c r="AF189" s="19"/>
      <c r="AG189" s="144">
        <v>67.2</v>
      </c>
      <c r="AH189" s="144">
        <v>93.5</v>
      </c>
      <c r="AI189" s="144">
        <v>109.3</v>
      </c>
      <c r="AJ189" s="144">
        <v>109.5</v>
      </c>
      <c r="AK189" s="144">
        <v>109.4</v>
      </c>
      <c r="AL189" s="144">
        <v>117.5</v>
      </c>
      <c r="AM189" s="144">
        <v>132.69999999999999</v>
      </c>
      <c r="AN189" s="144">
        <v>135.9</v>
      </c>
      <c r="AO189" s="144">
        <v>133.9</v>
      </c>
      <c r="AP189" s="6">
        <f t="shared" ref="AP189:AY189" ca="1" si="299">+AP187*AP192</f>
        <v>133.28833922430104</v>
      </c>
      <c r="AQ189" s="6">
        <f t="shared" ca="1" si="299"/>
        <v>132.46685214177478</v>
      </c>
      <c r="AR189" s="6">
        <f t="shared" ca="1" si="299"/>
        <v>131.91053743501624</v>
      </c>
      <c r="AS189" s="6">
        <f t="shared" ca="1" si="299"/>
        <v>131.57556441611609</v>
      </c>
      <c r="AT189" s="6">
        <f t="shared" ca="1" si="299"/>
        <v>131.38701616313637</v>
      </c>
      <c r="AU189" s="6">
        <f t="shared" ca="1" si="299"/>
        <v>131.28875488270944</v>
      </c>
      <c r="AV189" s="6">
        <f t="shared" ca="1" si="299"/>
        <v>131.26608057802736</v>
      </c>
      <c r="AW189" s="6">
        <f t="shared" ca="1" si="299"/>
        <v>131.30696907616772</v>
      </c>
      <c r="AX189" s="6">
        <f t="shared" ca="1" si="299"/>
        <v>131.40104379220395</v>
      </c>
      <c r="AY189" s="6">
        <f t="shared" ca="1" si="299"/>
        <v>131.53896519430199</v>
      </c>
    </row>
    <row r="190" spans="1:51" customFormat="1">
      <c r="B190" s="61" t="s">
        <v>18</v>
      </c>
      <c r="H190" s="6"/>
      <c r="I190" s="6"/>
      <c r="J190" s="6"/>
      <c r="K190" s="6">
        <f>+SUM(AJ190:AM190)</f>
        <v>7.6</v>
      </c>
      <c r="L190" s="6">
        <f ca="1">+SUM(AN190:AQ190)</f>
        <v>7.8694576753708114</v>
      </c>
      <c r="M190" s="6">
        <f ca="1">+SUM(AR190:AU190)</f>
        <v>7.8590272277367905</v>
      </c>
      <c r="N190" s="6">
        <f ca="1">+SUM(AV190:AY190)</f>
        <v>7.8493362007572962</v>
      </c>
      <c r="U190" s="19"/>
      <c r="V190" s="19"/>
      <c r="W190" s="19"/>
      <c r="X190" s="19"/>
      <c r="Y190" s="19"/>
      <c r="Z190" s="19"/>
      <c r="AA190" s="19"/>
      <c r="AB190" s="50"/>
      <c r="AC190" s="50"/>
      <c r="AD190" s="50"/>
      <c r="AE190" s="50"/>
      <c r="AF190" s="19"/>
      <c r="AG190" s="144">
        <v>1</v>
      </c>
      <c r="AH190" s="144">
        <v>1.5</v>
      </c>
      <c r="AI190" s="144">
        <v>1.9</v>
      </c>
      <c r="AJ190" s="144">
        <v>1.9</v>
      </c>
      <c r="AK190" s="144">
        <v>1.9</v>
      </c>
      <c r="AL190" s="144">
        <v>1.9</v>
      </c>
      <c r="AM190" s="144">
        <v>1.9</v>
      </c>
      <c r="AN190" s="144">
        <v>1.9</v>
      </c>
      <c r="AO190" s="144">
        <v>2</v>
      </c>
      <c r="AP190" s="6">
        <f t="shared" ref="AP190:AY190" ca="1" si="300">+AP187*AP193</f>
        <v>1.9908639167184623</v>
      </c>
      <c r="AQ190" s="6">
        <f t="shared" ca="1" si="300"/>
        <v>1.9785937586523492</v>
      </c>
      <c r="AR190" s="6">
        <f t="shared" ca="1" si="300"/>
        <v>1.9702843530248877</v>
      </c>
      <c r="AS190" s="6">
        <f t="shared" ca="1" si="300"/>
        <v>1.965281021898672</v>
      </c>
      <c r="AT190" s="6">
        <f t="shared" ca="1" si="300"/>
        <v>1.9624647671865028</v>
      </c>
      <c r="AU190" s="6">
        <f t="shared" ca="1" si="300"/>
        <v>1.960997085626728</v>
      </c>
      <c r="AV190" s="6">
        <f t="shared" ca="1" si="300"/>
        <v>1.9606584104260996</v>
      </c>
      <c r="AW190" s="6">
        <f t="shared" ca="1" si="300"/>
        <v>1.9612691422877926</v>
      </c>
      <c r="AX190" s="6">
        <f t="shared" ca="1" si="300"/>
        <v>1.9626742911456903</v>
      </c>
      <c r="AY190" s="6">
        <f t="shared" ca="1" si="300"/>
        <v>1.9647343568977145</v>
      </c>
    </row>
    <row r="191" spans="1:51" customFormat="1">
      <c r="B191" s="61"/>
      <c r="U191" s="6"/>
      <c r="V191" s="6"/>
      <c r="W191" s="6"/>
      <c r="X191" s="6"/>
      <c r="Y191" s="6"/>
      <c r="Z191" s="81"/>
      <c r="AA191" s="81"/>
      <c r="AB191" s="81"/>
      <c r="AC191" s="81"/>
      <c r="AD191" s="81"/>
      <c r="AE191" s="81"/>
      <c r="AF191" s="81"/>
      <c r="AG191" s="81"/>
      <c r="AH191" s="81"/>
      <c r="AI191" s="81"/>
      <c r="AJ191" s="81"/>
      <c r="AK191" s="81"/>
      <c r="AL191" s="81"/>
      <c r="AM191" s="81"/>
      <c r="AN191" s="81"/>
      <c r="AO191" s="81"/>
    </row>
    <row r="192" spans="1:51" customFormat="1">
      <c r="B192" s="61" t="s">
        <v>32</v>
      </c>
      <c r="U192" s="2"/>
      <c r="V192" s="2"/>
      <c r="W192" s="2"/>
      <c r="X192" s="2"/>
      <c r="Y192" s="2"/>
      <c r="Z192" s="112"/>
      <c r="AA192" s="112"/>
      <c r="AB192" s="112"/>
      <c r="AC192" s="112"/>
      <c r="AD192" s="112"/>
      <c r="AE192" s="112"/>
      <c r="AF192" s="112"/>
      <c r="AG192" s="112">
        <f t="shared" ref="AG192:AN192" si="301">+AG189/SUM(AG189:AG190)</f>
        <v>0.98533724340175954</v>
      </c>
      <c r="AH192" s="112">
        <f t="shared" si="301"/>
        <v>0.98421052631578942</v>
      </c>
      <c r="AI192" s="112">
        <f t="shared" si="301"/>
        <v>0.9829136690647482</v>
      </c>
      <c r="AJ192" s="112">
        <f t="shared" si="301"/>
        <v>0.98294434470377012</v>
      </c>
      <c r="AK192" s="112">
        <f t="shared" si="301"/>
        <v>0.98292902066486965</v>
      </c>
      <c r="AL192" s="112">
        <f t="shared" si="301"/>
        <v>0.98408710217755435</v>
      </c>
      <c r="AM192" s="112">
        <f t="shared" si="301"/>
        <v>0.98588410104011881</v>
      </c>
      <c r="AN192" s="112">
        <f t="shared" si="301"/>
        <v>0.98621190130624092</v>
      </c>
      <c r="AO192" s="112">
        <f t="shared" ref="AO192" si="302">+AO189/SUM(AO189:AO190)</f>
        <v>0.98528329654157465</v>
      </c>
      <c r="AP192" s="2">
        <f t="shared" ref="AP192:AP193" si="303">+AO192</f>
        <v>0.98528329654157465</v>
      </c>
      <c r="AQ192" s="2">
        <f t="shared" ref="AQ192:AQ193" si="304">+AP192</f>
        <v>0.98528329654157465</v>
      </c>
      <c r="AR192" s="2">
        <f t="shared" ref="AR192:AR193" si="305">+AQ192</f>
        <v>0.98528329654157465</v>
      </c>
      <c r="AS192" s="2">
        <f t="shared" ref="AS192:AS193" si="306">+AR192</f>
        <v>0.98528329654157465</v>
      </c>
      <c r="AT192" s="2">
        <f t="shared" ref="AT192:AT193" si="307">+AS192</f>
        <v>0.98528329654157465</v>
      </c>
      <c r="AU192" s="2">
        <f t="shared" ref="AU192:AU193" si="308">+AT192</f>
        <v>0.98528329654157465</v>
      </c>
      <c r="AV192" s="2">
        <f t="shared" ref="AV192:AV193" si="309">+AU192</f>
        <v>0.98528329654157465</v>
      </c>
      <c r="AW192" s="2">
        <f t="shared" ref="AW192:AW193" si="310">+AV192</f>
        <v>0.98528329654157465</v>
      </c>
      <c r="AX192" s="2">
        <f t="shared" ref="AX192:AX193" si="311">+AW192</f>
        <v>0.98528329654157465</v>
      </c>
      <c r="AY192" s="2">
        <f t="shared" ref="AY192:AY193" si="312">+AX192</f>
        <v>0.98528329654157465</v>
      </c>
    </row>
    <row r="193" spans="2:51" customFormat="1">
      <c r="B193" s="61" t="s">
        <v>33</v>
      </c>
      <c r="U193" s="2"/>
      <c r="V193" s="2"/>
      <c r="W193" s="2"/>
      <c r="X193" s="2"/>
      <c r="Y193" s="2"/>
      <c r="Z193" s="112"/>
      <c r="AA193" s="112"/>
      <c r="AB193" s="112"/>
      <c r="AC193" s="112"/>
      <c r="AD193" s="112"/>
      <c r="AE193" s="112"/>
      <c r="AF193" s="112"/>
      <c r="AG193" s="112">
        <f t="shared" ref="AG193:AN193" si="313">+AG190/SUM(AG189:AG190)</f>
        <v>1.4662756598240468E-2</v>
      </c>
      <c r="AH193" s="112">
        <f t="shared" si="313"/>
        <v>1.5789473684210527E-2</v>
      </c>
      <c r="AI193" s="112">
        <f t="shared" si="313"/>
        <v>1.7086330935251796E-2</v>
      </c>
      <c r="AJ193" s="112">
        <f t="shared" si="313"/>
        <v>1.7055655296229801E-2</v>
      </c>
      <c r="AK193" s="112">
        <f t="shared" si="313"/>
        <v>1.7070979335130278E-2</v>
      </c>
      <c r="AL193" s="112">
        <f t="shared" si="313"/>
        <v>1.5912897822445558E-2</v>
      </c>
      <c r="AM193" s="112">
        <f t="shared" si="313"/>
        <v>1.4115898959881129E-2</v>
      </c>
      <c r="AN193" s="112">
        <f t="shared" si="313"/>
        <v>1.378809869375907E-2</v>
      </c>
      <c r="AO193" s="112">
        <f t="shared" ref="AO193" si="314">+AO190/SUM(AO189:AO190)</f>
        <v>1.4716703458425313E-2</v>
      </c>
      <c r="AP193" s="2">
        <f t="shared" si="303"/>
        <v>1.4716703458425313E-2</v>
      </c>
      <c r="AQ193" s="2">
        <f t="shared" si="304"/>
        <v>1.4716703458425313E-2</v>
      </c>
      <c r="AR193" s="2">
        <f t="shared" si="305"/>
        <v>1.4716703458425313E-2</v>
      </c>
      <c r="AS193" s="2">
        <f t="shared" si="306"/>
        <v>1.4716703458425313E-2</v>
      </c>
      <c r="AT193" s="2">
        <f t="shared" si="307"/>
        <v>1.4716703458425313E-2</v>
      </c>
      <c r="AU193" s="2">
        <f t="shared" si="308"/>
        <v>1.4716703458425313E-2</v>
      </c>
      <c r="AV193" s="2">
        <f t="shared" si="309"/>
        <v>1.4716703458425313E-2</v>
      </c>
      <c r="AW193" s="2">
        <f t="shared" si="310"/>
        <v>1.4716703458425313E-2</v>
      </c>
      <c r="AX193" s="2">
        <f t="shared" si="311"/>
        <v>1.4716703458425313E-2</v>
      </c>
      <c r="AY193" s="2">
        <f t="shared" si="312"/>
        <v>1.4716703458425313E-2</v>
      </c>
    </row>
    <row r="194" spans="2:51" customFormat="1">
      <c r="B194" s="61"/>
      <c r="U194" s="6"/>
      <c r="V194" s="6"/>
      <c r="W194" s="6"/>
      <c r="X194" s="6"/>
      <c r="Y194" s="6"/>
      <c r="Z194" s="81"/>
      <c r="AA194" s="81"/>
      <c r="AB194" s="81"/>
      <c r="AC194" s="81"/>
      <c r="AD194" s="81"/>
      <c r="AE194" s="81"/>
      <c r="AF194" s="81"/>
      <c r="AG194" s="81"/>
      <c r="AH194" s="81"/>
      <c r="AI194" s="81"/>
      <c r="AJ194" s="81"/>
      <c r="AK194" s="81"/>
      <c r="AL194" s="81"/>
      <c r="AM194" s="81"/>
      <c r="AN194" s="81"/>
      <c r="AO194" s="81"/>
    </row>
    <row r="195" spans="2:51" customFormat="1">
      <c r="B195" s="61" t="s">
        <v>46</v>
      </c>
      <c r="U195" s="6"/>
      <c r="V195" s="6"/>
      <c r="W195" s="6"/>
      <c r="X195" s="6"/>
      <c r="Y195" s="40"/>
      <c r="Z195" s="299"/>
      <c r="AA195" s="40"/>
      <c r="AB195" s="40"/>
      <c r="AC195" s="40"/>
      <c r="AD195" s="40"/>
      <c r="AE195" s="40"/>
      <c r="AF195" s="40"/>
      <c r="AG195" s="40"/>
      <c r="AH195" s="40"/>
      <c r="AI195" s="40"/>
      <c r="AJ195" s="40"/>
      <c r="AK195" s="299">
        <v>2.9694300885395579</v>
      </c>
      <c r="AL195" s="40">
        <f>+AK198</f>
        <v>2.6944300885395585</v>
      </c>
      <c r="AM195" s="40">
        <f>+AL198</f>
        <v>2.8472300885395581</v>
      </c>
      <c r="AN195" s="40">
        <f>+AM198</f>
        <v>2.9822300885395583</v>
      </c>
      <c r="AO195" s="40">
        <f>+AN198</f>
        <v>2.8252300885395583</v>
      </c>
      <c r="AP195" s="6">
        <f t="shared" ref="AP195" si="315">+AO198</f>
        <v>2.7392300885395584</v>
      </c>
      <c r="AQ195" s="6">
        <f t="shared" ref="AQ195" ca="1" si="316">+AP198</f>
        <v>2.8742700531237348</v>
      </c>
      <c r="AR195" s="6">
        <f t="shared" ref="AR195" ca="1" si="317">+AQ198</f>
        <v>2.9786779398742409</v>
      </c>
      <c r="AS195" s="6">
        <f t="shared" ref="AS195" ca="1" si="318">+AR198</f>
        <v>3.0638967582685441</v>
      </c>
      <c r="AT195" s="6">
        <f t="shared" ref="AT195" ca="1" si="319">+AS198</f>
        <v>3.1367317792089739</v>
      </c>
      <c r="AU195" s="6">
        <f t="shared" ref="AU195" ca="1" si="320">+AT198</f>
        <v>3.2012070913611974</v>
      </c>
      <c r="AV195" s="6">
        <f t="shared" ref="AV195" ca="1" si="321">+AU198</f>
        <v>3.2596797990100685</v>
      </c>
      <c r="AW195" s="6">
        <f t="shared" ref="AW195" ca="1" si="322">+AV198</f>
        <v>3.3135088012180982</v>
      </c>
      <c r="AX195" s="6">
        <f t="shared" ref="AX195" ca="1" si="323">+AW198</f>
        <v>3.3634563145264726</v>
      </c>
      <c r="AY195" s="6">
        <f t="shared" ref="AY195" ca="1" si="324">+AX198</f>
        <v>3.4099290349170444</v>
      </c>
    </row>
    <row r="196" spans="2:51" customFormat="1">
      <c r="B196" s="61" t="s">
        <v>29</v>
      </c>
      <c r="U196" s="19"/>
      <c r="V196" s="19"/>
      <c r="W196" s="19"/>
      <c r="X196" s="19"/>
      <c r="Y196" s="19"/>
      <c r="Z196" s="19"/>
      <c r="AA196" s="19"/>
      <c r="AB196" s="19"/>
      <c r="AC196" s="19"/>
      <c r="AD196" s="19"/>
      <c r="AE196" s="19"/>
      <c r="AF196" s="19"/>
      <c r="AG196" s="19"/>
      <c r="AH196" s="19"/>
      <c r="AI196" s="19"/>
      <c r="AJ196" s="19"/>
      <c r="AK196" s="19">
        <v>1.4575</v>
      </c>
      <c r="AL196" s="81">
        <f>+AL204</f>
        <v>2.2999999999999998</v>
      </c>
      <c r="AM196" s="81">
        <f>+AM204</f>
        <v>2.3290000000000002</v>
      </c>
      <c r="AN196" s="81">
        <f>+AN204</f>
        <v>2.085</v>
      </c>
      <c r="AO196" s="81">
        <f>+AO204</f>
        <v>2.0110000000000001</v>
      </c>
      <c r="AP196" s="6">
        <f t="shared" ref="AP196:AY196" ca="1" si="325">+AP204</f>
        <v>2.0512200000000003</v>
      </c>
      <c r="AQ196" s="6">
        <f t="shared" ca="1" si="325"/>
        <v>2.09019318</v>
      </c>
      <c r="AR196" s="6">
        <f t="shared" ca="1" si="325"/>
        <v>2.1278166572399999</v>
      </c>
      <c r="AS196" s="6">
        <f t="shared" ca="1" si="325"/>
        <v>2.1639895404130796</v>
      </c>
      <c r="AT196" s="6">
        <f t="shared" ca="1" si="325"/>
        <v>2.1986133730596888</v>
      </c>
      <c r="AU196" s="6">
        <f t="shared" ca="1" si="325"/>
        <v>2.2315925736555839</v>
      </c>
      <c r="AV196" s="6">
        <f t="shared" ca="1" si="325"/>
        <v>2.262834869686762</v>
      </c>
      <c r="AW196" s="6">
        <f t="shared" ca="1" si="325"/>
        <v>2.2922517229926895</v>
      </c>
      <c r="AX196" s="6">
        <f t="shared" ca="1" si="325"/>
        <v>2.319758743668602</v>
      </c>
      <c r="AY196" s="6">
        <f t="shared" ca="1" si="325"/>
        <v>2.3452760898489564</v>
      </c>
    </row>
    <row r="197" spans="2:51" customFormat="1">
      <c r="B197" s="61" t="s">
        <v>45</v>
      </c>
      <c r="H197" s="40"/>
      <c r="I197" s="40"/>
      <c r="J197" s="40"/>
      <c r="K197" s="40">
        <f>+SUM(AJ197:AM197)</f>
        <v>-6.0737000000000005</v>
      </c>
      <c r="L197" s="40">
        <f ca="1">+SUM(AN197:AQ197)</f>
        <v>-8.2409653286653182</v>
      </c>
      <c r="M197" s="40">
        <f ca="1">+SUM(AR197:AU197)</f>
        <v>-8.4410102852325242</v>
      </c>
      <c r="N197" s="40">
        <f ca="1">+SUM(AV197:AY197)</f>
        <v>-9.0266781503474771</v>
      </c>
      <c r="U197" s="19"/>
      <c r="V197" s="19"/>
      <c r="W197" s="19"/>
      <c r="X197" s="19"/>
      <c r="Y197" s="19"/>
      <c r="Z197" s="19"/>
      <c r="AA197" s="19"/>
      <c r="AB197" s="19"/>
      <c r="AC197" s="19"/>
      <c r="AD197" s="19"/>
      <c r="AE197" s="19"/>
      <c r="AF197" s="19"/>
      <c r="AG197" s="19"/>
      <c r="AH197" s="19"/>
      <c r="AI197" s="19"/>
      <c r="AJ197" s="19"/>
      <c r="AK197" s="19">
        <v>-1.7324999999999999</v>
      </c>
      <c r="AL197" s="146">
        <f>-(AL218-AL212)</f>
        <v>-2.1472000000000002</v>
      </c>
      <c r="AM197" s="146">
        <f>-(AM218-AM212)</f>
        <v>-2.194</v>
      </c>
      <c r="AN197" s="146">
        <f>-(AN218-AN212)</f>
        <v>-2.242</v>
      </c>
      <c r="AO197" s="146">
        <f>-(AO218-AO212)</f>
        <v>-2.097</v>
      </c>
      <c r="AP197" s="6">
        <f t="shared" ref="AP197:AY197" ca="1" si="326">-AP199*SUM(AP195:AP196)</f>
        <v>-1.9161800354158236</v>
      </c>
      <c r="AQ197" s="6">
        <f t="shared" ca="1" si="326"/>
        <v>-1.9857852932494939</v>
      </c>
      <c r="AR197" s="6">
        <f t="shared" ca="1" si="326"/>
        <v>-2.0425978388456962</v>
      </c>
      <c r="AS197" s="6">
        <f t="shared" ca="1" si="326"/>
        <v>-2.0911545194726493</v>
      </c>
      <c r="AT197" s="6">
        <f t="shared" ca="1" si="326"/>
        <v>-2.1341380609074654</v>
      </c>
      <c r="AU197" s="6">
        <f t="shared" ca="1" si="326"/>
        <v>-2.1731198660067128</v>
      </c>
      <c r="AV197" s="6">
        <f t="shared" ca="1" si="326"/>
        <v>-2.2090058674787323</v>
      </c>
      <c r="AW197" s="6">
        <f t="shared" ca="1" si="326"/>
        <v>-2.2423042096843151</v>
      </c>
      <c r="AX197" s="6">
        <f t="shared" ca="1" si="326"/>
        <v>-2.2732860232780299</v>
      </c>
      <c r="AY197" s="6">
        <f t="shared" ca="1" si="326"/>
        <v>-2.3020820499064003</v>
      </c>
    </row>
    <row r="198" spans="2:51" customFormat="1">
      <c r="B198" s="61" t="s">
        <v>47</v>
      </c>
      <c r="U198" s="6"/>
      <c r="V198" s="6"/>
      <c r="W198" s="6"/>
      <c r="X198" s="6"/>
      <c r="Y198" s="6"/>
      <c r="Z198" s="81"/>
      <c r="AA198" s="81"/>
      <c r="AB198" s="81"/>
      <c r="AC198" s="81"/>
      <c r="AD198" s="81"/>
      <c r="AE198" s="81"/>
      <c r="AF198" s="81"/>
      <c r="AG198" s="81"/>
      <c r="AH198" s="81"/>
      <c r="AI198" s="81"/>
      <c r="AJ198" s="81"/>
      <c r="AK198" s="81">
        <f t="shared" ref="AK198:AY198" si="327">SUM(AK195:AK197)</f>
        <v>2.6944300885395585</v>
      </c>
      <c r="AL198" s="81">
        <f>SUM(AL195:AL197)</f>
        <v>2.8472300885395581</v>
      </c>
      <c r="AM198" s="81">
        <f>SUM(AM195:AM197)</f>
        <v>2.9822300885395583</v>
      </c>
      <c r="AN198" s="81">
        <f>SUM(AN195:AN197)</f>
        <v>2.8252300885395583</v>
      </c>
      <c r="AO198" s="81">
        <f>SUM(AO195:AO197)</f>
        <v>2.7392300885395584</v>
      </c>
      <c r="AP198" s="6">
        <f t="shared" ca="1" si="327"/>
        <v>2.8742700531237348</v>
      </c>
      <c r="AQ198" s="6">
        <f t="shared" ca="1" si="327"/>
        <v>2.9786779398742409</v>
      </c>
      <c r="AR198" s="6">
        <f t="shared" ca="1" si="327"/>
        <v>3.0638967582685441</v>
      </c>
      <c r="AS198" s="6">
        <f t="shared" ca="1" si="327"/>
        <v>3.1367317792089739</v>
      </c>
      <c r="AT198" s="6">
        <f t="shared" ca="1" si="327"/>
        <v>3.2012070913611974</v>
      </c>
      <c r="AU198" s="6">
        <f t="shared" ca="1" si="327"/>
        <v>3.2596797990100685</v>
      </c>
      <c r="AV198" s="6">
        <f t="shared" ca="1" si="327"/>
        <v>3.3135088012180982</v>
      </c>
      <c r="AW198" s="6">
        <f t="shared" ca="1" si="327"/>
        <v>3.3634563145264726</v>
      </c>
      <c r="AX198" s="6">
        <f t="shared" ca="1" si="327"/>
        <v>3.4099290349170444</v>
      </c>
      <c r="AY198" s="6">
        <f t="shared" ca="1" si="327"/>
        <v>3.4531230748596</v>
      </c>
    </row>
    <row r="199" spans="2:51" customFormat="1">
      <c r="B199" s="295" t="s">
        <v>48</v>
      </c>
      <c r="U199" s="6"/>
      <c r="V199" s="6"/>
      <c r="W199" s="6"/>
      <c r="X199" s="6"/>
      <c r="Y199" s="6"/>
      <c r="Z199" s="113"/>
      <c r="AA199" s="113"/>
      <c r="AB199" s="113"/>
      <c r="AC199" s="113"/>
      <c r="AD199" s="113"/>
      <c r="AE199" s="113"/>
      <c r="AF199" s="113"/>
      <c r="AG199" s="113"/>
      <c r="AH199" s="113"/>
      <c r="AI199" s="113"/>
      <c r="AJ199" s="113"/>
      <c r="AK199" s="113">
        <f t="shared" ref="AK199:AL199" si="328">-AK197/(AK195+AK196)</f>
        <v>0.39135472332962695</v>
      </c>
      <c r="AL199" s="113">
        <f t="shared" si="328"/>
        <v>0.42991892206621551</v>
      </c>
      <c r="AM199" s="113">
        <f t="shared" ref="AM199:AN199" si="329">-AM197/(AM195+AM196)</f>
        <v>0.42386060172588341</v>
      </c>
      <c r="AN199" s="113">
        <f t="shared" si="329"/>
        <v>0.44245079872545784</v>
      </c>
      <c r="AO199" s="113">
        <f t="shared" ref="AO199" si="330">-AO197/(AO195+AO196)</f>
        <v>0.43360219873931821</v>
      </c>
      <c r="AP199" s="29">
        <f ca="1">+OFFSET(AP199,Valuation!$C$5,0)</f>
        <v>0.4</v>
      </c>
      <c r="AQ199" s="29">
        <f ca="1">+OFFSET(AQ199,Valuation!$C$5,0)</f>
        <v>0.4</v>
      </c>
      <c r="AR199" s="29">
        <f ca="1">+OFFSET(AR199,Valuation!$C$5,0)</f>
        <v>0.4</v>
      </c>
      <c r="AS199" s="29">
        <f ca="1">+OFFSET(AS199,Valuation!$C$5,0)</f>
        <v>0.4</v>
      </c>
      <c r="AT199" s="29">
        <f ca="1">+OFFSET(AT199,Valuation!$C$5,0)</f>
        <v>0.4</v>
      </c>
      <c r="AU199" s="29">
        <f ca="1">+OFFSET(AU199,Valuation!$C$5,0)</f>
        <v>0.4</v>
      </c>
      <c r="AV199" s="29">
        <f ca="1">+OFFSET(AV199,Valuation!$C$5,0)</f>
        <v>0.4</v>
      </c>
      <c r="AW199" s="29">
        <f ca="1">+OFFSET(AW199,Valuation!$C$5,0)</f>
        <v>0.4</v>
      </c>
      <c r="AX199" s="29">
        <f ca="1">+OFFSET(AX199,Valuation!$C$5,0)</f>
        <v>0.4</v>
      </c>
      <c r="AY199" s="29">
        <f ca="1">+OFFSET(AY199,Valuation!$C$5,0)</f>
        <v>0.4</v>
      </c>
    </row>
    <row r="200" spans="2:51" s="11" customFormat="1">
      <c r="B200" s="296" t="s">
        <v>26</v>
      </c>
      <c r="U200" s="12"/>
      <c r="V200" s="12"/>
      <c r="W200" s="12"/>
      <c r="X200" s="12"/>
      <c r="Y200" s="12"/>
      <c r="Z200" s="79"/>
      <c r="AA200" s="79"/>
      <c r="AB200" s="79"/>
      <c r="AC200" s="79"/>
      <c r="AD200" s="79"/>
      <c r="AE200" s="79"/>
      <c r="AF200" s="79"/>
      <c r="AG200" s="79"/>
      <c r="AH200" s="79"/>
      <c r="AI200" s="79"/>
      <c r="AJ200" s="79"/>
      <c r="AK200" s="79"/>
      <c r="AL200" s="79"/>
      <c r="AM200" s="79"/>
      <c r="AN200" s="79"/>
      <c r="AO200" s="79"/>
      <c r="AP200" s="30">
        <f t="shared" ref="AP200:AY200" si="331">+AP201+0.025</f>
        <v>0.42500000000000004</v>
      </c>
      <c r="AQ200" s="30">
        <f t="shared" si="331"/>
        <v>0.42500000000000004</v>
      </c>
      <c r="AR200" s="30">
        <f t="shared" si="331"/>
        <v>0.42500000000000004</v>
      </c>
      <c r="AS200" s="30">
        <f t="shared" si="331"/>
        <v>0.42500000000000004</v>
      </c>
      <c r="AT200" s="30">
        <f t="shared" si="331"/>
        <v>0.42500000000000004</v>
      </c>
      <c r="AU200" s="30">
        <f t="shared" si="331"/>
        <v>0.42500000000000004</v>
      </c>
      <c r="AV200" s="30">
        <f t="shared" si="331"/>
        <v>0.42500000000000004</v>
      </c>
      <c r="AW200" s="30">
        <f t="shared" si="331"/>
        <v>0.42500000000000004</v>
      </c>
      <c r="AX200" s="30">
        <f t="shared" si="331"/>
        <v>0.42500000000000004</v>
      </c>
      <c r="AY200" s="30">
        <f t="shared" si="331"/>
        <v>0.42500000000000004</v>
      </c>
    </row>
    <row r="201" spans="2:51" s="11" customFormat="1">
      <c r="B201" s="296" t="s">
        <v>27</v>
      </c>
      <c r="U201" s="12"/>
      <c r="V201" s="12"/>
      <c r="W201" s="12"/>
      <c r="X201" s="12"/>
      <c r="Y201" s="12"/>
      <c r="Z201" s="79"/>
      <c r="AA201" s="79"/>
      <c r="AB201" s="79"/>
      <c r="AC201" s="79"/>
      <c r="AD201" s="30"/>
      <c r="AE201" s="30"/>
      <c r="AF201" s="30"/>
      <c r="AG201" s="30"/>
      <c r="AH201" s="30"/>
      <c r="AI201" s="30"/>
      <c r="AJ201" s="30"/>
      <c r="AK201" s="79"/>
      <c r="AL201" s="30">
        <f t="shared" ref="AL201:AO201" si="332">+AVERAGE(AI199:AL199)</f>
        <v>0.41063682269792123</v>
      </c>
      <c r="AM201" s="30">
        <f t="shared" si="332"/>
        <v>0.41504474904057531</v>
      </c>
      <c r="AN201" s="30">
        <f t="shared" si="332"/>
        <v>0.42189626146179593</v>
      </c>
      <c r="AO201" s="30">
        <f t="shared" si="332"/>
        <v>0.4324581303142187</v>
      </c>
      <c r="AP201" s="31">
        <v>0.4</v>
      </c>
      <c r="AQ201" s="31">
        <v>0.4</v>
      </c>
      <c r="AR201" s="31">
        <v>0.4</v>
      </c>
      <c r="AS201" s="31">
        <v>0.4</v>
      </c>
      <c r="AT201" s="31">
        <v>0.4</v>
      </c>
      <c r="AU201" s="31">
        <v>0.4</v>
      </c>
      <c r="AV201" s="31">
        <v>0.4</v>
      </c>
      <c r="AW201" s="31">
        <v>0.4</v>
      </c>
      <c r="AX201" s="31">
        <v>0.4</v>
      </c>
      <c r="AY201" s="31">
        <v>0.4</v>
      </c>
    </row>
    <row r="202" spans="2:51" s="11" customFormat="1">
      <c r="B202" s="296" t="s">
        <v>28</v>
      </c>
      <c r="U202" s="12"/>
      <c r="V202" s="12"/>
      <c r="W202" s="12"/>
      <c r="X202" s="12"/>
      <c r="Y202" s="12"/>
      <c r="Z202" s="79"/>
      <c r="AA202" s="79"/>
      <c r="AB202" s="79"/>
      <c r="AC202" s="79"/>
      <c r="AD202" s="79"/>
      <c r="AE202" s="79"/>
      <c r="AF202" s="79"/>
      <c r="AG202" s="79"/>
      <c r="AH202" s="79"/>
      <c r="AI202" s="79"/>
      <c r="AJ202" s="79"/>
      <c r="AK202" s="79"/>
      <c r="AL202" s="79"/>
      <c r="AM202" s="79"/>
      <c r="AN202" s="79"/>
      <c r="AO202" s="79"/>
      <c r="AP202" s="30">
        <f t="shared" ref="AP202:AY202" si="333">+AP201-0.025</f>
        <v>0.375</v>
      </c>
      <c r="AQ202" s="30">
        <f t="shared" si="333"/>
        <v>0.375</v>
      </c>
      <c r="AR202" s="30">
        <f t="shared" si="333"/>
        <v>0.375</v>
      </c>
      <c r="AS202" s="30">
        <f t="shared" si="333"/>
        <v>0.375</v>
      </c>
      <c r="AT202" s="30">
        <f t="shared" si="333"/>
        <v>0.375</v>
      </c>
      <c r="AU202" s="30">
        <f t="shared" si="333"/>
        <v>0.375</v>
      </c>
      <c r="AV202" s="30">
        <f t="shared" si="333"/>
        <v>0.375</v>
      </c>
      <c r="AW202" s="30">
        <f t="shared" si="333"/>
        <v>0.375</v>
      </c>
      <c r="AX202" s="30">
        <f t="shared" si="333"/>
        <v>0.375</v>
      </c>
      <c r="AY202" s="30">
        <f t="shared" si="333"/>
        <v>0.375</v>
      </c>
    </row>
    <row r="203" spans="2:51" customFormat="1">
      <c r="B203" s="61"/>
      <c r="U203" s="6"/>
      <c r="V203" s="6"/>
      <c r="W203" s="6"/>
      <c r="X203" s="6"/>
      <c r="Y203" s="6"/>
      <c r="Z203" s="81"/>
      <c r="AA203" s="81"/>
      <c r="AB203" s="81"/>
      <c r="AC203" s="81"/>
      <c r="AD203" s="81"/>
      <c r="AE203" s="81"/>
      <c r="AF203" s="81"/>
      <c r="AG203" s="81"/>
      <c r="AH203" s="81"/>
      <c r="AI203" s="81"/>
      <c r="AJ203" s="81"/>
      <c r="AK203" s="81"/>
      <c r="AL203" s="81"/>
      <c r="AM203" s="81"/>
      <c r="AN203" s="81"/>
      <c r="AO203" s="81"/>
      <c r="AP203" s="35"/>
      <c r="AQ203" s="35"/>
      <c r="AR203" s="35"/>
      <c r="AS203" s="35"/>
      <c r="AT203" s="35"/>
      <c r="AU203" s="35"/>
      <c r="AV203" s="35"/>
      <c r="AW203" s="35"/>
      <c r="AX203" s="35"/>
      <c r="AY203" s="35"/>
    </row>
    <row r="204" spans="2:51" customFormat="1">
      <c r="B204" s="61" t="s">
        <v>29</v>
      </c>
      <c r="H204" s="40"/>
      <c r="I204" s="40"/>
      <c r="J204" s="40"/>
      <c r="K204" s="40">
        <f>+SUM(AJ204:AM204)</f>
        <v>6.0865</v>
      </c>
      <c r="L204" s="40">
        <f ca="1">+SUM(AN204:AQ204)</f>
        <v>8.2374131800000008</v>
      </c>
      <c r="M204" s="40">
        <f ca="1">+SUM(AR204:AU204)</f>
        <v>8.7220121443683514</v>
      </c>
      <c r="N204" s="40">
        <f ca="1">+SUM(AV204:AY204)</f>
        <v>9.2201214261970108</v>
      </c>
      <c r="U204" s="19"/>
      <c r="V204" s="19"/>
      <c r="W204" s="19"/>
      <c r="X204" s="19"/>
      <c r="Y204" s="18"/>
      <c r="Z204" s="18"/>
      <c r="AA204" s="18"/>
      <c r="AB204" s="18"/>
      <c r="AC204" s="18"/>
      <c r="AD204" s="18"/>
      <c r="AE204" s="18"/>
      <c r="AF204" s="18"/>
      <c r="AG204" s="18"/>
      <c r="AH204" s="18"/>
      <c r="AI204" s="18"/>
      <c r="AJ204" s="18"/>
      <c r="AK204" s="6">
        <f>+AK196</f>
        <v>1.4575</v>
      </c>
      <c r="AL204" s="110">
        <v>2.2999999999999998</v>
      </c>
      <c r="AM204" s="110">
        <v>2.3290000000000002</v>
      </c>
      <c r="AN204" s="110">
        <v>2.085</v>
      </c>
      <c r="AO204" s="110">
        <v>2.0110000000000001</v>
      </c>
      <c r="AP204" s="6">
        <f t="shared" ref="AP204" ca="1" si="334">+AO204*(1+AP207)</f>
        <v>2.0512200000000003</v>
      </c>
      <c r="AQ204" s="6">
        <f t="shared" ref="AQ204" ca="1" si="335">+AP204*(1+AQ207)</f>
        <v>2.09019318</v>
      </c>
      <c r="AR204" s="6">
        <f t="shared" ref="AR204" ca="1" si="336">+AQ204*(1+AR207)</f>
        <v>2.1278166572399999</v>
      </c>
      <c r="AS204" s="6">
        <f t="shared" ref="AS204" ca="1" si="337">+AR204*(1+AS207)</f>
        <v>2.1639895404130796</v>
      </c>
      <c r="AT204" s="6">
        <f t="shared" ref="AT204" ca="1" si="338">+AS204*(1+AT207)</f>
        <v>2.1986133730596888</v>
      </c>
      <c r="AU204" s="6">
        <f t="shared" ref="AU204" ca="1" si="339">+AT204*(1+AU207)</f>
        <v>2.2315925736555839</v>
      </c>
      <c r="AV204" s="6">
        <f t="shared" ref="AV204" ca="1" si="340">+AU204*(1+AV207)</f>
        <v>2.262834869686762</v>
      </c>
      <c r="AW204" s="6">
        <f t="shared" ref="AW204" ca="1" si="341">+AV204*(1+AW207)</f>
        <v>2.2922517229926895</v>
      </c>
      <c r="AX204" s="6">
        <f t="shared" ref="AX204" ca="1" si="342">+AW204*(1+AX207)</f>
        <v>2.319758743668602</v>
      </c>
      <c r="AY204" s="6">
        <f t="shared" ref="AY204" ca="1" si="343">+AX204*(1+AY207)</f>
        <v>2.3452760898489564</v>
      </c>
    </row>
    <row r="205" spans="2:51" customFormat="1">
      <c r="B205" s="61" t="s">
        <v>389</v>
      </c>
      <c r="H205" s="40"/>
      <c r="I205" s="40"/>
      <c r="J205" s="40"/>
      <c r="K205" s="40"/>
      <c r="L205" s="40"/>
      <c r="M205" s="40"/>
      <c r="N205" s="40"/>
      <c r="U205" s="19"/>
      <c r="V205" s="19"/>
      <c r="W205" s="19"/>
      <c r="X205" s="19"/>
      <c r="Y205" s="18"/>
      <c r="Z205" s="18"/>
      <c r="AA205" s="18"/>
      <c r="AB205" s="18"/>
      <c r="AC205" s="18"/>
      <c r="AD205" s="18"/>
      <c r="AE205" s="18"/>
      <c r="AF205" s="18"/>
      <c r="AG205" s="18"/>
      <c r="AH205" s="18"/>
      <c r="AI205" s="18"/>
      <c r="AJ205" s="18"/>
      <c r="AK205" s="18"/>
      <c r="AL205" s="18">
        <f t="shared" ref="AL205:AO205" si="344">+AVERAGE(AH204:AK204)</f>
        <v>1.4575</v>
      </c>
      <c r="AM205" s="18">
        <f t="shared" si="344"/>
        <v>1.8787499999999999</v>
      </c>
      <c r="AN205" s="18">
        <f t="shared" si="344"/>
        <v>2.0288333333333335</v>
      </c>
      <c r="AO205" s="18">
        <f t="shared" si="344"/>
        <v>2.042875</v>
      </c>
      <c r="AP205" s="18">
        <f t="shared" ref="AP205" si="345">+AVERAGE(AL204:AO204)</f>
        <v>2.1812499999999999</v>
      </c>
      <c r="AQ205" s="18">
        <f t="shared" ref="AQ205" ca="1" si="346">+AVERAGE(AM204:AP204)</f>
        <v>2.1190549999999999</v>
      </c>
      <c r="AR205" s="18">
        <f t="shared" ref="AR205" ca="1" si="347">+AVERAGE(AN204:AQ204)</f>
        <v>2.0593532950000002</v>
      </c>
      <c r="AS205" s="18">
        <f t="shared" ref="AS205" ca="1" si="348">+AVERAGE(AO204:AR204)</f>
        <v>2.0700574593100001</v>
      </c>
      <c r="AT205" s="18">
        <f t="shared" ref="AT205" ca="1" si="349">+AVERAGE(AP204:AS204)</f>
        <v>2.1083048444132704</v>
      </c>
      <c r="AU205" s="18">
        <f t="shared" ref="AU205" ca="1" si="350">+AVERAGE(AQ204:AT204)</f>
        <v>2.1451531876781922</v>
      </c>
      <c r="AV205" s="18">
        <f t="shared" ref="AV205" ca="1" si="351">+AVERAGE(AR204:AU204)</f>
        <v>2.1805030360920878</v>
      </c>
      <c r="AW205" s="18">
        <f t="shared" ref="AW205" ca="1" si="352">+AVERAGE(AS204:AV204)</f>
        <v>2.2142575892037786</v>
      </c>
      <c r="AX205" s="18">
        <f t="shared" ref="AX205" ca="1" si="353">+AVERAGE(AT204:AW204)</f>
        <v>2.246323134848681</v>
      </c>
      <c r="AY205" s="18">
        <f t="shared" ref="AY205" ca="1" si="354">+AVERAGE(AU204:AX204)</f>
        <v>2.2766094775009096</v>
      </c>
    </row>
    <row r="206" spans="2:51" customFormat="1">
      <c r="B206" s="295" t="s">
        <v>36</v>
      </c>
      <c r="U206" s="19"/>
      <c r="V206" s="19"/>
      <c r="W206" s="19"/>
      <c r="X206" s="19"/>
      <c r="Y206" s="23"/>
      <c r="Z206" s="48"/>
      <c r="AA206" s="48"/>
      <c r="AB206" s="48"/>
      <c r="AC206" s="48"/>
      <c r="AD206" s="48"/>
      <c r="AE206" s="48"/>
      <c r="AF206" s="48"/>
      <c r="AG206" s="48"/>
      <c r="AH206" s="48"/>
      <c r="AI206" s="48"/>
      <c r="AJ206" s="48"/>
      <c r="AK206" s="48"/>
      <c r="AL206" s="48"/>
      <c r="AM206" s="48"/>
      <c r="AN206" s="48"/>
      <c r="AO206" s="48"/>
      <c r="AP206" s="23">
        <f t="shared" ref="AP206" ca="1" si="355">+AP204/AL204-1</f>
        <v>-0.10816521739130414</v>
      </c>
      <c r="AQ206" s="23">
        <f t="shared" ref="AQ206" ca="1" si="356">+AQ204/AM204-1</f>
        <v>-0.10253620437956212</v>
      </c>
      <c r="AR206" s="23">
        <f t="shared" ref="AR206" ca="1" si="357">+AR204/AN204-1</f>
        <v>2.0535567021582768E-2</v>
      </c>
      <c r="AS206" s="23">
        <f t="shared" ref="AS206" ca="1" si="358">+AS204/AO204-1</f>
        <v>7.6076350279999705E-2</v>
      </c>
      <c r="AT206" s="23">
        <f t="shared" ref="AT206" ca="1" si="359">+AT204/AP204-1</f>
        <v>7.1856443023999628E-2</v>
      </c>
      <c r="AU206" s="23">
        <f t="shared" ref="AU206" ca="1" si="360">+AU204/AQ204-1</f>
        <v>6.7648959439999601E-2</v>
      </c>
      <c r="AV206" s="23">
        <f t="shared" ref="AV206" ca="1" si="361">+AV204/AR204-1</f>
        <v>6.3453875119999559E-2</v>
      </c>
      <c r="AW206" s="23">
        <f t="shared" ref="AW206" ca="1" si="362">+AW204/AS204-1</f>
        <v>5.9271165679999571E-2</v>
      </c>
      <c r="AX206" s="23">
        <f t="shared" ref="AX206" ca="1" si="363">+AX204/AT204-1</f>
        <v>5.5100806759999843E-2</v>
      </c>
      <c r="AY206" s="23">
        <f t="shared" ref="AY206" ca="1" si="364">+AY204/AU204-1</f>
        <v>5.0942774023999826E-2</v>
      </c>
    </row>
    <row r="207" spans="2:51" customFormat="1">
      <c r="B207" s="295" t="s">
        <v>37</v>
      </c>
      <c r="U207" s="19"/>
      <c r="V207" s="23"/>
      <c r="W207" s="23"/>
      <c r="X207" s="23"/>
      <c r="Y207" s="23"/>
      <c r="Z207" s="48"/>
      <c r="AA207" s="48"/>
      <c r="AB207" s="48"/>
      <c r="AC207" s="48"/>
      <c r="AD207" s="48"/>
      <c r="AE207" s="48"/>
      <c r="AF207" s="48"/>
      <c r="AG207" s="48"/>
      <c r="AH207" s="48"/>
      <c r="AI207" s="48"/>
      <c r="AJ207" s="48"/>
      <c r="AK207" s="48"/>
      <c r="AL207" s="48">
        <f t="shared" ref="AL207:AO207" si="365">+AL204/AK204-1</f>
        <v>0.57804459691252119</v>
      </c>
      <c r="AM207" s="48">
        <f t="shared" si="365"/>
        <v>1.260869565217404E-2</v>
      </c>
      <c r="AN207" s="48">
        <f t="shared" si="365"/>
        <v>-0.10476599398883646</v>
      </c>
      <c r="AO207" s="48">
        <f t="shared" si="365"/>
        <v>-3.5491606714628254E-2</v>
      </c>
      <c r="AP207" s="23">
        <f ca="1">+OFFSET(AP207,Valuation!$C$5,0)</f>
        <v>0.02</v>
      </c>
      <c r="AQ207" s="23">
        <f ca="1">+OFFSET(AQ207,Valuation!$C$5,0)</f>
        <v>1.9E-2</v>
      </c>
      <c r="AR207" s="23">
        <f ca="1">+OFFSET(AR207,Valuation!$C$5,0)</f>
        <v>1.7999999999999999E-2</v>
      </c>
      <c r="AS207" s="23">
        <f ca="1">+OFFSET(AS207,Valuation!$C$5,0)</f>
        <v>1.6999999999999998E-2</v>
      </c>
      <c r="AT207" s="23">
        <f ca="1">+OFFSET(AT207,Valuation!$C$5,0)</f>
        <v>1.5999999999999997E-2</v>
      </c>
      <c r="AU207" s="23">
        <f ca="1">+OFFSET(AU207,Valuation!$C$5,0)</f>
        <v>1.4999999999999996E-2</v>
      </c>
      <c r="AV207" s="23">
        <f ca="1">+OFFSET(AV207,Valuation!$C$5,0)</f>
        <v>1.3999999999999995E-2</v>
      </c>
      <c r="AW207" s="23">
        <f ca="1">+OFFSET(AW207,Valuation!$C$5,0)</f>
        <v>1.2999999999999994E-2</v>
      </c>
      <c r="AX207" s="23">
        <f ca="1">+OFFSET(AX207,Valuation!$C$5,0)</f>
        <v>1.1999999999999993E-2</v>
      </c>
      <c r="AY207" s="23">
        <f ca="1">+OFFSET(AY207,Valuation!$C$5,0)</f>
        <v>1.0999999999999992E-2</v>
      </c>
    </row>
    <row r="208" spans="2:51" s="11" customFormat="1">
      <c r="B208" s="296" t="s">
        <v>26</v>
      </c>
      <c r="U208" s="12"/>
      <c r="V208" s="12"/>
      <c r="W208" s="12"/>
      <c r="X208" s="12"/>
      <c r="Y208" s="12"/>
      <c r="Z208" s="79"/>
      <c r="AA208" s="79"/>
      <c r="AB208" s="79"/>
      <c r="AC208" s="79"/>
      <c r="AD208" s="79"/>
      <c r="AE208" s="79"/>
      <c r="AF208" s="79"/>
      <c r="AG208" s="79"/>
      <c r="AH208" s="79"/>
      <c r="AI208" s="79"/>
      <c r="AJ208" s="79"/>
      <c r="AK208" s="79"/>
      <c r="AL208" s="79"/>
      <c r="AM208" s="79"/>
      <c r="AN208" s="79"/>
      <c r="AO208" s="79"/>
      <c r="AP208" s="30">
        <f t="shared" ref="AP208:AY208" si="366">+AP209+0.005</f>
        <v>2.5000000000000001E-2</v>
      </c>
      <c r="AQ208" s="30">
        <f t="shared" si="366"/>
        <v>2.4E-2</v>
      </c>
      <c r="AR208" s="30">
        <f t="shared" si="366"/>
        <v>2.3E-2</v>
      </c>
      <c r="AS208" s="30">
        <f t="shared" si="366"/>
        <v>2.1999999999999999E-2</v>
      </c>
      <c r="AT208" s="30">
        <f t="shared" si="366"/>
        <v>2.0999999999999998E-2</v>
      </c>
      <c r="AU208" s="30">
        <f t="shared" si="366"/>
        <v>1.9999999999999997E-2</v>
      </c>
      <c r="AV208" s="30">
        <f t="shared" si="366"/>
        <v>1.8999999999999996E-2</v>
      </c>
      <c r="AW208" s="30">
        <f t="shared" si="366"/>
        <v>1.7999999999999995E-2</v>
      </c>
      <c r="AX208" s="30">
        <f t="shared" si="366"/>
        <v>1.6999999999999994E-2</v>
      </c>
      <c r="AY208" s="30">
        <f t="shared" si="366"/>
        <v>1.5999999999999993E-2</v>
      </c>
    </row>
    <row r="209" spans="2:51" s="11" customFormat="1">
      <c r="B209" s="296" t="s">
        <v>27</v>
      </c>
      <c r="U209" s="12"/>
      <c r="V209" s="12"/>
      <c r="W209" s="12"/>
      <c r="X209" s="12"/>
      <c r="Y209" s="12"/>
      <c r="Z209" s="79"/>
      <c r="AA209" s="79"/>
      <c r="AB209" s="79"/>
      <c r="AC209" s="79"/>
      <c r="AD209" s="30"/>
      <c r="AE209" s="30"/>
      <c r="AF209" s="30"/>
      <c r="AG209" s="30"/>
      <c r="AH209" s="30"/>
      <c r="AI209" s="30"/>
      <c r="AJ209" s="30"/>
      <c r="AK209" s="79"/>
      <c r="AL209" s="30">
        <f t="shared" ref="AL209:AO209" si="367">+AVERAGE(AI207:AL207)</f>
        <v>0.57804459691252119</v>
      </c>
      <c r="AM209" s="30">
        <f t="shared" si="367"/>
        <v>0.29532664628234762</v>
      </c>
      <c r="AN209" s="30">
        <f t="shared" si="367"/>
        <v>0.16196243285861958</v>
      </c>
      <c r="AO209" s="30">
        <f t="shared" si="367"/>
        <v>0.11259892296530763</v>
      </c>
      <c r="AP209" s="31">
        <v>0.02</v>
      </c>
      <c r="AQ209" s="31">
        <f t="shared" ref="AQ209" si="368">+AP209-0.001</f>
        <v>1.9E-2</v>
      </c>
      <c r="AR209" s="31">
        <f t="shared" ref="AR209" si="369">+AQ209-0.001</f>
        <v>1.7999999999999999E-2</v>
      </c>
      <c r="AS209" s="31">
        <f t="shared" ref="AS209" si="370">+AR209-0.001</f>
        <v>1.6999999999999998E-2</v>
      </c>
      <c r="AT209" s="31">
        <f t="shared" ref="AT209" si="371">+AS209-0.001</f>
        <v>1.5999999999999997E-2</v>
      </c>
      <c r="AU209" s="31">
        <f t="shared" ref="AU209" si="372">+AT209-0.001</f>
        <v>1.4999999999999996E-2</v>
      </c>
      <c r="AV209" s="31">
        <f t="shared" ref="AV209" si="373">+AU209-0.001</f>
        <v>1.3999999999999995E-2</v>
      </c>
      <c r="AW209" s="31">
        <f t="shared" ref="AW209" si="374">+AV209-0.001</f>
        <v>1.2999999999999994E-2</v>
      </c>
      <c r="AX209" s="31">
        <f t="shared" ref="AX209" si="375">+AW209-0.001</f>
        <v>1.1999999999999993E-2</v>
      </c>
      <c r="AY209" s="31">
        <f t="shared" ref="AY209" si="376">+AX209-0.001</f>
        <v>1.0999999999999992E-2</v>
      </c>
    </row>
    <row r="210" spans="2:51" s="11" customFormat="1">
      <c r="B210" s="296" t="s">
        <v>28</v>
      </c>
      <c r="U210" s="12"/>
      <c r="V210" s="12"/>
      <c r="W210" s="12"/>
      <c r="X210" s="12"/>
      <c r="Y210" s="12"/>
      <c r="Z210" s="79"/>
      <c r="AA210" s="79"/>
      <c r="AB210" s="79"/>
      <c r="AC210" s="79"/>
      <c r="AD210" s="79"/>
      <c r="AE210" s="79"/>
      <c r="AF210" s="79"/>
      <c r="AG210" s="79"/>
      <c r="AH210" s="79"/>
      <c r="AI210" s="79"/>
      <c r="AJ210" s="79"/>
      <c r="AK210" s="79"/>
      <c r="AL210" s="79"/>
      <c r="AM210" s="79"/>
      <c r="AN210" s="79"/>
      <c r="AO210" s="79"/>
      <c r="AP210" s="30">
        <f t="shared" ref="AP210:AY210" si="377">+AP209-0.005</f>
        <v>1.4999999999999999E-2</v>
      </c>
      <c r="AQ210" s="30">
        <f t="shared" si="377"/>
        <v>1.3999999999999999E-2</v>
      </c>
      <c r="AR210" s="30">
        <f t="shared" si="377"/>
        <v>1.2999999999999998E-2</v>
      </c>
      <c r="AS210" s="30">
        <f t="shared" si="377"/>
        <v>1.1999999999999997E-2</v>
      </c>
      <c r="AT210" s="30">
        <f t="shared" si="377"/>
        <v>1.0999999999999996E-2</v>
      </c>
      <c r="AU210" s="30">
        <f t="shared" si="377"/>
        <v>9.999999999999995E-3</v>
      </c>
      <c r="AV210" s="30">
        <f t="shared" si="377"/>
        <v>8.9999999999999941E-3</v>
      </c>
      <c r="AW210" s="30">
        <f t="shared" si="377"/>
        <v>7.9999999999999932E-3</v>
      </c>
      <c r="AX210" s="30">
        <f t="shared" si="377"/>
        <v>6.9999999999999932E-3</v>
      </c>
      <c r="AY210" s="30">
        <f t="shared" si="377"/>
        <v>5.9999999999999923E-3</v>
      </c>
    </row>
    <row r="211" spans="2:51" customFormat="1">
      <c r="B211" s="61"/>
      <c r="U211" s="6"/>
      <c r="V211" s="6"/>
      <c r="W211" s="6"/>
      <c r="X211" s="6"/>
      <c r="Y211" s="6"/>
      <c r="Z211" s="81"/>
      <c r="AA211" s="81"/>
      <c r="AB211" s="81"/>
      <c r="AC211" s="81"/>
      <c r="AD211" s="81"/>
      <c r="AE211" s="81"/>
      <c r="AF211" s="81"/>
      <c r="AG211" s="81"/>
      <c r="AH211" s="81"/>
      <c r="AI211" s="81"/>
      <c r="AJ211" s="81"/>
      <c r="AK211" s="81"/>
      <c r="AL211" s="81"/>
      <c r="AM211" s="81"/>
      <c r="AN211" s="81"/>
      <c r="AO211" s="81"/>
    </row>
    <row r="212" spans="2:51" customFormat="1">
      <c r="B212" s="61" t="s">
        <v>24</v>
      </c>
      <c r="H212" s="40"/>
      <c r="I212" s="40"/>
      <c r="J212" s="40"/>
      <c r="K212" s="40">
        <f>+SUM(AJ212:AM212)</f>
        <v>-5.5082000000000004</v>
      </c>
      <c r="L212" s="40">
        <f ca="1">+SUM(AN212:AQ212)</f>
        <v>-9.3078752960983913</v>
      </c>
      <c r="M212" s="40">
        <f ca="1">+SUM(AR212:AU212)</f>
        <v>-8.7449725111018921</v>
      </c>
      <c r="N212" s="40">
        <f ca="1">+SUM(AV212:AY212)</f>
        <v>-8.9093932980757113</v>
      </c>
      <c r="T212" s="19"/>
      <c r="U212" s="19"/>
      <c r="V212" s="19"/>
      <c r="W212" s="19"/>
      <c r="X212" s="19"/>
      <c r="Y212" s="19"/>
      <c r="Z212" s="19"/>
      <c r="AA212" s="19"/>
      <c r="AB212" s="19"/>
      <c r="AC212" s="19"/>
      <c r="AD212" s="19"/>
      <c r="AE212" s="19"/>
      <c r="AF212" s="19"/>
      <c r="AG212" s="19"/>
      <c r="AH212" s="19"/>
      <c r="AI212" s="19"/>
      <c r="AJ212" s="19"/>
      <c r="AK212" s="19">
        <v>-1.5369999999999999</v>
      </c>
      <c r="AL212" s="299">
        <f>-AL220*0.016</f>
        <v>-1.9472</v>
      </c>
      <c r="AM212" s="19">
        <v>-2.024</v>
      </c>
      <c r="AN212" s="19">
        <v>-2.6930000000000001</v>
      </c>
      <c r="AO212" s="19">
        <v>-2.1459999999999999</v>
      </c>
      <c r="AP212" s="6">
        <f t="shared" ref="AP212:AY212" ca="1" si="378">+AP213*AP184*3</f>
        <v>-2.2494581508041338</v>
      </c>
      <c r="AQ212" s="6">
        <f t="shared" ca="1" si="378"/>
        <v>-2.2194171452942562</v>
      </c>
      <c r="AR212" s="6">
        <f t="shared" ca="1" si="378"/>
        <v>-2.1944668246415069</v>
      </c>
      <c r="AS212" s="6">
        <f t="shared" ca="1" si="378"/>
        <v>-2.1736451408518302</v>
      </c>
      <c r="AT212" s="6">
        <f t="shared" ca="1" si="378"/>
        <v>-2.1829642684192514</v>
      </c>
      <c r="AU212" s="6">
        <f t="shared" ca="1" si="378"/>
        <v>-2.193896277189304</v>
      </c>
      <c r="AV212" s="6">
        <f t="shared" ca="1" si="378"/>
        <v>-2.2061925264622979</v>
      </c>
      <c r="AW212" s="6">
        <f t="shared" ca="1" si="378"/>
        <v>-2.2196553444962177</v>
      </c>
      <c r="AX212" s="6">
        <f t="shared" ca="1" si="378"/>
        <v>-2.2341171964920283</v>
      </c>
      <c r="AY212" s="6">
        <f t="shared" ca="1" si="378"/>
        <v>-2.2494282306251683</v>
      </c>
    </row>
    <row r="213" spans="2:51" s="3" customFormat="1">
      <c r="B213" s="297" t="s">
        <v>30</v>
      </c>
      <c r="U213" s="4"/>
      <c r="V213" s="4"/>
      <c r="W213" s="4"/>
      <c r="X213" s="4"/>
      <c r="Y213" s="4"/>
      <c r="Z213" s="114"/>
      <c r="AA213" s="114"/>
      <c r="AB213" s="114"/>
      <c r="AC213" s="114"/>
      <c r="AD213" s="114"/>
      <c r="AE213" s="114"/>
      <c r="AF213" s="114"/>
      <c r="AG213" s="114"/>
      <c r="AH213" s="114"/>
      <c r="AI213" s="114"/>
      <c r="AJ213" s="114"/>
      <c r="AK213" s="114">
        <f>+AK212/(AK184*3)</f>
        <v>-1.3850070211535715E-2</v>
      </c>
      <c r="AL213" s="114">
        <f>+AL212/(AL184*3)</f>
        <v>-1.6353863381858902E-2</v>
      </c>
      <c r="AM213" s="114">
        <f>+AM212/(AM184*3)</f>
        <v>-1.5068867105099889E-2</v>
      </c>
      <c r="AN213" s="114">
        <f>+AN212/(AN184*3)</f>
        <v>-1.9436792532268345E-2</v>
      </c>
      <c r="AO213" s="114">
        <f>+AO212/(AO184*3)</f>
        <v>-1.5781539178075472E-2</v>
      </c>
      <c r="AP213" s="4">
        <f ca="1">+OFFSET(AP213,Valuation!$C$5,0)</f>
        <v>-1.6560265549325652E-2</v>
      </c>
      <c r="AQ213" s="4">
        <f ca="1">+OFFSET(AQ213,Valuation!$C$5,0)</f>
        <v>-1.6460265549325653E-2</v>
      </c>
      <c r="AR213" s="4">
        <f ca="1">+OFFSET(AR213,Valuation!$C$5,0)</f>
        <v>-1.6360265549325653E-2</v>
      </c>
      <c r="AS213" s="4">
        <f ca="1">+OFFSET(AS213,Valuation!$C$5,0)</f>
        <v>-1.6260265549325654E-2</v>
      </c>
      <c r="AT213" s="4">
        <f ca="1">+OFFSET(AT213,Valuation!$C$5,0)</f>
        <v>-1.6360265549325653E-2</v>
      </c>
      <c r="AU213" s="4">
        <f ca="1">+OFFSET(AU213,Valuation!$C$5,0)</f>
        <v>-1.6460265549325653E-2</v>
      </c>
      <c r="AV213" s="4">
        <f ca="1">+OFFSET(AV213,Valuation!$C$5,0)</f>
        <v>-1.6560265549325652E-2</v>
      </c>
      <c r="AW213" s="4">
        <f ca="1">+OFFSET(AW213,Valuation!$C$5,0)</f>
        <v>-1.6660265549325651E-2</v>
      </c>
      <c r="AX213" s="4">
        <f ca="1">+OFFSET(AX213,Valuation!$C$5,0)</f>
        <v>-1.6760265549325651E-2</v>
      </c>
      <c r="AY213" s="4">
        <f ca="1">+OFFSET(AY213,Valuation!$C$5,0)</f>
        <v>-1.686026554932565E-2</v>
      </c>
    </row>
    <row r="214" spans="2:51" s="11" customFormat="1">
      <c r="B214" s="296" t="s">
        <v>26</v>
      </c>
      <c r="U214" s="12"/>
      <c r="V214" s="12"/>
      <c r="W214" s="12"/>
      <c r="X214" s="12"/>
      <c r="Y214" s="12"/>
      <c r="Z214" s="79"/>
      <c r="AA214" s="79"/>
      <c r="AB214" s="79"/>
      <c r="AC214" s="79"/>
      <c r="AD214" s="79"/>
      <c r="AE214" s="79"/>
      <c r="AF214" s="79"/>
      <c r="AG214" s="79"/>
      <c r="AH214" s="79"/>
      <c r="AI214" s="79"/>
      <c r="AJ214" s="79"/>
      <c r="AK214" s="79"/>
      <c r="AL214" s="79"/>
      <c r="AM214" s="79"/>
      <c r="AN214" s="79"/>
      <c r="AO214" s="79"/>
      <c r="AP214" s="21">
        <f t="shared" ref="AP214:AY214" si="379">+AP215+0.001</f>
        <v>-1.5560265549325651E-2</v>
      </c>
      <c r="AQ214" s="21">
        <f t="shared" si="379"/>
        <v>-1.5460265549325652E-2</v>
      </c>
      <c r="AR214" s="21">
        <f t="shared" si="379"/>
        <v>-1.5360265549325652E-2</v>
      </c>
      <c r="AS214" s="21">
        <f t="shared" si="379"/>
        <v>-1.5260265549325653E-2</v>
      </c>
      <c r="AT214" s="21">
        <f t="shared" si="379"/>
        <v>-1.5360265549325652E-2</v>
      </c>
      <c r="AU214" s="21">
        <f t="shared" si="379"/>
        <v>-1.5460265549325652E-2</v>
      </c>
      <c r="AV214" s="21">
        <f t="shared" si="379"/>
        <v>-1.5560265549325651E-2</v>
      </c>
      <c r="AW214" s="21">
        <f t="shared" si="379"/>
        <v>-1.5660265549325651E-2</v>
      </c>
      <c r="AX214" s="21">
        <f t="shared" si="379"/>
        <v>-1.576026554932565E-2</v>
      </c>
      <c r="AY214" s="21">
        <f t="shared" si="379"/>
        <v>-1.5860265549325649E-2</v>
      </c>
    </row>
    <row r="215" spans="2:51" s="11" customFormat="1">
      <c r="B215" s="296" t="s">
        <v>27</v>
      </c>
      <c r="U215" s="12"/>
      <c r="V215" s="12"/>
      <c r="W215" s="12"/>
      <c r="X215" s="12"/>
      <c r="Y215" s="12"/>
      <c r="Z215" s="79"/>
      <c r="AA215" s="79"/>
      <c r="AB215" s="79"/>
      <c r="AC215" s="79"/>
      <c r="AD215" s="21"/>
      <c r="AE215" s="21"/>
      <c r="AF215" s="21"/>
      <c r="AG215" s="21"/>
      <c r="AH215" s="21"/>
      <c r="AI215" s="21"/>
      <c r="AJ215" s="21"/>
      <c r="AK215" s="79"/>
      <c r="AL215" s="21">
        <f t="shared" ref="AL215:AO215" si="380">+AVERAGE(AI213:AL213)</f>
        <v>-1.5101966796697308E-2</v>
      </c>
      <c r="AM215" s="21">
        <f t="shared" si="380"/>
        <v>-1.5090933566164836E-2</v>
      </c>
      <c r="AN215" s="21">
        <f t="shared" si="380"/>
        <v>-1.6177398307690712E-2</v>
      </c>
      <c r="AO215" s="21">
        <f t="shared" si="380"/>
        <v>-1.6660265549325651E-2</v>
      </c>
      <c r="AP215" s="333">
        <f>+AO215+0.0001</f>
        <v>-1.6560265549325652E-2</v>
      </c>
      <c r="AQ215" s="333">
        <f t="shared" ref="AQ215:AS215" si="381">+AP215+0.0001</f>
        <v>-1.6460265549325653E-2</v>
      </c>
      <c r="AR215" s="333">
        <f t="shared" si="381"/>
        <v>-1.6360265549325653E-2</v>
      </c>
      <c r="AS215" s="333">
        <f t="shared" si="381"/>
        <v>-1.6260265549325654E-2</v>
      </c>
      <c r="AT215" s="28">
        <f t="shared" ref="AT215" si="382">+AS215-0.0001</f>
        <v>-1.6360265549325653E-2</v>
      </c>
      <c r="AU215" s="28">
        <f t="shared" ref="AU215" si="383">+AT215-0.0001</f>
        <v>-1.6460265549325653E-2</v>
      </c>
      <c r="AV215" s="28">
        <f t="shared" ref="AV215" si="384">+AU215-0.0001</f>
        <v>-1.6560265549325652E-2</v>
      </c>
      <c r="AW215" s="28">
        <f t="shared" ref="AW215" si="385">+AV215-0.0001</f>
        <v>-1.6660265549325651E-2</v>
      </c>
      <c r="AX215" s="28">
        <f t="shared" ref="AX215" si="386">+AW215-0.0001</f>
        <v>-1.6760265549325651E-2</v>
      </c>
      <c r="AY215" s="28">
        <f t="shared" ref="AY215" si="387">+AX215-0.0001</f>
        <v>-1.686026554932565E-2</v>
      </c>
    </row>
    <row r="216" spans="2:51" s="11" customFormat="1">
      <c r="B216" s="296" t="s">
        <v>28</v>
      </c>
      <c r="U216" s="12"/>
      <c r="V216" s="12"/>
      <c r="W216" s="12"/>
      <c r="X216" s="12"/>
      <c r="Y216" s="12"/>
      <c r="Z216" s="79"/>
      <c r="AA216" s="79"/>
      <c r="AB216" s="79"/>
      <c r="AC216" s="79"/>
      <c r="AD216" s="79"/>
      <c r="AE216" s="79"/>
      <c r="AF216" s="79"/>
      <c r="AG216" s="79"/>
      <c r="AH216" s="79"/>
      <c r="AI216" s="79"/>
      <c r="AJ216" s="79"/>
      <c r="AK216" s="79"/>
      <c r="AL216" s="79"/>
      <c r="AM216" s="79"/>
      <c r="AN216" s="79"/>
      <c r="AO216" s="79"/>
      <c r="AP216" s="21">
        <f t="shared" ref="AP216:AY216" si="388">+AP215-0.001</f>
        <v>-1.7560265549325653E-2</v>
      </c>
      <c r="AQ216" s="21">
        <f t="shared" si="388"/>
        <v>-1.7460265549325654E-2</v>
      </c>
      <c r="AR216" s="21">
        <f t="shared" si="388"/>
        <v>-1.7360265549325654E-2</v>
      </c>
      <c r="AS216" s="21">
        <f t="shared" si="388"/>
        <v>-1.7260265549325655E-2</v>
      </c>
      <c r="AT216" s="21">
        <f t="shared" si="388"/>
        <v>-1.7360265549325654E-2</v>
      </c>
      <c r="AU216" s="21">
        <f t="shared" si="388"/>
        <v>-1.7460265549325654E-2</v>
      </c>
      <c r="AV216" s="21">
        <f t="shared" si="388"/>
        <v>-1.7560265549325653E-2</v>
      </c>
      <c r="AW216" s="21">
        <f t="shared" si="388"/>
        <v>-1.7660265549325652E-2</v>
      </c>
      <c r="AX216" s="21">
        <f t="shared" si="388"/>
        <v>-1.7760265549325652E-2</v>
      </c>
      <c r="AY216" s="21">
        <f t="shared" si="388"/>
        <v>-1.7860265549325651E-2</v>
      </c>
    </row>
    <row r="217" spans="2:51" s="3" customFormat="1">
      <c r="B217" s="297"/>
      <c r="U217" s="4"/>
      <c r="V217" s="4"/>
      <c r="W217" s="4"/>
      <c r="X217" s="4"/>
      <c r="Y217" s="4"/>
      <c r="Z217" s="114"/>
      <c r="AA217" s="114"/>
      <c r="AB217" s="114"/>
      <c r="AC217" s="114"/>
      <c r="AD217" s="114"/>
      <c r="AE217" s="114"/>
      <c r="AF217" s="114"/>
      <c r="AG217" s="114"/>
      <c r="AH217" s="114"/>
      <c r="AI217" s="114"/>
      <c r="AJ217" s="114"/>
      <c r="AK217" s="114"/>
      <c r="AL217" s="114"/>
      <c r="AM217" s="114"/>
      <c r="AN217" s="114"/>
      <c r="AO217" s="114"/>
    </row>
    <row r="218" spans="2:51" customFormat="1">
      <c r="B218" s="61" t="s">
        <v>25</v>
      </c>
      <c r="H218" s="40"/>
      <c r="I218" s="40"/>
      <c r="J218" s="40"/>
      <c r="K218" s="40">
        <f>+SUM(AJ218:AM218)</f>
        <v>0.5655</v>
      </c>
      <c r="L218" s="40">
        <f ca="1">+SUM(AN218:AQ218)</f>
        <v>-1.0669099674330724</v>
      </c>
      <c r="M218" s="40">
        <f ca="1">+SUM(AR218:AU218)</f>
        <v>-0.30396222586936883</v>
      </c>
      <c r="N218" s="40">
        <f ca="1">+SUM(AV218:AY218)</f>
        <v>0.11728485227176533</v>
      </c>
      <c r="U218" s="6"/>
      <c r="V218" s="6"/>
      <c r="W218" s="6"/>
      <c r="X218" s="6"/>
      <c r="Y218" s="6"/>
      <c r="Z218" s="81"/>
      <c r="AA218" s="81"/>
      <c r="AB218" s="81"/>
      <c r="AC218" s="81"/>
      <c r="AD218" s="81"/>
      <c r="AE218" s="81"/>
      <c r="AF218" s="81"/>
      <c r="AG218" s="81"/>
      <c r="AH218" s="81"/>
      <c r="AI218" s="81"/>
      <c r="AJ218" s="81"/>
      <c r="AK218" s="81">
        <f>-AK197+AK212</f>
        <v>0.19550000000000001</v>
      </c>
      <c r="AL218" s="110">
        <v>0.2</v>
      </c>
      <c r="AM218" s="110">
        <v>0.17</v>
      </c>
      <c r="AN218" s="110">
        <v>-0.45100000000000001</v>
      </c>
      <c r="AO218" s="110">
        <v>-4.9000000000000002E-2</v>
      </c>
      <c r="AP218" s="6">
        <f t="shared" ref="AP218:AY218" ca="1" si="389">-AP197+AP212</f>
        <v>-0.3332781153883102</v>
      </c>
      <c r="AQ218" s="6">
        <f t="shared" ca="1" si="389"/>
        <v>-0.23363185204476222</v>
      </c>
      <c r="AR218" s="6">
        <f t="shared" ca="1" si="389"/>
        <v>-0.15186898579581065</v>
      </c>
      <c r="AS218" s="6">
        <f t="shared" ca="1" si="389"/>
        <v>-8.2490621379180951E-2</v>
      </c>
      <c r="AT218" s="6">
        <f t="shared" ca="1" si="389"/>
        <v>-4.8826207511786013E-2</v>
      </c>
      <c r="AU218" s="6">
        <f t="shared" ca="1" si="389"/>
        <v>-2.0776411182591215E-2</v>
      </c>
      <c r="AV218" s="6">
        <f t="shared" ca="1" si="389"/>
        <v>2.8133410164343786E-3</v>
      </c>
      <c r="AW218" s="6">
        <f t="shared" ca="1" si="389"/>
        <v>2.2648865188097389E-2</v>
      </c>
      <c r="AX218" s="6">
        <f t="shared" ca="1" si="389"/>
        <v>3.9168826786001532E-2</v>
      </c>
      <c r="AY218" s="6">
        <f t="shared" ca="1" si="389"/>
        <v>5.2653819281232028E-2</v>
      </c>
    </row>
    <row r="219" spans="2:51" customFormat="1">
      <c r="B219" s="61"/>
      <c r="Z219" s="15"/>
      <c r="AA219" s="15"/>
      <c r="AB219" s="15"/>
      <c r="AC219" s="15"/>
      <c r="AD219" s="15"/>
      <c r="AE219" s="15"/>
      <c r="AF219" s="15"/>
      <c r="AG219" s="15"/>
      <c r="AH219" s="15"/>
      <c r="AI219" s="15"/>
      <c r="AJ219" s="15"/>
      <c r="AK219" s="80"/>
      <c r="AL219" s="80"/>
      <c r="AM219" s="80"/>
      <c r="AN219" s="80"/>
      <c r="AO219" s="80"/>
      <c r="AP219" s="40"/>
      <c r="AQ219" s="40"/>
      <c r="AR219" s="40"/>
      <c r="AS219" s="40"/>
      <c r="AT219" s="40"/>
      <c r="AU219" s="40"/>
      <c r="AV219" s="40"/>
      <c r="AW219" s="40"/>
      <c r="AX219" s="40"/>
      <c r="AY219" s="40"/>
    </row>
    <row r="220" spans="2:51" customFormat="1">
      <c r="B220" s="61" t="s">
        <v>31</v>
      </c>
      <c r="F220" s="19"/>
      <c r="G220" s="6"/>
      <c r="H220" s="40"/>
      <c r="I220" s="40"/>
      <c r="J220" s="40"/>
      <c r="K220" s="40">
        <f>+SUM(AJ220:AM220)</f>
        <v>487.4</v>
      </c>
      <c r="L220" s="40">
        <f ca="1">+SUM(AN220:AQ220)</f>
        <v>558.32464904144661</v>
      </c>
      <c r="M220" s="40">
        <f ca="1">+SUM(AR220:AU220)</f>
        <v>544.0209001247149</v>
      </c>
      <c r="N220" s="40">
        <f ca="1">+SUM(AV220:AY220)</f>
        <v>543.36239484145835</v>
      </c>
      <c r="T220" s="19"/>
      <c r="U220" s="19"/>
      <c r="V220" s="19"/>
      <c r="W220" s="19"/>
      <c r="X220" s="19"/>
      <c r="Y220" s="19"/>
      <c r="Z220" s="19"/>
      <c r="AA220" s="19"/>
      <c r="AB220" s="19"/>
      <c r="AC220" s="19"/>
      <c r="AD220" s="19"/>
      <c r="AE220" s="19"/>
      <c r="AF220" s="19"/>
      <c r="AG220" s="19">
        <v>69.900000000000006</v>
      </c>
      <c r="AH220" s="19">
        <v>105.3</v>
      </c>
      <c r="AI220" s="19">
        <v>115.2</v>
      </c>
      <c r="AJ220" s="19">
        <v>114.4</v>
      </c>
      <c r="AK220" s="19">
        <v>114.7</v>
      </c>
      <c r="AL220" s="19">
        <v>121.7</v>
      </c>
      <c r="AM220" s="19">
        <v>136.6</v>
      </c>
      <c r="AN220" s="19">
        <v>137.69999999999999</v>
      </c>
      <c r="AO220" s="19">
        <v>145.9</v>
      </c>
      <c r="AP220" s="6">
        <f t="shared" ref="AP220:AY220" ca="1" si="390">+SUM(AP223:AP224)</f>
        <v>137.77920314101951</v>
      </c>
      <c r="AQ220" s="6">
        <f t="shared" ca="1" si="390"/>
        <v>136.94544590042713</v>
      </c>
      <c r="AR220" s="6">
        <f t="shared" ca="1" si="390"/>
        <v>136.38082178804112</v>
      </c>
      <c r="AS220" s="6">
        <f t="shared" ca="1" si="390"/>
        <v>136.04084543801477</v>
      </c>
      <c r="AT220" s="6">
        <f t="shared" ca="1" si="390"/>
        <v>135.84948093032287</v>
      </c>
      <c r="AU220" s="6">
        <f t="shared" ca="1" si="390"/>
        <v>135.74975196833617</v>
      </c>
      <c r="AV220" s="6">
        <f t="shared" ca="1" si="390"/>
        <v>135.72673898845346</v>
      </c>
      <c r="AW220" s="6">
        <f t="shared" ca="1" si="390"/>
        <v>135.76823821845551</v>
      </c>
      <c r="AX220" s="6">
        <f t="shared" ca="1" si="390"/>
        <v>135.86371808334965</v>
      </c>
      <c r="AY220" s="6">
        <f t="shared" ca="1" si="390"/>
        <v>136.0036995511997</v>
      </c>
    </row>
    <row r="221" spans="2:51" customFormat="1">
      <c r="B221" s="295" t="s">
        <v>36</v>
      </c>
      <c r="G221" s="23"/>
      <c r="H221" s="23"/>
      <c r="I221" s="23"/>
      <c r="J221" s="23"/>
      <c r="K221" s="23"/>
      <c r="L221" s="23">
        <f ca="1">+L220/K220-1</f>
        <v>0.14551630907149504</v>
      </c>
      <c r="M221" s="23">
        <f ca="1">+M220/L220-1</f>
        <v>-2.5619053253853163E-2</v>
      </c>
      <c r="N221" s="23">
        <f ca="1">+N220/M220-1</f>
        <v>-1.2104411486867361E-3</v>
      </c>
      <c r="U221" s="19"/>
      <c r="V221" s="19"/>
      <c r="W221" s="19"/>
      <c r="X221" s="23"/>
      <c r="Y221" s="23"/>
      <c r="Z221" s="48"/>
      <c r="AA221" s="48"/>
      <c r="AB221" s="48"/>
      <c r="AC221" s="48"/>
      <c r="AD221" s="48"/>
      <c r="AE221" s="48"/>
      <c r="AF221" s="48"/>
      <c r="AG221" s="48"/>
      <c r="AH221" s="48"/>
      <c r="AI221" s="48"/>
      <c r="AJ221" s="48"/>
      <c r="AK221" s="48"/>
      <c r="AL221" s="48"/>
      <c r="AM221" s="48"/>
      <c r="AN221" s="48"/>
      <c r="AO221" s="48"/>
      <c r="AP221" s="23">
        <f t="shared" ref="AP221" ca="1" si="391">+AP220/AL220-1</f>
        <v>0.13212163632719398</v>
      </c>
      <c r="AQ221" s="23">
        <f t="shared" ref="AQ221" ca="1" si="392">+AQ220/AM220-1</f>
        <v>2.5288865331416499E-3</v>
      </c>
      <c r="AR221" s="23">
        <f t="shared" ref="AR221" ca="1" si="393">+AR220/AN220-1</f>
        <v>-9.5800886852496214E-3</v>
      </c>
      <c r="AS221" s="23">
        <f t="shared" ref="AS221" ca="1" si="394">+AS220/AO220-1</f>
        <v>-6.7574739972482756E-2</v>
      </c>
      <c r="AT221" s="23">
        <f t="shared" ref="AT221" ca="1" si="395">+AT220/AP220-1</f>
        <v>-1.4005903407073195E-2</v>
      </c>
      <c r="AU221" s="23">
        <f t="shared" ref="AU221" ca="1" si="396">+AU220/AQ220-1</f>
        <v>-8.7311697313421366E-3</v>
      </c>
      <c r="AV221" s="23">
        <f t="shared" ref="AV221" ca="1" si="397">+AV220/AR220-1</f>
        <v>-4.7960027737933286E-3</v>
      </c>
      <c r="AW221" s="23">
        <f t="shared" ref="AW221" ca="1" si="398">+AW220/AS220-1</f>
        <v>-2.0038630212972919E-3</v>
      </c>
      <c r="AX221" s="23">
        <f t="shared" ref="AX221" ca="1" si="399">+AX220/AT220-1</f>
        <v>1.0480093798870271E-4</v>
      </c>
      <c r="AY221" s="23">
        <f t="shared" ref="AY221" ca="1" si="400">+AY220/AU220-1</f>
        <v>1.8707038442529189E-3</v>
      </c>
    </row>
    <row r="222" spans="2:51" customFormat="1">
      <c r="B222" s="295" t="s">
        <v>37</v>
      </c>
      <c r="U222" s="23"/>
      <c r="V222" s="23"/>
      <c r="W222" s="23"/>
      <c r="X222" s="23"/>
      <c r="Y222" s="23"/>
      <c r="Z222" s="48"/>
      <c r="AA222" s="48"/>
      <c r="AB222" s="48"/>
      <c r="AC222" s="48"/>
      <c r="AD222" s="48"/>
      <c r="AE222" s="48"/>
      <c r="AF222" s="48"/>
      <c r="AG222" s="48"/>
      <c r="AH222" s="48"/>
      <c r="AI222" s="48"/>
      <c r="AJ222" s="48"/>
      <c r="AK222" s="48">
        <f t="shared" ref="AK222:AO222" si="401">+AK220/AJ220-1</f>
        <v>2.6223776223774919E-3</v>
      </c>
      <c r="AL222" s="48">
        <f t="shared" si="401"/>
        <v>6.1028770706190061E-2</v>
      </c>
      <c r="AM222" s="48">
        <f t="shared" si="401"/>
        <v>0.12243221035332774</v>
      </c>
      <c r="AN222" s="48">
        <f t="shared" si="401"/>
        <v>8.052708638360162E-3</v>
      </c>
      <c r="AO222" s="48">
        <f t="shared" si="401"/>
        <v>5.9549745824255762E-2</v>
      </c>
      <c r="AP222" s="23">
        <f t="shared" ref="AP222" ca="1" si="402">+AP220/AO220-1</f>
        <v>-5.5660019595479726E-2</v>
      </c>
      <c r="AQ222" s="23">
        <f t="shared" ref="AQ222" ca="1" si="403">+AQ220/AP220-1</f>
        <v>-6.0514012389737415E-3</v>
      </c>
      <c r="AR222" s="23">
        <f t="shared" ref="AR222" ca="1" si="404">+AR220/AQ220-1</f>
        <v>-4.1229856799805953E-3</v>
      </c>
      <c r="AS222" s="23">
        <f t="shared" ref="AS222" ca="1" si="405">+AS220/AR220-1</f>
        <v>-2.4928457357056288E-3</v>
      </c>
      <c r="AT222" s="23">
        <f t="shared" ref="AT222" ca="1" si="406">+AT220/AS220-1</f>
        <v>-1.4066694975010119E-3</v>
      </c>
      <c r="AU222" s="23">
        <f t="shared" ref="AU222" ca="1" si="407">+AU220/AT220-1</f>
        <v>-7.3411367716491593E-4</v>
      </c>
      <c r="AV222" s="23">
        <f t="shared" ref="AV222" ca="1" si="408">+AV220/AU220-1</f>
        <v>-1.6952502342748588E-4</v>
      </c>
      <c r="AW222" s="23">
        <f t="shared" ref="AW222" ca="1" si="409">+AW220/AV220-1</f>
        <v>3.0575574357216695E-4</v>
      </c>
      <c r="AX222" s="23">
        <f t="shared" ref="AX222" ca="1" si="410">+AX220/AW220-1</f>
        <v>7.0325627073763997E-4</v>
      </c>
      <c r="AY222" s="23">
        <f t="shared" ref="AY222" ca="1" si="411">+AY220/AX220-1</f>
        <v>1.0303079425824091E-3</v>
      </c>
    </row>
    <row r="223" spans="2:51" customFormat="1">
      <c r="B223" s="61" t="s">
        <v>35</v>
      </c>
      <c r="H223" s="40"/>
      <c r="I223" s="40"/>
      <c r="J223" s="40"/>
      <c r="K223" s="40">
        <f>+SUM(AJ223:AM223)</f>
        <v>477.1</v>
      </c>
      <c r="L223" s="40">
        <f ca="1">+SUM(AN223:AQ223)</f>
        <v>543.42464904144663</v>
      </c>
      <c r="M223" s="40">
        <f ca="1">+SUM(AR223:AU223)</f>
        <v>534.0209001247149</v>
      </c>
      <c r="N223" s="40">
        <f ca="1">+SUM(AV223:AY223)</f>
        <v>533.36239484145835</v>
      </c>
      <c r="U223" s="18"/>
      <c r="V223" s="18"/>
      <c r="W223" s="18"/>
      <c r="X223" s="18"/>
      <c r="Y223" s="18"/>
      <c r="Z223" s="111"/>
      <c r="AA223" s="111"/>
      <c r="AB223" s="111"/>
      <c r="AC223" s="111"/>
      <c r="AD223" s="111"/>
      <c r="AE223" s="111"/>
      <c r="AF223" s="111"/>
      <c r="AG223" s="111"/>
      <c r="AH223" s="111"/>
      <c r="AI223" s="111"/>
      <c r="AJ223" s="111">
        <f>+SUM(AJ189:AJ190)</f>
        <v>111.4</v>
      </c>
      <c r="AK223" s="116">
        <f>+AK220-AK224</f>
        <v>111.7</v>
      </c>
      <c r="AL223" s="111">
        <f>+SUM(AL189:AL190)</f>
        <v>119.4</v>
      </c>
      <c r="AM223" s="111">
        <f>+SUM(AM189:AM190)</f>
        <v>134.6</v>
      </c>
      <c r="AN223" s="111">
        <f>+SUM(AN189:AN190)</f>
        <v>137.80000000000001</v>
      </c>
      <c r="AO223" s="111">
        <f>+SUM(AO189:AO190)</f>
        <v>135.9</v>
      </c>
      <c r="AP223" s="6">
        <f t="shared" ref="AP223:AY223" ca="1" si="412">+AP187</f>
        <v>135.27920314101951</v>
      </c>
      <c r="AQ223" s="6">
        <f t="shared" ca="1" si="412"/>
        <v>134.44544590042713</v>
      </c>
      <c r="AR223" s="6">
        <f t="shared" ca="1" si="412"/>
        <v>133.88082178804112</v>
      </c>
      <c r="AS223" s="6">
        <f t="shared" ca="1" si="412"/>
        <v>133.54084543801477</v>
      </c>
      <c r="AT223" s="6">
        <f t="shared" ca="1" si="412"/>
        <v>133.34948093032287</v>
      </c>
      <c r="AU223" s="6">
        <f t="shared" ca="1" si="412"/>
        <v>133.24975196833617</v>
      </c>
      <c r="AV223" s="6">
        <f t="shared" ca="1" si="412"/>
        <v>133.22673898845346</v>
      </c>
      <c r="AW223" s="6">
        <f t="shared" ca="1" si="412"/>
        <v>133.26823821845551</v>
      </c>
      <c r="AX223" s="6">
        <f t="shared" ca="1" si="412"/>
        <v>133.36371808334965</v>
      </c>
      <c r="AY223" s="6">
        <f t="shared" ca="1" si="412"/>
        <v>133.5036995511997</v>
      </c>
    </row>
    <row r="224" spans="2:51" customFormat="1">
      <c r="B224" s="61" t="s">
        <v>34</v>
      </c>
      <c r="H224" s="40"/>
      <c r="I224" s="40"/>
      <c r="J224" s="40"/>
      <c r="K224" s="40">
        <f>+SUM(AJ224:AM224)</f>
        <v>10.299999999999997</v>
      </c>
      <c r="L224" s="40">
        <f>+SUM(AN224:AQ224)</f>
        <v>14.899999999999977</v>
      </c>
      <c r="M224" s="40">
        <f>+SUM(AR224:AU224)</f>
        <v>10</v>
      </c>
      <c r="N224" s="40">
        <f>+SUM(AV224:AY224)</f>
        <v>10</v>
      </c>
      <c r="U224" s="6"/>
      <c r="V224" s="6"/>
      <c r="W224" s="6"/>
      <c r="X224" s="6"/>
      <c r="Y224" s="6"/>
      <c r="Z224" s="81"/>
      <c r="AA224" s="81"/>
      <c r="AB224" s="81"/>
      <c r="AC224" s="81"/>
      <c r="AD224" s="81"/>
      <c r="AE224" s="81"/>
      <c r="AF224" s="81"/>
      <c r="AG224" s="81"/>
      <c r="AH224" s="81"/>
      <c r="AI224" s="81"/>
      <c r="AJ224" s="81">
        <f>+AJ220-SUM(AJ189,AJ190)</f>
        <v>3</v>
      </c>
      <c r="AK224" s="116">
        <v>3</v>
      </c>
      <c r="AL224" s="81">
        <f>+AL220-SUM(AL189,AL190)</f>
        <v>2.2999999999999972</v>
      </c>
      <c r="AM224" s="81">
        <f>+AM220-SUM(AM189,AM190)</f>
        <v>2</v>
      </c>
      <c r="AN224" s="81">
        <f>+AN220-SUM(AN189,AN190)</f>
        <v>-0.10000000000002274</v>
      </c>
      <c r="AO224" s="81">
        <f>+AO220-SUM(AO189,AO190)</f>
        <v>10</v>
      </c>
      <c r="AP224" s="19">
        <v>2.5</v>
      </c>
      <c r="AQ224" s="19">
        <f t="shared" ref="AQ224" si="413">+AP224</f>
        <v>2.5</v>
      </c>
      <c r="AR224" s="19">
        <f t="shared" ref="AR224" si="414">+AQ224</f>
        <v>2.5</v>
      </c>
      <c r="AS224" s="19">
        <f t="shared" ref="AS224" si="415">+AR224</f>
        <v>2.5</v>
      </c>
      <c r="AT224" s="19">
        <f t="shared" ref="AT224" si="416">+AS224</f>
        <v>2.5</v>
      </c>
      <c r="AU224" s="19">
        <f t="shared" ref="AU224" si="417">+AT224</f>
        <v>2.5</v>
      </c>
      <c r="AV224" s="19">
        <f t="shared" ref="AV224" si="418">+AU224</f>
        <v>2.5</v>
      </c>
      <c r="AW224" s="19">
        <f t="shared" ref="AW224" si="419">+AV224</f>
        <v>2.5</v>
      </c>
      <c r="AX224" s="19">
        <f t="shared" ref="AX224" si="420">+AW224</f>
        <v>2.5</v>
      </c>
      <c r="AY224" s="19">
        <f t="shared" ref="AY224" si="421">+AX224</f>
        <v>2.5</v>
      </c>
    </row>
    <row r="225" spans="1:51" customFormat="1">
      <c r="B225" s="61"/>
      <c r="U225" s="6"/>
      <c r="V225" s="6"/>
      <c r="W225" s="6"/>
      <c r="X225" s="6"/>
      <c r="Y225" s="6"/>
      <c r="Z225" s="81"/>
      <c r="AA225" s="81"/>
      <c r="AB225" s="81"/>
      <c r="AC225" s="81"/>
      <c r="AD225" s="19"/>
      <c r="AE225" s="19"/>
      <c r="AF225" s="19"/>
      <c r="AG225" s="19"/>
      <c r="AH225" s="19"/>
      <c r="AI225" s="19"/>
      <c r="AJ225" s="19"/>
      <c r="AK225" s="19"/>
      <c r="AL225" s="19"/>
      <c r="AM225" s="19"/>
      <c r="AN225" s="19"/>
      <c r="AO225" s="19"/>
      <c r="AP225" s="19"/>
      <c r="AQ225" s="19"/>
      <c r="AR225" s="19"/>
      <c r="AS225" s="19"/>
      <c r="AT225" s="19"/>
      <c r="AU225" s="19"/>
      <c r="AV225" s="19"/>
      <c r="AW225" s="19"/>
      <c r="AX225" s="19"/>
      <c r="AY225" s="19"/>
    </row>
    <row r="226" spans="1:51" s="5" customFormat="1">
      <c r="B226" s="298" t="s">
        <v>52</v>
      </c>
      <c r="U226" s="37"/>
      <c r="V226" s="37"/>
      <c r="W226" s="37"/>
      <c r="X226" s="37"/>
      <c r="Y226" s="37"/>
      <c r="Z226" s="96"/>
      <c r="AA226" s="96"/>
      <c r="AB226" s="36"/>
      <c r="AC226" s="36"/>
      <c r="AD226" s="38"/>
      <c r="AE226" s="291"/>
      <c r="AF226" s="291"/>
      <c r="AG226" s="291"/>
      <c r="AH226" s="291"/>
      <c r="AI226" s="291"/>
      <c r="AJ226" s="291"/>
      <c r="AK226" s="291"/>
      <c r="AL226" s="38"/>
      <c r="AM226" s="38"/>
      <c r="AN226" s="38"/>
      <c r="AO226" s="38"/>
      <c r="AP226" s="38"/>
      <c r="AQ226" s="38"/>
      <c r="AR226" s="38"/>
      <c r="AS226" s="38"/>
      <c r="AT226" s="38"/>
      <c r="AU226" s="38"/>
      <c r="AV226" s="38"/>
      <c r="AW226" s="38"/>
      <c r="AX226" s="38"/>
      <c r="AY226" s="38"/>
    </row>
    <row r="227" spans="1:51" s="3" customFormat="1">
      <c r="B227" s="322"/>
      <c r="U227" s="40"/>
      <c r="V227" s="40"/>
      <c r="W227" s="40"/>
      <c r="X227" s="40"/>
      <c r="Y227" s="40"/>
      <c r="Z227" s="115"/>
      <c r="AA227" s="115"/>
      <c r="AB227" s="51"/>
      <c r="AC227" s="51"/>
      <c r="AD227" s="50"/>
      <c r="AE227" s="100"/>
      <c r="AF227" s="100"/>
      <c r="AG227" s="100"/>
      <c r="AH227" s="100"/>
      <c r="AI227" s="100"/>
      <c r="AJ227" s="100"/>
      <c r="AK227" s="100"/>
      <c r="AL227" s="50"/>
      <c r="AM227" s="50"/>
      <c r="AN227" s="50"/>
      <c r="AO227" s="50"/>
      <c r="AP227" s="50"/>
      <c r="AQ227" s="50"/>
      <c r="AR227" s="50"/>
      <c r="AS227" s="50"/>
      <c r="AT227" s="50"/>
      <c r="AU227" s="50"/>
      <c r="AV227" s="50"/>
      <c r="AW227" s="50"/>
      <c r="AX227" s="50"/>
      <c r="AY227" s="50"/>
    </row>
    <row r="228" spans="1:51" s="1" customFormat="1">
      <c r="A228" s="27" t="s">
        <v>40</v>
      </c>
      <c r="B228" s="1" t="s">
        <v>38</v>
      </c>
      <c r="T228" s="33" t="str">
        <f>+T$3</f>
        <v>1Q13</v>
      </c>
      <c r="U228" s="33" t="str">
        <f t="shared" ref="U228:AY228" si="422">+U$3</f>
        <v>2Q13</v>
      </c>
      <c r="V228" s="33" t="str">
        <f t="shared" si="422"/>
        <v>3Q13</v>
      </c>
      <c r="W228" s="33" t="str">
        <f t="shared" si="422"/>
        <v>4Q13</v>
      </c>
      <c r="X228" s="33" t="str">
        <f t="shared" si="422"/>
        <v>1Q14</v>
      </c>
      <c r="Y228" s="33" t="str">
        <f t="shared" si="422"/>
        <v>2Q14</v>
      </c>
      <c r="Z228" s="33" t="str">
        <f t="shared" si="422"/>
        <v>3Q14</v>
      </c>
      <c r="AA228" s="33" t="str">
        <f t="shared" si="422"/>
        <v>4Q14</v>
      </c>
      <c r="AB228" s="33" t="str">
        <f t="shared" si="422"/>
        <v>1Q15</v>
      </c>
      <c r="AC228" s="33" t="str">
        <f t="shared" si="422"/>
        <v>2Q15</v>
      </c>
      <c r="AD228" s="33" t="str">
        <f t="shared" si="422"/>
        <v>3Q15</v>
      </c>
      <c r="AE228" s="33" t="str">
        <f t="shared" si="422"/>
        <v>4Q15</v>
      </c>
      <c r="AF228" s="33" t="str">
        <f t="shared" si="422"/>
        <v>1Q16</v>
      </c>
      <c r="AG228" s="33" t="str">
        <f t="shared" si="422"/>
        <v>2Q16</v>
      </c>
      <c r="AH228" s="33" t="str">
        <f t="shared" si="422"/>
        <v>3Q16</v>
      </c>
      <c r="AI228" s="33" t="str">
        <f t="shared" si="422"/>
        <v>4Q16</v>
      </c>
      <c r="AJ228" s="33" t="str">
        <f t="shared" si="422"/>
        <v>1Q17</v>
      </c>
      <c r="AK228" s="33" t="str">
        <f t="shared" si="422"/>
        <v>2Q17</v>
      </c>
      <c r="AL228" s="33" t="str">
        <f t="shared" si="422"/>
        <v>3Q17</v>
      </c>
      <c r="AM228" s="33" t="str">
        <f t="shared" si="422"/>
        <v>4Q17</v>
      </c>
      <c r="AN228" s="33" t="str">
        <f t="shared" si="422"/>
        <v>1Q18</v>
      </c>
      <c r="AO228" s="33" t="str">
        <f t="shared" si="422"/>
        <v>2Q18</v>
      </c>
      <c r="AP228" s="33" t="str">
        <f t="shared" si="422"/>
        <v>3Q18E</v>
      </c>
      <c r="AQ228" s="33" t="str">
        <f t="shared" si="422"/>
        <v>4Q18E</v>
      </c>
      <c r="AR228" s="33" t="str">
        <f t="shared" si="422"/>
        <v>1Q19E</v>
      </c>
      <c r="AS228" s="33" t="str">
        <f t="shared" si="422"/>
        <v>2Q19E</v>
      </c>
      <c r="AT228" s="33" t="str">
        <f t="shared" si="422"/>
        <v>3Q19E</v>
      </c>
      <c r="AU228" s="33" t="str">
        <f t="shared" si="422"/>
        <v>4Q19E</v>
      </c>
      <c r="AV228" s="33" t="str">
        <f t="shared" si="422"/>
        <v>1Q20E</v>
      </c>
      <c r="AW228" s="33" t="str">
        <f t="shared" si="422"/>
        <v>2Q20E</v>
      </c>
      <c r="AX228" s="33" t="str">
        <f t="shared" si="422"/>
        <v>3Q20E</v>
      </c>
      <c r="AY228" s="33" t="str">
        <f t="shared" si="422"/>
        <v>4Q20E</v>
      </c>
    </row>
    <row r="229" spans="1:51" customFormat="1">
      <c r="Z229" s="15"/>
      <c r="AA229" s="15"/>
      <c r="AB229" s="15"/>
      <c r="AC229" s="15"/>
    </row>
    <row r="230" spans="1:51" customFormat="1">
      <c r="B230" t="s">
        <v>41</v>
      </c>
      <c r="T230" s="19"/>
      <c r="U230" s="19"/>
      <c r="V230" s="19"/>
      <c r="W230" s="19"/>
      <c r="X230" s="19"/>
      <c r="Y230" s="19"/>
      <c r="Z230" s="19"/>
      <c r="AA230" s="19"/>
      <c r="AB230" s="6"/>
      <c r="AC230" s="6"/>
      <c r="AD230" s="6"/>
      <c r="AE230" s="6"/>
      <c r="AF230" s="6"/>
      <c r="AG230" s="6"/>
      <c r="AH230" s="6"/>
      <c r="AI230" s="6"/>
      <c r="AJ230" s="6"/>
      <c r="AK230" s="6"/>
      <c r="AL230" s="6">
        <f t="shared" ref="AL230:AO230" si="423">+AL231/3</f>
        <v>0.64577777777778433</v>
      </c>
      <c r="AM230" s="6">
        <f t="shared" si="423"/>
        <v>0.71944444444445066</v>
      </c>
      <c r="AN230" s="6">
        <f t="shared" si="423"/>
        <v>0.70777777777777162</v>
      </c>
      <c r="AO230" s="6">
        <f t="shared" si="423"/>
        <v>0.6033333333333265</v>
      </c>
      <c r="AP230" s="6">
        <f t="shared" ref="AP230:AY230" si="424">+AO230+AO263+AO271/3</f>
        <v>0.83733333333332616</v>
      </c>
      <c r="AQ230" s="6">
        <f t="shared" si="424"/>
        <v>0.90296474776053104</v>
      </c>
      <c r="AR230" s="6">
        <f t="shared" si="424"/>
        <v>0.9676694468270558</v>
      </c>
      <c r="AS230" s="6">
        <f t="shared" si="424"/>
        <v>1.0169626974145116</v>
      </c>
      <c r="AT230" s="6">
        <f t="shared" si="424"/>
        <v>1.064649764742909</v>
      </c>
      <c r="AU230" s="6">
        <f t="shared" si="424"/>
        <v>1.1107836954017101</v>
      </c>
      <c r="AV230" s="6">
        <f t="shared" si="424"/>
        <v>1.1554160892778012</v>
      </c>
      <c r="AW230" s="6">
        <f t="shared" si="424"/>
        <v>1.1985971382595479</v>
      </c>
      <c r="AX230" s="6">
        <f t="shared" si="424"/>
        <v>1.2403756639424854</v>
      </c>
      <c r="AY230" s="6">
        <f t="shared" si="424"/>
        <v>1.2807991543621371</v>
      </c>
    </row>
    <row r="231" spans="1:51" customFormat="1">
      <c r="B231" t="s">
        <v>42</v>
      </c>
      <c r="U231" s="18"/>
      <c r="V231" s="18"/>
      <c r="W231" s="18"/>
      <c r="X231" s="18"/>
      <c r="Y231" s="18"/>
      <c r="Z231" s="111"/>
      <c r="AA231" s="111"/>
      <c r="AB231" s="18"/>
      <c r="AC231" s="18"/>
      <c r="AD231" s="18"/>
      <c r="AE231" s="18"/>
      <c r="AF231" s="18"/>
      <c r="AG231" s="18"/>
      <c r="AH231" s="18"/>
      <c r="AI231" s="18"/>
      <c r="AJ231" s="18"/>
      <c r="AK231" s="18"/>
      <c r="AL231" s="18">
        <f>+AL233-AL232</f>
        <v>1.9373333333333531</v>
      </c>
      <c r="AM231" s="18">
        <f>+AM233-AM232</f>
        <v>2.1583333333333519</v>
      </c>
      <c r="AN231" s="18">
        <f>+AN233-AN232</f>
        <v>2.1233333333333149</v>
      </c>
      <c r="AO231" s="18">
        <f>+AO233-AO232</f>
        <v>1.8099999999999794</v>
      </c>
      <c r="AP231" s="18">
        <f t="shared" ref="AP231:AY231" si="425">+AP230*3</f>
        <v>2.5119999999999783</v>
      </c>
      <c r="AQ231" s="18">
        <f t="shared" si="425"/>
        <v>2.708894243281593</v>
      </c>
      <c r="AR231" s="18">
        <f t="shared" si="425"/>
        <v>2.9030083404811675</v>
      </c>
      <c r="AS231" s="18">
        <f t="shared" si="425"/>
        <v>3.0508880922435351</v>
      </c>
      <c r="AT231" s="18">
        <f t="shared" si="425"/>
        <v>3.1939492942287266</v>
      </c>
      <c r="AU231" s="18">
        <f t="shared" si="425"/>
        <v>3.3323510862051302</v>
      </c>
      <c r="AV231" s="18">
        <f t="shared" si="425"/>
        <v>3.4662482678334037</v>
      </c>
      <c r="AW231" s="18">
        <f t="shared" si="425"/>
        <v>3.5957914147786436</v>
      </c>
      <c r="AX231" s="18">
        <f t="shared" si="425"/>
        <v>3.7211269918274565</v>
      </c>
      <c r="AY231" s="18">
        <f t="shared" si="425"/>
        <v>3.8423974630864111</v>
      </c>
    </row>
    <row r="232" spans="1:51" customFormat="1">
      <c r="B232" t="s">
        <v>43</v>
      </c>
      <c r="U232" s="18"/>
      <c r="V232" s="18"/>
      <c r="W232" s="18"/>
      <c r="X232" s="18"/>
      <c r="Y232" s="18"/>
      <c r="Z232" s="111"/>
      <c r="AA232" s="111"/>
      <c r="AB232" s="18"/>
      <c r="AC232" s="18"/>
      <c r="AD232" s="18"/>
      <c r="AE232" s="18"/>
      <c r="AF232" s="18"/>
      <c r="AG232" s="18"/>
      <c r="AH232" s="18"/>
      <c r="AI232" s="18"/>
      <c r="AJ232" s="18"/>
      <c r="AK232" s="18"/>
      <c r="AL232" s="18">
        <f>AL263*(5/3)</f>
        <v>0.36266666666666636</v>
      </c>
      <c r="AM232" s="18">
        <f>AM263*(5/3)</f>
        <v>4.1666666666667261E-2</v>
      </c>
      <c r="AN232" s="18">
        <f>AN263*(5/3)</f>
        <v>7.666666666666748E-2</v>
      </c>
      <c r="AO232" s="18">
        <f>AO263*(5/3)</f>
        <v>0.38999999999999946</v>
      </c>
      <c r="AP232" s="18">
        <f t="shared" ref="AP232:AY232" si="426">AP263*(5/3)</f>
        <v>0.10938569071200807</v>
      </c>
      <c r="AQ232" s="18">
        <f t="shared" si="426"/>
        <v>0.10784116511087456</v>
      </c>
      <c r="AR232" s="18">
        <f t="shared" si="426"/>
        <v>8.2155417645759649E-2</v>
      </c>
      <c r="AS232" s="18">
        <f t="shared" si="426"/>
        <v>7.9478445547329052E-2</v>
      </c>
      <c r="AT232" s="18">
        <f t="shared" si="426"/>
        <v>7.6889884431335168E-2</v>
      </c>
      <c r="AU232" s="18">
        <f t="shared" si="426"/>
        <v>7.438732312681863E-2</v>
      </c>
      <c r="AV232" s="18">
        <f t="shared" si="426"/>
        <v>7.1968414969578023E-2</v>
      </c>
      <c r="AW232" s="18">
        <f t="shared" si="426"/>
        <v>6.9630876138229075E-2</v>
      </c>
      <c r="AX232" s="18">
        <f t="shared" si="426"/>
        <v>6.7372484032752811E-2</v>
      </c>
      <c r="AY232" s="18">
        <f t="shared" si="426"/>
        <v>6.5191075694458409E-2</v>
      </c>
    </row>
    <row r="233" spans="1:51" customFormat="1">
      <c r="B233" t="s">
        <v>44</v>
      </c>
      <c r="U233" s="18"/>
      <c r="V233" s="18"/>
      <c r="W233" s="18"/>
      <c r="X233" s="18"/>
      <c r="Y233" s="18"/>
      <c r="Z233" s="111"/>
      <c r="AA233" s="111"/>
      <c r="AB233" s="18"/>
      <c r="AC233" s="18"/>
      <c r="AD233" s="18"/>
      <c r="AE233" s="18"/>
      <c r="AF233" s="18"/>
      <c r="AG233" s="18"/>
      <c r="AH233" s="18"/>
      <c r="AI233" s="18"/>
      <c r="AJ233" s="18"/>
      <c r="AK233" s="18"/>
      <c r="AL233" s="18">
        <f>+SUM(AL235:AL236)</f>
        <v>2.3000000000000194</v>
      </c>
      <c r="AM233" s="18">
        <f>+SUM(AM235:AM236)</f>
        <v>2.2000000000000193</v>
      </c>
      <c r="AN233" s="18">
        <f>+SUM(AN235:AN236)</f>
        <v>2.1999999999999824</v>
      </c>
      <c r="AO233" s="18">
        <f>+SUM(AO235:AO236)</f>
        <v>2.1999999999999789</v>
      </c>
      <c r="AP233" s="18">
        <f t="shared" ref="AP233:AY233" si="427">+AP231+AP232</f>
        <v>2.6213856907119863</v>
      </c>
      <c r="AQ233" s="18">
        <f t="shared" si="427"/>
        <v>2.8167354083924674</v>
      </c>
      <c r="AR233" s="18">
        <f t="shared" si="427"/>
        <v>2.985163758126927</v>
      </c>
      <c r="AS233" s="18">
        <f t="shared" si="427"/>
        <v>3.1303665377908643</v>
      </c>
      <c r="AT233" s="18">
        <f t="shared" si="427"/>
        <v>3.2708391786600619</v>
      </c>
      <c r="AU233" s="18">
        <f t="shared" si="427"/>
        <v>3.406738409331949</v>
      </c>
      <c r="AV233" s="18">
        <f t="shared" si="427"/>
        <v>3.5382166828029815</v>
      </c>
      <c r="AW233" s="18">
        <f t="shared" si="427"/>
        <v>3.6654222909168728</v>
      </c>
      <c r="AX233" s="18">
        <f t="shared" si="427"/>
        <v>3.7884994758602093</v>
      </c>
      <c r="AY233" s="18">
        <f t="shared" si="427"/>
        <v>3.9075885387808693</v>
      </c>
    </row>
    <row r="234" spans="1:51" customFormat="1">
      <c r="U234" s="19"/>
      <c r="V234" s="19"/>
      <c r="W234" s="19"/>
      <c r="X234" s="19"/>
      <c r="Y234" s="19"/>
      <c r="Z234" s="110"/>
      <c r="AA234" s="110"/>
      <c r="AB234" s="110"/>
      <c r="AC234" s="110"/>
      <c r="AD234" s="110"/>
      <c r="AE234" s="110"/>
      <c r="AF234" s="110"/>
      <c r="AG234" s="110"/>
      <c r="AH234" s="110"/>
      <c r="AI234" s="110"/>
      <c r="AJ234" s="110"/>
      <c r="AK234" s="110"/>
      <c r="AL234" s="110"/>
      <c r="AM234" s="110"/>
      <c r="AN234" s="110"/>
      <c r="AO234" s="110"/>
    </row>
    <row r="235" spans="1:51" customFormat="1">
      <c r="B235" t="s">
        <v>19</v>
      </c>
      <c r="U235" s="19"/>
      <c r="V235" s="19"/>
      <c r="W235" s="19"/>
      <c r="X235" s="19"/>
      <c r="Y235" s="19"/>
      <c r="Z235" s="19"/>
      <c r="AA235" s="19"/>
      <c r="AB235" s="100"/>
      <c r="AC235" s="100"/>
      <c r="AD235" s="100"/>
      <c r="AE235" s="100"/>
      <c r="AF235" s="100"/>
      <c r="AG235" s="100"/>
      <c r="AH235" s="100"/>
      <c r="AI235" s="100"/>
      <c r="AJ235" s="100"/>
      <c r="AK235" s="100"/>
      <c r="AL235" s="100">
        <f t="shared" ref="AL235:AN236" si="428">+AL12-AL143-AL189-AL51-AL97</f>
        <v>2.1000000000000156</v>
      </c>
      <c r="AM235" s="100">
        <f t="shared" si="428"/>
        <v>2.1000000000000156</v>
      </c>
      <c r="AN235" s="100">
        <f t="shared" si="428"/>
        <v>2.0999999999999801</v>
      </c>
      <c r="AO235" s="100">
        <f t="shared" ref="AO235" si="429">+AO12-AO143-AO189-AO51-AO97</f>
        <v>2.0999999999999801</v>
      </c>
      <c r="AP235" s="6">
        <f t="shared" ref="AP235:AY235" si="430">+AP233*AP238</f>
        <v>2.5022317956796236</v>
      </c>
      <c r="AQ235" s="6">
        <f t="shared" si="430"/>
        <v>2.6887019807382648</v>
      </c>
      <c r="AR235" s="6">
        <f t="shared" si="430"/>
        <v>2.8494744963938854</v>
      </c>
      <c r="AS235" s="6">
        <f t="shared" si="430"/>
        <v>2.9880771497094618</v>
      </c>
      <c r="AT235" s="6">
        <f t="shared" si="430"/>
        <v>3.1221646705391506</v>
      </c>
      <c r="AU235" s="6">
        <f t="shared" si="430"/>
        <v>3.2518866634532246</v>
      </c>
      <c r="AV235" s="6">
        <f t="shared" si="430"/>
        <v>3.3773886517664828</v>
      </c>
      <c r="AW235" s="6">
        <f t="shared" si="430"/>
        <v>3.4988121867842881</v>
      </c>
      <c r="AX235" s="6">
        <f t="shared" si="430"/>
        <v>3.6162949542302005</v>
      </c>
      <c r="AY235" s="6">
        <f t="shared" si="430"/>
        <v>3.7299708779271938</v>
      </c>
    </row>
    <row r="236" spans="1:51" customFormat="1">
      <c r="B236" t="s">
        <v>18</v>
      </c>
      <c r="U236" s="19"/>
      <c r="V236" s="19"/>
      <c r="W236" s="19"/>
      <c r="X236" s="19"/>
      <c r="Y236" s="19"/>
      <c r="Z236" s="19"/>
      <c r="AA236" s="19"/>
      <c r="AB236" s="100"/>
      <c r="AC236" s="100"/>
      <c r="AD236" s="100"/>
      <c r="AE236" s="100"/>
      <c r="AF236" s="100"/>
      <c r="AG236" s="100"/>
      <c r="AH236" s="100"/>
      <c r="AI236" s="100"/>
      <c r="AJ236" s="100"/>
      <c r="AK236" s="100"/>
      <c r="AL236" s="100">
        <f t="shared" si="428"/>
        <v>0.20000000000000351</v>
      </c>
      <c r="AM236" s="100">
        <f t="shared" si="428"/>
        <v>0.10000000000000364</v>
      </c>
      <c r="AN236" s="100">
        <f t="shared" si="428"/>
        <v>0.10000000000000209</v>
      </c>
      <c r="AO236" s="100">
        <f t="shared" ref="AO236" si="431">+AO13-AO144-AO190-AO52-AO98</f>
        <v>9.9999999999998535E-2</v>
      </c>
      <c r="AP236" s="6">
        <f t="shared" ref="AP236:AY236" si="432">+AP233*AP239</f>
        <v>0.11915389503236241</v>
      </c>
      <c r="AQ236" s="6">
        <f t="shared" si="432"/>
        <v>0.12803342765420242</v>
      </c>
      <c r="AR236" s="6">
        <f t="shared" si="432"/>
        <v>0.13568926173304147</v>
      </c>
      <c r="AS236" s="6">
        <f t="shared" si="432"/>
        <v>0.14228938808140221</v>
      </c>
      <c r="AT236" s="6">
        <f t="shared" si="432"/>
        <v>0.14867450812091115</v>
      </c>
      <c r="AU236" s="6">
        <f t="shared" si="432"/>
        <v>0.15485174587872419</v>
      </c>
      <c r="AV236" s="6">
        <f t="shared" si="432"/>
        <v>0.16082803103649834</v>
      </c>
      <c r="AW236" s="6">
        <f t="shared" si="432"/>
        <v>0.16661010413258429</v>
      </c>
      <c r="AX236" s="6">
        <f t="shared" si="432"/>
        <v>0.17220452163000866</v>
      </c>
      <c r="AY236" s="6">
        <f t="shared" si="432"/>
        <v>0.17761766085367497</v>
      </c>
    </row>
    <row r="237" spans="1:51" customFormat="1">
      <c r="U237" s="6"/>
      <c r="V237" s="6"/>
      <c r="W237" s="6"/>
      <c r="X237" s="6"/>
      <c r="Y237" s="6"/>
      <c r="Z237" s="81"/>
      <c r="AA237" s="81"/>
      <c r="AB237" s="81"/>
      <c r="AC237" s="81"/>
      <c r="AD237" s="81"/>
      <c r="AE237" s="81"/>
      <c r="AF237" s="81"/>
      <c r="AG237" s="81"/>
      <c r="AH237" s="81"/>
      <c r="AI237" s="81"/>
      <c r="AJ237" s="81"/>
      <c r="AK237" s="81"/>
      <c r="AL237" s="81"/>
      <c r="AM237" s="81"/>
      <c r="AN237" s="81"/>
      <c r="AO237" s="81"/>
    </row>
    <row r="238" spans="1:51" customFormat="1">
      <c r="B238" t="s">
        <v>32</v>
      </c>
      <c r="U238" s="2"/>
      <c r="V238" s="2"/>
      <c r="W238" s="2"/>
      <c r="X238" s="2"/>
      <c r="Y238" s="2"/>
      <c r="Z238" s="112"/>
      <c r="AA238" s="112"/>
      <c r="AB238" s="112"/>
      <c r="AC238" s="112"/>
      <c r="AD238" s="112"/>
      <c r="AE238" s="112"/>
      <c r="AF238" s="112"/>
      <c r="AG238" s="112"/>
      <c r="AH238" s="112"/>
      <c r="AI238" s="112"/>
      <c r="AJ238" s="112"/>
      <c r="AK238" s="112"/>
      <c r="AL238" s="112">
        <f>+AL235/SUM(AL235:AL236)</f>
        <v>0.91304347826086862</v>
      </c>
      <c r="AM238" s="112">
        <f>+AM235/SUM(AM235:AM236)</f>
        <v>0.95454545454545325</v>
      </c>
      <c r="AN238" s="112">
        <f>+AN235/SUM(AN235:AN236)</f>
        <v>0.95454545454545314</v>
      </c>
      <c r="AO238" s="112">
        <f>+AO235/SUM(AO235:AO236)</f>
        <v>0.9545454545454547</v>
      </c>
      <c r="AP238" s="2">
        <f t="shared" ref="AP238:AP239" si="433">+AO238</f>
        <v>0.9545454545454547</v>
      </c>
      <c r="AQ238" s="2">
        <f t="shared" ref="AQ238:AQ239" si="434">+AP238</f>
        <v>0.9545454545454547</v>
      </c>
      <c r="AR238" s="2">
        <f t="shared" ref="AR238:AR239" si="435">+AQ238</f>
        <v>0.9545454545454547</v>
      </c>
      <c r="AS238" s="2">
        <f t="shared" ref="AS238:AS239" si="436">+AR238</f>
        <v>0.9545454545454547</v>
      </c>
      <c r="AT238" s="2">
        <f t="shared" ref="AT238:AT239" si="437">+AS238</f>
        <v>0.9545454545454547</v>
      </c>
      <c r="AU238" s="2">
        <f t="shared" ref="AU238:AU239" si="438">+AT238</f>
        <v>0.9545454545454547</v>
      </c>
      <c r="AV238" s="2">
        <f t="shared" ref="AV238:AV239" si="439">+AU238</f>
        <v>0.9545454545454547</v>
      </c>
      <c r="AW238" s="2">
        <f t="shared" ref="AW238:AW239" si="440">+AV238</f>
        <v>0.9545454545454547</v>
      </c>
      <c r="AX238" s="2">
        <f t="shared" ref="AX238:AX239" si="441">+AW238</f>
        <v>0.9545454545454547</v>
      </c>
      <c r="AY238" s="2">
        <f t="shared" ref="AY238:AY239" si="442">+AX238</f>
        <v>0.9545454545454547</v>
      </c>
    </row>
    <row r="239" spans="1:51" customFormat="1">
      <c r="B239" t="s">
        <v>33</v>
      </c>
      <c r="U239" s="2"/>
      <c r="V239" s="2"/>
      <c r="W239" s="2"/>
      <c r="X239" s="2"/>
      <c r="Y239" s="2"/>
      <c r="Z239" s="112"/>
      <c r="AA239" s="112"/>
      <c r="AB239" s="112"/>
      <c r="AC239" s="112"/>
      <c r="AD239" s="112"/>
      <c r="AE239" s="112"/>
      <c r="AF239" s="112"/>
      <c r="AG239" s="112"/>
      <c r="AH239" s="112"/>
      <c r="AI239" s="112"/>
      <c r="AJ239" s="112"/>
      <c r="AK239" s="112"/>
      <c r="AL239" s="112">
        <f>+AL236/SUM(AL235:AL236)</f>
        <v>8.6956521739131223E-2</v>
      </c>
      <c r="AM239" s="112">
        <f>+AM236/SUM(AM235:AM236)</f>
        <v>4.5454545454546712E-2</v>
      </c>
      <c r="AN239" s="112">
        <f>+AN236/SUM(AN235:AN236)</f>
        <v>4.5454545454546767E-2</v>
      </c>
      <c r="AO239" s="112">
        <f>+AO236/SUM(AO235:AO236)</f>
        <v>4.5454545454545227E-2</v>
      </c>
      <c r="AP239" s="2">
        <f t="shared" si="433"/>
        <v>4.5454545454545227E-2</v>
      </c>
      <c r="AQ239" s="2">
        <f t="shared" si="434"/>
        <v>4.5454545454545227E-2</v>
      </c>
      <c r="AR239" s="2">
        <f t="shared" si="435"/>
        <v>4.5454545454545227E-2</v>
      </c>
      <c r="AS239" s="2">
        <f t="shared" si="436"/>
        <v>4.5454545454545227E-2</v>
      </c>
      <c r="AT239" s="2">
        <f t="shared" si="437"/>
        <v>4.5454545454545227E-2</v>
      </c>
      <c r="AU239" s="2">
        <f t="shared" si="438"/>
        <v>4.5454545454545227E-2</v>
      </c>
      <c r="AV239" s="2">
        <f t="shared" si="439"/>
        <v>4.5454545454545227E-2</v>
      </c>
      <c r="AW239" s="2">
        <f t="shared" si="440"/>
        <v>4.5454545454545227E-2</v>
      </c>
      <c r="AX239" s="2">
        <f t="shared" si="441"/>
        <v>4.5454545454545227E-2</v>
      </c>
      <c r="AY239" s="2">
        <f t="shared" si="442"/>
        <v>4.5454545454545227E-2</v>
      </c>
    </row>
    <row r="240" spans="1:51" customFormat="1">
      <c r="U240" s="6"/>
      <c r="V240" s="6"/>
      <c r="W240" s="6"/>
      <c r="X240" s="6"/>
      <c r="Y240" s="6"/>
      <c r="Z240" s="81"/>
      <c r="AA240" s="81"/>
      <c r="AB240" s="81"/>
      <c r="AC240" s="81"/>
      <c r="AD240" s="81"/>
      <c r="AE240" s="81"/>
      <c r="AF240" s="81"/>
      <c r="AG240" s="81"/>
      <c r="AH240" s="81"/>
      <c r="AI240" s="81"/>
      <c r="AJ240" s="81"/>
      <c r="AK240" s="81"/>
      <c r="AL240" s="81"/>
      <c r="AM240" s="81"/>
      <c r="AN240" s="81"/>
      <c r="AO240" s="81"/>
    </row>
    <row r="241" spans="2:51" customFormat="1">
      <c r="B241" t="s">
        <v>46</v>
      </c>
      <c r="F241" t="s">
        <v>412</v>
      </c>
      <c r="U241" s="6"/>
      <c r="V241" s="6"/>
      <c r="W241" s="6"/>
      <c r="X241" s="6"/>
      <c r="Y241" s="6"/>
      <c r="Z241" s="146"/>
      <c r="AA241" s="146"/>
      <c r="AB241" s="146"/>
      <c r="AC241" s="146"/>
      <c r="AD241" s="146"/>
      <c r="AE241" s="146"/>
      <c r="AF241" s="146"/>
      <c r="AG241" s="146"/>
      <c r="AH241" s="146"/>
      <c r="AI241" s="146"/>
      <c r="AJ241" s="146"/>
      <c r="AK241" s="146"/>
      <c r="AL241" s="100">
        <f>+AL19-AL149-AL195-AL57-AL103</f>
        <v>0.83857657708818834</v>
      </c>
      <c r="AM241" s="100">
        <f>+AM19-AM149-AM195-AM57-AM103</f>
        <v>2.6209765770881894</v>
      </c>
      <c r="AN241" s="100">
        <f>+AN19-AN149-AN195-AN57-AN103</f>
        <v>2.8339765770881895</v>
      </c>
      <c r="AO241" s="100">
        <f>+AO19-AO149-AO195-AO57-AO103</f>
        <v>2.802976577088192</v>
      </c>
      <c r="AP241" s="6">
        <f t="shared" ref="AP241" si="443">+AO244</f>
        <v>2.596976577088193</v>
      </c>
      <c r="AQ241" s="6">
        <f t="shared" ref="AQ241" si="444">+AP244</f>
        <v>2.5596251626609887</v>
      </c>
      <c r="AR241" s="6">
        <f t="shared" ref="AR241" si="445">+AQ244</f>
        <v>2.5234832635944646</v>
      </c>
      <c r="AS241" s="6">
        <f t="shared" ref="AS241" si="446">+AR244</f>
        <v>2.4885233993046034</v>
      </c>
      <c r="AT241" s="6">
        <f t="shared" ref="AT241" si="447">+AS244</f>
        <v>2.454718803794989</v>
      </c>
      <c r="AU241" s="6">
        <f t="shared" ref="AU241" si="448">+AT244</f>
        <v>2.4220434080678448</v>
      </c>
      <c r="AV241" s="6">
        <f t="shared" ref="AV241" si="449">+AU244</f>
        <v>2.3904718229775566</v>
      </c>
      <c r="AW241" s="6">
        <f t="shared" ref="AW241" si="450">+AV244</f>
        <v>2.3599793225156396</v>
      </c>
      <c r="AX241" s="6">
        <f t="shared" ref="AX241" si="451">+AW244</f>
        <v>2.3305418275163956</v>
      </c>
      <c r="AY241" s="6">
        <f t="shared" ref="AY241" si="452">+AX244</f>
        <v>2.3021358897727695</v>
      </c>
    </row>
    <row r="242" spans="2:51" customFormat="1">
      <c r="B242" t="s">
        <v>29</v>
      </c>
      <c r="U242" s="25"/>
      <c r="V242" s="25"/>
      <c r="W242" s="25"/>
      <c r="X242" s="25"/>
      <c r="Y242" s="25"/>
      <c r="Z242" s="25"/>
      <c r="AA242" s="25"/>
      <c r="AB242" s="145"/>
      <c r="AC242" s="145"/>
      <c r="AD242" s="145"/>
      <c r="AE242" s="145"/>
      <c r="AF242" s="145"/>
      <c r="AG242" s="145"/>
      <c r="AH242" s="145"/>
      <c r="AI242" s="145"/>
      <c r="AJ242" s="145"/>
      <c r="AK242" s="145"/>
      <c r="AL242" s="51">
        <v>0.1</v>
      </c>
      <c r="AM242" s="100">
        <f t="shared" ref="AM242:AO243" si="453">+AM20-AM150-AM196-AM58-AM104</f>
        <v>3.7999999999999368E-2</v>
      </c>
      <c r="AN242" s="100">
        <f t="shared" si="453"/>
        <v>1.5000000000000124E-2</v>
      </c>
      <c r="AO242" s="100">
        <f t="shared" si="453"/>
        <v>2.8000000000000469E-2</v>
      </c>
      <c r="AP242" s="6">
        <f t="shared" ref="AP242:AY242" si="454">+AP250</f>
        <v>2.8280000000000475E-2</v>
      </c>
      <c r="AQ242" s="6">
        <f t="shared" si="454"/>
        <v>2.8562800000000482E-2</v>
      </c>
      <c r="AR242" s="6">
        <f t="shared" si="454"/>
        <v>2.8848428000000488E-2</v>
      </c>
      <c r="AS242" s="6">
        <f t="shared" si="454"/>
        <v>2.9136912280000492E-2</v>
      </c>
      <c r="AT242" s="6">
        <f t="shared" si="454"/>
        <v>2.9428281402800498E-2</v>
      </c>
      <c r="AU242" s="6">
        <f t="shared" si="454"/>
        <v>2.9722564216828503E-2</v>
      </c>
      <c r="AV242" s="6">
        <f t="shared" si="454"/>
        <v>3.0019789858996788E-2</v>
      </c>
      <c r="AW242" s="6">
        <f t="shared" si="454"/>
        <v>3.0319987757586757E-2</v>
      </c>
      <c r="AX242" s="6">
        <f t="shared" si="454"/>
        <v>3.0623187635162624E-2</v>
      </c>
      <c r="AY242" s="6">
        <f t="shared" si="454"/>
        <v>3.0929419511514251E-2</v>
      </c>
    </row>
    <row r="243" spans="2:51" customFormat="1">
      <c r="B243" t="s">
        <v>45</v>
      </c>
      <c r="H243" s="40"/>
      <c r="I243" s="40"/>
      <c r="J243" s="40"/>
      <c r="K243" s="40">
        <f>+SUM(AJ243:AM243)</f>
        <v>-0.24260000000000015</v>
      </c>
      <c r="L243" s="40">
        <f>+SUM(AN243:AQ243)</f>
        <v>-0.41033611349372967</v>
      </c>
      <c r="M243" s="40">
        <f>+SUM(AR243:AU243)</f>
        <v>-0.25014762651653832</v>
      </c>
      <c r="N243" s="40">
        <f>+SUM(AV243:AY243)</f>
        <v>-0.23762553118864055</v>
      </c>
      <c r="T243" s="25"/>
      <c r="U243" s="25"/>
      <c r="V243" s="25"/>
      <c r="W243" s="25"/>
      <c r="X243" s="25"/>
      <c r="Y243" s="25"/>
      <c r="Z243" s="25"/>
      <c r="AA243" s="25"/>
      <c r="AB243" s="145"/>
      <c r="AC243" s="145"/>
      <c r="AD243" s="145"/>
      <c r="AE243" s="145"/>
      <c r="AF243" s="145"/>
      <c r="AG243" s="145"/>
      <c r="AH243" s="145"/>
      <c r="AI243" s="145"/>
      <c r="AJ243" s="145"/>
      <c r="AK243" s="145"/>
      <c r="AL243" s="100">
        <f>+AL21-AL151-AL197-AL59-AL105</f>
        <v>-0.21759999999999979</v>
      </c>
      <c r="AM243" s="100">
        <f t="shared" si="453"/>
        <v>-2.5000000000000355E-2</v>
      </c>
      <c r="AN243" s="100">
        <f t="shared" si="453"/>
        <v>-4.6000000000000485E-2</v>
      </c>
      <c r="AO243" s="100">
        <f t="shared" si="453"/>
        <v>-0.23399999999999965</v>
      </c>
      <c r="AP243" s="6">
        <f t="shared" ref="AP243:AY243" si="455">-AP245*SUM(AP241:AP242)</f>
        <v>-6.563141442720484E-2</v>
      </c>
      <c r="AQ243" s="6">
        <f t="shared" si="455"/>
        <v>-6.4704699066524735E-2</v>
      </c>
      <c r="AR243" s="6">
        <f t="shared" si="455"/>
        <v>-6.3808292289861623E-2</v>
      </c>
      <c r="AS243" s="6">
        <f t="shared" si="455"/>
        <v>-6.2941507789615103E-2</v>
      </c>
      <c r="AT243" s="6">
        <f t="shared" si="455"/>
        <v>-6.2103677129944738E-2</v>
      </c>
      <c r="AU243" s="6">
        <f t="shared" si="455"/>
        <v>-6.1294149307116831E-2</v>
      </c>
      <c r="AV243" s="6">
        <f t="shared" si="455"/>
        <v>-6.0512290320913834E-2</v>
      </c>
      <c r="AW243" s="6">
        <f t="shared" si="455"/>
        <v>-5.9757482756830661E-2</v>
      </c>
      <c r="AX243" s="6">
        <f t="shared" si="455"/>
        <v>-5.902912537878896E-2</v>
      </c>
      <c r="AY243" s="6">
        <f t="shared" si="455"/>
        <v>-5.83266327321071E-2</v>
      </c>
    </row>
    <row r="244" spans="2:51" customFormat="1">
      <c r="B244" t="s">
        <v>47</v>
      </c>
      <c r="U244" s="6"/>
      <c r="V244" s="6"/>
      <c r="W244" s="6"/>
      <c r="X244" s="6"/>
      <c r="Y244" s="6"/>
      <c r="Z244" s="81"/>
      <c r="AA244" s="81"/>
      <c r="AB244" s="81"/>
      <c r="AC244" s="81"/>
      <c r="AD244" s="81"/>
      <c r="AE244" s="81"/>
      <c r="AF244" s="81"/>
      <c r="AG244" s="81"/>
      <c r="AH244" s="81"/>
      <c r="AI244" s="81"/>
      <c r="AJ244" s="81"/>
      <c r="AK244" s="81"/>
      <c r="AL244" s="81">
        <f>SUM(AL241:AL243)</f>
        <v>0.72097657708818852</v>
      </c>
      <c r="AM244" s="81">
        <f>SUM(AM241:AM243)</f>
        <v>2.6339765770881884</v>
      </c>
      <c r="AN244" s="81">
        <f>SUM(AN241:AN243)</f>
        <v>2.8029765770881889</v>
      </c>
      <c r="AO244" s="81">
        <f>SUM(AO241:AO243)</f>
        <v>2.596976577088193</v>
      </c>
      <c r="AP244" s="6">
        <f t="shared" ref="AP244:AY244" si="456">SUM(AP241:AP243)</f>
        <v>2.5596251626609887</v>
      </c>
      <c r="AQ244" s="6">
        <f t="shared" si="456"/>
        <v>2.5234832635944646</v>
      </c>
      <c r="AR244" s="6">
        <f t="shared" si="456"/>
        <v>2.4885233993046034</v>
      </c>
      <c r="AS244" s="6">
        <f t="shared" si="456"/>
        <v>2.454718803794989</v>
      </c>
      <c r="AT244" s="6">
        <f t="shared" si="456"/>
        <v>2.4220434080678448</v>
      </c>
      <c r="AU244" s="6">
        <f t="shared" si="456"/>
        <v>2.3904718229775566</v>
      </c>
      <c r="AV244" s="6">
        <f t="shared" si="456"/>
        <v>2.3599793225156396</v>
      </c>
      <c r="AW244" s="6">
        <f t="shared" si="456"/>
        <v>2.3305418275163956</v>
      </c>
      <c r="AX244" s="6">
        <f t="shared" si="456"/>
        <v>2.3021358897727695</v>
      </c>
      <c r="AY244" s="6">
        <f t="shared" si="456"/>
        <v>2.2747386765521767</v>
      </c>
    </row>
    <row r="245" spans="2:51" customFormat="1">
      <c r="B245" s="7" t="s">
        <v>48</v>
      </c>
      <c r="U245" s="6"/>
      <c r="V245" s="6"/>
      <c r="W245" s="6"/>
      <c r="X245" s="6"/>
      <c r="Y245" s="6"/>
      <c r="Z245" s="113"/>
      <c r="AA245" s="113"/>
      <c r="AB245" s="113"/>
      <c r="AC245" s="113"/>
      <c r="AD245" s="113"/>
      <c r="AE245" s="113"/>
      <c r="AF245" s="113"/>
      <c r="AG245" s="113"/>
      <c r="AH245" s="113"/>
      <c r="AI245" s="113"/>
      <c r="AJ245" s="113"/>
      <c r="AK245" s="113"/>
      <c r="AL245" s="113">
        <f t="shared" ref="AL245" si="457">-AL243/(AL241+AL242)</f>
        <v>0.23184043296187454</v>
      </c>
      <c r="AM245" s="113">
        <f t="shared" ref="AM245:AN245" si="458">-AM243/(AM241+AM242)</f>
        <v>9.402113661105483E-3</v>
      </c>
      <c r="AN245" s="113">
        <f t="shared" si="458"/>
        <v>1.6146148890776424E-2</v>
      </c>
      <c r="AO245" s="113">
        <f t="shared" ref="AO245" si="459">-AO243/(AO241+AO242)</f>
        <v>8.2656989073601195E-2</v>
      </c>
      <c r="AP245" s="29">
        <v>2.5000000000000001E-2</v>
      </c>
      <c r="AQ245" s="29">
        <v>2.5000000000000001E-2</v>
      </c>
      <c r="AR245" s="29">
        <v>2.5000000000000001E-2</v>
      </c>
      <c r="AS245" s="29">
        <v>2.5000000000000001E-2</v>
      </c>
      <c r="AT245" s="29">
        <v>2.5000000000000001E-2</v>
      </c>
      <c r="AU245" s="29">
        <v>2.5000000000000001E-2</v>
      </c>
      <c r="AV245" s="29">
        <v>2.5000000000000001E-2</v>
      </c>
      <c r="AW245" s="29">
        <v>2.5000000000000001E-2</v>
      </c>
      <c r="AX245" s="29">
        <v>2.5000000000000001E-2</v>
      </c>
      <c r="AY245" s="29">
        <v>2.5000000000000001E-2</v>
      </c>
    </row>
    <row r="246" spans="2:51" s="11" customFormat="1">
      <c r="B246" s="11" t="s">
        <v>26</v>
      </c>
      <c r="U246" s="12"/>
      <c r="V246" s="12"/>
      <c r="W246" s="12"/>
      <c r="X246" s="12"/>
      <c r="Y246" s="12"/>
      <c r="Z246" s="79"/>
      <c r="AA246" s="79"/>
      <c r="AB246" s="79"/>
      <c r="AC246" s="79"/>
      <c r="AD246" s="79"/>
      <c r="AE246" s="79"/>
      <c r="AF246" s="79"/>
      <c r="AG246" s="79"/>
      <c r="AH246" s="79"/>
      <c r="AI246" s="79"/>
      <c r="AJ246" s="79"/>
      <c r="AK246" s="79"/>
      <c r="AL246" s="79"/>
      <c r="AM246" s="79"/>
      <c r="AN246" s="79"/>
      <c r="AO246" s="79"/>
      <c r="AP246" s="30">
        <f t="shared" ref="AP246:AY246" si="460">+AP247+0.035</f>
        <v>6.0000000000000005E-2</v>
      </c>
      <c r="AQ246" s="30">
        <f t="shared" si="460"/>
        <v>6.0000000000000005E-2</v>
      </c>
      <c r="AR246" s="30">
        <f t="shared" si="460"/>
        <v>6.0000000000000005E-2</v>
      </c>
      <c r="AS246" s="30">
        <f t="shared" si="460"/>
        <v>6.0000000000000005E-2</v>
      </c>
      <c r="AT246" s="30">
        <f t="shared" si="460"/>
        <v>6.0000000000000005E-2</v>
      </c>
      <c r="AU246" s="30">
        <f t="shared" si="460"/>
        <v>6.0000000000000005E-2</v>
      </c>
      <c r="AV246" s="30">
        <f t="shared" si="460"/>
        <v>6.0000000000000005E-2</v>
      </c>
      <c r="AW246" s="30">
        <f t="shared" si="460"/>
        <v>6.0000000000000005E-2</v>
      </c>
      <c r="AX246" s="30">
        <f t="shared" si="460"/>
        <v>6.0000000000000005E-2</v>
      </c>
      <c r="AY246" s="30">
        <f t="shared" si="460"/>
        <v>6.0000000000000005E-2</v>
      </c>
    </row>
    <row r="247" spans="2:51" s="11" customFormat="1">
      <c r="B247" s="11" t="s">
        <v>27</v>
      </c>
      <c r="U247" s="12"/>
      <c r="V247" s="12"/>
      <c r="W247" s="12"/>
      <c r="X247" s="12"/>
      <c r="Y247" s="12"/>
      <c r="Z247" s="79"/>
      <c r="AA247" s="79"/>
      <c r="AB247" s="79"/>
      <c r="AC247" s="79"/>
      <c r="AD247" s="79"/>
      <c r="AE247" s="30"/>
      <c r="AF247" s="30"/>
      <c r="AG247" s="30"/>
      <c r="AH247" s="30"/>
      <c r="AI247" s="30"/>
      <c r="AJ247" s="30"/>
      <c r="AK247" s="30"/>
      <c r="AL247" s="30">
        <f t="shared" ref="AL247:AO247" si="461">+AVERAGE(AI245:AL245)</f>
        <v>0.23184043296187454</v>
      </c>
      <c r="AM247" s="30">
        <f t="shared" si="461"/>
        <v>0.12062127331149002</v>
      </c>
      <c r="AN247" s="30">
        <f t="shared" si="461"/>
        <v>8.5796231837918804E-2</v>
      </c>
      <c r="AO247" s="30">
        <f t="shared" si="461"/>
        <v>8.5011421146839405E-2</v>
      </c>
      <c r="AP247" s="31">
        <v>2.5000000000000001E-2</v>
      </c>
      <c r="AQ247" s="31">
        <v>2.5000000000000001E-2</v>
      </c>
      <c r="AR247" s="31">
        <v>2.5000000000000001E-2</v>
      </c>
      <c r="AS247" s="31">
        <v>2.5000000000000001E-2</v>
      </c>
      <c r="AT247" s="31">
        <v>2.5000000000000001E-2</v>
      </c>
      <c r="AU247" s="31">
        <v>2.5000000000000001E-2</v>
      </c>
      <c r="AV247" s="31">
        <v>2.5000000000000001E-2</v>
      </c>
      <c r="AW247" s="31">
        <v>2.5000000000000001E-2</v>
      </c>
      <c r="AX247" s="31">
        <v>2.5000000000000001E-2</v>
      </c>
      <c r="AY247" s="31">
        <v>2.5000000000000001E-2</v>
      </c>
    </row>
    <row r="248" spans="2:51" s="11" customFormat="1">
      <c r="B248" s="11" t="s">
        <v>28</v>
      </c>
      <c r="U248" s="12"/>
      <c r="V248" s="12"/>
      <c r="W248" s="12"/>
      <c r="X248" s="12"/>
      <c r="Y248" s="12"/>
      <c r="Z248" s="79"/>
      <c r="AA248" s="79"/>
      <c r="AB248" s="79"/>
      <c r="AC248" s="79"/>
      <c r="AD248" s="79"/>
      <c r="AE248" s="79"/>
      <c r="AF248" s="79"/>
      <c r="AG248" s="79"/>
      <c r="AH248" s="79"/>
      <c r="AI248" s="79"/>
      <c r="AJ248" s="79"/>
      <c r="AK248" s="79"/>
      <c r="AL248" s="79"/>
      <c r="AM248" s="79"/>
      <c r="AN248" s="79"/>
      <c r="AO248" s="79"/>
      <c r="AP248" s="30">
        <f t="shared" ref="AP248:AY248" si="462">+AP247-0.05</f>
        <v>-2.5000000000000001E-2</v>
      </c>
      <c r="AQ248" s="30">
        <f t="shared" si="462"/>
        <v>-2.5000000000000001E-2</v>
      </c>
      <c r="AR248" s="30">
        <f t="shared" si="462"/>
        <v>-2.5000000000000001E-2</v>
      </c>
      <c r="AS248" s="30">
        <f t="shared" si="462"/>
        <v>-2.5000000000000001E-2</v>
      </c>
      <c r="AT248" s="30">
        <f t="shared" si="462"/>
        <v>-2.5000000000000001E-2</v>
      </c>
      <c r="AU248" s="30">
        <f t="shared" si="462"/>
        <v>-2.5000000000000001E-2</v>
      </c>
      <c r="AV248" s="30">
        <f t="shared" si="462"/>
        <v>-2.5000000000000001E-2</v>
      </c>
      <c r="AW248" s="30">
        <f t="shared" si="462"/>
        <v>-2.5000000000000001E-2</v>
      </c>
      <c r="AX248" s="30">
        <f t="shared" si="462"/>
        <v>-2.5000000000000001E-2</v>
      </c>
      <c r="AY248" s="30">
        <f t="shared" si="462"/>
        <v>-2.5000000000000001E-2</v>
      </c>
    </row>
    <row r="249" spans="2:51" customFormat="1">
      <c r="U249" s="6"/>
      <c r="V249" s="6"/>
      <c r="W249" s="6"/>
      <c r="X249" s="6"/>
      <c r="Y249" s="6"/>
      <c r="Z249" s="81"/>
      <c r="AA249" s="81"/>
      <c r="AB249" s="81"/>
      <c r="AC249" s="81"/>
      <c r="AD249" s="81"/>
      <c r="AE249" s="81"/>
      <c r="AF249" s="81"/>
      <c r="AG249" s="81"/>
      <c r="AH249" s="81"/>
      <c r="AI249" s="81"/>
      <c r="AJ249" s="81"/>
      <c r="AK249" s="81"/>
      <c r="AL249" s="81"/>
      <c r="AM249" s="81"/>
      <c r="AN249" s="81"/>
      <c r="AO249" s="81"/>
    </row>
    <row r="250" spans="2:51" customFormat="1">
      <c r="B250" t="s">
        <v>29</v>
      </c>
      <c r="H250" s="40"/>
      <c r="I250" s="40"/>
      <c r="J250" s="40"/>
      <c r="K250" s="40">
        <f>+SUM(AJ250:AM250)</f>
        <v>0.13799999999999937</v>
      </c>
      <c r="L250" s="40">
        <f>+SUM(AN250:AQ250)</f>
        <v>9.984280000000155E-2</v>
      </c>
      <c r="M250" s="40">
        <f>+SUM(AR250:AU250)</f>
        <v>0.11713618589962999</v>
      </c>
      <c r="N250" s="40">
        <f>+SUM(AV250:AY250)</f>
        <v>0.12189238476326042</v>
      </c>
      <c r="T250" s="25"/>
      <c r="U250" s="25"/>
      <c r="V250" s="25"/>
      <c r="W250" s="25"/>
      <c r="X250" s="25"/>
      <c r="Y250" s="25"/>
      <c r="Z250" s="25"/>
      <c r="AA250" s="25"/>
      <c r="AB250" s="145"/>
      <c r="AC250" s="145"/>
      <c r="AD250" s="145"/>
      <c r="AE250" s="145"/>
      <c r="AF250" s="145"/>
      <c r="AG250" s="145"/>
      <c r="AH250" s="145"/>
      <c r="AI250" s="145"/>
      <c r="AJ250" s="145"/>
      <c r="AK250" s="145"/>
      <c r="AL250" s="145">
        <f>+AL242</f>
        <v>0.1</v>
      </c>
      <c r="AM250" s="145">
        <f>+AM242</f>
        <v>3.7999999999999368E-2</v>
      </c>
      <c r="AN250" s="145">
        <f>+AN242</f>
        <v>1.5000000000000124E-2</v>
      </c>
      <c r="AO250" s="145">
        <f>+AO242</f>
        <v>2.8000000000000469E-2</v>
      </c>
      <c r="AP250" s="26">
        <f t="shared" ref="AP250" si="463">+AO250*(1+AP252)</f>
        <v>2.8280000000000475E-2</v>
      </c>
      <c r="AQ250" s="26">
        <f t="shared" ref="AQ250" si="464">+AP250*(1+AQ252)</f>
        <v>2.8562800000000482E-2</v>
      </c>
      <c r="AR250" s="26">
        <f t="shared" ref="AR250" si="465">+AQ250*(1+AR252)</f>
        <v>2.8848428000000488E-2</v>
      </c>
      <c r="AS250" s="26">
        <f t="shared" ref="AS250" si="466">+AR250*(1+AS252)</f>
        <v>2.9136912280000492E-2</v>
      </c>
      <c r="AT250" s="26">
        <f t="shared" ref="AT250" si="467">+AS250*(1+AT252)</f>
        <v>2.9428281402800498E-2</v>
      </c>
      <c r="AU250" s="26">
        <f t="shared" ref="AU250" si="468">+AT250*(1+AU252)</f>
        <v>2.9722564216828503E-2</v>
      </c>
      <c r="AV250" s="26">
        <f t="shared" ref="AV250" si="469">+AU250*(1+AV252)</f>
        <v>3.0019789858996788E-2</v>
      </c>
      <c r="AW250" s="26">
        <f t="shared" ref="AW250" si="470">+AV250*(1+AW252)</f>
        <v>3.0319987757586757E-2</v>
      </c>
      <c r="AX250" s="26">
        <f t="shared" ref="AX250" si="471">+AW250*(1+AX252)</f>
        <v>3.0623187635162624E-2</v>
      </c>
      <c r="AY250" s="26">
        <f t="shared" ref="AY250" si="472">+AX250*(1+AY252)</f>
        <v>3.0929419511514251E-2</v>
      </c>
    </row>
    <row r="251" spans="2:51" customFormat="1">
      <c r="B251" s="7" t="s">
        <v>36</v>
      </c>
      <c r="U251" s="19"/>
      <c r="V251" s="19"/>
      <c r="W251" s="19"/>
      <c r="X251" s="19"/>
      <c r="Y251" s="23"/>
      <c r="Z251" s="48"/>
      <c r="AA251" s="48"/>
      <c r="AB251" s="48"/>
      <c r="AC251" s="48"/>
      <c r="AD251" s="48"/>
      <c r="AE251" s="48"/>
      <c r="AF251" s="48"/>
      <c r="AG251" s="48"/>
      <c r="AH251" s="48"/>
      <c r="AI251" s="48"/>
      <c r="AJ251" s="48"/>
      <c r="AK251" s="48"/>
      <c r="AL251" s="48"/>
      <c r="AM251" s="48"/>
      <c r="AN251" s="48"/>
      <c r="AO251" s="48"/>
      <c r="AP251" s="23">
        <f t="shared" ref="AP251" si="473">+AP250/AL250-1</f>
        <v>-0.71719999999999529</v>
      </c>
      <c r="AQ251" s="23">
        <f t="shared" ref="AQ251" si="474">+AQ250/AM250-1</f>
        <v>-0.24834736842102745</v>
      </c>
      <c r="AR251" s="23">
        <f t="shared" ref="AR251" si="475">+AR250/AN250-1</f>
        <v>0.92322853333334987</v>
      </c>
      <c r="AS251" s="23">
        <f t="shared" ref="AS251" si="476">+AS250/AO250-1</f>
        <v>4.0604010000000246E-2</v>
      </c>
      <c r="AT251" s="23">
        <f t="shared" ref="AT251" si="477">+AT250/AP250-1</f>
        <v>4.0604010000000246E-2</v>
      </c>
      <c r="AU251" s="23">
        <f t="shared" ref="AU251" si="478">+AU250/AQ250-1</f>
        <v>4.0604010000000024E-2</v>
      </c>
      <c r="AV251" s="23">
        <f t="shared" ref="AV251" si="479">+AV250/AR250-1</f>
        <v>4.0604010000000024E-2</v>
      </c>
      <c r="AW251" s="23">
        <f t="shared" ref="AW251" si="480">+AW250/AS250-1</f>
        <v>4.0604010000000024E-2</v>
      </c>
      <c r="AX251" s="23">
        <f t="shared" ref="AX251" si="481">+AX250/AT250-1</f>
        <v>4.0604010000000024E-2</v>
      </c>
      <c r="AY251" s="23">
        <f t="shared" ref="AY251" si="482">+AY250/AU250-1</f>
        <v>4.0604010000000024E-2</v>
      </c>
    </row>
    <row r="252" spans="2:51" customFormat="1">
      <c r="B252" s="7" t="s">
        <v>37</v>
      </c>
      <c r="U252" s="19"/>
      <c r="V252" s="23"/>
      <c r="W252" s="23"/>
      <c r="X252" s="23"/>
      <c r="Y252" s="23"/>
      <c r="Z252" s="48"/>
      <c r="AA252" s="48"/>
      <c r="AB252" s="48"/>
      <c r="AC252" s="48"/>
      <c r="AD252" s="48"/>
      <c r="AE252" s="48"/>
      <c r="AF252" s="48"/>
      <c r="AG252" s="48"/>
      <c r="AH252" s="48"/>
      <c r="AI252" s="48"/>
      <c r="AJ252" s="48"/>
      <c r="AK252" s="48"/>
      <c r="AL252" s="48"/>
      <c r="AM252" s="48"/>
      <c r="AN252" s="48"/>
      <c r="AO252" s="48"/>
      <c r="AP252" s="23">
        <v>0.01</v>
      </c>
      <c r="AQ252" s="23">
        <v>0.01</v>
      </c>
      <c r="AR252" s="23">
        <v>0.01</v>
      </c>
      <c r="AS252" s="23">
        <v>0.01</v>
      </c>
      <c r="AT252" s="23">
        <v>0.01</v>
      </c>
      <c r="AU252" s="23">
        <v>0.01</v>
      </c>
      <c r="AV252" s="23">
        <v>0.01</v>
      </c>
      <c r="AW252" s="23">
        <v>0.01</v>
      </c>
      <c r="AX252" s="23">
        <v>0.01</v>
      </c>
      <c r="AY252" s="23">
        <v>0.01</v>
      </c>
    </row>
    <row r="253" spans="2:51" s="11" customFormat="1">
      <c r="B253" s="11" t="s">
        <v>26</v>
      </c>
      <c r="U253" s="12"/>
      <c r="V253" s="12"/>
      <c r="W253" s="12"/>
      <c r="X253" s="12"/>
      <c r="Y253" s="12"/>
      <c r="Z253" s="79"/>
      <c r="AA253" s="79"/>
      <c r="AB253" s="79"/>
      <c r="AC253" s="79"/>
      <c r="AD253" s="79"/>
      <c r="AE253" s="79"/>
      <c r="AF253" s="79"/>
      <c r="AG253" s="79"/>
      <c r="AH253" s="79"/>
      <c r="AI253" s="79"/>
      <c r="AJ253" s="79"/>
      <c r="AK253" s="79"/>
      <c r="AL253" s="79"/>
      <c r="AM253" s="79"/>
      <c r="AN253" s="79"/>
      <c r="AO253" s="79"/>
      <c r="AP253" s="30">
        <f t="shared" ref="AP253:AY253" si="483">+AP254+0.005</f>
        <v>1.4999999999999999E-2</v>
      </c>
      <c r="AQ253" s="30">
        <f t="shared" si="483"/>
        <v>1.4999999999999999E-2</v>
      </c>
      <c r="AR253" s="30">
        <f t="shared" si="483"/>
        <v>1.4999999999999999E-2</v>
      </c>
      <c r="AS253" s="30">
        <f t="shared" si="483"/>
        <v>1.4999999999999999E-2</v>
      </c>
      <c r="AT253" s="30">
        <f t="shared" si="483"/>
        <v>1.4999999999999999E-2</v>
      </c>
      <c r="AU253" s="30">
        <f t="shared" si="483"/>
        <v>1.4999999999999999E-2</v>
      </c>
      <c r="AV253" s="30">
        <f t="shared" si="483"/>
        <v>1.4999999999999999E-2</v>
      </c>
      <c r="AW253" s="30">
        <f t="shared" si="483"/>
        <v>1.4999999999999999E-2</v>
      </c>
      <c r="AX253" s="30">
        <f t="shared" si="483"/>
        <v>1.4999999999999999E-2</v>
      </c>
      <c r="AY253" s="30">
        <f t="shared" si="483"/>
        <v>1.4999999999999999E-2</v>
      </c>
    </row>
    <row r="254" spans="2:51" s="11" customFormat="1">
      <c r="B254" s="11" t="s">
        <v>27</v>
      </c>
      <c r="U254" s="12"/>
      <c r="V254" s="12"/>
      <c r="W254" s="12"/>
      <c r="X254" s="12"/>
      <c r="Y254" s="12"/>
      <c r="Z254" s="79"/>
      <c r="AA254" s="79"/>
      <c r="AB254" s="79"/>
      <c r="AC254" s="79"/>
      <c r="AD254" s="79"/>
      <c r="AE254" s="30"/>
      <c r="AF254" s="30"/>
      <c r="AG254" s="30"/>
      <c r="AH254" s="30"/>
      <c r="AI254" s="30"/>
      <c r="AJ254" s="30"/>
      <c r="AK254" s="30"/>
      <c r="AL254" s="30"/>
      <c r="AM254" s="30"/>
      <c r="AN254" s="30"/>
      <c r="AO254" s="30"/>
      <c r="AP254" s="31">
        <v>0.01</v>
      </c>
      <c r="AQ254" s="31">
        <v>0.01</v>
      </c>
      <c r="AR254" s="31">
        <v>0.01</v>
      </c>
      <c r="AS254" s="31">
        <v>0.01</v>
      </c>
      <c r="AT254" s="31">
        <v>0.01</v>
      </c>
      <c r="AU254" s="31">
        <v>0.01</v>
      </c>
      <c r="AV254" s="31">
        <v>0.01</v>
      </c>
      <c r="AW254" s="31">
        <v>0.01</v>
      </c>
      <c r="AX254" s="31">
        <v>0.01</v>
      </c>
      <c r="AY254" s="31">
        <v>0.01</v>
      </c>
    </row>
    <row r="255" spans="2:51" s="11" customFormat="1">
      <c r="B255" s="11" t="s">
        <v>28</v>
      </c>
      <c r="U255" s="12"/>
      <c r="V255" s="12"/>
      <c r="W255" s="12"/>
      <c r="X255" s="12"/>
      <c r="Y255" s="12"/>
      <c r="Z255" s="79"/>
      <c r="AA255" s="79"/>
      <c r="AB255" s="79"/>
      <c r="AC255" s="79"/>
      <c r="AD255" s="79"/>
      <c r="AE255" s="79"/>
      <c r="AF255" s="79"/>
      <c r="AG255" s="79"/>
      <c r="AH255" s="79"/>
      <c r="AI255" s="79"/>
      <c r="AJ255" s="79"/>
      <c r="AK255" s="79"/>
      <c r="AL255" s="79"/>
      <c r="AM255" s="79"/>
      <c r="AN255" s="79"/>
      <c r="AO255" s="79"/>
      <c r="AP255" s="30">
        <f t="shared" ref="AP255:AY255" si="484">+AP254-0.01</f>
        <v>0</v>
      </c>
      <c r="AQ255" s="30">
        <f t="shared" si="484"/>
        <v>0</v>
      </c>
      <c r="AR255" s="30">
        <f t="shared" si="484"/>
        <v>0</v>
      </c>
      <c r="AS255" s="30">
        <f t="shared" si="484"/>
        <v>0</v>
      </c>
      <c r="AT255" s="30">
        <f t="shared" si="484"/>
        <v>0</v>
      </c>
      <c r="AU255" s="30">
        <f t="shared" si="484"/>
        <v>0</v>
      </c>
      <c r="AV255" s="30">
        <f t="shared" si="484"/>
        <v>0</v>
      </c>
      <c r="AW255" s="30">
        <f t="shared" si="484"/>
        <v>0</v>
      </c>
      <c r="AX255" s="30">
        <f t="shared" si="484"/>
        <v>0</v>
      </c>
      <c r="AY255" s="30">
        <f t="shared" si="484"/>
        <v>0</v>
      </c>
    </row>
    <row r="256" spans="2:51" customFormat="1">
      <c r="U256" s="6"/>
      <c r="V256" s="6"/>
      <c r="W256" s="6"/>
      <c r="X256" s="6"/>
      <c r="Y256" s="6"/>
      <c r="Z256" s="81"/>
      <c r="AA256" s="81"/>
      <c r="AB256" s="81"/>
      <c r="AC256" s="81"/>
      <c r="AD256" s="81"/>
      <c r="AE256" s="81"/>
      <c r="AF256" s="81"/>
      <c r="AG256" s="81"/>
      <c r="AH256" s="81"/>
      <c r="AI256" s="81"/>
      <c r="AJ256" s="81"/>
      <c r="AK256" s="81"/>
      <c r="AL256" s="81"/>
      <c r="AM256" s="81"/>
      <c r="AN256" s="81"/>
      <c r="AO256" s="81"/>
    </row>
    <row r="257" spans="1:52" customFormat="1">
      <c r="B257" t="s">
        <v>24</v>
      </c>
      <c r="H257" s="40"/>
      <c r="I257" s="40"/>
      <c r="J257" s="40"/>
      <c r="K257" s="40">
        <f>+SUM(AJ257:AM257)</f>
        <v>0</v>
      </c>
      <c r="L257" s="40">
        <f>+SUM(AN257:AQ257)</f>
        <v>0</v>
      </c>
      <c r="M257" s="40">
        <f>+SUM(AR257:AU257)</f>
        <v>-6.2400984065792801E-2</v>
      </c>
      <c r="N257" s="40">
        <f>+SUM(AV257:AY257)</f>
        <v>-7.3127820687629574E-2</v>
      </c>
      <c r="T257" s="25"/>
      <c r="U257" s="25"/>
      <c r="V257" s="25"/>
      <c r="W257" s="25"/>
      <c r="X257" s="25"/>
      <c r="Y257" s="25"/>
      <c r="Z257" s="25"/>
      <c r="AA257" s="25"/>
      <c r="AB257" s="145"/>
      <c r="AC257" s="145"/>
      <c r="AD257" s="145"/>
      <c r="AE257" s="145"/>
      <c r="AF257" s="145"/>
      <c r="AG257" s="145"/>
      <c r="AH257" s="145"/>
      <c r="AI257" s="145"/>
      <c r="AJ257" s="145"/>
      <c r="AK257" s="145"/>
      <c r="AL257" s="100">
        <f>+AL34-AL165-AL211-AL73-AL119</f>
        <v>0</v>
      </c>
      <c r="AM257" s="100">
        <f t="shared" ref="AM257:AQ257" si="485">+AM34-AM165-AM211-AM73-AM119</f>
        <v>0</v>
      </c>
      <c r="AN257" s="100">
        <f t="shared" ref="AN257:AO257" si="486">+AN34-AN165-AN211-AN73-AN119</f>
        <v>0</v>
      </c>
      <c r="AO257" s="100">
        <f t="shared" si="486"/>
        <v>0</v>
      </c>
      <c r="AP257" s="100">
        <f t="shared" si="485"/>
        <v>0</v>
      </c>
      <c r="AQ257" s="100">
        <f t="shared" si="485"/>
        <v>0</v>
      </c>
      <c r="AR257" s="6">
        <f t="shared" ref="AR257:AY257" si="487">+AR258*AR230*3</f>
        <v>-1.4515041702405838E-2</v>
      </c>
      <c r="AS257" s="6">
        <f t="shared" si="487"/>
        <v>-1.5254440461217674E-2</v>
      </c>
      <c r="AT257" s="6">
        <f t="shared" si="487"/>
        <v>-1.5969746471143634E-2</v>
      </c>
      <c r="AU257" s="6">
        <f t="shared" si="487"/>
        <v>-1.6661755431025653E-2</v>
      </c>
      <c r="AV257" s="6">
        <f t="shared" si="487"/>
        <v>-1.7331241339167018E-2</v>
      </c>
      <c r="AW257" s="6">
        <f t="shared" si="487"/>
        <v>-1.7978957073893218E-2</v>
      </c>
      <c r="AX257" s="6">
        <f t="shared" si="487"/>
        <v>-1.8605634959137283E-2</v>
      </c>
      <c r="AY257" s="6">
        <f t="shared" si="487"/>
        <v>-1.9211987315432055E-2</v>
      </c>
    </row>
    <row r="258" spans="1:52" s="3" customFormat="1">
      <c r="B258" s="10" t="s">
        <v>30</v>
      </c>
      <c r="U258" s="4"/>
      <c r="V258" s="4"/>
      <c r="W258" s="4"/>
      <c r="X258" s="4"/>
      <c r="Y258" s="4"/>
      <c r="Z258" s="114"/>
      <c r="AA258" s="114"/>
      <c r="AB258" s="114"/>
      <c r="AC258" s="114"/>
      <c r="AD258" s="114"/>
      <c r="AE258" s="114"/>
      <c r="AF258" s="114"/>
      <c r="AG258" s="114"/>
      <c r="AH258" s="114"/>
      <c r="AI258" s="114"/>
      <c r="AJ258" s="114"/>
      <c r="AK258" s="114"/>
      <c r="AL258" s="114">
        <f>+AL257/(AL230*3)</f>
        <v>0</v>
      </c>
      <c r="AM258" s="114">
        <f>+AM257/(AM230*3)</f>
        <v>0</v>
      </c>
      <c r="AN258" s="114">
        <f>+AN257/(AN230*3)</f>
        <v>0</v>
      </c>
      <c r="AO258" s="114">
        <f>+AO257/(AO230*3)</f>
        <v>0</v>
      </c>
      <c r="AP258" s="4">
        <v>-5.0000000000000001E-3</v>
      </c>
      <c r="AQ258" s="4">
        <v>-5.0000000000000001E-3</v>
      </c>
      <c r="AR258" s="4">
        <v>-5.0000000000000001E-3</v>
      </c>
      <c r="AS258" s="4">
        <v>-5.0000000000000001E-3</v>
      </c>
      <c r="AT258" s="4">
        <v>-5.0000000000000001E-3</v>
      </c>
      <c r="AU258" s="4">
        <v>-5.0000000000000001E-3</v>
      </c>
      <c r="AV258" s="4">
        <v>-5.0000000000000001E-3</v>
      </c>
      <c r="AW258" s="4">
        <v>-5.0000000000000001E-3</v>
      </c>
      <c r="AX258" s="4">
        <v>-5.0000000000000001E-3</v>
      </c>
      <c r="AY258" s="4">
        <v>-5.0000000000000001E-3</v>
      </c>
    </row>
    <row r="259" spans="1:52" s="11" customFormat="1">
      <c r="B259" s="11" t="s">
        <v>26</v>
      </c>
      <c r="U259" s="12"/>
      <c r="V259" s="12"/>
      <c r="W259" s="12"/>
      <c r="X259" s="12"/>
      <c r="Y259" s="12"/>
      <c r="Z259" s="79"/>
      <c r="AA259" s="79"/>
      <c r="AB259" s="79"/>
      <c r="AC259" s="79"/>
      <c r="AD259" s="79"/>
      <c r="AE259" s="79"/>
      <c r="AF259" s="79"/>
      <c r="AG259" s="79"/>
      <c r="AH259" s="79"/>
      <c r="AI259" s="79"/>
      <c r="AJ259" s="79"/>
      <c r="AK259" s="79"/>
      <c r="AL259" s="79"/>
      <c r="AM259" s="79"/>
      <c r="AN259" s="79"/>
      <c r="AO259" s="79"/>
      <c r="AP259" s="28">
        <v>0</v>
      </c>
      <c r="AQ259" s="28">
        <v>0</v>
      </c>
      <c r="AR259" s="28">
        <v>0</v>
      </c>
      <c r="AS259" s="28">
        <v>0</v>
      </c>
      <c r="AT259" s="28">
        <v>0</v>
      </c>
      <c r="AU259" s="28">
        <v>0</v>
      </c>
      <c r="AV259" s="28">
        <v>0</v>
      </c>
      <c r="AW259" s="28">
        <v>0</v>
      </c>
      <c r="AX259" s="28">
        <v>0</v>
      </c>
      <c r="AY259" s="28">
        <v>0</v>
      </c>
    </row>
    <row r="260" spans="1:52" s="11" customFormat="1">
      <c r="B260" s="11" t="s">
        <v>27</v>
      </c>
      <c r="U260" s="12"/>
      <c r="V260" s="12"/>
      <c r="W260" s="12"/>
      <c r="X260" s="12"/>
      <c r="Y260" s="12"/>
      <c r="Z260" s="79"/>
      <c r="AA260" s="79"/>
      <c r="AB260" s="79"/>
      <c r="AC260" s="79"/>
      <c r="AD260" s="79"/>
      <c r="AE260" s="79"/>
      <c r="AF260" s="79"/>
      <c r="AG260" s="79"/>
      <c r="AH260" s="79"/>
      <c r="AI260" s="79"/>
      <c r="AJ260" s="79"/>
      <c r="AK260" s="79"/>
      <c r="AL260" s="79"/>
      <c r="AM260" s="79"/>
      <c r="AN260" s="79"/>
      <c r="AO260" s="79"/>
      <c r="AP260" s="28">
        <v>-5.0000000000000001E-3</v>
      </c>
      <c r="AQ260" s="28">
        <v>-5.0000000000000001E-3</v>
      </c>
      <c r="AR260" s="28">
        <v>-5.0000000000000001E-3</v>
      </c>
      <c r="AS260" s="28">
        <v>-5.0000000000000001E-3</v>
      </c>
      <c r="AT260" s="28">
        <v>-5.0000000000000001E-3</v>
      </c>
      <c r="AU260" s="28">
        <v>-5.0000000000000001E-3</v>
      </c>
      <c r="AV260" s="28">
        <v>-5.0000000000000001E-3</v>
      </c>
      <c r="AW260" s="28">
        <v>-5.0000000000000001E-3</v>
      </c>
      <c r="AX260" s="28">
        <v>-5.0000000000000001E-3</v>
      </c>
      <c r="AY260" s="28">
        <v>-5.0000000000000001E-3</v>
      </c>
    </row>
    <row r="261" spans="1:52" s="11" customFormat="1">
      <c r="B261" s="11" t="s">
        <v>28</v>
      </c>
      <c r="U261" s="12"/>
      <c r="V261" s="12"/>
      <c r="W261" s="12"/>
      <c r="X261" s="12"/>
      <c r="Y261" s="12"/>
      <c r="Z261" s="79"/>
      <c r="AA261" s="79"/>
      <c r="AB261" s="79"/>
      <c r="AC261" s="79"/>
      <c r="AD261" s="79"/>
      <c r="AE261" s="79"/>
      <c r="AF261" s="79"/>
      <c r="AG261" s="79"/>
      <c r="AH261" s="79"/>
      <c r="AI261" s="79"/>
      <c r="AJ261" s="79"/>
      <c r="AK261" s="79"/>
      <c r="AL261" s="79"/>
      <c r="AM261" s="79"/>
      <c r="AN261" s="79"/>
      <c r="AO261" s="79"/>
      <c r="AP261" s="21">
        <f t="shared" ref="AP261:AY261" si="488">+AP260-0.001</f>
        <v>-6.0000000000000001E-3</v>
      </c>
      <c r="AQ261" s="21">
        <f t="shared" si="488"/>
        <v>-6.0000000000000001E-3</v>
      </c>
      <c r="AR261" s="21">
        <f t="shared" si="488"/>
        <v>-6.0000000000000001E-3</v>
      </c>
      <c r="AS261" s="21">
        <f t="shared" si="488"/>
        <v>-6.0000000000000001E-3</v>
      </c>
      <c r="AT261" s="21">
        <f t="shared" si="488"/>
        <v>-6.0000000000000001E-3</v>
      </c>
      <c r="AU261" s="21">
        <f t="shared" si="488"/>
        <v>-6.0000000000000001E-3</v>
      </c>
      <c r="AV261" s="21">
        <f t="shared" si="488"/>
        <v>-6.0000000000000001E-3</v>
      </c>
      <c r="AW261" s="21">
        <f t="shared" si="488"/>
        <v>-6.0000000000000001E-3</v>
      </c>
      <c r="AX261" s="21">
        <f t="shared" si="488"/>
        <v>-6.0000000000000001E-3</v>
      </c>
      <c r="AY261" s="21">
        <f t="shared" si="488"/>
        <v>-6.0000000000000001E-3</v>
      </c>
    </row>
    <row r="262" spans="1:52" s="3" customFormat="1">
      <c r="B262" s="10"/>
      <c r="U262" s="4"/>
      <c r="V262" s="4"/>
      <c r="W262" s="4"/>
      <c r="X262" s="4"/>
      <c r="Y262" s="4"/>
      <c r="Z262" s="114"/>
      <c r="AA262" s="114"/>
      <c r="AB262" s="114"/>
      <c r="AC262" s="114"/>
      <c r="AD262" s="114"/>
      <c r="AE262" s="114"/>
      <c r="AF262" s="114"/>
      <c r="AG262" s="114"/>
      <c r="AH262" s="114"/>
      <c r="AI262" s="114"/>
      <c r="AJ262" s="114"/>
      <c r="AK262" s="114"/>
      <c r="AL262" s="114"/>
      <c r="AM262" s="114"/>
      <c r="AN262" s="114"/>
      <c r="AO262" s="114"/>
    </row>
    <row r="263" spans="1:52" customFormat="1">
      <c r="B263" t="s">
        <v>25</v>
      </c>
      <c r="H263" s="40"/>
      <c r="I263" s="40"/>
      <c r="J263" s="40"/>
      <c r="K263" s="40">
        <f>+SUM(AJ263:AM263)</f>
        <v>0.24260000000000015</v>
      </c>
      <c r="L263" s="40">
        <f>+SUM(AN263:AQ263)</f>
        <v>0.41033611349372967</v>
      </c>
      <c r="M263" s="40">
        <f>+SUM(AR263:AU263)</f>
        <v>0.18774664245074552</v>
      </c>
      <c r="N263" s="40">
        <f>+SUM(AV263:AY263)</f>
        <v>0.16449771050101097</v>
      </c>
      <c r="U263" s="6"/>
      <c r="V263" s="6"/>
      <c r="W263" s="6"/>
      <c r="X263" s="6"/>
      <c r="Y263" s="6"/>
      <c r="Z263" s="81"/>
      <c r="AA263" s="81"/>
      <c r="AB263" s="81"/>
      <c r="AC263" s="81"/>
      <c r="AD263" s="81"/>
      <c r="AE263" s="81"/>
      <c r="AF263" s="81"/>
      <c r="AG263" s="81"/>
      <c r="AH263" s="81"/>
      <c r="AI263" s="81"/>
      <c r="AJ263" s="81"/>
      <c r="AK263" s="81"/>
      <c r="AL263" s="81">
        <f>-AL243+AL257</f>
        <v>0.21759999999999979</v>
      </c>
      <c r="AM263" s="81">
        <f>-AM243+AM257</f>
        <v>2.5000000000000355E-2</v>
      </c>
      <c r="AN263" s="81">
        <f>-AN243+AN257</f>
        <v>4.6000000000000485E-2</v>
      </c>
      <c r="AO263" s="81">
        <f>-AO243+AO257</f>
        <v>0.23399999999999965</v>
      </c>
      <c r="AP263" s="6">
        <f t="shared" ref="AP263:AY263" si="489">-AP243+AP257</f>
        <v>6.563141442720484E-2</v>
      </c>
      <c r="AQ263" s="6">
        <f t="shared" si="489"/>
        <v>6.4704699066524735E-2</v>
      </c>
      <c r="AR263" s="6">
        <f t="shared" si="489"/>
        <v>4.9293250587455789E-2</v>
      </c>
      <c r="AS263" s="6">
        <f t="shared" si="489"/>
        <v>4.7687067328397427E-2</v>
      </c>
      <c r="AT263" s="6">
        <f t="shared" si="489"/>
        <v>4.6133930658801101E-2</v>
      </c>
      <c r="AU263" s="6">
        <f t="shared" si="489"/>
        <v>4.4632393876091178E-2</v>
      </c>
      <c r="AV263" s="6">
        <f t="shared" si="489"/>
        <v>4.3181048981746815E-2</v>
      </c>
      <c r="AW263" s="6">
        <f t="shared" si="489"/>
        <v>4.177852568293744E-2</v>
      </c>
      <c r="AX263" s="6">
        <f t="shared" si="489"/>
        <v>4.0423490419651681E-2</v>
      </c>
      <c r="AY263" s="6">
        <f t="shared" si="489"/>
        <v>3.9114645416675045E-2</v>
      </c>
    </row>
    <row r="264" spans="1:52" customFormat="1">
      <c r="T264" s="19"/>
      <c r="Z264" s="15"/>
      <c r="AA264" s="15"/>
      <c r="AB264" s="15"/>
      <c r="AC264" s="15"/>
      <c r="AD264" s="15"/>
      <c r="AE264" s="15"/>
      <c r="AF264" s="15"/>
      <c r="AG264" s="15"/>
      <c r="AH264" s="15"/>
      <c r="AI264" s="15"/>
      <c r="AJ264" s="15"/>
      <c r="AK264" s="15"/>
      <c r="AL264" s="15"/>
      <c r="AM264" s="15"/>
      <c r="AN264" s="15"/>
      <c r="AO264" s="15"/>
      <c r="AP264" s="15"/>
      <c r="AQ264" s="15"/>
      <c r="AR264" s="15"/>
      <c r="AS264" s="15"/>
      <c r="AT264" s="15"/>
      <c r="AU264" s="15"/>
      <c r="AV264" s="15"/>
      <c r="AW264" s="15"/>
      <c r="AX264" s="15"/>
      <c r="AY264" s="15"/>
      <c r="AZ264" s="15"/>
    </row>
    <row r="265" spans="1:52" customFormat="1">
      <c r="B265" t="s">
        <v>31</v>
      </c>
      <c r="F265" s="19"/>
      <c r="G265" s="6"/>
      <c r="H265" s="40"/>
      <c r="I265" s="40"/>
      <c r="J265" s="40"/>
      <c r="K265" s="40">
        <f>+SUM(AJ265:AM265)</f>
        <v>13</v>
      </c>
      <c r="L265" s="40">
        <f>+SUM(AN265:AQ265)</f>
        <v>25.338121099104495</v>
      </c>
      <c r="M265" s="40">
        <f>+SUM(AR265:AU265)</f>
        <v>29.593107883909891</v>
      </c>
      <c r="N265" s="40">
        <f>+SUM(AV265:AY265)</f>
        <v>31.699726988361018</v>
      </c>
      <c r="T265" s="19"/>
      <c r="U265" s="19"/>
      <c r="V265" s="19"/>
      <c r="W265" s="19"/>
      <c r="X265" s="19"/>
      <c r="Y265" s="19"/>
      <c r="Z265" s="19"/>
      <c r="AA265" s="19"/>
      <c r="AB265" s="19"/>
      <c r="AC265" s="19"/>
      <c r="AD265" s="19"/>
      <c r="AE265" s="19"/>
      <c r="AF265" s="19"/>
      <c r="AG265" s="19"/>
      <c r="AH265" s="19"/>
      <c r="AI265" s="19"/>
      <c r="AJ265" s="19"/>
      <c r="AK265" s="19"/>
      <c r="AL265" s="19">
        <v>5.5</v>
      </c>
      <c r="AM265" s="19">
        <v>7.5</v>
      </c>
      <c r="AN265" s="19">
        <v>5.0999999999999996</v>
      </c>
      <c r="AO265" s="19">
        <v>6.4</v>
      </c>
      <c r="AP265" s="6">
        <f t="shared" ref="AP265:AY265" si="490">+SUM(AP268:AP269)</f>
        <v>6.8213856907120078</v>
      </c>
      <c r="AQ265" s="6">
        <f t="shared" si="490"/>
        <v>7.0167354083924884</v>
      </c>
      <c r="AR265" s="6">
        <f t="shared" si="490"/>
        <v>7.185163758126949</v>
      </c>
      <c r="AS265" s="6">
        <f t="shared" si="490"/>
        <v>7.3303665377908853</v>
      </c>
      <c r="AT265" s="6">
        <f t="shared" si="490"/>
        <v>7.4708391786600838</v>
      </c>
      <c r="AU265" s="6">
        <f t="shared" si="490"/>
        <v>7.606738409331971</v>
      </c>
      <c r="AV265" s="6">
        <f t="shared" si="490"/>
        <v>7.738216682803003</v>
      </c>
      <c r="AW265" s="6">
        <f t="shared" si="490"/>
        <v>7.8654222909168947</v>
      </c>
      <c r="AX265" s="6">
        <f t="shared" si="490"/>
        <v>7.9884994758602303</v>
      </c>
      <c r="AY265" s="6">
        <f t="shared" si="490"/>
        <v>8.1075885387808917</v>
      </c>
    </row>
    <row r="266" spans="1:52" customFormat="1">
      <c r="B266" s="7" t="s">
        <v>36</v>
      </c>
      <c r="G266" s="23"/>
      <c r="H266" s="23"/>
      <c r="I266" s="23"/>
      <c r="J266" s="23"/>
      <c r="K266" s="23"/>
      <c r="L266" s="23">
        <f t="shared" ref="L266:N266" si="491">+L265/K265-1</f>
        <v>0.94908623839265349</v>
      </c>
      <c r="M266" s="23">
        <f t="shared" si="491"/>
        <v>0.16792826777340553</v>
      </c>
      <c r="N266" s="23">
        <f t="shared" si="491"/>
        <v>7.1186139445547081E-2</v>
      </c>
      <c r="U266" s="19"/>
      <c r="V266" s="19"/>
      <c r="W266" s="19"/>
      <c r="X266" s="23"/>
      <c r="Y266" s="23"/>
      <c r="Z266" s="48"/>
      <c r="AA266" s="48"/>
      <c r="AB266" s="48"/>
      <c r="AC266" s="48"/>
      <c r="AD266" s="48"/>
      <c r="AE266" s="48"/>
      <c r="AF266" s="48"/>
      <c r="AG266" s="48"/>
      <c r="AH266" s="48"/>
      <c r="AI266" s="48"/>
      <c r="AJ266" s="48"/>
      <c r="AK266" s="48"/>
      <c r="AL266" s="48"/>
      <c r="AM266" s="48"/>
      <c r="AN266" s="48"/>
      <c r="AO266" s="48"/>
      <c r="AP266" s="23">
        <f t="shared" ref="AP266" si="492">+AP265/AL265-1</f>
        <v>0.24025194376581971</v>
      </c>
      <c r="AQ266" s="23">
        <f t="shared" ref="AQ266" si="493">+AQ265/AM265-1</f>
        <v>-6.4435278881001534E-2</v>
      </c>
      <c r="AR266" s="23">
        <f t="shared" ref="AR266" si="494">+AR265/AN265-1</f>
        <v>0.40885563884842147</v>
      </c>
      <c r="AS266" s="23">
        <f t="shared" ref="AS266" si="495">+AS265/AO265-1</f>
        <v>0.14536977152982566</v>
      </c>
      <c r="AT266" s="23">
        <f t="shared" ref="AT266" si="496">+AT265/AP265-1</f>
        <v>9.5208439662394673E-2</v>
      </c>
      <c r="AU266" s="23">
        <f t="shared" ref="AU266" si="497">+AU265/AQ265-1</f>
        <v>8.4085114600986444E-2</v>
      </c>
      <c r="AV266" s="23">
        <f t="shared" ref="AV266" si="498">+AV265/AR265-1</f>
        <v>7.6971512869210557E-2</v>
      </c>
      <c r="AW266" s="23">
        <f t="shared" ref="AW266" si="499">+AW265/AS265-1</f>
        <v>7.299167788780947E-2</v>
      </c>
      <c r="AX266" s="23">
        <f t="shared" ref="AX266" si="500">+AX265/AT265-1</f>
        <v>6.9290783112934129E-2</v>
      </c>
      <c r="AY266" s="23">
        <f t="shared" ref="AY266" si="501">+AY265/AU265-1</f>
        <v>6.5842954298845902E-2</v>
      </c>
    </row>
    <row r="267" spans="1:52" customFormat="1">
      <c r="B267" s="7" t="s">
        <v>37</v>
      </c>
      <c r="U267" s="23"/>
      <c r="V267" s="23"/>
      <c r="W267" s="23"/>
      <c r="X267" s="23"/>
      <c r="Y267" s="23"/>
      <c r="Z267" s="48"/>
      <c r="AA267" s="48"/>
      <c r="AB267" s="48"/>
      <c r="AC267" s="48"/>
      <c r="AD267" s="48"/>
      <c r="AE267" s="48"/>
      <c r="AF267" s="48"/>
      <c r="AG267" s="48"/>
      <c r="AH267" s="48"/>
      <c r="AI267" s="48"/>
      <c r="AJ267" s="48"/>
      <c r="AK267" s="48"/>
      <c r="AL267" s="48"/>
      <c r="AM267" s="48"/>
      <c r="AN267" s="48"/>
      <c r="AO267" s="48"/>
      <c r="AP267" s="23">
        <f t="shared" ref="AP267" si="502">+AP265/AO265-1</f>
        <v>6.584151417375117E-2</v>
      </c>
      <c r="AQ267" s="23">
        <f t="shared" ref="AQ267" si="503">+AQ265/AP265-1</f>
        <v>2.8637834970461906E-2</v>
      </c>
      <c r="AR267" s="23">
        <f t="shared" ref="AR267" si="504">+AR265/AQ265-1</f>
        <v>2.4003805178831383E-2</v>
      </c>
      <c r="AS267" s="23">
        <f t="shared" ref="AS267" si="505">+AS265/AR265-1</f>
        <v>2.0208694547803718E-2</v>
      </c>
      <c r="AT267" s="23">
        <f t="shared" ref="AT267" si="506">+AT265/AS265-1</f>
        <v>1.9163112805479443E-2</v>
      </c>
      <c r="AU267" s="23">
        <f t="shared" ref="AU267" si="507">+AU265/AT265-1</f>
        <v>1.8190624563311886E-2</v>
      </c>
      <c r="AV267" s="23">
        <f t="shared" ref="AV267" si="508">+AV265/AU265-1</f>
        <v>1.7284447866609209E-2</v>
      </c>
      <c r="AW267" s="23">
        <f t="shared" ref="AW267" si="509">+AW265/AV265-1</f>
        <v>1.6438620592853947E-2</v>
      </c>
      <c r="AX267" s="23">
        <f t="shared" ref="AX267" si="510">+AX265/AW265-1</f>
        <v>1.5647880099898481E-2</v>
      </c>
      <c r="AY267" s="23">
        <f t="shared" ref="AY267" si="511">+AY265/AX265-1</f>
        <v>1.4907563464268359E-2</v>
      </c>
    </row>
    <row r="268" spans="1:52" customFormat="1">
      <c r="B268" t="s">
        <v>35</v>
      </c>
      <c r="H268" s="40"/>
      <c r="I268" s="40"/>
      <c r="J268" s="40"/>
      <c r="K268" s="40">
        <f>+SUM(AJ268:AM268)</f>
        <v>4.5000000000000391</v>
      </c>
      <c r="L268" s="40">
        <f>+SUM(AN268:AQ268)</f>
        <v>9.8381210991044146</v>
      </c>
      <c r="M268" s="40">
        <f>+SUM(AR268:AU268)</f>
        <v>12.793107883909801</v>
      </c>
      <c r="N268" s="40">
        <f>+SUM(AV268:AY268)</f>
        <v>14.899726988360934</v>
      </c>
      <c r="U268" s="18"/>
      <c r="V268" s="18"/>
      <c r="W268" s="18"/>
      <c r="X268" s="18"/>
      <c r="Y268" s="18"/>
      <c r="Z268" s="111"/>
      <c r="AA268" s="111"/>
      <c r="AB268" s="111"/>
      <c r="AC268" s="111"/>
      <c r="AD268" s="111"/>
      <c r="AE268" s="111"/>
      <c r="AF268" s="111"/>
      <c r="AG268" s="111"/>
      <c r="AH268" s="111"/>
      <c r="AI268" s="111"/>
      <c r="AJ268" s="111"/>
      <c r="AK268" s="111"/>
      <c r="AL268" s="111">
        <f>+SUM(AL235:AL236)</f>
        <v>2.3000000000000194</v>
      </c>
      <c r="AM268" s="111">
        <f>+SUM(AM235:AM236)</f>
        <v>2.2000000000000193</v>
      </c>
      <c r="AN268" s="111">
        <f>+SUM(AN235:AN236)</f>
        <v>2.1999999999999824</v>
      </c>
      <c r="AO268" s="111">
        <f>+SUM(AO235:AO236)</f>
        <v>2.1999999999999789</v>
      </c>
      <c r="AP268" s="6">
        <f t="shared" ref="AP268:AY268" si="512">+AP233</f>
        <v>2.6213856907119863</v>
      </c>
      <c r="AQ268" s="6">
        <f t="shared" si="512"/>
        <v>2.8167354083924674</v>
      </c>
      <c r="AR268" s="6">
        <f t="shared" si="512"/>
        <v>2.985163758126927</v>
      </c>
      <c r="AS268" s="6">
        <f t="shared" si="512"/>
        <v>3.1303665377908643</v>
      </c>
      <c r="AT268" s="6">
        <f t="shared" si="512"/>
        <v>3.2708391786600619</v>
      </c>
      <c r="AU268" s="6">
        <f t="shared" si="512"/>
        <v>3.406738409331949</v>
      </c>
      <c r="AV268" s="6">
        <f t="shared" si="512"/>
        <v>3.5382166828029815</v>
      </c>
      <c r="AW268" s="6">
        <f t="shared" si="512"/>
        <v>3.6654222909168728</v>
      </c>
      <c r="AX268" s="6">
        <f t="shared" si="512"/>
        <v>3.7884994758602093</v>
      </c>
      <c r="AY268" s="6">
        <f t="shared" si="512"/>
        <v>3.9075885387808693</v>
      </c>
    </row>
    <row r="269" spans="1:52" customFormat="1">
      <c r="B269" t="s">
        <v>34</v>
      </c>
      <c r="H269" s="40"/>
      <c r="I269" s="40"/>
      <c r="J269" s="40"/>
      <c r="K269" s="40">
        <f>+SUM(AJ269:AM269)</f>
        <v>8.4999999999999609</v>
      </c>
      <c r="L269" s="40">
        <f>+SUM(AN269:AQ269)</f>
        <v>15.500000000000082</v>
      </c>
      <c r="M269" s="40">
        <f>+SUM(AR269:AU269)</f>
        <v>16.800000000000086</v>
      </c>
      <c r="N269" s="40">
        <f>+SUM(AV269:AY269)</f>
        <v>16.800000000000086</v>
      </c>
      <c r="U269" s="6"/>
      <c r="V269" s="6"/>
      <c r="W269" s="6"/>
      <c r="X269" s="6"/>
      <c r="Y269" s="6"/>
      <c r="Z269" s="81"/>
      <c r="AA269" s="81"/>
      <c r="AB269" s="81"/>
      <c r="AC269" s="81"/>
      <c r="AD269" s="81"/>
      <c r="AE269" s="81"/>
      <c r="AF269" s="81"/>
      <c r="AG269" s="81"/>
      <c r="AH269" s="81"/>
      <c r="AI269" s="81"/>
      <c r="AJ269" s="81"/>
      <c r="AK269" s="81"/>
      <c r="AL269" s="81">
        <f>+AL265-SUM(AL235,AL236)</f>
        <v>3.1999999999999806</v>
      </c>
      <c r="AM269" s="81">
        <f>+AM265-SUM(AM235,AM236)</f>
        <v>5.2999999999999812</v>
      </c>
      <c r="AN269" s="81">
        <f>+AN265-SUM(AN235,AN236)</f>
        <v>2.9000000000000172</v>
      </c>
      <c r="AO269" s="81">
        <f>+AO265-SUM(AO235,AO236)</f>
        <v>4.2000000000000215</v>
      </c>
      <c r="AP269" s="19">
        <f t="shared" ref="AP269:AY269" si="513">+AO269</f>
        <v>4.2000000000000215</v>
      </c>
      <c r="AQ269" s="19">
        <f t="shared" si="513"/>
        <v>4.2000000000000215</v>
      </c>
      <c r="AR269" s="19">
        <f t="shared" si="513"/>
        <v>4.2000000000000215</v>
      </c>
      <c r="AS269" s="19">
        <f t="shared" si="513"/>
        <v>4.2000000000000215</v>
      </c>
      <c r="AT269" s="19">
        <f t="shared" si="513"/>
        <v>4.2000000000000215</v>
      </c>
      <c r="AU269" s="19">
        <f t="shared" si="513"/>
        <v>4.2000000000000215</v>
      </c>
      <c r="AV269" s="19">
        <f t="shared" si="513"/>
        <v>4.2000000000000215</v>
      </c>
      <c r="AW269" s="19">
        <f t="shared" si="513"/>
        <v>4.2000000000000215</v>
      </c>
      <c r="AX269" s="19">
        <f t="shared" si="513"/>
        <v>4.2000000000000215</v>
      </c>
      <c r="AY269" s="19">
        <f t="shared" si="513"/>
        <v>4.2000000000000215</v>
      </c>
    </row>
    <row r="270" spans="1:52" customFormat="1">
      <c r="U270" s="6"/>
      <c r="Z270" s="15"/>
      <c r="AA270" s="15"/>
      <c r="AB270" s="15"/>
      <c r="AC270" s="15"/>
      <c r="AD270" s="15"/>
      <c r="AE270" s="15"/>
      <c r="AF270" s="15"/>
      <c r="AG270" s="15"/>
      <c r="AH270" s="15"/>
      <c r="AI270" s="15"/>
      <c r="AJ270" s="15"/>
      <c r="AK270" s="15"/>
      <c r="AL270" s="15"/>
      <c r="AM270" s="15"/>
      <c r="AN270" s="32"/>
      <c r="AO270" s="32"/>
      <c r="AP270" s="32"/>
      <c r="AQ270" s="32"/>
      <c r="AR270" s="32"/>
      <c r="AS270" s="32"/>
      <c r="AT270" s="32"/>
      <c r="AU270" s="32"/>
      <c r="AV270" s="32"/>
      <c r="AW270" s="32"/>
      <c r="AX270" s="32"/>
      <c r="AY270" s="32"/>
    </row>
    <row r="271" spans="1:52" s="5" customFormat="1">
      <c r="B271" s="5" t="s">
        <v>52</v>
      </c>
      <c r="U271" s="37"/>
      <c r="V271" s="37"/>
      <c r="W271" s="37"/>
      <c r="X271" s="37"/>
      <c r="Y271" s="37"/>
      <c r="Z271" s="96"/>
      <c r="AA271" s="96"/>
      <c r="AB271" s="36"/>
      <c r="AC271" s="36"/>
      <c r="AD271" s="291"/>
      <c r="AE271" s="291"/>
      <c r="AF271" s="291"/>
      <c r="AG271" s="291"/>
      <c r="AH271" s="291"/>
      <c r="AI271" s="291"/>
      <c r="AJ271" s="291"/>
      <c r="AK271" s="291"/>
      <c r="AL271" s="38"/>
      <c r="AM271" s="38"/>
      <c r="AN271" s="38"/>
      <c r="AO271" s="38"/>
      <c r="AP271" s="38"/>
      <c r="AQ271" s="38"/>
      <c r="AR271" s="38"/>
      <c r="AS271" s="38"/>
      <c r="AT271" s="38"/>
      <c r="AU271" s="38"/>
      <c r="AV271" s="38"/>
      <c r="AW271" s="38"/>
      <c r="AX271" s="38"/>
      <c r="AY271" s="38"/>
    </row>
    <row r="272" spans="1:52">
      <c r="A272" s="301"/>
      <c r="B272" s="301"/>
      <c r="C272" s="301"/>
      <c r="D272" s="301"/>
      <c r="E272" s="301"/>
      <c r="F272" s="301"/>
      <c r="G272" s="301"/>
      <c r="H272" s="301"/>
      <c r="I272" s="301"/>
      <c r="J272" s="301"/>
      <c r="K272" s="301"/>
      <c r="L272" s="301"/>
      <c r="M272" s="301"/>
      <c r="N272" s="301"/>
      <c r="O272" s="301"/>
      <c r="P272" s="301"/>
      <c r="Q272" s="301"/>
      <c r="R272" s="301"/>
      <c r="S272" s="301"/>
      <c r="T272" s="301"/>
      <c r="U272" s="301"/>
      <c r="V272" s="301"/>
      <c r="W272" s="301"/>
      <c r="X272" s="301"/>
      <c r="Y272" s="301"/>
      <c r="Z272" s="301"/>
      <c r="AA272" s="15"/>
      <c r="AB272" s="301"/>
      <c r="AC272" s="301"/>
      <c r="AD272" s="301"/>
    </row>
    <row r="273" spans="1:51" s="1" customFormat="1">
      <c r="A273" s="27" t="s">
        <v>40</v>
      </c>
      <c r="B273" s="149" t="s">
        <v>410</v>
      </c>
      <c r="T273" s="33" t="str">
        <f>+T$3</f>
        <v>1Q13</v>
      </c>
      <c r="U273" s="33" t="str">
        <f t="shared" ref="U273:AY273" si="514">+U$3</f>
        <v>2Q13</v>
      </c>
      <c r="V273" s="33" t="str">
        <f t="shared" si="514"/>
        <v>3Q13</v>
      </c>
      <c r="W273" s="33" t="str">
        <f t="shared" si="514"/>
        <v>4Q13</v>
      </c>
      <c r="X273" s="33" t="str">
        <f t="shared" si="514"/>
        <v>1Q14</v>
      </c>
      <c r="Y273" s="33" t="str">
        <f t="shared" si="514"/>
        <v>2Q14</v>
      </c>
      <c r="Z273" s="33" t="str">
        <f t="shared" si="514"/>
        <v>3Q14</v>
      </c>
      <c r="AA273" s="33" t="str">
        <f t="shared" si="514"/>
        <v>4Q14</v>
      </c>
      <c r="AB273" s="33" t="str">
        <f t="shared" si="514"/>
        <v>1Q15</v>
      </c>
      <c r="AC273" s="33" t="str">
        <f t="shared" si="514"/>
        <v>2Q15</v>
      </c>
      <c r="AD273" s="33" t="str">
        <f t="shared" si="514"/>
        <v>3Q15</v>
      </c>
      <c r="AE273" s="33" t="str">
        <f t="shared" si="514"/>
        <v>4Q15</v>
      </c>
      <c r="AF273" s="33" t="str">
        <f t="shared" si="514"/>
        <v>1Q16</v>
      </c>
      <c r="AG273" s="33" t="str">
        <f t="shared" si="514"/>
        <v>2Q16</v>
      </c>
      <c r="AH273" s="33" t="str">
        <f t="shared" si="514"/>
        <v>3Q16</v>
      </c>
      <c r="AI273" s="33" t="str">
        <f t="shared" si="514"/>
        <v>4Q16</v>
      </c>
      <c r="AJ273" s="33" t="str">
        <f t="shared" si="514"/>
        <v>1Q17</v>
      </c>
      <c r="AK273" s="33" t="str">
        <f t="shared" si="514"/>
        <v>2Q17</v>
      </c>
      <c r="AL273" s="33" t="str">
        <f t="shared" si="514"/>
        <v>3Q17</v>
      </c>
      <c r="AM273" s="33" t="str">
        <f t="shared" si="514"/>
        <v>4Q17</v>
      </c>
      <c r="AN273" s="33" t="str">
        <f t="shared" si="514"/>
        <v>1Q18</v>
      </c>
      <c r="AO273" s="33" t="str">
        <f t="shared" si="514"/>
        <v>2Q18</v>
      </c>
      <c r="AP273" s="33" t="str">
        <f t="shared" si="514"/>
        <v>3Q18E</v>
      </c>
      <c r="AQ273" s="33" t="str">
        <f t="shared" si="514"/>
        <v>4Q18E</v>
      </c>
      <c r="AR273" s="33" t="str">
        <f t="shared" si="514"/>
        <v>1Q19E</v>
      </c>
      <c r="AS273" s="33" t="str">
        <f t="shared" si="514"/>
        <v>2Q19E</v>
      </c>
      <c r="AT273" s="33" t="str">
        <f t="shared" si="514"/>
        <v>3Q19E</v>
      </c>
      <c r="AU273" s="33" t="str">
        <f t="shared" si="514"/>
        <v>4Q19E</v>
      </c>
      <c r="AV273" s="33" t="str">
        <f t="shared" si="514"/>
        <v>1Q20E</v>
      </c>
      <c r="AW273" s="33" t="str">
        <f t="shared" si="514"/>
        <v>2Q20E</v>
      </c>
      <c r="AX273" s="33" t="str">
        <f t="shared" si="514"/>
        <v>3Q20E</v>
      </c>
      <c r="AY273" s="33" t="str">
        <f t="shared" si="514"/>
        <v>4Q20E</v>
      </c>
    </row>
    <row r="274" spans="1:51" customFormat="1">
      <c r="B274" s="294"/>
      <c r="T274" s="19"/>
      <c r="U274" s="19"/>
      <c r="V274" s="19"/>
      <c r="W274" s="19"/>
      <c r="X274" s="19"/>
      <c r="Y274" s="19"/>
      <c r="Z274" s="19"/>
      <c r="AA274" s="19"/>
      <c r="AB274" s="19"/>
      <c r="AC274" s="19"/>
    </row>
    <row r="275" spans="1:51" customFormat="1">
      <c r="B275" s="61"/>
      <c r="Z275" s="15"/>
      <c r="AA275" s="15"/>
      <c r="AB275" s="15"/>
      <c r="AC275" s="15"/>
      <c r="AD275" s="15"/>
      <c r="AE275" s="15"/>
      <c r="AF275" s="15"/>
      <c r="AG275" s="15"/>
      <c r="AH275" s="15"/>
      <c r="AI275" s="15"/>
      <c r="AJ275" s="15"/>
      <c r="AK275" s="80"/>
      <c r="AL275" s="80"/>
      <c r="AM275" s="80"/>
      <c r="AN275" s="40"/>
      <c r="AO275" s="40"/>
      <c r="AP275" s="40"/>
      <c r="AQ275" s="40"/>
      <c r="AR275" s="40"/>
      <c r="AS275" s="40"/>
      <c r="AT275" s="40"/>
      <c r="AU275" s="40"/>
      <c r="AV275" s="40"/>
      <c r="AW275" s="40"/>
      <c r="AX275" s="40"/>
      <c r="AY275" s="40"/>
    </row>
    <row r="276" spans="1:51" customFormat="1">
      <c r="B276" s="61" t="s">
        <v>31</v>
      </c>
      <c r="F276" s="19"/>
      <c r="G276" s="6"/>
      <c r="H276" s="40"/>
      <c r="I276" s="40"/>
      <c r="J276" s="40"/>
      <c r="K276" s="40">
        <f>+SUM(AJ276:AM276)</f>
        <v>323.25599999999997</v>
      </c>
      <c r="L276" s="40">
        <f>+SUM(AN276:AQ276)</f>
        <v>496.35058749999996</v>
      </c>
      <c r="M276" s="40">
        <f>+SUM(AR276:AU276)</f>
        <v>482.9894363057378</v>
      </c>
      <c r="N276" s="40">
        <f>+SUM(AV276:AY276)</f>
        <v>473.40185480221913</v>
      </c>
      <c r="T276" s="19"/>
      <c r="U276" s="19"/>
      <c r="V276" s="19"/>
      <c r="W276" s="19"/>
      <c r="X276" s="19"/>
      <c r="Y276" s="19"/>
      <c r="Z276" s="19"/>
      <c r="AA276" s="19"/>
      <c r="AB276" s="19"/>
      <c r="AC276" s="19"/>
      <c r="AD276" s="19"/>
      <c r="AE276" s="19"/>
      <c r="AF276" s="19"/>
      <c r="AG276" s="19"/>
      <c r="AH276" s="19"/>
      <c r="AI276" s="19"/>
      <c r="AJ276" s="323">
        <v>57.54050999999999</v>
      </c>
      <c r="AK276" s="323">
        <v>57.515489999999993</v>
      </c>
      <c r="AL276" s="19">
        <v>79.3</v>
      </c>
      <c r="AM276" s="19">
        <v>128.9</v>
      </c>
      <c r="AN276" s="19">
        <v>127.7</v>
      </c>
      <c r="AO276" s="19">
        <v>123.5</v>
      </c>
      <c r="AP276" s="6">
        <f t="shared" ref="AP276:AY276" si="515">+AO276*(1+AP278)</f>
        <v>122.88249999999999</v>
      </c>
      <c r="AQ276" s="6">
        <f t="shared" si="515"/>
        <v>122.26808749999999</v>
      </c>
      <c r="AR276" s="6">
        <f t="shared" si="515"/>
        <v>121.65674706249999</v>
      </c>
      <c r="AS276" s="6">
        <f t="shared" si="515"/>
        <v>121.04846332718749</v>
      </c>
      <c r="AT276" s="6">
        <f t="shared" si="515"/>
        <v>120.44322101055155</v>
      </c>
      <c r="AU276" s="6">
        <f t="shared" si="515"/>
        <v>119.84100490549879</v>
      </c>
      <c r="AV276" s="6">
        <f t="shared" si="515"/>
        <v>119.2417998809713</v>
      </c>
      <c r="AW276" s="6">
        <f t="shared" si="515"/>
        <v>118.64559088156645</v>
      </c>
      <c r="AX276" s="6">
        <f t="shared" si="515"/>
        <v>118.05236292715861</v>
      </c>
      <c r="AY276" s="6">
        <f t="shared" si="515"/>
        <v>117.46210111252282</v>
      </c>
    </row>
    <row r="277" spans="1:51" customFormat="1">
      <c r="B277" s="295" t="s">
        <v>36</v>
      </c>
      <c r="G277" s="23"/>
      <c r="H277" s="23"/>
      <c r="I277" s="23"/>
      <c r="J277" s="23"/>
      <c r="K277" s="23"/>
      <c r="L277" s="23">
        <f>+L276/K276-1</f>
        <v>0.5354721567426437</v>
      </c>
      <c r="M277" s="23">
        <f>+M276/L276-1</f>
        <v>-2.691877783717167E-2</v>
      </c>
      <c r="N277" s="23">
        <f>+N276/M276-1</f>
        <v>-1.9850499375000052E-2</v>
      </c>
      <c r="U277" s="19"/>
      <c r="V277" s="19"/>
      <c r="W277" s="19"/>
      <c r="X277" s="23"/>
      <c r="Y277" s="23"/>
      <c r="Z277" s="48"/>
      <c r="AA277" s="48"/>
      <c r="AB277" s="48"/>
      <c r="AC277" s="48"/>
      <c r="AD277" s="48"/>
      <c r="AE277" s="48"/>
      <c r="AF277" s="48"/>
      <c r="AG277" s="48"/>
      <c r="AH277" s="48"/>
      <c r="AI277" s="48"/>
      <c r="AJ277" s="48"/>
      <c r="AK277" s="48"/>
      <c r="AL277" s="48"/>
      <c r="AM277" s="48"/>
      <c r="AN277" s="48"/>
      <c r="AO277" s="48"/>
      <c r="AP277" s="23">
        <f t="shared" ref="AP277" si="516">+AP276/AL276-1</f>
        <v>0.54959016393442628</v>
      </c>
      <c r="AQ277" s="23">
        <f t="shared" ref="AQ277" si="517">+AQ276/AM276-1</f>
        <v>-5.1450058184639325E-2</v>
      </c>
      <c r="AR277" s="23">
        <f t="shared" ref="AR277" si="518">+AR276/AN276-1</f>
        <v>-4.732382879796404E-2</v>
      </c>
      <c r="AS277" s="23">
        <f t="shared" ref="AS277" si="519">+AS276/AO276-1</f>
        <v>-1.9850499375000052E-2</v>
      </c>
      <c r="AT277" s="23">
        <f t="shared" ref="AT277" si="520">+AT276/AP276-1</f>
        <v>-1.9850499375000052E-2</v>
      </c>
      <c r="AU277" s="23">
        <f t="shared" ref="AU277" si="521">+AU276/AQ276-1</f>
        <v>-1.9850499375000052E-2</v>
      </c>
      <c r="AV277" s="23">
        <f t="shared" ref="AV277" si="522">+AV276/AR276-1</f>
        <v>-1.9850499374999941E-2</v>
      </c>
      <c r="AW277" s="23">
        <f t="shared" ref="AW277" si="523">+AW276/AS276-1</f>
        <v>-1.9850499374999941E-2</v>
      </c>
      <c r="AX277" s="23">
        <f t="shared" ref="AX277" si="524">+AX276/AT276-1</f>
        <v>-1.9850499375000052E-2</v>
      </c>
      <c r="AY277" s="23">
        <f t="shared" ref="AY277" si="525">+AY276/AU276-1</f>
        <v>-1.9850499375000052E-2</v>
      </c>
    </row>
    <row r="278" spans="1:51" customFormat="1">
      <c r="B278" s="295" t="s">
        <v>37</v>
      </c>
      <c r="U278" s="23"/>
      <c r="V278" s="23"/>
      <c r="W278" s="23"/>
      <c r="X278" s="23"/>
      <c r="Y278" s="23"/>
      <c r="Z278" s="48"/>
      <c r="AA278" s="48"/>
      <c r="AB278" s="48"/>
      <c r="AC278" s="48"/>
      <c r="AD278" s="48"/>
      <c r="AE278" s="48"/>
      <c r="AF278" s="48"/>
      <c r="AG278" s="48"/>
      <c r="AH278" s="48"/>
      <c r="AI278" s="48"/>
      <c r="AJ278" s="48"/>
      <c r="AK278" s="48">
        <f t="shared" ref="AK278:AO278" si="526">+AK276/AJ276-1</f>
        <v>-4.3482409175721326E-4</v>
      </c>
      <c r="AL278" s="48">
        <f t="shared" si="526"/>
        <v>0.37875900909476745</v>
      </c>
      <c r="AM278" s="48">
        <f t="shared" si="526"/>
        <v>0.62547288776796983</v>
      </c>
      <c r="AN278" s="48">
        <f t="shared" si="526"/>
        <v>-9.3095422808379125E-3</v>
      </c>
      <c r="AO278" s="48">
        <f t="shared" si="526"/>
        <v>-3.2889584964761132E-2</v>
      </c>
      <c r="AP278" s="28">
        <v>-5.0000000000000001E-3</v>
      </c>
      <c r="AQ278" s="28">
        <v>-5.0000000000000001E-3</v>
      </c>
      <c r="AR278" s="28">
        <v>-5.0000000000000001E-3</v>
      </c>
      <c r="AS278" s="28">
        <v>-5.0000000000000001E-3</v>
      </c>
      <c r="AT278" s="28">
        <v>-5.0000000000000001E-3</v>
      </c>
      <c r="AU278" s="28">
        <v>-5.0000000000000001E-3</v>
      </c>
      <c r="AV278" s="28">
        <v>-5.0000000000000001E-3</v>
      </c>
      <c r="AW278" s="28">
        <v>-5.0000000000000001E-3</v>
      </c>
      <c r="AX278" s="28">
        <v>-5.0000000000000001E-3</v>
      </c>
      <c r="AY278" s="28">
        <v>-5.0000000000000001E-3</v>
      </c>
    </row>
    <row r="279" spans="1:51" customFormat="1">
      <c r="B279" s="61"/>
      <c r="U279" s="6"/>
      <c r="V279" s="6"/>
      <c r="W279" s="6"/>
      <c r="X279" s="6"/>
      <c r="Y279" s="6"/>
      <c r="Z279" s="81"/>
      <c r="AA279" s="81"/>
      <c r="AB279" s="81"/>
      <c r="AC279" s="81"/>
      <c r="AD279" s="19"/>
      <c r="AE279" s="19"/>
      <c r="AF279" s="19"/>
      <c r="AG279" s="19"/>
      <c r="AH279" s="19"/>
      <c r="AI279" s="19"/>
      <c r="AJ279" s="19"/>
      <c r="AK279" s="19"/>
      <c r="AL279" s="19"/>
      <c r="AM279" s="19"/>
      <c r="AN279" s="19"/>
      <c r="AO279" s="19"/>
      <c r="AP279" s="19"/>
      <c r="AQ279" s="19"/>
      <c r="AR279" s="19"/>
      <c r="AS279" s="19"/>
      <c r="AT279" s="19"/>
      <c r="AU279" s="19"/>
      <c r="AV279" s="19"/>
      <c r="AW279" s="19"/>
      <c r="AX279" s="19"/>
      <c r="AY279" s="19"/>
    </row>
    <row r="280" spans="1:51" s="5" customFormat="1">
      <c r="B280" s="298" t="s">
        <v>52</v>
      </c>
      <c r="U280" s="37"/>
      <c r="V280" s="37"/>
      <c r="W280" s="37"/>
      <c r="X280" s="37"/>
      <c r="Y280" s="37"/>
      <c r="Z280" s="96"/>
      <c r="AA280" s="96"/>
      <c r="AB280" s="36"/>
      <c r="AC280" s="36"/>
      <c r="AD280" s="38"/>
      <c r="AE280" s="291"/>
      <c r="AF280" s="291"/>
      <c r="AG280" s="291"/>
      <c r="AH280" s="291"/>
      <c r="AI280" s="291"/>
      <c r="AJ280" s="291"/>
      <c r="AK280" s="291"/>
      <c r="AL280" s="38"/>
      <c r="AM280" s="38"/>
      <c r="AN280" s="38"/>
      <c r="AO280" s="38"/>
      <c r="AP280" s="38"/>
      <c r="AQ280" s="38"/>
      <c r="AR280" s="38"/>
      <c r="AS280" s="38"/>
      <c r="AT280" s="38"/>
      <c r="AU280" s="38"/>
      <c r="AV280" s="38"/>
      <c r="AW280" s="38"/>
      <c r="AX280" s="38"/>
      <c r="AY280" s="38"/>
    </row>
    <row r="281" spans="1:51" s="3" customFormat="1">
      <c r="B281" s="322"/>
      <c r="U281" s="40"/>
      <c r="V281" s="40"/>
      <c r="W281" s="40"/>
      <c r="X281" s="40"/>
      <c r="Y281" s="40"/>
      <c r="Z281" s="115"/>
      <c r="AA281" s="115"/>
      <c r="AB281" s="51"/>
      <c r="AC281" s="51"/>
      <c r="AD281" s="50"/>
      <c r="AE281" s="100"/>
      <c r="AF281" s="100"/>
      <c r="AG281" s="100"/>
      <c r="AH281" s="100"/>
      <c r="AI281" s="100"/>
      <c r="AJ281" s="100"/>
      <c r="AK281" s="100"/>
      <c r="AL281" s="50"/>
      <c r="AM281" s="50"/>
      <c r="AN281" s="50"/>
      <c r="AO281" s="50"/>
      <c r="AP281" s="50"/>
      <c r="AQ281" s="50"/>
      <c r="AR281" s="50"/>
      <c r="AS281" s="50"/>
      <c r="AT281" s="50"/>
      <c r="AU281" s="50"/>
      <c r="AV281" s="50"/>
      <c r="AW281" s="50"/>
      <c r="AX281" s="50"/>
      <c r="AY281" s="50"/>
    </row>
  </sheetData>
  <dataConsolidate/>
  <pageMargins left="0.7" right="0.7" top="0.75" bottom="0.75" header="0.3" footer="0.3"/>
  <pageSetup scale="16" orientation="portrait" r:id="rId1"/>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2:CI226"/>
  <sheetViews>
    <sheetView showGridLines="0" zoomScale="70" zoomScaleNormal="70" workbookViewId="0">
      <pane xSplit="3" ySplit="3" topLeftCell="J4" activePane="bottomRight" state="frozen"/>
      <selection activeCell="E21" sqref="E21"/>
      <selection pane="topRight" activeCell="E21" sqref="E21"/>
      <selection pane="bottomLeft" activeCell="E21" sqref="E21"/>
      <selection pane="bottomRight" activeCell="J4" sqref="J4"/>
    </sheetView>
  </sheetViews>
  <sheetFormatPr defaultRowHeight="12.75" outlineLevelRow="1" outlineLevelCol="1"/>
  <cols>
    <col min="1" max="1" width="2" bestFit="1" customWidth="1"/>
    <col min="2" max="2" width="32.5703125" customWidth="1"/>
    <col min="3" max="3" width="9.140625" customWidth="1"/>
    <col min="4" max="6" width="9.140625" hidden="1" customWidth="1" outlineLevel="1"/>
    <col min="7" max="7" width="9.140625" hidden="1" customWidth="1" outlineLevel="1" collapsed="1"/>
    <col min="8" max="8" width="9.140625" hidden="1" customWidth="1" outlineLevel="1"/>
    <col min="9" max="9" width="9.140625" hidden="1" customWidth="1" outlineLevel="1" collapsed="1"/>
    <col min="10" max="10" width="9.140625" customWidth="1" collapsed="1"/>
    <col min="11" max="13" width="9.140625" customWidth="1"/>
    <col min="14" max="14" width="9.140625" hidden="1" customWidth="1" outlineLevel="1"/>
    <col min="15" max="15" width="9.140625" customWidth="1" collapsed="1"/>
    <col min="16" max="19" width="9.140625" hidden="1" customWidth="1" outlineLevel="1"/>
    <col min="20" max="20" width="9.42578125" hidden="1" customWidth="1" outlineLevel="1" collapsed="1"/>
    <col min="21" max="23" width="9.28515625" hidden="1" customWidth="1" outlineLevel="1"/>
    <col min="24" max="24" width="9.42578125" hidden="1" customWidth="1" outlineLevel="1" collapsed="1"/>
    <col min="25" max="25" width="9.42578125" hidden="1" customWidth="1" outlineLevel="1"/>
    <col min="26" max="26" width="9.42578125" style="15" hidden="1" customWidth="1" outlineLevel="1"/>
    <col min="27" max="27" width="9.140625" hidden="1" customWidth="1" outlineLevel="1"/>
    <col min="28" max="28" width="9.140625" hidden="1" customWidth="1" outlineLevel="1" collapsed="1"/>
    <col min="29" max="31" width="9.140625" hidden="1" customWidth="1" outlineLevel="1"/>
    <col min="32" max="32" width="9.140625" hidden="1" customWidth="1" outlineLevel="1" collapsed="1"/>
    <col min="33" max="35" width="9.140625" hidden="1" customWidth="1" outlineLevel="1"/>
    <col min="36" max="36" width="9.140625" collapsed="1"/>
    <col min="53" max="77" width="0" hidden="1" customWidth="1" outlineLevel="1"/>
    <col min="78" max="78" width="9.140625" collapsed="1"/>
    <col min="79" max="84" width="9.140625" customWidth="1" outlineLevel="1"/>
  </cols>
  <sheetData>
    <row r="2" spans="2:84" s="14" customFormat="1">
      <c r="B2" s="13" t="s">
        <v>2</v>
      </c>
      <c r="C2" s="13"/>
      <c r="D2" s="52">
        <f>Rev!D2</f>
        <v>40359</v>
      </c>
      <c r="E2" s="52">
        <f>Rev!E2</f>
        <v>40724</v>
      </c>
      <c r="F2" s="52">
        <f>Rev!F2</f>
        <v>41090</v>
      </c>
      <c r="G2" s="52">
        <f>Rev!G2</f>
        <v>41455</v>
      </c>
      <c r="H2" s="52">
        <f>Rev!H2</f>
        <v>41820</v>
      </c>
      <c r="I2" s="52">
        <f>Rev!I2</f>
        <v>42185</v>
      </c>
      <c r="J2" s="52">
        <f>Rev!J2</f>
        <v>42551</v>
      </c>
      <c r="K2" s="52">
        <f>Rev!K2</f>
        <v>42916</v>
      </c>
      <c r="L2" s="52">
        <f>Rev!L2</f>
        <v>43281</v>
      </c>
      <c r="M2" s="52">
        <f>Rev!M2</f>
        <v>43646</v>
      </c>
      <c r="N2" s="52">
        <f>Rev!N2</f>
        <v>44012</v>
      </c>
      <c r="O2" s="13"/>
      <c r="P2" s="13"/>
      <c r="Q2" s="13"/>
      <c r="R2" s="13"/>
      <c r="S2" s="13"/>
      <c r="T2" s="52">
        <f>Rev!T2</f>
        <v>41182</v>
      </c>
      <c r="U2" s="52">
        <f>Rev!U2</f>
        <v>41274</v>
      </c>
      <c r="V2" s="52">
        <f>Rev!V2</f>
        <v>41364</v>
      </c>
      <c r="W2" s="52">
        <f>Rev!W2</f>
        <v>41455</v>
      </c>
      <c r="X2" s="52">
        <f>Rev!X2</f>
        <v>41547</v>
      </c>
      <c r="Y2" s="52">
        <f>Rev!Y2</f>
        <v>41639</v>
      </c>
      <c r="Z2" s="52">
        <f>Rev!Z2</f>
        <v>41729</v>
      </c>
      <c r="AA2" s="52">
        <f>Rev!AA2</f>
        <v>41820</v>
      </c>
      <c r="AB2" s="52">
        <f>Rev!AB2</f>
        <v>41912</v>
      </c>
      <c r="AC2" s="52">
        <f>Rev!AC2</f>
        <v>42004</v>
      </c>
      <c r="AD2" s="52">
        <f>Rev!AD2</f>
        <v>42094</v>
      </c>
      <c r="AE2" s="52">
        <f>Rev!AE2</f>
        <v>42185</v>
      </c>
      <c r="AF2" s="52">
        <f>Rev!AF2</f>
        <v>42277</v>
      </c>
      <c r="AG2" s="52">
        <f>Rev!AG2</f>
        <v>42369</v>
      </c>
      <c r="AH2" s="52">
        <f>Rev!AH2</f>
        <v>42460</v>
      </c>
      <c r="AI2" s="52">
        <f>Rev!AI2</f>
        <v>42551</v>
      </c>
      <c r="AJ2" s="52">
        <f>Rev!AJ2</f>
        <v>42643</v>
      </c>
      <c r="AK2" s="52">
        <f>Rev!AK2</f>
        <v>42735</v>
      </c>
      <c r="AL2" s="52">
        <f>Rev!AL2</f>
        <v>42825</v>
      </c>
      <c r="AM2" s="52">
        <f>Rev!AM2</f>
        <v>42916</v>
      </c>
      <c r="AN2" s="52">
        <f>Rev!AN2</f>
        <v>43008</v>
      </c>
      <c r="AO2" s="52">
        <f>Rev!AO2</f>
        <v>43100</v>
      </c>
      <c r="AP2" s="52">
        <f>Rev!AP2</f>
        <v>43190</v>
      </c>
      <c r="AQ2" s="52">
        <f>Rev!AQ2</f>
        <v>43281</v>
      </c>
      <c r="AR2" s="52">
        <f>Rev!AR2</f>
        <v>43373</v>
      </c>
      <c r="AS2" s="52">
        <f>Rev!AS2</f>
        <v>43465</v>
      </c>
      <c r="AT2" s="52">
        <f>Rev!AT2</f>
        <v>43555</v>
      </c>
      <c r="AU2" s="52">
        <f>Rev!AU2</f>
        <v>43646</v>
      </c>
      <c r="AV2" s="52">
        <f>Rev!AV2</f>
        <v>43738</v>
      </c>
      <c r="AW2" s="52">
        <f>Rev!AW2</f>
        <v>43830</v>
      </c>
      <c r="AX2" s="52">
        <f>Rev!AX2</f>
        <v>43921</v>
      </c>
      <c r="AY2" s="52">
        <f>Rev!AY2</f>
        <v>44012</v>
      </c>
      <c r="CA2"/>
      <c r="CB2"/>
      <c r="CC2"/>
      <c r="CD2"/>
      <c r="CE2"/>
      <c r="CF2"/>
    </row>
    <row r="3" spans="2:84" s="16" customFormat="1">
      <c r="B3" s="15" t="s">
        <v>1</v>
      </c>
      <c r="C3" s="15"/>
      <c r="D3" s="103">
        <f>Rev!D3</f>
        <v>2010</v>
      </c>
      <c r="E3" s="103">
        <f>Rev!E3</f>
        <v>2011</v>
      </c>
      <c r="F3" s="103">
        <f>Rev!F3</f>
        <v>2012</v>
      </c>
      <c r="G3" s="103">
        <f>Rev!G3</f>
        <v>2013</v>
      </c>
      <c r="H3" s="103">
        <f>Rev!H3</f>
        <v>2014</v>
      </c>
      <c r="I3" s="54">
        <f>Rev!I3</f>
        <v>2015</v>
      </c>
      <c r="J3" s="54">
        <f>Rev!J3</f>
        <v>2016</v>
      </c>
      <c r="K3" s="54">
        <f>Rev!K3</f>
        <v>2017</v>
      </c>
      <c r="L3" s="54" t="str">
        <f>Rev!L3</f>
        <v>2018E</v>
      </c>
      <c r="M3" s="54" t="str">
        <f>Rev!M3</f>
        <v>2019E</v>
      </c>
      <c r="N3" s="54" t="str">
        <f>Rev!N3</f>
        <v>2020E</v>
      </c>
      <c r="O3" s="15"/>
      <c r="P3" s="15"/>
      <c r="Q3" s="15"/>
      <c r="R3" s="15"/>
      <c r="S3" s="15"/>
      <c r="T3" s="54" t="str">
        <f>Rev!T3</f>
        <v>1Q13</v>
      </c>
      <c r="U3" s="54" t="str">
        <f>Rev!U3</f>
        <v>2Q13</v>
      </c>
      <c r="V3" s="54" t="str">
        <f>Rev!V3</f>
        <v>3Q13</v>
      </c>
      <c r="W3" s="54" t="str">
        <f>Rev!W3</f>
        <v>4Q13</v>
      </c>
      <c r="X3" s="54" t="str">
        <f>Rev!X3</f>
        <v>1Q14</v>
      </c>
      <c r="Y3" s="54" t="str">
        <f>Rev!Y3</f>
        <v>2Q14</v>
      </c>
      <c r="Z3" s="54" t="str">
        <f>Rev!Z3</f>
        <v>3Q14</v>
      </c>
      <c r="AA3" s="135" t="str">
        <f>Rev!AA3</f>
        <v>4Q14</v>
      </c>
      <c r="AB3" s="135" t="str">
        <f>Rev!AB3</f>
        <v>1Q15</v>
      </c>
      <c r="AC3" s="135" t="str">
        <f>Rev!AC3</f>
        <v>2Q15</v>
      </c>
      <c r="AD3" s="135" t="str">
        <f>Rev!AD3</f>
        <v>3Q15</v>
      </c>
      <c r="AE3" s="135" t="str">
        <f>Rev!AE3</f>
        <v>4Q15</v>
      </c>
      <c r="AF3" s="135" t="str">
        <f>Rev!AF3</f>
        <v>1Q16</v>
      </c>
      <c r="AG3" s="135" t="str">
        <f>Rev!AG3</f>
        <v>2Q16</v>
      </c>
      <c r="AH3" s="135" t="str">
        <f>Rev!AH3</f>
        <v>3Q16</v>
      </c>
      <c r="AI3" s="135" t="str">
        <f>Rev!AI3</f>
        <v>4Q16</v>
      </c>
      <c r="AJ3" s="135" t="str">
        <f>Rev!AJ3</f>
        <v>1Q17</v>
      </c>
      <c r="AK3" s="135" t="str">
        <f>Rev!AK3</f>
        <v>2Q17</v>
      </c>
      <c r="AL3" s="135" t="str">
        <f>Rev!AL3</f>
        <v>3Q17</v>
      </c>
      <c r="AM3" s="135" t="str">
        <f>Rev!AM3</f>
        <v>4Q17</v>
      </c>
      <c r="AN3" s="135" t="str">
        <f>Rev!AN3</f>
        <v>1Q18</v>
      </c>
      <c r="AO3" s="135" t="str">
        <f>Rev!AO3</f>
        <v>2Q18</v>
      </c>
      <c r="AP3" s="135" t="str">
        <f>Rev!AP3</f>
        <v>3Q18E</v>
      </c>
      <c r="AQ3" s="135" t="str">
        <f>Rev!AQ3</f>
        <v>4Q18E</v>
      </c>
      <c r="AR3" s="135" t="str">
        <f>Rev!AR3</f>
        <v>1Q19E</v>
      </c>
      <c r="AS3" s="135" t="str">
        <f>Rev!AS3</f>
        <v>2Q19E</v>
      </c>
      <c r="AT3" s="135" t="str">
        <f>Rev!AT3</f>
        <v>3Q19E</v>
      </c>
      <c r="AU3" s="135" t="str">
        <f>Rev!AU3</f>
        <v>4Q19E</v>
      </c>
      <c r="AV3" s="135" t="str">
        <f>Rev!AV3</f>
        <v>1Q20E</v>
      </c>
      <c r="AW3" s="135" t="str">
        <f>Rev!AW3</f>
        <v>2Q20E</v>
      </c>
      <c r="AX3" s="135" t="str">
        <f>Rev!AX3</f>
        <v>3Q20E</v>
      </c>
      <c r="AY3" s="135" t="str">
        <f>Rev!AY3</f>
        <v>4Q20E</v>
      </c>
      <c r="CA3"/>
      <c r="CB3"/>
      <c r="CC3"/>
      <c r="CD3"/>
      <c r="CE3"/>
      <c r="CF3"/>
    </row>
    <row r="4" spans="2:84" s="13" customFormat="1">
      <c r="AA4" s="83"/>
      <c r="AO4" s="83"/>
      <c r="CA4"/>
      <c r="CB4"/>
      <c r="CC4"/>
      <c r="CD4"/>
      <c r="CE4"/>
      <c r="CF4"/>
    </row>
    <row r="5" spans="2:84">
      <c r="B5" t="s">
        <v>53</v>
      </c>
      <c r="D5" s="41">
        <f>Rev!D35</f>
        <v>197.88900000000001</v>
      </c>
      <c r="E5" s="41">
        <f>Rev!E35</f>
        <v>282.14299999999997</v>
      </c>
      <c r="F5" s="41">
        <f>Rev!F35</f>
        <v>375.52600000000001</v>
      </c>
      <c r="G5" s="6">
        <f>+SUM(T5:W5)</f>
        <v>1004.36266631321</v>
      </c>
      <c r="H5" s="6">
        <f>+SUM(X5:AA5)</f>
        <v>1123.1872215806145</v>
      </c>
      <c r="I5" s="6">
        <f>+SUM(AB5:AE5)</f>
        <v>1347.1</v>
      </c>
      <c r="J5" s="6">
        <f>+SUM(AF5:AI5)</f>
        <v>1721.7</v>
      </c>
      <c r="K5" s="6">
        <f>+SUM(AJ5:AM5)</f>
        <v>2199.8000000000002</v>
      </c>
      <c r="L5" s="6">
        <f ca="1">+SUM(AN5:AQ5)</f>
        <v>2607.6426124011377</v>
      </c>
      <c r="M5" s="6">
        <f ca="1">+SUM(AR5:AU5)</f>
        <v>2690.2027031106882</v>
      </c>
      <c r="N5" s="6">
        <f ca="1">+SUM(AV5:AY5)</f>
        <v>2797.5603594642562</v>
      </c>
      <c r="T5" s="41">
        <f>Rev!T35</f>
        <v>236.00767747572064</v>
      </c>
      <c r="U5" s="41">
        <f>Rev!U35</f>
        <v>250.02480987258627</v>
      </c>
      <c r="V5" s="41">
        <f>Rev!V35</f>
        <v>256.55395289598329</v>
      </c>
      <c r="W5" s="41">
        <f>Rev!W35</f>
        <v>261.77622606891981</v>
      </c>
      <c r="X5" s="41">
        <f>Rev!X35</f>
        <v>268.05077825707741</v>
      </c>
      <c r="Y5" s="41">
        <f>Rev!Y35</f>
        <v>276.97613063680853</v>
      </c>
      <c r="Z5" s="82">
        <f>Rev!Z35</f>
        <v>281.3929475507324</v>
      </c>
      <c r="AA5" s="82">
        <f>Rev!AA35</f>
        <v>296.76736513599604</v>
      </c>
      <c r="AB5" s="82">
        <f>Rev!AB35</f>
        <v>320.60000000000002</v>
      </c>
      <c r="AC5" s="82">
        <f>Rev!AC35</f>
        <v>323.89999999999998</v>
      </c>
      <c r="AD5" s="82">
        <f>Rev!AD35</f>
        <v>340.7</v>
      </c>
      <c r="AE5" s="82">
        <f>Rev!AE35</f>
        <v>361.9</v>
      </c>
      <c r="AF5" s="82">
        <f>Rev!AF35</f>
        <v>366.8</v>
      </c>
      <c r="AG5" s="82">
        <f>Rev!AG35</f>
        <v>369.6</v>
      </c>
      <c r="AH5" s="82">
        <f>Rev!AH35</f>
        <v>478</v>
      </c>
      <c r="AI5" s="82">
        <f>Rev!AI35</f>
        <v>507.3</v>
      </c>
      <c r="AJ5" s="82">
        <f>Rev!AJ35</f>
        <v>504.9</v>
      </c>
      <c r="AK5" s="82">
        <f>Rev!AK35</f>
        <v>506.7</v>
      </c>
      <c r="AL5" s="82">
        <f>Rev!AL35</f>
        <v>550.20000000000005</v>
      </c>
      <c r="AM5" s="82">
        <f>Rev!AM35</f>
        <v>638</v>
      </c>
      <c r="AN5" s="82">
        <f>Rev!AN35</f>
        <v>643.5</v>
      </c>
      <c r="AO5" s="82">
        <f>Rev!AO35</f>
        <v>653.5</v>
      </c>
      <c r="AP5" s="41">
        <f ca="1">Rev!AP35</f>
        <v>652.80480431086812</v>
      </c>
      <c r="AQ5" s="41">
        <f ca="1">Rev!AQ35</f>
        <v>657.83780809026939</v>
      </c>
      <c r="AR5" s="41">
        <f ca="1">Rev!AR35</f>
        <v>663.33243624668933</v>
      </c>
      <c r="AS5" s="41">
        <f ca="1">Rev!AS35</f>
        <v>669.26765209981852</v>
      </c>
      <c r="AT5" s="41">
        <f ca="1">Rev!AT35</f>
        <v>675.54210479847575</v>
      </c>
      <c r="AU5" s="41">
        <f ca="1">Rev!AU35</f>
        <v>682.06050996570434</v>
      </c>
      <c r="AV5" s="41">
        <f ca="1">Rev!AV35</f>
        <v>688.80079027866725</v>
      </c>
      <c r="AW5" s="41">
        <f ca="1">Rev!AW35</f>
        <v>695.74233631079085</v>
      </c>
      <c r="AX5" s="41">
        <f ca="1">Rev!AX35</f>
        <v>702.86557074145185</v>
      </c>
      <c r="AY5" s="41">
        <f ca="1">Rev!AY35</f>
        <v>710.15166213334624</v>
      </c>
    </row>
    <row r="6" spans="2:84">
      <c r="B6" s="7" t="s">
        <v>36</v>
      </c>
      <c r="D6" s="41"/>
      <c r="E6" s="23">
        <f>+E5/D5-1</f>
        <v>0.42576393836948978</v>
      </c>
      <c r="F6" s="23">
        <f t="shared" ref="F6:N6" si="0">+F5/E5-1</f>
        <v>0.33097755393541584</v>
      </c>
      <c r="G6" s="23">
        <f t="shared" si="0"/>
        <v>1.6745489428513869</v>
      </c>
      <c r="H6" s="23">
        <f t="shared" si="0"/>
        <v>0.118308415130147</v>
      </c>
      <c r="I6" s="23">
        <f t="shared" si="0"/>
        <v>0.1993548129084679</v>
      </c>
      <c r="J6" s="23">
        <f t="shared" si="0"/>
        <v>0.27807883601811301</v>
      </c>
      <c r="K6" s="23">
        <f t="shared" si="0"/>
        <v>0.27769065458558417</v>
      </c>
      <c r="L6" s="23">
        <f t="shared" ca="1" si="0"/>
        <v>0.1853998601696234</v>
      </c>
      <c r="M6" s="23">
        <f t="shared" ca="1" si="0"/>
        <v>3.1660815142734888E-2</v>
      </c>
      <c r="N6" s="23">
        <f t="shared" ca="1" si="0"/>
        <v>3.9906902267784483E-2</v>
      </c>
      <c r="T6" s="23"/>
      <c r="U6" s="23"/>
      <c r="V6" s="23"/>
      <c r="W6" s="23"/>
      <c r="X6" s="23">
        <f>+X5/T5-1</f>
        <v>0.13577143389605717</v>
      </c>
      <c r="Y6" s="23">
        <f t="shared" ref="Y6:AY6" si="1">+Y5/U5-1</f>
        <v>0.10779458557715449</v>
      </c>
      <c r="Z6" s="23">
        <f t="shared" si="1"/>
        <v>9.6817820869124604E-2</v>
      </c>
      <c r="AA6" s="23">
        <f t="shared" si="1"/>
        <v>0.13366813171897385</v>
      </c>
      <c r="AB6" s="23">
        <f t="shared" si="1"/>
        <v>0.19604204130504188</v>
      </c>
      <c r="AC6" s="23">
        <f t="shared" si="1"/>
        <v>0.16941484905326187</v>
      </c>
      <c r="AD6" s="23">
        <f t="shared" si="1"/>
        <v>0.21076239815347586</v>
      </c>
      <c r="AE6" s="23">
        <f t="shared" si="1"/>
        <v>0.21947371077731659</v>
      </c>
      <c r="AF6" s="23">
        <f t="shared" si="1"/>
        <v>0.14410480349344978</v>
      </c>
      <c r="AG6" s="23">
        <f t="shared" si="1"/>
        <v>0.14109292991664102</v>
      </c>
      <c r="AH6" s="23">
        <f t="shared" si="1"/>
        <v>0.40299383621954799</v>
      </c>
      <c r="AI6" s="23">
        <f t="shared" si="1"/>
        <v>0.40176844432163583</v>
      </c>
      <c r="AJ6" s="23">
        <f t="shared" si="1"/>
        <v>0.37649945474372948</v>
      </c>
      <c r="AK6" s="23">
        <f t="shared" si="1"/>
        <v>0.37094155844155829</v>
      </c>
      <c r="AL6" s="23">
        <f t="shared" si="1"/>
        <v>0.15104602510460263</v>
      </c>
      <c r="AM6" s="23">
        <f t="shared" si="1"/>
        <v>0.257638478218017</v>
      </c>
      <c r="AN6" s="23">
        <f t="shared" si="1"/>
        <v>0.27450980392156876</v>
      </c>
      <c r="AO6" s="23">
        <f t="shared" si="1"/>
        <v>0.2897177817248866</v>
      </c>
      <c r="AP6" s="23">
        <f t="shared" ca="1" si="1"/>
        <v>0.18648637642833155</v>
      </c>
      <c r="AQ6" s="23">
        <f t="shared" ca="1" si="1"/>
        <v>3.1093743088196568E-2</v>
      </c>
      <c r="AR6" s="23">
        <f t="shared" ca="1" si="1"/>
        <v>3.0819636746991952E-2</v>
      </c>
      <c r="AS6" s="23">
        <f t="shared" ca="1" si="1"/>
        <v>2.4128006273631986E-2</v>
      </c>
      <c r="AT6" s="23">
        <f t="shared" ca="1" si="1"/>
        <v>3.4830167206888474E-2</v>
      </c>
      <c r="AU6" s="23">
        <f t="shared" ca="1" si="1"/>
        <v>3.6821693094464258E-2</v>
      </c>
      <c r="AV6" s="23">
        <f t="shared" ca="1" si="1"/>
        <v>3.83945554902827E-2</v>
      </c>
      <c r="AW6" s="23">
        <f t="shared" ca="1" si="1"/>
        <v>3.9557692842181025E-2</v>
      </c>
      <c r="AX6" s="23">
        <f t="shared" ca="1" si="1"/>
        <v>4.0446725302380804E-2</v>
      </c>
      <c r="AY6" s="23">
        <f t="shared" ca="1" si="1"/>
        <v>4.1185718506198787E-2</v>
      </c>
    </row>
    <row r="7" spans="2:84">
      <c r="B7" s="7" t="s">
        <v>37</v>
      </c>
      <c r="D7" s="41"/>
      <c r="E7" s="41"/>
      <c r="F7" s="41"/>
      <c r="G7" s="6"/>
      <c r="H7" s="6"/>
      <c r="I7" s="6"/>
      <c r="J7" s="6"/>
      <c r="K7" s="6"/>
      <c r="L7" s="6"/>
      <c r="M7" s="6"/>
      <c r="N7" s="6"/>
      <c r="T7" s="23"/>
      <c r="U7" s="23">
        <f>+U5/T5-1</f>
        <v>5.939269665626723E-2</v>
      </c>
      <c r="V7" s="23">
        <f>+V5/U5-1</f>
        <v>2.6113980555466876E-2</v>
      </c>
      <c r="W7" s="23">
        <f>+W5/V5-1</f>
        <v>2.0355457844198011E-2</v>
      </c>
      <c r="X7" s="23">
        <f>+X5/W5-1</f>
        <v>2.3969144495595396E-2</v>
      </c>
      <c r="Y7" s="23">
        <f t="shared" ref="Y7:AY7" si="2">+Y5/X5-1</f>
        <v>3.329724478983298E-2</v>
      </c>
      <c r="Z7" s="23">
        <f t="shared" si="2"/>
        <v>1.5946561545823412E-2</v>
      </c>
      <c r="AA7" s="23">
        <f t="shared" si="2"/>
        <v>5.4636826256961424E-2</v>
      </c>
      <c r="AB7" s="23">
        <f t="shared" si="2"/>
        <v>8.0307465253406374E-2</v>
      </c>
      <c r="AC7" s="23">
        <f t="shared" si="2"/>
        <v>1.0293200249531953E-2</v>
      </c>
      <c r="AD7" s="23">
        <f t="shared" si="2"/>
        <v>5.1867860450756531E-2</v>
      </c>
      <c r="AE7" s="23">
        <f t="shared" si="2"/>
        <v>6.2224831229821032E-2</v>
      </c>
      <c r="AF7" s="23">
        <f t="shared" si="2"/>
        <v>1.3539651837524369E-2</v>
      </c>
      <c r="AG7" s="23">
        <f t="shared" si="2"/>
        <v>7.6335877862596657E-3</v>
      </c>
      <c r="AH7" s="23">
        <f t="shared" si="2"/>
        <v>0.29329004329004316</v>
      </c>
      <c r="AI7" s="23">
        <f t="shared" si="2"/>
        <v>6.129707112970717E-2</v>
      </c>
      <c r="AJ7" s="23">
        <f t="shared" si="2"/>
        <v>-4.7309284447073496E-3</v>
      </c>
      <c r="AK7" s="23">
        <f t="shared" si="2"/>
        <v>3.5650623885918886E-3</v>
      </c>
      <c r="AL7" s="23">
        <f t="shared" si="2"/>
        <v>8.5849615156897707E-2</v>
      </c>
      <c r="AM7" s="23">
        <f t="shared" si="2"/>
        <v>0.15957833515085418</v>
      </c>
      <c r="AN7" s="23">
        <f t="shared" si="2"/>
        <v>8.6206896551723755E-3</v>
      </c>
      <c r="AO7" s="23">
        <f t="shared" si="2"/>
        <v>1.5540015540015606E-2</v>
      </c>
      <c r="AP7" s="23">
        <f t="shared" ca="1" si="2"/>
        <v>-1.0638036559018627E-3</v>
      </c>
      <c r="AQ7" s="23">
        <f t="shared" ca="1" si="2"/>
        <v>7.7098142448788209E-3</v>
      </c>
      <c r="AR7" s="23">
        <f t="shared" ca="1" si="2"/>
        <v>8.3525575587866108E-3</v>
      </c>
      <c r="AS7" s="23">
        <f t="shared" ca="1" si="2"/>
        <v>8.9475736882582702E-3</v>
      </c>
      <c r="AT7" s="23">
        <f t="shared" ca="1" si="2"/>
        <v>9.3751022912451631E-3</v>
      </c>
      <c r="AU7" s="23">
        <f t="shared" ca="1" si="2"/>
        <v>9.6491471381685567E-3</v>
      </c>
      <c r="AV7" s="23">
        <f t="shared" ca="1" si="2"/>
        <v>9.8822321692568771E-3</v>
      </c>
      <c r="AW7" s="23">
        <f t="shared" ca="1" si="2"/>
        <v>1.0077726579429847E-2</v>
      </c>
      <c r="AX7" s="23">
        <f t="shared" ca="1" si="2"/>
        <v>1.0238322520995879E-2</v>
      </c>
      <c r="AY7" s="23">
        <f t="shared" ca="1" si="2"/>
        <v>1.0366265890941806E-2</v>
      </c>
    </row>
    <row r="8" spans="2:84">
      <c r="T8" s="19"/>
      <c r="AA8" s="15"/>
      <c r="AB8" s="15"/>
      <c r="AC8" s="15"/>
      <c r="AD8" s="15"/>
      <c r="AE8" s="15"/>
      <c r="AF8" s="15"/>
      <c r="AG8" s="15"/>
      <c r="AH8" s="15"/>
      <c r="AI8" s="15"/>
      <c r="AJ8" s="15"/>
      <c r="AK8" s="15"/>
      <c r="AL8" s="15"/>
      <c r="AM8" s="15"/>
      <c r="AN8" s="15"/>
      <c r="AO8" s="15"/>
    </row>
    <row r="9" spans="2:84">
      <c r="B9" t="s">
        <v>54</v>
      </c>
      <c r="D9" s="38">
        <v>62.512999999999998</v>
      </c>
      <c r="E9" s="38">
        <v>70.977999999999994</v>
      </c>
      <c r="F9" s="38">
        <v>82.082999999999998</v>
      </c>
      <c r="G9" s="6">
        <f>+SUM(T9:W9)</f>
        <v>313.63660448416323</v>
      </c>
      <c r="H9" s="6">
        <f>+SUM(X9:AA9)</f>
        <v>343.98573526298662</v>
      </c>
      <c r="I9" s="6">
        <f>+SUM(AB9:AE9)</f>
        <v>413.5</v>
      </c>
      <c r="J9" s="6">
        <f>+SUM(AF9:AI9)</f>
        <v>578.70000000000005</v>
      </c>
      <c r="K9" s="6">
        <f>+SUM(AJ9:AM9)</f>
        <v>782.9</v>
      </c>
      <c r="L9" s="6">
        <f ca="1">+SUM(AN9:AQ9)</f>
        <v>930.04044857670567</v>
      </c>
      <c r="M9" s="6">
        <f ca="1">+SUM(AR9:AU9)</f>
        <v>936.84712190573373</v>
      </c>
      <c r="N9" s="6">
        <f ca="1">+SUM(AV9:AY9)</f>
        <v>957.44375779973632</v>
      </c>
      <c r="T9" s="19">
        <v>78.062713368308792</v>
      </c>
      <c r="U9" s="19">
        <v>73.523740306161642</v>
      </c>
      <c r="V9" s="19">
        <v>77.957693549915774</v>
      </c>
      <c r="W9" s="19">
        <v>84.092457259777021</v>
      </c>
      <c r="X9" s="19">
        <v>79.962105154915918</v>
      </c>
      <c r="Y9" s="19">
        <v>86.005363866164899</v>
      </c>
      <c r="Z9" s="19">
        <v>85.134182175978381</v>
      </c>
      <c r="AA9" s="19">
        <v>92.884084065927425</v>
      </c>
      <c r="AB9" s="19">
        <v>107.3</v>
      </c>
      <c r="AC9" s="19">
        <v>97.8</v>
      </c>
      <c r="AD9" s="19">
        <v>100.9</v>
      </c>
      <c r="AE9" s="19">
        <f>413.5-SUM(AB9:AD9)</f>
        <v>107.5</v>
      </c>
      <c r="AF9" s="19">
        <v>113</v>
      </c>
      <c r="AG9" s="19">
        <v>112.2</v>
      </c>
      <c r="AH9" s="19">
        <v>170.8</v>
      </c>
      <c r="AI9" s="19">
        <f>578.7-AF9-AG9-AH9</f>
        <v>182.70000000000005</v>
      </c>
      <c r="AJ9" s="19">
        <v>173.8</v>
      </c>
      <c r="AK9" s="19">
        <v>179.9</v>
      </c>
      <c r="AL9" s="19">
        <v>195</v>
      </c>
      <c r="AM9" s="19">
        <f>782.9-AJ9-AK9-AL9</f>
        <v>234.19999999999993</v>
      </c>
      <c r="AN9" s="19">
        <v>235.7</v>
      </c>
      <c r="AO9" s="19">
        <v>232</v>
      </c>
      <c r="AP9" s="6">
        <f t="shared" ref="AP9:AY9" ca="1" si="3">+AP5*AP112</f>
        <v>230.77399034536447</v>
      </c>
      <c r="AQ9" s="6">
        <f t="shared" ca="1" si="3"/>
        <v>231.56645823134127</v>
      </c>
      <c r="AR9" s="6">
        <f t="shared" ca="1" si="3"/>
        <v>232.50563174803287</v>
      </c>
      <c r="AS9" s="6">
        <f t="shared" ca="1" si="3"/>
        <v>233.58209154288372</v>
      </c>
      <c r="AT9" s="6">
        <f t="shared" ca="1" si="3"/>
        <v>234.75863438730352</v>
      </c>
      <c r="AU9" s="6">
        <f t="shared" ca="1" si="3"/>
        <v>236.00076422751357</v>
      </c>
      <c r="AV9" s="6">
        <f t="shared" ca="1" si="3"/>
        <v>237.29977738631393</v>
      </c>
      <c r="AW9" s="6">
        <f t="shared" ca="1" si="3"/>
        <v>238.6476061557066</v>
      </c>
      <c r="AX9" s="6">
        <f t="shared" ca="1" si="3"/>
        <v>240.03665896028011</v>
      </c>
      <c r="AY9" s="6">
        <f t="shared" ca="1" si="3"/>
        <v>241.45971529743565</v>
      </c>
    </row>
    <row r="10" spans="2:84">
      <c r="B10" s="7" t="s">
        <v>80</v>
      </c>
      <c r="D10" s="2">
        <f>+D9/D5</f>
        <v>0.31589931729403853</v>
      </c>
      <c r="E10" s="2">
        <f>+E9/E5</f>
        <v>0.25156746756077591</v>
      </c>
      <c r="F10" s="2">
        <f>+F9/F5</f>
        <v>0.21858140315184565</v>
      </c>
      <c r="G10" s="2">
        <f>+G9/G5</f>
        <v>0.3122742561065644</v>
      </c>
      <c r="H10" s="2">
        <f t="shared" ref="H10:M10" si="4">+H9/H5</f>
        <v>0.30625859042351805</v>
      </c>
      <c r="I10" s="2">
        <f t="shared" si="4"/>
        <v>0.30695568257738848</v>
      </c>
      <c r="J10" s="2">
        <f t="shared" si="4"/>
        <v>0.33612127548353371</v>
      </c>
      <c r="K10" s="2">
        <f t="shared" si="4"/>
        <v>0.35589599054459492</v>
      </c>
      <c r="L10" s="2">
        <f t="shared" ca="1" si="4"/>
        <v>0.3566594763230676</v>
      </c>
      <c r="M10" s="2">
        <f t="shared" ca="1" si="4"/>
        <v>0.34824406384784873</v>
      </c>
      <c r="N10" s="2">
        <f ca="1">+N9/N5</f>
        <v>0.34224239507850712</v>
      </c>
      <c r="T10" s="23">
        <f>+T9/T5</f>
        <v>0.33076344889813813</v>
      </c>
      <c r="U10" s="23">
        <f t="shared" ref="U10:Z10" si="5">+U9/U5</f>
        <v>0.29406577828668146</v>
      </c>
      <c r="V10" s="23">
        <f t="shared" si="5"/>
        <v>0.30386471410761223</v>
      </c>
      <c r="W10" s="23">
        <f t="shared" si="5"/>
        <v>0.32123794632762931</v>
      </c>
      <c r="X10" s="23">
        <f t="shared" si="5"/>
        <v>0.29830954297109807</v>
      </c>
      <c r="Y10" s="23">
        <f t="shared" si="5"/>
        <v>0.31051543563853684</v>
      </c>
      <c r="Z10" s="48">
        <f t="shared" si="5"/>
        <v>0.30254554322342964</v>
      </c>
      <c r="AA10" s="48">
        <f t="shared" ref="AA10:AF10" si="6">+AA9/AA5</f>
        <v>0.31298618034824194</v>
      </c>
      <c r="AB10" s="48">
        <f t="shared" si="6"/>
        <v>0.33468496568933248</v>
      </c>
      <c r="AC10" s="48">
        <f t="shared" si="6"/>
        <v>0.30194504476690337</v>
      </c>
      <c r="AD10" s="48">
        <f t="shared" si="6"/>
        <v>0.29615497505136484</v>
      </c>
      <c r="AE10" s="48">
        <f t="shared" si="6"/>
        <v>0.29704338214976517</v>
      </c>
      <c r="AF10" s="48">
        <f t="shared" si="6"/>
        <v>0.3080697928026172</v>
      </c>
      <c r="AG10" s="48">
        <f t="shared" ref="AG10:AL10" si="7">+AG9/AG5</f>
        <v>0.30357142857142855</v>
      </c>
      <c r="AH10" s="48">
        <f t="shared" si="7"/>
        <v>0.35732217573221758</v>
      </c>
      <c r="AI10" s="48">
        <f t="shared" si="7"/>
        <v>0.36014192785334131</v>
      </c>
      <c r="AJ10" s="48">
        <f t="shared" si="7"/>
        <v>0.34422657952069718</v>
      </c>
      <c r="AK10" s="48">
        <f t="shared" si="7"/>
        <v>0.35504243141898562</v>
      </c>
      <c r="AL10" s="48">
        <f t="shared" si="7"/>
        <v>0.35441657579062158</v>
      </c>
      <c r="AM10" s="48">
        <f t="shared" ref="AM10" si="8">+AM9/AM5</f>
        <v>0.36708463949843251</v>
      </c>
      <c r="AN10" s="48">
        <f t="shared" ref="AN10:AO10" si="9">+AN9/AN5</f>
        <v>0.36627816627816628</v>
      </c>
      <c r="AO10" s="48">
        <f t="shared" si="9"/>
        <v>0.35501147666411631</v>
      </c>
      <c r="AP10" s="23">
        <f t="shared" ref="AP10:AY10" ca="1" si="10">+AP9/AP5</f>
        <v>0.35351147666411631</v>
      </c>
      <c r="AQ10" s="23">
        <f t="shared" ca="1" si="10"/>
        <v>0.35201147666411631</v>
      </c>
      <c r="AR10" s="23">
        <f t="shared" ca="1" si="10"/>
        <v>0.35051147666411631</v>
      </c>
      <c r="AS10" s="23">
        <f t="shared" ca="1" si="10"/>
        <v>0.3490114766641163</v>
      </c>
      <c r="AT10" s="23">
        <f t="shared" ca="1" si="10"/>
        <v>0.3475114766641163</v>
      </c>
      <c r="AU10" s="23">
        <f t="shared" ca="1" si="10"/>
        <v>0.3460114766641163</v>
      </c>
      <c r="AV10" s="23">
        <f t="shared" ca="1" si="10"/>
        <v>0.3445114766641163</v>
      </c>
      <c r="AW10" s="23">
        <f t="shared" ca="1" si="10"/>
        <v>0.3430114766641163</v>
      </c>
      <c r="AX10" s="23">
        <f t="shared" ca="1" si="10"/>
        <v>0.3415114766641163</v>
      </c>
      <c r="AY10" s="23">
        <f t="shared" ca="1" si="10"/>
        <v>0.3400114766641163</v>
      </c>
    </row>
    <row r="11" spans="2:84">
      <c r="B11" t="s">
        <v>55</v>
      </c>
      <c r="D11" s="38">
        <v>65.346999999999994</v>
      </c>
      <c r="E11" s="38">
        <v>88.414000000000001</v>
      </c>
      <c r="F11" s="38">
        <v>112.41</v>
      </c>
      <c r="G11" s="6">
        <f>+SUM(T11:W11)</f>
        <v>150.77235104301334</v>
      </c>
      <c r="H11" s="6">
        <f>+SUM(X11:AA11)</f>
        <v>131.22597332354906</v>
      </c>
      <c r="I11" s="6">
        <f>+SUM(AB11:AE11)</f>
        <v>157.69999999999993</v>
      </c>
      <c r="J11" s="6">
        <f>+SUM(AF11:AI11)</f>
        <v>230.49999999999997</v>
      </c>
      <c r="K11" s="6">
        <f>+SUM(AJ11:AM11)</f>
        <v>322.10000000000002</v>
      </c>
      <c r="L11" s="6">
        <f ca="1">+SUM(AN11:AQ11)</f>
        <v>387.98534099007469</v>
      </c>
      <c r="M11" s="6">
        <f ca="1">+SUM(AR11:AU11)</f>
        <v>380.63245315323445</v>
      </c>
      <c r="N11" s="6">
        <f ca="1">+SUM(AV11:AY11)</f>
        <v>384.62896150133787</v>
      </c>
      <c r="T11" s="19">
        <v>43.744416494709029</v>
      </c>
      <c r="U11" s="19">
        <v>38.852421119771691</v>
      </c>
      <c r="V11" s="19">
        <v>31.205022800382235</v>
      </c>
      <c r="W11" s="19">
        <v>36.97049062815038</v>
      </c>
      <c r="X11" s="19">
        <v>33.1149821395828</v>
      </c>
      <c r="Y11" s="19">
        <v>29.729599252940243</v>
      </c>
      <c r="Z11" s="19">
        <v>31.102834349446798</v>
      </c>
      <c r="AA11" s="19">
        <v>37.278557581579236</v>
      </c>
      <c r="AB11" s="19">
        <f>156.8-AB15</f>
        <v>33.700000000000017</v>
      </c>
      <c r="AC11" s="19">
        <f>32.1-AC15</f>
        <v>38.1</v>
      </c>
      <c r="AD11" s="19">
        <f>83-AD15</f>
        <v>42.3</v>
      </c>
      <c r="AE11" s="50">
        <f>358.4-SUM(AB11:AD11)-SUM(AB15:AE15)</f>
        <v>43.599999999999937</v>
      </c>
      <c r="AF11" s="50">
        <f>84.6-AF15</f>
        <v>38.499999999999993</v>
      </c>
      <c r="AG11" s="50">
        <f>85-AG15</f>
        <v>42.1</v>
      </c>
      <c r="AH11" s="50">
        <f>112.5-AH15</f>
        <v>79</v>
      </c>
      <c r="AI11" s="50">
        <f>386.4-SUM(AF11:AH11)-SUM(AF15:AI15)</f>
        <v>70.899999999999977</v>
      </c>
      <c r="AJ11" s="50">
        <f>105.6-AJ15</f>
        <v>73.599999999999994</v>
      </c>
      <c r="AK11" s="50">
        <f>104.7-AK15</f>
        <v>70.2</v>
      </c>
      <c r="AL11" s="50">
        <f>108.8-AL15</f>
        <v>82.3</v>
      </c>
      <c r="AM11" s="50">
        <f>436.2-AJ11-AK11-AL11-AM15-AJ15-AK15-AL15</f>
        <v>96.000000000000028</v>
      </c>
      <c r="AN11" s="50">
        <f>128.3-AN15</f>
        <v>100.50000000000001</v>
      </c>
      <c r="AO11" s="50">
        <f>121.6-AO15</f>
        <v>98.1</v>
      </c>
      <c r="AP11" s="6">
        <f t="shared" ref="AP11:AY11" ca="1" si="11">+AP5*AP117</f>
        <v>94.656696625075867</v>
      </c>
      <c r="AQ11" s="6">
        <f t="shared" ca="1" si="11"/>
        <v>94.728644364998786</v>
      </c>
      <c r="AR11" s="6">
        <f t="shared" ca="1" si="11"/>
        <v>94.856538383276572</v>
      </c>
      <c r="AS11" s="6">
        <f t="shared" ca="1" si="11"/>
        <v>95.036006598174225</v>
      </c>
      <c r="AT11" s="6">
        <f t="shared" ca="1" si="11"/>
        <v>95.251436776585066</v>
      </c>
      <c r="AU11" s="6">
        <f t="shared" ca="1" si="11"/>
        <v>95.488471395198601</v>
      </c>
      <c r="AV11" s="6">
        <f t="shared" ca="1" si="11"/>
        <v>95.743309848734739</v>
      </c>
      <c r="AW11" s="6">
        <f t="shared" ca="1" si="11"/>
        <v>96.012442410889122</v>
      </c>
      <c r="AX11" s="6">
        <f t="shared" ca="1" si="11"/>
        <v>96.292583191578885</v>
      </c>
      <c r="AY11" s="6">
        <f t="shared" ca="1" si="11"/>
        <v>96.580626050135081</v>
      </c>
    </row>
    <row r="12" spans="2:84">
      <c r="B12" s="7" t="s">
        <v>80</v>
      </c>
      <c r="D12" s="2">
        <f>+D11/D5</f>
        <v>0.33022047713617225</v>
      </c>
      <c r="E12" s="2">
        <f>+E11/E5</f>
        <v>0.31336591728307989</v>
      </c>
      <c r="F12" s="2">
        <f>+F11/F5</f>
        <v>0.2993401255838477</v>
      </c>
      <c r="G12" s="2">
        <f>+G11/G5</f>
        <v>0.15011743874995356</v>
      </c>
      <c r="H12" s="2">
        <f t="shared" ref="H12:M12" si="12">+H11/H5</f>
        <v>0.1168335703987802</v>
      </c>
      <c r="I12" s="2">
        <f t="shared" si="12"/>
        <v>0.11706629055007048</v>
      </c>
      <c r="J12" s="2">
        <f t="shared" si="12"/>
        <v>0.13387930533774756</v>
      </c>
      <c r="K12" s="2">
        <f t="shared" si="12"/>
        <v>0.14642240203654877</v>
      </c>
      <c r="L12" s="2">
        <f t="shared" ca="1" si="12"/>
        <v>0.14878777449982486</v>
      </c>
      <c r="M12" s="2">
        <f t="shared" ca="1" si="12"/>
        <v>0.14148839145582159</v>
      </c>
      <c r="N12" s="2">
        <f ca="1">+N11/N5</f>
        <v>0.1374872789429272</v>
      </c>
      <c r="T12" s="23">
        <f>+T11/T5</f>
        <v>0.18535166721095014</v>
      </c>
      <c r="U12" s="23">
        <f t="shared" ref="U12:Z12" si="13">+U11/U5</f>
        <v>0.1553942632316011</v>
      </c>
      <c r="V12" s="23">
        <f t="shared" si="13"/>
        <v>0.12163142468919173</v>
      </c>
      <c r="W12" s="23">
        <f t="shared" si="13"/>
        <v>0.14122936671268566</v>
      </c>
      <c r="X12" s="23">
        <f t="shared" si="13"/>
        <v>0.12353995893950909</v>
      </c>
      <c r="Y12" s="23">
        <f t="shared" si="13"/>
        <v>0.10733632239206879</v>
      </c>
      <c r="Z12" s="48">
        <f t="shared" si="13"/>
        <v>0.11053167686030675</v>
      </c>
      <c r="AA12" s="48">
        <f t="shared" ref="AA12:AF12" si="14">+AA11/AA5</f>
        <v>0.1256154212391111</v>
      </c>
      <c r="AB12" s="48">
        <f t="shared" si="14"/>
        <v>0.10511540860885843</v>
      </c>
      <c r="AC12" s="48">
        <f t="shared" si="14"/>
        <v>0.11762889780796544</v>
      </c>
      <c r="AD12" s="48">
        <f t="shared" si="14"/>
        <v>0.12415614910478426</v>
      </c>
      <c r="AE12" s="48">
        <f t="shared" si="14"/>
        <v>0.12047526941143946</v>
      </c>
      <c r="AF12" s="48">
        <f t="shared" si="14"/>
        <v>0.10496183206106868</v>
      </c>
      <c r="AG12" s="48">
        <f t="shared" ref="AG12:AL12" si="15">+AG11/AG5</f>
        <v>0.1139069264069264</v>
      </c>
      <c r="AH12" s="48">
        <f t="shared" si="15"/>
        <v>0.16527196652719664</v>
      </c>
      <c r="AI12" s="48">
        <f t="shared" si="15"/>
        <v>0.13975951113739399</v>
      </c>
      <c r="AJ12" s="48">
        <f t="shared" si="15"/>
        <v>0.14577143988908695</v>
      </c>
      <c r="AK12" s="48">
        <f t="shared" si="15"/>
        <v>0.13854351687388988</v>
      </c>
      <c r="AL12" s="48">
        <f t="shared" si="15"/>
        <v>0.1495819701926572</v>
      </c>
      <c r="AM12" s="48">
        <f t="shared" ref="AM12" si="16">+AM11/AM5</f>
        <v>0.15047021943573671</v>
      </c>
      <c r="AN12" s="48">
        <f t="shared" ref="AN12:AO12" si="17">+AN11/AN5</f>
        <v>0.15617715617715619</v>
      </c>
      <c r="AO12" s="48">
        <f t="shared" si="17"/>
        <v>0.15011476664116297</v>
      </c>
      <c r="AP12" s="23">
        <f t="shared" ref="AP12:AY12" ca="1" si="18">+AP11/AP5</f>
        <v>0.14499999999999999</v>
      </c>
      <c r="AQ12" s="23">
        <f t="shared" ca="1" si="18"/>
        <v>0.14399999999999999</v>
      </c>
      <c r="AR12" s="23">
        <f t="shared" ca="1" si="18"/>
        <v>0.14299999999999999</v>
      </c>
      <c r="AS12" s="23">
        <f t="shared" ca="1" si="18"/>
        <v>0.14199999999999999</v>
      </c>
      <c r="AT12" s="23">
        <f t="shared" ca="1" si="18"/>
        <v>0.14099999999999999</v>
      </c>
      <c r="AU12" s="23">
        <f t="shared" ca="1" si="18"/>
        <v>0.13999999999999999</v>
      </c>
      <c r="AV12" s="23">
        <f t="shared" ca="1" si="18"/>
        <v>0.13899999999999998</v>
      </c>
      <c r="AW12" s="23">
        <f t="shared" ca="1" si="18"/>
        <v>0.13799999999999998</v>
      </c>
      <c r="AX12" s="23">
        <f t="shared" ca="1" si="18"/>
        <v>0.13699999999999998</v>
      </c>
      <c r="AY12" s="23">
        <f t="shared" ca="1" si="18"/>
        <v>0.13599999999999998</v>
      </c>
    </row>
    <row r="13" spans="2:84">
      <c r="B13" t="s">
        <v>59</v>
      </c>
      <c r="D13" s="6"/>
      <c r="E13" s="6"/>
      <c r="F13" s="6"/>
      <c r="G13" s="6">
        <f>+SUM(T13:W13)</f>
        <v>0</v>
      </c>
      <c r="H13" s="6">
        <f>+SUM(X13:AA13)</f>
        <v>0</v>
      </c>
      <c r="I13" s="6">
        <f>+SUM(AB13:AE13)</f>
        <v>0</v>
      </c>
      <c r="J13" s="6">
        <f>+SUM(AF13:AI13)</f>
        <v>0</v>
      </c>
      <c r="K13" s="6">
        <f>+SUM(AJ13:AM13)</f>
        <v>0</v>
      </c>
      <c r="L13" s="6">
        <f>+SUM(AN13:AQ13)</f>
        <v>0</v>
      </c>
      <c r="M13" s="6">
        <f>+SUM(AR13:AU13)</f>
        <v>0</v>
      </c>
      <c r="N13" s="6">
        <f>+SUM(AV13:AY13)</f>
        <v>0</v>
      </c>
      <c r="T13" s="19"/>
      <c r="U13" s="19"/>
      <c r="V13" s="19"/>
      <c r="W13" s="19"/>
      <c r="X13" s="19"/>
      <c r="Y13" s="19"/>
      <c r="Z13" s="110"/>
      <c r="AA13" s="110"/>
      <c r="AB13" s="110"/>
      <c r="AC13" s="110"/>
      <c r="AD13" s="110"/>
      <c r="AE13" s="110"/>
      <c r="AF13" s="110"/>
      <c r="AG13" s="110"/>
      <c r="AH13" s="110"/>
      <c r="AI13" s="110"/>
      <c r="AJ13" s="110"/>
      <c r="AK13" s="110"/>
      <c r="AL13" s="110"/>
      <c r="AM13" s="110"/>
      <c r="AN13" s="110"/>
      <c r="AO13" s="110"/>
      <c r="AP13" s="128"/>
      <c r="AQ13" s="128"/>
      <c r="AR13" s="128"/>
      <c r="AS13" s="128"/>
      <c r="AT13" s="128"/>
      <c r="AU13" s="128"/>
      <c r="AV13" s="128"/>
      <c r="AW13" s="128"/>
      <c r="AX13" s="128"/>
      <c r="AY13" s="128"/>
    </row>
    <row r="14" spans="2:84">
      <c r="B14" t="s">
        <v>60</v>
      </c>
      <c r="D14" s="6"/>
      <c r="E14" s="6"/>
      <c r="F14" s="6"/>
      <c r="G14" s="6">
        <f>+SUM(T14:W14)</f>
        <v>0</v>
      </c>
      <c r="H14" s="6">
        <f>+SUM(X14:AA14)</f>
        <v>0</v>
      </c>
      <c r="I14" s="6">
        <f>+SUM(AB14:AE14)</f>
        <v>0</v>
      </c>
      <c r="J14" s="6">
        <f>+SUM(AF14:AI14)</f>
        <v>0</v>
      </c>
      <c r="K14" s="6">
        <f>+SUM(AJ14:AM14)</f>
        <v>0</v>
      </c>
      <c r="L14" s="6">
        <f>+SUM(AN14:AQ14)</f>
        <v>0</v>
      </c>
      <c r="M14" s="6">
        <f>+SUM(AR14:AU14)</f>
        <v>0</v>
      </c>
      <c r="N14" s="6">
        <f>+SUM(AV14:AY14)</f>
        <v>0</v>
      </c>
      <c r="T14" s="50"/>
      <c r="U14" s="19"/>
      <c r="V14" s="19"/>
      <c r="W14" s="19"/>
      <c r="X14" s="19"/>
      <c r="Y14" s="19"/>
      <c r="Z14" s="110"/>
      <c r="AA14" s="110"/>
      <c r="AB14" s="110"/>
      <c r="AC14" s="110"/>
      <c r="AD14" s="110"/>
      <c r="AE14" s="110"/>
      <c r="AF14" s="110"/>
      <c r="AG14" s="110"/>
      <c r="AH14" s="110"/>
      <c r="AI14" s="110"/>
      <c r="AJ14" s="110"/>
      <c r="AK14" s="110"/>
      <c r="AL14" s="110"/>
      <c r="AM14" s="110"/>
      <c r="AN14" s="110"/>
      <c r="AO14" s="110"/>
    </row>
    <row r="15" spans="2:84" s="3" customFormat="1">
      <c r="B15" s="3" t="s">
        <v>56</v>
      </c>
      <c r="D15" s="19">
        <v>18.167999999999999</v>
      </c>
      <c r="E15" s="19">
        <v>24.31</v>
      </c>
      <c r="F15" s="19">
        <v>26.253</v>
      </c>
      <c r="G15" s="6">
        <f>+SUM(T15:W15)</f>
        <v>105.84999508651291</v>
      </c>
      <c r="H15" s="6">
        <f>+SUM(X15:AA15)</f>
        <v>253.68095981236758</v>
      </c>
      <c r="I15" s="6">
        <f>+SUM(AB15:AE15)</f>
        <v>200.70000000000002</v>
      </c>
      <c r="J15" s="6">
        <f>+SUM(AF15:AI15)</f>
        <v>155.9</v>
      </c>
      <c r="K15" s="6">
        <f>+SUM(AJ15:AM15)</f>
        <v>114.1</v>
      </c>
      <c r="L15" s="6">
        <f>+SUM(AN15:AQ15)</f>
        <v>106.3</v>
      </c>
      <c r="M15" s="6">
        <f>+SUM(AR15:AU15)</f>
        <v>110</v>
      </c>
      <c r="N15" s="6">
        <f>+SUM(AV15:AY15)</f>
        <v>110</v>
      </c>
      <c r="T15" s="50">
        <v>10.481071115375345</v>
      </c>
      <c r="U15" s="50">
        <v>33.711677592456255</v>
      </c>
      <c r="V15" s="50">
        <v>23.719862728616118</v>
      </c>
      <c r="W15" s="50">
        <v>37.937383650065193</v>
      </c>
      <c r="X15" s="50">
        <v>42.949492296009659</v>
      </c>
      <c r="Y15" s="50">
        <v>56.95264424563252</v>
      </c>
      <c r="Z15" s="50">
        <v>65.232969577889875</v>
      </c>
      <c r="AA15" s="50">
        <v>88.545853692835536</v>
      </c>
      <c r="AB15" s="50">
        <v>123.1</v>
      </c>
      <c r="AC15" s="50">
        <v>-6</v>
      </c>
      <c r="AD15" s="50">
        <v>40.700000000000003</v>
      </c>
      <c r="AE15" s="50">
        <v>42.9</v>
      </c>
      <c r="AF15" s="50">
        <v>46.1</v>
      </c>
      <c r="AG15" s="50">
        <v>42.9</v>
      </c>
      <c r="AH15" s="50">
        <v>33.5</v>
      </c>
      <c r="AI15" s="50">
        <v>33.4</v>
      </c>
      <c r="AJ15" s="50">
        <v>32</v>
      </c>
      <c r="AK15" s="50">
        <v>34.5</v>
      </c>
      <c r="AL15" s="50">
        <v>26.5</v>
      </c>
      <c r="AM15" s="50">
        <v>21.1</v>
      </c>
      <c r="AN15" s="50">
        <v>27.8</v>
      </c>
      <c r="AO15" s="50">
        <v>23.5</v>
      </c>
      <c r="AP15" s="40">
        <f t="shared" ref="AP15:AY15" si="19">+AP128</f>
        <v>27.5</v>
      </c>
      <c r="AQ15" s="40">
        <f t="shared" si="19"/>
        <v>27.5</v>
      </c>
      <c r="AR15" s="40">
        <f t="shared" si="19"/>
        <v>27.5</v>
      </c>
      <c r="AS15" s="40">
        <f t="shared" si="19"/>
        <v>27.5</v>
      </c>
      <c r="AT15" s="40">
        <f t="shared" si="19"/>
        <v>27.5</v>
      </c>
      <c r="AU15" s="40">
        <f t="shared" si="19"/>
        <v>27.5</v>
      </c>
      <c r="AV15" s="40">
        <f t="shared" si="19"/>
        <v>27.5</v>
      </c>
      <c r="AW15" s="40">
        <f t="shared" si="19"/>
        <v>27.5</v>
      </c>
      <c r="AX15" s="40">
        <f t="shared" si="19"/>
        <v>27.5</v>
      </c>
      <c r="AY15" s="40">
        <f t="shared" si="19"/>
        <v>27.5</v>
      </c>
      <c r="CA15"/>
      <c r="CB15"/>
      <c r="CC15"/>
      <c r="CD15"/>
      <c r="CE15"/>
      <c r="CF15"/>
    </row>
    <row r="16" spans="2:84" s="3" customFormat="1">
      <c r="B16" s="3" t="s">
        <v>57</v>
      </c>
      <c r="D16" s="19">
        <v>38.738</v>
      </c>
      <c r="E16" s="19">
        <v>60.463000000000001</v>
      </c>
      <c r="F16" s="19">
        <v>84.960999999999999</v>
      </c>
      <c r="G16" s="6">
        <f>+SUM(T16:W16)</f>
        <v>280.12762928716529</v>
      </c>
      <c r="H16" s="6">
        <f>+SUM(X16:AA16)</f>
        <v>294.12579705574319</v>
      </c>
      <c r="I16" s="6">
        <f>+SUM(AB16:AE16)</f>
        <v>360.36994395528757</v>
      </c>
      <c r="J16" s="6">
        <f>+SUM(AF16:AI16)</f>
        <v>470.46994395528765</v>
      </c>
      <c r="K16" s="6">
        <f>+SUM(AJ16:AM16)</f>
        <v>561.06994395528773</v>
      </c>
      <c r="L16" s="6">
        <f ca="1">+SUM(AN16:AQ16)</f>
        <v>734.82712898511431</v>
      </c>
      <c r="M16" s="6">
        <f ca="1">+SUM(AR16:AU16)</f>
        <v>805.68404663649312</v>
      </c>
      <c r="N16" s="6">
        <f ca="1">+SUM(AV16:AY16)</f>
        <v>902.04833812881111</v>
      </c>
      <c r="T16" s="50">
        <v>69.540835506875254</v>
      </c>
      <c r="U16" s="50">
        <v>72.996831719316205</v>
      </c>
      <c r="V16" s="50">
        <v>68.434216350104862</v>
      </c>
      <c r="W16" s="50">
        <v>69.155745710869013</v>
      </c>
      <c r="X16" s="50">
        <v>69.579887274818716</v>
      </c>
      <c r="Y16" s="50">
        <v>71.999846475701389</v>
      </c>
      <c r="Z16" s="50">
        <v>72.666330594051175</v>
      </c>
      <c r="AA16" s="50">
        <v>79.879732711171911</v>
      </c>
      <c r="AB16" s="50">
        <f>96-AB17</f>
        <v>84.542485988821909</v>
      </c>
      <c r="AC16" s="50">
        <f>96.9-AC17</f>
        <v>85.442485988821915</v>
      </c>
      <c r="AD16" s="50">
        <f>100.1-AD17</f>
        <v>88.642485988821903</v>
      </c>
      <c r="AE16" s="50">
        <f>406.2-SUM(AB16:AD16)-SUM(AB17:AE17)</f>
        <v>101.74248598882187</v>
      </c>
      <c r="AF16" s="50">
        <f>117.1-AF17</f>
        <v>105.6424859888219</v>
      </c>
      <c r="AG16" s="50">
        <f>113.7-AG17</f>
        <v>102.24248598882191</v>
      </c>
      <c r="AH16" s="50">
        <f>137.2-AH17</f>
        <v>125.7424859888219</v>
      </c>
      <c r="AI16" s="50">
        <f>148.3-AI17</f>
        <v>136.84248598882192</v>
      </c>
      <c r="AJ16" s="50">
        <f>138.5-AJ17</f>
        <v>127.04248598882191</v>
      </c>
      <c r="AK16" s="50">
        <f>131.4-AK17</f>
        <v>119.94248598882191</v>
      </c>
      <c r="AL16" s="50">
        <f>155.7-AL17</f>
        <v>144.2424859888219</v>
      </c>
      <c r="AM16" s="50">
        <f>181.3-AM17</f>
        <v>169.84248598882192</v>
      </c>
      <c r="AN16" s="50">
        <f>184.1-AN17</f>
        <v>172.6424859888219</v>
      </c>
      <c r="AO16" s="50">
        <f>195.9-AO17</f>
        <v>184.44248598882191</v>
      </c>
      <c r="AP16" s="40">
        <f ca="1">BS!AP105</f>
        <v>187.44401065622463</v>
      </c>
      <c r="AQ16" s="40">
        <f ca="1">BS!AQ105</f>
        <v>190.29814635124583</v>
      </c>
      <c r="AR16" s="40">
        <f ca="1">BS!AR105</f>
        <v>194.14650078697849</v>
      </c>
      <c r="AS16" s="40">
        <f ca="1">BS!AS105</f>
        <v>198.60577627686502</v>
      </c>
      <c r="AT16" s="40">
        <f ca="1">BS!AT105</f>
        <v>203.6557879166923</v>
      </c>
      <c r="AU16" s="40">
        <f ca="1">BS!AU105</f>
        <v>209.27598165595742</v>
      </c>
      <c r="AV16" s="40">
        <f ca="1">BS!AV105</f>
        <v>215.44611931355453</v>
      </c>
      <c r="AW16" s="40">
        <f ca="1">BS!AW105</f>
        <v>222.14692364613012</v>
      </c>
      <c r="AX16" s="40">
        <f ca="1">BS!AX105</f>
        <v>229.36002621211486</v>
      </c>
      <c r="AY16" s="40">
        <f ca="1">BS!AY105</f>
        <v>235.09526895701157</v>
      </c>
      <c r="CA16"/>
      <c r="CB16"/>
      <c r="CC16"/>
      <c r="CD16"/>
      <c r="CE16"/>
      <c r="CF16"/>
    </row>
    <row r="17" spans="2:87" s="3" customFormat="1">
      <c r="B17" s="3" t="s">
        <v>58</v>
      </c>
      <c r="D17" s="6"/>
      <c r="E17" s="6"/>
      <c r="F17" s="6"/>
      <c r="G17" s="6">
        <f>+SUM(T17:W17)</f>
        <v>44.403491866655557</v>
      </c>
      <c r="H17" s="6">
        <f>+SUM(X17:AA17)</f>
        <v>44.142500231314763</v>
      </c>
      <c r="I17" s="6">
        <f>+SUM(AB17:AE17)</f>
        <v>45.830056044712386</v>
      </c>
      <c r="J17" s="6">
        <f>+SUM(AF17:AI17)</f>
        <v>45.830056044712386</v>
      </c>
      <c r="K17" s="6">
        <f>+SUM(AJ17:AM17)</f>
        <v>45.830056044712386</v>
      </c>
      <c r="L17" s="6">
        <f>+SUM(AN17:AQ17)</f>
        <v>44.977903440131016</v>
      </c>
      <c r="M17" s="6">
        <f>+SUM(AR17:AU17)</f>
        <v>40.911474291433287</v>
      </c>
      <c r="N17" s="6">
        <f>+SUM(AV17:AY17)</f>
        <v>36.971203904784268</v>
      </c>
      <c r="T17" s="50">
        <v>10.470925599629277</v>
      </c>
      <c r="U17" s="50">
        <v>10.933239717985956</v>
      </c>
      <c r="V17" s="50">
        <v>11.502097616577364</v>
      </c>
      <c r="W17" s="50">
        <v>11.497228932462964</v>
      </c>
      <c r="X17" s="50">
        <v>11.457300867770535</v>
      </c>
      <c r="Y17" s="50">
        <v>9.7193882770949962</v>
      </c>
      <c r="Z17" s="50">
        <v>11.508297075271134</v>
      </c>
      <c r="AA17" s="50">
        <v>11.457514011178096</v>
      </c>
      <c r="AB17" s="50">
        <v>11.457514011178096</v>
      </c>
      <c r="AC17" s="50">
        <v>11.457514011178096</v>
      </c>
      <c r="AD17" s="50">
        <v>11.457514011178096</v>
      </c>
      <c r="AE17" s="50">
        <v>11.457514011178096</v>
      </c>
      <c r="AF17" s="50">
        <v>11.457514011178096</v>
      </c>
      <c r="AG17" s="50">
        <v>11.457514011178096</v>
      </c>
      <c r="AH17" s="50">
        <v>11.457514011178096</v>
      </c>
      <c r="AI17" s="50">
        <v>11.457514011178096</v>
      </c>
      <c r="AJ17" s="50">
        <v>11.457514011178096</v>
      </c>
      <c r="AK17" s="50">
        <v>11.457514011178096</v>
      </c>
      <c r="AL17" s="50">
        <v>11.457514011178096</v>
      </c>
      <c r="AM17" s="50">
        <v>11.457514011178096</v>
      </c>
      <c r="AN17" s="50">
        <v>11.457514011178096</v>
      </c>
      <c r="AO17" s="50">
        <v>11.457514011178096</v>
      </c>
      <c r="AP17" s="40">
        <f>BS!AP109</f>
        <v>11.171076160898645</v>
      </c>
      <c r="AQ17" s="40">
        <f>BS!AQ109</f>
        <v>10.891799256876178</v>
      </c>
      <c r="AR17" s="40">
        <f>BS!AR109</f>
        <v>10.619504275454274</v>
      </c>
      <c r="AS17" s="40">
        <f>BS!AS109</f>
        <v>10.354016668567917</v>
      </c>
      <c r="AT17" s="40">
        <f>BS!AT109</f>
        <v>10.095166251853719</v>
      </c>
      <c r="AU17" s="40">
        <f>BS!AU109</f>
        <v>9.8427870955573766</v>
      </c>
      <c r="AV17" s="40">
        <f>BS!AV109</f>
        <v>9.596717418168442</v>
      </c>
      <c r="AW17" s="40">
        <f>BS!AW109</f>
        <v>9.3567994827142318</v>
      </c>
      <c r="AX17" s="40">
        <f>BS!AX109</f>
        <v>9.1228794956463766</v>
      </c>
      <c r="AY17" s="40">
        <f>BS!AY109</f>
        <v>8.8948075082552176</v>
      </c>
      <c r="CA17"/>
      <c r="CB17"/>
      <c r="CC17"/>
      <c r="CD17"/>
      <c r="CE17"/>
      <c r="CF17"/>
    </row>
    <row r="18" spans="2:87">
      <c r="AA18" s="15"/>
      <c r="AB18" s="15"/>
      <c r="AC18" s="15"/>
      <c r="AD18" s="15"/>
      <c r="AE18" s="15"/>
      <c r="AF18" s="15"/>
      <c r="AG18" s="15"/>
      <c r="AH18" s="15"/>
      <c r="AI18" s="15"/>
      <c r="AJ18" s="15"/>
      <c r="AK18" s="15"/>
      <c r="AL18" s="15"/>
      <c r="AM18" s="15"/>
      <c r="AN18" s="15"/>
      <c r="AO18" s="15"/>
    </row>
    <row r="19" spans="2:87">
      <c r="B19" t="s">
        <v>61</v>
      </c>
      <c r="D19" s="6">
        <f>+D5-D9-D11+D13-D14-D15-D16-D17</f>
        <v>13.123000000000012</v>
      </c>
      <c r="E19" s="6">
        <f>+E5-E9-E11+E13-E14-E15-E16-E17</f>
        <v>37.977999999999959</v>
      </c>
      <c r="F19" s="6">
        <f>+F5-F9-F11+F13-F14-F15-F16-F17</f>
        <v>69.818999999999974</v>
      </c>
      <c r="G19" s="6">
        <f>+SUM(T19:W19)</f>
        <v>109.57259454569969</v>
      </c>
      <c r="H19" s="6">
        <f>+SUM(X19:AA19)</f>
        <v>56.026255894653211</v>
      </c>
      <c r="I19" s="6">
        <f>+SUM(AB19:AE19)</f>
        <v>169.00000000000003</v>
      </c>
      <c r="J19" s="6">
        <f>+SUM(AF19:AI19)</f>
        <v>240.3</v>
      </c>
      <c r="K19" s="6">
        <f>+SUM(AJ19:AM19)</f>
        <v>373.8</v>
      </c>
      <c r="L19" s="6">
        <f ca="1">+SUM(AN19:AQ19)</f>
        <v>403.51179040911177</v>
      </c>
      <c r="M19" s="6">
        <f ca="1">+SUM(AR19:AU19)</f>
        <v>416.12760712379315</v>
      </c>
      <c r="N19" s="6">
        <f ca="1">+SUM(AV19:AY19)</f>
        <v>406.46809812958668</v>
      </c>
      <c r="T19" s="6">
        <f>+T5-T9-T11+T13-T14-T15-T16-T17</f>
        <v>23.707715390822962</v>
      </c>
      <c r="U19" s="6">
        <f t="shared" ref="U19:Z19" si="20">+U5-U9-U11+U13-U14-U15-U16-U17</f>
        <v>20.006899416894527</v>
      </c>
      <c r="V19" s="6">
        <f t="shared" si="20"/>
        <v>43.735059850386925</v>
      </c>
      <c r="W19" s="6">
        <f t="shared" si="20"/>
        <v>22.12291988759527</v>
      </c>
      <c r="X19" s="6">
        <f t="shared" si="20"/>
        <v>30.987010523979798</v>
      </c>
      <c r="Y19" s="6">
        <f t="shared" si="20"/>
        <v>22.569288519274519</v>
      </c>
      <c r="Z19" s="81">
        <f t="shared" si="20"/>
        <v>15.748333778095056</v>
      </c>
      <c r="AA19" s="81">
        <f t="shared" ref="AA19:AF19" si="21">+AA5-AA9-AA11+AA13-AA14-AA15-AA16-AA17</f>
        <v>-13.27837692669616</v>
      </c>
      <c r="AB19" s="81">
        <f t="shared" si="21"/>
        <v>-39.500000000000007</v>
      </c>
      <c r="AC19" s="81">
        <f t="shared" si="21"/>
        <v>97.099999999999966</v>
      </c>
      <c r="AD19" s="81">
        <f t="shared" si="21"/>
        <v>56.70000000000001</v>
      </c>
      <c r="AE19" s="81">
        <f t="shared" si="21"/>
        <v>54.700000000000067</v>
      </c>
      <c r="AF19" s="81">
        <f t="shared" si="21"/>
        <v>52.100000000000016</v>
      </c>
      <c r="AG19" s="81">
        <f t="shared" ref="AG19:AL19" si="22">+AG5-AG9-AG11+AG13-AG14-AG15-AG16-AG17</f>
        <v>58.700000000000024</v>
      </c>
      <c r="AH19" s="81">
        <f t="shared" si="22"/>
        <v>57.499999999999993</v>
      </c>
      <c r="AI19" s="81">
        <f t="shared" si="22"/>
        <v>71.999999999999972</v>
      </c>
      <c r="AJ19" s="81">
        <f t="shared" si="22"/>
        <v>87</v>
      </c>
      <c r="AK19" s="81">
        <f t="shared" si="22"/>
        <v>90.69999999999996</v>
      </c>
      <c r="AL19" s="81">
        <f t="shared" si="22"/>
        <v>90.700000000000045</v>
      </c>
      <c r="AM19" s="81">
        <f t="shared" ref="AM19" si="23">+AM5-AM9-AM11+AM13-AM14-AM15-AM16-AM17</f>
        <v>105.40000000000003</v>
      </c>
      <c r="AN19" s="81">
        <f t="shared" ref="AN19:AO19" si="24">+AN5-AN9-AN11+AN13-AN14-AN15-AN16-AN17</f>
        <v>95.4</v>
      </c>
      <c r="AO19" s="81">
        <f t="shared" si="24"/>
        <v>103.99999999999997</v>
      </c>
      <c r="AP19" s="6">
        <f t="shared" ref="AP19:AY19" ca="1" si="25">+AP5-AP9-AP11+AP13-AP14-AP15-AP16-AP17</f>
        <v>101.25903052330446</v>
      </c>
      <c r="AQ19" s="6">
        <f t="shared" ca="1" si="25"/>
        <v>102.85275988580734</v>
      </c>
      <c r="AR19" s="6">
        <f t="shared" ca="1" si="25"/>
        <v>103.70426105294707</v>
      </c>
      <c r="AS19" s="6">
        <f t="shared" ca="1" si="25"/>
        <v>104.18976101332758</v>
      </c>
      <c r="AT19" s="6">
        <f t="shared" ca="1" si="25"/>
        <v>104.28107946604112</v>
      </c>
      <c r="AU19" s="6">
        <f t="shared" ca="1" si="25"/>
        <v>103.95250559147738</v>
      </c>
      <c r="AV19" s="6">
        <f t="shared" ca="1" si="25"/>
        <v>103.21486631189559</v>
      </c>
      <c r="AW19" s="6">
        <f t="shared" ca="1" si="25"/>
        <v>102.07856461535077</v>
      </c>
      <c r="AX19" s="6">
        <f t="shared" ca="1" si="25"/>
        <v>100.55342288183164</v>
      </c>
      <c r="AY19" s="6">
        <f t="shared" ca="1" si="25"/>
        <v>100.62124432050871</v>
      </c>
    </row>
    <row r="20" spans="2:87">
      <c r="T20" s="50"/>
      <c r="AA20" s="15"/>
      <c r="AB20" s="15"/>
      <c r="AC20" s="15"/>
      <c r="AD20" s="15"/>
      <c r="AE20" s="15"/>
      <c r="AF20" s="15"/>
      <c r="AG20" s="15"/>
      <c r="AH20" s="15"/>
      <c r="AI20" s="15"/>
      <c r="AJ20" s="15"/>
      <c r="AK20" s="15"/>
      <c r="AL20" s="15"/>
      <c r="AM20" s="15"/>
      <c r="AN20" s="15"/>
      <c r="AO20" s="15"/>
    </row>
    <row r="21" spans="2:87" s="3" customFormat="1">
      <c r="B21" s="3" t="s">
        <v>62</v>
      </c>
      <c r="D21" s="19">
        <v>18.692</v>
      </c>
      <c r="E21" s="19">
        <v>33.414000000000001</v>
      </c>
      <c r="F21" s="19">
        <v>50.72</v>
      </c>
      <c r="G21" s="6">
        <f>+SUM(T21:W21)</f>
        <v>202.3990715417813</v>
      </c>
      <c r="H21" s="6">
        <f>+SUM(X21:AA21)</f>
        <v>203.43501138084349</v>
      </c>
      <c r="I21" s="6">
        <f>+SUM(AB21:AE21)</f>
        <v>214</v>
      </c>
      <c r="J21" s="6">
        <f>+SUM(AF21:AI21)</f>
        <v>220.1</v>
      </c>
      <c r="K21" s="6">
        <f>+SUM(AJ21:AM21)</f>
        <v>241.5</v>
      </c>
      <c r="L21" s="6">
        <f ca="1">+SUM(AN21:AQ21)</f>
        <v>291.59230725919269</v>
      </c>
      <c r="M21" s="6">
        <f ca="1">+SUM(AR21:AU21)</f>
        <v>289.80806725939692</v>
      </c>
      <c r="N21" s="6">
        <f ca="1">+SUM(AV21:AY21)</f>
        <v>289.80778704386182</v>
      </c>
      <c r="T21" s="50">
        <v>62.527663042372225</v>
      </c>
      <c r="U21" s="50">
        <v>52.613457254425626</v>
      </c>
      <c r="V21" s="50">
        <v>49.606358247925776</v>
      </c>
      <c r="W21" s="50">
        <v>37.651592997057669</v>
      </c>
      <c r="X21" s="50">
        <v>51.478101461387666</v>
      </c>
      <c r="Y21" s="50">
        <v>50.261359474242028</v>
      </c>
      <c r="Z21" s="50">
        <v>49.122097752465336</v>
      </c>
      <c r="AA21" s="50">
        <v>52.573452692748461</v>
      </c>
      <c r="AB21" s="50">
        <v>46.9</v>
      </c>
      <c r="AC21" s="50">
        <v>53.4</v>
      </c>
      <c r="AD21" s="50">
        <v>60.7</v>
      </c>
      <c r="AE21" s="50">
        <f>214-SUM(AB21:AD21)</f>
        <v>53</v>
      </c>
      <c r="AF21" s="50">
        <v>53.8</v>
      </c>
      <c r="AG21" s="50">
        <v>51.2</v>
      </c>
      <c r="AH21" s="50">
        <v>57.7</v>
      </c>
      <c r="AI21" s="50">
        <v>57.4</v>
      </c>
      <c r="AJ21" s="50">
        <v>53.3</v>
      </c>
      <c r="AK21" s="50">
        <v>53.7</v>
      </c>
      <c r="AL21" s="50">
        <v>63</v>
      </c>
      <c r="AM21" s="50">
        <f>241.5-AJ21-AK21-AL21</f>
        <v>71.5</v>
      </c>
      <c r="AN21" s="50">
        <v>73.599999999999994</v>
      </c>
      <c r="AO21" s="50">
        <v>73.099999999999994</v>
      </c>
      <c r="AP21" s="62">
        <f ca="1">Capital!AP138</f>
        <v>72.444698915856691</v>
      </c>
      <c r="AQ21" s="62">
        <f ca="1">Capital!AQ138</f>
        <v>72.447608343335986</v>
      </c>
      <c r="AR21" s="62">
        <f ca="1">Capital!AR138</f>
        <v>72.449950808111893</v>
      </c>
      <c r="AS21" s="62">
        <f ca="1">Capital!AS138</f>
        <v>72.451718282409971</v>
      </c>
      <c r="AT21" s="62">
        <f ca="1">Capital!AT138</f>
        <v>72.452902619090963</v>
      </c>
      <c r="AU21" s="62">
        <f ca="1">Capital!AU138</f>
        <v>72.453495549784108</v>
      </c>
      <c r="AV21" s="62">
        <f ca="1">Capital!AV138</f>
        <v>72.453488682989686</v>
      </c>
      <c r="AW21" s="62">
        <f ca="1">Capital!AW138</f>
        <v>72.452873502150553</v>
      </c>
      <c r="AX21" s="62">
        <f ca="1">Capital!AX138</f>
        <v>72.451641363692019</v>
      </c>
      <c r="AY21" s="62">
        <f ca="1">Capital!AY138</f>
        <v>72.449783495029578</v>
      </c>
      <c r="CA21"/>
      <c r="CB21"/>
      <c r="CC21"/>
      <c r="CD21"/>
      <c r="CE21"/>
      <c r="CF21"/>
    </row>
    <row r="22" spans="2:87">
      <c r="B22" t="s">
        <v>63</v>
      </c>
      <c r="D22" s="19">
        <v>5.8810000000000002</v>
      </c>
      <c r="E22" s="19"/>
      <c r="F22" s="19"/>
      <c r="G22" s="6">
        <f>+SUM(T22:W22)</f>
        <v>0</v>
      </c>
      <c r="H22" s="6">
        <f>+SUM(X22:AA22)</f>
        <v>0</v>
      </c>
      <c r="I22" s="6">
        <f>+SUM(AB22:AE22)</f>
        <v>94.3</v>
      </c>
      <c r="J22" s="6">
        <f>+SUM(AF22:AI22)</f>
        <v>33.799999999999997</v>
      </c>
      <c r="K22" s="6">
        <f>+SUM(AJ22:AM22)</f>
        <v>18.2</v>
      </c>
      <c r="L22" s="6">
        <f>+SUM(AN22:AQ22)</f>
        <v>4.9000000000000004</v>
      </c>
      <c r="M22" s="6">
        <f>+SUM(AR22:AU22)</f>
        <v>0</v>
      </c>
      <c r="N22" s="6">
        <f>+SUM(AV22:AY22)</f>
        <v>0</v>
      </c>
      <c r="T22" s="50"/>
      <c r="U22" s="19"/>
      <c r="V22" s="19"/>
      <c r="W22" s="19"/>
      <c r="X22" s="19"/>
      <c r="Y22" s="19"/>
      <c r="Z22" s="110"/>
      <c r="AA22" s="50"/>
      <c r="AB22" s="50"/>
      <c r="AC22" s="50">
        <v>30.9</v>
      </c>
      <c r="AD22" s="50">
        <v>54.9</v>
      </c>
      <c r="AE22" s="50">
        <f>94.3-SUM(AB22:AD22)</f>
        <v>8.5</v>
      </c>
      <c r="AF22" s="50"/>
      <c r="AG22" s="50"/>
      <c r="AH22" s="50"/>
      <c r="AI22" s="50">
        <v>33.799999999999997</v>
      </c>
      <c r="AJ22" s="50"/>
      <c r="AK22" s="50"/>
      <c r="AL22" s="50">
        <v>4.5</v>
      </c>
      <c r="AM22" s="50">
        <f>18.2-AJ22-AK22-AL22</f>
        <v>13.7</v>
      </c>
      <c r="AN22" s="50">
        <v>4.9000000000000004</v>
      </c>
      <c r="AO22" s="50"/>
    </row>
    <row r="23" spans="2:87" s="3" customFormat="1">
      <c r="B23" s="3" t="s">
        <v>311</v>
      </c>
      <c r="D23" s="19">
        <v>-1.526</v>
      </c>
      <c r="E23" s="19">
        <v>0.126</v>
      </c>
      <c r="F23" s="19">
        <f>2.248-0.123</f>
        <v>2.125</v>
      </c>
      <c r="G23" s="6">
        <f>+SUM(T23:W23)</f>
        <v>76.992105895779503</v>
      </c>
      <c r="H23" s="6">
        <f>+SUM(X23:AA23)</f>
        <v>-3.0596964749438222</v>
      </c>
      <c r="I23" s="6">
        <f>+SUM(AB23:AE23)</f>
        <v>24.799999999999997</v>
      </c>
      <c r="J23" s="6">
        <f>+SUM(AF23:AI23)</f>
        <v>54.099999999999994</v>
      </c>
      <c r="K23" s="6">
        <f>+SUM(AJ23:AM23)</f>
        <v>10.000000000000002</v>
      </c>
      <c r="L23" s="6">
        <f ca="1">+SUM(AN23:AQ23)</f>
        <v>-14.269357006499217</v>
      </c>
      <c r="M23" s="6">
        <f ca="1">+SUM(AR23:AU23)</f>
        <v>2.7070441185274179</v>
      </c>
      <c r="N23" s="6">
        <f ca="1">+SUM(AV23:AY23)</f>
        <v>4.3276589192408572</v>
      </c>
      <c r="T23" s="50">
        <v>64.417745015512054</v>
      </c>
      <c r="U23" s="50">
        <v>5.5033939703751562</v>
      </c>
      <c r="V23" s="50">
        <v>7.0893797578604527</v>
      </c>
      <c r="W23" s="50">
        <v>-1.8412847968160562E-2</v>
      </c>
      <c r="X23" s="50">
        <v>-0.64347977033464543</v>
      </c>
      <c r="Y23" s="50">
        <v>1.4413271537443078</v>
      </c>
      <c r="Z23" s="50">
        <v>-0.10776218214290548</v>
      </c>
      <c r="AA23" s="50">
        <v>-3.7497816762105791</v>
      </c>
      <c r="AB23" s="50">
        <v>14.7</v>
      </c>
      <c r="AC23" s="50">
        <f>13.3+0.1</f>
        <v>13.4</v>
      </c>
      <c r="AD23" s="50">
        <v>13.2</v>
      </c>
      <c r="AE23" s="50">
        <f>24.4+0.4-SUM(AB23:AD23)</f>
        <v>-16.5</v>
      </c>
      <c r="AF23" s="50">
        <f>10.7+0.1</f>
        <v>10.799999999999999</v>
      </c>
      <c r="AG23" s="50">
        <f>7.1+0.1</f>
        <v>7.1999999999999993</v>
      </c>
      <c r="AH23" s="50">
        <f>11.1+0.2</f>
        <v>11.299999999999999</v>
      </c>
      <c r="AI23" s="50">
        <f>53.8+0.3-AF23-AG23-AH23</f>
        <v>24.799999999999997</v>
      </c>
      <c r="AJ23" s="50">
        <f>11.2+0.2</f>
        <v>11.399999999999999</v>
      </c>
      <c r="AK23" s="50">
        <f>17.4-0.4</f>
        <v>17</v>
      </c>
      <c r="AL23" s="50">
        <f>-3.9-0.5</f>
        <v>-4.4000000000000004</v>
      </c>
      <c r="AM23" s="50">
        <f>10.3-0.3-AJ23-AK23-AL23</f>
        <v>-13.999999999999998</v>
      </c>
      <c r="AN23" s="50">
        <f>-10.8-0.9</f>
        <v>-11.700000000000001</v>
      </c>
      <c r="AO23" s="50">
        <f>-3.1-0.4</f>
        <v>-3.5</v>
      </c>
      <c r="AP23" s="62">
        <f ca="1">Capital!AP146</f>
        <v>0.42540416893708743</v>
      </c>
      <c r="AQ23" s="62">
        <f ca="1">Capital!AQ146</f>
        <v>0.50523882456369795</v>
      </c>
      <c r="AR23" s="62">
        <f ca="1">Capital!AR146</f>
        <v>0.56668496466720963</v>
      </c>
      <c r="AS23" s="62">
        <f ca="1">Capital!AS146</f>
        <v>0.63514867128132757</v>
      </c>
      <c r="AT23" s="62">
        <f ca="1">Capital!AT146</f>
        <v>0.71093087050137382</v>
      </c>
      <c r="AU23" s="62">
        <f ca="1">Capital!AU146</f>
        <v>0.79427961207750686</v>
      </c>
      <c r="AV23" s="62">
        <f ca="1">Capital!AV146</f>
        <v>0.88560929388148646</v>
      </c>
      <c r="AW23" s="62">
        <f ca="1">Capital!AW146</f>
        <v>0.98533683021036811</v>
      </c>
      <c r="AX23" s="62">
        <f ca="1">Capital!AX146</f>
        <v>1.0938812156296582</v>
      </c>
      <c r="AY23" s="62">
        <f ca="1">Capital!AY146</f>
        <v>1.3628315795193444</v>
      </c>
      <c r="CA23"/>
      <c r="CB23"/>
      <c r="CC23"/>
      <c r="CD23"/>
      <c r="CE23"/>
      <c r="CF23"/>
      <c r="CG23"/>
      <c r="CH23"/>
      <c r="CI23"/>
    </row>
    <row r="24" spans="2:87">
      <c r="AA24" s="15"/>
      <c r="AB24" s="15"/>
      <c r="AC24" s="15"/>
      <c r="AD24" s="15"/>
      <c r="AE24" s="15"/>
      <c r="AF24" s="15"/>
      <c r="AG24" s="15"/>
      <c r="AH24" s="15"/>
      <c r="AI24" s="15"/>
      <c r="AJ24" s="15"/>
      <c r="AK24" s="15"/>
      <c r="AL24" s="15"/>
      <c r="AM24" s="15"/>
      <c r="AN24" s="15"/>
      <c r="AO24" s="15"/>
    </row>
    <row r="25" spans="2:87">
      <c r="B25" t="s">
        <v>64</v>
      </c>
      <c r="D25" s="6">
        <f>+D19-D21-D22-D23</f>
        <v>-9.9239999999999888</v>
      </c>
      <c r="E25" s="6">
        <f>+E19-E21-E22-E23</f>
        <v>4.4379999999999571</v>
      </c>
      <c r="F25" s="6">
        <f>+F19-F21-F22-F23</f>
        <v>16.973999999999975</v>
      </c>
      <c r="G25" s="6">
        <f>+SUM(T25:W25)</f>
        <v>-169.81858289186113</v>
      </c>
      <c r="H25" s="6">
        <f>+SUM(X25:AA25)</f>
        <v>-144.34905901124645</v>
      </c>
      <c r="I25" s="6">
        <f>+SUM(AB25:AE25)</f>
        <v>-164.09999999999997</v>
      </c>
      <c r="J25" s="6">
        <f>+SUM(AF25:AI25)</f>
        <v>-67.699999999999989</v>
      </c>
      <c r="K25" s="6">
        <f>+SUM(AJ25:AM25)</f>
        <v>104.10000000000004</v>
      </c>
      <c r="L25" s="6">
        <f ca="1">+SUM(AN25:AQ25)</f>
        <v>121.28884015641833</v>
      </c>
      <c r="M25" s="6">
        <f ca="1">+SUM(AR25:AU25)</f>
        <v>123.6124957458688</v>
      </c>
      <c r="N25" s="6">
        <f ca="1">+SUM(AV25:AY25)</f>
        <v>112.33265216648402</v>
      </c>
      <c r="T25" s="6">
        <f>+T19-T21-T22-T23</f>
        <v>-103.23769266706131</v>
      </c>
      <c r="U25" s="6">
        <f t="shared" ref="U25:AY25" si="26">+U19-U21-U22-U23</f>
        <v>-38.109951807906256</v>
      </c>
      <c r="V25" s="6">
        <f t="shared" si="26"/>
        <v>-12.960678155399304</v>
      </c>
      <c r="W25" s="6">
        <f t="shared" si="26"/>
        <v>-15.510260261494238</v>
      </c>
      <c r="X25" s="6">
        <f t="shared" si="26"/>
        <v>-19.847611167073222</v>
      </c>
      <c r="Y25" s="6">
        <f t="shared" si="26"/>
        <v>-29.133398108711816</v>
      </c>
      <c r="Z25" s="81">
        <f t="shared" si="26"/>
        <v>-33.266001792227371</v>
      </c>
      <c r="AA25" s="81">
        <f t="shared" ref="AA25:AF25" si="27">+AA19-AA21-AA22-AA23</f>
        <v>-62.102047943234034</v>
      </c>
      <c r="AB25" s="81">
        <f t="shared" si="27"/>
        <v>-101.10000000000001</v>
      </c>
      <c r="AC25" s="81">
        <f t="shared" si="27"/>
        <v>-0.60000000000003162</v>
      </c>
      <c r="AD25" s="81">
        <f t="shared" si="27"/>
        <v>-72.099999999999994</v>
      </c>
      <c r="AE25" s="81">
        <f t="shared" si="27"/>
        <v>9.7000000000000668</v>
      </c>
      <c r="AF25" s="81">
        <f t="shared" si="27"/>
        <v>-12.49999999999998</v>
      </c>
      <c r="AG25" s="81">
        <f t="shared" ref="AG25:AL25" si="28">+AG19-AG21-AG22-AG23</f>
        <v>0.30000000000002203</v>
      </c>
      <c r="AH25" s="81">
        <f t="shared" si="28"/>
        <v>-11.500000000000009</v>
      </c>
      <c r="AI25" s="81">
        <f t="shared" si="28"/>
        <v>-44.000000000000021</v>
      </c>
      <c r="AJ25" s="81">
        <f t="shared" si="28"/>
        <v>22.300000000000004</v>
      </c>
      <c r="AK25" s="81">
        <f t="shared" si="28"/>
        <v>19.999999999999957</v>
      </c>
      <c r="AL25" s="81">
        <f t="shared" si="28"/>
        <v>27.600000000000044</v>
      </c>
      <c r="AM25" s="81">
        <f t="shared" ref="AM25" si="29">+AM19-AM21-AM22-AM23</f>
        <v>34.200000000000031</v>
      </c>
      <c r="AN25" s="81">
        <f t="shared" ref="AN25:AO25" si="30">+AN19-AN21-AN22-AN23</f>
        <v>28.600000000000016</v>
      </c>
      <c r="AO25" s="81">
        <f t="shared" si="30"/>
        <v>34.399999999999977</v>
      </c>
      <c r="AP25" s="6">
        <f t="shared" ca="1" si="26"/>
        <v>28.388927438510681</v>
      </c>
      <c r="AQ25" s="6">
        <f t="shared" ca="1" si="26"/>
        <v>29.899912717907661</v>
      </c>
      <c r="AR25" s="6">
        <f t="shared" ca="1" si="26"/>
        <v>30.687625280167971</v>
      </c>
      <c r="AS25" s="6">
        <f t="shared" ca="1" si="26"/>
        <v>31.102894059636284</v>
      </c>
      <c r="AT25" s="6">
        <f t="shared" ca="1" si="26"/>
        <v>31.117245976448782</v>
      </c>
      <c r="AU25" s="6">
        <f t="shared" ca="1" si="26"/>
        <v>30.704730429615761</v>
      </c>
      <c r="AV25" s="6">
        <f t="shared" ca="1" si="26"/>
        <v>29.875768335024418</v>
      </c>
      <c r="AW25" s="6">
        <f t="shared" ca="1" si="26"/>
        <v>28.640354282989851</v>
      </c>
      <c r="AX25" s="6">
        <f t="shared" ca="1" si="26"/>
        <v>27.00790030250996</v>
      </c>
      <c r="AY25" s="6">
        <f t="shared" ca="1" si="26"/>
        <v>26.808629245959786</v>
      </c>
    </row>
    <row r="26" spans="2:87">
      <c r="T26" s="19"/>
      <c r="AA26" s="15"/>
      <c r="AB26" s="15"/>
      <c r="AC26" s="15"/>
      <c r="AD26" s="15"/>
      <c r="AE26" s="15"/>
      <c r="AF26" s="15"/>
      <c r="AG26" s="15"/>
      <c r="AH26" s="15"/>
      <c r="AI26" s="15"/>
      <c r="AJ26" s="15"/>
      <c r="AK26" s="15"/>
      <c r="AL26" s="15"/>
      <c r="AM26" s="15"/>
      <c r="AN26" s="15"/>
      <c r="AO26" s="15"/>
    </row>
    <row r="27" spans="2:87">
      <c r="B27" t="s">
        <v>65</v>
      </c>
      <c r="D27" s="19">
        <v>4.5490000000000004</v>
      </c>
      <c r="E27" s="19">
        <v>11.329000000000001</v>
      </c>
      <c r="F27" s="19">
        <v>26.870999999999999</v>
      </c>
      <c r="G27" s="6">
        <f>+SUM(T27:W27)</f>
        <v>-24.204854133711841</v>
      </c>
      <c r="H27" s="6">
        <f>+SUM(X27:AA27)</f>
        <v>37.295120777913233</v>
      </c>
      <c r="I27" s="6">
        <f>+SUM(AB27:AE27)</f>
        <v>-8.8000000000000007</v>
      </c>
      <c r="J27" s="6">
        <f>+SUM(AF27:AI27)</f>
        <v>8.5000000000000018</v>
      </c>
      <c r="K27" s="6">
        <f>+SUM(AJ27:AM27)</f>
        <v>18.399999999999999</v>
      </c>
      <c r="L27" s="6">
        <f ca="1">+SUM(AN27:AQ27)</f>
        <v>41.706433235976213</v>
      </c>
      <c r="M27" s="6">
        <f ca="1">+SUM(AR27:AU27)</f>
        <v>28.430874021549826</v>
      </c>
      <c r="N27" s="6">
        <f ca="1">+SUM(AV27:AY27)</f>
        <v>25.836509998291323</v>
      </c>
      <c r="T27" s="19">
        <v>-36.213866449406694</v>
      </c>
      <c r="U27" s="19">
        <v>-3.5410961279843201</v>
      </c>
      <c r="V27" s="19">
        <v>6.2063247578699698</v>
      </c>
      <c r="W27" s="19">
        <v>9.3437836858092016</v>
      </c>
      <c r="X27" s="19">
        <v>9.2692793497666699</v>
      </c>
      <c r="Y27" s="19">
        <v>8.4243984811724726</v>
      </c>
      <c r="Z27" s="19">
        <v>9.5079018857257989</v>
      </c>
      <c r="AA27" s="19">
        <v>10.093541061248288</v>
      </c>
      <c r="AB27" s="19">
        <v>9.4</v>
      </c>
      <c r="AC27" s="19">
        <v>-4.4000000000000004</v>
      </c>
      <c r="AD27" s="19">
        <v>-18.399999999999999</v>
      </c>
      <c r="AE27" s="19">
        <f>-8.8-SUM(AB27:AD27)</f>
        <v>4.5999999999999979</v>
      </c>
      <c r="AF27" s="19">
        <v>2.7</v>
      </c>
      <c r="AG27" s="19">
        <v>11.1</v>
      </c>
      <c r="AH27" s="19">
        <v>7.8</v>
      </c>
      <c r="AI27" s="19">
        <f>8.5-AF27-AG27-AH27</f>
        <v>-13.1</v>
      </c>
      <c r="AJ27" s="19">
        <v>6.6</v>
      </c>
      <c r="AK27" s="19">
        <v>0.2</v>
      </c>
      <c r="AL27" s="19">
        <v>0.6</v>
      </c>
      <c r="AM27" s="19">
        <f>18.4-AJ27-AK27-AL27</f>
        <v>11</v>
      </c>
      <c r="AN27" s="19">
        <v>5.4</v>
      </c>
      <c r="AO27" s="19">
        <v>22.9</v>
      </c>
      <c r="AP27" s="6">
        <f t="shared" ref="AP27:AY27" ca="1" si="31">+AP28*AP25</f>
        <v>6.5294533108574573</v>
      </c>
      <c r="AQ27" s="6">
        <f t="shared" ca="1" si="31"/>
        <v>6.8769799251187624</v>
      </c>
      <c r="AR27" s="6">
        <f t="shared" ca="1" si="31"/>
        <v>7.0581538144386338</v>
      </c>
      <c r="AS27" s="6">
        <f t="shared" ca="1" si="31"/>
        <v>7.1536656337163453</v>
      </c>
      <c r="AT27" s="6">
        <f t="shared" ca="1" si="31"/>
        <v>7.1569665745832198</v>
      </c>
      <c r="AU27" s="6">
        <f t="shared" ca="1" si="31"/>
        <v>7.0620879988116254</v>
      </c>
      <c r="AV27" s="6">
        <f t="shared" ca="1" si="31"/>
        <v>6.8714267170556163</v>
      </c>
      <c r="AW27" s="6">
        <f t="shared" ca="1" si="31"/>
        <v>6.587281485087666</v>
      </c>
      <c r="AX27" s="6">
        <f t="shared" ca="1" si="31"/>
        <v>6.2118170695772914</v>
      </c>
      <c r="AY27" s="6">
        <f t="shared" ca="1" si="31"/>
        <v>6.165984726570751</v>
      </c>
    </row>
    <row r="28" spans="2:87">
      <c r="B28" s="7" t="s">
        <v>86</v>
      </c>
      <c r="D28" s="2">
        <f>+D27/D25</f>
        <v>-0.45838371624345076</v>
      </c>
      <c r="E28" s="2">
        <f>+E27/E25</f>
        <v>2.5527264533573928</v>
      </c>
      <c r="F28" s="2">
        <f>+F27/F25</f>
        <v>1.5830682219865699</v>
      </c>
      <c r="G28" s="2">
        <f>+G27/G25</f>
        <v>0.14253360098479484</v>
      </c>
      <c r="H28" s="2">
        <f t="shared" ref="H28:M28" si="32">+H27/H25</f>
        <v>-0.2583676058117394</v>
      </c>
      <c r="I28" s="2">
        <f t="shared" si="32"/>
        <v>5.3625837903717263E-2</v>
      </c>
      <c r="J28" s="2">
        <f t="shared" si="32"/>
        <v>-0.12555391432791732</v>
      </c>
      <c r="K28" s="2">
        <f t="shared" si="32"/>
        <v>0.17675312199807869</v>
      </c>
      <c r="L28" s="2">
        <f t="shared" ca="1" si="32"/>
        <v>0.3438604341684704</v>
      </c>
      <c r="M28" s="2">
        <f t="shared" ca="1" si="32"/>
        <v>0.23</v>
      </c>
      <c r="N28" s="2">
        <f ca="1">+N27/N25</f>
        <v>0.22999999999999998</v>
      </c>
      <c r="T28" s="23">
        <f>+T27/T25</f>
        <v>0.35078143954839641</v>
      </c>
      <c r="U28" s="23">
        <f t="shared" ref="U28:Z28" si="33">+U27/U25</f>
        <v>9.2917885224134217E-2</v>
      </c>
      <c r="V28" s="23">
        <f t="shared" si="33"/>
        <v>-0.47885802605818661</v>
      </c>
      <c r="W28" s="23">
        <f t="shared" si="33"/>
        <v>-0.60242597662955233</v>
      </c>
      <c r="X28" s="23">
        <f t="shared" si="33"/>
        <v>-0.46702241754636009</v>
      </c>
      <c r="Y28" s="23">
        <f t="shared" si="33"/>
        <v>-0.28916635298555537</v>
      </c>
      <c r="Z28" s="48">
        <f t="shared" si="33"/>
        <v>-0.28581438626469768</v>
      </c>
      <c r="AA28" s="48">
        <f t="shared" ref="AA28:AF28" si="34">+AA27/AA25</f>
        <v>-0.16253153310619559</v>
      </c>
      <c r="AB28" s="48">
        <f t="shared" si="34"/>
        <v>-9.2977250247279916E-2</v>
      </c>
      <c r="AC28" s="48">
        <f t="shared" si="34"/>
        <v>7.3333333333329476</v>
      </c>
      <c r="AD28" s="48">
        <f t="shared" si="34"/>
        <v>0.25520110957004161</v>
      </c>
      <c r="AE28" s="48">
        <f t="shared" si="34"/>
        <v>0.47422680412370788</v>
      </c>
      <c r="AF28" s="48">
        <f t="shared" si="34"/>
        <v>-0.21600000000000036</v>
      </c>
      <c r="AG28" s="48">
        <f t="shared" ref="AG28:AL28" si="35">+AG27/AG25</f>
        <v>36.999999999997286</v>
      </c>
      <c r="AH28" s="48">
        <f t="shared" si="35"/>
        <v>-0.67826086956521681</v>
      </c>
      <c r="AI28" s="48">
        <f t="shared" si="35"/>
        <v>0.29772727272727256</v>
      </c>
      <c r="AJ28" s="48">
        <f t="shared" si="35"/>
        <v>0.29596412556053803</v>
      </c>
      <c r="AK28" s="48">
        <f t="shared" si="35"/>
        <v>1.0000000000000021E-2</v>
      </c>
      <c r="AL28" s="48">
        <f t="shared" si="35"/>
        <v>2.1739130434782573E-2</v>
      </c>
      <c r="AM28" s="48">
        <f t="shared" ref="AM28" si="36">+AM27/AM25</f>
        <v>0.3216374269005845</v>
      </c>
      <c r="AN28" s="48">
        <f t="shared" ref="AN28:AO28" si="37">+AN27/AN25</f>
        <v>0.18881118881118872</v>
      </c>
      <c r="AO28" s="48">
        <f t="shared" si="37"/>
        <v>0.66569767441860506</v>
      </c>
      <c r="AP28" s="47">
        <v>0.23</v>
      </c>
      <c r="AQ28" s="47">
        <v>0.23</v>
      </c>
      <c r="AR28" s="47">
        <v>0.23</v>
      </c>
      <c r="AS28" s="47">
        <v>0.23</v>
      </c>
      <c r="AT28" s="47">
        <v>0.23</v>
      </c>
      <c r="AU28" s="47">
        <v>0.23</v>
      </c>
      <c r="AV28" s="47">
        <v>0.23</v>
      </c>
      <c r="AW28" s="47">
        <v>0.23</v>
      </c>
      <c r="AX28" s="47">
        <v>0.23</v>
      </c>
      <c r="AY28" s="47">
        <v>0.23</v>
      </c>
    </row>
    <row r="29" spans="2:87">
      <c r="AA29" s="15"/>
      <c r="AB29" s="15"/>
      <c r="AC29" s="15"/>
      <c r="AD29" s="15"/>
      <c r="AE29" s="15"/>
      <c r="AF29" s="15"/>
      <c r="AG29" s="15"/>
      <c r="AH29" s="15"/>
      <c r="AI29" s="15"/>
      <c r="AJ29" s="15"/>
      <c r="AK29" s="15"/>
      <c r="AL29" s="15"/>
      <c r="AM29" s="15"/>
      <c r="AN29" s="15"/>
      <c r="AO29" s="15"/>
    </row>
    <row r="30" spans="2:87">
      <c r="B30" t="s">
        <v>66</v>
      </c>
      <c r="D30" s="6">
        <f>+D25-D27</f>
        <v>-14.472999999999988</v>
      </c>
      <c r="E30" s="6">
        <f>+E25-E27</f>
        <v>-6.8910000000000435</v>
      </c>
      <c r="F30" s="6">
        <f>+F25-F27</f>
        <v>-9.8970000000000233</v>
      </c>
      <c r="G30" s="6">
        <f>+SUM(T30:W30)</f>
        <v>-145.61372875814925</v>
      </c>
      <c r="H30" s="6">
        <f>+SUM(X30:AA30)</f>
        <v>-181.64417978915967</v>
      </c>
      <c r="I30" s="6">
        <f>+SUM(AB30:AE30)</f>
        <v>-155.29999999999995</v>
      </c>
      <c r="J30" s="6">
        <f>+SUM(AF30:AI30)</f>
        <v>-76.199999999999989</v>
      </c>
      <c r="K30" s="6">
        <f>+SUM(AJ30:AM30)</f>
        <v>85.700000000000045</v>
      </c>
      <c r="L30" s="6">
        <f ca="1">+SUM(AN30:AQ30)</f>
        <v>79.582406920442111</v>
      </c>
      <c r="M30" s="6">
        <f ca="1">+SUM(AR30:AU30)</f>
        <v>95.181621724318973</v>
      </c>
      <c r="N30" s="6">
        <f ca="1">+SUM(AV30:AY30)</f>
        <v>86.496142168192691</v>
      </c>
      <c r="T30" s="6">
        <f>+T25-T27</f>
        <v>-67.023826217654616</v>
      </c>
      <c r="U30" s="6">
        <f t="shared" ref="U30:Z30" si="38">+U25-U27</f>
        <v>-34.568855679921938</v>
      </c>
      <c r="V30" s="6">
        <f t="shared" si="38"/>
        <v>-19.167002913269272</v>
      </c>
      <c r="W30" s="6">
        <f t="shared" si="38"/>
        <v>-24.854043947303438</v>
      </c>
      <c r="X30" s="6">
        <f t="shared" si="38"/>
        <v>-29.116890516839891</v>
      </c>
      <c r="Y30" s="6">
        <f t="shared" si="38"/>
        <v>-37.55779658988429</v>
      </c>
      <c r="Z30" s="81">
        <f t="shared" si="38"/>
        <v>-42.773903677953172</v>
      </c>
      <c r="AA30" s="81">
        <f t="shared" ref="AA30:AF30" si="39">+AA25-AA27</f>
        <v>-72.195589004482315</v>
      </c>
      <c r="AB30" s="81">
        <f t="shared" si="39"/>
        <v>-110.50000000000001</v>
      </c>
      <c r="AC30" s="81">
        <f t="shared" si="39"/>
        <v>3.7999999999999687</v>
      </c>
      <c r="AD30" s="81">
        <f t="shared" si="39"/>
        <v>-53.699999999999996</v>
      </c>
      <c r="AE30" s="81">
        <f t="shared" si="39"/>
        <v>5.1000000000000689</v>
      </c>
      <c r="AF30" s="81">
        <f t="shared" si="39"/>
        <v>-15.199999999999982</v>
      </c>
      <c r="AG30" s="81">
        <f t="shared" ref="AG30:AL30" si="40">+AG25-AG27</f>
        <v>-10.799999999999978</v>
      </c>
      <c r="AH30" s="81">
        <f t="shared" si="40"/>
        <v>-19.300000000000008</v>
      </c>
      <c r="AI30" s="81">
        <f t="shared" si="40"/>
        <v>-30.90000000000002</v>
      </c>
      <c r="AJ30" s="81">
        <f t="shared" si="40"/>
        <v>15.700000000000005</v>
      </c>
      <c r="AK30" s="81">
        <f t="shared" si="40"/>
        <v>19.799999999999958</v>
      </c>
      <c r="AL30" s="81">
        <f t="shared" si="40"/>
        <v>27.000000000000043</v>
      </c>
      <c r="AM30" s="81">
        <f t="shared" ref="AM30" si="41">+AM25-AM27</f>
        <v>23.200000000000031</v>
      </c>
      <c r="AN30" s="81">
        <f t="shared" ref="AN30:AO30" si="42">+AN25-AN27</f>
        <v>23.200000000000017</v>
      </c>
      <c r="AO30" s="81">
        <f t="shared" si="42"/>
        <v>11.499999999999979</v>
      </c>
      <c r="AP30" s="6">
        <f t="shared" ref="AP30:AY30" ca="1" si="43">+AP25-AP27</f>
        <v>21.859474127653222</v>
      </c>
      <c r="AQ30" s="6">
        <f t="shared" ca="1" si="43"/>
        <v>23.0229327927889</v>
      </c>
      <c r="AR30" s="6">
        <f t="shared" ca="1" si="43"/>
        <v>23.629471465729338</v>
      </c>
      <c r="AS30" s="6">
        <f t="shared" ca="1" si="43"/>
        <v>23.949228425919941</v>
      </c>
      <c r="AT30" s="6">
        <f t="shared" ca="1" si="43"/>
        <v>23.960279401865563</v>
      </c>
      <c r="AU30" s="6">
        <f t="shared" ca="1" si="43"/>
        <v>23.642642430804138</v>
      </c>
      <c r="AV30" s="6">
        <f t="shared" ca="1" si="43"/>
        <v>23.004341617968802</v>
      </c>
      <c r="AW30" s="6">
        <f t="shared" ca="1" si="43"/>
        <v>22.053072797902185</v>
      </c>
      <c r="AX30" s="6">
        <f t="shared" ca="1" si="43"/>
        <v>20.796083232932666</v>
      </c>
      <c r="AY30" s="6">
        <f t="shared" ca="1" si="43"/>
        <v>20.642644519389034</v>
      </c>
    </row>
    <row r="31" spans="2:87">
      <c r="T31" s="19"/>
      <c r="AA31" s="15"/>
      <c r="AB31" s="15"/>
      <c r="AC31" s="15"/>
      <c r="AD31" s="15"/>
      <c r="AE31" s="15"/>
      <c r="AF31" s="15"/>
      <c r="AG31" s="15"/>
      <c r="AH31" s="15"/>
      <c r="AI31" s="15"/>
      <c r="AJ31" s="15"/>
      <c r="AK31" s="15"/>
      <c r="AL31" s="15"/>
      <c r="AM31" s="15"/>
      <c r="AN31" s="15"/>
      <c r="AO31" s="15"/>
    </row>
    <row r="32" spans="2:87">
      <c r="B32" t="s">
        <v>67</v>
      </c>
      <c r="D32" s="19">
        <v>6.7610000000000001</v>
      </c>
      <c r="E32" s="19">
        <v>5.3310000000000004</v>
      </c>
      <c r="F32" s="19">
        <v>8.673</v>
      </c>
      <c r="G32" s="6">
        <f>+SUM(T32:W32)</f>
        <v>8.395999999999999</v>
      </c>
      <c r="H32" s="6">
        <f>+SUM(X32:AA32)</f>
        <v>2.3503915299999996</v>
      </c>
      <c r="I32" s="6">
        <f>+SUM(AB32:AE32)</f>
        <v>0</v>
      </c>
      <c r="J32" s="6">
        <f>+SUM(AF32:AI32)</f>
        <v>0</v>
      </c>
      <c r="K32" s="6">
        <f>+SUM(AJ32:AM32)</f>
        <v>0</v>
      </c>
      <c r="L32" s="6">
        <f>+SUM(AN32:AQ32)</f>
        <v>0</v>
      </c>
      <c r="M32" s="6">
        <f>+SUM(AR32:AU32)</f>
        <v>0</v>
      </c>
      <c r="N32" s="6">
        <f>+SUM(AV32:AY32)</f>
        <v>0</v>
      </c>
      <c r="T32" s="19">
        <v>2.4319999999999999</v>
      </c>
      <c r="U32" s="19">
        <v>2.4220000000000002</v>
      </c>
      <c r="V32" s="19">
        <v>2.6339999999999999</v>
      </c>
      <c r="W32" s="19">
        <v>0.90800000000000003</v>
      </c>
      <c r="X32" s="19">
        <v>1.73527451</v>
      </c>
      <c r="Y32" s="19">
        <v>0.76052976999999999</v>
      </c>
      <c r="Z32" s="19">
        <v>1.15931042</v>
      </c>
      <c r="AA32" s="19">
        <v>-1.3047231699999999</v>
      </c>
      <c r="AB32" s="19">
        <v>0</v>
      </c>
      <c r="AC32" s="19">
        <v>0</v>
      </c>
      <c r="AD32" s="19">
        <v>0</v>
      </c>
      <c r="AE32" s="19">
        <v>0</v>
      </c>
      <c r="AF32" s="19">
        <v>0</v>
      </c>
      <c r="AG32" s="19">
        <v>0</v>
      </c>
      <c r="AH32" s="19">
        <v>0</v>
      </c>
      <c r="AI32" s="19">
        <v>0</v>
      </c>
      <c r="AJ32" s="19"/>
      <c r="AK32" s="19"/>
      <c r="AL32" s="19"/>
      <c r="AM32" s="19"/>
      <c r="AN32" s="19"/>
      <c r="AO32" s="19"/>
    </row>
    <row r="33" spans="1:84">
      <c r="B33" t="s">
        <v>68</v>
      </c>
      <c r="D33" s="6">
        <f>+D30+D32</f>
        <v>-7.7119999999999882</v>
      </c>
      <c r="E33" s="6">
        <f>+E30+E32</f>
        <v>-1.5600000000000431</v>
      </c>
      <c r="F33" s="6">
        <f>+F30+F32</f>
        <v>-1.2240000000000233</v>
      </c>
      <c r="G33" s="6">
        <f>+SUM(T33:W33)</f>
        <v>-137.21772875814926</v>
      </c>
      <c r="H33" s="6">
        <f>+SUM(X33:AA33)</f>
        <v>-179.29378825915967</v>
      </c>
      <c r="I33" s="6">
        <f>+SUM(AB33:AE33)</f>
        <v>-155.29999999999995</v>
      </c>
      <c r="J33" s="6">
        <f>+SUM(AF33:AI33)</f>
        <v>-76.199999999999989</v>
      </c>
      <c r="K33" s="6">
        <f>+SUM(AJ33:AM33)</f>
        <v>85.700000000000045</v>
      </c>
      <c r="L33" s="6">
        <f ca="1">+SUM(AN33:AQ33)</f>
        <v>79.582406920442111</v>
      </c>
      <c r="M33" s="6">
        <f ca="1">+SUM(AR33:AU33)</f>
        <v>95.181621724318973</v>
      </c>
      <c r="N33" s="6">
        <f ca="1">+SUM(AV33:AY33)</f>
        <v>86.496142168192691</v>
      </c>
      <c r="T33" s="6">
        <f>+T30+T32</f>
        <v>-64.591826217654614</v>
      </c>
      <c r="U33" s="6">
        <f t="shared" ref="U33:Z33" si="44">+U30+U32</f>
        <v>-32.146855679921941</v>
      </c>
      <c r="V33" s="6">
        <f t="shared" si="44"/>
        <v>-16.533002913269272</v>
      </c>
      <c r="W33" s="6">
        <f t="shared" si="44"/>
        <v>-23.946043947303437</v>
      </c>
      <c r="X33" s="6">
        <f t="shared" si="44"/>
        <v>-27.381616006839891</v>
      </c>
      <c r="Y33" s="6">
        <f t="shared" si="44"/>
        <v>-36.797266819884292</v>
      </c>
      <c r="Z33" s="81">
        <f t="shared" si="44"/>
        <v>-41.614593257953175</v>
      </c>
      <c r="AA33" s="81">
        <f t="shared" ref="AA33:AY33" si="45">+AA30+AA32</f>
        <v>-73.500312174482318</v>
      </c>
      <c r="AB33" s="81">
        <f t="shared" si="45"/>
        <v>-110.50000000000001</v>
      </c>
      <c r="AC33" s="81">
        <f t="shared" ref="AC33:AH33" si="46">+AC30+AC32</f>
        <v>3.7999999999999687</v>
      </c>
      <c r="AD33" s="81">
        <f t="shared" si="46"/>
        <v>-53.699999999999996</v>
      </c>
      <c r="AE33" s="81">
        <f t="shared" si="46"/>
        <v>5.1000000000000689</v>
      </c>
      <c r="AF33" s="81">
        <f t="shared" si="46"/>
        <v>-15.199999999999982</v>
      </c>
      <c r="AG33" s="81">
        <f t="shared" si="46"/>
        <v>-10.799999999999978</v>
      </c>
      <c r="AH33" s="81">
        <f t="shared" si="46"/>
        <v>-19.300000000000008</v>
      </c>
      <c r="AI33" s="81">
        <f t="shared" ref="AI33:AN33" si="47">+AI30+AI32</f>
        <v>-30.90000000000002</v>
      </c>
      <c r="AJ33" s="81">
        <f t="shared" si="47"/>
        <v>15.700000000000005</v>
      </c>
      <c r="AK33" s="81">
        <f t="shared" si="47"/>
        <v>19.799999999999958</v>
      </c>
      <c r="AL33" s="81">
        <f t="shared" si="47"/>
        <v>27.000000000000043</v>
      </c>
      <c r="AM33" s="81">
        <f t="shared" si="47"/>
        <v>23.200000000000031</v>
      </c>
      <c r="AN33" s="81">
        <f t="shared" si="47"/>
        <v>23.200000000000017</v>
      </c>
      <c r="AO33" s="81">
        <f t="shared" ref="AO33" si="48">+AO30+AO32</f>
        <v>11.499999999999979</v>
      </c>
      <c r="AP33" s="6">
        <f t="shared" ca="1" si="45"/>
        <v>21.859474127653222</v>
      </c>
      <c r="AQ33" s="6">
        <f t="shared" ca="1" si="45"/>
        <v>23.0229327927889</v>
      </c>
      <c r="AR33" s="6">
        <f t="shared" ca="1" si="45"/>
        <v>23.629471465729338</v>
      </c>
      <c r="AS33" s="6">
        <f t="shared" ca="1" si="45"/>
        <v>23.949228425919941</v>
      </c>
      <c r="AT33" s="6">
        <f t="shared" ca="1" si="45"/>
        <v>23.960279401865563</v>
      </c>
      <c r="AU33" s="6">
        <f t="shared" ca="1" si="45"/>
        <v>23.642642430804138</v>
      </c>
      <c r="AV33" s="6">
        <f t="shared" ca="1" si="45"/>
        <v>23.004341617968802</v>
      </c>
      <c r="AW33" s="6">
        <f t="shared" ca="1" si="45"/>
        <v>22.053072797902185</v>
      </c>
      <c r="AX33" s="6">
        <f t="shared" ca="1" si="45"/>
        <v>20.796083232932666</v>
      </c>
      <c r="AY33" s="6">
        <f t="shared" ca="1" si="45"/>
        <v>20.642644519389034</v>
      </c>
    </row>
    <row r="34" spans="1:84">
      <c r="AA34" s="15"/>
      <c r="AB34" s="15"/>
      <c r="AC34" s="15"/>
      <c r="AD34" s="15"/>
      <c r="AE34" s="15"/>
      <c r="AF34" s="15"/>
      <c r="AG34" s="15"/>
      <c r="AH34" s="15"/>
      <c r="AI34" s="15"/>
      <c r="AJ34" s="15"/>
      <c r="AK34" s="15"/>
      <c r="AL34" s="15"/>
      <c r="AM34" s="15"/>
      <c r="AN34" s="15"/>
      <c r="AO34" s="15"/>
    </row>
    <row r="35" spans="1:84">
      <c r="B35" t="s">
        <v>302</v>
      </c>
      <c r="I35" s="26">
        <f>+SUM(AB35:AE35)</f>
        <v>-0.68230794993435562</v>
      </c>
      <c r="J35" s="26">
        <f>+SUM(AF35:AI35)</f>
        <v>-0.31299872158450681</v>
      </c>
      <c r="K35" s="26">
        <f>+SUM(AJ35:AM35)</f>
        <v>0.34867789568480301</v>
      </c>
      <c r="L35" s="26">
        <f ca="1">+SUM(AN35:AQ35)</f>
        <v>0.3188809172573252</v>
      </c>
      <c r="M35" s="26">
        <f ca="1">+SUM(AR35:AU35)</f>
        <v>0.37660666261722353</v>
      </c>
      <c r="N35" s="26">
        <f ca="1">+SUM(AV35:AY35)</f>
        <v>0.33820140186210657</v>
      </c>
      <c r="V35" s="26"/>
      <c r="W35" s="26"/>
      <c r="X35" s="26"/>
      <c r="Y35" s="26"/>
      <c r="Z35" s="26"/>
      <c r="AA35" s="26"/>
      <c r="AB35" s="26">
        <f t="shared" ref="AB35:AY35" si="49">+AB33/AB36</f>
        <v>-0.49551569506726462</v>
      </c>
      <c r="AC35" s="26">
        <f t="shared" ref="AC35:AH35" si="50">+AC33/AC36</f>
        <v>1.6019652099781879E-2</v>
      </c>
      <c r="AD35" s="26">
        <f t="shared" si="50"/>
        <v>-0.22409463794487838</v>
      </c>
      <c r="AE35" s="26">
        <f t="shared" si="50"/>
        <v>2.1282730978005499E-2</v>
      </c>
      <c r="AF35" s="26">
        <f t="shared" si="50"/>
        <v>-6.2551440329218028E-2</v>
      </c>
      <c r="AG35" s="26">
        <f t="shared" si="50"/>
        <v>-4.4117647058823435E-2</v>
      </c>
      <c r="AH35" s="26">
        <f t="shared" si="50"/>
        <v>-7.932593505959723E-2</v>
      </c>
      <c r="AI35" s="26">
        <f t="shared" ref="AI35:AN35" si="51">+AI33/AI36</f>
        <v>-0.12700369913686815</v>
      </c>
      <c r="AJ35" s="26">
        <f t="shared" si="51"/>
        <v>6.4344262295081986E-2</v>
      </c>
      <c r="AK35" s="26">
        <f t="shared" si="51"/>
        <v>8.061889250814315E-2</v>
      </c>
      <c r="AL35" s="26">
        <f t="shared" si="51"/>
        <v>0.10971149939049185</v>
      </c>
      <c r="AM35" s="26">
        <f t="shared" si="51"/>
        <v>9.400324149108602E-2</v>
      </c>
      <c r="AN35" s="26">
        <f t="shared" si="51"/>
        <v>9.3548387096774266E-2</v>
      </c>
      <c r="AO35" s="26">
        <f t="shared" ref="AO35" si="52">+AO33/AO36</f>
        <v>4.6129161652627267E-2</v>
      </c>
      <c r="AP35" s="26">
        <f t="shared" ca="1" si="49"/>
        <v>8.7415556979384815E-2</v>
      </c>
      <c r="AQ35" s="26">
        <f t="shared" ca="1" si="49"/>
        <v>9.1787811528538876E-2</v>
      </c>
      <c r="AR35" s="26">
        <f t="shared" ca="1" si="49"/>
        <v>9.3919928981733652E-2</v>
      </c>
      <c r="AS35" s="26">
        <f t="shared" ca="1" si="49"/>
        <v>9.490271919394129E-2</v>
      </c>
      <c r="AT35" s="26">
        <f t="shared" ca="1" si="49"/>
        <v>9.4659971518404828E-2</v>
      </c>
      <c r="AU35" s="26">
        <f t="shared" ca="1" si="49"/>
        <v>9.3124042923143718E-2</v>
      </c>
      <c r="AV35" s="26">
        <f t="shared" ca="1" si="49"/>
        <v>9.0338081904909509E-2</v>
      </c>
      <c r="AW35" s="26">
        <f t="shared" ca="1" si="49"/>
        <v>8.6343435498812238E-2</v>
      </c>
      <c r="AX35" s="26">
        <f t="shared" ca="1" si="49"/>
        <v>8.1179206530429066E-2</v>
      </c>
      <c r="AY35" s="26">
        <f t="shared" ca="1" si="49"/>
        <v>8.0340677927955753E-2</v>
      </c>
    </row>
    <row r="36" spans="1:84">
      <c r="B36" t="s">
        <v>305</v>
      </c>
      <c r="I36" s="6">
        <f t="shared" ref="I36:N36" si="53">I125</f>
        <v>234.86761225000001</v>
      </c>
      <c r="J36" s="6">
        <f t="shared" si="53"/>
        <v>243.60000000000002</v>
      </c>
      <c r="K36" s="6">
        <f t="shared" si="53"/>
        <v>245.625</v>
      </c>
      <c r="L36" s="6">
        <f t="shared" si="53"/>
        <v>249.54791666666668</v>
      </c>
      <c r="M36" s="6">
        <f t="shared" si="53"/>
        <v>252.73749999999998</v>
      </c>
      <c r="N36" s="6">
        <f t="shared" si="53"/>
        <v>255.79305555555555</v>
      </c>
      <c r="V36" s="6"/>
      <c r="W36" s="6"/>
      <c r="X36" s="6"/>
      <c r="Y36" s="6"/>
      <c r="Z36" s="6"/>
      <c r="AA36" s="6"/>
      <c r="AB36" s="6">
        <f t="shared" ref="AB36:AG36" si="54">AB125</f>
        <v>223</v>
      </c>
      <c r="AC36" s="6">
        <f t="shared" si="54"/>
        <v>237.20864700000001</v>
      </c>
      <c r="AD36" s="6">
        <f t="shared" si="54"/>
        <v>239.63090099999999</v>
      </c>
      <c r="AE36" s="6">
        <f t="shared" si="54"/>
        <v>239.63090099999999</v>
      </c>
      <c r="AF36" s="6">
        <f t="shared" si="54"/>
        <v>243</v>
      </c>
      <c r="AG36" s="6">
        <f t="shared" si="54"/>
        <v>244.8</v>
      </c>
      <c r="AH36" s="6">
        <f t="shared" ref="AH36:AY36" si="55">AH125</f>
        <v>243.3</v>
      </c>
      <c r="AI36" s="6">
        <f t="shared" ref="AI36:AN36" si="56">AI125</f>
        <v>243.3</v>
      </c>
      <c r="AJ36" s="6">
        <f t="shared" si="56"/>
        <v>244</v>
      </c>
      <c r="AK36" s="6">
        <f t="shared" si="56"/>
        <v>245.6</v>
      </c>
      <c r="AL36" s="6">
        <f t="shared" si="56"/>
        <v>246.1</v>
      </c>
      <c r="AM36" s="6">
        <f t="shared" si="56"/>
        <v>246.8</v>
      </c>
      <c r="AN36" s="6">
        <f t="shared" si="56"/>
        <v>248</v>
      </c>
      <c r="AO36" s="6">
        <f t="shared" ref="AO36" si="57">AO125</f>
        <v>249.3</v>
      </c>
      <c r="AP36" s="6">
        <f t="shared" si="55"/>
        <v>250.0638888888889</v>
      </c>
      <c r="AQ36" s="6">
        <f t="shared" si="55"/>
        <v>250.82777777777778</v>
      </c>
      <c r="AR36" s="6">
        <f t="shared" si="55"/>
        <v>251.59166666666667</v>
      </c>
      <c r="AS36" s="6">
        <f t="shared" si="55"/>
        <v>252.35555555555555</v>
      </c>
      <c r="AT36" s="6">
        <f t="shared" si="55"/>
        <v>253.11944444444444</v>
      </c>
      <c r="AU36" s="6">
        <f t="shared" si="55"/>
        <v>253.88333333333333</v>
      </c>
      <c r="AV36" s="6">
        <f t="shared" si="55"/>
        <v>254.64722222222221</v>
      </c>
      <c r="AW36" s="6">
        <f t="shared" si="55"/>
        <v>255.4111111111111</v>
      </c>
      <c r="AX36" s="6">
        <f t="shared" si="55"/>
        <v>256.17500000000001</v>
      </c>
      <c r="AY36" s="6">
        <f t="shared" si="55"/>
        <v>256.93888888888893</v>
      </c>
    </row>
    <row r="37" spans="1:84">
      <c r="AA37" s="15"/>
      <c r="AB37" s="15"/>
      <c r="AC37" s="15"/>
      <c r="AD37" s="15"/>
      <c r="AE37" s="15"/>
      <c r="AF37" s="15"/>
      <c r="AG37" s="15"/>
      <c r="AH37" s="15"/>
      <c r="AI37" s="15"/>
      <c r="AJ37" s="15"/>
      <c r="AK37" s="15"/>
      <c r="AL37" s="15"/>
      <c r="AM37" s="15"/>
      <c r="AN37" s="15"/>
      <c r="AO37" s="15"/>
    </row>
    <row r="38" spans="1:84" s="1" customFormat="1">
      <c r="A38" s="49" t="s">
        <v>40</v>
      </c>
      <c r="B38" s="27" t="s">
        <v>82</v>
      </c>
      <c r="J38" s="327">
        <f>+J3</f>
        <v>2016</v>
      </c>
      <c r="K38" s="327">
        <f t="shared" ref="K38:M38" si="58">+K3</f>
        <v>2017</v>
      </c>
      <c r="L38" s="327" t="str">
        <f t="shared" si="58"/>
        <v>2018E</v>
      </c>
      <c r="M38" s="327" t="str">
        <f t="shared" si="58"/>
        <v>2019E</v>
      </c>
      <c r="N38" s="328"/>
      <c r="O38" s="328"/>
      <c r="P38" s="328"/>
      <c r="Q38" s="328"/>
      <c r="R38" s="328"/>
      <c r="S38" s="328"/>
      <c r="T38" s="328"/>
      <c r="U38" s="328"/>
      <c r="V38" s="328"/>
      <c r="W38" s="328"/>
      <c r="X38" s="328"/>
      <c r="Y38" s="328"/>
      <c r="Z38" s="327"/>
      <c r="AA38" s="327"/>
      <c r="AB38" s="327"/>
      <c r="AC38" s="327"/>
      <c r="AD38" s="327"/>
      <c r="AE38" s="327"/>
      <c r="AF38" s="327"/>
      <c r="AG38" s="327"/>
      <c r="AH38" s="327"/>
      <c r="AI38" s="327"/>
      <c r="AJ38" s="327" t="str">
        <f>+AJ3</f>
        <v>1Q17</v>
      </c>
      <c r="AK38" s="327" t="str">
        <f t="shared" ref="AK38:AY38" si="59">+AK3</f>
        <v>2Q17</v>
      </c>
      <c r="AL38" s="327" t="str">
        <f t="shared" si="59"/>
        <v>3Q17</v>
      </c>
      <c r="AM38" s="327" t="str">
        <f t="shared" si="59"/>
        <v>4Q17</v>
      </c>
      <c r="AN38" s="327" t="str">
        <f t="shared" si="59"/>
        <v>1Q18</v>
      </c>
      <c r="AO38" s="327" t="str">
        <f t="shared" ref="AO38" si="60">+AO3</f>
        <v>2Q18</v>
      </c>
      <c r="AP38" s="327" t="str">
        <f t="shared" si="59"/>
        <v>3Q18E</v>
      </c>
      <c r="AQ38" s="327" t="str">
        <f t="shared" si="59"/>
        <v>4Q18E</v>
      </c>
      <c r="AR38" s="327" t="str">
        <f t="shared" si="59"/>
        <v>1Q19E</v>
      </c>
      <c r="AS38" s="327" t="str">
        <f t="shared" si="59"/>
        <v>2Q19E</v>
      </c>
      <c r="AT38" s="327" t="str">
        <f t="shared" si="59"/>
        <v>3Q19E</v>
      </c>
      <c r="AU38" s="327" t="str">
        <f t="shared" si="59"/>
        <v>4Q19E</v>
      </c>
      <c r="AV38" s="327" t="str">
        <f t="shared" si="59"/>
        <v>1Q20E</v>
      </c>
      <c r="AW38" s="327" t="str">
        <f t="shared" si="59"/>
        <v>2Q20E</v>
      </c>
      <c r="AX38" s="327" t="str">
        <f t="shared" si="59"/>
        <v>3Q20E</v>
      </c>
      <c r="AY38" s="327" t="str">
        <f t="shared" si="59"/>
        <v>4Q20E</v>
      </c>
      <c r="CA38"/>
      <c r="CB38"/>
      <c r="CC38"/>
      <c r="CD38"/>
      <c r="CE38"/>
      <c r="CF38"/>
    </row>
    <row r="39" spans="1:84">
      <c r="Z39"/>
    </row>
    <row r="40" spans="1:84">
      <c r="B40" t="s">
        <v>68</v>
      </c>
      <c r="D40" s="6">
        <f>+D30</f>
        <v>-14.472999999999988</v>
      </c>
      <c r="E40" s="6">
        <f>+E30</f>
        <v>-6.8910000000000435</v>
      </c>
      <c r="F40" s="6">
        <f>+F30</f>
        <v>-9.8970000000000233</v>
      </c>
      <c r="G40" s="6">
        <f t="shared" ref="G40:G45" si="61">+SUM(T40:W40)</f>
        <v>-145.61372875814925</v>
      </c>
      <c r="H40" s="6">
        <f t="shared" ref="H40:H51" si="62">+SUM(X40:AA40)</f>
        <v>-181.64417978915967</v>
      </c>
      <c r="I40" s="6">
        <f t="shared" ref="I40:I51" si="63">+SUM(AB40:AE40)</f>
        <v>-155.29999999999995</v>
      </c>
      <c r="J40" s="6">
        <f t="shared" ref="J40:J51" si="64">+SUM(AF40:AI40)</f>
        <v>-76.199999999999989</v>
      </c>
      <c r="K40" s="6">
        <f t="shared" ref="K40:K49" si="65">+SUM(AJ40:AM40)</f>
        <v>85.700000000000045</v>
      </c>
      <c r="L40" s="6">
        <f t="shared" ref="L40:L49" ca="1" si="66">+SUM(AN40:AQ40)</f>
        <v>79.582406920442111</v>
      </c>
      <c r="M40" s="6">
        <f t="shared" ref="M40:M51" ca="1" si="67">+SUM(AR40:AU40)</f>
        <v>95.181621724318973</v>
      </c>
      <c r="N40" s="6">
        <f t="shared" ref="N40:N51" ca="1" si="68">+SUM(AV40:AY40)</f>
        <v>86.496142168192691</v>
      </c>
      <c r="T40" s="6">
        <f>+T30</f>
        <v>-67.023826217654616</v>
      </c>
      <c r="U40" s="6">
        <f t="shared" ref="U40:AY40" si="69">+U30</f>
        <v>-34.568855679921938</v>
      </c>
      <c r="V40" s="6">
        <f t="shared" si="69"/>
        <v>-19.167002913269272</v>
      </c>
      <c r="W40" s="6">
        <f t="shared" si="69"/>
        <v>-24.854043947303438</v>
      </c>
      <c r="X40" s="6">
        <f t="shared" si="69"/>
        <v>-29.116890516839891</v>
      </c>
      <c r="Y40" s="6">
        <f t="shared" si="69"/>
        <v>-37.55779658988429</v>
      </c>
      <c r="Z40" s="81">
        <f t="shared" si="69"/>
        <v>-42.773903677953172</v>
      </c>
      <c r="AA40" s="81">
        <f t="shared" ref="AA40:AF40" si="70">+AA30</f>
        <v>-72.195589004482315</v>
      </c>
      <c r="AB40" s="81">
        <f t="shared" si="70"/>
        <v>-110.50000000000001</v>
      </c>
      <c r="AC40" s="81">
        <f t="shared" si="70"/>
        <v>3.7999999999999687</v>
      </c>
      <c r="AD40" s="81">
        <f t="shared" si="70"/>
        <v>-53.699999999999996</v>
      </c>
      <c r="AE40" s="81">
        <f t="shared" si="70"/>
        <v>5.1000000000000689</v>
      </c>
      <c r="AF40" s="81">
        <f t="shared" si="70"/>
        <v>-15.199999999999982</v>
      </c>
      <c r="AG40" s="81">
        <f t="shared" ref="AG40:AL40" si="71">+AG30</f>
        <v>-10.799999999999978</v>
      </c>
      <c r="AH40" s="81">
        <f t="shared" si="71"/>
        <v>-19.300000000000008</v>
      </c>
      <c r="AI40" s="81">
        <f t="shared" si="71"/>
        <v>-30.90000000000002</v>
      </c>
      <c r="AJ40" s="81">
        <f t="shared" si="71"/>
        <v>15.700000000000005</v>
      </c>
      <c r="AK40" s="81">
        <f t="shared" si="71"/>
        <v>19.799999999999958</v>
      </c>
      <c r="AL40" s="81">
        <f t="shared" si="71"/>
        <v>27.000000000000043</v>
      </c>
      <c r="AM40" s="81">
        <f t="shared" ref="AM40" si="72">+AM30</f>
        <v>23.200000000000031</v>
      </c>
      <c r="AN40" s="81">
        <f t="shared" ref="AN40:AO40" si="73">+AN30</f>
        <v>23.200000000000017</v>
      </c>
      <c r="AO40" s="81">
        <f t="shared" si="73"/>
        <v>11.499999999999979</v>
      </c>
      <c r="AP40" s="6">
        <f t="shared" ca="1" si="69"/>
        <v>21.859474127653222</v>
      </c>
      <c r="AQ40" s="6">
        <f t="shared" ca="1" si="69"/>
        <v>23.0229327927889</v>
      </c>
      <c r="AR40" s="6">
        <f t="shared" ca="1" si="69"/>
        <v>23.629471465729338</v>
      </c>
      <c r="AS40" s="6">
        <f t="shared" ca="1" si="69"/>
        <v>23.949228425919941</v>
      </c>
      <c r="AT40" s="6">
        <f t="shared" ca="1" si="69"/>
        <v>23.960279401865563</v>
      </c>
      <c r="AU40" s="6">
        <f t="shared" ca="1" si="69"/>
        <v>23.642642430804138</v>
      </c>
      <c r="AV40" s="6">
        <f t="shared" ca="1" si="69"/>
        <v>23.004341617968802</v>
      </c>
      <c r="AW40" s="6">
        <f t="shared" ca="1" si="69"/>
        <v>22.053072797902185</v>
      </c>
      <c r="AX40" s="6">
        <f t="shared" ca="1" si="69"/>
        <v>20.796083232932666</v>
      </c>
      <c r="AY40" s="6">
        <f t="shared" ca="1" si="69"/>
        <v>20.642644519389034</v>
      </c>
    </row>
    <row r="41" spans="1:84">
      <c r="B41" t="s">
        <v>67</v>
      </c>
      <c r="D41" s="19">
        <v>0</v>
      </c>
      <c r="E41" s="19">
        <v>0</v>
      </c>
      <c r="F41" s="19">
        <v>0</v>
      </c>
      <c r="G41" s="6">
        <f t="shared" si="61"/>
        <v>0</v>
      </c>
      <c r="H41" s="6">
        <f t="shared" si="62"/>
        <v>0</v>
      </c>
      <c r="I41" s="6">
        <f t="shared" si="63"/>
        <v>0</v>
      </c>
      <c r="J41" s="6">
        <f t="shared" si="64"/>
        <v>0</v>
      </c>
      <c r="K41" s="6">
        <f t="shared" si="65"/>
        <v>0</v>
      </c>
      <c r="L41" s="6">
        <f t="shared" si="66"/>
        <v>0</v>
      </c>
      <c r="M41" s="6">
        <f t="shared" si="67"/>
        <v>0</v>
      </c>
      <c r="N41" s="6">
        <f t="shared" si="68"/>
        <v>0</v>
      </c>
      <c r="T41" s="19">
        <v>0</v>
      </c>
      <c r="U41" s="19">
        <v>0</v>
      </c>
      <c r="V41" s="19">
        <v>0</v>
      </c>
      <c r="W41" s="19">
        <v>0</v>
      </c>
      <c r="X41" s="19">
        <v>0</v>
      </c>
      <c r="Y41" s="19">
        <v>0</v>
      </c>
      <c r="Z41" s="110">
        <v>0</v>
      </c>
      <c r="AA41" s="110">
        <v>0</v>
      </c>
      <c r="AB41" s="110">
        <v>0</v>
      </c>
      <c r="AC41" s="110">
        <v>0</v>
      </c>
      <c r="AD41" s="110">
        <v>0</v>
      </c>
      <c r="AE41" s="110">
        <v>0</v>
      </c>
      <c r="AF41" s="110">
        <v>0</v>
      </c>
      <c r="AG41" s="110">
        <v>0</v>
      </c>
      <c r="AH41" s="110">
        <v>0</v>
      </c>
      <c r="AI41" s="110">
        <v>0</v>
      </c>
      <c r="AJ41" s="110">
        <v>0</v>
      </c>
      <c r="AK41" s="110">
        <v>0</v>
      </c>
      <c r="AL41" s="110">
        <v>0</v>
      </c>
      <c r="AM41" s="110">
        <v>0</v>
      </c>
      <c r="AN41" s="110">
        <v>0</v>
      </c>
      <c r="AO41" s="110">
        <v>0</v>
      </c>
      <c r="AP41" s="6">
        <f t="shared" ref="AP41:AY41" si="74">-AP32</f>
        <v>0</v>
      </c>
      <c r="AQ41" s="6">
        <f t="shared" si="74"/>
        <v>0</v>
      </c>
      <c r="AR41" s="6">
        <f t="shared" si="74"/>
        <v>0</v>
      </c>
      <c r="AS41" s="6">
        <f t="shared" si="74"/>
        <v>0</v>
      </c>
      <c r="AT41" s="6">
        <f t="shared" si="74"/>
        <v>0</v>
      </c>
      <c r="AU41" s="6">
        <f t="shared" si="74"/>
        <v>0</v>
      </c>
      <c r="AV41" s="6">
        <f t="shared" si="74"/>
        <v>0</v>
      </c>
      <c r="AW41" s="6">
        <f t="shared" si="74"/>
        <v>0</v>
      </c>
      <c r="AX41" s="6">
        <f t="shared" si="74"/>
        <v>0</v>
      </c>
      <c r="AY41" s="6">
        <f t="shared" si="74"/>
        <v>0</v>
      </c>
    </row>
    <row r="42" spans="1:84">
      <c r="B42" t="s">
        <v>70</v>
      </c>
      <c r="D42" s="6">
        <f>+D21</f>
        <v>18.692</v>
      </c>
      <c r="E42" s="6">
        <f>+E21</f>
        <v>33.414000000000001</v>
      </c>
      <c r="F42" s="6">
        <f>+F21</f>
        <v>50.72</v>
      </c>
      <c r="G42" s="6">
        <f t="shared" si="61"/>
        <v>202.46453798047571</v>
      </c>
      <c r="H42" s="6">
        <f t="shared" si="62"/>
        <v>203.52854816921331</v>
      </c>
      <c r="I42" s="6">
        <f t="shared" si="63"/>
        <v>214</v>
      </c>
      <c r="J42" s="6">
        <f t="shared" si="64"/>
        <v>220.1</v>
      </c>
      <c r="K42" s="6">
        <f t="shared" si="65"/>
        <v>241.5</v>
      </c>
      <c r="L42" s="6">
        <f t="shared" ca="1" si="66"/>
        <v>291.59230725919269</v>
      </c>
      <c r="M42" s="6">
        <f t="shared" ca="1" si="67"/>
        <v>289.80806725939692</v>
      </c>
      <c r="N42" s="6">
        <f t="shared" ca="1" si="68"/>
        <v>289.80778704386182</v>
      </c>
      <c r="T42" s="34">
        <v>62.555065890290294</v>
      </c>
      <c r="U42" s="34">
        <v>52.634542618877575</v>
      </c>
      <c r="V42" s="34">
        <v>49.617925296556045</v>
      </c>
      <c r="W42" s="34">
        <v>37.657004174751791</v>
      </c>
      <c r="X42" s="34">
        <v>51.496679493331406</v>
      </c>
      <c r="Y42" s="34">
        <v>50.276891912644366</v>
      </c>
      <c r="Z42" s="116">
        <v>49.146596894686617</v>
      </c>
      <c r="AA42" s="116">
        <v>52.608379868550898</v>
      </c>
      <c r="AB42" s="111">
        <f t="shared" ref="AB42:AG42" si="75">+AB21</f>
        <v>46.9</v>
      </c>
      <c r="AC42" s="111">
        <f t="shared" si="75"/>
        <v>53.4</v>
      </c>
      <c r="AD42" s="111">
        <f t="shared" si="75"/>
        <v>60.7</v>
      </c>
      <c r="AE42" s="111">
        <f t="shared" si="75"/>
        <v>53</v>
      </c>
      <c r="AF42" s="111">
        <f t="shared" si="75"/>
        <v>53.8</v>
      </c>
      <c r="AG42" s="111">
        <f t="shared" si="75"/>
        <v>51.2</v>
      </c>
      <c r="AH42" s="111">
        <f t="shared" ref="AH42:AM42" si="76">+AH21</f>
        <v>57.7</v>
      </c>
      <c r="AI42" s="111">
        <f t="shared" si="76"/>
        <v>57.4</v>
      </c>
      <c r="AJ42" s="111">
        <f t="shared" si="76"/>
        <v>53.3</v>
      </c>
      <c r="AK42" s="111">
        <f t="shared" si="76"/>
        <v>53.7</v>
      </c>
      <c r="AL42" s="111">
        <f t="shared" si="76"/>
        <v>63</v>
      </c>
      <c r="AM42" s="111">
        <f t="shared" si="76"/>
        <v>71.5</v>
      </c>
      <c r="AN42" s="111">
        <f t="shared" ref="AN42:AO42" si="77">+AN21</f>
        <v>73.599999999999994</v>
      </c>
      <c r="AO42" s="111">
        <f t="shared" si="77"/>
        <v>73.099999999999994</v>
      </c>
      <c r="AP42" s="6">
        <f t="shared" ref="AP42:AY42" ca="1" si="78">+AP21</f>
        <v>72.444698915856691</v>
      </c>
      <c r="AQ42" s="6">
        <f t="shared" ca="1" si="78"/>
        <v>72.447608343335986</v>
      </c>
      <c r="AR42" s="6">
        <f t="shared" ca="1" si="78"/>
        <v>72.449950808111893</v>
      </c>
      <c r="AS42" s="6">
        <f t="shared" ca="1" si="78"/>
        <v>72.451718282409971</v>
      </c>
      <c r="AT42" s="6">
        <f t="shared" ca="1" si="78"/>
        <v>72.452902619090963</v>
      </c>
      <c r="AU42" s="6">
        <f t="shared" ca="1" si="78"/>
        <v>72.453495549784108</v>
      </c>
      <c r="AV42" s="6">
        <f t="shared" ca="1" si="78"/>
        <v>72.453488682989686</v>
      </c>
      <c r="AW42" s="6">
        <f t="shared" ca="1" si="78"/>
        <v>72.452873502150553</v>
      </c>
      <c r="AX42" s="6">
        <f t="shared" ca="1" si="78"/>
        <v>72.451641363692019</v>
      </c>
      <c r="AY42" s="6">
        <f t="shared" ca="1" si="78"/>
        <v>72.449783495029578</v>
      </c>
    </row>
    <row r="43" spans="1:84">
      <c r="B43" t="s">
        <v>65</v>
      </c>
      <c r="D43" s="6">
        <f>D27</f>
        <v>4.5490000000000004</v>
      </c>
      <c r="E43" s="6">
        <f>E27</f>
        <v>11.329000000000001</v>
      </c>
      <c r="F43" s="6">
        <f>F27</f>
        <v>26.870999999999999</v>
      </c>
      <c r="G43" s="6">
        <f t="shared" si="61"/>
        <v>-24.204854133711841</v>
      </c>
      <c r="H43" s="6">
        <f t="shared" si="62"/>
        <v>37.295120777913233</v>
      </c>
      <c r="I43" s="6">
        <f t="shared" si="63"/>
        <v>-8.8000000000000007</v>
      </c>
      <c r="J43" s="6">
        <f t="shared" si="64"/>
        <v>8.5000000000000018</v>
      </c>
      <c r="K43" s="6">
        <f t="shared" si="65"/>
        <v>18.399999999999999</v>
      </c>
      <c r="L43" s="6">
        <f t="shared" ca="1" si="66"/>
        <v>41.706433235976213</v>
      </c>
      <c r="M43" s="6">
        <f t="shared" ca="1" si="67"/>
        <v>28.430874021549826</v>
      </c>
      <c r="N43" s="6">
        <f t="shared" ca="1" si="68"/>
        <v>25.836509998291323</v>
      </c>
      <c r="T43" s="6">
        <f>T27</f>
        <v>-36.213866449406694</v>
      </c>
      <c r="U43" s="6">
        <f t="shared" ref="U43:Z43" si="79">U27</f>
        <v>-3.5410961279843201</v>
      </c>
      <c r="V43" s="6">
        <f t="shared" si="79"/>
        <v>6.2063247578699698</v>
      </c>
      <c r="W43" s="6">
        <f t="shared" si="79"/>
        <v>9.3437836858092016</v>
      </c>
      <c r="X43" s="6">
        <f t="shared" si="79"/>
        <v>9.2692793497666699</v>
      </c>
      <c r="Y43" s="6">
        <f t="shared" si="79"/>
        <v>8.4243984811724726</v>
      </c>
      <c r="Z43" s="81">
        <f t="shared" si="79"/>
        <v>9.5079018857257989</v>
      </c>
      <c r="AA43" s="81">
        <f t="shared" ref="AA43:AF43" si="80">AA27</f>
        <v>10.093541061248288</v>
      </c>
      <c r="AB43" s="81">
        <f t="shared" si="80"/>
        <v>9.4</v>
      </c>
      <c r="AC43" s="81">
        <f t="shared" si="80"/>
        <v>-4.4000000000000004</v>
      </c>
      <c r="AD43" s="81">
        <f t="shared" si="80"/>
        <v>-18.399999999999999</v>
      </c>
      <c r="AE43" s="81">
        <f t="shared" si="80"/>
        <v>4.5999999999999979</v>
      </c>
      <c r="AF43" s="81">
        <f t="shared" si="80"/>
        <v>2.7</v>
      </c>
      <c r="AG43" s="81">
        <f t="shared" ref="AG43:AL43" si="81">AG27</f>
        <v>11.1</v>
      </c>
      <c r="AH43" s="81">
        <f t="shared" si="81"/>
        <v>7.8</v>
      </c>
      <c r="AI43" s="81">
        <f t="shared" si="81"/>
        <v>-13.1</v>
      </c>
      <c r="AJ43" s="81">
        <f t="shared" si="81"/>
        <v>6.6</v>
      </c>
      <c r="AK43" s="81">
        <f t="shared" si="81"/>
        <v>0.2</v>
      </c>
      <c r="AL43" s="81">
        <f t="shared" si="81"/>
        <v>0.6</v>
      </c>
      <c r="AM43" s="81">
        <f t="shared" ref="AM43" si="82">AM27</f>
        <v>11</v>
      </c>
      <c r="AN43" s="81">
        <f t="shared" ref="AN43:AO43" si="83">AN27</f>
        <v>5.4</v>
      </c>
      <c r="AO43" s="81">
        <f t="shared" si="83"/>
        <v>22.9</v>
      </c>
      <c r="AP43" s="6">
        <f t="shared" ref="AP43:AY43" ca="1" si="84">AP27</f>
        <v>6.5294533108574573</v>
      </c>
      <c r="AQ43" s="6">
        <f t="shared" ca="1" si="84"/>
        <v>6.8769799251187624</v>
      </c>
      <c r="AR43" s="6">
        <f t="shared" ca="1" si="84"/>
        <v>7.0581538144386338</v>
      </c>
      <c r="AS43" s="6">
        <f t="shared" ca="1" si="84"/>
        <v>7.1536656337163453</v>
      </c>
      <c r="AT43" s="6">
        <f t="shared" ca="1" si="84"/>
        <v>7.1569665745832198</v>
      </c>
      <c r="AU43" s="6">
        <f t="shared" ca="1" si="84"/>
        <v>7.0620879988116254</v>
      </c>
      <c r="AV43" s="6">
        <f t="shared" ca="1" si="84"/>
        <v>6.8714267170556163</v>
      </c>
      <c r="AW43" s="6">
        <f t="shared" ca="1" si="84"/>
        <v>6.587281485087666</v>
      </c>
      <c r="AX43" s="6">
        <f t="shared" ca="1" si="84"/>
        <v>6.2118170695772914</v>
      </c>
      <c r="AY43" s="6">
        <f t="shared" ca="1" si="84"/>
        <v>6.165984726570751</v>
      </c>
    </row>
    <row r="44" spans="1:84">
      <c r="B44" t="s">
        <v>71</v>
      </c>
      <c r="D44" s="19"/>
      <c r="E44" s="19"/>
      <c r="F44" s="19"/>
      <c r="G44" s="6">
        <f t="shared" si="61"/>
        <v>77.251523370000001</v>
      </c>
      <c r="H44" s="6">
        <f t="shared" si="62"/>
        <v>1.9109606099999998</v>
      </c>
      <c r="I44" s="6">
        <f t="shared" si="63"/>
        <v>0.5</v>
      </c>
      <c r="J44" s="6">
        <f t="shared" si="64"/>
        <v>0</v>
      </c>
      <c r="K44" s="6">
        <f t="shared" si="65"/>
        <v>0</v>
      </c>
      <c r="L44" s="6">
        <f t="shared" si="66"/>
        <v>0</v>
      </c>
      <c r="M44" s="6">
        <f t="shared" si="67"/>
        <v>0</v>
      </c>
      <c r="N44" s="6">
        <f t="shared" si="68"/>
        <v>0</v>
      </c>
      <c r="T44" s="19">
        <v>64.974875990000001</v>
      </c>
      <c r="U44" s="19">
        <v>5.7071756399999991</v>
      </c>
      <c r="V44" s="19">
        <v>6.56947174</v>
      </c>
      <c r="W44" s="19">
        <v>0</v>
      </c>
      <c r="X44" s="19">
        <v>0</v>
      </c>
      <c r="Y44" s="19">
        <v>1.9109606099999998</v>
      </c>
      <c r="Z44" s="110">
        <v>0</v>
      </c>
      <c r="AA44" s="110">
        <v>0</v>
      </c>
      <c r="AB44" s="110">
        <v>0</v>
      </c>
      <c r="AC44" s="110">
        <v>0.5</v>
      </c>
      <c r="AD44" s="110"/>
      <c r="AE44" s="110"/>
      <c r="AF44" s="110"/>
      <c r="AG44" s="110"/>
      <c r="AH44" s="110"/>
      <c r="AI44" s="110"/>
      <c r="AJ44" s="110"/>
      <c r="AK44" s="110"/>
      <c r="AL44" s="110"/>
      <c r="AM44" s="110"/>
      <c r="AN44" s="110"/>
      <c r="AO44" s="110"/>
      <c r="AP44" s="19">
        <v>0</v>
      </c>
      <c r="AQ44" s="19">
        <v>0</v>
      </c>
      <c r="AR44" s="19">
        <v>0</v>
      </c>
      <c r="AS44" s="19">
        <v>0</v>
      </c>
      <c r="AT44" s="19">
        <v>0</v>
      </c>
      <c r="AU44" s="19">
        <v>0</v>
      </c>
      <c r="AV44" s="19">
        <v>0</v>
      </c>
      <c r="AW44" s="19">
        <v>0</v>
      </c>
      <c r="AX44" s="19">
        <v>0</v>
      </c>
      <c r="AY44" s="19">
        <v>0</v>
      </c>
    </row>
    <row r="45" spans="1:84">
      <c r="B45" t="s">
        <v>72</v>
      </c>
      <c r="D45" s="6">
        <f>+D16+D17</f>
        <v>38.738</v>
      </c>
      <c r="E45" s="6">
        <f>+E16+E17</f>
        <v>60.463000000000001</v>
      </c>
      <c r="F45" s="6">
        <f>+F16+F17</f>
        <v>84.960999999999999</v>
      </c>
      <c r="G45" s="6">
        <f t="shared" si="61"/>
        <v>324.53112115382089</v>
      </c>
      <c r="H45" s="6">
        <f t="shared" si="62"/>
        <v>338.26829728705798</v>
      </c>
      <c r="I45" s="6">
        <f t="shared" si="63"/>
        <v>406.19999999999993</v>
      </c>
      <c r="J45" s="6">
        <f t="shared" si="64"/>
        <v>516.29999999999995</v>
      </c>
      <c r="K45" s="6">
        <f t="shared" si="65"/>
        <v>606.9</v>
      </c>
      <c r="L45" s="6">
        <f t="shared" ca="1" si="66"/>
        <v>779.80503242524526</v>
      </c>
      <c r="M45" s="6">
        <f t="shared" ca="1" si="67"/>
        <v>846.5955209279266</v>
      </c>
      <c r="N45" s="6">
        <f t="shared" ca="1" si="68"/>
        <v>939.01954203359537</v>
      </c>
      <c r="T45" s="6">
        <f>+T16+T17</f>
        <v>80.011761106504537</v>
      </c>
      <c r="U45" s="6">
        <f t="shared" ref="U45:Z45" si="85">+U16+U17</f>
        <v>83.930071437302161</v>
      </c>
      <c r="V45" s="6">
        <f t="shared" si="85"/>
        <v>79.936313966682221</v>
      </c>
      <c r="W45" s="6">
        <f t="shared" si="85"/>
        <v>80.652974643331973</v>
      </c>
      <c r="X45" s="6">
        <f t="shared" si="85"/>
        <v>81.037188142589258</v>
      </c>
      <c r="Y45" s="6">
        <f t="shared" si="85"/>
        <v>81.719234752796382</v>
      </c>
      <c r="Z45" s="81">
        <f t="shared" si="85"/>
        <v>84.174627669322305</v>
      </c>
      <c r="AA45" s="81">
        <f t="shared" ref="AA45:AF45" si="86">+AA16+AA17</f>
        <v>91.337246722350002</v>
      </c>
      <c r="AB45" s="81">
        <f t="shared" si="86"/>
        <v>96</v>
      </c>
      <c r="AC45" s="81">
        <f t="shared" si="86"/>
        <v>96.9</v>
      </c>
      <c r="AD45" s="81">
        <f t="shared" si="86"/>
        <v>100.1</v>
      </c>
      <c r="AE45" s="81">
        <f t="shared" si="86"/>
        <v>113.19999999999996</v>
      </c>
      <c r="AF45" s="81">
        <f t="shared" si="86"/>
        <v>117.1</v>
      </c>
      <c r="AG45" s="81">
        <f t="shared" ref="AG45:AL45" si="87">+AG16+AG17</f>
        <v>113.7</v>
      </c>
      <c r="AH45" s="81">
        <f t="shared" si="87"/>
        <v>137.19999999999999</v>
      </c>
      <c r="AI45" s="81">
        <f t="shared" si="87"/>
        <v>148.30000000000001</v>
      </c>
      <c r="AJ45" s="81">
        <f t="shared" si="87"/>
        <v>138.5</v>
      </c>
      <c r="AK45" s="81">
        <f t="shared" si="87"/>
        <v>131.4</v>
      </c>
      <c r="AL45" s="81">
        <f t="shared" si="87"/>
        <v>155.69999999999999</v>
      </c>
      <c r="AM45" s="81">
        <f t="shared" ref="AM45" si="88">+AM16+AM17</f>
        <v>181.3</v>
      </c>
      <c r="AN45" s="81">
        <f t="shared" ref="AN45:AO45" si="89">+AN16+AN17</f>
        <v>184.1</v>
      </c>
      <c r="AO45" s="81">
        <f t="shared" si="89"/>
        <v>195.9</v>
      </c>
      <c r="AP45" s="6">
        <f t="shared" ref="AP45:AY45" ca="1" si="90">+AP16+AP17</f>
        <v>198.61508681712328</v>
      </c>
      <c r="AQ45" s="6">
        <f t="shared" ca="1" si="90"/>
        <v>201.189945608122</v>
      </c>
      <c r="AR45" s="6">
        <f t="shared" ca="1" si="90"/>
        <v>204.76600506243275</v>
      </c>
      <c r="AS45" s="6">
        <f t="shared" ca="1" si="90"/>
        <v>208.95979294543292</v>
      </c>
      <c r="AT45" s="6">
        <f t="shared" ca="1" si="90"/>
        <v>213.75095416854603</v>
      </c>
      <c r="AU45" s="6">
        <f t="shared" ca="1" si="90"/>
        <v>219.11876875151481</v>
      </c>
      <c r="AV45" s="6">
        <f t="shared" ca="1" si="90"/>
        <v>225.04283673172299</v>
      </c>
      <c r="AW45" s="6">
        <f t="shared" ca="1" si="90"/>
        <v>231.50372312884434</v>
      </c>
      <c r="AX45" s="6">
        <f t="shared" ca="1" si="90"/>
        <v>238.48290570776123</v>
      </c>
      <c r="AY45" s="6">
        <f t="shared" ca="1" si="90"/>
        <v>243.99007646526678</v>
      </c>
    </row>
    <row r="46" spans="1:84">
      <c r="B46" t="s">
        <v>73</v>
      </c>
      <c r="D46" s="19">
        <v>1.2989999999999999</v>
      </c>
      <c r="E46" s="19">
        <v>0.86499999999999999</v>
      </c>
      <c r="F46" s="19">
        <v>6.63</v>
      </c>
      <c r="G46" s="6">
        <f>+SUM(T46:W46)</f>
        <v>14.203804940614425</v>
      </c>
      <c r="H46" s="6">
        <f t="shared" si="62"/>
        <v>5.2948024062183139</v>
      </c>
      <c r="I46" s="6">
        <f t="shared" si="63"/>
        <v>6.2</v>
      </c>
      <c r="J46" s="6">
        <f t="shared" si="64"/>
        <v>21.5</v>
      </c>
      <c r="K46" s="6">
        <f t="shared" si="65"/>
        <v>20.5</v>
      </c>
      <c r="L46" s="6">
        <f t="shared" si="66"/>
        <v>14.200000000000001</v>
      </c>
      <c r="M46" s="6">
        <f t="shared" si="67"/>
        <v>0</v>
      </c>
      <c r="N46" s="6">
        <f t="shared" si="68"/>
        <v>0</v>
      </c>
      <c r="T46" s="19">
        <v>11.383135441878361</v>
      </c>
      <c r="U46" s="19">
        <v>1.633591964630547</v>
      </c>
      <c r="V46" s="19">
        <v>7.2202813082392875E-2</v>
      </c>
      <c r="W46" s="19">
        <v>1.1148747210231233</v>
      </c>
      <c r="X46" s="19">
        <v>0.58696548731789766</v>
      </c>
      <c r="Y46" s="19">
        <v>0.1653655784194667</v>
      </c>
      <c r="Z46" s="110">
        <v>3.6096038550417028E-2</v>
      </c>
      <c r="AA46" s="110">
        <v>4.5063753019305324</v>
      </c>
      <c r="AB46" s="110">
        <v>3.4</v>
      </c>
      <c r="AC46" s="110">
        <v>1.3</v>
      </c>
      <c r="AD46" s="110">
        <v>1.5</v>
      </c>
      <c r="AE46" s="110"/>
      <c r="AF46" s="110"/>
      <c r="AG46" s="110">
        <v>3.3</v>
      </c>
      <c r="AH46" s="110">
        <v>14.2</v>
      </c>
      <c r="AI46" s="110">
        <v>4</v>
      </c>
      <c r="AJ46" s="110">
        <v>3</v>
      </c>
      <c r="AK46" s="110">
        <v>6.2</v>
      </c>
      <c r="AL46" s="110">
        <v>8.4</v>
      </c>
      <c r="AM46" s="110">
        <v>2.9</v>
      </c>
      <c r="AN46" s="110">
        <v>8.3000000000000007</v>
      </c>
      <c r="AO46" s="110">
        <v>5.9</v>
      </c>
      <c r="AP46" s="19">
        <v>0</v>
      </c>
      <c r="AQ46" s="19">
        <v>0</v>
      </c>
      <c r="AR46" s="19">
        <v>0</v>
      </c>
      <c r="AS46" s="19">
        <v>0</v>
      </c>
      <c r="AT46" s="19">
        <v>0</v>
      </c>
      <c r="AU46" s="19">
        <v>0</v>
      </c>
      <c r="AV46" s="19">
        <v>0</v>
      </c>
      <c r="AW46" s="19">
        <v>0</v>
      </c>
      <c r="AX46" s="19">
        <v>0</v>
      </c>
      <c r="AY46" s="19">
        <v>0</v>
      </c>
    </row>
    <row r="47" spans="1:84">
      <c r="B47" t="s">
        <v>74</v>
      </c>
      <c r="D47" s="6">
        <f>+D15</f>
        <v>18.167999999999999</v>
      </c>
      <c r="E47" s="6">
        <f>+E15</f>
        <v>24.31</v>
      </c>
      <c r="F47" s="6">
        <f>+F15</f>
        <v>26.253</v>
      </c>
      <c r="G47" s="6">
        <f>+SUM(T47:W47)</f>
        <v>105.84999508651291</v>
      </c>
      <c r="H47" s="6">
        <f t="shared" si="62"/>
        <v>253.68095981236758</v>
      </c>
      <c r="I47" s="6">
        <f t="shared" si="63"/>
        <v>200.70000000000002</v>
      </c>
      <c r="J47" s="6">
        <f t="shared" si="64"/>
        <v>155.9</v>
      </c>
      <c r="K47" s="6">
        <f t="shared" si="65"/>
        <v>114.1</v>
      </c>
      <c r="L47" s="6">
        <f t="shared" si="66"/>
        <v>106.3</v>
      </c>
      <c r="M47" s="6">
        <f t="shared" si="67"/>
        <v>110</v>
      </c>
      <c r="N47" s="6">
        <f t="shared" si="68"/>
        <v>110</v>
      </c>
      <c r="T47" s="6">
        <f>+T15</f>
        <v>10.481071115375345</v>
      </c>
      <c r="U47" s="6">
        <f t="shared" ref="U47:Z47" si="91">+U15</f>
        <v>33.711677592456255</v>
      </c>
      <c r="V47" s="6">
        <f t="shared" si="91"/>
        <v>23.719862728616118</v>
      </c>
      <c r="W47" s="6">
        <f t="shared" si="91"/>
        <v>37.937383650065193</v>
      </c>
      <c r="X47" s="6">
        <f t="shared" si="91"/>
        <v>42.949492296009659</v>
      </c>
      <c r="Y47" s="6">
        <f t="shared" si="91"/>
        <v>56.95264424563252</v>
      </c>
      <c r="Z47" s="81">
        <f t="shared" si="91"/>
        <v>65.232969577889875</v>
      </c>
      <c r="AA47" s="81">
        <f t="shared" ref="AA47:AF47" si="92">+AA15</f>
        <v>88.545853692835536</v>
      </c>
      <c r="AB47" s="81">
        <f t="shared" si="92"/>
        <v>123.1</v>
      </c>
      <c r="AC47" s="81">
        <f t="shared" si="92"/>
        <v>-6</v>
      </c>
      <c r="AD47" s="81">
        <f t="shared" si="92"/>
        <v>40.700000000000003</v>
      </c>
      <c r="AE47" s="81">
        <f t="shared" si="92"/>
        <v>42.9</v>
      </c>
      <c r="AF47" s="81">
        <f t="shared" si="92"/>
        <v>46.1</v>
      </c>
      <c r="AG47" s="81">
        <f t="shared" ref="AG47:AL47" si="93">+AG15</f>
        <v>42.9</v>
      </c>
      <c r="AH47" s="81">
        <f t="shared" si="93"/>
        <v>33.5</v>
      </c>
      <c r="AI47" s="81">
        <f t="shared" si="93"/>
        <v>33.4</v>
      </c>
      <c r="AJ47" s="81">
        <f t="shared" si="93"/>
        <v>32</v>
      </c>
      <c r="AK47" s="81">
        <f t="shared" si="93"/>
        <v>34.5</v>
      </c>
      <c r="AL47" s="81">
        <f t="shared" si="93"/>
        <v>26.5</v>
      </c>
      <c r="AM47" s="81">
        <f t="shared" ref="AM47" si="94">+AM15</f>
        <v>21.1</v>
      </c>
      <c r="AN47" s="81">
        <f t="shared" ref="AN47:AO47" si="95">+AN15</f>
        <v>27.8</v>
      </c>
      <c r="AO47" s="81">
        <f t="shared" si="95"/>
        <v>23.5</v>
      </c>
      <c r="AP47" s="6">
        <f t="shared" ref="AP47:AY47" si="96">+AP15</f>
        <v>27.5</v>
      </c>
      <c r="AQ47" s="6">
        <f t="shared" si="96"/>
        <v>27.5</v>
      </c>
      <c r="AR47" s="6">
        <f t="shared" si="96"/>
        <v>27.5</v>
      </c>
      <c r="AS47" s="6">
        <f t="shared" si="96"/>
        <v>27.5</v>
      </c>
      <c r="AT47" s="6">
        <f t="shared" si="96"/>
        <v>27.5</v>
      </c>
      <c r="AU47" s="6">
        <f t="shared" si="96"/>
        <v>27.5</v>
      </c>
      <c r="AV47" s="6">
        <f t="shared" si="96"/>
        <v>27.5</v>
      </c>
      <c r="AW47" s="6">
        <f t="shared" si="96"/>
        <v>27.5</v>
      </c>
      <c r="AX47" s="6">
        <f t="shared" si="96"/>
        <v>27.5</v>
      </c>
      <c r="AY47" s="6">
        <f t="shared" si="96"/>
        <v>27.5</v>
      </c>
    </row>
    <row r="48" spans="1:84">
      <c r="B48" t="s">
        <v>63</v>
      </c>
      <c r="D48" s="6">
        <f>D22</f>
        <v>5.8810000000000002</v>
      </c>
      <c r="E48" s="6">
        <f>E22</f>
        <v>0</v>
      </c>
      <c r="F48" s="6">
        <f>F22</f>
        <v>0</v>
      </c>
      <c r="G48" s="6">
        <f>+SUM(T48:W48)</f>
        <v>0</v>
      </c>
      <c r="H48" s="6">
        <f t="shared" si="62"/>
        <v>0</v>
      </c>
      <c r="I48" s="6">
        <f t="shared" si="63"/>
        <v>94.3</v>
      </c>
      <c r="J48" s="6">
        <f t="shared" si="64"/>
        <v>33.799999999999997</v>
      </c>
      <c r="K48" s="6">
        <f t="shared" si="65"/>
        <v>18.2</v>
      </c>
      <c r="L48" s="6">
        <f t="shared" si="66"/>
        <v>4.9000000000000004</v>
      </c>
      <c r="M48" s="6">
        <f t="shared" si="67"/>
        <v>0</v>
      </c>
      <c r="N48" s="6">
        <f t="shared" si="68"/>
        <v>0</v>
      </c>
      <c r="T48" s="6">
        <f>T22</f>
        <v>0</v>
      </c>
      <c r="U48" s="6">
        <f t="shared" ref="U48:AY48" si="97">U22</f>
        <v>0</v>
      </c>
      <c r="V48" s="6">
        <f t="shared" si="97"/>
        <v>0</v>
      </c>
      <c r="W48" s="6">
        <f t="shared" si="97"/>
        <v>0</v>
      </c>
      <c r="X48" s="6">
        <f t="shared" si="97"/>
        <v>0</v>
      </c>
      <c r="Y48" s="6">
        <f t="shared" si="97"/>
        <v>0</v>
      </c>
      <c r="Z48" s="6">
        <f t="shared" si="97"/>
        <v>0</v>
      </c>
      <c r="AA48" s="6">
        <f t="shared" si="97"/>
        <v>0</v>
      </c>
      <c r="AB48" s="6">
        <f t="shared" ref="AB48:AG48" si="98">AB22</f>
        <v>0</v>
      </c>
      <c r="AC48" s="6">
        <f t="shared" si="98"/>
        <v>30.9</v>
      </c>
      <c r="AD48" s="6">
        <f t="shared" si="98"/>
        <v>54.9</v>
      </c>
      <c r="AE48" s="6">
        <f t="shared" si="98"/>
        <v>8.5</v>
      </c>
      <c r="AF48" s="6">
        <f t="shared" si="98"/>
        <v>0</v>
      </c>
      <c r="AG48" s="6">
        <f t="shared" si="98"/>
        <v>0</v>
      </c>
      <c r="AH48" s="6">
        <f t="shared" ref="AH48:AM48" si="99">AH22</f>
        <v>0</v>
      </c>
      <c r="AI48" s="6">
        <f t="shared" si="99"/>
        <v>33.799999999999997</v>
      </c>
      <c r="AJ48" s="6">
        <f t="shared" si="99"/>
        <v>0</v>
      </c>
      <c r="AK48" s="6">
        <f t="shared" si="99"/>
        <v>0</v>
      </c>
      <c r="AL48" s="6">
        <f t="shared" si="99"/>
        <v>4.5</v>
      </c>
      <c r="AM48" s="6">
        <f t="shared" si="99"/>
        <v>13.7</v>
      </c>
      <c r="AN48" s="6">
        <f t="shared" ref="AN48:AO48" si="100">AN22</f>
        <v>4.9000000000000004</v>
      </c>
      <c r="AO48" s="6">
        <f t="shared" si="100"/>
        <v>0</v>
      </c>
      <c r="AP48" s="6">
        <f t="shared" si="97"/>
        <v>0</v>
      </c>
      <c r="AQ48" s="6">
        <f t="shared" si="97"/>
        <v>0</v>
      </c>
      <c r="AR48" s="6">
        <f t="shared" si="97"/>
        <v>0</v>
      </c>
      <c r="AS48" s="6">
        <f t="shared" si="97"/>
        <v>0</v>
      </c>
      <c r="AT48" s="6">
        <f t="shared" si="97"/>
        <v>0</v>
      </c>
      <c r="AU48" s="6">
        <f t="shared" si="97"/>
        <v>0</v>
      </c>
      <c r="AV48" s="6">
        <f t="shared" si="97"/>
        <v>0</v>
      </c>
      <c r="AW48" s="6">
        <f t="shared" si="97"/>
        <v>0</v>
      </c>
      <c r="AX48" s="6">
        <f t="shared" si="97"/>
        <v>0</v>
      </c>
      <c r="AY48" s="6">
        <f t="shared" si="97"/>
        <v>0</v>
      </c>
    </row>
    <row r="49" spans="2:84">
      <c r="B49" t="s">
        <v>432</v>
      </c>
      <c r="D49" s="19"/>
      <c r="E49" s="19"/>
      <c r="F49" s="19">
        <v>2.2480000000000002</v>
      </c>
      <c r="G49" s="6">
        <f>+SUM(T49:W49)</f>
        <v>-5.5323632889294039E-2</v>
      </c>
      <c r="H49" s="6">
        <f t="shared" si="62"/>
        <v>-4.7243225448085173</v>
      </c>
      <c r="I49" s="6">
        <f t="shared" si="63"/>
        <v>24.400000000000002</v>
      </c>
      <c r="J49" s="6">
        <f t="shared" si="64"/>
        <v>53.8</v>
      </c>
      <c r="K49" s="6">
        <f t="shared" si="65"/>
        <v>10.299999999999999</v>
      </c>
      <c r="L49" s="6">
        <f t="shared" si="66"/>
        <v>-13.9</v>
      </c>
      <c r="M49" s="6">
        <f t="shared" si="67"/>
        <v>0</v>
      </c>
      <c r="N49" s="6">
        <f t="shared" si="68"/>
        <v>0</v>
      </c>
      <c r="T49" s="19">
        <v>-0.55033331448793299</v>
      </c>
      <c r="U49" s="19">
        <v>-0.12839004190236269</v>
      </c>
      <c r="V49" s="19">
        <v>0.63659236057228263</v>
      </c>
      <c r="W49" s="19">
        <v>-1.3192637071280992E-2</v>
      </c>
      <c r="X49" s="19">
        <v>-0.62094319611440896</v>
      </c>
      <c r="Y49" s="19">
        <v>-0.226025253126871</v>
      </c>
      <c r="Z49" s="110">
        <v>-9.5251004572191197E-2</v>
      </c>
      <c r="AA49" s="110">
        <v>-3.7821030909950459</v>
      </c>
      <c r="AB49" s="110">
        <v>14.7</v>
      </c>
      <c r="AC49" s="110">
        <v>13.3</v>
      </c>
      <c r="AD49" s="110">
        <v>13.2</v>
      </c>
      <c r="AE49" s="110">
        <f>-16.8</f>
        <v>-16.8</v>
      </c>
      <c r="AF49" s="110">
        <f>10.7</f>
        <v>10.7</v>
      </c>
      <c r="AG49" s="110">
        <f>7.1</f>
        <v>7.1</v>
      </c>
      <c r="AH49" s="110">
        <f>11.1</f>
        <v>11.1</v>
      </c>
      <c r="AI49" s="110">
        <v>24.9</v>
      </c>
      <c r="AJ49" s="110">
        <f>11.2</f>
        <v>11.2</v>
      </c>
      <c r="AK49" s="110">
        <f>17.4</f>
        <v>17.399999999999999</v>
      </c>
      <c r="AL49" s="110">
        <f>-3.9</f>
        <v>-3.9</v>
      </c>
      <c r="AM49" s="110">
        <f>-14.4</f>
        <v>-14.4</v>
      </c>
      <c r="AN49" s="110">
        <f>-10.8</f>
        <v>-10.8</v>
      </c>
      <c r="AO49" s="110">
        <v>-3.1</v>
      </c>
      <c r="AP49" s="19">
        <v>0</v>
      </c>
      <c r="AQ49" s="19">
        <v>0</v>
      </c>
      <c r="AR49" s="19">
        <v>0</v>
      </c>
      <c r="AS49" s="19">
        <v>0</v>
      </c>
      <c r="AT49" s="19">
        <v>0</v>
      </c>
      <c r="AU49" s="19">
        <v>0</v>
      </c>
      <c r="AV49" s="19">
        <v>0</v>
      </c>
      <c r="AW49" s="19">
        <v>0</v>
      </c>
      <c r="AX49" s="19">
        <v>0</v>
      </c>
      <c r="AY49" s="19">
        <v>0</v>
      </c>
    </row>
    <row r="50" spans="2:84">
      <c r="B50" t="s">
        <v>132</v>
      </c>
      <c r="D50" s="19"/>
      <c r="E50" s="19"/>
      <c r="F50" s="19"/>
      <c r="G50" s="6"/>
      <c r="H50" s="6"/>
      <c r="I50" s="6"/>
      <c r="J50" s="6"/>
      <c r="K50" s="6"/>
      <c r="L50" s="6"/>
      <c r="M50" s="6"/>
      <c r="N50" s="6"/>
      <c r="T50" s="19"/>
      <c r="U50" s="19"/>
      <c r="V50" s="19"/>
      <c r="W50" s="19"/>
      <c r="X50" s="19"/>
      <c r="Y50" s="19"/>
      <c r="Z50" s="110"/>
      <c r="AA50" s="110"/>
      <c r="AB50" s="110"/>
      <c r="AC50" s="110"/>
      <c r="AD50" s="110"/>
      <c r="AE50" s="110">
        <v>0.4</v>
      </c>
      <c r="AF50" s="110">
        <v>0.2</v>
      </c>
      <c r="AG50" s="110">
        <v>0.4</v>
      </c>
      <c r="AH50" s="110">
        <v>0.6</v>
      </c>
      <c r="AI50" s="110"/>
      <c r="AJ50" s="110">
        <v>0.3</v>
      </c>
      <c r="AK50" s="110">
        <v>0.2</v>
      </c>
      <c r="AL50" s="110">
        <v>0.2</v>
      </c>
      <c r="AM50" s="110">
        <v>0.5</v>
      </c>
      <c r="AN50" s="110">
        <v>0.1</v>
      </c>
      <c r="AO50" s="110">
        <v>0.2</v>
      </c>
      <c r="AP50" s="19"/>
      <c r="AQ50" s="19"/>
      <c r="AR50" s="19"/>
      <c r="AS50" s="19"/>
      <c r="AT50" s="19"/>
      <c r="AU50" s="19"/>
      <c r="AV50" s="19"/>
      <c r="AW50" s="19"/>
      <c r="AX50" s="19"/>
      <c r="AY50" s="19"/>
    </row>
    <row r="51" spans="2:84" s="42" customFormat="1">
      <c r="B51" s="42" t="s">
        <v>69</v>
      </c>
      <c r="D51" s="43">
        <f>SUM(D40:D49)</f>
        <v>72.854000000000013</v>
      </c>
      <c r="E51" s="43">
        <f>SUM(E40:E49)</f>
        <v>123.48999999999997</v>
      </c>
      <c r="F51" s="43">
        <f>SUM(F40:F49)</f>
        <v>187.78599999999994</v>
      </c>
      <c r="G51" s="43">
        <f>+SUM(T51:W51)</f>
        <v>554.42707600667359</v>
      </c>
      <c r="H51" s="43">
        <f t="shared" si="62"/>
        <v>653.61018672880209</v>
      </c>
      <c r="I51" s="43">
        <f t="shared" si="63"/>
        <v>782.60000000000014</v>
      </c>
      <c r="J51" s="43">
        <f t="shared" si="64"/>
        <v>934.9</v>
      </c>
      <c r="K51" s="43">
        <f>+SUM(AJ51:AM51)</f>
        <v>1116.8000000000002</v>
      </c>
      <c r="L51" s="43">
        <f ca="1">+SUM(AN51:AQ51)</f>
        <v>1304.4861798408563</v>
      </c>
      <c r="M51" s="43">
        <f t="shared" ca="1" si="67"/>
        <v>1370.016083933192</v>
      </c>
      <c r="N51" s="43">
        <f t="shared" ca="1" si="68"/>
        <v>1451.1599812439413</v>
      </c>
      <c r="T51" s="43">
        <f t="shared" ref="T51:AD51" si="101">SUM(T40:T50)</f>
        <v>125.6178835624993</v>
      </c>
      <c r="U51" s="43">
        <f t="shared" si="101"/>
        <v>139.37871740345793</v>
      </c>
      <c r="V51" s="43">
        <f t="shared" si="101"/>
        <v>147.59169075010976</v>
      </c>
      <c r="W51" s="43">
        <f t="shared" si="101"/>
        <v>141.83878429060655</v>
      </c>
      <c r="X51" s="43">
        <f t="shared" si="101"/>
        <v>155.60177105606058</v>
      </c>
      <c r="Y51" s="43">
        <f t="shared" si="101"/>
        <v>161.66567373765406</v>
      </c>
      <c r="Z51" s="117">
        <f t="shared" si="101"/>
        <v>165.22903738364963</v>
      </c>
      <c r="AA51" s="117">
        <f t="shared" si="101"/>
        <v>171.11370455143791</v>
      </c>
      <c r="AB51" s="117">
        <f t="shared" si="101"/>
        <v>182.99999999999997</v>
      </c>
      <c r="AC51" s="117">
        <f t="shared" si="101"/>
        <v>189.70000000000002</v>
      </c>
      <c r="AD51" s="117">
        <f t="shared" si="101"/>
        <v>199</v>
      </c>
      <c r="AE51" s="117">
        <f>SUM(AE40:AE50)</f>
        <v>210.90000000000003</v>
      </c>
      <c r="AF51" s="117">
        <f t="shared" ref="AF51:AY51" si="102">SUM(AF40:AF50)</f>
        <v>215.39999999999998</v>
      </c>
      <c r="AG51" s="117">
        <f t="shared" si="102"/>
        <v>218.90000000000006</v>
      </c>
      <c r="AH51" s="117">
        <f t="shared" si="102"/>
        <v>242.79999999999995</v>
      </c>
      <c r="AI51" s="117">
        <f t="shared" si="102"/>
        <v>257.79999999999995</v>
      </c>
      <c r="AJ51" s="117">
        <f t="shared" si="102"/>
        <v>260.60000000000002</v>
      </c>
      <c r="AK51" s="117">
        <f t="shared" si="102"/>
        <v>263.39999999999992</v>
      </c>
      <c r="AL51" s="117">
        <f t="shared" si="102"/>
        <v>282.00000000000006</v>
      </c>
      <c r="AM51" s="117">
        <f t="shared" si="102"/>
        <v>310.80000000000007</v>
      </c>
      <c r="AN51" s="117">
        <f t="shared" si="102"/>
        <v>316.60000000000002</v>
      </c>
      <c r="AO51" s="117">
        <f t="shared" ref="AO51" si="103">SUM(AO40:AO50)</f>
        <v>329.89999999999992</v>
      </c>
      <c r="AP51" s="43">
        <f t="shared" ca="1" si="102"/>
        <v>326.94871317149068</v>
      </c>
      <c r="AQ51" s="43">
        <f t="shared" ca="1" si="102"/>
        <v>331.03746666936564</v>
      </c>
      <c r="AR51" s="43">
        <f t="shared" ca="1" si="102"/>
        <v>335.40358115071263</v>
      </c>
      <c r="AS51" s="43">
        <f t="shared" ca="1" si="102"/>
        <v>340.01440528747918</v>
      </c>
      <c r="AT51" s="43">
        <f t="shared" ca="1" si="102"/>
        <v>344.82110276408577</v>
      </c>
      <c r="AU51" s="43">
        <f t="shared" ca="1" si="102"/>
        <v>349.77699473091468</v>
      </c>
      <c r="AV51" s="43">
        <f t="shared" ca="1" si="102"/>
        <v>354.87209374973708</v>
      </c>
      <c r="AW51" s="43">
        <f t="shared" ca="1" si="102"/>
        <v>360.09695091398476</v>
      </c>
      <c r="AX51" s="43">
        <f t="shared" ca="1" si="102"/>
        <v>365.4424473739632</v>
      </c>
      <c r="AY51" s="43">
        <f t="shared" ca="1" si="102"/>
        <v>370.74848920625618</v>
      </c>
      <c r="AZ51"/>
      <c r="CA51"/>
      <c r="CB51"/>
      <c r="CC51"/>
      <c r="CD51"/>
      <c r="CE51"/>
      <c r="CF51"/>
    </row>
    <row r="52" spans="2:84" s="42" customFormat="1">
      <c r="B52" s="151" t="s">
        <v>203</v>
      </c>
      <c r="D52" s="43"/>
      <c r="E52" s="43"/>
      <c r="F52" s="43"/>
      <c r="G52" s="35">
        <f>+G51/G5</f>
        <v>0.55201880217416988</v>
      </c>
      <c r="H52" s="35">
        <f t="shared" ref="H52:N52" si="104">+H51/H5</f>
        <v>0.58192452172755649</v>
      </c>
      <c r="I52" s="35">
        <f t="shared" si="104"/>
        <v>0.5809516739662981</v>
      </c>
      <c r="J52" s="35">
        <f t="shared" si="104"/>
        <v>0.5430098158796538</v>
      </c>
      <c r="K52" s="35">
        <f t="shared" si="104"/>
        <v>0.50768251659241759</v>
      </c>
      <c r="L52" s="35">
        <f t="shared" ca="1" si="104"/>
        <v>0.50025497115176965</v>
      </c>
      <c r="M52" s="35">
        <f t="shared" ca="1" si="104"/>
        <v>0.50926128441884289</v>
      </c>
      <c r="N52" s="35">
        <f t="shared" ca="1" si="104"/>
        <v>0.51872338565801102</v>
      </c>
      <c r="T52" s="35">
        <f t="shared" ref="T52:AY52" si="105">+T51/T5</f>
        <v>0.53226185226716738</v>
      </c>
      <c r="U52" s="35">
        <f t="shared" si="105"/>
        <v>0.55745954761243866</v>
      </c>
      <c r="V52" s="35">
        <f t="shared" si="105"/>
        <v>0.57528519472841266</v>
      </c>
      <c r="W52" s="35">
        <f t="shared" si="105"/>
        <v>0.54183218400155098</v>
      </c>
      <c r="X52" s="35">
        <f t="shared" si="105"/>
        <v>0.58049363657071262</v>
      </c>
      <c r="Y52" s="35">
        <f t="shared" si="105"/>
        <v>0.58368088746839331</v>
      </c>
      <c r="Z52" s="35">
        <f t="shared" si="105"/>
        <v>0.58718258158854686</v>
      </c>
      <c r="AA52" s="35">
        <f t="shared" si="105"/>
        <v>0.57659205375572098</v>
      </c>
      <c r="AB52" s="35">
        <f t="shared" si="105"/>
        <v>0.57080474111041779</v>
      </c>
      <c r="AC52" s="35">
        <f t="shared" ref="AC52:AH52" si="106">+AC51/AC5</f>
        <v>0.58567459092312446</v>
      </c>
      <c r="AD52" s="35">
        <f t="shared" si="106"/>
        <v>0.58409157616671559</v>
      </c>
      <c r="AE52" s="35">
        <f t="shared" si="106"/>
        <v>0.58275766786405092</v>
      </c>
      <c r="AF52" s="35">
        <f t="shared" si="106"/>
        <v>0.5872410032715375</v>
      </c>
      <c r="AG52" s="35">
        <f t="shared" si="106"/>
        <v>0.59226190476190488</v>
      </c>
      <c r="AH52" s="35">
        <f t="shared" si="106"/>
        <v>0.50794979079497904</v>
      </c>
      <c r="AI52" s="35">
        <f t="shared" ref="AI52:AN52" si="107">+AI51/AI5</f>
        <v>0.50818056376897291</v>
      </c>
      <c r="AJ52" s="35">
        <f t="shared" si="107"/>
        <v>0.51614181025945738</v>
      </c>
      <c r="AK52" s="35">
        <f t="shared" si="107"/>
        <v>0.51983422143280034</v>
      </c>
      <c r="AL52" s="35">
        <f t="shared" si="107"/>
        <v>0.51254089422028359</v>
      </c>
      <c r="AM52" s="35">
        <f t="shared" si="107"/>
        <v>0.4871473354231976</v>
      </c>
      <c r="AN52" s="35">
        <f t="shared" si="107"/>
        <v>0.49199689199689201</v>
      </c>
      <c r="AO52" s="35">
        <f t="shared" ref="AO52" si="108">+AO51/AO5</f>
        <v>0.50482019892884455</v>
      </c>
      <c r="AP52" s="35">
        <f t="shared" ca="1" si="105"/>
        <v>0.50083686733377109</v>
      </c>
      <c r="AQ52" s="35">
        <f t="shared" ca="1" si="105"/>
        <v>0.50322049386364887</v>
      </c>
      <c r="AR52" s="35">
        <f t="shared" ca="1" si="105"/>
        <v>0.50563422323882568</v>
      </c>
      <c r="AS52" s="35">
        <f t="shared" ca="1" si="105"/>
        <v>0.50803950291141131</v>
      </c>
      <c r="AT52" s="35">
        <f t="shared" ca="1" si="105"/>
        <v>0.51043613760677586</v>
      </c>
      <c r="AU52" s="35">
        <f t="shared" ca="1" si="105"/>
        <v>0.51282399379565646</v>
      </c>
      <c r="AV52" s="35">
        <f t="shared" ca="1" si="105"/>
        <v>0.5152027970324583</v>
      </c>
      <c r="AW52" s="35">
        <f t="shared" ca="1" si="105"/>
        <v>0.51757228519888143</v>
      </c>
      <c r="AX52" s="35">
        <f t="shared" ca="1" si="105"/>
        <v>0.51993220693461839</v>
      </c>
      <c r="AY52" s="35">
        <f t="shared" ca="1" si="105"/>
        <v>0.52206945216814848</v>
      </c>
      <c r="CA52"/>
      <c r="CB52"/>
      <c r="CC52"/>
      <c r="CD52"/>
      <c r="CE52"/>
      <c r="CF52"/>
    </row>
    <row r="53" spans="2:84" s="42" customFormat="1">
      <c r="B53" s="151"/>
      <c r="D53" s="43"/>
      <c r="E53" s="43"/>
      <c r="F53" s="43"/>
      <c r="G53" s="35"/>
      <c r="H53" s="35"/>
      <c r="I53" s="35"/>
      <c r="J53" s="35"/>
      <c r="K53" s="35"/>
      <c r="L53" s="35"/>
      <c r="M53" s="35"/>
      <c r="N53" s="35"/>
      <c r="T53" s="35"/>
      <c r="U53" s="35"/>
      <c r="V53" s="35"/>
      <c r="W53" s="35"/>
      <c r="X53" s="35"/>
      <c r="Y53" s="35"/>
      <c r="Z53" s="35"/>
      <c r="AA53" s="35"/>
      <c r="AB53" s="35"/>
      <c r="AC53" s="35"/>
      <c r="AD53" s="35"/>
      <c r="AE53" s="35"/>
      <c r="AF53" s="35"/>
      <c r="AG53" s="35"/>
      <c r="AH53" s="35"/>
      <c r="AI53" s="35"/>
      <c r="AJ53" s="35"/>
      <c r="AK53" s="35"/>
      <c r="AL53" s="35"/>
      <c r="AM53" s="35"/>
      <c r="AN53" s="35"/>
      <c r="AO53" s="35"/>
      <c r="AP53" s="35"/>
      <c r="AQ53" s="35"/>
      <c r="AR53" s="35"/>
      <c r="AS53" s="35"/>
      <c r="AT53" s="35"/>
      <c r="AU53" s="35"/>
      <c r="AV53" s="35"/>
      <c r="AW53" s="35"/>
      <c r="AX53" s="35"/>
      <c r="AY53" s="35"/>
      <c r="CA53"/>
      <c r="CB53"/>
      <c r="CC53"/>
      <c r="CD53"/>
      <c r="CE53"/>
      <c r="CF53"/>
    </row>
    <row r="54" spans="2:84" s="42" customFormat="1">
      <c r="B54" s="63" t="s">
        <v>397</v>
      </c>
      <c r="C54" s="63"/>
      <c r="D54" s="304"/>
      <c r="E54" s="304"/>
      <c r="F54" s="304"/>
      <c r="G54" s="305"/>
      <c r="H54" s="305"/>
      <c r="I54" s="305"/>
      <c r="J54" s="305"/>
      <c r="K54" s="305"/>
      <c r="L54" s="305"/>
      <c r="M54" s="305"/>
      <c r="N54" s="305"/>
      <c r="O54" s="63"/>
      <c r="P54" s="63"/>
      <c r="Q54" s="63"/>
      <c r="R54" s="63"/>
      <c r="S54" s="63"/>
      <c r="T54" s="305"/>
      <c r="U54" s="305"/>
      <c r="V54" s="305"/>
      <c r="W54" s="305"/>
      <c r="X54" s="305"/>
      <c r="Y54" s="305"/>
      <c r="Z54" s="305"/>
      <c r="AA54" s="305"/>
      <c r="AB54" s="305"/>
      <c r="AC54" s="305"/>
      <c r="AD54" s="305"/>
      <c r="AE54" s="305"/>
      <c r="AF54" s="305"/>
      <c r="AG54" s="305"/>
      <c r="AH54" s="304"/>
      <c r="AI54" s="304"/>
      <c r="AJ54" s="304"/>
      <c r="AK54" s="304"/>
      <c r="AL54" s="304"/>
      <c r="AM54" s="304"/>
      <c r="AN54" s="304"/>
      <c r="AO54" s="304"/>
      <c r="AP54" s="304"/>
      <c r="AQ54" s="304"/>
      <c r="AR54" s="304"/>
      <c r="AS54" s="304"/>
      <c r="AT54" s="304"/>
      <c r="AU54" s="304"/>
      <c r="AV54" s="304"/>
      <c r="AW54" s="304"/>
      <c r="AX54" s="304"/>
      <c r="AY54" s="304"/>
      <c r="CA54"/>
      <c r="CB54"/>
      <c r="CC54"/>
      <c r="CD54"/>
      <c r="CE54"/>
      <c r="CF54"/>
    </row>
    <row r="55" spans="2:84" s="42" customFormat="1">
      <c r="B55" s="63" t="s">
        <v>396</v>
      </c>
      <c r="C55" s="63"/>
      <c r="D55" s="304"/>
      <c r="E55" s="304"/>
      <c r="F55" s="304"/>
      <c r="G55" s="305"/>
      <c r="H55" s="305"/>
      <c r="I55" s="305"/>
      <c r="J55" s="305"/>
      <c r="K55" s="305"/>
      <c r="L55" s="305"/>
      <c r="M55" s="305"/>
      <c r="N55" s="305"/>
      <c r="O55" s="63"/>
      <c r="P55" s="63"/>
      <c r="Q55" s="63"/>
      <c r="R55" s="63"/>
      <c r="S55" s="63"/>
      <c r="T55" s="305"/>
      <c r="U55" s="305"/>
      <c r="V55" s="305"/>
      <c r="W55" s="305"/>
      <c r="X55" s="305"/>
      <c r="Y55" s="305"/>
      <c r="Z55" s="305"/>
      <c r="AA55" s="305"/>
      <c r="AB55" s="305"/>
      <c r="AC55" s="305"/>
      <c r="AD55" s="305"/>
      <c r="AE55" s="305"/>
      <c r="AF55" s="305"/>
      <c r="AG55" s="305"/>
      <c r="AH55" s="304"/>
      <c r="AI55" s="304"/>
      <c r="AJ55" s="304"/>
      <c r="AK55" s="304"/>
      <c r="AL55" s="304"/>
      <c r="AM55" s="304"/>
      <c r="AN55" s="304"/>
      <c r="AO55" s="304"/>
      <c r="AP55" s="304"/>
      <c r="AQ55" s="304"/>
      <c r="AR55" s="304"/>
      <c r="AS55" s="304"/>
      <c r="AT55" s="304"/>
      <c r="AU55" s="304"/>
      <c r="AV55" s="304"/>
      <c r="AW55" s="304"/>
      <c r="AX55" s="304"/>
      <c r="AY55" s="304"/>
      <c r="CA55"/>
      <c r="CB55"/>
      <c r="CC55"/>
      <c r="CD55"/>
      <c r="CE55"/>
      <c r="CF55"/>
    </row>
    <row r="56" spans="2:84" s="42" customFormat="1">
      <c r="B56" s="306" t="s">
        <v>203</v>
      </c>
      <c r="C56" s="307"/>
      <c r="D56" s="308"/>
      <c r="E56" s="308"/>
      <c r="F56" s="308"/>
      <c r="G56" s="305"/>
      <c r="H56" s="305"/>
      <c r="I56" s="305"/>
      <c r="J56" s="305"/>
      <c r="K56" s="305"/>
      <c r="L56" s="305"/>
      <c r="M56" s="305"/>
      <c r="N56" s="305"/>
      <c r="O56" s="307"/>
      <c r="P56" s="307"/>
      <c r="Q56" s="307"/>
      <c r="R56" s="307"/>
      <c r="S56" s="307"/>
      <c r="T56" s="305"/>
      <c r="U56" s="305"/>
      <c r="V56" s="305"/>
      <c r="W56" s="305"/>
      <c r="X56" s="305"/>
      <c r="Y56" s="305"/>
      <c r="Z56" s="305"/>
      <c r="AA56" s="305"/>
      <c r="AB56" s="305"/>
      <c r="AC56" s="305"/>
      <c r="AD56" s="305"/>
      <c r="AE56" s="305"/>
      <c r="AF56" s="305"/>
      <c r="AG56" s="305"/>
      <c r="AH56" s="305"/>
      <c r="AI56" s="305"/>
      <c r="AJ56" s="305"/>
      <c r="AK56" s="305"/>
      <c r="AL56" s="305"/>
      <c r="AM56" s="305"/>
      <c r="AN56" s="305"/>
      <c r="AO56" s="305"/>
      <c r="AP56" s="305"/>
      <c r="AQ56" s="305"/>
      <c r="AR56" s="305"/>
      <c r="AS56" s="305"/>
      <c r="AT56" s="305"/>
      <c r="AU56" s="305"/>
      <c r="AV56" s="305"/>
      <c r="AW56" s="305"/>
      <c r="AX56" s="305"/>
      <c r="AY56" s="305"/>
      <c r="CA56"/>
      <c r="CB56"/>
      <c r="CC56"/>
      <c r="CD56"/>
      <c r="CE56"/>
      <c r="CF56"/>
    </row>
    <row r="57" spans="2:84">
      <c r="I57" s="35"/>
      <c r="AA57" s="15"/>
      <c r="AB57" s="15"/>
      <c r="AC57" s="15"/>
      <c r="AD57" s="15"/>
      <c r="AE57" s="15"/>
      <c r="AF57" s="15"/>
      <c r="AG57" s="15"/>
      <c r="AH57" s="15"/>
      <c r="AI57" s="15"/>
      <c r="AJ57" s="15"/>
      <c r="AK57" s="15"/>
      <c r="AL57" s="15"/>
      <c r="AM57" s="15"/>
      <c r="AN57" s="15"/>
      <c r="AO57" s="15"/>
    </row>
    <row r="58" spans="2:84" s="14" customFormat="1">
      <c r="B58" s="13" t="s">
        <v>2</v>
      </c>
      <c r="C58" s="13"/>
      <c r="D58" s="52">
        <f t="shared" ref="D58:N58" si="109">D2</f>
        <v>40359</v>
      </c>
      <c r="E58" s="52">
        <f t="shared" si="109"/>
        <v>40724</v>
      </c>
      <c r="F58" s="52">
        <f t="shared" si="109"/>
        <v>41090</v>
      </c>
      <c r="G58" s="52">
        <f t="shared" si="109"/>
        <v>41455</v>
      </c>
      <c r="H58" s="52">
        <f t="shared" si="109"/>
        <v>41820</v>
      </c>
      <c r="I58" s="52">
        <f t="shared" si="109"/>
        <v>42185</v>
      </c>
      <c r="J58" s="52">
        <f t="shared" si="109"/>
        <v>42551</v>
      </c>
      <c r="K58" s="52">
        <f t="shared" si="109"/>
        <v>42916</v>
      </c>
      <c r="L58" s="52">
        <f t="shared" si="109"/>
        <v>43281</v>
      </c>
      <c r="M58" s="52">
        <f t="shared" si="109"/>
        <v>43646</v>
      </c>
      <c r="N58" s="52">
        <f t="shared" si="109"/>
        <v>44012</v>
      </c>
      <c r="O58" s="13"/>
      <c r="P58" s="13"/>
      <c r="Q58" s="13"/>
      <c r="R58" s="13"/>
      <c r="S58" s="13"/>
      <c r="T58" s="52">
        <f t="shared" ref="T58:AD58" si="110">T2</f>
        <v>41182</v>
      </c>
      <c r="U58" s="52">
        <f t="shared" si="110"/>
        <v>41274</v>
      </c>
      <c r="V58" s="52">
        <f t="shared" si="110"/>
        <v>41364</v>
      </c>
      <c r="W58" s="52">
        <f t="shared" si="110"/>
        <v>41455</v>
      </c>
      <c r="X58" s="52">
        <f t="shared" si="110"/>
        <v>41547</v>
      </c>
      <c r="Y58" s="52">
        <f t="shared" si="110"/>
        <v>41639</v>
      </c>
      <c r="Z58" s="52">
        <f t="shared" si="110"/>
        <v>41729</v>
      </c>
      <c r="AA58" s="52">
        <f t="shared" si="110"/>
        <v>41820</v>
      </c>
      <c r="AB58" s="52">
        <f t="shared" si="110"/>
        <v>41912</v>
      </c>
      <c r="AC58" s="52">
        <f t="shared" si="110"/>
        <v>42004</v>
      </c>
      <c r="AD58" s="52">
        <f t="shared" si="110"/>
        <v>42094</v>
      </c>
      <c r="AE58" s="52">
        <f t="shared" ref="AE58:AJ59" si="111">AE2</f>
        <v>42185</v>
      </c>
      <c r="AF58" s="52">
        <f t="shared" si="111"/>
        <v>42277</v>
      </c>
      <c r="AG58" s="52">
        <f t="shared" si="111"/>
        <v>42369</v>
      </c>
      <c r="AH58" s="52">
        <f t="shared" si="111"/>
        <v>42460</v>
      </c>
      <c r="AI58" s="52">
        <f t="shared" si="111"/>
        <v>42551</v>
      </c>
      <c r="AJ58" s="52">
        <f t="shared" si="111"/>
        <v>42643</v>
      </c>
      <c r="AK58" s="52">
        <f t="shared" ref="AK58:AL58" si="112">AK2</f>
        <v>42735</v>
      </c>
      <c r="AL58" s="52">
        <f t="shared" si="112"/>
        <v>42825</v>
      </c>
      <c r="AM58" s="52">
        <f t="shared" ref="AM58" si="113">AM2</f>
        <v>42916</v>
      </c>
      <c r="AN58" s="52">
        <f t="shared" ref="AN58:AO58" si="114">AN2</f>
        <v>43008</v>
      </c>
      <c r="AO58" s="52">
        <f t="shared" si="114"/>
        <v>43100</v>
      </c>
      <c r="AP58" s="52">
        <f t="shared" ref="AP58:AY58" si="115">AP2</f>
        <v>43190</v>
      </c>
      <c r="AQ58" s="52">
        <f t="shared" si="115"/>
        <v>43281</v>
      </c>
      <c r="AR58" s="52">
        <f t="shared" si="115"/>
        <v>43373</v>
      </c>
      <c r="AS58" s="52">
        <f t="shared" si="115"/>
        <v>43465</v>
      </c>
      <c r="AT58" s="52">
        <f t="shared" si="115"/>
        <v>43555</v>
      </c>
      <c r="AU58" s="52">
        <f t="shared" si="115"/>
        <v>43646</v>
      </c>
      <c r="AV58" s="52">
        <f t="shared" si="115"/>
        <v>43738</v>
      </c>
      <c r="AW58" s="52">
        <f t="shared" si="115"/>
        <v>43830</v>
      </c>
      <c r="AX58" s="52">
        <f t="shared" si="115"/>
        <v>43921</v>
      </c>
      <c r="AY58" s="52">
        <f t="shared" si="115"/>
        <v>44012</v>
      </c>
      <c r="CA58"/>
      <c r="CB58"/>
      <c r="CC58"/>
      <c r="CD58"/>
      <c r="CE58"/>
      <c r="CF58"/>
    </row>
    <row r="59" spans="2:84" s="16" customFormat="1">
      <c r="B59" s="15" t="s">
        <v>1</v>
      </c>
      <c r="C59" s="15"/>
      <c r="D59" s="136">
        <f t="shared" ref="D59:N59" si="116">D3</f>
        <v>2010</v>
      </c>
      <c r="E59" s="136">
        <f t="shared" si="116"/>
        <v>2011</v>
      </c>
      <c r="F59" s="136">
        <f t="shared" si="116"/>
        <v>2012</v>
      </c>
      <c r="G59" s="136">
        <f t="shared" si="116"/>
        <v>2013</v>
      </c>
      <c r="H59" s="136">
        <f t="shared" si="116"/>
        <v>2014</v>
      </c>
      <c r="I59" s="54">
        <f t="shared" si="116"/>
        <v>2015</v>
      </c>
      <c r="J59" s="54">
        <f t="shared" si="116"/>
        <v>2016</v>
      </c>
      <c r="K59" s="137">
        <f t="shared" si="116"/>
        <v>2017</v>
      </c>
      <c r="L59" s="137" t="str">
        <f t="shared" si="116"/>
        <v>2018E</v>
      </c>
      <c r="M59" s="137" t="str">
        <f t="shared" si="116"/>
        <v>2019E</v>
      </c>
      <c r="N59" s="137" t="str">
        <f t="shared" si="116"/>
        <v>2020E</v>
      </c>
      <c r="O59" s="15"/>
      <c r="P59" s="15"/>
      <c r="Q59" s="15"/>
      <c r="R59" s="15"/>
      <c r="S59" s="15"/>
      <c r="T59" s="137" t="str">
        <f t="shared" ref="T59:AD59" si="117">T3</f>
        <v>1Q13</v>
      </c>
      <c r="U59" s="137" t="str">
        <f t="shared" si="117"/>
        <v>2Q13</v>
      </c>
      <c r="V59" s="137" t="str">
        <f t="shared" si="117"/>
        <v>3Q13</v>
      </c>
      <c r="W59" s="137" t="str">
        <f t="shared" si="117"/>
        <v>4Q13</v>
      </c>
      <c r="X59" s="137" t="str">
        <f t="shared" si="117"/>
        <v>1Q14</v>
      </c>
      <c r="Y59" s="137" t="str">
        <f t="shared" si="117"/>
        <v>2Q14</v>
      </c>
      <c r="Z59" s="137" t="str">
        <f t="shared" si="117"/>
        <v>3Q14</v>
      </c>
      <c r="AA59" s="135" t="str">
        <f t="shared" si="117"/>
        <v>4Q14</v>
      </c>
      <c r="AB59" s="135" t="str">
        <f t="shared" si="117"/>
        <v>1Q15</v>
      </c>
      <c r="AC59" s="135" t="str">
        <f t="shared" si="117"/>
        <v>2Q15</v>
      </c>
      <c r="AD59" s="135" t="str">
        <f t="shared" si="117"/>
        <v>3Q15</v>
      </c>
      <c r="AE59" s="135" t="str">
        <f t="shared" si="111"/>
        <v>4Q15</v>
      </c>
      <c r="AF59" s="135" t="str">
        <f t="shared" si="111"/>
        <v>1Q16</v>
      </c>
      <c r="AG59" s="135" t="str">
        <f t="shared" si="111"/>
        <v>2Q16</v>
      </c>
      <c r="AH59" s="135" t="str">
        <f t="shared" si="111"/>
        <v>3Q16</v>
      </c>
      <c r="AI59" s="135" t="str">
        <f t="shared" si="111"/>
        <v>4Q16</v>
      </c>
      <c r="AJ59" s="135" t="str">
        <f t="shared" si="111"/>
        <v>1Q17</v>
      </c>
      <c r="AK59" s="135" t="str">
        <f t="shared" ref="AK59:AL59" si="118">AK3</f>
        <v>2Q17</v>
      </c>
      <c r="AL59" s="135" t="str">
        <f t="shared" si="118"/>
        <v>3Q17</v>
      </c>
      <c r="AM59" s="135" t="str">
        <f t="shared" ref="AM59" si="119">AM3</f>
        <v>4Q17</v>
      </c>
      <c r="AN59" s="135" t="str">
        <f t="shared" ref="AN59:AO59" si="120">AN3</f>
        <v>1Q18</v>
      </c>
      <c r="AO59" s="135" t="str">
        <f t="shared" si="120"/>
        <v>2Q18</v>
      </c>
      <c r="AP59" s="135" t="str">
        <f t="shared" ref="AP59:AY59" si="121">AP3</f>
        <v>3Q18E</v>
      </c>
      <c r="AQ59" s="135" t="str">
        <f t="shared" si="121"/>
        <v>4Q18E</v>
      </c>
      <c r="AR59" s="135" t="str">
        <f t="shared" si="121"/>
        <v>1Q19E</v>
      </c>
      <c r="AS59" s="135" t="str">
        <f t="shared" si="121"/>
        <v>2Q19E</v>
      </c>
      <c r="AT59" s="135" t="str">
        <f t="shared" si="121"/>
        <v>3Q19E</v>
      </c>
      <c r="AU59" s="135" t="str">
        <f t="shared" si="121"/>
        <v>4Q19E</v>
      </c>
      <c r="AV59" s="135" t="str">
        <f t="shared" si="121"/>
        <v>1Q20E</v>
      </c>
      <c r="AW59" s="135" t="str">
        <f t="shared" si="121"/>
        <v>2Q20E</v>
      </c>
      <c r="AX59" s="135" t="str">
        <f t="shared" si="121"/>
        <v>3Q20E</v>
      </c>
      <c r="AY59" s="135" t="str">
        <f t="shared" si="121"/>
        <v>4Q20E</v>
      </c>
      <c r="CA59"/>
      <c r="CB59"/>
      <c r="CC59"/>
      <c r="CD59"/>
      <c r="CE59"/>
      <c r="CF59"/>
    </row>
    <row r="60" spans="2:84" s="13" customFormat="1">
      <c r="AA60" s="83"/>
      <c r="AB60" s="83"/>
      <c r="AC60" s="83"/>
      <c r="AD60" s="83"/>
      <c r="AE60" s="83"/>
      <c r="AF60" s="83"/>
      <c r="AG60" s="83"/>
      <c r="AH60" s="83"/>
      <c r="AI60" s="83"/>
      <c r="AJ60" s="83"/>
      <c r="AK60" s="83"/>
      <c r="AL60" s="83"/>
      <c r="AM60" s="83"/>
      <c r="AN60" s="83"/>
      <c r="AO60" s="83"/>
      <c r="CA60"/>
      <c r="CB60"/>
      <c r="CC60"/>
      <c r="CD60"/>
      <c r="CE60"/>
      <c r="CF60"/>
    </row>
    <row r="61" spans="2:84">
      <c r="B61" s="45" t="s">
        <v>79</v>
      </c>
      <c r="AA61" s="15"/>
      <c r="AB61" s="15"/>
      <c r="AC61" s="15"/>
      <c r="AD61" s="15"/>
      <c r="AE61" s="15"/>
      <c r="AF61" s="15"/>
      <c r="AG61" s="15"/>
      <c r="AH61" s="15"/>
      <c r="AI61" s="15"/>
      <c r="AJ61" s="15"/>
      <c r="AK61" s="15"/>
      <c r="AL61" s="15"/>
      <c r="AM61" s="15"/>
      <c r="AN61" s="15"/>
      <c r="AO61" s="15"/>
    </row>
    <row r="62" spans="2:84">
      <c r="B62" t="s">
        <v>406</v>
      </c>
      <c r="D62" s="6"/>
      <c r="E62" s="6"/>
      <c r="F62" s="6"/>
      <c r="G62" s="6">
        <f>+SUM(T62:W62)</f>
        <v>0</v>
      </c>
      <c r="H62" s="6">
        <f>+SUM(X62:AA62)</f>
        <v>0</v>
      </c>
      <c r="I62" s="6"/>
      <c r="J62" s="6"/>
      <c r="K62" s="6">
        <f>+SUM(AJ62:AM62)</f>
        <v>370.5</v>
      </c>
      <c r="L62" s="6">
        <f ca="1">+SUM(AN62:AQ62)</f>
        <v>808.90814860736361</v>
      </c>
      <c r="M62" s="6">
        <f ca="1">+SUM(AR62:AU62)</f>
        <v>889.56697589129101</v>
      </c>
      <c r="N62" s="6">
        <f ca="1">+SUM(AV62:AY62)</f>
        <v>976.29295301973787</v>
      </c>
      <c r="T62" s="41"/>
      <c r="U62" s="41"/>
      <c r="V62" s="41"/>
      <c r="W62" s="41"/>
      <c r="X62" s="41"/>
      <c r="Y62" s="41"/>
      <c r="Z62" s="82"/>
      <c r="AA62" s="82"/>
      <c r="AB62" s="82"/>
      <c r="AC62" s="82"/>
      <c r="AD62" s="82"/>
      <c r="AE62" s="82"/>
      <c r="AF62" s="82"/>
      <c r="AG62" s="82"/>
      <c r="AH62" s="82"/>
      <c r="AI62" s="82"/>
      <c r="AJ62" s="82"/>
      <c r="AK62" s="82"/>
      <c r="AL62" s="82">
        <f>Rev!AL82</f>
        <v>179.6</v>
      </c>
      <c r="AM62" s="82">
        <f>Rev!AM82</f>
        <v>190.9</v>
      </c>
      <c r="AN62" s="82">
        <f>Rev!AN82</f>
        <v>195.5</v>
      </c>
      <c r="AO62" s="82">
        <f>Rev!AO82</f>
        <v>200.5</v>
      </c>
      <c r="AP62" s="41">
        <f ca="1">Rev!AP82</f>
        <v>203.14489823122202</v>
      </c>
      <c r="AQ62" s="41">
        <f ca="1">Rev!AQ82</f>
        <v>209.7632503761416</v>
      </c>
      <c r="AR62" s="41">
        <f ca="1">Rev!AR82</f>
        <v>214.68740416370065</v>
      </c>
      <c r="AS62" s="41">
        <f ca="1">Rev!AS82</f>
        <v>219.73995293510205</v>
      </c>
      <c r="AT62" s="41">
        <f ca="1">Rev!AT82</f>
        <v>224.9186169319654</v>
      </c>
      <c r="AU62" s="41">
        <f ca="1">Rev!AU82</f>
        <v>230.22100186052299</v>
      </c>
      <c r="AV62" s="41">
        <f ca="1">Rev!AV82</f>
        <v>235.64461009732483</v>
      </c>
      <c r="AW62" s="41">
        <f ca="1">Rev!AW82</f>
        <v>241.18685043694808</v>
      </c>
      <c r="AX62" s="41">
        <f ca="1">Rev!AX82</f>
        <v>246.84504673989963</v>
      </c>
      <c r="AY62" s="41">
        <f ca="1">Rev!AY82</f>
        <v>252.61644574556533</v>
      </c>
    </row>
    <row r="63" spans="2:84">
      <c r="B63" t="s">
        <v>407</v>
      </c>
      <c r="D63" s="6"/>
      <c r="E63" s="6"/>
      <c r="F63" s="6"/>
      <c r="G63" s="6">
        <f>+SUM(T63:W63)</f>
        <v>0</v>
      </c>
      <c r="H63" s="6">
        <f>+SUM(X63:AA63)</f>
        <v>0</v>
      </c>
      <c r="I63" s="6"/>
      <c r="J63" s="6"/>
      <c r="K63" s="6">
        <f>+SUM(AJ63:AM63)</f>
        <v>110.30000000000001</v>
      </c>
      <c r="L63" s="6">
        <f ca="1">+SUM(AN63:AQ63)</f>
        <v>241.45193531810386</v>
      </c>
      <c r="M63" s="6">
        <f ca="1">+SUM(AR63:AU63)</f>
        <v>262.51983174127736</v>
      </c>
      <c r="N63" s="6">
        <f ca="1">+SUM(AV63:AY63)</f>
        <v>285.99361677124421</v>
      </c>
      <c r="T63" s="41"/>
      <c r="U63" s="41"/>
      <c r="V63" s="41"/>
      <c r="W63" s="41"/>
      <c r="X63" s="41"/>
      <c r="Y63" s="41"/>
      <c r="Z63" s="82"/>
      <c r="AA63" s="82"/>
      <c r="AB63" s="82"/>
      <c r="AC63" s="82"/>
      <c r="AD63" s="82"/>
      <c r="AE63" s="82"/>
      <c r="AF63" s="82"/>
      <c r="AG63" s="82"/>
      <c r="AH63" s="82"/>
      <c r="AI63" s="82"/>
      <c r="AJ63" s="82"/>
      <c r="AK63" s="82"/>
      <c r="AL63" s="82">
        <f>Rev!AL128</f>
        <v>53.6</v>
      </c>
      <c r="AM63" s="82">
        <f>Rev!AM128</f>
        <v>56.7</v>
      </c>
      <c r="AN63" s="82">
        <f>Rev!AN128</f>
        <v>58.4</v>
      </c>
      <c r="AO63" s="82">
        <f>Rev!AO128</f>
        <v>59.9</v>
      </c>
      <c r="AP63" s="41">
        <f ca="1">Rev!AP128</f>
        <v>60.92210385555483</v>
      </c>
      <c r="AQ63" s="41">
        <f ca="1">Rev!AQ128</f>
        <v>62.229831462549043</v>
      </c>
      <c r="AR63" s="41">
        <f ca="1">Rev!AR128</f>
        <v>63.556887548144353</v>
      </c>
      <c r="AS63" s="41">
        <f ca="1">Rev!AS128</f>
        <v>64.914855476672813</v>
      </c>
      <c r="AT63" s="41">
        <f ca="1">Rev!AT128</f>
        <v>66.308561121931916</v>
      </c>
      <c r="AU63" s="41">
        <f ca="1">Rev!AU128</f>
        <v>67.739527594528283</v>
      </c>
      <c r="AV63" s="41">
        <f ca="1">Rev!AV128</f>
        <v>69.207632702158662</v>
      </c>
      <c r="AW63" s="41">
        <f ca="1">Rev!AW128</f>
        <v>70.711913033925981</v>
      </c>
      <c r="AX63" s="41">
        <f ca="1">Rev!AX128</f>
        <v>72.250959007980413</v>
      </c>
      <c r="AY63" s="41">
        <f ca="1">Rev!AY128</f>
        <v>73.823112027179178</v>
      </c>
    </row>
    <row r="64" spans="2:84">
      <c r="B64" t="s">
        <v>408</v>
      </c>
      <c r="D64" s="6"/>
      <c r="E64" s="6"/>
      <c r="F64" s="6"/>
      <c r="G64" s="6"/>
      <c r="H64" s="6"/>
      <c r="I64" s="6"/>
      <c r="J64" s="6"/>
      <c r="K64" s="6"/>
      <c r="L64" s="6"/>
      <c r="M64" s="6"/>
      <c r="N64" s="6"/>
      <c r="T64" s="82"/>
      <c r="U64" s="82"/>
      <c r="V64" s="82"/>
      <c r="W64" s="82"/>
      <c r="X64" s="82"/>
      <c r="Y64" s="82"/>
      <c r="Z64" s="82"/>
      <c r="AA64" s="82"/>
      <c r="AB64" s="82"/>
      <c r="AC64" s="82"/>
      <c r="AD64" s="82"/>
      <c r="AE64" s="82"/>
      <c r="AF64" s="82"/>
      <c r="AG64" s="82"/>
      <c r="AH64" s="82"/>
      <c r="AI64" s="82"/>
      <c r="AJ64" s="82"/>
      <c r="AK64" s="82"/>
      <c r="AL64" s="82">
        <f>+Rev!AL174</f>
        <v>110.5</v>
      </c>
      <c r="AM64" s="82">
        <f>+Rev!AM174</f>
        <v>117.4</v>
      </c>
      <c r="AN64" s="82">
        <f>+Rev!AN174</f>
        <v>119.1</v>
      </c>
      <c r="AO64" s="82">
        <f>+Rev!AO174</f>
        <v>117.3</v>
      </c>
      <c r="AP64" s="82">
        <f ca="1">+Rev!AP174</f>
        <v>119.44471339235969</v>
      </c>
      <c r="AQ64" s="82">
        <f ca="1">+Rev!AQ174</f>
        <v>119.61445744275919</v>
      </c>
      <c r="AR64" s="82">
        <f ca="1">+Rev!AR174</f>
        <v>119.86541192617626</v>
      </c>
      <c r="AS64" s="82">
        <f ca="1">+Rev!AS174</f>
        <v>120.19316838505046</v>
      </c>
      <c r="AT64" s="82">
        <f ca="1">+Rev!AT174</f>
        <v>120.55138562504385</v>
      </c>
      <c r="AU64" s="82">
        <f ca="1">+Rev!AU174</f>
        <v>120.90248522748608</v>
      </c>
      <c r="AV64" s="82">
        <f ca="1">+Rev!AV174</f>
        <v>121.2417919269561</v>
      </c>
      <c r="AW64" s="82">
        <f ca="1">+Rev!AW174</f>
        <v>121.56432144897782</v>
      </c>
      <c r="AX64" s="82">
        <f ca="1">+Rev!AX174</f>
        <v>121.86498450720332</v>
      </c>
      <c r="AY64" s="82">
        <f ca="1">+Rev!AY174</f>
        <v>122.13871515809832</v>
      </c>
    </row>
    <row r="65" spans="1:84">
      <c r="B65" t="s">
        <v>409</v>
      </c>
      <c r="D65" s="6"/>
      <c r="E65" s="6"/>
      <c r="F65" s="6"/>
      <c r="G65" s="6">
        <f>+SUM(T65:W65)</f>
        <v>0</v>
      </c>
      <c r="H65" s="6">
        <f>+SUM(X65:AA65)</f>
        <v>0</v>
      </c>
      <c r="I65" s="6"/>
      <c r="J65" s="6"/>
      <c r="K65" s="6">
        <f>+SUM(AJ65:AM65)</f>
        <v>258.3</v>
      </c>
      <c r="L65" s="6">
        <f ca="1">+SUM(AN65:AQ65)</f>
        <v>558.32464904144661</v>
      </c>
      <c r="M65" s="6">
        <f ca="1">+SUM(AR65:AU65)</f>
        <v>544.0209001247149</v>
      </c>
      <c r="N65" s="6">
        <f ca="1">+SUM(AV65:AY65)</f>
        <v>543.36239484145835</v>
      </c>
      <c r="T65" s="41"/>
      <c r="U65" s="41"/>
      <c r="V65" s="41"/>
      <c r="W65" s="41"/>
      <c r="X65" s="41"/>
      <c r="Y65" s="41"/>
      <c r="Z65" s="82"/>
      <c r="AA65" s="82"/>
      <c r="AB65" s="82"/>
      <c r="AC65" s="82"/>
      <c r="AD65" s="82"/>
      <c r="AE65" s="82"/>
      <c r="AF65" s="82"/>
      <c r="AG65" s="82"/>
      <c r="AH65" s="82"/>
      <c r="AI65" s="82"/>
      <c r="AJ65" s="82"/>
      <c r="AK65" s="82"/>
      <c r="AL65" s="82">
        <f>Rev!AL220</f>
        <v>121.7</v>
      </c>
      <c r="AM65" s="82">
        <f>Rev!AM220</f>
        <v>136.6</v>
      </c>
      <c r="AN65" s="82">
        <f>Rev!AN220</f>
        <v>137.69999999999999</v>
      </c>
      <c r="AO65" s="82">
        <f>Rev!AO220</f>
        <v>145.9</v>
      </c>
      <c r="AP65" s="41">
        <f ca="1">Rev!AP220</f>
        <v>137.77920314101951</v>
      </c>
      <c r="AQ65" s="41">
        <f ca="1">Rev!AQ220</f>
        <v>136.94544590042713</v>
      </c>
      <c r="AR65" s="41">
        <f ca="1">Rev!AR220</f>
        <v>136.38082178804112</v>
      </c>
      <c r="AS65" s="41">
        <f ca="1">Rev!AS220</f>
        <v>136.04084543801477</v>
      </c>
      <c r="AT65" s="41">
        <f ca="1">Rev!AT220</f>
        <v>135.84948093032287</v>
      </c>
      <c r="AU65" s="41">
        <f ca="1">Rev!AU220</f>
        <v>135.74975196833617</v>
      </c>
      <c r="AV65" s="41">
        <f ca="1">Rev!AV220</f>
        <v>135.72673898845346</v>
      </c>
      <c r="AW65" s="41">
        <f ca="1">Rev!AW220</f>
        <v>135.76823821845551</v>
      </c>
      <c r="AX65" s="41">
        <f ca="1">Rev!AX220</f>
        <v>135.86371808334965</v>
      </c>
      <c r="AY65" s="41">
        <f ca="1">Rev!AY220</f>
        <v>136.0036995511997</v>
      </c>
    </row>
    <row r="66" spans="1:84">
      <c r="B66" t="s">
        <v>132</v>
      </c>
      <c r="D66" s="6"/>
      <c r="E66" s="6"/>
      <c r="F66" s="6"/>
      <c r="G66" s="6"/>
      <c r="H66" s="6"/>
      <c r="I66" s="6"/>
      <c r="J66" s="6"/>
      <c r="K66" s="6"/>
      <c r="L66" s="6"/>
      <c r="M66" s="6"/>
      <c r="N66" s="6"/>
      <c r="T66" s="41"/>
      <c r="U66" s="41"/>
      <c r="V66" s="41"/>
      <c r="W66" s="41"/>
      <c r="X66" s="41"/>
      <c r="Y66" s="41"/>
      <c r="Z66" s="82"/>
      <c r="AA66" s="82"/>
      <c r="AB66" s="82"/>
      <c r="AC66" s="82"/>
      <c r="AD66" s="82"/>
      <c r="AE66" s="82"/>
      <c r="AF66" s="82"/>
      <c r="AG66" s="82"/>
      <c r="AH66" s="82"/>
      <c r="AI66" s="82"/>
      <c r="AJ66" s="82"/>
      <c r="AK66" s="82"/>
      <c r="AL66" s="82">
        <f>Rev!AL265</f>
        <v>5.5</v>
      </c>
      <c r="AM66" s="82">
        <f>Rev!AM265</f>
        <v>7.5</v>
      </c>
      <c r="AN66" s="82">
        <f>Rev!AN265</f>
        <v>5.0999999999999996</v>
      </c>
      <c r="AO66" s="82">
        <f>Rev!AO265</f>
        <v>6.4</v>
      </c>
      <c r="AP66" s="41">
        <f>Rev!AP265</f>
        <v>6.8213856907120078</v>
      </c>
      <c r="AQ66" s="41">
        <f>Rev!AQ265</f>
        <v>7.0167354083924884</v>
      </c>
      <c r="AR66" s="41">
        <f>Rev!AR265</f>
        <v>7.185163758126949</v>
      </c>
      <c r="AS66" s="41">
        <f>Rev!AS265</f>
        <v>7.3303665377908853</v>
      </c>
      <c r="AT66" s="41">
        <f>Rev!AT265</f>
        <v>7.4708391786600838</v>
      </c>
      <c r="AU66" s="41">
        <f>Rev!AU265</f>
        <v>7.606738409331971</v>
      </c>
      <c r="AV66" s="41">
        <f>Rev!AV265</f>
        <v>7.738216682803003</v>
      </c>
      <c r="AW66" s="41">
        <f>Rev!AW265</f>
        <v>7.8654222909168947</v>
      </c>
      <c r="AX66" s="41">
        <f>Rev!AX265</f>
        <v>7.9884994758602303</v>
      </c>
      <c r="AY66" s="41">
        <f>Rev!AY265</f>
        <v>8.1075885387808917</v>
      </c>
    </row>
    <row r="67" spans="1:84" s="3" customFormat="1">
      <c r="B67" s="3" t="s">
        <v>410</v>
      </c>
      <c r="D67" s="40"/>
      <c r="E67" s="40"/>
      <c r="F67" s="40"/>
      <c r="G67" s="40"/>
      <c r="H67" s="40"/>
      <c r="I67" s="40"/>
      <c r="J67" s="40"/>
      <c r="K67" s="40"/>
      <c r="L67" s="40"/>
      <c r="M67" s="40"/>
      <c r="N67" s="40"/>
      <c r="T67" s="62"/>
      <c r="U67" s="62"/>
      <c r="V67" s="62"/>
      <c r="W67" s="62"/>
      <c r="X67" s="62"/>
      <c r="Y67" s="62"/>
      <c r="Z67" s="108"/>
      <c r="AA67" s="108"/>
      <c r="AB67" s="108"/>
      <c r="AC67" s="108"/>
      <c r="AD67" s="108"/>
      <c r="AE67" s="108"/>
      <c r="AF67" s="108"/>
      <c r="AG67" s="108"/>
      <c r="AH67" s="299"/>
      <c r="AI67" s="62"/>
      <c r="AJ67" s="62"/>
      <c r="AK67" s="62"/>
      <c r="AL67" s="62">
        <f>Rev!AL276</f>
        <v>79.3</v>
      </c>
      <c r="AM67" s="62">
        <f>Rev!AM276</f>
        <v>128.9</v>
      </c>
      <c r="AN67" s="62">
        <f>Rev!AN276</f>
        <v>127.7</v>
      </c>
      <c r="AO67" s="62">
        <f>Rev!AO276</f>
        <v>123.5</v>
      </c>
      <c r="AP67" s="62">
        <f>Rev!AP276</f>
        <v>122.88249999999999</v>
      </c>
      <c r="AQ67" s="62">
        <f>Rev!AQ276</f>
        <v>122.26808749999999</v>
      </c>
      <c r="AR67" s="62">
        <f>Rev!AR276</f>
        <v>121.65674706249999</v>
      </c>
      <c r="AS67" s="62">
        <f>Rev!AS276</f>
        <v>121.04846332718749</v>
      </c>
      <c r="AT67" s="62">
        <f>Rev!AT276</f>
        <v>120.44322101055155</v>
      </c>
      <c r="AU67" s="62">
        <f>Rev!AU276</f>
        <v>119.84100490549879</v>
      </c>
      <c r="AV67" s="62">
        <f>Rev!AV276</f>
        <v>119.2417998809713</v>
      </c>
      <c r="AW67" s="62">
        <f>Rev!AW276</f>
        <v>118.64559088156645</v>
      </c>
      <c r="AX67" s="62">
        <f>Rev!AX276</f>
        <v>118.05236292715861</v>
      </c>
      <c r="AY67" s="62">
        <f>Rev!AY276</f>
        <v>117.46210111252282</v>
      </c>
      <c r="CA67"/>
      <c r="CB67"/>
      <c r="CC67"/>
      <c r="CD67"/>
      <c r="CE67"/>
      <c r="CF67"/>
    </row>
    <row r="68" spans="1:84">
      <c r="B68" t="s">
        <v>76</v>
      </c>
      <c r="D68" s="6"/>
      <c r="E68" s="6"/>
      <c r="F68" s="6"/>
      <c r="G68" s="6">
        <f>+SUM(T68:W68)</f>
        <v>0</v>
      </c>
      <c r="H68" s="6">
        <f>+SUM(X68:AA68)</f>
        <v>0</v>
      </c>
      <c r="I68" s="6"/>
      <c r="J68" s="6"/>
      <c r="K68" s="6">
        <f>+SUM(AJ68:AM68)</f>
        <v>1188.1999999999998</v>
      </c>
      <c r="L68" s="6">
        <f ca="1">+SUM(AN68:AQ68)</f>
        <v>2605.8326124011373</v>
      </c>
      <c r="M68" s="6">
        <f ca="1">+SUM(AR68:AU68)</f>
        <v>2690.2027031106877</v>
      </c>
      <c r="N68" s="6">
        <f ca="1">+SUM(AV68:AY68)</f>
        <v>2797.5603594642562</v>
      </c>
      <c r="T68" s="6"/>
      <c r="U68" s="6"/>
      <c r="V68" s="6"/>
      <c r="W68" s="6"/>
      <c r="X68" s="6"/>
      <c r="Y68" s="6"/>
      <c r="Z68" s="81"/>
      <c r="AA68" s="81"/>
      <c r="AB68" s="81"/>
      <c r="AC68" s="81"/>
      <c r="AD68" s="81"/>
      <c r="AE68" s="81"/>
      <c r="AF68" s="81"/>
      <c r="AG68" s="81"/>
      <c r="AH68" s="81"/>
      <c r="AI68" s="81"/>
      <c r="AJ68" s="81"/>
      <c r="AK68" s="81"/>
      <c r="AL68" s="81">
        <f t="shared" ref="AL68:AM68" si="122">SUM(AL62:AL67)</f>
        <v>550.19999999999993</v>
      </c>
      <c r="AM68" s="81">
        <f t="shared" si="122"/>
        <v>638</v>
      </c>
      <c r="AN68" s="81">
        <f t="shared" ref="AN68:AO68" si="123">SUM(AN62:AN67)</f>
        <v>643.5</v>
      </c>
      <c r="AO68" s="81">
        <f t="shared" si="123"/>
        <v>653.5</v>
      </c>
      <c r="AP68" s="81">
        <f t="shared" ref="AP68:AY68" ca="1" si="124">SUM(AP62:AP67)</f>
        <v>650.99480431086795</v>
      </c>
      <c r="AQ68" s="81">
        <f t="shared" ca="1" si="124"/>
        <v>657.83780809026939</v>
      </c>
      <c r="AR68" s="81">
        <f t="shared" ca="1" si="124"/>
        <v>663.33243624668933</v>
      </c>
      <c r="AS68" s="81">
        <f t="shared" ca="1" si="124"/>
        <v>669.26765209981841</v>
      </c>
      <c r="AT68" s="81">
        <f t="shared" ca="1" si="124"/>
        <v>675.54210479847575</v>
      </c>
      <c r="AU68" s="81">
        <f t="shared" ca="1" si="124"/>
        <v>682.06050996570434</v>
      </c>
      <c r="AV68" s="81">
        <f t="shared" ca="1" si="124"/>
        <v>688.80079027866736</v>
      </c>
      <c r="AW68" s="81">
        <f t="shared" ca="1" si="124"/>
        <v>695.74233631079073</v>
      </c>
      <c r="AX68" s="81">
        <f t="shared" ca="1" si="124"/>
        <v>702.86557074145173</v>
      </c>
      <c r="AY68" s="81">
        <f t="shared" ca="1" si="124"/>
        <v>710.15166213334624</v>
      </c>
    </row>
    <row r="69" spans="1:84">
      <c r="H69" s="6"/>
      <c r="T69" s="6"/>
      <c r="U69" s="6"/>
      <c r="V69" s="6"/>
      <c r="W69" s="6"/>
      <c r="X69" s="6"/>
      <c r="Y69" s="6"/>
      <c r="Z69" s="81"/>
      <c r="AA69" s="81"/>
      <c r="AB69" s="81"/>
      <c r="AC69" s="81"/>
      <c r="AD69" s="81"/>
      <c r="AE69" s="81"/>
      <c r="AF69" s="81"/>
      <c r="AG69" s="81"/>
      <c r="AH69" s="81"/>
      <c r="AI69" s="81"/>
      <c r="AJ69" s="81"/>
      <c r="AK69" s="81"/>
      <c r="AL69" s="81"/>
      <c r="AM69" s="81"/>
      <c r="AN69" s="6"/>
      <c r="AO69" s="6"/>
      <c r="AP69" s="6"/>
      <c r="AQ69" s="6"/>
      <c r="AR69" s="6"/>
      <c r="AS69" s="6"/>
      <c r="AT69" s="6"/>
      <c r="AU69" s="6"/>
      <c r="AV69" s="6"/>
      <c r="AW69" s="6"/>
      <c r="AX69" s="6"/>
      <c r="AY69" s="6"/>
    </row>
    <row r="70" spans="1:84" hidden="1" outlineLevel="1">
      <c r="B70" s="7" t="s">
        <v>75</v>
      </c>
      <c r="T70" s="46"/>
      <c r="U70" s="46"/>
      <c r="V70" s="46"/>
      <c r="W70" s="46"/>
      <c r="X70" s="46"/>
      <c r="Y70" s="46"/>
      <c r="Z70" s="118"/>
      <c r="AA70" s="118"/>
      <c r="AB70" s="118"/>
      <c r="AC70" s="118"/>
      <c r="AD70" s="118"/>
      <c r="AE70" s="118"/>
      <c r="AF70" s="118"/>
      <c r="AG70" s="118"/>
      <c r="AH70" s="118"/>
      <c r="AI70" s="118"/>
      <c r="AJ70" s="118"/>
      <c r="AK70" s="118"/>
      <c r="AL70" s="118">
        <f>+AL68-IS!AL5</f>
        <v>0</v>
      </c>
      <c r="AM70" s="118">
        <f>+AM68-IS!AM5</f>
        <v>0</v>
      </c>
      <c r="AN70" s="46">
        <f>+AN68-IS!AN5</f>
        <v>0</v>
      </c>
      <c r="AO70" s="46">
        <f>+AO68-IS!AO5</f>
        <v>0</v>
      </c>
      <c r="AP70" s="46">
        <f ca="1">+AP68-IS!AP5</f>
        <v>-1.8100000000001728</v>
      </c>
      <c r="AQ70" s="46">
        <f ca="1">+AQ68-IS!AQ5</f>
        <v>0</v>
      </c>
      <c r="AR70" s="46">
        <f ca="1">+AR68-IS!AR5</f>
        <v>0</v>
      </c>
      <c r="AS70" s="46">
        <f ca="1">+AS68-IS!AS5</f>
        <v>0</v>
      </c>
      <c r="AT70" s="46">
        <f ca="1">+AT68-IS!AT5</f>
        <v>0</v>
      </c>
      <c r="AU70" s="46">
        <f ca="1">+AU68-IS!AU5</f>
        <v>0</v>
      </c>
      <c r="AV70" s="46">
        <f ca="1">+AV68-IS!AV5</f>
        <v>0</v>
      </c>
      <c r="AW70" s="46">
        <f ca="1">+AW68-IS!AW5</f>
        <v>0</v>
      </c>
      <c r="AX70" s="46">
        <f ca="1">+AX68-IS!AX5</f>
        <v>0</v>
      </c>
      <c r="AY70" s="46">
        <f ca="1">+AY68-IS!AY5</f>
        <v>0</v>
      </c>
    </row>
    <row r="71" spans="1:84" hidden="1" outlineLevel="1">
      <c r="AA71" s="15"/>
      <c r="AB71" s="15"/>
      <c r="AC71" s="15"/>
      <c r="AD71" s="15"/>
      <c r="AE71" s="15"/>
      <c r="AF71" s="15"/>
      <c r="AG71" s="15"/>
      <c r="AH71" s="15"/>
      <c r="AI71" s="15"/>
      <c r="AJ71" s="15"/>
      <c r="AK71" s="15"/>
      <c r="AL71" s="15"/>
      <c r="AM71" s="15"/>
    </row>
    <row r="72" spans="1:84" collapsed="1">
      <c r="A72" s="42"/>
      <c r="B72" s="45" t="s">
        <v>306</v>
      </c>
      <c r="AA72" s="15"/>
      <c r="AB72" s="15"/>
      <c r="AC72" s="15"/>
      <c r="AD72" s="15"/>
      <c r="AE72" s="15"/>
      <c r="AF72" s="15"/>
      <c r="AG72" s="15"/>
      <c r="AH72" s="15"/>
      <c r="AI72" s="15"/>
      <c r="AJ72" s="15"/>
      <c r="AK72" s="15"/>
      <c r="AL72" s="15"/>
      <c r="AM72" s="15"/>
    </row>
    <row r="73" spans="1:84">
      <c r="A73" s="42"/>
      <c r="B73" t="s">
        <v>406</v>
      </c>
      <c r="H73" s="2"/>
      <c r="I73" s="2"/>
      <c r="J73" s="2"/>
      <c r="K73" s="2"/>
      <c r="L73" s="2">
        <f t="shared" ref="L73:N74" ca="1" si="125">+L62/K62-1</f>
        <v>1.1832878504922095</v>
      </c>
      <c r="M73" s="2">
        <f t="shared" ca="1" si="125"/>
        <v>9.9713209000047431E-2</v>
      </c>
      <c r="N73" s="2">
        <f t="shared" ca="1" si="125"/>
        <v>9.7492352435355256E-2</v>
      </c>
      <c r="X73" s="2"/>
      <c r="Y73" s="2"/>
      <c r="Z73" s="2"/>
      <c r="AA73" s="2"/>
      <c r="AB73" s="2"/>
      <c r="AC73" s="2"/>
      <c r="AD73" s="2"/>
      <c r="AE73" s="2"/>
      <c r="AF73" s="2"/>
      <c r="AG73" s="2"/>
      <c r="AH73" s="2"/>
      <c r="AI73" s="2"/>
      <c r="AJ73" s="2"/>
      <c r="AK73" s="2"/>
      <c r="AL73" s="2"/>
      <c r="AM73" s="2"/>
      <c r="AN73" s="2"/>
      <c r="AO73" s="2"/>
      <c r="AP73" s="2">
        <f t="shared" ref="AP73:AY77" ca="1" si="126">+AP62/AL62-1</f>
        <v>0.13109631531860821</v>
      </c>
      <c r="AQ73" s="2">
        <f t="shared" ca="1" si="126"/>
        <v>9.8812207313470957E-2</v>
      </c>
      <c r="AR73" s="2">
        <f t="shared" ca="1" si="126"/>
        <v>9.8145289839901118E-2</v>
      </c>
      <c r="AS73" s="2">
        <f t="shared" ca="1" si="126"/>
        <v>9.5959865012977819E-2</v>
      </c>
      <c r="AT73" s="2">
        <f t="shared" ca="1" si="126"/>
        <v>0.10718319234362594</v>
      </c>
      <c r="AU73" s="2">
        <f t="shared" ca="1" si="126"/>
        <v>9.7527815037653731E-2</v>
      </c>
      <c r="AV73" s="2">
        <f t="shared" ca="1" si="126"/>
        <v>9.7617305566954249E-2</v>
      </c>
      <c r="AW73" s="2">
        <f t="shared" ca="1" si="126"/>
        <v>9.7601265565848916E-2</v>
      </c>
      <c r="AX73" s="2">
        <f t="shared" ca="1" si="126"/>
        <v>9.7486060100425709E-2</v>
      </c>
      <c r="AY73" s="2">
        <f t="shared" ca="1" si="126"/>
        <v>9.7278022873909631E-2</v>
      </c>
    </row>
    <row r="74" spans="1:84">
      <c r="A74" s="42"/>
      <c r="B74" t="s">
        <v>407</v>
      </c>
      <c r="H74" s="2"/>
      <c r="I74" s="2"/>
      <c r="J74" s="2"/>
      <c r="K74" s="2"/>
      <c r="L74" s="2">
        <f t="shared" ca="1" si="125"/>
        <v>1.1890474643527091</v>
      </c>
      <c r="M74" s="2">
        <f t="shared" ca="1" si="125"/>
        <v>8.7255032333525717E-2</v>
      </c>
      <c r="N74" s="2">
        <f t="shared" ca="1" si="125"/>
        <v>8.9417187548333832E-2</v>
      </c>
      <c r="X74" s="2"/>
      <c r="Y74" s="2"/>
      <c r="Z74" s="2"/>
      <c r="AA74" s="2"/>
      <c r="AB74" s="2"/>
      <c r="AC74" s="2"/>
      <c r="AD74" s="2"/>
      <c r="AE74" s="2"/>
      <c r="AF74" s="2"/>
      <c r="AG74" s="2"/>
      <c r="AH74" s="2"/>
      <c r="AI74" s="2"/>
      <c r="AJ74" s="2"/>
      <c r="AK74" s="2"/>
      <c r="AL74" s="2"/>
      <c r="AM74" s="2"/>
      <c r="AN74" s="2"/>
      <c r="AO74" s="2"/>
      <c r="AP74" s="2">
        <f t="shared" ca="1" si="126"/>
        <v>0.13660641521557526</v>
      </c>
      <c r="AQ74" s="2">
        <f t="shared" ca="1" si="126"/>
        <v>9.7527891755714968E-2</v>
      </c>
      <c r="AR74" s="2">
        <f t="shared" ca="1" si="126"/>
        <v>8.8302868975074666E-2</v>
      </c>
      <c r="AS74" s="2">
        <f t="shared" ca="1" si="126"/>
        <v>8.3720458709062084E-2</v>
      </c>
      <c r="AT74" s="2">
        <f t="shared" ca="1" si="126"/>
        <v>8.8415483469649558E-2</v>
      </c>
      <c r="AU74" s="2">
        <f t="shared" ca="1" si="126"/>
        <v>8.853786041980638E-2</v>
      </c>
      <c r="AV74" s="2">
        <f t="shared" ca="1" si="126"/>
        <v>8.8908462512955255E-2</v>
      </c>
      <c r="AW74" s="2">
        <f t="shared" ca="1" si="126"/>
        <v>8.9302479604785434E-2</v>
      </c>
      <c r="AX74" s="2">
        <f t="shared" ca="1" si="126"/>
        <v>8.9617355368657226E-2</v>
      </c>
      <c r="AY74" s="2">
        <f t="shared" ca="1" si="126"/>
        <v>8.9808486251420128E-2</v>
      </c>
    </row>
    <row r="75" spans="1:84">
      <c r="A75" s="42"/>
      <c r="B75" t="s">
        <v>408</v>
      </c>
      <c r="H75" s="2"/>
      <c r="I75" s="2"/>
      <c r="J75" s="2"/>
      <c r="K75" s="2"/>
      <c r="L75" s="2"/>
      <c r="M75" s="2"/>
      <c r="N75" s="2"/>
      <c r="X75" s="2"/>
      <c r="Y75" s="2"/>
      <c r="Z75" s="2"/>
      <c r="AA75" s="2"/>
      <c r="AB75" s="2"/>
      <c r="AC75" s="2"/>
      <c r="AD75" s="2"/>
      <c r="AE75" s="2"/>
      <c r="AF75" s="2"/>
      <c r="AG75" s="2"/>
      <c r="AH75" s="2"/>
      <c r="AI75" s="2"/>
      <c r="AJ75" s="2"/>
      <c r="AK75" s="2"/>
      <c r="AL75" s="2"/>
      <c r="AM75" s="2"/>
      <c r="AN75" s="2"/>
      <c r="AO75" s="2"/>
      <c r="AP75" s="2">
        <f t="shared" ca="1" si="126"/>
        <v>8.0947632510042444E-2</v>
      </c>
      <c r="AQ75" s="2">
        <f t="shared" ca="1" si="126"/>
        <v>1.8862499512429132E-2</v>
      </c>
      <c r="AR75" s="2">
        <f t="shared" ca="1" si="126"/>
        <v>6.4266324615975812E-3</v>
      </c>
      <c r="AS75" s="2">
        <f t="shared" ca="1" si="126"/>
        <v>2.4664692114667153E-2</v>
      </c>
      <c r="AT75" s="2">
        <f t="shared" ca="1" si="126"/>
        <v>9.2651420163645248E-3</v>
      </c>
      <c r="AU75" s="2">
        <f t="shared" ca="1" si="126"/>
        <v>1.0768161410114496E-2</v>
      </c>
      <c r="AV75" s="2">
        <f t="shared" ca="1" si="126"/>
        <v>1.1482711973888948E-2</v>
      </c>
      <c r="AW75" s="2">
        <f t="shared" ca="1" si="126"/>
        <v>1.1407911800234372E-2</v>
      </c>
      <c r="AX75" s="2">
        <f t="shared" ca="1" si="126"/>
        <v>1.0896588830967113E-2</v>
      </c>
      <c r="AY75" s="2">
        <f t="shared" ca="1" si="126"/>
        <v>1.0225016700741829E-2</v>
      </c>
    </row>
    <row r="76" spans="1:84">
      <c r="A76" s="42"/>
      <c r="B76" t="s">
        <v>409</v>
      </c>
      <c r="H76" s="2" t="e">
        <f t="shared" ref="H76:N76" si="127">+H65/G65-1</f>
        <v>#DIV/0!</v>
      </c>
      <c r="I76" s="2"/>
      <c r="J76" s="2"/>
      <c r="K76" s="2"/>
      <c r="L76" s="2">
        <f t="shared" ca="1" si="127"/>
        <v>1.1615356137880237</v>
      </c>
      <c r="M76" s="2">
        <f t="shared" ca="1" si="127"/>
        <v>-2.5619053253853163E-2</v>
      </c>
      <c r="N76" s="2">
        <f t="shared" ca="1" si="127"/>
        <v>-1.2104411486867361E-3</v>
      </c>
      <c r="X76" s="2"/>
      <c r="Y76" s="2"/>
      <c r="Z76" s="2"/>
      <c r="AA76" s="2"/>
      <c r="AB76" s="2"/>
      <c r="AC76" s="2"/>
      <c r="AD76" s="2"/>
      <c r="AE76" s="2"/>
      <c r="AF76" s="2"/>
      <c r="AG76" s="2"/>
      <c r="AH76" s="2"/>
      <c r="AI76" s="2"/>
      <c r="AJ76" s="2"/>
      <c r="AK76" s="2"/>
      <c r="AL76" s="2"/>
      <c r="AM76" s="2"/>
      <c r="AN76" s="2"/>
      <c r="AO76" s="2"/>
      <c r="AP76" s="2">
        <f t="shared" ca="1" si="126"/>
        <v>0.13212163632719398</v>
      </c>
      <c r="AQ76" s="2">
        <f t="shared" ca="1" si="126"/>
        <v>2.5288865331416499E-3</v>
      </c>
      <c r="AR76" s="2">
        <f t="shared" ca="1" si="126"/>
        <v>-9.5800886852496214E-3</v>
      </c>
      <c r="AS76" s="2">
        <f t="shared" ca="1" si="126"/>
        <v>-6.7574739972482756E-2</v>
      </c>
      <c r="AT76" s="2">
        <f t="shared" ca="1" si="126"/>
        <v>-1.4005903407073195E-2</v>
      </c>
      <c r="AU76" s="2">
        <f t="shared" ca="1" si="126"/>
        <v>-8.7311697313421366E-3</v>
      </c>
      <c r="AV76" s="2">
        <f t="shared" ca="1" si="126"/>
        <v>-4.7960027737933286E-3</v>
      </c>
      <c r="AW76" s="2">
        <f t="shared" ca="1" si="126"/>
        <v>-2.0038630212972919E-3</v>
      </c>
      <c r="AX76" s="2">
        <f t="shared" ca="1" si="126"/>
        <v>1.0480093798870271E-4</v>
      </c>
      <c r="AY76" s="2">
        <f t="shared" ca="1" si="126"/>
        <v>1.8707038442529189E-3</v>
      </c>
    </row>
    <row r="77" spans="1:84">
      <c r="A77" s="42"/>
      <c r="B77" t="s">
        <v>132</v>
      </c>
      <c r="H77" s="2"/>
      <c r="I77" s="2"/>
      <c r="J77" s="2"/>
      <c r="K77" s="2"/>
      <c r="L77" s="2"/>
      <c r="M77" s="2"/>
      <c r="N77" s="2"/>
      <c r="X77" s="2"/>
      <c r="Y77" s="2"/>
      <c r="Z77" s="2"/>
      <c r="AA77" s="2"/>
      <c r="AB77" s="2"/>
      <c r="AC77" s="2"/>
      <c r="AD77" s="2"/>
      <c r="AE77" s="2"/>
      <c r="AF77" s="2"/>
      <c r="AG77" s="2"/>
      <c r="AH77" s="2"/>
      <c r="AI77" s="2"/>
      <c r="AJ77" s="2"/>
      <c r="AK77" s="2"/>
      <c r="AL77" s="2"/>
      <c r="AM77" s="2"/>
      <c r="AN77" s="2"/>
      <c r="AO77" s="2"/>
      <c r="AP77" s="2">
        <f t="shared" si="126"/>
        <v>0.24025194376581971</v>
      </c>
      <c r="AQ77" s="2">
        <f t="shared" si="126"/>
        <v>-6.4435278881001534E-2</v>
      </c>
      <c r="AR77" s="2">
        <f t="shared" si="126"/>
        <v>0.40885563884842147</v>
      </c>
      <c r="AS77" s="2">
        <f t="shared" si="126"/>
        <v>0.14536977152982566</v>
      </c>
      <c r="AT77" s="2">
        <f t="shared" si="126"/>
        <v>9.5208439662394673E-2</v>
      </c>
      <c r="AU77" s="2">
        <f t="shared" si="126"/>
        <v>8.4085114600986444E-2</v>
      </c>
      <c r="AV77" s="2">
        <f t="shared" si="126"/>
        <v>7.6971512869210557E-2</v>
      </c>
      <c r="AW77" s="2">
        <f t="shared" si="126"/>
        <v>7.299167788780947E-2</v>
      </c>
      <c r="AX77" s="2">
        <f t="shared" si="126"/>
        <v>6.9290783112934129E-2</v>
      </c>
      <c r="AY77" s="2">
        <f t="shared" si="126"/>
        <v>6.5842954298845902E-2</v>
      </c>
    </row>
    <row r="78" spans="1:84" s="3" customFormat="1">
      <c r="A78" s="313"/>
      <c r="B78" s="3" t="s">
        <v>410</v>
      </c>
      <c r="H78" s="39"/>
      <c r="I78" s="39"/>
      <c r="J78" s="39"/>
      <c r="K78" s="39"/>
      <c r="L78" s="39"/>
      <c r="M78" s="39"/>
      <c r="N78" s="39"/>
      <c r="X78" s="39"/>
      <c r="Y78" s="39"/>
      <c r="Z78" s="39"/>
      <c r="AA78" s="39"/>
      <c r="AB78" s="39"/>
      <c r="AC78" s="39"/>
      <c r="AD78" s="39"/>
      <c r="AE78" s="39"/>
      <c r="AF78" s="39"/>
      <c r="AG78" s="39"/>
      <c r="AH78" s="39"/>
      <c r="AI78" s="39"/>
      <c r="AJ78" s="39"/>
      <c r="AK78" s="39"/>
      <c r="AL78" s="39"/>
      <c r="AM78" s="39"/>
      <c r="AN78" s="39"/>
      <c r="AO78" s="39"/>
      <c r="AP78" s="39">
        <f t="shared" ref="AP78:AY78" si="128">+AP67/AL67-1</f>
        <v>0.54959016393442628</v>
      </c>
      <c r="AQ78" s="39">
        <f t="shared" si="128"/>
        <v>-5.1450058184639325E-2</v>
      </c>
      <c r="AR78" s="39">
        <f t="shared" si="128"/>
        <v>-4.732382879796404E-2</v>
      </c>
      <c r="AS78" s="39">
        <f t="shared" si="128"/>
        <v>-1.9850499375000052E-2</v>
      </c>
      <c r="AT78" s="39">
        <f t="shared" si="128"/>
        <v>-1.9850499375000052E-2</v>
      </c>
      <c r="AU78" s="39">
        <f t="shared" si="128"/>
        <v>-1.9850499375000052E-2</v>
      </c>
      <c r="AV78" s="39">
        <f t="shared" si="128"/>
        <v>-1.9850499374999941E-2</v>
      </c>
      <c r="AW78" s="39">
        <f t="shared" si="128"/>
        <v>-1.9850499374999941E-2</v>
      </c>
      <c r="AX78" s="39">
        <f t="shared" si="128"/>
        <v>-1.9850499375000052E-2</v>
      </c>
      <c r="AY78" s="39">
        <f t="shared" si="128"/>
        <v>-1.9850499375000052E-2</v>
      </c>
      <c r="CA78"/>
      <c r="CB78"/>
      <c r="CC78"/>
      <c r="CD78"/>
      <c r="CE78"/>
      <c r="CF78"/>
    </row>
    <row r="79" spans="1:84">
      <c r="A79" s="42"/>
      <c r="B79" t="s">
        <v>76</v>
      </c>
      <c r="H79" s="2" t="e">
        <f>+H68/G68-1</f>
        <v>#DIV/0!</v>
      </c>
      <c r="I79" s="2"/>
      <c r="J79" s="2"/>
      <c r="K79" s="2"/>
      <c r="L79" s="2">
        <f ca="1">+L68/K68-1</f>
        <v>1.1930925874441489</v>
      </c>
      <c r="M79" s="2">
        <f ca="1">+M68/L68-1</f>
        <v>3.237740225831609E-2</v>
      </c>
      <c r="N79" s="2">
        <f ca="1">+N68/M68-1</f>
        <v>3.9906902267784705E-2</v>
      </c>
      <c r="X79" s="2"/>
      <c r="Y79" s="2"/>
      <c r="Z79" s="2"/>
      <c r="AA79" s="2"/>
      <c r="AB79" s="2"/>
      <c r="AC79" s="2"/>
      <c r="AD79" s="2"/>
      <c r="AE79" s="2"/>
      <c r="AF79" s="2"/>
      <c r="AG79" s="2"/>
      <c r="AH79" s="2"/>
      <c r="AI79" s="2"/>
      <c r="AJ79" s="2"/>
      <c r="AK79" s="2"/>
      <c r="AL79" s="2"/>
      <c r="AM79" s="2"/>
      <c r="AN79" s="2"/>
      <c r="AO79" s="2"/>
      <c r="AP79" s="2">
        <f t="shared" ref="AP79:AY79" ca="1" si="129">+AP68/AL68-1</f>
        <v>0.183196663596634</v>
      </c>
      <c r="AQ79" s="2">
        <f t="shared" ca="1" si="129"/>
        <v>3.1093743088196568E-2</v>
      </c>
      <c r="AR79" s="2">
        <f t="shared" ca="1" si="129"/>
        <v>3.0819636746991952E-2</v>
      </c>
      <c r="AS79" s="2">
        <f t="shared" ca="1" si="129"/>
        <v>2.4128006273631764E-2</v>
      </c>
      <c r="AT79" s="2">
        <f t="shared" ca="1" si="129"/>
        <v>3.7707367747110032E-2</v>
      </c>
      <c r="AU79" s="2">
        <f t="shared" ca="1" si="129"/>
        <v>3.6821693094464258E-2</v>
      </c>
      <c r="AV79" s="2">
        <f t="shared" ca="1" si="129"/>
        <v>3.8394555490282922E-2</v>
      </c>
      <c r="AW79" s="2">
        <f t="shared" ca="1" si="129"/>
        <v>3.9557692842181025E-2</v>
      </c>
      <c r="AX79" s="2">
        <f t="shared" ca="1" si="129"/>
        <v>4.0446725302380582E-2</v>
      </c>
      <c r="AY79" s="2">
        <f t="shared" ca="1" si="129"/>
        <v>4.1185718506198787E-2</v>
      </c>
    </row>
    <row r="80" spans="1:84">
      <c r="A80" s="42"/>
      <c r="AA80" s="15"/>
      <c r="AB80" s="15"/>
      <c r="AC80" s="15"/>
      <c r="AD80" s="15"/>
      <c r="AE80" s="15"/>
      <c r="AF80" s="15"/>
      <c r="AG80" s="15"/>
      <c r="AH80" s="15"/>
      <c r="AI80" s="15"/>
      <c r="AJ80" s="15"/>
      <c r="AK80" s="15"/>
      <c r="AL80" s="15"/>
      <c r="AM80" s="15"/>
    </row>
    <row r="81" spans="1:84">
      <c r="A81" s="42"/>
      <c r="B81" s="45" t="s">
        <v>307</v>
      </c>
      <c r="AA81" s="15"/>
      <c r="AB81" s="15"/>
      <c r="AC81" s="15"/>
      <c r="AD81" s="15"/>
      <c r="AE81" s="15"/>
      <c r="AF81" s="15"/>
      <c r="AG81" s="15"/>
      <c r="AH81" s="15"/>
      <c r="AI81" s="15"/>
      <c r="AJ81" s="15"/>
      <c r="AK81" s="15"/>
      <c r="AL81" s="15"/>
      <c r="AM81" s="15"/>
    </row>
    <row r="82" spans="1:84">
      <c r="A82" s="42"/>
      <c r="B82" t="s">
        <v>406</v>
      </c>
      <c r="U82" s="2"/>
      <c r="V82" s="2"/>
      <c r="W82" s="2"/>
      <c r="X82" s="2"/>
      <c r="Y82" s="2"/>
      <c r="Z82" s="2"/>
      <c r="AA82" s="2"/>
      <c r="AB82" s="2"/>
      <c r="AC82" s="2"/>
      <c r="AD82" s="2"/>
      <c r="AE82" s="2"/>
      <c r="AF82" s="2"/>
      <c r="AG82" s="2"/>
      <c r="AH82" s="2"/>
      <c r="AI82" s="2"/>
      <c r="AJ82" s="2"/>
      <c r="AK82" s="2"/>
      <c r="AL82" s="2"/>
      <c r="AM82" s="2">
        <f t="shared" ref="AM82:AY82" si="130">+AM62/AL62-1</f>
        <v>6.2917594654788411E-2</v>
      </c>
      <c r="AN82" s="2">
        <f t="shared" si="130"/>
        <v>2.4096385542168752E-2</v>
      </c>
      <c r="AO82" s="2">
        <f t="shared" si="130"/>
        <v>2.5575447570332477E-2</v>
      </c>
      <c r="AP82" s="2">
        <f t="shared" ca="1" si="130"/>
        <v>1.3191512375172243E-2</v>
      </c>
      <c r="AQ82" s="2">
        <f t="shared" ca="1" si="130"/>
        <v>3.2579465212001057E-2</v>
      </c>
      <c r="AR82" s="2">
        <f t="shared" ca="1" si="130"/>
        <v>2.347481638813842E-2</v>
      </c>
      <c r="AS82" s="2">
        <f t="shared" ca="1" si="130"/>
        <v>2.3534444375454822E-2</v>
      </c>
      <c r="AT82" s="2">
        <f t="shared" ca="1" si="130"/>
        <v>2.3567239037285193E-2</v>
      </c>
      <c r="AU82" s="2">
        <f t="shared" ca="1" si="130"/>
        <v>2.3574682260123714E-2</v>
      </c>
      <c r="AV82" s="2">
        <f t="shared" ca="1" si="130"/>
        <v>2.3558268763367085E-2</v>
      </c>
      <c r="AW82" s="2">
        <f t="shared" ca="1" si="130"/>
        <v>2.3519486982257698E-2</v>
      </c>
      <c r="AX82" s="2">
        <f t="shared" ca="1" si="130"/>
        <v>2.3459804266695361E-2</v>
      </c>
      <c r="AY82" s="2">
        <f t="shared" ca="1" si="130"/>
        <v>2.3380655524139371E-2</v>
      </c>
    </row>
    <row r="83" spans="1:84">
      <c r="A83" s="42"/>
      <c r="B83" t="s">
        <v>407</v>
      </c>
      <c r="U83" s="2"/>
      <c r="V83" s="2"/>
      <c r="W83" s="2"/>
      <c r="X83" s="2"/>
      <c r="Y83" s="2"/>
      <c r="Z83" s="2"/>
      <c r="AA83" s="2"/>
      <c r="AB83" s="2"/>
      <c r="AC83" s="2"/>
      <c r="AD83" s="2"/>
      <c r="AE83" s="2"/>
      <c r="AF83" s="2"/>
      <c r="AG83" s="2"/>
      <c r="AH83" s="2"/>
      <c r="AI83" s="2"/>
      <c r="AJ83" s="2"/>
      <c r="AK83" s="2"/>
      <c r="AL83" s="2"/>
      <c r="AM83" s="2">
        <f t="shared" ref="AM83:AY83" si="131">+AM63/AL63-1</f>
        <v>5.7835820895522305E-2</v>
      </c>
      <c r="AN83" s="2">
        <f t="shared" si="131"/>
        <v>2.9982363315696592E-2</v>
      </c>
      <c r="AO83" s="2">
        <f t="shared" si="131"/>
        <v>2.5684931506849251E-2</v>
      </c>
      <c r="AP83" s="2">
        <f t="shared" ca="1" si="131"/>
        <v>1.706350343163332E-2</v>
      </c>
      <c r="AQ83" s="2">
        <f t="shared" ca="1" si="131"/>
        <v>2.1465568721901196E-2</v>
      </c>
      <c r="AR83" s="2">
        <f t="shared" ca="1" si="131"/>
        <v>2.132507921693394E-2</v>
      </c>
      <c r="AS83" s="2">
        <f t="shared" ca="1" si="131"/>
        <v>2.1366180455262285E-2</v>
      </c>
      <c r="AT83" s="2">
        <f t="shared" ca="1" si="131"/>
        <v>2.1469748873737204E-2</v>
      </c>
      <c r="AU83" s="2">
        <f t="shared" ca="1" si="131"/>
        <v>2.158041809963307E-2</v>
      </c>
      <c r="AV83" s="2">
        <f t="shared" ca="1" si="131"/>
        <v>2.1672798139634075E-2</v>
      </c>
      <c r="AW83" s="2">
        <f t="shared" ca="1" si="131"/>
        <v>2.1735757647442178E-2</v>
      </c>
      <c r="AX83" s="2">
        <f t="shared" ca="1" si="131"/>
        <v>2.1765016784597968E-2</v>
      </c>
      <c r="AY83" s="2">
        <f t="shared" ca="1" si="131"/>
        <v>2.1759614554391016E-2</v>
      </c>
    </row>
    <row r="84" spans="1:84">
      <c r="A84" s="42"/>
      <c r="B84" t="s">
        <v>408</v>
      </c>
      <c r="U84" s="2"/>
      <c r="V84" s="2"/>
      <c r="W84" s="2"/>
      <c r="X84" s="2"/>
      <c r="Y84" s="2"/>
      <c r="Z84" s="2"/>
      <c r="AA84" s="2"/>
      <c r="AB84" s="2"/>
      <c r="AC84" s="2"/>
      <c r="AD84" s="2"/>
      <c r="AE84" s="2"/>
      <c r="AF84" s="2"/>
      <c r="AG84" s="2"/>
      <c r="AH84" s="2"/>
      <c r="AI84" s="2"/>
      <c r="AJ84" s="2"/>
      <c r="AK84" s="2"/>
      <c r="AL84" s="2"/>
      <c r="AM84" s="2">
        <f t="shared" ref="AM84:AY84" si="132">+AM64/AL64-1</f>
        <v>6.244343891402715E-2</v>
      </c>
      <c r="AN84" s="2">
        <f t="shared" si="132"/>
        <v>1.4480408858603022E-2</v>
      </c>
      <c r="AO84" s="2">
        <f t="shared" si="132"/>
        <v>-1.5113350125944613E-2</v>
      </c>
      <c r="AP84" s="2">
        <f t="shared" ca="1" si="132"/>
        <v>1.8284001639895076E-2</v>
      </c>
      <c r="AQ84" s="2">
        <f t="shared" ca="1" si="132"/>
        <v>1.4211097802370176E-3</v>
      </c>
      <c r="AR84" s="2">
        <f t="shared" ca="1" si="132"/>
        <v>2.0980280208784396E-3</v>
      </c>
      <c r="AS84" s="2">
        <f t="shared" ca="1" si="132"/>
        <v>2.7343706045581673E-3</v>
      </c>
      <c r="AT84" s="2">
        <f t="shared" ca="1" si="132"/>
        <v>2.9803460945951876E-3</v>
      </c>
      <c r="AU84" s="2">
        <f t="shared" ca="1" si="132"/>
        <v>2.9124476721842374E-3</v>
      </c>
      <c r="AV84" s="2">
        <f t="shared" ca="1" si="132"/>
        <v>2.806449336683059E-3</v>
      </c>
      <c r="AW84" s="2">
        <f t="shared" ca="1" si="132"/>
        <v>2.6602173796312911E-3</v>
      </c>
      <c r="AX84" s="2">
        <f t="shared" ca="1" si="132"/>
        <v>2.4732837286611797E-3</v>
      </c>
      <c r="AY84" s="2">
        <f t="shared" ca="1" si="132"/>
        <v>2.2461796717236915E-3</v>
      </c>
    </row>
    <row r="85" spans="1:84">
      <c r="A85" s="42"/>
      <c r="B85" t="s">
        <v>409</v>
      </c>
      <c r="U85" s="2"/>
      <c r="V85" s="2"/>
      <c r="W85" s="2"/>
      <c r="X85" s="2"/>
      <c r="Y85" s="2"/>
      <c r="Z85" s="2"/>
      <c r="AA85" s="2"/>
      <c r="AB85" s="2"/>
      <c r="AC85" s="2"/>
      <c r="AD85" s="2"/>
      <c r="AE85" s="2"/>
      <c r="AF85" s="2"/>
      <c r="AG85" s="2"/>
      <c r="AH85" s="2"/>
      <c r="AI85" s="2"/>
      <c r="AJ85" s="2"/>
      <c r="AK85" s="2"/>
      <c r="AL85" s="2"/>
      <c r="AM85" s="2">
        <f t="shared" ref="AM85:AY85" si="133">+AM65/AL65-1</f>
        <v>0.12243221035332774</v>
      </c>
      <c r="AN85" s="2">
        <f t="shared" si="133"/>
        <v>8.052708638360162E-3</v>
      </c>
      <c r="AO85" s="2">
        <f t="shared" si="133"/>
        <v>5.9549745824255762E-2</v>
      </c>
      <c r="AP85" s="2">
        <f t="shared" ca="1" si="133"/>
        <v>-5.5660019595479726E-2</v>
      </c>
      <c r="AQ85" s="2">
        <f t="shared" ca="1" si="133"/>
        <v>-6.0514012389737415E-3</v>
      </c>
      <c r="AR85" s="2">
        <f t="shared" ca="1" si="133"/>
        <v>-4.1229856799805953E-3</v>
      </c>
      <c r="AS85" s="2">
        <f t="shared" ca="1" si="133"/>
        <v>-2.4928457357056288E-3</v>
      </c>
      <c r="AT85" s="2">
        <f t="shared" ca="1" si="133"/>
        <v>-1.4066694975010119E-3</v>
      </c>
      <c r="AU85" s="2">
        <f t="shared" ca="1" si="133"/>
        <v>-7.3411367716491593E-4</v>
      </c>
      <c r="AV85" s="2">
        <f t="shared" ca="1" si="133"/>
        <v>-1.6952502342748588E-4</v>
      </c>
      <c r="AW85" s="2">
        <f t="shared" ca="1" si="133"/>
        <v>3.0575574357216695E-4</v>
      </c>
      <c r="AX85" s="2">
        <f t="shared" ca="1" si="133"/>
        <v>7.0325627073763997E-4</v>
      </c>
      <c r="AY85" s="2">
        <f t="shared" ca="1" si="133"/>
        <v>1.0303079425824091E-3</v>
      </c>
    </row>
    <row r="86" spans="1:84">
      <c r="A86" s="42"/>
      <c r="B86" t="s">
        <v>132</v>
      </c>
      <c r="U86" s="2"/>
      <c r="V86" s="2"/>
      <c r="W86" s="2"/>
      <c r="X86" s="2"/>
      <c r="Y86" s="2"/>
      <c r="Z86" s="2"/>
      <c r="AA86" s="2"/>
      <c r="AB86" s="2"/>
      <c r="AC86" s="2"/>
      <c r="AD86" s="2"/>
      <c r="AE86" s="2"/>
      <c r="AF86" s="2"/>
      <c r="AG86" s="2"/>
      <c r="AH86" s="2"/>
      <c r="AI86" s="2"/>
      <c r="AJ86" s="2"/>
      <c r="AK86" s="2"/>
      <c r="AL86" s="2"/>
      <c r="AM86" s="2">
        <f t="shared" ref="AM86:AY86" si="134">+AM66/AL66-1</f>
        <v>0.36363636363636354</v>
      </c>
      <c r="AN86" s="2">
        <f t="shared" si="134"/>
        <v>-0.32000000000000006</v>
      </c>
      <c r="AO86" s="2">
        <f t="shared" si="134"/>
        <v>0.25490196078431393</v>
      </c>
      <c r="AP86" s="2">
        <f t="shared" si="134"/>
        <v>6.584151417375117E-2</v>
      </c>
      <c r="AQ86" s="2">
        <f t="shared" si="134"/>
        <v>2.8637834970461906E-2</v>
      </c>
      <c r="AR86" s="2">
        <f t="shared" si="134"/>
        <v>2.4003805178831383E-2</v>
      </c>
      <c r="AS86" s="2">
        <f t="shared" si="134"/>
        <v>2.0208694547803718E-2</v>
      </c>
      <c r="AT86" s="2">
        <f t="shared" si="134"/>
        <v>1.9163112805479443E-2</v>
      </c>
      <c r="AU86" s="2">
        <f t="shared" si="134"/>
        <v>1.8190624563311886E-2</v>
      </c>
      <c r="AV86" s="2">
        <f t="shared" si="134"/>
        <v>1.7284447866609209E-2</v>
      </c>
      <c r="AW86" s="2">
        <f t="shared" si="134"/>
        <v>1.6438620592853947E-2</v>
      </c>
      <c r="AX86" s="2">
        <f t="shared" si="134"/>
        <v>1.5647880099898481E-2</v>
      </c>
      <c r="AY86" s="2">
        <f t="shared" si="134"/>
        <v>1.4907563464268359E-2</v>
      </c>
    </row>
    <row r="87" spans="1:84" s="3" customFormat="1">
      <c r="A87" s="313"/>
      <c r="B87" s="3" t="s">
        <v>410</v>
      </c>
      <c r="U87" s="39"/>
      <c r="V87" s="39"/>
      <c r="W87" s="39"/>
      <c r="X87" s="39"/>
      <c r="Y87" s="39"/>
      <c r="Z87" s="39"/>
      <c r="AA87" s="39"/>
      <c r="AB87" s="39"/>
      <c r="AC87" s="39"/>
      <c r="AD87" s="39"/>
      <c r="AE87" s="39"/>
      <c r="AF87" s="39"/>
      <c r="AG87" s="39"/>
      <c r="AH87" s="39"/>
      <c r="AI87" s="39"/>
      <c r="AJ87" s="39"/>
      <c r="AK87" s="39"/>
      <c r="AL87" s="39"/>
      <c r="AM87" s="39">
        <f t="shared" ref="AM87:AY87" si="135">+AM67/AL67-1</f>
        <v>0.62547288776796983</v>
      </c>
      <c r="AN87" s="39">
        <f t="shared" si="135"/>
        <v>-9.3095422808379125E-3</v>
      </c>
      <c r="AO87" s="39">
        <f t="shared" si="135"/>
        <v>-3.2889584964761132E-2</v>
      </c>
      <c r="AP87" s="39">
        <f t="shared" si="135"/>
        <v>-5.0000000000000044E-3</v>
      </c>
      <c r="AQ87" s="39">
        <f t="shared" si="135"/>
        <v>-5.0000000000000044E-3</v>
      </c>
      <c r="AR87" s="39">
        <f t="shared" si="135"/>
        <v>-5.0000000000000044E-3</v>
      </c>
      <c r="AS87" s="39">
        <f t="shared" si="135"/>
        <v>-5.0000000000000044E-3</v>
      </c>
      <c r="AT87" s="39">
        <f t="shared" si="135"/>
        <v>-5.0000000000000044E-3</v>
      </c>
      <c r="AU87" s="39">
        <f t="shared" si="135"/>
        <v>-5.0000000000000044E-3</v>
      </c>
      <c r="AV87" s="39">
        <f t="shared" si="135"/>
        <v>-5.0000000000000044E-3</v>
      </c>
      <c r="AW87" s="39">
        <f t="shared" si="135"/>
        <v>-5.0000000000000044E-3</v>
      </c>
      <c r="AX87" s="39">
        <f t="shared" si="135"/>
        <v>-5.0000000000000044E-3</v>
      </c>
      <c r="AY87" s="39">
        <f t="shared" si="135"/>
        <v>-5.0000000000000044E-3</v>
      </c>
      <c r="CA87"/>
      <c r="CB87"/>
      <c r="CC87"/>
      <c r="CD87"/>
      <c r="CE87"/>
      <c r="CF87"/>
    </row>
    <row r="88" spans="1:84">
      <c r="A88" s="42"/>
      <c r="B88" t="s">
        <v>76</v>
      </c>
      <c r="U88" s="2"/>
      <c r="V88" s="2"/>
      <c r="W88" s="2"/>
      <c r="X88" s="2"/>
      <c r="Y88" s="2"/>
      <c r="Z88" s="2"/>
      <c r="AA88" s="2"/>
      <c r="AB88" s="2"/>
      <c r="AC88" s="2"/>
      <c r="AD88" s="2"/>
      <c r="AE88" s="2"/>
      <c r="AF88" s="2"/>
      <c r="AG88" s="2"/>
      <c r="AH88" s="2"/>
      <c r="AI88" s="2"/>
      <c r="AJ88" s="2"/>
      <c r="AK88" s="2"/>
      <c r="AL88" s="2"/>
      <c r="AM88" s="2">
        <f t="shared" ref="AM88:AY88" si="136">+AM68/AL68-1</f>
        <v>0.1595783351508544</v>
      </c>
      <c r="AN88" s="2">
        <f t="shared" si="136"/>
        <v>8.6206896551723755E-3</v>
      </c>
      <c r="AO88" s="2">
        <f t="shared" si="136"/>
        <v>1.5540015540015606E-2</v>
      </c>
      <c r="AP88" s="2">
        <f t="shared" ca="1" si="136"/>
        <v>-3.8335052626351507E-3</v>
      </c>
      <c r="AQ88" s="2">
        <f t="shared" ca="1" si="136"/>
        <v>1.0511610436960916E-2</v>
      </c>
      <c r="AR88" s="2">
        <f t="shared" ca="1" si="136"/>
        <v>8.3525575587866108E-3</v>
      </c>
      <c r="AS88" s="2">
        <f t="shared" ca="1" si="136"/>
        <v>8.9475736882582702E-3</v>
      </c>
      <c r="AT88" s="2">
        <f t="shared" ca="1" si="136"/>
        <v>9.3751022912451631E-3</v>
      </c>
      <c r="AU88" s="2">
        <f t="shared" ca="1" si="136"/>
        <v>9.6491471381685567E-3</v>
      </c>
      <c r="AV88" s="2">
        <f t="shared" ca="1" si="136"/>
        <v>9.8822321692570991E-3</v>
      </c>
      <c r="AW88" s="2">
        <f t="shared" ca="1" si="136"/>
        <v>1.0077726579429402E-2</v>
      </c>
      <c r="AX88" s="2">
        <f t="shared" ca="1" si="136"/>
        <v>1.0238322520995879E-2</v>
      </c>
      <c r="AY88" s="2">
        <f t="shared" ca="1" si="136"/>
        <v>1.0366265890941806E-2</v>
      </c>
    </row>
    <row r="89" spans="1:84">
      <c r="A89" s="42"/>
      <c r="AA89" s="15"/>
      <c r="AB89" s="15"/>
      <c r="AC89" s="15"/>
      <c r="AD89" s="15"/>
      <c r="AE89" s="15"/>
      <c r="AF89" s="15"/>
      <c r="AG89" s="15"/>
      <c r="AH89" s="15"/>
      <c r="AI89" s="15"/>
      <c r="AJ89" s="15"/>
      <c r="AK89" s="15"/>
      <c r="AL89" s="15"/>
      <c r="AM89" s="15"/>
    </row>
    <row r="90" spans="1:84">
      <c r="B90" s="45" t="s">
        <v>78</v>
      </c>
      <c r="T90" s="50"/>
      <c r="AA90" s="15"/>
      <c r="AB90" s="15"/>
      <c r="AC90" s="15"/>
      <c r="AD90" s="15"/>
      <c r="AE90" s="15"/>
      <c r="AF90" s="15"/>
      <c r="AG90" s="15"/>
      <c r="AH90" s="15"/>
      <c r="AI90" s="15"/>
      <c r="AJ90" s="15"/>
      <c r="AK90" s="15"/>
      <c r="AL90" s="15"/>
      <c r="AM90" s="15"/>
      <c r="AN90" s="2"/>
      <c r="AO90" s="2"/>
    </row>
    <row r="91" spans="1:84">
      <c r="B91" t="s">
        <v>406</v>
      </c>
      <c r="D91" s="6"/>
      <c r="E91" s="19"/>
      <c r="F91" s="18"/>
      <c r="G91" s="6"/>
      <c r="H91" s="6"/>
      <c r="I91" s="6"/>
      <c r="J91" s="6"/>
      <c r="K91" s="6"/>
      <c r="L91" s="6"/>
      <c r="M91" s="6">
        <f ca="1">+SUM(AR91:AU91)</f>
        <v>714.3156265261739</v>
      </c>
      <c r="N91" s="6">
        <f ca="1">+SUM(AV91:AY91)</f>
        <v>783.95593733754515</v>
      </c>
      <c r="O91" s="50"/>
      <c r="T91" s="50"/>
      <c r="U91" s="50"/>
      <c r="V91" s="50"/>
      <c r="W91" s="50"/>
      <c r="X91" s="50"/>
      <c r="Y91" s="50"/>
      <c r="Z91" s="50"/>
      <c r="AA91" s="50"/>
      <c r="AB91" s="50"/>
      <c r="AC91" s="50"/>
      <c r="AD91" s="50"/>
      <c r="AE91" s="50"/>
      <c r="AF91" s="50"/>
      <c r="AG91" s="50"/>
      <c r="AH91" s="50"/>
      <c r="AI91" s="50"/>
      <c r="AJ91" s="50"/>
      <c r="AK91" s="50"/>
      <c r="AL91" s="19">
        <v>137.6</v>
      </c>
      <c r="AM91" s="19">
        <v>149.5</v>
      </c>
      <c r="AN91" s="19">
        <v>154.19999999999999</v>
      </c>
      <c r="AO91" s="19">
        <v>161</v>
      </c>
      <c r="AP91" s="6">
        <f t="shared" ref="AP91:AY91" ca="1" si="137">+AP102*AP62</f>
        <v>163.1238334924027</v>
      </c>
      <c r="AQ91" s="6">
        <f t="shared" ca="1" si="137"/>
        <v>168.43832075091669</v>
      </c>
      <c r="AR91" s="6">
        <f t="shared" ca="1" si="137"/>
        <v>172.39237940327084</v>
      </c>
      <c r="AS91" s="6">
        <f t="shared" ca="1" si="137"/>
        <v>176.44953826708942</v>
      </c>
      <c r="AT91" s="6">
        <f t="shared" ca="1" si="137"/>
        <v>180.60796671344852</v>
      </c>
      <c r="AU91" s="6">
        <f t="shared" ca="1" si="137"/>
        <v>184.86574214236509</v>
      </c>
      <c r="AV91" s="6">
        <f t="shared" ca="1" si="137"/>
        <v>189.22085898089423</v>
      </c>
      <c r="AW91" s="6">
        <f t="shared" ca="1" si="137"/>
        <v>193.67123651046703</v>
      </c>
      <c r="AX91" s="6">
        <f t="shared" ca="1" si="137"/>
        <v>198.21472581109145</v>
      </c>
      <c r="AY91" s="6">
        <f t="shared" ca="1" si="137"/>
        <v>202.84911603509235</v>
      </c>
    </row>
    <row r="92" spans="1:84">
      <c r="B92" t="s">
        <v>407</v>
      </c>
      <c r="D92" s="6"/>
      <c r="E92" s="19"/>
      <c r="F92" s="19"/>
      <c r="G92" s="6"/>
      <c r="H92" s="6"/>
      <c r="I92" s="6"/>
      <c r="J92" s="6"/>
      <c r="K92" s="6"/>
      <c r="L92" s="6"/>
      <c r="M92" s="6">
        <f ca="1">+SUM(AR92:AU92)</f>
        <v>138.0529999974998</v>
      </c>
      <c r="N92" s="6">
        <f ca="1">+SUM(AV92:AY92)</f>
        <v>150.39731098988636</v>
      </c>
      <c r="T92" s="50"/>
      <c r="U92" s="50"/>
      <c r="V92" s="50"/>
      <c r="W92" s="50"/>
      <c r="X92" s="50"/>
      <c r="Y92" s="50"/>
      <c r="Z92" s="50"/>
      <c r="AA92" s="50"/>
      <c r="AB92" s="50"/>
      <c r="AC92" s="50"/>
      <c r="AD92" s="50"/>
      <c r="AE92" s="50"/>
      <c r="AF92" s="50"/>
      <c r="AG92" s="50"/>
      <c r="AH92" s="50"/>
      <c r="AI92" s="50"/>
      <c r="AJ92" s="50"/>
      <c r="AK92" s="50"/>
      <c r="AL92" s="19">
        <v>28.7</v>
      </c>
      <c r="AM92" s="19">
        <v>29.3</v>
      </c>
      <c r="AN92" s="19">
        <v>29.4</v>
      </c>
      <c r="AO92" s="19">
        <v>31.5</v>
      </c>
      <c r="AP92" s="6">
        <f t="shared" ref="AP92:AY96" ca="1" si="138">+AP103*AP63</f>
        <v>32.037500358096445</v>
      </c>
      <c r="AQ92" s="6">
        <f t="shared" ca="1" si="138"/>
        <v>32.725203523711102</v>
      </c>
      <c r="AR92" s="6">
        <f t="shared" ca="1" si="138"/>
        <v>33.42307108124453</v>
      </c>
      <c r="AS92" s="6">
        <f t="shared" ca="1" si="138"/>
        <v>34.137194449335453</v>
      </c>
      <c r="AT92" s="6">
        <f t="shared" ca="1" si="138"/>
        <v>34.870111441416618</v>
      </c>
      <c r="AU92" s="6">
        <f t="shared" ca="1" si="138"/>
        <v>35.622623025503188</v>
      </c>
      <c r="AV92" s="6">
        <f t="shared" ca="1" si="138"/>
        <v>36.394664943539198</v>
      </c>
      <c r="AW92" s="6">
        <f t="shared" ca="1" si="138"/>
        <v>37.185730560411827</v>
      </c>
      <c r="AX92" s="6">
        <f t="shared" ca="1" si="138"/>
        <v>37.995078610206726</v>
      </c>
      <c r="AY92" s="6">
        <f t="shared" ca="1" si="138"/>
        <v>38.821836875728614</v>
      </c>
    </row>
    <row r="93" spans="1:84">
      <c r="B93" t="s">
        <v>408</v>
      </c>
      <c r="D93" s="6"/>
      <c r="E93" s="19"/>
      <c r="F93" s="19"/>
      <c r="G93" s="6"/>
      <c r="H93" s="6"/>
      <c r="I93" s="6"/>
      <c r="J93" s="6"/>
      <c r="K93" s="6"/>
      <c r="L93" s="6"/>
      <c r="M93" s="6"/>
      <c r="N93" s="6"/>
      <c r="T93" s="50"/>
      <c r="U93" s="50"/>
      <c r="V93" s="50"/>
      <c r="W93" s="50"/>
      <c r="X93" s="50"/>
      <c r="Y93" s="50"/>
      <c r="Z93" s="50"/>
      <c r="AA93" s="50"/>
      <c r="AB93" s="50"/>
      <c r="AC93" s="50"/>
      <c r="AD93" s="50"/>
      <c r="AE93" s="50"/>
      <c r="AF93" s="50"/>
      <c r="AG93" s="50"/>
      <c r="AH93" s="50"/>
      <c r="AI93" s="50"/>
      <c r="AJ93" s="50"/>
      <c r="AK93" s="50"/>
      <c r="AL93" s="19">
        <v>45.7</v>
      </c>
      <c r="AM93" s="19">
        <v>49.3</v>
      </c>
      <c r="AN93" s="19">
        <v>51.6</v>
      </c>
      <c r="AO93" s="19">
        <v>49.2</v>
      </c>
      <c r="AP93" s="6">
        <f t="shared" ca="1" si="138"/>
        <v>50.099572880682842</v>
      </c>
      <c r="AQ93" s="6">
        <f t="shared" ca="1" si="138"/>
        <v>50.170769873689281</v>
      </c>
      <c r="AR93" s="6">
        <f t="shared" ca="1" si="138"/>
        <v>50.276029554713325</v>
      </c>
      <c r="AS93" s="6">
        <f t="shared" ca="1" si="138"/>
        <v>50.413502852041631</v>
      </c>
      <c r="AT93" s="6">
        <f t="shared" ca="1" si="138"/>
        <v>50.563752538381571</v>
      </c>
      <c r="AU93" s="6">
        <f t="shared" ca="1" si="138"/>
        <v>50.711016821758875</v>
      </c>
      <c r="AV93" s="6">
        <f t="shared" ca="1" si="138"/>
        <v>50.853334721280824</v>
      </c>
      <c r="AW93" s="6">
        <f t="shared" ca="1" si="138"/>
        <v>50.988615646118582</v>
      </c>
      <c r="AX93" s="6">
        <f t="shared" ca="1" si="138"/>
        <v>51.114724959543089</v>
      </c>
      <c r="AY93" s="6">
        <f t="shared" ca="1" si="138"/>
        <v>51.229537815672963</v>
      </c>
    </row>
    <row r="94" spans="1:84">
      <c r="B94" t="s">
        <v>409</v>
      </c>
      <c r="D94" s="6"/>
      <c r="E94" s="19"/>
      <c r="F94" s="19"/>
      <c r="G94" s="6"/>
      <c r="H94" s="6"/>
      <c r="I94" s="6"/>
      <c r="J94" s="6"/>
      <c r="K94" s="6"/>
      <c r="L94" s="6"/>
      <c r="M94" s="6">
        <f ca="1">+SUM(AR94:AU94)</f>
        <v>212.53729477113609</v>
      </c>
      <c r="N94" s="6">
        <f ca="1">+SUM(AV94:AY94)</f>
        <v>212.28003088391449</v>
      </c>
      <c r="T94" s="50"/>
      <c r="U94" s="50"/>
      <c r="V94" s="50"/>
      <c r="W94" s="50"/>
      <c r="X94" s="50"/>
      <c r="Y94" s="50"/>
      <c r="Z94" s="50"/>
      <c r="AA94" s="51"/>
      <c r="AB94" s="100"/>
      <c r="AC94" s="100"/>
      <c r="AD94" s="100"/>
      <c r="AE94" s="100"/>
      <c r="AF94" s="100"/>
      <c r="AG94" s="100"/>
      <c r="AH94" s="100"/>
      <c r="AI94" s="100"/>
      <c r="AJ94" s="100"/>
      <c r="AK94" s="100"/>
      <c r="AL94" s="19">
        <v>46.6</v>
      </c>
      <c r="AM94" s="19">
        <v>51.1</v>
      </c>
      <c r="AN94" s="19">
        <v>49.5</v>
      </c>
      <c r="AO94" s="19">
        <v>57</v>
      </c>
      <c r="AP94" s="6">
        <f t="shared" ca="1" si="138"/>
        <v>53.827378883057655</v>
      </c>
      <c r="AQ94" s="6">
        <f t="shared" ca="1" si="138"/>
        <v>53.501647815794016</v>
      </c>
      <c r="AR94" s="6">
        <f t="shared" ca="1" si="138"/>
        <v>53.281061287994135</v>
      </c>
      <c r="AS94" s="6">
        <f t="shared" ca="1" si="138"/>
        <v>53.148239821568488</v>
      </c>
      <c r="AT94" s="6">
        <f t="shared" ca="1" si="138"/>
        <v>53.073477813765621</v>
      </c>
      <c r="AU94" s="6">
        <f t="shared" ca="1" si="138"/>
        <v>53.034515847807825</v>
      </c>
      <c r="AV94" s="6">
        <f t="shared" ca="1" si="138"/>
        <v>53.025525170266263</v>
      </c>
      <c r="AW94" s="6">
        <f t="shared" ca="1" si="138"/>
        <v>53.041738029143005</v>
      </c>
      <c r="AX94" s="6">
        <f t="shared" ca="1" si="138"/>
        <v>53.079039964022826</v>
      </c>
      <c r="AY94" s="6">
        <f t="shared" ca="1" si="138"/>
        <v>53.133727720482405</v>
      </c>
    </row>
    <row r="95" spans="1:84">
      <c r="B95" t="s">
        <v>132</v>
      </c>
      <c r="D95" s="6"/>
      <c r="E95" s="19"/>
      <c r="F95" s="19"/>
      <c r="G95" s="6"/>
      <c r="H95" s="6"/>
      <c r="I95" s="6"/>
      <c r="J95" s="6"/>
      <c r="K95" s="6"/>
      <c r="L95" s="6"/>
      <c r="M95" s="6"/>
      <c r="N95" s="6"/>
      <c r="T95" s="50"/>
      <c r="U95" s="50"/>
      <c r="V95" s="50"/>
      <c r="W95" s="50"/>
      <c r="X95" s="50"/>
      <c r="Y95" s="50"/>
      <c r="Z95" s="50"/>
      <c r="AA95" s="51"/>
      <c r="AB95" s="100"/>
      <c r="AC95" s="100"/>
      <c r="AD95" s="100"/>
      <c r="AE95" s="100"/>
      <c r="AF95" s="100"/>
      <c r="AG95" s="100"/>
      <c r="AH95" s="100"/>
      <c r="AI95" s="100"/>
      <c r="AJ95" s="100"/>
      <c r="AK95" s="100"/>
      <c r="AL95" s="19">
        <v>1.4</v>
      </c>
      <c r="AM95" s="19">
        <v>1.6</v>
      </c>
      <c r="AN95" s="19">
        <v>1.1000000000000001</v>
      </c>
      <c r="AO95" s="19">
        <v>1.3</v>
      </c>
      <c r="AP95" s="6">
        <f t="shared" ref="AP95:AY95" ca="1" si="139">+AP97-AP91-AP92-AP93-AP94-AP96</f>
        <v>-1.8900724427489592</v>
      </c>
      <c r="AQ95" s="6">
        <f t="shared" ca="1" si="139"/>
        <v>-3.4002227947454244</v>
      </c>
      <c r="AR95" s="6">
        <f t="shared" ca="1" si="139"/>
        <v>-3.4226989390101892</v>
      </c>
      <c r="AS95" s="6">
        <f t="shared" ca="1" si="139"/>
        <v>-3.4405401712433132</v>
      </c>
      <c r="AT95" s="6">
        <f t="shared" ca="1" si="139"/>
        <v>-3.4541434612706219</v>
      </c>
      <c r="AU95" s="6">
        <f t="shared" ca="1" si="139"/>
        <v>-3.4710411362726212</v>
      </c>
      <c r="AV95" s="6">
        <f t="shared" ca="1" si="139"/>
        <v>-3.4913574058470118</v>
      </c>
      <c r="AW95" s="6">
        <f t="shared" ca="1" si="139"/>
        <v>-3.5150918350612343</v>
      </c>
      <c r="AX95" s="6">
        <f t="shared" ca="1" si="139"/>
        <v>-3.5422203637919054</v>
      </c>
      <c r="AY95" s="6">
        <f t="shared" ca="1" si="139"/>
        <v>-3.7239221416467245</v>
      </c>
    </row>
    <row r="96" spans="1:84" s="3" customFormat="1">
      <c r="B96" s="3" t="s">
        <v>410</v>
      </c>
      <c r="D96" s="40"/>
      <c r="E96" s="50"/>
      <c r="F96" s="50"/>
      <c r="G96" s="40"/>
      <c r="H96" s="40"/>
      <c r="I96" s="40"/>
      <c r="J96" s="40"/>
      <c r="K96" s="40"/>
      <c r="L96" s="40"/>
      <c r="M96" s="40"/>
      <c r="N96" s="40"/>
      <c r="T96" s="50"/>
      <c r="U96" s="50"/>
      <c r="V96" s="50"/>
      <c r="W96" s="50"/>
      <c r="X96" s="50"/>
      <c r="Y96" s="50"/>
      <c r="Z96" s="50"/>
      <c r="AA96" s="51"/>
      <c r="AB96" s="100"/>
      <c r="AC96" s="100"/>
      <c r="AD96" s="100"/>
      <c r="AE96" s="100"/>
      <c r="AF96" s="100"/>
      <c r="AG96" s="100"/>
      <c r="AH96" s="50"/>
      <c r="AI96" s="62"/>
      <c r="AJ96" s="62"/>
      <c r="AK96" s="62"/>
      <c r="AL96" s="50">
        <v>22</v>
      </c>
      <c r="AM96" s="50">
        <v>30</v>
      </c>
      <c r="AN96" s="50">
        <v>30.8</v>
      </c>
      <c r="AO96" s="50">
        <v>29.9</v>
      </c>
      <c r="AP96" s="6">
        <f t="shared" si="138"/>
        <v>29.750499999999995</v>
      </c>
      <c r="AQ96" s="6">
        <f t="shared" si="138"/>
        <v>29.601747499999995</v>
      </c>
      <c r="AR96" s="6">
        <f t="shared" si="138"/>
        <v>29.453738762499995</v>
      </c>
      <c r="AS96" s="6">
        <f t="shared" si="138"/>
        <v>29.306470068687496</v>
      </c>
      <c r="AT96" s="6">
        <f t="shared" si="138"/>
        <v>29.159937718344057</v>
      </c>
      <c r="AU96" s="6">
        <f t="shared" si="138"/>
        <v>29.014138029752335</v>
      </c>
      <c r="AV96" s="6">
        <f t="shared" si="138"/>
        <v>28.869067339603575</v>
      </c>
      <c r="AW96" s="6">
        <f t="shared" si="138"/>
        <v>28.724722002905558</v>
      </c>
      <c r="AX96" s="6">
        <f t="shared" si="138"/>
        <v>28.581098392891029</v>
      </c>
      <c r="AY96" s="6">
        <f t="shared" si="138"/>
        <v>28.438192900926573</v>
      </c>
      <c r="CA96"/>
      <c r="CB96"/>
      <c r="CC96"/>
      <c r="CD96"/>
      <c r="CE96"/>
      <c r="CF96"/>
    </row>
    <row r="97" spans="1:84">
      <c r="B97" t="s">
        <v>76</v>
      </c>
      <c r="D97" s="6"/>
      <c r="E97" s="19"/>
      <c r="F97" s="6"/>
      <c r="G97" s="6"/>
      <c r="H97" s="6"/>
      <c r="I97" s="6"/>
      <c r="J97" s="6"/>
      <c r="K97" s="6"/>
      <c r="L97" s="6"/>
      <c r="M97" s="6">
        <f ca="1">+SUM(AR97:AU97)</f>
        <v>1370.016083933192</v>
      </c>
      <c r="N97" s="6">
        <f ca="1">+SUM(AV97:AY97)</f>
        <v>1451.1599812439413</v>
      </c>
      <c r="T97" s="6"/>
      <c r="U97" s="6"/>
      <c r="V97" s="6"/>
      <c r="W97" s="6"/>
      <c r="X97" s="6"/>
      <c r="Y97" s="6"/>
      <c r="Z97" s="81"/>
      <c r="AA97" s="81"/>
      <c r="AB97" s="81"/>
      <c r="AC97" s="81"/>
      <c r="AD97" s="81"/>
      <c r="AE97" s="81"/>
      <c r="AF97" s="81"/>
      <c r="AG97" s="81"/>
      <c r="AH97" s="81"/>
      <c r="AI97" s="81"/>
      <c r="AJ97" s="81"/>
      <c r="AK97" s="81"/>
      <c r="AL97" s="6">
        <f>SUM(AL91:AL96)</f>
        <v>282</v>
      </c>
      <c r="AM97" s="6">
        <f>SUM(AM91:AM96)</f>
        <v>310.80000000000007</v>
      </c>
      <c r="AN97" s="6">
        <f>SUM(AN91:AN96)</f>
        <v>316.60000000000002</v>
      </c>
      <c r="AO97" s="6">
        <f>SUM(AO91:AO96)</f>
        <v>329.9</v>
      </c>
      <c r="AP97" s="6">
        <f t="shared" ref="AP97:AY97" ca="1" si="140">+AP51</f>
        <v>326.94871317149068</v>
      </c>
      <c r="AQ97" s="6">
        <f t="shared" ca="1" si="140"/>
        <v>331.03746666936564</v>
      </c>
      <c r="AR97" s="6">
        <f t="shared" ca="1" si="140"/>
        <v>335.40358115071263</v>
      </c>
      <c r="AS97" s="6">
        <f t="shared" ca="1" si="140"/>
        <v>340.01440528747918</v>
      </c>
      <c r="AT97" s="6">
        <f t="shared" ca="1" si="140"/>
        <v>344.82110276408577</v>
      </c>
      <c r="AU97" s="6">
        <f t="shared" ca="1" si="140"/>
        <v>349.77699473091468</v>
      </c>
      <c r="AV97" s="6">
        <f t="shared" ca="1" si="140"/>
        <v>354.87209374973708</v>
      </c>
      <c r="AW97" s="6">
        <f t="shared" ca="1" si="140"/>
        <v>360.09695091398476</v>
      </c>
      <c r="AX97" s="6">
        <f t="shared" ca="1" si="140"/>
        <v>365.4424473739632</v>
      </c>
      <c r="AY97" s="6">
        <f t="shared" ca="1" si="140"/>
        <v>370.74848920625618</v>
      </c>
    </row>
    <row r="98" spans="1:84">
      <c r="T98" s="6"/>
      <c r="U98" s="6"/>
      <c r="V98" s="6"/>
      <c r="W98" s="6"/>
      <c r="X98" s="6"/>
      <c r="Y98" s="6"/>
      <c r="Z98" s="81"/>
      <c r="AA98" s="81"/>
      <c r="AB98" s="81"/>
      <c r="AC98" s="81"/>
      <c r="AD98" s="81"/>
      <c r="AE98" s="81"/>
      <c r="AF98" s="81"/>
      <c r="AG98" s="81"/>
      <c r="AH98" s="81"/>
      <c r="AI98" s="81"/>
      <c r="AJ98" s="81"/>
      <c r="AK98" s="81"/>
      <c r="AL98" s="81"/>
      <c r="AM98" s="81"/>
    </row>
    <row r="99" spans="1:84" hidden="1" outlineLevel="1">
      <c r="B99" s="7" t="s">
        <v>75</v>
      </c>
      <c r="D99" s="46"/>
      <c r="E99" s="46"/>
      <c r="F99" s="46">
        <f t="shared" ref="F99:N99" si="141">+F51-F97</f>
        <v>187.78599999999994</v>
      </c>
      <c r="G99" s="46">
        <f t="shared" si="141"/>
        <v>554.42707600667359</v>
      </c>
      <c r="H99" s="46">
        <f t="shared" si="141"/>
        <v>653.61018672880209</v>
      </c>
      <c r="I99" s="46">
        <f t="shared" si="141"/>
        <v>782.60000000000014</v>
      </c>
      <c r="J99" s="46">
        <f t="shared" si="141"/>
        <v>934.9</v>
      </c>
      <c r="K99" s="46">
        <f t="shared" si="141"/>
        <v>1116.8000000000002</v>
      </c>
      <c r="L99" s="46">
        <f t="shared" ca="1" si="141"/>
        <v>1304.4861798408563</v>
      </c>
      <c r="M99" s="46">
        <f t="shared" ca="1" si="141"/>
        <v>0</v>
      </c>
      <c r="N99" s="46">
        <f t="shared" ca="1" si="141"/>
        <v>0</v>
      </c>
      <c r="T99" s="46">
        <f t="shared" ref="T99:AM99" si="142">+T51-T97</f>
        <v>125.6178835624993</v>
      </c>
      <c r="U99" s="46">
        <f t="shared" si="142"/>
        <v>139.37871740345793</v>
      </c>
      <c r="V99" s="46">
        <f t="shared" si="142"/>
        <v>147.59169075010976</v>
      </c>
      <c r="W99" s="46">
        <f t="shared" si="142"/>
        <v>141.83878429060655</v>
      </c>
      <c r="X99" s="46">
        <f t="shared" si="142"/>
        <v>155.60177105606058</v>
      </c>
      <c r="Y99" s="46">
        <f t="shared" si="142"/>
        <v>161.66567373765406</v>
      </c>
      <c r="Z99" s="118">
        <f t="shared" si="142"/>
        <v>165.22903738364963</v>
      </c>
      <c r="AA99" s="118">
        <f t="shared" si="142"/>
        <v>171.11370455143791</v>
      </c>
      <c r="AB99" s="118">
        <f t="shared" si="142"/>
        <v>182.99999999999997</v>
      </c>
      <c r="AC99" s="118">
        <f t="shared" si="142"/>
        <v>189.70000000000002</v>
      </c>
      <c r="AD99" s="118">
        <f t="shared" si="142"/>
        <v>199</v>
      </c>
      <c r="AE99" s="118">
        <f t="shared" si="142"/>
        <v>210.90000000000003</v>
      </c>
      <c r="AF99" s="118">
        <f t="shared" si="142"/>
        <v>215.39999999999998</v>
      </c>
      <c r="AG99" s="118">
        <f t="shared" si="142"/>
        <v>218.90000000000006</v>
      </c>
      <c r="AH99" s="118">
        <f t="shared" si="142"/>
        <v>242.79999999999995</v>
      </c>
      <c r="AI99" s="118">
        <f t="shared" si="142"/>
        <v>257.79999999999995</v>
      </c>
      <c r="AJ99" s="118">
        <f t="shared" si="142"/>
        <v>260.60000000000002</v>
      </c>
      <c r="AK99" s="118">
        <f t="shared" si="142"/>
        <v>263.39999999999992</v>
      </c>
      <c r="AL99" s="118">
        <f t="shared" si="142"/>
        <v>0</v>
      </c>
      <c r="AM99" s="118">
        <f t="shared" si="142"/>
        <v>0</v>
      </c>
      <c r="AN99" s="46"/>
      <c r="AO99" s="46"/>
      <c r="AP99" s="46"/>
      <c r="AQ99" s="46"/>
      <c r="AR99" s="46"/>
      <c r="AS99" s="46"/>
      <c r="AT99" s="46"/>
      <c r="AU99" s="46"/>
      <c r="AV99" s="46"/>
      <c r="AW99" s="46"/>
      <c r="AX99" s="46"/>
      <c r="AY99" s="46"/>
    </row>
    <row r="100" spans="1:84" hidden="1" outlineLevel="1">
      <c r="AA100" s="15"/>
      <c r="AB100" s="15"/>
      <c r="AC100" s="15"/>
      <c r="AD100" s="15"/>
      <c r="AE100" s="15"/>
      <c r="AF100" s="15"/>
      <c r="AG100" s="15"/>
      <c r="AH100" s="15"/>
      <c r="AI100" s="15"/>
      <c r="AJ100" s="15"/>
      <c r="AK100" s="15"/>
      <c r="AL100" s="15"/>
      <c r="AM100" s="15"/>
    </row>
    <row r="101" spans="1:84" collapsed="1">
      <c r="B101" s="45" t="s">
        <v>77</v>
      </c>
      <c r="AA101" s="15"/>
      <c r="AB101" s="15"/>
      <c r="AC101" s="15"/>
      <c r="AD101" s="15"/>
      <c r="AE101" s="15"/>
      <c r="AF101" s="15"/>
      <c r="AG101" s="15"/>
      <c r="AH101" s="15"/>
      <c r="AI101" s="15"/>
      <c r="AJ101" s="15"/>
      <c r="AK101" s="15"/>
      <c r="AL101" s="15"/>
      <c r="AM101" s="15"/>
      <c r="AN101" s="15"/>
      <c r="AO101" s="15"/>
    </row>
    <row r="102" spans="1:84">
      <c r="B102" t="s">
        <v>406</v>
      </c>
      <c r="D102" s="23"/>
      <c r="E102" s="23"/>
      <c r="F102" s="23"/>
      <c r="G102" s="23"/>
      <c r="H102" s="23"/>
      <c r="I102" s="23"/>
      <c r="J102" s="23"/>
      <c r="K102" s="23"/>
      <c r="L102" s="23"/>
      <c r="M102" s="23"/>
      <c r="N102" s="23"/>
      <c r="T102" s="23"/>
      <c r="U102" s="23"/>
      <c r="V102" s="23"/>
      <c r="W102" s="23"/>
      <c r="X102" s="23"/>
      <c r="Y102" s="23"/>
      <c r="Z102" s="48"/>
      <c r="AA102" s="48"/>
      <c r="AB102" s="48"/>
      <c r="AC102" s="48"/>
      <c r="AD102" s="48"/>
      <c r="AE102" s="48"/>
      <c r="AF102" s="48"/>
      <c r="AG102" s="48"/>
      <c r="AH102" s="48"/>
      <c r="AI102" s="48"/>
      <c r="AJ102" s="48"/>
      <c r="AK102" s="48"/>
      <c r="AL102" s="48">
        <f>+AL91/AL62</f>
        <v>0.76614699331848557</v>
      </c>
      <c r="AM102" s="48">
        <f>+AM91/AM62</f>
        <v>0.7831325301204819</v>
      </c>
      <c r="AN102" s="48">
        <f>+AN91/AN62</f>
        <v>0.78874680306905365</v>
      </c>
      <c r="AO102" s="48">
        <f>+AO91/AO62</f>
        <v>0.80299251870324184</v>
      </c>
      <c r="AP102" s="31">
        <f t="shared" ref="AP102:AY102" si="143">+AO102</f>
        <v>0.80299251870324184</v>
      </c>
      <c r="AQ102" s="31">
        <f t="shared" si="143"/>
        <v>0.80299251870324184</v>
      </c>
      <c r="AR102" s="31">
        <f t="shared" si="143"/>
        <v>0.80299251870324184</v>
      </c>
      <c r="AS102" s="31">
        <f t="shared" si="143"/>
        <v>0.80299251870324184</v>
      </c>
      <c r="AT102" s="31">
        <f t="shared" si="143"/>
        <v>0.80299251870324184</v>
      </c>
      <c r="AU102" s="31">
        <f t="shared" si="143"/>
        <v>0.80299251870324184</v>
      </c>
      <c r="AV102" s="31">
        <f t="shared" si="143"/>
        <v>0.80299251870324184</v>
      </c>
      <c r="AW102" s="31">
        <f t="shared" si="143"/>
        <v>0.80299251870324184</v>
      </c>
      <c r="AX102" s="31">
        <f t="shared" si="143"/>
        <v>0.80299251870324184</v>
      </c>
      <c r="AY102" s="31">
        <f t="shared" si="143"/>
        <v>0.80299251870324184</v>
      </c>
    </row>
    <row r="103" spans="1:84">
      <c r="B103" t="s">
        <v>407</v>
      </c>
      <c r="D103" s="23"/>
      <c r="E103" s="23"/>
      <c r="F103" s="23"/>
      <c r="G103" s="23"/>
      <c r="H103" s="23"/>
      <c r="I103" s="23"/>
      <c r="J103" s="23"/>
      <c r="K103" s="23"/>
      <c r="L103" s="23"/>
      <c r="M103" s="23"/>
      <c r="N103" s="23"/>
      <c r="T103" s="23"/>
      <c r="U103" s="23"/>
      <c r="V103" s="23"/>
      <c r="W103" s="23"/>
      <c r="X103" s="23"/>
      <c r="Y103" s="23"/>
      <c r="Z103" s="48"/>
      <c r="AA103" s="48"/>
      <c r="AB103" s="48"/>
      <c r="AC103" s="48"/>
      <c r="AD103" s="48"/>
      <c r="AE103" s="48"/>
      <c r="AF103" s="48"/>
      <c r="AG103" s="48"/>
      <c r="AH103" s="48"/>
      <c r="AI103" s="48"/>
      <c r="AJ103" s="48"/>
      <c r="AK103" s="48"/>
      <c r="AL103" s="48">
        <f t="shared" ref="AL103" si="144">+AL92/AL63</f>
        <v>0.53544776119402981</v>
      </c>
      <c r="AM103" s="48">
        <f t="shared" ref="AM103:AN107" si="145">+AM92/AM63</f>
        <v>0.51675485008818345</v>
      </c>
      <c r="AN103" s="48">
        <f t="shared" si="145"/>
        <v>0.50342465753424659</v>
      </c>
      <c r="AO103" s="48">
        <f t="shared" ref="AO103" si="146">+AO92/AO63</f>
        <v>0.52587646076794659</v>
      </c>
      <c r="AP103" s="31">
        <f t="shared" ref="AP103:AY105" si="147">+AO103</f>
        <v>0.52587646076794659</v>
      </c>
      <c r="AQ103" s="31">
        <f t="shared" si="147"/>
        <v>0.52587646076794659</v>
      </c>
      <c r="AR103" s="31">
        <f t="shared" si="147"/>
        <v>0.52587646076794659</v>
      </c>
      <c r="AS103" s="31">
        <f t="shared" si="147"/>
        <v>0.52587646076794659</v>
      </c>
      <c r="AT103" s="31">
        <f t="shared" si="147"/>
        <v>0.52587646076794659</v>
      </c>
      <c r="AU103" s="31">
        <f t="shared" si="147"/>
        <v>0.52587646076794659</v>
      </c>
      <c r="AV103" s="31">
        <f t="shared" si="147"/>
        <v>0.52587646076794659</v>
      </c>
      <c r="AW103" s="31">
        <f t="shared" si="147"/>
        <v>0.52587646076794659</v>
      </c>
      <c r="AX103" s="31">
        <f t="shared" si="147"/>
        <v>0.52587646076794659</v>
      </c>
      <c r="AY103" s="31">
        <f t="shared" si="147"/>
        <v>0.52587646076794659</v>
      </c>
    </row>
    <row r="104" spans="1:84">
      <c r="B104" t="s">
        <v>408</v>
      </c>
      <c r="D104" s="23"/>
      <c r="E104" s="23"/>
      <c r="F104" s="23"/>
      <c r="G104" s="23"/>
      <c r="H104" s="23"/>
      <c r="I104" s="23"/>
      <c r="J104" s="23"/>
      <c r="K104" s="23"/>
      <c r="L104" s="23"/>
      <c r="M104" s="23"/>
      <c r="N104" s="23"/>
      <c r="T104" s="23"/>
      <c r="U104" s="23"/>
      <c r="V104" s="23"/>
      <c r="W104" s="23"/>
      <c r="X104" s="23"/>
      <c r="Y104" s="23"/>
      <c r="Z104" s="48"/>
      <c r="AA104" s="48"/>
      <c r="AB104" s="48"/>
      <c r="AC104" s="48"/>
      <c r="AD104" s="48"/>
      <c r="AE104" s="48"/>
      <c r="AF104" s="48"/>
      <c r="AG104" s="48"/>
      <c r="AH104" s="48"/>
      <c r="AI104" s="48"/>
      <c r="AJ104" s="48"/>
      <c r="AK104" s="48"/>
      <c r="AL104" s="48">
        <f t="shared" ref="AL104" si="148">+AL93/AL64</f>
        <v>0.41357466063348419</v>
      </c>
      <c r="AM104" s="48">
        <f t="shared" si="145"/>
        <v>0.41993185689948886</v>
      </c>
      <c r="AN104" s="48">
        <f t="shared" si="145"/>
        <v>0.43324937027707811</v>
      </c>
      <c r="AO104" s="48">
        <f t="shared" ref="AO104" si="149">+AO93/AO64</f>
        <v>0.41943734015345274</v>
      </c>
      <c r="AP104" s="31">
        <f t="shared" si="147"/>
        <v>0.41943734015345274</v>
      </c>
      <c r="AQ104" s="31">
        <f t="shared" si="147"/>
        <v>0.41943734015345274</v>
      </c>
      <c r="AR104" s="31">
        <f t="shared" si="147"/>
        <v>0.41943734015345274</v>
      </c>
      <c r="AS104" s="31">
        <f t="shared" si="147"/>
        <v>0.41943734015345274</v>
      </c>
      <c r="AT104" s="31">
        <f t="shared" si="147"/>
        <v>0.41943734015345274</v>
      </c>
      <c r="AU104" s="31">
        <f t="shared" si="147"/>
        <v>0.41943734015345274</v>
      </c>
      <c r="AV104" s="31">
        <f t="shared" si="147"/>
        <v>0.41943734015345274</v>
      </c>
      <c r="AW104" s="31">
        <f t="shared" si="147"/>
        <v>0.41943734015345274</v>
      </c>
      <c r="AX104" s="31">
        <f t="shared" si="147"/>
        <v>0.41943734015345274</v>
      </c>
      <c r="AY104" s="31">
        <f t="shared" si="147"/>
        <v>0.41943734015345274</v>
      </c>
    </row>
    <row r="105" spans="1:84">
      <c r="B105" t="s">
        <v>409</v>
      </c>
      <c r="D105" s="23"/>
      <c r="E105" s="23"/>
      <c r="F105" s="23"/>
      <c r="G105" s="23"/>
      <c r="H105" s="23"/>
      <c r="I105" s="23"/>
      <c r="J105" s="23"/>
      <c r="K105" s="23"/>
      <c r="L105" s="23"/>
      <c r="M105" s="23"/>
      <c r="N105" s="23"/>
      <c r="T105" s="23"/>
      <c r="U105" s="23"/>
      <c r="V105" s="23"/>
      <c r="W105" s="23"/>
      <c r="X105" s="23"/>
      <c r="Y105" s="23"/>
      <c r="Z105" s="48"/>
      <c r="AA105" s="48"/>
      <c r="AB105" s="48"/>
      <c r="AC105" s="48"/>
      <c r="AD105" s="48"/>
      <c r="AE105" s="48"/>
      <c r="AF105" s="48"/>
      <c r="AG105" s="48"/>
      <c r="AH105" s="48"/>
      <c r="AI105" s="48"/>
      <c r="AJ105" s="48"/>
      <c r="AK105" s="48"/>
      <c r="AL105" s="48">
        <f t="shared" ref="AL105" si="150">+AL94/AL65</f>
        <v>0.38290879211175022</v>
      </c>
      <c r="AM105" s="48">
        <f t="shared" si="145"/>
        <v>0.37408491947291367</v>
      </c>
      <c r="AN105" s="48">
        <f t="shared" si="145"/>
        <v>0.35947712418300659</v>
      </c>
      <c r="AO105" s="48">
        <f t="shared" ref="AO105" si="151">+AO94/AO65</f>
        <v>0.39067854694996573</v>
      </c>
      <c r="AP105" s="31">
        <f t="shared" si="147"/>
        <v>0.39067854694996573</v>
      </c>
      <c r="AQ105" s="31">
        <f t="shared" si="147"/>
        <v>0.39067854694996573</v>
      </c>
      <c r="AR105" s="31">
        <f t="shared" si="147"/>
        <v>0.39067854694996573</v>
      </c>
      <c r="AS105" s="31">
        <f t="shared" si="147"/>
        <v>0.39067854694996573</v>
      </c>
      <c r="AT105" s="31">
        <f t="shared" si="147"/>
        <v>0.39067854694996573</v>
      </c>
      <c r="AU105" s="31">
        <f t="shared" si="147"/>
        <v>0.39067854694996573</v>
      </c>
      <c r="AV105" s="31">
        <f t="shared" si="147"/>
        <v>0.39067854694996573</v>
      </c>
      <c r="AW105" s="31">
        <f t="shared" si="147"/>
        <v>0.39067854694996573</v>
      </c>
      <c r="AX105" s="31">
        <f t="shared" si="147"/>
        <v>0.39067854694996573</v>
      </c>
      <c r="AY105" s="31">
        <f t="shared" si="147"/>
        <v>0.39067854694996573</v>
      </c>
    </row>
    <row r="106" spans="1:84">
      <c r="B106" t="s">
        <v>132</v>
      </c>
      <c r="D106" s="23"/>
      <c r="E106" s="23"/>
      <c r="F106" s="23"/>
      <c r="G106" s="23"/>
      <c r="H106" s="23"/>
      <c r="I106" s="23"/>
      <c r="J106" s="23"/>
      <c r="K106" s="23"/>
      <c r="L106" s="23"/>
      <c r="M106" s="23"/>
      <c r="N106" s="23"/>
      <c r="T106" s="23"/>
      <c r="U106" s="23"/>
      <c r="V106" s="23"/>
      <c r="W106" s="23"/>
      <c r="X106" s="23"/>
      <c r="Y106" s="23"/>
      <c r="Z106" s="48"/>
      <c r="AA106" s="48"/>
      <c r="AB106" s="48"/>
      <c r="AC106" s="48"/>
      <c r="AD106" s="48"/>
      <c r="AE106" s="48"/>
      <c r="AF106" s="48"/>
      <c r="AG106" s="48"/>
      <c r="AH106" s="48"/>
      <c r="AI106" s="48"/>
      <c r="AJ106" s="48"/>
      <c r="AK106" s="48"/>
      <c r="AL106" s="48">
        <f t="shared" ref="AL106" si="152">+AL95/AL66</f>
        <v>0.25454545454545452</v>
      </c>
      <c r="AM106" s="48">
        <f t="shared" si="145"/>
        <v>0.21333333333333335</v>
      </c>
      <c r="AN106" s="48">
        <f t="shared" si="145"/>
        <v>0.21568627450980396</v>
      </c>
      <c r="AO106" s="48">
        <f t="shared" ref="AO106" si="153">+AO95/AO66</f>
        <v>0.203125</v>
      </c>
      <c r="AP106" s="2"/>
      <c r="AQ106" s="2"/>
      <c r="AR106" s="2"/>
      <c r="AS106" s="2"/>
      <c r="AT106" s="2"/>
      <c r="AU106" s="2"/>
      <c r="AV106" s="2"/>
      <c r="AW106" s="2"/>
      <c r="AX106" s="2"/>
      <c r="AY106" s="2"/>
    </row>
    <row r="107" spans="1:84" s="3" customFormat="1">
      <c r="B107" s="3" t="s">
        <v>410</v>
      </c>
      <c r="D107" s="311"/>
      <c r="E107" s="311"/>
      <c r="F107" s="311"/>
      <c r="G107" s="311"/>
      <c r="H107" s="311"/>
      <c r="I107" s="311"/>
      <c r="J107" s="311"/>
      <c r="K107" s="311"/>
      <c r="L107" s="311"/>
      <c r="M107" s="311"/>
      <c r="N107" s="311"/>
      <c r="T107" s="311"/>
      <c r="U107" s="311"/>
      <c r="V107" s="311"/>
      <c r="W107" s="311"/>
      <c r="X107" s="311"/>
      <c r="Y107" s="311"/>
      <c r="Z107" s="312"/>
      <c r="AA107" s="312"/>
      <c r="AB107" s="312"/>
      <c r="AC107" s="312"/>
      <c r="AD107" s="312"/>
      <c r="AE107" s="312"/>
      <c r="AF107" s="312"/>
      <c r="AG107" s="312"/>
      <c r="AH107" s="312"/>
      <c r="AI107" s="312"/>
      <c r="AJ107" s="312"/>
      <c r="AK107" s="312"/>
      <c r="AL107" s="48">
        <f t="shared" ref="AL107" si="154">+AL96/AL67</f>
        <v>0.27742749054224464</v>
      </c>
      <c r="AM107" s="48">
        <f t="shared" si="145"/>
        <v>0.23273855702094645</v>
      </c>
      <c r="AN107" s="48">
        <f t="shared" si="145"/>
        <v>0.24119028974158183</v>
      </c>
      <c r="AO107" s="48">
        <f t="shared" ref="AO107" si="155">+AO96/AO67</f>
        <v>0.24210526315789471</v>
      </c>
      <c r="AP107" s="31">
        <f t="shared" ref="AP107:AY107" si="156">+AO107</f>
        <v>0.24210526315789471</v>
      </c>
      <c r="AQ107" s="31">
        <f t="shared" si="156"/>
        <v>0.24210526315789471</v>
      </c>
      <c r="AR107" s="31">
        <f t="shared" si="156"/>
        <v>0.24210526315789471</v>
      </c>
      <c r="AS107" s="31">
        <f t="shared" si="156"/>
        <v>0.24210526315789471</v>
      </c>
      <c r="AT107" s="31">
        <f t="shared" si="156"/>
        <v>0.24210526315789471</v>
      </c>
      <c r="AU107" s="31">
        <f t="shared" si="156"/>
        <v>0.24210526315789471</v>
      </c>
      <c r="AV107" s="31">
        <f t="shared" si="156"/>
        <v>0.24210526315789471</v>
      </c>
      <c r="AW107" s="31">
        <f t="shared" si="156"/>
        <v>0.24210526315789471</v>
      </c>
      <c r="AX107" s="31">
        <f t="shared" si="156"/>
        <v>0.24210526315789471</v>
      </c>
      <c r="AY107" s="31">
        <f t="shared" si="156"/>
        <v>0.24210526315789471</v>
      </c>
      <c r="CA107"/>
      <c r="CB107"/>
      <c r="CC107"/>
      <c r="CD107"/>
      <c r="CE107"/>
      <c r="CF107"/>
    </row>
    <row r="108" spans="1:84">
      <c r="B108" t="s">
        <v>76</v>
      </c>
      <c r="D108" s="2"/>
      <c r="E108" s="2"/>
      <c r="F108" s="2"/>
      <c r="G108" s="2">
        <f t="shared" ref="G108:N108" si="157">+G51/G5</f>
        <v>0.55201880217416988</v>
      </c>
      <c r="H108" s="2">
        <f t="shared" si="157"/>
        <v>0.58192452172755649</v>
      </c>
      <c r="I108" s="2">
        <f t="shared" si="157"/>
        <v>0.5809516739662981</v>
      </c>
      <c r="J108" s="2">
        <f t="shared" si="157"/>
        <v>0.5430098158796538</v>
      </c>
      <c r="K108" s="2">
        <f t="shared" si="157"/>
        <v>0.50768251659241759</v>
      </c>
      <c r="L108" s="2">
        <f t="shared" ca="1" si="157"/>
        <v>0.50025497115176965</v>
      </c>
      <c r="M108" s="2">
        <f t="shared" ca="1" si="157"/>
        <v>0.50926128441884289</v>
      </c>
      <c r="N108" s="2">
        <f t="shared" ca="1" si="157"/>
        <v>0.51872338565801102</v>
      </c>
      <c r="T108" s="2">
        <f t="shared" ref="T108:AY108" si="158">+T51/T5</f>
        <v>0.53226185226716738</v>
      </c>
      <c r="U108" s="2">
        <f t="shared" si="158"/>
        <v>0.55745954761243866</v>
      </c>
      <c r="V108" s="2">
        <f t="shared" si="158"/>
        <v>0.57528519472841266</v>
      </c>
      <c r="W108" s="2">
        <f t="shared" si="158"/>
        <v>0.54183218400155098</v>
      </c>
      <c r="X108" s="2">
        <f t="shared" si="158"/>
        <v>0.58049363657071262</v>
      </c>
      <c r="Y108" s="2">
        <f t="shared" si="158"/>
        <v>0.58368088746839331</v>
      </c>
      <c r="Z108" s="112">
        <f t="shared" si="158"/>
        <v>0.58718258158854686</v>
      </c>
      <c r="AA108" s="112">
        <f t="shared" si="158"/>
        <v>0.57659205375572098</v>
      </c>
      <c r="AB108" s="112">
        <f t="shared" si="158"/>
        <v>0.57080474111041779</v>
      </c>
      <c r="AC108" s="112">
        <f t="shared" si="158"/>
        <v>0.58567459092312446</v>
      </c>
      <c r="AD108" s="112">
        <f t="shared" si="158"/>
        <v>0.58409157616671559</v>
      </c>
      <c r="AE108" s="112">
        <f t="shared" si="158"/>
        <v>0.58275766786405092</v>
      </c>
      <c r="AF108" s="112">
        <f t="shared" si="158"/>
        <v>0.5872410032715375</v>
      </c>
      <c r="AG108" s="112">
        <f t="shared" si="158"/>
        <v>0.59226190476190488</v>
      </c>
      <c r="AH108" s="112">
        <f t="shared" si="158"/>
        <v>0.50794979079497904</v>
      </c>
      <c r="AI108" s="112">
        <f t="shared" si="158"/>
        <v>0.50818056376897291</v>
      </c>
      <c r="AJ108" s="112">
        <f t="shared" si="158"/>
        <v>0.51614181025945738</v>
      </c>
      <c r="AK108" s="112">
        <f t="shared" si="158"/>
        <v>0.51983422143280034</v>
      </c>
      <c r="AL108" s="112">
        <f t="shared" si="158"/>
        <v>0.51254089422028359</v>
      </c>
      <c r="AM108" s="112">
        <f t="shared" si="158"/>
        <v>0.4871473354231976</v>
      </c>
      <c r="AN108" s="112">
        <f t="shared" si="158"/>
        <v>0.49199689199689201</v>
      </c>
      <c r="AO108" s="112">
        <f t="shared" ref="AO108" si="159">+AO51/AO5</f>
        <v>0.50482019892884455</v>
      </c>
      <c r="AP108" s="112">
        <f t="shared" ca="1" si="158"/>
        <v>0.50083686733377109</v>
      </c>
      <c r="AQ108" s="112">
        <f t="shared" ca="1" si="158"/>
        <v>0.50322049386364887</v>
      </c>
      <c r="AR108" s="112">
        <f t="shared" ca="1" si="158"/>
        <v>0.50563422323882568</v>
      </c>
      <c r="AS108" s="112">
        <f t="shared" ca="1" si="158"/>
        <v>0.50803950291141131</v>
      </c>
      <c r="AT108" s="112">
        <f t="shared" ca="1" si="158"/>
        <v>0.51043613760677586</v>
      </c>
      <c r="AU108" s="112">
        <f t="shared" ca="1" si="158"/>
        <v>0.51282399379565646</v>
      </c>
      <c r="AV108" s="112">
        <f t="shared" ca="1" si="158"/>
        <v>0.5152027970324583</v>
      </c>
      <c r="AW108" s="112">
        <f t="shared" ca="1" si="158"/>
        <v>0.51757228519888143</v>
      </c>
      <c r="AX108" s="112">
        <f t="shared" ca="1" si="158"/>
        <v>0.51993220693461839</v>
      </c>
      <c r="AY108" s="112">
        <f t="shared" ca="1" si="158"/>
        <v>0.52206945216814848</v>
      </c>
    </row>
    <row r="109" spans="1:84">
      <c r="AA109" s="15"/>
      <c r="AB109" s="15"/>
      <c r="AC109" s="15"/>
      <c r="AD109" s="15"/>
      <c r="AE109" s="15"/>
      <c r="AF109" s="15"/>
      <c r="AG109" s="15"/>
      <c r="AH109" s="15"/>
      <c r="AI109" s="15"/>
      <c r="AJ109" s="15"/>
      <c r="AK109" s="15"/>
      <c r="AL109" s="15"/>
      <c r="AM109" s="15"/>
      <c r="AN109" s="15"/>
      <c r="AO109" s="15"/>
    </row>
    <row r="110" spans="1:84" s="1" customFormat="1">
      <c r="A110" s="49" t="s">
        <v>40</v>
      </c>
      <c r="B110" s="27" t="s">
        <v>81</v>
      </c>
      <c r="Z110" s="109"/>
      <c r="AA110" s="109"/>
      <c r="AB110" s="109"/>
      <c r="AC110" s="109"/>
      <c r="AD110" s="109"/>
      <c r="AE110" s="109"/>
      <c r="AF110" s="109"/>
      <c r="AG110" s="109"/>
      <c r="AH110" s="109"/>
      <c r="AI110" s="109"/>
      <c r="AJ110" s="109"/>
      <c r="AK110" s="109"/>
      <c r="AL110" s="109"/>
      <c r="AM110" s="109"/>
      <c r="AN110" s="109"/>
      <c r="AO110" s="109"/>
      <c r="CA110"/>
      <c r="CB110"/>
      <c r="CC110"/>
      <c r="CD110"/>
      <c r="CE110"/>
      <c r="CF110"/>
    </row>
    <row r="111" spans="1:84">
      <c r="AA111" s="15"/>
      <c r="AB111" s="15"/>
      <c r="AC111" s="15"/>
      <c r="AD111" s="15"/>
      <c r="AE111" s="15"/>
      <c r="AF111" s="15"/>
      <c r="AG111" s="15"/>
      <c r="AH111" s="15"/>
      <c r="AI111" s="15"/>
      <c r="AJ111" s="15"/>
      <c r="AK111" s="15"/>
      <c r="AL111" s="15"/>
      <c r="AM111" s="15"/>
      <c r="AN111" s="15"/>
      <c r="AO111" s="15"/>
    </row>
    <row r="112" spans="1:84">
      <c r="B112" t="s">
        <v>83</v>
      </c>
      <c r="D112" s="2"/>
      <c r="E112" s="2"/>
      <c r="F112" s="2"/>
      <c r="G112" s="2">
        <f t="shared" ref="G112:N112" si="160">+G10</f>
        <v>0.3122742561065644</v>
      </c>
      <c r="H112" s="2">
        <f t="shared" si="160"/>
        <v>0.30625859042351805</v>
      </c>
      <c r="I112" s="2">
        <f t="shared" si="160"/>
        <v>0.30695568257738848</v>
      </c>
      <c r="J112" s="2">
        <f t="shared" si="160"/>
        <v>0.33612127548353371</v>
      </c>
      <c r="K112" s="2">
        <f t="shared" si="160"/>
        <v>0.35589599054459492</v>
      </c>
      <c r="L112" s="2">
        <f t="shared" ca="1" si="160"/>
        <v>0.3566594763230676</v>
      </c>
      <c r="M112" s="2">
        <f t="shared" ca="1" si="160"/>
        <v>0.34824406384784873</v>
      </c>
      <c r="N112" s="2">
        <f t="shared" ca="1" si="160"/>
        <v>0.34224239507850712</v>
      </c>
      <c r="T112" s="2">
        <f t="shared" ref="T112:AN112" si="161">T10</f>
        <v>0.33076344889813813</v>
      </c>
      <c r="U112" s="2">
        <f t="shared" si="161"/>
        <v>0.29406577828668146</v>
      </c>
      <c r="V112" s="2">
        <f t="shared" si="161"/>
        <v>0.30386471410761223</v>
      </c>
      <c r="W112" s="2">
        <f t="shared" si="161"/>
        <v>0.32123794632762931</v>
      </c>
      <c r="X112" s="2">
        <f t="shared" si="161"/>
        <v>0.29830954297109807</v>
      </c>
      <c r="Y112" s="2">
        <f t="shared" si="161"/>
        <v>0.31051543563853684</v>
      </c>
      <c r="Z112" s="119">
        <f t="shared" si="161"/>
        <v>0.30254554322342964</v>
      </c>
      <c r="AA112" s="119">
        <f t="shared" si="161"/>
        <v>0.31298618034824194</v>
      </c>
      <c r="AB112" s="119">
        <f t="shared" si="161"/>
        <v>0.33468496568933248</v>
      </c>
      <c r="AC112" s="119">
        <f t="shared" si="161"/>
        <v>0.30194504476690337</v>
      </c>
      <c r="AD112" s="119">
        <f t="shared" si="161"/>
        <v>0.29615497505136484</v>
      </c>
      <c r="AE112" s="119">
        <f t="shared" si="161"/>
        <v>0.29704338214976517</v>
      </c>
      <c r="AF112" s="119">
        <f t="shared" si="161"/>
        <v>0.3080697928026172</v>
      </c>
      <c r="AG112" s="119">
        <f t="shared" si="161"/>
        <v>0.30357142857142855</v>
      </c>
      <c r="AH112" s="119">
        <f t="shared" si="161"/>
        <v>0.35732217573221758</v>
      </c>
      <c r="AI112" s="119">
        <f t="shared" si="161"/>
        <v>0.36014192785334131</v>
      </c>
      <c r="AJ112" s="119">
        <f t="shared" si="161"/>
        <v>0.34422657952069718</v>
      </c>
      <c r="AK112" s="119">
        <f t="shared" si="161"/>
        <v>0.35504243141898562</v>
      </c>
      <c r="AL112" s="119">
        <f t="shared" si="161"/>
        <v>0.35441657579062158</v>
      </c>
      <c r="AM112" s="119">
        <f t="shared" si="161"/>
        <v>0.36708463949843251</v>
      </c>
      <c r="AN112" s="119">
        <f t="shared" si="161"/>
        <v>0.36627816627816628</v>
      </c>
      <c r="AO112" s="119">
        <f t="shared" ref="AO112" si="162">AO10</f>
        <v>0.35501147666411631</v>
      </c>
      <c r="AP112" s="48">
        <f t="shared" ref="AP112:AY112" ca="1" si="163">+OFFSET(AP112,Case,0)</f>
        <v>0.35351147666411631</v>
      </c>
      <c r="AQ112" s="48">
        <f t="shared" ca="1" si="163"/>
        <v>0.35201147666411631</v>
      </c>
      <c r="AR112" s="48">
        <f t="shared" ca="1" si="163"/>
        <v>0.35051147666411631</v>
      </c>
      <c r="AS112" s="48">
        <f t="shared" ca="1" si="163"/>
        <v>0.3490114766641163</v>
      </c>
      <c r="AT112" s="48">
        <f t="shared" ca="1" si="163"/>
        <v>0.3475114766641163</v>
      </c>
      <c r="AU112" s="48">
        <f t="shared" ca="1" si="163"/>
        <v>0.3460114766641163</v>
      </c>
      <c r="AV112" s="48">
        <f t="shared" ca="1" si="163"/>
        <v>0.3445114766641163</v>
      </c>
      <c r="AW112" s="48">
        <f t="shared" ca="1" si="163"/>
        <v>0.3430114766641163</v>
      </c>
      <c r="AX112" s="48">
        <f t="shared" ca="1" si="163"/>
        <v>0.3415114766641163</v>
      </c>
      <c r="AY112" s="48">
        <f t="shared" ca="1" si="163"/>
        <v>0.3400114766641163</v>
      </c>
    </row>
    <row r="113" spans="1:84" s="11" customFormat="1">
      <c r="B113" s="11" t="s">
        <v>26</v>
      </c>
      <c r="U113" s="12"/>
      <c r="V113" s="12"/>
      <c r="W113" s="12"/>
      <c r="X113" s="12"/>
      <c r="Y113" s="12"/>
      <c r="Z113" s="79"/>
      <c r="AA113" s="79"/>
      <c r="AB113" s="79"/>
      <c r="AC113" s="79"/>
      <c r="AD113" s="79"/>
      <c r="AE113" s="79"/>
      <c r="AF113" s="79"/>
      <c r="AG113" s="79"/>
      <c r="AH113" s="79"/>
      <c r="AI113" s="79"/>
      <c r="AJ113" s="79"/>
      <c r="AK113" s="79"/>
      <c r="AL113" s="79"/>
      <c r="AM113" s="79"/>
      <c r="AN113" s="79"/>
      <c r="AO113" s="79"/>
      <c r="AP113" s="30">
        <f t="shared" ref="AP113:AY113" si="164">+AP114-0.015</f>
        <v>0.3385114766641163</v>
      </c>
      <c r="AQ113" s="30">
        <f t="shared" si="164"/>
        <v>0.33701147666411629</v>
      </c>
      <c r="AR113" s="30">
        <f t="shared" si="164"/>
        <v>0.33551147666411629</v>
      </c>
      <c r="AS113" s="30">
        <f t="shared" si="164"/>
        <v>0.33401147666411629</v>
      </c>
      <c r="AT113" s="30">
        <f t="shared" si="164"/>
        <v>0.33251147666411629</v>
      </c>
      <c r="AU113" s="30">
        <f t="shared" si="164"/>
        <v>0.33101147666411629</v>
      </c>
      <c r="AV113" s="30">
        <f t="shared" si="164"/>
        <v>0.32951147666411629</v>
      </c>
      <c r="AW113" s="30">
        <f t="shared" si="164"/>
        <v>0.32801147666411629</v>
      </c>
      <c r="AX113" s="30">
        <f t="shared" si="164"/>
        <v>0.32651147666411628</v>
      </c>
      <c r="AY113" s="30">
        <f t="shared" si="164"/>
        <v>0.32501147666411628</v>
      </c>
      <c r="CA113"/>
      <c r="CB113"/>
      <c r="CC113"/>
      <c r="CD113"/>
      <c r="CE113"/>
      <c r="CF113"/>
    </row>
    <row r="114" spans="1:84" s="11" customFormat="1">
      <c r="B114" s="11" t="s">
        <v>27</v>
      </c>
      <c r="U114" s="12"/>
      <c r="V114" s="12"/>
      <c r="W114" s="12"/>
      <c r="X114" s="12"/>
      <c r="Y114" s="12"/>
      <c r="Z114" s="79"/>
      <c r="AA114" s="79"/>
      <c r="AB114" s="79"/>
      <c r="AC114" s="79"/>
      <c r="AD114" s="79"/>
      <c r="AE114" s="79"/>
      <c r="AF114" s="79"/>
      <c r="AG114" s="79"/>
      <c r="AH114" s="79"/>
      <c r="AI114" s="79"/>
      <c r="AJ114" s="79"/>
      <c r="AK114" s="79"/>
      <c r="AL114" s="79"/>
      <c r="AM114" s="79"/>
      <c r="AN114" s="79"/>
      <c r="AO114" s="79"/>
      <c r="AP114" s="31">
        <f>+AO112-0.0015</f>
        <v>0.35351147666411631</v>
      </c>
      <c r="AQ114" s="31">
        <f t="shared" ref="AQ114:AY114" si="165">+AP114-0.0015</f>
        <v>0.35201147666411631</v>
      </c>
      <c r="AR114" s="31">
        <f t="shared" si="165"/>
        <v>0.35051147666411631</v>
      </c>
      <c r="AS114" s="31">
        <f t="shared" si="165"/>
        <v>0.3490114766641163</v>
      </c>
      <c r="AT114" s="31">
        <f t="shared" si="165"/>
        <v>0.3475114766641163</v>
      </c>
      <c r="AU114" s="31">
        <f t="shared" si="165"/>
        <v>0.3460114766641163</v>
      </c>
      <c r="AV114" s="31">
        <f t="shared" si="165"/>
        <v>0.3445114766641163</v>
      </c>
      <c r="AW114" s="31">
        <f t="shared" si="165"/>
        <v>0.3430114766641163</v>
      </c>
      <c r="AX114" s="31">
        <f t="shared" si="165"/>
        <v>0.3415114766641163</v>
      </c>
      <c r="AY114" s="31">
        <f t="shared" si="165"/>
        <v>0.3400114766641163</v>
      </c>
      <c r="CA114"/>
      <c r="CB114"/>
      <c r="CC114"/>
      <c r="CD114"/>
      <c r="CE114"/>
      <c r="CF114"/>
    </row>
    <row r="115" spans="1:84" s="11" customFormat="1">
      <c r="B115" s="11" t="s">
        <v>28</v>
      </c>
      <c r="U115" s="12"/>
      <c r="V115" s="12"/>
      <c r="W115" s="12"/>
      <c r="X115" s="12"/>
      <c r="Y115" s="12"/>
      <c r="Z115" s="79"/>
      <c r="AA115" s="79"/>
      <c r="AB115" s="79"/>
      <c r="AC115" s="79"/>
      <c r="AD115" s="79"/>
      <c r="AE115" s="79"/>
      <c r="AF115" s="79"/>
      <c r="AG115" s="79"/>
      <c r="AH115" s="79"/>
      <c r="AI115" s="79"/>
      <c r="AJ115" s="79"/>
      <c r="AK115" s="79"/>
      <c r="AL115" s="79"/>
      <c r="AM115" s="79"/>
      <c r="AN115" s="79"/>
      <c r="AO115" s="79"/>
      <c r="AP115" s="30">
        <f t="shared" ref="AP115:AY115" si="166">+AP114+0.015</f>
        <v>0.36851147666411632</v>
      </c>
      <c r="AQ115" s="30">
        <f t="shared" si="166"/>
        <v>0.36701147666411632</v>
      </c>
      <c r="AR115" s="30">
        <f t="shared" si="166"/>
        <v>0.36551147666411632</v>
      </c>
      <c r="AS115" s="30">
        <f t="shared" si="166"/>
        <v>0.36401147666411632</v>
      </c>
      <c r="AT115" s="30">
        <f t="shared" si="166"/>
        <v>0.36251147666411632</v>
      </c>
      <c r="AU115" s="30">
        <f t="shared" si="166"/>
        <v>0.36101147666411632</v>
      </c>
      <c r="AV115" s="30">
        <f t="shared" si="166"/>
        <v>0.35951147666411631</v>
      </c>
      <c r="AW115" s="30">
        <f t="shared" si="166"/>
        <v>0.35801147666411631</v>
      </c>
      <c r="AX115" s="30">
        <f t="shared" si="166"/>
        <v>0.35651147666411631</v>
      </c>
      <c r="AY115" s="30">
        <f t="shared" si="166"/>
        <v>0.35501147666411631</v>
      </c>
      <c r="CA115"/>
      <c r="CB115"/>
      <c r="CC115"/>
      <c r="CD115"/>
      <c r="CE115"/>
      <c r="CF115"/>
    </row>
    <row r="116" spans="1:84">
      <c r="AA116" s="15"/>
      <c r="AB116" s="15"/>
      <c r="AC116" s="15"/>
      <c r="AD116" s="15"/>
      <c r="AE116" s="15"/>
      <c r="AF116" s="15"/>
      <c r="AG116" s="15"/>
      <c r="AH116" s="15"/>
      <c r="AI116" s="15"/>
      <c r="AJ116" s="15"/>
      <c r="AK116" s="15"/>
      <c r="AL116" s="15"/>
      <c r="AM116" s="15"/>
      <c r="AN116" s="15"/>
      <c r="AO116" s="15"/>
    </row>
    <row r="117" spans="1:84">
      <c r="B117" t="s">
        <v>85</v>
      </c>
      <c r="D117" s="2"/>
      <c r="E117" s="2"/>
      <c r="F117" s="2"/>
      <c r="G117" s="2">
        <f t="shared" ref="G117:N117" si="167">+G12</f>
        <v>0.15011743874995356</v>
      </c>
      <c r="H117" s="2">
        <f t="shared" si="167"/>
        <v>0.1168335703987802</v>
      </c>
      <c r="I117" s="2">
        <f t="shared" si="167"/>
        <v>0.11706629055007048</v>
      </c>
      <c r="J117" s="2">
        <f t="shared" si="167"/>
        <v>0.13387930533774756</v>
      </c>
      <c r="K117" s="2">
        <f t="shared" si="167"/>
        <v>0.14642240203654877</v>
      </c>
      <c r="L117" s="2">
        <f t="shared" ca="1" si="167"/>
        <v>0.14878777449982486</v>
      </c>
      <c r="M117" s="2">
        <f t="shared" ca="1" si="167"/>
        <v>0.14148839145582159</v>
      </c>
      <c r="N117" s="2">
        <f t="shared" ca="1" si="167"/>
        <v>0.1374872789429272</v>
      </c>
      <c r="T117" s="2">
        <f t="shared" ref="T117:AN117" si="168">+T12</f>
        <v>0.18535166721095014</v>
      </c>
      <c r="U117" s="2">
        <f t="shared" si="168"/>
        <v>0.1553942632316011</v>
      </c>
      <c r="V117" s="2">
        <f t="shared" si="168"/>
        <v>0.12163142468919173</v>
      </c>
      <c r="W117" s="2">
        <f t="shared" si="168"/>
        <v>0.14122936671268566</v>
      </c>
      <c r="X117" s="2">
        <f t="shared" si="168"/>
        <v>0.12353995893950909</v>
      </c>
      <c r="Y117" s="2">
        <f t="shared" si="168"/>
        <v>0.10733632239206879</v>
      </c>
      <c r="Z117" s="112">
        <f t="shared" si="168"/>
        <v>0.11053167686030675</v>
      </c>
      <c r="AA117" s="112">
        <f t="shared" si="168"/>
        <v>0.1256154212391111</v>
      </c>
      <c r="AB117" s="112">
        <f t="shared" si="168"/>
        <v>0.10511540860885843</v>
      </c>
      <c r="AC117" s="112">
        <f t="shared" si="168"/>
        <v>0.11762889780796544</v>
      </c>
      <c r="AD117" s="112">
        <f t="shared" si="168"/>
        <v>0.12415614910478426</v>
      </c>
      <c r="AE117" s="112">
        <f t="shared" si="168"/>
        <v>0.12047526941143946</v>
      </c>
      <c r="AF117" s="112">
        <f t="shared" si="168"/>
        <v>0.10496183206106868</v>
      </c>
      <c r="AG117" s="112">
        <f t="shared" si="168"/>
        <v>0.1139069264069264</v>
      </c>
      <c r="AH117" s="112">
        <f t="shared" si="168"/>
        <v>0.16527196652719664</v>
      </c>
      <c r="AI117" s="112">
        <f t="shared" si="168"/>
        <v>0.13975951113739399</v>
      </c>
      <c r="AJ117" s="112">
        <f t="shared" si="168"/>
        <v>0.14577143988908695</v>
      </c>
      <c r="AK117" s="112">
        <f t="shared" si="168"/>
        <v>0.13854351687388988</v>
      </c>
      <c r="AL117" s="112">
        <f t="shared" si="168"/>
        <v>0.1495819701926572</v>
      </c>
      <c r="AM117" s="112">
        <f t="shared" si="168"/>
        <v>0.15047021943573671</v>
      </c>
      <c r="AN117" s="112">
        <f t="shared" si="168"/>
        <v>0.15617715617715619</v>
      </c>
      <c r="AO117" s="112">
        <f t="shared" ref="AO117" si="169">+AO12</f>
        <v>0.15011476664116297</v>
      </c>
      <c r="AP117" s="48">
        <f t="shared" ref="AP117:AY117" ca="1" si="170">+OFFSET(AP117,Case,0)</f>
        <v>0.14499999999999999</v>
      </c>
      <c r="AQ117" s="48">
        <f t="shared" ca="1" si="170"/>
        <v>0.14399999999999999</v>
      </c>
      <c r="AR117" s="48">
        <f t="shared" ca="1" si="170"/>
        <v>0.14299999999999999</v>
      </c>
      <c r="AS117" s="48">
        <f t="shared" ca="1" si="170"/>
        <v>0.14199999999999999</v>
      </c>
      <c r="AT117" s="48">
        <f t="shared" ca="1" si="170"/>
        <v>0.14099999999999999</v>
      </c>
      <c r="AU117" s="48">
        <f t="shared" ca="1" si="170"/>
        <v>0.13999999999999999</v>
      </c>
      <c r="AV117" s="48">
        <f t="shared" ca="1" si="170"/>
        <v>0.13899999999999998</v>
      </c>
      <c r="AW117" s="48">
        <f t="shared" ca="1" si="170"/>
        <v>0.13799999999999998</v>
      </c>
      <c r="AX117" s="48">
        <f t="shared" ca="1" si="170"/>
        <v>0.13699999999999998</v>
      </c>
      <c r="AY117" s="48">
        <f t="shared" ca="1" si="170"/>
        <v>0.13599999999999998</v>
      </c>
    </row>
    <row r="118" spans="1:84" s="11" customFormat="1">
      <c r="B118" s="11" t="s">
        <v>26</v>
      </c>
      <c r="U118" s="12"/>
      <c r="V118" s="12"/>
      <c r="W118" s="12"/>
      <c r="X118" s="12"/>
      <c r="Y118" s="12"/>
      <c r="Z118" s="79"/>
      <c r="AA118" s="79"/>
      <c r="AB118" s="79"/>
      <c r="AC118" s="79"/>
      <c r="AD118" s="79"/>
      <c r="AE118" s="79"/>
      <c r="AF118" s="79"/>
      <c r="AG118" s="79"/>
      <c r="AH118" s="79"/>
      <c r="AI118" s="79"/>
      <c r="AJ118" s="79"/>
      <c r="AK118" s="79"/>
      <c r="AL118" s="79"/>
      <c r="AM118" s="79"/>
      <c r="AN118" s="79"/>
      <c r="AO118" s="79"/>
      <c r="AP118" s="30">
        <f t="shared" ref="AP118:AY118" si="171">+AP119-0.005</f>
        <v>0.13999999999999999</v>
      </c>
      <c r="AQ118" s="30">
        <f t="shared" si="171"/>
        <v>0.13899999999999998</v>
      </c>
      <c r="AR118" s="30">
        <f t="shared" si="171"/>
        <v>0.13799999999999998</v>
      </c>
      <c r="AS118" s="30">
        <f t="shared" si="171"/>
        <v>0.13699999999999998</v>
      </c>
      <c r="AT118" s="30">
        <f t="shared" si="171"/>
        <v>0.13599999999999998</v>
      </c>
      <c r="AU118" s="30">
        <f t="shared" si="171"/>
        <v>0.13499999999999998</v>
      </c>
      <c r="AV118" s="30">
        <f t="shared" si="171"/>
        <v>0.13399999999999998</v>
      </c>
      <c r="AW118" s="30">
        <f t="shared" si="171"/>
        <v>0.13299999999999998</v>
      </c>
      <c r="AX118" s="30">
        <f t="shared" si="171"/>
        <v>0.13199999999999998</v>
      </c>
      <c r="AY118" s="30">
        <f t="shared" si="171"/>
        <v>0.13099999999999998</v>
      </c>
      <c r="CA118"/>
      <c r="CB118"/>
      <c r="CC118"/>
      <c r="CD118"/>
      <c r="CE118"/>
      <c r="CF118"/>
    </row>
    <row r="119" spans="1:84" s="11" customFormat="1">
      <c r="B119" s="11" t="s">
        <v>27</v>
      </c>
      <c r="U119" s="12"/>
      <c r="V119" s="12"/>
      <c r="W119" s="12"/>
      <c r="X119" s="12"/>
      <c r="Y119" s="12"/>
      <c r="Z119" s="79"/>
      <c r="AA119" s="79"/>
      <c r="AB119" s="79"/>
      <c r="AC119" s="79"/>
      <c r="AD119" s="79"/>
      <c r="AE119" s="79"/>
      <c r="AF119" s="79"/>
      <c r="AG119" s="79"/>
      <c r="AH119" s="79"/>
      <c r="AI119" s="79"/>
      <c r="AJ119" s="79"/>
      <c r="AK119" s="79"/>
      <c r="AL119" s="79"/>
      <c r="AM119" s="79"/>
      <c r="AN119" s="79"/>
      <c r="AO119" s="79"/>
      <c r="AP119" s="31">
        <v>0.14499999999999999</v>
      </c>
      <c r="AQ119" s="31">
        <f>+AP119-0.001</f>
        <v>0.14399999999999999</v>
      </c>
      <c r="AR119" s="31">
        <f t="shared" ref="AR119:AY119" si="172">+AQ119-0.001</f>
        <v>0.14299999999999999</v>
      </c>
      <c r="AS119" s="31">
        <f t="shared" si="172"/>
        <v>0.14199999999999999</v>
      </c>
      <c r="AT119" s="31">
        <f t="shared" si="172"/>
        <v>0.14099999999999999</v>
      </c>
      <c r="AU119" s="31">
        <f t="shared" si="172"/>
        <v>0.13999999999999999</v>
      </c>
      <c r="AV119" s="31">
        <f t="shared" si="172"/>
        <v>0.13899999999999998</v>
      </c>
      <c r="AW119" s="31">
        <f t="shared" si="172"/>
        <v>0.13799999999999998</v>
      </c>
      <c r="AX119" s="31">
        <f t="shared" si="172"/>
        <v>0.13699999999999998</v>
      </c>
      <c r="AY119" s="31">
        <f t="shared" si="172"/>
        <v>0.13599999999999998</v>
      </c>
      <c r="CA119"/>
      <c r="CB119"/>
      <c r="CC119"/>
      <c r="CD119"/>
      <c r="CE119"/>
      <c r="CF119"/>
    </row>
    <row r="120" spans="1:84" s="11" customFormat="1">
      <c r="B120" s="11" t="s">
        <v>28</v>
      </c>
      <c r="U120" s="12"/>
      <c r="V120" s="12"/>
      <c r="W120" s="12"/>
      <c r="X120" s="12"/>
      <c r="Y120" s="12"/>
      <c r="Z120" s="79"/>
      <c r="AA120" s="79"/>
      <c r="AB120" s="79"/>
      <c r="AC120" s="79"/>
      <c r="AD120" s="79"/>
      <c r="AE120" s="79"/>
      <c r="AF120" s="79"/>
      <c r="AG120" s="79"/>
      <c r="AH120" s="79"/>
      <c r="AI120" s="79"/>
      <c r="AJ120" s="79"/>
      <c r="AK120" s="79"/>
      <c r="AL120" s="79"/>
      <c r="AM120" s="79"/>
      <c r="AN120" s="79"/>
      <c r="AO120" s="79"/>
      <c r="AP120" s="30">
        <f t="shared" ref="AP120:AY120" si="173">+AP119+0.01</f>
        <v>0.155</v>
      </c>
      <c r="AQ120" s="30">
        <f t="shared" si="173"/>
        <v>0.154</v>
      </c>
      <c r="AR120" s="30">
        <f t="shared" si="173"/>
        <v>0.153</v>
      </c>
      <c r="AS120" s="30">
        <f t="shared" si="173"/>
        <v>0.152</v>
      </c>
      <c r="AT120" s="30">
        <f t="shared" si="173"/>
        <v>0.151</v>
      </c>
      <c r="AU120" s="30">
        <f t="shared" si="173"/>
        <v>0.15</v>
      </c>
      <c r="AV120" s="30">
        <f t="shared" si="173"/>
        <v>0.14899999999999999</v>
      </c>
      <c r="AW120" s="30">
        <f t="shared" si="173"/>
        <v>0.14799999999999999</v>
      </c>
      <c r="AX120" s="30">
        <f t="shared" si="173"/>
        <v>0.14699999999999999</v>
      </c>
      <c r="AY120" s="30">
        <f t="shared" si="173"/>
        <v>0.14599999999999999</v>
      </c>
      <c r="CA120"/>
      <c r="CB120"/>
      <c r="CC120"/>
      <c r="CD120"/>
      <c r="CE120"/>
      <c r="CF120"/>
    </row>
    <row r="121" spans="1:84">
      <c r="AA121" s="15"/>
      <c r="AB121" s="15"/>
      <c r="AC121" s="15"/>
      <c r="AD121" s="15"/>
      <c r="AE121" s="15"/>
      <c r="AF121" s="15"/>
      <c r="AG121" s="15"/>
      <c r="AH121" s="15"/>
      <c r="AI121" s="15"/>
      <c r="AJ121" s="15"/>
      <c r="AK121" s="15"/>
      <c r="AL121" s="15"/>
      <c r="AM121" s="15"/>
      <c r="AN121" s="15"/>
      <c r="AO121" s="15"/>
    </row>
    <row r="122" spans="1:84" s="1" customFormat="1">
      <c r="A122" s="49" t="s">
        <v>40</v>
      </c>
      <c r="B122" s="27" t="s">
        <v>84</v>
      </c>
      <c r="Z122" s="109"/>
      <c r="AA122" s="109"/>
      <c r="AB122" s="109"/>
      <c r="AC122" s="109"/>
      <c r="AD122" s="109"/>
      <c r="AE122" s="109"/>
      <c r="AF122" s="109"/>
      <c r="AG122" s="109"/>
      <c r="AH122" s="109"/>
      <c r="AI122" s="109"/>
      <c r="AJ122" s="109"/>
      <c r="AK122" s="109"/>
      <c r="AL122" s="109"/>
      <c r="AM122" s="109"/>
      <c r="AN122" s="109"/>
      <c r="AO122" s="109"/>
      <c r="CA122"/>
      <c r="CB122"/>
      <c r="CC122"/>
      <c r="CD122"/>
      <c r="CE122"/>
      <c r="CF122"/>
    </row>
    <row r="123" spans="1:84">
      <c r="AA123" s="15"/>
      <c r="AB123" s="15"/>
      <c r="AC123" s="15"/>
      <c r="AD123" s="15"/>
      <c r="AE123" s="15"/>
      <c r="AF123" s="15"/>
      <c r="AG123" s="15"/>
      <c r="AH123" s="15"/>
      <c r="AI123" s="15"/>
      <c r="AJ123" s="15"/>
      <c r="AK123" s="15"/>
      <c r="AL123" s="15"/>
      <c r="AM123" s="15"/>
      <c r="AN123" s="15"/>
      <c r="AO123" s="15"/>
    </row>
    <row r="124" spans="1:84">
      <c r="B124" t="s">
        <v>304</v>
      </c>
      <c r="I124" s="6">
        <f>+AVERAGE(AB124:AE124)</f>
        <v>234.62159075</v>
      </c>
      <c r="J124" s="6">
        <f>+AVERAGE(AF124:AI124)</f>
        <v>243.60000000000002</v>
      </c>
      <c r="K124" s="6">
        <f>+AVERAGE(AJ124:AM124)</f>
        <v>243.42499999999998</v>
      </c>
      <c r="L124" s="6">
        <f>+AVERAGE(AN124:AQ124)</f>
        <v>247.17499999999998</v>
      </c>
      <c r="M124" s="6">
        <f>+AVERAGE(AR124:AU124)</f>
        <v>247.4</v>
      </c>
      <c r="N124" s="6">
        <f>+AVERAGE(AV124:AY124)</f>
        <v>247.4</v>
      </c>
      <c r="T124" s="19">
        <v>234.1</v>
      </c>
      <c r="U124" s="6">
        <f>+T124+U132</f>
        <v>234.1</v>
      </c>
      <c r="V124" s="6">
        <f t="shared" ref="V124:AA124" si="174">+U124+V132</f>
        <v>234.1</v>
      </c>
      <c r="W124" s="6">
        <f t="shared" si="174"/>
        <v>234.1</v>
      </c>
      <c r="X124" s="6">
        <f t="shared" si="174"/>
        <v>234.1</v>
      </c>
      <c r="Y124" s="6">
        <f t="shared" si="174"/>
        <v>234.1</v>
      </c>
      <c r="Z124" s="81">
        <f t="shared" si="174"/>
        <v>234.1</v>
      </c>
      <c r="AA124" s="81">
        <f t="shared" si="174"/>
        <v>234.1</v>
      </c>
      <c r="AB124" s="110">
        <v>223</v>
      </c>
      <c r="AC124" s="110">
        <v>236.22456099999999</v>
      </c>
      <c r="AD124" s="110">
        <v>239.63090099999999</v>
      </c>
      <c r="AE124" s="116">
        <f>+AD124</f>
        <v>239.63090099999999</v>
      </c>
      <c r="AF124" s="110">
        <v>243</v>
      </c>
      <c r="AG124" s="110">
        <v>244.8</v>
      </c>
      <c r="AH124" s="110">
        <v>243.3</v>
      </c>
      <c r="AI124" s="110">
        <v>243.3</v>
      </c>
      <c r="AJ124" s="110">
        <v>242.6</v>
      </c>
      <c r="AK124" s="110">
        <v>243.1</v>
      </c>
      <c r="AL124" s="110">
        <v>244.1</v>
      </c>
      <c r="AM124" s="110">
        <v>243.9</v>
      </c>
      <c r="AN124" s="110">
        <v>246.5</v>
      </c>
      <c r="AO124" s="110">
        <v>247.4</v>
      </c>
      <c r="AP124" s="6">
        <f t="shared" ref="AP124:AY124" si="175">+AO124+AP132</f>
        <v>247.4</v>
      </c>
      <c r="AQ124" s="6">
        <f t="shared" si="175"/>
        <v>247.4</v>
      </c>
      <c r="AR124" s="6">
        <f t="shared" si="175"/>
        <v>247.4</v>
      </c>
      <c r="AS124" s="6">
        <f t="shared" si="175"/>
        <v>247.4</v>
      </c>
      <c r="AT124" s="6">
        <f t="shared" si="175"/>
        <v>247.4</v>
      </c>
      <c r="AU124" s="6">
        <f t="shared" si="175"/>
        <v>247.4</v>
      </c>
      <c r="AV124" s="6">
        <f t="shared" si="175"/>
        <v>247.4</v>
      </c>
      <c r="AW124" s="6">
        <f t="shared" si="175"/>
        <v>247.4</v>
      </c>
      <c r="AX124" s="6">
        <f t="shared" si="175"/>
        <v>247.4</v>
      </c>
      <c r="AY124" s="6">
        <f t="shared" si="175"/>
        <v>247.4</v>
      </c>
    </row>
    <row r="125" spans="1:84">
      <c r="B125" t="s">
        <v>303</v>
      </c>
      <c r="I125" s="6">
        <f>+AVERAGE(AB125:AE125)</f>
        <v>234.86761225000001</v>
      </c>
      <c r="J125" s="6">
        <f>+AVERAGE(AF125:AI125)</f>
        <v>243.60000000000002</v>
      </c>
      <c r="K125" s="6">
        <f>+AVERAGE(AJ125:AM125)</f>
        <v>245.625</v>
      </c>
      <c r="L125" s="6">
        <f>+AVERAGE(AN125:AQ125)</f>
        <v>249.54791666666668</v>
      </c>
      <c r="M125" s="6">
        <f>+AVERAGE(AR125:AU125)</f>
        <v>252.73749999999998</v>
      </c>
      <c r="N125" s="6">
        <f>+AVERAGE(AV125:AY125)</f>
        <v>255.79305555555555</v>
      </c>
      <c r="T125" s="19">
        <v>234.1</v>
      </c>
      <c r="U125" s="6">
        <f>+T125+U130+U132</f>
        <v>234.1</v>
      </c>
      <c r="V125" s="6">
        <f t="shared" ref="V125:AA125" si="176">+U125+V130+V132</f>
        <v>234.1</v>
      </c>
      <c r="W125" s="6">
        <f t="shared" si="176"/>
        <v>234.1</v>
      </c>
      <c r="X125" s="6">
        <f t="shared" si="176"/>
        <v>234.1</v>
      </c>
      <c r="Y125" s="6">
        <f t="shared" si="176"/>
        <v>234.1</v>
      </c>
      <c r="Z125" s="81">
        <f t="shared" si="176"/>
        <v>234.1</v>
      </c>
      <c r="AA125" s="81">
        <f t="shared" si="176"/>
        <v>234.1</v>
      </c>
      <c r="AB125" s="110">
        <v>223</v>
      </c>
      <c r="AC125" s="110">
        <v>237.20864700000001</v>
      </c>
      <c r="AD125" s="110">
        <v>239.63090099999999</v>
      </c>
      <c r="AE125" s="116">
        <f>+AD125</f>
        <v>239.63090099999999</v>
      </c>
      <c r="AF125" s="110">
        <v>243</v>
      </c>
      <c r="AG125" s="110">
        <v>244.8</v>
      </c>
      <c r="AH125" s="110">
        <v>243.3</v>
      </c>
      <c r="AI125" s="110">
        <v>243.3</v>
      </c>
      <c r="AJ125" s="110">
        <v>244</v>
      </c>
      <c r="AK125" s="110">
        <v>245.6</v>
      </c>
      <c r="AL125" s="110">
        <v>246.1</v>
      </c>
      <c r="AM125" s="110">
        <v>246.8</v>
      </c>
      <c r="AN125" s="110">
        <v>248</v>
      </c>
      <c r="AO125" s="110">
        <v>249.3</v>
      </c>
      <c r="AP125" s="6">
        <f t="shared" ref="AP125:AY125" si="177">+AO125+AP130+AP132</f>
        <v>250.0638888888889</v>
      </c>
      <c r="AQ125" s="6">
        <f t="shared" si="177"/>
        <v>250.82777777777778</v>
      </c>
      <c r="AR125" s="6">
        <f t="shared" si="177"/>
        <v>251.59166666666667</v>
      </c>
      <c r="AS125" s="6">
        <f t="shared" si="177"/>
        <v>252.35555555555555</v>
      </c>
      <c r="AT125" s="6">
        <f t="shared" si="177"/>
        <v>253.11944444444444</v>
      </c>
      <c r="AU125" s="6">
        <f t="shared" si="177"/>
        <v>253.88333333333333</v>
      </c>
      <c r="AV125" s="6">
        <f t="shared" si="177"/>
        <v>254.64722222222221</v>
      </c>
      <c r="AW125" s="6">
        <f t="shared" si="177"/>
        <v>255.4111111111111</v>
      </c>
      <c r="AX125" s="6">
        <f t="shared" si="177"/>
        <v>256.17500000000001</v>
      </c>
      <c r="AY125" s="6">
        <f t="shared" si="177"/>
        <v>256.93888888888893</v>
      </c>
    </row>
    <row r="126" spans="1:84">
      <c r="B126" s="7" t="s">
        <v>36</v>
      </c>
      <c r="X126" s="2">
        <f>+X125/T125-1</f>
        <v>0</v>
      </c>
      <c r="Y126" s="2">
        <f t="shared" ref="Y126:AO126" si="178">+Y125/U125-1</f>
        <v>0</v>
      </c>
      <c r="Z126" s="112">
        <f t="shared" si="178"/>
        <v>0</v>
      </c>
      <c r="AA126" s="112">
        <f t="shared" si="178"/>
        <v>0</v>
      </c>
      <c r="AB126" s="112">
        <f t="shared" si="178"/>
        <v>-4.7415634344297297E-2</v>
      </c>
      <c r="AC126" s="112">
        <f t="shared" si="178"/>
        <v>1.3279141392567251E-2</v>
      </c>
      <c r="AD126" s="112">
        <f t="shared" si="178"/>
        <v>2.3626232379325041E-2</v>
      </c>
      <c r="AE126" s="112">
        <f t="shared" si="178"/>
        <v>2.3626232379325041E-2</v>
      </c>
      <c r="AF126" s="112">
        <f t="shared" si="178"/>
        <v>8.9686098654708557E-2</v>
      </c>
      <c r="AG126" s="112">
        <f t="shared" si="178"/>
        <v>3.2002851059641069E-2</v>
      </c>
      <c r="AH126" s="112">
        <f t="shared" si="178"/>
        <v>1.531146018601337E-2</v>
      </c>
      <c r="AI126" s="112">
        <f t="shared" si="178"/>
        <v>1.531146018601337E-2</v>
      </c>
      <c r="AJ126" s="112">
        <f t="shared" si="178"/>
        <v>4.115226337448652E-3</v>
      </c>
      <c r="AK126" s="112">
        <f t="shared" si="178"/>
        <v>3.2679738562091387E-3</v>
      </c>
      <c r="AL126" s="112">
        <f t="shared" si="178"/>
        <v>1.1508425811755041E-2</v>
      </c>
      <c r="AM126" s="112">
        <f t="shared" si="178"/>
        <v>1.4385532264693746E-2</v>
      </c>
      <c r="AN126" s="112">
        <f t="shared" si="178"/>
        <v>1.6393442622950838E-2</v>
      </c>
      <c r="AO126" s="112">
        <f t="shared" si="178"/>
        <v>1.5065146579804622E-2</v>
      </c>
      <c r="AP126" s="2">
        <f t="shared" ref="AP126:AY126" si="179">+AP125/AL125-1</f>
        <v>1.6106821978418839E-2</v>
      </c>
      <c r="AQ126" s="2">
        <f t="shared" si="179"/>
        <v>1.6320007203313391E-2</v>
      </c>
      <c r="AR126" s="2">
        <f t="shared" si="179"/>
        <v>1.4482526881720359E-2</v>
      </c>
      <c r="AS126" s="2">
        <f t="shared" si="179"/>
        <v>1.2256540535722227E-2</v>
      </c>
      <c r="AT126" s="2">
        <f t="shared" si="179"/>
        <v>1.2219099563444802E-2</v>
      </c>
      <c r="AU126" s="2">
        <f t="shared" si="179"/>
        <v>1.2181886642007589E-2</v>
      </c>
      <c r="AV126" s="2">
        <f t="shared" si="179"/>
        <v>1.214489969416932E-2</v>
      </c>
      <c r="AW126" s="2">
        <f t="shared" si="179"/>
        <v>1.210813666784083E-2</v>
      </c>
      <c r="AX126" s="2">
        <f t="shared" si="179"/>
        <v>1.2071595535704471E-2</v>
      </c>
      <c r="AY126" s="2">
        <f t="shared" si="179"/>
        <v>1.2035274294842413E-2</v>
      </c>
    </row>
    <row r="128" spans="1:84">
      <c r="B128" t="s">
        <v>87</v>
      </c>
      <c r="AD128" s="18">
        <f t="shared" ref="AD128:AN128" si="180">+AD15</f>
        <v>40.700000000000003</v>
      </c>
      <c r="AE128" s="18">
        <f t="shared" si="180"/>
        <v>42.9</v>
      </c>
      <c r="AF128" s="18">
        <f t="shared" si="180"/>
        <v>46.1</v>
      </c>
      <c r="AG128" s="18">
        <f t="shared" si="180"/>
        <v>42.9</v>
      </c>
      <c r="AH128" s="18">
        <f t="shared" si="180"/>
        <v>33.5</v>
      </c>
      <c r="AI128" s="18">
        <f t="shared" si="180"/>
        <v>33.4</v>
      </c>
      <c r="AJ128" s="18">
        <f t="shared" si="180"/>
        <v>32</v>
      </c>
      <c r="AK128" s="18">
        <f t="shared" si="180"/>
        <v>34.5</v>
      </c>
      <c r="AL128" s="18">
        <f t="shared" si="180"/>
        <v>26.5</v>
      </c>
      <c r="AM128" s="18">
        <f t="shared" si="180"/>
        <v>21.1</v>
      </c>
      <c r="AN128" s="18">
        <f t="shared" si="180"/>
        <v>27.8</v>
      </c>
      <c r="AO128" s="18">
        <f t="shared" ref="AO128" si="181">+AO15</f>
        <v>23.5</v>
      </c>
      <c r="AP128" s="19">
        <v>27.5</v>
      </c>
      <c r="AQ128" s="19">
        <v>27.5</v>
      </c>
      <c r="AR128" s="19">
        <v>27.5</v>
      </c>
      <c r="AS128" s="19">
        <v>27.5</v>
      </c>
      <c r="AT128" s="19">
        <v>27.5</v>
      </c>
      <c r="AU128" s="19">
        <v>27.5</v>
      </c>
      <c r="AV128" s="19">
        <v>27.5</v>
      </c>
      <c r="AW128" s="19">
        <v>27.5</v>
      </c>
      <c r="AX128" s="19">
        <v>27.5</v>
      </c>
      <c r="AY128" s="19">
        <v>27.5</v>
      </c>
    </row>
    <row r="129" spans="1:84">
      <c r="B129" t="s">
        <v>88</v>
      </c>
      <c r="AD129" s="19">
        <v>25</v>
      </c>
      <c r="AE129" s="19">
        <v>25</v>
      </c>
      <c r="AF129" s="19">
        <v>25</v>
      </c>
      <c r="AG129" s="19">
        <v>25</v>
      </c>
      <c r="AH129" s="19">
        <v>25</v>
      </c>
      <c r="AI129" s="19">
        <v>25</v>
      </c>
      <c r="AJ129" s="19">
        <v>25</v>
      </c>
      <c r="AK129" s="19">
        <v>30.79</v>
      </c>
      <c r="AL129" s="19">
        <v>31.5</v>
      </c>
      <c r="AM129" s="19">
        <v>33</v>
      </c>
      <c r="AN129" s="19">
        <v>34</v>
      </c>
      <c r="AO129" s="19">
        <v>36</v>
      </c>
      <c r="AP129" s="6">
        <f t="shared" ref="AP129:AY129" si="182">+AO129</f>
        <v>36</v>
      </c>
      <c r="AQ129" s="6">
        <f t="shared" si="182"/>
        <v>36</v>
      </c>
      <c r="AR129" s="6">
        <f t="shared" si="182"/>
        <v>36</v>
      </c>
      <c r="AS129" s="6">
        <f t="shared" si="182"/>
        <v>36</v>
      </c>
      <c r="AT129" s="6">
        <f t="shared" si="182"/>
        <v>36</v>
      </c>
      <c r="AU129" s="6">
        <f t="shared" si="182"/>
        <v>36</v>
      </c>
      <c r="AV129" s="6">
        <f t="shared" si="182"/>
        <v>36</v>
      </c>
      <c r="AW129" s="6">
        <f t="shared" si="182"/>
        <v>36</v>
      </c>
      <c r="AX129" s="6">
        <f t="shared" si="182"/>
        <v>36</v>
      </c>
      <c r="AY129" s="6">
        <f t="shared" si="182"/>
        <v>36</v>
      </c>
    </row>
    <row r="130" spans="1:84">
      <c r="B130" t="s">
        <v>90</v>
      </c>
      <c r="AD130" s="6">
        <f t="shared" ref="AD130:AI130" si="183">+AD128/AD129</f>
        <v>1.6280000000000001</v>
      </c>
      <c r="AE130" s="6">
        <f t="shared" si="183"/>
        <v>1.716</v>
      </c>
      <c r="AF130" s="6">
        <f t="shared" si="183"/>
        <v>1.8440000000000001</v>
      </c>
      <c r="AG130" s="6">
        <f t="shared" si="183"/>
        <v>1.716</v>
      </c>
      <c r="AH130" s="6">
        <f t="shared" si="183"/>
        <v>1.34</v>
      </c>
      <c r="AI130" s="6">
        <f t="shared" si="183"/>
        <v>1.3359999999999999</v>
      </c>
      <c r="AJ130" s="6">
        <f t="shared" ref="AJ130:AK130" si="184">+AJ128/AJ129</f>
        <v>1.28</v>
      </c>
      <c r="AK130" s="6">
        <f t="shared" si="184"/>
        <v>1.120493666774927</v>
      </c>
      <c r="AL130" s="6">
        <f t="shared" ref="AL130:AM130" si="185">+AL128/AL129</f>
        <v>0.84126984126984128</v>
      </c>
      <c r="AM130" s="6">
        <f t="shared" si="185"/>
        <v>0.6393939393939394</v>
      </c>
      <c r="AN130" s="6">
        <f t="shared" ref="AN130:AO130" si="186">+AN128/AN129</f>
        <v>0.81764705882352939</v>
      </c>
      <c r="AO130" s="6">
        <f t="shared" si="186"/>
        <v>0.65277777777777779</v>
      </c>
      <c r="AP130" s="6">
        <f t="shared" ref="AP130:AY130" si="187">+AP128/AP129</f>
        <v>0.76388888888888884</v>
      </c>
      <c r="AQ130" s="6">
        <f t="shared" si="187"/>
        <v>0.76388888888888884</v>
      </c>
      <c r="AR130" s="6">
        <f t="shared" si="187"/>
        <v>0.76388888888888884</v>
      </c>
      <c r="AS130" s="6">
        <f t="shared" si="187"/>
        <v>0.76388888888888884</v>
      </c>
      <c r="AT130" s="6">
        <f t="shared" si="187"/>
        <v>0.76388888888888884</v>
      </c>
      <c r="AU130" s="6">
        <f t="shared" si="187"/>
        <v>0.76388888888888884</v>
      </c>
      <c r="AV130" s="6">
        <f t="shared" si="187"/>
        <v>0.76388888888888884</v>
      </c>
      <c r="AW130" s="6">
        <f t="shared" si="187"/>
        <v>0.76388888888888884</v>
      </c>
      <c r="AX130" s="6">
        <f t="shared" si="187"/>
        <v>0.76388888888888884</v>
      </c>
      <c r="AY130" s="6">
        <f t="shared" si="187"/>
        <v>0.76388888888888884</v>
      </c>
    </row>
    <row r="132" spans="1:84">
      <c r="B132" t="s">
        <v>89</v>
      </c>
      <c r="AD132" s="282">
        <v>4</v>
      </c>
      <c r="AE132" s="282"/>
      <c r="AF132" s="282"/>
      <c r="AG132" s="282"/>
      <c r="AH132" s="282"/>
      <c r="AI132" s="282"/>
      <c r="AJ132" s="282"/>
      <c r="AK132" s="282"/>
      <c r="AL132" s="282"/>
      <c r="AM132" s="282"/>
      <c r="AN132" s="282"/>
      <c r="AO132" s="282"/>
    </row>
    <row r="134" spans="1:84" s="1" customFormat="1">
      <c r="A134" s="49" t="s">
        <v>40</v>
      </c>
      <c r="B134" s="27" t="s">
        <v>256</v>
      </c>
      <c r="Z134" s="109"/>
      <c r="AA134" s="109"/>
      <c r="AB134" s="109"/>
      <c r="AC134" s="109"/>
      <c r="AD134" s="109"/>
      <c r="AE134" s="109"/>
      <c r="AF134" s="109"/>
      <c r="AG134" s="109"/>
      <c r="AH134" s="109"/>
      <c r="AI134" s="109"/>
      <c r="AJ134" s="109"/>
      <c r="AK134" s="109"/>
      <c r="AL134" s="109"/>
      <c r="AM134" s="109"/>
      <c r="AN134" s="109"/>
      <c r="AO134" s="109"/>
      <c r="CA134"/>
      <c r="CB134"/>
      <c r="CC134"/>
      <c r="CD134"/>
      <c r="CE134"/>
      <c r="CF134"/>
    </row>
    <row r="135" spans="1:84">
      <c r="AA135" s="15"/>
      <c r="AB135" s="15"/>
      <c r="AC135" s="15"/>
      <c r="AD135" s="15"/>
      <c r="AE135" s="15"/>
      <c r="AF135" s="15"/>
      <c r="AG135" s="15"/>
      <c r="AH135" s="15"/>
      <c r="AI135" s="15"/>
      <c r="AJ135" s="15"/>
      <c r="AK135" s="15"/>
      <c r="AL135" s="15"/>
      <c r="AM135" s="15"/>
      <c r="AN135" s="15"/>
      <c r="AO135" s="15"/>
    </row>
    <row r="136" spans="1:84">
      <c r="B136" t="s">
        <v>257</v>
      </c>
      <c r="H136" s="6">
        <f>+AA136</f>
        <v>1126.8051029999999</v>
      </c>
      <c r="I136" s="6">
        <f>+AE136</f>
        <v>1362.707150943234</v>
      </c>
      <c r="J136" s="6">
        <f>+AI136</f>
        <v>1376.707150943234</v>
      </c>
      <c r="K136" s="6">
        <f>+AM136</f>
        <v>1350.8071509432339</v>
      </c>
      <c r="L136" s="6">
        <f ca="1">+AQ136</f>
        <v>1225.2182235047233</v>
      </c>
      <c r="M136" s="6">
        <f ca="1">+AU136</f>
        <v>1102.4105454705623</v>
      </c>
      <c r="N136" s="6">
        <f ca="1">+AY136</f>
        <v>986.1817921204223</v>
      </c>
      <c r="T136" s="19"/>
      <c r="U136" s="6"/>
      <c r="V136" s="6"/>
      <c r="W136" s="6"/>
      <c r="X136" s="6"/>
      <c r="Y136" s="6"/>
      <c r="Z136" s="81"/>
      <c r="AA136" s="6">
        <f t="shared" ref="AA136:AO136" si="188">+Z139</f>
        <v>1126.8051029999999</v>
      </c>
      <c r="AB136" s="6">
        <f t="shared" si="188"/>
        <v>1188.907150943234</v>
      </c>
      <c r="AC136" s="6">
        <f t="shared" si="188"/>
        <v>1290.0071509432339</v>
      </c>
      <c r="AD136" s="6">
        <f t="shared" si="188"/>
        <v>1290.607150943234</v>
      </c>
      <c r="AE136" s="6">
        <f t="shared" si="188"/>
        <v>1362.707150943234</v>
      </c>
      <c r="AF136" s="6">
        <f t="shared" si="188"/>
        <v>1353.0071509432339</v>
      </c>
      <c r="AG136" s="6">
        <f t="shared" si="188"/>
        <v>1365.5071509432339</v>
      </c>
      <c r="AH136" s="6">
        <f t="shared" si="188"/>
        <v>1365.207150943234</v>
      </c>
      <c r="AI136" s="6">
        <f t="shared" si="188"/>
        <v>1376.707150943234</v>
      </c>
      <c r="AJ136" s="6">
        <f t="shared" si="188"/>
        <v>1420.707150943234</v>
      </c>
      <c r="AK136" s="6">
        <f t="shared" si="188"/>
        <v>1398.407150943234</v>
      </c>
      <c r="AL136" s="6">
        <f t="shared" si="188"/>
        <v>1378.407150943234</v>
      </c>
      <c r="AM136" s="6">
        <f t="shared" si="188"/>
        <v>1350.8071509432339</v>
      </c>
      <c r="AN136" s="6">
        <f t="shared" si="188"/>
        <v>1316.6071509432338</v>
      </c>
      <c r="AO136" s="6">
        <f t="shared" si="188"/>
        <v>1288.0071509432339</v>
      </c>
      <c r="AP136" s="6">
        <f t="shared" ref="AP136:AY136" si="189">+AO139</f>
        <v>1253.607150943234</v>
      </c>
      <c r="AQ136" s="6">
        <f t="shared" ca="1" si="189"/>
        <v>1225.2182235047233</v>
      </c>
      <c r="AR136" s="6">
        <f t="shared" ca="1" si="189"/>
        <v>1195.3183107868156</v>
      </c>
      <c r="AS136" s="6">
        <f t="shared" ca="1" si="189"/>
        <v>1164.6306855066475</v>
      </c>
      <c r="AT136" s="6">
        <f t="shared" ca="1" si="189"/>
        <v>1133.5277914470112</v>
      </c>
      <c r="AU136" s="6">
        <f t="shared" ca="1" si="189"/>
        <v>1102.4105454705623</v>
      </c>
      <c r="AV136" s="6">
        <f t="shared" ca="1" si="189"/>
        <v>1071.7058150409466</v>
      </c>
      <c r="AW136" s="6">
        <f t="shared" ca="1" si="189"/>
        <v>1041.8300467059221</v>
      </c>
      <c r="AX136" s="6">
        <f t="shared" ca="1" si="189"/>
        <v>1013.1896924229322</v>
      </c>
      <c r="AY136" s="6">
        <f t="shared" ca="1" si="189"/>
        <v>986.1817921204223</v>
      </c>
    </row>
    <row r="137" spans="1:84">
      <c r="B137" t="s">
        <v>259</v>
      </c>
      <c r="H137" s="6">
        <f>+SUM(X137:AA137)</f>
        <v>62.102047943234034</v>
      </c>
      <c r="I137" s="6">
        <f>+SUM(AB137:AE137)</f>
        <v>173.80000000000004</v>
      </c>
      <c r="J137" s="6">
        <f>+SUM(AF137:AI137)</f>
        <v>68.000000000000014</v>
      </c>
      <c r="K137" s="6">
        <f>+SUM(AJ137:AM137)</f>
        <v>0</v>
      </c>
      <c r="L137" s="6">
        <f ca="1">+SUM(AN137:AQ137)</f>
        <v>0</v>
      </c>
      <c r="M137" s="6">
        <f ca="1">+SUM(AR137:AU137)</f>
        <v>0</v>
      </c>
      <c r="N137" s="6">
        <f ca="1">+SUM(AV137:AY137)</f>
        <v>0</v>
      </c>
      <c r="T137" s="19"/>
      <c r="U137" s="6"/>
      <c r="V137" s="6"/>
      <c r="W137" s="6"/>
      <c r="X137" s="6"/>
      <c r="Y137" s="6"/>
      <c r="Z137" s="81"/>
      <c r="AA137" s="6">
        <f t="shared" ref="AA137:AY137" si="190">+IF(AA25&gt;0,0,-AA25)</f>
        <v>62.102047943234034</v>
      </c>
      <c r="AB137" s="6">
        <f t="shared" si="190"/>
        <v>101.10000000000001</v>
      </c>
      <c r="AC137" s="6">
        <f t="shared" si="190"/>
        <v>0.60000000000003162</v>
      </c>
      <c r="AD137" s="6">
        <f t="shared" si="190"/>
        <v>72.099999999999994</v>
      </c>
      <c r="AE137" s="6">
        <f t="shared" si="190"/>
        <v>0</v>
      </c>
      <c r="AF137" s="6">
        <f t="shared" si="190"/>
        <v>12.49999999999998</v>
      </c>
      <c r="AG137" s="6">
        <f t="shared" si="190"/>
        <v>0</v>
      </c>
      <c r="AH137" s="6">
        <f t="shared" si="190"/>
        <v>11.500000000000009</v>
      </c>
      <c r="AI137" s="6">
        <f t="shared" si="190"/>
        <v>44.000000000000021</v>
      </c>
      <c r="AJ137" s="6">
        <f t="shared" si="190"/>
        <v>0</v>
      </c>
      <c r="AK137" s="6">
        <f t="shared" si="190"/>
        <v>0</v>
      </c>
      <c r="AL137" s="6">
        <f t="shared" si="190"/>
        <v>0</v>
      </c>
      <c r="AM137" s="6">
        <f t="shared" si="190"/>
        <v>0</v>
      </c>
      <c r="AN137" s="6">
        <f t="shared" si="190"/>
        <v>0</v>
      </c>
      <c r="AO137" s="6">
        <f t="shared" ref="AO137" si="191">+IF(AO25&gt;0,0,-AO25)</f>
        <v>0</v>
      </c>
      <c r="AP137" s="6">
        <f t="shared" ca="1" si="190"/>
        <v>0</v>
      </c>
      <c r="AQ137" s="6">
        <f t="shared" ca="1" si="190"/>
        <v>0</v>
      </c>
      <c r="AR137" s="6">
        <f t="shared" ca="1" si="190"/>
        <v>0</v>
      </c>
      <c r="AS137" s="6">
        <f t="shared" ca="1" si="190"/>
        <v>0</v>
      </c>
      <c r="AT137" s="6">
        <f t="shared" ca="1" si="190"/>
        <v>0</v>
      </c>
      <c r="AU137" s="6">
        <f t="shared" ca="1" si="190"/>
        <v>0</v>
      </c>
      <c r="AV137" s="6">
        <f t="shared" ca="1" si="190"/>
        <v>0</v>
      </c>
      <c r="AW137" s="6">
        <f t="shared" ca="1" si="190"/>
        <v>0</v>
      </c>
      <c r="AX137" s="6">
        <f t="shared" ca="1" si="190"/>
        <v>0</v>
      </c>
      <c r="AY137" s="6">
        <f t="shared" ca="1" si="190"/>
        <v>0</v>
      </c>
    </row>
    <row r="138" spans="1:84">
      <c r="B138" t="s">
        <v>260</v>
      </c>
      <c r="H138" s="6">
        <f>+SUM(X138:AA138)</f>
        <v>0</v>
      </c>
      <c r="I138" s="6">
        <f>+SUM(AB138:AE138)</f>
        <v>-9.7000000000000668</v>
      </c>
      <c r="J138" s="6">
        <f>+SUM(AF138:AI138)</f>
        <v>-0.30000000000002203</v>
      </c>
      <c r="K138" s="6">
        <f>+SUM(AJ138:AM138)</f>
        <v>-104.10000000000004</v>
      </c>
      <c r="L138" s="6">
        <f ca="1">+SUM(AN138:AQ138)</f>
        <v>-121.28884015641833</v>
      </c>
      <c r="M138" s="6">
        <f ca="1">+SUM(AR138:AU138)</f>
        <v>-123.6124957458688</v>
      </c>
      <c r="N138" s="6">
        <f ca="1">+SUM(AV138:AY138)</f>
        <v>-112.33265216648402</v>
      </c>
      <c r="AA138" s="6">
        <f t="shared" ref="AA138:AY138" si="192">+IF(AA25&gt;0,-MINA(AA136,AA25),0)</f>
        <v>0</v>
      </c>
      <c r="AB138" s="6">
        <f t="shared" si="192"/>
        <v>0</v>
      </c>
      <c r="AC138" s="6">
        <f t="shared" si="192"/>
        <v>0</v>
      </c>
      <c r="AD138" s="6">
        <f t="shared" si="192"/>
        <v>0</v>
      </c>
      <c r="AE138" s="6">
        <f t="shared" si="192"/>
        <v>-9.7000000000000668</v>
      </c>
      <c r="AF138" s="6">
        <f t="shared" si="192"/>
        <v>0</v>
      </c>
      <c r="AG138" s="6">
        <f t="shared" si="192"/>
        <v>-0.30000000000002203</v>
      </c>
      <c r="AH138" s="6">
        <f t="shared" si="192"/>
        <v>0</v>
      </c>
      <c r="AI138" s="6">
        <f t="shared" si="192"/>
        <v>0</v>
      </c>
      <c r="AJ138" s="6">
        <f t="shared" si="192"/>
        <v>-22.300000000000004</v>
      </c>
      <c r="AK138" s="6">
        <f t="shared" si="192"/>
        <v>-19.999999999999957</v>
      </c>
      <c r="AL138" s="6">
        <f t="shared" si="192"/>
        <v>-27.600000000000044</v>
      </c>
      <c r="AM138" s="6">
        <f t="shared" si="192"/>
        <v>-34.200000000000031</v>
      </c>
      <c r="AN138" s="6">
        <f t="shared" si="192"/>
        <v>-28.600000000000016</v>
      </c>
      <c r="AO138" s="6">
        <f t="shared" ref="AO138" si="193">+IF(AO25&gt;0,-MINA(AO136,AO25),0)</f>
        <v>-34.399999999999977</v>
      </c>
      <c r="AP138" s="6">
        <f t="shared" ca="1" si="192"/>
        <v>-28.388927438510681</v>
      </c>
      <c r="AQ138" s="6">
        <f t="shared" ca="1" si="192"/>
        <v>-29.899912717907661</v>
      </c>
      <c r="AR138" s="6">
        <f t="shared" ca="1" si="192"/>
        <v>-30.687625280167971</v>
      </c>
      <c r="AS138" s="6">
        <f t="shared" ca="1" si="192"/>
        <v>-31.102894059636284</v>
      </c>
      <c r="AT138" s="6">
        <f t="shared" ca="1" si="192"/>
        <v>-31.117245976448782</v>
      </c>
      <c r="AU138" s="6">
        <f t="shared" ca="1" si="192"/>
        <v>-30.704730429615761</v>
      </c>
      <c r="AV138" s="6">
        <f t="shared" ca="1" si="192"/>
        <v>-29.875768335024418</v>
      </c>
      <c r="AW138" s="6">
        <f t="shared" ca="1" si="192"/>
        <v>-28.640354282989851</v>
      </c>
      <c r="AX138" s="6">
        <f t="shared" ca="1" si="192"/>
        <v>-27.00790030250996</v>
      </c>
      <c r="AY138" s="6">
        <f t="shared" ca="1" si="192"/>
        <v>-26.808629245959786</v>
      </c>
    </row>
    <row r="139" spans="1:84">
      <c r="B139" t="s">
        <v>258</v>
      </c>
      <c r="H139" s="6">
        <f>+AA139</f>
        <v>1188.907150943234</v>
      </c>
      <c r="I139" s="6">
        <f>+AE139</f>
        <v>1353.0071509432339</v>
      </c>
      <c r="J139" s="6">
        <f>+AI139</f>
        <v>1420.707150943234</v>
      </c>
      <c r="K139" s="6">
        <f>+AM139</f>
        <v>1316.6071509432338</v>
      </c>
      <c r="L139" s="6">
        <f ca="1">+AQ139</f>
        <v>1195.3183107868156</v>
      </c>
      <c r="M139" s="6">
        <f ca="1">+AU139</f>
        <v>1071.7058150409466</v>
      </c>
      <c r="N139" s="6">
        <f ca="1">+AY139</f>
        <v>959.37316287446254</v>
      </c>
      <c r="Z139" s="110">
        <v>1126.8051029999999</v>
      </c>
      <c r="AA139" s="6">
        <f t="shared" ref="AA139:AF139" si="194">SUM(AA136:AA138)</f>
        <v>1188.907150943234</v>
      </c>
      <c r="AB139" s="6">
        <f t="shared" si="194"/>
        <v>1290.0071509432339</v>
      </c>
      <c r="AC139" s="6">
        <f t="shared" si="194"/>
        <v>1290.607150943234</v>
      </c>
      <c r="AD139" s="6">
        <f t="shared" si="194"/>
        <v>1362.707150943234</v>
      </c>
      <c r="AE139" s="6">
        <f t="shared" si="194"/>
        <v>1353.0071509432339</v>
      </c>
      <c r="AF139" s="6">
        <f t="shared" si="194"/>
        <v>1365.5071509432339</v>
      </c>
      <c r="AG139" s="6">
        <f t="shared" ref="AG139:AL139" si="195">SUM(AG136:AG138)</f>
        <v>1365.207150943234</v>
      </c>
      <c r="AH139" s="6">
        <f t="shared" si="195"/>
        <v>1376.707150943234</v>
      </c>
      <c r="AI139" s="6">
        <f t="shared" si="195"/>
        <v>1420.707150943234</v>
      </c>
      <c r="AJ139" s="6">
        <f t="shared" si="195"/>
        <v>1398.407150943234</v>
      </c>
      <c r="AK139" s="6">
        <f t="shared" si="195"/>
        <v>1378.407150943234</v>
      </c>
      <c r="AL139" s="6">
        <f t="shared" si="195"/>
        <v>1350.8071509432339</v>
      </c>
      <c r="AM139" s="6">
        <f t="shared" ref="AM139:AN139" si="196">SUM(AM136:AM138)</f>
        <v>1316.6071509432338</v>
      </c>
      <c r="AN139" s="6">
        <f t="shared" si="196"/>
        <v>1288.0071509432339</v>
      </c>
      <c r="AO139" s="6">
        <f t="shared" ref="AO139" si="197">SUM(AO136:AO138)</f>
        <v>1253.607150943234</v>
      </c>
      <c r="AP139" s="6">
        <f t="shared" ref="AP139:AY139" ca="1" si="198">SUM(AP136:AP138)</f>
        <v>1225.2182235047233</v>
      </c>
      <c r="AQ139" s="6">
        <f t="shared" ca="1" si="198"/>
        <v>1195.3183107868156</v>
      </c>
      <c r="AR139" s="6">
        <f t="shared" ca="1" si="198"/>
        <v>1164.6306855066475</v>
      </c>
      <c r="AS139" s="6">
        <f t="shared" ca="1" si="198"/>
        <v>1133.5277914470112</v>
      </c>
      <c r="AT139" s="6">
        <f t="shared" ca="1" si="198"/>
        <v>1102.4105454705623</v>
      </c>
      <c r="AU139" s="6">
        <f t="shared" ca="1" si="198"/>
        <v>1071.7058150409466</v>
      </c>
      <c r="AV139" s="6">
        <f t="shared" ca="1" si="198"/>
        <v>1041.8300467059221</v>
      </c>
      <c r="AW139" s="6">
        <f t="shared" ca="1" si="198"/>
        <v>1013.1896924229322</v>
      </c>
      <c r="AX139" s="6">
        <f t="shared" ca="1" si="198"/>
        <v>986.1817921204223</v>
      </c>
      <c r="AY139" s="6">
        <f t="shared" ca="1" si="198"/>
        <v>959.37316287446254</v>
      </c>
    </row>
    <row r="141" spans="1:84">
      <c r="B141" t="s">
        <v>261</v>
      </c>
      <c r="H141" s="124">
        <f>Valuation!$C$26</f>
        <v>9.2508333333333331E-2</v>
      </c>
      <c r="I141" s="124">
        <f>Valuation!$C$26</f>
        <v>9.2508333333333331E-2</v>
      </c>
      <c r="J141" s="124">
        <f>Valuation!$C$26</f>
        <v>9.2508333333333331E-2</v>
      </c>
      <c r="K141" s="124">
        <f>Valuation!$C$26</f>
        <v>9.2508333333333331E-2</v>
      </c>
      <c r="L141" s="124">
        <f>Valuation!$C$26</f>
        <v>9.2508333333333331E-2</v>
      </c>
      <c r="M141" s="124">
        <f>Valuation!$C$26</f>
        <v>9.2508333333333331E-2</v>
      </c>
      <c r="N141" s="124">
        <f>Valuation!$C$26</f>
        <v>9.2508333333333331E-2</v>
      </c>
    </row>
    <row r="142" spans="1:84">
      <c r="B142" t="s">
        <v>214</v>
      </c>
      <c r="H142" s="125">
        <f>Valuation!H42</f>
        <v>0</v>
      </c>
      <c r="I142" s="125">
        <f>Valuation!I42</f>
        <v>0</v>
      </c>
      <c r="J142" s="125">
        <f>Valuation!J42</f>
        <v>0</v>
      </c>
      <c r="K142" s="125">
        <f>Valuation!K42</f>
        <v>0</v>
      </c>
      <c r="L142" s="125">
        <f>Valuation!L42</f>
        <v>0.5</v>
      </c>
      <c r="M142" s="125">
        <f>Valuation!M42</f>
        <v>1.5</v>
      </c>
      <c r="N142" s="125">
        <f>Valuation!N42</f>
        <v>2.5</v>
      </c>
    </row>
    <row r="143" spans="1:84">
      <c r="B143" t="s">
        <v>215</v>
      </c>
      <c r="H143" s="125">
        <f>Valuation!H43</f>
        <v>0</v>
      </c>
      <c r="I143" s="125">
        <f>Valuation!I43</f>
        <v>0</v>
      </c>
      <c r="J143" s="125">
        <f>Valuation!J43</f>
        <v>0</v>
      </c>
      <c r="K143" s="125">
        <f>Valuation!K43</f>
        <v>0</v>
      </c>
      <c r="L143" s="125">
        <f>Valuation!L43</f>
        <v>0.96318584400339791</v>
      </c>
      <c r="M143" s="125">
        <f>Valuation!M43</f>
        <v>0.91872859337496904</v>
      </c>
      <c r="N143" s="125">
        <f>Valuation!N43</f>
        <v>0.89057227767197089</v>
      </c>
    </row>
    <row r="144" spans="1:84">
      <c r="B144" t="s">
        <v>262</v>
      </c>
      <c r="H144" s="47">
        <v>0.35</v>
      </c>
      <c r="I144" s="47">
        <v>0.35</v>
      </c>
      <c r="J144" s="47">
        <v>0.35</v>
      </c>
      <c r="K144" s="47">
        <v>0.35</v>
      </c>
      <c r="L144" s="47">
        <v>0.35</v>
      </c>
      <c r="M144" s="47">
        <v>0.35</v>
      </c>
      <c r="N144" s="47">
        <v>0.35</v>
      </c>
    </row>
    <row r="145" spans="1:84">
      <c r="B145" t="s">
        <v>216</v>
      </c>
      <c r="H145" s="6">
        <f>+(-H138*H144)*H143</f>
        <v>0</v>
      </c>
      <c r="I145" s="6">
        <f t="shared" ref="I145:N145" si="199">+(-I138*I144)*I143</f>
        <v>0</v>
      </c>
      <c r="J145" s="6">
        <f t="shared" si="199"/>
        <v>0</v>
      </c>
      <c r="K145" s="6">
        <f t="shared" si="199"/>
        <v>0</v>
      </c>
      <c r="L145" s="6">
        <f t="shared" ca="1" si="199"/>
        <v>40.888292855988553</v>
      </c>
      <c r="M145" s="6">
        <f t="shared" ca="1" si="199"/>
        <v>39.748217019059979</v>
      </c>
      <c r="N145" s="6">
        <f t="shared" ca="1" si="199"/>
        <v>35.014121063893626</v>
      </c>
    </row>
    <row r="146" spans="1:84">
      <c r="B146" t="s">
        <v>363</v>
      </c>
      <c r="H146" s="6">
        <f ca="1">+SUM(H145:N145)</f>
        <v>115.65063093894216</v>
      </c>
      <c r="I146" s="6"/>
      <c r="J146" s="6"/>
      <c r="K146" s="6"/>
      <c r="L146" s="6"/>
      <c r="M146" s="6"/>
      <c r="N146" s="6"/>
    </row>
    <row r="147" spans="1:84">
      <c r="B147" t="s">
        <v>364</v>
      </c>
      <c r="H147" s="6">
        <f ca="1">+(N139*N144)/(1/((1+N141)^6))</f>
        <v>570.95799652463165</v>
      </c>
      <c r="I147" s="6"/>
      <c r="J147" s="6"/>
      <c r="K147" s="6"/>
      <c r="L147" s="6"/>
      <c r="M147" s="6"/>
      <c r="N147" s="6"/>
    </row>
    <row r="148" spans="1:84">
      <c r="B148" t="s">
        <v>235</v>
      </c>
      <c r="H148" s="6">
        <f ca="1">+H146+H147</f>
        <v>686.60862746357384</v>
      </c>
      <c r="I148" s="6"/>
      <c r="J148" s="6"/>
      <c r="K148" s="6"/>
      <c r="L148" s="6"/>
      <c r="M148" s="6"/>
      <c r="N148" s="6"/>
    </row>
    <row r="149" spans="1:84">
      <c r="H149" s="6"/>
      <c r="I149" s="6"/>
      <c r="J149" s="6"/>
      <c r="K149" s="6"/>
      <c r="L149" s="6"/>
      <c r="M149" s="6"/>
      <c r="N149" s="6"/>
    </row>
    <row r="150" spans="1:84" s="1" customFormat="1">
      <c r="A150" s="49" t="s">
        <v>40</v>
      </c>
      <c r="B150" s="27" t="s">
        <v>318</v>
      </c>
      <c r="Z150" s="109"/>
      <c r="AA150" s="109"/>
      <c r="AB150" s="109"/>
      <c r="AC150" s="109"/>
      <c r="AD150" s="109"/>
      <c r="AE150" s="109"/>
      <c r="AF150" s="109"/>
      <c r="AG150" s="109"/>
      <c r="AH150" s="109"/>
      <c r="AI150" s="109"/>
      <c r="AJ150" s="109"/>
      <c r="AK150" s="109"/>
      <c r="AL150" s="109"/>
      <c r="AM150" s="109"/>
      <c r="AN150" s="109"/>
      <c r="AO150" s="109"/>
      <c r="CA150"/>
      <c r="CB150"/>
      <c r="CC150"/>
      <c r="CD150"/>
      <c r="CE150"/>
      <c r="CF150"/>
    </row>
    <row r="151" spans="1:84">
      <c r="B151" t="s">
        <v>316</v>
      </c>
      <c r="H151" s="6"/>
      <c r="I151" s="6">
        <f t="shared" ref="I151:AY151" si="200">I124</f>
        <v>234.62159075</v>
      </c>
      <c r="J151" s="6">
        <f t="shared" si="200"/>
        <v>243.60000000000002</v>
      </c>
      <c r="K151" s="6">
        <f t="shared" si="200"/>
        <v>243.42499999999998</v>
      </c>
      <c r="L151" s="6">
        <f t="shared" si="200"/>
        <v>247.17499999999998</v>
      </c>
      <c r="M151" s="6">
        <f t="shared" si="200"/>
        <v>247.4</v>
      </c>
      <c r="N151" s="6">
        <f t="shared" si="200"/>
        <v>247.4</v>
      </c>
      <c r="O151" s="6"/>
      <c r="P151" s="6"/>
      <c r="Q151" s="6"/>
      <c r="R151" s="6"/>
      <c r="S151" s="6"/>
      <c r="T151" s="6">
        <f t="shared" si="200"/>
        <v>234.1</v>
      </c>
      <c r="U151" s="6">
        <f t="shared" si="200"/>
        <v>234.1</v>
      </c>
      <c r="V151" s="6">
        <f t="shared" si="200"/>
        <v>234.1</v>
      </c>
      <c r="W151" s="6">
        <f t="shared" si="200"/>
        <v>234.1</v>
      </c>
      <c r="X151" s="6">
        <f t="shared" si="200"/>
        <v>234.1</v>
      </c>
      <c r="Y151" s="6">
        <f t="shared" si="200"/>
        <v>234.1</v>
      </c>
      <c r="Z151" s="81">
        <f t="shared" si="200"/>
        <v>234.1</v>
      </c>
      <c r="AA151" s="6">
        <f t="shared" si="200"/>
        <v>234.1</v>
      </c>
      <c r="AB151" s="6">
        <f t="shared" si="200"/>
        <v>223</v>
      </c>
      <c r="AC151" s="6">
        <f t="shared" ref="AC151:AH151" si="201">AC124</f>
        <v>236.22456099999999</v>
      </c>
      <c r="AD151" s="6">
        <f t="shared" si="201"/>
        <v>239.63090099999999</v>
      </c>
      <c r="AE151" s="6">
        <f t="shared" si="201"/>
        <v>239.63090099999999</v>
      </c>
      <c r="AF151" s="6">
        <f t="shared" si="201"/>
        <v>243</v>
      </c>
      <c r="AG151" s="6">
        <f t="shared" si="201"/>
        <v>244.8</v>
      </c>
      <c r="AH151" s="6">
        <f t="shared" si="201"/>
        <v>243.3</v>
      </c>
      <c r="AI151" s="6">
        <f t="shared" ref="AI151:AN151" si="202">AI124</f>
        <v>243.3</v>
      </c>
      <c r="AJ151" s="6">
        <f t="shared" si="202"/>
        <v>242.6</v>
      </c>
      <c r="AK151" s="6">
        <f t="shared" si="202"/>
        <v>243.1</v>
      </c>
      <c r="AL151" s="6">
        <f t="shared" si="202"/>
        <v>244.1</v>
      </c>
      <c r="AM151" s="6">
        <f t="shared" si="202"/>
        <v>243.9</v>
      </c>
      <c r="AN151" s="6">
        <f t="shared" si="202"/>
        <v>246.5</v>
      </c>
      <c r="AO151" s="6">
        <f t="shared" ref="AO151" si="203">AO124</f>
        <v>247.4</v>
      </c>
      <c r="AP151" s="6">
        <f t="shared" si="200"/>
        <v>247.4</v>
      </c>
      <c r="AQ151" s="6">
        <f t="shared" si="200"/>
        <v>247.4</v>
      </c>
      <c r="AR151" s="6">
        <f t="shared" si="200"/>
        <v>247.4</v>
      </c>
      <c r="AS151" s="6">
        <f t="shared" si="200"/>
        <v>247.4</v>
      </c>
      <c r="AT151" s="6">
        <f t="shared" si="200"/>
        <v>247.4</v>
      </c>
      <c r="AU151" s="6">
        <f t="shared" si="200"/>
        <v>247.4</v>
      </c>
      <c r="AV151" s="6">
        <f t="shared" si="200"/>
        <v>247.4</v>
      </c>
      <c r="AW151" s="6">
        <f t="shared" si="200"/>
        <v>247.4</v>
      </c>
      <c r="AX151" s="6">
        <f t="shared" si="200"/>
        <v>247.4</v>
      </c>
      <c r="AY151" s="6">
        <f t="shared" si="200"/>
        <v>247.4</v>
      </c>
    </row>
    <row r="152" spans="1:84">
      <c r="B152" t="s">
        <v>317</v>
      </c>
      <c r="H152" s="6"/>
      <c r="I152" s="147">
        <v>0.35</v>
      </c>
      <c r="J152" s="147">
        <v>0.35</v>
      </c>
      <c r="K152" s="147">
        <v>0.35</v>
      </c>
      <c r="L152" s="147">
        <v>0.35</v>
      </c>
      <c r="M152" s="147">
        <v>0.35</v>
      </c>
      <c r="N152" s="147">
        <v>0.35</v>
      </c>
      <c r="T152" s="147">
        <v>0.35</v>
      </c>
      <c r="U152" s="147">
        <v>0.35</v>
      </c>
      <c r="V152" s="147">
        <v>0.35</v>
      </c>
      <c r="W152" s="147">
        <v>0.35</v>
      </c>
      <c r="X152" s="147">
        <v>0.35</v>
      </c>
      <c r="Y152" s="147">
        <v>0.35</v>
      </c>
      <c r="Z152" s="147">
        <v>0.35</v>
      </c>
      <c r="AA152" s="147">
        <v>0.35</v>
      </c>
      <c r="AB152" s="147">
        <v>0.35</v>
      </c>
      <c r="AC152" s="147">
        <v>0.35</v>
      </c>
      <c r="AD152" s="147">
        <v>0.35</v>
      </c>
      <c r="AE152" s="147">
        <v>0.35</v>
      </c>
      <c r="AF152" s="147">
        <v>0.35</v>
      </c>
      <c r="AG152" s="147">
        <v>0.35</v>
      </c>
      <c r="AH152" s="147">
        <v>0.35</v>
      </c>
      <c r="AI152" s="147">
        <v>0.35</v>
      </c>
      <c r="AJ152" s="147">
        <v>0.35</v>
      </c>
      <c r="AK152" s="147">
        <v>0.35</v>
      </c>
      <c r="AL152" s="147">
        <v>0.35</v>
      </c>
      <c r="AM152" s="147">
        <v>0.35</v>
      </c>
      <c r="AN152" s="147">
        <v>0.35</v>
      </c>
      <c r="AO152" s="147">
        <v>0.35</v>
      </c>
      <c r="AP152" s="147">
        <v>0.35</v>
      </c>
      <c r="AQ152" s="147">
        <v>0.35</v>
      </c>
      <c r="AR152" s="147">
        <v>0.35</v>
      </c>
      <c r="AS152" s="147">
        <v>0.35</v>
      </c>
      <c r="AT152" s="147">
        <v>0.35</v>
      </c>
      <c r="AU152" s="147">
        <v>0.35</v>
      </c>
      <c r="AV152" s="147">
        <v>0.35</v>
      </c>
      <c r="AW152" s="147">
        <v>0.35</v>
      </c>
      <c r="AX152" s="147">
        <v>0.35</v>
      </c>
      <c r="AY152" s="147">
        <v>0.35</v>
      </c>
    </row>
    <row r="153" spans="1:84">
      <c r="H153" s="6"/>
      <c r="I153" s="6"/>
      <c r="J153" s="6"/>
      <c r="K153" s="6"/>
      <c r="L153" s="6"/>
      <c r="M153" s="6"/>
      <c r="N153" s="6"/>
    </row>
    <row r="155" spans="1:84" hidden="1" outlineLevel="1"/>
    <row r="156" spans="1:84" hidden="1" outlineLevel="1"/>
    <row r="157" spans="1:84" hidden="1" outlineLevel="1"/>
    <row r="158" spans="1:84" hidden="1" outlineLevel="1"/>
    <row r="159" spans="1:84" hidden="1" outlineLevel="1"/>
    <row r="160" spans="1:84" hidden="1" outlineLevel="1"/>
    <row r="161" hidden="1" outlineLevel="1"/>
    <row r="162" hidden="1" outlineLevel="1"/>
    <row r="163" hidden="1" outlineLevel="1"/>
    <row r="164" hidden="1" outlineLevel="1"/>
    <row r="165" hidden="1" outlineLevel="1"/>
    <row r="166" hidden="1" outlineLevel="1"/>
    <row r="167" hidden="1" outlineLevel="1"/>
    <row r="168" hidden="1" outlineLevel="1"/>
    <row r="169" hidden="1" outlineLevel="1"/>
    <row r="170" hidden="1" outlineLevel="1"/>
    <row r="171" hidden="1" outlineLevel="1"/>
    <row r="172" hidden="1" outlineLevel="1"/>
    <row r="173" hidden="1" outlineLevel="1"/>
    <row r="174" hidden="1" outlineLevel="1"/>
    <row r="175" hidden="1" outlineLevel="1"/>
    <row r="176" hidden="1" outlineLevel="1"/>
    <row r="177" hidden="1" outlineLevel="1"/>
    <row r="178" hidden="1" outlineLevel="1"/>
    <row r="179" hidden="1" outlineLevel="1"/>
    <row r="180" hidden="1" outlineLevel="1"/>
    <row r="181" hidden="1" outlineLevel="1"/>
    <row r="182" hidden="1" outlineLevel="1"/>
    <row r="183" hidden="1" outlineLevel="1"/>
    <row r="184" hidden="1" outlineLevel="1"/>
    <row r="185" hidden="1" outlineLevel="1"/>
    <row r="186" hidden="1" outlineLevel="1"/>
    <row r="187" hidden="1" outlineLevel="1"/>
    <row r="188" hidden="1" outlineLevel="1"/>
    <row r="189" hidden="1" outlineLevel="1"/>
    <row r="190" hidden="1" outlineLevel="1"/>
    <row r="191" hidden="1" outlineLevel="1"/>
    <row r="192" hidden="1" outlineLevel="1"/>
    <row r="193" hidden="1" outlineLevel="1"/>
    <row r="194" hidden="1" outlineLevel="1"/>
    <row r="195" hidden="1" outlineLevel="1"/>
    <row r="196" hidden="1" outlineLevel="1"/>
    <row r="197" hidden="1" outlineLevel="1"/>
    <row r="198" hidden="1" outlineLevel="1"/>
    <row r="199" hidden="1" outlineLevel="1"/>
    <row r="200" hidden="1" outlineLevel="1"/>
    <row r="201" hidden="1" outlineLevel="1"/>
    <row r="202" hidden="1" outlineLevel="1"/>
    <row r="203" hidden="1" outlineLevel="1"/>
    <row r="204" hidden="1" outlineLevel="1"/>
    <row r="205" hidden="1" outlineLevel="1"/>
    <row r="206" hidden="1" outlineLevel="1"/>
    <row r="207" hidden="1" outlineLevel="1"/>
    <row r="208" hidden="1" outlineLevel="1"/>
    <row r="209" hidden="1" outlineLevel="1"/>
    <row r="210" hidden="1" outlineLevel="1"/>
    <row r="211" hidden="1" outlineLevel="1"/>
    <row r="212" hidden="1" outlineLevel="1"/>
    <row r="213" hidden="1" outlineLevel="1"/>
    <row r="214" hidden="1" outlineLevel="1"/>
    <row r="215" hidden="1" outlineLevel="1"/>
    <row r="216" hidden="1" outlineLevel="1"/>
    <row r="217" hidden="1" outlineLevel="1"/>
    <row r="218" hidden="1" outlineLevel="1"/>
    <row r="219" hidden="1" outlineLevel="1"/>
    <row r="220" hidden="1" outlineLevel="1"/>
    <row r="221" hidden="1" outlineLevel="1"/>
    <row r="222" hidden="1" outlineLevel="1"/>
    <row r="223" hidden="1" outlineLevel="1"/>
    <row r="224" hidden="1" outlineLevel="1"/>
    <row r="225" spans="26:26" collapsed="1"/>
    <row r="226" spans="26:26">
      <c r="Z226"/>
    </row>
  </sheetData>
  <pageMargins left="0" right="0" top="0" bottom="0" header="0" footer="0"/>
  <pageSetup scale="28" orientation="landscape"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A2:CJ202"/>
  <sheetViews>
    <sheetView showGridLines="0" zoomScale="70" zoomScaleNormal="70" workbookViewId="0">
      <pane xSplit="3" ySplit="3" topLeftCell="J4" activePane="bottomRight" state="frozen"/>
      <selection activeCell="E21" sqref="E21"/>
      <selection pane="topRight" activeCell="E21" sqref="E21"/>
      <selection pane="bottomLeft" activeCell="E21" sqref="E21"/>
      <selection pane="bottomRight" activeCell="J4" sqref="J4"/>
    </sheetView>
  </sheetViews>
  <sheetFormatPr defaultRowHeight="12.75" outlineLevelRow="1" outlineLevelCol="1"/>
  <cols>
    <col min="1" max="1" width="2" bestFit="1" customWidth="1"/>
    <col min="2" max="2" width="32.5703125" customWidth="1"/>
    <col min="3" max="3" width="9.140625" customWidth="1"/>
    <col min="4" max="6" width="9.140625" hidden="1" customWidth="1" outlineLevel="1"/>
    <col min="7" max="7" width="9.140625" hidden="1" customWidth="1" outlineLevel="1" collapsed="1"/>
    <col min="8" max="9" width="9.140625" hidden="1" customWidth="1" outlineLevel="1"/>
    <col min="10" max="10" width="9.140625" customWidth="1" collapsed="1"/>
    <col min="11" max="13" width="9.140625" customWidth="1"/>
    <col min="14" max="14" width="9.140625" hidden="1" customWidth="1" outlineLevel="1"/>
    <col min="15" max="15" width="9.140625" customWidth="1" collapsed="1"/>
    <col min="16" max="19" width="9.140625" hidden="1" customWidth="1" outlineLevel="1"/>
    <col min="20" max="20" width="9.42578125" hidden="1" customWidth="1" outlineLevel="1" collapsed="1"/>
    <col min="21" max="23" width="9.28515625" hidden="1" customWidth="1" outlineLevel="1"/>
    <col min="24" max="24" width="9.42578125" hidden="1" customWidth="1" outlineLevel="1" collapsed="1"/>
    <col min="25" max="26" width="9.42578125" hidden="1" customWidth="1" outlineLevel="1"/>
    <col min="27" max="27" width="9.140625" hidden="1" customWidth="1" outlineLevel="1"/>
    <col min="28" max="28" width="9.140625" hidden="1" customWidth="1" outlineLevel="1" collapsed="1"/>
    <col min="29" max="31" width="9.140625" hidden="1" customWidth="1" outlineLevel="1"/>
    <col min="32" max="32" width="9.140625" hidden="1" customWidth="1" outlineLevel="1" collapsed="1"/>
    <col min="33" max="35" width="9.140625" hidden="1" customWidth="1" outlineLevel="1"/>
    <col min="36" max="36" width="9.140625" collapsed="1"/>
    <col min="53" max="77" width="9.140625" hidden="1" customWidth="1" outlineLevel="1"/>
    <col min="78" max="78" width="9.140625" collapsed="1"/>
    <col min="79" max="79" width="68.28515625" bestFit="1" customWidth="1" outlineLevel="1"/>
    <col min="80" max="84" width="9.140625" customWidth="1" outlineLevel="1"/>
  </cols>
  <sheetData>
    <row r="2" spans="1:84" s="14" customFormat="1">
      <c r="B2" s="13" t="s">
        <v>2</v>
      </c>
      <c r="C2" s="13"/>
      <c r="D2" s="52">
        <f>Rev!D2</f>
        <v>40359</v>
      </c>
      <c r="E2" s="52">
        <f>Rev!E2</f>
        <v>40724</v>
      </c>
      <c r="F2" s="52">
        <f>Rev!F2</f>
        <v>41090</v>
      </c>
      <c r="G2" s="52">
        <f>Rev!G2</f>
        <v>41455</v>
      </c>
      <c r="H2" s="52">
        <f>Rev!H2</f>
        <v>41820</v>
      </c>
      <c r="I2" s="52">
        <f>Rev!I2</f>
        <v>42185</v>
      </c>
      <c r="J2" s="52">
        <f>Rev!J2</f>
        <v>42551</v>
      </c>
      <c r="K2" s="52">
        <f>Rev!K2</f>
        <v>42916</v>
      </c>
      <c r="L2" s="52">
        <f>Rev!L2</f>
        <v>43281</v>
      </c>
      <c r="M2" s="52">
        <f>Rev!M2</f>
        <v>43646</v>
      </c>
      <c r="N2" s="52">
        <f>Rev!N2</f>
        <v>44012</v>
      </c>
      <c r="O2" s="13"/>
      <c r="P2" s="13"/>
      <c r="Q2" s="13"/>
      <c r="R2" s="13"/>
      <c r="S2" s="13"/>
      <c r="T2" s="52">
        <f>Rev!T2</f>
        <v>41182</v>
      </c>
      <c r="U2" s="52">
        <f>Rev!U2</f>
        <v>41274</v>
      </c>
      <c r="V2" s="52">
        <f>Rev!V2</f>
        <v>41364</v>
      </c>
      <c r="W2" s="52">
        <f>Rev!W2</f>
        <v>41455</v>
      </c>
      <c r="X2" s="52">
        <f>Rev!X2</f>
        <v>41547</v>
      </c>
      <c r="Y2" s="52">
        <f>Rev!Y2</f>
        <v>41639</v>
      </c>
      <c r="Z2" s="53">
        <f>Rev!Z2</f>
        <v>41729</v>
      </c>
      <c r="AA2" s="52">
        <f>Rev!AA2</f>
        <v>41820</v>
      </c>
      <c r="AB2" s="52">
        <f>Rev!AB2</f>
        <v>41912</v>
      </c>
      <c r="AC2" s="52">
        <f>Rev!AC2</f>
        <v>42004</v>
      </c>
      <c r="AD2" s="52">
        <f>Rev!AD2</f>
        <v>42094</v>
      </c>
      <c r="AE2" s="52">
        <f>Rev!AE2</f>
        <v>42185</v>
      </c>
      <c r="AF2" s="52">
        <f>Rev!AF2</f>
        <v>42277</v>
      </c>
      <c r="AG2" s="52">
        <f>Rev!AG2</f>
        <v>42369</v>
      </c>
      <c r="AH2" s="52">
        <f>Rev!AH2</f>
        <v>42460</v>
      </c>
      <c r="AI2" s="52">
        <f>Rev!AI2</f>
        <v>42551</v>
      </c>
      <c r="AJ2" s="52">
        <f>Rev!AJ2</f>
        <v>42643</v>
      </c>
      <c r="AK2" s="52">
        <f>Rev!AK2</f>
        <v>42735</v>
      </c>
      <c r="AL2" s="52">
        <f>Rev!AL2</f>
        <v>42825</v>
      </c>
      <c r="AM2" s="52">
        <f>Rev!AM2</f>
        <v>42916</v>
      </c>
      <c r="AN2" s="52">
        <f>Rev!AN2</f>
        <v>43008</v>
      </c>
      <c r="AO2" s="52">
        <f>Rev!AO2</f>
        <v>43100</v>
      </c>
      <c r="AP2" s="52">
        <f>Rev!AP2</f>
        <v>43190</v>
      </c>
      <c r="AQ2" s="52">
        <f>Rev!AQ2</f>
        <v>43281</v>
      </c>
      <c r="AR2" s="52">
        <f>Rev!AR2</f>
        <v>43373</v>
      </c>
      <c r="AS2" s="52">
        <f>Rev!AS2</f>
        <v>43465</v>
      </c>
      <c r="AT2" s="52">
        <f>Rev!AT2</f>
        <v>43555</v>
      </c>
      <c r="AU2" s="52">
        <f>Rev!AU2</f>
        <v>43646</v>
      </c>
      <c r="AV2" s="52">
        <f>Rev!AV2</f>
        <v>43738</v>
      </c>
      <c r="AW2" s="52">
        <f>Rev!AW2</f>
        <v>43830</v>
      </c>
      <c r="AX2" s="52">
        <f>Rev!AX2</f>
        <v>43921</v>
      </c>
      <c r="AY2" s="52">
        <f>Rev!AY2</f>
        <v>44012</v>
      </c>
      <c r="CA2"/>
      <c r="CB2"/>
      <c r="CC2"/>
      <c r="CD2"/>
      <c r="CE2"/>
      <c r="CF2"/>
    </row>
    <row r="3" spans="1:84" s="16" customFormat="1">
      <c r="B3" s="15" t="s">
        <v>1</v>
      </c>
      <c r="C3" s="15"/>
      <c r="D3" s="103">
        <f>Rev!D3</f>
        <v>2010</v>
      </c>
      <c r="E3" s="103">
        <f>Rev!E3</f>
        <v>2011</v>
      </c>
      <c r="F3" s="103">
        <f>Rev!F3</f>
        <v>2012</v>
      </c>
      <c r="G3" s="103">
        <f>Rev!G3</f>
        <v>2013</v>
      </c>
      <c r="H3" s="103">
        <f>Rev!H3</f>
        <v>2014</v>
      </c>
      <c r="I3" s="54">
        <f>Rev!I3</f>
        <v>2015</v>
      </c>
      <c r="J3" s="54">
        <f>Rev!J3</f>
        <v>2016</v>
      </c>
      <c r="K3" s="54">
        <f>Rev!K3</f>
        <v>2017</v>
      </c>
      <c r="L3" s="54" t="str">
        <f>Rev!L3</f>
        <v>2018E</v>
      </c>
      <c r="M3" s="54" t="str">
        <f>Rev!M3</f>
        <v>2019E</v>
      </c>
      <c r="N3" s="54" t="str">
        <f>Rev!N3</f>
        <v>2020E</v>
      </c>
      <c r="O3" s="15"/>
      <c r="P3" s="15"/>
      <c r="Q3" s="15"/>
      <c r="R3" s="15"/>
      <c r="S3" s="15"/>
      <c r="T3" s="54" t="str">
        <f>Rev!T3</f>
        <v>1Q13</v>
      </c>
      <c r="U3" s="54" t="str">
        <f>Rev!U3</f>
        <v>2Q13</v>
      </c>
      <c r="V3" s="54" t="str">
        <f>Rev!V3</f>
        <v>3Q13</v>
      </c>
      <c r="W3" s="54" t="str">
        <f>Rev!W3</f>
        <v>4Q13</v>
      </c>
      <c r="X3" s="54" t="str">
        <f>Rev!X3</f>
        <v>1Q14</v>
      </c>
      <c r="Y3" s="54" t="str">
        <f>Rev!Y3</f>
        <v>2Q14</v>
      </c>
      <c r="Z3" s="55" t="str">
        <f>Rev!Z3</f>
        <v>3Q14</v>
      </c>
      <c r="AA3" s="56" t="str">
        <f>Rev!AA3</f>
        <v>4Q14</v>
      </c>
      <c r="AB3" s="56" t="str">
        <f>Rev!AB3</f>
        <v>1Q15</v>
      </c>
      <c r="AC3" s="56" t="str">
        <f>Rev!AC3</f>
        <v>2Q15</v>
      </c>
      <c r="AD3" s="56" t="str">
        <f>Rev!AD3</f>
        <v>3Q15</v>
      </c>
      <c r="AE3" s="56" t="str">
        <f>Rev!AE3</f>
        <v>4Q15</v>
      </c>
      <c r="AF3" s="56" t="str">
        <f>Rev!AF3</f>
        <v>1Q16</v>
      </c>
      <c r="AG3" s="56" t="str">
        <f>Rev!AG3</f>
        <v>2Q16</v>
      </c>
      <c r="AH3" s="56" t="str">
        <f>Rev!AH3</f>
        <v>3Q16</v>
      </c>
      <c r="AI3" s="56" t="str">
        <f>Rev!AI3</f>
        <v>4Q16</v>
      </c>
      <c r="AJ3" s="56" t="str">
        <f>Rev!AJ3</f>
        <v>1Q17</v>
      </c>
      <c r="AK3" s="56" t="str">
        <f>Rev!AK3</f>
        <v>2Q17</v>
      </c>
      <c r="AL3" s="56" t="str">
        <f>Rev!AL3</f>
        <v>3Q17</v>
      </c>
      <c r="AM3" s="56" t="str">
        <f>Rev!AM3</f>
        <v>4Q17</v>
      </c>
      <c r="AN3" s="56" t="str">
        <f>Rev!AN3</f>
        <v>1Q18</v>
      </c>
      <c r="AO3" s="56" t="str">
        <f>Rev!AO3</f>
        <v>2Q18</v>
      </c>
      <c r="AP3" s="56" t="str">
        <f>Rev!AP3</f>
        <v>3Q18E</v>
      </c>
      <c r="AQ3" s="56" t="str">
        <f>Rev!AQ3</f>
        <v>4Q18E</v>
      </c>
      <c r="AR3" s="56" t="str">
        <f>Rev!AR3</f>
        <v>1Q19E</v>
      </c>
      <c r="AS3" s="56" t="str">
        <f>Rev!AS3</f>
        <v>2Q19E</v>
      </c>
      <c r="AT3" s="56" t="str">
        <f>Rev!AT3</f>
        <v>3Q19E</v>
      </c>
      <c r="AU3" s="56" t="str">
        <f>Rev!AU3</f>
        <v>4Q19E</v>
      </c>
      <c r="AV3" s="56" t="str">
        <f>Rev!AV3</f>
        <v>1Q20E</v>
      </c>
      <c r="AW3" s="56" t="str">
        <f>Rev!AW3</f>
        <v>2Q20E</v>
      </c>
      <c r="AX3" s="56" t="str">
        <f>Rev!AX3</f>
        <v>3Q20E</v>
      </c>
      <c r="AY3" s="56" t="str">
        <f>Rev!AY3</f>
        <v>4Q20E</v>
      </c>
      <c r="CA3"/>
      <c r="CB3"/>
      <c r="CC3"/>
      <c r="CD3"/>
      <c r="CE3"/>
      <c r="CF3"/>
    </row>
    <row r="4" spans="1:84" s="13" customFormat="1">
      <c r="CA4"/>
      <c r="CB4"/>
      <c r="CC4"/>
      <c r="CD4"/>
      <c r="CE4"/>
      <c r="CF4"/>
    </row>
    <row r="5" spans="1:84" s="3" customFormat="1">
      <c r="B5" s="3" t="s">
        <v>91</v>
      </c>
      <c r="G5" s="40">
        <f>+W5</f>
        <v>91.313012048752995</v>
      </c>
      <c r="H5" s="40">
        <f t="shared" ref="H5:H11" si="0">+AA5</f>
        <v>297.423</v>
      </c>
      <c r="I5" s="40">
        <f t="shared" ref="I5:I11" si="1">+AE5</f>
        <v>308.59999999999997</v>
      </c>
      <c r="J5" s="40">
        <f t="shared" ref="J5:J11" si="2">+AI5</f>
        <v>170.69999999999993</v>
      </c>
      <c r="K5" s="40">
        <f t="shared" ref="K5:K11" si="3">+AM5</f>
        <v>220.7</v>
      </c>
      <c r="L5" s="40">
        <f t="shared" ref="L5:L11" ca="1" si="4">+AQ5</f>
        <v>301.63511914250603</v>
      </c>
      <c r="M5" s="40">
        <f t="shared" ref="M5:M11" ca="1" si="5">+AU5</f>
        <v>447.48147159296127</v>
      </c>
      <c r="N5" s="40">
        <f t="shared" ref="N5:N11" ca="1" si="6">+AY5</f>
        <v>726.84350907698308</v>
      </c>
      <c r="T5" s="40">
        <v>221.942483676151</v>
      </c>
      <c r="U5" s="40">
        <v>99.439509780891996</v>
      </c>
      <c r="V5" s="40">
        <v>70.177172818441008</v>
      </c>
      <c r="W5" s="40">
        <v>91.313012048752995</v>
      </c>
      <c r="X5" s="40">
        <v>97.448272404297995</v>
      </c>
      <c r="Y5" s="40">
        <v>206.75864977252002</v>
      </c>
      <c r="Z5" s="40">
        <v>254.607473447345</v>
      </c>
      <c r="AA5" s="62">
        <f>CF!AA53</f>
        <v>297.423</v>
      </c>
      <c r="AB5" s="62">
        <f>CF!AB53</f>
        <v>167.3</v>
      </c>
      <c r="AC5" s="62">
        <f>CF!AC53</f>
        <v>163.6</v>
      </c>
      <c r="AD5" s="62">
        <f>CF!AD53</f>
        <v>273.69999999999993</v>
      </c>
      <c r="AE5" s="62">
        <f>CF!AE53</f>
        <v>308.59999999999997</v>
      </c>
      <c r="AF5" s="62">
        <f>CF!AF53</f>
        <v>345.7</v>
      </c>
      <c r="AG5" s="62">
        <f>CF!AG53</f>
        <v>176.20000000000002</v>
      </c>
      <c r="AH5" s="62">
        <f>CF!AH53</f>
        <v>215.2</v>
      </c>
      <c r="AI5" s="62">
        <f>CF!AI53</f>
        <v>170.69999999999993</v>
      </c>
      <c r="AJ5" s="62">
        <f>CF!AJ53</f>
        <v>192.99999999999994</v>
      </c>
      <c r="AK5" s="62">
        <f>CF!AK53</f>
        <v>143.99999999999994</v>
      </c>
      <c r="AL5" s="62">
        <f>CF!AL53</f>
        <v>198.40000000000003</v>
      </c>
      <c r="AM5" s="62">
        <f>CF!AM53</f>
        <v>220.7</v>
      </c>
      <c r="AN5" s="62">
        <f>CF!AN53</f>
        <v>291.20000000000005</v>
      </c>
      <c r="AO5" s="62">
        <f>CF!AO53</f>
        <v>280.8</v>
      </c>
      <c r="AP5" s="62">
        <f ca="1">CF!AP53</f>
        <v>257.82070844671949</v>
      </c>
      <c r="AQ5" s="62">
        <f ca="1">CF!AQ53</f>
        <v>301.63511914250603</v>
      </c>
      <c r="AR5" s="62">
        <f ca="1">CF!AR53</f>
        <v>333.34409686306424</v>
      </c>
      <c r="AS5" s="62">
        <f ca="1">CF!AS53</f>
        <v>368.20212827903021</v>
      </c>
      <c r="AT5" s="62">
        <f ca="1">CF!AT53</f>
        <v>406.24621171507044</v>
      </c>
      <c r="AU5" s="62">
        <f ca="1">CF!AU53</f>
        <v>447.48147159296127</v>
      </c>
      <c r="AV5" s="62">
        <f ca="1">CF!AV53</f>
        <v>492.00516326749209</v>
      </c>
      <c r="AW5" s="62">
        <f ca="1">CF!AW53</f>
        <v>539.91059189609166</v>
      </c>
      <c r="AX5" s="62">
        <f ca="1">CF!AX53</f>
        <v>591.28714358359855</v>
      </c>
      <c r="AY5" s="62">
        <f ca="1">CF!AY53</f>
        <v>726.84350907698308</v>
      </c>
      <c r="AZ5" s="40"/>
      <c r="CA5"/>
      <c r="CB5"/>
      <c r="CC5"/>
      <c r="CD5"/>
      <c r="CE5"/>
      <c r="CF5"/>
    </row>
    <row r="6" spans="1:84">
      <c r="A6" s="3"/>
      <c r="B6" t="s">
        <v>92</v>
      </c>
      <c r="G6" s="40">
        <f t="shared" ref="G6:G11" si="7">+W6</f>
        <v>70.876872010336001</v>
      </c>
      <c r="H6" s="40">
        <f t="shared" si="0"/>
        <v>59.04</v>
      </c>
      <c r="I6" s="40">
        <f t="shared" si="1"/>
        <v>88</v>
      </c>
      <c r="J6" s="40">
        <f t="shared" si="2"/>
        <v>148.4</v>
      </c>
      <c r="K6" s="40">
        <f t="shared" si="3"/>
        <v>191.6</v>
      </c>
      <c r="L6" s="40">
        <f t="shared" ca="1" si="4"/>
        <v>235.35191971156078</v>
      </c>
      <c r="M6" s="40">
        <f t="shared" ca="1" si="5"/>
        <v>244.01797586837287</v>
      </c>
      <c r="N6" s="40">
        <f t="shared" ca="1" si="6"/>
        <v>254.06803153294007</v>
      </c>
      <c r="T6" s="19">
        <v>79.609979932439998</v>
      </c>
      <c r="U6" s="19">
        <v>96.948500029930003</v>
      </c>
      <c r="V6" s="19">
        <v>75.338751644070001</v>
      </c>
      <c r="W6" s="19">
        <v>70.876872010336001</v>
      </c>
      <c r="X6" s="19">
        <v>63.509992212055998</v>
      </c>
      <c r="Y6" s="19">
        <v>59.180871671679995</v>
      </c>
      <c r="Z6" s="19">
        <v>49.750654920477999</v>
      </c>
      <c r="AA6" s="19">
        <v>59.04</v>
      </c>
      <c r="AB6" s="19">
        <v>64.5</v>
      </c>
      <c r="AC6" s="19">
        <v>71.8</v>
      </c>
      <c r="AD6" s="19">
        <v>94.5</v>
      </c>
      <c r="AE6" s="19">
        <v>88</v>
      </c>
      <c r="AF6" s="19">
        <v>90.3</v>
      </c>
      <c r="AG6" s="19">
        <v>73.900000000000006</v>
      </c>
      <c r="AH6" s="19">
        <v>134.80000000000001</v>
      </c>
      <c r="AI6" s="19">
        <v>148.4</v>
      </c>
      <c r="AJ6" s="19">
        <v>148.4</v>
      </c>
      <c r="AK6" s="19">
        <v>156.69999999999999</v>
      </c>
      <c r="AL6" s="19">
        <v>189.7</v>
      </c>
      <c r="AM6" s="19">
        <v>191.6</v>
      </c>
      <c r="AN6" s="19">
        <v>225.7</v>
      </c>
      <c r="AO6" s="19">
        <v>233.8</v>
      </c>
      <c r="AP6" s="6">
        <f t="shared" ref="AP6:AY6" ca="1" si="8">+AP54*AP51/90</f>
        <v>233.55128270525012</v>
      </c>
      <c r="AQ6" s="6">
        <f t="shared" ca="1" si="8"/>
        <v>235.35191971156078</v>
      </c>
      <c r="AR6" s="6">
        <f t="shared" ca="1" si="8"/>
        <v>237.31771016752251</v>
      </c>
      <c r="AS6" s="6">
        <f t="shared" ca="1" si="8"/>
        <v>239.44112786677513</v>
      </c>
      <c r="AT6" s="6">
        <f t="shared" ca="1" si="8"/>
        <v>241.68591293325727</v>
      </c>
      <c r="AU6" s="6">
        <f t="shared" ca="1" si="8"/>
        <v>244.01797586837287</v>
      </c>
      <c r="AV6" s="6">
        <f t="shared" ca="1" si="8"/>
        <v>246.4294181593763</v>
      </c>
      <c r="AW6" s="6">
        <f t="shared" ca="1" si="8"/>
        <v>248.91286645671445</v>
      </c>
      <c r="AX6" s="6">
        <f t="shared" ca="1" si="8"/>
        <v>251.46131666312385</v>
      </c>
      <c r="AY6" s="6">
        <f t="shared" ca="1" si="8"/>
        <v>254.06803153294007</v>
      </c>
      <c r="AZ6" s="6"/>
    </row>
    <row r="7" spans="1:84">
      <c r="A7" s="3"/>
      <c r="B7" t="s">
        <v>93</v>
      </c>
      <c r="G7" s="40">
        <f t="shared" si="7"/>
        <v>0.6218116696160042</v>
      </c>
      <c r="H7" s="40">
        <f t="shared" si="0"/>
        <v>0.10299999999999999</v>
      </c>
      <c r="I7" s="40">
        <f t="shared" si="1"/>
        <v>0.6</v>
      </c>
      <c r="J7" s="40">
        <f t="shared" si="2"/>
        <v>0</v>
      </c>
      <c r="K7" s="40">
        <f t="shared" si="3"/>
        <v>0</v>
      </c>
      <c r="L7" s="40">
        <f t="shared" si="4"/>
        <v>0</v>
      </c>
      <c r="M7" s="40">
        <f t="shared" si="5"/>
        <v>0</v>
      </c>
      <c r="N7" s="40">
        <f t="shared" si="6"/>
        <v>0</v>
      </c>
      <c r="T7" s="19">
        <v>0.37540248677300098</v>
      </c>
      <c r="U7" s="19">
        <v>0.83872821791199859</v>
      </c>
      <c r="V7" s="19">
        <v>0.72134410422998951</v>
      </c>
      <c r="W7" s="19">
        <v>0.6218116696160042</v>
      </c>
      <c r="X7" s="19">
        <v>0.64436082613599999</v>
      </c>
      <c r="Y7" s="19">
        <v>-0.62557373307199704</v>
      </c>
      <c r="Z7" s="19">
        <v>0.50240883420499782</v>
      </c>
      <c r="AA7" s="19">
        <v>0.10299999999999999</v>
      </c>
      <c r="AB7" s="19">
        <v>0.1</v>
      </c>
      <c r="AC7" s="19"/>
      <c r="AD7" s="19">
        <v>0.2</v>
      </c>
      <c r="AE7" s="19">
        <v>0.6</v>
      </c>
      <c r="AF7" s="19">
        <v>0.3</v>
      </c>
      <c r="AG7" s="19">
        <v>0.5</v>
      </c>
      <c r="AH7" s="19">
        <v>0.1</v>
      </c>
      <c r="AI7" s="19"/>
      <c r="AJ7" s="19"/>
      <c r="AK7" s="19"/>
      <c r="AL7" s="19"/>
      <c r="AM7" s="19"/>
      <c r="AN7" s="19"/>
      <c r="AO7" s="19"/>
      <c r="AP7" s="19">
        <v>0</v>
      </c>
      <c r="AQ7" s="19">
        <v>0</v>
      </c>
      <c r="AR7" s="19">
        <v>0</v>
      </c>
      <c r="AS7" s="19">
        <v>0</v>
      </c>
      <c r="AT7" s="19">
        <v>0</v>
      </c>
      <c r="AU7" s="19">
        <v>0</v>
      </c>
      <c r="AV7" s="19">
        <v>0</v>
      </c>
      <c r="AW7" s="19">
        <v>0</v>
      </c>
      <c r="AX7" s="19">
        <v>0</v>
      </c>
      <c r="AY7" s="19">
        <v>0</v>
      </c>
      <c r="AZ7" s="19"/>
    </row>
    <row r="8" spans="1:84">
      <c r="A8" s="3"/>
      <c r="B8" t="s">
        <v>94</v>
      </c>
      <c r="G8" s="40">
        <f t="shared" si="7"/>
        <v>19.924772299507996</v>
      </c>
      <c r="H8" s="40">
        <f t="shared" si="0"/>
        <v>25.616</v>
      </c>
      <c r="I8" s="40">
        <f t="shared" si="1"/>
        <v>37.299999999999997</v>
      </c>
      <c r="J8" s="40">
        <f t="shared" si="2"/>
        <v>68.8</v>
      </c>
      <c r="K8" s="40">
        <f t="shared" si="3"/>
        <v>68.3</v>
      </c>
      <c r="L8" s="40">
        <f t="shared" ca="1" si="4"/>
        <v>67.847388317190763</v>
      </c>
      <c r="M8" s="40">
        <f t="shared" ca="1" si="5"/>
        <v>70.345644027067294</v>
      </c>
      <c r="N8" s="40">
        <f t="shared" ca="1" si="6"/>
        <v>73.242879920103363</v>
      </c>
      <c r="T8" s="19">
        <v>19.793962668744001</v>
      </c>
      <c r="U8" s="19">
        <v>14.037431200188999</v>
      </c>
      <c r="V8" s="19">
        <v>19.579241095331014</v>
      </c>
      <c r="W8" s="19">
        <v>19.924772299507996</v>
      </c>
      <c r="X8" s="19">
        <v>18.856187372335999</v>
      </c>
      <c r="Y8" s="19">
        <v>18.826102838047998</v>
      </c>
      <c r="Z8" s="19">
        <v>21.514449403258997</v>
      </c>
      <c r="AA8" s="19">
        <v>25.616</v>
      </c>
      <c r="AB8" s="19">
        <v>28.8</v>
      </c>
      <c r="AC8" s="19">
        <v>26.2</v>
      </c>
      <c r="AD8" s="19">
        <v>36.200000000000003</v>
      </c>
      <c r="AE8" s="19">
        <v>37.299999999999997</v>
      </c>
      <c r="AF8" s="19">
        <v>34.9</v>
      </c>
      <c r="AG8" s="19">
        <v>33.799999999999997</v>
      </c>
      <c r="AH8" s="19">
        <v>58</v>
      </c>
      <c r="AI8" s="19">
        <v>68.8</v>
      </c>
      <c r="AJ8" s="19">
        <v>62.7</v>
      </c>
      <c r="AK8" s="19">
        <v>52.9</v>
      </c>
      <c r="AL8" s="19">
        <v>72.400000000000006</v>
      </c>
      <c r="AM8" s="19">
        <v>68.3</v>
      </c>
      <c r="AN8" s="19">
        <v>67.099999999999994</v>
      </c>
      <c r="AO8" s="19">
        <v>67.400000000000006</v>
      </c>
      <c r="AP8" s="6">
        <f t="shared" ref="AP8:AY8" ca="1" si="9">+AP51*AP55</f>
        <v>67.328299633592223</v>
      </c>
      <c r="AQ8" s="6">
        <f t="shared" ca="1" si="9"/>
        <v>67.847388317190763</v>
      </c>
      <c r="AR8" s="6">
        <f t="shared" ca="1" si="9"/>
        <v>68.414087533323439</v>
      </c>
      <c r="AS8" s="6">
        <f t="shared" ca="1" si="9"/>
        <v>69.026227622842811</v>
      </c>
      <c r="AT8" s="6">
        <f t="shared" ca="1" si="9"/>
        <v>69.67335556758573</v>
      </c>
      <c r="AU8" s="6">
        <f t="shared" ca="1" si="9"/>
        <v>70.345644027067294</v>
      </c>
      <c r="AV8" s="6">
        <f t="shared" ca="1" si="9"/>
        <v>71.040816013438686</v>
      </c>
      <c r="AW8" s="6">
        <f t="shared" ca="1" si="9"/>
        <v>71.756745933201699</v>
      </c>
      <c r="AX8" s="6">
        <f t="shared" ca="1" si="9"/>
        <v>72.491414641122972</v>
      </c>
      <c r="AY8" s="6">
        <f t="shared" ca="1" si="9"/>
        <v>73.242879920103363</v>
      </c>
      <c r="AZ8" s="6"/>
    </row>
    <row r="9" spans="1:84">
      <c r="A9" s="3"/>
      <c r="B9" t="s">
        <v>95</v>
      </c>
      <c r="G9" s="40">
        <f t="shared" si="7"/>
        <v>90.62829477999999</v>
      </c>
      <c r="H9" s="40">
        <f t="shared" si="0"/>
        <v>160.39500000000001</v>
      </c>
      <c r="I9" s="40">
        <f t="shared" si="1"/>
        <v>129.5</v>
      </c>
      <c r="J9" s="40">
        <f t="shared" si="2"/>
        <v>0</v>
      </c>
      <c r="K9" s="40">
        <f t="shared" si="3"/>
        <v>0</v>
      </c>
      <c r="L9" s="40">
        <f t="shared" si="4"/>
        <v>0</v>
      </c>
      <c r="M9" s="40">
        <f t="shared" si="5"/>
        <v>0</v>
      </c>
      <c r="N9" s="40">
        <f t="shared" si="6"/>
        <v>0</v>
      </c>
      <c r="T9" s="19">
        <v>28.344830291172002</v>
      </c>
      <c r="U9" s="19">
        <v>23.740814269369</v>
      </c>
      <c r="V9" s="19">
        <v>26.859598876127002</v>
      </c>
      <c r="W9" s="19">
        <v>90.62829477999999</v>
      </c>
      <c r="X9" s="19">
        <v>90.356398780000006</v>
      </c>
      <c r="Y9" s="19">
        <v>90.356398780000006</v>
      </c>
      <c r="Z9" s="19">
        <v>90.356398780000006</v>
      </c>
      <c r="AA9" s="19">
        <v>160.39500000000001</v>
      </c>
      <c r="AB9" s="19">
        <v>160.30000000000001</v>
      </c>
      <c r="AC9" s="19">
        <v>160.30000000000001</v>
      </c>
      <c r="AD9" s="19">
        <v>161</v>
      </c>
      <c r="AE9" s="19">
        <v>129.5</v>
      </c>
      <c r="AF9" s="19">
        <v>129.5</v>
      </c>
      <c r="AG9" s="19">
        <v>129.80000000000001</v>
      </c>
      <c r="AH9" s="19">
        <v>129.80000000000001</v>
      </c>
      <c r="AI9" s="19"/>
      <c r="AJ9" s="19"/>
      <c r="AK9" s="19"/>
      <c r="AL9" s="19"/>
      <c r="AM9" s="19"/>
      <c r="AN9" s="19"/>
      <c r="AO9" s="19"/>
      <c r="AP9" s="6">
        <f t="shared" ref="AP9:AY10" si="10">+AO9</f>
        <v>0</v>
      </c>
      <c r="AQ9" s="6">
        <f t="shared" si="10"/>
        <v>0</v>
      </c>
      <c r="AR9" s="6">
        <f t="shared" si="10"/>
        <v>0</v>
      </c>
      <c r="AS9" s="6">
        <f t="shared" si="10"/>
        <v>0</v>
      </c>
      <c r="AT9" s="6">
        <f t="shared" si="10"/>
        <v>0</v>
      </c>
      <c r="AU9" s="6">
        <f t="shared" si="10"/>
        <v>0</v>
      </c>
      <c r="AV9" s="6">
        <f t="shared" si="10"/>
        <v>0</v>
      </c>
      <c r="AW9" s="6">
        <f t="shared" si="10"/>
        <v>0</v>
      </c>
      <c r="AX9" s="6">
        <f t="shared" si="10"/>
        <v>0</v>
      </c>
      <c r="AY9" s="6">
        <f t="shared" si="10"/>
        <v>0</v>
      </c>
      <c r="AZ9" s="6"/>
    </row>
    <row r="10" spans="1:84">
      <c r="A10" s="3"/>
      <c r="B10" t="s">
        <v>96</v>
      </c>
      <c r="G10" s="40">
        <f t="shared" si="7"/>
        <v>2.2807668327999999</v>
      </c>
      <c r="H10" s="40">
        <f t="shared" si="0"/>
        <v>2.4020000000000001</v>
      </c>
      <c r="I10" s="40">
        <f t="shared" si="1"/>
        <v>3.9</v>
      </c>
      <c r="J10" s="40">
        <f t="shared" si="2"/>
        <v>9.1999999999999993</v>
      </c>
      <c r="K10" s="40">
        <f t="shared" si="3"/>
        <v>34</v>
      </c>
      <c r="L10" s="40">
        <f t="shared" si="4"/>
        <v>24.4</v>
      </c>
      <c r="M10" s="40">
        <f t="shared" si="5"/>
        <v>24.4</v>
      </c>
      <c r="N10" s="40">
        <f t="shared" si="6"/>
        <v>24.4</v>
      </c>
      <c r="T10" s="19">
        <v>1.4458542797639999</v>
      </c>
      <c r="U10" s="19">
        <v>5.1934108033990007</v>
      </c>
      <c r="V10" s="19">
        <v>1.7592458133469999</v>
      </c>
      <c r="W10" s="19">
        <v>2.2807668327999999</v>
      </c>
      <c r="X10" s="19">
        <v>1.9904603975040001</v>
      </c>
      <c r="Y10" s="19">
        <v>2.93812292384</v>
      </c>
      <c r="Z10" s="34">
        <f>+Z45-SUM(Z5:Z9,Z13:Z18)</f>
        <v>7.2101031053425686</v>
      </c>
      <c r="AA10" s="19">
        <v>2.4020000000000001</v>
      </c>
      <c r="AB10" s="19">
        <v>2.9</v>
      </c>
      <c r="AC10" s="19">
        <v>6.2</v>
      </c>
      <c r="AD10" s="19">
        <v>4.9000000000000004</v>
      </c>
      <c r="AE10" s="19">
        <v>3.9</v>
      </c>
      <c r="AF10" s="19">
        <v>8.4</v>
      </c>
      <c r="AG10" s="19">
        <v>5.6</v>
      </c>
      <c r="AH10" s="19">
        <v>16.2</v>
      </c>
      <c r="AI10" s="19">
        <v>9.1999999999999993</v>
      </c>
      <c r="AJ10" s="19">
        <v>7.3</v>
      </c>
      <c r="AK10" s="19">
        <v>8.6</v>
      </c>
      <c r="AL10" s="19">
        <v>36.700000000000003</v>
      </c>
      <c r="AM10" s="19">
        <v>34</v>
      </c>
      <c r="AN10" s="19">
        <v>26.2</v>
      </c>
      <c r="AO10" s="19">
        <v>24.4</v>
      </c>
      <c r="AP10" s="19">
        <f t="shared" si="10"/>
        <v>24.4</v>
      </c>
      <c r="AQ10" s="19">
        <f t="shared" si="10"/>
        <v>24.4</v>
      </c>
      <c r="AR10" s="19">
        <f t="shared" si="10"/>
        <v>24.4</v>
      </c>
      <c r="AS10" s="19">
        <f t="shared" si="10"/>
        <v>24.4</v>
      </c>
      <c r="AT10" s="19">
        <f t="shared" si="10"/>
        <v>24.4</v>
      </c>
      <c r="AU10" s="19">
        <f t="shared" si="10"/>
        <v>24.4</v>
      </c>
      <c r="AV10" s="19">
        <f t="shared" si="10"/>
        <v>24.4</v>
      </c>
      <c r="AW10" s="19">
        <f t="shared" si="10"/>
        <v>24.4</v>
      </c>
      <c r="AX10" s="19">
        <f t="shared" si="10"/>
        <v>24.4</v>
      </c>
      <c r="AY10" s="19">
        <f t="shared" si="10"/>
        <v>24.4</v>
      </c>
      <c r="AZ10" s="19"/>
    </row>
    <row r="11" spans="1:84">
      <c r="A11" s="3"/>
      <c r="B11" s="7" t="s">
        <v>97</v>
      </c>
      <c r="G11" s="40">
        <f t="shared" si="7"/>
        <v>275.64552964101296</v>
      </c>
      <c r="H11" s="40">
        <f t="shared" si="0"/>
        <v>544.97900000000004</v>
      </c>
      <c r="I11" s="40">
        <f t="shared" si="1"/>
        <v>567.9</v>
      </c>
      <c r="J11" s="40">
        <f t="shared" si="2"/>
        <v>397.09999999999991</v>
      </c>
      <c r="K11" s="40">
        <f t="shared" si="3"/>
        <v>514.59999999999991</v>
      </c>
      <c r="L11" s="40">
        <f t="shared" ca="1" si="4"/>
        <v>629.23442717125749</v>
      </c>
      <c r="M11" s="40">
        <f t="shared" ca="1" si="5"/>
        <v>786.2450914884015</v>
      </c>
      <c r="N11" s="40">
        <f t="shared" ca="1" si="6"/>
        <v>1078.5544205300266</v>
      </c>
      <c r="T11" s="6">
        <f>SUM(T5:T10)</f>
        <v>351.51251333504393</v>
      </c>
      <c r="U11" s="6">
        <f t="shared" ref="U11:Z11" si="11">SUM(U5:U10)</f>
        <v>240.19839430169097</v>
      </c>
      <c r="V11" s="6">
        <f t="shared" si="11"/>
        <v>194.43535435154601</v>
      </c>
      <c r="W11" s="6">
        <f t="shared" si="11"/>
        <v>275.64552964101296</v>
      </c>
      <c r="X11" s="6">
        <f t="shared" si="11"/>
        <v>272.80567199233002</v>
      </c>
      <c r="Y11" s="6">
        <f t="shared" si="11"/>
        <v>377.43457225301603</v>
      </c>
      <c r="Z11" s="6">
        <f t="shared" si="11"/>
        <v>423.94148849062952</v>
      </c>
      <c r="AA11" s="6">
        <f t="shared" ref="AA11:AY11" si="12">SUM(AA5:AA10)</f>
        <v>544.97900000000004</v>
      </c>
      <c r="AB11" s="6">
        <f t="shared" si="12"/>
        <v>423.9</v>
      </c>
      <c r="AC11" s="6">
        <f t="shared" ref="AC11:AH11" si="13">SUM(AC5:AC10)</f>
        <v>428.09999999999997</v>
      </c>
      <c r="AD11" s="6">
        <f t="shared" si="13"/>
        <v>570.49999999999989</v>
      </c>
      <c r="AE11" s="6">
        <f t="shared" si="13"/>
        <v>567.9</v>
      </c>
      <c r="AF11" s="6">
        <f t="shared" si="13"/>
        <v>609.1</v>
      </c>
      <c r="AG11" s="6">
        <f t="shared" si="13"/>
        <v>419.80000000000007</v>
      </c>
      <c r="AH11" s="6">
        <f t="shared" si="13"/>
        <v>554.10000000000014</v>
      </c>
      <c r="AI11" s="6">
        <f t="shared" ref="AI11:AN11" si="14">SUM(AI5:AI10)</f>
        <v>397.09999999999991</v>
      </c>
      <c r="AJ11" s="6">
        <f t="shared" si="14"/>
        <v>411.4</v>
      </c>
      <c r="AK11" s="6">
        <f t="shared" si="14"/>
        <v>362.19999999999993</v>
      </c>
      <c r="AL11" s="6">
        <f t="shared" si="14"/>
        <v>497.2</v>
      </c>
      <c r="AM11" s="6">
        <f t="shared" si="14"/>
        <v>514.59999999999991</v>
      </c>
      <c r="AN11" s="6">
        <f t="shared" si="14"/>
        <v>610.20000000000016</v>
      </c>
      <c r="AO11" s="6">
        <f t="shared" ref="AO11" si="15">SUM(AO5:AO10)</f>
        <v>606.4</v>
      </c>
      <c r="AP11" s="6">
        <f t="shared" ca="1" si="12"/>
        <v>583.10029078556181</v>
      </c>
      <c r="AQ11" s="6">
        <f t="shared" ca="1" si="12"/>
        <v>629.23442717125749</v>
      </c>
      <c r="AR11" s="6">
        <f t="shared" ca="1" si="12"/>
        <v>663.47589456391017</v>
      </c>
      <c r="AS11" s="6">
        <f t="shared" ca="1" si="12"/>
        <v>701.06948376864818</v>
      </c>
      <c r="AT11" s="6">
        <f t="shared" ca="1" si="12"/>
        <v>742.00548021591351</v>
      </c>
      <c r="AU11" s="6">
        <f t="shared" ca="1" si="12"/>
        <v>786.2450914884015</v>
      </c>
      <c r="AV11" s="6">
        <f t="shared" ca="1" si="12"/>
        <v>833.87539744030698</v>
      </c>
      <c r="AW11" s="6">
        <f t="shared" ca="1" si="12"/>
        <v>884.98020428600785</v>
      </c>
      <c r="AX11" s="6">
        <f t="shared" ca="1" si="12"/>
        <v>939.63987488784539</v>
      </c>
      <c r="AY11" s="6">
        <f t="shared" ca="1" si="12"/>
        <v>1078.5544205300266</v>
      </c>
      <c r="AZ11" s="6"/>
    </row>
    <row r="12" spans="1:84">
      <c r="A12" s="3"/>
      <c r="T12" s="6"/>
      <c r="U12" s="6"/>
      <c r="V12" s="6"/>
      <c r="W12" s="6"/>
      <c r="X12" s="6"/>
      <c r="Y12" s="6"/>
      <c r="Z12" s="6"/>
      <c r="AA12" s="6"/>
      <c r="AB12" s="6"/>
      <c r="AC12" s="6"/>
      <c r="AD12" s="6"/>
      <c r="AE12" s="6"/>
      <c r="AF12" s="6"/>
      <c r="AG12" s="6"/>
      <c r="AH12" s="6"/>
      <c r="AI12" s="6"/>
      <c r="AJ12" s="6"/>
      <c r="AK12" s="6"/>
      <c r="AL12" s="6"/>
      <c r="AM12" s="6"/>
      <c r="AN12" s="6"/>
      <c r="AO12" s="6"/>
      <c r="AP12" s="6"/>
      <c r="AQ12" s="6"/>
      <c r="AR12" s="6"/>
      <c r="AS12" s="6"/>
      <c r="AT12" s="6"/>
      <c r="AU12" s="6"/>
      <c r="AV12" s="6"/>
      <c r="AW12" s="6"/>
      <c r="AX12" s="6"/>
      <c r="AY12" s="6"/>
      <c r="AZ12" s="6"/>
    </row>
    <row r="13" spans="1:84" s="3" customFormat="1">
      <c r="B13" s="3" t="s">
        <v>98</v>
      </c>
      <c r="G13" s="40">
        <f t="shared" ref="G13:G19" si="16">+W13</f>
        <v>2437.706184072656</v>
      </c>
      <c r="H13" s="40">
        <f t="shared" ref="H13:H19" si="17">+AA13</f>
        <v>2808.3139999999999</v>
      </c>
      <c r="I13" s="40">
        <f t="shared" ref="I13:I19" si="18">+AE13</f>
        <v>3299.2</v>
      </c>
      <c r="J13" s="40">
        <f t="shared" ref="J13:J19" si="19">+AI13</f>
        <v>4079.5</v>
      </c>
      <c r="K13" s="40">
        <f t="shared" ref="K13:K19" si="20">+AM13</f>
        <v>5016</v>
      </c>
      <c r="L13" s="40">
        <f t="shared" ref="L13:L19" ca="1" si="21">+AQ13</f>
        <v>5253.6266612467107</v>
      </c>
      <c r="M13" s="40">
        <f t="shared" ref="M13:M19" ca="1" si="22">+AU13</f>
        <v>5389.5135606989579</v>
      </c>
      <c r="N13" s="40">
        <f t="shared" ref="N13:N19" ca="1" si="23">+AY13</f>
        <v>5395.5961821693008</v>
      </c>
      <c r="T13" s="50">
        <v>2275.1079024680571</v>
      </c>
      <c r="U13" s="50">
        <v>2346.0538122564039</v>
      </c>
      <c r="V13" s="50">
        <v>2363.3393046365077</v>
      </c>
      <c r="W13" s="50">
        <v>2437.706184072656</v>
      </c>
      <c r="X13" s="50">
        <v>2471.4325528337481</v>
      </c>
      <c r="Y13" s="50">
        <v>2505.3339589693683</v>
      </c>
      <c r="Z13" s="50">
        <v>2529.6012663892679</v>
      </c>
      <c r="AA13" s="50">
        <v>2808.3139999999999</v>
      </c>
      <c r="AB13" s="50">
        <v>2895.7</v>
      </c>
      <c r="AC13" s="50">
        <v>2930.6</v>
      </c>
      <c r="AD13" s="50">
        <v>3199.2</v>
      </c>
      <c r="AE13" s="50">
        <v>3299.2</v>
      </c>
      <c r="AF13" s="50">
        <v>3349</v>
      </c>
      <c r="AG13" s="50">
        <v>3626.1</v>
      </c>
      <c r="AH13" s="50">
        <v>4033.7</v>
      </c>
      <c r="AI13" s="50">
        <v>4079.5</v>
      </c>
      <c r="AJ13" s="50">
        <v>4169.1000000000004</v>
      </c>
      <c r="AK13" s="50">
        <v>4286.5</v>
      </c>
      <c r="AL13" s="50">
        <v>4839.5</v>
      </c>
      <c r="AM13" s="50">
        <v>5016</v>
      </c>
      <c r="AN13" s="50">
        <v>5053.6000000000004</v>
      </c>
      <c r="AO13" s="50">
        <v>5129.3999999999996</v>
      </c>
      <c r="AP13" s="40">
        <f t="shared" ref="AP13:AY13" ca="1" si="24">AP88</f>
        <v>5213.6815747663622</v>
      </c>
      <c r="AQ13" s="40">
        <f t="shared" ca="1" si="24"/>
        <v>5253.6266612467107</v>
      </c>
      <c r="AR13" s="40">
        <f t="shared" ca="1" si="24"/>
        <v>5291.6465131460736</v>
      </c>
      <c r="AS13" s="40">
        <f t="shared" ca="1" si="24"/>
        <v>5327.2844151041445</v>
      </c>
      <c r="AT13" s="40">
        <f t="shared" ca="1" si="24"/>
        <v>5360.0683638669188</v>
      </c>
      <c r="AU13" s="40">
        <f t="shared" ca="1" si="24"/>
        <v>5389.5135606989579</v>
      </c>
      <c r="AV13" s="40">
        <f t="shared" ca="1" si="24"/>
        <v>5415.1477179829362</v>
      </c>
      <c r="AW13" s="40">
        <f t="shared" ca="1" si="24"/>
        <v>5436.510612045583</v>
      </c>
      <c r="AX13" s="40">
        <f t="shared" ca="1" si="24"/>
        <v>5453.1535355929755</v>
      </c>
      <c r="AY13" s="40">
        <f t="shared" ca="1" si="24"/>
        <v>5395.5961821693008</v>
      </c>
      <c r="AZ13" s="40"/>
      <c r="CA13"/>
      <c r="CB13"/>
      <c r="CC13"/>
      <c r="CD13"/>
      <c r="CE13"/>
      <c r="CF13"/>
    </row>
    <row r="14" spans="1:84" s="3" customFormat="1">
      <c r="B14" s="3" t="s">
        <v>99</v>
      </c>
      <c r="G14" s="40">
        <f t="shared" si="16"/>
        <v>99.097700459999999</v>
      </c>
      <c r="H14" s="40">
        <f t="shared" si="17"/>
        <v>89.38</v>
      </c>
      <c r="I14" s="40">
        <f t="shared" si="18"/>
        <v>0</v>
      </c>
      <c r="J14" s="40">
        <f t="shared" si="19"/>
        <v>0</v>
      </c>
      <c r="K14" s="40">
        <f t="shared" si="20"/>
        <v>0</v>
      </c>
      <c r="L14" s="40">
        <f t="shared" si="21"/>
        <v>0</v>
      </c>
      <c r="M14" s="40">
        <f t="shared" si="22"/>
        <v>0</v>
      </c>
      <c r="N14" s="40">
        <f t="shared" si="23"/>
        <v>0</v>
      </c>
      <c r="T14" s="50">
        <v>82.178589250000002</v>
      </c>
      <c r="U14" s="50">
        <v>91.638353390000006</v>
      </c>
      <c r="V14" s="50">
        <v>100.17149148</v>
      </c>
      <c r="W14" s="50">
        <v>99.097700459999999</v>
      </c>
      <c r="X14" s="50">
        <v>95.900549350000006</v>
      </c>
      <c r="Y14" s="50">
        <v>93.308066940000003</v>
      </c>
      <c r="Z14" s="50">
        <v>89.79332608</v>
      </c>
      <c r="AA14" s="50">
        <v>89.38</v>
      </c>
      <c r="AB14" s="50">
        <v>85.6</v>
      </c>
      <c r="AC14" s="50">
        <v>74.7</v>
      </c>
      <c r="AD14" s="50">
        <v>73.900000000000006</v>
      </c>
      <c r="AE14" s="50"/>
      <c r="AF14" s="50"/>
      <c r="AG14" s="50"/>
      <c r="AH14" s="50"/>
      <c r="AI14" s="50"/>
      <c r="AJ14" s="50"/>
      <c r="AK14" s="50"/>
      <c r="AL14" s="50"/>
      <c r="AM14" s="50"/>
      <c r="AN14" s="50"/>
      <c r="AO14" s="50"/>
      <c r="AP14" s="40">
        <f t="shared" ref="AP14:AY14" si="25">+AO14</f>
        <v>0</v>
      </c>
      <c r="AQ14" s="40">
        <f t="shared" si="25"/>
        <v>0</v>
      </c>
      <c r="AR14" s="40">
        <f t="shared" si="25"/>
        <v>0</v>
      </c>
      <c r="AS14" s="40">
        <f t="shared" si="25"/>
        <v>0</v>
      </c>
      <c r="AT14" s="40">
        <f t="shared" si="25"/>
        <v>0</v>
      </c>
      <c r="AU14" s="40">
        <f t="shared" si="25"/>
        <v>0</v>
      </c>
      <c r="AV14" s="40">
        <f t="shared" si="25"/>
        <v>0</v>
      </c>
      <c r="AW14" s="40">
        <f t="shared" si="25"/>
        <v>0</v>
      </c>
      <c r="AX14" s="40">
        <f t="shared" si="25"/>
        <v>0</v>
      </c>
      <c r="AY14" s="40">
        <f t="shared" si="25"/>
        <v>0</v>
      </c>
      <c r="AZ14" s="40"/>
      <c r="CA14"/>
      <c r="CB14"/>
      <c r="CC14"/>
      <c r="CD14"/>
      <c r="CE14"/>
      <c r="CF14"/>
    </row>
    <row r="15" spans="1:84" s="3" customFormat="1">
      <c r="B15" s="3" t="s">
        <v>100</v>
      </c>
      <c r="G15" s="40">
        <f t="shared" si="16"/>
        <v>640.35079300567202</v>
      </c>
      <c r="H15" s="40">
        <f t="shared" si="17"/>
        <v>705.55499999999995</v>
      </c>
      <c r="I15" s="40">
        <f t="shared" si="18"/>
        <v>948.3</v>
      </c>
      <c r="J15" s="40">
        <f t="shared" si="19"/>
        <v>934.9</v>
      </c>
      <c r="K15" s="40">
        <f t="shared" si="20"/>
        <v>1188.5999999999999</v>
      </c>
      <c r="L15" s="40">
        <f t="shared" si="21"/>
        <v>1280.7371245822253</v>
      </c>
      <c r="M15" s="40">
        <f t="shared" si="22"/>
        <v>1239.8256502907918</v>
      </c>
      <c r="N15" s="40">
        <f t="shared" si="23"/>
        <v>1202.8544463860073</v>
      </c>
      <c r="T15" s="50">
        <v>647.92372518808804</v>
      </c>
      <c r="U15" s="50">
        <v>680.12027896119309</v>
      </c>
      <c r="V15" s="50">
        <v>666.07964276878022</v>
      </c>
      <c r="W15" s="50">
        <v>640.35079300567202</v>
      </c>
      <c r="X15" s="50">
        <v>630.82681842692818</v>
      </c>
      <c r="Y15" s="50">
        <v>655.02927752605615</v>
      </c>
      <c r="Z15" s="50">
        <v>653.97121303351207</v>
      </c>
      <c r="AA15" s="50">
        <v>705.55499999999995</v>
      </c>
      <c r="AB15" s="50">
        <v>735.5</v>
      </c>
      <c r="AC15" s="50">
        <v>719.4</v>
      </c>
      <c r="AD15" s="50">
        <v>969.3</v>
      </c>
      <c r="AE15" s="50">
        <v>948.3</v>
      </c>
      <c r="AF15" s="50">
        <v>925.3</v>
      </c>
      <c r="AG15" s="50">
        <v>933</v>
      </c>
      <c r="AH15" s="50">
        <v>936.1</v>
      </c>
      <c r="AI15" s="50">
        <v>934.9</v>
      </c>
      <c r="AJ15" s="50">
        <v>921.3</v>
      </c>
      <c r="AK15" s="50">
        <v>902.7</v>
      </c>
      <c r="AL15" s="50">
        <v>1196.5999999999999</v>
      </c>
      <c r="AM15" s="50">
        <v>1188.5999999999999</v>
      </c>
      <c r="AN15" s="50">
        <v>1170.8</v>
      </c>
      <c r="AO15" s="50">
        <v>1302.8</v>
      </c>
      <c r="AP15" s="40">
        <f t="shared" ref="AP15:AY15" si="26">AP108</f>
        <v>1291.6289238391014</v>
      </c>
      <c r="AQ15" s="40">
        <f t="shared" si="26"/>
        <v>1280.7371245822253</v>
      </c>
      <c r="AR15" s="40">
        <f t="shared" si="26"/>
        <v>1270.117620306771</v>
      </c>
      <c r="AS15" s="40">
        <f t="shared" si="26"/>
        <v>1259.763603638203</v>
      </c>
      <c r="AT15" s="40">
        <f t="shared" si="26"/>
        <v>1249.6684373863493</v>
      </c>
      <c r="AU15" s="40">
        <f t="shared" si="26"/>
        <v>1239.8256502907918</v>
      </c>
      <c r="AV15" s="40">
        <f t="shared" si="26"/>
        <v>1230.2289328726233</v>
      </c>
      <c r="AW15" s="40">
        <f t="shared" si="26"/>
        <v>1220.8721333899091</v>
      </c>
      <c r="AX15" s="40">
        <f t="shared" si="26"/>
        <v>1211.7492538942627</v>
      </c>
      <c r="AY15" s="40">
        <f t="shared" si="26"/>
        <v>1202.8544463860073</v>
      </c>
      <c r="AZ15" s="40"/>
      <c r="CA15"/>
      <c r="CB15"/>
      <c r="CC15"/>
      <c r="CD15"/>
      <c r="CE15"/>
      <c r="CF15"/>
    </row>
    <row r="16" spans="1:84">
      <c r="A16" s="3"/>
      <c r="B16" t="s">
        <v>101</v>
      </c>
      <c r="G16" s="40">
        <f t="shared" si="16"/>
        <v>688.83565786543102</v>
      </c>
      <c r="H16" s="40">
        <f t="shared" si="17"/>
        <v>861.10400000000004</v>
      </c>
      <c r="I16" s="40">
        <f t="shared" si="18"/>
        <v>1224.4000000000001</v>
      </c>
      <c r="J16" s="40">
        <f t="shared" si="19"/>
        <v>1214.5</v>
      </c>
      <c r="K16" s="40">
        <f t="shared" si="20"/>
        <v>1840.2</v>
      </c>
      <c r="L16" s="40">
        <f t="shared" si="21"/>
        <v>1712.9</v>
      </c>
      <c r="M16" s="40">
        <f t="shared" si="22"/>
        <v>1712.9</v>
      </c>
      <c r="N16" s="40">
        <f t="shared" si="23"/>
        <v>1712.9</v>
      </c>
      <c r="T16" s="19">
        <v>504.21518587922094</v>
      </c>
      <c r="U16" s="19">
        <v>645.90700652529495</v>
      </c>
      <c r="V16" s="19">
        <v>643.39022923247603</v>
      </c>
      <c r="W16" s="19">
        <v>688.83565786543102</v>
      </c>
      <c r="X16" s="19">
        <v>689.72923969399801</v>
      </c>
      <c r="Y16" s="19">
        <v>749.39791807999211</v>
      </c>
      <c r="Z16" s="19">
        <v>754.74879387563305</v>
      </c>
      <c r="AA16" s="19">
        <v>861.10400000000004</v>
      </c>
      <c r="AB16" s="19">
        <v>874.3</v>
      </c>
      <c r="AC16" s="19">
        <v>868.7</v>
      </c>
      <c r="AD16" s="19">
        <v>1194.2</v>
      </c>
      <c r="AE16" s="19">
        <v>1224.4000000000001</v>
      </c>
      <c r="AF16" s="19">
        <v>1218.8</v>
      </c>
      <c r="AG16" s="19">
        <v>1222.2</v>
      </c>
      <c r="AH16" s="19">
        <v>1219.5999999999999</v>
      </c>
      <c r="AI16" s="19">
        <v>1214.5</v>
      </c>
      <c r="AJ16" s="19">
        <v>1210.5999999999999</v>
      </c>
      <c r="AK16" s="19">
        <v>1196.9000000000001</v>
      </c>
      <c r="AL16" s="19">
        <v>1822.6</v>
      </c>
      <c r="AM16" s="19">
        <v>1840.2</v>
      </c>
      <c r="AN16" s="19">
        <v>1844.1</v>
      </c>
      <c r="AO16" s="19">
        <v>1712.9</v>
      </c>
      <c r="AP16" s="6">
        <f t="shared" ref="AP16:AY17" si="27">+AO16</f>
        <v>1712.9</v>
      </c>
      <c r="AQ16" s="6">
        <f t="shared" si="27"/>
        <v>1712.9</v>
      </c>
      <c r="AR16" s="6">
        <f t="shared" si="27"/>
        <v>1712.9</v>
      </c>
      <c r="AS16" s="6">
        <f t="shared" si="27"/>
        <v>1712.9</v>
      </c>
      <c r="AT16" s="6">
        <f t="shared" si="27"/>
        <v>1712.9</v>
      </c>
      <c r="AU16" s="6">
        <f t="shared" si="27"/>
        <v>1712.9</v>
      </c>
      <c r="AV16" s="6">
        <f t="shared" si="27"/>
        <v>1712.9</v>
      </c>
      <c r="AW16" s="6">
        <f t="shared" si="27"/>
        <v>1712.9</v>
      </c>
      <c r="AX16" s="6">
        <f t="shared" si="27"/>
        <v>1712.9</v>
      </c>
      <c r="AY16" s="6">
        <f t="shared" si="27"/>
        <v>1712.9</v>
      </c>
      <c r="AZ16" s="6"/>
    </row>
    <row r="17" spans="1:88">
      <c r="A17" s="3"/>
      <c r="B17" t="s">
        <v>102</v>
      </c>
      <c r="G17" s="40">
        <f t="shared" si="16"/>
        <v>8.1074781600000012</v>
      </c>
      <c r="H17" s="40">
        <f t="shared" si="17"/>
        <v>0</v>
      </c>
      <c r="I17" s="40">
        <f t="shared" si="18"/>
        <v>0</v>
      </c>
      <c r="J17" s="40">
        <f t="shared" si="19"/>
        <v>7</v>
      </c>
      <c r="K17" s="40">
        <f t="shared" si="20"/>
        <v>38.299999999999997</v>
      </c>
      <c r="L17" s="40">
        <f t="shared" si="21"/>
        <v>38</v>
      </c>
      <c r="M17" s="40">
        <f t="shared" si="22"/>
        <v>38</v>
      </c>
      <c r="N17" s="40">
        <f t="shared" si="23"/>
        <v>38</v>
      </c>
      <c r="T17" s="19">
        <v>191.4931563964</v>
      </c>
      <c r="U17" s="19">
        <v>112.84173076</v>
      </c>
      <c r="V17" s="19">
        <v>101.65643831</v>
      </c>
      <c r="W17" s="19">
        <v>8.1074781600000012</v>
      </c>
      <c r="X17" s="19">
        <v>0</v>
      </c>
      <c r="Y17" s="19">
        <v>0</v>
      </c>
      <c r="Z17" s="19">
        <v>0</v>
      </c>
      <c r="AA17" s="19">
        <v>0</v>
      </c>
      <c r="AB17" s="19">
        <v>0</v>
      </c>
      <c r="AC17" s="19">
        <v>0</v>
      </c>
      <c r="AD17" s="19"/>
      <c r="AE17" s="19"/>
      <c r="AF17" s="19"/>
      <c r="AG17" s="19"/>
      <c r="AH17" s="19"/>
      <c r="AI17" s="19">
        <v>7</v>
      </c>
      <c r="AJ17" s="19">
        <v>7</v>
      </c>
      <c r="AK17" s="19">
        <v>7</v>
      </c>
      <c r="AL17" s="19">
        <v>62.7</v>
      </c>
      <c r="AM17" s="19">
        <v>38.299999999999997</v>
      </c>
      <c r="AN17" s="19">
        <v>36.1</v>
      </c>
      <c r="AO17" s="19">
        <v>38</v>
      </c>
      <c r="AP17" s="19">
        <f t="shared" si="27"/>
        <v>38</v>
      </c>
      <c r="AQ17" s="19">
        <f t="shared" si="27"/>
        <v>38</v>
      </c>
      <c r="AR17" s="19">
        <f t="shared" si="27"/>
        <v>38</v>
      </c>
      <c r="AS17" s="19">
        <f t="shared" si="27"/>
        <v>38</v>
      </c>
      <c r="AT17" s="19">
        <f t="shared" si="27"/>
        <v>38</v>
      </c>
      <c r="AU17" s="19">
        <f t="shared" si="27"/>
        <v>38</v>
      </c>
      <c r="AV17" s="19">
        <f t="shared" si="27"/>
        <v>38</v>
      </c>
      <c r="AW17" s="19">
        <f t="shared" si="27"/>
        <v>38</v>
      </c>
      <c r="AX17" s="19">
        <f t="shared" si="27"/>
        <v>38</v>
      </c>
      <c r="AY17" s="19">
        <f t="shared" si="27"/>
        <v>38</v>
      </c>
      <c r="AZ17" s="19"/>
    </row>
    <row r="18" spans="1:88">
      <c r="A18" s="3"/>
      <c r="B18" t="s">
        <v>96</v>
      </c>
      <c r="G18" s="40">
        <f t="shared" si="16"/>
        <v>101.49700468708801</v>
      </c>
      <c r="H18" s="40">
        <f t="shared" si="17"/>
        <v>39.734000000000002</v>
      </c>
      <c r="I18" s="40">
        <f t="shared" si="18"/>
        <v>54.8</v>
      </c>
      <c r="J18" s="40">
        <f t="shared" si="19"/>
        <v>94.5</v>
      </c>
      <c r="K18" s="40">
        <f t="shared" si="20"/>
        <v>141.69999999999999</v>
      </c>
      <c r="L18" s="40">
        <f t="shared" ca="1" si="21"/>
        <v>147.37177521716211</v>
      </c>
      <c r="M18" s="40">
        <f t="shared" ca="1" si="22"/>
        <v>152.79825349499484</v>
      </c>
      <c r="N18" s="40">
        <f t="shared" ca="1" si="23"/>
        <v>159.09135935167851</v>
      </c>
      <c r="T18" s="19">
        <v>38.123007876448</v>
      </c>
      <c r="U18" s="19">
        <v>28.015025870221002</v>
      </c>
      <c r="V18" s="19">
        <v>26.344059739128003</v>
      </c>
      <c r="W18" s="19">
        <v>101.49700468708801</v>
      </c>
      <c r="X18" s="19">
        <v>103.292658120816</v>
      </c>
      <c r="Y18" s="19">
        <v>102.15305086559199</v>
      </c>
      <c r="Z18" s="19">
        <v>107.610439082677</v>
      </c>
      <c r="AA18" s="19">
        <v>39.734000000000002</v>
      </c>
      <c r="AB18" s="19">
        <v>44.7</v>
      </c>
      <c r="AC18" s="19">
        <v>42.4</v>
      </c>
      <c r="AD18" s="19">
        <v>58.7</v>
      </c>
      <c r="AE18" s="19">
        <v>54.8</v>
      </c>
      <c r="AF18" s="19">
        <v>63.7</v>
      </c>
      <c r="AG18" s="19">
        <v>72.400000000000006</v>
      </c>
      <c r="AH18" s="19">
        <v>89.7</v>
      </c>
      <c r="AI18" s="19">
        <v>94.5</v>
      </c>
      <c r="AJ18" s="19">
        <v>114.6</v>
      </c>
      <c r="AK18" s="19">
        <v>112.4</v>
      </c>
      <c r="AL18" s="19">
        <v>129.80000000000001</v>
      </c>
      <c r="AM18" s="19">
        <v>141.69999999999999</v>
      </c>
      <c r="AN18" s="19">
        <v>147.6</v>
      </c>
      <c r="AO18" s="19">
        <v>146.4</v>
      </c>
      <c r="AP18" s="6">
        <f t="shared" ref="AP18:AY18" ca="1" si="28">+AP56*AP51</f>
        <v>146.24425914477598</v>
      </c>
      <c r="AQ18" s="6">
        <f t="shared" ca="1" si="28"/>
        <v>147.37177521716211</v>
      </c>
      <c r="AR18" s="6">
        <f t="shared" ca="1" si="28"/>
        <v>148.60270645220402</v>
      </c>
      <c r="AS18" s="6">
        <f t="shared" ca="1" si="28"/>
        <v>149.93234011845973</v>
      </c>
      <c r="AT18" s="6">
        <f t="shared" ca="1" si="28"/>
        <v>151.33797114383606</v>
      </c>
      <c r="AU18" s="6">
        <f t="shared" ca="1" si="28"/>
        <v>152.79825349499484</v>
      </c>
      <c r="AV18" s="6">
        <f t="shared" ca="1" si="28"/>
        <v>154.30824131108935</v>
      </c>
      <c r="AW18" s="6">
        <f t="shared" ca="1" si="28"/>
        <v>155.8633175759752</v>
      </c>
      <c r="AX18" s="6">
        <f t="shared" ca="1" si="28"/>
        <v>157.4590964905104</v>
      </c>
      <c r="AY18" s="6">
        <f t="shared" ca="1" si="28"/>
        <v>159.09135935167851</v>
      </c>
      <c r="AZ18" s="6"/>
      <c r="CG18" s="3"/>
      <c r="CH18" s="3"/>
      <c r="CI18" s="3"/>
      <c r="CJ18" s="3"/>
    </row>
    <row r="19" spans="1:88">
      <c r="A19" s="3"/>
      <c r="B19" s="7" t="s">
        <v>103</v>
      </c>
      <c r="G19" s="40">
        <f t="shared" si="16"/>
        <v>4251.2403478918604</v>
      </c>
      <c r="H19" s="40">
        <f t="shared" si="17"/>
        <v>5049.0660000000007</v>
      </c>
      <c r="I19" s="40">
        <f t="shared" si="18"/>
        <v>6094.5999999999995</v>
      </c>
      <c r="J19" s="40">
        <f t="shared" si="19"/>
        <v>6727.5</v>
      </c>
      <c r="K19" s="40">
        <f t="shared" si="20"/>
        <v>8739.4000000000015</v>
      </c>
      <c r="L19" s="40">
        <f t="shared" ca="1" si="21"/>
        <v>9061.8699882173551</v>
      </c>
      <c r="M19" s="40">
        <f t="shared" ca="1" si="22"/>
        <v>9319.2825559731464</v>
      </c>
      <c r="N19" s="40">
        <f t="shared" ca="1" si="23"/>
        <v>9586.9964084370131</v>
      </c>
      <c r="T19" s="6">
        <f>+T11+SUM(T13:T18)</f>
        <v>4090.5540803932581</v>
      </c>
      <c r="U19" s="6">
        <f t="shared" ref="U19:Z19" si="29">+U11+SUM(U13:U18)</f>
        <v>4144.7746020648037</v>
      </c>
      <c r="V19" s="6">
        <f t="shared" si="29"/>
        <v>4095.4165205184377</v>
      </c>
      <c r="W19" s="6">
        <f t="shared" si="29"/>
        <v>4251.2403478918604</v>
      </c>
      <c r="X19" s="6">
        <f t="shared" si="29"/>
        <v>4263.9874904178205</v>
      </c>
      <c r="Y19" s="6">
        <f t="shared" si="29"/>
        <v>4482.6568446340243</v>
      </c>
      <c r="Z19" s="6">
        <f t="shared" si="29"/>
        <v>4559.6665269517189</v>
      </c>
      <c r="AA19" s="6">
        <f t="shared" ref="AA19:AY19" si="30">+AA11+SUM(AA13:AA18)</f>
        <v>5049.0660000000007</v>
      </c>
      <c r="AB19" s="6">
        <f t="shared" si="30"/>
        <v>5059.6999999999989</v>
      </c>
      <c r="AC19" s="6">
        <f t="shared" ref="AC19:AH19" si="31">+AC11+SUM(AC13:AC18)</f>
        <v>5063.8999999999996</v>
      </c>
      <c r="AD19" s="6">
        <f t="shared" si="31"/>
        <v>6065.7999999999993</v>
      </c>
      <c r="AE19" s="6">
        <f t="shared" si="31"/>
        <v>6094.5999999999995</v>
      </c>
      <c r="AF19" s="6">
        <f t="shared" si="31"/>
        <v>6165.9000000000005</v>
      </c>
      <c r="AG19" s="6">
        <f t="shared" si="31"/>
        <v>6273.5</v>
      </c>
      <c r="AH19" s="6">
        <f t="shared" si="31"/>
        <v>6833.2</v>
      </c>
      <c r="AI19" s="6">
        <f t="shared" ref="AI19:AN19" si="32">+AI11+SUM(AI13:AI18)</f>
        <v>6727.5</v>
      </c>
      <c r="AJ19" s="6">
        <f t="shared" si="32"/>
        <v>6834</v>
      </c>
      <c r="AK19" s="6">
        <f t="shared" si="32"/>
        <v>6867.7</v>
      </c>
      <c r="AL19" s="6">
        <f t="shared" si="32"/>
        <v>8548.4000000000015</v>
      </c>
      <c r="AM19" s="6">
        <f t="shared" si="32"/>
        <v>8739.4000000000015</v>
      </c>
      <c r="AN19" s="6">
        <f t="shared" si="32"/>
        <v>8862.4000000000015</v>
      </c>
      <c r="AO19" s="6">
        <f t="shared" ref="AO19" si="33">+AO11+SUM(AO13:AO18)</f>
        <v>8935.9</v>
      </c>
      <c r="AP19" s="6">
        <f t="shared" ca="1" si="30"/>
        <v>8985.5550485358017</v>
      </c>
      <c r="AQ19" s="6">
        <f t="shared" ca="1" si="30"/>
        <v>9061.8699882173551</v>
      </c>
      <c r="AR19" s="6">
        <f t="shared" ca="1" si="30"/>
        <v>9124.7427344689586</v>
      </c>
      <c r="AS19" s="6">
        <f t="shared" ca="1" si="30"/>
        <v>9188.949842629454</v>
      </c>
      <c r="AT19" s="6">
        <f t="shared" ca="1" si="30"/>
        <v>9253.980252613017</v>
      </c>
      <c r="AU19" s="6">
        <f t="shared" ca="1" si="30"/>
        <v>9319.2825559731464</v>
      </c>
      <c r="AV19" s="6">
        <f t="shared" ca="1" si="30"/>
        <v>9384.4602896069555</v>
      </c>
      <c r="AW19" s="6">
        <f t="shared" ca="1" si="30"/>
        <v>9449.1262672974754</v>
      </c>
      <c r="AX19" s="6">
        <f t="shared" ca="1" si="30"/>
        <v>9512.901760865594</v>
      </c>
      <c r="AY19" s="6">
        <f t="shared" ca="1" si="30"/>
        <v>9586.9964084370131</v>
      </c>
      <c r="AZ19" s="6"/>
    </row>
    <row r="20" spans="1:88">
      <c r="A20" s="3"/>
      <c r="T20" s="6"/>
      <c r="U20" s="6"/>
      <c r="V20" s="6"/>
      <c r="W20" s="6"/>
      <c r="X20" s="6"/>
      <c r="Y20" s="6"/>
      <c r="Z20" s="6"/>
      <c r="AA20" s="6"/>
      <c r="AB20" s="6"/>
      <c r="AC20" s="6"/>
      <c r="AD20" s="6"/>
      <c r="AE20" s="6"/>
      <c r="AF20" s="6"/>
      <c r="AG20" s="6"/>
      <c r="AH20" s="6"/>
      <c r="AI20" s="6"/>
      <c r="AJ20" s="6"/>
      <c r="AK20" s="6"/>
      <c r="AL20" s="6"/>
      <c r="AM20" s="6"/>
      <c r="AN20" s="6"/>
      <c r="AO20" s="6"/>
      <c r="AP20" s="6"/>
      <c r="AQ20" s="6"/>
      <c r="AR20" s="6"/>
      <c r="AS20" s="6"/>
      <c r="AT20" s="6"/>
      <c r="AU20" s="6"/>
      <c r="AV20" s="6"/>
      <c r="AW20" s="6"/>
      <c r="AX20" s="6"/>
      <c r="AY20" s="6"/>
      <c r="AZ20" s="6"/>
    </row>
    <row r="21" spans="1:88" s="3" customFormat="1">
      <c r="B21" s="3" t="s">
        <v>104</v>
      </c>
      <c r="G21" s="40">
        <f t="shared" ref="G21:G29" si="34">+W21</f>
        <v>16.199999869999999</v>
      </c>
      <c r="H21" s="40">
        <f t="shared" ref="H21:H29" si="35">+AA21</f>
        <v>20.45</v>
      </c>
      <c r="I21" s="40">
        <f t="shared" ref="I21:I29" si="36">+AE21</f>
        <v>16.5</v>
      </c>
      <c r="J21" s="40">
        <f t="shared" ref="J21:J29" si="37">+AI21</f>
        <v>0</v>
      </c>
      <c r="K21" s="40">
        <f t="shared" ref="K21:K29" si="38">+AM21</f>
        <v>5</v>
      </c>
      <c r="L21" s="40">
        <f t="shared" ref="L21:L29" si="39">+AQ21</f>
        <v>5</v>
      </c>
      <c r="M21" s="40">
        <f t="shared" ref="M21:M29" si="40">+AU21</f>
        <v>5</v>
      </c>
      <c r="N21" s="40">
        <f t="shared" ref="N21:N29" si="41">+AY21</f>
        <v>5</v>
      </c>
      <c r="T21" s="50">
        <v>20.685049859999999</v>
      </c>
      <c r="U21" s="50">
        <v>16.199999869999999</v>
      </c>
      <c r="V21" s="50">
        <v>16.199999869999999</v>
      </c>
      <c r="W21" s="50">
        <v>16.199999869999999</v>
      </c>
      <c r="X21" s="50">
        <v>16.199999869999999</v>
      </c>
      <c r="Y21" s="50">
        <v>17.699984869999998</v>
      </c>
      <c r="Z21" s="50">
        <v>17.699984869999998</v>
      </c>
      <c r="AA21" s="50">
        <v>20.45</v>
      </c>
      <c r="AB21" s="50">
        <v>20.5</v>
      </c>
      <c r="AC21" s="50">
        <v>20.5</v>
      </c>
      <c r="AD21" s="50">
        <v>20.5</v>
      </c>
      <c r="AE21" s="50">
        <v>16.5</v>
      </c>
      <c r="AF21" s="50">
        <v>16.5</v>
      </c>
      <c r="AG21" s="50">
        <v>16.5</v>
      </c>
      <c r="AH21" s="50">
        <v>20.5</v>
      </c>
      <c r="AI21" s="50"/>
      <c r="AJ21" s="50"/>
      <c r="AK21" s="50"/>
      <c r="AL21" s="50">
        <v>25</v>
      </c>
      <c r="AM21" s="50">
        <v>5</v>
      </c>
      <c r="AN21" s="50">
        <v>5</v>
      </c>
      <c r="AO21" s="50">
        <v>5</v>
      </c>
      <c r="AP21" s="40">
        <f t="shared" ref="AP21:AY21" si="42">+AO21</f>
        <v>5</v>
      </c>
      <c r="AQ21" s="40">
        <f t="shared" si="42"/>
        <v>5</v>
      </c>
      <c r="AR21" s="40">
        <f t="shared" si="42"/>
        <v>5</v>
      </c>
      <c r="AS21" s="40">
        <f t="shared" si="42"/>
        <v>5</v>
      </c>
      <c r="AT21" s="40">
        <f t="shared" si="42"/>
        <v>5</v>
      </c>
      <c r="AU21" s="40">
        <f t="shared" si="42"/>
        <v>5</v>
      </c>
      <c r="AV21" s="40">
        <f t="shared" si="42"/>
        <v>5</v>
      </c>
      <c r="AW21" s="40">
        <f t="shared" si="42"/>
        <v>5</v>
      </c>
      <c r="AX21" s="40">
        <f t="shared" si="42"/>
        <v>5</v>
      </c>
      <c r="AY21" s="40">
        <f t="shared" si="42"/>
        <v>5</v>
      </c>
      <c r="AZ21" s="40"/>
      <c r="CA21"/>
      <c r="CB21"/>
      <c r="CC21"/>
      <c r="CD21"/>
      <c r="CE21"/>
      <c r="CF21"/>
    </row>
    <row r="22" spans="1:88">
      <c r="A22" s="3"/>
      <c r="B22" t="s">
        <v>105</v>
      </c>
      <c r="G22" s="40">
        <f t="shared" si="34"/>
        <v>33.529806356720002</v>
      </c>
      <c r="H22" s="40">
        <f t="shared" si="35"/>
        <v>27.015000000000001</v>
      </c>
      <c r="I22" s="40">
        <f t="shared" si="36"/>
        <v>40</v>
      </c>
      <c r="J22" s="40">
        <f t="shared" si="37"/>
        <v>97</v>
      </c>
      <c r="K22" s="40">
        <f t="shared" si="38"/>
        <v>72.400000000000006</v>
      </c>
      <c r="L22" s="40">
        <f t="shared" ca="1" si="39"/>
        <v>42.620205889992555</v>
      </c>
      <c r="M22" s="40">
        <f t="shared" ca="1" si="40"/>
        <v>43.436347553943236</v>
      </c>
      <c r="N22" s="40">
        <f t="shared" ca="1" si="41"/>
        <v>44.441076910346993</v>
      </c>
      <c r="T22" s="19">
        <v>11.805799638676</v>
      </c>
      <c r="U22" s="19">
        <v>31.021087717227005</v>
      </c>
      <c r="V22" s="19">
        <v>14.089028007823998</v>
      </c>
      <c r="W22" s="19">
        <v>33.529806356720002</v>
      </c>
      <c r="X22" s="19">
        <v>20.927016518704001</v>
      </c>
      <c r="Y22" s="19">
        <v>10.628532538948001</v>
      </c>
      <c r="Z22" s="19">
        <v>20.849372062905005</v>
      </c>
      <c r="AA22" s="19">
        <v>27.015000000000001</v>
      </c>
      <c r="AB22" s="19">
        <v>28.5</v>
      </c>
      <c r="AC22" s="19">
        <v>31.5</v>
      </c>
      <c r="AD22" s="19">
        <v>34.799999999999997</v>
      </c>
      <c r="AE22" s="19">
        <v>40</v>
      </c>
      <c r="AF22" s="19">
        <v>36.4</v>
      </c>
      <c r="AG22" s="19">
        <v>66.2</v>
      </c>
      <c r="AH22" s="19">
        <v>75.099999999999994</v>
      </c>
      <c r="AI22" s="19">
        <v>97</v>
      </c>
      <c r="AJ22" s="19">
        <v>56.1</v>
      </c>
      <c r="AK22" s="19">
        <v>39.9</v>
      </c>
      <c r="AL22" s="19">
        <v>50.2</v>
      </c>
      <c r="AM22" s="19">
        <v>72.400000000000006</v>
      </c>
      <c r="AN22" s="19">
        <v>65.2</v>
      </c>
      <c r="AO22" s="19">
        <v>42.7</v>
      </c>
      <c r="AP22" s="6">
        <f t="shared" ref="AP22:AY22" ca="1" si="43">+AP57*AP52/90</f>
        <v>42.474350809254581</v>
      </c>
      <c r="AQ22" s="6">
        <f t="shared" ca="1" si="43"/>
        <v>42.620205889992555</v>
      </c>
      <c r="AR22" s="6">
        <f t="shared" ca="1" si="43"/>
        <v>42.793062395004327</v>
      </c>
      <c r="AS22" s="6">
        <f t="shared" ca="1" si="43"/>
        <v>42.99118667621179</v>
      </c>
      <c r="AT22" s="6">
        <f t="shared" ca="1" si="43"/>
        <v>43.207731415249398</v>
      </c>
      <c r="AU22" s="6">
        <f t="shared" ca="1" si="43"/>
        <v>43.436347553943236</v>
      </c>
      <c r="AV22" s="6">
        <f t="shared" ca="1" si="43"/>
        <v>43.675433165498298</v>
      </c>
      <c r="AW22" s="6">
        <f t="shared" ca="1" si="43"/>
        <v>43.923503374347725</v>
      </c>
      <c r="AX22" s="6">
        <f t="shared" ca="1" si="43"/>
        <v>44.179160937948112</v>
      </c>
      <c r="AY22" s="6">
        <f t="shared" ca="1" si="43"/>
        <v>44.441076910346993</v>
      </c>
      <c r="AZ22" s="6"/>
    </row>
    <row r="23" spans="1:88">
      <c r="A23" s="3"/>
      <c r="B23" t="s">
        <v>106</v>
      </c>
      <c r="G23" s="40">
        <f t="shared" si="34"/>
        <v>0.43365580999999997</v>
      </c>
      <c r="H23" s="40">
        <f t="shared" si="35"/>
        <v>0</v>
      </c>
      <c r="I23" s="40">
        <f t="shared" si="36"/>
        <v>0</v>
      </c>
      <c r="J23" s="40">
        <f t="shared" si="37"/>
        <v>0</v>
      </c>
      <c r="K23" s="40">
        <f t="shared" si="38"/>
        <v>0</v>
      </c>
      <c r="L23" s="40">
        <f t="shared" si="39"/>
        <v>0</v>
      </c>
      <c r="M23" s="40">
        <f t="shared" si="40"/>
        <v>0</v>
      </c>
      <c r="N23" s="40">
        <f t="shared" si="41"/>
        <v>0</v>
      </c>
      <c r="T23" s="19">
        <v>1.3137541100000001</v>
      </c>
      <c r="U23" s="19">
        <v>1.2296E-2</v>
      </c>
      <c r="V23" s="19">
        <v>1.2712999999999999E-2</v>
      </c>
      <c r="W23" s="19">
        <v>0.43365580999999997</v>
      </c>
      <c r="X23" s="19">
        <v>1.2855922599999998</v>
      </c>
      <c r="Y23" s="19">
        <v>2.1167862500000001</v>
      </c>
      <c r="Z23" s="19">
        <v>0.59308941999999998</v>
      </c>
      <c r="AA23" s="19"/>
      <c r="AB23" s="19"/>
      <c r="AC23" s="19"/>
      <c r="AD23" s="19"/>
      <c r="AE23" s="19"/>
      <c r="AF23" s="19"/>
      <c r="AG23" s="19"/>
      <c r="AH23" s="19"/>
      <c r="AI23" s="19"/>
      <c r="AJ23" s="19"/>
      <c r="AK23" s="19"/>
      <c r="AL23" s="19"/>
      <c r="AM23" s="19"/>
      <c r="AN23" s="19"/>
      <c r="AO23" s="19"/>
      <c r="AP23" s="19">
        <v>0</v>
      </c>
      <c r="AQ23" s="19">
        <v>0</v>
      </c>
      <c r="AR23" s="19">
        <v>0</v>
      </c>
      <c r="AS23" s="19">
        <v>0</v>
      </c>
      <c r="AT23" s="19">
        <v>0</v>
      </c>
      <c r="AU23" s="19">
        <v>0</v>
      </c>
      <c r="AV23" s="19">
        <v>0</v>
      </c>
      <c r="AW23" s="19">
        <v>0</v>
      </c>
      <c r="AX23" s="19">
        <v>0</v>
      </c>
      <c r="AY23" s="19">
        <v>0</v>
      </c>
      <c r="AZ23" s="19"/>
    </row>
    <row r="24" spans="1:88">
      <c r="A24" s="3"/>
      <c r="B24" t="s">
        <v>107</v>
      </c>
      <c r="G24" s="40">
        <f t="shared" si="34"/>
        <v>171.71538393721301</v>
      </c>
      <c r="H24" s="40">
        <f t="shared" si="35"/>
        <v>162.55099999999999</v>
      </c>
      <c r="I24" s="40">
        <f t="shared" si="36"/>
        <v>182.2</v>
      </c>
      <c r="J24" s="40">
        <f t="shared" si="37"/>
        <v>225.7</v>
      </c>
      <c r="K24" s="40">
        <f t="shared" si="38"/>
        <v>325.39999999999998</v>
      </c>
      <c r="L24" s="40">
        <f t="shared" ca="1" si="39"/>
        <v>332.6937958283612</v>
      </c>
      <c r="M24" s="40">
        <f t="shared" ca="1" si="40"/>
        <v>344.94414467278546</v>
      </c>
      <c r="N24" s="40">
        <f t="shared" ca="1" si="41"/>
        <v>359.15091711564031</v>
      </c>
      <c r="T24" s="19">
        <v>196.51074241544001</v>
      </c>
      <c r="U24" s="19">
        <v>197.808053534735</v>
      </c>
      <c r="V24" s="19">
        <v>167.04161874530698</v>
      </c>
      <c r="W24" s="19">
        <v>171.71538393721301</v>
      </c>
      <c r="X24" s="19">
        <v>138.614994007326</v>
      </c>
      <c r="Y24" s="19">
        <v>166.48136623651899</v>
      </c>
      <c r="Z24" s="19">
        <v>145.16205650097297</v>
      </c>
      <c r="AA24" s="19">
        <v>162.55099999999999</v>
      </c>
      <c r="AB24" s="19">
        <v>164.1</v>
      </c>
      <c r="AC24" s="19">
        <v>162.4</v>
      </c>
      <c r="AD24" s="19">
        <v>181.5</v>
      </c>
      <c r="AE24" s="19">
        <v>182.2</v>
      </c>
      <c r="AF24" s="19">
        <v>180.2</v>
      </c>
      <c r="AG24" s="19">
        <v>182.2</v>
      </c>
      <c r="AH24" s="19">
        <v>240.5</v>
      </c>
      <c r="AI24" s="19">
        <v>225.7</v>
      </c>
      <c r="AJ24" s="19">
        <v>255.4</v>
      </c>
      <c r="AK24" s="19">
        <v>260</v>
      </c>
      <c r="AL24" s="19">
        <v>286.10000000000002</v>
      </c>
      <c r="AM24" s="19">
        <v>325.39999999999998</v>
      </c>
      <c r="AN24" s="19">
        <v>357.9</v>
      </c>
      <c r="AO24" s="19">
        <v>330.5</v>
      </c>
      <c r="AP24" s="6">
        <f t="shared" ref="AP24:AY24" ca="1" si="44">+AP58*AP51</f>
        <v>330.14841289172443</v>
      </c>
      <c r="AQ24" s="6">
        <f t="shared" ca="1" si="44"/>
        <v>332.6937958283612</v>
      </c>
      <c r="AR24" s="6">
        <f t="shared" ca="1" si="44"/>
        <v>335.47263990746876</v>
      </c>
      <c r="AS24" s="6">
        <f t="shared" ca="1" si="44"/>
        <v>338.4743060734354</v>
      </c>
      <c r="AT24" s="6">
        <f t="shared" ca="1" si="44"/>
        <v>341.64753731583204</v>
      </c>
      <c r="AU24" s="6">
        <f t="shared" ca="1" si="44"/>
        <v>344.94414467278546</v>
      </c>
      <c r="AV24" s="6">
        <f t="shared" ca="1" si="44"/>
        <v>348.35296279586771</v>
      </c>
      <c r="AW24" s="6">
        <f t="shared" ca="1" si="44"/>
        <v>351.86356870805872</v>
      </c>
      <c r="AX24" s="6">
        <f t="shared" ca="1" si="44"/>
        <v>355.46606140788037</v>
      </c>
      <c r="AY24" s="6">
        <f t="shared" ca="1" si="44"/>
        <v>359.15091711564031</v>
      </c>
      <c r="AZ24" s="6"/>
    </row>
    <row r="25" spans="1:88">
      <c r="A25" s="3"/>
      <c r="B25" t="s">
        <v>108</v>
      </c>
      <c r="G25" s="40">
        <f t="shared" si="34"/>
        <v>-4.7829999530222232E-9</v>
      </c>
      <c r="H25" s="40">
        <f t="shared" si="35"/>
        <v>0</v>
      </c>
      <c r="I25" s="40">
        <f t="shared" si="36"/>
        <v>0</v>
      </c>
      <c r="J25" s="40">
        <f t="shared" si="37"/>
        <v>0</v>
      </c>
      <c r="K25" s="40">
        <f t="shared" si="38"/>
        <v>0</v>
      </c>
      <c r="L25" s="40">
        <f t="shared" si="39"/>
        <v>0</v>
      </c>
      <c r="M25" s="40">
        <f t="shared" si="40"/>
        <v>0</v>
      </c>
      <c r="N25" s="40">
        <f t="shared" si="41"/>
        <v>0</v>
      </c>
      <c r="T25" s="19">
        <v>-1.8626451492309569E-15</v>
      </c>
      <c r="U25" s="19">
        <v>2.6359986513853075E-9</v>
      </c>
      <c r="V25" s="19">
        <v>1.109999604523182E-9</v>
      </c>
      <c r="W25" s="19">
        <v>-4.7829999530222232E-9</v>
      </c>
      <c r="X25" s="19">
        <v>1.9139999640174227E-9</v>
      </c>
      <c r="Y25" s="19">
        <v>2.9999995604157446E-11</v>
      </c>
      <c r="Z25" s="19">
        <v>3.8999896787572651E-11</v>
      </c>
      <c r="AA25" s="19">
        <v>0</v>
      </c>
      <c r="AB25" s="19">
        <v>0</v>
      </c>
      <c r="AC25" s="19">
        <v>0</v>
      </c>
      <c r="AD25" s="19"/>
      <c r="AE25" s="19"/>
      <c r="AF25" s="19"/>
      <c r="AG25" s="19"/>
      <c r="AH25" s="19"/>
      <c r="AI25" s="19"/>
      <c r="AJ25" s="19"/>
      <c r="AK25" s="19"/>
      <c r="AL25" s="19"/>
      <c r="AM25" s="19"/>
      <c r="AN25" s="19"/>
      <c r="AO25" s="19"/>
      <c r="AP25" s="19">
        <v>0</v>
      </c>
      <c r="AQ25" s="19">
        <v>0</v>
      </c>
      <c r="AR25" s="19">
        <v>0</v>
      </c>
      <c r="AS25" s="19">
        <v>0</v>
      </c>
      <c r="AT25" s="19">
        <v>0</v>
      </c>
      <c r="AU25" s="19">
        <v>0</v>
      </c>
      <c r="AV25" s="19">
        <v>0</v>
      </c>
      <c r="AW25" s="19">
        <v>0</v>
      </c>
      <c r="AX25" s="19">
        <v>0</v>
      </c>
      <c r="AY25" s="19">
        <v>0</v>
      </c>
      <c r="AZ25" s="19"/>
    </row>
    <row r="26" spans="1:88">
      <c r="A26" s="3"/>
      <c r="B26" t="s">
        <v>109</v>
      </c>
      <c r="G26" s="40">
        <f t="shared" si="34"/>
        <v>13.166691600000002</v>
      </c>
      <c r="H26" s="40">
        <f t="shared" si="35"/>
        <v>2.415</v>
      </c>
      <c r="I26" s="40">
        <f t="shared" si="36"/>
        <v>4.4000000000000004</v>
      </c>
      <c r="J26" s="40">
        <f t="shared" si="37"/>
        <v>5.8</v>
      </c>
      <c r="K26" s="40">
        <f t="shared" si="38"/>
        <v>8</v>
      </c>
      <c r="L26" s="40">
        <f t="shared" si="39"/>
        <v>8.4</v>
      </c>
      <c r="M26" s="40">
        <f t="shared" si="40"/>
        <v>8.4</v>
      </c>
      <c r="N26" s="40">
        <f t="shared" si="41"/>
        <v>8.4</v>
      </c>
      <c r="T26" s="19">
        <v>4.31787659</v>
      </c>
      <c r="U26" s="19">
        <v>7.9905632100000004</v>
      </c>
      <c r="V26" s="19">
        <v>12.362052680000001</v>
      </c>
      <c r="W26" s="19">
        <v>13.166691600000002</v>
      </c>
      <c r="X26" s="19">
        <v>17.44790983</v>
      </c>
      <c r="Y26" s="19">
        <v>13.727563926552</v>
      </c>
      <c r="Z26" s="19">
        <v>13.654640771573</v>
      </c>
      <c r="AA26" s="19">
        <v>2.415</v>
      </c>
      <c r="AB26" s="19">
        <v>3.1</v>
      </c>
      <c r="AC26" s="19">
        <v>3.2</v>
      </c>
      <c r="AD26" s="19">
        <v>4</v>
      </c>
      <c r="AE26" s="19">
        <v>4.4000000000000004</v>
      </c>
      <c r="AF26" s="19">
        <v>4.4000000000000004</v>
      </c>
      <c r="AG26" s="19">
        <v>5.4</v>
      </c>
      <c r="AH26" s="19">
        <v>5.5</v>
      </c>
      <c r="AI26" s="19">
        <v>5.8</v>
      </c>
      <c r="AJ26" s="19">
        <v>5.9</v>
      </c>
      <c r="AK26" s="19">
        <v>7.8</v>
      </c>
      <c r="AL26" s="19">
        <v>7.8</v>
      </c>
      <c r="AM26" s="19">
        <v>8</v>
      </c>
      <c r="AN26" s="19">
        <v>7.8</v>
      </c>
      <c r="AO26" s="19">
        <v>8.4</v>
      </c>
      <c r="AP26" s="6">
        <f t="shared" ref="AP26:AY26" si="45">+AO26</f>
        <v>8.4</v>
      </c>
      <c r="AQ26" s="6">
        <f t="shared" si="45"/>
        <v>8.4</v>
      </c>
      <c r="AR26" s="6">
        <f t="shared" si="45"/>
        <v>8.4</v>
      </c>
      <c r="AS26" s="6">
        <f t="shared" si="45"/>
        <v>8.4</v>
      </c>
      <c r="AT26" s="6">
        <f t="shared" si="45"/>
        <v>8.4</v>
      </c>
      <c r="AU26" s="6">
        <f t="shared" si="45"/>
        <v>8.4</v>
      </c>
      <c r="AV26" s="6">
        <f t="shared" si="45"/>
        <v>8.4</v>
      </c>
      <c r="AW26" s="6">
        <f t="shared" si="45"/>
        <v>8.4</v>
      </c>
      <c r="AX26" s="6">
        <f t="shared" si="45"/>
        <v>8.4</v>
      </c>
      <c r="AY26" s="6">
        <f t="shared" si="45"/>
        <v>8.4</v>
      </c>
      <c r="AZ26" s="6"/>
    </row>
    <row r="27" spans="1:88" s="3" customFormat="1">
      <c r="B27" s="3" t="s">
        <v>110</v>
      </c>
      <c r="G27" s="40">
        <f t="shared" si="34"/>
        <v>37.936500273944006</v>
      </c>
      <c r="H27" s="40">
        <f t="shared" si="35"/>
        <v>75.393000000000001</v>
      </c>
      <c r="I27" s="40">
        <f t="shared" si="36"/>
        <v>86.6</v>
      </c>
      <c r="J27" s="40">
        <f t="shared" si="37"/>
        <v>129.4</v>
      </c>
      <c r="K27" s="40">
        <f t="shared" si="38"/>
        <v>146</v>
      </c>
      <c r="L27" s="40">
        <f t="shared" si="39"/>
        <v>152</v>
      </c>
      <c r="M27" s="40">
        <f t="shared" si="40"/>
        <v>152</v>
      </c>
      <c r="N27" s="40">
        <f t="shared" si="41"/>
        <v>152</v>
      </c>
      <c r="T27" s="50">
        <v>42.457282167664005</v>
      </c>
      <c r="U27" s="50">
        <v>46.861725219074991</v>
      </c>
      <c r="V27" s="50">
        <v>40.214817773207997</v>
      </c>
      <c r="W27" s="50">
        <v>37.936500273944006</v>
      </c>
      <c r="X27" s="50">
        <v>56.117439189991991</v>
      </c>
      <c r="Y27" s="50">
        <v>57.331402777296006</v>
      </c>
      <c r="Z27" s="50">
        <v>59.525602612149015</v>
      </c>
      <c r="AA27" s="50">
        <v>75.393000000000001</v>
      </c>
      <c r="AB27" s="50">
        <v>92.7</v>
      </c>
      <c r="AC27" s="50">
        <v>74.2</v>
      </c>
      <c r="AD27" s="50">
        <v>88.5</v>
      </c>
      <c r="AE27" s="50">
        <v>86.6</v>
      </c>
      <c r="AF27" s="50">
        <v>90.4</v>
      </c>
      <c r="AG27" s="50">
        <v>97.8</v>
      </c>
      <c r="AH27" s="50">
        <v>127.6</v>
      </c>
      <c r="AI27" s="50">
        <v>129.4</v>
      </c>
      <c r="AJ27" s="50">
        <v>126.8</v>
      </c>
      <c r="AK27" s="50">
        <v>121.1</v>
      </c>
      <c r="AL27" s="50">
        <v>144.19999999999999</v>
      </c>
      <c r="AM27" s="50">
        <v>146</v>
      </c>
      <c r="AN27" s="50">
        <v>149.6</v>
      </c>
      <c r="AO27" s="50">
        <v>152</v>
      </c>
      <c r="AP27" s="40">
        <f t="shared" ref="AP27:AY28" si="46">+AO27</f>
        <v>152</v>
      </c>
      <c r="AQ27" s="40">
        <f t="shared" si="46"/>
        <v>152</v>
      </c>
      <c r="AR27" s="40">
        <f t="shared" si="46"/>
        <v>152</v>
      </c>
      <c r="AS27" s="40">
        <f t="shared" si="46"/>
        <v>152</v>
      </c>
      <c r="AT27" s="40">
        <f t="shared" si="46"/>
        <v>152</v>
      </c>
      <c r="AU27" s="40">
        <f t="shared" si="46"/>
        <v>152</v>
      </c>
      <c r="AV27" s="40">
        <f t="shared" si="46"/>
        <v>152</v>
      </c>
      <c r="AW27" s="40">
        <f t="shared" si="46"/>
        <v>152</v>
      </c>
      <c r="AX27" s="40">
        <f t="shared" si="46"/>
        <v>152</v>
      </c>
      <c r="AY27" s="40">
        <f t="shared" si="46"/>
        <v>152</v>
      </c>
      <c r="AZ27" s="40"/>
      <c r="CA27"/>
      <c r="CB27"/>
      <c r="CC27"/>
      <c r="CD27"/>
      <c r="CE27"/>
      <c r="CF27"/>
    </row>
    <row r="28" spans="1:88">
      <c r="A28" s="3"/>
      <c r="B28" t="s">
        <v>111</v>
      </c>
      <c r="G28" s="40">
        <f t="shared" si="34"/>
        <v>0</v>
      </c>
      <c r="H28" s="40">
        <f t="shared" si="35"/>
        <v>57.061999999999998</v>
      </c>
      <c r="I28" s="40">
        <f t="shared" si="36"/>
        <v>57.2</v>
      </c>
      <c r="J28" s="40">
        <f t="shared" si="37"/>
        <v>28.6</v>
      </c>
      <c r="K28" s="40">
        <f t="shared" si="38"/>
        <v>63.5</v>
      </c>
      <c r="L28" s="40">
        <f t="shared" si="39"/>
        <v>73</v>
      </c>
      <c r="M28" s="40">
        <f t="shared" si="40"/>
        <v>73</v>
      </c>
      <c r="N28" s="40">
        <f t="shared" si="41"/>
        <v>73</v>
      </c>
      <c r="T28" s="19">
        <v>0</v>
      </c>
      <c r="U28" s="19">
        <v>0</v>
      </c>
      <c r="V28" s="19">
        <v>0</v>
      </c>
      <c r="W28" s="19">
        <v>0</v>
      </c>
      <c r="X28" s="19">
        <v>0</v>
      </c>
      <c r="Y28" s="19">
        <v>0</v>
      </c>
      <c r="Z28" s="19">
        <v>0</v>
      </c>
      <c r="AA28" s="19">
        <v>57.061999999999998</v>
      </c>
      <c r="AB28" s="19">
        <v>26</v>
      </c>
      <c r="AC28" s="19"/>
      <c r="AD28" s="19">
        <v>24.2</v>
      </c>
      <c r="AE28" s="19">
        <v>57.2</v>
      </c>
      <c r="AF28" s="19">
        <v>76.3</v>
      </c>
      <c r="AG28" s="19">
        <v>40.200000000000003</v>
      </c>
      <c r="AH28" s="19">
        <v>59.5</v>
      </c>
      <c r="AI28" s="19">
        <v>28.6</v>
      </c>
      <c r="AJ28" s="19">
        <v>64.599999999999994</v>
      </c>
      <c r="AK28" s="19">
        <v>28.8</v>
      </c>
      <c r="AL28" s="19">
        <v>75.3</v>
      </c>
      <c r="AM28" s="19">
        <v>63.5</v>
      </c>
      <c r="AN28" s="19">
        <v>86</v>
      </c>
      <c r="AO28" s="19">
        <v>73</v>
      </c>
      <c r="AP28" s="18">
        <f t="shared" si="46"/>
        <v>73</v>
      </c>
      <c r="AQ28" s="18">
        <f t="shared" si="46"/>
        <v>73</v>
      </c>
      <c r="AR28" s="18">
        <f t="shared" si="46"/>
        <v>73</v>
      </c>
      <c r="AS28" s="18">
        <f t="shared" si="46"/>
        <v>73</v>
      </c>
      <c r="AT28" s="18">
        <f t="shared" si="46"/>
        <v>73</v>
      </c>
      <c r="AU28" s="18">
        <f t="shared" si="46"/>
        <v>73</v>
      </c>
      <c r="AV28" s="18">
        <f t="shared" si="46"/>
        <v>73</v>
      </c>
      <c r="AW28" s="18">
        <f t="shared" si="46"/>
        <v>73</v>
      </c>
      <c r="AX28" s="18">
        <f t="shared" si="46"/>
        <v>73</v>
      </c>
      <c r="AY28" s="18">
        <f t="shared" si="46"/>
        <v>73</v>
      </c>
      <c r="AZ28" s="19"/>
    </row>
    <row r="29" spans="1:88">
      <c r="A29" s="3"/>
      <c r="B29" s="7" t="s">
        <v>112</v>
      </c>
      <c r="G29" s="40">
        <f t="shared" si="34"/>
        <v>272.98203784309402</v>
      </c>
      <c r="H29" s="40">
        <f t="shared" si="35"/>
        <v>344.88599999999997</v>
      </c>
      <c r="I29" s="40">
        <f t="shared" si="36"/>
        <v>386.9</v>
      </c>
      <c r="J29" s="40">
        <f t="shared" si="37"/>
        <v>486.5</v>
      </c>
      <c r="K29" s="40">
        <f t="shared" si="38"/>
        <v>620.29999999999995</v>
      </c>
      <c r="L29" s="40">
        <f t="shared" ca="1" si="39"/>
        <v>613.71400171835376</v>
      </c>
      <c r="M29" s="40">
        <f t="shared" ca="1" si="40"/>
        <v>626.78049222672871</v>
      </c>
      <c r="N29" s="40">
        <f t="shared" ca="1" si="41"/>
        <v>641.99199402598731</v>
      </c>
      <c r="T29" s="6">
        <f>SUM(T21:T28)</f>
        <v>277.09050478178</v>
      </c>
      <c r="U29" s="6">
        <f t="shared" ref="U29:Z29" si="47">SUM(U21:U28)</f>
        <v>299.89372555367299</v>
      </c>
      <c r="V29" s="6">
        <f t="shared" si="47"/>
        <v>249.92023007744899</v>
      </c>
      <c r="W29" s="6">
        <f t="shared" si="47"/>
        <v>272.98203784309402</v>
      </c>
      <c r="X29" s="6">
        <f t="shared" si="47"/>
        <v>250.59295167793599</v>
      </c>
      <c r="Y29" s="6">
        <f t="shared" si="47"/>
        <v>267.98563659934501</v>
      </c>
      <c r="Z29" s="6">
        <f t="shared" si="47"/>
        <v>257.484746237639</v>
      </c>
      <c r="AA29" s="6">
        <f t="shared" ref="AA29:AY29" si="48">SUM(AA21:AA28)</f>
        <v>344.88599999999997</v>
      </c>
      <c r="AB29" s="6">
        <f t="shared" si="48"/>
        <v>334.9</v>
      </c>
      <c r="AC29" s="6">
        <f t="shared" ref="AC29:AH29" si="49">SUM(AC21:AC28)</f>
        <v>291.8</v>
      </c>
      <c r="AD29" s="6">
        <f t="shared" si="49"/>
        <v>353.5</v>
      </c>
      <c r="AE29" s="6">
        <f t="shared" si="49"/>
        <v>386.9</v>
      </c>
      <c r="AF29" s="6">
        <f t="shared" si="49"/>
        <v>404.2</v>
      </c>
      <c r="AG29" s="6">
        <f t="shared" si="49"/>
        <v>408.29999999999995</v>
      </c>
      <c r="AH29" s="6">
        <f t="shared" si="49"/>
        <v>528.70000000000005</v>
      </c>
      <c r="AI29" s="6">
        <f t="shared" ref="AI29:AN29" si="50">SUM(AI21:AI28)</f>
        <v>486.5</v>
      </c>
      <c r="AJ29" s="6">
        <f t="shared" si="50"/>
        <v>508.79999999999995</v>
      </c>
      <c r="AK29" s="6">
        <f t="shared" si="50"/>
        <v>457.59999999999997</v>
      </c>
      <c r="AL29" s="6">
        <f t="shared" si="50"/>
        <v>588.59999999999991</v>
      </c>
      <c r="AM29" s="6">
        <f t="shared" si="50"/>
        <v>620.29999999999995</v>
      </c>
      <c r="AN29" s="6">
        <f t="shared" si="50"/>
        <v>671.5</v>
      </c>
      <c r="AO29" s="6">
        <f t="shared" ref="AO29" si="51">SUM(AO21:AO28)</f>
        <v>611.59999999999991</v>
      </c>
      <c r="AP29" s="6">
        <f t="shared" ca="1" si="48"/>
        <v>611.022763700979</v>
      </c>
      <c r="AQ29" s="6">
        <f t="shared" ca="1" si="48"/>
        <v>613.71400171835376</v>
      </c>
      <c r="AR29" s="6">
        <f t="shared" ca="1" si="48"/>
        <v>616.66570230247305</v>
      </c>
      <c r="AS29" s="6">
        <f t="shared" ca="1" si="48"/>
        <v>619.86549274964716</v>
      </c>
      <c r="AT29" s="6">
        <f t="shared" ca="1" si="48"/>
        <v>623.2552687310814</v>
      </c>
      <c r="AU29" s="6">
        <f t="shared" ca="1" si="48"/>
        <v>626.78049222672871</v>
      </c>
      <c r="AV29" s="6">
        <f t="shared" ca="1" si="48"/>
        <v>630.42839596136605</v>
      </c>
      <c r="AW29" s="6">
        <f t="shared" ca="1" si="48"/>
        <v>634.18707208240642</v>
      </c>
      <c r="AX29" s="6">
        <f t="shared" ca="1" si="48"/>
        <v>638.04522234582851</v>
      </c>
      <c r="AY29" s="6">
        <f t="shared" ca="1" si="48"/>
        <v>641.99199402598731</v>
      </c>
      <c r="AZ29" s="6"/>
    </row>
    <row r="30" spans="1:88">
      <c r="A30" s="3"/>
      <c r="T30" s="6"/>
      <c r="U30" s="6"/>
      <c r="V30" s="6"/>
      <c r="W30" s="6"/>
      <c r="X30" s="6"/>
      <c r="Y30" s="6"/>
      <c r="Z30" s="6"/>
      <c r="AA30" s="6"/>
      <c r="AB30" s="6"/>
      <c r="AC30" s="6"/>
      <c r="AD30" s="6"/>
      <c r="AE30" s="6"/>
      <c r="AF30" s="6"/>
      <c r="AG30" s="6"/>
      <c r="AH30" s="6"/>
      <c r="AI30" s="6"/>
      <c r="AJ30" s="6"/>
      <c r="AK30" s="6"/>
      <c r="AL30" s="6"/>
      <c r="AM30" s="6"/>
      <c r="AN30" s="6"/>
      <c r="AO30" s="6"/>
      <c r="AP30" s="6"/>
      <c r="AQ30" s="6"/>
      <c r="AR30" s="6"/>
      <c r="AS30" s="6"/>
      <c r="AT30" s="6"/>
      <c r="AU30" s="6"/>
      <c r="AV30" s="6"/>
      <c r="AW30" s="6"/>
      <c r="AX30" s="6"/>
      <c r="AY30" s="6"/>
      <c r="AZ30" s="6"/>
    </row>
    <row r="31" spans="1:88" s="3" customFormat="1">
      <c r="B31" s="3" t="s">
        <v>113</v>
      </c>
      <c r="G31" s="40">
        <f t="shared" ref="G31:G37" si="52">+W31</f>
        <v>2814.5054784322001</v>
      </c>
      <c r="H31" s="40">
        <f t="shared" ref="H31:H37" si="53">+AA31</f>
        <v>3219.6729999999998</v>
      </c>
      <c r="I31" s="40">
        <f t="shared" ref="I31:I37" si="54">+AE31</f>
        <v>3652.2</v>
      </c>
      <c r="J31" s="40">
        <f t="shared" ref="J31:J37" si="55">+AI31</f>
        <v>4085.3</v>
      </c>
      <c r="K31" s="40">
        <f t="shared" ref="K31:K37" si="56">+AM31</f>
        <v>5532.7</v>
      </c>
      <c r="L31" s="40">
        <f t="shared" ref="L31:L37" ca="1" si="57">+AQ31</f>
        <v>5528.7876239148291</v>
      </c>
      <c r="M31" s="40">
        <f t="shared" ref="M31:M37" ca="1" si="58">+AU31</f>
        <v>5513.9833669955824</v>
      </c>
      <c r="N31" s="40">
        <f t="shared" ref="N31:N37" ca="1" si="59">+AY31</f>
        <v>5498.4396487969234</v>
      </c>
      <c r="T31" s="50">
        <v>2820.8588842203599</v>
      </c>
      <c r="U31" s="50">
        <v>2819.5251532390698</v>
      </c>
      <c r="V31" s="50">
        <v>2822.3568841619472</v>
      </c>
      <c r="W31" s="50">
        <v>2814.5054784322001</v>
      </c>
      <c r="X31" s="50">
        <v>2814.5054784322001</v>
      </c>
      <c r="Y31" s="50">
        <v>2811.3226315869765</v>
      </c>
      <c r="Z31" s="50">
        <v>2956.5513285233997</v>
      </c>
      <c r="AA31" s="50">
        <v>3219.6729999999998</v>
      </c>
      <c r="AB31" s="50">
        <v>3215.5</v>
      </c>
      <c r="AC31" s="50">
        <v>2961.9</v>
      </c>
      <c r="AD31" s="50">
        <v>3720.1</v>
      </c>
      <c r="AE31" s="50">
        <v>3652.2</v>
      </c>
      <c r="AF31" s="50">
        <v>3651.1</v>
      </c>
      <c r="AG31" s="50">
        <v>3649.8</v>
      </c>
      <c r="AH31" s="50">
        <v>4036.8</v>
      </c>
      <c r="AI31" s="50">
        <v>4085.3</v>
      </c>
      <c r="AJ31" s="50">
        <v>4088.1</v>
      </c>
      <c r="AK31" s="50">
        <v>4091.3</v>
      </c>
      <c r="AL31" s="50">
        <v>5498.8</v>
      </c>
      <c r="AM31" s="50">
        <v>5532.7</v>
      </c>
      <c r="AN31" s="50">
        <v>5537.5</v>
      </c>
      <c r="AO31" s="50">
        <v>5538.6</v>
      </c>
      <c r="AP31" s="62">
        <f ca="1">Capital!AP134</f>
        <v>5532.377599574922</v>
      </c>
      <c r="AQ31" s="62">
        <f ca="1">Capital!AQ134</f>
        <v>5528.7876239148291</v>
      </c>
      <c r="AR31" s="62">
        <f ca="1">Capital!AR134</f>
        <v>5525.1537919030188</v>
      </c>
      <c r="AS31" s="62">
        <f ca="1">Capital!AS134</f>
        <v>5521.4755285490128</v>
      </c>
      <c r="AT31" s="62">
        <f ca="1">Capital!AT134</f>
        <v>5517.7522507151962</v>
      </c>
      <c r="AU31" s="62">
        <f ca="1">Capital!AU134</f>
        <v>5513.9833669955824</v>
      </c>
      <c r="AV31" s="62">
        <f ca="1">Capital!AV134</f>
        <v>5510.1682775926802</v>
      </c>
      <c r="AW31" s="62">
        <f ca="1">Capital!AW134</f>
        <v>5506.306374192447</v>
      </c>
      <c r="AX31" s="62">
        <f ca="1">Capital!AX134</f>
        <v>5502.3970398372621</v>
      </c>
      <c r="AY31" s="62">
        <f ca="1">Capital!AY134</f>
        <v>5498.4396487969234</v>
      </c>
      <c r="AZ31" s="40"/>
      <c r="CA31"/>
      <c r="CB31"/>
      <c r="CC31"/>
      <c r="CD31"/>
      <c r="CE31"/>
      <c r="CF31"/>
    </row>
    <row r="32" spans="1:88" s="3" customFormat="1">
      <c r="B32" s="3" t="s">
        <v>308</v>
      </c>
      <c r="G32" s="40"/>
      <c r="H32" s="40">
        <f t="shared" si="53"/>
        <v>22.856000000000002</v>
      </c>
      <c r="I32" s="40">
        <f>+AE32</f>
        <v>28.3</v>
      </c>
      <c r="J32" s="40">
        <f>+AI32</f>
        <v>44.9</v>
      </c>
      <c r="K32" s="40">
        <f>+AM32</f>
        <v>93.6</v>
      </c>
      <c r="L32" s="40">
        <f>+AQ32</f>
        <v>89.8</v>
      </c>
      <c r="M32" s="40">
        <f>+AU32</f>
        <v>89.8</v>
      </c>
      <c r="N32" s="40">
        <f>+AY32</f>
        <v>89.8</v>
      </c>
      <c r="T32" s="50"/>
      <c r="U32" s="50"/>
      <c r="V32" s="50"/>
      <c r="W32" s="50"/>
      <c r="X32" s="50"/>
      <c r="Y32" s="50"/>
      <c r="Z32" s="50"/>
      <c r="AA32" s="50">
        <v>22.856000000000002</v>
      </c>
      <c r="AB32" s="50">
        <v>23.3</v>
      </c>
      <c r="AC32" s="50">
        <v>26.4</v>
      </c>
      <c r="AD32" s="50">
        <v>28.5</v>
      </c>
      <c r="AE32" s="50">
        <v>28.3</v>
      </c>
      <c r="AF32" s="50">
        <v>32.1</v>
      </c>
      <c r="AG32" s="50">
        <v>30.5</v>
      </c>
      <c r="AH32" s="50">
        <v>32.799999999999997</v>
      </c>
      <c r="AI32" s="50">
        <v>44.9</v>
      </c>
      <c r="AJ32" s="50">
        <v>46</v>
      </c>
      <c r="AK32" s="50">
        <v>76.599999999999994</v>
      </c>
      <c r="AL32" s="50">
        <v>76.5</v>
      </c>
      <c r="AM32" s="50">
        <v>93.6</v>
      </c>
      <c r="AN32" s="50">
        <v>92.3</v>
      </c>
      <c r="AO32" s="50">
        <v>89.8</v>
      </c>
      <c r="AP32" s="100">
        <f t="shared" ref="AP32:AY32" si="60">+AO32</f>
        <v>89.8</v>
      </c>
      <c r="AQ32" s="100">
        <f t="shared" si="60"/>
        <v>89.8</v>
      </c>
      <c r="AR32" s="100">
        <f t="shared" si="60"/>
        <v>89.8</v>
      </c>
      <c r="AS32" s="100">
        <f t="shared" si="60"/>
        <v>89.8</v>
      </c>
      <c r="AT32" s="100">
        <f t="shared" si="60"/>
        <v>89.8</v>
      </c>
      <c r="AU32" s="100">
        <f t="shared" si="60"/>
        <v>89.8</v>
      </c>
      <c r="AV32" s="100">
        <f t="shared" si="60"/>
        <v>89.8</v>
      </c>
      <c r="AW32" s="100">
        <f t="shared" si="60"/>
        <v>89.8</v>
      </c>
      <c r="AX32" s="100">
        <f t="shared" si="60"/>
        <v>89.8</v>
      </c>
      <c r="AY32" s="100">
        <f t="shared" si="60"/>
        <v>89.8</v>
      </c>
      <c r="AZ32" s="40"/>
      <c r="CA32"/>
      <c r="CB32"/>
      <c r="CC32"/>
      <c r="CD32"/>
      <c r="CE32"/>
      <c r="CF32"/>
    </row>
    <row r="33" spans="1:88" s="3" customFormat="1">
      <c r="B33" s="3" t="s">
        <v>114</v>
      </c>
      <c r="G33" s="40">
        <f t="shared" si="52"/>
        <v>344.46620707515194</v>
      </c>
      <c r="H33" s="40">
        <f t="shared" si="53"/>
        <v>496.911</v>
      </c>
      <c r="I33" s="40">
        <f t="shared" si="54"/>
        <v>612.70000000000005</v>
      </c>
      <c r="J33" s="40">
        <f t="shared" si="55"/>
        <v>793.3</v>
      </c>
      <c r="K33" s="40">
        <f t="shared" si="56"/>
        <v>989.7</v>
      </c>
      <c r="L33" s="40">
        <f t="shared" ca="1" si="57"/>
        <v>1015.8085583888483</v>
      </c>
      <c r="M33" s="40">
        <f t="shared" ca="1" si="58"/>
        <v>1048.639996188452</v>
      </c>
      <c r="N33" s="40">
        <f t="shared" ca="1" si="59"/>
        <v>1096.7318544190493</v>
      </c>
      <c r="T33" s="50">
        <v>270.10809518711602</v>
      </c>
      <c r="U33" s="50">
        <v>300.458207959562</v>
      </c>
      <c r="V33" s="50">
        <v>299.60610238845203</v>
      </c>
      <c r="W33" s="50">
        <v>344.46620707515194</v>
      </c>
      <c r="X33" s="50">
        <v>352.63720023975998</v>
      </c>
      <c r="Y33" s="50">
        <v>385.08738678394411</v>
      </c>
      <c r="Z33" s="50">
        <v>434.30478810229306</v>
      </c>
      <c r="AA33" s="50">
        <v>496.911</v>
      </c>
      <c r="AB33" s="50">
        <v>512.6</v>
      </c>
      <c r="AC33" s="50">
        <v>548.9</v>
      </c>
      <c r="AD33" s="50">
        <v>588.9</v>
      </c>
      <c r="AE33" s="50">
        <v>612.70000000000005</v>
      </c>
      <c r="AF33" s="50">
        <v>637.20000000000005</v>
      </c>
      <c r="AG33" s="50">
        <v>727.4</v>
      </c>
      <c r="AH33" s="50">
        <v>782.4</v>
      </c>
      <c r="AI33" s="50">
        <v>793.3</v>
      </c>
      <c r="AJ33" s="50">
        <v>823.1</v>
      </c>
      <c r="AK33" s="50">
        <v>849.4</v>
      </c>
      <c r="AL33" s="50">
        <v>940.6</v>
      </c>
      <c r="AM33" s="50">
        <v>989.7</v>
      </c>
      <c r="AN33" s="50">
        <v>995.3</v>
      </c>
      <c r="AO33" s="50">
        <v>989.9</v>
      </c>
      <c r="AP33" s="62">
        <f ca="1">+AO33-Rev!AP13+AP62</f>
        <v>993.93937348615282</v>
      </c>
      <c r="AQ33" s="62">
        <f ca="1">+AP33-Rev!AQ13+AQ62</f>
        <v>1015.8085583888483</v>
      </c>
      <c r="AR33" s="62">
        <f ca="1">+AQ33-Rev!AR13+AR62</f>
        <v>1023.2169104927731</v>
      </c>
      <c r="AS33" s="62">
        <f ca="1">+AR33-Rev!AS13+AS62</f>
        <v>1031.2405106489582</v>
      </c>
      <c r="AT33" s="62">
        <f ca="1">+AS33-Rev!AT13+AT62</f>
        <v>1039.7619681521608</v>
      </c>
      <c r="AU33" s="62">
        <f ca="1">+AT33-Rev!AU13+AU62</f>
        <v>1048.639996188452</v>
      </c>
      <c r="AV33" s="62">
        <f ca="1">+AU33-Rev!AV13+AV62</f>
        <v>1057.815887361437</v>
      </c>
      <c r="AW33" s="62">
        <f ca="1">+AV33-Rev!AW13+AW62</f>
        <v>1067.2316076679033</v>
      </c>
      <c r="AX33" s="62">
        <f ca="1">+AW33-Rev!AX13+AX62</f>
        <v>1076.8297895799403</v>
      </c>
      <c r="AY33" s="62">
        <f ca="1">+AX33-Rev!AY13+AY62</f>
        <v>1096.7318544190493</v>
      </c>
      <c r="AZ33" s="62"/>
      <c r="CA33"/>
      <c r="CB33"/>
      <c r="CC33"/>
      <c r="CD33"/>
      <c r="CE33"/>
      <c r="CF33"/>
    </row>
    <row r="34" spans="1:88" s="3" customFormat="1">
      <c r="B34" s="3" t="s">
        <v>115</v>
      </c>
      <c r="G34" s="40">
        <f t="shared" si="52"/>
        <v>159.32140358062404</v>
      </c>
      <c r="H34" s="40">
        <f t="shared" si="53"/>
        <v>392.42700000000002</v>
      </c>
      <c r="I34" s="40">
        <f t="shared" si="54"/>
        <v>1.9</v>
      </c>
      <c r="J34" s="40">
        <f t="shared" si="55"/>
        <v>0</v>
      </c>
      <c r="K34" s="40">
        <f t="shared" si="56"/>
        <v>0</v>
      </c>
      <c r="L34" s="40">
        <f t="shared" si="57"/>
        <v>55</v>
      </c>
      <c r="M34" s="40">
        <f t="shared" si="58"/>
        <v>165</v>
      </c>
      <c r="N34" s="40">
        <f t="shared" si="59"/>
        <v>275</v>
      </c>
      <c r="T34" s="50">
        <v>64.634874293916013</v>
      </c>
      <c r="U34" s="50">
        <v>98.132823761710981</v>
      </c>
      <c r="V34" s="50">
        <v>121.60132245934301</v>
      </c>
      <c r="W34" s="50">
        <v>159.32140358062404</v>
      </c>
      <c r="X34" s="50">
        <v>202.130776057216</v>
      </c>
      <c r="Y34" s="50">
        <v>250.24615474238402</v>
      </c>
      <c r="Z34" s="50">
        <v>312.49008080116198</v>
      </c>
      <c r="AA34" s="50">
        <v>392.42700000000002</v>
      </c>
      <c r="AB34" s="50">
        <v>514.20000000000005</v>
      </c>
      <c r="AC34" s="50">
        <v>2</v>
      </c>
      <c r="AD34" s="50">
        <v>1.9</v>
      </c>
      <c r="AE34" s="50">
        <v>1.9</v>
      </c>
      <c r="AF34" s="50">
        <v>2.4</v>
      </c>
      <c r="AG34" s="50"/>
      <c r="AH34" s="50"/>
      <c r="AI34" s="50"/>
      <c r="AJ34" s="50"/>
      <c r="AK34" s="50"/>
      <c r="AL34" s="50"/>
      <c r="AM34" s="50"/>
      <c r="AN34" s="50"/>
      <c r="AO34" s="50"/>
      <c r="AP34" s="62">
        <f>+AO34+IS!AP15</f>
        <v>27.5</v>
      </c>
      <c r="AQ34" s="62">
        <f>+AP34+IS!AQ15</f>
        <v>55</v>
      </c>
      <c r="AR34" s="62">
        <f>+AQ34+IS!AR15</f>
        <v>82.5</v>
      </c>
      <c r="AS34" s="62">
        <f>+AR34+IS!AS15</f>
        <v>110</v>
      </c>
      <c r="AT34" s="62">
        <f>+AS34+IS!AT15</f>
        <v>137.5</v>
      </c>
      <c r="AU34" s="62">
        <f>+AT34+IS!AU15</f>
        <v>165</v>
      </c>
      <c r="AV34" s="62">
        <f>+AU34+IS!AV15</f>
        <v>192.5</v>
      </c>
      <c r="AW34" s="62">
        <f>+AV34+IS!AW15</f>
        <v>220</v>
      </c>
      <c r="AX34" s="62">
        <f>+AW34+IS!AX15</f>
        <v>247.5</v>
      </c>
      <c r="AY34" s="62">
        <f>+AX34+IS!AY15</f>
        <v>275</v>
      </c>
      <c r="AZ34" s="62"/>
      <c r="CA34"/>
      <c r="CB34"/>
      <c r="CC34"/>
      <c r="CD34"/>
      <c r="CE34"/>
      <c r="CF34"/>
    </row>
    <row r="35" spans="1:88">
      <c r="A35" s="3"/>
      <c r="B35" t="s">
        <v>116</v>
      </c>
      <c r="G35" s="40">
        <f t="shared" si="52"/>
        <v>5.9919878097599995</v>
      </c>
      <c r="H35" s="40">
        <f t="shared" si="53"/>
        <v>133.58799999999999</v>
      </c>
      <c r="I35" s="40">
        <f t="shared" si="54"/>
        <v>174.7</v>
      </c>
      <c r="J35" s="40">
        <f t="shared" si="55"/>
        <v>41.3</v>
      </c>
      <c r="K35" s="40">
        <f t="shared" si="56"/>
        <v>40.200000000000003</v>
      </c>
      <c r="L35" s="40">
        <f t="shared" ca="1" si="57"/>
        <v>155.25878244958332</v>
      </c>
      <c r="M35" s="40">
        <f t="shared" ca="1" si="58"/>
        <v>174.61688388647613</v>
      </c>
      <c r="N35" s="40">
        <f t="shared" ca="1" si="59"/>
        <v>196.01163895532108</v>
      </c>
      <c r="T35" s="19">
        <v>-1.0119610000000001</v>
      </c>
      <c r="U35" s="19">
        <v>0.19051599999999999</v>
      </c>
      <c r="V35" s="19">
        <v>-0.27518300000000001</v>
      </c>
      <c r="W35" s="19">
        <v>5.9919878097599995</v>
      </c>
      <c r="X35" s="19">
        <v>9.1126033515199989</v>
      </c>
      <c r="Y35" s="19">
        <v>16.441065347744001</v>
      </c>
      <c r="Z35" s="19">
        <v>29.673122105291</v>
      </c>
      <c r="AA35" s="19">
        <v>133.58799999999999</v>
      </c>
      <c r="AB35" s="19">
        <v>145.1</v>
      </c>
      <c r="AC35" s="19">
        <v>136.1</v>
      </c>
      <c r="AD35" s="19">
        <v>196.4</v>
      </c>
      <c r="AE35" s="19">
        <v>174.7</v>
      </c>
      <c r="AF35" s="19">
        <v>168.4</v>
      </c>
      <c r="AG35" s="19">
        <v>171.6</v>
      </c>
      <c r="AH35" s="19">
        <v>168.4</v>
      </c>
      <c r="AI35" s="19">
        <v>41.3</v>
      </c>
      <c r="AJ35" s="19">
        <v>44.9</v>
      </c>
      <c r="AK35" s="19">
        <v>39.200000000000003</v>
      </c>
      <c r="AL35" s="19">
        <v>39.9</v>
      </c>
      <c r="AM35" s="19">
        <v>40.200000000000003</v>
      </c>
      <c r="AN35" s="19">
        <v>40.5</v>
      </c>
      <c r="AO35" s="19">
        <v>147.69999999999999</v>
      </c>
      <c r="AP35" s="6">
        <f t="shared" ref="AP35:AY35" ca="1" si="61">+AP51*AP59</f>
        <v>150.80690022157762</v>
      </c>
      <c r="AQ35" s="6">
        <f t="shared" ca="1" si="61"/>
        <v>155.25878244958332</v>
      </c>
      <c r="AR35" s="6">
        <f t="shared" ca="1" si="61"/>
        <v>159.87225254773401</v>
      </c>
      <c r="AS35" s="6">
        <f t="shared" ca="1" si="61"/>
        <v>164.64905956861182</v>
      </c>
      <c r="AT35" s="6">
        <f t="shared" ca="1" si="61"/>
        <v>169.57037186821722</v>
      </c>
      <c r="AU35" s="6">
        <f t="shared" ca="1" si="61"/>
        <v>174.61688388647613</v>
      </c>
      <c r="AV35" s="6">
        <f t="shared" ca="1" si="61"/>
        <v>179.78649242510781</v>
      </c>
      <c r="AW35" s="6">
        <f t="shared" ca="1" si="61"/>
        <v>185.07704321999674</v>
      </c>
      <c r="AX35" s="6">
        <f t="shared" ca="1" si="61"/>
        <v>190.48624953342261</v>
      </c>
      <c r="AY35" s="6">
        <f t="shared" ca="1" si="61"/>
        <v>196.01163895532108</v>
      </c>
      <c r="AZ35" s="6"/>
    </row>
    <row r="36" spans="1:88">
      <c r="A36" s="3"/>
      <c r="B36" t="s">
        <v>117</v>
      </c>
      <c r="G36" s="40">
        <f t="shared" si="52"/>
        <v>47.720328547127998</v>
      </c>
      <c r="H36" s="40">
        <f t="shared" si="53"/>
        <v>22.34</v>
      </c>
      <c r="I36" s="40">
        <f t="shared" si="54"/>
        <v>26.7</v>
      </c>
      <c r="J36" s="40">
        <f t="shared" si="55"/>
        <v>57</v>
      </c>
      <c r="K36" s="40">
        <f t="shared" si="56"/>
        <v>52.4</v>
      </c>
      <c r="L36" s="40">
        <f t="shared" ca="1" si="57"/>
        <v>48.318614825299058</v>
      </c>
      <c r="M36" s="40">
        <f t="shared" ca="1" si="58"/>
        <v>50.097788031145846</v>
      </c>
      <c r="N36" s="40">
        <f t="shared" ca="1" si="59"/>
        <v>52.161101426779837</v>
      </c>
      <c r="T36" s="19">
        <v>17.405681909999998</v>
      </c>
      <c r="U36" s="19">
        <v>15.02916877</v>
      </c>
      <c r="V36" s="19">
        <v>15.75977438</v>
      </c>
      <c r="W36" s="19">
        <v>47.720328547127998</v>
      </c>
      <c r="X36" s="19">
        <v>47.781851678208007</v>
      </c>
      <c r="Y36" s="19">
        <v>48.656740896608</v>
      </c>
      <c r="Z36" s="19">
        <v>51.843461181934998</v>
      </c>
      <c r="AA36" s="19">
        <f>22.34</f>
        <v>22.34</v>
      </c>
      <c r="AB36" s="19">
        <v>20.399999999999999</v>
      </c>
      <c r="AC36" s="19">
        <v>21.8</v>
      </c>
      <c r="AD36" s="19">
        <v>26.2</v>
      </c>
      <c r="AE36" s="19">
        <v>26.7</v>
      </c>
      <c r="AF36" s="19">
        <v>27</v>
      </c>
      <c r="AG36" s="19">
        <v>37.6</v>
      </c>
      <c r="AH36" s="19">
        <v>57.9</v>
      </c>
      <c r="AI36" s="19">
        <v>57</v>
      </c>
      <c r="AJ36" s="19">
        <v>67.2</v>
      </c>
      <c r="AK36" s="19">
        <v>66.099999999999994</v>
      </c>
      <c r="AL36" s="19">
        <v>59</v>
      </c>
      <c r="AM36" s="19">
        <v>52.4</v>
      </c>
      <c r="AN36" s="19">
        <v>45.8</v>
      </c>
      <c r="AO36" s="19">
        <v>48</v>
      </c>
      <c r="AP36" s="6">
        <f t="shared" ref="AP36:AY36" ca="1" si="62">+AP60*AP51</f>
        <v>47.948937424516714</v>
      </c>
      <c r="AQ36" s="6">
        <f t="shared" ca="1" si="62"/>
        <v>48.318614825299058</v>
      </c>
      <c r="AR36" s="6">
        <f t="shared" ca="1" si="62"/>
        <v>48.722198836788202</v>
      </c>
      <c r="AS36" s="6">
        <f t="shared" ca="1" si="62"/>
        <v>49.158144301134342</v>
      </c>
      <c r="AT36" s="6">
        <f t="shared" ca="1" si="62"/>
        <v>49.619006932405263</v>
      </c>
      <c r="AU36" s="6">
        <f t="shared" ca="1" si="62"/>
        <v>50.097788031145846</v>
      </c>
      <c r="AV36" s="6">
        <f t="shared" ca="1" si="62"/>
        <v>50.592866003635855</v>
      </c>
      <c r="AW36" s="6">
        <f t="shared" ca="1" si="62"/>
        <v>51.102727074090225</v>
      </c>
      <c r="AX36" s="6">
        <f t="shared" ca="1" si="62"/>
        <v>51.625933275577182</v>
      </c>
      <c r="AY36" s="6">
        <f t="shared" ca="1" si="62"/>
        <v>52.161101426779837</v>
      </c>
      <c r="AZ36" s="6"/>
      <c r="CG36" s="3"/>
      <c r="CH36" s="3"/>
      <c r="CI36" s="3"/>
      <c r="CJ36" s="3"/>
    </row>
    <row r="37" spans="1:88">
      <c r="A37" s="3"/>
      <c r="B37" s="7" t="s">
        <v>118</v>
      </c>
      <c r="G37" s="40">
        <f t="shared" si="52"/>
        <v>3644.9874432879578</v>
      </c>
      <c r="H37" s="40">
        <f t="shared" si="53"/>
        <v>4632.6810000000005</v>
      </c>
      <c r="I37" s="40">
        <f t="shared" si="54"/>
        <v>4883.3999999999987</v>
      </c>
      <c r="J37" s="40">
        <f t="shared" si="55"/>
        <v>5508.3</v>
      </c>
      <c r="K37" s="40">
        <f t="shared" si="56"/>
        <v>7328.9</v>
      </c>
      <c r="L37" s="40">
        <f t="shared" ca="1" si="57"/>
        <v>7506.6875812969129</v>
      </c>
      <c r="M37" s="40">
        <f t="shared" ca="1" si="58"/>
        <v>7668.9185273283847</v>
      </c>
      <c r="N37" s="40">
        <f t="shared" ca="1" si="59"/>
        <v>7850.1362376240613</v>
      </c>
      <c r="T37" s="6">
        <f>+T29+SUM(T31:T36)</f>
        <v>3449.0860793931715</v>
      </c>
      <c r="U37" s="6">
        <f t="shared" ref="U37:Z37" si="63">+U29+SUM(U31:U36)</f>
        <v>3533.2295952840159</v>
      </c>
      <c r="V37" s="6">
        <f t="shared" si="63"/>
        <v>3508.9691304671915</v>
      </c>
      <c r="W37" s="6">
        <f t="shared" si="63"/>
        <v>3644.9874432879578</v>
      </c>
      <c r="X37" s="6">
        <f t="shared" si="63"/>
        <v>3676.7608614368405</v>
      </c>
      <c r="Y37" s="6">
        <f t="shared" si="63"/>
        <v>3779.7396159570017</v>
      </c>
      <c r="Z37" s="6">
        <f t="shared" si="63"/>
        <v>4042.3475269517194</v>
      </c>
      <c r="AA37" s="6">
        <f t="shared" ref="AA37:AY37" si="64">+AA29+SUM(AA31:AA36)</f>
        <v>4632.6810000000005</v>
      </c>
      <c r="AB37" s="6">
        <f t="shared" si="64"/>
        <v>4766</v>
      </c>
      <c r="AC37" s="6">
        <f t="shared" ref="AC37:AH37" si="65">+AC29+SUM(AC31:AC36)</f>
        <v>3988.9000000000005</v>
      </c>
      <c r="AD37" s="6">
        <f t="shared" si="65"/>
        <v>4915.4999999999991</v>
      </c>
      <c r="AE37" s="6">
        <f t="shared" si="65"/>
        <v>4883.3999999999987</v>
      </c>
      <c r="AF37" s="6">
        <f t="shared" si="65"/>
        <v>4922.3999999999987</v>
      </c>
      <c r="AG37" s="6">
        <f t="shared" si="65"/>
        <v>5025.2000000000007</v>
      </c>
      <c r="AH37" s="6">
        <f t="shared" si="65"/>
        <v>5606.9999999999991</v>
      </c>
      <c r="AI37" s="6">
        <f t="shared" ref="AI37:AN37" si="66">+AI29+SUM(AI31:AI36)</f>
        <v>5508.3</v>
      </c>
      <c r="AJ37" s="6">
        <f t="shared" si="66"/>
        <v>5578.1</v>
      </c>
      <c r="AK37" s="6">
        <f t="shared" si="66"/>
        <v>5580.2000000000007</v>
      </c>
      <c r="AL37" s="6">
        <f t="shared" si="66"/>
        <v>7203.4</v>
      </c>
      <c r="AM37" s="6">
        <f t="shared" si="66"/>
        <v>7328.9</v>
      </c>
      <c r="AN37" s="6">
        <f t="shared" si="66"/>
        <v>7382.9000000000005</v>
      </c>
      <c r="AO37" s="6">
        <f t="shared" ref="AO37" si="67">+AO29+SUM(AO31:AO36)</f>
        <v>7425.6</v>
      </c>
      <c r="AP37" s="6">
        <f t="shared" ca="1" si="64"/>
        <v>7453.3955744081486</v>
      </c>
      <c r="AQ37" s="6">
        <f t="shared" ca="1" si="64"/>
        <v>7506.6875812969129</v>
      </c>
      <c r="AR37" s="6">
        <f t="shared" ca="1" si="64"/>
        <v>7545.9308560827876</v>
      </c>
      <c r="AS37" s="6">
        <f t="shared" ca="1" si="64"/>
        <v>7586.1887358173653</v>
      </c>
      <c r="AT37" s="6">
        <f t="shared" ca="1" si="64"/>
        <v>7627.2588663990618</v>
      </c>
      <c r="AU37" s="6">
        <f t="shared" ca="1" si="64"/>
        <v>7668.9185273283847</v>
      </c>
      <c r="AV37" s="6">
        <f t="shared" ca="1" si="64"/>
        <v>7711.0919193442269</v>
      </c>
      <c r="AW37" s="6">
        <f t="shared" ca="1" si="64"/>
        <v>7753.7048242368446</v>
      </c>
      <c r="AX37" s="6">
        <f t="shared" ca="1" si="64"/>
        <v>7796.6842345720315</v>
      </c>
      <c r="AY37" s="6">
        <f t="shared" ca="1" si="64"/>
        <v>7850.1362376240613</v>
      </c>
      <c r="AZ37" s="6"/>
    </row>
    <row r="38" spans="1:88">
      <c r="A38" s="3"/>
      <c r="T38" s="6"/>
      <c r="U38" s="6"/>
      <c r="V38" s="6"/>
      <c r="W38" s="6"/>
      <c r="X38" s="6"/>
      <c r="Y38" s="6"/>
      <c r="Z38" s="6"/>
      <c r="AA38" s="6"/>
      <c r="AB38" s="6"/>
      <c r="AC38" s="6"/>
      <c r="AD38" s="6"/>
      <c r="AE38" s="6"/>
      <c r="AF38" s="6"/>
      <c r="AG38" s="6"/>
      <c r="AH38" s="6"/>
      <c r="AI38" s="6"/>
      <c r="AJ38" s="6"/>
      <c r="AK38" s="6"/>
      <c r="AL38" s="6"/>
      <c r="AM38" s="6"/>
      <c r="AN38" s="6"/>
      <c r="AO38" s="6"/>
      <c r="AP38" s="6"/>
      <c r="AQ38" s="6"/>
      <c r="AR38" s="6"/>
      <c r="AS38" s="6"/>
      <c r="AT38" s="6"/>
      <c r="AU38" s="6"/>
      <c r="AV38" s="6"/>
      <c r="AW38" s="6"/>
      <c r="AX38" s="6"/>
      <c r="AY38" s="6"/>
      <c r="AZ38" s="6"/>
    </row>
    <row r="39" spans="1:88">
      <c r="A39" s="3"/>
      <c r="B39" t="s">
        <v>121</v>
      </c>
      <c r="G39" s="40">
        <f t="shared" ref="G39:G45" si="68">+W39</f>
        <v>606.25290463390252</v>
      </c>
      <c r="H39" s="40">
        <f t="shared" ref="H39:H45" si="69">+AA39</f>
        <v>0.2</v>
      </c>
      <c r="I39" s="40">
        <f t="shared" ref="I39:I45" si="70">+AE39</f>
        <v>0.2</v>
      </c>
      <c r="J39" s="40">
        <f t="shared" ref="J39:J45" si="71">+AI39</f>
        <v>0.2</v>
      </c>
      <c r="K39" s="40">
        <f t="shared" ref="K39:K45" si="72">+AM39</f>
        <v>0.2</v>
      </c>
      <c r="L39" s="40">
        <f t="shared" ref="L39:L45" si="73">+AQ39</f>
        <v>0.2</v>
      </c>
      <c r="M39" s="40">
        <f t="shared" ref="M39:M45" si="74">+AU39</f>
        <v>0.2</v>
      </c>
      <c r="N39" s="40">
        <f t="shared" ref="N39:N45" si="75">+AY39</f>
        <v>0.2</v>
      </c>
      <c r="T39" s="6"/>
      <c r="U39" s="6"/>
      <c r="V39" s="6"/>
      <c r="W39" s="19">
        <v>606.25290463390252</v>
      </c>
      <c r="X39" s="6"/>
      <c r="Y39" s="6"/>
      <c r="Z39" s="6"/>
      <c r="AA39" s="19">
        <v>0.2</v>
      </c>
      <c r="AB39" s="19">
        <v>0.2</v>
      </c>
      <c r="AC39" s="19">
        <v>0.2</v>
      </c>
      <c r="AD39" s="19">
        <v>0.2</v>
      </c>
      <c r="AE39" s="19">
        <v>0.2</v>
      </c>
      <c r="AF39" s="19">
        <v>0.2</v>
      </c>
      <c r="AG39" s="19">
        <v>0.2</v>
      </c>
      <c r="AH39" s="19">
        <v>0.2</v>
      </c>
      <c r="AI39" s="19">
        <v>0.2</v>
      </c>
      <c r="AJ39" s="19">
        <v>0.2</v>
      </c>
      <c r="AK39" s="19">
        <v>0.2</v>
      </c>
      <c r="AL39" s="19">
        <v>0.2</v>
      </c>
      <c r="AM39" s="19">
        <v>0.2</v>
      </c>
      <c r="AN39" s="19">
        <v>0.2</v>
      </c>
      <c r="AO39" s="19">
        <v>0.2</v>
      </c>
      <c r="AP39" s="6">
        <f t="shared" ref="AP39:AY39" si="76">+AO39</f>
        <v>0.2</v>
      </c>
      <c r="AQ39" s="6">
        <f t="shared" si="76"/>
        <v>0.2</v>
      </c>
      <c r="AR39" s="6">
        <f t="shared" si="76"/>
        <v>0.2</v>
      </c>
      <c r="AS39" s="6">
        <f t="shared" si="76"/>
        <v>0.2</v>
      </c>
      <c r="AT39" s="6">
        <f t="shared" si="76"/>
        <v>0.2</v>
      </c>
      <c r="AU39" s="6">
        <f t="shared" si="76"/>
        <v>0.2</v>
      </c>
      <c r="AV39" s="6">
        <f t="shared" si="76"/>
        <v>0.2</v>
      </c>
      <c r="AW39" s="6">
        <f t="shared" si="76"/>
        <v>0.2</v>
      </c>
      <c r="AX39" s="6">
        <f t="shared" si="76"/>
        <v>0.2</v>
      </c>
      <c r="AY39" s="6">
        <f t="shared" si="76"/>
        <v>0.2</v>
      </c>
      <c r="AZ39" s="6"/>
    </row>
    <row r="40" spans="1:88">
      <c r="A40" s="3"/>
      <c r="B40" t="s">
        <v>122</v>
      </c>
      <c r="G40" s="40">
        <f t="shared" si="68"/>
        <v>0</v>
      </c>
      <c r="H40" s="40">
        <f t="shared" si="69"/>
        <v>755.43399999999997</v>
      </c>
      <c r="I40" s="40">
        <f t="shared" si="70"/>
        <v>1705.8</v>
      </c>
      <c r="J40" s="40">
        <f t="shared" si="71"/>
        <v>1777.6</v>
      </c>
      <c r="K40" s="40">
        <f t="shared" si="72"/>
        <v>1884</v>
      </c>
      <c r="L40" s="40">
        <f t="shared" si="73"/>
        <v>1931.2</v>
      </c>
      <c r="M40" s="40">
        <f t="shared" si="74"/>
        <v>1931.2</v>
      </c>
      <c r="N40" s="40">
        <f t="shared" si="75"/>
        <v>1931.2</v>
      </c>
      <c r="T40" s="6"/>
      <c r="U40" s="6"/>
      <c r="V40" s="6"/>
      <c r="W40" s="6"/>
      <c r="X40" s="19"/>
      <c r="Y40" s="6"/>
      <c r="Z40" s="19">
        <v>778.43100000000004</v>
      </c>
      <c r="AA40" s="19">
        <f>755.634-AA39</f>
        <v>755.43399999999997</v>
      </c>
      <c r="AB40" s="19">
        <v>755.5</v>
      </c>
      <c r="AC40" s="19">
        <v>1519.7</v>
      </c>
      <c r="AD40" s="19">
        <v>1663.2</v>
      </c>
      <c r="AE40" s="19">
        <v>1705.8</v>
      </c>
      <c r="AF40" s="19">
        <v>1757.3</v>
      </c>
      <c r="AG40" s="19">
        <v>1780.6</v>
      </c>
      <c r="AH40" s="19">
        <v>1745.8</v>
      </c>
      <c r="AI40" s="19">
        <v>1777.6</v>
      </c>
      <c r="AJ40" s="19">
        <v>1803.6</v>
      </c>
      <c r="AK40" s="19">
        <v>1839.5</v>
      </c>
      <c r="AL40" s="19">
        <v>1866.3</v>
      </c>
      <c r="AM40" s="19">
        <v>1884</v>
      </c>
      <c r="AN40" s="19">
        <v>1907.7</v>
      </c>
      <c r="AO40" s="19">
        <v>1931.2</v>
      </c>
      <c r="AP40" s="6">
        <f>+AO40+Capital!AP8</f>
        <v>1931.2</v>
      </c>
      <c r="AQ40" s="6">
        <f>+AP40+Capital!AQ8</f>
        <v>1931.2</v>
      </c>
      <c r="AR40" s="6">
        <f>+AQ40+Capital!AR8</f>
        <v>1931.2</v>
      </c>
      <c r="AS40" s="6">
        <f>+AR40+Capital!AS8</f>
        <v>1931.2</v>
      </c>
      <c r="AT40" s="6">
        <f>+AS40+Capital!AT8</f>
        <v>1931.2</v>
      </c>
      <c r="AU40" s="6">
        <f>+AT40+Capital!AU8</f>
        <v>1931.2</v>
      </c>
      <c r="AV40" s="6">
        <f>+AU40+Capital!AV8</f>
        <v>1931.2</v>
      </c>
      <c r="AW40" s="6">
        <f>+AV40+Capital!AW8</f>
        <v>1931.2</v>
      </c>
      <c r="AX40" s="6">
        <f>+AW40+Capital!AX8</f>
        <v>1931.2</v>
      </c>
      <c r="AY40" s="6">
        <f>+AX40+Capital!AY8</f>
        <v>1931.2</v>
      </c>
      <c r="AZ40" s="6"/>
    </row>
    <row r="41" spans="1:88">
      <c r="A41" s="3"/>
      <c r="B41" t="s">
        <v>123</v>
      </c>
      <c r="G41" s="40">
        <f t="shared" si="68"/>
        <v>0</v>
      </c>
      <c r="H41" s="40">
        <f t="shared" si="69"/>
        <v>14.442</v>
      </c>
      <c r="I41" s="40">
        <f t="shared" si="70"/>
        <v>-7.9</v>
      </c>
      <c r="J41" s="40">
        <f t="shared" si="71"/>
        <v>4.5</v>
      </c>
      <c r="K41" s="40">
        <f t="shared" si="72"/>
        <v>5.4</v>
      </c>
      <c r="L41" s="40">
        <f t="shared" si="73"/>
        <v>23.3</v>
      </c>
      <c r="M41" s="40">
        <f t="shared" si="74"/>
        <v>23.3</v>
      </c>
      <c r="N41" s="40">
        <f t="shared" si="75"/>
        <v>23.3</v>
      </c>
      <c r="T41" s="6"/>
      <c r="U41" s="6"/>
      <c r="V41" s="6"/>
      <c r="W41" s="6"/>
      <c r="X41" s="19"/>
      <c r="Y41" s="6"/>
      <c r="Z41" s="19">
        <v>9.8800000000000008</v>
      </c>
      <c r="AA41" s="19">
        <v>14.442</v>
      </c>
      <c r="AB41" s="19">
        <v>2.1</v>
      </c>
      <c r="AC41" s="19">
        <v>-6.6</v>
      </c>
      <c r="AD41" s="19">
        <v>-21.1</v>
      </c>
      <c r="AE41" s="19">
        <v>-7.9</v>
      </c>
      <c r="AF41" s="19">
        <v>-11.9</v>
      </c>
      <c r="AG41" s="19">
        <v>-19.600000000000001</v>
      </c>
      <c r="AH41" s="19">
        <v>12.4</v>
      </c>
      <c r="AI41" s="19">
        <v>4.5</v>
      </c>
      <c r="AJ41" s="19">
        <v>1.2</v>
      </c>
      <c r="AK41" s="19">
        <v>-22.9</v>
      </c>
      <c r="AL41" s="19">
        <v>-19.2</v>
      </c>
      <c r="AM41" s="19">
        <v>5.4</v>
      </c>
      <c r="AN41" s="19">
        <v>27.5</v>
      </c>
      <c r="AO41" s="19">
        <v>23.3</v>
      </c>
      <c r="AP41" s="6">
        <f t="shared" ref="AP41:AY41" si="77">+AO41</f>
        <v>23.3</v>
      </c>
      <c r="AQ41" s="6">
        <f t="shared" si="77"/>
        <v>23.3</v>
      </c>
      <c r="AR41" s="6">
        <f t="shared" si="77"/>
        <v>23.3</v>
      </c>
      <c r="AS41" s="6">
        <f t="shared" si="77"/>
        <v>23.3</v>
      </c>
      <c r="AT41" s="6">
        <f t="shared" si="77"/>
        <v>23.3</v>
      </c>
      <c r="AU41" s="6">
        <f t="shared" si="77"/>
        <v>23.3</v>
      </c>
      <c r="AV41" s="6">
        <f t="shared" si="77"/>
        <v>23.3</v>
      </c>
      <c r="AW41" s="6">
        <f t="shared" si="77"/>
        <v>23.3</v>
      </c>
      <c r="AX41" s="6">
        <f t="shared" si="77"/>
        <v>23.3</v>
      </c>
      <c r="AY41" s="6">
        <f t="shared" si="77"/>
        <v>23.3</v>
      </c>
      <c r="AZ41" s="6"/>
    </row>
    <row r="42" spans="1:88">
      <c r="A42" s="3"/>
      <c r="B42" t="s">
        <v>124</v>
      </c>
      <c r="G42" s="40">
        <f t="shared" si="68"/>
        <v>0</v>
      </c>
      <c r="H42" s="40">
        <f t="shared" si="69"/>
        <v>-331.64100000000002</v>
      </c>
      <c r="I42" s="40">
        <f t="shared" si="70"/>
        <v>-486.9</v>
      </c>
      <c r="J42" s="40">
        <f t="shared" si="71"/>
        <v>-563.1</v>
      </c>
      <c r="K42" s="40">
        <f t="shared" si="72"/>
        <v>-479.1</v>
      </c>
      <c r="L42" s="40">
        <f t="shared" ca="1" si="73"/>
        <v>-399.51759307955786</v>
      </c>
      <c r="M42" s="40">
        <f t="shared" ca="1" si="74"/>
        <v>-304.33597135523883</v>
      </c>
      <c r="N42" s="40">
        <f t="shared" ca="1" si="75"/>
        <v>-217.83982918704615</v>
      </c>
      <c r="T42" s="6"/>
      <c r="U42" s="6"/>
      <c r="V42" s="6"/>
      <c r="W42" s="6"/>
      <c r="X42" s="19"/>
      <c r="Y42" s="6"/>
      <c r="Z42" s="19">
        <v>-257.99200000000002</v>
      </c>
      <c r="AA42" s="19">
        <v>-331.64100000000002</v>
      </c>
      <c r="AB42" s="19">
        <v>-442.1</v>
      </c>
      <c r="AC42" s="19">
        <v>-438.3</v>
      </c>
      <c r="AD42" s="19">
        <v>-492</v>
      </c>
      <c r="AE42" s="19">
        <v>-486.9</v>
      </c>
      <c r="AF42" s="19">
        <v>-502.1</v>
      </c>
      <c r="AG42" s="19">
        <v>-512.9</v>
      </c>
      <c r="AH42" s="19">
        <v>-532.20000000000005</v>
      </c>
      <c r="AI42" s="19">
        <v>-563.1</v>
      </c>
      <c r="AJ42" s="19">
        <v>-549.1</v>
      </c>
      <c r="AK42" s="19">
        <v>-529.29999999999995</v>
      </c>
      <c r="AL42" s="19">
        <v>-502.3</v>
      </c>
      <c r="AM42" s="19">
        <v>-479.1</v>
      </c>
      <c r="AN42" s="19">
        <v>-455.9</v>
      </c>
      <c r="AO42" s="19">
        <v>-444.4</v>
      </c>
      <c r="AP42" s="6">
        <f t="shared" ref="AP42:AY42" ca="1" si="78">+AO42+AP53</f>
        <v>-422.54052587234673</v>
      </c>
      <c r="AQ42" s="6">
        <f t="shared" ca="1" si="78"/>
        <v>-399.51759307955786</v>
      </c>
      <c r="AR42" s="6">
        <f t="shared" ca="1" si="78"/>
        <v>-375.8881216138285</v>
      </c>
      <c r="AS42" s="6">
        <f t="shared" ca="1" si="78"/>
        <v>-351.93889318790855</v>
      </c>
      <c r="AT42" s="6">
        <f t="shared" ca="1" si="78"/>
        <v>-327.97861378604296</v>
      </c>
      <c r="AU42" s="6">
        <f t="shared" ca="1" si="78"/>
        <v>-304.33597135523883</v>
      </c>
      <c r="AV42" s="6">
        <f t="shared" ca="1" si="78"/>
        <v>-281.33162973727002</v>
      </c>
      <c r="AW42" s="6">
        <f t="shared" ca="1" si="78"/>
        <v>-259.27855693936783</v>
      </c>
      <c r="AX42" s="6">
        <f t="shared" ca="1" si="78"/>
        <v>-238.48247370643517</v>
      </c>
      <c r="AY42" s="6">
        <f t="shared" ca="1" si="78"/>
        <v>-217.83982918704615</v>
      </c>
      <c r="AZ42" s="6"/>
    </row>
    <row r="43" spans="1:88">
      <c r="A43" s="3"/>
      <c r="B43" t="s">
        <v>125</v>
      </c>
      <c r="G43" s="40">
        <f t="shared" si="68"/>
        <v>0</v>
      </c>
      <c r="H43" s="40">
        <f t="shared" si="69"/>
        <v>-22.05</v>
      </c>
      <c r="I43" s="40">
        <f t="shared" si="70"/>
        <v>0</v>
      </c>
      <c r="J43" s="40">
        <f t="shared" si="71"/>
        <v>0</v>
      </c>
      <c r="K43" s="40">
        <f t="shared" si="72"/>
        <v>0</v>
      </c>
      <c r="L43" s="40">
        <f t="shared" si="73"/>
        <v>0</v>
      </c>
      <c r="M43" s="40">
        <f t="shared" si="74"/>
        <v>0</v>
      </c>
      <c r="N43" s="40">
        <f t="shared" si="75"/>
        <v>0</v>
      </c>
      <c r="T43" s="6"/>
      <c r="U43" s="6"/>
      <c r="V43" s="6"/>
      <c r="W43" s="6"/>
      <c r="X43" s="6"/>
      <c r="Y43" s="6"/>
      <c r="Z43" s="19">
        <v>-13</v>
      </c>
      <c r="AA43" s="19">
        <v>-22.05</v>
      </c>
      <c r="AB43" s="19">
        <v>-22</v>
      </c>
      <c r="AC43" s="19"/>
      <c r="AD43" s="19"/>
      <c r="AE43" s="19"/>
      <c r="AF43" s="19"/>
      <c r="AG43" s="19"/>
      <c r="AH43" s="19"/>
      <c r="AI43" s="19"/>
      <c r="AJ43" s="19"/>
      <c r="AK43" s="19"/>
      <c r="AL43" s="19"/>
      <c r="AM43" s="19"/>
      <c r="AN43" s="19"/>
      <c r="AO43" s="19"/>
      <c r="AP43" s="6">
        <f t="shared" ref="AP43:AY43" si="79">+AO43</f>
        <v>0</v>
      </c>
      <c r="AQ43" s="6">
        <f t="shared" si="79"/>
        <v>0</v>
      </c>
      <c r="AR43" s="6">
        <f t="shared" si="79"/>
        <v>0</v>
      </c>
      <c r="AS43" s="6">
        <f t="shared" si="79"/>
        <v>0</v>
      </c>
      <c r="AT43" s="6">
        <f t="shared" si="79"/>
        <v>0</v>
      </c>
      <c r="AU43" s="6">
        <f t="shared" si="79"/>
        <v>0</v>
      </c>
      <c r="AV43" s="6">
        <f t="shared" si="79"/>
        <v>0</v>
      </c>
      <c r="AW43" s="6">
        <f t="shared" si="79"/>
        <v>0</v>
      </c>
      <c r="AX43" s="6">
        <f t="shared" si="79"/>
        <v>0</v>
      </c>
      <c r="AY43" s="6">
        <f t="shared" si="79"/>
        <v>0</v>
      </c>
      <c r="AZ43" s="6"/>
    </row>
    <row r="44" spans="1:88">
      <c r="A44" s="3"/>
      <c r="B44" t="s">
        <v>119</v>
      </c>
      <c r="G44" s="40">
        <f t="shared" si="68"/>
        <v>606.25290463390252</v>
      </c>
      <c r="H44" s="40">
        <f t="shared" si="69"/>
        <v>416.38499999999999</v>
      </c>
      <c r="I44" s="40">
        <f t="shared" si="70"/>
        <v>1211.1999999999998</v>
      </c>
      <c r="J44" s="40">
        <f t="shared" si="71"/>
        <v>1219.1999999999998</v>
      </c>
      <c r="K44" s="40">
        <f t="shared" si="72"/>
        <v>1410.5</v>
      </c>
      <c r="L44" s="40">
        <f t="shared" ca="1" si="73"/>
        <v>1555.1824069204422</v>
      </c>
      <c r="M44" s="40">
        <f t="shared" ca="1" si="74"/>
        <v>1650.3640286447612</v>
      </c>
      <c r="N44" s="40">
        <f t="shared" ca="1" si="75"/>
        <v>1736.8601708129538</v>
      </c>
      <c r="T44" s="19">
        <v>641.46800100008068</v>
      </c>
      <c r="U44" s="19">
        <v>611.54500666155991</v>
      </c>
      <c r="V44" s="19">
        <v>586.44739005087285</v>
      </c>
      <c r="W44" s="18">
        <f>+SUM(W39:W43)</f>
        <v>606.25290463390252</v>
      </c>
      <c r="X44" s="19">
        <v>590.40948068450393</v>
      </c>
      <c r="Y44" s="19">
        <v>557.68853157059891</v>
      </c>
      <c r="Z44" s="18">
        <f t="shared" ref="Z44:AE44" si="80">SUM(Z39:Z43)</f>
        <v>517.31899999999996</v>
      </c>
      <c r="AA44" s="18">
        <f t="shared" si="80"/>
        <v>416.38499999999999</v>
      </c>
      <c r="AB44" s="18">
        <f t="shared" si="80"/>
        <v>293.70000000000005</v>
      </c>
      <c r="AC44" s="18">
        <f t="shared" si="80"/>
        <v>1075.0000000000002</v>
      </c>
      <c r="AD44" s="18">
        <f t="shared" si="80"/>
        <v>1150.3000000000002</v>
      </c>
      <c r="AE44" s="18">
        <f t="shared" si="80"/>
        <v>1211.1999999999998</v>
      </c>
      <c r="AF44" s="18">
        <f t="shared" ref="AF44:AK44" si="81">SUM(AF39:AF43)</f>
        <v>1243.5</v>
      </c>
      <c r="AG44" s="18">
        <f t="shared" si="81"/>
        <v>1248.3000000000002</v>
      </c>
      <c r="AH44" s="18">
        <f t="shared" si="81"/>
        <v>1226.2</v>
      </c>
      <c r="AI44" s="18">
        <f t="shared" si="81"/>
        <v>1219.1999999999998</v>
      </c>
      <c r="AJ44" s="18">
        <f t="shared" si="81"/>
        <v>1255.9000000000001</v>
      </c>
      <c r="AK44" s="18">
        <f t="shared" si="81"/>
        <v>1287.5</v>
      </c>
      <c r="AL44" s="18">
        <f t="shared" ref="AL44" si="82">SUM(AL39:AL43)</f>
        <v>1345</v>
      </c>
      <c r="AM44" s="18">
        <f t="shared" ref="AM44:AN44" si="83">SUM(AM39:AM43)</f>
        <v>1410.5</v>
      </c>
      <c r="AN44" s="18">
        <f t="shared" si="83"/>
        <v>1479.5</v>
      </c>
      <c r="AO44" s="18">
        <f t="shared" ref="AO44" si="84">SUM(AO39:AO43)</f>
        <v>1510.3000000000002</v>
      </c>
      <c r="AP44" s="18">
        <f t="shared" ref="AP44:AY44" ca="1" si="85">SUM(AP39:AP43)</f>
        <v>1532.1594741276533</v>
      </c>
      <c r="AQ44" s="18">
        <f t="shared" ca="1" si="85"/>
        <v>1555.1824069204422</v>
      </c>
      <c r="AR44" s="18">
        <f t="shared" ca="1" si="85"/>
        <v>1578.8118783861714</v>
      </c>
      <c r="AS44" s="18">
        <f t="shared" ca="1" si="85"/>
        <v>1602.7611068120914</v>
      </c>
      <c r="AT44" s="18">
        <f t="shared" ca="1" si="85"/>
        <v>1626.721386213957</v>
      </c>
      <c r="AU44" s="18">
        <f t="shared" ca="1" si="85"/>
        <v>1650.3640286447612</v>
      </c>
      <c r="AV44" s="18">
        <f t="shared" ca="1" si="85"/>
        <v>1673.36837026273</v>
      </c>
      <c r="AW44" s="18">
        <f t="shared" ca="1" si="85"/>
        <v>1695.4214430606321</v>
      </c>
      <c r="AX44" s="18">
        <f t="shared" ca="1" si="85"/>
        <v>1716.2175262935648</v>
      </c>
      <c r="AY44" s="18">
        <f t="shared" ca="1" si="85"/>
        <v>1736.8601708129538</v>
      </c>
      <c r="AZ44" s="18"/>
    </row>
    <row r="45" spans="1:88">
      <c r="A45" s="3"/>
      <c r="B45" s="7" t="s">
        <v>120</v>
      </c>
      <c r="G45" s="40">
        <f t="shared" si="68"/>
        <v>4251.2403479218601</v>
      </c>
      <c r="H45" s="40">
        <f t="shared" si="69"/>
        <v>5049.0660000000007</v>
      </c>
      <c r="I45" s="40">
        <f t="shared" si="70"/>
        <v>6094.5999999999985</v>
      </c>
      <c r="J45" s="40">
        <f t="shared" si="71"/>
        <v>6727.5</v>
      </c>
      <c r="K45" s="40">
        <f t="shared" si="72"/>
        <v>8739.4</v>
      </c>
      <c r="L45" s="40">
        <f t="shared" ca="1" si="73"/>
        <v>9061.8699882173551</v>
      </c>
      <c r="M45" s="40">
        <f t="shared" ca="1" si="74"/>
        <v>9319.2825559731464</v>
      </c>
      <c r="N45" s="40">
        <f t="shared" ca="1" si="75"/>
        <v>9586.9964084370149</v>
      </c>
      <c r="T45" s="6">
        <f>+T37+T44</f>
        <v>4090.5540803932522</v>
      </c>
      <c r="U45" s="6">
        <f t="shared" ref="U45:Z45" si="86">+U37+U44</f>
        <v>4144.7746019455753</v>
      </c>
      <c r="V45" s="6">
        <f t="shared" si="86"/>
        <v>4095.4165205180643</v>
      </c>
      <c r="W45" s="6">
        <f t="shared" si="86"/>
        <v>4251.2403479218601</v>
      </c>
      <c r="X45" s="6">
        <f t="shared" si="86"/>
        <v>4267.1703421213442</v>
      </c>
      <c r="Y45" s="6">
        <f t="shared" si="86"/>
        <v>4337.4281475276002</v>
      </c>
      <c r="Z45" s="6">
        <f t="shared" si="86"/>
        <v>4559.6665269517198</v>
      </c>
      <c r="AA45" s="6">
        <f t="shared" ref="AA45:AY45" si="87">+AA37+AA44</f>
        <v>5049.0660000000007</v>
      </c>
      <c r="AB45" s="6">
        <f t="shared" si="87"/>
        <v>5059.7</v>
      </c>
      <c r="AC45" s="6">
        <f t="shared" ref="AC45:AH45" si="88">+AC37+AC44</f>
        <v>5063.9000000000005</v>
      </c>
      <c r="AD45" s="6">
        <f t="shared" si="88"/>
        <v>6065.7999999999993</v>
      </c>
      <c r="AE45" s="6">
        <f t="shared" si="88"/>
        <v>6094.5999999999985</v>
      </c>
      <c r="AF45" s="6">
        <f t="shared" si="88"/>
        <v>6165.8999999999987</v>
      </c>
      <c r="AG45" s="6">
        <f t="shared" si="88"/>
        <v>6273.5000000000009</v>
      </c>
      <c r="AH45" s="6">
        <f t="shared" si="88"/>
        <v>6833.1999999999989</v>
      </c>
      <c r="AI45" s="6">
        <f t="shared" ref="AI45:AN45" si="89">+AI37+AI44</f>
        <v>6727.5</v>
      </c>
      <c r="AJ45" s="6">
        <f t="shared" si="89"/>
        <v>6834</v>
      </c>
      <c r="AK45" s="6">
        <f t="shared" si="89"/>
        <v>6867.7000000000007</v>
      </c>
      <c r="AL45" s="6">
        <f t="shared" si="89"/>
        <v>8548.4</v>
      </c>
      <c r="AM45" s="6">
        <f t="shared" si="89"/>
        <v>8739.4</v>
      </c>
      <c r="AN45" s="6">
        <f t="shared" si="89"/>
        <v>8862.4000000000015</v>
      </c>
      <c r="AO45" s="6">
        <f t="shared" ref="AO45" si="90">+AO37+AO44</f>
        <v>8935.9000000000015</v>
      </c>
      <c r="AP45" s="6">
        <f t="shared" ca="1" si="87"/>
        <v>8985.5550485358017</v>
      </c>
      <c r="AQ45" s="6">
        <f t="shared" ca="1" si="87"/>
        <v>9061.8699882173551</v>
      </c>
      <c r="AR45" s="6">
        <f t="shared" ca="1" si="87"/>
        <v>9124.7427344689586</v>
      </c>
      <c r="AS45" s="6">
        <f t="shared" ca="1" si="87"/>
        <v>9188.9498426294558</v>
      </c>
      <c r="AT45" s="6">
        <f t="shared" ca="1" si="87"/>
        <v>9253.9802526130188</v>
      </c>
      <c r="AU45" s="6">
        <f t="shared" ca="1" si="87"/>
        <v>9319.2825559731464</v>
      </c>
      <c r="AV45" s="6">
        <f t="shared" ca="1" si="87"/>
        <v>9384.4602896069573</v>
      </c>
      <c r="AW45" s="6">
        <f t="shared" ca="1" si="87"/>
        <v>9449.1262672974772</v>
      </c>
      <c r="AX45" s="6">
        <f t="shared" ca="1" si="87"/>
        <v>9512.9017608655959</v>
      </c>
      <c r="AY45" s="6">
        <f t="shared" ca="1" si="87"/>
        <v>9586.9964084370149</v>
      </c>
      <c r="AZ45" s="6"/>
    </row>
    <row r="46" spans="1:88">
      <c r="T46" s="6"/>
      <c r="U46" s="6"/>
      <c r="V46" s="6"/>
      <c r="W46" s="6"/>
      <c r="X46" s="6"/>
      <c r="Y46" s="6"/>
      <c r="Z46" s="6"/>
      <c r="AA46" s="6"/>
      <c r="AB46" s="6"/>
      <c r="AC46" s="6"/>
      <c r="AD46" s="6"/>
      <c r="AE46" s="6"/>
      <c r="AF46" s="6"/>
      <c r="AG46" s="6"/>
      <c r="AH46" s="6"/>
      <c r="AI46" s="6"/>
      <c r="AJ46" s="6"/>
      <c r="AK46" s="6"/>
      <c r="AL46" s="6"/>
      <c r="AM46" s="6"/>
      <c r="AN46" s="6"/>
      <c r="AO46" s="6"/>
    </row>
    <row r="47" spans="1:88" hidden="1" outlineLevel="1">
      <c r="B47" t="s">
        <v>75</v>
      </c>
      <c r="G47" s="46">
        <f>+G45-G19</f>
        <v>2.9999682737980038E-8</v>
      </c>
      <c r="H47" s="46">
        <f t="shared" ref="H47:N47" si="91">+H45-H19</f>
        <v>0</v>
      </c>
      <c r="I47" s="46">
        <f t="shared" si="91"/>
        <v>0</v>
      </c>
      <c r="J47" s="46">
        <f t="shared" si="91"/>
        <v>0</v>
      </c>
      <c r="K47" s="46">
        <f t="shared" si="91"/>
        <v>0</v>
      </c>
      <c r="L47" s="46">
        <f t="shared" ca="1" si="91"/>
        <v>0</v>
      </c>
      <c r="M47" s="46">
        <f t="shared" ca="1" si="91"/>
        <v>0</v>
      </c>
      <c r="N47" s="46">
        <f t="shared" ca="1" si="91"/>
        <v>0</v>
      </c>
      <c r="T47" s="46">
        <f>+T45-T19</f>
        <v>-5.9117155615240335E-12</v>
      </c>
      <c r="U47" s="46">
        <f t="shared" ref="U47:Z47" si="92">+U45-U19</f>
        <v>-1.1922838893951848E-7</v>
      </c>
      <c r="V47" s="46">
        <f>+V45-V19</f>
        <v>-3.7334757507778704E-10</v>
      </c>
      <c r="W47" s="46">
        <f t="shared" si="92"/>
        <v>2.9999682737980038E-8</v>
      </c>
      <c r="X47" s="46">
        <f t="shared" si="92"/>
        <v>3.1828517035237383</v>
      </c>
      <c r="Y47" s="46">
        <f>+Y45-Y19</f>
        <v>-145.22869710642408</v>
      </c>
      <c r="Z47" s="46">
        <f t="shared" si="92"/>
        <v>0</v>
      </c>
      <c r="AA47" s="46">
        <f t="shared" ref="AA47:AF47" si="93">+AA45-AA19</f>
        <v>0</v>
      </c>
      <c r="AB47" s="46">
        <f t="shared" si="93"/>
        <v>0</v>
      </c>
      <c r="AC47" s="46">
        <f t="shared" si="93"/>
        <v>0</v>
      </c>
      <c r="AD47" s="46">
        <f t="shared" si="93"/>
        <v>0</v>
      </c>
      <c r="AE47" s="46">
        <f t="shared" si="93"/>
        <v>0</v>
      </c>
      <c r="AF47" s="46">
        <f t="shared" si="93"/>
        <v>0</v>
      </c>
      <c r="AG47" s="46">
        <f t="shared" ref="AG47:AL47" si="94">+AG45-AG19</f>
        <v>0</v>
      </c>
      <c r="AH47" s="46">
        <f t="shared" si="94"/>
        <v>0</v>
      </c>
      <c r="AI47" s="46">
        <f t="shared" si="94"/>
        <v>0</v>
      </c>
      <c r="AJ47" s="46">
        <f t="shared" si="94"/>
        <v>0</v>
      </c>
      <c r="AK47" s="46">
        <f t="shared" si="94"/>
        <v>0</v>
      </c>
      <c r="AL47" s="46">
        <f t="shared" si="94"/>
        <v>0</v>
      </c>
      <c r="AM47" s="46">
        <f t="shared" ref="AM47:AN47" si="95">+AM45-AM19</f>
        <v>0</v>
      </c>
      <c r="AN47" s="46">
        <f t="shared" si="95"/>
        <v>0</v>
      </c>
      <c r="AO47" s="46">
        <f t="shared" ref="AO47" si="96">+AO45-AO19</f>
        <v>0</v>
      </c>
      <c r="AP47" s="46">
        <f t="shared" ref="AP47:AY47" ca="1" si="97">+AP45-AP19</f>
        <v>0</v>
      </c>
      <c r="AQ47" s="46">
        <f t="shared" ca="1" si="97"/>
        <v>0</v>
      </c>
      <c r="AR47" s="46">
        <f t="shared" ca="1" si="97"/>
        <v>0</v>
      </c>
      <c r="AS47" s="46">
        <f t="shared" ca="1" si="97"/>
        <v>0</v>
      </c>
      <c r="AT47" s="46">
        <f t="shared" ca="1" si="97"/>
        <v>0</v>
      </c>
      <c r="AU47" s="46">
        <f t="shared" ca="1" si="97"/>
        <v>0</v>
      </c>
      <c r="AV47" s="46">
        <f t="shared" ca="1" si="97"/>
        <v>0</v>
      </c>
      <c r="AW47" s="46">
        <f t="shared" ca="1" si="97"/>
        <v>0</v>
      </c>
      <c r="AX47" s="46">
        <f t="shared" ca="1" si="97"/>
        <v>0</v>
      </c>
      <c r="AY47" s="46">
        <f t="shared" ca="1" si="97"/>
        <v>0</v>
      </c>
      <c r="AZ47" s="46"/>
    </row>
    <row r="48" spans="1:88" hidden="1" outlineLevel="1">
      <c r="H48" s="6"/>
      <c r="T48" s="6"/>
      <c r="U48" s="6"/>
      <c r="V48" s="6"/>
      <c r="W48" s="6"/>
      <c r="X48" s="6"/>
      <c r="Y48" s="6"/>
      <c r="Z48" s="6"/>
      <c r="AA48" s="6"/>
      <c r="AB48" s="6"/>
      <c r="AC48" s="6"/>
      <c r="AD48" s="6"/>
      <c r="AE48" s="6"/>
      <c r="AF48" s="6"/>
      <c r="AG48" s="6"/>
      <c r="AH48" s="6"/>
      <c r="AI48" s="6"/>
      <c r="AJ48" s="6"/>
      <c r="AK48" s="6"/>
      <c r="AL48" s="6"/>
      <c r="AM48" s="6"/>
      <c r="AN48" s="6"/>
      <c r="AO48" s="6"/>
    </row>
    <row r="49" spans="1:84" s="1" customFormat="1" hidden="1" outlineLevel="1">
      <c r="A49" s="49" t="s">
        <v>40</v>
      </c>
      <c r="B49" s="27" t="s">
        <v>81</v>
      </c>
      <c r="CA49"/>
      <c r="CB49"/>
      <c r="CC49"/>
      <c r="CD49"/>
      <c r="CE49"/>
      <c r="CF49"/>
    </row>
    <row r="50" spans="1:84" hidden="1" outlineLevel="1"/>
    <row r="51" spans="1:84" hidden="1" outlineLevel="1">
      <c r="B51" t="s">
        <v>31</v>
      </c>
      <c r="G51" s="6">
        <f>+SUM(T51:W51)</f>
        <v>1004.36266631321</v>
      </c>
      <c r="H51" s="6">
        <f>+SUM(X51:AA51)</f>
        <v>1123.1872215806145</v>
      </c>
      <c r="I51" s="6">
        <f>+SUM(AB51:AE51)</f>
        <v>1347.1</v>
      </c>
      <c r="J51" s="6">
        <f>+SUM(AF51:AI51)</f>
        <v>1721.7</v>
      </c>
      <c r="K51" s="6">
        <f>+SUM(AJ51:AM51)</f>
        <v>2199.8000000000002</v>
      </c>
      <c r="L51" s="6">
        <f ca="1">+SUM(AN51:AQ51)</f>
        <v>2607.6426124011377</v>
      </c>
      <c r="M51" s="6">
        <f ca="1">+SUM(AR51:AU51)</f>
        <v>2690.2027031106882</v>
      </c>
      <c r="N51" s="6">
        <f ca="1">+SUM(AV51:AY51)</f>
        <v>2797.5603594642562</v>
      </c>
      <c r="T51" s="41">
        <f>Rev!T35</f>
        <v>236.00767747572064</v>
      </c>
      <c r="U51" s="41">
        <f>Rev!U35</f>
        <v>250.02480987258627</v>
      </c>
      <c r="V51" s="41">
        <f>Rev!V35</f>
        <v>256.55395289598329</v>
      </c>
      <c r="W51" s="41">
        <f>Rev!W35</f>
        <v>261.77622606891981</v>
      </c>
      <c r="X51" s="41">
        <f>Rev!X35</f>
        <v>268.05077825707741</v>
      </c>
      <c r="Y51" s="41">
        <f>Rev!Y35</f>
        <v>276.97613063680853</v>
      </c>
      <c r="Z51" s="41">
        <f>Rev!Z35</f>
        <v>281.3929475507324</v>
      </c>
      <c r="AA51" s="41">
        <f>Rev!AA35</f>
        <v>296.76736513599604</v>
      </c>
      <c r="AB51" s="41">
        <f>Rev!AB35</f>
        <v>320.60000000000002</v>
      </c>
      <c r="AC51" s="41">
        <f>Rev!AC35</f>
        <v>323.89999999999998</v>
      </c>
      <c r="AD51" s="41">
        <f>Rev!AD35</f>
        <v>340.7</v>
      </c>
      <c r="AE51" s="41">
        <f>Rev!AE35</f>
        <v>361.9</v>
      </c>
      <c r="AF51" s="41">
        <f>Rev!AF35</f>
        <v>366.8</v>
      </c>
      <c r="AG51" s="41">
        <f>Rev!AG35</f>
        <v>369.6</v>
      </c>
      <c r="AH51" s="41">
        <f>Rev!AH35</f>
        <v>478</v>
      </c>
      <c r="AI51" s="41">
        <f>Rev!AI35</f>
        <v>507.3</v>
      </c>
      <c r="AJ51" s="41">
        <f>Rev!AJ35</f>
        <v>504.9</v>
      </c>
      <c r="AK51" s="41">
        <f>Rev!AK35</f>
        <v>506.7</v>
      </c>
      <c r="AL51" s="41">
        <f>Rev!AL35</f>
        <v>550.20000000000005</v>
      </c>
      <c r="AM51" s="41">
        <f>Rev!AM35</f>
        <v>638</v>
      </c>
      <c r="AN51" s="41">
        <f>Rev!AN35</f>
        <v>643.5</v>
      </c>
      <c r="AO51" s="41">
        <f>Rev!AO35</f>
        <v>653.5</v>
      </c>
      <c r="AP51" s="41">
        <f ca="1">Rev!AP35</f>
        <v>652.80480431086812</v>
      </c>
      <c r="AQ51" s="41">
        <f ca="1">Rev!AQ35</f>
        <v>657.83780809026939</v>
      </c>
      <c r="AR51" s="41">
        <f ca="1">Rev!AR35</f>
        <v>663.33243624668933</v>
      </c>
      <c r="AS51" s="41">
        <f ca="1">Rev!AS35</f>
        <v>669.26765209981852</v>
      </c>
      <c r="AT51" s="41">
        <f ca="1">Rev!AT35</f>
        <v>675.54210479847575</v>
      </c>
      <c r="AU51" s="41">
        <f ca="1">Rev!AU35</f>
        <v>682.06050996570434</v>
      </c>
      <c r="AV51" s="41">
        <f ca="1">Rev!AV35</f>
        <v>688.80079027866725</v>
      </c>
      <c r="AW51" s="41">
        <f ca="1">Rev!AW35</f>
        <v>695.74233631079085</v>
      </c>
      <c r="AX51" s="41">
        <f ca="1">Rev!AX35</f>
        <v>702.86557074145185</v>
      </c>
      <c r="AY51" s="41">
        <f ca="1">Rev!AY35</f>
        <v>710.15166213334624</v>
      </c>
    </row>
    <row r="52" spans="1:84" hidden="1" outlineLevel="1">
      <c r="B52" t="s">
        <v>164</v>
      </c>
      <c r="G52" s="6">
        <f>+SUM(T52:W52)</f>
        <v>313.63660448416323</v>
      </c>
      <c r="H52" s="6">
        <f>+SUM(X52:AA52)</f>
        <v>343.98573526298662</v>
      </c>
      <c r="I52" s="6">
        <f>+SUM(AB52:AE52)</f>
        <v>413.5</v>
      </c>
      <c r="J52" s="6">
        <f>+SUM(AF52:AI52)</f>
        <v>578.70000000000005</v>
      </c>
      <c r="K52" s="6">
        <f>+SUM(AJ52:AM52)</f>
        <v>782.9</v>
      </c>
      <c r="L52" s="6">
        <f ca="1">+SUM(AN52:AQ52)</f>
        <v>930.04044857670567</v>
      </c>
      <c r="M52" s="6">
        <f ca="1">+SUM(AR52:AU52)</f>
        <v>936.84712190573373</v>
      </c>
      <c r="N52" s="6">
        <f ca="1">+SUM(AV52:AY52)</f>
        <v>957.44375779973632</v>
      </c>
      <c r="T52" s="41">
        <f>IS!T9</f>
        <v>78.062713368308792</v>
      </c>
      <c r="U52" s="41">
        <f>IS!U9</f>
        <v>73.523740306161642</v>
      </c>
      <c r="V52" s="41">
        <f>IS!V9</f>
        <v>77.957693549915774</v>
      </c>
      <c r="W52" s="41">
        <f>IS!W9</f>
        <v>84.092457259777021</v>
      </c>
      <c r="X52" s="41">
        <f>IS!X9</f>
        <v>79.962105154915918</v>
      </c>
      <c r="Y52" s="41">
        <f>IS!Y9</f>
        <v>86.005363866164899</v>
      </c>
      <c r="Z52" s="41">
        <f>IS!Z9</f>
        <v>85.134182175978381</v>
      </c>
      <c r="AA52" s="41">
        <f>IS!AA9</f>
        <v>92.884084065927425</v>
      </c>
      <c r="AB52" s="41">
        <f>IS!AB9</f>
        <v>107.3</v>
      </c>
      <c r="AC52" s="41">
        <f>IS!AC9</f>
        <v>97.8</v>
      </c>
      <c r="AD52" s="41">
        <f>IS!AD9</f>
        <v>100.9</v>
      </c>
      <c r="AE52" s="41">
        <f>IS!AE9</f>
        <v>107.5</v>
      </c>
      <c r="AF52" s="41">
        <f>IS!AF9</f>
        <v>113</v>
      </c>
      <c r="AG52" s="41">
        <f>IS!AG9</f>
        <v>112.2</v>
      </c>
      <c r="AH52" s="41">
        <f>IS!AH9</f>
        <v>170.8</v>
      </c>
      <c r="AI52" s="41">
        <f>IS!AI9</f>
        <v>182.70000000000005</v>
      </c>
      <c r="AJ52" s="41">
        <f>IS!AJ9</f>
        <v>173.8</v>
      </c>
      <c r="AK52" s="41">
        <f>IS!AK9</f>
        <v>179.9</v>
      </c>
      <c r="AL52" s="41">
        <f>IS!AL9</f>
        <v>195</v>
      </c>
      <c r="AM52" s="41">
        <f>IS!AM9</f>
        <v>234.19999999999993</v>
      </c>
      <c r="AN52" s="41">
        <f>IS!AN9</f>
        <v>235.7</v>
      </c>
      <c r="AO52" s="41">
        <f>IS!AO9</f>
        <v>232</v>
      </c>
      <c r="AP52" s="41">
        <f ca="1">IS!AP9</f>
        <v>230.77399034536447</v>
      </c>
      <c r="AQ52" s="41">
        <f ca="1">IS!AQ9</f>
        <v>231.56645823134127</v>
      </c>
      <c r="AR52" s="41">
        <f ca="1">IS!AR9</f>
        <v>232.50563174803287</v>
      </c>
      <c r="AS52" s="41">
        <f ca="1">IS!AS9</f>
        <v>233.58209154288372</v>
      </c>
      <c r="AT52" s="41">
        <f ca="1">IS!AT9</f>
        <v>234.75863438730352</v>
      </c>
      <c r="AU52" s="41">
        <f ca="1">IS!AU9</f>
        <v>236.00076422751357</v>
      </c>
      <c r="AV52" s="41">
        <f ca="1">IS!AV9</f>
        <v>237.29977738631393</v>
      </c>
      <c r="AW52" s="41">
        <f ca="1">IS!AW9</f>
        <v>238.6476061557066</v>
      </c>
      <c r="AX52" s="41">
        <f ca="1">IS!AX9</f>
        <v>240.03665896028011</v>
      </c>
      <c r="AY52" s="41">
        <f ca="1">IS!AY9</f>
        <v>241.45971529743565</v>
      </c>
    </row>
    <row r="53" spans="1:84" hidden="1" outlineLevel="1">
      <c r="B53" t="s">
        <v>167</v>
      </c>
      <c r="G53" s="6">
        <f>+SUM(T53:W53)</f>
        <v>-137.21772875814926</v>
      </c>
      <c r="H53" s="6">
        <f>+SUM(X53:AA53)</f>
        <v>-179.29378825915967</v>
      </c>
      <c r="I53" s="6">
        <f>+SUM(AB53:AE53)</f>
        <v>-155.29999999999995</v>
      </c>
      <c r="J53" s="6">
        <f>+SUM(AF53:AI53)</f>
        <v>-76.199999999999989</v>
      </c>
      <c r="K53" s="6">
        <f>+SUM(AJ53:AM53)</f>
        <v>85.700000000000045</v>
      </c>
      <c r="L53" s="6">
        <f ca="1">+SUM(AN53:AQ53)</f>
        <v>79.582406920442111</v>
      </c>
      <c r="M53" s="6">
        <f ca="1">+SUM(AR53:AU53)</f>
        <v>95.181621724318973</v>
      </c>
      <c r="N53" s="6">
        <f ca="1">+SUM(AV53:AY53)</f>
        <v>86.496142168192691</v>
      </c>
      <c r="T53" s="41">
        <f>IS!T33</f>
        <v>-64.591826217654614</v>
      </c>
      <c r="U53" s="41">
        <f>IS!U33</f>
        <v>-32.146855679921941</v>
      </c>
      <c r="V53" s="41">
        <f>IS!V33</f>
        <v>-16.533002913269272</v>
      </c>
      <c r="W53" s="41">
        <f>IS!W33</f>
        <v>-23.946043947303437</v>
      </c>
      <c r="X53" s="41">
        <f>IS!X33</f>
        <v>-27.381616006839891</v>
      </c>
      <c r="Y53" s="41">
        <f>IS!Y33</f>
        <v>-36.797266819884292</v>
      </c>
      <c r="Z53" s="41">
        <f>IS!Z33</f>
        <v>-41.614593257953175</v>
      </c>
      <c r="AA53" s="41">
        <f>IS!AA33</f>
        <v>-73.500312174482318</v>
      </c>
      <c r="AB53" s="41">
        <f>IS!AB33</f>
        <v>-110.50000000000001</v>
      </c>
      <c r="AC53" s="41">
        <f>IS!AC33</f>
        <v>3.7999999999999687</v>
      </c>
      <c r="AD53" s="41">
        <f>IS!AD33</f>
        <v>-53.699999999999996</v>
      </c>
      <c r="AE53" s="41">
        <f>IS!AE33</f>
        <v>5.1000000000000689</v>
      </c>
      <c r="AF53" s="41">
        <f>IS!AF33</f>
        <v>-15.199999999999982</v>
      </c>
      <c r="AG53" s="41">
        <f>IS!AG33</f>
        <v>-10.799999999999978</v>
      </c>
      <c r="AH53" s="41">
        <f>IS!AH33</f>
        <v>-19.300000000000008</v>
      </c>
      <c r="AI53" s="41">
        <f>IS!AI33</f>
        <v>-30.90000000000002</v>
      </c>
      <c r="AJ53" s="41">
        <f>IS!AJ33</f>
        <v>15.700000000000005</v>
      </c>
      <c r="AK53" s="41">
        <f>IS!AK33</f>
        <v>19.799999999999958</v>
      </c>
      <c r="AL53" s="41">
        <f>IS!AL33</f>
        <v>27.000000000000043</v>
      </c>
      <c r="AM53" s="41">
        <f>IS!AM33</f>
        <v>23.200000000000031</v>
      </c>
      <c r="AN53" s="41">
        <f>IS!AN33</f>
        <v>23.200000000000017</v>
      </c>
      <c r="AO53" s="41">
        <f>IS!AO33</f>
        <v>11.499999999999979</v>
      </c>
      <c r="AP53" s="41">
        <f ca="1">IS!AP33</f>
        <v>21.859474127653222</v>
      </c>
      <c r="AQ53" s="41">
        <f ca="1">IS!AQ33</f>
        <v>23.0229327927889</v>
      </c>
      <c r="AR53" s="41">
        <f ca="1">IS!AR33</f>
        <v>23.629471465729338</v>
      </c>
      <c r="AS53" s="41">
        <f ca="1">IS!AS33</f>
        <v>23.949228425919941</v>
      </c>
      <c r="AT53" s="41">
        <f ca="1">IS!AT33</f>
        <v>23.960279401865563</v>
      </c>
      <c r="AU53" s="41">
        <f ca="1">IS!AU33</f>
        <v>23.642642430804138</v>
      </c>
      <c r="AV53" s="41">
        <f ca="1">IS!AV33</f>
        <v>23.004341617968802</v>
      </c>
      <c r="AW53" s="41">
        <f ca="1">IS!AW33</f>
        <v>22.053072797902185</v>
      </c>
      <c r="AX53" s="41">
        <f ca="1">IS!AX33</f>
        <v>20.796083232932666</v>
      </c>
      <c r="AY53" s="41">
        <f ca="1">IS!AY33</f>
        <v>20.642644519389034</v>
      </c>
    </row>
    <row r="54" spans="1:84" hidden="1" outlineLevel="1">
      <c r="B54" t="s">
        <v>161</v>
      </c>
      <c r="G54" s="6">
        <f t="shared" ref="G54:N54" si="98">+(G6*360)/G51</f>
        <v>25.404841079351623</v>
      </c>
      <c r="H54" s="6">
        <f t="shared" si="98"/>
        <v>18.923292209547729</v>
      </c>
      <c r="I54" s="6">
        <f t="shared" si="98"/>
        <v>23.517185064212011</v>
      </c>
      <c r="J54" s="6">
        <f t="shared" si="98"/>
        <v>31.029796131730265</v>
      </c>
      <c r="K54" s="6">
        <f t="shared" si="98"/>
        <v>31.355577779798161</v>
      </c>
      <c r="L54" s="6">
        <f t="shared" ca="1" si="98"/>
        <v>32.491680682478524</v>
      </c>
      <c r="M54" s="6">
        <f t="shared" ca="1" si="98"/>
        <v>32.654220148926747</v>
      </c>
      <c r="N54" s="6">
        <f t="shared" ca="1" si="98"/>
        <v>32.694376384920695</v>
      </c>
      <c r="T54" s="6">
        <f>+(T6*90)/T51</f>
        <v>30.358750488770397</v>
      </c>
      <c r="U54" s="6">
        <f t="shared" ref="U54:Z54" si="99">+(U6*90)/U51</f>
        <v>34.897996751363124</v>
      </c>
      <c r="V54" s="6">
        <f t="shared" si="99"/>
        <v>26.429090534088814</v>
      </c>
      <c r="W54" s="6">
        <f t="shared" si="99"/>
        <v>24.367829641072198</v>
      </c>
      <c r="X54" s="6">
        <f t="shared" si="99"/>
        <v>21.323942188308575</v>
      </c>
      <c r="Y54" s="6">
        <f t="shared" si="99"/>
        <v>19.230099135998859</v>
      </c>
      <c r="Z54" s="6">
        <f t="shared" si="99"/>
        <v>15.912122111858402</v>
      </c>
      <c r="AA54" s="6">
        <f t="shared" ref="AA54:AF54" si="100">+(AA6*90)/AA51</f>
        <v>17.904933709826889</v>
      </c>
      <c r="AB54" s="6">
        <f t="shared" si="100"/>
        <v>18.10667498440424</v>
      </c>
      <c r="AC54" s="6">
        <f t="shared" si="100"/>
        <v>19.950602037665949</v>
      </c>
      <c r="AD54" s="6">
        <f t="shared" si="100"/>
        <v>24.963310830642794</v>
      </c>
      <c r="AE54" s="6">
        <f t="shared" si="100"/>
        <v>21.884498480243163</v>
      </c>
      <c r="AF54" s="6">
        <f t="shared" si="100"/>
        <v>22.15648854961832</v>
      </c>
      <c r="AG54" s="6">
        <f t="shared" ref="AG54:AL54" si="101">+(AG6*90)/AG51</f>
        <v>17.995129870129873</v>
      </c>
      <c r="AH54" s="6">
        <f t="shared" si="101"/>
        <v>25.380753138075317</v>
      </c>
      <c r="AI54" s="6">
        <f t="shared" si="101"/>
        <v>26.327616794795979</v>
      </c>
      <c r="AJ54" s="6">
        <f t="shared" si="101"/>
        <v>26.452762923351159</v>
      </c>
      <c r="AK54" s="6">
        <f t="shared" si="101"/>
        <v>27.833037300177615</v>
      </c>
      <c r="AL54" s="6">
        <f t="shared" si="101"/>
        <v>31.030534351145036</v>
      </c>
      <c r="AM54" s="6">
        <f t="shared" ref="AM54:AN54" si="102">+(AM6*90)/AM51</f>
        <v>27.028213166144202</v>
      </c>
      <c r="AN54" s="6">
        <f t="shared" si="102"/>
        <v>31.566433566433567</v>
      </c>
      <c r="AO54" s="6">
        <f t="shared" ref="AO54" si="103">+(AO6*90)/AO51</f>
        <v>32.198928844682477</v>
      </c>
      <c r="AP54" s="22">
        <f t="shared" ref="AP54:AY54" si="104">+AO54</f>
        <v>32.198928844682477</v>
      </c>
      <c r="AQ54" s="22">
        <f t="shared" si="104"/>
        <v>32.198928844682477</v>
      </c>
      <c r="AR54" s="22">
        <f t="shared" si="104"/>
        <v>32.198928844682477</v>
      </c>
      <c r="AS54" s="22">
        <f t="shared" si="104"/>
        <v>32.198928844682477</v>
      </c>
      <c r="AT54" s="22">
        <f t="shared" si="104"/>
        <v>32.198928844682477</v>
      </c>
      <c r="AU54" s="22">
        <f t="shared" si="104"/>
        <v>32.198928844682477</v>
      </c>
      <c r="AV54" s="22">
        <f t="shared" si="104"/>
        <v>32.198928844682477</v>
      </c>
      <c r="AW54" s="22">
        <f t="shared" si="104"/>
        <v>32.198928844682477</v>
      </c>
      <c r="AX54" s="22">
        <f t="shared" si="104"/>
        <v>32.198928844682477</v>
      </c>
      <c r="AY54" s="22">
        <f t="shared" si="104"/>
        <v>32.198928844682477</v>
      </c>
    </row>
    <row r="55" spans="1:84" hidden="1" outlineLevel="1">
      <c r="B55" t="s">
        <v>162</v>
      </c>
      <c r="G55" s="2">
        <f t="shared" ref="G55:N55" si="105">+G8/G51</f>
        <v>1.9838224744700404E-2</v>
      </c>
      <c r="H55" s="2">
        <f t="shared" si="105"/>
        <v>2.2806527271519054E-2</v>
      </c>
      <c r="I55" s="2">
        <f t="shared" si="105"/>
        <v>2.7689109939870834E-2</v>
      </c>
      <c r="J55" s="2">
        <f t="shared" si="105"/>
        <v>3.996050415287216E-2</v>
      </c>
      <c r="K55" s="2">
        <f t="shared" si="105"/>
        <v>3.1048277116101461E-2</v>
      </c>
      <c r="L55" s="2">
        <f t="shared" ca="1" si="105"/>
        <v>2.6018668353757404E-2</v>
      </c>
      <c r="M55" s="2">
        <f t="shared" ca="1" si="105"/>
        <v>2.6148826609134861E-2</v>
      </c>
      <c r="N55" s="2">
        <f t="shared" ca="1" si="105"/>
        <v>2.6180982895443107E-2</v>
      </c>
      <c r="T55" s="2">
        <f t="shared" ref="T55:Z55" si="106">+T8/T51</f>
        <v>8.386999474108342E-2</v>
      </c>
      <c r="U55" s="2">
        <f t="shared" si="106"/>
        <v>5.6144153083618122E-2</v>
      </c>
      <c r="V55" s="2">
        <f t="shared" si="106"/>
        <v>7.631627138978124E-2</v>
      </c>
      <c r="W55" s="2">
        <f t="shared" si="106"/>
        <v>7.6113757917276453E-2</v>
      </c>
      <c r="X55" s="2">
        <f t="shared" si="106"/>
        <v>7.0345579650776979E-2</v>
      </c>
      <c r="Y55" s="2">
        <f t="shared" si="106"/>
        <v>6.797012722635716E-2</v>
      </c>
      <c r="Z55" s="2">
        <f t="shared" si="106"/>
        <v>7.6456960241976749E-2</v>
      </c>
      <c r="AA55" s="2">
        <f t="shared" ref="AA55:AF55" si="107">+AA8/AA51</f>
        <v>8.6316768652312095E-2</v>
      </c>
      <c r="AB55" s="2">
        <f t="shared" si="107"/>
        <v>8.9831565814098555E-2</v>
      </c>
      <c r="AC55" s="2">
        <f t="shared" si="107"/>
        <v>8.0889163322012972E-2</v>
      </c>
      <c r="AD55" s="2">
        <f t="shared" si="107"/>
        <v>0.10625183445846788</v>
      </c>
      <c r="AE55" s="2">
        <f t="shared" si="107"/>
        <v>0.10306714562033711</v>
      </c>
      <c r="AF55" s="2">
        <f t="shared" si="107"/>
        <v>9.5147219193020716E-2</v>
      </c>
      <c r="AG55" s="2">
        <f t="shared" ref="AG55:AL55" si="108">+AG8/AG51</f>
        <v>9.1450216450216434E-2</v>
      </c>
      <c r="AH55" s="2">
        <f t="shared" si="108"/>
        <v>0.12133891213389121</v>
      </c>
      <c r="AI55" s="2">
        <f t="shared" si="108"/>
        <v>0.13561994874827518</v>
      </c>
      <c r="AJ55" s="2">
        <f t="shared" si="108"/>
        <v>0.12418300653594773</v>
      </c>
      <c r="AK55" s="2">
        <f t="shared" si="108"/>
        <v>0.10440102624827315</v>
      </c>
      <c r="AL55" s="2">
        <f t="shared" si="108"/>
        <v>0.13158851326790258</v>
      </c>
      <c r="AM55" s="2">
        <f t="shared" ref="AM55:AN55" si="109">+AM8/AM51</f>
        <v>0.10705329153605016</v>
      </c>
      <c r="AN55" s="2">
        <f t="shared" si="109"/>
        <v>0.10427350427350426</v>
      </c>
      <c r="AO55" s="2">
        <f t="shared" ref="AO55" si="110">+AO8/AO51</f>
        <v>0.10313695485845449</v>
      </c>
      <c r="AP55" s="31">
        <f t="shared" ref="AP55:AY55" si="111">+AO55</f>
        <v>0.10313695485845449</v>
      </c>
      <c r="AQ55" s="31">
        <f t="shared" si="111"/>
        <v>0.10313695485845449</v>
      </c>
      <c r="AR55" s="31">
        <f t="shared" si="111"/>
        <v>0.10313695485845449</v>
      </c>
      <c r="AS55" s="31">
        <f t="shared" si="111"/>
        <v>0.10313695485845449</v>
      </c>
      <c r="AT55" s="31">
        <f t="shared" si="111"/>
        <v>0.10313695485845449</v>
      </c>
      <c r="AU55" s="31">
        <f t="shared" si="111"/>
        <v>0.10313695485845449</v>
      </c>
      <c r="AV55" s="31">
        <f t="shared" si="111"/>
        <v>0.10313695485845449</v>
      </c>
      <c r="AW55" s="31">
        <f t="shared" si="111"/>
        <v>0.10313695485845449</v>
      </c>
      <c r="AX55" s="31">
        <f t="shared" si="111"/>
        <v>0.10313695485845449</v>
      </c>
      <c r="AY55" s="31">
        <f t="shared" si="111"/>
        <v>0.10313695485845449</v>
      </c>
    </row>
    <row r="56" spans="1:84" hidden="1" outlineLevel="1">
      <c r="B56" t="s">
        <v>175</v>
      </c>
      <c r="G56" s="2">
        <f t="shared" ref="G56:N56" si="112">+G18/G51</f>
        <v>0.10105613051076534</v>
      </c>
      <c r="H56" s="2">
        <f t="shared" si="112"/>
        <v>3.5376114717619388E-2</v>
      </c>
      <c r="I56" s="2">
        <f t="shared" si="112"/>
        <v>4.0679979214609162E-2</v>
      </c>
      <c r="J56" s="2">
        <f t="shared" si="112"/>
        <v>5.4887611082070048E-2</v>
      </c>
      <c r="K56" s="2">
        <f t="shared" si="112"/>
        <v>6.4414946813346655E-2</v>
      </c>
      <c r="L56" s="2">
        <f t="shared" ca="1" si="112"/>
        <v>5.6515327106677789E-2</v>
      </c>
      <c r="M56" s="2">
        <f t="shared" ca="1" si="112"/>
        <v>5.6798044741503614E-2</v>
      </c>
      <c r="N56" s="2">
        <f t="shared" ca="1" si="112"/>
        <v>5.6867891630458023E-2</v>
      </c>
      <c r="T56" s="2">
        <f t="shared" ref="T56:AA56" si="113">+T18/T51</f>
        <v>0.16153291403145101</v>
      </c>
      <c r="U56" s="2">
        <f t="shared" si="113"/>
        <v>0.11204898379683832</v>
      </c>
      <c r="V56" s="2">
        <f t="shared" si="113"/>
        <v>0.10268428703497266</v>
      </c>
      <c r="W56" s="2">
        <f t="shared" si="113"/>
        <v>0.38772430258951829</v>
      </c>
      <c r="X56" s="2">
        <f t="shared" si="113"/>
        <v>0.38534735393214153</v>
      </c>
      <c r="Y56" s="2">
        <f t="shared" si="113"/>
        <v>0.36881535831527151</v>
      </c>
      <c r="Z56" s="2">
        <f t="shared" si="113"/>
        <v>0.38242052624035966</v>
      </c>
      <c r="AA56" s="2">
        <f t="shared" si="113"/>
        <v>0.13388938497934763</v>
      </c>
      <c r="AB56" s="2">
        <f t="shared" ref="AB56:AG56" si="114">+AB18/AB51</f>
        <v>0.13942607610729882</v>
      </c>
      <c r="AC56" s="2">
        <f t="shared" si="114"/>
        <v>0.13090460018524236</v>
      </c>
      <c r="AD56" s="2">
        <f t="shared" si="114"/>
        <v>0.17229233930143822</v>
      </c>
      <c r="AE56" s="2">
        <f t="shared" si="114"/>
        <v>0.15142304504006632</v>
      </c>
      <c r="AF56" s="2">
        <f t="shared" si="114"/>
        <v>0.17366412213740459</v>
      </c>
      <c r="AG56" s="2">
        <f t="shared" si="114"/>
        <v>0.19588744588744589</v>
      </c>
      <c r="AH56" s="2">
        <f t="shared" ref="AH56:AM56" si="115">+AH18/AH51</f>
        <v>0.18765690376569039</v>
      </c>
      <c r="AI56" s="2">
        <f t="shared" si="115"/>
        <v>0.18628030751034891</v>
      </c>
      <c r="AJ56" s="2">
        <f t="shared" si="115"/>
        <v>0.22697563874034463</v>
      </c>
      <c r="AK56" s="2">
        <f t="shared" si="115"/>
        <v>0.22182751134793766</v>
      </c>
      <c r="AL56" s="2">
        <f t="shared" si="115"/>
        <v>0.23591421301344967</v>
      </c>
      <c r="AM56" s="2">
        <f t="shared" si="115"/>
        <v>0.22210031347962381</v>
      </c>
      <c r="AN56" s="2">
        <f t="shared" ref="AN56:AO56" si="116">+AN18/AN51</f>
        <v>0.22937062937062935</v>
      </c>
      <c r="AO56" s="2">
        <f t="shared" si="116"/>
        <v>0.22402448355011478</v>
      </c>
      <c r="AP56" s="31">
        <f t="shared" ref="AP56:AY56" si="117">+AO56</f>
        <v>0.22402448355011478</v>
      </c>
      <c r="AQ56" s="31">
        <f t="shared" si="117"/>
        <v>0.22402448355011478</v>
      </c>
      <c r="AR56" s="31">
        <f t="shared" si="117"/>
        <v>0.22402448355011478</v>
      </c>
      <c r="AS56" s="31">
        <f t="shared" si="117"/>
        <v>0.22402448355011478</v>
      </c>
      <c r="AT56" s="31">
        <f t="shared" si="117"/>
        <v>0.22402448355011478</v>
      </c>
      <c r="AU56" s="31">
        <f t="shared" si="117"/>
        <v>0.22402448355011478</v>
      </c>
      <c r="AV56" s="31">
        <f t="shared" si="117"/>
        <v>0.22402448355011478</v>
      </c>
      <c r="AW56" s="31">
        <f t="shared" si="117"/>
        <v>0.22402448355011478</v>
      </c>
      <c r="AX56" s="31">
        <f t="shared" si="117"/>
        <v>0.22402448355011478</v>
      </c>
      <c r="AY56" s="31">
        <f t="shared" si="117"/>
        <v>0.22402448355011478</v>
      </c>
    </row>
    <row r="57" spans="1:84" hidden="1" outlineLevel="1">
      <c r="B57" t="s">
        <v>163</v>
      </c>
      <c r="G57" s="6">
        <f t="shared" ref="G57:N57" si="118">+G22*360/G52</f>
        <v>38.486356872380632</v>
      </c>
      <c r="H57" s="6">
        <f t="shared" si="118"/>
        <v>28.27268401861101</v>
      </c>
      <c r="I57" s="6">
        <f t="shared" si="118"/>
        <v>34.82466747279323</v>
      </c>
      <c r="J57" s="6">
        <f t="shared" si="118"/>
        <v>60.342146189735608</v>
      </c>
      <c r="K57" s="6">
        <f t="shared" si="118"/>
        <v>33.291608123642874</v>
      </c>
      <c r="L57" s="6">
        <f t="shared" ca="1" si="118"/>
        <v>16.497426691363817</v>
      </c>
      <c r="M57" s="6">
        <f t="shared" ca="1" si="118"/>
        <v>16.691181254429878</v>
      </c>
      <c r="N57" s="6">
        <f t="shared" ca="1" si="118"/>
        <v>16.70989816100645</v>
      </c>
      <c r="T57" s="6">
        <f t="shared" ref="T57:AA57" si="119">+T22*90/T52</f>
        <v>13.611132916527511</v>
      </c>
      <c r="U57" s="6">
        <f t="shared" si="119"/>
        <v>37.972740273068723</v>
      </c>
      <c r="V57" s="6">
        <f t="shared" si="119"/>
        <v>16.265392971025499</v>
      </c>
      <c r="W57" s="6">
        <f t="shared" si="119"/>
        <v>35.885294239679851</v>
      </c>
      <c r="X57" s="6">
        <f t="shared" si="119"/>
        <v>23.554050797367864</v>
      </c>
      <c r="Y57" s="6">
        <f t="shared" si="119"/>
        <v>11.122189192686394</v>
      </c>
      <c r="Z57" s="6">
        <f t="shared" si="119"/>
        <v>22.041011468022432</v>
      </c>
      <c r="AA57" s="6">
        <f t="shared" si="119"/>
        <v>26.176174577705606</v>
      </c>
      <c r="AB57" s="6">
        <f t="shared" ref="AB57:AG57" si="120">+AB22*90/AB52</f>
        <v>23.904939422180803</v>
      </c>
      <c r="AC57" s="6">
        <f t="shared" si="120"/>
        <v>28.987730061349694</v>
      </c>
      <c r="AD57" s="6">
        <f t="shared" si="120"/>
        <v>31.040634291377597</v>
      </c>
      <c r="AE57" s="6">
        <f t="shared" si="120"/>
        <v>33.488372093023258</v>
      </c>
      <c r="AF57" s="6">
        <f t="shared" si="120"/>
        <v>28.991150442477878</v>
      </c>
      <c r="AG57" s="6">
        <f t="shared" si="120"/>
        <v>53.101604278074866</v>
      </c>
      <c r="AH57" s="6">
        <f t="shared" ref="AH57:AM57" si="121">+AH22*90/AH52</f>
        <v>39.572599531615914</v>
      </c>
      <c r="AI57" s="6">
        <f t="shared" si="121"/>
        <v>47.783251231527082</v>
      </c>
      <c r="AJ57" s="6">
        <f t="shared" si="121"/>
        <v>29.050632911392402</v>
      </c>
      <c r="AK57" s="6">
        <f t="shared" si="121"/>
        <v>19.961089494163424</v>
      </c>
      <c r="AL57" s="6">
        <f t="shared" si="121"/>
        <v>23.169230769230769</v>
      </c>
      <c r="AM57" s="6">
        <f t="shared" si="121"/>
        <v>27.822374039282675</v>
      </c>
      <c r="AN57" s="6">
        <f t="shared" ref="AN57:AO57" si="122">+AN22*90/AN52</f>
        <v>24.896054306321595</v>
      </c>
      <c r="AO57" s="6">
        <f t="shared" si="122"/>
        <v>16.564655172413794</v>
      </c>
      <c r="AP57" s="22">
        <f t="shared" ref="AP57:AY57" si="123">+AO57</f>
        <v>16.564655172413794</v>
      </c>
      <c r="AQ57" s="22">
        <f t="shared" si="123"/>
        <v>16.564655172413794</v>
      </c>
      <c r="AR57" s="22">
        <f t="shared" si="123"/>
        <v>16.564655172413794</v>
      </c>
      <c r="AS57" s="22">
        <f t="shared" si="123"/>
        <v>16.564655172413794</v>
      </c>
      <c r="AT57" s="22">
        <f t="shared" si="123"/>
        <v>16.564655172413794</v>
      </c>
      <c r="AU57" s="22">
        <f t="shared" si="123"/>
        <v>16.564655172413794</v>
      </c>
      <c r="AV57" s="22">
        <f t="shared" si="123"/>
        <v>16.564655172413794</v>
      </c>
      <c r="AW57" s="22">
        <f t="shared" si="123"/>
        <v>16.564655172413794</v>
      </c>
      <c r="AX57" s="22">
        <f t="shared" si="123"/>
        <v>16.564655172413794</v>
      </c>
      <c r="AY57" s="22">
        <f t="shared" si="123"/>
        <v>16.564655172413794</v>
      </c>
    </row>
    <row r="58" spans="1:84" hidden="1" outlineLevel="1">
      <c r="B58" t="s">
        <v>165</v>
      </c>
      <c r="G58" s="2">
        <f t="shared" ref="G58:N58" si="124">+G24/G51</f>
        <v>0.17096950105437675</v>
      </c>
      <c r="H58" s="2">
        <f t="shared" si="124"/>
        <v>0.14472297839290651</v>
      </c>
      <c r="I58" s="2">
        <f t="shared" si="124"/>
        <v>0.13525350753470419</v>
      </c>
      <c r="J58" s="2">
        <f t="shared" si="124"/>
        <v>0.13109136318754719</v>
      </c>
      <c r="K58" s="2">
        <f t="shared" si="124"/>
        <v>0.14792253841258293</v>
      </c>
      <c r="L58" s="2">
        <f t="shared" ca="1" si="124"/>
        <v>0.12758412301063532</v>
      </c>
      <c r="M58" s="2">
        <f t="shared" ca="1" si="124"/>
        <v>0.12822236193351738</v>
      </c>
      <c r="N58" s="2">
        <f t="shared" ca="1" si="124"/>
        <v>0.1283800422395244</v>
      </c>
      <c r="T58" s="2">
        <f t="shared" ref="T58:AA58" si="125">+T24/T51</f>
        <v>0.8326455499976525</v>
      </c>
      <c r="U58" s="2">
        <f t="shared" si="125"/>
        <v>0.79115370044892275</v>
      </c>
      <c r="V58" s="2">
        <f t="shared" si="125"/>
        <v>0.65109742749912725</v>
      </c>
      <c r="W58" s="2">
        <f t="shared" si="125"/>
        <v>0.65596248565369797</v>
      </c>
      <c r="X58" s="2">
        <f t="shared" si="125"/>
        <v>0.51712214718655125</v>
      </c>
      <c r="Y58" s="2">
        <f t="shared" si="125"/>
        <v>0.60106755717091598</v>
      </c>
      <c r="Z58" s="2">
        <f t="shared" si="125"/>
        <v>0.51586956163782915</v>
      </c>
      <c r="AA58" s="2">
        <f t="shared" si="125"/>
        <v>0.54773879845416862</v>
      </c>
      <c r="AB58" s="2">
        <f t="shared" ref="AB58:AG58" si="126">+AB24/AB51</f>
        <v>0.51185277604491575</v>
      </c>
      <c r="AC58" s="2">
        <f t="shared" si="126"/>
        <v>0.50138931769064532</v>
      </c>
      <c r="AD58" s="2">
        <f t="shared" si="126"/>
        <v>0.5327267390666276</v>
      </c>
      <c r="AE58" s="2">
        <f t="shared" si="126"/>
        <v>0.50345399281569492</v>
      </c>
      <c r="AF58" s="2">
        <f t="shared" si="126"/>
        <v>0.49127589967284618</v>
      </c>
      <c r="AG58" s="2">
        <f t="shared" si="126"/>
        <v>0.49296536796536788</v>
      </c>
      <c r="AH58" s="2">
        <f t="shared" ref="AH58:AM58" si="127">+AH24/AH51</f>
        <v>0.5031380753138075</v>
      </c>
      <c r="AI58" s="2">
        <f t="shared" si="127"/>
        <v>0.44490439582101315</v>
      </c>
      <c r="AJ58" s="2">
        <f t="shared" si="127"/>
        <v>0.50584274113685879</v>
      </c>
      <c r="AK58" s="2">
        <f t="shared" si="127"/>
        <v>0.51312413656996247</v>
      </c>
      <c r="AL58" s="2">
        <f t="shared" si="127"/>
        <v>0.519992729916394</v>
      </c>
      <c r="AM58" s="2">
        <f t="shared" si="127"/>
        <v>0.51003134796238236</v>
      </c>
      <c r="AN58" s="2">
        <f t="shared" ref="AN58:AO58" si="128">+AN24/AN51</f>
        <v>0.55617715617715613</v>
      </c>
      <c r="AO58" s="2">
        <f t="shared" si="128"/>
        <v>0.50573833205814844</v>
      </c>
      <c r="AP58" s="31">
        <f t="shared" ref="AP58:AY58" si="129">+AO58</f>
        <v>0.50573833205814844</v>
      </c>
      <c r="AQ58" s="31">
        <f t="shared" si="129"/>
        <v>0.50573833205814844</v>
      </c>
      <c r="AR58" s="31">
        <f t="shared" si="129"/>
        <v>0.50573833205814844</v>
      </c>
      <c r="AS58" s="31">
        <f t="shared" si="129"/>
        <v>0.50573833205814844</v>
      </c>
      <c r="AT58" s="31">
        <f t="shared" si="129"/>
        <v>0.50573833205814844</v>
      </c>
      <c r="AU58" s="31">
        <f t="shared" si="129"/>
        <v>0.50573833205814844</v>
      </c>
      <c r="AV58" s="31">
        <f t="shared" si="129"/>
        <v>0.50573833205814844</v>
      </c>
      <c r="AW58" s="31">
        <f t="shared" si="129"/>
        <v>0.50573833205814844</v>
      </c>
      <c r="AX58" s="31">
        <f t="shared" si="129"/>
        <v>0.50573833205814844</v>
      </c>
      <c r="AY58" s="31">
        <f t="shared" si="129"/>
        <v>0.50573833205814844</v>
      </c>
    </row>
    <row r="59" spans="1:84" hidden="1" outlineLevel="1">
      <c r="B59" t="s">
        <v>166</v>
      </c>
      <c r="G59" s="2">
        <f t="shared" ref="G59:N59" si="130">+G35/G51</f>
        <v>5.9659603156649007E-3</v>
      </c>
      <c r="H59" s="2">
        <f t="shared" si="130"/>
        <v>0.11893653830214269</v>
      </c>
      <c r="I59" s="2">
        <f t="shared" si="130"/>
        <v>0.1296859921312449</v>
      </c>
      <c r="J59" s="2">
        <f t="shared" si="130"/>
        <v>2.3987918917349131E-2</v>
      </c>
      <c r="K59" s="2">
        <f t="shared" si="130"/>
        <v>1.8274388580780072E-2</v>
      </c>
      <c r="L59" s="2">
        <f t="shared" ca="1" si="130"/>
        <v>5.9539900794388312E-2</v>
      </c>
      <c r="M59" s="2">
        <f t="shared" ca="1" si="130"/>
        <v>6.4908448602986751E-2</v>
      </c>
      <c r="N59" s="2">
        <f t="shared" ca="1" si="130"/>
        <v>7.0065204595928035E-2</v>
      </c>
      <c r="T59" s="2">
        <f t="shared" ref="T59:AA59" si="131">+T35/T51</f>
        <v>-4.2878308486557857E-3</v>
      </c>
      <c r="U59" s="2">
        <f t="shared" si="131"/>
        <v>7.6198838066145419E-4</v>
      </c>
      <c r="V59" s="2">
        <f t="shared" si="131"/>
        <v>-1.0726125904268161E-3</v>
      </c>
      <c r="W59" s="2">
        <f t="shared" si="131"/>
        <v>2.2889732577099815E-2</v>
      </c>
      <c r="X59" s="2">
        <f t="shared" si="131"/>
        <v>3.3995810087820169E-2</v>
      </c>
      <c r="Y59" s="2">
        <f t="shared" si="131"/>
        <v>5.9359141561923019E-2</v>
      </c>
      <c r="Z59" s="2">
        <f t="shared" si="131"/>
        <v>0.105450837924576</v>
      </c>
      <c r="AA59" s="2">
        <f t="shared" si="131"/>
        <v>0.45014383552174686</v>
      </c>
      <c r="AB59" s="2">
        <f t="shared" ref="AB59:AG59" si="132">+AB35/AB51</f>
        <v>0.45258889582033685</v>
      </c>
      <c r="AC59" s="2">
        <f t="shared" si="132"/>
        <v>0.42019141710404445</v>
      </c>
      <c r="AD59" s="2">
        <f t="shared" si="132"/>
        <v>0.57646022894041682</v>
      </c>
      <c r="AE59" s="2">
        <f t="shared" si="132"/>
        <v>0.4827300359215253</v>
      </c>
      <c r="AF59" s="2">
        <f t="shared" si="132"/>
        <v>0.45910577971646677</v>
      </c>
      <c r="AG59" s="2">
        <f t="shared" si="132"/>
        <v>0.46428571428571425</v>
      </c>
      <c r="AH59" s="2">
        <f t="shared" ref="AH59:AM59" si="133">+AH35/AH51</f>
        <v>0.35230125523012551</v>
      </c>
      <c r="AI59" s="2">
        <f t="shared" si="133"/>
        <v>8.1411393652670999E-2</v>
      </c>
      <c r="AJ59" s="2">
        <f t="shared" si="133"/>
        <v>8.8928500693206583E-2</v>
      </c>
      <c r="AK59" s="2">
        <f t="shared" si="133"/>
        <v>7.7363331359778964E-2</v>
      </c>
      <c r="AL59" s="2">
        <f t="shared" si="133"/>
        <v>7.2519083969465645E-2</v>
      </c>
      <c r="AM59" s="2">
        <f t="shared" si="133"/>
        <v>6.3009404388714732E-2</v>
      </c>
      <c r="AN59" s="2">
        <f t="shared" ref="AN59:AO59" si="134">+AN35/AN51</f>
        <v>6.2937062937062943E-2</v>
      </c>
      <c r="AO59" s="2">
        <f t="shared" si="134"/>
        <v>0.22601377199693953</v>
      </c>
      <c r="AP59" s="31">
        <f t="shared" ref="AP59:AY59" si="135">+AO59+0.005</f>
        <v>0.23101377199693954</v>
      </c>
      <c r="AQ59" s="31">
        <f t="shared" si="135"/>
        <v>0.23601377199693954</v>
      </c>
      <c r="AR59" s="31">
        <f t="shared" si="135"/>
        <v>0.24101377199693955</v>
      </c>
      <c r="AS59" s="31">
        <f t="shared" si="135"/>
        <v>0.24601377199693955</v>
      </c>
      <c r="AT59" s="31">
        <f t="shared" si="135"/>
        <v>0.25101377199693953</v>
      </c>
      <c r="AU59" s="31">
        <f t="shared" si="135"/>
        <v>0.25601377199693953</v>
      </c>
      <c r="AV59" s="31">
        <f t="shared" si="135"/>
        <v>0.26101377199693954</v>
      </c>
      <c r="AW59" s="31">
        <f t="shared" si="135"/>
        <v>0.26601377199693954</v>
      </c>
      <c r="AX59" s="31">
        <f t="shared" si="135"/>
        <v>0.27101377199693955</v>
      </c>
      <c r="AY59" s="31">
        <f t="shared" si="135"/>
        <v>0.27601377199693955</v>
      </c>
    </row>
    <row r="60" spans="1:84" hidden="1" outlineLevel="1">
      <c r="B60" t="s">
        <v>176</v>
      </c>
      <c r="G60" s="2">
        <f t="shared" ref="G60:N60" si="136">+G36/G51</f>
        <v>4.7513044986328114E-2</v>
      </c>
      <c r="H60" s="2">
        <f t="shared" si="136"/>
        <v>1.9889827422147708E-2</v>
      </c>
      <c r="I60" s="2">
        <f t="shared" si="136"/>
        <v>1.9820354836315047E-2</v>
      </c>
      <c r="J60" s="2">
        <f t="shared" si="136"/>
        <v>3.3106813033629549E-2</v>
      </c>
      <c r="K60" s="2">
        <f t="shared" si="136"/>
        <v>2.3820347304300389E-2</v>
      </c>
      <c r="L60" s="2">
        <f t="shared" ca="1" si="136"/>
        <v>1.8529615444812391E-2</v>
      </c>
      <c r="M60" s="2">
        <f t="shared" ca="1" si="136"/>
        <v>1.8622309751312661E-2</v>
      </c>
      <c r="N60" s="2">
        <f t="shared" ca="1" si="136"/>
        <v>1.8645210370641974E-2</v>
      </c>
      <c r="T60" s="2">
        <f t="shared" ref="T60:AA60" si="137">+T36/T51</f>
        <v>7.3750490222042095E-2</v>
      </c>
      <c r="U60" s="2">
        <f t="shared" si="137"/>
        <v>6.0110709723802731E-2</v>
      </c>
      <c r="V60" s="2">
        <f t="shared" si="137"/>
        <v>6.1428694440695715E-2</v>
      </c>
      <c r="W60" s="2">
        <f t="shared" si="137"/>
        <v>0.18229435599917429</v>
      </c>
      <c r="X60" s="2">
        <f t="shared" si="137"/>
        <v>0.17825671683886041</v>
      </c>
      <c r="Y60" s="2">
        <f t="shared" si="137"/>
        <v>0.17567124208407076</v>
      </c>
      <c r="Z60" s="2">
        <f t="shared" si="137"/>
        <v>0.18423866565663707</v>
      </c>
      <c r="AA60" s="2">
        <f t="shared" si="137"/>
        <v>7.5277819007364619E-2</v>
      </c>
      <c r="AB60" s="2">
        <f t="shared" ref="AB60:AG60" si="138">+AB36/AB51</f>
        <v>6.3630692451653148E-2</v>
      </c>
      <c r="AC60" s="2">
        <f t="shared" si="138"/>
        <v>6.7304723680148199E-2</v>
      </c>
      <c r="AD60" s="2">
        <f t="shared" si="138"/>
        <v>7.6900498972703263E-2</v>
      </c>
      <c r="AE60" s="2">
        <f t="shared" si="138"/>
        <v>7.3777286543243989E-2</v>
      </c>
      <c r="AF60" s="2">
        <f t="shared" si="138"/>
        <v>7.3609596510359865E-2</v>
      </c>
      <c r="AG60" s="2">
        <f t="shared" si="138"/>
        <v>0.10173160173160173</v>
      </c>
      <c r="AH60" s="2">
        <f t="shared" ref="AH60:AM60" si="139">+AH36/AH51</f>
        <v>0.12112970711297071</v>
      </c>
      <c r="AI60" s="2">
        <f t="shared" si="139"/>
        <v>0.11235955056179775</v>
      </c>
      <c r="AJ60" s="2">
        <f t="shared" si="139"/>
        <v>0.13309566250742721</v>
      </c>
      <c r="AK60" s="2">
        <f t="shared" si="139"/>
        <v>0.13045194395105583</v>
      </c>
      <c r="AL60" s="2">
        <f t="shared" si="139"/>
        <v>0.10723373318793165</v>
      </c>
      <c r="AM60" s="2">
        <f t="shared" si="139"/>
        <v>8.2131661442006273E-2</v>
      </c>
      <c r="AN60" s="2">
        <f t="shared" ref="AN60:AO60" si="140">+AN36/AN51</f>
        <v>7.1173271173271171E-2</v>
      </c>
      <c r="AO60" s="2">
        <f t="shared" si="140"/>
        <v>7.3450650344299928E-2</v>
      </c>
      <c r="AP60" s="31">
        <f t="shared" ref="AP60:AY60" si="141">+AO60</f>
        <v>7.3450650344299928E-2</v>
      </c>
      <c r="AQ60" s="31">
        <f t="shared" si="141"/>
        <v>7.3450650344299928E-2</v>
      </c>
      <c r="AR60" s="31">
        <f t="shared" si="141"/>
        <v>7.3450650344299928E-2</v>
      </c>
      <c r="AS60" s="31">
        <f t="shared" si="141"/>
        <v>7.3450650344299928E-2</v>
      </c>
      <c r="AT60" s="31">
        <f t="shared" si="141"/>
        <v>7.3450650344299928E-2</v>
      </c>
      <c r="AU60" s="31">
        <f t="shared" si="141"/>
        <v>7.3450650344299928E-2</v>
      </c>
      <c r="AV60" s="31">
        <f t="shared" si="141"/>
        <v>7.3450650344299928E-2</v>
      </c>
      <c r="AW60" s="31">
        <f t="shared" si="141"/>
        <v>7.3450650344299928E-2</v>
      </c>
      <c r="AX60" s="31">
        <f t="shared" si="141"/>
        <v>7.3450650344299928E-2</v>
      </c>
      <c r="AY60" s="31">
        <f t="shared" si="141"/>
        <v>7.3450650344299928E-2</v>
      </c>
    </row>
    <row r="61" spans="1:84" hidden="1" outlineLevel="1">
      <c r="T61" s="6"/>
      <c r="U61" s="6"/>
      <c r="V61" s="6"/>
      <c r="W61" s="6"/>
      <c r="X61" s="6"/>
      <c r="Y61" s="6"/>
      <c r="Z61" s="6"/>
      <c r="AA61" s="6"/>
      <c r="AB61" s="6"/>
      <c r="AC61" s="6"/>
      <c r="AD61" s="6"/>
      <c r="AE61" s="6"/>
      <c r="AF61" s="6"/>
      <c r="AG61" s="6"/>
      <c r="AH61" s="6"/>
      <c r="AI61" s="6"/>
      <c r="AJ61" s="6"/>
      <c r="AK61" s="6"/>
      <c r="AL61" s="6"/>
      <c r="AM61" s="6"/>
      <c r="AN61" s="6"/>
      <c r="AO61" s="6"/>
    </row>
    <row r="62" spans="1:84" s="3" customFormat="1" hidden="1" outlineLevel="1">
      <c r="B62" s="3" t="s">
        <v>205</v>
      </c>
      <c r="G62" s="6">
        <f>+SUM(T62:W62)</f>
        <v>0</v>
      </c>
      <c r="H62" s="6">
        <f>+SUM(X62:AA62)</f>
        <v>163.79599999999999</v>
      </c>
      <c r="I62" s="6">
        <f>+SUM(AB62:AE62)</f>
        <v>149.1</v>
      </c>
      <c r="J62" s="6">
        <f>+SUM(AF62:AI62)</f>
        <v>184</v>
      </c>
      <c r="K62" s="6">
        <f>+SUM(AJ62:AM62)</f>
        <v>200.5</v>
      </c>
      <c r="L62" s="6">
        <f ca="1">+SUM(AN62:AQ62)</f>
        <v>94.720097416171143</v>
      </c>
      <c r="M62" s="6">
        <f ca="1">+SUM(AR62:AU62)</f>
        <v>179.73069399145714</v>
      </c>
      <c r="N62" s="6">
        <f ca="1">+SUM(AV62:AY62)</f>
        <v>207.73560524637591</v>
      </c>
      <c r="T62" s="40"/>
      <c r="U62" s="40"/>
      <c r="V62" s="40"/>
      <c r="W62" s="40"/>
      <c r="X62" s="62">
        <f>CF!X11</f>
        <v>23.983796880933102</v>
      </c>
      <c r="Y62" s="62">
        <f>CF!Y11</f>
        <v>23.278519381862381</v>
      </c>
      <c r="Z62" s="62">
        <f>CF!Z11</f>
        <v>65.155495173323231</v>
      </c>
      <c r="AA62" s="62">
        <f>CF!AA11</f>
        <v>51.378188563881281</v>
      </c>
      <c r="AB62" s="62">
        <f>CF!AB11</f>
        <v>43.2</v>
      </c>
      <c r="AC62" s="62">
        <f>CF!AC11</f>
        <v>40.899999999999991</v>
      </c>
      <c r="AD62" s="62">
        <f>CF!AD11</f>
        <v>39.5</v>
      </c>
      <c r="AE62" s="62">
        <f>CF!AE11</f>
        <v>25.5</v>
      </c>
      <c r="AF62" s="62">
        <f>CF!AF11</f>
        <v>49.7</v>
      </c>
      <c r="AG62" s="62">
        <f>CF!AG11</f>
        <v>36.899999999999991</v>
      </c>
      <c r="AH62" s="62">
        <f>CF!AH11</f>
        <v>58.800000000000011</v>
      </c>
      <c r="AI62" s="62">
        <f>CF!AI11</f>
        <v>38.600000000000009</v>
      </c>
      <c r="AJ62" s="62">
        <f>CF!AJ11</f>
        <v>40.9</v>
      </c>
      <c r="AK62" s="62">
        <f>CF!AK11</f>
        <v>43.4</v>
      </c>
      <c r="AL62" s="62">
        <f>CF!AL11</f>
        <v>72.399999999999977</v>
      </c>
      <c r="AM62" s="62">
        <f>CF!AM11</f>
        <v>43.800000000000011</v>
      </c>
      <c r="AN62" s="62">
        <f>CF!AN11</f>
        <v>0</v>
      </c>
      <c r="AO62" s="62">
        <f>CF!AO11</f>
        <v>0</v>
      </c>
      <c r="AP62" s="100">
        <f t="shared" ref="AP62:AY62" ca="1" si="142">+AP64*AP65</f>
        <v>37.972244223206246</v>
      </c>
      <c r="AQ62" s="100">
        <f t="shared" ca="1" si="142"/>
        <v>56.747853192964897</v>
      </c>
      <c r="AR62" s="100">
        <f t="shared" ca="1" si="142"/>
        <v>43.003749553417947</v>
      </c>
      <c r="AS62" s="100">
        <f t="shared" ca="1" si="142"/>
        <v>44.358302649842472</v>
      </c>
      <c r="AT62" s="100">
        <f t="shared" ca="1" si="142"/>
        <v>45.616433895111612</v>
      </c>
      <c r="AU62" s="100">
        <f t="shared" ca="1" si="142"/>
        <v>46.752207893085114</v>
      </c>
      <c r="AV62" s="100">
        <f t="shared" ca="1" si="142"/>
        <v>47.847529860792122</v>
      </c>
      <c r="AW62" s="100">
        <f t="shared" ca="1" si="142"/>
        <v>48.90239897722708</v>
      </c>
      <c r="AX62" s="100">
        <f t="shared" ca="1" si="142"/>
        <v>49.916807372336791</v>
      </c>
      <c r="AY62" s="100">
        <f t="shared" ca="1" si="142"/>
        <v>61.068869036019919</v>
      </c>
      <c r="CA62"/>
      <c r="CB62"/>
      <c r="CC62"/>
      <c r="CD62"/>
      <c r="CE62"/>
      <c r="CF62"/>
    </row>
    <row r="63" spans="1:84" s="3" customFormat="1" hidden="1" outlineLevel="1">
      <c r="T63" s="40"/>
      <c r="U63" s="40"/>
      <c r="V63" s="40"/>
      <c r="W63" s="40"/>
      <c r="X63" s="40"/>
      <c r="Y63" s="40"/>
      <c r="Z63" s="40"/>
      <c r="AA63" s="40"/>
      <c r="AB63" s="40"/>
      <c r="AC63" s="40"/>
      <c r="AD63" s="40"/>
      <c r="AE63" s="40"/>
      <c r="AF63" s="40"/>
      <c r="AG63" s="40"/>
      <c r="AH63" s="40"/>
      <c r="AI63" s="40"/>
      <c r="AJ63" s="40"/>
      <c r="AK63" s="40"/>
      <c r="AL63" s="40"/>
      <c r="AM63" s="40"/>
      <c r="AN63" s="40"/>
      <c r="AO63" s="40"/>
      <c r="AP63" s="62">
        <f ca="1">+Rev!AP13-Rev!AO13</f>
        <v>0.63287073705343744</v>
      </c>
      <c r="AQ63" s="62">
        <f ca="1">+Rev!AQ13-Rev!AP13</f>
        <v>0.94579755321608161</v>
      </c>
      <c r="AR63" s="62">
        <f ca="1">+Rev!AR13-Rev!AQ13</f>
        <v>0.71672915922363245</v>
      </c>
      <c r="AS63" s="62">
        <f ca="1">+Rev!AS13-Rev!AR13</f>
        <v>0.73930504416404119</v>
      </c>
      <c r="AT63" s="62">
        <f ca="1">+Rev!AT13-Rev!AS13</f>
        <v>0.7602738982518602</v>
      </c>
      <c r="AU63" s="62">
        <f ca="1">+Rev!AU13-Rev!AT13</f>
        <v>0.7792034648847519</v>
      </c>
      <c r="AV63" s="62">
        <f ca="1">+Rev!AV13-Rev!AU13</f>
        <v>0.79745883101320203</v>
      </c>
      <c r="AW63" s="62">
        <f ca="1">+Rev!AW13-Rev!AV13</f>
        <v>0.81503998295378466</v>
      </c>
      <c r="AX63" s="62">
        <f ca="1">+Rev!AX13-Rev!AW13</f>
        <v>0.83194678953894652</v>
      </c>
      <c r="AY63" s="62">
        <f ca="1">+Rev!AY13-Rev!AX13</f>
        <v>0.84817873661138776</v>
      </c>
      <c r="CA63"/>
      <c r="CB63"/>
      <c r="CC63"/>
      <c r="CD63"/>
      <c r="CE63"/>
      <c r="CF63"/>
    </row>
    <row r="64" spans="1:84" s="3" customFormat="1" hidden="1" outlineLevel="1">
      <c r="C64" s="22">
        <v>15</v>
      </c>
      <c r="D64" s="22"/>
      <c r="E64" s="22"/>
      <c r="F64" s="22"/>
      <c r="T64" s="40"/>
      <c r="U64" s="40"/>
      <c r="V64" s="40"/>
      <c r="W64" s="40"/>
      <c r="X64" s="40"/>
      <c r="Y64" s="40"/>
      <c r="Z64" s="40"/>
      <c r="AA64" s="40"/>
      <c r="AB64" s="40"/>
      <c r="AC64" s="40"/>
      <c r="AD64" s="40"/>
      <c r="AE64" s="40"/>
      <c r="AF64" s="40"/>
      <c r="AG64" s="40"/>
      <c r="AH64" s="40"/>
      <c r="AI64" s="40"/>
      <c r="AJ64" s="40"/>
      <c r="AK64" s="40"/>
      <c r="AL64" s="40"/>
      <c r="AM64" s="40"/>
      <c r="AN64" s="40"/>
      <c r="AO64" s="40"/>
      <c r="AP64" s="100">
        <f t="shared" ref="AP64:AY64" ca="1" si="143">+AP63*$C$64*4</f>
        <v>37.972244223206246</v>
      </c>
      <c r="AQ64" s="100">
        <f t="shared" ca="1" si="143"/>
        <v>56.747853192964897</v>
      </c>
      <c r="AR64" s="100">
        <f t="shared" ca="1" si="143"/>
        <v>43.003749553417947</v>
      </c>
      <c r="AS64" s="100">
        <f t="shared" ca="1" si="143"/>
        <v>44.358302649842472</v>
      </c>
      <c r="AT64" s="100">
        <f t="shared" ca="1" si="143"/>
        <v>45.616433895111612</v>
      </c>
      <c r="AU64" s="100">
        <f t="shared" ca="1" si="143"/>
        <v>46.752207893085114</v>
      </c>
      <c r="AV64" s="100">
        <f t="shared" ca="1" si="143"/>
        <v>47.847529860792122</v>
      </c>
      <c r="AW64" s="100">
        <f t="shared" ca="1" si="143"/>
        <v>48.90239897722708</v>
      </c>
      <c r="AX64" s="100">
        <f t="shared" ca="1" si="143"/>
        <v>49.916807372336791</v>
      </c>
      <c r="AY64" s="100">
        <f t="shared" ca="1" si="143"/>
        <v>50.890724196683266</v>
      </c>
      <c r="CA64"/>
      <c r="CB64"/>
      <c r="CC64"/>
      <c r="CD64"/>
      <c r="CE64"/>
      <c r="CF64"/>
    </row>
    <row r="65" spans="1:84" s="3" customFormat="1" hidden="1" outlineLevel="1">
      <c r="T65" s="40"/>
      <c r="U65" s="40"/>
      <c r="V65" s="40"/>
      <c r="W65" s="40"/>
      <c r="X65" s="40"/>
      <c r="Y65" s="40"/>
      <c r="Z65" s="40"/>
      <c r="AA65" s="40"/>
      <c r="AB65" s="40"/>
      <c r="AC65" s="40"/>
      <c r="AD65" s="40"/>
      <c r="AE65" s="40"/>
      <c r="AF65" s="40"/>
      <c r="AG65" s="40"/>
      <c r="AH65" s="40"/>
      <c r="AI65" s="40"/>
      <c r="AJ65" s="40"/>
      <c r="AK65" s="40"/>
      <c r="AL65" s="40"/>
      <c r="AM65" s="40"/>
      <c r="AN65" s="40"/>
      <c r="AO65" s="40"/>
      <c r="AP65" s="31">
        <v>1</v>
      </c>
      <c r="AQ65" s="31">
        <v>1</v>
      </c>
      <c r="AR65" s="31">
        <v>1</v>
      </c>
      <c r="AS65" s="31">
        <v>1</v>
      </c>
      <c r="AT65" s="31">
        <v>1</v>
      </c>
      <c r="AU65" s="31">
        <v>1</v>
      </c>
      <c r="AV65" s="31">
        <v>1</v>
      </c>
      <c r="AW65" s="31">
        <v>1</v>
      </c>
      <c r="AX65" s="31">
        <v>1</v>
      </c>
      <c r="AY65" s="31">
        <v>1.2</v>
      </c>
      <c r="CA65"/>
      <c r="CB65"/>
      <c r="CC65"/>
      <c r="CD65"/>
      <c r="CE65"/>
      <c r="CF65"/>
    </row>
    <row r="66" spans="1:84" hidden="1" outlineLevel="1">
      <c r="T66" s="6"/>
      <c r="U66" s="6"/>
      <c r="V66" s="6"/>
      <c r="W66" s="6"/>
      <c r="X66" s="6"/>
      <c r="Y66" s="6"/>
      <c r="Z66" s="6"/>
      <c r="AA66" s="6"/>
      <c r="AB66" s="6"/>
      <c r="AC66" s="6"/>
      <c r="AD66" s="6"/>
      <c r="AE66" s="6"/>
      <c r="AF66" s="6"/>
      <c r="AG66" s="6"/>
      <c r="AH66" s="6"/>
      <c r="AI66" s="6"/>
      <c r="AJ66" s="6"/>
      <c r="AK66" s="6"/>
      <c r="AL66" s="6"/>
      <c r="AM66" s="6"/>
      <c r="AN66" s="6"/>
      <c r="AO66" s="6"/>
    </row>
    <row r="67" spans="1:84" s="1" customFormat="1" collapsed="1">
      <c r="A67" s="49" t="s">
        <v>40</v>
      </c>
      <c r="B67" s="27" t="s">
        <v>159</v>
      </c>
      <c r="CA67"/>
      <c r="CB67"/>
      <c r="CC67"/>
      <c r="CD67"/>
      <c r="CE67"/>
      <c r="CF67"/>
    </row>
    <row r="68" spans="1:84">
      <c r="T68" s="2"/>
      <c r="U68" s="2"/>
      <c r="V68" s="2"/>
      <c r="W68" s="2"/>
      <c r="X68" s="2"/>
      <c r="Y68" s="2"/>
      <c r="Z68" s="2"/>
      <c r="AA68" s="2"/>
      <c r="AB68" s="2"/>
      <c r="AC68" s="2"/>
      <c r="AD68" s="2"/>
      <c r="AE68" s="2"/>
      <c r="AF68" s="2"/>
      <c r="AG68" s="2"/>
      <c r="AH68" s="2"/>
      <c r="AI68" s="2"/>
      <c r="AJ68" s="2"/>
      <c r="AK68" s="2"/>
      <c r="AL68" s="2"/>
      <c r="AM68" s="2"/>
      <c r="AN68" s="2"/>
      <c r="AO68" s="2"/>
      <c r="AP68" s="2"/>
      <c r="AQ68" s="2"/>
      <c r="AR68" s="2"/>
      <c r="AS68" s="2"/>
      <c r="AT68" s="2"/>
      <c r="AU68" s="2"/>
      <c r="AV68" s="2"/>
      <c r="AW68" s="2"/>
      <c r="AX68" s="2"/>
      <c r="AY68" s="2"/>
    </row>
    <row r="69" spans="1:84">
      <c r="B69" t="s">
        <v>160</v>
      </c>
      <c r="G69" s="6">
        <f>+SUM(T69:W69)</f>
        <v>323.23400002</v>
      </c>
      <c r="H69" s="6">
        <f>+SUM(X69:AA69)</f>
        <v>360.75700000000001</v>
      </c>
      <c r="I69" s="6">
        <f>+SUM(AB69:AE69)</f>
        <v>530.4</v>
      </c>
      <c r="J69" s="6">
        <f>+SUM(AF69:AI69)</f>
        <v>704.10000000000014</v>
      </c>
      <c r="K69" s="6">
        <f>+SUM(AJ69:AM69)</f>
        <v>835.5</v>
      </c>
      <c r="L69" s="6">
        <f ca="1">+SUM(AN69:AQ69)</f>
        <v>832.46881825418075</v>
      </c>
      <c r="M69" s="6">
        <f ca="1">+SUM(AR69:AU69)</f>
        <v>941.57094608874058</v>
      </c>
      <c r="N69" s="6">
        <f ca="1">+SUM(AV69:AY69)</f>
        <v>908.13095959915506</v>
      </c>
      <c r="T69" s="41">
        <f>-CF!T33</f>
        <v>66.687000019999999</v>
      </c>
      <c r="U69" s="41">
        <f>-CF!U33</f>
        <v>58.91</v>
      </c>
      <c r="V69" s="41">
        <f>-CF!V33</f>
        <v>95.73</v>
      </c>
      <c r="W69" s="41">
        <f>-CF!W33</f>
        <v>101.907</v>
      </c>
      <c r="X69" s="41">
        <f>-CF!X33</f>
        <v>86.671996482221047</v>
      </c>
      <c r="Y69" s="41">
        <f>-CF!Y33</f>
        <v>88.276763707906341</v>
      </c>
      <c r="Z69" s="41">
        <f>-CF!Z33</f>
        <v>90.922727784094747</v>
      </c>
      <c r="AA69" s="41">
        <f>-CF!AA33</f>
        <v>94.885512025777871</v>
      </c>
      <c r="AB69" s="41">
        <f>-CF!AB33</f>
        <v>115.3</v>
      </c>
      <c r="AC69" s="41">
        <f>-CF!AC33</f>
        <v>129.5</v>
      </c>
      <c r="AD69" s="41">
        <f>-CF!AD33</f>
        <v>130.09999999999997</v>
      </c>
      <c r="AE69" s="41">
        <f>-CF!AE33</f>
        <v>155.5</v>
      </c>
      <c r="AF69" s="41">
        <f>-CF!AF33</f>
        <v>159.19999999999999</v>
      </c>
      <c r="AG69" s="41">
        <f>-CF!AG33</f>
        <v>172.40000000000003</v>
      </c>
      <c r="AH69" s="41">
        <f>-CF!AH33</f>
        <v>185.10000000000002</v>
      </c>
      <c r="AI69" s="41">
        <f>-CF!AI33</f>
        <v>187.40000000000003</v>
      </c>
      <c r="AJ69" s="41">
        <f>-CF!AJ33</f>
        <v>208.3</v>
      </c>
      <c r="AK69" s="41">
        <f>-CF!AK33</f>
        <v>213.59999999999997</v>
      </c>
      <c r="AL69" s="41">
        <f>-CF!AL33</f>
        <v>208.30000000000007</v>
      </c>
      <c r="AM69" s="41">
        <f>-CF!AM33</f>
        <v>205.3</v>
      </c>
      <c r="AN69" s="41">
        <f>-CF!AN33</f>
        <v>193.4</v>
      </c>
      <c r="AO69" s="41">
        <f>-CF!AO33</f>
        <v>193.4</v>
      </c>
      <c r="AP69" s="6">
        <f ca="1">+IS!AP5*BS!AP70</f>
        <v>215.42558542258649</v>
      </c>
      <c r="AQ69" s="6">
        <f ca="1">+IS!AQ5*BS!AQ70</f>
        <v>230.24323283159427</v>
      </c>
      <c r="AR69" s="6">
        <f ca="1">+IS!AR5*BS!AR70</f>
        <v>232.16635268634124</v>
      </c>
      <c r="AS69" s="6">
        <f ca="1">+IS!AS5*BS!AS70</f>
        <v>234.24367823493645</v>
      </c>
      <c r="AT69" s="6">
        <f ca="1">+IS!AT5*BS!AT70</f>
        <v>236.43973667946651</v>
      </c>
      <c r="AU69" s="6">
        <f ca="1">+IS!AU5*BS!AU70</f>
        <v>238.7211784879965</v>
      </c>
      <c r="AV69" s="6">
        <f ca="1">+IS!AV5*BS!AV70</f>
        <v>241.08027659753353</v>
      </c>
      <c r="AW69" s="6">
        <f ca="1">+IS!AW5*BS!AW70</f>
        <v>243.50981770877678</v>
      </c>
      <c r="AX69" s="6">
        <f ca="1">+IS!AX5*BS!AX70</f>
        <v>246.00294975950814</v>
      </c>
      <c r="AY69" s="6">
        <f ca="1">+IS!AY5*BS!AY70</f>
        <v>177.53791553333656</v>
      </c>
    </row>
    <row r="70" spans="1:84">
      <c r="B70" s="7" t="s">
        <v>80</v>
      </c>
      <c r="G70" s="2">
        <f>+G69/IS!G5</f>
        <v>0.32182996328061408</v>
      </c>
      <c r="H70" s="2">
        <f>+H69/IS!H5</f>
        <v>0.32119044186802781</v>
      </c>
      <c r="I70" s="2">
        <f>+I69/IS!I5</f>
        <v>0.3937346893326405</v>
      </c>
      <c r="J70" s="2">
        <f>+J69/IS!J5</f>
        <v>0.40895626415751879</v>
      </c>
      <c r="K70" s="2">
        <f>+K69/IS!K5</f>
        <v>0.37980725520501862</v>
      </c>
      <c r="L70" s="2">
        <f ca="1">+L69/IS!L5</f>
        <v>0.31924191386320266</v>
      </c>
      <c r="M70" s="2">
        <f ca="1">+M69/IS!M5</f>
        <v>0.34999999999999992</v>
      </c>
      <c r="N70" s="2">
        <f ca="1">+N69/IS!N5</f>
        <v>0.32461532296413642</v>
      </c>
      <c r="T70" s="2">
        <f>+T69/IS!T5</f>
        <v>0.28256284174001267</v>
      </c>
      <c r="U70" s="2">
        <f>+U69/IS!U5</f>
        <v>0.23561661752695978</v>
      </c>
      <c r="V70" s="2">
        <f>+V69/IS!V5</f>
        <v>0.3731378874478406</v>
      </c>
      <c r="W70" s="2">
        <f>+W69/IS!W5</f>
        <v>0.38929050789039249</v>
      </c>
      <c r="X70" s="2">
        <f>+X69/IS!X5</f>
        <v>0.32334170803674073</v>
      </c>
      <c r="Y70" s="2">
        <f>+Y69/IS!Y5</f>
        <v>0.31871614173013818</v>
      </c>
      <c r="Z70" s="2">
        <f>+Z69/IS!Z5</f>
        <v>0.32311658332411569</v>
      </c>
      <c r="AA70" s="2">
        <f>+AA69/IS!AA5</f>
        <v>0.31973027756032346</v>
      </c>
      <c r="AB70" s="2">
        <f>+AB69/IS!AB5</f>
        <v>0.35963817841547097</v>
      </c>
      <c r="AC70" s="2">
        <f>+AC69/IS!AC5</f>
        <v>0.39981475764124735</v>
      </c>
      <c r="AD70" s="2">
        <f>+AD69/IS!AD5</f>
        <v>0.3818608746697974</v>
      </c>
      <c r="AE70" s="2">
        <f>+AE69/IS!AE5</f>
        <v>0.42967670627245097</v>
      </c>
      <c r="AF70" s="2">
        <f>+AF69/IS!AF5</f>
        <v>0.43402399127589963</v>
      </c>
      <c r="AG70" s="2">
        <f>+AG69/IS!AG5</f>
        <v>0.4664502164502165</v>
      </c>
      <c r="AH70" s="2">
        <f>+AH69/IS!AH5</f>
        <v>0.38723849372384944</v>
      </c>
      <c r="AI70" s="2">
        <f>+AI69/IS!AI5</f>
        <v>0.36940666272422634</v>
      </c>
      <c r="AJ70" s="2">
        <f>+AJ69/IS!AJ5</f>
        <v>0.41255694196870674</v>
      </c>
      <c r="AK70" s="2">
        <f>+AK69/IS!AK5</f>
        <v>0.42155121373593835</v>
      </c>
      <c r="AL70" s="2">
        <f>+AL69/IS!AL5</f>
        <v>0.3785896037804436</v>
      </c>
      <c r="AM70" s="2">
        <f>+AM69/IS!AM5</f>
        <v>0.32178683385579937</v>
      </c>
      <c r="AN70" s="2">
        <f>+AN69/IS!AN5</f>
        <v>0.30054390054390057</v>
      </c>
      <c r="AO70" s="2">
        <f>+AO69/IS!AO5</f>
        <v>0.29594491201224177</v>
      </c>
      <c r="AP70" s="23">
        <f t="shared" ref="AP70:AY70" ca="1" si="144">+OFFSET(AP70,Case,0)</f>
        <v>0.33</v>
      </c>
      <c r="AQ70" s="23">
        <f t="shared" ca="1" si="144"/>
        <v>0.35</v>
      </c>
      <c r="AR70" s="23">
        <f t="shared" ca="1" si="144"/>
        <v>0.35</v>
      </c>
      <c r="AS70" s="23">
        <f t="shared" ca="1" si="144"/>
        <v>0.35</v>
      </c>
      <c r="AT70" s="23">
        <f t="shared" ca="1" si="144"/>
        <v>0.35</v>
      </c>
      <c r="AU70" s="23">
        <f t="shared" ca="1" si="144"/>
        <v>0.35</v>
      </c>
      <c r="AV70" s="23">
        <f t="shared" ca="1" si="144"/>
        <v>0.35</v>
      </c>
      <c r="AW70" s="23">
        <f t="shared" ca="1" si="144"/>
        <v>0.35</v>
      </c>
      <c r="AX70" s="23">
        <f t="shared" ca="1" si="144"/>
        <v>0.35</v>
      </c>
      <c r="AY70" s="23">
        <f t="shared" ca="1" si="144"/>
        <v>0.25</v>
      </c>
    </row>
    <row r="71" spans="1:84" s="11" customFormat="1" outlineLevel="1">
      <c r="B71" s="11" t="s">
        <v>26</v>
      </c>
      <c r="U71" s="12"/>
      <c r="V71" s="12"/>
      <c r="W71" s="12"/>
      <c r="X71" s="12"/>
      <c r="Y71" s="12"/>
      <c r="Z71" s="79"/>
      <c r="AA71" s="79"/>
      <c r="AB71" s="79"/>
      <c r="AC71" s="79"/>
      <c r="AD71" s="79"/>
      <c r="AE71" s="79"/>
      <c r="AF71" s="79"/>
      <c r="AG71" s="79"/>
      <c r="AH71" s="79"/>
      <c r="AI71" s="79"/>
      <c r="AJ71" s="79"/>
      <c r="AK71" s="79"/>
      <c r="AL71" s="79"/>
      <c r="AM71" s="79"/>
      <c r="AN71" s="79"/>
      <c r="AO71" s="79"/>
      <c r="AP71" s="30">
        <f t="shared" ref="AP71:AY71" si="145">+AP72-0.01</f>
        <v>0.32</v>
      </c>
      <c r="AQ71" s="30">
        <f t="shared" si="145"/>
        <v>0.33999999999999997</v>
      </c>
      <c r="AR71" s="30">
        <f t="shared" si="145"/>
        <v>0.33999999999999997</v>
      </c>
      <c r="AS71" s="30">
        <f t="shared" si="145"/>
        <v>0.33999999999999997</v>
      </c>
      <c r="AT71" s="30">
        <f t="shared" si="145"/>
        <v>0.33999999999999997</v>
      </c>
      <c r="AU71" s="30">
        <f t="shared" si="145"/>
        <v>0.33999999999999997</v>
      </c>
      <c r="AV71" s="30">
        <f t="shared" si="145"/>
        <v>0.33999999999999997</v>
      </c>
      <c r="AW71" s="30">
        <f t="shared" si="145"/>
        <v>0.33999999999999997</v>
      </c>
      <c r="AX71" s="30">
        <f t="shared" si="145"/>
        <v>0.33999999999999997</v>
      </c>
      <c r="AY71" s="30">
        <f t="shared" si="145"/>
        <v>0.24</v>
      </c>
      <c r="CA71"/>
      <c r="CB71"/>
      <c r="CC71"/>
      <c r="CD71"/>
      <c r="CE71"/>
      <c r="CF71"/>
    </row>
    <row r="72" spans="1:84" s="11" customFormat="1" outlineLevel="1">
      <c r="B72" s="11" t="s">
        <v>27</v>
      </c>
      <c r="U72" s="12"/>
      <c r="V72" s="12"/>
      <c r="W72" s="12"/>
      <c r="X72" s="12"/>
      <c r="Y72" s="12"/>
      <c r="Z72" s="79"/>
      <c r="AA72" s="79"/>
      <c r="AB72" s="79"/>
      <c r="AC72" s="79"/>
      <c r="AD72" s="79"/>
      <c r="AE72" s="79"/>
      <c r="AF72" s="79"/>
      <c r="AG72" s="79"/>
      <c r="AH72" s="79"/>
      <c r="AI72" s="79"/>
      <c r="AJ72" s="79"/>
      <c r="AK72" s="79"/>
      <c r="AL72" s="79"/>
      <c r="AM72" s="79"/>
      <c r="AN72" s="79"/>
      <c r="AO72" s="79"/>
      <c r="AP72" s="31">
        <v>0.33</v>
      </c>
      <c r="AQ72" s="31">
        <v>0.35</v>
      </c>
      <c r="AR72" s="31">
        <f>+AQ72</f>
        <v>0.35</v>
      </c>
      <c r="AS72" s="31">
        <f t="shared" ref="AS72:AX72" si="146">+AR72</f>
        <v>0.35</v>
      </c>
      <c r="AT72" s="31">
        <f t="shared" si="146"/>
        <v>0.35</v>
      </c>
      <c r="AU72" s="31">
        <f t="shared" si="146"/>
        <v>0.35</v>
      </c>
      <c r="AV72" s="31">
        <f t="shared" si="146"/>
        <v>0.35</v>
      </c>
      <c r="AW72" s="31">
        <f t="shared" si="146"/>
        <v>0.35</v>
      </c>
      <c r="AX72" s="31">
        <f t="shared" si="146"/>
        <v>0.35</v>
      </c>
      <c r="AY72" s="31">
        <v>0.25</v>
      </c>
      <c r="CA72"/>
      <c r="CB72"/>
      <c r="CC72"/>
      <c r="CD72"/>
      <c r="CE72"/>
      <c r="CF72"/>
    </row>
    <row r="73" spans="1:84" s="11" customFormat="1" outlineLevel="1">
      <c r="B73" s="11" t="s">
        <v>28</v>
      </c>
      <c r="U73" s="12"/>
      <c r="V73" s="12"/>
      <c r="W73" s="12"/>
      <c r="X73" s="12"/>
      <c r="Y73" s="12"/>
      <c r="Z73" s="79"/>
      <c r="AA73" s="79"/>
      <c r="AB73" s="79"/>
      <c r="AC73" s="79"/>
      <c r="AD73" s="79"/>
      <c r="AE73" s="79"/>
      <c r="AF73" s="79"/>
      <c r="AG73" s="79"/>
      <c r="AH73" s="79"/>
      <c r="AI73" s="79"/>
      <c r="AJ73" s="79"/>
      <c r="AK73" s="79"/>
      <c r="AL73" s="79"/>
      <c r="AM73" s="79"/>
      <c r="AN73" s="79"/>
      <c r="AO73" s="79"/>
      <c r="AP73" s="30">
        <f t="shared" ref="AP73:AY73" si="147">+AP72+0.03</f>
        <v>0.36</v>
      </c>
      <c r="AQ73" s="30">
        <f t="shared" si="147"/>
        <v>0.38</v>
      </c>
      <c r="AR73" s="30">
        <f t="shared" si="147"/>
        <v>0.38</v>
      </c>
      <c r="AS73" s="30">
        <f t="shared" si="147"/>
        <v>0.38</v>
      </c>
      <c r="AT73" s="30">
        <f t="shared" si="147"/>
        <v>0.38</v>
      </c>
      <c r="AU73" s="30">
        <f t="shared" si="147"/>
        <v>0.38</v>
      </c>
      <c r="AV73" s="30">
        <f t="shared" si="147"/>
        <v>0.38</v>
      </c>
      <c r="AW73" s="30">
        <f t="shared" si="147"/>
        <v>0.38</v>
      </c>
      <c r="AX73" s="30">
        <f t="shared" si="147"/>
        <v>0.38</v>
      </c>
      <c r="AY73" s="30">
        <f t="shared" si="147"/>
        <v>0.28000000000000003</v>
      </c>
      <c r="CA73"/>
      <c r="CB73"/>
      <c r="CC73"/>
      <c r="CD73"/>
      <c r="CE73"/>
      <c r="CF73"/>
    </row>
    <row r="74" spans="1:84">
      <c r="T74" s="6"/>
      <c r="U74" s="6"/>
      <c r="V74" s="6"/>
      <c r="W74" s="6"/>
      <c r="X74" s="6"/>
      <c r="Y74" s="6"/>
      <c r="Z74" s="6"/>
      <c r="AA74" s="6"/>
      <c r="AB74" s="6"/>
      <c r="AC74" s="6"/>
      <c r="AD74" s="6"/>
      <c r="AE74" s="6"/>
      <c r="AF74" s="6"/>
      <c r="AG74" s="6"/>
      <c r="AH74" s="6"/>
      <c r="AI74" s="6"/>
      <c r="AJ74" s="6"/>
      <c r="AK74" s="6"/>
      <c r="AL74" s="6"/>
      <c r="AM74" s="6"/>
      <c r="AN74" s="6"/>
      <c r="AO74" s="6"/>
    </row>
    <row r="75" spans="1:84">
      <c r="B75" s="3" t="s">
        <v>249</v>
      </c>
      <c r="G75" s="6"/>
      <c r="H75" s="6"/>
      <c r="I75" s="6">
        <f>+SUM(AB75:AE75)</f>
        <v>381.29999999999995</v>
      </c>
      <c r="J75" s="6">
        <f>+SUM(AF75:AI75)</f>
        <v>520.10000000000014</v>
      </c>
      <c r="K75" s="6">
        <f>+SUM(AJ75:AM75)</f>
        <v>635</v>
      </c>
      <c r="L75" s="6">
        <f ca="1">+SUM(AN75:AQ75)</f>
        <v>737.7487208380096</v>
      </c>
      <c r="M75" s="6">
        <f ca="1">+SUM(AR75:AU75)</f>
        <v>761.8402520972835</v>
      </c>
      <c r="N75" s="6">
        <f ca="1">+SUM(AV75:AY75)</f>
        <v>700.39535435277912</v>
      </c>
      <c r="T75" s="6"/>
      <c r="U75" s="6"/>
      <c r="V75" s="6"/>
      <c r="W75" s="6"/>
      <c r="AB75" s="6">
        <f t="shared" ref="AB75:AY75" si="148">+AB69-AB62</f>
        <v>72.099999999999994</v>
      </c>
      <c r="AC75" s="6">
        <f t="shared" si="148"/>
        <v>88.600000000000009</v>
      </c>
      <c r="AD75" s="6">
        <f t="shared" si="148"/>
        <v>90.599999999999966</v>
      </c>
      <c r="AE75" s="6">
        <f t="shared" si="148"/>
        <v>130</v>
      </c>
      <c r="AF75" s="6">
        <f t="shared" si="148"/>
        <v>109.49999999999999</v>
      </c>
      <c r="AG75" s="6">
        <f t="shared" si="148"/>
        <v>135.50000000000006</v>
      </c>
      <c r="AH75" s="6">
        <f t="shared" si="148"/>
        <v>126.30000000000001</v>
      </c>
      <c r="AI75" s="6">
        <f t="shared" si="148"/>
        <v>148.80000000000001</v>
      </c>
      <c r="AJ75" s="6">
        <f t="shared" si="148"/>
        <v>167.4</v>
      </c>
      <c r="AK75" s="6">
        <f t="shared" si="148"/>
        <v>170.19999999999996</v>
      </c>
      <c r="AL75" s="6">
        <f t="shared" ref="AL75" si="149">+AL69-AL62</f>
        <v>135.90000000000009</v>
      </c>
      <c r="AM75" s="6">
        <f t="shared" ref="AM75:AN75" si="150">+AM69-AM62</f>
        <v>161.5</v>
      </c>
      <c r="AN75" s="6">
        <f t="shared" si="150"/>
        <v>193.4</v>
      </c>
      <c r="AO75" s="6">
        <f t="shared" ref="AO75" si="151">+AO69-AO62</f>
        <v>193.4</v>
      </c>
      <c r="AP75" s="6">
        <f t="shared" ca="1" si="148"/>
        <v>177.45334119938025</v>
      </c>
      <c r="AQ75" s="6">
        <f t="shared" ca="1" si="148"/>
        <v>173.49537963862937</v>
      </c>
      <c r="AR75" s="6">
        <f t="shared" ca="1" si="148"/>
        <v>189.16260313292329</v>
      </c>
      <c r="AS75" s="6">
        <f t="shared" ca="1" si="148"/>
        <v>189.88537558509398</v>
      </c>
      <c r="AT75" s="6">
        <f t="shared" ca="1" si="148"/>
        <v>190.82330278435489</v>
      </c>
      <c r="AU75" s="6">
        <f t="shared" ca="1" si="148"/>
        <v>191.96897059491138</v>
      </c>
      <c r="AV75" s="6">
        <f t="shared" ca="1" si="148"/>
        <v>193.2327467367414</v>
      </c>
      <c r="AW75" s="6">
        <f t="shared" ca="1" si="148"/>
        <v>194.6074187315497</v>
      </c>
      <c r="AX75" s="6">
        <f t="shared" ca="1" si="148"/>
        <v>196.08614238717135</v>
      </c>
      <c r="AY75" s="6">
        <f t="shared" ca="1" si="148"/>
        <v>116.46904649731664</v>
      </c>
    </row>
    <row r="76" spans="1:84">
      <c r="B76" s="7" t="s">
        <v>80</v>
      </c>
      <c r="G76" s="23"/>
      <c r="H76" s="23"/>
      <c r="I76" s="23">
        <f>+I75/Rev!I35</f>
        <v>0.28305248311186992</v>
      </c>
      <c r="J76" s="23">
        <f>+J75/Rev!J35</f>
        <v>0.30208514839983747</v>
      </c>
      <c r="K76" s="23">
        <f>+K75/Rev!K35</f>
        <v>0.28866260569142649</v>
      </c>
      <c r="L76" s="23">
        <f ca="1">+L75/Rev!L35</f>
        <v>0.28291788043710669</v>
      </c>
      <c r="M76" s="23">
        <f ca="1">+M75/Rev!M35</f>
        <v>0.28319064998944715</v>
      </c>
      <c r="N76" s="23">
        <f ca="1">+N75/Rev!N35</f>
        <v>0.2503593361206003</v>
      </c>
      <c r="T76" s="2"/>
      <c r="U76" s="2"/>
      <c r="V76" s="2"/>
      <c r="W76" s="2"/>
      <c r="AB76" s="23">
        <f>+AB75/Rev!AB35</f>
        <v>0.22489082969432311</v>
      </c>
      <c r="AC76" s="23">
        <f>+AC75/Rev!AC35</f>
        <v>0.27354121642482254</v>
      </c>
      <c r="AD76" s="23">
        <f>+AD75/Rev!AD35</f>
        <v>0.26592309950102722</v>
      </c>
      <c r="AE76" s="23">
        <f>+AE75/Rev!AE35</f>
        <v>0.35921525283227412</v>
      </c>
      <c r="AF76" s="23">
        <f>+AF75/Rev!AF35</f>
        <v>0.29852780806979273</v>
      </c>
      <c r="AG76" s="23">
        <f>+AG75/Rev!AG35</f>
        <v>0.36661255411255422</v>
      </c>
      <c r="AH76" s="23">
        <f>+AH75/Rev!AH35</f>
        <v>0.26422594142259415</v>
      </c>
      <c r="AI76" s="23">
        <f>+AI75/Rev!AI35</f>
        <v>0.29331756357185101</v>
      </c>
      <c r="AJ76" s="23">
        <f>+AJ75/Rev!AJ35</f>
        <v>0.33155080213903748</v>
      </c>
      <c r="AK76" s="23">
        <f>+AK75/Rev!AK35</f>
        <v>0.33589895401618308</v>
      </c>
      <c r="AL76" s="23">
        <f>+AL75/Rev!AL35</f>
        <v>0.24700109051254104</v>
      </c>
      <c r="AM76" s="23">
        <f>+AM75/Rev!AM35</f>
        <v>0.25313479623824453</v>
      </c>
      <c r="AN76" s="23">
        <f>+AN75/Rev!AN35</f>
        <v>0.30054390054390057</v>
      </c>
      <c r="AO76" s="23">
        <f>+AO75/Rev!AO35</f>
        <v>0.29594491201224177</v>
      </c>
      <c r="AP76" s="23">
        <f ca="1">+AP75/Rev!AP35</f>
        <v>0.27183216181551922</v>
      </c>
      <c r="AQ76" s="23">
        <f ca="1">+AQ75/Rev!AQ35</f>
        <v>0.26373579855845275</v>
      </c>
      <c r="AR76" s="23">
        <f ca="1">+AR75/Rev!AR35</f>
        <v>0.28517013912851213</v>
      </c>
      <c r="AS76" s="23">
        <f ca="1">+AS75/Rev!AS35</f>
        <v>0.28372113158215717</v>
      </c>
      <c r="AT76" s="23">
        <f ca="1">+AT75/Rev!AT35</f>
        <v>0.28247432902983943</v>
      </c>
      <c r="AU76" s="23">
        <f ca="1">+AU75/Rev!AU35</f>
        <v>0.28145445717794754</v>
      </c>
      <c r="AV76" s="23">
        <f ca="1">+AV75/Rev!AV35</f>
        <v>0.28053502473271769</v>
      </c>
      <c r="AW76" s="23">
        <f ca="1">+AW75/Rev!AW35</f>
        <v>0.27971191140022533</v>
      </c>
      <c r="AX76" s="23">
        <f ca="1">+AX75/Rev!AX35</f>
        <v>0.27898100369366557</v>
      </c>
      <c r="AY76" s="23">
        <f ca="1">+AY75/Rev!AY35</f>
        <v>0.16400587748740222</v>
      </c>
    </row>
    <row r="77" spans="1:84">
      <c r="B77" s="7"/>
      <c r="G77" s="23"/>
      <c r="H77" s="23"/>
      <c r="I77" s="23"/>
      <c r="J77" s="23"/>
      <c r="K77" s="23"/>
      <c r="L77" s="23"/>
      <c r="M77" s="23"/>
      <c r="N77" s="23"/>
      <c r="T77" s="2"/>
      <c r="U77" s="2"/>
      <c r="V77" s="2"/>
      <c r="W77" s="2"/>
      <c r="X77" s="2"/>
      <c r="Y77" s="2"/>
      <c r="Z77" s="2"/>
      <c r="AA77" s="2"/>
      <c r="AB77" s="2"/>
      <c r="AC77" s="2"/>
      <c r="AD77" s="2"/>
      <c r="AE77" s="2"/>
      <c r="AF77" s="2"/>
      <c r="AG77" s="2"/>
      <c r="AH77" s="2"/>
      <c r="AI77" s="2"/>
      <c r="AJ77" s="2"/>
      <c r="AK77" s="2"/>
      <c r="AL77" s="2"/>
      <c r="AM77" s="2"/>
      <c r="AN77" s="2"/>
      <c r="AO77" s="2"/>
      <c r="AP77" s="23"/>
      <c r="AQ77" s="23"/>
      <c r="AR77" s="23"/>
      <c r="AS77" s="23"/>
      <c r="AT77" s="23"/>
      <c r="AU77" s="23"/>
      <c r="AV77" s="23"/>
      <c r="AW77" s="23"/>
      <c r="AX77" s="23"/>
      <c r="AY77" s="23"/>
    </row>
    <row r="78" spans="1:84">
      <c r="B78" s="3" t="s">
        <v>272</v>
      </c>
      <c r="G78" s="23"/>
      <c r="H78" s="23"/>
      <c r="I78" s="23"/>
      <c r="J78" s="23"/>
      <c r="K78" s="23"/>
      <c r="L78" s="23"/>
      <c r="M78" s="23"/>
      <c r="N78" s="23"/>
      <c r="T78" s="2"/>
      <c r="U78" s="2"/>
      <c r="V78" s="2"/>
      <c r="W78" s="2"/>
      <c r="X78" s="2"/>
      <c r="Y78" s="2"/>
      <c r="Z78" s="2"/>
      <c r="AA78" s="2"/>
      <c r="AB78" s="2"/>
      <c r="AC78" s="2"/>
      <c r="AD78" s="2"/>
      <c r="AE78" s="2"/>
      <c r="AF78" s="2"/>
      <c r="AG78" s="2"/>
      <c r="AH78" s="2"/>
      <c r="AI78" s="2"/>
      <c r="AJ78" s="2"/>
      <c r="AK78" s="2"/>
      <c r="AL78" s="2"/>
      <c r="AM78" s="2"/>
      <c r="AN78" s="2"/>
      <c r="AO78" s="2"/>
      <c r="AP78" s="62">
        <f>-CF!AP34</f>
        <v>56.3</v>
      </c>
      <c r="AQ78" s="62">
        <f>-CF!AQ34</f>
        <v>0</v>
      </c>
      <c r="AR78" s="62">
        <f>-CF!AR34</f>
        <v>0</v>
      </c>
      <c r="AS78" s="62">
        <f>-CF!AS34</f>
        <v>0</v>
      </c>
      <c r="AT78" s="62">
        <f>-CF!AT34</f>
        <v>0</v>
      </c>
      <c r="AU78" s="62">
        <f>-CF!AU34</f>
        <v>0</v>
      </c>
      <c r="AV78" s="62">
        <f>-CF!AV34</f>
        <v>0</v>
      </c>
      <c r="AW78" s="62">
        <f>-CF!AW34</f>
        <v>0</v>
      </c>
      <c r="AX78" s="62">
        <f>-CF!AX34</f>
        <v>0</v>
      </c>
      <c r="AY78" s="62">
        <f>-CF!AY34</f>
        <v>0</v>
      </c>
    </row>
    <row r="79" spans="1:84">
      <c r="T79" s="6"/>
      <c r="U79" s="6"/>
      <c r="V79" s="6"/>
      <c r="W79" s="6"/>
      <c r="X79" s="6"/>
      <c r="Y79" s="6"/>
      <c r="Z79" s="6"/>
      <c r="AA79" s="6"/>
      <c r="AB79" s="6"/>
      <c r="AC79" s="6"/>
      <c r="AD79" s="6"/>
      <c r="AE79" s="6"/>
      <c r="AF79" s="6"/>
      <c r="AG79" s="6"/>
      <c r="AH79" s="6"/>
      <c r="AI79" s="6"/>
      <c r="AJ79" s="6"/>
      <c r="AK79" s="6"/>
      <c r="AL79" s="6"/>
      <c r="AM79" s="6"/>
      <c r="AN79" s="6"/>
      <c r="AO79" s="6"/>
    </row>
    <row r="80" spans="1:84">
      <c r="B80" t="s">
        <v>427</v>
      </c>
      <c r="H80" s="6">
        <f>+SUM(AA80:AD80)</f>
        <v>22.400000000000002</v>
      </c>
      <c r="I80" s="6">
        <f>+SUM(AB80:AE80)</f>
        <v>24.7</v>
      </c>
      <c r="J80" s="6">
        <f>+SUM(AF80:AI80)</f>
        <v>27.299999999999997</v>
      </c>
      <c r="K80" s="6">
        <f>+SUM(AJ80:AM80)</f>
        <v>28.9</v>
      </c>
      <c r="L80" s="6">
        <f ca="1">+SUM(AN80:AQ80)</f>
        <v>33.309840498022751</v>
      </c>
      <c r="T80" s="6"/>
      <c r="U80" s="6"/>
      <c r="V80" s="6"/>
      <c r="W80" s="6"/>
      <c r="X80" s="41">
        <f>-CF!X80</f>
        <v>5.0999999999999996</v>
      </c>
      <c r="Y80" s="41">
        <f>-CF!Y80</f>
        <v>4.9000000000000004</v>
      </c>
      <c r="Z80" s="41">
        <f>-CF!Z80</f>
        <v>4.9000000000000004</v>
      </c>
      <c r="AA80" s="41">
        <f>-CF!AA80</f>
        <v>5.2</v>
      </c>
      <c r="AB80" s="41">
        <f>-CF!AB80</f>
        <v>5.7</v>
      </c>
      <c r="AC80" s="41">
        <f>-CF!AC80</f>
        <v>5.7</v>
      </c>
      <c r="AD80" s="41">
        <f>-CF!AD80</f>
        <v>5.8</v>
      </c>
      <c r="AE80" s="41">
        <f>-CF!AE80</f>
        <v>7.5</v>
      </c>
      <c r="AF80" s="41">
        <f>-CF!AF80</f>
        <v>7</v>
      </c>
      <c r="AG80" s="41">
        <f>-CF!AG80</f>
        <v>6.5</v>
      </c>
      <c r="AH80" s="41">
        <f>-CF!AH80</f>
        <v>8.1999999999999993</v>
      </c>
      <c r="AI80" s="41">
        <f>-CF!AI80</f>
        <v>5.6</v>
      </c>
      <c r="AJ80" s="41">
        <f>-CF!AJ80</f>
        <v>7.1</v>
      </c>
      <c r="AK80" s="41">
        <f>-CF!AK80</f>
        <v>7.5</v>
      </c>
      <c r="AL80" s="41">
        <f>-CF!AL80</f>
        <v>7.2</v>
      </c>
      <c r="AM80" s="41">
        <f>-CF!AM80</f>
        <v>7.1</v>
      </c>
      <c r="AN80" s="41">
        <f>-CF!AN80</f>
        <v>6.6</v>
      </c>
      <c r="AO80" s="41">
        <f>-CF!AO80</f>
        <v>5.4</v>
      </c>
      <c r="AP80" s="6">
        <f ca="1">+(Rev!AP35-Rev!AP276)*AP82</f>
        <v>10.598446086217363</v>
      </c>
      <c r="AQ80" s="6">
        <f ca="1">+(Rev!AQ35-Rev!AQ276)*AQ82</f>
        <v>10.711394411805388</v>
      </c>
      <c r="AR80" s="6">
        <f ca="1">+(Rev!AR35-Rev!AR276)*AR82</f>
        <v>10.833513783683786</v>
      </c>
      <c r="AS80" s="6">
        <f ca="1">+(Rev!AS35-Rev!AS276)*AS82</f>
        <v>10.964383775452621</v>
      </c>
      <c r="AT80" s="6">
        <f ca="1">+(Rev!AT35-Rev!AT276)*AT82</f>
        <v>11.101977675758485</v>
      </c>
      <c r="AU80" s="6">
        <f ca="1">+(Rev!AU35-Rev!AU276)*AU82</f>
        <v>11.244390101204111</v>
      </c>
      <c r="AV80" s="6">
        <f ca="1">+(Rev!AV35-Rev!AV276)*AV82</f>
        <v>11.39117980795392</v>
      </c>
      <c r="AW80" s="6">
        <f ca="1">+(Rev!AW35-Rev!AW276)*AW82</f>
        <v>11.541934908584487</v>
      </c>
      <c r="AX80" s="6">
        <f ca="1">+(Rev!AX35-Rev!AX276)*AX82</f>
        <v>11.696264156285865</v>
      </c>
      <c r="AY80" s="6">
        <f ca="1">+(Rev!AY35-Rev!AY276)*AY82</f>
        <v>11.85379122041647</v>
      </c>
    </row>
    <row r="81" spans="1:84">
      <c r="B81" s="7" t="s">
        <v>434</v>
      </c>
      <c r="G81" s="2"/>
      <c r="H81" s="2">
        <f>+H80/IS!H5</f>
        <v>1.9943246833308358E-2</v>
      </c>
      <c r="I81" s="2">
        <f>+I80/IS!I5</f>
        <v>1.8335684062059238E-2</v>
      </c>
      <c r="J81" s="2">
        <f>+J80/IS!J5</f>
        <v>1.5856420979264679E-2</v>
      </c>
      <c r="K81" s="2">
        <f>+K80/IS!K5</f>
        <v>1.3137557959814528E-2</v>
      </c>
      <c r="L81" s="2">
        <f ca="1">+L80/IS!L5</f>
        <v>1.2773928581935079E-2</v>
      </c>
      <c r="M81" s="2"/>
      <c r="N81" s="2"/>
      <c r="T81" s="2"/>
      <c r="U81" s="2"/>
      <c r="V81" s="2"/>
      <c r="W81" s="2"/>
      <c r="X81" s="2">
        <f>+X80/IS!X5</f>
        <v>1.9026245822382135E-2</v>
      </c>
      <c r="Y81" s="2">
        <f>+Y80/IS!Y5</f>
        <v>1.7691055141589945E-2</v>
      </c>
      <c r="Z81" s="2">
        <f>+Z80/IS!Z5</f>
        <v>1.7413371737458268E-2</v>
      </c>
      <c r="AA81" s="2">
        <f>+AA80/IS!AA5</f>
        <v>1.7522142293567414E-2</v>
      </c>
      <c r="AB81" s="2">
        <f>+AB80/IS!AB5</f>
        <v>1.7779164067373673E-2</v>
      </c>
      <c r="AC81" s="2">
        <f>+AC80/IS!AC5</f>
        <v>1.7598024081506639E-2</v>
      </c>
      <c r="AD81" s="2">
        <f>+AD80/IS!AD5</f>
        <v>1.7023774581743468E-2</v>
      </c>
      <c r="AE81" s="2">
        <f>+AE80/IS!AE5</f>
        <v>2.072395689416966E-2</v>
      </c>
      <c r="AF81" s="2">
        <f>+AF80/IS!AF5</f>
        <v>1.9083969465648856E-2</v>
      </c>
      <c r="AG81" s="2">
        <f>+AG80/IS!AG5</f>
        <v>1.7586580086580084E-2</v>
      </c>
      <c r="AH81" s="2">
        <f>+AH80/IS!AH5</f>
        <v>1.715481171548117E-2</v>
      </c>
      <c r="AI81" s="2">
        <f>+AI80/IS!AI5</f>
        <v>1.1038833037650304E-2</v>
      </c>
      <c r="AJ81" s="2">
        <f>+AJ80/IS!AJ5</f>
        <v>1.4062190532778768E-2</v>
      </c>
      <c r="AK81" s="2">
        <f>+AK80/IS!AK5</f>
        <v>1.4801657785671996E-2</v>
      </c>
      <c r="AL81" s="2">
        <f>+AL80/IS!AL5</f>
        <v>1.3086150490730643E-2</v>
      </c>
      <c r="AM81" s="2">
        <f>+AM80/IS!AM5</f>
        <v>1.1128526645768024E-2</v>
      </c>
      <c r="AN81" s="2">
        <f>+AN80/IS!AN5</f>
        <v>1.0256410256410256E-2</v>
      </c>
      <c r="AO81" s="2">
        <f>+AO80/IS!AO5</f>
        <v>8.2631981637337412E-3</v>
      </c>
      <c r="AP81" s="2">
        <f ca="1">+AP80/IS!AP5</f>
        <v>1.6235245231391315E-2</v>
      </c>
      <c r="AQ81" s="2">
        <f ca="1">+AQ80/IS!AQ5</f>
        <v>1.6282728478165483E-2</v>
      </c>
      <c r="AR81" s="2">
        <f ca="1">+AR80/IS!AR5</f>
        <v>1.6331952414362062E-2</v>
      </c>
      <c r="AS81" s="2">
        <f ca="1">+AS80/IS!AS5</f>
        <v>1.6382659076756526E-2</v>
      </c>
      <c r="AT81" s="2">
        <f ca="1">+AT80/IS!AT5</f>
        <v>1.6434175748483316E-2</v>
      </c>
      <c r="AU81" s="2">
        <f ca="1">+AU80/IS!AU5</f>
        <v>1.648591281405444E-2</v>
      </c>
      <c r="AV81" s="2">
        <f ca="1">+AV80/IS!AV5</f>
        <v>1.6537698517078363E-2</v>
      </c>
      <c r="AW81" s="2">
        <f ca="1">+AW80/IS!AW5</f>
        <v>1.6589381307146243E-2</v>
      </c>
      <c r="AX81" s="2">
        <f ca="1">+AX80/IS!AX5</f>
        <v>1.6640826700257197E-2</v>
      </c>
      <c r="AY81" s="2">
        <f ca="1">+AY80/IS!AY5</f>
        <v>1.6691915054886777E-2</v>
      </c>
    </row>
    <row r="82" spans="1:84">
      <c r="B82" s="7" t="s">
        <v>435</v>
      </c>
      <c r="G82" s="2"/>
      <c r="H82" s="2"/>
      <c r="I82" s="2">
        <f>+I80/(Rev!I35-Rev!I276)</f>
        <v>1.8335684062059238E-2</v>
      </c>
      <c r="J82" s="2">
        <f>+J80/(Rev!J35-Rev!J276)</f>
        <v>1.5856420979264679E-2</v>
      </c>
      <c r="K82" s="2">
        <f>+K80/(Rev!K35-Rev!K276)</f>
        <v>1.5400651410252035E-2</v>
      </c>
      <c r="L82" s="2">
        <f ca="1">+L80/(Rev!L35-Rev!L276)</f>
        <v>1.5776993473739145E-2</v>
      </c>
      <c r="M82" s="2"/>
      <c r="N82" s="2"/>
      <c r="T82" s="2"/>
      <c r="U82" s="2"/>
      <c r="V82" s="2"/>
      <c r="W82" s="2"/>
      <c r="X82" s="2">
        <f>+X80/(Rev!X35-Rev!X276)</f>
        <v>1.9026245822382135E-2</v>
      </c>
      <c r="Y82" s="2">
        <f>+Y80/(Rev!Y35-Rev!Y276)</f>
        <v>1.7691055141589945E-2</v>
      </c>
      <c r="Z82" s="2">
        <f>+Z80/(Rev!Z35-Rev!Z276)</f>
        <v>1.7413371737458268E-2</v>
      </c>
      <c r="AA82" s="2">
        <f>+AA80/(Rev!AA35-Rev!AA276)</f>
        <v>1.7522142293567414E-2</v>
      </c>
      <c r="AB82" s="2">
        <f>+AB80/(Rev!AB35-Rev!AB276)</f>
        <v>1.7779164067373673E-2</v>
      </c>
      <c r="AC82" s="2">
        <f>+AC80/(Rev!AC35-Rev!AC276)</f>
        <v>1.7598024081506639E-2</v>
      </c>
      <c r="AD82" s="2">
        <f>+AD80/(Rev!AD35-Rev!AD276)</f>
        <v>1.7023774581743468E-2</v>
      </c>
      <c r="AE82" s="2">
        <f>+AE80/(Rev!AE35-Rev!AE276)</f>
        <v>2.072395689416966E-2</v>
      </c>
      <c r="AF82" s="2">
        <f>+AF80/(Rev!AF35-Rev!AF276)</f>
        <v>1.9083969465648856E-2</v>
      </c>
      <c r="AG82" s="2">
        <f>+AG80/(Rev!AG35-Rev!AG276)</f>
        <v>1.7586580086580084E-2</v>
      </c>
      <c r="AH82" s="2">
        <f>+AH80/(Rev!AH35-Rev!AH276)</f>
        <v>1.715481171548117E-2</v>
      </c>
      <c r="AI82" s="2">
        <f>+AI80/(Rev!AI35-Rev!AI276)</f>
        <v>1.1038833037650304E-2</v>
      </c>
      <c r="AJ82" s="2">
        <f>+AJ80/(Rev!AJ35-Rev!AJ276)</f>
        <v>1.5870905074574365E-2</v>
      </c>
      <c r="AK82" s="2">
        <f>+AK80/(Rev!AK35-Rev!AK276)</f>
        <v>1.669692483385057E-2</v>
      </c>
      <c r="AL82" s="2">
        <f>+AL80/(Rev!AL35-Rev!AL276)</f>
        <v>1.5289870460819706E-2</v>
      </c>
      <c r="AM82" s="2">
        <f>+AM80/(Rev!AM35-Rev!AM276)</f>
        <v>1.3946179532508346E-2</v>
      </c>
      <c r="AN82" s="2">
        <f>+AN80/(Rev!AN35-Rev!AN276)</f>
        <v>1.2795657231485073E-2</v>
      </c>
      <c r="AO82" s="2">
        <f>+AO80/(Rev!AO35-Rev!AO276)</f>
        <v>1.0188679245283019E-2</v>
      </c>
      <c r="AP82" s="31">
        <v>0.02</v>
      </c>
      <c r="AQ82" s="31">
        <v>0.02</v>
      </c>
      <c r="AR82" s="31">
        <v>0.02</v>
      </c>
      <c r="AS82" s="31">
        <v>0.02</v>
      </c>
      <c r="AT82" s="31">
        <v>0.02</v>
      </c>
      <c r="AU82" s="31">
        <v>0.02</v>
      </c>
      <c r="AV82" s="31">
        <v>0.02</v>
      </c>
      <c r="AW82" s="31">
        <v>0.02</v>
      </c>
      <c r="AX82" s="31">
        <v>0.02</v>
      </c>
      <c r="AY82" s="31">
        <v>0.02</v>
      </c>
    </row>
    <row r="83" spans="1:84">
      <c r="T83" s="6"/>
      <c r="U83" s="6"/>
      <c r="V83" s="6"/>
      <c r="W83" s="6"/>
      <c r="X83" s="6"/>
      <c r="Y83" s="6"/>
      <c r="Z83" s="6"/>
      <c r="AA83" s="6"/>
      <c r="AB83" s="6"/>
      <c r="AC83" s="6"/>
      <c r="AD83" s="6"/>
      <c r="AE83" s="6"/>
      <c r="AF83" s="6"/>
      <c r="AG83" s="6"/>
      <c r="AH83" s="6"/>
      <c r="AI83" s="6"/>
      <c r="AJ83" s="6"/>
      <c r="AK83" s="6"/>
      <c r="AL83" s="6"/>
      <c r="AM83" s="6"/>
      <c r="AN83" s="6"/>
      <c r="AO83" s="6"/>
    </row>
    <row r="84" spans="1:84" s="1" customFormat="1">
      <c r="A84" s="49" t="s">
        <v>40</v>
      </c>
      <c r="B84" s="27" t="s">
        <v>168</v>
      </c>
      <c r="CA84"/>
      <c r="CB84"/>
      <c r="CC84"/>
      <c r="CD84"/>
      <c r="CE84"/>
      <c r="CF84"/>
    </row>
    <row r="86" spans="1:84" s="61" customFormat="1">
      <c r="A86"/>
      <c r="B86" t="s">
        <v>169</v>
      </c>
      <c r="C86"/>
      <c r="D86"/>
      <c r="E86"/>
      <c r="F86"/>
      <c r="G86" s="6">
        <f>+W86</f>
        <v>2881.578</v>
      </c>
      <c r="H86" s="6">
        <f>+AA86</f>
        <v>3242.335</v>
      </c>
      <c r="I86" s="6">
        <f>+AE86</f>
        <v>3772.7350000000001</v>
      </c>
      <c r="J86" s="6">
        <f>+AI86</f>
        <v>4476.835</v>
      </c>
      <c r="K86" s="6">
        <f>+AM86</f>
        <v>5312.3350000000009</v>
      </c>
      <c r="L86" s="6">
        <f ca="1">+AQ86</f>
        <v>6201.1038182541815</v>
      </c>
      <c r="M86" s="6">
        <f ca="1">+AU86</f>
        <v>7142.6747643429226</v>
      </c>
      <c r="N86" s="6">
        <f ca="1">+AY86</f>
        <v>8050.8057239420768</v>
      </c>
      <c r="O86"/>
      <c r="P86"/>
      <c r="Q86"/>
      <c r="R86"/>
      <c r="S86"/>
      <c r="T86" s="41"/>
      <c r="U86" s="41"/>
      <c r="V86" s="41"/>
      <c r="W86" s="19">
        <v>2881.578</v>
      </c>
      <c r="X86" s="18">
        <f t="shared" ref="X86:AN86" si="152">+W86+X69</f>
        <v>2968.2499964822209</v>
      </c>
      <c r="Y86" s="18">
        <f t="shared" si="152"/>
        <v>3056.5267601901273</v>
      </c>
      <c r="Z86" s="18">
        <f t="shared" si="152"/>
        <v>3147.4494879742219</v>
      </c>
      <c r="AA86" s="18">
        <f t="shared" si="152"/>
        <v>3242.335</v>
      </c>
      <c r="AB86" s="18">
        <f t="shared" si="152"/>
        <v>3357.6350000000002</v>
      </c>
      <c r="AC86" s="18">
        <f t="shared" si="152"/>
        <v>3487.1350000000002</v>
      </c>
      <c r="AD86" s="18">
        <f t="shared" si="152"/>
        <v>3617.2350000000001</v>
      </c>
      <c r="AE86" s="18">
        <f t="shared" si="152"/>
        <v>3772.7350000000001</v>
      </c>
      <c r="AF86" s="18">
        <f t="shared" si="152"/>
        <v>3931.9349999999999</v>
      </c>
      <c r="AG86" s="18">
        <f t="shared" si="152"/>
        <v>4104.335</v>
      </c>
      <c r="AH86" s="18">
        <f t="shared" si="152"/>
        <v>4289.4350000000004</v>
      </c>
      <c r="AI86" s="18">
        <f t="shared" si="152"/>
        <v>4476.835</v>
      </c>
      <c r="AJ86" s="18">
        <f t="shared" si="152"/>
        <v>4685.1350000000002</v>
      </c>
      <c r="AK86" s="18">
        <f t="shared" si="152"/>
        <v>4898.7350000000006</v>
      </c>
      <c r="AL86" s="18">
        <f t="shared" si="152"/>
        <v>5107.0350000000008</v>
      </c>
      <c r="AM86" s="18">
        <f t="shared" si="152"/>
        <v>5312.3350000000009</v>
      </c>
      <c r="AN86" s="18">
        <f t="shared" si="152"/>
        <v>5505.7350000000006</v>
      </c>
      <c r="AO86" s="18">
        <f>+AN86+AO69</f>
        <v>5699.1350000000002</v>
      </c>
      <c r="AP86" s="18">
        <f t="shared" ref="AP86:AY86" ca="1" si="153">+AO86+AP69+AP78</f>
        <v>5970.8605854225871</v>
      </c>
      <c r="AQ86" s="18">
        <f t="shared" ca="1" si="153"/>
        <v>6201.1038182541815</v>
      </c>
      <c r="AR86" s="18">
        <f t="shared" ca="1" si="153"/>
        <v>6433.2701709405228</v>
      </c>
      <c r="AS86" s="18">
        <f t="shared" ca="1" si="153"/>
        <v>6667.5138491754597</v>
      </c>
      <c r="AT86" s="18">
        <f t="shared" ca="1" si="153"/>
        <v>6903.9535858549261</v>
      </c>
      <c r="AU86" s="18">
        <f t="shared" ca="1" si="153"/>
        <v>7142.6747643429226</v>
      </c>
      <c r="AV86" s="18">
        <f t="shared" ca="1" si="153"/>
        <v>7383.7550409404557</v>
      </c>
      <c r="AW86" s="18">
        <f t="shared" ca="1" si="153"/>
        <v>7627.2648586492323</v>
      </c>
      <c r="AX86" s="18">
        <f t="shared" ca="1" si="153"/>
        <v>7873.2678084087402</v>
      </c>
      <c r="AY86" s="18">
        <f t="shared" ca="1" si="153"/>
        <v>8050.8057239420768</v>
      </c>
      <c r="CA86"/>
      <c r="CB86"/>
      <c r="CC86"/>
      <c r="CD86"/>
      <c r="CE86"/>
      <c r="CF86"/>
    </row>
    <row r="87" spans="1:84">
      <c r="B87" t="s">
        <v>171</v>
      </c>
      <c r="G87" s="6">
        <f>+W87</f>
        <v>-443.87099999999998</v>
      </c>
      <c r="H87" s="6">
        <f>+AA87</f>
        <v>-434.02100000000019</v>
      </c>
      <c r="I87" s="6">
        <f>+AE87</f>
        <v>-473.53500000000031</v>
      </c>
      <c r="J87" s="6">
        <f>+AI87</f>
        <v>-397.33500000000004</v>
      </c>
      <c r="K87" s="6">
        <f>+AM87</f>
        <v>-296.33500000000095</v>
      </c>
      <c r="L87" s="6">
        <f ca="1">+AQ87</f>
        <v>-947.47715700747108</v>
      </c>
      <c r="M87" s="6">
        <f ca="1">+AU87</f>
        <v>-1753.1612036439644</v>
      </c>
      <c r="N87" s="6">
        <f ca="1">+AY87</f>
        <v>-2655.209541772776</v>
      </c>
      <c r="T87" s="41"/>
      <c r="U87" s="41"/>
      <c r="V87" s="41"/>
      <c r="W87" s="19">
        <v>-443.87099999999998</v>
      </c>
      <c r="X87" s="18">
        <f t="shared" ref="X87:AC87" si="154">+X88-X86</f>
        <v>-496.81744364847282</v>
      </c>
      <c r="Y87" s="18">
        <f t="shared" si="154"/>
        <v>-551.19280122075907</v>
      </c>
      <c r="Z87" s="18">
        <f t="shared" si="154"/>
        <v>-617.84822158495399</v>
      </c>
      <c r="AA87" s="18">
        <f t="shared" si="154"/>
        <v>-434.02100000000019</v>
      </c>
      <c r="AB87" s="18">
        <f t="shared" si="154"/>
        <v>-461.9350000000004</v>
      </c>
      <c r="AC87" s="18">
        <f t="shared" si="154"/>
        <v>-556.53500000000031</v>
      </c>
      <c r="AD87" s="18">
        <f t="shared" ref="AD87:AI87" si="155">+AD88-AD86</f>
        <v>-418.03500000000031</v>
      </c>
      <c r="AE87" s="18">
        <f t="shared" si="155"/>
        <v>-473.53500000000031</v>
      </c>
      <c r="AF87" s="18">
        <f t="shared" si="155"/>
        <v>-582.93499999999995</v>
      </c>
      <c r="AG87" s="18">
        <f t="shared" si="155"/>
        <v>-478.23500000000013</v>
      </c>
      <c r="AH87" s="18">
        <f t="shared" si="155"/>
        <v>-255.73500000000058</v>
      </c>
      <c r="AI87" s="18">
        <f t="shared" si="155"/>
        <v>-397.33500000000004</v>
      </c>
      <c r="AJ87" s="18">
        <f t="shared" ref="AJ87:AK87" si="156">+AJ88-AJ86</f>
        <v>-516.03499999999985</v>
      </c>
      <c r="AK87" s="18">
        <f t="shared" si="156"/>
        <v>-612.23500000000058</v>
      </c>
      <c r="AL87" s="18">
        <f t="shared" ref="AL87" si="157">+AL88-AL86</f>
        <v>-267.53500000000076</v>
      </c>
      <c r="AM87" s="18">
        <f t="shared" ref="AM87:AN87" si="158">+AM88-AM86</f>
        <v>-296.33500000000095</v>
      </c>
      <c r="AN87" s="18">
        <f t="shared" si="158"/>
        <v>-452.13500000000022</v>
      </c>
      <c r="AO87" s="18">
        <f t="shared" ref="AO87" si="159">+AO88-AO86</f>
        <v>-569.73500000000058</v>
      </c>
      <c r="AP87" s="18">
        <f t="shared" ref="AP87:AY87" ca="1" si="160">+AO87-AP105</f>
        <v>-757.17901065622527</v>
      </c>
      <c r="AQ87" s="18">
        <f t="shared" ca="1" si="160"/>
        <v>-947.47715700747108</v>
      </c>
      <c r="AR87" s="18">
        <f t="shared" ca="1" si="160"/>
        <v>-1141.6236577944496</v>
      </c>
      <c r="AS87" s="18">
        <f t="shared" ca="1" si="160"/>
        <v>-1340.2294340713147</v>
      </c>
      <c r="AT87" s="18">
        <f t="shared" ca="1" si="160"/>
        <v>-1543.8852219880071</v>
      </c>
      <c r="AU87" s="18">
        <f t="shared" ca="1" si="160"/>
        <v>-1753.1612036439644</v>
      </c>
      <c r="AV87" s="18">
        <f t="shared" ca="1" si="160"/>
        <v>-1968.607322957519</v>
      </c>
      <c r="AW87" s="18">
        <f t="shared" ca="1" si="160"/>
        <v>-2190.7542466036493</v>
      </c>
      <c r="AX87" s="18">
        <f t="shared" ca="1" si="160"/>
        <v>-2420.1142728157643</v>
      </c>
      <c r="AY87" s="18">
        <f t="shared" ca="1" si="160"/>
        <v>-2655.209541772776</v>
      </c>
    </row>
    <row r="88" spans="1:84">
      <c r="B88" t="s">
        <v>98</v>
      </c>
      <c r="G88" s="6">
        <f>+W88</f>
        <v>2437.7069999999999</v>
      </c>
      <c r="H88" s="6">
        <f>+AA88</f>
        <v>2808.3139999999999</v>
      </c>
      <c r="I88" s="6">
        <f>+AE88</f>
        <v>3299.2</v>
      </c>
      <c r="J88" s="6">
        <f>+AI88</f>
        <v>4079.5</v>
      </c>
      <c r="K88" s="6">
        <f>+AM88</f>
        <v>5016</v>
      </c>
      <c r="L88" s="6">
        <f ca="1">+AQ88</f>
        <v>5253.6266612467107</v>
      </c>
      <c r="M88" s="6">
        <f ca="1">+AU88</f>
        <v>5389.5135606989579</v>
      </c>
      <c r="N88" s="6">
        <f ca="1">+AY88</f>
        <v>5395.5961821693008</v>
      </c>
      <c r="T88" s="6">
        <v>2275.1079024680571</v>
      </c>
      <c r="U88" s="6">
        <v>2346.0538122564039</v>
      </c>
      <c r="V88" s="6">
        <v>2363.3393046365077</v>
      </c>
      <c r="W88" s="6">
        <f>SUM(W86:W87)</f>
        <v>2437.7069999999999</v>
      </c>
      <c r="X88" s="19">
        <v>2471.4325528337481</v>
      </c>
      <c r="Y88" s="19">
        <v>2505.3339589693683</v>
      </c>
      <c r="Z88" s="19">
        <v>2529.6012663892679</v>
      </c>
      <c r="AA88" s="6">
        <f t="shared" ref="AA88:AK88" si="161">+AA13</f>
        <v>2808.3139999999999</v>
      </c>
      <c r="AB88" s="6">
        <f t="shared" si="161"/>
        <v>2895.7</v>
      </c>
      <c r="AC88" s="6">
        <f t="shared" si="161"/>
        <v>2930.6</v>
      </c>
      <c r="AD88" s="6">
        <f t="shared" si="161"/>
        <v>3199.2</v>
      </c>
      <c r="AE88" s="6">
        <f t="shared" si="161"/>
        <v>3299.2</v>
      </c>
      <c r="AF88" s="6">
        <f t="shared" si="161"/>
        <v>3349</v>
      </c>
      <c r="AG88" s="6">
        <f t="shared" si="161"/>
        <v>3626.1</v>
      </c>
      <c r="AH88" s="6">
        <f t="shared" si="161"/>
        <v>4033.7</v>
      </c>
      <c r="AI88" s="6">
        <f t="shared" si="161"/>
        <v>4079.5</v>
      </c>
      <c r="AJ88" s="6">
        <f t="shared" si="161"/>
        <v>4169.1000000000004</v>
      </c>
      <c r="AK88" s="6">
        <f t="shared" si="161"/>
        <v>4286.5</v>
      </c>
      <c r="AL88" s="6">
        <f t="shared" ref="AL88" si="162">+AL13</f>
        <v>4839.5</v>
      </c>
      <c r="AM88" s="6">
        <f t="shared" ref="AM88:AN88" si="163">+AM13</f>
        <v>5016</v>
      </c>
      <c r="AN88" s="6">
        <f t="shared" si="163"/>
        <v>5053.6000000000004</v>
      </c>
      <c r="AO88" s="6">
        <f t="shared" ref="AO88" si="164">+AO13</f>
        <v>5129.3999999999996</v>
      </c>
      <c r="AP88" s="6">
        <f t="shared" ref="AP88:AY88" ca="1" si="165">SUM(AP86:AP87)</f>
        <v>5213.6815747663622</v>
      </c>
      <c r="AQ88" s="6">
        <f t="shared" ca="1" si="165"/>
        <v>5253.6266612467107</v>
      </c>
      <c r="AR88" s="6">
        <f t="shared" ca="1" si="165"/>
        <v>5291.6465131460736</v>
      </c>
      <c r="AS88" s="6">
        <f t="shared" ca="1" si="165"/>
        <v>5327.2844151041445</v>
      </c>
      <c r="AT88" s="6">
        <f t="shared" ca="1" si="165"/>
        <v>5360.0683638669188</v>
      </c>
      <c r="AU88" s="6">
        <f t="shared" ca="1" si="165"/>
        <v>5389.5135606989579</v>
      </c>
      <c r="AV88" s="6">
        <f t="shared" ca="1" si="165"/>
        <v>5415.1477179829362</v>
      </c>
      <c r="AW88" s="6">
        <f t="shared" ca="1" si="165"/>
        <v>5436.510612045583</v>
      </c>
      <c r="AX88" s="6">
        <f t="shared" ca="1" si="165"/>
        <v>5453.1535355929755</v>
      </c>
      <c r="AY88" s="6">
        <f t="shared" ca="1" si="165"/>
        <v>5395.5961821693008</v>
      </c>
    </row>
    <row r="89" spans="1:84">
      <c r="T89" s="6"/>
      <c r="U89" s="6"/>
      <c r="V89" s="6"/>
      <c r="W89" s="6"/>
      <c r="X89" s="6"/>
      <c r="Y89" s="6"/>
      <c r="Z89" s="6"/>
      <c r="AA89" s="6"/>
      <c r="AB89" s="6"/>
      <c r="AC89" s="6"/>
      <c r="AD89" s="6"/>
      <c r="AE89" s="6"/>
      <c r="AF89" s="6"/>
      <c r="AG89" s="6"/>
      <c r="AH89" s="6"/>
      <c r="AI89" s="6"/>
      <c r="AJ89" s="6"/>
      <c r="AK89" s="6"/>
      <c r="AL89" s="6"/>
      <c r="AM89" s="6"/>
      <c r="AN89" s="6"/>
      <c r="AO89" s="6"/>
      <c r="AP89" s="6"/>
      <c r="AQ89" s="6"/>
      <c r="AR89" s="6"/>
      <c r="AS89" s="6"/>
      <c r="AT89" s="6"/>
      <c r="AU89" s="6"/>
      <c r="AV89" s="6"/>
      <c r="AW89" s="6"/>
      <c r="AX89" s="6"/>
      <c r="AY89" s="6"/>
    </row>
    <row r="90" spans="1:84">
      <c r="B90" s="45" t="s">
        <v>57</v>
      </c>
      <c r="T90" s="6"/>
      <c r="U90" s="6"/>
      <c r="V90" s="6"/>
      <c r="W90" s="6"/>
      <c r="X90" s="6"/>
      <c r="Y90" s="6"/>
      <c r="Z90" s="6"/>
      <c r="AA90" s="6"/>
      <c r="AB90" s="6"/>
      <c r="AC90" s="6"/>
      <c r="AD90" s="6"/>
      <c r="AE90" s="6"/>
      <c r="AF90" s="6"/>
      <c r="AG90" s="6"/>
      <c r="AH90" s="6"/>
      <c r="AI90" s="6"/>
      <c r="AJ90" s="6"/>
      <c r="AK90" s="6"/>
      <c r="AL90" s="6"/>
      <c r="AM90" s="6"/>
      <c r="AN90" s="6"/>
      <c r="AO90" s="6"/>
      <c r="AP90" s="6"/>
      <c r="AQ90" s="6"/>
      <c r="AR90" s="6"/>
      <c r="AS90" s="6"/>
      <c r="AT90" s="6"/>
      <c r="AU90" s="6"/>
      <c r="AV90" s="6"/>
      <c r="AW90" s="6"/>
      <c r="AX90" s="6"/>
      <c r="AY90" s="6"/>
    </row>
    <row r="91" spans="1:84">
      <c r="B91" t="s">
        <v>170</v>
      </c>
      <c r="G91" s="6">
        <f>+SUM(T91:W91)</f>
        <v>280.12762928716529</v>
      </c>
      <c r="H91" s="6">
        <f>+SUM(X91:AA91)</f>
        <v>294.12579705574319</v>
      </c>
      <c r="I91" s="6">
        <f>+SUM(AB91:AE91)</f>
        <v>360.36994395528757</v>
      </c>
      <c r="J91" s="6">
        <f>+SUM(AF91:AI91)</f>
        <v>470.46994395528765</v>
      </c>
      <c r="K91" s="6">
        <f>+SUM(AJ91:AM91)</f>
        <v>561.06994395528773</v>
      </c>
      <c r="L91" s="6">
        <f>+SUM(AN91:AQ91)</f>
        <v>690.47935151013223</v>
      </c>
      <c r="M91" s="6">
        <f>+SUM(AR91:AU91)</f>
        <v>562.63477456596786</v>
      </c>
      <c r="N91" s="6">
        <f>+SUM(AV91:AY91)</f>
        <v>447.64345189875962</v>
      </c>
      <c r="T91" s="41">
        <f>IS!T16</f>
        <v>69.540835506875254</v>
      </c>
      <c r="U91" s="41">
        <f>IS!U16</f>
        <v>72.996831719316205</v>
      </c>
      <c r="V91" s="41">
        <f>IS!V16</f>
        <v>68.434216350104862</v>
      </c>
      <c r="W91" s="41">
        <f>IS!W16</f>
        <v>69.155745710869013</v>
      </c>
      <c r="X91" s="41">
        <f>IS!X16</f>
        <v>69.579887274818716</v>
      </c>
      <c r="Y91" s="41">
        <f>IS!Y16</f>
        <v>71.999846475701389</v>
      </c>
      <c r="Z91" s="41">
        <f>IS!Z16</f>
        <v>72.666330594051175</v>
      </c>
      <c r="AA91" s="41">
        <f>IS!AA16</f>
        <v>79.879732711171911</v>
      </c>
      <c r="AB91" s="41">
        <f>IS!AB16</f>
        <v>84.542485988821909</v>
      </c>
      <c r="AC91" s="41">
        <f>IS!AC16</f>
        <v>85.442485988821915</v>
      </c>
      <c r="AD91" s="41">
        <f>IS!AD16</f>
        <v>88.642485988821903</v>
      </c>
      <c r="AE91" s="41">
        <f>IS!AE16</f>
        <v>101.74248598882187</v>
      </c>
      <c r="AF91" s="41">
        <f>IS!AF16</f>
        <v>105.6424859888219</v>
      </c>
      <c r="AG91" s="41">
        <f>IS!AG16</f>
        <v>102.24248598882191</v>
      </c>
      <c r="AH91" s="41">
        <f>IS!AH16</f>
        <v>125.7424859888219</v>
      </c>
      <c r="AI91" s="41">
        <f>IS!AI16</f>
        <v>136.84248598882192</v>
      </c>
      <c r="AJ91" s="41">
        <f>IS!AJ16</f>
        <v>127.04248598882191</v>
      </c>
      <c r="AK91" s="41">
        <f>IS!AK16</f>
        <v>119.94248598882191</v>
      </c>
      <c r="AL91" s="41">
        <f>IS!AL16</f>
        <v>144.2424859888219</v>
      </c>
      <c r="AM91" s="41">
        <f>IS!AM16</f>
        <v>169.84248598882192</v>
      </c>
      <c r="AN91" s="41">
        <f>IS!AN16</f>
        <v>172.6424859888219</v>
      </c>
      <c r="AO91" s="41">
        <f>IS!AO16</f>
        <v>184.44248598882191</v>
      </c>
      <c r="AP91" s="6">
        <f>($AO$88-SUM($X91:AO91))/$C$92/4</f>
        <v>171.45996661670833</v>
      </c>
      <c r="AQ91" s="6">
        <f>($AO$88-SUM($X91:AP91))/$C$92/4</f>
        <v>161.93441291578009</v>
      </c>
      <c r="AR91" s="6">
        <f>($AO$88-SUM($X91:AQ91))/$C$92/4</f>
        <v>152.93805664268118</v>
      </c>
      <c r="AS91" s="6">
        <f>($AO$88-SUM($X91:AR91))/$C$92/4</f>
        <v>144.44149794031</v>
      </c>
      <c r="AT91" s="6">
        <f>($AO$88-SUM($X91:AS91))/$C$92/4</f>
        <v>136.41697027695943</v>
      </c>
      <c r="AU91" s="6">
        <f>($AO$88-SUM($X91:AT91))/$C$92/4</f>
        <v>128.83824970601725</v>
      </c>
      <c r="AV91" s="6">
        <f>($AO$88-SUM($X91:AU91))/$C$92/4</f>
        <v>121.68056916679406</v>
      </c>
      <c r="AW91" s="6">
        <f>($AO$88-SUM($X91:AV91))/$C$92/4</f>
        <v>114.9205375464166</v>
      </c>
      <c r="AX91" s="6">
        <f>($AO$88-SUM($X91:AW91))/$C$92/4</f>
        <v>108.53606323828234</v>
      </c>
      <c r="AY91" s="6">
        <f>($AO$88-SUM($X91:AX91))/$C$92/4</f>
        <v>102.50628194726667</v>
      </c>
    </row>
    <row r="92" spans="1:84">
      <c r="C92" s="22">
        <v>4.5</v>
      </c>
      <c r="D92" s="22"/>
      <c r="E92" s="22"/>
      <c r="F92" s="22"/>
    </row>
    <row r="93" spans="1:84">
      <c r="B93" t="s">
        <v>377</v>
      </c>
      <c r="C93" s="6">
        <f ca="1">+AP69</f>
        <v>215.42558542258649</v>
      </c>
      <c r="D93" s="6"/>
      <c r="E93" s="6"/>
      <c r="F93" s="6"/>
      <c r="G93" s="6">
        <f t="shared" ref="G93:G102" si="166">+SUM(T93:W93)</f>
        <v>0</v>
      </c>
      <c r="H93" s="6">
        <f t="shared" ref="H93:H102" si="167">+SUM(X93:AA93)</f>
        <v>0</v>
      </c>
      <c r="I93" s="6">
        <f t="shared" ref="I93:I102" si="168">+SUM(AB93:AE93)</f>
        <v>0</v>
      </c>
      <c r="J93" s="6">
        <f t="shared" ref="J93:J102" si="169">+SUM(AF93:AI93)</f>
        <v>0</v>
      </c>
      <c r="K93" s="6">
        <f t="shared" ref="K93:K102" si="170">+SUM(AJ93:AM93)</f>
        <v>0</v>
      </c>
      <c r="L93" s="6">
        <f t="shared" ref="L93:L102" ca="1" si="171">+SUM(AN93:AQ93)</f>
        <v>17.952132118548874</v>
      </c>
      <c r="M93" s="6">
        <f t="shared" ref="M93:M102" ca="1" si="172">+SUM(AR93:AU93)</f>
        <v>47.872352316130332</v>
      </c>
      <c r="N93" s="6">
        <f t="shared" ref="N93:N102" ca="1" si="173">+SUM(AV93:AY93)</f>
        <v>47.872352316130332</v>
      </c>
      <c r="AP93" s="34">
        <f ca="1">($C93/$C$92)/4/2</f>
        <v>5.9840440395162915</v>
      </c>
      <c r="AQ93" s="6">
        <f ca="1">MAXA(0, MINA($C93/$C$92/4, $C93-SUM($T93:AP93)))</f>
        <v>11.968088079032583</v>
      </c>
      <c r="AR93" s="6">
        <f ca="1">MAXA(0, MINA($C93/$C$92/4, $C93-SUM($T93:AQ93)))</f>
        <v>11.968088079032583</v>
      </c>
      <c r="AS93" s="6">
        <f ca="1">MAXA(0, MINA($C93/$C$92/4, $C93-SUM($T93:AR93)))</f>
        <v>11.968088079032583</v>
      </c>
      <c r="AT93" s="6">
        <f ca="1">MAXA(0, MINA($C93/$C$92/4, $C93-SUM($T93:AS93)))</f>
        <v>11.968088079032583</v>
      </c>
      <c r="AU93" s="6">
        <f ca="1">MAXA(0, MINA($C93/$C$92/4, $C93-SUM($T93:AT93)))</f>
        <v>11.968088079032583</v>
      </c>
      <c r="AV93" s="6">
        <f ca="1">MAXA(0, MINA($C93/$C$92/4, $C93-SUM($T93:AU93)))</f>
        <v>11.968088079032583</v>
      </c>
      <c r="AW93" s="6">
        <f ca="1">MAXA(0, MINA($C93/$C$92/4, $C93-SUM($T93:AV93)))</f>
        <v>11.968088079032583</v>
      </c>
      <c r="AX93" s="6">
        <f ca="1">MAXA(0, MINA($C93/$C$92/4, $C93-SUM($T93:AW93)))</f>
        <v>11.968088079032583</v>
      </c>
      <c r="AY93" s="6">
        <f ca="1">MAXA(0, MINA($C93/$C$92/4, $C93-SUM($T93:AX93)))</f>
        <v>11.968088079032583</v>
      </c>
      <c r="AZ93" s="6"/>
      <c r="BA93" s="6"/>
      <c r="BB93" s="6"/>
      <c r="BC93" s="6"/>
      <c r="BD93" s="6"/>
      <c r="BE93" s="6"/>
      <c r="BF93" s="6"/>
      <c r="BG93" s="6"/>
      <c r="BH93" s="6"/>
      <c r="BI93" s="6"/>
      <c r="BJ93" s="6"/>
      <c r="BK93" s="6"/>
      <c r="BL93" s="6"/>
      <c r="BM93" s="6"/>
    </row>
    <row r="94" spans="1:84">
      <c r="B94" t="s">
        <v>378</v>
      </c>
      <c r="C94" s="6">
        <f ca="1">+AQ69</f>
        <v>230.24323283159427</v>
      </c>
      <c r="D94" s="6"/>
      <c r="E94" s="6"/>
      <c r="F94" s="6"/>
      <c r="G94" s="6">
        <f t="shared" si="166"/>
        <v>0</v>
      </c>
      <c r="H94" s="6">
        <f t="shared" si="167"/>
        <v>0</v>
      </c>
      <c r="I94" s="6">
        <f t="shared" si="168"/>
        <v>0</v>
      </c>
      <c r="J94" s="6">
        <f t="shared" si="169"/>
        <v>0</v>
      </c>
      <c r="K94" s="6">
        <f t="shared" si="170"/>
        <v>0</v>
      </c>
      <c r="L94" s="6">
        <f t="shared" ca="1" si="171"/>
        <v>6.3956453564331746</v>
      </c>
      <c r="M94" s="6">
        <f t="shared" ca="1" si="172"/>
        <v>51.165162851465396</v>
      </c>
      <c r="N94" s="6">
        <f t="shared" ca="1" si="173"/>
        <v>51.165162851465396</v>
      </c>
      <c r="AP94" s="34"/>
      <c r="AQ94" s="34">
        <f ca="1">($C94/$C$92)/4/2</f>
        <v>6.3956453564331746</v>
      </c>
      <c r="AR94" s="6">
        <f ca="1">MAXA(0, MINA($C94/$C$92/4, $C94-SUM($T94:AQ94)))</f>
        <v>12.791290712866349</v>
      </c>
      <c r="AS94" s="6">
        <f ca="1">MAXA(0, MINA($C94/$C$92/4, $C94-SUM($T94:AR94)))</f>
        <v>12.791290712866349</v>
      </c>
      <c r="AT94" s="6">
        <f ca="1">MAXA(0, MINA($C94/$C$92/4, $C94-SUM($T94:AS94)))</f>
        <v>12.791290712866349</v>
      </c>
      <c r="AU94" s="6">
        <f ca="1">MAXA(0, MINA($C94/$C$92/4, $C94-SUM($T94:AT94)))</f>
        <v>12.791290712866349</v>
      </c>
      <c r="AV94" s="6">
        <f ca="1">MAXA(0, MINA($C94/$C$92/4, $C94-SUM($T94:AU94)))</f>
        <v>12.791290712866349</v>
      </c>
      <c r="AW94" s="6">
        <f ca="1">MAXA(0, MINA($C94/$C$92/4, $C94-SUM($T94:AV94)))</f>
        <v>12.791290712866349</v>
      </c>
      <c r="AX94" s="6">
        <f ca="1">MAXA(0, MINA($C94/$C$92/4, $C94-SUM($T94:AW94)))</f>
        <v>12.791290712866349</v>
      </c>
      <c r="AY94" s="6">
        <f ca="1">MAXA(0, MINA($C94/$C$92/4, $C94-SUM($T94:AX94)))</f>
        <v>12.791290712866349</v>
      </c>
      <c r="AZ94" s="6"/>
      <c r="BA94" s="6"/>
      <c r="BB94" s="6"/>
      <c r="BC94" s="6"/>
      <c r="BD94" s="6"/>
      <c r="BE94" s="6"/>
      <c r="BF94" s="6"/>
      <c r="BG94" s="6"/>
      <c r="BH94" s="6"/>
      <c r="BI94" s="6"/>
      <c r="BJ94" s="6"/>
      <c r="BK94" s="6"/>
      <c r="BL94" s="6"/>
      <c r="BM94" s="6"/>
    </row>
    <row r="95" spans="1:84">
      <c r="B95" t="s">
        <v>379</v>
      </c>
      <c r="C95" s="6">
        <f ca="1">+AR69</f>
        <v>232.16635268634124</v>
      </c>
      <c r="D95" s="6"/>
      <c r="E95" s="6"/>
      <c r="F95" s="6"/>
      <c r="G95" s="6">
        <f t="shared" si="166"/>
        <v>0</v>
      </c>
      <c r="H95" s="6">
        <f t="shared" si="167"/>
        <v>0</v>
      </c>
      <c r="I95" s="6">
        <f t="shared" si="168"/>
        <v>0</v>
      </c>
      <c r="J95" s="6">
        <f t="shared" si="169"/>
        <v>0</v>
      </c>
      <c r="K95" s="6">
        <f t="shared" si="170"/>
        <v>0</v>
      </c>
      <c r="L95" s="6">
        <f t="shared" si="171"/>
        <v>0</v>
      </c>
      <c r="M95" s="6">
        <f t="shared" ca="1" si="172"/>
        <v>45.143457466788568</v>
      </c>
      <c r="N95" s="6">
        <f t="shared" ca="1" si="173"/>
        <v>51.592522819186939</v>
      </c>
      <c r="AP95" s="34"/>
      <c r="AQ95" s="34"/>
      <c r="AR95" s="34">
        <f ca="1">($C95/$C$92)/4/2</f>
        <v>6.4490653523983674</v>
      </c>
      <c r="AS95" s="6">
        <f ca="1">MAXA(0, MINA($C95/$C$92/4, $C95-SUM($T95:AR95)))</f>
        <v>12.898130704796735</v>
      </c>
      <c r="AT95" s="6">
        <f ca="1">MAXA(0, MINA($C95/$C$92/4, $C95-SUM($T95:AS95)))</f>
        <v>12.898130704796735</v>
      </c>
      <c r="AU95" s="6">
        <f ca="1">MAXA(0, MINA($C95/$C$92/4, $C95-SUM($T95:AT95)))</f>
        <v>12.898130704796735</v>
      </c>
      <c r="AV95" s="6">
        <f ca="1">MAXA(0, MINA($C95/$C$92/4, $C95-SUM($T95:AU95)))</f>
        <v>12.898130704796735</v>
      </c>
      <c r="AW95" s="6">
        <f ca="1">MAXA(0, MINA($C95/$C$92/4, $C95-SUM($T95:AV95)))</f>
        <v>12.898130704796735</v>
      </c>
      <c r="AX95" s="6">
        <f ca="1">MAXA(0, MINA($C95/$C$92/4, $C95-SUM($T95:AW95)))</f>
        <v>12.898130704796735</v>
      </c>
      <c r="AY95" s="6">
        <f ca="1">MAXA(0, MINA($C95/$C$92/4, $C95-SUM($T95:AX95)))</f>
        <v>12.898130704796735</v>
      </c>
      <c r="AZ95" s="6"/>
      <c r="BA95" s="6"/>
      <c r="BB95" s="6"/>
      <c r="BC95" s="6"/>
      <c r="BD95" s="6"/>
      <c r="BE95" s="6"/>
      <c r="BF95" s="6"/>
      <c r="BG95" s="6"/>
      <c r="BH95" s="6"/>
      <c r="BI95" s="6"/>
      <c r="BJ95" s="6"/>
      <c r="BK95" s="6"/>
      <c r="BL95" s="6"/>
      <c r="BM95" s="6"/>
    </row>
    <row r="96" spans="1:84">
      <c r="B96" t="s">
        <v>380</v>
      </c>
      <c r="C96" s="6">
        <f ca="1">+AS69</f>
        <v>234.24367823493645</v>
      </c>
      <c r="D96" s="6"/>
      <c r="E96" s="6"/>
      <c r="F96" s="6"/>
      <c r="G96" s="6">
        <f t="shared" si="166"/>
        <v>0</v>
      </c>
      <c r="H96" s="6">
        <f t="shared" si="167"/>
        <v>0</v>
      </c>
      <c r="I96" s="6">
        <f t="shared" si="168"/>
        <v>0</v>
      </c>
      <c r="J96" s="6">
        <f t="shared" si="169"/>
        <v>0</v>
      </c>
      <c r="K96" s="6">
        <f t="shared" si="170"/>
        <v>0</v>
      </c>
      <c r="L96" s="6">
        <f t="shared" si="171"/>
        <v>0</v>
      </c>
      <c r="M96" s="6">
        <f t="shared" ca="1" si="172"/>
        <v>32.533844199296723</v>
      </c>
      <c r="N96" s="6">
        <f t="shared" ca="1" si="173"/>
        <v>52.054150718874766</v>
      </c>
      <c r="AP96" s="34"/>
      <c r="AQ96" s="34"/>
      <c r="AR96" s="34"/>
      <c r="AS96" s="34">
        <f ca="1">($C96/$C$92)/4/2</f>
        <v>6.5067688398593457</v>
      </c>
      <c r="AT96" s="6">
        <f ca="1">MAXA(0, MINA($C96/$C$92/4, $C96-SUM($T96:AS96)))</f>
        <v>13.013537679718691</v>
      </c>
      <c r="AU96" s="6">
        <f ca="1">MAXA(0, MINA($C96/$C$92/4, $C96-SUM($T96:AT96)))</f>
        <v>13.013537679718691</v>
      </c>
      <c r="AV96" s="6">
        <f ca="1">MAXA(0, MINA($C96/$C$92/4, $C96-SUM($T96:AU96)))</f>
        <v>13.013537679718691</v>
      </c>
      <c r="AW96" s="6">
        <f ca="1">MAXA(0, MINA($C96/$C$92/4, $C96-SUM($T96:AV96)))</f>
        <v>13.013537679718691</v>
      </c>
      <c r="AX96" s="6">
        <f ca="1">MAXA(0, MINA($C96/$C$92/4, $C96-SUM($T96:AW96)))</f>
        <v>13.013537679718691</v>
      </c>
      <c r="AY96" s="6">
        <f ca="1">MAXA(0, MINA($C96/$C$92/4, $C96-SUM($T96:AX96)))</f>
        <v>13.013537679718691</v>
      </c>
      <c r="AZ96" s="6"/>
      <c r="BA96" s="6"/>
      <c r="BB96" s="6"/>
      <c r="BC96" s="6"/>
      <c r="BD96" s="6"/>
      <c r="BE96" s="6"/>
      <c r="BF96" s="6"/>
      <c r="BG96" s="6"/>
      <c r="BH96" s="6"/>
      <c r="BI96" s="6"/>
      <c r="BJ96" s="6"/>
      <c r="BK96" s="6"/>
      <c r="BL96" s="6"/>
      <c r="BM96" s="6"/>
    </row>
    <row r="97" spans="1:84">
      <c r="B97" t="s">
        <v>381</v>
      </c>
      <c r="C97" s="6">
        <f ca="1">+AT69</f>
        <v>236.43973667946651</v>
      </c>
      <c r="D97" s="6"/>
      <c r="E97" s="6"/>
      <c r="F97" s="6"/>
      <c r="G97" s="6">
        <f t="shared" si="166"/>
        <v>0</v>
      </c>
      <c r="H97" s="6">
        <f t="shared" si="167"/>
        <v>0</v>
      </c>
      <c r="I97" s="6">
        <f t="shared" si="168"/>
        <v>0</v>
      </c>
      <c r="J97" s="6">
        <f t="shared" si="169"/>
        <v>0</v>
      </c>
      <c r="K97" s="6">
        <f t="shared" si="170"/>
        <v>0</v>
      </c>
      <c r="L97" s="6">
        <f t="shared" si="171"/>
        <v>0</v>
      </c>
      <c r="M97" s="6">
        <f t="shared" ca="1" si="172"/>
        <v>19.703311389955541</v>
      </c>
      <c r="N97" s="6">
        <f t="shared" ca="1" si="173"/>
        <v>52.542163706548109</v>
      </c>
      <c r="AP97" s="34"/>
      <c r="AQ97" s="34"/>
      <c r="AR97" s="34"/>
      <c r="AS97" s="34"/>
      <c r="AT97" s="34">
        <f ca="1">($C97/$C$92)/4/2</f>
        <v>6.5677704633185137</v>
      </c>
      <c r="AU97" s="6">
        <f ca="1">MAXA(0, MINA($C97/$C$92/4, $C97-SUM($T97:AT97)))</f>
        <v>13.135540926637027</v>
      </c>
      <c r="AV97" s="6">
        <f ca="1">MAXA(0, MINA($C97/$C$92/4, $C97-SUM($T97:AU97)))</f>
        <v>13.135540926637027</v>
      </c>
      <c r="AW97" s="6">
        <f ca="1">MAXA(0, MINA($C97/$C$92/4, $C97-SUM($T97:AV97)))</f>
        <v>13.135540926637027</v>
      </c>
      <c r="AX97" s="6">
        <f ca="1">MAXA(0, MINA($C97/$C$92/4, $C97-SUM($T97:AW97)))</f>
        <v>13.135540926637027</v>
      </c>
      <c r="AY97" s="6">
        <f ca="1">MAXA(0, MINA($C97/$C$92/4, $C97-SUM($T97:AX97)))</f>
        <v>13.135540926637027</v>
      </c>
      <c r="AZ97" s="6"/>
      <c r="BA97" s="6"/>
      <c r="BB97" s="6"/>
      <c r="BC97" s="6"/>
      <c r="BD97" s="6"/>
      <c r="BE97" s="6"/>
      <c r="BF97" s="6"/>
      <c r="BG97" s="6"/>
      <c r="BH97" s="6"/>
      <c r="BI97" s="6"/>
      <c r="BJ97" s="6"/>
      <c r="BK97" s="6"/>
      <c r="BL97" s="6"/>
      <c r="BM97" s="6"/>
    </row>
    <row r="98" spans="1:84">
      <c r="B98" t="s">
        <v>382</v>
      </c>
      <c r="C98" s="6">
        <f ca="1">+AU69</f>
        <v>238.7211784879965</v>
      </c>
      <c r="D98" s="6"/>
      <c r="E98" s="6"/>
      <c r="F98" s="6"/>
      <c r="G98" s="6">
        <f t="shared" si="166"/>
        <v>0</v>
      </c>
      <c r="H98" s="6">
        <f t="shared" si="167"/>
        <v>0</v>
      </c>
      <c r="I98" s="6">
        <f t="shared" si="168"/>
        <v>0</v>
      </c>
      <c r="J98" s="6">
        <f t="shared" si="169"/>
        <v>0</v>
      </c>
      <c r="K98" s="6">
        <f t="shared" si="170"/>
        <v>0</v>
      </c>
      <c r="L98" s="6">
        <f t="shared" si="171"/>
        <v>0</v>
      </c>
      <c r="M98" s="6">
        <f t="shared" ca="1" si="172"/>
        <v>6.6311438468887918</v>
      </c>
      <c r="N98" s="6">
        <f t="shared" ca="1" si="173"/>
        <v>53.049150775110334</v>
      </c>
      <c r="AP98" s="34"/>
      <c r="AQ98" s="34"/>
      <c r="AR98" s="34"/>
      <c r="AS98" s="34"/>
      <c r="AT98" s="34"/>
      <c r="AU98" s="34">
        <f ca="1">($C98/$C$92)/4/2</f>
        <v>6.6311438468887918</v>
      </c>
      <c r="AV98" s="6">
        <f ca="1">MAXA(0, MINA($C98/$C$92/4, $C98-SUM($T98:AU98)))</f>
        <v>13.262287693777584</v>
      </c>
      <c r="AW98" s="6">
        <f ca="1">MAXA(0, MINA($C98/$C$92/4, $C98-SUM($T98:AV98)))</f>
        <v>13.262287693777584</v>
      </c>
      <c r="AX98" s="6">
        <f ca="1">MAXA(0, MINA($C98/$C$92/4, $C98-SUM($T98:AW98)))</f>
        <v>13.262287693777584</v>
      </c>
      <c r="AY98" s="6">
        <f ca="1">MAXA(0, MINA($C98/$C$92/4, $C98-SUM($T98:AX98)))</f>
        <v>13.262287693777584</v>
      </c>
      <c r="AZ98" s="6"/>
      <c r="BA98" s="6"/>
      <c r="BB98" s="6"/>
      <c r="BC98" s="6"/>
      <c r="BD98" s="6"/>
      <c r="BE98" s="6"/>
      <c r="BF98" s="6"/>
      <c r="BG98" s="6"/>
      <c r="BH98" s="6"/>
      <c r="BI98" s="6"/>
      <c r="BJ98" s="6"/>
      <c r="BK98" s="6"/>
      <c r="BL98" s="6"/>
      <c r="BM98" s="6"/>
    </row>
    <row r="99" spans="1:84">
      <c r="B99" t="s">
        <v>383</v>
      </c>
      <c r="C99" s="6">
        <f ca="1">+AV69</f>
        <v>241.08027659753353</v>
      </c>
      <c r="D99" s="6"/>
      <c r="E99" s="6"/>
      <c r="F99" s="6"/>
      <c r="G99" s="6">
        <f t="shared" si="166"/>
        <v>0</v>
      </c>
      <c r="H99" s="6">
        <f t="shared" si="167"/>
        <v>0</v>
      </c>
      <c r="I99" s="6">
        <f t="shared" si="168"/>
        <v>0</v>
      </c>
      <c r="J99" s="6">
        <f t="shared" si="169"/>
        <v>0</v>
      </c>
      <c r="K99" s="6">
        <f t="shared" si="170"/>
        <v>0</v>
      </c>
      <c r="L99" s="6">
        <f t="shared" si="171"/>
        <v>0</v>
      </c>
      <c r="M99" s="6">
        <f t="shared" si="172"/>
        <v>0</v>
      </c>
      <c r="N99" s="6">
        <f t="shared" ca="1" si="173"/>
        <v>46.876720449520413</v>
      </c>
      <c r="AP99" s="34"/>
      <c r="AQ99" s="34"/>
      <c r="AR99" s="34"/>
      <c r="AS99" s="34"/>
      <c r="AT99" s="34"/>
      <c r="AU99" s="34"/>
      <c r="AV99" s="34">
        <f ca="1">($C99/$C$92)/4/2</f>
        <v>6.6966743499314871</v>
      </c>
      <c r="AW99" s="6">
        <f ca="1">MAXA(0, MINA($C99/$C$92/4, $C99-SUM($T99:AV99)))</f>
        <v>13.393348699862974</v>
      </c>
      <c r="AX99" s="6">
        <f ca="1">MAXA(0, MINA($C99/$C$92/4, $C99-SUM($T99:AW99)))</f>
        <v>13.393348699862974</v>
      </c>
      <c r="AY99" s="6">
        <f ca="1">MAXA(0, MINA($C99/$C$92/4, $C99-SUM($T99:AX99)))</f>
        <v>13.393348699862974</v>
      </c>
      <c r="AZ99" s="6"/>
      <c r="BA99" s="6"/>
      <c r="BB99" s="6"/>
      <c r="BC99" s="6"/>
      <c r="BD99" s="6"/>
      <c r="BE99" s="6"/>
      <c r="BF99" s="6"/>
      <c r="BG99" s="6"/>
      <c r="BH99" s="6"/>
      <c r="BI99" s="6"/>
      <c r="BJ99" s="6"/>
      <c r="BK99" s="6"/>
      <c r="BL99" s="6"/>
      <c r="BM99" s="6"/>
    </row>
    <row r="100" spans="1:84">
      <c r="B100" t="s">
        <v>384</v>
      </c>
      <c r="C100" s="6">
        <f ca="1">+AW69</f>
        <v>243.50981770877678</v>
      </c>
      <c r="D100" s="6"/>
      <c r="E100" s="6"/>
      <c r="F100" s="6"/>
      <c r="G100" s="6">
        <f t="shared" si="166"/>
        <v>0</v>
      </c>
      <c r="H100" s="6">
        <f t="shared" si="167"/>
        <v>0</v>
      </c>
      <c r="I100" s="6">
        <f t="shared" si="168"/>
        <v>0</v>
      </c>
      <c r="J100" s="6">
        <f t="shared" si="169"/>
        <v>0</v>
      </c>
      <c r="K100" s="6">
        <f t="shared" si="170"/>
        <v>0</v>
      </c>
      <c r="L100" s="6">
        <f t="shared" si="171"/>
        <v>0</v>
      </c>
      <c r="M100" s="6">
        <f t="shared" si="172"/>
        <v>0</v>
      </c>
      <c r="N100" s="6">
        <f t="shared" ca="1" si="173"/>
        <v>33.820808015107886</v>
      </c>
      <c r="AP100" s="34"/>
      <c r="AQ100" s="34"/>
      <c r="AR100" s="34"/>
      <c r="AS100" s="34"/>
      <c r="AT100" s="34"/>
      <c r="AU100" s="34"/>
      <c r="AV100" s="34"/>
      <c r="AW100" s="34">
        <f ca="1">($C100/$C$92)/4/2</f>
        <v>6.7641616030215772</v>
      </c>
      <c r="AX100" s="6">
        <f ca="1">MAXA(0, MINA($C100/$C$92/4, $C100-SUM($T100:AW100)))</f>
        <v>13.528323206043154</v>
      </c>
      <c r="AY100" s="6">
        <f ca="1">MAXA(0, MINA($C100/$C$92/4, $C100-SUM($T100:AX100)))</f>
        <v>13.528323206043154</v>
      </c>
      <c r="AZ100" s="6"/>
      <c r="BA100" s="6"/>
      <c r="BB100" s="6"/>
      <c r="BC100" s="6"/>
      <c r="BD100" s="6"/>
      <c r="BE100" s="6"/>
      <c r="BF100" s="6"/>
      <c r="BG100" s="6"/>
      <c r="BH100" s="6"/>
      <c r="BI100" s="6"/>
      <c r="BJ100" s="6"/>
      <c r="BK100" s="6"/>
      <c r="BL100" s="6"/>
      <c r="BM100" s="6"/>
    </row>
    <row r="101" spans="1:84">
      <c r="B101" t="s">
        <v>385</v>
      </c>
      <c r="C101" s="6">
        <f ca="1">+AX69</f>
        <v>246.00294975950814</v>
      </c>
      <c r="D101" s="6"/>
      <c r="E101" s="6"/>
      <c r="F101" s="6"/>
      <c r="G101" s="6">
        <f t="shared" si="166"/>
        <v>0</v>
      </c>
      <c r="H101" s="6">
        <f t="shared" si="167"/>
        <v>0</v>
      </c>
      <c r="I101" s="6">
        <f t="shared" si="168"/>
        <v>0</v>
      </c>
      <c r="J101" s="6">
        <f t="shared" si="169"/>
        <v>0</v>
      </c>
      <c r="K101" s="6">
        <f t="shared" si="170"/>
        <v>0</v>
      </c>
      <c r="L101" s="6">
        <f t="shared" si="171"/>
        <v>0</v>
      </c>
      <c r="M101" s="6">
        <f t="shared" si="172"/>
        <v>0</v>
      </c>
      <c r="N101" s="6">
        <f t="shared" ca="1" si="173"/>
        <v>20.500245813292345</v>
      </c>
      <c r="AP101" s="34"/>
      <c r="AQ101" s="34"/>
      <c r="AR101" s="34"/>
      <c r="AS101" s="34"/>
      <c r="AT101" s="34"/>
      <c r="AU101" s="34"/>
      <c r="AV101" s="34"/>
      <c r="AW101" s="34"/>
      <c r="AX101" s="34">
        <f ca="1">($C101/$C$92)/4/2</f>
        <v>6.8334152710974481</v>
      </c>
      <c r="AY101" s="6">
        <f ca="1">MAXA(0, MINA($C101/$C$92/4, $C101-SUM($T101:AX101)))</f>
        <v>13.666830542194896</v>
      </c>
      <c r="AZ101" s="6"/>
      <c r="BA101" s="6"/>
      <c r="BB101" s="6"/>
      <c r="BC101" s="6"/>
      <c r="BD101" s="6"/>
      <c r="BE101" s="6"/>
      <c r="BF101" s="6"/>
      <c r="BG101" s="6"/>
      <c r="BH101" s="6"/>
      <c r="BI101" s="6"/>
      <c r="BJ101" s="6"/>
      <c r="BK101" s="6"/>
      <c r="BL101" s="6"/>
      <c r="BM101" s="6"/>
    </row>
    <row r="102" spans="1:84">
      <c r="B102" t="s">
        <v>386</v>
      </c>
      <c r="C102" s="6">
        <f ca="1">+AY69</f>
        <v>177.53791553333656</v>
      </c>
      <c r="D102" s="6"/>
      <c r="E102" s="6"/>
      <c r="F102" s="6"/>
      <c r="G102" s="6">
        <f t="shared" si="166"/>
        <v>0</v>
      </c>
      <c r="H102" s="6">
        <f t="shared" si="167"/>
        <v>0</v>
      </c>
      <c r="I102" s="6">
        <f t="shared" si="168"/>
        <v>0</v>
      </c>
      <c r="J102" s="6">
        <f t="shared" si="169"/>
        <v>0</v>
      </c>
      <c r="K102" s="6">
        <f t="shared" si="170"/>
        <v>0</v>
      </c>
      <c r="L102" s="6">
        <f t="shared" si="171"/>
        <v>0</v>
      </c>
      <c r="M102" s="6">
        <f t="shared" si="172"/>
        <v>0</v>
      </c>
      <c r="N102" s="6">
        <f t="shared" ca="1" si="173"/>
        <v>4.9316087648149045</v>
      </c>
      <c r="AP102" s="34"/>
      <c r="AQ102" s="34"/>
      <c r="AR102" s="34"/>
      <c r="AS102" s="34"/>
      <c r="AT102" s="34"/>
      <c r="AU102" s="34"/>
      <c r="AV102" s="34"/>
      <c r="AW102" s="34"/>
      <c r="AX102" s="34"/>
      <c r="AY102" s="34">
        <f ca="1">($C102/$C$92)/4/2</f>
        <v>4.9316087648149045</v>
      </c>
      <c r="AZ102" s="6"/>
      <c r="BA102" s="6"/>
      <c r="BB102" s="6"/>
      <c r="BC102" s="6"/>
      <c r="BD102" s="6"/>
      <c r="BE102" s="6"/>
      <c r="BF102" s="6"/>
      <c r="BG102" s="6"/>
      <c r="BH102" s="6"/>
      <c r="BI102" s="6"/>
      <c r="BJ102" s="6"/>
      <c r="BK102" s="6"/>
      <c r="BL102" s="6"/>
      <c r="BM102" s="6"/>
    </row>
    <row r="103" spans="1:84">
      <c r="B103" t="s">
        <v>185</v>
      </c>
      <c r="C103" s="6"/>
      <c r="D103" s="6"/>
      <c r="E103" s="6"/>
      <c r="F103" s="6"/>
      <c r="G103" s="6">
        <f>+SUM(T103:W103)</f>
        <v>0</v>
      </c>
      <c r="H103" s="6">
        <f>+SUM(X103:AA103)</f>
        <v>0</v>
      </c>
      <c r="I103" s="6">
        <f>+SUM(AB103:AE103)</f>
        <v>0</v>
      </c>
      <c r="J103" s="6">
        <f>+SUM(AF103:AI103)</f>
        <v>0</v>
      </c>
      <c r="K103" s="6">
        <f>+SUM(AJ103:AM103)</f>
        <v>0</v>
      </c>
      <c r="L103" s="6">
        <f>+SUM(AN103:AQ103)</f>
        <v>20</v>
      </c>
      <c r="M103" s="6">
        <f>+SUM(AR103:AU103)</f>
        <v>40</v>
      </c>
      <c r="N103" s="6">
        <f>+SUM(AV103:AY103)</f>
        <v>40</v>
      </c>
      <c r="AP103" s="128">
        <v>10</v>
      </c>
      <c r="AQ103" s="128">
        <v>10</v>
      </c>
      <c r="AR103" s="128">
        <v>10</v>
      </c>
      <c r="AS103" s="128">
        <v>10</v>
      </c>
      <c r="AT103" s="128">
        <v>10</v>
      </c>
      <c r="AU103" s="128">
        <v>10</v>
      </c>
      <c r="AV103" s="128">
        <v>10</v>
      </c>
      <c r="AW103" s="128">
        <v>10</v>
      </c>
      <c r="AX103" s="128">
        <v>10</v>
      </c>
      <c r="AY103" s="128">
        <v>10</v>
      </c>
      <c r="AZ103" s="6"/>
      <c r="BA103" s="6"/>
      <c r="BB103" s="6"/>
      <c r="BC103" s="6"/>
      <c r="BD103" s="6"/>
      <c r="BE103" s="6"/>
      <c r="BF103" s="6"/>
      <c r="BG103" s="6"/>
      <c r="BH103" s="6"/>
      <c r="BI103" s="6"/>
      <c r="BJ103" s="6"/>
      <c r="BK103" s="6"/>
      <c r="BL103" s="6"/>
      <c r="BM103" s="6"/>
    </row>
    <row r="105" spans="1:84">
      <c r="B105" t="s">
        <v>172</v>
      </c>
      <c r="G105" s="6">
        <f>+SUM(T105:W105)</f>
        <v>280.12762928716529</v>
      </c>
      <c r="H105" s="6">
        <f>+SUM(X105:AA105)</f>
        <v>294.12579705574319</v>
      </c>
      <c r="I105" s="6">
        <f>+SUM(AB105:AE105)</f>
        <v>360.36994395528757</v>
      </c>
      <c r="J105" s="6">
        <f>+SUM(AF105:AI105)</f>
        <v>470.46994395528765</v>
      </c>
      <c r="K105" s="6">
        <f>+SUM(AJ105:AM105)</f>
        <v>561.06994395528773</v>
      </c>
      <c r="L105" s="6">
        <f ca="1">+SUM(AN105:AQ105)</f>
        <v>734.82712898511431</v>
      </c>
      <c r="M105" s="6">
        <f ca="1">+SUM(AR105:AU105)</f>
        <v>805.68404663649312</v>
      </c>
      <c r="N105" s="6">
        <f ca="1">+SUM(AV105:AY105)</f>
        <v>902.04833812881111</v>
      </c>
      <c r="T105" s="6">
        <f t="shared" ref="T105:AY105" si="174">SUM(T91:T104)</f>
        <v>69.540835506875254</v>
      </c>
      <c r="U105" s="6">
        <f t="shared" si="174"/>
        <v>72.996831719316205</v>
      </c>
      <c r="V105" s="6">
        <f t="shared" si="174"/>
        <v>68.434216350104862</v>
      </c>
      <c r="W105" s="6">
        <f t="shared" si="174"/>
        <v>69.155745710869013</v>
      </c>
      <c r="X105" s="6">
        <f t="shared" si="174"/>
        <v>69.579887274818716</v>
      </c>
      <c r="Y105" s="6">
        <f t="shared" si="174"/>
        <v>71.999846475701389</v>
      </c>
      <c r="Z105" s="6">
        <f t="shared" si="174"/>
        <v>72.666330594051175</v>
      </c>
      <c r="AA105" s="6">
        <f t="shared" si="174"/>
        <v>79.879732711171911</v>
      </c>
      <c r="AB105" s="6">
        <f t="shared" si="174"/>
        <v>84.542485988821909</v>
      </c>
      <c r="AC105" s="6">
        <f t="shared" si="174"/>
        <v>85.442485988821915</v>
      </c>
      <c r="AD105" s="6">
        <f t="shared" si="174"/>
        <v>88.642485988821903</v>
      </c>
      <c r="AE105" s="6">
        <f t="shared" si="174"/>
        <v>101.74248598882187</v>
      </c>
      <c r="AF105" s="6">
        <f t="shared" si="174"/>
        <v>105.6424859888219</v>
      </c>
      <c r="AG105" s="6">
        <f t="shared" si="174"/>
        <v>102.24248598882191</v>
      </c>
      <c r="AH105" s="6">
        <f t="shared" si="174"/>
        <v>125.7424859888219</v>
      </c>
      <c r="AI105" s="6">
        <f t="shared" si="174"/>
        <v>136.84248598882192</v>
      </c>
      <c r="AJ105" s="6">
        <f t="shared" si="174"/>
        <v>127.04248598882191</v>
      </c>
      <c r="AK105" s="6">
        <f t="shared" si="174"/>
        <v>119.94248598882191</v>
      </c>
      <c r="AL105" s="6">
        <f t="shared" si="174"/>
        <v>144.2424859888219</v>
      </c>
      <c r="AM105" s="6">
        <f t="shared" si="174"/>
        <v>169.84248598882192</v>
      </c>
      <c r="AN105" s="6">
        <f t="shared" si="174"/>
        <v>172.6424859888219</v>
      </c>
      <c r="AO105" s="6">
        <f t="shared" si="174"/>
        <v>184.44248598882191</v>
      </c>
      <c r="AP105" s="6">
        <f t="shared" ca="1" si="174"/>
        <v>187.44401065622463</v>
      </c>
      <c r="AQ105" s="6">
        <f t="shared" ca="1" si="174"/>
        <v>190.29814635124583</v>
      </c>
      <c r="AR105" s="6">
        <f t="shared" ca="1" si="174"/>
        <v>194.14650078697849</v>
      </c>
      <c r="AS105" s="6">
        <f t="shared" ca="1" si="174"/>
        <v>198.60577627686502</v>
      </c>
      <c r="AT105" s="6">
        <f t="shared" ca="1" si="174"/>
        <v>203.6557879166923</v>
      </c>
      <c r="AU105" s="6">
        <f t="shared" ca="1" si="174"/>
        <v>209.27598165595742</v>
      </c>
      <c r="AV105" s="6">
        <f t="shared" ca="1" si="174"/>
        <v>215.44611931355453</v>
      </c>
      <c r="AW105" s="6">
        <f t="shared" ca="1" si="174"/>
        <v>222.14692364613012</v>
      </c>
      <c r="AX105" s="6">
        <f t="shared" ca="1" si="174"/>
        <v>229.36002621211486</v>
      </c>
      <c r="AY105" s="6">
        <f t="shared" ca="1" si="174"/>
        <v>235.09526895701157</v>
      </c>
    </row>
    <row r="107" spans="1:84">
      <c r="B107" s="45" t="s">
        <v>58</v>
      </c>
    </row>
    <row r="108" spans="1:84">
      <c r="B108" t="s">
        <v>100</v>
      </c>
      <c r="C108" s="22">
        <v>10</v>
      </c>
      <c r="D108" s="22"/>
      <c r="E108" s="22"/>
      <c r="F108" s="22"/>
      <c r="G108" s="6">
        <f>+W108</f>
        <v>640.35079300567202</v>
      </c>
      <c r="H108" s="6">
        <f>+AA108</f>
        <v>705.55499999999995</v>
      </c>
      <c r="I108" s="6">
        <f>+AE108</f>
        <v>948.3</v>
      </c>
      <c r="J108" s="6">
        <f>+AI108</f>
        <v>934.9</v>
      </c>
      <c r="K108" s="6">
        <f>+AM108</f>
        <v>1188.5999999999999</v>
      </c>
      <c r="L108" s="6">
        <f>+AQ108</f>
        <v>1280.7371245822253</v>
      </c>
      <c r="M108" s="6">
        <f>+AU108</f>
        <v>1239.8256502907918</v>
      </c>
      <c r="N108" s="6">
        <f>+AY108</f>
        <v>1202.8544463860073</v>
      </c>
      <c r="T108" s="41">
        <f t="shared" ref="T108:AO108" si="175">T15</f>
        <v>647.92372518808804</v>
      </c>
      <c r="U108" s="41">
        <f t="shared" si="175"/>
        <v>680.12027896119309</v>
      </c>
      <c r="V108" s="41">
        <f t="shared" si="175"/>
        <v>666.07964276878022</v>
      </c>
      <c r="W108" s="41">
        <f t="shared" si="175"/>
        <v>640.35079300567202</v>
      </c>
      <c r="X108" s="41">
        <f t="shared" si="175"/>
        <v>630.82681842692818</v>
      </c>
      <c r="Y108" s="41">
        <f t="shared" si="175"/>
        <v>655.02927752605615</v>
      </c>
      <c r="Z108" s="41">
        <f t="shared" si="175"/>
        <v>653.97121303351207</v>
      </c>
      <c r="AA108" s="41">
        <f t="shared" si="175"/>
        <v>705.55499999999995</v>
      </c>
      <c r="AB108" s="41">
        <f t="shared" si="175"/>
        <v>735.5</v>
      </c>
      <c r="AC108" s="41">
        <f t="shared" si="175"/>
        <v>719.4</v>
      </c>
      <c r="AD108" s="41">
        <f t="shared" si="175"/>
        <v>969.3</v>
      </c>
      <c r="AE108" s="41">
        <f t="shared" si="175"/>
        <v>948.3</v>
      </c>
      <c r="AF108" s="41">
        <f t="shared" si="175"/>
        <v>925.3</v>
      </c>
      <c r="AG108" s="41">
        <f t="shared" si="175"/>
        <v>933</v>
      </c>
      <c r="AH108" s="41">
        <f t="shared" si="175"/>
        <v>936.1</v>
      </c>
      <c r="AI108" s="41">
        <f t="shared" si="175"/>
        <v>934.9</v>
      </c>
      <c r="AJ108" s="41">
        <f t="shared" si="175"/>
        <v>921.3</v>
      </c>
      <c r="AK108" s="41">
        <f t="shared" si="175"/>
        <v>902.7</v>
      </c>
      <c r="AL108" s="41">
        <f t="shared" si="175"/>
        <v>1196.5999999999999</v>
      </c>
      <c r="AM108" s="41">
        <f t="shared" si="175"/>
        <v>1188.5999999999999</v>
      </c>
      <c r="AN108" s="41">
        <f t="shared" si="175"/>
        <v>1170.8</v>
      </c>
      <c r="AO108" s="41">
        <f t="shared" si="175"/>
        <v>1302.8</v>
      </c>
      <c r="AP108" s="6">
        <f t="shared" ref="AP108:AY108" si="176">+AO108-AP109</f>
        <v>1291.6289238391014</v>
      </c>
      <c r="AQ108" s="6">
        <f t="shared" si="176"/>
        <v>1280.7371245822253</v>
      </c>
      <c r="AR108" s="6">
        <f t="shared" si="176"/>
        <v>1270.117620306771</v>
      </c>
      <c r="AS108" s="6">
        <f t="shared" si="176"/>
        <v>1259.763603638203</v>
      </c>
      <c r="AT108" s="6">
        <f t="shared" si="176"/>
        <v>1249.6684373863493</v>
      </c>
      <c r="AU108" s="6">
        <f t="shared" si="176"/>
        <v>1239.8256502907918</v>
      </c>
      <c r="AV108" s="6">
        <f t="shared" si="176"/>
        <v>1230.2289328726233</v>
      </c>
      <c r="AW108" s="6">
        <f t="shared" si="176"/>
        <v>1220.8721333899091</v>
      </c>
      <c r="AX108" s="6">
        <f t="shared" si="176"/>
        <v>1211.7492538942627</v>
      </c>
      <c r="AY108" s="6">
        <f t="shared" si="176"/>
        <v>1202.8544463860073</v>
      </c>
    </row>
    <row r="109" spans="1:84">
      <c r="B109" t="s">
        <v>173</v>
      </c>
      <c r="G109" s="6">
        <f>+SUM(T109:W109)</f>
        <v>44.403491866655557</v>
      </c>
      <c r="H109" s="6">
        <f>+SUM(X109:AA109)</f>
        <v>44.142500231314763</v>
      </c>
      <c r="I109" s="6">
        <f>+SUM(AB109:AE109)</f>
        <v>45.830056044712386</v>
      </c>
      <c r="J109" s="6">
        <f>+SUM(AF109:AI109)</f>
        <v>45.830056044712386</v>
      </c>
      <c r="K109" s="6">
        <f>+SUM(AJ109:AM109)</f>
        <v>45.830056044712386</v>
      </c>
      <c r="L109" s="6">
        <f>+SUM(AN109:AQ109)</f>
        <v>44.977903440131016</v>
      </c>
      <c r="M109" s="6">
        <f>+SUM(AR109:AU109)</f>
        <v>40.911474291433287</v>
      </c>
      <c r="N109" s="6">
        <f>+SUM(AV109:AY109)</f>
        <v>36.971203904784268</v>
      </c>
      <c r="T109" s="41">
        <f>IS!T17</f>
        <v>10.470925599629277</v>
      </c>
      <c r="U109" s="41">
        <f>IS!U17</f>
        <v>10.933239717985956</v>
      </c>
      <c r="V109" s="41">
        <f>IS!V17</f>
        <v>11.502097616577364</v>
      </c>
      <c r="W109" s="41">
        <f>IS!W17</f>
        <v>11.497228932462964</v>
      </c>
      <c r="X109" s="41">
        <f>IS!X17</f>
        <v>11.457300867770535</v>
      </c>
      <c r="Y109" s="41">
        <f>IS!Y17</f>
        <v>9.7193882770949962</v>
      </c>
      <c r="Z109" s="41">
        <f>IS!Z17</f>
        <v>11.508297075271134</v>
      </c>
      <c r="AA109" s="41">
        <f>IS!AA17</f>
        <v>11.457514011178096</v>
      </c>
      <c r="AB109" s="41">
        <f>IS!AB17</f>
        <v>11.457514011178096</v>
      </c>
      <c r="AC109" s="41">
        <f>IS!AC17</f>
        <v>11.457514011178096</v>
      </c>
      <c r="AD109" s="41">
        <f>IS!AD17</f>
        <v>11.457514011178096</v>
      </c>
      <c r="AE109" s="41">
        <f>IS!AE17</f>
        <v>11.457514011178096</v>
      </c>
      <c r="AF109" s="41">
        <f>IS!AF17</f>
        <v>11.457514011178096</v>
      </c>
      <c r="AG109" s="41">
        <f>IS!AG17</f>
        <v>11.457514011178096</v>
      </c>
      <c r="AH109" s="41">
        <f>IS!AH17</f>
        <v>11.457514011178096</v>
      </c>
      <c r="AI109" s="41">
        <f>IS!AI17</f>
        <v>11.457514011178096</v>
      </c>
      <c r="AJ109" s="41">
        <f>IS!AJ17</f>
        <v>11.457514011178096</v>
      </c>
      <c r="AK109" s="41">
        <f>IS!AK17</f>
        <v>11.457514011178096</v>
      </c>
      <c r="AL109" s="41">
        <f>IS!AL17</f>
        <v>11.457514011178096</v>
      </c>
      <c r="AM109" s="41">
        <f>IS!AM17</f>
        <v>11.457514011178096</v>
      </c>
      <c r="AN109" s="41">
        <f>IS!AN17</f>
        <v>11.457514011178096</v>
      </c>
      <c r="AO109" s="41">
        <f>IS!AO17</f>
        <v>11.457514011178096</v>
      </c>
      <c r="AP109" s="6">
        <f t="shared" ref="AP109:AY109" si="177">+IF(AO108&gt;AO109-((AO109/$C$108)/4),AO109-((AO109/$C$108)/4),IF(AO108&gt;0,AO108,0))</f>
        <v>11.171076160898645</v>
      </c>
      <c r="AQ109" s="6">
        <f t="shared" si="177"/>
        <v>10.891799256876178</v>
      </c>
      <c r="AR109" s="6">
        <f t="shared" si="177"/>
        <v>10.619504275454274</v>
      </c>
      <c r="AS109" s="6">
        <f t="shared" si="177"/>
        <v>10.354016668567917</v>
      </c>
      <c r="AT109" s="6">
        <f t="shared" si="177"/>
        <v>10.095166251853719</v>
      </c>
      <c r="AU109" s="6">
        <f t="shared" si="177"/>
        <v>9.8427870955573766</v>
      </c>
      <c r="AV109" s="6">
        <f t="shared" si="177"/>
        <v>9.596717418168442</v>
      </c>
      <c r="AW109" s="6">
        <f t="shared" si="177"/>
        <v>9.3567994827142318</v>
      </c>
      <c r="AX109" s="6">
        <f t="shared" si="177"/>
        <v>9.1228794956463766</v>
      </c>
      <c r="AY109" s="6">
        <f t="shared" si="177"/>
        <v>8.8948075082552176</v>
      </c>
    </row>
    <row r="110" spans="1:84">
      <c r="G110" s="6"/>
      <c r="H110" s="6"/>
      <c r="I110" s="6"/>
      <c r="J110" s="6"/>
      <c r="K110" s="6"/>
      <c r="L110" s="6"/>
      <c r="M110" s="6"/>
      <c r="N110" s="6"/>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6"/>
      <c r="AQ110" s="6"/>
      <c r="AR110" s="6"/>
      <c r="AS110" s="6"/>
      <c r="AT110" s="6"/>
      <c r="AU110" s="6"/>
      <c r="AV110" s="6"/>
      <c r="AW110" s="6"/>
      <c r="AX110" s="6"/>
      <c r="AY110" s="6"/>
    </row>
    <row r="111" spans="1:84" s="1" customFormat="1">
      <c r="A111" s="49" t="s">
        <v>40</v>
      </c>
      <c r="B111" s="27" t="s">
        <v>318</v>
      </c>
      <c r="CA111"/>
      <c r="CB111"/>
      <c r="CC111"/>
      <c r="CD111"/>
      <c r="CE111"/>
      <c r="CF111"/>
    </row>
    <row r="112" spans="1:84">
      <c r="B112" t="s">
        <v>319</v>
      </c>
      <c r="G112" s="148" t="s">
        <v>320</v>
      </c>
      <c r="H112" s="148" t="s">
        <v>320</v>
      </c>
      <c r="I112" s="148" t="s">
        <v>320</v>
      </c>
      <c r="J112" s="148" t="s">
        <v>320</v>
      </c>
      <c r="K112" s="148" t="s">
        <v>320</v>
      </c>
      <c r="L112" s="148" t="s">
        <v>320</v>
      </c>
      <c r="M112" s="148" t="s">
        <v>320</v>
      </c>
      <c r="N112" s="148" t="s">
        <v>320</v>
      </c>
      <c r="T112" s="148" t="s">
        <v>320</v>
      </c>
      <c r="U112" s="148" t="s">
        <v>320</v>
      </c>
      <c r="V112" s="148" t="s">
        <v>320</v>
      </c>
      <c r="W112" s="148" t="s">
        <v>320</v>
      </c>
      <c r="X112" s="148" t="s">
        <v>320</v>
      </c>
      <c r="Y112" s="148" t="s">
        <v>320</v>
      </c>
      <c r="Z112" s="148" t="s">
        <v>320</v>
      </c>
      <c r="AA112" s="148" t="s">
        <v>320</v>
      </c>
      <c r="AB112" s="148" t="s">
        <v>320</v>
      </c>
      <c r="AC112" s="148" t="s">
        <v>320</v>
      </c>
      <c r="AD112" s="148" t="s">
        <v>320</v>
      </c>
      <c r="AE112" s="148" t="s">
        <v>320</v>
      </c>
      <c r="AF112" s="148" t="s">
        <v>320</v>
      </c>
      <c r="AG112" s="148" t="s">
        <v>320</v>
      </c>
      <c r="AH112" s="148" t="s">
        <v>320</v>
      </c>
      <c r="AI112" s="148" t="s">
        <v>320</v>
      </c>
      <c r="AJ112" s="148" t="s">
        <v>320</v>
      </c>
      <c r="AK112" s="148" t="s">
        <v>320</v>
      </c>
      <c r="AL112" s="148" t="s">
        <v>320</v>
      </c>
      <c r="AM112" s="148" t="s">
        <v>320</v>
      </c>
      <c r="AN112" s="148" t="s">
        <v>320</v>
      </c>
      <c r="AO112" s="148" t="s">
        <v>320</v>
      </c>
      <c r="AP112" s="148" t="s">
        <v>320</v>
      </c>
      <c r="AQ112" s="148" t="s">
        <v>320</v>
      </c>
      <c r="AR112" s="148" t="s">
        <v>320</v>
      </c>
      <c r="AS112" s="148" t="s">
        <v>320</v>
      </c>
      <c r="AT112" s="148" t="s">
        <v>320</v>
      </c>
      <c r="AU112" s="148" t="s">
        <v>320</v>
      </c>
      <c r="AV112" s="148" t="s">
        <v>320</v>
      </c>
      <c r="AW112" s="148" t="s">
        <v>320</v>
      </c>
      <c r="AX112" s="148" t="s">
        <v>320</v>
      </c>
      <c r="AY112" s="148" t="s">
        <v>320</v>
      </c>
    </row>
    <row r="113" spans="2:51">
      <c r="B113" t="s">
        <v>321</v>
      </c>
      <c r="G113" s="41">
        <f>Capital!G8</f>
        <v>0</v>
      </c>
      <c r="H113" s="41">
        <f>Capital!H8</f>
        <v>0</v>
      </c>
      <c r="I113" s="41">
        <f>Capital!I8</f>
        <v>391.4</v>
      </c>
      <c r="J113" s="41">
        <f>Capital!J8</f>
        <v>0</v>
      </c>
      <c r="K113" s="41">
        <f>Capital!K8</f>
        <v>0</v>
      </c>
      <c r="L113" s="41">
        <f>Capital!L8</f>
        <v>0</v>
      </c>
      <c r="M113" s="41">
        <f>Capital!M8</f>
        <v>0</v>
      </c>
      <c r="N113" s="41">
        <f>Capital!N8</f>
        <v>0</v>
      </c>
      <c r="T113" s="41">
        <f>Capital!T8</f>
        <v>0</v>
      </c>
      <c r="U113" s="41">
        <f>Capital!U8</f>
        <v>0</v>
      </c>
      <c r="V113" s="41">
        <f>Capital!V8</f>
        <v>0</v>
      </c>
      <c r="W113" s="41">
        <f>Capital!W8</f>
        <v>0</v>
      </c>
      <c r="X113" s="41">
        <f>Capital!X8</f>
        <v>0</v>
      </c>
      <c r="Y113" s="41">
        <f>Capital!Y8</f>
        <v>0</v>
      </c>
      <c r="Z113" s="41">
        <f>Capital!Z8</f>
        <v>0</v>
      </c>
      <c r="AA113" s="41">
        <f>Capital!AA8</f>
        <v>0</v>
      </c>
      <c r="AB113" s="41">
        <f>Capital!AB8</f>
        <v>0</v>
      </c>
      <c r="AC113" s="41">
        <f>Capital!AC8</f>
        <v>282</v>
      </c>
      <c r="AD113" s="41">
        <f>Capital!AD8</f>
        <v>109.4</v>
      </c>
      <c r="AE113" s="41">
        <f>Capital!AE8</f>
        <v>0</v>
      </c>
      <c r="AF113" s="41">
        <f>Capital!AF8</f>
        <v>0</v>
      </c>
      <c r="AG113" s="41">
        <f>Capital!AG8</f>
        <v>0</v>
      </c>
      <c r="AH113" s="41">
        <f>Capital!AH8</f>
        <v>0</v>
      </c>
      <c r="AI113" s="41">
        <f>Capital!AI8</f>
        <v>0</v>
      </c>
      <c r="AJ113" s="41">
        <f>Capital!AJ8</f>
        <v>0</v>
      </c>
      <c r="AK113" s="41">
        <f>Capital!AK8</f>
        <v>0</v>
      </c>
      <c r="AL113" s="41">
        <f>Capital!AL8</f>
        <v>0</v>
      </c>
      <c r="AM113" s="41">
        <f>Capital!AM8</f>
        <v>0</v>
      </c>
      <c r="AN113" s="41">
        <f>Capital!AN8</f>
        <v>0</v>
      </c>
      <c r="AO113" s="41">
        <f>Capital!AO8</f>
        <v>0</v>
      </c>
      <c r="AP113" s="41">
        <f>Capital!AP8</f>
        <v>0</v>
      </c>
      <c r="AQ113" s="41">
        <f>Capital!AQ8</f>
        <v>0</v>
      </c>
      <c r="AR113" s="41">
        <f>Capital!AR8</f>
        <v>0</v>
      </c>
      <c r="AS113" s="41">
        <f>Capital!AS8</f>
        <v>0</v>
      </c>
      <c r="AT113" s="41">
        <f>Capital!AT8</f>
        <v>0</v>
      </c>
      <c r="AU113" s="41">
        <f>Capital!AU8</f>
        <v>0</v>
      </c>
      <c r="AV113" s="41">
        <f>Capital!AV8</f>
        <v>0</v>
      </c>
      <c r="AW113" s="41">
        <f>Capital!AW8</f>
        <v>0</v>
      </c>
      <c r="AX113" s="41">
        <f>Capital!AX8</f>
        <v>0</v>
      </c>
      <c r="AY113" s="41">
        <f>Capital!AY8</f>
        <v>0</v>
      </c>
    </row>
    <row r="114" spans="2:51" hidden="1" outlineLevel="1"/>
    <row r="115" spans="2:51" hidden="1" outlineLevel="1"/>
    <row r="116" spans="2:51" hidden="1" outlineLevel="1"/>
    <row r="117" spans="2:51" hidden="1" outlineLevel="1"/>
    <row r="118" spans="2:51" hidden="1" outlineLevel="1"/>
    <row r="119" spans="2:51" hidden="1" outlineLevel="1"/>
    <row r="120" spans="2:51" hidden="1" outlineLevel="1"/>
    <row r="121" spans="2:51" hidden="1" outlineLevel="1"/>
    <row r="122" spans="2:51" hidden="1" outlineLevel="1"/>
    <row r="123" spans="2:51" hidden="1" outlineLevel="1"/>
    <row r="124" spans="2:51" hidden="1" outlineLevel="1"/>
    <row r="125" spans="2:51" hidden="1" outlineLevel="1"/>
    <row r="126" spans="2:51" hidden="1" outlineLevel="1"/>
    <row r="127" spans="2:51" hidden="1" outlineLevel="1"/>
    <row r="128" spans="2:51" hidden="1" outlineLevel="1"/>
    <row r="129" hidden="1" outlineLevel="1"/>
    <row r="130" hidden="1" outlineLevel="1"/>
    <row r="131" hidden="1" outlineLevel="1"/>
    <row r="132" hidden="1" outlineLevel="1"/>
    <row r="133" hidden="1" outlineLevel="1"/>
    <row r="134" hidden="1" outlineLevel="1"/>
    <row r="135" hidden="1" outlineLevel="1"/>
    <row r="136" hidden="1" outlineLevel="1"/>
    <row r="137" hidden="1" outlineLevel="1"/>
    <row r="138" hidden="1" outlineLevel="1"/>
    <row r="139" hidden="1" outlineLevel="1"/>
    <row r="140" hidden="1" outlineLevel="1"/>
    <row r="141" hidden="1" outlineLevel="1"/>
    <row r="142" hidden="1" outlineLevel="1"/>
    <row r="143" hidden="1" outlineLevel="1"/>
    <row r="144" hidden="1" outlineLevel="1"/>
    <row r="145" hidden="1" outlineLevel="1"/>
    <row r="146" hidden="1" outlineLevel="1"/>
    <row r="147" hidden="1" outlineLevel="1"/>
    <row r="148" hidden="1" outlineLevel="1"/>
    <row r="149" hidden="1" outlineLevel="1"/>
    <row r="150" hidden="1" outlineLevel="1"/>
    <row r="151" hidden="1" outlineLevel="1"/>
    <row r="152" hidden="1" outlineLevel="1"/>
    <row r="153" hidden="1" outlineLevel="1"/>
    <row r="154" hidden="1" outlineLevel="1"/>
    <row r="155" hidden="1" outlineLevel="1"/>
    <row r="156" hidden="1" outlineLevel="1"/>
    <row r="157" hidden="1" outlineLevel="1"/>
    <row r="158" hidden="1" outlineLevel="1"/>
    <row r="159" hidden="1" outlineLevel="1"/>
    <row r="160" hidden="1" outlineLevel="1"/>
    <row r="161" hidden="1" outlineLevel="1"/>
    <row r="162" hidden="1" outlineLevel="1"/>
    <row r="163" hidden="1" outlineLevel="1"/>
    <row r="164" hidden="1" outlineLevel="1"/>
    <row r="165" hidden="1" outlineLevel="1"/>
    <row r="166" hidden="1" outlineLevel="1"/>
    <row r="167" hidden="1" outlineLevel="1"/>
    <row r="168" hidden="1" outlineLevel="1"/>
    <row r="169" hidden="1" outlineLevel="1"/>
    <row r="170" hidden="1" outlineLevel="1"/>
    <row r="171" hidden="1" outlineLevel="1"/>
    <row r="172" hidden="1" outlineLevel="1"/>
    <row r="173" hidden="1" outlineLevel="1"/>
    <row r="174" hidden="1" outlineLevel="1"/>
    <row r="175" hidden="1" outlineLevel="1"/>
    <row r="176" hidden="1" outlineLevel="1"/>
    <row r="177" hidden="1" outlineLevel="1"/>
    <row r="178" hidden="1" outlineLevel="1"/>
    <row r="179" hidden="1" outlineLevel="1"/>
    <row r="180" hidden="1" outlineLevel="1"/>
    <row r="181" hidden="1" outlineLevel="1"/>
    <row r="182" hidden="1" outlineLevel="1"/>
    <row r="183" hidden="1" outlineLevel="1"/>
    <row r="184" hidden="1" outlineLevel="1"/>
    <row r="185" hidden="1" outlineLevel="1"/>
    <row r="186" hidden="1" outlineLevel="1"/>
    <row r="187" hidden="1" outlineLevel="1"/>
    <row r="188" hidden="1" outlineLevel="1"/>
    <row r="189" hidden="1" outlineLevel="1"/>
    <row r="190" hidden="1" outlineLevel="1"/>
    <row r="191" hidden="1" outlineLevel="1"/>
    <row r="192" hidden="1" outlineLevel="1"/>
    <row r="193" hidden="1" outlineLevel="1"/>
    <row r="194" hidden="1" outlineLevel="1"/>
    <row r="195" hidden="1" outlineLevel="1"/>
    <row r="196" hidden="1" outlineLevel="1"/>
    <row r="197" hidden="1" outlineLevel="1"/>
    <row r="198" hidden="1" outlineLevel="1"/>
    <row r="199" hidden="1" outlineLevel="1"/>
    <row r="200" hidden="1" outlineLevel="1"/>
    <row r="201" hidden="1" outlineLevel="1"/>
    <row r="202" collapsed="1"/>
  </sheetData>
  <pageMargins left="0" right="0" top="0" bottom="0" header="0" footer="0"/>
  <pageSetup paperSize="5" scale="47" orientation="landscape" r:id="rId1"/>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A2:CF104"/>
  <sheetViews>
    <sheetView showGridLines="0" zoomScale="70" zoomScaleNormal="70" workbookViewId="0">
      <pane xSplit="3" ySplit="3" topLeftCell="J4" activePane="bottomRight" state="frozen"/>
      <selection activeCell="E21" sqref="E21"/>
      <selection pane="topRight" activeCell="E21" sqref="E21"/>
      <selection pane="bottomLeft" activeCell="E21" sqref="E21"/>
      <selection pane="bottomRight" activeCell="J4" sqref="J4"/>
    </sheetView>
  </sheetViews>
  <sheetFormatPr defaultRowHeight="12.75" outlineLevelRow="1" outlineLevelCol="1"/>
  <cols>
    <col min="1" max="1" width="2" bestFit="1" customWidth="1"/>
    <col min="2" max="2" width="32.5703125" customWidth="1"/>
    <col min="3" max="3" width="9.140625" customWidth="1"/>
    <col min="4" max="6" width="9.140625" hidden="1" customWidth="1" outlineLevel="1"/>
    <col min="7" max="7" width="9.140625" hidden="1" customWidth="1" outlineLevel="1" collapsed="1"/>
    <col min="8" max="9" width="9.140625" hidden="1" customWidth="1" outlineLevel="1"/>
    <col min="10" max="10" width="9.140625" customWidth="1" collapsed="1"/>
    <col min="11" max="13" width="9.140625" customWidth="1"/>
    <col min="14" max="14" width="9.140625" hidden="1" customWidth="1" outlineLevel="1"/>
    <col min="15" max="15" width="9.140625" customWidth="1" collapsed="1"/>
    <col min="16" max="19" width="9.140625" hidden="1" customWidth="1" outlineLevel="1"/>
    <col min="20" max="20" width="9.7109375" hidden="1" customWidth="1" outlineLevel="1" collapsed="1"/>
    <col min="21" max="21" width="9.28515625" hidden="1" customWidth="1" outlineLevel="1"/>
    <col min="22" max="22" width="9.42578125" hidden="1" customWidth="1" outlineLevel="1"/>
    <col min="23" max="23" width="9.28515625" hidden="1" customWidth="1" outlineLevel="1"/>
    <col min="24" max="24" width="9.7109375" hidden="1" customWidth="1" outlineLevel="1" collapsed="1"/>
    <col min="25" max="26" width="9.42578125" hidden="1" customWidth="1" outlineLevel="1"/>
    <col min="27" max="27" width="11" hidden="1" customWidth="1" outlineLevel="1"/>
    <col min="28" max="28" width="9.140625" hidden="1" customWidth="1" outlineLevel="1" collapsed="1"/>
    <col min="29" max="31" width="9.140625" hidden="1" customWidth="1" outlineLevel="1"/>
    <col min="32" max="32" width="9.140625" hidden="1" customWidth="1" outlineLevel="1" collapsed="1"/>
    <col min="33" max="35" width="9.140625" hidden="1" customWidth="1" outlineLevel="1"/>
    <col min="36" max="36" width="9.140625" customWidth="1" collapsed="1"/>
    <col min="37" max="51" width="9.140625" customWidth="1"/>
    <col min="53" max="77" width="9.140625" hidden="1" customWidth="1" outlineLevel="1"/>
    <col min="78" max="78" width="9.140625" collapsed="1"/>
    <col min="79" max="84" width="9.140625" customWidth="1" outlineLevel="1"/>
  </cols>
  <sheetData>
    <row r="2" spans="2:84" s="14" customFormat="1">
      <c r="B2" s="13" t="s">
        <v>2</v>
      </c>
      <c r="C2" s="13"/>
      <c r="D2" s="52">
        <f>Rev!D2</f>
        <v>40359</v>
      </c>
      <c r="E2" s="52">
        <f>Rev!E2</f>
        <v>40724</v>
      </c>
      <c r="F2" s="52">
        <f>Rev!F2</f>
        <v>41090</v>
      </c>
      <c r="G2" s="52">
        <f>Rev!G2</f>
        <v>41455</v>
      </c>
      <c r="H2" s="52">
        <f>Rev!H2</f>
        <v>41820</v>
      </c>
      <c r="I2" s="52">
        <f>Rev!I2</f>
        <v>42185</v>
      </c>
      <c r="J2" s="52">
        <f>Rev!J2</f>
        <v>42551</v>
      </c>
      <c r="K2" s="52">
        <f>Rev!K2</f>
        <v>42916</v>
      </c>
      <c r="L2" s="52">
        <f>Rev!L2</f>
        <v>43281</v>
      </c>
      <c r="M2" s="52">
        <f>Rev!M2</f>
        <v>43646</v>
      </c>
      <c r="N2" s="52">
        <f>Rev!N2</f>
        <v>44012</v>
      </c>
      <c r="O2" s="13"/>
      <c r="P2" s="13"/>
      <c r="Q2" s="13"/>
      <c r="R2" s="13"/>
      <c r="S2" s="13"/>
      <c r="T2" s="52">
        <f>Rev!T2</f>
        <v>41182</v>
      </c>
      <c r="U2" s="52">
        <f>Rev!U2</f>
        <v>41274</v>
      </c>
      <c r="V2" s="52">
        <f>Rev!V2</f>
        <v>41364</v>
      </c>
      <c r="W2" s="52">
        <f>Rev!W2</f>
        <v>41455</v>
      </c>
      <c r="X2" s="52">
        <f>Rev!X2</f>
        <v>41547</v>
      </c>
      <c r="Y2" s="52">
        <f>Rev!Y2</f>
        <v>41639</v>
      </c>
      <c r="Z2" s="53">
        <f>Rev!Z2</f>
        <v>41729</v>
      </c>
      <c r="AA2" s="52">
        <f>Rev!AA2</f>
        <v>41820</v>
      </c>
      <c r="AB2" s="52">
        <f>Rev!AB2</f>
        <v>41912</v>
      </c>
      <c r="AC2" s="52">
        <f>Rev!AC2</f>
        <v>42004</v>
      </c>
      <c r="AD2" s="52">
        <f>Rev!AD2</f>
        <v>42094</v>
      </c>
      <c r="AE2" s="52">
        <f>Rev!AE2</f>
        <v>42185</v>
      </c>
      <c r="AF2" s="52">
        <f>Rev!AF2</f>
        <v>42277</v>
      </c>
      <c r="AG2" s="52">
        <f>Rev!AG2</f>
        <v>42369</v>
      </c>
      <c r="AH2" s="52">
        <f>Rev!AH2</f>
        <v>42460</v>
      </c>
      <c r="AI2" s="52">
        <f>Rev!AI2</f>
        <v>42551</v>
      </c>
      <c r="AJ2" s="52">
        <f>Rev!AJ2</f>
        <v>42643</v>
      </c>
      <c r="AK2" s="52">
        <f>Rev!AK2</f>
        <v>42735</v>
      </c>
      <c r="AL2" s="52">
        <f>Rev!AL2</f>
        <v>42825</v>
      </c>
      <c r="AM2" s="52">
        <f>Rev!AM2</f>
        <v>42916</v>
      </c>
      <c r="AN2" s="52">
        <f>Rev!AN2</f>
        <v>43008</v>
      </c>
      <c r="AO2" s="52">
        <f>Rev!AO2</f>
        <v>43100</v>
      </c>
      <c r="AP2" s="52">
        <f>Rev!AP2</f>
        <v>43190</v>
      </c>
      <c r="AQ2" s="52">
        <f>Rev!AQ2</f>
        <v>43281</v>
      </c>
      <c r="AR2" s="52">
        <f>Rev!AR2</f>
        <v>43373</v>
      </c>
      <c r="AS2" s="52">
        <f>Rev!AS2</f>
        <v>43465</v>
      </c>
      <c r="AT2" s="52">
        <f>Rev!AT2</f>
        <v>43555</v>
      </c>
      <c r="AU2" s="52">
        <f>Rev!AU2</f>
        <v>43646</v>
      </c>
      <c r="AV2" s="52">
        <f>Rev!AV2</f>
        <v>43738</v>
      </c>
      <c r="AW2" s="52">
        <f>Rev!AW2</f>
        <v>43830</v>
      </c>
      <c r="AX2" s="52">
        <f>Rev!AX2</f>
        <v>43921</v>
      </c>
      <c r="AY2" s="52">
        <f>Rev!AY2</f>
        <v>44012</v>
      </c>
      <c r="CA2"/>
      <c r="CB2"/>
      <c r="CC2"/>
      <c r="CD2"/>
      <c r="CE2"/>
      <c r="CF2"/>
    </row>
    <row r="3" spans="2:84" s="16" customFormat="1">
      <c r="B3" s="15" t="s">
        <v>1</v>
      </c>
      <c r="C3" s="15"/>
      <c r="D3" s="103">
        <f>Rev!D3</f>
        <v>2010</v>
      </c>
      <c r="E3" s="103">
        <f>Rev!E3</f>
        <v>2011</v>
      </c>
      <c r="F3" s="103">
        <f>Rev!F3</f>
        <v>2012</v>
      </c>
      <c r="G3" s="103">
        <f>Rev!G3</f>
        <v>2013</v>
      </c>
      <c r="H3" s="103">
        <f>Rev!H3</f>
        <v>2014</v>
      </c>
      <c r="I3" s="54">
        <f>Rev!I3</f>
        <v>2015</v>
      </c>
      <c r="J3" s="54">
        <f>Rev!J3</f>
        <v>2016</v>
      </c>
      <c r="K3" s="54">
        <f>Rev!K3</f>
        <v>2017</v>
      </c>
      <c r="L3" s="54" t="str">
        <f>Rev!L3</f>
        <v>2018E</v>
      </c>
      <c r="M3" s="54" t="str">
        <f>Rev!M3</f>
        <v>2019E</v>
      </c>
      <c r="N3" s="54" t="str">
        <f>Rev!N3</f>
        <v>2020E</v>
      </c>
      <c r="O3" s="15"/>
      <c r="P3" s="15"/>
      <c r="Q3" s="15"/>
      <c r="R3" s="15"/>
      <c r="S3" s="15"/>
      <c r="T3" s="54" t="str">
        <f>Rev!T3</f>
        <v>1Q13</v>
      </c>
      <c r="U3" s="54" t="str">
        <f>Rev!U3</f>
        <v>2Q13</v>
      </c>
      <c r="V3" s="54" t="str">
        <f>Rev!V3</f>
        <v>3Q13</v>
      </c>
      <c r="W3" s="54" t="str">
        <f>Rev!W3</f>
        <v>4Q13</v>
      </c>
      <c r="X3" s="54" t="str">
        <f>Rev!X3</f>
        <v>1Q14</v>
      </c>
      <c r="Y3" s="54" t="str">
        <f>Rev!Y3</f>
        <v>2Q14</v>
      </c>
      <c r="Z3" s="55" t="str">
        <f>Rev!Z3</f>
        <v>3Q14</v>
      </c>
      <c r="AA3" s="56" t="str">
        <f>Rev!AA3</f>
        <v>4Q14</v>
      </c>
      <c r="AB3" s="56" t="str">
        <f>Rev!AB3</f>
        <v>1Q15</v>
      </c>
      <c r="AC3" s="56" t="str">
        <f>Rev!AC3</f>
        <v>2Q15</v>
      </c>
      <c r="AD3" s="56" t="str">
        <f>Rev!AD3</f>
        <v>3Q15</v>
      </c>
      <c r="AE3" s="56" t="str">
        <f>Rev!AE3</f>
        <v>4Q15</v>
      </c>
      <c r="AF3" s="56" t="str">
        <f>Rev!AF3</f>
        <v>1Q16</v>
      </c>
      <c r="AG3" s="56" t="str">
        <f>Rev!AG3</f>
        <v>2Q16</v>
      </c>
      <c r="AH3" s="56" t="str">
        <f>Rev!AH3</f>
        <v>3Q16</v>
      </c>
      <c r="AI3" s="56" t="str">
        <f>Rev!AI3</f>
        <v>4Q16</v>
      </c>
      <c r="AJ3" s="56" t="str">
        <f>Rev!AJ3</f>
        <v>1Q17</v>
      </c>
      <c r="AK3" s="56" t="str">
        <f>Rev!AK3</f>
        <v>2Q17</v>
      </c>
      <c r="AL3" s="56" t="str">
        <f>Rev!AL3</f>
        <v>3Q17</v>
      </c>
      <c r="AM3" s="56" t="str">
        <f>Rev!AM3</f>
        <v>4Q17</v>
      </c>
      <c r="AN3" s="56" t="str">
        <f>Rev!AN3</f>
        <v>1Q18</v>
      </c>
      <c r="AO3" s="56" t="str">
        <f>Rev!AO3</f>
        <v>2Q18</v>
      </c>
      <c r="AP3" s="56" t="str">
        <f>Rev!AP3</f>
        <v>3Q18E</v>
      </c>
      <c r="AQ3" s="56" t="str">
        <f>Rev!AQ3</f>
        <v>4Q18E</v>
      </c>
      <c r="AR3" s="56" t="str">
        <f>Rev!AR3</f>
        <v>1Q19E</v>
      </c>
      <c r="AS3" s="56" t="str">
        <f>Rev!AS3</f>
        <v>2Q19E</v>
      </c>
      <c r="AT3" s="56" t="str">
        <f>Rev!AT3</f>
        <v>3Q19E</v>
      </c>
      <c r="AU3" s="56" t="str">
        <f>Rev!AU3</f>
        <v>4Q19E</v>
      </c>
      <c r="AV3" s="56" t="str">
        <f>Rev!AV3</f>
        <v>1Q20E</v>
      </c>
      <c r="AW3" s="56" t="str">
        <f>Rev!AW3</f>
        <v>2Q20E</v>
      </c>
      <c r="AX3" s="56" t="str">
        <f>Rev!AX3</f>
        <v>3Q20E</v>
      </c>
      <c r="AY3" s="56" t="str">
        <f>Rev!AY3</f>
        <v>4Q20E</v>
      </c>
      <c r="CA3"/>
      <c r="CB3"/>
      <c r="CC3"/>
      <c r="CD3"/>
      <c r="CE3"/>
      <c r="CF3"/>
    </row>
    <row r="4" spans="2:84" s="13" customFormat="1">
      <c r="CA4"/>
      <c r="CB4"/>
      <c r="CC4"/>
      <c r="CD4"/>
      <c r="CE4"/>
      <c r="CF4"/>
    </row>
    <row r="5" spans="2:84" s="15" customFormat="1">
      <c r="B5" s="57" t="s">
        <v>155</v>
      </c>
      <c r="CA5"/>
      <c r="CB5"/>
      <c r="CC5"/>
      <c r="CD5"/>
      <c r="CE5"/>
      <c r="CF5"/>
    </row>
    <row r="6" spans="2:84">
      <c r="B6" t="s">
        <v>68</v>
      </c>
      <c r="G6" s="6">
        <f>+SUM(T6:W6)</f>
        <v>-140.12046949655058</v>
      </c>
      <c r="H6" s="6">
        <f>+SUM(X6:AA6)</f>
        <v>-179.29400000000001</v>
      </c>
      <c r="I6" s="6">
        <f>+SUM(AB6:AE6)</f>
        <v>-155.29999999999995</v>
      </c>
      <c r="J6" s="6">
        <f>+SUM(AF6:AI6)</f>
        <v>-76.199999999999989</v>
      </c>
      <c r="K6" s="6">
        <f>+SUM(AJ6:AM6)</f>
        <v>85.700000000000045</v>
      </c>
      <c r="L6" s="6">
        <f ca="1">+SUM(AN6:AQ6)</f>
        <v>79.582406920442111</v>
      </c>
      <c r="M6" s="6">
        <f ca="1">+SUM(AR6:AU6)</f>
        <v>95.181621724318973</v>
      </c>
      <c r="N6" s="6">
        <f ca="1">+SUM(AV6:AY6)</f>
        <v>86.496142168192691</v>
      </c>
      <c r="O6" s="40"/>
      <c r="T6" s="51">
        <v>-65.798217707654814</v>
      </c>
      <c r="U6" s="51">
        <v>-33.445099671824309</v>
      </c>
      <c r="V6" s="51">
        <v>-17.245135372696812</v>
      </c>
      <c r="W6" s="51">
        <v>-23.632016744374642</v>
      </c>
      <c r="X6" s="51">
        <v>-28.385938212954365</v>
      </c>
      <c r="Y6" s="51">
        <v>-36.388085033011237</v>
      </c>
      <c r="Z6" s="51">
        <v>-41.448956482525432</v>
      </c>
      <c r="AA6" s="51">
        <f>-179.294-SUM(X6:Z6)</f>
        <v>-73.071020271508985</v>
      </c>
      <c r="AB6" s="41">
        <f>IS!AB30</f>
        <v>-110.50000000000001</v>
      </c>
      <c r="AC6" s="41">
        <f>IS!AC30</f>
        <v>3.7999999999999687</v>
      </c>
      <c r="AD6" s="41">
        <f>IS!AD30</f>
        <v>-53.699999999999996</v>
      </c>
      <c r="AE6" s="41">
        <f>IS!AE30</f>
        <v>5.1000000000000689</v>
      </c>
      <c r="AF6" s="41">
        <f>IS!AF30</f>
        <v>-15.199999999999982</v>
      </c>
      <c r="AG6" s="41">
        <f>IS!AG30</f>
        <v>-10.799999999999978</v>
      </c>
      <c r="AH6" s="41">
        <f>IS!AH30</f>
        <v>-19.300000000000008</v>
      </c>
      <c r="AI6" s="41">
        <f>IS!AI30</f>
        <v>-30.90000000000002</v>
      </c>
      <c r="AJ6" s="41">
        <f>IS!AJ30</f>
        <v>15.700000000000005</v>
      </c>
      <c r="AK6" s="41">
        <f>IS!AK30</f>
        <v>19.799999999999958</v>
      </c>
      <c r="AL6" s="41">
        <f>IS!AL30</f>
        <v>27.000000000000043</v>
      </c>
      <c r="AM6" s="41">
        <f>IS!AM30</f>
        <v>23.200000000000031</v>
      </c>
      <c r="AN6" s="41">
        <f>IS!AN30</f>
        <v>23.200000000000017</v>
      </c>
      <c r="AO6" s="41">
        <f>IS!AO30</f>
        <v>11.499999999999979</v>
      </c>
      <c r="AP6" s="41">
        <f ca="1">IS!AP30</f>
        <v>21.859474127653222</v>
      </c>
      <c r="AQ6" s="41">
        <f ca="1">IS!AQ30</f>
        <v>23.0229327927889</v>
      </c>
      <c r="AR6" s="41">
        <f ca="1">IS!AR30</f>
        <v>23.629471465729338</v>
      </c>
      <c r="AS6" s="41">
        <f ca="1">IS!AS30</f>
        <v>23.949228425919941</v>
      </c>
      <c r="AT6" s="41">
        <f ca="1">IS!AT30</f>
        <v>23.960279401865563</v>
      </c>
      <c r="AU6" s="41">
        <f ca="1">IS!AU30</f>
        <v>23.642642430804138</v>
      </c>
      <c r="AV6" s="41">
        <f ca="1">IS!AV30</f>
        <v>23.004341617968802</v>
      </c>
      <c r="AW6" s="41">
        <f ca="1">IS!AW30</f>
        <v>22.053072797902185</v>
      </c>
      <c r="AX6" s="41">
        <f ca="1">IS!AX30</f>
        <v>20.796083232932666</v>
      </c>
      <c r="AY6" s="41">
        <f ca="1">IS!AY30</f>
        <v>20.642644519389034</v>
      </c>
      <c r="AZ6" s="6"/>
    </row>
    <row r="7" spans="2:84">
      <c r="B7" t="s">
        <v>67</v>
      </c>
      <c r="G7" s="6">
        <f>+SUM(T7:W7)</f>
        <v>1.80813607</v>
      </c>
      <c r="H7" s="6">
        <f>+SUM(X7:AA7)</f>
        <v>-2.35</v>
      </c>
      <c r="I7" s="6">
        <f>+SUM(AB7:AE7)</f>
        <v>0</v>
      </c>
      <c r="J7" s="6">
        <f>+SUM(AF7:AI7)</f>
        <v>0</v>
      </c>
      <c r="K7" s="6">
        <f>+SUM(AJ7:AM7)</f>
        <v>0</v>
      </c>
      <c r="L7" s="6">
        <f>+SUM(AN7:AQ7)</f>
        <v>0</v>
      </c>
      <c r="M7" s="6">
        <f>+SUM(AR7:AU7)</f>
        <v>0</v>
      </c>
      <c r="N7" s="6">
        <f>+SUM(AV7:AY7)</f>
        <v>0</v>
      </c>
      <c r="O7" s="40"/>
      <c r="T7" s="51">
        <v>1.80813607</v>
      </c>
      <c r="U7" s="51">
        <v>0</v>
      </c>
      <c r="V7" s="51">
        <v>0</v>
      </c>
      <c r="W7" s="51">
        <v>0</v>
      </c>
      <c r="X7" s="51">
        <v>2.4612741900000001</v>
      </c>
      <c r="Y7" s="51">
        <v>0.27770934999999997</v>
      </c>
      <c r="Z7" s="51">
        <v>0.91612908999999998</v>
      </c>
      <c r="AA7" s="51">
        <f>-2.35-SUM(X7:Z7)</f>
        <v>-6.0051126300000002</v>
      </c>
      <c r="AB7" s="41">
        <f>IS!AB32</f>
        <v>0</v>
      </c>
      <c r="AC7" s="41">
        <f>IS!AC32</f>
        <v>0</v>
      </c>
      <c r="AD7" s="41">
        <f>IS!AD32</f>
        <v>0</v>
      </c>
      <c r="AE7" s="41">
        <f>IS!AE32</f>
        <v>0</v>
      </c>
      <c r="AF7" s="41">
        <f>IS!AF32</f>
        <v>0</v>
      </c>
      <c r="AG7" s="41">
        <f>IS!AG32</f>
        <v>0</v>
      </c>
      <c r="AH7" s="41">
        <f>IS!AH32</f>
        <v>0</v>
      </c>
      <c r="AI7" s="41">
        <f>IS!AI32</f>
        <v>0</v>
      </c>
      <c r="AJ7" s="41">
        <f>IS!AJ32</f>
        <v>0</v>
      </c>
      <c r="AK7" s="41">
        <f>IS!AK32</f>
        <v>0</v>
      </c>
      <c r="AL7" s="41">
        <f>IS!AL32</f>
        <v>0</v>
      </c>
      <c r="AM7" s="41">
        <f>IS!AM32</f>
        <v>0</v>
      </c>
      <c r="AN7" s="41">
        <f>IS!AN32</f>
        <v>0</v>
      </c>
      <c r="AO7" s="41">
        <f>IS!AO32</f>
        <v>0</v>
      </c>
      <c r="AP7" s="41">
        <f>IS!AP32</f>
        <v>0</v>
      </c>
      <c r="AQ7" s="41">
        <f>IS!AQ32</f>
        <v>0</v>
      </c>
      <c r="AR7" s="41">
        <f>IS!AR32</f>
        <v>0</v>
      </c>
      <c r="AS7" s="41">
        <f>IS!AS32</f>
        <v>0</v>
      </c>
      <c r="AT7" s="41">
        <f>IS!AT32</f>
        <v>0</v>
      </c>
      <c r="AU7" s="41">
        <f>IS!AU32</f>
        <v>0</v>
      </c>
      <c r="AV7" s="41">
        <f>IS!AV32</f>
        <v>0</v>
      </c>
      <c r="AW7" s="41">
        <f>IS!AW32</f>
        <v>0</v>
      </c>
      <c r="AX7" s="41">
        <f>IS!AX32</f>
        <v>0</v>
      </c>
      <c r="AY7" s="41">
        <f>IS!AY32</f>
        <v>0</v>
      </c>
      <c r="AZ7" s="6"/>
    </row>
    <row r="8" spans="2:84">
      <c r="B8" s="7" t="s">
        <v>66</v>
      </c>
      <c r="G8" s="6">
        <f>+SUM(T8:W8)</f>
        <v>-138.31233342655057</v>
      </c>
      <c r="H8" s="6">
        <f>+SUM(X8:AA8)</f>
        <v>-181.64400000000001</v>
      </c>
      <c r="I8" s="6">
        <f>+SUM(AB8:AE8)</f>
        <v>-155.29999999999995</v>
      </c>
      <c r="J8" s="6">
        <f>+SUM(AF8:AI8)</f>
        <v>-76.199999999999989</v>
      </c>
      <c r="K8" s="6">
        <f>+SUM(AJ8:AM8)</f>
        <v>85.700000000000045</v>
      </c>
      <c r="L8" s="6">
        <f ca="1">+SUM(AN8:AQ8)</f>
        <v>79.582406920442111</v>
      </c>
      <c r="M8" s="6">
        <f ca="1">+SUM(AR8:AU8)</f>
        <v>95.181621724318973</v>
      </c>
      <c r="N8" s="6">
        <f ca="1">+SUM(AV8:AY8)</f>
        <v>86.496142168192691</v>
      </c>
      <c r="O8" s="40"/>
      <c r="T8" s="6">
        <f t="shared" ref="T8:Z8" si="0">SUM(T6:T7)</f>
        <v>-63.990081637654811</v>
      </c>
      <c r="U8" s="6">
        <f t="shared" si="0"/>
        <v>-33.445099671824309</v>
      </c>
      <c r="V8" s="6">
        <f t="shared" si="0"/>
        <v>-17.245135372696812</v>
      </c>
      <c r="W8" s="6">
        <f t="shared" si="0"/>
        <v>-23.632016744374642</v>
      </c>
      <c r="X8" s="6">
        <f t="shared" si="0"/>
        <v>-25.924664022954364</v>
      </c>
      <c r="Y8" s="6">
        <f t="shared" si="0"/>
        <v>-36.110375683011235</v>
      </c>
      <c r="Z8" s="6">
        <f t="shared" si="0"/>
        <v>-40.532827392525434</v>
      </c>
      <c r="AA8" s="6">
        <f t="shared" ref="AA8:AF8" si="1">SUM(AA6:AA7)</f>
        <v>-79.076132901508984</v>
      </c>
      <c r="AB8" s="6">
        <f t="shared" si="1"/>
        <v>-110.50000000000001</v>
      </c>
      <c r="AC8" s="6">
        <f t="shared" si="1"/>
        <v>3.7999999999999687</v>
      </c>
      <c r="AD8" s="6">
        <f t="shared" si="1"/>
        <v>-53.699999999999996</v>
      </c>
      <c r="AE8" s="6">
        <f t="shared" si="1"/>
        <v>5.1000000000000689</v>
      </c>
      <c r="AF8" s="6">
        <f t="shared" si="1"/>
        <v>-15.199999999999982</v>
      </c>
      <c r="AG8" s="6">
        <f t="shared" ref="AG8:AL8" si="2">SUM(AG6:AG7)</f>
        <v>-10.799999999999978</v>
      </c>
      <c r="AH8" s="6">
        <f t="shared" si="2"/>
        <v>-19.300000000000008</v>
      </c>
      <c r="AI8" s="6">
        <f t="shared" si="2"/>
        <v>-30.90000000000002</v>
      </c>
      <c r="AJ8" s="6">
        <f t="shared" si="2"/>
        <v>15.700000000000005</v>
      </c>
      <c r="AK8" s="6">
        <f t="shared" si="2"/>
        <v>19.799999999999958</v>
      </c>
      <c r="AL8" s="6">
        <f t="shared" si="2"/>
        <v>27.000000000000043</v>
      </c>
      <c r="AM8" s="6">
        <f t="shared" ref="AM8:AN8" si="3">SUM(AM6:AM7)</f>
        <v>23.200000000000031</v>
      </c>
      <c r="AN8" s="6">
        <f t="shared" si="3"/>
        <v>23.200000000000017</v>
      </c>
      <c r="AO8" s="6">
        <f t="shared" ref="AO8" si="4">SUM(AO6:AO7)</f>
        <v>11.499999999999979</v>
      </c>
      <c r="AP8" s="6">
        <f t="shared" ref="AP8:AY8" ca="1" si="5">SUM(AP6:AP7)</f>
        <v>21.859474127653222</v>
      </c>
      <c r="AQ8" s="6">
        <f t="shared" ca="1" si="5"/>
        <v>23.0229327927889</v>
      </c>
      <c r="AR8" s="6">
        <f t="shared" ca="1" si="5"/>
        <v>23.629471465729338</v>
      </c>
      <c r="AS8" s="6">
        <f t="shared" ca="1" si="5"/>
        <v>23.949228425919941</v>
      </c>
      <c r="AT8" s="6">
        <f t="shared" ca="1" si="5"/>
        <v>23.960279401865563</v>
      </c>
      <c r="AU8" s="6">
        <f t="shared" ca="1" si="5"/>
        <v>23.642642430804138</v>
      </c>
      <c r="AV8" s="6">
        <f t="shared" ca="1" si="5"/>
        <v>23.004341617968802</v>
      </c>
      <c r="AW8" s="6">
        <f t="shared" ca="1" si="5"/>
        <v>22.053072797902185</v>
      </c>
      <c r="AX8" s="6">
        <f t="shared" ca="1" si="5"/>
        <v>20.796083232932666</v>
      </c>
      <c r="AY8" s="6">
        <f t="shared" ca="1" si="5"/>
        <v>20.642644519389034</v>
      </c>
      <c r="AZ8" s="6"/>
    </row>
    <row r="9" spans="2:84">
      <c r="O9" s="40"/>
      <c r="T9" s="6"/>
      <c r="U9" s="6"/>
      <c r="V9" s="6"/>
      <c r="W9" s="6"/>
      <c r="X9" s="6"/>
      <c r="Y9" s="6"/>
      <c r="Z9" s="6"/>
      <c r="AA9" s="6"/>
      <c r="AB9" s="6"/>
      <c r="AC9" s="6"/>
      <c r="AD9" s="6"/>
      <c r="AE9" s="6"/>
      <c r="AF9" s="6"/>
      <c r="AG9" s="6"/>
      <c r="AH9" s="6"/>
      <c r="AI9" s="6"/>
      <c r="AJ9" s="6"/>
      <c r="AK9" s="6"/>
      <c r="AL9" s="6"/>
      <c r="AM9" s="6"/>
      <c r="AN9" s="6"/>
      <c r="AO9" s="6"/>
      <c r="AP9" s="6"/>
      <c r="AQ9" s="6"/>
      <c r="AR9" s="6"/>
      <c r="AS9" s="6"/>
      <c r="AT9" s="6"/>
      <c r="AU9" s="6"/>
      <c r="AV9" s="6"/>
      <c r="AW9" s="6"/>
      <c r="AX9" s="6"/>
      <c r="AY9" s="6"/>
      <c r="AZ9" s="6"/>
    </row>
    <row r="10" spans="2:84">
      <c r="B10" t="s">
        <v>126</v>
      </c>
      <c r="G10" s="6">
        <f t="shared" ref="G10:G29" si="6">+SUM(T10:W10)</f>
        <v>324.53112110382096</v>
      </c>
      <c r="H10" s="6">
        <f t="shared" ref="H10:H18" si="7">+SUM(X10:AA10)</f>
        <v>338.26799999999997</v>
      </c>
      <c r="I10" s="6">
        <f t="shared" ref="I10:I18" si="8">+SUM(AB10:AE10)</f>
        <v>406.19999999999993</v>
      </c>
      <c r="J10" s="6">
        <f t="shared" ref="J10:J18" si="9">+SUM(AF10:AI10)</f>
        <v>516.29999999999995</v>
      </c>
      <c r="K10" s="6">
        <f t="shared" ref="K10:K18" si="10">+SUM(AJ10:AM10)</f>
        <v>606.9</v>
      </c>
      <c r="L10" s="6">
        <f t="shared" ref="L10:L18" ca="1" si="11">+SUM(AN10:AQ10)</f>
        <v>779.80503242524526</v>
      </c>
      <c r="M10" s="6">
        <f t="shared" ref="M10:M18" ca="1" si="12">+SUM(AR10:AU10)</f>
        <v>846.5955209279266</v>
      </c>
      <c r="N10" s="6">
        <f t="shared" ref="N10:N18" ca="1" si="13">+SUM(AV10:AY10)</f>
        <v>939.01954203359537</v>
      </c>
      <c r="O10" s="40"/>
      <c r="T10" s="51">
        <v>80.011761056504554</v>
      </c>
      <c r="U10" s="51">
        <v>83.930071437302175</v>
      </c>
      <c r="V10" s="51">
        <v>79.936313966682235</v>
      </c>
      <c r="W10" s="51">
        <v>80.652974643331987</v>
      </c>
      <c r="X10" s="51">
        <v>81.037188142589244</v>
      </c>
      <c r="Y10" s="51">
        <v>81.719234752796396</v>
      </c>
      <c r="Z10" s="51">
        <v>84.164631069322326</v>
      </c>
      <c r="AA10" s="51">
        <f>338.268-SUM(X10:Z10)</f>
        <v>91.346946035292007</v>
      </c>
      <c r="AB10" s="41">
        <f>+IS!AB16+IS!AB17</f>
        <v>96</v>
      </c>
      <c r="AC10" s="41">
        <f>+IS!AC16+IS!AC17</f>
        <v>96.9</v>
      </c>
      <c r="AD10" s="41">
        <f>+IS!AD16+IS!AD17</f>
        <v>100.1</v>
      </c>
      <c r="AE10" s="41">
        <f>+IS!AE16+IS!AE17</f>
        <v>113.19999999999996</v>
      </c>
      <c r="AF10" s="41">
        <f>+IS!AF16+IS!AF17</f>
        <v>117.1</v>
      </c>
      <c r="AG10" s="41">
        <f>+IS!AG16+IS!AG17</f>
        <v>113.7</v>
      </c>
      <c r="AH10" s="41">
        <f>+IS!AH16+IS!AH17</f>
        <v>137.19999999999999</v>
      </c>
      <c r="AI10" s="41">
        <f>+IS!AI16+IS!AI17</f>
        <v>148.30000000000001</v>
      </c>
      <c r="AJ10" s="41">
        <f>+IS!AJ16+IS!AJ17</f>
        <v>138.5</v>
      </c>
      <c r="AK10" s="41">
        <f>+IS!AK16+IS!AK17</f>
        <v>131.4</v>
      </c>
      <c r="AL10" s="41">
        <f>+IS!AL16+IS!AL17</f>
        <v>155.69999999999999</v>
      </c>
      <c r="AM10" s="41">
        <f>+IS!AM16+IS!AM17</f>
        <v>181.3</v>
      </c>
      <c r="AN10" s="41">
        <f>+IS!AN16+IS!AN17</f>
        <v>184.1</v>
      </c>
      <c r="AO10" s="41">
        <f>+IS!AO16+IS!AO17</f>
        <v>195.9</v>
      </c>
      <c r="AP10" s="41">
        <f ca="1">+IS!AP16+IS!AP17</f>
        <v>198.61508681712328</v>
      </c>
      <c r="AQ10" s="41">
        <f ca="1">+IS!AQ16+IS!AQ17</f>
        <v>201.189945608122</v>
      </c>
      <c r="AR10" s="41">
        <f ca="1">+IS!AR16+IS!AR17</f>
        <v>204.76600506243275</v>
      </c>
      <c r="AS10" s="41">
        <f ca="1">+IS!AS16+IS!AS17</f>
        <v>208.95979294543292</v>
      </c>
      <c r="AT10" s="41">
        <f ca="1">+IS!AT16+IS!AT17</f>
        <v>213.75095416854603</v>
      </c>
      <c r="AU10" s="41">
        <f ca="1">+IS!AU16+IS!AU17</f>
        <v>219.11876875151481</v>
      </c>
      <c r="AV10" s="41">
        <f ca="1">+IS!AV16+IS!AV17</f>
        <v>225.04283673172299</v>
      </c>
      <c r="AW10" s="41">
        <f ca="1">+IS!AW16+IS!AW17</f>
        <v>231.50372312884434</v>
      </c>
      <c r="AX10" s="41">
        <f ca="1">+IS!AX16+IS!AX17</f>
        <v>238.48290570776123</v>
      </c>
      <c r="AY10" s="41">
        <f ca="1">+IS!AY16+IS!AY17</f>
        <v>243.99007646526678</v>
      </c>
      <c r="AZ10" s="6"/>
    </row>
    <row r="11" spans="2:84" s="3" customFormat="1">
      <c r="B11" s="3" t="s">
        <v>127</v>
      </c>
      <c r="G11" s="40">
        <f t="shared" si="6"/>
        <v>64.374866010000005</v>
      </c>
      <c r="H11" s="40">
        <f t="shared" si="7"/>
        <v>163.79599999999999</v>
      </c>
      <c r="I11" s="40">
        <f t="shared" si="8"/>
        <v>149.1</v>
      </c>
      <c r="J11" s="40">
        <f t="shared" si="9"/>
        <v>184</v>
      </c>
      <c r="K11" s="40">
        <f t="shared" si="10"/>
        <v>200.5</v>
      </c>
      <c r="L11" s="40">
        <f t="shared" ca="1" si="11"/>
        <v>94.720097416171143</v>
      </c>
      <c r="M11" s="40">
        <f t="shared" ca="1" si="12"/>
        <v>179.73069399145714</v>
      </c>
      <c r="N11" s="40">
        <f t="shared" ca="1" si="13"/>
        <v>207.73560524637591</v>
      </c>
      <c r="O11" s="40"/>
      <c r="T11" s="50">
        <v>3.3793287300000041</v>
      </c>
      <c r="U11" s="50">
        <v>22.700580000000002</v>
      </c>
      <c r="V11" s="50">
        <v>3.7630700000000004</v>
      </c>
      <c r="W11" s="50">
        <v>34.531887279999999</v>
      </c>
      <c r="X11" s="50">
        <v>23.983796880933102</v>
      </c>
      <c r="Y11" s="50">
        <v>23.278519381862381</v>
      </c>
      <c r="Z11" s="50">
        <v>65.155495173323231</v>
      </c>
      <c r="AA11" s="51">
        <f>163.796-SUM(X11:Z11)</f>
        <v>51.378188563881281</v>
      </c>
      <c r="AB11" s="50">
        <v>43.2</v>
      </c>
      <c r="AC11" s="50">
        <f>84.1-AB11</f>
        <v>40.899999999999991</v>
      </c>
      <c r="AD11" s="50">
        <f>123.6-AC11-AB11</f>
        <v>39.5</v>
      </c>
      <c r="AE11" s="50">
        <f>149.1-SUM(AB11:AD11)</f>
        <v>25.5</v>
      </c>
      <c r="AF11" s="50">
        <v>49.7</v>
      </c>
      <c r="AG11" s="50">
        <f>86.6-AF11</f>
        <v>36.899999999999991</v>
      </c>
      <c r="AH11" s="50">
        <f>145.4-AF11-AG11</f>
        <v>58.800000000000011</v>
      </c>
      <c r="AI11" s="50">
        <f>184-AF11-AG11-AH11</f>
        <v>38.600000000000009</v>
      </c>
      <c r="AJ11" s="50">
        <v>40.9</v>
      </c>
      <c r="AK11" s="50">
        <f>84.3-AJ11</f>
        <v>43.4</v>
      </c>
      <c r="AL11" s="50">
        <f>156.7-AJ11-AK11</f>
        <v>72.399999999999977</v>
      </c>
      <c r="AM11" s="50">
        <f>200.5-AJ11-AK11-AL11</f>
        <v>43.800000000000011</v>
      </c>
      <c r="AN11" s="50"/>
      <c r="AO11" s="50"/>
      <c r="AP11" s="41">
        <f ca="1">BS!AP62</f>
        <v>37.972244223206246</v>
      </c>
      <c r="AQ11" s="41">
        <f ca="1">BS!AQ62</f>
        <v>56.747853192964897</v>
      </c>
      <c r="AR11" s="41">
        <f ca="1">BS!AR62</f>
        <v>43.003749553417947</v>
      </c>
      <c r="AS11" s="41">
        <f ca="1">BS!AS62</f>
        <v>44.358302649842472</v>
      </c>
      <c r="AT11" s="41">
        <f ca="1">BS!AT62</f>
        <v>45.616433895111612</v>
      </c>
      <c r="AU11" s="41">
        <f ca="1">BS!AU62</f>
        <v>46.752207893085114</v>
      </c>
      <c r="AV11" s="41">
        <f ca="1">BS!AV62</f>
        <v>47.847529860792122</v>
      </c>
      <c r="AW11" s="41">
        <f ca="1">BS!AW62</f>
        <v>48.90239897722708</v>
      </c>
      <c r="AX11" s="41">
        <f ca="1">BS!AX62</f>
        <v>49.916807372336791</v>
      </c>
      <c r="AY11" s="41">
        <f ca="1">BS!AY62</f>
        <v>61.068869036019919</v>
      </c>
      <c r="AZ11" s="40"/>
      <c r="CA11"/>
      <c r="CB11"/>
      <c r="CC11"/>
      <c r="CD11"/>
      <c r="CE11"/>
      <c r="CF11"/>
    </row>
    <row r="12" spans="2:84" s="3" customFormat="1">
      <c r="B12" s="3" t="s">
        <v>128</v>
      </c>
      <c r="G12" s="6">
        <f t="shared" si="6"/>
        <v>-43.139436692525138</v>
      </c>
      <c r="H12" s="6">
        <f t="shared" si="7"/>
        <v>-55.625999999999998</v>
      </c>
      <c r="I12" s="6">
        <f t="shared" si="8"/>
        <v>-72.100000000000009</v>
      </c>
      <c r="J12" s="6">
        <f t="shared" si="9"/>
        <v>-111.5</v>
      </c>
      <c r="K12" s="6">
        <f t="shared" si="10"/>
        <v>-117.6</v>
      </c>
      <c r="L12" s="6">
        <f t="shared" ca="1" si="11"/>
        <v>-135.21153902732294</v>
      </c>
      <c r="M12" s="6">
        <f t="shared" ca="1" si="12"/>
        <v>-146.8992561918532</v>
      </c>
      <c r="N12" s="6">
        <f t="shared" ca="1" si="13"/>
        <v>-159.64374701577864</v>
      </c>
      <c r="O12" s="40"/>
      <c r="T12" s="50">
        <v>-9.8583501654569741</v>
      </c>
      <c r="U12" s="50">
        <v>-10.239050206630617</v>
      </c>
      <c r="V12" s="50">
        <v>-11.088629735762918</v>
      </c>
      <c r="W12" s="50">
        <v>-11.953406584674626</v>
      </c>
      <c r="X12" s="50">
        <v>-12.579583534913418</v>
      </c>
      <c r="Y12" s="50">
        <v>-13.647021736125499</v>
      </c>
      <c r="Z12" s="50">
        <v>-14.215296579786239</v>
      </c>
      <c r="AA12" s="51">
        <f>-55.626-SUM(X12:Z12)</f>
        <v>-15.184098149174844</v>
      </c>
      <c r="AB12" s="62">
        <f>-Rev!AB13</f>
        <v>-17.3</v>
      </c>
      <c r="AC12" s="62">
        <f>-Rev!AC13</f>
        <v>-17.3</v>
      </c>
      <c r="AD12" s="62">
        <f>-Rev!AD13</f>
        <v>-18.3</v>
      </c>
      <c r="AE12" s="62">
        <f>-Rev!AE13</f>
        <v>-19.2</v>
      </c>
      <c r="AF12" s="62">
        <f>-Rev!AF13</f>
        <v>-20.399999999999999</v>
      </c>
      <c r="AG12" s="62">
        <f>-Rev!AG13</f>
        <v>-21.5</v>
      </c>
      <c r="AH12" s="50">
        <f>-66.6-AF12-AG12</f>
        <v>-24.699999999999996</v>
      </c>
      <c r="AI12" s="50">
        <f>-111.5-AF12-AG12-AH12</f>
        <v>-44.9</v>
      </c>
      <c r="AJ12" s="50">
        <v>-27.5</v>
      </c>
      <c r="AK12" s="50">
        <f>-55.6-AJ12</f>
        <v>-28.1</v>
      </c>
      <c r="AL12" s="50">
        <f>-85.5-AJ12-AK12</f>
        <v>-29.9</v>
      </c>
      <c r="AM12" s="50">
        <f>-117.6-AJ12-AK12-AL12</f>
        <v>-32.099999999999994</v>
      </c>
      <c r="AN12" s="50">
        <v>-32.799999999999997</v>
      </c>
      <c r="AO12" s="50">
        <f>-66.4-AN12</f>
        <v>-33.600000000000009</v>
      </c>
      <c r="AP12" s="62">
        <f ca="1">-Rev!AP13</f>
        <v>-33.932870737053435</v>
      </c>
      <c r="AQ12" s="62">
        <f ca="1">-Rev!AQ13</f>
        <v>-34.878668290269516</v>
      </c>
      <c r="AR12" s="62">
        <f ca="1">-Rev!AR13</f>
        <v>-35.595397449493149</v>
      </c>
      <c r="AS12" s="62">
        <f ca="1">-Rev!AS13</f>
        <v>-36.33470249365719</v>
      </c>
      <c r="AT12" s="62">
        <f ca="1">-Rev!AT13</f>
        <v>-37.09497639190905</v>
      </c>
      <c r="AU12" s="62">
        <f ca="1">-Rev!AU13</f>
        <v>-37.874179856793802</v>
      </c>
      <c r="AV12" s="62">
        <f ca="1">-Rev!AV13</f>
        <v>-38.671638687807004</v>
      </c>
      <c r="AW12" s="62">
        <f ca="1">-Rev!AW13</f>
        <v>-39.486678670760789</v>
      </c>
      <c r="AX12" s="62">
        <f ca="1">-Rev!AX13</f>
        <v>-40.318625460299735</v>
      </c>
      <c r="AY12" s="62">
        <f ca="1">-Rev!AY13</f>
        <v>-41.166804196911123</v>
      </c>
      <c r="AZ12" s="40"/>
      <c r="CA12"/>
      <c r="CB12"/>
      <c r="CC12"/>
      <c r="CD12"/>
      <c r="CE12"/>
      <c r="CF12"/>
    </row>
    <row r="13" spans="2:84" s="3" customFormat="1">
      <c r="B13" s="3" t="s">
        <v>129</v>
      </c>
      <c r="G13" s="6">
        <f t="shared" si="6"/>
        <v>2.1375442099693065</v>
      </c>
      <c r="H13" s="6">
        <f t="shared" si="7"/>
        <v>1.8640000000000001</v>
      </c>
      <c r="I13" s="6">
        <f t="shared" si="8"/>
        <v>1.9</v>
      </c>
      <c r="J13" s="6">
        <f t="shared" si="9"/>
        <v>3.9</v>
      </c>
      <c r="K13" s="6">
        <f t="shared" si="10"/>
        <v>3.7</v>
      </c>
      <c r="L13" s="6">
        <f t="shared" si="11"/>
        <v>2.2999999999999998</v>
      </c>
      <c r="M13" s="6">
        <f t="shared" si="12"/>
        <v>0</v>
      </c>
      <c r="N13" s="6">
        <f t="shared" si="13"/>
        <v>0</v>
      </c>
      <c r="O13" s="40"/>
      <c r="T13" s="50">
        <v>0.54592260072806242</v>
      </c>
      <c r="U13" s="50">
        <v>0.85524884699851644</v>
      </c>
      <c r="V13" s="50">
        <v>0.29720519932452749</v>
      </c>
      <c r="W13" s="50">
        <v>0.43916756291820003</v>
      </c>
      <c r="X13" s="50">
        <v>0.40897416245870954</v>
      </c>
      <c r="Y13" s="50">
        <v>0.41673898003601828</v>
      </c>
      <c r="Z13" s="50">
        <v>0.78478716929677694</v>
      </c>
      <c r="AA13" s="51">
        <f>1.864-SUM(X13:Z13)</f>
        <v>0.25349968820849544</v>
      </c>
      <c r="AB13" s="50">
        <v>0.6</v>
      </c>
      <c r="AC13" s="50">
        <f>0.9-AB13</f>
        <v>0.30000000000000004</v>
      </c>
      <c r="AD13" s="50">
        <f>1.3-AC13-AB13</f>
        <v>0.4</v>
      </c>
      <c r="AE13" s="50">
        <f>1.9-SUM(AB13:AD13)</f>
        <v>0.59999999999999987</v>
      </c>
      <c r="AF13" s="50">
        <v>0.6</v>
      </c>
      <c r="AG13" s="50">
        <f>2.5-AF13</f>
        <v>1.9</v>
      </c>
      <c r="AH13" s="50">
        <f>3.1-AF13-AG13</f>
        <v>0.60000000000000009</v>
      </c>
      <c r="AI13" s="50">
        <f>3.9-AF13-AG13-AH13</f>
        <v>0.79999999999999982</v>
      </c>
      <c r="AJ13" s="50">
        <v>0.9</v>
      </c>
      <c r="AK13" s="50">
        <f>1.4-AJ13</f>
        <v>0.49999999999999989</v>
      </c>
      <c r="AL13" s="50">
        <f>2.1-AJ13-AK13</f>
        <v>0.70000000000000029</v>
      </c>
      <c r="AM13" s="50">
        <f>3.7-AJ13-AK13-AL13</f>
        <v>1.6</v>
      </c>
      <c r="AN13" s="50">
        <v>0.8</v>
      </c>
      <c r="AO13" s="50">
        <f>2.3-AN13</f>
        <v>1.4999999999999998</v>
      </c>
      <c r="AP13" s="50">
        <v>0</v>
      </c>
      <c r="AQ13" s="50">
        <v>0</v>
      </c>
      <c r="AR13" s="50">
        <v>0</v>
      </c>
      <c r="AS13" s="50">
        <v>0</v>
      </c>
      <c r="AT13" s="50">
        <v>0</v>
      </c>
      <c r="AU13" s="50">
        <v>0</v>
      </c>
      <c r="AV13" s="50">
        <v>0</v>
      </c>
      <c r="AW13" s="50">
        <v>0</v>
      </c>
      <c r="AX13" s="50">
        <v>0</v>
      </c>
      <c r="AY13" s="50">
        <v>0</v>
      </c>
      <c r="AZ13" s="40"/>
      <c r="CA13"/>
      <c r="CB13"/>
      <c r="CC13"/>
      <c r="CD13"/>
      <c r="CE13"/>
      <c r="CF13"/>
    </row>
    <row r="14" spans="2:84" s="3" customFormat="1">
      <c r="B14" s="3" t="s">
        <v>130</v>
      </c>
      <c r="G14" s="6">
        <f t="shared" si="6"/>
        <v>0</v>
      </c>
      <c r="H14" s="6">
        <f t="shared" si="7"/>
        <v>1.911</v>
      </c>
      <c r="I14" s="6">
        <f t="shared" si="8"/>
        <v>19.7</v>
      </c>
      <c r="J14" s="6">
        <f t="shared" si="9"/>
        <v>11.9</v>
      </c>
      <c r="K14" s="6">
        <f t="shared" si="10"/>
        <v>1.1999999999999993</v>
      </c>
      <c r="L14" s="6">
        <f t="shared" si="11"/>
        <v>4.8</v>
      </c>
      <c r="M14" s="6">
        <f t="shared" si="12"/>
        <v>0</v>
      </c>
      <c r="N14" s="6">
        <f t="shared" si="13"/>
        <v>0</v>
      </c>
      <c r="O14" s="40"/>
      <c r="T14" s="50">
        <v>0</v>
      </c>
      <c r="U14" s="50">
        <v>0</v>
      </c>
      <c r="V14" s="50">
        <v>0</v>
      </c>
      <c r="W14" s="50">
        <v>0</v>
      </c>
      <c r="X14" s="50">
        <v>0</v>
      </c>
      <c r="Y14" s="50">
        <v>0</v>
      </c>
      <c r="Z14" s="50">
        <v>0</v>
      </c>
      <c r="AA14" s="51">
        <f>1.911-SUM(X14:Z14)</f>
        <v>1.911</v>
      </c>
      <c r="AB14" s="50">
        <v>2.7</v>
      </c>
      <c r="AC14" s="50">
        <f>9.4-AB14</f>
        <v>6.7</v>
      </c>
      <c r="AD14" s="50">
        <f>16.3-AC14-AB14</f>
        <v>6.9000000000000012</v>
      </c>
      <c r="AE14" s="50">
        <f>19.7-SUM(AB14:AD14)</f>
        <v>3.3999999999999986</v>
      </c>
      <c r="AF14" s="50">
        <v>3.5</v>
      </c>
      <c r="AG14" s="50">
        <f>6.6-AF14</f>
        <v>3.0999999999999996</v>
      </c>
      <c r="AH14" s="50">
        <f>9.1-AF14-AG14</f>
        <v>2.5</v>
      </c>
      <c r="AI14" s="50">
        <f>11.9-AF14-AG14-AH14</f>
        <v>2.8000000000000007</v>
      </c>
      <c r="AJ14" s="50">
        <v>2.6</v>
      </c>
      <c r="AK14" s="50">
        <f>5.1-AJ14</f>
        <v>2.4999999999999996</v>
      </c>
      <c r="AL14" s="50">
        <f>7.7-AJ14-AK14</f>
        <v>2.6</v>
      </c>
      <c r="AM14" s="50">
        <f>1.2-AJ14-AK14-AL14</f>
        <v>-6.5</v>
      </c>
      <c r="AN14" s="50">
        <v>2.4</v>
      </c>
      <c r="AO14" s="50">
        <f>4.8-AN14</f>
        <v>2.4</v>
      </c>
      <c r="AP14" s="50">
        <v>0</v>
      </c>
      <c r="AQ14" s="50">
        <v>0</v>
      </c>
      <c r="AR14" s="50">
        <v>0</v>
      </c>
      <c r="AS14" s="50">
        <v>0</v>
      </c>
      <c r="AT14" s="50">
        <v>0</v>
      </c>
      <c r="AU14" s="50">
        <v>0</v>
      </c>
      <c r="AV14" s="50">
        <v>0</v>
      </c>
      <c r="AW14" s="50">
        <v>0</v>
      </c>
      <c r="AX14" s="50">
        <v>0</v>
      </c>
      <c r="AY14" s="50">
        <v>0</v>
      </c>
      <c r="AZ14" s="40"/>
      <c r="CA14"/>
      <c r="CB14"/>
      <c r="CC14"/>
      <c r="CD14"/>
      <c r="CE14"/>
      <c r="CF14"/>
    </row>
    <row r="15" spans="2:84" s="3" customFormat="1">
      <c r="B15" s="3" t="s">
        <v>131</v>
      </c>
      <c r="G15" s="6">
        <f t="shared" si="6"/>
        <v>5.2952548900000007</v>
      </c>
      <c r="H15" s="6">
        <f t="shared" si="7"/>
        <v>22.140999999999998</v>
      </c>
      <c r="I15" s="6">
        <f t="shared" si="8"/>
        <v>0</v>
      </c>
      <c r="J15" s="6">
        <f t="shared" si="9"/>
        <v>0</v>
      </c>
      <c r="K15" s="6">
        <f t="shared" si="10"/>
        <v>0</v>
      </c>
      <c r="L15" s="6">
        <f t="shared" si="11"/>
        <v>0</v>
      </c>
      <c r="M15" s="6">
        <f t="shared" si="12"/>
        <v>0</v>
      </c>
      <c r="N15" s="6">
        <f t="shared" si="13"/>
        <v>0</v>
      </c>
      <c r="O15" s="40"/>
      <c r="T15" s="50">
        <v>-3.1833812199999993</v>
      </c>
      <c r="U15" s="50">
        <v>3.6000974299999999</v>
      </c>
      <c r="V15" s="50">
        <v>3.6434976499999996</v>
      </c>
      <c r="W15" s="50">
        <v>1.2350410300000001</v>
      </c>
      <c r="X15" s="50">
        <v>3.3807258600000001</v>
      </c>
      <c r="Y15" s="50">
        <v>3.4296145199999994</v>
      </c>
      <c r="Z15" s="50">
        <v>3.5147408599999999</v>
      </c>
      <c r="AA15" s="51">
        <f>22.141-SUM(X15:Z15)</f>
        <v>11.815918759999999</v>
      </c>
      <c r="AB15" s="19">
        <v>0</v>
      </c>
      <c r="AC15" s="19">
        <v>0</v>
      </c>
      <c r="AD15" s="19">
        <v>0</v>
      </c>
      <c r="AE15" s="19">
        <v>0</v>
      </c>
      <c r="AF15" s="19">
        <v>0</v>
      </c>
      <c r="AG15" s="19">
        <v>0</v>
      </c>
      <c r="AH15" s="19">
        <v>0</v>
      </c>
      <c r="AI15" s="19">
        <v>0</v>
      </c>
      <c r="AJ15" s="19">
        <v>0</v>
      </c>
      <c r="AK15" s="19">
        <v>0</v>
      </c>
      <c r="AL15" s="19">
        <v>0</v>
      </c>
      <c r="AM15" s="19">
        <v>0</v>
      </c>
      <c r="AN15" s="19"/>
      <c r="AO15" s="19"/>
      <c r="AP15" s="62">
        <f>+BS!AO14-BS!AP14</f>
        <v>0</v>
      </c>
      <c r="AQ15" s="62">
        <f>+BS!AP14-BS!AQ14</f>
        <v>0</v>
      </c>
      <c r="AR15" s="62">
        <f>+BS!AQ14-BS!AR14</f>
        <v>0</v>
      </c>
      <c r="AS15" s="62">
        <f>+BS!AR14-BS!AS14</f>
        <v>0</v>
      </c>
      <c r="AT15" s="62">
        <f>+BS!AS14-BS!AT14</f>
        <v>0</v>
      </c>
      <c r="AU15" s="62">
        <f>+BS!AT14-BS!AU14</f>
        <v>0</v>
      </c>
      <c r="AV15" s="62">
        <f>+BS!AU14-BS!AV14</f>
        <v>0</v>
      </c>
      <c r="AW15" s="62">
        <f>+BS!AV14-BS!AW14</f>
        <v>0</v>
      </c>
      <c r="AX15" s="62">
        <f>+BS!AW14-BS!AX14</f>
        <v>0</v>
      </c>
      <c r="AY15" s="62">
        <f>+BS!AX14-BS!AY14</f>
        <v>0</v>
      </c>
      <c r="AZ15" s="40"/>
      <c r="CA15"/>
      <c r="CB15"/>
      <c r="CC15"/>
      <c r="CD15"/>
      <c r="CE15"/>
      <c r="CF15"/>
    </row>
    <row r="16" spans="2:84">
      <c r="B16" t="s">
        <v>74</v>
      </c>
      <c r="G16" s="6">
        <f t="shared" si="6"/>
        <v>105.84999508651291</v>
      </c>
      <c r="H16" s="6">
        <f t="shared" si="7"/>
        <v>253.68100000000001</v>
      </c>
      <c r="I16" s="6">
        <f t="shared" si="8"/>
        <v>200.70000000000002</v>
      </c>
      <c r="J16" s="6">
        <f t="shared" si="9"/>
        <v>155.9</v>
      </c>
      <c r="K16" s="6">
        <f t="shared" si="10"/>
        <v>114.1</v>
      </c>
      <c r="L16" s="6">
        <f t="shared" si="11"/>
        <v>106.3</v>
      </c>
      <c r="M16" s="6">
        <f t="shared" si="12"/>
        <v>110</v>
      </c>
      <c r="N16" s="6">
        <f t="shared" si="13"/>
        <v>110</v>
      </c>
      <c r="O16" s="40"/>
      <c r="T16" s="41">
        <f>IS!T15</f>
        <v>10.481071115375345</v>
      </c>
      <c r="U16" s="41">
        <f>IS!U15</f>
        <v>33.711677592456255</v>
      </c>
      <c r="V16" s="41">
        <f>IS!V15</f>
        <v>23.719862728616118</v>
      </c>
      <c r="W16" s="41">
        <f>IS!W15</f>
        <v>37.937383650065193</v>
      </c>
      <c r="X16" s="41">
        <f>IS!X15</f>
        <v>42.949492296009659</v>
      </c>
      <c r="Y16" s="41">
        <f>IS!Y15</f>
        <v>56.95264424563252</v>
      </c>
      <c r="Z16" s="41">
        <f>IS!Z15</f>
        <v>65.232969577889875</v>
      </c>
      <c r="AA16" s="51">
        <f>253.681-SUM(X16:Z16)</f>
        <v>88.545893880467958</v>
      </c>
      <c r="AB16" s="41">
        <f>IS!AB15</f>
        <v>123.1</v>
      </c>
      <c r="AC16" s="41">
        <f>IS!AC15</f>
        <v>-6</v>
      </c>
      <c r="AD16" s="41">
        <f>IS!AD15</f>
        <v>40.700000000000003</v>
      </c>
      <c r="AE16" s="41">
        <f>IS!AE15</f>
        <v>42.9</v>
      </c>
      <c r="AF16" s="41">
        <f>IS!AF15</f>
        <v>46.1</v>
      </c>
      <c r="AG16" s="41">
        <f>IS!AG15</f>
        <v>42.9</v>
      </c>
      <c r="AH16" s="41">
        <f>IS!AH15</f>
        <v>33.5</v>
      </c>
      <c r="AI16" s="41">
        <f>IS!AI15</f>
        <v>33.4</v>
      </c>
      <c r="AJ16" s="41">
        <f>IS!AJ15</f>
        <v>32</v>
      </c>
      <c r="AK16" s="41">
        <f>IS!AK15</f>
        <v>34.5</v>
      </c>
      <c r="AL16" s="41">
        <f>IS!AL15</f>
        <v>26.5</v>
      </c>
      <c r="AM16" s="41">
        <f>IS!AM15</f>
        <v>21.1</v>
      </c>
      <c r="AN16" s="41">
        <f>IS!AN15</f>
        <v>27.8</v>
      </c>
      <c r="AO16" s="41">
        <f>IS!AO15</f>
        <v>23.5</v>
      </c>
      <c r="AP16" s="41">
        <f>IS!AP15</f>
        <v>27.5</v>
      </c>
      <c r="AQ16" s="41">
        <f>IS!AQ15</f>
        <v>27.5</v>
      </c>
      <c r="AR16" s="41">
        <f>IS!AR15</f>
        <v>27.5</v>
      </c>
      <c r="AS16" s="41">
        <f>IS!AS15</f>
        <v>27.5</v>
      </c>
      <c r="AT16" s="41">
        <f>IS!AT15</f>
        <v>27.5</v>
      </c>
      <c r="AU16" s="41">
        <f>IS!AU15</f>
        <v>27.5</v>
      </c>
      <c r="AV16" s="41">
        <f>IS!AV15</f>
        <v>27.5</v>
      </c>
      <c r="AW16" s="41">
        <f>IS!AW15</f>
        <v>27.5</v>
      </c>
      <c r="AX16" s="41">
        <f>IS!AX15</f>
        <v>27.5</v>
      </c>
      <c r="AY16" s="41">
        <f>IS!AY15</f>
        <v>27.5</v>
      </c>
      <c r="AZ16" s="6"/>
    </row>
    <row r="17" spans="2:52">
      <c r="B17" t="s">
        <v>95</v>
      </c>
      <c r="G17" s="6">
        <f t="shared" si="6"/>
        <v>36.770828217087995</v>
      </c>
      <c r="H17" s="6">
        <f t="shared" si="7"/>
        <v>24.198</v>
      </c>
      <c r="I17" s="6">
        <f t="shared" si="8"/>
        <v>-13.3</v>
      </c>
      <c r="J17" s="6">
        <f t="shared" si="9"/>
        <v>-2.8000000000000007</v>
      </c>
      <c r="K17" s="6">
        <f t="shared" si="10"/>
        <v>12.600000000000001</v>
      </c>
      <c r="L17" s="6">
        <f t="shared" ca="1" si="11"/>
        <v>27.258782449583332</v>
      </c>
      <c r="M17" s="6">
        <f t="shared" ca="1" si="12"/>
        <v>19.358101436892809</v>
      </c>
      <c r="N17" s="6">
        <f t="shared" ca="1" si="13"/>
        <v>21.394755068844944</v>
      </c>
      <c r="O17" s="40"/>
      <c r="T17" s="19">
        <v>-125.0050300871481</v>
      </c>
      <c r="U17" s="19">
        <v>91.722916999999995</v>
      </c>
      <c r="V17" s="19">
        <v>23.815493537519703</v>
      </c>
      <c r="W17" s="19">
        <v>46.237447766716393</v>
      </c>
      <c r="X17" s="19">
        <v>11.133217349766669</v>
      </c>
      <c r="Y17" s="19">
        <v>14.4310713523472</v>
      </c>
      <c r="Z17" s="19">
        <v>0</v>
      </c>
      <c r="AA17" s="51">
        <f>24.198-SUM(X17:Z17)</f>
        <v>-1.3662887021138701</v>
      </c>
      <c r="AB17" s="19">
        <v>6.2</v>
      </c>
      <c r="AC17" s="19">
        <f>-0.7-AB17</f>
        <v>-6.9</v>
      </c>
      <c r="AD17" s="19">
        <f>-20.1-AC17-AB17</f>
        <v>-19.400000000000002</v>
      </c>
      <c r="AE17" s="19">
        <f>-13.3-SUM(AB17:AD17)</f>
        <v>6.8000000000000007</v>
      </c>
      <c r="AF17" s="19">
        <v>2</v>
      </c>
      <c r="AG17" s="19">
        <f>8.3-AF17</f>
        <v>6.3000000000000007</v>
      </c>
      <c r="AH17" s="19">
        <f>14.3-AF17-AG17</f>
        <v>6</v>
      </c>
      <c r="AI17" s="19">
        <f>-2.8-AF17-AG17-AH17</f>
        <v>-17.100000000000001</v>
      </c>
      <c r="AJ17" s="19">
        <v>4.8</v>
      </c>
      <c r="AK17" s="19">
        <f>-0.5-AJ17</f>
        <v>-5.3</v>
      </c>
      <c r="AL17" s="19">
        <f>-6.4-AJ17-AK17</f>
        <v>-5.8999999999999995</v>
      </c>
      <c r="AM17" s="19">
        <f>12.6-AJ17-AK17-AL17</f>
        <v>19</v>
      </c>
      <c r="AN17" s="19">
        <v>2.7</v>
      </c>
      <c r="AO17" s="19">
        <f>19.7-AN17</f>
        <v>17</v>
      </c>
      <c r="AP17" s="41">
        <f ca="1">+(BS!AO9-BS!AP9)+(BS!AO17-BS!AP17)+(BS!AP35-BS!AO35)</f>
        <v>3.1069002215776322</v>
      </c>
      <c r="AQ17" s="41">
        <f ca="1">+(BS!AP9-BS!AQ9)+(BS!AP17-BS!AQ17)+(BS!AQ35-BS!AP35)</f>
        <v>4.4518822280057009</v>
      </c>
      <c r="AR17" s="41">
        <f ca="1">+(BS!AQ9-BS!AR9)+(BS!AQ17-BS!AR17)+(BS!AR35-BS!AQ35)</f>
        <v>4.6134700981506853</v>
      </c>
      <c r="AS17" s="41">
        <f ca="1">+(BS!AR9-BS!AS9)+(BS!AR17-BS!AS17)+(BS!AS35-BS!AR35)</f>
        <v>4.7768070208778113</v>
      </c>
      <c r="AT17" s="41">
        <f ca="1">+(BS!AS9-BS!AT9)+(BS!AS17-BS!AT17)+(BS!AT35-BS!AS35)</f>
        <v>4.921312299605404</v>
      </c>
      <c r="AU17" s="41">
        <f ca="1">+(BS!AT9-BS!AU9)+(BS!AT17-BS!AU17)+(BS!AU35-BS!AT35)</f>
        <v>5.0465120182589089</v>
      </c>
      <c r="AV17" s="41">
        <f ca="1">+(BS!AU9-BS!AV9)+(BS!AU17-BS!AV17)+(BS!AV35-BS!AU35)</f>
        <v>5.1696085386316781</v>
      </c>
      <c r="AW17" s="41">
        <f ca="1">+(BS!AV9-BS!AW9)+(BS!AV17-BS!AW17)+(BS!AW35-BS!AV35)</f>
        <v>5.2905507948889294</v>
      </c>
      <c r="AX17" s="41">
        <f ca="1">+(BS!AW9-BS!AX9)+(BS!AW17-BS!AX17)+(BS!AX35-BS!AW35)</f>
        <v>5.4092063134258694</v>
      </c>
      <c r="AY17" s="41">
        <f ca="1">+(BS!AX9-BS!AY9)+(BS!AX17-BS!AY17)+(BS!AY35-BS!AX35)</f>
        <v>5.5253894218984669</v>
      </c>
      <c r="AZ17" s="6"/>
    </row>
    <row r="18" spans="2:52">
      <c r="B18" t="s">
        <v>132</v>
      </c>
      <c r="G18" s="6">
        <f t="shared" si="6"/>
        <v>0</v>
      </c>
      <c r="H18" s="6">
        <f t="shared" si="7"/>
        <v>0</v>
      </c>
      <c r="I18" s="6">
        <f t="shared" si="8"/>
        <v>119.6</v>
      </c>
      <c r="J18" s="6">
        <f t="shared" si="9"/>
        <v>80.899999999999991</v>
      </c>
      <c r="K18" s="6">
        <f t="shared" si="10"/>
        <v>38.1</v>
      </c>
      <c r="L18" s="6">
        <f t="shared" si="11"/>
        <v>-8.6999999999999993</v>
      </c>
      <c r="M18" s="6">
        <f t="shared" si="12"/>
        <v>0</v>
      </c>
      <c r="N18" s="6">
        <f t="shared" si="13"/>
        <v>0</v>
      </c>
      <c r="O18" s="40"/>
      <c r="T18" s="19">
        <v>0</v>
      </c>
      <c r="U18" s="19">
        <v>0</v>
      </c>
      <c r="V18" s="19">
        <v>0</v>
      </c>
      <c r="W18" s="19">
        <v>0</v>
      </c>
      <c r="X18" s="19">
        <v>0</v>
      </c>
      <c r="Y18" s="19">
        <v>0</v>
      </c>
      <c r="Z18" s="19">
        <v>0</v>
      </c>
      <c r="AA18" s="19">
        <v>0</v>
      </c>
      <c r="AB18" s="19">
        <v>14.7</v>
      </c>
      <c r="AC18" s="19">
        <f>30.9+0.5+27.9-AB18</f>
        <v>44.599999999999994</v>
      </c>
      <c r="AD18" s="19">
        <f>85.8+0.5+41.2-AC18-AB18</f>
        <v>68.2</v>
      </c>
      <c r="AE18" s="19">
        <f>94.3+24.4+0.9-SUM(AB18:AD18)</f>
        <v>-7.9000000000000057</v>
      </c>
      <c r="AF18" s="19">
        <f>0.2+10.7-7.9</f>
        <v>2.9999999999999982</v>
      </c>
      <c r="AG18" s="19">
        <f>0.6+17.8-7.9-AF18</f>
        <v>7.5000000000000036</v>
      </c>
      <c r="AH18" s="19">
        <f>28.9-7.9+1.2-AF18-AG18</f>
        <v>11.7</v>
      </c>
      <c r="AI18" s="19">
        <f>53.8+33.8+1.2-7.9-AF18-AG18-AH18</f>
        <v>58.699999999999989</v>
      </c>
      <c r="AJ18" s="19">
        <f>11.2+0.3</f>
        <v>11.5</v>
      </c>
      <c r="AK18" s="19">
        <f>28.6+0.5-AJ18</f>
        <v>17.600000000000001</v>
      </c>
      <c r="AL18" s="19">
        <f>24.7+0.7+4.5-AJ18-AK18</f>
        <v>0.79999999999999716</v>
      </c>
      <c r="AM18" s="19">
        <f>10.3+18.2+9.6-AJ18-AK18-AL18</f>
        <v>8.2000000000000028</v>
      </c>
      <c r="AN18" s="19">
        <f>4.9-10.8+0.1</f>
        <v>-5.8000000000000007</v>
      </c>
      <c r="AO18" s="19">
        <f>0.3+4.9-13.9-AN18</f>
        <v>-2.8999999999999986</v>
      </c>
      <c r="AP18" s="41">
        <f>+BS!AO16-BS!AP16</f>
        <v>0</v>
      </c>
      <c r="AQ18" s="41">
        <f>+BS!AP16-BS!AQ16</f>
        <v>0</v>
      </c>
      <c r="AR18" s="41">
        <f>+BS!AQ16-BS!AR16</f>
        <v>0</v>
      </c>
      <c r="AS18" s="41">
        <f>+BS!AR16-BS!AS16</f>
        <v>0</v>
      </c>
      <c r="AT18" s="41">
        <f>+BS!AS16-BS!AT16</f>
        <v>0</v>
      </c>
      <c r="AU18" s="41">
        <f>+BS!AT16-BS!AU16</f>
        <v>0</v>
      </c>
      <c r="AV18" s="41">
        <f>+BS!AU16-BS!AV16</f>
        <v>0</v>
      </c>
      <c r="AW18" s="41">
        <f>+BS!AV16-BS!AW16</f>
        <v>0</v>
      </c>
      <c r="AX18" s="41">
        <f>+BS!AW16-BS!AX16</f>
        <v>0</v>
      </c>
      <c r="AY18" s="41">
        <f>+BS!AX16-BS!AY16</f>
        <v>0</v>
      </c>
      <c r="AZ18" s="6"/>
    </row>
    <row r="19" spans="2:52">
      <c r="O19" s="40"/>
      <c r="T19" s="6"/>
      <c r="U19" s="6"/>
      <c r="V19" s="6"/>
      <c r="W19" s="6"/>
      <c r="X19" s="6"/>
      <c r="Y19" s="6"/>
      <c r="Z19" s="6"/>
      <c r="AA19" s="6"/>
      <c r="AB19" s="6"/>
      <c r="AC19" s="6"/>
      <c r="AD19" s="6"/>
      <c r="AE19" s="6"/>
      <c r="AF19" s="6"/>
      <c r="AG19" s="6"/>
      <c r="AH19" s="6"/>
      <c r="AI19" s="6"/>
      <c r="AJ19" s="6"/>
      <c r="AK19" s="6"/>
      <c r="AL19" s="6"/>
      <c r="AM19" s="6"/>
      <c r="AN19" s="6"/>
      <c r="AO19" s="6"/>
      <c r="AP19" s="6"/>
      <c r="AQ19" s="6"/>
      <c r="AR19" s="6"/>
      <c r="AS19" s="6"/>
      <c r="AT19" s="6"/>
      <c r="AU19" s="6"/>
      <c r="AV19" s="6"/>
      <c r="AW19" s="6"/>
      <c r="AX19" s="6"/>
      <c r="AY19" s="6"/>
      <c r="AZ19" s="6"/>
    </row>
    <row r="20" spans="2:52">
      <c r="B20" t="s">
        <v>92</v>
      </c>
      <c r="G20" s="6">
        <f t="shared" si="6"/>
        <v>-9.6767119400000006</v>
      </c>
      <c r="H20" s="6">
        <f t="shared" ref="H20:H29" si="14">+SUM(X20:AA20)</f>
        <v>20.542000000000002</v>
      </c>
      <c r="I20" s="6">
        <f t="shared" ref="I20:I29" si="15">+SUM(AB20:AE20)</f>
        <v>-11.2</v>
      </c>
      <c r="J20" s="6">
        <f t="shared" ref="J20:J29" si="16">+SUM(AF20:AI20)</f>
        <v>1.9000000000000004</v>
      </c>
      <c r="K20" s="6">
        <f t="shared" ref="K20:K29" si="17">+SUM(AJ20:AM20)</f>
        <v>-7.2000000000000011</v>
      </c>
      <c r="L20" s="6">
        <f t="shared" ref="L20:L29" ca="1" si="18">+SUM(AN20:AQ20)</f>
        <v>-43.051919711560771</v>
      </c>
      <c r="M20" s="6">
        <f t="shared" ref="M20:M29" ca="1" si="19">+SUM(AR20:AU20)</f>
        <v>-8.6660561568120897</v>
      </c>
      <c r="N20" s="6">
        <f t="shared" ref="N20:N29" ca="1" si="20">+SUM(AV20:AY20)</f>
        <v>-10.050055664567196</v>
      </c>
      <c r="O20" s="40"/>
      <c r="T20" s="19">
        <v>-21.491955750000006</v>
      </c>
      <c r="U20" s="19">
        <v>-13.386824819999998</v>
      </c>
      <c r="V20" s="19">
        <v>20.933358580000004</v>
      </c>
      <c r="W20" s="19">
        <v>4.2687100499999984</v>
      </c>
      <c r="X20" s="19">
        <v>8.1176731068780548</v>
      </c>
      <c r="Y20" s="19">
        <v>7.2559411765831836</v>
      </c>
      <c r="Z20" s="19">
        <v>9.3974058607416442</v>
      </c>
      <c r="AA20" s="51">
        <f>20.542-SUM(X20:Z20)</f>
        <v>-4.229020144202881</v>
      </c>
      <c r="AB20" s="19">
        <v>4</v>
      </c>
      <c r="AC20" s="19">
        <f>-5-AB20</f>
        <v>-9</v>
      </c>
      <c r="AD20" s="19">
        <f>-18.5-AC20-AB20</f>
        <v>-13.5</v>
      </c>
      <c r="AE20" s="19">
        <f>-11.2-SUM(AB20:AD20)</f>
        <v>7.3000000000000007</v>
      </c>
      <c r="AF20" s="19">
        <v>-5.6</v>
      </c>
      <c r="AG20" s="19">
        <f>15.3-AF20</f>
        <v>20.9</v>
      </c>
      <c r="AH20" s="19">
        <f>15.3-AF20-AG20</f>
        <v>0</v>
      </c>
      <c r="AI20" s="19">
        <f>1.9-AF20-AG20-AH20</f>
        <v>-13.399999999999999</v>
      </c>
      <c r="AJ20" s="19">
        <v>-1.9</v>
      </c>
      <c r="AK20" s="19">
        <f>-16.5-AJ20</f>
        <v>-14.6</v>
      </c>
      <c r="AL20" s="19">
        <f>-6-AJ20-AK20</f>
        <v>10.5</v>
      </c>
      <c r="AM20" s="19">
        <f>-7.2-AJ20-AK20-AL20</f>
        <v>-1.2000000000000011</v>
      </c>
      <c r="AN20" s="19">
        <v>-32</v>
      </c>
      <c r="AO20" s="19">
        <f>-41.5-AN20</f>
        <v>-9.5</v>
      </c>
      <c r="AP20" s="41">
        <f ca="1">+BS!AO6-BS!AP6</f>
        <v>0.24871729474989479</v>
      </c>
      <c r="AQ20" s="41">
        <f ca="1">+BS!AP6-BS!AQ6</f>
        <v>-1.8006370063106658</v>
      </c>
      <c r="AR20" s="41">
        <f ca="1">+BS!AQ6-BS!AR6</f>
        <v>-1.9657904559617236</v>
      </c>
      <c r="AS20" s="41">
        <f ca="1">+BS!AR6-BS!AS6</f>
        <v>-2.1234176992526272</v>
      </c>
      <c r="AT20" s="41">
        <f ca="1">+BS!AS6-BS!AT6</f>
        <v>-2.2447850664821374</v>
      </c>
      <c r="AU20" s="41">
        <f ca="1">+BS!AT6-BS!AU6</f>
        <v>-2.3320629351156015</v>
      </c>
      <c r="AV20" s="41">
        <f ca="1">+BS!AU6-BS!AV6</f>
        <v>-2.411442291003425</v>
      </c>
      <c r="AW20" s="41">
        <f ca="1">+BS!AV6-BS!AW6</f>
        <v>-2.4834482973381569</v>
      </c>
      <c r="AX20" s="41">
        <f ca="1">+BS!AW6-BS!AX6</f>
        <v>-2.5484502064093988</v>
      </c>
      <c r="AY20" s="41">
        <f ca="1">+BS!AX6-BS!AY6</f>
        <v>-2.6067148698162157</v>
      </c>
      <c r="AZ20" s="6"/>
    </row>
    <row r="21" spans="2:52">
      <c r="B21" t="s">
        <v>133</v>
      </c>
      <c r="G21" s="6">
        <f t="shared" si="6"/>
        <v>27.796952310000005</v>
      </c>
      <c r="H21" s="6">
        <f t="shared" si="14"/>
        <v>-1.401</v>
      </c>
      <c r="I21" s="6">
        <f t="shared" si="15"/>
        <v>-2.9</v>
      </c>
      <c r="J21" s="6">
        <f t="shared" si="16"/>
        <v>18.7</v>
      </c>
      <c r="K21" s="6">
        <f t="shared" si="17"/>
        <v>0</v>
      </c>
      <c r="L21" s="6">
        <f t="shared" ca="1" si="18"/>
        <v>-0.44738831719075733</v>
      </c>
      <c r="M21" s="6">
        <f t="shared" ca="1" si="19"/>
        <v>-2.4982557098765312</v>
      </c>
      <c r="N21" s="6">
        <f t="shared" ca="1" si="20"/>
        <v>-2.8972358930360684</v>
      </c>
      <c r="O21" s="40"/>
      <c r="T21" s="19">
        <v>26.687581260000002</v>
      </c>
      <c r="U21" s="19">
        <v>7.1265037099999997</v>
      </c>
      <c r="V21" s="19">
        <v>-5.6710569300000007</v>
      </c>
      <c r="W21" s="19">
        <v>-0.34607573000000014</v>
      </c>
      <c r="X21" s="19">
        <v>1.5955028046225486</v>
      </c>
      <c r="Y21" s="19">
        <v>0.10330161674504693</v>
      </c>
      <c r="Z21" s="19">
        <v>-2.449758492232875</v>
      </c>
      <c r="AA21" s="51">
        <f>-1.401-SUM(X21:Z21)</f>
        <v>-0.65004592913472048</v>
      </c>
      <c r="AB21" s="19">
        <v>-2.1</v>
      </c>
      <c r="AC21" s="19">
        <f>0.2-AB21</f>
        <v>2.3000000000000003</v>
      </c>
      <c r="AD21" s="19">
        <f>-3.5-AC21-AB21</f>
        <v>-3.7000000000000006</v>
      </c>
      <c r="AE21" s="19">
        <f>-2.9-SUM(AB21:AD21)</f>
        <v>0.60000000000000053</v>
      </c>
      <c r="AF21" s="19">
        <v>2.2000000000000002</v>
      </c>
      <c r="AG21" s="19">
        <f>6-AF21</f>
        <v>3.8</v>
      </c>
      <c r="AH21" s="19">
        <f>20.3-AF21-AG21</f>
        <v>14.3</v>
      </c>
      <c r="AI21" s="19">
        <f>18.7-AF21-AG21-AH21</f>
        <v>-1.6000000000000014</v>
      </c>
      <c r="AJ21" s="19"/>
      <c r="AK21" s="19"/>
      <c r="AL21" s="19"/>
      <c r="AM21" s="19"/>
      <c r="AN21" s="19"/>
      <c r="AO21" s="19"/>
      <c r="AP21" s="41">
        <f ca="1">+BS!AO8-BS!AP8</f>
        <v>7.1700366407782212E-2</v>
      </c>
      <c r="AQ21" s="41">
        <f ca="1">+BS!AP8-BS!AQ8</f>
        <v>-0.51908868359853955</v>
      </c>
      <c r="AR21" s="41">
        <f ca="1">+BS!AQ8-BS!AR8</f>
        <v>-0.56669921613267604</v>
      </c>
      <c r="AS21" s="41">
        <f ca="1">+BS!AR8-BS!AS8</f>
        <v>-0.6121400895193716</v>
      </c>
      <c r="AT21" s="41">
        <f ca="1">+BS!AS8-BS!AT8</f>
        <v>-0.64712794474291968</v>
      </c>
      <c r="AU21" s="41">
        <f ca="1">+BS!AT8-BS!AU8</f>
        <v>-0.6722884594815639</v>
      </c>
      <c r="AV21" s="41">
        <f ca="1">+BS!AU8-BS!AV8</f>
        <v>-0.69517198637139188</v>
      </c>
      <c r="AW21" s="41">
        <f ca="1">+BS!AV8-BS!AW8</f>
        <v>-0.71592991976301334</v>
      </c>
      <c r="AX21" s="41">
        <f ca="1">+BS!AW8-BS!AX8</f>
        <v>-0.73466870792127281</v>
      </c>
      <c r="AY21" s="41">
        <f ca="1">+BS!AX8-BS!AY8</f>
        <v>-0.75146527898039039</v>
      </c>
      <c r="AZ21" s="6"/>
    </row>
    <row r="22" spans="2:52">
      <c r="B22" t="s">
        <v>96</v>
      </c>
      <c r="G22" s="6">
        <f t="shared" si="6"/>
        <v>34.941313799999996</v>
      </c>
      <c r="H22" s="6">
        <f t="shared" si="14"/>
        <v>-1.6819999999999999</v>
      </c>
      <c r="I22" s="6">
        <f t="shared" si="15"/>
        <v>-7.5</v>
      </c>
      <c r="J22" s="6">
        <f t="shared" si="16"/>
        <v>0</v>
      </c>
      <c r="K22" s="6">
        <f t="shared" si="17"/>
        <v>0</v>
      </c>
      <c r="L22" s="6">
        <f t="shared" ca="1" si="18"/>
        <v>-0.97177521716210435</v>
      </c>
      <c r="M22" s="6">
        <f t="shared" ca="1" si="19"/>
        <v>-5.4264782778327287</v>
      </c>
      <c r="N22" s="6">
        <f t="shared" ca="1" si="20"/>
        <v>-6.2931058566836668</v>
      </c>
      <c r="O22" s="40"/>
      <c r="T22" s="19">
        <v>26.063084236129029</v>
      </c>
      <c r="U22" s="19">
        <v>9.003229563870967</v>
      </c>
      <c r="V22" s="19">
        <v>3.6110000000000002</v>
      </c>
      <c r="W22" s="19">
        <v>-3.7360000000000002</v>
      </c>
      <c r="X22" s="19">
        <v>-1.4614175374769838</v>
      </c>
      <c r="Y22" s="19">
        <v>2.1892035117462432</v>
      </c>
      <c r="Z22" s="19">
        <v>-2.0339142497969602</v>
      </c>
      <c r="AA22" s="51">
        <f>-1.682-SUM(X22:Z22)</f>
        <v>-0.37587172447229911</v>
      </c>
      <c r="AB22" s="19">
        <v>-5.0999999999999996</v>
      </c>
      <c r="AC22" s="19">
        <f>-7.5-AB22</f>
        <v>-2.4000000000000004</v>
      </c>
      <c r="AD22" s="19">
        <f>-7.3-AC22-AB22</f>
        <v>0.20000000000000018</v>
      </c>
      <c r="AE22" s="19">
        <f>-7.5-SUM(AB22:AD22)</f>
        <v>-0.20000000000000018</v>
      </c>
      <c r="AF22" s="19"/>
      <c r="AG22" s="19"/>
      <c r="AH22" s="19"/>
      <c r="AI22" s="19"/>
      <c r="AJ22" s="19"/>
      <c r="AK22" s="19"/>
      <c r="AL22" s="19"/>
      <c r="AM22" s="19"/>
      <c r="AN22" s="19"/>
      <c r="AO22" s="19"/>
      <c r="AP22" s="41">
        <f ca="1">+(BS!AO10-BS!AP10)+(BS!AO18-BS!AP18)</f>
        <v>0.1557408552240247</v>
      </c>
      <c r="AQ22" s="41">
        <f ca="1">+(BS!AP10-BS!AQ10)+(BS!AP18-BS!AQ18)</f>
        <v>-1.1275160723861291</v>
      </c>
      <c r="AR22" s="41">
        <f ca="1">+(BS!AQ10-BS!AR10)+(BS!AQ18-BS!AR18)</f>
        <v>-1.2309312350419077</v>
      </c>
      <c r="AS22" s="41">
        <f ca="1">+(BS!AR10-BS!AS10)+(BS!AR18-BS!AS18)</f>
        <v>-1.3296336662557167</v>
      </c>
      <c r="AT22" s="41">
        <f ca="1">+(BS!AS10-BS!AT10)+(BS!AS18-BS!AT18)</f>
        <v>-1.4056310253763229</v>
      </c>
      <c r="AU22" s="41">
        <f ca="1">+(BS!AT10-BS!AU10)+(BS!AT18-BS!AU18)</f>
        <v>-1.4602823511587815</v>
      </c>
      <c r="AV22" s="41">
        <f ca="1">+(BS!AU10-BS!AV10)+(BS!AU18-BS!AV18)</f>
        <v>-1.5099878160945082</v>
      </c>
      <c r="AW22" s="41">
        <f ca="1">+(BS!AV10-BS!AW10)+(BS!AV18-BS!AW18)</f>
        <v>-1.5550762648858552</v>
      </c>
      <c r="AX22" s="41">
        <f ca="1">+(BS!AW10-BS!AX10)+(BS!AW18-BS!AX18)</f>
        <v>-1.5957789145352024</v>
      </c>
      <c r="AY22" s="41">
        <f ca="1">+(BS!AX10-BS!AY10)+(BS!AX18-BS!AY18)</f>
        <v>-1.6322628611681012</v>
      </c>
      <c r="AZ22" s="6"/>
    </row>
    <row r="23" spans="2:52">
      <c r="B23" t="s">
        <v>134</v>
      </c>
      <c r="G23" s="6">
        <f t="shared" si="6"/>
        <v>10.20297196494624</v>
      </c>
      <c r="H23" s="6">
        <f t="shared" si="14"/>
        <v>-6.5799999999999983</v>
      </c>
      <c r="I23" s="6">
        <f t="shared" si="15"/>
        <v>-22.1</v>
      </c>
      <c r="J23" s="6">
        <f t="shared" si="16"/>
        <v>-36</v>
      </c>
      <c r="K23" s="6">
        <f t="shared" si="17"/>
        <v>5.2000000000000028</v>
      </c>
      <c r="L23" s="6">
        <f t="shared" ca="1" si="18"/>
        <v>29.120205889992551</v>
      </c>
      <c r="M23" s="6">
        <f t="shared" ca="1" si="19"/>
        <v>0.81614166395068111</v>
      </c>
      <c r="N23" s="6">
        <f t="shared" ca="1" si="20"/>
        <v>1.0047293564037574</v>
      </c>
      <c r="O23" s="40"/>
      <c r="T23" s="19">
        <v>46.918835120000004</v>
      </c>
      <c r="U23" s="19">
        <v>-5.5534136350537633</v>
      </c>
      <c r="V23" s="19">
        <v>-33.657805639999999</v>
      </c>
      <c r="W23" s="19">
        <v>2.4953561199999998</v>
      </c>
      <c r="X23" s="19">
        <v>-29.61863142676772</v>
      </c>
      <c r="Y23" s="19">
        <v>9.225968669276547</v>
      </c>
      <c r="Z23" s="19">
        <v>-19.838388307706921</v>
      </c>
      <c r="AA23" s="51">
        <f>-6.58-SUM(X23:Z23)</f>
        <v>33.651051065198097</v>
      </c>
      <c r="AB23" s="19">
        <v>-46.8</v>
      </c>
      <c r="AC23" s="19">
        <f>-67.5-AB23</f>
        <v>-20.700000000000003</v>
      </c>
      <c r="AD23" s="19">
        <f>-46.4-AC23-AB23</f>
        <v>21.1</v>
      </c>
      <c r="AE23" s="19">
        <f>-22.1-SUM(AB23:AD23)</f>
        <v>24.299999999999997</v>
      </c>
      <c r="AF23" s="19">
        <v>24.5</v>
      </c>
      <c r="AG23" s="19">
        <f>-26-AF23</f>
        <v>-50.5</v>
      </c>
      <c r="AH23" s="19">
        <f>-44.7-AF23-AG23</f>
        <v>-18.700000000000003</v>
      </c>
      <c r="AI23" s="19">
        <f>-36-AF23-AG23-AH23</f>
        <v>8.7000000000000028</v>
      </c>
      <c r="AJ23" s="19">
        <v>5.6</v>
      </c>
      <c r="AK23" s="19">
        <f>-33-AJ23</f>
        <v>-38.6</v>
      </c>
      <c r="AL23" s="19">
        <f>9.1-AJ23-AK23</f>
        <v>42.1</v>
      </c>
      <c r="AM23" s="19">
        <f>5.2-AJ23-AK23-AL23</f>
        <v>-3.8999999999999986</v>
      </c>
      <c r="AN23" s="19">
        <v>53.4</v>
      </c>
      <c r="AO23" s="19">
        <f>29.2-AN23</f>
        <v>-24.2</v>
      </c>
      <c r="AP23" s="41">
        <f ca="1">+BS!AP22-BS!AO22</f>
        <v>-0.22564919074542189</v>
      </c>
      <c r="AQ23" s="41">
        <f ca="1">+BS!AQ22-BS!AP22</f>
        <v>0.14585508073797371</v>
      </c>
      <c r="AR23" s="41">
        <f ca="1">+BS!AR22-BS!AQ22</f>
        <v>0.1728565050117723</v>
      </c>
      <c r="AS23" s="41">
        <f ca="1">+BS!AS22-BS!AR22</f>
        <v>0.19812428120746262</v>
      </c>
      <c r="AT23" s="41">
        <f ca="1">+BS!AT22-BS!AS22</f>
        <v>0.21654473903760874</v>
      </c>
      <c r="AU23" s="41">
        <f ca="1">+BS!AU22-BS!AT22</f>
        <v>0.22861613869383746</v>
      </c>
      <c r="AV23" s="41">
        <f ca="1">+BS!AV22-BS!AU22</f>
        <v>0.23908561155506192</v>
      </c>
      <c r="AW23" s="41">
        <f ca="1">+BS!AW22-BS!AV22</f>
        <v>0.24807020884942688</v>
      </c>
      <c r="AX23" s="41">
        <f ca="1">+BS!AX22-BS!AW22</f>
        <v>0.25565756360038705</v>
      </c>
      <c r="AY23" s="41">
        <f ca="1">+BS!AY22-BS!AX22</f>
        <v>0.26191597239888154</v>
      </c>
      <c r="AZ23" s="6"/>
    </row>
    <row r="24" spans="2:52">
      <c r="B24" t="s">
        <v>177</v>
      </c>
      <c r="G24" s="6">
        <f t="shared" si="6"/>
        <v>1.0761644718569681</v>
      </c>
      <c r="H24" s="6">
        <f t="shared" si="14"/>
        <v>5.629999999999999</v>
      </c>
      <c r="I24" s="6">
        <f t="shared" si="15"/>
        <v>-0.5</v>
      </c>
      <c r="J24" s="6">
        <f t="shared" si="16"/>
        <v>0</v>
      </c>
      <c r="K24" s="6">
        <f t="shared" si="17"/>
        <v>0</v>
      </c>
      <c r="L24" s="6">
        <f t="shared" si="18"/>
        <v>0</v>
      </c>
      <c r="M24" s="6">
        <f t="shared" si="19"/>
        <v>0</v>
      </c>
      <c r="N24" s="6">
        <f t="shared" si="20"/>
        <v>0</v>
      </c>
      <c r="O24" s="40"/>
      <c r="T24" s="19">
        <v>-1.0019434964483307</v>
      </c>
      <c r="U24" s="19">
        <v>1.046303347377731</v>
      </c>
      <c r="V24" s="19">
        <v>0.88277680091909738</v>
      </c>
      <c r="W24" s="19">
        <v>0.14902782000847045</v>
      </c>
      <c r="X24" s="19">
        <v>-0.15206425347524799</v>
      </c>
      <c r="Y24" s="19">
        <v>-8.6218549619293459</v>
      </c>
      <c r="Z24" s="19">
        <v>-4.213621326533544</v>
      </c>
      <c r="AA24" s="51">
        <f>5.63-SUM(X24:Z24)</f>
        <v>18.617540541938137</v>
      </c>
      <c r="AB24" s="19"/>
      <c r="AC24" s="19"/>
      <c r="AD24" s="19"/>
      <c r="AE24" s="19">
        <f>-0.5-SUM(AB24:AD24)</f>
        <v>-0.5</v>
      </c>
      <c r="AF24" s="19">
        <v>0.1</v>
      </c>
      <c r="AG24" s="19">
        <f>0.1-AF24</f>
        <v>0</v>
      </c>
      <c r="AH24" s="19">
        <f>0.5-AF24-AG24</f>
        <v>0.4</v>
      </c>
      <c r="AI24" s="19">
        <f>0-AF24-AG24-AH24</f>
        <v>-0.5</v>
      </c>
      <c r="AJ24" s="19"/>
      <c r="AK24" s="19"/>
      <c r="AL24" s="19"/>
      <c r="AM24" s="19"/>
      <c r="AN24" s="19"/>
      <c r="AO24" s="19"/>
      <c r="AP24" s="41">
        <f>+BS!AP25-BS!AO25</f>
        <v>0</v>
      </c>
      <c r="AQ24" s="41">
        <f>+BS!AQ25-BS!AP25</f>
        <v>0</v>
      </c>
      <c r="AR24" s="41">
        <f>+BS!AR25-BS!AQ25</f>
        <v>0</v>
      </c>
      <c r="AS24" s="41">
        <f>+BS!AS25-BS!AR25</f>
        <v>0</v>
      </c>
      <c r="AT24" s="41">
        <f>+BS!AT25-BS!AS25</f>
        <v>0</v>
      </c>
      <c r="AU24" s="41">
        <f>+BS!AU25-BS!AT25</f>
        <v>0</v>
      </c>
      <c r="AV24" s="41">
        <f>+BS!AV25-BS!AU25</f>
        <v>0</v>
      </c>
      <c r="AW24" s="41">
        <f>+BS!AW25-BS!AV25</f>
        <v>0</v>
      </c>
      <c r="AX24" s="41">
        <f>+BS!AX25-BS!AW25</f>
        <v>0</v>
      </c>
      <c r="AY24" s="41">
        <f>+BS!AY25-BS!AX25</f>
        <v>0</v>
      </c>
      <c r="AZ24" s="6"/>
    </row>
    <row r="25" spans="2:52">
      <c r="B25" t="s">
        <v>135</v>
      </c>
      <c r="G25" s="6">
        <f t="shared" si="6"/>
        <v>0</v>
      </c>
      <c r="H25" s="6">
        <f t="shared" si="14"/>
        <v>0</v>
      </c>
      <c r="I25" s="6">
        <f t="shared" si="15"/>
        <v>0</v>
      </c>
      <c r="J25" s="6">
        <f t="shared" si="16"/>
        <v>0</v>
      </c>
      <c r="K25" s="6">
        <f t="shared" si="17"/>
        <v>0</v>
      </c>
      <c r="L25" s="6">
        <f t="shared" si="18"/>
        <v>61.9</v>
      </c>
      <c r="M25" s="6">
        <f t="shared" si="19"/>
        <v>0</v>
      </c>
      <c r="N25" s="6">
        <f t="shared" si="20"/>
        <v>0</v>
      </c>
      <c r="O25" s="40"/>
      <c r="T25" s="19">
        <v>0</v>
      </c>
      <c r="U25" s="19">
        <v>0</v>
      </c>
      <c r="V25" s="19">
        <v>0</v>
      </c>
      <c r="W25" s="19">
        <v>0</v>
      </c>
      <c r="X25" s="19">
        <v>0</v>
      </c>
      <c r="Y25" s="19">
        <v>0</v>
      </c>
      <c r="Z25" s="19">
        <v>0</v>
      </c>
      <c r="AA25" s="19">
        <v>0</v>
      </c>
      <c r="AB25" s="19"/>
      <c r="AC25" s="19"/>
      <c r="AD25" s="19"/>
      <c r="AE25" s="19"/>
      <c r="AF25" s="19"/>
      <c r="AG25" s="19"/>
      <c r="AH25" s="19"/>
      <c r="AI25" s="19"/>
      <c r="AJ25" s="19"/>
      <c r="AK25" s="19"/>
      <c r="AL25" s="19"/>
      <c r="AM25" s="19"/>
      <c r="AN25" s="19">
        <v>40.5</v>
      </c>
      <c r="AO25" s="19">
        <f>61.9-AN25</f>
        <v>21.4</v>
      </c>
      <c r="AP25" s="41">
        <f>+(BS!AP27-BS!AO27)</f>
        <v>0</v>
      </c>
      <c r="AQ25" s="41">
        <f>+(BS!AQ27-BS!AP27)</f>
        <v>0</v>
      </c>
      <c r="AR25" s="41">
        <f>+(BS!AR27-BS!AQ27)</f>
        <v>0</v>
      </c>
      <c r="AS25" s="41">
        <f>+(BS!AS27-BS!AR27)</f>
        <v>0</v>
      </c>
      <c r="AT25" s="41">
        <f>+(BS!AT27-BS!AS27)</f>
        <v>0</v>
      </c>
      <c r="AU25" s="41">
        <f>+(BS!AU27-BS!AT27)</f>
        <v>0</v>
      </c>
      <c r="AV25" s="41">
        <f>+(BS!AV27-BS!AU27)</f>
        <v>0</v>
      </c>
      <c r="AW25" s="41">
        <f>+(BS!AW27-BS!AV27)</f>
        <v>0</v>
      </c>
      <c r="AX25" s="41">
        <f>+(BS!AX27-BS!AW27)</f>
        <v>0</v>
      </c>
      <c r="AY25" s="41">
        <f>+(BS!AY27-BS!AX27)</f>
        <v>0</v>
      </c>
      <c r="AZ25" s="6"/>
    </row>
    <row r="26" spans="2:52">
      <c r="B26" t="s">
        <v>117</v>
      </c>
      <c r="G26" s="6">
        <f t="shared" si="6"/>
        <v>12.45</v>
      </c>
      <c r="H26" s="6">
        <f t="shared" si="14"/>
        <v>-18.614000000000001</v>
      </c>
      <c r="I26" s="6">
        <f t="shared" si="15"/>
        <v>-6.9</v>
      </c>
      <c r="J26" s="6">
        <f t="shared" si="16"/>
        <v>-33</v>
      </c>
      <c r="K26" s="6">
        <f t="shared" si="17"/>
        <v>-33.399999999999991</v>
      </c>
      <c r="L26" s="6">
        <f t="shared" ca="1" si="18"/>
        <v>-10.481385174700943</v>
      </c>
      <c r="M26" s="6">
        <f t="shared" ca="1" si="19"/>
        <v>1.7791732058467886</v>
      </c>
      <c r="N26" s="6">
        <f t="shared" ca="1" si="20"/>
        <v>2.0633133956339904</v>
      </c>
      <c r="O26" s="40"/>
      <c r="T26" s="19">
        <v>1.5740000000000001</v>
      </c>
      <c r="U26" s="19">
        <v>0.39500000000000002</v>
      </c>
      <c r="V26" s="19">
        <v>1.02</v>
      </c>
      <c r="W26" s="19">
        <v>9.4610000000000003</v>
      </c>
      <c r="X26" s="19">
        <v>8.2232459561682666E-2</v>
      </c>
      <c r="Y26" s="19">
        <v>0.40696950193421411</v>
      </c>
      <c r="Z26" s="19">
        <v>0.42234273905453967</v>
      </c>
      <c r="AA26" s="51">
        <f>-18.614-SUM(X26:Z26)</f>
        <v>-19.525544700550437</v>
      </c>
      <c r="AB26" s="19">
        <v>9.5</v>
      </c>
      <c r="AC26" s="19">
        <f>0-AB26</f>
        <v>-9.5</v>
      </c>
      <c r="AD26" s="19"/>
      <c r="AE26" s="19">
        <f>-6.9-SUM(AB26:AD26)</f>
        <v>-6.9</v>
      </c>
      <c r="AF26" s="19">
        <v>-12.4</v>
      </c>
      <c r="AG26" s="19">
        <f>-20.4-AF26</f>
        <v>-7.9999999999999982</v>
      </c>
      <c r="AH26" s="19">
        <f>-26.3-AF26-AG26</f>
        <v>-5.9000000000000021</v>
      </c>
      <c r="AI26" s="19">
        <f>-33-AF26-AG26-AH26</f>
        <v>-6.7000000000000011</v>
      </c>
      <c r="AJ26" s="19">
        <v>9.6999999999999993</v>
      </c>
      <c r="AK26" s="19">
        <f>16.3-AJ26</f>
        <v>6.6000000000000014</v>
      </c>
      <c r="AL26" s="19">
        <f>-23.8-AJ26-AK26</f>
        <v>-40.1</v>
      </c>
      <c r="AM26" s="19">
        <f>-33.4-AJ26-AK26-AL26</f>
        <v>-9.5999999999999943</v>
      </c>
      <c r="AN26" s="19">
        <v>4.5</v>
      </c>
      <c r="AO26" s="19">
        <f>-10.8-AN26</f>
        <v>-15.3</v>
      </c>
      <c r="AP26" s="41">
        <f ca="1">+(BS!AP28-BS!AO28)+(BS!AP36-BS!AO36)</f>
        <v>-5.1062575483285855E-2</v>
      </c>
      <c r="AQ26" s="41">
        <f ca="1">+(BS!AQ28-BS!AP28)+(BS!AQ36-BS!AP36)</f>
        <v>0.36967740078234357</v>
      </c>
      <c r="AR26" s="41">
        <f ca="1">+(BS!AR28-BS!AQ28)+(BS!AR36-BS!AQ36)</f>
        <v>0.40358401148914425</v>
      </c>
      <c r="AS26" s="41">
        <f ca="1">+(BS!AS28-BS!AR28)+(BS!AS36-BS!AR36)</f>
        <v>0.43594546434614045</v>
      </c>
      <c r="AT26" s="41">
        <f ca="1">+(BS!AT28-BS!AS28)+(BS!AT36-BS!AS36)</f>
        <v>0.46086263127092053</v>
      </c>
      <c r="AU26" s="41">
        <f ca="1">+(BS!AU28-BS!AT28)+(BS!AU36-BS!AT36)</f>
        <v>0.47878109874058339</v>
      </c>
      <c r="AV26" s="41">
        <f ca="1">+(BS!AV28-BS!AU28)+(BS!AV36-BS!AU36)</f>
        <v>0.49507797249000873</v>
      </c>
      <c r="AW26" s="41">
        <f ca="1">+(BS!AW28-BS!AV28)+(BS!AW36-BS!AV36)</f>
        <v>0.50986107045437024</v>
      </c>
      <c r="AX26" s="41">
        <f ca="1">+(BS!AX28-BS!AW28)+(BS!AX36-BS!AW36)</f>
        <v>0.52320620148695696</v>
      </c>
      <c r="AY26" s="41">
        <f ca="1">+(BS!AY28-BS!AX28)+(BS!AY36-BS!AX36)</f>
        <v>0.53516815120265449</v>
      </c>
      <c r="AZ26" s="6"/>
    </row>
    <row r="27" spans="2:52">
      <c r="B27" t="s">
        <v>136</v>
      </c>
      <c r="G27" s="6">
        <f t="shared" si="6"/>
        <v>2.3233815861490967</v>
      </c>
      <c r="H27" s="6">
        <f t="shared" si="14"/>
        <v>0</v>
      </c>
      <c r="I27" s="6">
        <f t="shared" si="15"/>
        <v>0</v>
      </c>
      <c r="J27" s="6">
        <f t="shared" si="16"/>
        <v>0</v>
      </c>
      <c r="K27" s="6">
        <f t="shared" si="17"/>
        <v>0</v>
      </c>
      <c r="L27" s="6">
        <f t="shared" ca="1" si="18"/>
        <v>2.1937958283612033</v>
      </c>
      <c r="M27" s="6">
        <f t="shared" ca="1" si="19"/>
        <v>12.250348844424252</v>
      </c>
      <c r="N27" s="6">
        <f t="shared" ca="1" si="20"/>
        <v>14.206772442854856</v>
      </c>
      <c r="O27" s="40"/>
      <c r="T27" s="19">
        <v>147.71596043966949</v>
      </c>
      <c r="U27" s="19">
        <v>-85.694343492870772</v>
      </c>
      <c r="V27" s="19">
        <v>-10.852834720491055</v>
      </c>
      <c r="W27" s="19">
        <v>-48.845400640158566</v>
      </c>
      <c r="X27" s="19">
        <v>-4.503461172305764</v>
      </c>
      <c r="Y27" s="19">
        <v>12.140545979999974</v>
      </c>
      <c r="Z27" s="19">
        <v>3.140252500000015</v>
      </c>
      <c r="AA27" s="51">
        <f>-SUM(X27:Z27)</f>
        <v>-10.777337307694225</v>
      </c>
      <c r="AB27" s="19"/>
      <c r="AC27" s="19"/>
      <c r="AD27" s="19"/>
      <c r="AE27" s="19"/>
      <c r="AF27" s="19"/>
      <c r="AG27" s="19"/>
      <c r="AH27" s="19"/>
      <c r="AI27" s="19"/>
      <c r="AJ27" s="19"/>
      <c r="AK27" s="19"/>
      <c r="AL27" s="19"/>
      <c r="AM27" s="19"/>
      <c r="AN27" s="19"/>
      <c r="AO27" s="19"/>
      <c r="AP27" s="41">
        <f ca="1">+(BS!AO7-BS!AP7)+(BS!AP23-BS!AO23)+(BS!AP24-BS!AO24)</f>
        <v>-0.35158710827556661</v>
      </c>
      <c r="AQ27" s="41">
        <f ca="1">+(BS!AP7-BS!AQ7)+(BS!AQ23-BS!AP23)+(BS!AQ24-BS!AP24)</f>
        <v>2.54538293663677</v>
      </c>
      <c r="AR27" s="41">
        <f ca="1">+(BS!AQ7-BS!AR7)+(BS!AR23-BS!AQ23)+(BS!AR24-BS!AQ24)</f>
        <v>2.7788440791075573</v>
      </c>
      <c r="AS27" s="41">
        <f ca="1">+(BS!AR7-BS!AS7)+(BS!AS23-BS!AR23)+(BS!AS24-BS!AR24)</f>
        <v>3.0016661659666397</v>
      </c>
      <c r="AT27" s="41">
        <f ca="1">+(BS!AS7-BS!AT7)+(BS!AT23-BS!AS23)+(BS!AT24-BS!AS24)</f>
        <v>3.1732312423966391</v>
      </c>
      <c r="AU27" s="41">
        <f ca="1">+(BS!AT7-BS!AU7)+(BS!AU23-BS!AT23)+(BS!AU24-BS!AT24)</f>
        <v>3.296607356953416</v>
      </c>
      <c r="AV27" s="41">
        <f ca="1">+(BS!AU7-BS!AV7)+(BS!AV23-BS!AU23)+(BS!AV24-BS!AU24)</f>
        <v>3.4088181230822556</v>
      </c>
      <c r="AW27" s="41">
        <f ca="1">+(BS!AV7-BS!AW7)+(BS!AW23-BS!AV23)+(BS!AW24-BS!AV24)</f>
        <v>3.5106059121910107</v>
      </c>
      <c r="AX27" s="41">
        <f ca="1">+(BS!AW7-BS!AX7)+(BS!AX23-BS!AW23)+(BS!AX24-BS!AW24)</f>
        <v>3.6024926998216529</v>
      </c>
      <c r="AY27" s="41">
        <f ca="1">+(BS!AX7-BS!AY7)+(BS!AY23-BS!AX23)+(BS!AY24-BS!AX24)</f>
        <v>3.6848557077599366</v>
      </c>
      <c r="AZ27" s="6"/>
    </row>
    <row r="28" spans="2:52">
      <c r="B28" s="7" t="s">
        <v>137</v>
      </c>
      <c r="G28" s="6">
        <f t="shared" si="6"/>
        <v>79.114072192952278</v>
      </c>
      <c r="H28" s="6">
        <f t="shared" si="14"/>
        <v>-2.1050000000000004</v>
      </c>
      <c r="I28" s="6">
        <f t="shared" si="15"/>
        <v>-51.100000000000016</v>
      </c>
      <c r="J28" s="6">
        <f t="shared" si="16"/>
        <v>-48.4</v>
      </c>
      <c r="K28" s="6">
        <f t="shared" si="17"/>
        <v>-35.4</v>
      </c>
      <c r="L28" s="6">
        <f t="shared" ca="1" si="18"/>
        <v>38.261533297739177</v>
      </c>
      <c r="M28" s="6">
        <f t="shared" ca="1" si="19"/>
        <v>-1.7451264302996279</v>
      </c>
      <c r="N28" s="6">
        <f t="shared" ca="1" si="20"/>
        <v>-1.965582219394328</v>
      </c>
      <c r="O28" s="40"/>
      <c r="T28" s="6">
        <f t="shared" ref="T28:Z28" si="21">SUM(T20:T27)</f>
        <v>226.46556180935016</v>
      </c>
      <c r="U28" s="6">
        <f t="shared" si="21"/>
        <v>-87.063545326675836</v>
      </c>
      <c r="V28" s="6">
        <f t="shared" si="21"/>
        <v>-23.734561909571955</v>
      </c>
      <c r="W28" s="6">
        <f t="shared" si="21"/>
        <v>-36.553382380150097</v>
      </c>
      <c r="X28" s="6">
        <f t="shared" si="21"/>
        <v>-25.940166018963431</v>
      </c>
      <c r="Y28" s="6">
        <f t="shared" si="21"/>
        <v>22.700075494355865</v>
      </c>
      <c r="Z28" s="6">
        <f t="shared" si="21"/>
        <v>-15.575681276474102</v>
      </c>
      <c r="AA28" s="6">
        <f t="shared" ref="AA28:AF28" si="22">SUM(AA20:AA27)</f>
        <v>16.710771801081666</v>
      </c>
      <c r="AB28" s="6">
        <f t="shared" si="22"/>
        <v>-40.5</v>
      </c>
      <c r="AC28" s="6">
        <f t="shared" si="22"/>
        <v>-39.300000000000004</v>
      </c>
      <c r="AD28" s="6">
        <f t="shared" si="22"/>
        <v>4.1000000000000014</v>
      </c>
      <c r="AE28" s="6">
        <f t="shared" si="22"/>
        <v>24.6</v>
      </c>
      <c r="AF28" s="6">
        <f t="shared" si="22"/>
        <v>8.8000000000000025</v>
      </c>
      <c r="AG28" s="6">
        <f t="shared" ref="AG28:AL28" si="23">SUM(AG20:AG27)</f>
        <v>-33.799999999999997</v>
      </c>
      <c r="AH28" s="6">
        <f t="shared" si="23"/>
        <v>-9.9000000000000039</v>
      </c>
      <c r="AI28" s="6">
        <f t="shared" si="23"/>
        <v>-13.499999999999998</v>
      </c>
      <c r="AJ28" s="6">
        <f t="shared" si="23"/>
        <v>13.399999999999999</v>
      </c>
      <c r="AK28" s="6">
        <f t="shared" si="23"/>
        <v>-46.6</v>
      </c>
      <c r="AL28" s="6">
        <f t="shared" si="23"/>
        <v>12.5</v>
      </c>
      <c r="AM28" s="6">
        <f t="shared" ref="AM28:AN28" si="24">SUM(AM20:AM27)</f>
        <v>-14.699999999999994</v>
      </c>
      <c r="AN28" s="6">
        <f t="shared" si="24"/>
        <v>66.400000000000006</v>
      </c>
      <c r="AO28" s="6">
        <f t="shared" ref="AO28" si="25">SUM(AO20:AO27)</f>
        <v>-27.600000000000005</v>
      </c>
      <c r="AP28" s="6">
        <f t="shared" ref="AP28:AY28" ca="1" si="26">SUM(AP20:AP27)</f>
        <v>-0.15214035812257265</v>
      </c>
      <c r="AQ28" s="6">
        <f t="shared" ca="1" si="26"/>
        <v>-0.38632634413824718</v>
      </c>
      <c r="AR28" s="6">
        <f t="shared" ca="1" si="26"/>
        <v>-0.40813631152783358</v>
      </c>
      <c r="AS28" s="6">
        <f t="shared" ca="1" si="26"/>
        <v>-0.42945554350747273</v>
      </c>
      <c r="AT28" s="6">
        <f t="shared" ca="1" si="26"/>
        <v>-0.44690542389621157</v>
      </c>
      <c r="AU28" s="6">
        <f t="shared" ca="1" si="26"/>
        <v>-0.46062915136811</v>
      </c>
      <c r="AV28" s="6">
        <f t="shared" ca="1" si="26"/>
        <v>-0.47362038634199877</v>
      </c>
      <c r="AW28" s="6">
        <f t="shared" ca="1" si="26"/>
        <v>-0.48591729049221755</v>
      </c>
      <c r="AX28" s="6">
        <f t="shared" ca="1" si="26"/>
        <v>-0.49754136395687709</v>
      </c>
      <c r="AY28" s="6">
        <f t="shared" ca="1" si="26"/>
        <v>-0.50850317860323457</v>
      </c>
      <c r="AZ28" s="6"/>
    </row>
    <row r="29" spans="2:52">
      <c r="B29" s="7" t="s">
        <v>138</v>
      </c>
      <c r="G29" s="6">
        <f t="shared" si="6"/>
        <v>436.62191159126769</v>
      </c>
      <c r="H29" s="6">
        <f t="shared" si="14"/>
        <v>566.48399999999992</v>
      </c>
      <c r="I29" s="6">
        <f t="shared" si="15"/>
        <v>605.4</v>
      </c>
      <c r="J29" s="6">
        <f t="shared" si="16"/>
        <v>714.00000000000011</v>
      </c>
      <c r="K29" s="6">
        <f t="shared" si="17"/>
        <v>909.80000000000007</v>
      </c>
      <c r="L29" s="6">
        <f t="shared" ca="1" si="18"/>
        <v>989.11631348185824</v>
      </c>
      <c r="M29" s="6">
        <f t="shared" ca="1" si="19"/>
        <v>1102.2215554584427</v>
      </c>
      <c r="N29" s="6">
        <f t="shared" ca="1" si="20"/>
        <v>1203.0367152818358</v>
      </c>
      <c r="O29" s="40"/>
      <c r="T29" s="6">
        <f t="shared" ref="T29:Z29" si="27">+T28+T8+SUM(T10:T18)</f>
        <v>118.84680220169824</v>
      </c>
      <c r="U29" s="6">
        <f t="shared" si="27"/>
        <v>105.77289710162619</v>
      </c>
      <c r="V29" s="6">
        <f t="shared" si="27"/>
        <v>83.107116064110897</v>
      </c>
      <c r="W29" s="6">
        <f t="shared" si="27"/>
        <v>128.89509622383244</v>
      </c>
      <c r="X29" s="6">
        <f t="shared" si="27"/>
        <v>98.44898111492617</v>
      </c>
      <c r="Y29" s="6">
        <f t="shared" si="27"/>
        <v>153.17050130789363</v>
      </c>
      <c r="Z29" s="6">
        <f t="shared" si="27"/>
        <v>148.5288186010464</v>
      </c>
      <c r="AA29" s="6">
        <f t="shared" ref="AA29:AF29" si="28">+AA28+AA8+SUM(AA10:AA18)</f>
        <v>166.33569897613367</v>
      </c>
      <c r="AB29" s="6">
        <f t="shared" si="28"/>
        <v>118.19999999999999</v>
      </c>
      <c r="AC29" s="6">
        <f t="shared" si="28"/>
        <v>123.69999999999996</v>
      </c>
      <c r="AD29" s="6">
        <f t="shared" si="28"/>
        <v>168.50000000000003</v>
      </c>
      <c r="AE29" s="6">
        <f t="shared" si="28"/>
        <v>195.00000000000003</v>
      </c>
      <c r="AF29" s="6">
        <f t="shared" si="28"/>
        <v>195.20000000000002</v>
      </c>
      <c r="AG29" s="6">
        <f t="shared" ref="AG29:AL29" si="29">+AG28+AG8+SUM(AG10:AG18)</f>
        <v>146.20000000000005</v>
      </c>
      <c r="AH29" s="6">
        <f t="shared" si="29"/>
        <v>196.39999999999998</v>
      </c>
      <c r="AI29" s="6">
        <f t="shared" si="29"/>
        <v>176.20000000000005</v>
      </c>
      <c r="AJ29" s="6">
        <f t="shared" si="29"/>
        <v>232.8</v>
      </c>
      <c r="AK29" s="6">
        <f t="shared" si="29"/>
        <v>169.69999999999996</v>
      </c>
      <c r="AL29" s="6">
        <f t="shared" si="29"/>
        <v>262.39999999999998</v>
      </c>
      <c r="AM29" s="6">
        <f t="shared" ref="AM29:AN29" si="30">+AM28+AM8+SUM(AM10:AM18)</f>
        <v>244.90000000000006</v>
      </c>
      <c r="AN29" s="6">
        <f t="shared" si="30"/>
        <v>268.80000000000007</v>
      </c>
      <c r="AO29" s="6">
        <f t="shared" ref="AO29" si="31">+AO28+AO8+SUM(AO10:AO18)</f>
        <v>187.7</v>
      </c>
      <c r="AP29" s="6">
        <f t="shared" ref="AP29:AY29" ca="1" si="32">+AP28+AP8+SUM(AP10:AP18)</f>
        <v>254.96869429438436</v>
      </c>
      <c r="AQ29" s="6">
        <f t="shared" ca="1" si="32"/>
        <v>277.64761918747377</v>
      </c>
      <c r="AR29" s="6">
        <f t="shared" ca="1" si="32"/>
        <v>267.50916241870971</v>
      </c>
      <c r="AS29" s="6">
        <f t="shared" ca="1" si="32"/>
        <v>272.77997300490847</v>
      </c>
      <c r="AT29" s="6">
        <f t="shared" ca="1" si="32"/>
        <v>278.20709794932333</v>
      </c>
      <c r="AU29" s="6">
        <f t="shared" ca="1" si="32"/>
        <v>283.72532208550109</v>
      </c>
      <c r="AV29" s="6">
        <f t="shared" ca="1" si="32"/>
        <v>289.41905767496655</v>
      </c>
      <c r="AW29" s="6">
        <f t="shared" ca="1" si="32"/>
        <v>295.27714973760948</v>
      </c>
      <c r="AX29" s="6">
        <f t="shared" ca="1" si="32"/>
        <v>301.28883580219997</v>
      </c>
      <c r="AY29" s="6">
        <f t="shared" ca="1" si="32"/>
        <v>317.05167206705983</v>
      </c>
      <c r="AZ29" s="6"/>
    </row>
    <row r="30" spans="2:52">
      <c r="O30" s="40"/>
      <c r="T30" s="6"/>
      <c r="U30" s="6"/>
      <c r="V30" s="6"/>
      <c r="W30" s="6"/>
      <c r="X30" s="6"/>
      <c r="Y30" s="6"/>
      <c r="Z30" s="6"/>
      <c r="AA30" s="6"/>
      <c r="AB30" s="6"/>
      <c r="AC30" s="6"/>
      <c r="AD30" s="6"/>
      <c r="AE30" s="6"/>
      <c r="AF30" s="6"/>
      <c r="AG30" s="6"/>
      <c r="AH30" s="6"/>
      <c r="AI30" s="6"/>
      <c r="AJ30" s="6"/>
      <c r="AK30" s="6"/>
      <c r="AL30" s="6"/>
      <c r="AM30" s="6"/>
      <c r="AN30" s="6"/>
      <c r="AO30" s="6"/>
      <c r="AP30" s="6"/>
      <c r="AQ30" s="6"/>
      <c r="AR30" s="6"/>
      <c r="AS30" s="6"/>
      <c r="AT30" s="6"/>
      <c r="AU30" s="6"/>
      <c r="AV30" s="6"/>
      <c r="AW30" s="6"/>
      <c r="AX30" s="6"/>
      <c r="AY30" s="6"/>
      <c r="AZ30" s="6"/>
    </row>
    <row r="31" spans="2:52">
      <c r="O31" s="40"/>
      <c r="T31" s="6"/>
      <c r="U31" s="6"/>
      <c r="V31" s="6"/>
      <c r="W31" s="6"/>
      <c r="X31" s="6"/>
      <c r="Y31" s="6"/>
      <c r="Z31" s="6"/>
      <c r="AA31" s="6"/>
      <c r="AB31" s="6"/>
      <c r="AC31" s="6"/>
      <c r="AD31" s="6"/>
      <c r="AE31" s="6"/>
      <c r="AF31" s="6"/>
      <c r="AG31" s="6"/>
      <c r="AH31" s="6"/>
      <c r="AI31" s="6"/>
      <c r="AJ31" s="6"/>
      <c r="AK31" s="6"/>
      <c r="AL31" s="6"/>
      <c r="AM31" s="6"/>
      <c r="AN31" s="6"/>
      <c r="AO31" s="6"/>
      <c r="AP31" s="6"/>
      <c r="AQ31" s="6"/>
      <c r="AR31" s="6"/>
      <c r="AS31" s="6"/>
      <c r="AT31" s="6"/>
      <c r="AU31" s="6"/>
      <c r="AV31" s="6"/>
      <c r="AW31" s="6"/>
      <c r="AX31" s="6"/>
      <c r="AY31" s="6"/>
      <c r="AZ31" s="6"/>
    </row>
    <row r="32" spans="2:52">
      <c r="B32" s="44" t="s">
        <v>139</v>
      </c>
      <c r="O32" s="40"/>
      <c r="T32" s="6"/>
      <c r="U32" s="6"/>
      <c r="V32" s="6"/>
      <c r="W32" s="6"/>
      <c r="X32" s="6"/>
      <c r="Y32" s="6"/>
      <c r="Z32" s="6"/>
      <c r="AA32" s="6"/>
      <c r="AB32" s="6"/>
      <c r="AC32" s="6"/>
      <c r="AD32" s="6"/>
      <c r="AE32" s="6"/>
      <c r="AF32" s="6"/>
      <c r="AG32" s="6"/>
      <c r="AH32" s="6"/>
      <c r="AI32" s="6"/>
      <c r="AJ32" s="6"/>
      <c r="AK32" s="6"/>
      <c r="AL32" s="6"/>
      <c r="AM32" s="6"/>
      <c r="AN32" s="6"/>
      <c r="AO32" s="6"/>
      <c r="AP32" s="6"/>
      <c r="AQ32" s="6"/>
      <c r="AR32" s="6"/>
      <c r="AS32" s="6"/>
      <c r="AT32" s="6"/>
      <c r="AU32" s="6"/>
      <c r="AV32" s="6"/>
      <c r="AW32" s="6"/>
      <c r="AX32" s="6"/>
      <c r="AY32" s="6"/>
      <c r="AZ32" s="6"/>
    </row>
    <row r="33" spans="2:52">
      <c r="B33" t="s">
        <v>140</v>
      </c>
      <c r="G33" s="6">
        <f>+SUM(T33:W33)</f>
        <v>-323.23400002</v>
      </c>
      <c r="H33" s="6">
        <f>+SUM(X33:AA33)</f>
        <v>-360.75700000000001</v>
      </c>
      <c r="I33" s="6">
        <f>+SUM(AB33:AE33)</f>
        <v>-530.4</v>
      </c>
      <c r="J33" s="6">
        <f>+SUM(AF33:AI33)</f>
        <v>-704.10000000000014</v>
      </c>
      <c r="K33" s="6">
        <f>+SUM(AJ33:AM33)</f>
        <v>-835.5</v>
      </c>
      <c r="L33" s="6">
        <f ca="1">+SUM(AN33:AQ33)</f>
        <v>-832.46881825418075</v>
      </c>
      <c r="M33" s="6">
        <f ca="1">+SUM(AR33:AU33)</f>
        <v>-941.57094608874058</v>
      </c>
      <c r="N33" s="6">
        <f ca="1">+SUM(AV33:AY33)</f>
        <v>-908.13095959915506</v>
      </c>
      <c r="O33" s="40"/>
      <c r="T33" s="19">
        <v>-66.687000019999999</v>
      </c>
      <c r="U33" s="19">
        <v>-58.91</v>
      </c>
      <c r="V33" s="19">
        <v>-95.73</v>
      </c>
      <c r="W33" s="19">
        <v>-101.907</v>
      </c>
      <c r="X33" s="19">
        <v>-86.671996482221047</v>
      </c>
      <c r="Y33" s="19">
        <v>-88.276763707906341</v>
      </c>
      <c r="Z33" s="19">
        <v>-90.922727784094747</v>
      </c>
      <c r="AA33" s="51">
        <f>-360.757-SUM(X33:Z33)</f>
        <v>-94.885512025777871</v>
      </c>
      <c r="AB33" s="19">
        <v>-115.3</v>
      </c>
      <c r="AC33" s="19">
        <f>-244.8-AB33</f>
        <v>-129.5</v>
      </c>
      <c r="AD33" s="19">
        <f>-374.9-AC33-AB33</f>
        <v>-130.09999999999997</v>
      </c>
      <c r="AE33" s="19">
        <f>-530.4-SUM(AB33:AD33)</f>
        <v>-155.5</v>
      </c>
      <c r="AF33" s="19">
        <v>-159.19999999999999</v>
      </c>
      <c r="AG33" s="19">
        <f>-331.6-AF33</f>
        <v>-172.40000000000003</v>
      </c>
      <c r="AH33" s="19">
        <f>-516.7-AF33-AG33</f>
        <v>-185.10000000000002</v>
      </c>
      <c r="AI33" s="19">
        <f>-704.1-AF33-AG33-AH33</f>
        <v>-187.40000000000003</v>
      </c>
      <c r="AJ33" s="19">
        <v>-208.3</v>
      </c>
      <c r="AK33" s="19">
        <f>-421.9-AJ33</f>
        <v>-213.59999999999997</v>
      </c>
      <c r="AL33" s="19">
        <f>-630.2-AJ33-AK33</f>
        <v>-208.30000000000007</v>
      </c>
      <c r="AM33" s="19">
        <f>-835.5-AJ33-AK33-AL33</f>
        <v>-205.3</v>
      </c>
      <c r="AN33" s="19">
        <v>-193.4</v>
      </c>
      <c r="AO33" s="19">
        <f>-386.8-AN33</f>
        <v>-193.4</v>
      </c>
      <c r="AP33" s="6">
        <f ca="1">-BS!AP69</f>
        <v>-215.42558542258649</v>
      </c>
      <c r="AQ33" s="6">
        <f ca="1">-BS!AQ69</f>
        <v>-230.24323283159427</v>
      </c>
      <c r="AR33" s="6">
        <f ca="1">-BS!AR69</f>
        <v>-232.16635268634124</v>
      </c>
      <c r="AS33" s="6">
        <f ca="1">-BS!AS69</f>
        <v>-234.24367823493645</v>
      </c>
      <c r="AT33" s="6">
        <f ca="1">-BS!AT69</f>
        <v>-236.43973667946651</v>
      </c>
      <c r="AU33" s="6">
        <f ca="1">-BS!AU69</f>
        <v>-238.7211784879965</v>
      </c>
      <c r="AV33" s="6">
        <f ca="1">-BS!AV69</f>
        <v>-241.08027659753353</v>
      </c>
      <c r="AW33" s="6">
        <f ca="1">-BS!AW69</f>
        <v>-243.50981770877678</v>
      </c>
      <c r="AX33" s="6">
        <f ca="1">-BS!AX69</f>
        <v>-246.00294975950814</v>
      </c>
      <c r="AY33" s="6">
        <f ca="1">-BS!AY69</f>
        <v>-177.53791553333656</v>
      </c>
      <c r="AZ33" s="6"/>
    </row>
    <row r="34" spans="2:52">
      <c r="B34" t="s">
        <v>141</v>
      </c>
      <c r="G34" s="6">
        <f>+SUM(T34:W34)</f>
        <v>-2500.2342796274183</v>
      </c>
      <c r="H34" s="6">
        <f>+SUM(X34:AA34)</f>
        <v>-393.34100000000001</v>
      </c>
      <c r="I34" s="6">
        <f>+SUM(AB34:AE34)</f>
        <v>-855.7</v>
      </c>
      <c r="J34" s="6">
        <f>+SUM(AF34:AI34)</f>
        <v>-437.5</v>
      </c>
      <c r="K34" s="6">
        <f>+SUM(AJ34:AM34)</f>
        <v>-1434.8</v>
      </c>
      <c r="L34" s="6">
        <f>+SUM(AN34:AQ34)</f>
        <v>-56.5</v>
      </c>
      <c r="M34" s="6">
        <f>+SUM(AR34:AU34)</f>
        <v>0</v>
      </c>
      <c r="N34" s="6">
        <f>+SUM(AV34:AY34)</f>
        <v>0</v>
      </c>
      <c r="O34" s="40"/>
      <c r="T34" s="19">
        <v>-2357.1254830074181</v>
      </c>
      <c r="U34" s="19">
        <v>-145.49568683000001</v>
      </c>
      <c r="V34" s="19">
        <v>1.413</v>
      </c>
      <c r="W34" s="19">
        <v>0.97389020999999987</v>
      </c>
      <c r="X34" s="19">
        <v>1.6776476300000012</v>
      </c>
      <c r="Y34" s="19">
        <v>-94.082343738050639</v>
      </c>
      <c r="Z34" s="19">
        <v>-17.596499999999999</v>
      </c>
      <c r="AA34" s="51">
        <f>-0.251-40.068-43.137-17.503-292.332-0.05-SUM(X34:Z34)</f>
        <v>-283.33980389194937</v>
      </c>
      <c r="AB34" s="22">
        <f>-73.9-52.5-0.1</f>
        <v>-126.5</v>
      </c>
      <c r="AC34" s="19">
        <f>-73.9-52.5-0.1-AB34</f>
        <v>0</v>
      </c>
      <c r="AD34" s="22">
        <f>-677.5-53.6-73.9-52.5+0.3-0.1-AC34-AB34</f>
        <v>-730.80000000000007</v>
      </c>
      <c r="AE34" s="19">
        <f>-677.5-52.7-73.9-51.9+0.3-SUM(AB34:AD34)</f>
        <v>1.6000000000000227</v>
      </c>
      <c r="AF34" s="19">
        <v>-0.3</v>
      </c>
      <c r="AG34" s="22">
        <f>-101-16.7-0.3-AF34</f>
        <v>-117.7</v>
      </c>
      <c r="AH34" s="22">
        <f>-297.6-102.7-16.7-AG34-AF34</f>
        <v>-299</v>
      </c>
      <c r="AI34" s="22">
        <f>-437.5-AF34-AG34-AH34</f>
        <v>-20.5</v>
      </c>
      <c r="AJ34" s="19">
        <v>1.5</v>
      </c>
      <c r="AK34" s="19">
        <f>-1.3+1.5-AJ34</f>
        <v>-1.3</v>
      </c>
      <c r="AL34" s="19">
        <f>-1426.8+1.5-AJ34-AK34</f>
        <v>-1425.5</v>
      </c>
      <c r="AM34" s="19">
        <f>-1434.8-AJ34-AK34-AL34</f>
        <v>-9.5</v>
      </c>
      <c r="AN34" s="19"/>
      <c r="AO34" s="19">
        <f>-0.2-AN34</f>
        <v>-0.2</v>
      </c>
      <c r="AP34" s="19">
        <f>-31/1.25-31.5</f>
        <v>-56.3</v>
      </c>
      <c r="AQ34" s="6"/>
      <c r="AR34" s="6"/>
      <c r="AS34" s="6"/>
      <c r="AT34" s="6"/>
      <c r="AU34" s="6"/>
      <c r="AV34" s="6"/>
      <c r="AW34" s="6"/>
      <c r="AX34" s="6"/>
      <c r="AY34" s="6"/>
      <c r="AZ34" s="6"/>
    </row>
    <row r="35" spans="2:52">
      <c r="B35" s="7" t="s">
        <v>142</v>
      </c>
      <c r="G35" s="6">
        <f>+SUM(T35:W35)</f>
        <v>-2823.4682796474181</v>
      </c>
      <c r="H35" s="6">
        <f>+SUM(X35:AA35)</f>
        <v>-754.09799999999996</v>
      </c>
      <c r="I35" s="6">
        <f>+SUM(AB35:AE35)</f>
        <v>-1386.1</v>
      </c>
      <c r="J35" s="6">
        <f>+SUM(AF35:AI35)</f>
        <v>-1141.6000000000001</v>
      </c>
      <c r="K35" s="6">
        <f>+SUM(AJ35:AM35)</f>
        <v>-2270.3000000000002</v>
      </c>
      <c r="L35" s="6">
        <f ca="1">+SUM(AN35:AQ35)</f>
        <v>-888.96881825418075</v>
      </c>
      <c r="M35" s="6">
        <f ca="1">+SUM(AR35:AU35)</f>
        <v>-941.57094608874058</v>
      </c>
      <c r="N35" s="6">
        <f ca="1">+SUM(AV35:AY35)</f>
        <v>-908.13095959915506</v>
      </c>
      <c r="O35" s="40"/>
      <c r="T35" s="6">
        <f t="shared" ref="T35:Z35" si="33">SUM(T33:T34)</f>
        <v>-2423.8124830274182</v>
      </c>
      <c r="U35" s="6">
        <f t="shared" si="33"/>
        <v>-204.40568683000001</v>
      </c>
      <c r="V35" s="6">
        <f t="shared" si="33"/>
        <v>-94.317000000000007</v>
      </c>
      <c r="W35" s="6">
        <f t="shared" si="33"/>
        <v>-100.93310979</v>
      </c>
      <c r="X35" s="6">
        <f t="shared" si="33"/>
        <v>-84.994348852221052</v>
      </c>
      <c r="Y35" s="6">
        <f t="shared" si="33"/>
        <v>-182.35910744595697</v>
      </c>
      <c r="Z35" s="6">
        <f t="shared" si="33"/>
        <v>-108.51922778409474</v>
      </c>
      <c r="AA35" s="6">
        <f t="shared" ref="AA35:AF35" si="34">SUM(AA33:AA34)</f>
        <v>-378.22531591772724</v>
      </c>
      <c r="AB35" s="6">
        <f t="shared" si="34"/>
        <v>-241.8</v>
      </c>
      <c r="AC35" s="6">
        <f t="shared" si="34"/>
        <v>-129.5</v>
      </c>
      <c r="AD35" s="6">
        <f t="shared" si="34"/>
        <v>-860.90000000000009</v>
      </c>
      <c r="AE35" s="6">
        <f t="shared" si="34"/>
        <v>-153.89999999999998</v>
      </c>
      <c r="AF35" s="6">
        <f t="shared" si="34"/>
        <v>-159.5</v>
      </c>
      <c r="AG35" s="6">
        <f t="shared" ref="AG35:AL35" si="35">SUM(AG33:AG34)</f>
        <v>-290.10000000000002</v>
      </c>
      <c r="AH35" s="6">
        <f t="shared" si="35"/>
        <v>-484.1</v>
      </c>
      <c r="AI35" s="6">
        <f t="shared" si="35"/>
        <v>-207.90000000000003</v>
      </c>
      <c r="AJ35" s="6">
        <f t="shared" si="35"/>
        <v>-206.8</v>
      </c>
      <c r="AK35" s="6">
        <f t="shared" si="35"/>
        <v>-214.89999999999998</v>
      </c>
      <c r="AL35" s="6">
        <f t="shared" si="35"/>
        <v>-1633.8000000000002</v>
      </c>
      <c r="AM35" s="6">
        <f t="shared" ref="AM35:AN35" si="36">SUM(AM33:AM34)</f>
        <v>-214.8</v>
      </c>
      <c r="AN35" s="6">
        <f t="shared" si="36"/>
        <v>-193.4</v>
      </c>
      <c r="AO35" s="6">
        <f t="shared" ref="AO35" si="37">SUM(AO33:AO34)</f>
        <v>-193.6</v>
      </c>
      <c r="AP35" s="6">
        <f t="shared" ref="AP35:AY35" ca="1" si="38">SUM(AP33:AP34)</f>
        <v>-271.72558542258651</v>
      </c>
      <c r="AQ35" s="6">
        <f t="shared" ca="1" si="38"/>
        <v>-230.24323283159427</v>
      </c>
      <c r="AR35" s="6">
        <f t="shared" ca="1" si="38"/>
        <v>-232.16635268634124</v>
      </c>
      <c r="AS35" s="6">
        <f t="shared" ca="1" si="38"/>
        <v>-234.24367823493645</v>
      </c>
      <c r="AT35" s="6">
        <f t="shared" ca="1" si="38"/>
        <v>-236.43973667946651</v>
      </c>
      <c r="AU35" s="6">
        <f t="shared" ca="1" si="38"/>
        <v>-238.7211784879965</v>
      </c>
      <c r="AV35" s="6">
        <f t="shared" ca="1" si="38"/>
        <v>-241.08027659753353</v>
      </c>
      <c r="AW35" s="6">
        <f t="shared" ca="1" si="38"/>
        <v>-243.50981770877678</v>
      </c>
      <c r="AX35" s="6">
        <f t="shared" ca="1" si="38"/>
        <v>-246.00294975950814</v>
      </c>
      <c r="AY35" s="6">
        <f t="shared" ca="1" si="38"/>
        <v>-177.53791553333656</v>
      </c>
      <c r="AZ35" s="6"/>
    </row>
    <row r="36" spans="2:52">
      <c r="O36" s="40"/>
      <c r="T36" s="6"/>
      <c r="U36" s="6"/>
      <c r="V36" s="6"/>
      <c r="W36" s="6"/>
      <c r="X36" s="6"/>
      <c r="Y36" s="6"/>
      <c r="Z36" s="6"/>
      <c r="AA36" s="6"/>
      <c r="AB36" s="6"/>
      <c r="AC36" s="6"/>
      <c r="AD36" s="6"/>
      <c r="AE36" s="6"/>
      <c r="AF36" s="6"/>
      <c r="AG36" s="6"/>
      <c r="AH36" s="6"/>
      <c r="AI36" s="6"/>
      <c r="AJ36" s="6"/>
      <c r="AK36" s="6"/>
      <c r="AL36" s="6"/>
      <c r="AM36" s="6"/>
      <c r="AN36" s="6"/>
      <c r="AO36" s="6"/>
      <c r="AP36" s="6"/>
      <c r="AQ36" s="6"/>
      <c r="AR36" s="6"/>
      <c r="AS36" s="6"/>
      <c r="AT36" s="6"/>
      <c r="AU36" s="6"/>
      <c r="AV36" s="6"/>
      <c r="AW36" s="6"/>
      <c r="AX36" s="6"/>
      <c r="AY36" s="6"/>
      <c r="AZ36" s="6"/>
    </row>
    <row r="37" spans="2:52">
      <c r="B37" s="44" t="s">
        <v>143</v>
      </c>
      <c r="O37" s="40"/>
      <c r="T37" s="6"/>
      <c r="U37" s="6"/>
      <c r="V37" s="6"/>
      <c r="W37" s="6"/>
      <c r="X37" s="6"/>
      <c r="Y37" s="6"/>
      <c r="Z37" s="6"/>
      <c r="AA37" s="6"/>
      <c r="AB37" s="6"/>
      <c r="AC37" s="6"/>
      <c r="AD37" s="6"/>
      <c r="AE37" s="6"/>
      <c r="AF37" s="6"/>
      <c r="AG37" s="6"/>
      <c r="AH37" s="6"/>
      <c r="AI37" s="6"/>
      <c r="AJ37" s="6"/>
      <c r="AK37" s="6"/>
      <c r="AL37" s="6"/>
      <c r="AM37" s="6"/>
      <c r="AN37" s="6"/>
      <c r="AO37" s="6"/>
      <c r="AP37" s="6"/>
      <c r="AQ37" s="6"/>
      <c r="AR37" s="6"/>
      <c r="AS37" s="6"/>
      <c r="AT37" s="6"/>
      <c r="AU37" s="6"/>
      <c r="AV37" s="6"/>
      <c r="AW37" s="6"/>
      <c r="AX37" s="6"/>
      <c r="AY37" s="6"/>
      <c r="AZ37" s="6"/>
    </row>
    <row r="38" spans="2:52">
      <c r="B38" t="s">
        <v>144</v>
      </c>
      <c r="G38" s="6">
        <f t="shared" ref="G38:G44" si="39">+SUM(T38:W38)</f>
        <v>2170.9830000000002</v>
      </c>
      <c r="H38" s="6">
        <f t="shared" ref="H38:H44" si="40">+SUM(X38:AA38)</f>
        <v>405.61200000000002</v>
      </c>
      <c r="I38" s="6">
        <f t="shared" ref="I38:I44" si="41">+SUM(AB38:AE38)</f>
        <v>498.79999999999995</v>
      </c>
      <c r="J38" s="6">
        <f t="shared" ref="J38:J44" si="42">+SUM(AF38:AI38)</f>
        <v>373.99999999999994</v>
      </c>
      <c r="K38" s="6">
        <f t="shared" ref="K38:K44" si="43">+SUM(AJ38:AM38)</f>
        <v>1457</v>
      </c>
      <c r="L38" s="6">
        <f t="shared" ref="L38:L44" ca="1" si="44">+SUM(AN38:AQ38)</f>
        <v>-10.212376085171286</v>
      </c>
      <c r="M38" s="6">
        <f t="shared" ref="M38:M44" ca="1" si="45">+SUM(AR38:AU38)</f>
        <v>-14.804256919246654</v>
      </c>
      <c r="N38" s="6">
        <f t="shared" ref="N38:N44" ca="1" si="46">+SUM(AV38:AY38)</f>
        <v>-15.543718198659008</v>
      </c>
      <c r="O38" s="40"/>
      <c r="T38" s="19">
        <v>2181.8220000000001</v>
      </c>
      <c r="U38" s="19">
        <v>-5.819</v>
      </c>
      <c r="V38" s="19">
        <v>2.8319999999999999</v>
      </c>
      <c r="W38" s="19">
        <v>-7.8520000000000003</v>
      </c>
      <c r="X38" s="19">
        <v>-3.804454027957838</v>
      </c>
      <c r="Y38" s="19">
        <v>146.50235527466407</v>
      </c>
      <c r="Z38" s="19">
        <v>-3.6367199263549548</v>
      </c>
      <c r="AA38" s="51">
        <f>423.625-18.013-SUM(X38:Z38)</f>
        <v>266.55081867964873</v>
      </c>
      <c r="AB38" s="19">
        <v>-5.0999999999999996</v>
      </c>
      <c r="AC38" s="19">
        <f>-259.7-23.8-AB38</f>
        <v>-278.39999999999998</v>
      </c>
      <c r="AD38" s="19">
        <f>1437.3-939.8-AC38-AB38</f>
        <v>781</v>
      </c>
      <c r="AE38" s="19">
        <f>1787.3-1288.5-SUM(AB38:AD38)</f>
        <v>1.2999999999999545</v>
      </c>
      <c r="AF38" s="19">
        <v>-4.0999999999999996</v>
      </c>
      <c r="AG38" s="19">
        <f>-8.3-AF38</f>
        <v>-4.2000000000000011</v>
      </c>
      <c r="AH38" s="19">
        <f>395.2-13.4-AF38-AG38</f>
        <v>390.1</v>
      </c>
      <c r="AI38" s="19">
        <f>929.3-535-20.3-AF38-AG38-AH38</f>
        <v>-7.8000000000000682</v>
      </c>
      <c r="AJ38" s="19"/>
      <c r="AK38" s="19"/>
      <c r="AL38" s="19">
        <f>3293.8-1837.4-AJ38-AK38</f>
        <v>1456.4</v>
      </c>
      <c r="AM38" s="19">
        <f>3865.8-2408.8-AJ38-AK38-AL38</f>
        <v>0.59999999999990905</v>
      </c>
      <c r="AN38" s="19">
        <f>312.8-311.9</f>
        <v>0.90000000000003411</v>
      </c>
      <c r="AO38" s="19">
        <f>312.8-313.2-AN38</f>
        <v>-1.3000000000000114</v>
      </c>
      <c r="AP38" s="41">
        <f ca="1">+(BS!AP31-BS!AO31)</f>
        <v>-6.2224004250783764</v>
      </c>
      <c r="AQ38" s="41">
        <f ca="1">+(BS!AQ31-BS!AP31)</f>
        <v>-3.5899756600929322</v>
      </c>
      <c r="AR38" s="41">
        <f ca="1">+(BS!AR31-BS!AQ31)</f>
        <v>-3.6338320118102274</v>
      </c>
      <c r="AS38" s="41">
        <f ca="1">+(BS!AS31-BS!AR31)</f>
        <v>-3.6782633540060488</v>
      </c>
      <c r="AT38" s="41">
        <f ca="1">+(BS!AT31-BS!AS31)</f>
        <v>-3.7232778338166099</v>
      </c>
      <c r="AU38" s="41">
        <f ca="1">+(BS!AU31-BS!AT31)</f>
        <v>-3.7688837196137683</v>
      </c>
      <c r="AV38" s="41">
        <f ca="1">+(BS!AV31-BS!AU31)</f>
        <v>-3.8150894029022311</v>
      </c>
      <c r="AW38" s="41">
        <f ca="1">+(BS!AW31-BS!AV31)</f>
        <v>-3.8619034002331318</v>
      </c>
      <c r="AX38" s="41">
        <f ca="1">+(BS!AX31-BS!AW31)</f>
        <v>-3.9093343551849102</v>
      </c>
      <c r="AY38" s="41">
        <f ca="1">+(BS!AY31-BS!AX31)</f>
        <v>-3.9573910403387345</v>
      </c>
      <c r="AZ38" s="6"/>
    </row>
    <row r="39" spans="2:52">
      <c r="B39" t="s">
        <v>174</v>
      </c>
      <c r="G39" s="6">
        <f t="shared" si="39"/>
        <v>-30</v>
      </c>
      <c r="H39" s="6">
        <f t="shared" si="40"/>
        <v>0</v>
      </c>
      <c r="I39" s="6">
        <f t="shared" si="41"/>
        <v>0</v>
      </c>
      <c r="J39" s="6">
        <f t="shared" si="42"/>
        <v>0</v>
      </c>
      <c r="K39" s="6">
        <f t="shared" si="43"/>
        <v>0</v>
      </c>
      <c r="L39" s="6">
        <f t="shared" si="44"/>
        <v>0</v>
      </c>
      <c r="M39" s="6">
        <f t="shared" si="45"/>
        <v>0</v>
      </c>
      <c r="N39" s="6">
        <f t="shared" si="46"/>
        <v>0</v>
      </c>
      <c r="O39" s="40"/>
      <c r="T39" s="19">
        <v>-30</v>
      </c>
      <c r="U39" s="19">
        <v>0</v>
      </c>
      <c r="V39" s="19">
        <v>0</v>
      </c>
      <c r="W39" s="19">
        <v>0</v>
      </c>
      <c r="X39" s="19">
        <v>0</v>
      </c>
      <c r="Y39" s="19">
        <v>0</v>
      </c>
      <c r="Z39" s="19">
        <v>0</v>
      </c>
      <c r="AA39" s="19">
        <v>0</v>
      </c>
      <c r="AB39" s="19"/>
      <c r="AC39" s="19"/>
      <c r="AD39" s="19"/>
      <c r="AE39" s="19"/>
      <c r="AF39" s="19"/>
      <c r="AG39" s="19"/>
      <c r="AH39" s="19"/>
      <c r="AI39" s="19"/>
      <c r="AJ39" s="19"/>
      <c r="AK39" s="19"/>
      <c r="AL39" s="19"/>
      <c r="AM39" s="19"/>
      <c r="AN39" s="19"/>
      <c r="AO39" s="19"/>
      <c r="AP39" s="41">
        <f>+(BS!AP21-BS!AO21)</f>
        <v>0</v>
      </c>
      <c r="AQ39" s="41">
        <f>+(BS!AQ21-BS!AP21)</f>
        <v>0</v>
      </c>
      <c r="AR39" s="41">
        <f>+(BS!AR21-BS!AQ21)</f>
        <v>0</v>
      </c>
      <c r="AS39" s="41">
        <f>+(BS!AS21-BS!AR21)</f>
        <v>0</v>
      </c>
      <c r="AT39" s="41">
        <f>+(BS!AT21-BS!AS21)</f>
        <v>0</v>
      </c>
      <c r="AU39" s="41">
        <f>+(BS!AU21-BS!AT21)</f>
        <v>0</v>
      </c>
      <c r="AV39" s="41">
        <f>+(BS!AV21-BS!AU21)</f>
        <v>0</v>
      </c>
      <c r="AW39" s="41">
        <f>+(BS!AW21-BS!AV21)</f>
        <v>0</v>
      </c>
      <c r="AX39" s="41">
        <f>+(BS!AX21-BS!AW21)</f>
        <v>0</v>
      </c>
      <c r="AY39" s="41">
        <f>+(BS!AY21-BS!AX21)</f>
        <v>0</v>
      </c>
      <c r="AZ39" s="6"/>
    </row>
    <row r="40" spans="2:52">
      <c r="B40" t="s">
        <v>145</v>
      </c>
      <c r="G40" s="6">
        <f t="shared" si="39"/>
        <v>367.78864695633212</v>
      </c>
      <c r="H40" s="6">
        <f t="shared" si="40"/>
        <v>0</v>
      </c>
      <c r="I40" s="6">
        <f t="shared" si="41"/>
        <v>387.2</v>
      </c>
      <c r="J40" s="6">
        <f t="shared" si="42"/>
        <v>-81.099999999999994</v>
      </c>
      <c r="K40" s="6">
        <f t="shared" si="43"/>
        <v>0</v>
      </c>
      <c r="L40" s="6">
        <f t="shared" si="44"/>
        <v>0</v>
      </c>
      <c r="M40" s="6">
        <f t="shared" si="45"/>
        <v>0</v>
      </c>
      <c r="N40" s="6">
        <f t="shared" si="46"/>
        <v>0</v>
      </c>
      <c r="O40" s="40"/>
      <c r="T40" s="19">
        <v>354.64016407995882</v>
      </c>
      <c r="U40" s="19">
        <v>-5.1856803121454993</v>
      </c>
      <c r="V40" s="19">
        <v>-8.0313209756468105</v>
      </c>
      <c r="W40" s="19">
        <v>26.365484164165608</v>
      </c>
      <c r="X40" s="19">
        <v>-1.7974218259694517</v>
      </c>
      <c r="Y40" s="19">
        <v>2.0546499991751905</v>
      </c>
      <c r="Z40" s="19">
        <v>4.8583963091198896</v>
      </c>
      <c r="AA40" s="51">
        <f>0-SUM(X40:Z40)</f>
        <v>-5.1156244823256287</v>
      </c>
      <c r="AB40" s="19"/>
      <c r="AC40" s="19">
        <f>304.2-22.2-AB40</f>
        <v>282</v>
      </c>
      <c r="AD40" s="19">
        <f>413.7-AC40-AB40</f>
        <v>131.69999999999999</v>
      </c>
      <c r="AE40" s="19">
        <f>413.7-26.5-SUM(AB40:AD40)</f>
        <v>-26.5</v>
      </c>
      <c r="AF40" s="19"/>
      <c r="AG40" s="19">
        <f>-17.9-AF40</f>
        <v>-17.899999999999999</v>
      </c>
      <c r="AH40" s="19">
        <f>-81.1-AF40-AG40</f>
        <v>-63.199999999999996</v>
      </c>
      <c r="AI40" s="19">
        <f>-81.1-AG40-AH40-AF40</f>
        <v>0</v>
      </c>
      <c r="AJ40" s="19"/>
      <c r="AK40" s="19"/>
      <c r="AL40" s="19"/>
      <c r="AM40" s="19"/>
      <c r="AN40" s="19"/>
      <c r="AO40" s="19"/>
      <c r="AP40" s="41">
        <f>+BS!AP40-BS!AO40+(BS!AP39-BS!AO39)+(BS!AP41-BS!AO41)+(BS!AP43-BS!AO43)</f>
        <v>0</v>
      </c>
      <c r="AQ40" s="41">
        <f>+BS!AQ40-BS!AP40+(BS!AQ39-BS!AP39)+(BS!AQ41-BS!AP41)+(BS!AQ43-BS!AP43)</f>
        <v>0</v>
      </c>
      <c r="AR40" s="41">
        <f>+BS!AR40-BS!AQ40+(BS!AR39-BS!AQ39)+(BS!AR41-BS!AQ41)+(BS!AR43-BS!AQ43)</f>
        <v>0</v>
      </c>
      <c r="AS40" s="41">
        <f>+BS!AS40-BS!AR40+(BS!AS39-BS!AR39)+(BS!AS41-BS!AR41)+(BS!AS43-BS!AR43)</f>
        <v>0</v>
      </c>
      <c r="AT40" s="41">
        <f>+BS!AT40-BS!AS40+(BS!AT39-BS!AS39)+(BS!AT41-BS!AS41)+(BS!AT43-BS!AS43)</f>
        <v>0</v>
      </c>
      <c r="AU40" s="41">
        <f>+BS!AU40-BS!AT40+(BS!AU39-BS!AT39)+(BS!AU41-BS!AT41)+(BS!AU43-BS!AT43)</f>
        <v>0</v>
      </c>
      <c r="AV40" s="41">
        <f>+BS!AV40-BS!AU40+(BS!AV39-BS!AU39)+(BS!AV41-BS!AU41)+(BS!AV43-BS!AU43)</f>
        <v>0</v>
      </c>
      <c r="AW40" s="41">
        <f>+BS!AW40-BS!AV40+(BS!AW39-BS!AV39)+(BS!AW41-BS!AV41)+(BS!AW43-BS!AV43)</f>
        <v>0</v>
      </c>
      <c r="AX40" s="41">
        <f>+BS!AX40-BS!AW40+(BS!AX39-BS!AW39)+(BS!AX41-BS!AW41)+(BS!AX43-BS!AW43)</f>
        <v>0</v>
      </c>
      <c r="AY40" s="41">
        <f>+BS!AY40-BS!AX40+(BS!AY39-BS!AX39)+(BS!AY41-BS!AX41)+(BS!AY43-BS!AX43)</f>
        <v>0</v>
      </c>
      <c r="AZ40" s="6"/>
    </row>
    <row r="41" spans="2:52">
      <c r="B41" t="s">
        <v>146</v>
      </c>
      <c r="G41" s="6">
        <f t="shared" si="39"/>
        <v>-1.9300000000000002</v>
      </c>
      <c r="H41" s="6">
        <f t="shared" si="40"/>
        <v>-7.8739999999999997</v>
      </c>
      <c r="I41" s="6">
        <f t="shared" si="41"/>
        <v>-3.5</v>
      </c>
      <c r="J41" s="6">
        <f t="shared" si="42"/>
        <v>-4.9000000000000004</v>
      </c>
      <c r="K41" s="6">
        <f t="shared" si="43"/>
        <v>-6.6</v>
      </c>
      <c r="L41" s="6">
        <f t="shared" si="44"/>
        <v>-4</v>
      </c>
      <c r="M41" s="6">
        <f t="shared" si="45"/>
        <v>0</v>
      </c>
      <c r="N41" s="6">
        <f t="shared" si="46"/>
        <v>0</v>
      </c>
      <c r="O41" s="40"/>
      <c r="T41" s="19">
        <v>-0.379</v>
      </c>
      <c r="U41" s="19">
        <v>-0.13500000000000001</v>
      </c>
      <c r="V41" s="19">
        <v>-0.89200000000000002</v>
      </c>
      <c r="W41" s="19">
        <v>-0.52400000000000002</v>
      </c>
      <c r="X41" s="19">
        <v>-0.4053827299999998</v>
      </c>
      <c r="Y41" s="19">
        <v>-5.533436159999999</v>
      </c>
      <c r="Z41" s="19">
        <v>-0.96997370000000005</v>
      </c>
      <c r="AA41" s="51">
        <f>-7.874-SUM(X41:Z41)</f>
        <v>-0.96520741000000143</v>
      </c>
      <c r="AB41" s="19">
        <v>-0.7</v>
      </c>
      <c r="AC41" s="19">
        <f>-1.3-AB41</f>
        <v>-0.60000000000000009</v>
      </c>
      <c r="AD41" s="19">
        <f>-2.4-AC41-AB41</f>
        <v>-1.0999999999999999</v>
      </c>
      <c r="AE41" s="19">
        <f>-3.5-SUM(AB41:AD41)</f>
        <v>-1.1000000000000001</v>
      </c>
      <c r="AF41" s="19">
        <v>-1.2</v>
      </c>
      <c r="AG41" s="19">
        <f>-2.2-AF41</f>
        <v>-1.0000000000000002</v>
      </c>
      <c r="AH41" s="19">
        <f>-3.3-AF41-AG41</f>
        <v>-1.0999999999999994</v>
      </c>
      <c r="AI41" s="19">
        <f>-4.9-AG41-AH41-AF41</f>
        <v>-1.6000000000000008</v>
      </c>
      <c r="AJ41" s="19">
        <v>-1</v>
      </c>
      <c r="AK41" s="19">
        <f>-2-AJ41</f>
        <v>-1</v>
      </c>
      <c r="AL41" s="19">
        <f>-4.8-AJ41-AK41</f>
        <v>-2.8</v>
      </c>
      <c r="AM41" s="19">
        <f>-6.6-AJ41-AK41-AL41</f>
        <v>-1.7999999999999998</v>
      </c>
      <c r="AN41" s="19">
        <v>-1.7</v>
      </c>
      <c r="AO41" s="19">
        <f>-4-AN41</f>
        <v>-2.2999999999999998</v>
      </c>
      <c r="AP41" s="41">
        <f>+BS!AP26-BS!AO26</f>
        <v>0</v>
      </c>
      <c r="AQ41" s="41">
        <f>+BS!AQ26-BS!AP26</f>
        <v>0</v>
      </c>
      <c r="AR41" s="41">
        <f>+BS!AR26-BS!AQ26</f>
        <v>0</v>
      </c>
      <c r="AS41" s="41">
        <f>+BS!AS26-BS!AR26</f>
        <v>0</v>
      </c>
      <c r="AT41" s="41">
        <f>+BS!AT26-BS!AS26</f>
        <v>0</v>
      </c>
      <c r="AU41" s="41">
        <f>+BS!AU26-BS!AT26</f>
        <v>0</v>
      </c>
      <c r="AV41" s="41">
        <f>+BS!AV26-BS!AU26</f>
        <v>0</v>
      </c>
      <c r="AW41" s="41">
        <f>+BS!AW26-BS!AV26</f>
        <v>0</v>
      </c>
      <c r="AX41" s="41">
        <f>+BS!AX26-BS!AW26</f>
        <v>0</v>
      </c>
      <c r="AY41" s="41">
        <f>+BS!AY26-BS!AX26</f>
        <v>0</v>
      </c>
      <c r="AZ41" s="6"/>
    </row>
    <row r="42" spans="2:52">
      <c r="B42" t="s">
        <v>147</v>
      </c>
      <c r="G42" s="6">
        <f t="shared" si="39"/>
        <v>-121.69499963</v>
      </c>
      <c r="H42" s="6">
        <f t="shared" si="40"/>
        <v>-4.891</v>
      </c>
      <c r="I42" s="6">
        <f t="shared" si="41"/>
        <v>0</v>
      </c>
      <c r="J42" s="6">
        <f t="shared" si="42"/>
        <v>0</v>
      </c>
      <c r="K42" s="6">
        <f t="shared" si="43"/>
        <v>0</v>
      </c>
      <c r="L42" s="6">
        <f t="shared" si="44"/>
        <v>0</v>
      </c>
      <c r="M42" s="6">
        <f t="shared" si="45"/>
        <v>0</v>
      </c>
      <c r="N42" s="6">
        <f t="shared" si="46"/>
        <v>0</v>
      </c>
      <c r="O42" s="40"/>
      <c r="T42" s="19">
        <v>-82.507999999999996</v>
      </c>
      <c r="U42" s="19">
        <v>-23.82399998</v>
      </c>
      <c r="V42" s="19">
        <v>-15.20099999</v>
      </c>
      <c r="W42" s="19">
        <v>-0.16199966000000005</v>
      </c>
      <c r="X42" s="19">
        <v>-0.18357474999999998</v>
      </c>
      <c r="Y42" s="19">
        <v>-1.5125447799999998</v>
      </c>
      <c r="Z42" s="19">
        <v>0</v>
      </c>
      <c r="AA42" s="51">
        <f>-4.891-SUM(X42:Z42)</f>
        <v>-3.1948804700000002</v>
      </c>
      <c r="AB42" s="19"/>
      <c r="AC42" s="19"/>
      <c r="AD42" s="19"/>
      <c r="AE42" s="19"/>
      <c r="AF42" s="19"/>
      <c r="AG42" s="19"/>
      <c r="AH42" s="19"/>
      <c r="AI42" s="19"/>
      <c r="AJ42" s="19"/>
      <c r="AK42" s="19"/>
      <c r="AL42" s="19"/>
      <c r="AM42" s="19"/>
      <c r="AN42" s="19"/>
      <c r="AO42" s="19"/>
      <c r="AP42" s="19">
        <v>0</v>
      </c>
      <c r="AQ42" s="19">
        <v>0</v>
      </c>
      <c r="AR42" s="19">
        <v>0</v>
      </c>
      <c r="AS42" s="19">
        <v>0</v>
      </c>
      <c r="AT42" s="19">
        <v>0</v>
      </c>
      <c r="AU42" s="19">
        <v>0</v>
      </c>
      <c r="AV42" s="19">
        <v>0</v>
      </c>
      <c r="AW42" s="19">
        <v>0</v>
      </c>
      <c r="AX42" s="19">
        <v>0</v>
      </c>
      <c r="AY42" s="19">
        <v>0</v>
      </c>
      <c r="AZ42" s="6"/>
    </row>
    <row r="43" spans="2:52">
      <c r="B43" t="s">
        <v>148</v>
      </c>
      <c r="G43" s="6">
        <f t="shared" si="39"/>
        <v>-55.482219000000001</v>
      </c>
      <c r="H43" s="6">
        <f t="shared" si="40"/>
        <v>-0.13600000000000012</v>
      </c>
      <c r="I43" s="6">
        <f t="shared" si="41"/>
        <v>-86.8</v>
      </c>
      <c r="J43" s="6">
        <f t="shared" si="42"/>
        <v>3.7</v>
      </c>
      <c r="K43" s="6">
        <f t="shared" si="43"/>
        <v>-39.099999999999994</v>
      </c>
      <c r="L43" s="6">
        <f t="shared" si="44"/>
        <v>-6</v>
      </c>
      <c r="M43" s="6">
        <f t="shared" si="45"/>
        <v>0</v>
      </c>
      <c r="N43" s="6">
        <f t="shared" si="46"/>
        <v>0</v>
      </c>
      <c r="O43" s="40"/>
      <c r="T43" s="19">
        <v>-47.299219000000001</v>
      </c>
      <c r="U43" s="19">
        <v>12.193</v>
      </c>
      <c r="V43" s="19">
        <v>4.0250000000000004</v>
      </c>
      <c r="W43" s="19">
        <v>-24.401</v>
      </c>
      <c r="X43" s="19">
        <v>0.62094318999999998</v>
      </c>
      <c r="Y43" s="19">
        <v>-2.9878724199999924</v>
      </c>
      <c r="Z43" s="19">
        <v>-0.77109153999999969</v>
      </c>
      <c r="AA43" s="51">
        <f>-0.136-SUM(X43:Z43)</f>
        <v>3.0020207699999917</v>
      </c>
      <c r="AB43" s="19"/>
      <c r="AC43" s="19"/>
      <c r="AD43" s="19">
        <f>-62.6-18.8-26.5-AC43-AB43</f>
        <v>-107.9</v>
      </c>
      <c r="AE43" s="19">
        <f>-62.6-24.2-SUM(AB43:AD43)</f>
        <v>21.100000000000009</v>
      </c>
      <c r="AF43" s="19">
        <v>7.9</v>
      </c>
      <c r="AG43" s="19">
        <f>7.9-0.4-AF43</f>
        <v>-0.40000000000000036</v>
      </c>
      <c r="AH43" s="19">
        <f>-2.9+7.9-AF43-AG43</f>
        <v>-2.5</v>
      </c>
      <c r="AI43" s="19">
        <f>-4.2+7.9-AG43-AH43-AF43</f>
        <v>-1.2999999999999998</v>
      </c>
      <c r="AJ43" s="19">
        <v>-0.7</v>
      </c>
      <c r="AK43" s="19">
        <f>-0.7-AJ43</f>
        <v>0</v>
      </c>
      <c r="AL43" s="19">
        <f>-29-AJ43-AK43</f>
        <v>-28.3</v>
      </c>
      <c r="AM43" s="19">
        <f>-35.4-3.7-AJ43-AK43-AL43</f>
        <v>-10.099999999999998</v>
      </c>
      <c r="AN43" s="19">
        <f>-3.4-1.3</f>
        <v>-4.7</v>
      </c>
      <c r="AO43" s="19">
        <f>-3.4-2.6-AN43</f>
        <v>-1.2999999999999998</v>
      </c>
      <c r="AP43" s="19">
        <v>0</v>
      </c>
      <c r="AQ43" s="19">
        <v>0</v>
      </c>
      <c r="AR43" s="19">
        <v>0</v>
      </c>
      <c r="AS43" s="19">
        <v>0</v>
      </c>
      <c r="AT43" s="19">
        <v>0</v>
      </c>
      <c r="AU43" s="19">
        <v>0</v>
      </c>
      <c r="AV43" s="19">
        <v>0</v>
      </c>
      <c r="AW43" s="19">
        <v>0</v>
      </c>
      <c r="AX43" s="19">
        <v>0</v>
      </c>
      <c r="AY43" s="19">
        <v>0</v>
      </c>
      <c r="AZ43" s="6"/>
    </row>
    <row r="44" spans="2:52">
      <c r="B44" s="7" t="s">
        <v>149</v>
      </c>
      <c r="G44" s="6">
        <f t="shared" si="39"/>
        <v>2329.6644283263322</v>
      </c>
      <c r="H44" s="6">
        <f t="shared" si="40"/>
        <v>392.71099999999996</v>
      </c>
      <c r="I44" s="6">
        <f t="shared" si="41"/>
        <v>795.7</v>
      </c>
      <c r="J44" s="6">
        <f t="shared" si="42"/>
        <v>291.7</v>
      </c>
      <c r="K44" s="6">
        <f t="shared" si="43"/>
        <v>1411.3</v>
      </c>
      <c r="L44" s="6">
        <f t="shared" ca="1" si="44"/>
        <v>-20.212376085171286</v>
      </c>
      <c r="M44" s="6">
        <f t="shared" ca="1" si="45"/>
        <v>-14.804256919246654</v>
      </c>
      <c r="N44" s="6">
        <f t="shared" ca="1" si="46"/>
        <v>-15.543718198659008</v>
      </c>
      <c r="O44" s="40"/>
      <c r="T44" s="6">
        <f t="shared" ref="T44:Z44" si="47">SUM(T38:T43)</f>
        <v>2376.275945079959</v>
      </c>
      <c r="U44" s="6">
        <f t="shared" si="47"/>
        <v>-22.770680292145499</v>
      </c>
      <c r="V44" s="6">
        <f t="shared" si="47"/>
        <v>-17.26732096564681</v>
      </c>
      <c r="W44" s="6">
        <f t="shared" si="47"/>
        <v>-6.5735154958343927</v>
      </c>
      <c r="X44" s="6">
        <f t="shared" si="47"/>
        <v>-5.5698901439272888</v>
      </c>
      <c r="Y44" s="6">
        <f t="shared" si="47"/>
        <v>138.52315191383923</v>
      </c>
      <c r="Z44" s="6">
        <f t="shared" si="47"/>
        <v>-0.51938885723506489</v>
      </c>
      <c r="AA44" s="6">
        <f t="shared" ref="AA44:AF44" si="48">SUM(AA38:AA43)</f>
        <v>260.27712708732309</v>
      </c>
      <c r="AB44" s="6">
        <f t="shared" si="48"/>
        <v>-5.8</v>
      </c>
      <c r="AC44" s="6">
        <f t="shared" si="48"/>
        <v>3.0000000000000226</v>
      </c>
      <c r="AD44" s="6">
        <f t="shared" si="48"/>
        <v>803.7</v>
      </c>
      <c r="AE44" s="6">
        <f t="shared" si="48"/>
        <v>-5.2000000000000384</v>
      </c>
      <c r="AF44" s="6">
        <f t="shared" si="48"/>
        <v>2.6000000000000005</v>
      </c>
      <c r="AG44" s="6">
        <f t="shared" ref="AG44:AL44" si="49">SUM(AG38:AG43)</f>
        <v>-23.5</v>
      </c>
      <c r="AH44" s="6">
        <f t="shared" si="49"/>
        <v>323.3</v>
      </c>
      <c r="AI44" s="6">
        <f t="shared" si="49"/>
        <v>-10.70000000000007</v>
      </c>
      <c r="AJ44" s="6">
        <f t="shared" si="49"/>
        <v>-1.7</v>
      </c>
      <c r="AK44" s="6">
        <f t="shared" si="49"/>
        <v>-1</v>
      </c>
      <c r="AL44" s="6">
        <f t="shared" si="49"/>
        <v>1425.3000000000002</v>
      </c>
      <c r="AM44" s="6">
        <f t="shared" ref="AM44:AN44" si="50">SUM(AM38:AM43)</f>
        <v>-11.30000000000009</v>
      </c>
      <c r="AN44" s="6">
        <f t="shared" si="50"/>
        <v>-5.4999999999999662</v>
      </c>
      <c r="AO44" s="6">
        <f t="shared" ref="AO44" si="51">SUM(AO38:AO43)</f>
        <v>-4.900000000000011</v>
      </c>
      <c r="AP44" s="6">
        <f t="shared" ref="AP44:AY44" ca="1" si="52">SUM(AP38:AP43)</f>
        <v>-6.2224004250783764</v>
      </c>
      <c r="AQ44" s="6">
        <f t="shared" ca="1" si="52"/>
        <v>-3.5899756600929322</v>
      </c>
      <c r="AR44" s="6">
        <f t="shared" ca="1" si="52"/>
        <v>-3.6338320118102274</v>
      </c>
      <c r="AS44" s="6">
        <f t="shared" ca="1" si="52"/>
        <v>-3.6782633540060488</v>
      </c>
      <c r="AT44" s="6">
        <f t="shared" ca="1" si="52"/>
        <v>-3.7232778338166099</v>
      </c>
      <c r="AU44" s="6">
        <f t="shared" ca="1" si="52"/>
        <v>-3.7688837196137683</v>
      </c>
      <c r="AV44" s="6">
        <f t="shared" ca="1" si="52"/>
        <v>-3.8150894029022311</v>
      </c>
      <c r="AW44" s="6">
        <f t="shared" ca="1" si="52"/>
        <v>-3.8619034002331318</v>
      </c>
      <c r="AX44" s="6">
        <f t="shared" ca="1" si="52"/>
        <v>-3.9093343551849102</v>
      </c>
      <c r="AY44" s="6">
        <f t="shared" ca="1" si="52"/>
        <v>-3.9573910403387345</v>
      </c>
      <c r="AZ44" s="6"/>
    </row>
    <row r="45" spans="2:52">
      <c r="O45" s="40"/>
      <c r="T45" s="6"/>
      <c r="U45" s="6"/>
      <c r="V45" s="6"/>
      <c r="W45" s="6"/>
      <c r="X45" s="6"/>
      <c r="Y45" s="6"/>
      <c r="Z45" s="6"/>
      <c r="AA45" s="6"/>
      <c r="AB45" s="6"/>
      <c r="AC45" s="6"/>
      <c r="AD45" s="6"/>
      <c r="AE45" s="6"/>
      <c r="AF45" s="6"/>
      <c r="AG45" s="6"/>
      <c r="AH45" s="6"/>
      <c r="AI45" s="6"/>
      <c r="AJ45" s="6"/>
      <c r="AK45" s="6"/>
      <c r="AL45" s="6"/>
      <c r="AM45" s="6"/>
      <c r="AN45" s="6"/>
      <c r="AO45" s="6"/>
      <c r="AP45" s="6"/>
      <c r="AQ45" s="6"/>
      <c r="AR45" s="6"/>
      <c r="AS45" s="6"/>
      <c r="AT45" s="6"/>
      <c r="AU45" s="6"/>
      <c r="AV45" s="6"/>
      <c r="AW45" s="6"/>
      <c r="AX45" s="6"/>
      <c r="AY45" s="6"/>
      <c r="AZ45" s="6"/>
    </row>
    <row r="46" spans="2:52">
      <c r="O46" s="40"/>
      <c r="T46" s="6"/>
      <c r="U46" s="6"/>
      <c r="V46" s="6"/>
      <c r="W46" s="6"/>
      <c r="X46" s="6"/>
      <c r="Y46" s="6"/>
      <c r="Z46" s="6"/>
      <c r="AA46" s="6"/>
      <c r="AB46" s="6"/>
      <c r="AC46" s="6"/>
      <c r="AD46" s="6"/>
      <c r="AE46" s="6"/>
      <c r="AF46" s="6"/>
      <c r="AG46" s="6"/>
      <c r="AH46" s="6"/>
      <c r="AI46" s="6"/>
      <c r="AJ46" s="6"/>
      <c r="AK46" s="6"/>
      <c r="AL46" s="6"/>
      <c r="AM46" s="6"/>
      <c r="AN46" s="6"/>
      <c r="AO46" s="6"/>
      <c r="AP46" s="6"/>
      <c r="AQ46" s="6"/>
      <c r="AR46" s="6"/>
      <c r="AS46" s="6"/>
      <c r="AT46" s="6"/>
      <c r="AU46" s="6"/>
      <c r="AV46" s="6"/>
      <c r="AW46" s="6"/>
      <c r="AX46" s="6"/>
      <c r="AY46" s="6"/>
      <c r="AZ46" s="6"/>
    </row>
    <row r="47" spans="2:52">
      <c r="B47" t="s">
        <v>150</v>
      </c>
      <c r="G47" s="6">
        <f>+SUM(T47:W47)</f>
        <v>3.616272972012136</v>
      </c>
      <c r="H47" s="6">
        <f>+SUM(X47:AA47)</f>
        <v>3.1720000000000002</v>
      </c>
      <c r="I47" s="6">
        <f>+SUM(AB47:AE47)</f>
        <v>0</v>
      </c>
      <c r="J47" s="6">
        <f>+SUM(AF47:AI47)</f>
        <v>0</v>
      </c>
      <c r="K47" s="6">
        <f>+SUM(AJ47:AM47)</f>
        <v>0</v>
      </c>
      <c r="L47" s="6">
        <f>+SUM(AN47:AQ47)</f>
        <v>0</v>
      </c>
      <c r="M47" s="6">
        <f>+SUM(AR47:AU47)</f>
        <v>0</v>
      </c>
      <c r="N47" s="6">
        <f>+SUM(AV47:AY47)</f>
        <v>0</v>
      </c>
      <c r="O47" s="40"/>
      <c r="T47" s="19">
        <v>3.6162729095021522</v>
      </c>
      <c r="U47" s="19">
        <v>6.2509983777999881E-8</v>
      </c>
      <c r="V47" s="19">
        <v>0</v>
      </c>
      <c r="W47" s="19">
        <v>0</v>
      </c>
      <c r="X47" s="19">
        <v>3.616272972012136</v>
      </c>
      <c r="Y47" s="19">
        <v>0</v>
      </c>
      <c r="Z47" s="19">
        <v>0</v>
      </c>
      <c r="AA47" s="34">
        <f>3.172-SUM(X47:Z47)</f>
        <v>-0.44427297201213589</v>
      </c>
      <c r="AB47" s="19"/>
      <c r="AC47" s="19"/>
      <c r="AD47" s="19"/>
      <c r="AE47" s="19"/>
      <c r="AF47" s="19"/>
      <c r="AG47" s="19"/>
      <c r="AH47" s="19"/>
      <c r="AI47" s="19"/>
      <c r="AJ47" s="19"/>
      <c r="AK47" s="19"/>
      <c r="AL47" s="19"/>
      <c r="AM47" s="19"/>
      <c r="AN47" s="19"/>
      <c r="AO47" s="19"/>
      <c r="AP47" s="19">
        <v>0</v>
      </c>
      <c r="AQ47" s="19">
        <v>0</v>
      </c>
      <c r="AR47" s="19">
        <v>0</v>
      </c>
      <c r="AS47" s="19">
        <v>0</v>
      </c>
      <c r="AT47" s="19">
        <v>0</v>
      </c>
      <c r="AU47" s="19">
        <v>0</v>
      </c>
      <c r="AV47" s="19">
        <v>0</v>
      </c>
      <c r="AW47" s="19">
        <v>0</v>
      </c>
      <c r="AX47" s="19">
        <v>0</v>
      </c>
      <c r="AY47" s="19">
        <v>0</v>
      </c>
      <c r="AZ47" s="6"/>
    </row>
    <row r="48" spans="2:52">
      <c r="B48" t="s">
        <v>151</v>
      </c>
      <c r="G48" s="6">
        <f>+SUM(T48:W48)</f>
        <v>-0.61756610166957993</v>
      </c>
      <c r="H48" s="6">
        <f>+SUM(X48:AA48)</f>
        <v>1.0129999999999999</v>
      </c>
      <c r="I48" s="6">
        <f>+SUM(AB48:AE48)</f>
        <v>-3.8</v>
      </c>
      <c r="J48" s="6">
        <f>+SUM(AF48:AI48)</f>
        <v>-2</v>
      </c>
      <c r="K48" s="6">
        <f>+SUM(AJ48:AM48)</f>
        <v>-0.79999999999999982</v>
      </c>
      <c r="L48" s="6">
        <f>+SUM(AN48:AQ48)</f>
        <v>1</v>
      </c>
      <c r="M48" s="6">
        <f>+SUM(AR48:AU48)</f>
        <v>0</v>
      </c>
      <c r="N48" s="6">
        <f>+SUM(AV48:AY48)</f>
        <v>0</v>
      </c>
      <c r="O48" s="40"/>
      <c r="T48" s="19">
        <v>-6.533258640757901E-2</v>
      </c>
      <c r="U48" s="19">
        <v>-7.3892256492000791E-2</v>
      </c>
      <c r="V48" s="19">
        <v>-0.75658013990899919</v>
      </c>
      <c r="W48" s="19">
        <v>0.27823888113899903</v>
      </c>
      <c r="X48" s="19">
        <v>0.12426390065273875</v>
      </c>
      <c r="Y48" s="19">
        <v>0.10204529931874899</v>
      </c>
      <c r="Z48" s="19">
        <v>0.25103411480919346</v>
      </c>
      <c r="AA48" s="34">
        <f>1.013-SUM(X48:Z48)</f>
        <v>0.53565668521931875</v>
      </c>
      <c r="AB48" s="19">
        <v>-0.7</v>
      </c>
      <c r="AC48" s="19">
        <f>-1.6-AB48</f>
        <v>-0.90000000000000013</v>
      </c>
      <c r="AD48" s="19">
        <f>-2.8-AC48-AB48</f>
        <v>-1.1999999999999997</v>
      </c>
      <c r="AE48" s="19">
        <f>-3.8-SUM(AB48:AD48)</f>
        <v>-1</v>
      </c>
      <c r="AF48" s="19">
        <v>-1.2</v>
      </c>
      <c r="AG48" s="19">
        <f>-3.3-AF48</f>
        <v>-2.0999999999999996</v>
      </c>
      <c r="AH48" s="19">
        <f>0.1-AF48-AG48</f>
        <v>3.3999999999999995</v>
      </c>
      <c r="AI48" s="19">
        <f>-2-AG48-AH48-AF48</f>
        <v>-2.0999999999999996</v>
      </c>
      <c r="AJ48" s="19">
        <v>-2</v>
      </c>
      <c r="AK48" s="19">
        <f>-4.8-AJ48</f>
        <v>-2.8</v>
      </c>
      <c r="AL48" s="19">
        <f>-4.3-AJ48-AK48</f>
        <v>0.5</v>
      </c>
      <c r="AM48" s="19">
        <f>-0.8-AJ48-AK48-AL48</f>
        <v>3.5</v>
      </c>
      <c r="AN48" s="19">
        <v>0.6</v>
      </c>
      <c r="AO48" s="19">
        <f>1-AN48</f>
        <v>0.4</v>
      </c>
      <c r="AP48" s="19">
        <v>0</v>
      </c>
      <c r="AQ48" s="19">
        <v>0</v>
      </c>
      <c r="AR48" s="19">
        <v>0</v>
      </c>
      <c r="AS48" s="19">
        <v>0</v>
      </c>
      <c r="AT48" s="19">
        <v>0</v>
      </c>
      <c r="AU48" s="19">
        <v>0</v>
      </c>
      <c r="AV48" s="19">
        <v>0</v>
      </c>
      <c r="AW48" s="19">
        <v>0</v>
      </c>
      <c r="AX48" s="19">
        <v>0</v>
      </c>
      <c r="AY48" s="19">
        <v>0</v>
      </c>
      <c r="AZ48" s="6"/>
    </row>
    <row r="49" spans="1:84">
      <c r="O49" s="40"/>
      <c r="T49" s="6"/>
      <c r="U49" s="6"/>
      <c r="V49" s="6"/>
      <c r="W49" s="6"/>
      <c r="X49" s="6"/>
      <c r="Y49" s="6"/>
      <c r="Z49" s="6"/>
      <c r="AA49" s="6"/>
      <c r="AB49" s="6"/>
      <c r="AC49" s="6"/>
      <c r="AD49" s="6"/>
      <c r="AE49" s="6"/>
      <c r="AF49" s="6"/>
      <c r="AG49" s="6"/>
      <c r="AH49" s="6"/>
      <c r="AI49" s="6"/>
      <c r="AJ49" s="6"/>
      <c r="AK49" s="6"/>
      <c r="AL49" s="6"/>
      <c r="AM49" s="6"/>
      <c r="AN49" s="6"/>
      <c r="AO49" s="6"/>
      <c r="AP49" s="6"/>
      <c r="AQ49" s="6"/>
      <c r="AR49" s="6"/>
      <c r="AS49" s="6"/>
      <c r="AT49" s="6"/>
      <c r="AU49" s="6"/>
      <c r="AV49" s="6"/>
      <c r="AW49" s="6"/>
      <c r="AX49" s="6"/>
      <c r="AY49" s="6"/>
      <c r="AZ49" s="6"/>
    </row>
    <row r="50" spans="1:84">
      <c r="B50" t="s">
        <v>152</v>
      </c>
      <c r="G50" s="6">
        <f>+SUM(T50:W50)</f>
        <v>-54.183232859475666</v>
      </c>
      <c r="H50" s="6">
        <f>+SUM(X50:AA50)</f>
        <v>209.28199999999987</v>
      </c>
      <c r="I50" s="6">
        <f>+SUM(AB50:AE50)</f>
        <v>11.199999999999925</v>
      </c>
      <c r="J50" s="6">
        <f>+SUM(AF50:AI50)</f>
        <v>-137.90000000000003</v>
      </c>
      <c r="K50" s="6">
        <f>+SUM(AJ50:AM50)</f>
        <v>50.000000000000043</v>
      </c>
      <c r="L50" s="6">
        <f ca="1">+SUM(AN50:AQ50)</f>
        <v>80.93511914250611</v>
      </c>
      <c r="M50" s="6">
        <f ca="1">+SUM(AR50:AU50)</f>
        <v>145.84635245045524</v>
      </c>
      <c r="N50" s="6">
        <f ca="1">+SUM(AV50:AY50)</f>
        <v>279.36203748402181</v>
      </c>
      <c r="O50" s="40"/>
      <c r="T50" s="6">
        <f t="shared" ref="T50:AA50" si="53">+T29+T35+T44+T47+T48</f>
        <v>74.861204577333552</v>
      </c>
      <c r="U50" s="6">
        <f t="shared" si="53"/>
        <v>-121.47736221450134</v>
      </c>
      <c r="V50" s="6">
        <f t="shared" si="53"/>
        <v>-29.233785041444918</v>
      </c>
      <c r="W50" s="6">
        <f t="shared" si="53"/>
        <v>21.666709819137044</v>
      </c>
      <c r="X50" s="6">
        <f t="shared" si="53"/>
        <v>11.625278991442705</v>
      </c>
      <c r="Y50" s="6">
        <f t="shared" si="53"/>
        <v>109.43659107509464</v>
      </c>
      <c r="Z50" s="6">
        <f t="shared" si="53"/>
        <v>39.741236074525787</v>
      </c>
      <c r="AA50" s="6">
        <f t="shared" si="53"/>
        <v>48.478893858936701</v>
      </c>
      <c r="AB50" s="6">
        <f t="shared" ref="AB50:AG50" si="54">+AB29+AB35+AB44+AB47+AB48</f>
        <v>-130.10000000000002</v>
      </c>
      <c r="AC50" s="6">
        <f t="shared" si="54"/>
        <v>-3.7000000000000171</v>
      </c>
      <c r="AD50" s="6">
        <f t="shared" si="54"/>
        <v>110.09999999999995</v>
      </c>
      <c r="AE50" s="6">
        <f t="shared" si="54"/>
        <v>34.900000000000013</v>
      </c>
      <c r="AF50" s="6">
        <f t="shared" si="54"/>
        <v>37.100000000000016</v>
      </c>
      <c r="AG50" s="6">
        <f t="shared" si="54"/>
        <v>-169.49999999999997</v>
      </c>
      <c r="AH50" s="6">
        <f t="shared" ref="AH50:AM50" si="55">+AH29+AH35+AH44+AH47+AH48</f>
        <v>38.999999999999964</v>
      </c>
      <c r="AI50" s="6">
        <f t="shared" si="55"/>
        <v>-44.500000000000064</v>
      </c>
      <c r="AJ50" s="6">
        <f t="shared" si="55"/>
        <v>22.3</v>
      </c>
      <c r="AK50" s="6">
        <f t="shared" si="55"/>
        <v>-49.000000000000014</v>
      </c>
      <c r="AL50" s="6">
        <f t="shared" si="55"/>
        <v>54.400000000000091</v>
      </c>
      <c r="AM50" s="6">
        <f t="shared" si="55"/>
        <v>22.299999999999962</v>
      </c>
      <c r="AN50" s="6">
        <f t="shared" ref="AN50:AO50" si="56">+AN29+AN35+AN44+AN47+AN48</f>
        <v>70.500000000000085</v>
      </c>
      <c r="AO50" s="6">
        <f t="shared" si="56"/>
        <v>-10.400000000000016</v>
      </c>
      <c r="AP50" s="6">
        <f t="shared" ref="AP50:AY50" ca="1" si="57">+AP29+AP35+AP44+AP47+AP48</f>
        <v>-22.979291553280518</v>
      </c>
      <c r="AQ50" s="6">
        <f t="shared" ca="1" si="57"/>
        <v>43.814410695786563</v>
      </c>
      <c r="AR50" s="6">
        <f t="shared" ca="1" si="57"/>
        <v>31.708977720558238</v>
      </c>
      <c r="AS50" s="6">
        <f t="shared" ca="1" si="57"/>
        <v>34.858031415965968</v>
      </c>
      <c r="AT50" s="6">
        <f t="shared" ca="1" si="57"/>
        <v>38.044083436040211</v>
      </c>
      <c r="AU50" s="6">
        <f t="shared" ca="1" si="57"/>
        <v>41.235259877890826</v>
      </c>
      <c r="AV50" s="6">
        <f t="shared" ca="1" si="57"/>
        <v>44.523691674530795</v>
      </c>
      <c r="AW50" s="6">
        <f t="shared" ca="1" si="57"/>
        <v>47.905428628599566</v>
      </c>
      <c r="AX50" s="6">
        <f t="shared" ca="1" si="57"/>
        <v>51.376551687506918</v>
      </c>
      <c r="AY50" s="6">
        <f t="shared" ca="1" si="57"/>
        <v>135.55636549338453</v>
      </c>
      <c r="AZ50" s="6"/>
    </row>
    <row r="51" spans="1:84" s="3" customFormat="1">
      <c r="B51" s="3" t="s">
        <v>153</v>
      </c>
      <c r="H51" s="51">
        <f>+H53-H50</f>
        <v>88.141000000000133</v>
      </c>
      <c r="I51" s="40">
        <f t="shared" ref="I51:N51" si="58">+H53</f>
        <v>297.423</v>
      </c>
      <c r="J51" s="40">
        <f t="shared" si="58"/>
        <v>308.59999999999997</v>
      </c>
      <c r="K51" s="40">
        <f t="shared" si="58"/>
        <v>170.69999999999993</v>
      </c>
      <c r="L51" s="40">
        <f t="shared" si="58"/>
        <v>220.7</v>
      </c>
      <c r="M51" s="40">
        <f t="shared" ca="1" si="58"/>
        <v>301.63511914250603</v>
      </c>
      <c r="N51" s="40">
        <f t="shared" ca="1" si="58"/>
        <v>447.48147159296127</v>
      </c>
      <c r="O51" s="40"/>
      <c r="T51" s="50">
        <v>149.12560052330548</v>
      </c>
      <c r="U51" s="50">
        <v>221.942483676151</v>
      </c>
      <c r="V51" s="40">
        <f>+U53</f>
        <v>99.439509780891996</v>
      </c>
      <c r="W51" s="40">
        <f>+V53</f>
        <v>70.177172818441008</v>
      </c>
      <c r="X51" s="40">
        <f>+W53</f>
        <v>91.313012048752995</v>
      </c>
      <c r="Y51" s="40">
        <f>+X53</f>
        <v>97.448272404297995</v>
      </c>
      <c r="Z51" s="40">
        <f>+Y53</f>
        <v>206.75864977252002</v>
      </c>
      <c r="AA51" s="40">
        <f t="shared" ref="AA51:AY51" si="59">+Z53</f>
        <v>254.607473447345</v>
      </c>
      <c r="AB51" s="40">
        <f t="shared" si="59"/>
        <v>297.423</v>
      </c>
      <c r="AC51" s="40">
        <f t="shared" si="59"/>
        <v>167.3</v>
      </c>
      <c r="AD51" s="40">
        <f t="shared" si="59"/>
        <v>163.6</v>
      </c>
      <c r="AE51" s="40">
        <f t="shared" si="59"/>
        <v>273.69999999999993</v>
      </c>
      <c r="AF51" s="40">
        <f t="shared" si="59"/>
        <v>308.59999999999997</v>
      </c>
      <c r="AG51" s="40">
        <f t="shared" si="59"/>
        <v>345.7</v>
      </c>
      <c r="AH51" s="40">
        <f t="shared" si="59"/>
        <v>176.20000000000002</v>
      </c>
      <c r="AI51" s="40">
        <f t="shared" si="59"/>
        <v>215.2</v>
      </c>
      <c r="AJ51" s="40">
        <f t="shared" si="59"/>
        <v>170.69999999999993</v>
      </c>
      <c r="AK51" s="40">
        <f t="shared" si="59"/>
        <v>192.99999999999994</v>
      </c>
      <c r="AL51" s="40">
        <f t="shared" si="59"/>
        <v>143.99999999999994</v>
      </c>
      <c r="AM51" s="40">
        <f t="shared" si="59"/>
        <v>198.40000000000003</v>
      </c>
      <c r="AN51" s="40">
        <f t="shared" si="59"/>
        <v>220.7</v>
      </c>
      <c r="AO51" s="40">
        <f t="shared" si="59"/>
        <v>291.20000000000005</v>
      </c>
      <c r="AP51" s="40">
        <f t="shared" si="59"/>
        <v>280.8</v>
      </c>
      <c r="AQ51" s="40">
        <f t="shared" ca="1" si="59"/>
        <v>257.82070844671949</v>
      </c>
      <c r="AR51" s="40">
        <f t="shared" ca="1" si="59"/>
        <v>301.63511914250603</v>
      </c>
      <c r="AS51" s="40">
        <f t="shared" ca="1" si="59"/>
        <v>333.34409686306424</v>
      </c>
      <c r="AT51" s="40">
        <f t="shared" ca="1" si="59"/>
        <v>368.20212827903021</v>
      </c>
      <c r="AU51" s="40">
        <f t="shared" ca="1" si="59"/>
        <v>406.24621171507044</v>
      </c>
      <c r="AV51" s="40">
        <f t="shared" ca="1" si="59"/>
        <v>447.48147159296127</v>
      </c>
      <c r="AW51" s="40">
        <f t="shared" ca="1" si="59"/>
        <v>492.00516326749209</v>
      </c>
      <c r="AX51" s="40">
        <f t="shared" ca="1" si="59"/>
        <v>539.91059189609166</v>
      </c>
      <c r="AY51" s="40">
        <f t="shared" ca="1" si="59"/>
        <v>591.28714358359855</v>
      </c>
      <c r="AZ51" s="40"/>
      <c r="CA51"/>
      <c r="CB51"/>
      <c r="CC51"/>
      <c r="CD51"/>
      <c r="CE51"/>
      <c r="CF51"/>
    </row>
    <row r="52" spans="1:84" s="3" customFormat="1" hidden="1" outlineLevel="1">
      <c r="B52" s="3" t="s">
        <v>322</v>
      </c>
      <c r="H52" s="51">
        <f>+SUM(X52:AA52)</f>
        <v>-3.1720120487528263</v>
      </c>
      <c r="I52" s="40"/>
      <c r="J52" s="40"/>
      <c r="K52" s="40"/>
      <c r="L52" s="40"/>
      <c r="M52" s="40"/>
      <c r="N52" s="40"/>
      <c r="O52" s="40"/>
      <c r="T52" s="50"/>
      <c r="U52" s="50"/>
      <c r="V52" s="40"/>
      <c r="W52" s="40"/>
      <c r="X52" s="6">
        <f>+X53-X51-X50</f>
        <v>-5.4900186358977052</v>
      </c>
      <c r="Y52" s="6">
        <f>+Y53-Y51-Y50</f>
        <v>-0.12621370687261901</v>
      </c>
      <c r="Z52" s="6">
        <f>+Z53-Z51-Z50</f>
        <v>8.1075876002991976</v>
      </c>
      <c r="AA52" s="6">
        <f>+AA53-AA51-AA50</f>
        <v>-5.6633673062816996</v>
      </c>
      <c r="AB52" s="40"/>
      <c r="AC52" s="40"/>
      <c r="AD52" s="40"/>
      <c r="AE52" s="40"/>
      <c r="AF52" s="40"/>
      <c r="AG52" s="40"/>
      <c r="AH52" s="40"/>
      <c r="AI52" s="40"/>
      <c r="AJ52" s="40"/>
      <c r="AK52" s="40"/>
      <c r="AL52" s="40"/>
      <c r="AM52" s="40"/>
      <c r="AN52" s="40"/>
      <c r="AO52" s="40"/>
      <c r="AP52" s="40"/>
      <c r="AQ52" s="40"/>
      <c r="AR52" s="40"/>
      <c r="AS52" s="40"/>
      <c r="AT52" s="40"/>
      <c r="AU52" s="40"/>
      <c r="AV52" s="40"/>
      <c r="AW52" s="40"/>
      <c r="AX52" s="40"/>
      <c r="AY52" s="40"/>
      <c r="AZ52" s="40"/>
      <c r="CA52"/>
      <c r="CB52"/>
      <c r="CC52"/>
      <c r="CD52"/>
      <c r="CE52"/>
      <c r="CF52"/>
    </row>
    <row r="53" spans="1:84" s="3" customFormat="1" collapsed="1">
      <c r="B53" s="10" t="s">
        <v>154</v>
      </c>
      <c r="G53" s="40">
        <f>+W53</f>
        <v>91.313012048752995</v>
      </c>
      <c r="H53" s="40">
        <f>+AA53</f>
        <v>297.423</v>
      </c>
      <c r="I53" s="40">
        <f>+AE53</f>
        <v>308.59999999999997</v>
      </c>
      <c r="J53" s="40">
        <f>+AI53</f>
        <v>170.69999999999993</v>
      </c>
      <c r="K53" s="40">
        <f>+AM53</f>
        <v>220.7</v>
      </c>
      <c r="L53" s="40">
        <f ca="1">+AQ53</f>
        <v>301.63511914250603</v>
      </c>
      <c r="M53" s="40">
        <f ca="1">+AU53</f>
        <v>447.48147159296127</v>
      </c>
      <c r="N53" s="40">
        <f ca="1">+AY53</f>
        <v>726.84350907698308</v>
      </c>
      <c r="O53" s="40"/>
      <c r="T53" s="40">
        <f>SUM(T50:T51)</f>
        <v>223.98680510063903</v>
      </c>
      <c r="U53" s="51">
        <v>99.439509780891996</v>
      </c>
      <c r="V53" s="51">
        <v>70.177172818441008</v>
      </c>
      <c r="W53" s="51">
        <v>91.313012048752995</v>
      </c>
      <c r="X53" s="51">
        <v>97.448272404297995</v>
      </c>
      <c r="Y53" s="51">
        <v>206.75864977252002</v>
      </c>
      <c r="Z53" s="51">
        <v>254.607473447345</v>
      </c>
      <c r="AA53" s="51">
        <v>297.423</v>
      </c>
      <c r="AB53" s="51">
        <v>167.3</v>
      </c>
      <c r="AC53" s="100">
        <f t="shared" ref="AC53:AH53" si="60">+SUM(AC50:AC51)</f>
        <v>163.6</v>
      </c>
      <c r="AD53" s="100">
        <f t="shared" si="60"/>
        <v>273.69999999999993</v>
      </c>
      <c r="AE53" s="100">
        <f t="shared" si="60"/>
        <v>308.59999999999997</v>
      </c>
      <c r="AF53" s="100">
        <f t="shared" si="60"/>
        <v>345.7</v>
      </c>
      <c r="AG53" s="100">
        <f t="shared" si="60"/>
        <v>176.20000000000002</v>
      </c>
      <c r="AH53" s="100">
        <f t="shared" si="60"/>
        <v>215.2</v>
      </c>
      <c r="AI53" s="100">
        <f t="shared" ref="AI53:AN53" si="61">+SUM(AI50:AI51)</f>
        <v>170.69999999999993</v>
      </c>
      <c r="AJ53" s="100">
        <f t="shared" si="61"/>
        <v>192.99999999999994</v>
      </c>
      <c r="AK53" s="100">
        <f t="shared" si="61"/>
        <v>143.99999999999994</v>
      </c>
      <c r="AL53" s="100">
        <f t="shared" si="61"/>
        <v>198.40000000000003</v>
      </c>
      <c r="AM53" s="100">
        <f t="shared" si="61"/>
        <v>220.7</v>
      </c>
      <c r="AN53" s="100">
        <f t="shared" si="61"/>
        <v>291.20000000000005</v>
      </c>
      <c r="AO53" s="100">
        <f t="shared" ref="AO53" si="62">+SUM(AO50:AO51)</f>
        <v>280.8</v>
      </c>
      <c r="AP53" s="40">
        <f t="shared" ref="AP53:AY53" ca="1" si="63">SUM(AP50:AP51)</f>
        <v>257.82070844671949</v>
      </c>
      <c r="AQ53" s="40">
        <f t="shared" ca="1" si="63"/>
        <v>301.63511914250603</v>
      </c>
      <c r="AR53" s="40">
        <f t="shared" ca="1" si="63"/>
        <v>333.34409686306424</v>
      </c>
      <c r="AS53" s="40">
        <f t="shared" ca="1" si="63"/>
        <v>368.20212827903021</v>
      </c>
      <c r="AT53" s="40">
        <f t="shared" ca="1" si="63"/>
        <v>406.24621171507044</v>
      </c>
      <c r="AU53" s="40">
        <f t="shared" ca="1" si="63"/>
        <v>447.48147159296127</v>
      </c>
      <c r="AV53" s="40">
        <f t="shared" ca="1" si="63"/>
        <v>492.00516326749209</v>
      </c>
      <c r="AW53" s="40">
        <f t="shared" ca="1" si="63"/>
        <v>539.91059189609166</v>
      </c>
      <c r="AX53" s="40">
        <f t="shared" ca="1" si="63"/>
        <v>591.28714358359855</v>
      </c>
      <c r="AY53" s="40">
        <f t="shared" ca="1" si="63"/>
        <v>726.84350907698308</v>
      </c>
      <c r="AZ53" s="40"/>
      <c r="CA53"/>
      <c r="CB53"/>
      <c r="CC53"/>
      <c r="CD53"/>
      <c r="CE53"/>
      <c r="CF53"/>
    </row>
    <row r="55" spans="1:84" s="1" customFormat="1">
      <c r="A55" s="49" t="s">
        <v>40</v>
      </c>
      <c r="B55" s="27" t="s">
        <v>156</v>
      </c>
      <c r="CA55"/>
      <c r="CB55"/>
      <c r="CC55"/>
      <c r="CD55"/>
      <c r="CE55"/>
      <c r="CF55"/>
    </row>
    <row r="57" spans="1:84">
      <c r="B57" t="s">
        <v>157</v>
      </c>
      <c r="G57" s="6">
        <f>+SUM(T57:W57)</f>
        <v>436.62191159126769</v>
      </c>
      <c r="H57" s="6">
        <f>+SUM(X57:AA57)</f>
        <v>566.48399999999992</v>
      </c>
      <c r="I57" s="6">
        <f>+SUM(AB57:AE57)</f>
        <v>605.4</v>
      </c>
      <c r="J57" s="6">
        <f>+SUM(AF57:AI57)</f>
        <v>714.00000000000011</v>
      </c>
      <c r="K57" s="6">
        <f>+SUM(AJ57:AM57)</f>
        <v>909.80000000000007</v>
      </c>
      <c r="L57" s="6">
        <f ca="1">+SUM(AN57:AQ57)</f>
        <v>989.11631348185824</v>
      </c>
      <c r="M57" s="6">
        <f ca="1">+SUM(AR57:AU57)</f>
        <v>1102.2215554584427</v>
      </c>
      <c r="N57" s="6">
        <f ca="1">+SUM(AV57:AY57)</f>
        <v>1203.0367152818358</v>
      </c>
      <c r="T57" s="6">
        <f>+T29</f>
        <v>118.84680220169824</v>
      </c>
      <c r="U57" s="6">
        <f t="shared" ref="U57:Z57" si="64">+U29</f>
        <v>105.77289710162619</v>
      </c>
      <c r="V57" s="6">
        <f t="shared" si="64"/>
        <v>83.107116064110897</v>
      </c>
      <c r="W57" s="6">
        <f t="shared" si="64"/>
        <v>128.89509622383244</v>
      </c>
      <c r="X57" s="6">
        <f t="shared" si="64"/>
        <v>98.44898111492617</v>
      </c>
      <c r="Y57" s="6">
        <f t="shared" si="64"/>
        <v>153.17050130789363</v>
      </c>
      <c r="Z57" s="6">
        <f t="shared" si="64"/>
        <v>148.5288186010464</v>
      </c>
      <c r="AA57" s="6">
        <f t="shared" ref="AA57:AF57" si="65">+AA29</f>
        <v>166.33569897613367</v>
      </c>
      <c r="AB57" s="6">
        <f t="shared" si="65"/>
        <v>118.19999999999999</v>
      </c>
      <c r="AC57" s="6">
        <f t="shared" si="65"/>
        <v>123.69999999999996</v>
      </c>
      <c r="AD57" s="6">
        <f t="shared" si="65"/>
        <v>168.50000000000003</v>
      </c>
      <c r="AE57" s="6">
        <f t="shared" si="65"/>
        <v>195.00000000000003</v>
      </c>
      <c r="AF57" s="6">
        <f t="shared" si="65"/>
        <v>195.20000000000002</v>
      </c>
      <c r="AG57" s="6">
        <f t="shared" ref="AG57:AL57" si="66">+AG29</f>
        <v>146.20000000000005</v>
      </c>
      <c r="AH57" s="6">
        <f t="shared" si="66"/>
        <v>196.39999999999998</v>
      </c>
      <c r="AI57" s="6">
        <f t="shared" si="66"/>
        <v>176.20000000000005</v>
      </c>
      <c r="AJ57" s="6">
        <f t="shared" si="66"/>
        <v>232.8</v>
      </c>
      <c r="AK57" s="6">
        <f t="shared" si="66"/>
        <v>169.69999999999996</v>
      </c>
      <c r="AL57" s="6">
        <f t="shared" si="66"/>
        <v>262.39999999999998</v>
      </c>
      <c r="AM57" s="6">
        <f t="shared" ref="AM57:AN57" si="67">+AM29</f>
        <v>244.90000000000006</v>
      </c>
      <c r="AN57" s="6">
        <f t="shared" si="67"/>
        <v>268.80000000000007</v>
      </c>
      <c r="AO57" s="6">
        <f t="shared" ref="AO57" si="68">+AO29</f>
        <v>187.7</v>
      </c>
      <c r="AP57" s="6">
        <f t="shared" ref="AP57:AY57" ca="1" si="69">+AP29</f>
        <v>254.96869429438436</v>
      </c>
      <c r="AQ57" s="6">
        <f t="shared" ca="1" si="69"/>
        <v>277.64761918747377</v>
      </c>
      <c r="AR57" s="6">
        <f t="shared" ca="1" si="69"/>
        <v>267.50916241870971</v>
      </c>
      <c r="AS57" s="6">
        <f t="shared" ca="1" si="69"/>
        <v>272.77997300490847</v>
      </c>
      <c r="AT57" s="6">
        <f t="shared" ca="1" si="69"/>
        <v>278.20709794932333</v>
      </c>
      <c r="AU57" s="6">
        <f t="shared" ca="1" si="69"/>
        <v>283.72532208550109</v>
      </c>
      <c r="AV57" s="6">
        <f t="shared" ca="1" si="69"/>
        <v>289.41905767496655</v>
      </c>
      <c r="AW57" s="6">
        <f t="shared" ca="1" si="69"/>
        <v>295.27714973760948</v>
      </c>
      <c r="AX57" s="6">
        <f t="shared" ca="1" si="69"/>
        <v>301.28883580219997</v>
      </c>
      <c r="AY57" s="6">
        <f t="shared" ca="1" si="69"/>
        <v>317.05167206705983</v>
      </c>
    </row>
    <row r="58" spans="1:84">
      <c r="B58" t="s">
        <v>158</v>
      </c>
      <c r="G58" s="6">
        <f>+SUM(T58:W58)</f>
        <v>323.23400002</v>
      </c>
      <c r="H58" s="6">
        <f>+SUM(X58:AA58)</f>
        <v>360.75700000000001</v>
      </c>
      <c r="I58" s="6">
        <f>+SUM(AB58:AE58)</f>
        <v>530.4</v>
      </c>
      <c r="J58" s="6">
        <f>+SUM(AF58:AI58)</f>
        <v>704.10000000000014</v>
      </c>
      <c r="K58" s="6">
        <f>+SUM(AJ58:AM58)</f>
        <v>835.5</v>
      </c>
      <c r="L58" s="6">
        <f ca="1">+SUM(AN58:AQ58)</f>
        <v>832.46881825418075</v>
      </c>
      <c r="M58" s="6">
        <f ca="1">+SUM(AR58:AU58)</f>
        <v>941.57094608874058</v>
      </c>
      <c r="N58" s="6">
        <f ca="1">+SUM(AV58:AY58)</f>
        <v>908.13095959915506</v>
      </c>
      <c r="T58" s="41">
        <f>BS!T69</f>
        <v>66.687000019999999</v>
      </c>
      <c r="U58" s="41">
        <f>BS!U69</f>
        <v>58.91</v>
      </c>
      <c r="V58" s="41">
        <f>BS!V69</f>
        <v>95.73</v>
      </c>
      <c r="W58" s="41">
        <f>BS!W69</f>
        <v>101.907</v>
      </c>
      <c r="X58" s="41">
        <f>BS!X69</f>
        <v>86.671996482221047</v>
      </c>
      <c r="Y58" s="41">
        <f>BS!Y69</f>
        <v>88.276763707906341</v>
      </c>
      <c r="Z58" s="41">
        <f>BS!Z69</f>
        <v>90.922727784094747</v>
      </c>
      <c r="AA58" s="41">
        <f>BS!AA69</f>
        <v>94.885512025777871</v>
      </c>
      <c r="AB58" s="41">
        <f>BS!AB69</f>
        <v>115.3</v>
      </c>
      <c r="AC58" s="41">
        <f>BS!AC69</f>
        <v>129.5</v>
      </c>
      <c r="AD58" s="41">
        <f>BS!AD69</f>
        <v>130.09999999999997</v>
      </c>
      <c r="AE58" s="41">
        <f>BS!AE69</f>
        <v>155.5</v>
      </c>
      <c r="AF58" s="41">
        <f>BS!AF69</f>
        <v>159.19999999999999</v>
      </c>
      <c r="AG58" s="41">
        <f>BS!AG69</f>
        <v>172.40000000000003</v>
      </c>
      <c r="AH58" s="41">
        <f>BS!AH69</f>
        <v>185.10000000000002</v>
      </c>
      <c r="AI58" s="41">
        <f>BS!AI69</f>
        <v>187.40000000000003</v>
      </c>
      <c r="AJ58" s="41">
        <f>BS!AJ69</f>
        <v>208.3</v>
      </c>
      <c r="AK58" s="41">
        <f>BS!AK69</f>
        <v>213.59999999999997</v>
      </c>
      <c r="AL58" s="41">
        <f>BS!AL69</f>
        <v>208.30000000000007</v>
      </c>
      <c r="AM58" s="41">
        <f>BS!AM69</f>
        <v>205.3</v>
      </c>
      <c r="AN58" s="41">
        <f>BS!AN69</f>
        <v>193.4</v>
      </c>
      <c r="AO58" s="41">
        <f>BS!AO69</f>
        <v>193.4</v>
      </c>
      <c r="AP58" s="41">
        <f ca="1">BS!AP69</f>
        <v>215.42558542258649</v>
      </c>
      <c r="AQ58" s="41">
        <f ca="1">BS!AQ69</f>
        <v>230.24323283159427</v>
      </c>
      <c r="AR58" s="41">
        <f ca="1">BS!AR69</f>
        <v>232.16635268634124</v>
      </c>
      <c r="AS58" s="41">
        <f ca="1">BS!AS69</f>
        <v>234.24367823493645</v>
      </c>
      <c r="AT58" s="41">
        <f ca="1">BS!AT69</f>
        <v>236.43973667946651</v>
      </c>
      <c r="AU58" s="41">
        <f ca="1">BS!AU69</f>
        <v>238.7211784879965</v>
      </c>
      <c r="AV58" s="41">
        <f ca="1">BS!AV69</f>
        <v>241.08027659753353</v>
      </c>
      <c r="AW58" s="41">
        <f ca="1">BS!AW69</f>
        <v>243.50981770877678</v>
      </c>
      <c r="AX58" s="41">
        <f ca="1">BS!AX69</f>
        <v>246.00294975950814</v>
      </c>
      <c r="AY58" s="41">
        <f ca="1">BS!AY69</f>
        <v>177.53791553333656</v>
      </c>
    </row>
    <row r="59" spans="1:84">
      <c r="B59" t="s">
        <v>252</v>
      </c>
      <c r="G59" s="6">
        <f>+SUM(T59:W59)</f>
        <v>113.38791157126776</v>
      </c>
      <c r="H59" s="6">
        <f>+SUM(X59:AA59)</f>
        <v>205.72699999999986</v>
      </c>
      <c r="I59" s="6">
        <f>+SUM(AB59:AE59)</f>
        <v>75.000000000000043</v>
      </c>
      <c r="J59" s="6">
        <f>+SUM(AF59:AI59)</f>
        <v>9.9000000000000057</v>
      </c>
      <c r="K59" s="6">
        <f>+SUM(AJ59:AM59)</f>
        <v>74.299999999999955</v>
      </c>
      <c r="L59" s="6">
        <f ca="1">+SUM(AN59:AQ59)</f>
        <v>156.64749522767741</v>
      </c>
      <c r="M59" s="6">
        <f ca="1">+SUM(AR59:AU59)</f>
        <v>160.6506093697019</v>
      </c>
      <c r="N59" s="6">
        <f ca="1">+SUM(AV59:AY59)</f>
        <v>294.90575568268082</v>
      </c>
      <c r="T59" s="6">
        <f>+T57-T58</f>
        <v>52.15980218169824</v>
      </c>
      <c r="U59" s="6">
        <f t="shared" ref="U59:Z59" si="70">+U57-U58</f>
        <v>46.862897101626189</v>
      </c>
      <c r="V59" s="6">
        <f t="shared" si="70"/>
        <v>-12.622883935889107</v>
      </c>
      <c r="W59" s="6">
        <f t="shared" si="70"/>
        <v>26.988096223832443</v>
      </c>
      <c r="X59" s="6">
        <f t="shared" si="70"/>
        <v>11.776984632705123</v>
      </c>
      <c r="Y59" s="6">
        <f t="shared" si="70"/>
        <v>64.89373759998729</v>
      </c>
      <c r="Z59" s="6">
        <f t="shared" si="70"/>
        <v>57.606090816951649</v>
      </c>
      <c r="AA59" s="6">
        <f t="shared" ref="AA59:AF59" si="71">+AA57-AA58</f>
        <v>71.4501869503558</v>
      </c>
      <c r="AB59" s="6">
        <f t="shared" si="71"/>
        <v>2.8999999999999915</v>
      </c>
      <c r="AC59" s="6">
        <f t="shared" si="71"/>
        <v>-5.8000000000000398</v>
      </c>
      <c r="AD59" s="6">
        <f t="shared" si="71"/>
        <v>38.400000000000063</v>
      </c>
      <c r="AE59" s="6">
        <f t="shared" si="71"/>
        <v>39.500000000000028</v>
      </c>
      <c r="AF59" s="6">
        <f t="shared" si="71"/>
        <v>36.000000000000028</v>
      </c>
      <c r="AG59" s="6">
        <f t="shared" ref="AG59:AL59" si="72">+AG57-AG58</f>
        <v>-26.199999999999989</v>
      </c>
      <c r="AH59" s="6">
        <f t="shared" si="72"/>
        <v>11.299999999999955</v>
      </c>
      <c r="AI59" s="6">
        <f t="shared" si="72"/>
        <v>-11.199999999999989</v>
      </c>
      <c r="AJ59" s="6">
        <f t="shared" si="72"/>
        <v>24.5</v>
      </c>
      <c r="AK59" s="6">
        <f t="shared" si="72"/>
        <v>-43.900000000000006</v>
      </c>
      <c r="AL59" s="6">
        <f t="shared" si="72"/>
        <v>54.099999999999909</v>
      </c>
      <c r="AM59" s="6">
        <f t="shared" ref="AM59:AN59" si="73">+AM57-AM58</f>
        <v>39.600000000000051</v>
      </c>
      <c r="AN59" s="6">
        <f t="shared" si="73"/>
        <v>75.400000000000063</v>
      </c>
      <c r="AO59" s="6">
        <f t="shared" ref="AO59" si="74">+AO57-AO58</f>
        <v>-5.7000000000000171</v>
      </c>
      <c r="AP59" s="6">
        <f t="shared" ref="AP59:AY59" ca="1" si="75">+AP57-AP58</f>
        <v>39.54310887179787</v>
      </c>
      <c r="AQ59" s="6">
        <f t="shared" ca="1" si="75"/>
        <v>47.404386355879495</v>
      </c>
      <c r="AR59" s="6">
        <f t="shared" ca="1" si="75"/>
        <v>35.342809732368465</v>
      </c>
      <c r="AS59" s="6">
        <f t="shared" ca="1" si="75"/>
        <v>38.536294769972017</v>
      </c>
      <c r="AT59" s="6">
        <f t="shared" ca="1" si="75"/>
        <v>41.767361269856821</v>
      </c>
      <c r="AU59" s="6">
        <f t="shared" ca="1" si="75"/>
        <v>45.004143597504594</v>
      </c>
      <c r="AV59" s="6">
        <f t="shared" ca="1" si="75"/>
        <v>48.338781077433026</v>
      </c>
      <c r="AW59" s="6">
        <f t="shared" ca="1" si="75"/>
        <v>51.767332028832698</v>
      </c>
      <c r="AX59" s="6">
        <f t="shared" ca="1" si="75"/>
        <v>55.285886042691828</v>
      </c>
      <c r="AY59" s="6">
        <f t="shared" ca="1" si="75"/>
        <v>139.51375653372327</v>
      </c>
    </row>
    <row r="60" spans="1:84">
      <c r="B60" s="7" t="s">
        <v>36</v>
      </c>
      <c r="H60" s="2">
        <f>+H59/G59-1</f>
        <v>0.81436448691176544</v>
      </c>
      <c r="I60" s="2">
        <f t="shared" ref="I60:N60" si="76">+I59/H59-1</f>
        <v>-0.63543919854953357</v>
      </c>
      <c r="J60" s="2">
        <f t="shared" si="76"/>
        <v>-0.86799999999999999</v>
      </c>
      <c r="K60" s="2">
        <f t="shared" si="76"/>
        <v>6.5050505050504963</v>
      </c>
      <c r="L60" s="2">
        <f t="shared" ca="1" si="76"/>
        <v>1.1083108375192126</v>
      </c>
      <c r="M60" s="2">
        <f t="shared" ca="1" si="76"/>
        <v>2.5554919574080737E-2</v>
      </c>
      <c r="N60" s="2">
        <f t="shared" ca="1" si="76"/>
        <v>0.83569646476734083</v>
      </c>
      <c r="T60" s="2"/>
      <c r="U60" s="2"/>
      <c r="V60" s="2"/>
      <c r="W60" s="2"/>
      <c r="X60" s="2">
        <f>+X59/T59-1</f>
        <v>-0.77421339537139933</v>
      </c>
      <c r="Y60" s="2">
        <f t="shared" ref="Y60:AO60" si="77">+Y59/U59-1</f>
        <v>0.38475727309943486</v>
      </c>
      <c r="Z60" s="2">
        <f t="shared" si="77"/>
        <v>-5.5636235831312115</v>
      </c>
      <c r="AA60" s="2">
        <f t="shared" si="77"/>
        <v>1.647470438735879</v>
      </c>
      <c r="AB60" s="2">
        <f t="shared" si="77"/>
        <v>-0.75375700228506848</v>
      </c>
      <c r="AC60" s="2">
        <f t="shared" si="77"/>
        <v>-1.089376883109306</v>
      </c>
      <c r="AD60" s="2">
        <f t="shared" si="77"/>
        <v>-0.33340382144625313</v>
      </c>
      <c r="AE60" s="2">
        <f t="shared" si="77"/>
        <v>-0.44716729674276479</v>
      </c>
      <c r="AF60" s="2">
        <f t="shared" si="77"/>
        <v>11.413793103448322</v>
      </c>
      <c r="AG60" s="2">
        <f t="shared" si="77"/>
        <v>3.5172413793103114</v>
      </c>
      <c r="AH60" s="2">
        <f t="shared" si="77"/>
        <v>-0.70572916666666829</v>
      </c>
      <c r="AI60" s="2">
        <f t="shared" si="77"/>
        <v>-1.2835443037974679</v>
      </c>
      <c r="AJ60" s="2">
        <f t="shared" si="77"/>
        <v>-0.31944444444444497</v>
      </c>
      <c r="AK60" s="2">
        <f t="shared" si="77"/>
        <v>0.67557251908397031</v>
      </c>
      <c r="AL60" s="2">
        <f t="shared" si="77"/>
        <v>3.7876106194690378</v>
      </c>
      <c r="AM60" s="2">
        <f t="shared" si="77"/>
        <v>-4.5357142857142936</v>
      </c>
      <c r="AN60" s="2">
        <f t="shared" si="77"/>
        <v>2.077551020408166</v>
      </c>
      <c r="AO60" s="2">
        <f t="shared" si="77"/>
        <v>-0.87015945330296085</v>
      </c>
      <c r="AP60" s="2">
        <f t="shared" ref="AP60:AY60" ca="1" si="78">+AP59/AL59-1</f>
        <v>-0.26907377316454828</v>
      </c>
      <c r="AQ60" s="2">
        <f t="shared" ca="1" si="78"/>
        <v>0.1970804635323089</v>
      </c>
      <c r="AR60" s="2">
        <f t="shared" ca="1" si="78"/>
        <v>-0.53126247039299157</v>
      </c>
      <c r="AS60" s="2">
        <f t="shared" ca="1" si="78"/>
        <v>-7.760753468416123</v>
      </c>
      <c r="AT60" s="2">
        <f t="shared" ca="1" si="78"/>
        <v>5.6248799386769743E-2</v>
      </c>
      <c r="AU60" s="2">
        <f t="shared" ca="1" si="78"/>
        <v>-5.0633347310004795E-2</v>
      </c>
      <c r="AV60" s="2">
        <f t="shared" ca="1" si="78"/>
        <v>0.36771188944726974</v>
      </c>
      <c r="AW60" s="2">
        <f t="shared" ca="1" si="78"/>
        <v>0.3433396318415769</v>
      </c>
      <c r="AX60" s="2">
        <f t="shared" ca="1" si="78"/>
        <v>0.3236624091594511</v>
      </c>
      <c r="AY60" s="2">
        <f t="shared" ca="1" si="78"/>
        <v>2.1000202510565953</v>
      </c>
    </row>
    <row r="61" spans="1:84">
      <c r="B61" s="7" t="s">
        <v>37</v>
      </c>
      <c r="T61" s="2"/>
      <c r="U61" s="2">
        <f>+U59/T59-1</f>
        <v>-0.10155147946344445</v>
      </c>
      <c r="V61" s="2">
        <f t="shared" ref="V61:AO61" si="79">+V59/U59-1</f>
        <v>-1.2693577374978613</v>
      </c>
      <c r="W61" s="2">
        <f t="shared" si="79"/>
        <v>-3.1380293410684446</v>
      </c>
      <c r="X61" s="2">
        <f t="shared" si="79"/>
        <v>-0.563622993818097</v>
      </c>
      <c r="Y61" s="2">
        <f t="shared" si="79"/>
        <v>4.5102167170852017</v>
      </c>
      <c r="Z61" s="2">
        <f t="shared" si="79"/>
        <v>-0.11230123356366928</v>
      </c>
      <c r="AA61" s="2">
        <f t="shared" si="79"/>
        <v>0.24032347859525771</v>
      </c>
      <c r="AB61" s="2">
        <f t="shared" si="79"/>
        <v>-0.95941228254567146</v>
      </c>
      <c r="AC61" s="2">
        <f t="shared" si="79"/>
        <v>-3.0000000000000195</v>
      </c>
      <c r="AD61" s="2">
        <f t="shared" si="79"/>
        <v>-7.6206896551723791</v>
      </c>
      <c r="AE61" s="2">
        <f t="shared" si="79"/>
        <v>2.8645833333332371E-2</v>
      </c>
      <c r="AF61" s="2">
        <f t="shared" si="79"/>
        <v>-8.8607594936708778E-2</v>
      </c>
      <c r="AG61" s="2">
        <f t="shared" si="79"/>
        <v>-1.727777777777777</v>
      </c>
      <c r="AH61" s="2">
        <f t="shared" si="79"/>
        <v>-1.4312977099236626</v>
      </c>
      <c r="AI61" s="2">
        <f t="shared" si="79"/>
        <v>-1.991150442477879</v>
      </c>
      <c r="AJ61" s="2">
        <f t="shared" si="79"/>
        <v>-3.1875000000000022</v>
      </c>
      <c r="AK61" s="2">
        <f t="shared" si="79"/>
        <v>-2.7918367346938777</v>
      </c>
      <c r="AL61" s="2">
        <f t="shared" si="79"/>
        <v>-2.2323462414578565</v>
      </c>
      <c r="AM61" s="2">
        <f t="shared" si="79"/>
        <v>-0.26802218114602372</v>
      </c>
      <c r="AN61" s="2">
        <f t="shared" si="79"/>
        <v>0.90404040404040309</v>
      </c>
      <c r="AO61" s="2">
        <f t="shared" si="79"/>
        <v>-1.0755968169761274</v>
      </c>
      <c r="AP61" s="2">
        <f t="shared" ref="AP61:AY61" ca="1" si="80">+AP59/AO59-1</f>
        <v>-7.9373875213680263</v>
      </c>
      <c r="AQ61" s="2">
        <f t="shared" ca="1" si="80"/>
        <v>0.19880271704403807</v>
      </c>
      <c r="AR61" s="2">
        <f t="shared" ca="1" si="80"/>
        <v>-0.25444009617508845</v>
      </c>
      <c r="AS61" s="2">
        <f t="shared" ca="1" si="80"/>
        <v>9.0357418150567081E-2</v>
      </c>
      <c r="AT61" s="2">
        <f t="shared" ca="1" si="80"/>
        <v>8.3844762948058316E-2</v>
      </c>
      <c r="AU61" s="2">
        <f t="shared" ca="1" si="80"/>
        <v>7.7495494789222796E-2</v>
      </c>
      <c r="AV61" s="2">
        <f t="shared" ca="1" si="80"/>
        <v>7.4096232332556466E-2</v>
      </c>
      <c r="AW61" s="2">
        <f t="shared" ca="1" si="80"/>
        <v>7.0927542544102051E-2</v>
      </c>
      <c r="AX61" s="2">
        <f t="shared" ca="1" si="80"/>
        <v>6.796861796739706E-2</v>
      </c>
      <c r="AY61" s="2">
        <f t="shared" ca="1" si="80"/>
        <v>1.5234968003586045</v>
      </c>
    </row>
    <row r="63" spans="1:84">
      <c r="B63" t="s">
        <v>69</v>
      </c>
      <c r="D63" s="41">
        <f>IS!D51</f>
        <v>72.854000000000013</v>
      </c>
      <c r="E63" s="41">
        <f>IS!E51</f>
        <v>123.48999999999997</v>
      </c>
      <c r="F63" s="41">
        <f>IS!F51</f>
        <v>187.78599999999994</v>
      </c>
      <c r="G63" s="41">
        <f>IS!G51</f>
        <v>554.42707600667359</v>
      </c>
      <c r="H63" s="41">
        <f>IS!H51</f>
        <v>653.61018672880209</v>
      </c>
      <c r="I63" s="41">
        <f>IS!I51</f>
        <v>782.60000000000014</v>
      </c>
      <c r="J63" s="41">
        <f>IS!J51</f>
        <v>934.9</v>
      </c>
      <c r="K63" s="41">
        <f>IS!K51</f>
        <v>1116.8000000000002</v>
      </c>
      <c r="L63" s="41">
        <f ca="1">IS!L51</f>
        <v>1304.4861798408563</v>
      </c>
      <c r="M63" s="41">
        <f ca="1">IS!M51</f>
        <v>1370.016083933192</v>
      </c>
      <c r="N63" s="41">
        <f ca="1">IS!N51</f>
        <v>1451.1599812439413</v>
      </c>
      <c r="T63" s="41"/>
      <c r="U63" s="41"/>
      <c r="V63" s="41"/>
      <c r="W63" s="41"/>
      <c r="X63" s="41"/>
      <c r="Y63" s="41"/>
      <c r="Z63" s="41"/>
      <c r="AA63" s="41"/>
      <c r="AB63" s="41">
        <f>IS!AB51</f>
        <v>182.99999999999997</v>
      </c>
      <c r="AC63" s="41">
        <f>IS!AC51</f>
        <v>189.70000000000002</v>
      </c>
      <c r="AD63" s="41">
        <f>IS!AD51</f>
        <v>199</v>
      </c>
      <c r="AE63" s="41">
        <f>IS!AE51</f>
        <v>210.90000000000003</v>
      </c>
      <c r="AF63" s="41">
        <f>IS!AF51</f>
        <v>215.39999999999998</v>
      </c>
      <c r="AG63" s="41">
        <f>IS!AG51</f>
        <v>218.90000000000006</v>
      </c>
      <c r="AH63" s="41">
        <f>IS!AH51</f>
        <v>242.79999999999995</v>
      </c>
      <c r="AI63" s="41">
        <f>IS!AI51</f>
        <v>257.79999999999995</v>
      </c>
      <c r="AJ63" s="41">
        <f>IS!AJ51</f>
        <v>260.60000000000002</v>
      </c>
      <c r="AK63" s="41">
        <f>IS!AK51</f>
        <v>263.39999999999992</v>
      </c>
      <c r="AL63" s="41">
        <f>IS!AL51</f>
        <v>282.00000000000006</v>
      </c>
      <c r="AM63" s="41">
        <f>IS!AM51</f>
        <v>310.80000000000007</v>
      </c>
      <c r="AN63" s="41">
        <f>IS!AN51</f>
        <v>316.60000000000002</v>
      </c>
      <c r="AO63" s="41">
        <f>IS!AO51</f>
        <v>329.89999999999992</v>
      </c>
      <c r="AP63" s="41">
        <f ca="1">IS!AP51</f>
        <v>326.94871317149068</v>
      </c>
      <c r="AQ63" s="41">
        <f ca="1">IS!AQ51</f>
        <v>331.03746666936564</v>
      </c>
      <c r="AR63" s="41">
        <f ca="1">IS!AR51</f>
        <v>335.40358115071263</v>
      </c>
      <c r="AS63" s="41">
        <f ca="1">IS!AS51</f>
        <v>340.01440528747918</v>
      </c>
      <c r="AT63" s="41">
        <f ca="1">IS!AT51</f>
        <v>344.82110276408577</v>
      </c>
      <c r="AU63" s="41">
        <f ca="1">IS!AU51</f>
        <v>349.77699473091468</v>
      </c>
      <c r="AV63" s="41">
        <f ca="1">IS!AV51</f>
        <v>354.87209374973708</v>
      </c>
      <c r="AW63" s="41">
        <f ca="1">IS!AW51</f>
        <v>360.09695091398476</v>
      </c>
      <c r="AX63" s="41">
        <f ca="1">IS!AX51</f>
        <v>365.4424473739632</v>
      </c>
      <c r="AY63" s="41">
        <f ca="1">IS!AY51</f>
        <v>370.74848920625618</v>
      </c>
    </row>
    <row r="64" spans="1:84">
      <c r="B64" t="s">
        <v>249</v>
      </c>
      <c r="I64" s="41">
        <f>BS!I75</f>
        <v>381.29999999999995</v>
      </c>
      <c r="J64" s="41">
        <f>BS!J75</f>
        <v>520.10000000000014</v>
      </c>
      <c r="K64" s="41">
        <f>BS!K75</f>
        <v>635</v>
      </c>
      <c r="L64" s="41">
        <f ca="1">BS!L75</f>
        <v>737.7487208380096</v>
      </c>
      <c r="M64" s="41">
        <f ca="1">BS!M75</f>
        <v>761.8402520972835</v>
      </c>
      <c r="N64" s="41">
        <f ca="1">BS!N75</f>
        <v>700.39535435277912</v>
      </c>
      <c r="T64" s="41"/>
      <c r="U64" s="41"/>
      <c r="V64" s="41"/>
      <c r="W64" s="41"/>
      <c r="X64" s="41"/>
      <c r="Y64" s="41"/>
      <c r="Z64" s="41"/>
      <c r="AA64" s="41"/>
      <c r="AB64" s="41">
        <f>BS!AB75</f>
        <v>72.099999999999994</v>
      </c>
      <c r="AC64" s="41">
        <f>BS!AC75</f>
        <v>88.600000000000009</v>
      </c>
      <c r="AD64" s="41">
        <f>BS!AD75</f>
        <v>90.599999999999966</v>
      </c>
      <c r="AE64" s="41">
        <f>BS!AE75</f>
        <v>130</v>
      </c>
      <c r="AF64" s="41">
        <f>BS!AF75</f>
        <v>109.49999999999999</v>
      </c>
      <c r="AG64" s="41">
        <f>BS!AG75</f>
        <v>135.50000000000006</v>
      </c>
      <c r="AH64" s="41">
        <f>BS!AH75</f>
        <v>126.30000000000001</v>
      </c>
      <c r="AI64" s="41">
        <f>BS!AI75</f>
        <v>148.80000000000001</v>
      </c>
      <c r="AJ64" s="41">
        <f>BS!AJ75</f>
        <v>167.4</v>
      </c>
      <c r="AK64" s="41">
        <f>BS!AK75</f>
        <v>170.19999999999996</v>
      </c>
      <c r="AL64" s="41">
        <f>BS!AL75</f>
        <v>135.90000000000009</v>
      </c>
      <c r="AM64" s="41">
        <f>BS!AM75</f>
        <v>161.5</v>
      </c>
      <c r="AN64" s="41">
        <f>BS!AN75</f>
        <v>193.4</v>
      </c>
      <c r="AO64" s="41">
        <f>BS!AO75</f>
        <v>193.4</v>
      </c>
      <c r="AP64" s="41">
        <f ca="1">BS!AP75</f>
        <v>177.45334119938025</v>
      </c>
      <c r="AQ64" s="41">
        <f ca="1">BS!AQ75</f>
        <v>173.49537963862937</v>
      </c>
      <c r="AR64" s="41">
        <f ca="1">BS!AR75</f>
        <v>189.16260313292329</v>
      </c>
      <c r="AS64" s="41">
        <f ca="1">BS!AS75</f>
        <v>189.88537558509398</v>
      </c>
      <c r="AT64" s="41">
        <f ca="1">BS!AT75</f>
        <v>190.82330278435489</v>
      </c>
      <c r="AU64" s="41">
        <f ca="1">BS!AU75</f>
        <v>191.96897059491138</v>
      </c>
      <c r="AV64" s="41">
        <f ca="1">BS!AV75</f>
        <v>193.2327467367414</v>
      </c>
      <c r="AW64" s="41">
        <f ca="1">BS!AW75</f>
        <v>194.6074187315497</v>
      </c>
      <c r="AX64" s="41">
        <f ca="1">BS!AX75</f>
        <v>196.08614238717135</v>
      </c>
      <c r="AY64" s="41">
        <f ca="1">BS!AY75</f>
        <v>116.46904649731664</v>
      </c>
    </row>
    <row r="65" spans="1:84">
      <c r="B65" t="s">
        <v>280</v>
      </c>
      <c r="I65" s="6">
        <f t="shared" ref="I65:N65" si="81">+I63-I64</f>
        <v>401.30000000000018</v>
      </c>
      <c r="J65" s="6">
        <f t="shared" si="81"/>
        <v>414.79999999999984</v>
      </c>
      <c r="K65" s="6">
        <f t="shared" si="81"/>
        <v>481.80000000000018</v>
      </c>
      <c r="L65" s="6">
        <f t="shared" ca="1" si="81"/>
        <v>566.73745900284666</v>
      </c>
      <c r="M65" s="6">
        <f t="shared" ca="1" si="81"/>
        <v>608.17583183590853</v>
      </c>
      <c r="N65" s="6">
        <f t="shared" ca="1" si="81"/>
        <v>750.76462689116215</v>
      </c>
      <c r="T65" s="6"/>
      <c r="U65" s="6"/>
      <c r="V65" s="6"/>
      <c r="W65" s="6"/>
      <c r="X65" s="6"/>
      <c r="Y65" s="6"/>
      <c r="Z65" s="6"/>
      <c r="AA65" s="6"/>
      <c r="AB65" s="6">
        <f t="shared" ref="AB65:AY65" si="82">+AB63-AB64</f>
        <v>110.89999999999998</v>
      </c>
      <c r="AC65" s="6">
        <f t="shared" ref="AC65:AH65" si="83">+AC63-AC64</f>
        <v>101.10000000000001</v>
      </c>
      <c r="AD65" s="6">
        <f t="shared" si="83"/>
        <v>108.40000000000003</v>
      </c>
      <c r="AE65" s="6">
        <f t="shared" si="83"/>
        <v>80.900000000000034</v>
      </c>
      <c r="AF65" s="6">
        <f t="shared" si="83"/>
        <v>105.89999999999999</v>
      </c>
      <c r="AG65" s="6">
        <f t="shared" si="83"/>
        <v>83.4</v>
      </c>
      <c r="AH65" s="6">
        <f t="shared" si="83"/>
        <v>116.49999999999994</v>
      </c>
      <c r="AI65" s="6">
        <f t="shared" ref="AI65:AN65" si="84">+AI63-AI64</f>
        <v>108.99999999999994</v>
      </c>
      <c r="AJ65" s="6">
        <f t="shared" si="84"/>
        <v>93.200000000000017</v>
      </c>
      <c r="AK65" s="6">
        <f t="shared" si="84"/>
        <v>93.19999999999996</v>
      </c>
      <c r="AL65" s="6">
        <f t="shared" si="84"/>
        <v>146.09999999999997</v>
      </c>
      <c r="AM65" s="6">
        <f t="shared" si="84"/>
        <v>149.30000000000007</v>
      </c>
      <c r="AN65" s="6">
        <f t="shared" si="84"/>
        <v>123.20000000000002</v>
      </c>
      <c r="AO65" s="6">
        <f t="shared" ref="AO65" si="85">+AO63-AO64</f>
        <v>136.49999999999991</v>
      </c>
      <c r="AP65" s="6">
        <f t="shared" ca="1" si="82"/>
        <v>149.49537197211043</v>
      </c>
      <c r="AQ65" s="6">
        <f t="shared" ca="1" si="82"/>
        <v>157.54208703073627</v>
      </c>
      <c r="AR65" s="6">
        <f t="shared" ca="1" si="82"/>
        <v>146.24097801778933</v>
      </c>
      <c r="AS65" s="6">
        <f t="shared" ca="1" si="82"/>
        <v>150.1290297023852</v>
      </c>
      <c r="AT65" s="6">
        <f t="shared" ca="1" si="82"/>
        <v>153.99779997973087</v>
      </c>
      <c r="AU65" s="6">
        <f t="shared" ca="1" si="82"/>
        <v>157.8080241360033</v>
      </c>
      <c r="AV65" s="6">
        <f t="shared" ca="1" si="82"/>
        <v>161.63934701299567</v>
      </c>
      <c r="AW65" s="6">
        <f t="shared" ca="1" si="82"/>
        <v>165.48953218243506</v>
      </c>
      <c r="AX65" s="6">
        <f t="shared" ca="1" si="82"/>
        <v>169.35630498679186</v>
      </c>
      <c r="AY65" s="6">
        <f t="shared" ca="1" si="82"/>
        <v>254.27944270893954</v>
      </c>
    </row>
    <row r="66" spans="1:84">
      <c r="B66" s="7" t="s">
        <v>36</v>
      </c>
      <c r="H66" s="2"/>
      <c r="I66" s="2"/>
      <c r="J66" s="2">
        <f>+J65/I65-1</f>
        <v>3.3640667829553106E-2</v>
      </c>
      <c r="K66" s="2">
        <f>+K65/J65-1</f>
        <v>0.1615236258437811</v>
      </c>
      <c r="L66" s="2">
        <f ca="1">+L65/K65-1</f>
        <v>0.17629194479627741</v>
      </c>
      <c r="M66" s="2">
        <f ca="1">+M65/L65-1</f>
        <v>7.3117405907792143E-2</v>
      </c>
      <c r="N66" s="2">
        <f ca="1">+N65/M65-1</f>
        <v>0.23445324130164624</v>
      </c>
      <c r="T66" s="2"/>
      <c r="U66" s="2"/>
      <c r="V66" s="2"/>
      <c r="W66" s="2"/>
      <c r="X66" s="2"/>
      <c r="Y66" s="2"/>
      <c r="Z66" s="2"/>
      <c r="AA66" s="2"/>
      <c r="AB66" s="2"/>
      <c r="AC66" s="2"/>
      <c r="AD66" s="2"/>
      <c r="AE66" s="2"/>
      <c r="AF66" s="2">
        <f t="shared" ref="AF66:AY66" si="86">+AF65/AB65-1</f>
        <v>-4.5085662759242418E-2</v>
      </c>
      <c r="AG66" s="2">
        <f t="shared" si="86"/>
        <v>-0.17507418397626118</v>
      </c>
      <c r="AH66" s="2">
        <f t="shared" si="86"/>
        <v>7.4723247232471479E-2</v>
      </c>
      <c r="AI66" s="2">
        <f t="shared" si="86"/>
        <v>0.34734239802224831</v>
      </c>
      <c r="AJ66" s="2">
        <f t="shared" si="86"/>
        <v>-0.11992445703493837</v>
      </c>
      <c r="AK66" s="2">
        <f t="shared" si="86"/>
        <v>0.11750599520383642</v>
      </c>
      <c r="AL66" s="2">
        <f t="shared" si="86"/>
        <v>0.25407725321888441</v>
      </c>
      <c r="AM66" s="2">
        <f t="shared" si="86"/>
        <v>0.3697247706422031</v>
      </c>
      <c r="AN66" s="2">
        <f t="shared" si="86"/>
        <v>0.32188841201716722</v>
      </c>
      <c r="AO66" s="2">
        <f t="shared" si="86"/>
        <v>0.46459227467811126</v>
      </c>
      <c r="AP66" s="2">
        <f t="shared" ca="1" si="86"/>
        <v>2.3240054566122215E-2</v>
      </c>
      <c r="AQ66" s="2">
        <f t="shared" ca="1" si="86"/>
        <v>5.520486959635762E-2</v>
      </c>
      <c r="AR66" s="2">
        <f t="shared" ca="1" si="86"/>
        <v>0.18702092546906912</v>
      </c>
      <c r="AS66" s="2">
        <f t="shared" ca="1" si="86"/>
        <v>9.9846371446046023E-2</v>
      </c>
      <c r="AT66" s="2">
        <f t="shared" ca="1" si="86"/>
        <v>3.0117507640707419E-2</v>
      </c>
      <c r="AU66" s="2">
        <f t="shared" ca="1" si="86"/>
        <v>1.6880384808863891E-3</v>
      </c>
      <c r="AV66" s="2">
        <f t="shared" ca="1" si="86"/>
        <v>0.10529448861681723</v>
      </c>
      <c r="AW66" s="2">
        <f t="shared" ca="1" si="86"/>
        <v>0.10231533841589746</v>
      </c>
      <c r="AX66" s="2">
        <f t="shared" ca="1" si="86"/>
        <v>9.9731976749553919E-2</v>
      </c>
      <c r="AY66" s="2">
        <f t="shared" ca="1" si="86"/>
        <v>0.61132137672412989</v>
      </c>
    </row>
    <row r="67" spans="1:84">
      <c r="B67" s="7" t="s">
        <v>37</v>
      </c>
      <c r="T67" s="2"/>
      <c r="U67" s="2"/>
      <c r="V67" s="2"/>
      <c r="W67" s="2"/>
      <c r="X67" s="2"/>
      <c r="Y67" s="2"/>
      <c r="Z67" s="2"/>
      <c r="AA67" s="2"/>
      <c r="AB67" s="2"/>
      <c r="AC67" s="2"/>
      <c r="AD67" s="2"/>
      <c r="AE67" s="2"/>
      <c r="AF67" s="2">
        <f t="shared" ref="AF67:AY67" si="87">+AF65/AE65-1</f>
        <v>0.30902348578491901</v>
      </c>
      <c r="AG67" s="2">
        <f t="shared" si="87"/>
        <v>-0.21246458923512734</v>
      </c>
      <c r="AH67" s="2">
        <f t="shared" si="87"/>
        <v>0.39688249400479547</v>
      </c>
      <c r="AI67" s="2">
        <f t="shared" si="87"/>
        <v>-6.4377682403433556E-2</v>
      </c>
      <c r="AJ67" s="2">
        <f t="shared" si="87"/>
        <v>-0.14495412844036637</v>
      </c>
      <c r="AK67" s="2">
        <f t="shared" si="87"/>
        <v>0</v>
      </c>
      <c r="AL67" s="2">
        <f t="shared" si="87"/>
        <v>0.56759656652360535</v>
      </c>
      <c r="AM67" s="2">
        <f t="shared" si="87"/>
        <v>2.1902806297057431E-2</v>
      </c>
      <c r="AN67" s="2">
        <f t="shared" si="87"/>
        <v>-0.17481580709979927</v>
      </c>
      <c r="AO67" s="2">
        <f t="shared" si="87"/>
        <v>0.10795454545454453</v>
      </c>
      <c r="AP67" s="2">
        <f t="shared" ca="1" si="87"/>
        <v>9.5204190271872102E-2</v>
      </c>
      <c r="AQ67" s="2">
        <f t="shared" ca="1" si="87"/>
        <v>5.3825847265205118E-2</v>
      </c>
      <c r="AR67" s="2">
        <f t="shared" ca="1" si="87"/>
        <v>-7.1733904418456174E-2</v>
      </c>
      <c r="AS67" s="2">
        <f t="shared" ca="1" si="87"/>
        <v>2.6586608878688578E-2</v>
      </c>
      <c r="AT67" s="2">
        <f t="shared" ca="1" si="87"/>
        <v>2.5769634860193902E-2</v>
      </c>
      <c r="AU67" s="2">
        <f t="shared" ca="1" si="87"/>
        <v>2.4742068761852032E-2</v>
      </c>
      <c r="AV67" s="2">
        <f t="shared" ca="1" si="87"/>
        <v>2.4278378098761433E-2</v>
      </c>
      <c r="AW67" s="2">
        <f t="shared" ca="1" si="87"/>
        <v>2.3819603584081639E-2</v>
      </c>
      <c r="AX67" s="2">
        <f t="shared" ca="1" si="87"/>
        <v>2.3365663999183273E-2</v>
      </c>
      <c r="AY67" s="2">
        <f t="shared" ca="1" si="87"/>
        <v>0.50144656692156131</v>
      </c>
    </row>
    <row r="68" spans="1:84">
      <c r="B68" t="s">
        <v>310</v>
      </c>
      <c r="I68" s="143">
        <f>+SUM(AB68:AE68)</f>
        <v>1.7134813737424679</v>
      </c>
      <c r="J68" s="143">
        <f>+SUM(AF68:AI68)</f>
        <v>1.703328036699449</v>
      </c>
      <c r="K68" s="143">
        <f>+SUM(AJ68:AM68)</f>
        <v>1.9600504277508637</v>
      </c>
      <c r="L68" s="143">
        <f ca="1">+SUM(AN68:AQ68)</f>
        <v>2.2702246723749795</v>
      </c>
      <c r="M68" s="143">
        <f ca="1">+SUM(AR68:AU68)</f>
        <v>2.4061505988428564</v>
      </c>
      <c r="N68" s="143">
        <f ca="1">+SUM(AV68:AY68)</f>
        <v>2.9334375456858508</v>
      </c>
      <c r="AB68" s="143">
        <f>+AB65/IS!AB125</f>
        <v>0.49730941704035864</v>
      </c>
      <c r="AC68" s="143">
        <f>+AC65/IS!AC125</f>
        <v>0.42620705981262141</v>
      </c>
      <c r="AD68" s="143">
        <f>+AD65/IS!AD125</f>
        <v>0.45236236039524819</v>
      </c>
      <c r="AE68" s="143">
        <f>+AE65/IS!AE125</f>
        <v>0.33760253649423966</v>
      </c>
      <c r="AF68" s="143">
        <f>+AF65/IS!AF125</f>
        <v>0.43580246913580245</v>
      </c>
      <c r="AG68" s="143">
        <f>+AG65/IS!AG125</f>
        <v>0.34068627450980393</v>
      </c>
      <c r="AH68" s="143">
        <f>+AH65/IS!AH125</f>
        <v>0.47883271681052175</v>
      </c>
      <c r="AI68" s="143">
        <f>+AI65/IS!AI125</f>
        <v>0.44800657624332074</v>
      </c>
      <c r="AJ68" s="143">
        <f>+AJ65/IS!AJ125</f>
        <v>0.38196721311475418</v>
      </c>
      <c r="AK68" s="143">
        <f>+AK65/IS!AK125</f>
        <v>0.37947882736156335</v>
      </c>
      <c r="AL68" s="143">
        <f>+AL65/IS!AL125</f>
        <v>0.59366111336854921</v>
      </c>
      <c r="AM68" s="143">
        <f>+AM65/IS!AM125</f>
        <v>0.604943273905997</v>
      </c>
      <c r="AN68" s="143">
        <f>+AN65/IS!AN125</f>
        <v>0.49677419354838714</v>
      </c>
      <c r="AO68" s="143">
        <f>+AO65/IS!AO125</f>
        <v>0.54753309265944605</v>
      </c>
      <c r="AP68" s="143">
        <f ca="1">+AP65/IS!AP125</f>
        <v>0.59782870944047362</v>
      </c>
      <c r="AQ68" s="143">
        <f ca="1">+AQ65/IS!AQ125</f>
        <v>0.62808867672667235</v>
      </c>
      <c r="AR68" s="143">
        <f ca="1">+AR65/IS!AR125</f>
        <v>0.58126320301198109</v>
      </c>
      <c r="AS68" s="143">
        <f ca="1">+AS65/IS!AS125</f>
        <v>0.59491073763713753</v>
      </c>
      <c r="AT68" s="143">
        <f ca="1">+AT65/IS!AT125</f>
        <v>0.60839972337064319</v>
      </c>
      <c r="AU68" s="143">
        <f ca="1">+AU65/IS!AU125</f>
        <v>0.62157693482309451</v>
      </c>
      <c r="AV68" s="143">
        <f ca="1">+AV65/IS!AV125</f>
        <v>0.6347579431749637</v>
      </c>
      <c r="AW68" s="143">
        <f ca="1">+AW65/IS!AW125</f>
        <v>0.64793395816849331</v>
      </c>
      <c r="AX68" s="143">
        <f ca="1">+AX65/IS!AX125</f>
        <v>0.66109614516167403</v>
      </c>
      <c r="AY68" s="143">
        <f ca="1">+AY65/IS!AY125</f>
        <v>0.98964949918071987</v>
      </c>
    </row>
    <row r="70" spans="1:84" s="1" customFormat="1">
      <c r="A70" s="49" t="s">
        <v>40</v>
      </c>
      <c r="B70" s="27" t="s">
        <v>422</v>
      </c>
      <c r="J70" s="328">
        <f>+J3</f>
        <v>2016</v>
      </c>
      <c r="K70" s="328">
        <f>+K3</f>
        <v>2017</v>
      </c>
      <c r="L70" s="328" t="str">
        <f>+L3</f>
        <v>2018E</v>
      </c>
      <c r="M70" s="328" t="str">
        <f>+M3</f>
        <v>2019E</v>
      </c>
      <c r="AJ70" s="348" t="str">
        <f>+AJ3</f>
        <v>1Q17</v>
      </c>
      <c r="AK70" s="348" t="str">
        <f t="shared" ref="AK70:AY70" si="88">+AK3</f>
        <v>2Q17</v>
      </c>
      <c r="AL70" s="348" t="str">
        <f t="shared" si="88"/>
        <v>3Q17</v>
      </c>
      <c r="AM70" s="348" t="str">
        <f t="shared" si="88"/>
        <v>4Q17</v>
      </c>
      <c r="AN70" s="348" t="str">
        <f t="shared" si="88"/>
        <v>1Q18</v>
      </c>
      <c r="AO70" s="348" t="str">
        <f t="shared" si="88"/>
        <v>2Q18</v>
      </c>
      <c r="AP70" s="348" t="str">
        <f t="shared" si="88"/>
        <v>3Q18E</v>
      </c>
      <c r="AQ70" s="348" t="str">
        <f t="shared" si="88"/>
        <v>4Q18E</v>
      </c>
      <c r="AR70" s="348" t="str">
        <f t="shared" si="88"/>
        <v>1Q19E</v>
      </c>
      <c r="AS70" s="348" t="str">
        <f t="shared" si="88"/>
        <v>2Q19E</v>
      </c>
      <c r="AT70" s="348" t="str">
        <f t="shared" si="88"/>
        <v>3Q19E</v>
      </c>
      <c r="AU70" s="348" t="str">
        <f t="shared" si="88"/>
        <v>4Q19E</v>
      </c>
      <c r="AV70" s="348" t="str">
        <f t="shared" si="88"/>
        <v>1Q20E</v>
      </c>
      <c r="AW70" s="348" t="str">
        <f t="shared" si="88"/>
        <v>2Q20E</v>
      </c>
      <c r="AX70" s="348" t="str">
        <f t="shared" si="88"/>
        <v>3Q20E</v>
      </c>
      <c r="AY70" s="348" t="str">
        <f t="shared" si="88"/>
        <v>4Q20E</v>
      </c>
      <c r="CA70"/>
      <c r="CB70"/>
      <c r="CC70"/>
      <c r="CD70"/>
      <c r="CE70"/>
      <c r="CF70"/>
    </row>
    <row r="72" spans="1:84">
      <c r="B72" t="s">
        <v>433</v>
      </c>
      <c r="H72" s="6">
        <f t="shared" ref="H72:H80" si="89">+SUM(X72:AA72)</f>
        <v>-181.64417978915967</v>
      </c>
      <c r="I72" s="6">
        <f t="shared" ref="I72:I80" si="90">+SUM(AB72:AE72)</f>
        <v>-155.29999999999995</v>
      </c>
      <c r="J72" s="6">
        <f t="shared" ref="J72:J80" si="91">+SUM(AF72:AI72)</f>
        <v>-76.199999999999989</v>
      </c>
      <c r="K72" s="6">
        <f t="shared" ref="K72:K80" si="92">+SUM(AJ72:AM72)</f>
        <v>85.700000000000045</v>
      </c>
      <c r="L72" s="6">
        <f t="shared" ref="L72:L80" ca="1" si="93">+SUM(AN72:AQ72)</f>
        <v>79.582406920442111</v>
      </c>
      <c r="M72" s="6">
        <f t="shared" ref="M72:M80" ca="1" si="94">+SUM(AR72:AU72)</f>
        <v>95.181621724318973</v>
      </c>
      <c r="N72" s="6">
        <f t="shared" ref="N72:N80" ca="1" si="95">+SUM(AV72:AY72)</f>
        <v>86.496142168192691</v>
      </c>
      <c r="X72" s="41">
        <f>IS!X30</f>
        <v>-29.116890516839891</v>
      </c>
      <c r="Y72" s="41">
        <f>IS!Y30</f>
        <v>-37.55779658988429</v>
      </c>
      <c r="Z72" s="41">
        <f>IS!Z30</f>
        <v>-42.773903677953172</v>
      </c>
      <c r="AA72" s="41">
        <f>IS!AA30</f>
        <v>-72.195589004482315</v>
      </c>
      <c r="AB72" s="41">
        <f>IS!AB30</f>
        <v>-110.50000000000001</v>
      </c>
      <c r="AC72" s="41">
        <f>IS!AC30</f>
        <v>3.7999999999999687</v>
      </c>
      <c r="AD72" s="41">
        <f>IS!AD30</f>
        <v>-53.699999999999996</v>
      </c>
      <c r="AE72" s="41">
        <f>IS!AE30</f>
        <v>5.1000000000000689</v>
      </c>
      <c r="AF72" s="41">
        <f>IS!AF30</f>
        <v>-15.199999999999982</v>
      </c>
      <c r="AG72" s="41">
        <f>IS!AG30</f>
        <v>-10.799999999999978</v>
      </c>
      <c r="AH72" s="41">
        <f>IS!AH30</f>
        <v>-19.300000000000008</v>
      </c>
      <c r="AI72" s="41">
        <f>IS!AI30</f>
        <v>-30.90000000000002</v>
      </c>
      <c r="AJ72" s="41">
        <f>IS!AJ30</f>
        <v>15.700000000000005</v>
      </c>
      <c r="AK72" s="41">
        <f>IS!AK30</f>
        <v>19.799999999999958</v>
      </c>
      <c r="AL72" s="41">
        <f>IS!AL30</f>
        <v>27.000000000000043</v>
      </c>
      <c r="AM72" s="41">
        <f>IS!AM30</f>
        <v>23.200000000000031</v>
      </c>
      <c r="AN72" s="41">
        <f>IS!AN30</f>
        <v>23.200000000000017</v>
      </c>
      <c r="AO72" s="41">
        <f>IS!AO30</f>
        <v>11.499999999999979</v>
      </c>
      <c r="AP72" s="41">
        <f ca="1">IS!AP30</f>
        <v>21.859474127653222</v>
      </c>
      <c r="AQ72" s="41">
        <f ca="1">IS!AQ30</f>
        <v>23.0229327927889</v>
      </c>
      <c r="AR72" s="41">
        <f ca="1">IS!AR30</f>
        <v>23.629471465729338</v>
      </c>
      <c r="AS72" s="41">
        <f ca="1">IS!AS30</f>
        <v>23.949228425919941</v>
      </c>
      <c r="AT72" s="41">
        <f ca="1">IS!AT30</f>
        <v>23.960279401865563</v>
      </c>
      <c r="AU72" s="41">
        <f ca="1">IS!AU30</f>
        <v>23.642642430804138</v>
      </c>
      <c r="AV72" s="41">
        <f ca="1">IS!AV30</f>
        <v>23.004341617968802</v>
      </c>
      <c r="AW72" s="41">
        <f ca="1">IS!AW30</f>
        <v>22.053072797902185</v>
      </c>
      <c r="AX72" s="41">
        <f ca="1">IS!AX30</f>
        <v>20.796083232932666</v>
      </c>
      <c r="AY72" s="41">
        <f ca="1">IS!AY30</f>
        <v>20.642644519389034</v>
      </c>
    </row>
    <row r="73" spans="1:84">
      <c r="B73" t="s">
        <v>423</v>
      </c>
      <c r="H73" s="6">
        <f t="shared" si="89"/>
        <v>338.26829728705798</v>
      </c>
      <c r="I73" s="6">
        <f t="shared" si="90"/>
        <v>406.19999999999993</v>
      </c>
      <c r="J73" s="6">
        <f t="shared" si="91"/>
        <v>516.29999999999995</v>
      </c>
      <c r="K73" s="6">
        <f t="shared" si="92"/>
        <v>606.9</v>
      </c>
      <c r="L73" s="6">
        <f t="shared" ca="1" si="93"/>
        <v>779.80503242524526</v>
      </c>
      <c r="M73" s="6">
        <f t="shared" ca="1" si="94"/>
        <v>846.5955209279266</v>
      </c>
      <c r="N73" s="6">
        <f t="shared" ca="1" si="95"/>
        <v>939.01954203359537</v>
      </c>
      <c r="X73" s="41">
        <f>+IS!X16+IS!X17</f>
        <v>81.037188142589258</v>
      </c>
      <c r="Y73" s="41">
        <f>+IS!Y16+IS!Y17</f>
        <v>81.719234752796382</v>
      </c>
      <c r="Z73" s="41">
        <f>+IS!Z16+IS!Z17</f>
        <v>84.174627669322305</v>
      </c>
      <c r="AA73" s="41">
        <f>+IS!AA16+IS!AA17</f>
        <v>91.337246722350002</v>
      </c>
      <c r="AB73" s="41">
        <f>+IS!AB16+IS!AB17</f>
        <v>96</v>
      </c>
      <c r="AC73" s="41">
        <f>+IS!AC16+IS!AC17</f>
        <v>96.9</v>
      </c>
      <c r="AD73" s="41">
        <f>+IS!AD16+IS!AD17</f>
        <v>100.1</v>
      </c>
      <c r="AE73" s="41">
        <f>+IS!AE16+IS!AE17</f>
        <v>113.19999999999996</v>
      </c>
      <c r="AF73" s="41">
        <f>+IS!AF16+IS!AF17</f>
        <v>117.1</v>
      </c>
      <c r="AG73" s="41">
        <f>+IS!AG16+IS!AG17</f>
        <v>113.7</v>
      </c>
      <c r="AH73" s="41">
        <f>+IS!AH16+IS!AH17</f>
        <v>137.19999999999999</v>
      </c>
      <c r="AI73" s="41">
        <f>+IS!AI16+IS!AI17</f>
        <v>148.30000000000001</v>
      </c>
      <c r="AJ73" s="41">
        <f>+IS!AJ16+IS!AJ17</f>
        <v>138.5</v>
      </c>
      <c r="AK73" s="41">
        <f>+IS!AK16+IS!AK17</f>
        <v>131.4</v>
      </c>
      <c r="AL73" s="41">
        <f>+IS!AL16+IS!AL17</f>
        <v>155.69999999999999</v>
      </c>
      <c r="AM73" s="41">
        <f>+IS!AM16+IS!AM17</f>
        <v>181.3</v>
      </c>
      <c r="AN73" s="41">
        <f>+IS!AN16+IS!AN17</f>
        <v>184.1</v>
      </c>
      <c r="AO73" s="41">
        <f>+IS!AO16+IS!AO17</f>
        <v>195.9</v>
      </c>
      <c r="AP73" s="41">
        <f ca="1">+IS!AP16+IS!AP17</f>
        <v>198.61508681712328</v>
      </c>
      <c r="AQ73" s="41">
        <f ca="1">+IS!AQ16+IS!AQ17</f>
        <v>201.189945608122</v>
      </c>
      <c r="AR73" s="41">
        <f ca="1">+IS!AR16+IS!AR17</f>
        <v>204.76600506243275</v>
      </c>
      <c r="AS73" s="41">
        <f ca="1">+IS!AS16+IS!AS17</f>
        <v>208.95979294543292</v>
      </c>
      <c r="AT73" s="41">
        <f ca="1">+IS!AT16+IS!AT17</f>
        <v>213.75095416854603</v>
      </c>
      <c r="AU73" s="41">
        <f ca="1">+IS!AU16+IS!AU17</f>
        <v>219.11876875151481</v>
      </c>
      <c r="AV73" s="41">
        <f ca="1">+IS!AV16+IS!AV17</f>
        <v>225.04283673172299</v>
      </c>
      <c r="AW73" s="41">
        <f ca="1">+IS!AW16+IS!AW17</f>
        <v>231.50372312884434</v>
      </c>
      <c r="AX73" s="41">
        <f ca="1">+IS!AX16+IS!AX17</f>
        <v>238.48290570776123</v>
      </c>
      <c r="AY73" s="41">
        <f ca="1">+IS!AY16+IS!AY17</f>
        <v>243.99007646526678</v>
      </c>
    </row>
    <row r="74" spans="1:84">
      <c r="B74" t="s">
        <v>424</v>
      </c>
      <c r="H74" s="6">
        <f t="shared" si="89"/>
        <v>-4.7243225448085173</v>
      </c>
      <c r="I74" s="6">
        <f t="shared" si="90"/>
        <v>24.400000000000002</v>
      </c>
      <c r="J74" s="6">
        <f t="shared" si="91"/>
        <v>53.8</v>
      </c>
      <c r="K74" s="6">
        <f t="shared" si="92"/>
        <v>10.299999999999999</v>
      </c>
      <c r="L74" s="6">
        <f t="shared" si="93"/>
        <v>-13.9</v>
      </c>
      <c r="M74" s="6">
        <f t="shared" si="94"/>
        <v>0</v>
      </c>
      <c r="N74" s="6">
        <f t="shared" si="95"/>
        <v>0</v>
      </c>
      <c r="X74" s="41">
        <f>IS!X49</f>
        <v>-0.62094319611440896</v>
      </c>
      <c r="Y74" s="41">
        <f>IS!Y49</f>
        <v>-0.226025253126871</v>
      </c>
      <c r="Z74" s="41">
        <f>IS!Z49</f>
        <v>-9.5251004572191197E-2</v>
      </c>
      <c r="AA74" s="41">
        <f>IS!AA49</f>
        <v>-3.7821030909950459</v>
      </c>
      <c r="AB74" s="41">
        <f>IS!AB49</f>
        <v>14.7</v>
      </c>
      <c r="AC74" s="41">
        <f>IS!AC49</f>
        <v>13.3</v>
      </c>
      <c r="AD74" s="41">
        <f>IS!AD49</f>
        <v>13.2</v>
      </c>
      <c r="AE74" s="41">
        <f>IS!AE49</f>
        <v>-16.8</v>
      </c>
      <c r="AF74" s="41">
        <f>IS!AF49</f>
        <v>10.7</v>
      </c>
      <c r="AG74" s="41">
        <f>IS!AG49</f>
        <v>7.1</v>
      </c>
      <c r="AH74" s="41">
        <f>IS!AH49</f>
        <v>11.1</v>
      </c>
      <c r="AI74" s="41">
        <f>IS!AI49</f>
        <v>24.9</v>
      </c>
      <c r="AJ74" s="41">
        <f>IS!AJ49</f>
        <v>11.2</v>
      </c>
      <c r="AK74" s="41">
        <f>IS!AK49</f>
        <v>17.399999999999999</v>
      </c>
      <c r="AL74" s="41">
        <f>IS!AL49</f>
        <v>-3.9</v>
      </c>
      <c r="AM74" s="41">
        <f>IS!AM49</f>
        <v>-14.4</v>
      </c>
      <c r="AN74" s="41">
        <f>IS!AN49</f>
        <v>-10.8</v>
      </c>
      <c r="AO74" s="41">
        <f>IS!AO49</f>
        <v>-3.1</v>
      </c>
      <c r="AP74" s="41">
        <f>IS!AP49</f>
        <v>0</v>
      </c>
      <c r="AQ74" s="41">
        <f>IS!AQ49</f>
        <v>0</v>
      </c>
      <c r="AR74" s="41">
        <f>IS!AR49</f>
        <v>0</v>
      </c>
      <c r="AS74" s="41">
        <f>IS!AS49</f>
        <v>0</v>
      </c>
      <c r="AT74" s="41">
        <f>IS!AT49</f>
        <v>0</v>
      </c>
      <c r="AU74" s="41">
        <f>IS!AU49</f>
        <v>0</v>
      </c>
      <c r="AV74" s="41">
        <f>IS!AV49</f>
        <v>0</v>
      </c>
      <c r="AW74" s="41">
        <f>IS!AW49</f>
        <v>0</v>
      </c>
      <c r="AX74" s="41">
        <f>IS!AX49</f>
        <v>0</v>
      </c>
      <c r="AY74" s="41">
        <f>IS!AY49</f>
        <v>0</v>
      </c>
    </row>
    <row r="75" spans="1:84">
      <c r="B75" t="s">
        <v>425</v>
      </c>
      <c r="H75" s="6">
        <f t="shared" si="89"/>
        <v>253.68095981236758</v>
      </c>
      <c r="I75" s="6">
        <f t="shared" si="90"/>
        <v>200.70000000000002</v>
      </c>
      <c r="J75" s="6">
        <f t="shared" si="91"/>
        <v>155.9</v>
      </c>
      <c r="K75" s="6">
        <f t="shared" si="92"/>
        <v>114.1</v>
      </c>
      <c r="L75" s="6">
        <f t="shared" si="93"/>
        <v>106.3</v>
      </c>
      <c r="M75" s="6">
        <f t="shared" si="94"/>
        <v>110</v>
      </c>
      <c r="N75" s="6">
        <f t="shared" si="95"/>
        <v>110</v>
      </c>
      <c r="X75" s="41">
        <f>IS!X15</f>
        <v>42.949492296009659</v>
      </c>
      <c r="Y75" s="41">
        <f>IS!Y15</f>
        <v>56.95264424563252</v>
      </c>
      <c r="Z75" s="41">
        <f>IS!Z15</f>
        <v>65.232969577889875</v>
      </c>
      <c r="AA75" s="41">
        <f>IS!AA15</f>
        <v>88.545853692835536</v>
      </c>
      <c r="AB75" s="41">
        <f>IS!AB15</f>
        <v>123.1</v>
      </c>
      <c r="AC75" s="41">
        <f>IS!AC15</f>
        <v>-6</v>
      </c>
      <c r="AD75" s="41">
        <f>IS!AD15</f>
        <v>40.700000000000003</v>
      </c>
      <c r="AE75" s="41">
        <f>IS!AE15</f>
        <v>42.9</v>
      </c>
      <c r="AF75" s="41">
        <f>IS!AF15</f>
        <v>46.1</v>
      </c>
      <c r="AG75" s="41">
        <f>IS!AG15</f>
        <v>42.9</v>
      </c>
      <c r="AH75" s="41">
        <f>IS!AH15</f>
        <v>33.5</v>
      </c>
      <c r="AI75" s="41">
        <f>IS!AI15</f>
        <v>33.4</v>
      </c>
      <c r="AJ75" s="41">
        <f>IS!AJ15</f>
        <v>32</v>
      </c>
      <c r="AK75" s="41">
        <f>IS!AK15</f>
        <v>34.5</v>
      </c>
      <c r="AL75" s="41">
        <f>IS!AL15</f>
        <v>26.5</v>
      </c>
      <c r="AM75" s="41">
        <f>IS!AM15</f>
        <v>21.1</v>
      </c>
      <c r="AN75" s="41">
        <f>IS!AN15</f>
        <v>27.8</v>
      </c>
      <c r="AO75" s="41">
        <f>IS!AO15</f>
        <v>23.5</v>
      </c>
      <c r="AP75" s="41">
        <f>IS!AP15</f>
        <v>27.5</v>
      </c>
      <c r="AQ75" s="41">
        <f>IS!AQ15</f>
        <v>27.5</v>
      </c>
      <c r="AR75" s="41">
        <f>IS!AR15</f>
        <v>27.5</v>
      </c>
      <c r="AS75" s="41">
        <f>IS!AS15</f>
        <v>27.5</v>
      </c>
      <c r="AT75" s="41">
        <f>IS!AT15</f>
        <v>27.5</v>
      </c>
      <c r="AU75" s="41">
        <f>IS!AU15</f>
        <v>27.5</v>
      </c>
      <c r="AV75" s="41">
        <f>IS!AV15</f>
        <v>27.5</v>
      </c>
      <c r="AW75" s="41">
        <f>IS!AW15</f>
        <v>27.5</v>
      </c>
      <c r="AX75" s="41">
        <f>IS!AX15</f>
        <v>27.5</v>
      </c>
      <c r="AY75" s="41">
        <f>IS!AY15</f>
        <v>27.5</v>
      </c>
    </row>
    <row r="76" spans="1:84">
      <c r="B76" t="s">
        <v>73</v>
      </c>
      <c r="H76" s="6">
        <f t="shared" si="89"/>
        <v>5.2948024062183139</v>
      </c>
      <c r="I76" s="6">
        <f t="shared" si="90"/>
        <v>6.2</v>
      </c>
      <c r="J76" s="6">
        <f t="shared" si="91"/>
        <v>21.5</v>
      </c>
      <c r="K76" s="6">
        <f t="shared" si="92"/>
        <v>20.5</v>
      </c>
      <c r="L76" s="6">
        <f t="shared" si="93"/>
        <v>14.200000000000001</v>
      </c>
      <c r="M76" s="6">
        <f t="shared" si="94"/>
        <v>0</v>
      </c>
      <c r="N76" s="6">
        <f t="shared" si="95"/>
        <v>0</v>
      </c>
      <c r="X76" s="41">
        <f>IS!X46</f>
        <v>0.58696548731789766</v>
      </c>
      <c r="Y76" s="41">
        <f>IS!Y46</f>
        <v>0.1653655784194667</v>
      </c>
      <c r="Z76" s="41">
        <f>IS!Z46</f>
        <v>3.6096038550417028E-2</v>
      </c>
      <c r="AA76" s="41">
        <f>IS!AA46</f>
        <v>4.5063753019305324</v>
      </c>
      <c r="AB76" s="41">
        <f>IS!AB46</f>
        <v>3.4</v>
      </c>
      <c r="AC76" s="41">
        <f>IS!AC46</f>
        <v>1.3</v>
      </c>
      <c r="AD76" s="41">
        <f>IS!AD46</f>
        <v>1.5</v>
      </c>
      <c r="AE76" s="41">
        <f>IS!AE46</f>
        <v>0</v>
      </c>
      <c r="AF76" s="41">
        <f>IS!AF46</f>
        <v>0</v>
      </c>
      <c r="AG76" s="41">
        <f>IS!AG46</f>
        <v>3.3</v>
      </c>
      <c r="AH76" s="41">
        <f>IS!AH46</f>
        <v>14.2</v>
      </c>
      <c r="AI76" s="41">
        <f>IS!AI46</f>
        <v>4</v>
      </c>
      <c r="AJ76" s="41">
        <f>IS!AJ46</f>
        <v>3</v>
      </c>
      <c r="AK76" s="41">
        <f>IS!AK46</f>
        <v>6.2</v>
      </c>
      <c r="AL76" s="41">
        <f>IS!AL46</f>
        <v>8.4</v>
      </c>
      <c r="AM76" s="41">
        <f>IS!AM46</f>
        <v>2.9</v>
      </c>
      <c r="AN76" s="41">
        <f>IS!AN46</f>
        <v>8.3000000000000007</v>
      </c>
      <c r="AO76" s="41">
        <f>IS!AO46</f>
        <v>5.9</v>
      </c>
      <c r="AP76" s="41">
        <f>IS!AP46</f>
        <v>0</v>
      </c>
      <c r="AQ76" s="41">
        <f>IS!AQ46</f>
        <v>0</v>
      </c>
      <c r="AR76" s="41">
        <f>IS!AR46</f>
        <v>0</v>
      </c>
      <c r="AS76" s="41">
        <f>IS!AS46</f>
        <v>0</v>
      </c>
      <c r="AT76" s="41">
        <f>IS!AT46</f>
        <v>0</v>
      </c>
      <c r="AU76" s="41">
        <f>IS!AU46</f>
        <v>0</v>
      </c>
      <c r="AV76" s="41">
        <f>IS!AV46</f>
        <v>0</v>
      </c>
      <c r="AW76" s="41">
        <f>IS!AW46</f>
        <v>0</v>
      </c>
      <c r="AX76" s="41">
        <f>IS!AX46</f>
        <v>0</v>
      </c>
      <c r="AY76" s="41">
        <f>IS!AY46</f>
        <v>0</v>
      </c>
    </row>
    <row r="77" spans="1:84">
      <c r="B77" t="s">
        <v>63</v>
      </c>
      <c r="H77" s="6">
        <f t="shared" si="89"/>
        <v>0</v>
      </c>
      <c r="I77" s="6">
        <f t="shared" si="90"/>
        <v>94.3</v>
      </c>
      <c r="J77" s="6">
        <f t="shared" si="91"/>
        <v>33.799999999999997</v>
      </c>
      <c r="K77" s="6">
        <f t="shared" si="92"/>
        <v>18.2</v>
      </c>
      <c r="L77" s="6">
        <f t="shared" si="93"/>
        <v>4.9000000000000004</v>
      </c>
      <c r="M77" s="6">
        <f t="shared" si="94"/>
        <v>0</v>
      </c>
      <c r="N77" s="6">
        <f t="shared" si="95"/>
        <v>0</v>
      </c>
      <c r="X77" s="41">
        <f>IS!X48</f>
        <v>0</v>
      </c>
      <c r="Y77" s="41">
        <f>IS!Y48</f>
        <v>0</v>
      </c>
      <c r="Z77" s="41">
        <f>IS!Z48</f>
        <v>0</v>
      </c>
      <c r="AA77" s="41">
        <f>IS!AA48</f>
        <v>0</v>
      </c>
      <c r="AB77" s="41">
        <f>IS!AB48</f>
        <v>0</v>
      </c>
      <c r="AC77" s="41">
        <f>IS!AC48</f>
        <v>30.9</v>
      </c>
      <c r="AD77" s="41">
        <f>IS!AD48</f>
        <v>54.9</v>
      </c>
      <c r="AE77" s="41">
        <f>IS!AE48</f>
        <v>8.5</v>
      </c>
      <c r="AF77" s="41">
        <f>IS!AF48</f>
        <v>0</v>
      </c>
      <c r="AG77" s="41">
        <f>IS!AG48</f>
        <v>0</v>
      </c>
      <c r="AH77" s="41">
        <f>IS!AH48</f>
        <v>0</v>
      </c>
      <c r="AI77" s="41">
        <f>IS!AI48</f>
        <v>33.799999999999997</v>
      </c>
      <c r="AJ77" s="41">
        <f>IS!AJ48</f>
        <v>0</v>
      </c>
      <c r="AK77" s="41">
        <f>IS!AK48</f>
        <v>0</v>
      </c>
      <c r="AL77" s="41">
        <f>IS!AL48</f>
        <v>4.5</v>
      </c>
      <c r="AM77" s="41">
        <f>IS!AM48</f>
        <v>13.7</v>
      </c>
      <c r="AN77" s="41">
        <f>IS!AN48</f>
        <v>4.9000000000000004</v>
      </c>
      <c r="AO77" s="41">
        <f>IS!AO48</f>
        <v>0</v>
      </c>
      <c r="AP77" s="41">
        <f>IS!AP48</f>
        <v>0</v>
      </c>
      <c r="AQ77" s="41">
        <f>IS!AQ48</f>
        <v>0</v>
      </c>
      <c r="AR77" s="41">
        <f>IS!AR48</f>
        <v>0</v>
      </c>
      <c r="AS77" s="41">
        <f>IS!AS48</f>
        <v>0</v>
      </c>
      <c r="AT77" s="41">
        <f>IS!AT48</f>
        <v>0</v>
      </c>
      <c r="AU77" s="41">
        <f>IS!AU48</f>
        <v>0</v>
      </c>
      <c r="AV77" s="41">
        <f>IS!AV48</f>
        <v>0</v>
      </c>
      <c r="AW77" s="41">
        <f>IS!AW48</f>
        <v>0</v>
      </c>
      <c r="AX77" s="41">
        <f>IS!AX48</f>
        <v>0</v>
      </c>
      <c r="AY77" s="41">
        <f>IS!AY48</f>
        <v>0</v>
      </c>
    </row>
    <row r="78" spans="1:84">
      <c r="B78" t="s">
        <v>426</v>
      </c>
      <c r="H78" s="6">
        <f t="shared" si="89"/>
        <v>0</v>
      </c>
      <c r="I78" s="6">
        <f t="shared" si="90"/>
        <v>0.4</v>
      </c>
      <c r="J78" s="6">
        <f t="shared" si="91"/>
        <v>1.2000000000000002</v>
      </c>
      <c r="K78" s="6">
        <f t="shared" si="92"/>
        <v>1.2</v>
      </c>
      <c r="L78" s="6">
        <f t="shared" si="93"/>
        <v>0.30000000000000004</v>
      </c>
      <c r="M78" s="6">
        <f t="shared" si="94"/>
        <v>0</v>
      </c>
      <c r="N78" s="6">
        <f t="shared" si="95"/>
        <v>0</v>
      </c>
      <c r="X78" s="41">
        <f>IS!X50</f>
        <v>0</v>
      </c>
      <c r="Y78" s="41">
        <f>IS!Y50</f>
        <v>0</v>
      </c>
      <c r="Z78" s="41">
        <f>IS!Z50</f>
        <v>0</v>
      </c>
      <c r="AA78" s="41">
        <f>IS!AA50</f>
        <v>0</v>
      </c>
      <c r="AB78" s="41">
        <f>IS!AB50</f>
        <v>0</v>
      </c>
      <c r="AC78" s="41">
        <f>IS!AC50</f>
        <v>0</v>
      </c>
      <c r="AD78" s="41">
        <f>IS!AD50</f>
        <v>0</v>
      </c>
      <c r="AE78" s="41">
        <f>IS!AE50</f>
        <v>0.4</v>
      </c>
      <c r="AF78" s="41">
        <f>IS!AF50</f>
        <v>0.2</v>
      </c>
      <c r="AG78" s="41">
        <f>IS!AG50</f>
        <v>0.4</v>
      </c>
      <c r="AH78" s="41">
        <f>IS!AH50</f>
        <v>0.6</v>
      </c>
      <c r="AI78" s="41">
        <f>IS!AI50</f>
        <v>0</v>
      </c>
      <c r="AJ78" s="41">
        <f>IS!AJ50</f>
        <v>0.3</v>
      </c>
      <c r="AK78" s="41">
        <f>IS!AK50</f>
        <v>0.2</v>
      </c>
      <c r="AL78" s="41">
        <f>IS!AL50</f>
        <v>0.2</v>
      </c>
      <c r="AM78" s="41">
        <f>IS!AM50</f>
        <v>0.5</v>
      </c>
      <c r="AN78" s="41">
        <f>IS!AN50</f>
        <v>0.1</v>
      </c>
      <c r="AO78" s="41">
        <f>IS!AO50</f>
        <v>0.2</v>
      </c>
      <c r="AP78" s="41">
        <f>IS!AP50</f>
        <v>0</v>
      </c>
      <c r="AQ78" s="41">
        <f>IS!AQ50</f>
        <v>0</v>
      </c>
      <c r="AR78" s="41">
        <f>IS!AR50</f>
        <v>0</v>
      </c>
      <c r="AS78" s="41">
        <f>IS!AS50</f>
        <v>0</v>
      </c>
      <c r="AT78" s="41">
        <f>IS!AT50</f>
        <v>0</v>
      </c>
      <c r="AU78" s="41">
        <f>IS!AU50</f>
        <v>0</v>
      </c>
      <c r="AV78" s="41">
        <f>IS!AV50</f>
        <v>0</v>
      </c>
      <c r="AW78" s="41">
        <f>IS!AW50</f>
        <v>0</v>
      </c>
      <c r="AX78" s="41">
        <f>IS!AX50</f>
        <v>0</v>
      </c>
      <c r="AY78" s="41">
        <f>IS!AY50</f>
        <v>0</v>
      </c>
    </row>
    <row r="79" spans="1:84">
      <c r="B79" t="s">
        <v>128</v>
      </c>
      <c r="H79" s="6">
        <f t="shared" si="89"/>
        <v>-55.625999999999998</v>
      </c>
      <c r="I79" s="6">
        <f t="shared" si="90"/>
        <v>-72.100000000000009</v>
      </c>
      <c r="J79" s="6">
        <f t="shared" si="91"/>
        <v>-111.5</v>
      </c>
      <c r="K79" s="6">
        <f t="shared" si="92"/>
        <v>-117.6</v>
      </c>
      <c r="L79" s="6">
        <f t="shared" ca="1" si="93"/>
        <v>-135.21153902732294</v>
      </c>
      <c r="M79" s="6">
        <f t="shared" ca="1" si="94"/>
        <v>-146.8992561918532</v>
      </c>
      <c r="N79" s="6">
        <f t="shared" ca="1" si="95"/>
        <v>-159.64374701577864</v>
      </c>
      <c r="X79" s="6">
        <f t="shared" ref="X79:AI79" si="96">X12</f>
        <v>-12.579583534913418</v>
      </c>
      <c r="Y79" s="6">
        <f t="shared" si="96"/>
        <v>-13.647021736125499</v>
      </c>
      <c r="Z79" s="6">
        <f t="shared" si="96"/>
        <v>-14.215296579786239</v>
      </c>
      <c r="AA79" s="6">
        <f t="shared" si="96"/>
        <v>-15.184098149174844</v>
      </c>
      <c r="AB79" s="6">
        <f t="shared" si="96"/>
        <v>-17.3</v>
      </c>
      <c r="AC79" s="6">
        <f t="shared" si="96"/>
        <v>-17.3</v>
      </c>
      <c r="AD79" s="6">
        <f t="shared" si="96"/>
        <v>-18.3</v>
      </c>
      <c r="AE79" s="6">
        <f t="shared" si="96"/>
        <v>-19.2</v>
      </c>
      <c r="AF79" s="6">
        <f t="shared" si="96"/>
        <v>-20.399999999999999</v>
      </c>
      <c r="AG79" s="6">
        <f t="shared" si="96"/>
        <v>-21.5</v>
      </c>
      <c r="AH79" s="6">
        <f t="shared" si="96"/>
        <v>-24.699999999999996</v>
      </c>
      <c r="AI79" s="6">
        <f t="shared" si="96"/>
        <v>-44.9</v>
      </c>
      <c r="AJ79" s="6">
        <f t="shared" ref="AJ79:AN79" si="97">AJ12</f>
        <v>-27.5</v>
      </c>
      <c r="AK79" s="6">
        <f t="shared" si="97"/>
        <v>-28.1</v>
      </c>
      <c r="AL79" s="6">
        <f t="shared" si="97"/>
        <v>-29.9</v>
      </c>
      <c r="AM79" s="6">
        <f t="shared" si="97"/>
        <v>-32.099999999999994</v>
      </c>
      <c r="AN79" s="6">
        <f t="shared" si="97"/>
        <v>-32.799999999999997</v>
      </c>
      <c r="AO79" s="6">
        <f t="shared" ref="AO79" si="98">AO12</f>
        <v>-33.600000000000009</v>
      </c>
      <c r="AP79" s="6">
        <f t="shared" ref="AP79:AY79" ca="1" si="99">AP12</f>
        <v>-33.932870737053435</v>
      </c>
      <c r="AQ79" s="6">
        <f t="shared" ca="1" si="99"/>
        <v>-34.878668290269516</v>
      </c>
      <c r="AR79" s="6">
        <f t="shared" ca="1" si="99"/>
        <v>-35.595397449493149</v>
      </c>
      <c r="AS79" s="6">
        <f t="shared" ca="1" si="99"/>
        <v>-36.33470249365719</v>
      </c>
      <c r="AT79" s="6">
        <f t="shared" ca="1" si="99"/>
        <v>-37.09497639190905</v>
      </c>
      <c r="AU79" s="6">
        <f t="shared" ca="1" si="99"/>
        <v>-37.874179856793802</v>
      </c>
      <c r="AV79" s="6">
        <f t="shared" ca="1" si="99"/>
        <v>-38.671638687807004</v>
      </c>
      <c r="AW79" s="6">
        <f t="shared" ca="1" si="99"/>
        <v>-39.486678670760789</v>
      </c>
      <c r="AX79" s="6">
        <f t="shared" ca="1" si="99"/>
        <v>-40.318625460299735</v>
      </c>
      <c r="AY79" s="6">
        <f t="shared" ca="1" si="99"/>
        <v>-41.166804196911123</v>
      </c>
    </row>
    <row r="80" spans="1:84">
      <c r="B80" t="s">
        <v>427</v>
      </c>
      <c r="H80" s="6">
        <f t="shared" si="89"/>
        <v>-20.100000000000001</v>
      </c>
      <c r="I80" s="6">
        <f t="shared" si="90"/>
        <v>-24.7</v>
      </c>
      <c r="J80" s="6">
        <f t="shared" si="91"/>
        <v>-27.299999999999997</v>
      </c>
      <c r="K80" s="6">
        <f t="shared" si="92"/>
        <v>-28.9</v>
      </c>
      <c r="L80" s="6">
        <f t="shared" ca="1" si="93"/>
        <v>-33.309840498022751</v>
      </c>
      <c r="M80" s="6">
        <f t="shared" ca="1" si="94"/>
        <v>-44.144265336099004</v>
      </c>
      <c r="N80" s="6">
        <f t="shared" ca="1" si="95"/>
        <v>-46.483170093240737</v>
      </c>
      <c r="X80" s="19">
        <v>-5.0999999999999996</v>
      </c>
      <c r="Y80" s="19">
        <v>-4.9000000000000004</v>
      </c>
      <c r="Z80" s="19">
        <v>-4.9000000000000004</v>
      </c>
      <c r="AA80" s="19">
        <v>-5.2</v>
      </c>
      <c r="AB80" s="19">
        <v>-5.7</v>
      </c>
      <c r="AC80" s="19">
        <v>-5.7</v>
      </c>
      <c r="AD80" s="19">
        <v>-5.8</v>
      </c>
      <c r="AE80" s="19">
        <v>-7.5</v>
      </c>
      <c r="AF80" s="19">
        <v>-7</v>
      </c>
      <c r="AG80" s="19">
        <v>-6.5</v>
      </c>
      <c r="AH80" s="19">
        <v>-8.1999999999999993</v>
      </c>
      <c r="AI80" s="19">
        <v>-5.6</v>
      </c>
      <c r="AJ80" s="19">
        <v>-7.1</v>
      </c>
      <c r="AK80" s="19">
        <v>-7.5</v>
      </c>
      <c r="AL80" s="19">
        <v>-7.2</v>
      </c>
      <c r="AM80" s="19">
        <v>-7.1</v>
      </c>
      <c r="AN80" s="19">
        <v>-6.6</v>
      </c>
      <c r="AO80" s="19">
        <v>-5.4</v>
      </c>
      <c r="AP80" s="41">
        <f ca="1">-BS!AP80</f>
        <v>-10.598446086217363</v>
      </c>
      <c r="AQ80" s="41">
        <f ca="1">-BS!AQ80</f>
        <v>-10.711394411805388</v>
      </c>
      <c r="AR80" s="41">
        <f ca="1">-BS!AR80</f>
        <v>-10.833513783683786</v>
      </c>
      <c r="AS80" s="41">
        <f ca="1">-BS!AS80</f>
        <v>-10.964383775452621</v>
      </c>
      <c r="AT80" s="41">
        <f ca="1">-BS!AT80</f>
        <v>-11.101977675758485</v>
      </c>
      <c r="AU80" s="41">
        <f ca="1">-BS!AU80</f>
        <v>-11.244390101204111</v>
      </c>
      <c r="AV80" s="41">
        <f ca="1">-BS!AV80</f>
        <v>-11.39117980795392</v>
      </c>
      <c r="AW80" s="41">
        <f ca="1">-BS!AW80</f>
        <v>-11.541934908584487</v>
      </c>
      <c r="AX80" s="41">
        <f ca="1">-BS!AX80</f>
        <v>-11.696264156285865</v>
      </c>
      <c r="AY80" s="41">
        <f ca="1">-BS!AY80</f>
        <v>-11.85379122041647</v>
      </c>
    </row>
    <row r="81" spans="2:51">
      <c r="B81" t="s">
        <v>422</v>
      </c>
      <c r="H81" s="6">
        <f t="shared" ref="H81:L81" si="100">SUM(H72:H80)</f>
        <v>335.14955717167567</v>
      </c>
      <c r="I81" s="6">
        <f t="shared" si="100"/>
        <v>480.09999999999997</v>
      </c>
      <c r="J81" s="6">
        <f t="shared" si="100"/>
        <v>567.5</v>
      </c>
      <c r="K81" s="6">
        <f t="shared" si="100"/>
        <v>710.40000000000009</v>
      </c>
      <c r="L81" s="6">
        <f t="shared" ca="1" si="100"/>
        <v>802.66605982034173</v>
      </c>
      <c r="M81" s="6">
        <f t="shared" ref="M81" ca="1" si="101">SUM(M72:M80)</f>
        <v>860.73362112429345</v>
      </c>
      <c r="N81" s="6">
        <f t="shared" ref="N81" ca="1" si="102">SUM(N72:N80)</f>
        <v>929.3887670927686</v>
      </c>
      <c r="X81" s="6">
        <f t="shared" ref="X81:AI81" si="103">SUM(X72:X80)</f>
        <v>77.156228678049104</v>
      </c>
      <c r="Y81" s="6">
        <f t="shared" si="103"/>
        <v>82.506400997711708</v>
      </c>
      <c r="Z81" s="6">
        <f t="shared" si="103"/>
        <v>87.459242023450983</v>
      </c>
      <c r="AA81" s="6">
        <f t="shared" si="103"/>
        <v>88.027685472463858</v>
      </c>
      <c r="AB81" s="6">
        <f t="shared" si="103"/>
        <v>103.69999999999999</v>
      </c>
      <c r="AC81" s="6">
        <f t="shared" si="103"/>
        <v>117.19999999999996</v>
      </c>
      <c r="AD81" s="6">
        <f t="shared" si="103"/>
        <v>132.59999999999997</v>
      </c>
      <c r="AE81" s="6">
        <f t="shared" si="103"/>
        <v>126.60000000000005</v>
      </c>
      <c r="AF81" s="6">
        <f t="shared" si="103"/>
        <v>131.5</v>
      </c>
      <c r="AG81" s="6">
        <f t="shared" si="103"/>
        <v>128.60000000000002</v>
      </c>
      <c r="AH81" s="6">
        <f t="shared" si="103"/>
        <v>144.39999999999998</v>
      </c>
      <c r="AI81" s="6">
        <f t="shared" si="103"/>
        <v>163</v>
      </c>
      <c r="AJ81" s="6">
        <f>SUM(AJ72:AJ80)</f>
        <v>166.10000000000002</v>
      </c>
      <c r="AK81" s="6">
        <f t="shared" ref="AK81:AN81" si="104">SUM(AK72:AK80)</f>
        <v>173.89999999999995</v>
      </c>
      <c r="AL81" s="6">
        <f t="shared" si="104"/>
        <v>181.30000000000004</v>
      </c>
      <c r="AM81" s="6">
        <f t="shared" si="104"/>
        <v>189.10000000000005</v>
      </c>
      <c r="AN81" s="6">
        <f t="shared" si="104"/>
        <v>198.20000000000002</v>
      </c>
      <c r="AO81" s="6">
        <f t="shared" ref="AO81" si="105">SUM(AO72:AO80)</f>
        <v>194.89999999999995</v>
      </c>
      <c r="AP81" s="6">
        <f t="shared" ref="AP81" ca="1" si="106">SUM(AP72:AP80)</f>
        <v>203.4432441215057</v>
      </c>
      <c r="AQ81" s="6">
        <f t="shared" ref="AQ81" ca="1" si="107">SUM(AQ72:AQ80)</f>
        <v>206.12281569883598</v>
      </c>
      <c r="AR81" s="6">
        <f t="shared" ref="AR81" ca="1" si="108">SUM(AR72:AR80)</f>
        <v>209.46656529498514</v>
      </c>
      <c r="AS81" s="6">
        <f t="shared" ref="AS81" ca="1" si="109">SUM(AS72:AS80)</f>
        <v>213.10993510224307</v>
      </c>
      <c r="AT81" s="6">
        <f t="shared" ref="AT81" ca="1" si="110">SUM(AT72:AT80)</f>
        <v>217.01427950274405</v>
      </c>
      <c r="AU81" s="6">
        <f t="shared" ref="AU81" ca="1" si="111">SUM(AU72:AU80)</f>
        <v>221.14284122432105</v>
      </c>
      <c r="AV81" s="6">
        <f t="shared" ref="AV81" ca="1" si="112">SUM(AV72:AV80)</f>
        <v>225.48435985393084</v>
      </c>
      <c r="AW81" s="6">
        <f t="shared" ref="AW81" ca="1" si="113">SUM(AW72:AW80)</f>
        <v>230.02818234740124</v>
      </c>
      <c r="AX81" s="6">
        <f t="shared" ref="AX81" ca="1" si="114">SUM(AX72:AX80)</f>
        <v>234.76409932410832</v>
      </c>
      <c r="AY81" s="6">
        <f t="shared" ref="AY81" ca="1" si="115">SUM(AY72:AY80)</f>
        <v>239.11212556732821</v>
      </c>
    </row>
    <row r="82" spans="2:51">
      <c r="B82" t="s">
        <v>438</v>
      </c>
      <c r="H82" s="6"/>
      <c r="I82" s="143">
        <f t="shared" ref="I82" si="116">+SUM(AB82:AE82)</f>
        <v>2.0407657216886324</v>
      </c>
      <c r="J82" s="143">
        <f t="shared" ref="J82" si="117">+SUM(AF82:AI82)</f>
        <v>2.3299398088077843</v>
      </c>
      <c r="K82" s="143">
        <f t="shared" ref="K82" si="118">+SUM(AJ82:AM82)</f>
        <v>2.8916994510611649</v>
      </c>
      <c r="L82" s="143">
        <f t="shared" ref="L82" ca="1" si="119">+SUM(AN82:AQ82)</f>
        <v>3.216317913083834</v>
      </c>
      <c r="M82" s="143">
        <f t="shared" ref="M82:N82" ca="1" si="120">+SUM(AR82:AU82)</f>
        <v>3.4054488014358539</v>
      </c>
      <c r="N82" s="143">
        <f ca="1">+SUM(AV82:AY82)</f>
        <v>3.6331361905826234</v>
      </c>
      <c r="X82" s="6"/>
      <c r="Y82" s="6"/>
      <c r="Z82" s="6"/>
      <c r="AA82" s="6"/>
      <c r="AB82" s="143">
        <f>+AB81/IS!AB36</f>
        <v>0.46502242152466361</v>
      </c>
      <c r="AC82" s="143">
        <f>+AC81/IS!AC36</f>
        <v>0.49407979634064503</v>
      </c>
      <c r="AD82" s="143">
        <f>+AD81/IS!AD36</f>
        <v>0.55335100542813542</v>
      </c>
      <c r="AE82" s="143">
        <f>+AE81/IS!AE36</f>
        <v>0.52831249839518846</v>
      </c>
      <c r="AF82" s="143">
        <f>+AF81/IS!AF36</f>
        <v>0.54115226337448563</v>
      </c>
      <c r="AG82" s="143">
        <f>+AG81/IS!AG36</f>
        <v>0.52532679738562094</v>
      </c>
      <c r="AH82" s="143">
        <f>+AH81/IS!AH36</f>
        <v>0.59350595972050957</v>
      </c>
      <c r="AI82" s="143">
        <f>+AI81/IS!AI36</f>
        <v>0.66995478832716804</v>
      </c>
      <c r="AJ82" s="143">
        <f>+AJ81/IS!AJ36</f>
        <v>0.68073770491803287</v>
      </c>
      <c r="AK82" s="143">
        <f>+AK81/IS!AK36</f>
        <v>0.70806188925081415</v>
      </c>
      <c r="AL82" s="143">
        <f>+AL81/IS!AL36</f>
        <v>0.73669240146282022</v>
      </c>
      <c r="AM82" s="143">
        <f>+AM81/IS!AM36</f>
        <v>0.76620745542949775</v>
      </c>
      <c r="AN82" s="143">
        <f>+AN81/IS!AN36</f>
        <v>0.79919354838709689</v>
      </c>
      <c r="AO82" s="143">
        <f>+AO81/IS!AO36</f>
        <v>0.78178900922583205</v>
      </c>
      <c r="AP82" s="143">
        <f ca="1">+AP81/IS!AP36</f>
        <v>0.8135650654137504</v>
      </c>
      <c r="AQ82" s="143">
        <f ca="1">+AQ81/IS!AQ36</f>
        <v>0.82177029005715463</v>
      </c>
      <c r="AR82" s="143">
        <f ca="1">+AR81/IS!AR36</f>
        <v>0.83256559356756044</v>
      </c>
      <c r="AS82" s="143">
        <f ca="1">+AS81/IS!AS36</f>
        <v>0.84448283547031866</v>
      </c>
      <c r="AT82" s="143">
        <f ca="1">+AT81/IS!AT36</f>
        <v>0.8573591806787294</v>
      </c>
      <c r="AU82" s="143">
        <f ca="1">+AU81/IS!AU36</f>
        <v>0.87104119171924532</v>
      </c>
      <c r="AV82" s="143">
        <f ca="1">+AV81/IS!AV36</f>
        <v>0.88547739844245421</v>
      </c>
      <c r="AW82" s="143">
        <f ca="1">+AW81/IS!AW36</f>
        <v>0.90061932445582782</v>
      </c>
      <c r="AX82" s="143">
        <f ca="1">+AX81/IS!AX36</f>
        <v>0.91642080345118881</v>
      </c>
      <c r="AY82" s="143">
        <f ca="1">+AY81/IS!AY36</f>
        <v>0.93061866423315254</v>
      </c>
    </row>
    <row r="83" spans="2:51">
      <c r="B83" s="7" t="s">
        <v>36</v>
      </c>
      <c r="H83" s="2"/>
      <c r="I83" s="2"/>
      <c r="J83" s="2">
        <f t="shared" ref="J83:K83" si="121">+J82/I82-1</f>
        <v>0.14169881630502634</v>
      </c>
      <c r="K83" s="2">
        <f t="shared" si="121"/>
        <v>0.2411047873982759</v>
      </c>
      <c r="L83" s="2">
        <f t="shared" ref="L83" ca="1" si="122">+L82/K82-1</f>
        <v>0.11225871412865684</v>
      </c>
      <c r="M83" s="2">
        <f t="shared" ref="M83" ca="1" si="123">+M82/L82-1</f>
        <v>5.8803542890659033E-2</v>
      </c>
      <c r="N83" s="2">
        <f t="shared" ref="N83" ca="1" si="124">+N82/M82-1</f>
        <v>6.6859730515040683E-2</v>
      </c>
      <c r="T83" s="2"/>
      <c r="U83" s="2"/>
      <c r="V83" s="2"/>
      <c r="W83" s="2"/>
      <c r="X83" s="2"/>
      <c r="Y83" s="2"/>
      <c r="Z83" s="2"/>
      <c r="AA83" s="2"/>
      <c r="AB83" s="2"/>
      <c r="AC83" s="2"/>
      <c r="AD83" s="2"/>
      <c r="AE83" s="2"/>
      <c r="AF83" s="2">
        <f t="shared" ref="AF83" si="125">+AF82/AB82-1</f>
        <v>0.16371219607049481</v>
      </c>
      <c r="AG83" s="2">
        <f t="shared" ref="AG83" si="126">+AG82/AC82-1</f>
        <v>6.3242822872750182E-2</v>
      </c>
      <c r="AH83" s="2">
        <f t="shared" ref="AH83" si="127">+AH82/AD82-1</f>
        <v>7.2566876898155552E-2</v>
      </c>
      <c r="AI83" s="2">
        <f t="shared" ref="AI83" si="128">+AI82/AE82-1</f>
        <v>0.26810323504031186</v>
      </c>
      <c r="AJ83" s="2">
        <f t="shared" ref="AJ83" si="129">+AJ82/AF82-1</f>
        <v>0.25794115813750551</v>
      </c>
      <c r="AK83" s="2">
        <f t="shared" ref="AK83" si="130">+AK82/AG82-1</f>
        <v>0.3478503148413632</v>
      </c>
      <c r="AL83" s="2">
        <f t="shared" ref="AL83" si="131">+AL82/AH82-1</f>
        <v>0.24125527199379637</v>
      </c>
      <c r="AM83" s="2">
        <f t="shared" ref="AM83" si="132">+AM82/AI82-1</f>
        <v>0.14367039206133025</v>
      </c>
      <c r="AN83" s="2">
        <f t="shared" ref="AN83:AO83" si="133">+AN82/AJ82-1</f>
        <v>0.17401099221223126</v>
      </c>
      <c r="AO83" s="2">
        <f t="shared" si="133"/>
        <v>0.10412524822233693</v>
      </c>
      <c r="AP83" s="2">
        <f t="shared" ref="AP83" ca="1" si="134">+AP82/AL82-1</f>
        <v>0.10434838719428519</v>
      </c>
      <c r="AQ83" s="2">
        <f t="shared" ref="AQ83" ca="1" si="135">+AQ82/AM82-1</f>
        <v>7.2516697969887467E-2</v>
      </c>
      <c r="AR83" s="2">
        <f t="shared" ref="AR83" ca="1" si="136">+AR82/AN82-1</f>
        <v>4.1757150377169427E-2</v>
      </c>
      <c r="AS83" s="2">
        <f t="shared" ref="AS83" ca="1" si="137">+AS82/AO82-1</f>
        <v>8.0192770050028228E-2</v>
      </c>
      <c r="AT83" s="2">
        <f t="shared" ref="AT83" ca="1" si="138">+AT82/AP82-1</f>
        <v>5.3829886663959492E-2</v>
      </c>
      <c r="AU83" s="2">
        <f t="shared" ref="AU83" ca="1" si="139">+AU82/AQ82-1</f>
        <v>5.995702480149756E-2</v>
      </c>
      <c r="AV83" s="2">
        <f t="shared" ref="AV83" ca="1" si="140">+AV82/AR82-1</f>
        <v>6.3552716186799918E-2</v>
      </c>
      <c r="AW83" s="2">
        <f t="shared" ref="AW83" ca="1" si="141">+AW82/AS82-1</f>
        <v>6.6474399037660836E-2</v>
      </c>
      <c r="AX83" s="2">
        <f t="shared" ref="AX83" ca="1" si="142">+AX82/AT82-1</f>
        <v>6.8887840829678026E-2</v>
      </c>
      <c r="AY83" s="2">
        <f t="shared" ref="AY83" ca="1" si="143">+AY82/AU82-1</f>
        <v>6.8397996650783277E-2</v>
      </c>
    </row>
    <row r="84" spans="2:51">
      <c r="M84" s="6"/>
      <c r="AL84" s="143"/>
      <c r="AP84" s="143"/>
      <c r="AT84" s="143"/>
    </row>
    <row r="85" spans="2:51">
      <c r="B85" t="s">
        <v>428</v>
      </c>
      <c r="X85" s="19">
        <v>32.200000000000003</v>
      </c>
      <c r="Y85" s="19">
        <v>48.2</v>
      </c>
      <c r="Z85" s="19">
        <v>32.700000000000003</v>
      </c>
      <c r="AA85" s="19">
        <v>45.1</v>
      </c>
      <c r="AB85" s="19">
        <v>25.3</v>
      </c>
      <c r="AC85" s="19">
        <v>18.8</v>
      </c>
      <c r="AD85" s="19">
        <v>68.2</v>
      </c>
      <c r="AE85" s="19">
        <v>37</v>
      </c>
      <c r="AF85" s="19">
        <v>55.1</v>
      </c>
      <c r="AG85" s="19">
        <v>41.1</v>
      </c>
      <c r="AH85" s="19">
        <v>10.7</v>
      </c>
      <c r="AI85" s="19">
        <v>30.6</v>
      </c>
      <c r="AJ85" s="19">
        <v>32.1</v>
      </c>
      <c r="AK85" s="19">
        <v>24</v>
      </c>
      <c r="AL85" s="19">
        <v>20.7</v>
      </c>
      <c r="AM85" s="19">
        <v>31</v>
      </c>
      <c r="AN85" s="19">
        <v>71.400000000000006</v>
      </c>
      <c r="AO85" s="19">
        <v>66.599999999999994</v>
      </c>
      <c r="AP85" s="35"/>
      <c r="AQ85" s="35"/>
      <c r="AR85" s="35"/>
      <c r="AS85" s="35"/>
      <c r="AT85" s="35"/>
    </row>
    <row r="86" spans="2:51">
      <c r="B86" t="s">
        <v>429</v>
      </c>
      <c r="X86" s="19">
        <v>-24.4</v>
      </c>
      <c r="Y86" s="19">
        <v>-44.1</v>
      </c>
      <c r="Z86" s="19">
        <v>-14.5</v>
      </c>
      <c r="AA86" s="19">
        <v>-39.4</v>
      </c>
      <c r="AB86" s="19">
        <v>-45.4</v>
      </c>
      <c r="AC86" s="19">
        <v>-17.8</v>
      </c>
      <c r="AD86" s="19">
        <v>-50.6</v>
      </c>
      <c r="AE86" s="19">
        <v>-25.9</v>
      </c>
      <c r="AF86" s="19">
        <v>-36.799999999999997</v>
      </c>
      <c r="AG86" s="19">
        <v>-29.8</v>
      </c>
      <c r="AH86" s="19">
        <v>-46.4</v>
      </c>
      <c r="AI86" s="19">
        <v>-38.799999999999997</v>
      </c>
      <c r="AJ86" s="19">
        <v>-34.4</v>
      </c>
      <c r="AK86" s="19">
        <v>-23.7</v>
      </c>
      <c r="AL86" s="19">
        <v>-27.4</v>
      </c>
      <c r="AM86" s="19">
        <v>-29.1</v>
      </c>
      <c r="AN86" s="19">
        <v>-51.5</v>
      </c>
      <c r="AO86" s="19">
        <v>-48</v>
      </c>
    </row>
    <row r="87" spans="2:51">
      <c r="B87" t="s">
        <v>430</v>
      </c>
      <c r="X87" s="19">
        <v>-15.7</v>
      </c>
      <c r="Y87" s="19">
        <v>-17.399999999999999</v>
      </c>
      <c r="Z87" s="19">
        <v>-20</v>
      </c>
      <c r="AA87" s="19">
        <v>-23.8</v>
      </c>
      <c r="AB87" s="19">
        <v>-20.6</v>
      </c>
      <c r="AC87" s="19">
        <v>-33.700000000000003</v>
      </c>
      <c r="AD87" s="19">
        <v>-42.7</v>
      </c>
      <c r="AE87" s="19">
        <v>-21.5</v>
      </c>
      <c r="AF87" s="19">
        <v>-22.8</v>
      </c>
      <c r="AG87" s="19">
        <v>-41.6</v>
      </c>
      <c r="AH87" s="19">
        <v>-34.5</v>
      </c>
      <c r="AI87" s="19">
        <v>-46.4</v>
      </c>
      <c r="AJ87" s="19">
        <v>-37.700000000000003</v>
      </c>
      <c r="AK87" s="19">
        <v>-47.8</v>
      </c>
      <c r="AL87" s="19">
        <v>-34.5</v>
      </c>
      <c r="AM87" s="19">
        <v>-30.8</v>
      </c>
      <c r="AN87" s="19">
        <v>-31.5</v>
      </c>
      <c r="AO87" s="19">
        <v>-32.9</v>
      </c>
    </row>
    <row r="88" spans="2:51">
      <c r="B88" t="s">
        <v>431</v>
      </c>
      <c r="X88" s="6">
        <f>+X81+SUM(X85:X87)</f>
        <v>69.256228678049112</v>
      </c>
      <c r="Y88" s="6">
        <f t="shared" ref="Y88:AN88" si="144">+Y81+SUM(Y85:Y87)</f>
        <v>69.206400997711711</v>
      </c>
      <c r="Z88" s="6">
        <f t="shared" si="144"/>
        <v>85.659242023450986</v>
      </c>
      <c r="AA88" s="6">
        <f t="shared" si="144"/>
        <v>69.927685472463864</v>
      </c>
      <c r="AB88" s="6">
        <f t="shared" si="144"/>
        <v>62.999999999999986</v>
      </c>
      <c r="AC88" s="6">
        <f t="shared" si="144"/>
        <v>84.499999999999957</v>
      </c>
      <c r="AD88" s="6">
        <f t="shared" si="144"/>
        <v>107.49999999999997</v>
      </c>
      <c r="AE88" s="6">
        <f t="shared" si="144"/>
        <v>116.20000000000005</v>
      </c>
      <c r="AF88" s="6">
        <f t="shared" si="144"/>
        <v>127</v>
      </c>
      <c r="AG88" s="6">
        <f t="shared" si="144"/>
        <v>98.300000000000026</v>
      </c>
      <c r="AH88" s="6">
        <f t="shared" si="144"/>
        <v>74.199999999999974</v>
      </c>
      <c r="AI88" s="6">
        <f t="shared" si="144"/>
        <v>108.4</v>
      </c>
      <c r="AJ88" s="6">
        <f t="shared" si="144"/>
        <v>126.10000000000002</v>
      </c>
      <c r="AK88" s="6">
        <f t="shared" si="144"/>
        <v>126.39999999999995</v>
      </c>
      <c r="AL88" s="6">
        <f t="shared" si="144"/>
        <v>140.10000000000002</v>
      </c>
      <c r="AM88" s="6">
        <f t="shared" si="144"/>
        <v>160.20000000000005</v>
      </c>
      <c r="AN88" s="6">
        <f t="shared" si="144"/>
        <v>186.60000000000002</v>
      </c>
      <c r="AO88" s="6">
        <f t="shared" ref="AO88" si="145">+AO81+SUM(AO85:AO87)</f>
        <v>180.59999999999994</v>
      </c>
    </row>
    <row r="93" spans="2:51">
      <c r="AO93" s="41"/>
      <c r="AP93" s="41"/>
      <c r="AQ93" s="41"/>
      <c r="AR93" s="41"/>
      <c r="AS93" s="41"/>
      <c r="AT93" s="41"/>
      <c r="AU93" s="41"/>
      <c r="AV93" s="41"/>
      <c r="AW93" s="41"/>
      <c r="AX93" s="41"/>
      <c r="AY93" s="41"/>
    </row>
    <row r="94" spans="2:51">
      <c r="AO94" s="41"/>
      <c r="AP94" s="41"/>
      <c r="AQ94" s="41"/>
      <c r="AR94" s="41"/>
      <c r="AS94" s="41"/>
      <c r="AT94" s="41"/>
      <c r="AU94" s="41"/>
      <c r="AV94" s="41"/>
      <c r="AW94" s="41"/>
      <c r="AX94" s="41"/>
      <c r="AY94" s="41"/>
    </row>
    <row r="95" spans="2:51">
      <c r="AO95" s="41"/>
      <c r="AP95" s="41"/>
      <c r="AQ95" s="41"/>
      <c r="AR95" s="41"/>
      <c r="AS95" s="41"/>
      <c r="AT95" s="41"/>
      <c r="AU95" s="41"/>
      <c r="AV95" s="41"/>
      <c r="AW95" s="41"/>
      <c r="AX95" s="41"/>
      <c r="AY95" s="41"/>
    </row>
    <row r="96" spans="2:51">
      <c r="AO96" s="41"/>
      <c r="AP96" s="41"/>
      <c r="AQ96" s="41"/>
      <c r="AR96" s="41"/>
      <c r="AS96" s="41"/>
      <c r="AT96" s="41"/>
      <c r="AU96" s="41"/>
      <c r="AV96" s="41"/>
      <c r="AW96" s="41"/>
      <c r="AX96" s="41"/>
      <c r="AY96" s="41"/>
    </row>
    <row r="97" spans="41:51">
      <c r="AO97" s="41"/>
      <c r="AP97" s="41"/>
      <c r="AQ97" s="41"/>
      <c r="AR97" s="41"/>
      <c r="AS97" s="41"/>
      <c r="AT97" s="41"/>
      <c r="AU97" s="41"/>
      <c r="AV97" s="41"/>
      <c r="AW97" s="41"/>
      <c r="AX97" s="41"/>
      <c r="AY97" s="41"/>
    </row>
    <row r="98" spans="41:51">
      <c r="AO98" s="41"/>
      <c r="AP98" s="41"/>
      <c r="AQ98" s="41"/>
      <c r="AR98" s="41"/>
      <c r="AS98" s="41"/>
      <c r="AT98" s="41"/>
      <c r="AU98" s="41"/>
      <c r="AV98" s="41"/>
      <c r="AW98" s="41"/>
      <c r="AX98" s="41"/>
      <c r="AY98" s="41"/>
    </row>
    <row r="99" spans="41:51">
      <c r="AO99" s="41"/>
      <c r="AP99" s="41"/>
      <c r="AQ99" s="41"/>
      <c r="AR99" s="41"/>
      <c r="AS99" s="41"/>
      <c r="AT99" s="41"/>
      <c r="AU99" s="41"/>
      <c r="AV99" s="41"/>
      <c r="AW99" s="41"/>
      <c r="AX99" s="41"/>
      <c r="AY99" s="41"/>
    </row>
    <row r="100" spans="41:51">
      <c r="AO100" s="6"/>
      <c r="AP100" s="6"/>
      <c r="AQ100" s="6"/>
      <c r="AR100" s="6"/>
      <c r="AS100" s="6"/>
      <c r="AT100" s="6"/>
      <c r="AU100" s="6"/>
      <c r="AV100" s="6"/>
      <c r="AW100" s="6"/>
      <c r="AX100" s="6"/>
      <c r="AY100" s="6"/>
    </row>
    <row r="101" spans="41:51">
      <c r="AO101" s="41"/>
      <c r="AP101" s="41"/>
      <c r="AQ101" s="41"/>
      <c r="AR101" s="41"/>
      <c r="AS101" s="41"/>
      <c r="AT101" s="41"/>
      <c r="AU101" s="41"/>
      <c r="AV101" s="41"/>
      <c r="AW101" s="41"/>
      <c r="AX101" s="41"/>
      <c r="AY101" s="41"/>
    </row>
    <row r="102" spans="41:51">
      <c r="AO102" s="6"/>
      <c r="AP102" s="6"/>
      <c r="AQ102" s="6"/>
      <c r="AR102" s="6"/>
      <c r="AS102" s="6"/>
      <c r="AT102" s="6"/>
      <c r="AU102" s="6"/>
      <c r="AV102" s="6"/>
      <c r="AW102" s="6"/>
      <c r="AX102" s="6"/>
      <c r="AY102" s="6"/>
    </row>
    <row r="103" spans="41:51">
      <c r="AO103" s="143"/>
      <c r="AP103" s="143"/>
      <c r="AQ103" s="143"/>
      <c r="AR103" s="143"/>
      <c r="AS103" s="143"/>
      <c r="AT103" s="143"/>
      <c r="AU103" s="143"/>
      <c r="AV103" s="143"/>
      <c r="AW103" s="143"/>
      <c r="AX103" s="143"/>
      <c r="AY103" s="143"/>
    </row>
    <row r="104" spans="41:51">
      <c r="AO104" s="2"/>
      <c r="AP104" s="2"/>
      <c r="AQ104" s="2"/>
      <c r="AR104" s="2"/>
      <c r="AS104" s="2"/>
      <c r="AT104" s="2"/>
      <c r="AU104" s="2"/>
      <c r="AV104" s="2"/>
      <c r="AW104" s="2"/>
      <c r="AX104" s="2"/>
      <c r="AY104" s="2"/>
    </row>
  </sheetData>
  <pageMargins left="0" right="0" top="0" bottom="0" header="0" footer="0"/>
  <pageSetup scale="48" orientation="landscape" r:id="rId1"/>
  <legacy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F2"/>
  <sheetViews>
    <sheetView workbookViewId="0"/>
  </sheetViews>
  <sheetFormatPr defaultRowHeight="12.75"/>
  <sheetData>
    <row r="1" spans="1:6">
      <c r="A1" t="s">
        <v>327</v>
      </c>
    </row>
    <row r="2" spans="1:6">
      <c r="A2" s="150" t="s">
        <v>326</v>
      </c>
      <c r="B2" s="150" t="s">
        <v>313</v>
      </c>
      <c r="C2" s="150" t="s">
        <v>324</v>
      </c>
      <c r="D2" s="150" t="s">
        <v>441</v>
      </c>
      <c r="E2" s="150" t="s">
        <v>325</v>
      </c>
      <c r="F2" s="150" t="s">
        <v>359</v>
      </c>
    </row>
  </sheetData>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2:BZ150"/>
  <sheetViews>
    <sheetView showGridLines="0" zoomScale="70" zoomScaleNormal="70" workbookViewId="0">
      <pane xSplit="3" ySplit="3" topLeftCell="G4" activePane="bottomRight" state="frozen"/>
      <selection activeCell="E21" sqref="E21"/>
      <selection pane="topRight" activeCell="E21" sqref="E21"/>
      <selection pane="bottomLeft" activeCell="E21" sqref="E21"/>
      <selection pane="bottomRight" activeCell="G4" sqref="G4"/>
    </sheetView>
  </sheetViews>
  <sheetFormatPr defaultRowHeight="12.75" outlineLevelRow="1" outlineLevelCol="1"/>
  <cols>
    <col min="1" max="1" width="2" bestFit="1" customWidth="1"/>
    <col min="2" max="2" width="32.5703125" customWidth="1"/>
    <col min="3" max="3" width="9.140625" customWidth="1"/>
    <col min="4" max="6" width="9.140625" hidden="1" customWidth="1" outlineLevel="1"/>
    <col min="7" max="7" width="9.140625" customWidth="1" collapsed="1"/>
    <col min="8" max="11" width="9.140625" customWidth="1"/>
    <col min="12" max="14" width="9.140625" hidden="1" customWidth="1" outlineLevel="1"/>
    <col min="15" max="15" width="9.140625" customWidth="1" collapsed="1"/>
    <col min="16" max="19" width="9.140625" hidden="1" customWidth="1" outlineLevel="1"/>
    <col min="20" max="20" width="9.42578125" hidden="1" customWidth="1" outlineLevel="1" collapsed="1"/>
    <col min="21" max="23" width="9.28515625" hidden="1" customWidth="1" outlineLevel="1"/>
    <col min="24" max="24" width="9.42578125" hidden="1" customWidth="1" outlineLevel="1" collapsed="1"/>
    <col min="25" max="26" width="9.42578125" hidden="1" customWidth="1" outlineLevel="1"/>
    <col min="27" max="27" width="9.140625" hidden="1" customWidth="1" outlineLevel="1"/>
    <col min="28" max="28" width="9.140625" hidden="1" customWidth="1" outlineLevel="1" collapsed="1"/>
    <col min="29" max="31" width="9.140625" hidden="1" customWidth="1" outlineLevel="1"/>
    <col min="32" max="32" width="0" hidden="1" customWidth="1" outlineLevel="1" collapsed="1"/>
    <col min="33" max="35" width="0" hidden="1" customWidth="1" outlineLevel="1"/>
    <col min="36" max="36" width="9.140625" collapsed="1"/>
  </cols>
  <sheetData>
    <row r="2" spans="1:78" s="14" customFormat="1">
      <c r="B2" s="13" t="s">
        <v>2</v>
      </c>
      <c r="C2" s="13"/>
      <c r="D2" s="52">
        <f>Rev!D2</f>
        <v>40359</v>
      </c>
      <c r="E2" s="52">
        <f>Rev!E2</f>
        <v>40724</v>
      </c>
      <c r="F2" s="52">
        <f>Rev!F2</f>
        <v>41090</v>
      </c>
      <c r="G2" s="52">
        <f>Rev!G2</f>
        <v>41455</v>
      </c>
      <c r="H2" s="52">
        <f>Rev!H2</f>
        <v>41820</v>
      </c>
      <c r="I2" s="52">
        <f>Rev!I2</f>
        <v>42185</v>
      </c>
      <c r="J2" s="52">
        <f>Rev!J2</f>
        <v>42551</v>
      </c>
      <c r="K2" s="52">
        <f>Rev!K2</f>
        <v>42916</v>
      </c>
      <c r="L2" s="52">
        <f>Rev!L2</f>
        <v>43281</v>
      </c>
      <c r="M2" s="52">
        <f>Rev!M2</f>
        <v>43646</v>
      </c>
      <c r="N2" s="52">
        <f>Rev!N2</f>
        <v>44012</v>
      </c>
      <c r="O2" s="13"/>
      <c r="P2" s="13"/>
      <c r="Q2" s="13"/>
      <c r="R2" s="13"/>
      <c r="S2" s="13"/>
      <c r="T2" s="52">
        <f>Rev!T2</f>
        <v>41182</v>
      </c>
      <c r="U2" s="52">
        <f>Rev!U2</f>
        <v>41274</v>
      </c>
      <c r="V2" s="52">
        <f>Rev!V2</f>
        <v>41364</v>
      </c>
      <c r="W2" s="52">
        <f>Rev!W2</f>
        <v>41455</v>
      </c>
      <c r="X2" s="52">
        <f>Rev!X2</f>
        <v>41547</v>
      </c>
      <c r="Y2" s="52">
        <f>Rev!Y2</f>
        <v>41639</v>
      </c>
      <c r="Z2" s="53">
        <f>Rev!Z2</f>
        <v>41729</v>
      </c>
      <c r="AA2" s="52">
        <f>Rev!AA2</f>
        <v>41820</v>
      </c>
      <c r="AB2" s="52">
        <f>Rev!AB2</f>
        <v>41912</v>
      </c>
      <c r="AC2" s="52">
        <f>Rev!AC2</f>
        <v>42004</v>
      </c>
      <c r="AD2" s="52">
        <f>Rev!AD2</f>
        <v>42094</v>
      </c>
      <c r="AE2" s="52">
        <f>Rev!AE2</f>
        <v>42185</v>
      </c>
      <c r="AF2" s="52">
        <f>Rev!AF2</f>
        <v>42277</v>
      </c>
      <c r="AG2" s="52">
        <f>Rev!AG2</f>
        <v>42369</v>
      </c>
      <c r="AH2" s="52">
        <f>Rev!AH2</f>
        <v>42460</v>
      </c>
      <c r="AI2" s="52">
        <f>Rev!AI2</f>
        <v>42551</v>
      </c>
      <c r="AJ2" s="52">
        <f>Rev!AJ2</f>
        <v>42643</v>
      </c>
      <c r="AK2" s="52">
        <f>Rev!AK2</f>
        <v>42735</v>
      </c>
      <c r="AL2" s="52">
        <f>Rev!AL2</f>
        <v>42825</v>
      </c>
      <c r="AM2" s="52">
        <f>Rev!AM2</f>
        <v>42916</v>
      </c>
      <c r="AN2" s="52">
        <f>Rev!AN2</f>
        <v>43008</v>
      </c>
      <c r="AO2" s="52">
        <f>Rev!AO2</f>
        <v>43100</v>
      </c>
      <c r="AP2" s="52">
        <f>Rev!AP2</f>
        <v>43190</v>
      </c>
      <c r="AQ2" s="52">
        <f>Rev!AQ2</f>
        <v>43281</v>
      </c>
      <c r="AR2" s="52">
        <f>Rev!AR2</f>
        <v>43373</v>
      </c>
      <c r="AS2" s="52">
        <f>Rev!AS2</f>
        <v>43465</v>
      </c>
      <c r="AT2" s="52">
        <f>Rev!AT2</f>
        <v>43555</v>
      </c>
      <c r="AU2" s="52">
        <f>Rev!AU2</f>
        <v>43646</v>
      </c>
      <c r="AV2" s="52">
        <f>Rev!AV2</f>
        <v>43738</v>
      </c>
      <c r="AW2" s="52">
        <f>Rev!AW2</f>
        <v>43830</v>
      </c>
      <c r="AX2" s="52">
        <f>Rev!AX2</f>
        <v>43921</v>
      </c>
      <c r="AY2" s="52">
        <f>Rev!AY2</f>
        <v>44012</v>
      </c>
      <c r="AZ2" s="52"/>
      <c r="BA2" s="52"/>
      <c r="BB2" s="52"/>
      <c r="BC2" s="52"/>
      <c r="BD2" s="52"/>
      <c r="BE2" s="52"/>
      <c r="BF2" s="52"/>
      <c r="BG2" s="52"/>
      <c r="BH2" s="52"/>
      <c r="BI2" s="52"/>
      <c r="BJ2" s="52"/>
      <c r="BK2" s="52"/>
      <c r="BL2" s="52"/>
      <c r="BM2" s="52"/>
      <c r="BN2" s="52"/>
      <c r="BO2" s="52"/>
      <c r="BP2" s="52"/>
      <c r="BQ2" s="52"/>
      <c r="BR2" s="52"/>
      <c r="BS2" s="52"/>
      <c r="BT2" s="52"/>
      <c r="BU2" s="52"/>
      <c r="BV2" s="52"/>
      <c r="BW2" s="52"/>
      <c r="BX2" s="52"/>
      <c r="BY2" s="52"/>
      <c r="BZ2" s="52"/>
    </row>
    <row r="3" spans="1:78" s="16" customFormat="1">
      <c r="B3" s="15" t="s">
        <v>1</v>
      </c>
      <c r="C3" s="15"/>
      <c r="D3" s="103">
        <f>Rev!D3</f>
        <v>2010</v>
      </c>
      <c r="E3" s="103">
        <f>Rev!E3</f>
        <v>2011</v>
      </c>
      <c r="F3" s="103">
        <f>Rev!F3</f>
        <v>2012</v>
      </c>
      <c r="G3" s="103">
        <f>Rev!G3</f>
        <v>2013</v>
      </c>
      <c r="H3" s="103">
        <f>Rev!H3</f>
        <v>2014</v>
      </c>
      <c r="I3" s="54">
        <f>Rev!I3</f>
        <v>2015</v>
      </c>
      <c r="J3" s="54">
        <f>Rev!J3</f>
        <v>2016</v>
      </c>
      <c r="K3" s="54">
        <f>Rev!K3</f>
        <v>2017</v>
      </c>
      <c r="L3" s="54" t="str">
        <f>Rev!L3</f>
        <v>2018E</v>
      </c>
      <c r="M3" s="54" t="str">
        <f>Rev!M3</f>
        <v>2019E</v>
      </c>
      <c r="N3" s="54" t="str">
        <f>Rev!N3</f>
        <v>2020E</v>
      </c>
      <c r="O3" s="15"/>
      <c r="P3" s="15"/>
      <c r="Q3" s="15"/>
      <c r="R3" s="15"/>
      <c r="S3" s="15"/>
      <c r="T3" s="54" t="str">
        <f>Rev!T3</f>
        <v>1Q13</v>
      </c>
      <c r="U3" s="54" t="str">
        <f>Rev!U3</f>
        <v>2Q13</v>
      </c>
      <c r="V3" s="54" t="str">
        <f>Rev!V3</f>
        <v>3Q13</v>
      </c>
      <c r="W3" s="54" t="str">
        <f>Rev!W3</f>
        <v>4Q13</v>
      </c>
      <c r="X3" s="54" t="str">
        <f>Rev!X3</f>
        <v>1Q14</v>
      </c>
      <c r="Y3" s="54" t="str">
        <f>Rev!Y3</f>
        <v>2Q14</v>
      </c>
      <c r="Z3" s="55" t="str">
        <f>Rev!Z3</f>
        <v>3Q14</v>
      </c>
      <c r="AA3" s="56" t="str">
        <f>Rev!AA3</f>
        <v>4Q14</v>
      </c>
      <c r="AB3" s="56" t="str">
        <f>Rev!AB3</f>
        <v>1Q15</v>
      </c>
      <c r="AC3" s="56" t="str">
        <f>Rev!AC3</f>
        <v>2Q15</v>
      </c>
      <c r="AD3" s="56" t="str">
        <f>Rev!AD3</f>
        <v>3Q15</v>
      </c>
      <c r="AE3" s="56" t="str">
        <f>Rev!AE3</f>
        <v>4Q15</v>
      </c>
      <c r="AF3" s="56" t="str">
        <f>Rev!AF3</f>
        <v>1Q16</v>
      </c>
      <c r="AG3" s="56" t="str">
        <f>Rev!AG3</f>
        <v>2Q16</v>
      </c>
      <c r="AH3" s="56" t="str">
        <f>Rev!AH3</f>
        <v>3Q16</v>
      </c>
      <c r="AI3" s="56" t="str">
        <f>Rev!AI3</f>
        <v>4Q16</v>
      </c>
      <c r="AJ3" s="56" t="str">
        <f>Rev!AJ3</f>
        <v>1Q17</v>
      </c>
      <c r="AK3" s="56" t="str">
        <f>Rev!AK3</f>
        <v>2Q17</v>
      </c>
      <c r="AL3" s="56" t="str">
        <f>Rev!AL3</f>
        <v>3Q17</v>
      </c>
      <c r="AM3" s="56" t="str">
        <f>Rev!AM3</f>
        <v>4Q17</v>
      </c>
      <c r="AN3" s="56" t="str">
        <f>Rev!AN3</f>
        <v>1Q18</v>
      </c>
      <c r="AO3" s="56" t="str">
        <f>Rev!AO3</f>
        <v>2Q18</v>
      </c>
      <c r="AP3" s="56" t="str">
        <f>Rev!AP3</f>
        <v>3Q18E</v>
      </c>
      <c r="AQ3" s="56" t="str">
        <f>Rev!AQ3</f>
        <v>4Q18E</v>
      </c>
      <c r="AR3" s="56" t="str">
        <f>Rev!AR3</f>
        <v>1Q19E</v>
      </c>
      <c r="AS3" s="56" t="str">
        <f>Rev!AS3</f>
        <v>2Q19E</v>
      </c>
      <c r="AT3" s="56" t="str">
        <f>Rev!AT3</f>
        <v>3Q19E</v>
      </c>
      <c r="AU3" s="56" t="str">
        <f>Rev!AU3</f>
        <v>4Q19E</v>
      </c>
      <c r="AV3" s="56" t="str">
        <f>Rev!AV3</f>
        <v>1Q20E</v>
      </c>
      <c r="AW3" s="56" t="str">
        <f>Rev!AW3</f>
        <v>2Q20E</v>
      </c>
      <c r="AX3" s="56" t="str">
        <f>Rev!AX3</f>
        <v>3Q20E</v>
      </c>
      <c r="AY3" s="56" t="str">
        <f>Rev!AY3</f>
        <v>4Q20E</v>
      </c>
      <c r="AZ3" s="56"/>
      <c r="BA3" s="56"/>
      <c r="BB3" s="56"/>
      <c r="BC3" s="56"/>
      <c r="BD3" s="56"/>
      <c r="BE3" s="56"/>
      <c r="BF3" s="56"/>
      <c r="BG3" s="56"/>
      <c r="BH3" s="56"/>
      <c r="BI3" s="56"/>
      <c r="BJ3" s="56"/>
      <c r="BK3" s="56"/>
      <c r="BL3" s="56"/>
      <c r="BM3" s="56"/>
      <c r="BN3" s="56"/>
      <c r="BO3" s="56"/>
      <c r="BP3" s="56"/>
      <c r="BQ3" s="56"/>
      <c r="BR3" s="56"/>
      <c r="BS3" s="56"/>
      <c r="BT3" s="56"/>
      <c r="BU3" s="56"/>
      <c r="BV3" s="56"/>
      <c r="BW3" s="56"/>
      <c r="BX3" s="56"/>
      <c r="BY3" s="56"/>
      <c r="BZ3" s="56"/>
    </row>
    <row r="4" spans="1:78" s="13" customFormat="1">
      <c r="Z4" s="17"/>
    </row>
    <row r="5" spans="1:78" s="72" customFormat="1">
      <c r="B5" s="72" t="s">
        <v>186</v>
      </c>
      <c r="Z5" s="74">
        <v>5.0000000000000001E-3</v>
      </c>
      <c r="AA5" s="73">
        <f>+Z5+0.0001</f>
        <v>5.1000000000000004E-3</v>
      </c>
      <c r="AB5" s="73">
        <f t="shared" ref="AB5:AO5" si="0">+AA5+0.0001</f>
        <v>5.2000000000000006E-3</v>
      </c>
      <c r="AC5" s="73">
        <f t="shared" si="0"/>
        <v>5.3000000000000009E-3</v>
      </c>
      <c r="AD5" s="73">
        <f t="shared" si="0"/>
        <v>5.4000000000000012E-3</v>
      </c>
      <c r="AE5" s="73">
        <f t="shared" si="0"/>
        <v>5.5000000000000014E-3</v>
      </c>
      <c r="AF5" s="73">
        <f t="shared" si="0"/>
        <v>5.6000000000000017E-3</v>
      </c>
      <c r="AG5" s="73">
        <f t="shared" si="0"/>
        <v>5.7000000000000019E-3</v>
      </c>
      <c r="AH5" s="73">
        <f t="shared" si="0"/>
        <v>5.8000000000000022E-3</v>
      </c>
      <c r="AI5" s="73">
        <f t="shared" si="0"/>
        <v>5.9000000000000025E-3</v>
      </c>
      <c r="AJ5" s="73">
        <f t="shared" si="0"/>
        <v>6.0000000000000027E-3</v>
      </c>
      <c r="AK5" s="73">
        <f t="shared" si="0"/>
        <v>6.100000000000003E-3</v>
      </c>
      <c r="AL5" s="73">
        <f t="shared" si="0"/>
        <v>6.2000000000000033E-3</v>
      </c>
      <c r="AM5" s="73">
        <f t="shared" si="0"/>
        <v>6.3000000000000035E-3</v>
      </c>
      <c r="AN5" s="73">
        <f t="shared" si="0"/>
        <v>6.4000000000000038E-3</v>
      </c>
      <c r="AO5" s="73">
        <f t="shared" si="0"/>
        <v>6.500000000000004E-3</v>
      </c>
      <c r="AP5" s="73">
        <f t="shared" ref="AP5:AX5" si="1">+AO5+0.0001</f>
        <v>6.6000000000000043E-3</v>
      </c>
      <c r="AQ5" s="73">
        <f t="shared" si="1"/>
        <v>6.7000000000000046E-3</v>
      </c>
      <c r="AR5" s="73">
        <f t="shared" si="1"/>
        <v>6.8000000000000048E-3</v>
      </c>
      <c r="AS5" s="73">
        <f t="shared" si="1"/>
        <v>6.9000000000000051E-3</v>
      </c>
      <c r="AT5" s="73">
        <f t="shared" si="1"/>
        <v>7.0000000000000053E-3</v>
      </c>
      <c r="AU5" s="73">
        <f t="shared" si="1"/>
        <v>7.1000000000000056E-3</v>
      </c>
      <c r="AV5" s="73">
        <f t="shared" si="1"/>
        <v>7.2000000000000059E-3</v>
      </c>
      <c r="AW5" s="73">
        <f t="shared" si="1"/>
        <v>7.3000000000000061E-3</v>
      </c>
      <c r="AX5" s="73">
        <f t="shared" si="1"/>
        <v>7.4000000000000064E-3</v>
      </c>
      <c r="AY5" s="73">
        <f t="shared" ref="AY5" si="2">+AX5+0.0001</f>
        <v>7.5000000000000067E-3</v>
      </c>
      <c r="AZ5" s="73"/>
      <c r="BA5" s="73"/>
      <c r="BB5" s="73"/>
      <c r="BC5" s="73"/>
      <c r="BD5" s="73"/>
      <c r="BE5" s="73"/>
      <c r="BF5" s="73"/>
      <c r="BG5" s="73"/>
      <c r="BH5" s="73"/>
      <c r="BI5" s="73"/>
      <c r="BJ5" s="73"/>
      <c r="BK5" s="73"/>
      <c r="BL5" s="73"/>
      <c r="BM5" s="73"/>
      <c r="BN5" s="73"/>
      <c r="BO5" s="73"/>
      <c r="BP5" s="73"/>
      <c r="BQ5" s="73"/>
      <c r="BR5" s="73"/>
      <c r="BS5" s="73"/>
      <c r="BT5" s="73"/>
      <c r="BU5" s="73"/>
      <c r="BV5" s="73"/>
      <c r="BW5" s="73"/>
      <c r="BX5" s="73"/>
      <c r="BY5" s="73"/>
      <c r="BZ5" s="73"/>
    </row>
    <row r="6" spans="1:78" s="15" customFormat="1"/>
    <row r="7" spans="1:78" s="1" customFormat="1">
      <c r="A7" s="1" t="s">
        <v>40</v>
      </c>
      <c r="B7" s="77" t="s">
        <v>207</v>
      </c>
    </row>
    <row r="8" spans="1:78" s="6" customFormat="1">
      <c r="B8" s="115" t="s">
        <v>208</v>
      </c>
      <c r="C8" s="19"/>
      <c r="D8" s="18"/>
      <c r="E8" s="18"/>
      <c r="F8" s="18"/>
      <c r="G8" s="18"/>
      <c r="H8" s="18">
        <f>+SUM(X8:AA8)</f>
        <v>0</v>
      </c>
      <c r="I8" s="18">
        <f>+SUM(AB8:AE8)</f>
        <v>391.4</v>
      </c>
      <c r="J8" s="18">
        <f>+SUM(AF8:AI8)</f>
        <v>0</v>
      </c>
      <c r="K8" s="18">
        <f>+SUM(AJ8:AM8)</f>
        <v>0</v>
      </c>
      <c r="L8" s="18">
        <f>+SUM(AN8:AQ8)</f>
        <v>0</v>
      </c>
      <c r="M8" s="18">
        <f>+SUM(AR8:AU8)</f>
        <v>0</v>
      </c>
      <c r="N8" s="18">
        <f>+SUM(AV8:AY8)</f>
        <v>0</v>
      </c>
      <c r="O8" s="19"/>
      <c r="V8" s="70"/>
      <c r="Z8" s="70"/>
      <c r="AA8" s="70"/>
      <c r="AB8" s="70"/>
      <c r="AC8" s="62">
        <f>+CF!AC40</f>
        <v>282</v>
      </c>
      <c r="AD8" s="281">
        <f>4*27.35</f>
        <v>109.4</v>
      </c>
      <c r="AE8" s="70"/>
      <c r="AF8" s="70"/>
      <c r="AG8" s="70"/>
      <c r="AH8" s="70"/>
      <c r="AI8" s="70"/>
      <c r="AJ8" s="70"/>
      <c r="AK8" s="70"/>
      <c r="AL8" s="70"/>
      <c r="AM8" s="70"/>
      <c r="AN8" s="70"/>
      <c r="AO8" s="70"/>
      <c r="AP8" s="70"/>
      <c r="AQ8" s="70"/>
      <c r="AR8" s="70"/>
      <c r="AS8" s="70"/>
      <c r="AT8" s="70"/>
      <c r="AU8" s="70"/>
      <c r="AV8" s="70"/>
      <c r="AW8" s="70"/>
      <c r="AX8" s="70"/>
      <c r="AY8" s="70"/>
      <c r="AZ8" s="70"/>
      <c r="BA8" s="70"/>
      <c r="BB8" s="70"/>
      <c r="BC8" s="70"/>
      <c r="BD8" s="70"/>
      <c r="BE8" s="70"/>
      <c r="BF8" s="70"/>
      <c r="BG8" s="70"/>
      <c r="BH8" s="70"/>
      <c r="BI8" s="70"/>
      <c r="BJ8" s="70"/>
      <c r="BK8" s="70"/>
      <c r="BL8" s="70"/>
      <c r="BM8" s="70"/>
      <c r="BN8" s="70"/>
      <c r="BO8" s="70"/>
      <c r="BP8" s="70"/>
      <c r="BQ8" s="70"/>
      <c r="BR8" s="70"/>
      <c r="BS8" s="70"/>
      <c r="BT8" s="70"/>
      <c r="BU8" s="70"/>
      <c r="BV8" s="70"/>
      <c r="BW8" s="70"/>
      <c r="BX8" s="70"/>
      <c r="BY8" s="70"/>
      <c r="BZ8" s="70"/>
    </row>
    <row r="9" spans="1:78">
      <c r="C9" s="68"/>
      <c r="D9" s="68"/>
      <c r="E9" s="68"/>
      <c r="F9" s="68"/>
      <c r="G9" s="68"/>
      <c r="H9" s="68"/>
      <c r="I9" s="68"/>
      <c r="J9" s="68"/>
      <c r="K9" s="68"/>
      <c r="L9" s="68"/>
      <c r="M9" s="68"/>
      <c r="N9" s="68"/>
      <c r="O9" s="68"/>
      <c r="T9" s="6"/>
      <c r="U9" s="6"/>
      <c r="V9" s="70"/>
      <c r="W9" s="6"/>
      <c r="X9" s="6"/>
      <c r="Y9" s="6"/>
      <c r="Z9" s="70"/>
      <c r="AA9" s="70"/>
      <c r="AB9" s="70"/>
      <c r="AC9" s="70"/>
      <c r="AD9" s="70"/>
      <c r="AE9" s="70"/>
      <c r="AF9" s="70"/>
      <c r="AG9" s="70"/>
      <c r="AH9" s="70"/>
      <c r="AI9" s="70"/>
      <c r="AJ9" s="70"/>
      <c r="AK9" s="70"/>
      <c r="AL9" s="70"/>
      <c r="AM9" s="70"/>
      <c r="AN9" s="70"/>
      <c r="AO9" s="70"/>
      <c r="AP9" s="70"/>
      <c r="AQ9" s="70"/>
      <c r="AR9" s="70"/>
      <c r="AS9" s="70"/>
      <c r="AT9" s="70"/>
      <c r="AU9" s="70"/>
      <c r="AV9" s="70"/>
      <c r="AW9" s="70"/>
      <c r="AX9" s="70"/>
      <c r="AY9" s="70"/>
      <c r="AZ9" s="70"/>
      <c r="BA9" s="70"/>
      <c r="BB9" s="70"/>
      <c r="BC9" s="70"/>
      <c r="BD9" s="70"/>
      <c r="BE9" s="70"/>
      <c r="BF9" s="70"/>
      <c r="BG9" s="70"/>
      <c r="BH9" s="70"/>
      <c r="BI9" s="70"/>
      <c r="BJ9" s="70"/>
      <c r="BK9" s="70"/>
      <c r="BL9" s="70"/>
      <c r="BM9" s="70"/>
      <c r="BN9" s="70"/>
      <c r="BO9" s="70"/>
      <c r="BP9" s="70"/>
      <c r="BQ9" s="70"/>
      <c r="BR9" s="70"/>
      <c r="BS9" s="70"/>
      <c r="BT9" s="70"/>
      <c r="BU9" s="70"/>
      <c r="BV9" s="70"/>
      <c r="BW9" s="70"/>
      <c r="BX9" s="70"/>
      <c r="BY9" s="70"/>
      <c r="BZ9" s="70"/>
    </row>
    <row r="10" spans="1:78" s="1" customFormat="1">
      <c r="A10" s="1" t="s">
        <v>40</v>
      </c>
      <c r="B10" s="77" t="s">
        <v>206</v>
      </c>
    </row>
    <row r="11" spans="1:78">
      <c r="C11" s="68"/>
      <c r="D11" s="68"/>
      <c r="E11" s="68"/>
      <c r="F11" s="68"/>
      <c r="G11" s="68"/>
      <c r="H11" s="68"/>
      <c r="I11" s="68"/>
      <c r="J11" s="68"/>
      <c r="K11" s="68"/>
      <c r="L11" s="68"/>
      <c r="M11" s="68"/>
      <c r="N11" s="68"/>
      <c r="O11" s="68"/>
      <c r="T11" s="6"/>
      <c r="U11" s="6"/>
      <c r="V11" s="70"/>
      <c r="W11" s="6"/>
      <c r="X11" s="6"/>
      <c r="Y11" s="6"/>
      <c r="Z11" s="70"/>
      <c r="AA11" s="70"/>
      <c r="AB11" s="70"/>
      <c r="AC11" s="70"/>
      <c r="AD11" s="70"/>
      <c r="AE11" s="70"/>
      <c r="AF11" s="70"/>
      <c r="AG11" s="70"/>
      <c r="AH11" s="70"/>
      <c r="AI11" s="70"/>
      <c r="AJ11" s="70"/>
      <c r="AK11" s="70"/>
      <c r="AL11" s="70"/>
      <c r="AM11" s="70"/>
      <c r="AN11" s="70"/>
      <c r="AO11" s="70"/>
      <c r="AP11" s="70"/>
      <c r="AQ11" s="70"/>
      <c r="AR11" s="70"/>
      <c r="AS11" s="70"/>
      <c r="AT11" s="70"/>
      <c r="AU11" s="70"/>
      <c r="AV11" s="70"/>
      <c r="AW11" s="70"/>
      <c r="AX11" s="70"/>
      <c r="AY11" s="70"/>
      <c r="AZ11" s="70"/>
      <c r="BA11" s="70"/>
      <c r="BB11" s="70"/>
      <c r="BC11" s="70"/>
      <c r="BD11" s="70"/>
      <c r="BE11" s="70"/>
      <c r="BF11" s="70"/>
      <c r="BG11" s="70"/>
      <c r="BH11" s="70"/>
      <c r="BI11" s="70"/>
      <c r="BJ11" s="70"/>
      <c r="BK11" s="70"/>
      <c r="BL11" s="70"/>
      <c r="BM11" s="70"/>
      <c r="BN11" s="70"/>
      <c r="BO11" s="70"/>
      <c r="BP11" s="70"/>
      <c r="BQ11" s="70"/>
      <c r="BR11" s="70"/>
      <c r="BS11" s="70"/>
      <c r="BT11" s="70"/>
      <c r="BU11" s="70"/>
      <c r="BV11" s="70"/>
      <c r="BW11" s="70"/>
      <c r="BX11" s="70"/>
      <c r="BY11" s="70"/>
      <c r="BZ11" s="70"/>
    </row>
    <row r="12" spans="1:78" s="64" customFormat="1" hidden="1" outlineLevel="1">
      <c r="A12" s="63" t="s">
        <v>40</v>
      </c>
      <c r="B12" s="63" t="s">
        <v>375</v>
      </c>
      <c r="C12" s="67">
        <v>45323</v>
      </c>
      <c r="D12" s="67"/>
      <c r="E12" s="67"/>
      <c r="F12" s="67"/>
      <c r="G12" s="67"/>
      <c r="H12" s="67"/>
      <c r="I12" s="67"/>
      <c r="J12" s="67"/>
      <c r="K12" s="67"/>
      <c r="L12" s="67"/>
      <c r="M12" s="67"/>
      <c r="N12" s="67"/>
      <c r="O12" s="67"/>
      <c r="V12" s="71"/>
      <c r="Y12" s="71">
        <v>1740.9</v>
      </c>
      <c r="Z12" s="75">
        <f>+IF($C12&gt;Z$2,Y12+Z17,Y12-Y12)</f>
        <v>1740.9</v>
      </c>
      <c r="AA12" s="75">
        <f t="shared" ref="AA12:AO12" ca="1" si="3">+IF($C12&gt;AA$2,Z12+AA17,Z12-Z12)</f>
        <v>2010.2691438618526</v>
      </c>
      <c r="AB12" s="75">
        <f t="shared" ca="1" si="3"/>
        <v>2005.7</v>
      </c>
      <c r="AC12" s="75">
        <f t="shared" ca="1" si="3"/>
        <v>2000.5</v>
      </c>
      <c r="AD12" s="75">
        <f t="shared" ca="1" si="3"/>
        <v>1995.5</v>
      </c>
      <c r="AE12" s="75">
        <f t="shared" ca="1" si="3"/>
        <v>1646.8</v>
      </c>
      <c r="AF12" s="75">
        <f t="shared" ca="1" si="3"/>
        <v>1642.6</v>
      </c>
      <c r="AG12" s="75">
        <f t="shared" ca="1" si="3"/>
        <v>1638.5</v>
      </c>
      <c r="AH12" s="75">
        <f t="shared" ca="1" si="3"/>
        <v>1633.4</v>
      </c>
      <c r="AI12" s="75">
        <f t="shared" ca="1" si="3"/>
        <v>1634.4</v>
      </c>
      <c r="AJ12" s="75">
        <f t="shared" ca="1" si="3"/>
        <v>1634.4</v>
      </c>
      <c r="AK12" s="75">
        <f t="shared" ca="1" si="3"/>
        <v>1634.4</v>
      </c>
      <c r="AL12" s="75">
        <f t="shared" ca="1" si="3"/>
        <v>0</v>
      </c>
      <c r="AM12" s="75">
        <f t="shared" ca="1" si="3"/>
        <v>0</v>
      </c>
      <c r="AN12" s="75">
        <f t="shared" ca="1" si="3"/>
        <v>0</v>
      </c>
      <c r="AO12" s="75">
        <f t="shared" ca="1" si="3"/>
        <v>0</v>
      </c>
      <c r="AP12" s="75">
        <f t="shared" ref="AP12:AX12" ca="1" si="4">+IF($C12&gt;AP$2,AO12+AP17,AO12-AO12)</f>
        <v>0</v>
      </c>
      <c r="AQ12" s="75">
        <f t="shared" ca="1" si="4"/>
        <v>0</v>
      </c>
      <c r="AR12" s="75">
        <f t="shared" ca="1" si="4"/>
        <v>0</v>
      </c>
      <c r="AS12" s="75">
        <f t="shared" ca="1" si="4"/>
        <v>0</v>
      </c>
      <c r="AT12" s="75">
        <f t="shared" ca="1" si="4"/>
        <v>0</v>
      </c>
      <c r="AU12" s="75">
        <f t="shared" ca="1" si="4"/>
        <v>0</v>
      </c>
      <c r="AV12" s="75">
        <f t="shared" ca="1" si="4"/>
        <v>0</v>
      </c>
      <c r="AW12" s="75">
        <f t="shared" ca="1" si="4"/>
        <v>0</v>
      </c>
      <c r="AX12" s="75">
        <f t="shared" ca="1" si="4"/>
        <v>0</v>
      </c>
      <c r="AY12" s="75">
        <f t="shared" ref="AY12" ca="1" si="5">+IF($C12&gt;AY$2,AX12+AY17,AX12-AX12)</f>
        <v>0</v>
      </c>
      <c r="AZ12" s="75"/>
      <c r="BA12" s="75"/>
      <c r="BB12" s="75"/>
      <c r="BC12" s="75"/>
      <c r="BD12" s="75"/>
      <c r="BE12" s="75"/>
      <c r="BF12" s="75"/>
      <c r="BG12" s="75"/>
      <c r="BH12" s="75"/>
      <c r="BI12" s="75"/>
      <c r="BJ12" s="75"/>
      <c r="BK12" s="75"/>
      <c r="BL12" s="75"/>
      <c r="BM12" s="75"/>
      <c r="BN12" s="75"/>
      <c r="BO12" s="75"/>
      <c r="BP12" s="75"/>
      <c r="BQ12" s="75"/>
      <c r="BR12" s="75"/>
      <c r="BS12" s="75"/>
      <c r="BT12" s="75"/>
      <c r="BU12" s="75"/>
      <c r="BV12" s="75"/>
      <c r="BW12" s="75"/>
      <c r="BX12" s="75"/>
      <c r="BY12" s="75"/>
      <c r="BZ12" s="75"/>
    </row>
    <row r="13" spans="1:78" hidden="1" outlineLevel="1">
      <c r="B13" t="s">
        <v>178</v>
      </c>
      <c r="C13" s="68">
        <v>2.75E-2</v>
      </c>
      <c r="D13" s="68"/>
      <c r="E13" s="68"/>
      <c r="F13" s="68"/>
      <c r="G13" s="68"/>
      <c r="H13" s="68"/>
      <c r="I13" s="68"/>
      <c r="J13" s="68"/>
      <c r="K13" s="68"/>
      <c r="L13" s="68"/>
      <c r="M13" s="68"/>
      <c r="N13" s="68"/>
      <c r="O13" s="68"/>
      <c r="T13" s="6"/>
      <c r="U13" s="6"/>
      <c r="V13" s="70"/>
      <c r="W13" s="6"/>
      <c r="X13" s="6"/>
      <c r="Y13" s="6"/>
      <c r="Z13" s="70">
        <f>+IF(Z$5&gt;$C19,($C13+Z$5)*AVERAGE(Y12:Z12)/4,($C13+$C19)*AVERAGE(Y12:Z12)/4)</f>
        <v>16.320937499999999</v>
      </c>
      <c r="AA13" s="70">
        <f t="shared" ref="AA13:AO13" ca="1" si="6">+IF(AA$5&gt;$C19,($C13+AA$5)*AVERAGE(Z12:AA12)/4,($C13+$C19)*AVERAGE(Z12:AA12)/4)</f>
        <v>17.583605361852435</v>
      </c>
      <c r="AB13" s="70">
        <f t="shared" ca="1" si="6"/>
        <v>18.824855361852435</v>
      </c>
      <c r="AC13" s="70">
        <f t="shared" ca="1" si="6"/>
        <v>18.779062499999998</v>
      </c>
      <c r="AD13" s="70">
        <f t="shared" ca="1" si="6"/>
        <v>18.731249999999999</v>
      </c>
      <c r="AE13" s="70">
        <f t="shared" ca="1" si="6"/>
        <v>17.073281250000001</v>
      </c>
      <c r="AF13" s="70">
        <f t="shared" ca="1" si="6"/>
        <v>15.419062499999997</v>
      </c>
      <c r="AG13" s="70">
        <f t="shared" ca="1" si="6"/>
        <v>15.380156249999999</v>
      </c>
      <c r="AH13" s="70">
        <f t="shared" ca="1" si="6"/>
        <v>15.337031249999999</v>
      </c>
      <c r="AI13" s="70">
        <f t="shared" ca="1" si="6"/>
        <v>15.3178125</v>
      </c>
      <c r="AJ13" s="70">
        <f t="shared" ca="1" si="6"/>
        <v>15.3225</v>
      </c>
      <c r="AK13" s="70">
        <f t="shared" ca="1" si="6"/>
        <v>15.3225</v>
      </c>
      <c r="AL13" s="70">
        <f t="shared" ca="1" si="6"/>
        <v>7.6612499999999999</v>
      </c>
      <c r="AM13" s="70">
        <f t="shared" ca="1" si="6"/>
        <v>0</v>
      </c>
      <c r="AN13" s="70">
        <f t="shared" ca="1" si="6"/>
        <v>0</v>
      </c>
      <c r="AO13" s="70">
        <f t="shared" ca="1" si="6"/>
        <v>0</v>
      </c>
      <c r="AP13" s="70">
        <f t="shared" ref="AP13:AX13" ca="1" si="7">+IF(AP$5&gt;$C19,($C13+AP$5)*AVERAGE(AO12:AP12)/4,($C13+$C19)*AVERAGE(AO12:AP12)/4)</f>
        <v>0</v>
      </c>
      <c r="AQ13" s="70">
        <f t="shared" ca="1" si="7"/>
        <v>0</v>
      </c>
      <c r="AR13" s="70">
        <f t="shared" ca="1" si="7"/>
        <v>0</v>
      </c>
      <c r="AS13" s="70">
        <f t="shared" ca="1" si="7"/>
        <v>0</v>
      </c>
      <c r="AT13" s="70">
        <f t="shared" ca="1" si="7"/>
        <v>0</v>
      </c>
      <c r="AU13" s="70">
        <f t="shared" ca="1" si="7"/>
        <v>0</v>
      </c>
      <c r="AV13" s="70">
        <f t="shared" ca="1" si="7"/>
        <v>0</v>
      </c>
      <c r="AW13" s="70">
        <f t="shared" ca="1" si="7"/>
        <v>0</v>
      </c>
      <c r="AX13" s="70">
        <f t="shared" ca="1" si="7"/>
        <v>0</v>
      </c>
      <c r="AY13" s="70">
        <f t="shared" ref="AY13" ca="1" si="8">+IF(AY$5&gt;$C19,($C13+AY$5)*AVERAGE(AX12:AY12)/4,($C13+$C19)*AVERAGE(AX12:AY12)/4)</f>
        <v>0</v>
      </c>
      <c r="AZ13" s="70"/>
      <c r="BA13" s="70"/>
      <c r="BB13" s="70"/>
      <c r="BC13" s="70"/>
      <c r="BD13" s="70"/>
      <c r="BE13" s="70"/>
      <c r="BF13" s="70"/>
      <c r="BG13" s="70"/>
      <c r="BH13" s="70"/>
      <c r="BI13" s="70"/>
      <c r="BJ13" s="70"/>
      <c r="BK13" s="70"/>
      <c r="BL13" s="70"/>
      <c r="BM13" s="70"/>
      <c r="BN13" s="70"/>
      <c r="BO13" s="70"/>
      <c r="BP13" s="70"/>
      <c r="BQ13" s="70"/>
      <c r="BR13" s="70"/>
      <c r="BS13" s="70"/>
      <c r="BT13" s="70"/>
      <c r="BU13" s="70"/>
      <c r="BV13" s="70"/>
      <c r="BW13" s="70"/>
      <c r="BX13" s="70"/>
      <c r="BY13" s="70"/>
      <c r="BZ13" s="70"/>
    </row>
    <row r="14" spans="1:78" hidden="1" outlineLevel="1">
      <c r="B14" s="7" t="s">
        <v>179</v>
      </c>
      <c r="C14" s="68">
        <v>2.8000000000000001E-2</v>
      </c>
      <c r="D14" s="68"/>
      <c r="E14" s="68"/>
      <c r="F14" s="68"/>
      <c r="G14" s="68"/>
      <c r="H14" s="68"/>
      <c r="I14" s="68"/>
      <c r="J14" s="68"/>
      <c r="K14" s="68"/>
      <c r="L14" s="68"/>
      <c r="M14" s="68"/>
      <c r="N14" s="68"/>
      <c r="O14" s="68"/>
      <c r="V14" s="70"/>
      <c r="Z14" s="70">
        <f>+IF(Z$5&gt;$C19,($C14+Z$5)*AVERAGE(Y18:Z18)/4,($C14+$C19)*AVERAGE(Y18:Z18)/4)</f>
        <v>16.346754499999999</v>
      </c>
      <c r="AA14" s="70">
        <f t="shared" ref="AA14:AO14" ca="1" si="9">+IF(AA$5&gt;$C19,($C14+AA$5)*AVERAGE(Z18:AA18)/4,($C14+$C19)*AVERAGE(Z18:AA18)/4)</f>
        <v>17.626461499999998</v>
      </c>
      <c r="AB14" s="70">
        <f t="shared" ca="1" si="9"/>
        <v>18.884749564116955</v>
      </c>
      <c r="AC14" s="70">
        <f t="shared" ca="1" si="9"/>
        <v>18.845215314116956</v>
      </c>
      <c r="AD14" s="70">
        <f t="shared" ca="1" si="9"/>
        <v>18.807624999999998</v>
      </c>
      <c r="AE14" s="70">
        <f t="shared" ca="1" si="9"/>
        <v>16.785074999999999</v>
      </c>
      <c r="AF14" s="70">
        <f t="shared" ca="1" si="9"/>
        <v>14.777724999999998</v>
      </c>
      <c r="AG14" s="70">
        <f t="shared" ca="1" si="9"/>
        <v>14.768224999999999</v>
      </c>
      <c r="AH14" s="70">
        <f t="shared" ca="1" si="9"/>
        <v>14.739940515933233</v>
      </c>
      <c r="AI14" s="70">
        <f t="shared" ca="1" si="9"/>
        <v>14.794637692347461</v>
      </c>
      <c r="AJ14" s="70">
        <f t="shared" ca="1" si="9"/>
        <v>14.885192000581808</v>
      </c>
      <c r="AK14" s="70">
        <f t="shared" ca="1" si="9"/>
        <v>14.912686979718535</v>
      </c>
      <c r="AL14" s="70">
        <f t="shared" ca="1" si="9"/>
        <v>7.463692155550957</v>
      </c>
      <c r="AM14" s="70">
        <f t="shared" ca="1" si="9"/>
        <v>0</v>
      </c>
      <c r="AN14" s="70">
        <f t="shared" ca="1" si="9"/>
        <v>0</v>
      </c>
      <c r="AO14" s="70">
        <f t="shared" ca="1" si="9"/>
        <v>0</v>
      </c>
      <c r="AP14" s="70">
        <f t="shared" ref="AP14:AX14" ca="1" si="10">+IF(AP$5&gt;$C19,($C14+AP$5)*AVERAGE(AO18:AP18)/4,($C14+$C19)*AVERAGE(AO18:AP18)/4)</f>
        <v>0</v>
      </c>
      <c r="AQ14" s="70">
        <f t="shared" ca="1" si="10"/>
        <v>0</v>
      </c>
      <c r="AR14" s="70">
        <f t="shared" ca="1" si="10"/>
        <v>0</v>
      </c>
      <c r="AS14" s="70">
        <f t="shared" ca="1" si="10"/>
        <v>0</v>
      </c>
      <c r="AT14" s="70">
        <f t="shared" ca="1" si="10"/>
        <v>0</v>
      </c>
      <c r="AU14" s="70">
        <f t="shared" ca="1" si="10"/>
        <v>0</v>
      </c>
      <c r="AV14" s="70">
        <f t="shared" ca="1" si="10"/>
        <v>0</v>
      </c>
      <c r="AW14" s="70">
        <f t="shared" ca="1" si="10"/>
        <v>0</v>
      </c>
      <c r="AX14" s="70">
        <f t="shared" ca="1" si="10"/>
        <v>0</v>
      </c>
      <c r="AY14" s="70">
        <f t="shared" ref="AY14" ca="1" si="11">+IF(AY$5&gt;$C19,($C14+AY$5)*AVERAGE(AX18:AY18)/4,($C14+$C19)*AVERAGE(AX18:AY18)/4)</f>
        <v>0</v>
      </c>
      <c r="AZ14" s="70"/>
      <c r="BA14" s="70"/>
      <c r="BB14" s="70"/>
      <c r="BC14" s="70"/>
      <c r="BD14" s="70"/>
      <c r="BE14" s="70"/>
      <c r="BF14" s="70"/>
      <c r="BG14" s="70"/>
      <c r="BH14" s="70"/>
      <c r="BI14" s="70"/>
      <c r="BJ14" s="70"/>
      <c r="BK14" s="70"/>
      <c r="BL14" s="70"/>
      <c r="BM14" s="70"/>
      <c r="BN14" s="70"/>
      <c r="BO14" s="70"/>
      <c r="BP14" s="70"/>
      <c r="BQ14" s="70"/>
      <c r="BR14" s="70"/>
      <c r="BS14" s="70"/>
      <c r="BT14" s="70"/>
      <c r="BU14" s="70"/>
      <c r="BV14" s="70"/>
      <c r="BW14" s="70"/>
      <c r="BX14" s="70"/>
      <c r="BY14" s="70"/>
      <c r="BZ14" s="70"/>
    </row>
    <row r="15" spans="1:78" hidden="1" outlineLevel="1">
      <c r="B15" t="s">
        <v>180</v>
      </c>
      <c r="C15" s="69"/>
      <c r="D15" s="69"/>
      <c r="E15" s="69"/>
      <c r="F15" s="69"/>
      <c r="G15" s="69"/>
      <c r="H15" s="69"/>
      <c r="I15" s="69"/>
      <c r="J15" s="69"/>
      <c r="K15" s="69"/>
      <c r="L15" s="69"/>
      <c r="M15" s="69"/>
      <c r="N15" s="69"/>
      <c r="O15" s="69"/>
      <c r="V15" s="70"/>
      <c r="Z15" s="70">
        <f t="shared" ref="Z15:AX15" si="12">+Y18</f>
        <v>0</v>
      </c>
      <c r="AA15" s="70">
        <f t="shared" si="12"/>
        <v>1720.711</v>
      </c>
      <c r="AB15" s="70">
        <f t="shared" ca="1" si="12"/>
        <v>1990.123</v>
      </c>
      <c r="AC15" s="70">
        <f ca="1">+AB18</f>
        <v>1985.613750340412</v>
      </c>
      <c r="AD15" s="70">
        <f ca="1">+AC18</f>
        <v>1981.8</v>
      </c>
      <c r="AE15" s="70">
        <f t="shared" ca="1" si="12"/>
        <v>1977.7</v>
      </c>
      <c r="AF15" s="70">
        <f t="shared" ca="1" si="12"/>
        <v>1556</v>
      </c>
      <c r="AG15" s="70">
        <f t="shared" ca="1" si="12"/>
        <v>1555.1</v>
      </c>
      <c r="AH15" s="70">
        <f t="shared" ca="1" si="12"/>
        <v>1554</v>
      </c>
      <c r="AI15" s="70">
        <f t="shared" ca="1" si="12"/>
        <v>1549.1453717754173</v>
      </c>
      <c r="AJ15" s="70">
        <f t="shared" ca="1" si="12"/>
        <v>1565.5151950345748</v>
      </c>
      <c r="AK15" s="70">
        <f t="shared" ca="1" si="12"/>
        <v>1568.2094366668582</v>
      </c>
      <c r="AL15" s="70">
        <f t="shared" ca="1" si="12"/>
        <v>1571.3036116949384</v>
      </c>
      <c r="AM15" s="70">
        <f t="shared" si="12"/>
        <v>0</v>
      </c>
      <c r="AN15" s="70">
        <f t="shared" ca="1" si="12"/>
        <v>0</v>
      </c>
      <c r="AO15" s="70">
        <f t="shared" ca="1" si="12"/>
        <v>0</v>
      </c>
      <c r="AP15" s="70">
        <f t="shared" ca="1" si="12"/>
        <v>0</v>
      </c>
      <c r="AQ15" s="70">
        <f t="shared" ca="1" si="12"/>
        <v>0</v>
      </c>
      <c r="AR15" s="70">
        <f t="shared" ca="1" si="12"/>
        <v>0</v>
      </c>
      <c r="AS15" s="70">
        <f t="shared" ca="1" si="12"/>
        <v>0</v>
      </c>
      <c r="AT15" s="70">
        <f t="shared" ca="1" si="12"/>
        <v>0</v>
      </c>
      <c r="AU15" s="70">
        <f t="shared" ca="1" si="12"/>
        <v>0</v>
      </c>
      <c r="AV15" s="70">
        <f t="shared" ca="1" si="12"/>
        <v>0</v>
      </c>
      <c r="AW15" s="70">
        <f t="shared" ca="1" si="12"/>
        <v>0</v>
      </c>
      <c r="AX15" s="70">
        <f t="shared" ca="1" si="12"/>
        <v>0</v>
      </c>
      <c r="AY15" s="70">
        <f t="shared" ref="AY15" ca="1" si="13">+AX18</f>
        <v>0</v>
      </c>
      <c r="AZ15" s="70"/>
      <c r="BA15" s="70"/>
      <c r="BB15" s="70"/>
      <c r="BC15" s="70"/>
      <c r="BD15" s="70"/>
      <c r="BE15" s="70"/>
      <c r="BF15" s="70"/>
      <c r="BG15" s="70"/>
      <c r="BH15" s="70"/>
      <c r="BI15" s="70"/>
      <c r="BJ15" s="70"/>
      <c r="BK15" s="70"/>
      <c r="BL15" s="70"/>
      <c r="BM15" s="70"/>
      <c r="BN15" s="70"/>
      <c r="BO15" s="70"/>
      <c r="BP15" s="70"/>
      <c r="BQ15" s="70"/>
      <c r="BR15" s="70"/>
      <c r="BS15" s="70"/>
      <c r="BT15" s="70"/>
      <c r="BU15" s="70"/>
      <c r="BV15" s="70"/>
      <c r="BW15" s="70"/>
      <c r="BX15" s="70"/>
      <c r="BY15" s="70"/>
      <c r="BZ15" s="70"/>
    </row>
    <row r="16" spans="1:78" hidden="1" outlineLevel="1">
      <c r="B16" t="s">
        <v>181</v>
      </c>
      <c r="C16" s="69"/>
      <c r="D16" s="69"/>
      <c r="E16" s="69"/>
      <c r="F16" s="69"/>
      <c r="G16" s="69"/>
      <c r="H16" s="69"/>
      <c r="I16" s="69"/>
      <c r="J16" s="69"/>
      <c r="K16" s="69"/>
      <c r="L16" s="69"/>
      <c r="M16" s="69"/>
      <c r="N16" s="69"/>
      <c r="O16" s="69"/>
      <c r="V16" s="70"/>
      <c r="Z16" s="70">
        <f>+Z14-Z13</f>
        <v>2.5816999999999979E-2</v>
      </c>
      <c r="AA16" s="70">
        <f ca="1">+AA14-AA13</f>
        <v>4.2856138147563172E-2</v>
      </c>
      <c r="AB16" s="70">
        <f ca="1">+AB14-AB13</f>
        <v>5.9894202264519691E-2</v>
      </c>
      <c r="AC16" s="120">
        <f ca="1">2000.5-18.7-AC15-AC17</f>
        <v>1.3862496595879747</v>
      </c>
      <c r="AD16" s="120">
        <f ca="1">1995.5-17.8-AD15-AD17</f>
        <v>0.90000000000009095</v>
      </c>
      <c r="AE16" s="120">
        <f ca="1">1646.8-19.8-71-AE15-AE17</f>
        <v>-73</v>
      </c>
      <c r="AF16" s="120">
        <f ca="1">1642.6-19-68.5-AF15-AF17</f>
        <v>3.2999999999999545</v>
      </c>
      <c r="AG16" s="120">
        <f ca="1">1638.5-18.3-66.2-AG15-AG17</f>
        <v>3</v>
      </c>
      <c r="AH16" s="120">
        <f ca="1">2033.4-AH27-22-66.2-AH15-AH17</f>
        <v>0.24537177541719757</v>
      </c>
      <c r="AI16" s="120">
        <f ca="1">1837.4-AI27-19-53.8-AI15-AI17</f>
        <v>15.369823259157556</v>
      </c>
      <c r="AJ16" s="120">
        <f ca="1">1837.4-AJ27-18-52.1-AJ15-AJ17</f>
        <v>2.6942416322833651</v>
      </c>
      <c r="AK16" s="120">
        <f ca="1">1837.4-AK27-17.1-49.9-AK15-AK17</f>
        <v>3.0941750280801443</v>
      </c>
      <c r="AL16" s="70">
        <f t="shared" ref="AL16:AO16" ca="1" si="14">+AL14-AL13</f>
        <v>-0.1975578444490429</v>
      </c>
      <c r="AM16" s="70">
        <f t="shared" ca="1" si="14"/>
        <v>0</v>
      </c>
      <c r="AN16" s="70">
        <f t="shared" ca="1" si="14"/>
        <v>0</v>
      </c>
      <c r="AO16" s="70">
        <f t="shared" ca="1" si="14"/>
        <v>0</v>
      </c>
      <c r="AP16" s="70">
        <f t="shared" ref="AP16:AX16" ca="1" si="15">+AP14-AP13</f>
        <v>0</v>
      </c>
      <c r="AQ16" s="70">
        <f t="shared" ca="1" si="15"/>
        <v>0</v>
      </c>
      <c r="AR16" s="70">
        <f t="shared" ca="1" si="15"/>
        <v>0</v>
      </c>
      <c r="AS16" s="70">
        <f t="shared" ca="1" si="15"/>
        <v>0</v>
      </c>
      <c r="AT16" s="70">
        <f t="shared" ca="1" si="15"/>
        <v>0</v>
      </c>
      <c r="AU16" s="70">
        <f t="shared" ca="1" si="15"/>
        <v>0</v>
      </c>
      <c r="AV16" s="70">
        <f t="shared" ca="1" si="15"/>
        <v>0</v>
      </c>
      <c r="AW16" s="70">
        <f t="shared" ca="1" si="15"/>
        <v>0</v>
      </c>
      <c r="AX16" s="70">
        <f t="shared" ca="1" si="15"/>
        <v>0</v>
      </c>
      <c r="AY16" s="70">
        <f t="shared" ref="AY16" ca="1" si="16">+AY14-AY13</f>
        <v>0</v>
      </c>
      <c r="AZ16" s="70"/>
      <c r="BA16" s="70"/>
      <c r="BB16" s="70"/>
      <c r="BC16" s="70"/>
      <c r="BD16" s="70"/>
      <c r="BE16" s="70"/>
      <c r="BF16" s="70"/>
      <c r="BG16" s="70"/>
      <c r="BH16" s="70"/>
      <c r="BI16" s="70"/>
      <c r="BJ16" s="70"/>
      <c r="BK16" s="70"/>
      <c r="BL16" s="70"/>
      <c r="BM16" s="70"/>
      <c r="BN16" s="70"/>
      <c r="BO16" s="70"/>
      <c r="BP16" s="70"/>
      <c r="BQ16" s="70"/>
      <c r="BR16" s="70"/>
      <c r="BS16" s="70"/>
      <c r="BT16" s="70"/>
      <c r="BU16" s="70"/>
      <c r="BV16" s="70"/>
      <c r="BW16" s="70"/>
      <c r="BX16" s="70"/>
      <c r="BY16" s="70"/>
      <c r="BZ16" s="70"/>
    </row>
    <row r="17" spans="1:78" hidden="1" outlineLevel="1">
      <c r="B17" t="s">
        <v>182</v>
      </c>
      <c r="C17" s="69"/>
      <c r="D17" s="69"/>
      <c r="E17" s="69"/>
      <c r="F17" s="69"/>
      <c r="G17" s="69"/>
      <c r="H17" s="69"/>
      <c r="I17" s="69"/>
      <c r="J17" s="69"/>
      <c r="K17" s="69"/>
      <c r="L17" s="69"/>
      <c r="M17" s="69"/>
      <c r="N17" s="69"/>
      <c r="O17" s="69"/>
      <c r="V17" s="70"/>
      <c r="Z17" s="70">
        <f>+IF(Z$2&gt;$C12,-(Z15+Z16),0)</f>
        <v>0</v>
      </c>
      <c r="AA17" s="120">
        <f ca="1">2010.776-20.653-SUM(AA15:AA16)</f>
        <v>269.36914386185254</v>
      </c>
      <c r="AB17" s="120">
        <f ca="1">2005.7-AA12</f>
        <v>-4.5691438618525808</v>
      </c>
      <c r="AC17" s="120">
        <f ca="1">2000.5-AB12</f>
        <v>-5.2000000000000455</v>
      </c>
      <c r="AD17" s="120">
        <f ca="1">1995.5-AC12</f>
        <v>-5</v>
      </c>
      <c r="AE17" s="130">
        <f ca="1">1646.8-AD12</f>
        <v>-348.70000000000005</v>
      </c>
      <c r="AF17" s="120">
        <f ca="1">1642.6-AE12</f>
        <v>-4.2000000000000455</v>
      </c>
      <c r="AG17" s="120">
        <f ca="1">1638.5-AF12</f>
        <v>-4.0999999999999091</v>
      </c>
      <c r="AH17" s="120">
        <f ca="1">2033.4-AH21-AG12</f>
        <v>-5.0999999999999091</v>
      </c>
      <c r="AI17" s="120">
        <f ca="1">1837.4-AI21-AH12</f>
        <v>1</v>
      </c>
      <c r="AJ17" s="120">
        <f ca="1">1837.4-AJ21-AI12</f>
        <v>0</v>
      </c>
      <c r="AK17" s="120">
        <f ca="1">1837.4-AK21-AJ12</f>
        <v>0</v>
      </c>
      <c r="AL17" s="302">
        <f ca="1">-AK12</f>
        <v>-1634.4</v>
      </c>
      <c r="AM17" s="70">
        <f t="shared" ref="AM17:AY17" si="17">+IF(AM$2&gt;$C12,-(AM15+AM16),0)</f>
        <v>0</v>
      </c>
      <c r="AN17" s="70">
        <f t="shared" si="17"/>
        <v>0</v>
      </c>
      <c r="AO17" s="70">
        <f t="shared" si="17"/>
        <v>0</v>
      </c>
      <c r="AP17" s="70">
        <f t="shared" si="17"/>
        <v>0</v>
      </c>
      <c r="AQ17" s="70">
        <f t="shared" si="17"/>
        <v>0</v>
      </c>
      <c r="AR17" s="70">
        <f t="shared" si="17"/>
        <v>0</v>
      </c>
      <c r="AS17" s="70">
        <f t="shared" si="17"/>
        <v>0</v>
      </c>
      <c r="AT17" s="70">
        <f t="shared" si="17"/>
        <v>0</v>
      </c>
      <c r="AU17" s="70">
        <f t="shared" si="17"/>
        <v>0</v>
      </c>
      <c r="AV17" s="70">
        <f t="shared" si="17"/>
        <v>0</v>
      </c>
      <c r="AW17" s="70">
        <f t="shared" si="17"/>
        <v>0</v>
      </c>
      <c r="AX17" s="70">
        <f t="shared" si="17"/>
        <v>0</v>
      </c>
      <c r="AY17" s="70">
        <f t="shared" si="17"/>
        <v>0</v>
      </c>
      <c r="AZ17" s="70"/>
      <c r="BA17" s="70"/>
      <c r="BB17" s="70"/>
      <c r="BC17" s="70"/>
      <c r="BD17" s="70"/>
      <c r="BE17" s="70"/>
      <c r="BF17" s="70"/>
      <c r="BG17" s="70"/>
      <c r="BH17" s="70"/>
      <c r="BI17" s="70"/>
      <c r="BJ17" s="70"/>
      <c r="BK17" s="70"/>
      <c r="BL17" s="70"/>
      <c r="BM17" s="70"/>
      <c r="BN17" s="70"/>
      <c r="BO17" s="70"/>
      <c r="BP17" s="70"/>
      <c r="BQ17" s="70"/>
      <c r="BR17" s="70"/>
      <c r="BS17" s="70"/>
      <c r="BT17" s="70"/>
      <c r="BU17" s="70"/>
      <c r="BV17" s="70"/>
      <c r="BW17" s="70"/>
      <c r="BX17" s="70"/>
      <c r="BY17" s="70"/>
      <c r="BZ17" s="70"/>
    </row>
    <row r="18" spans="1:78" hidden="1" outlineLevel="1">
      <c r="B18" t="s">
        <v>183</v>
      </c>
      <c r="C18" s="69"/>
      <c r="D18" s="69"/>
      <c r="E18" s="69"/>
      <c r="F18" s="69"/>
      <c r="G18" s="69"/>
      <c r="H18" s="69"/>
      <c r="I18" s="69"/>
      <c r="J18" s="69"/>
      <c r="K18" s="69"/>
      <c r="L18" s="69"/>
      <c r="M18" s="69"/>
      <c r="N18" s="69"/>
      <c r="O18" s="69"/>
      <c r="V18" s="70"/>
      <c r="Y18" s="50"/>
      <c r="Z18" s="50">
        <f>1740.9-20.189</f>
        <v>1720.711</v>
      </c>
      <c r="AA18" s="70">
        <f ca="1">+SUM(AA15:AA17)</f>
        <v>1990.123</v>
      </c>
      <c r="AB18" s="70">
        <f ca="1">+SUM(AB15:AB17)</f>
        <v>1985.613750340412</v>
      </c>
      <c r="AC18" s="70">
        <f ca="1">+SUM(AC15:AC17)</f>
        <v>1981.8</v>
      </c>
      <c r="AD18" s="70">
        <f ca="1">+SUM(AD15:AD17)</f>
        <v>1977.7</v>
      </c>
      <c r="AE18" s="70">
        <f t="shared" ref="AE18:AI18" ca="1" si="18">+SUM(AE15:AE17)</f>
        <v>1556</v>
      </c>
      <c r="AF18" s="70">
        <f ca="1">+SUM(AF15:AF17)</f>
        <v>1555.1</v>
      </c>
      <c r="AG18" s="70">
        <f t="shared" ca="1" si="18"/>
        <v>1554</v>
      </c>
      <c r="AH18" s="70">
        <f t="shared" ca="1" si="18"/>
        <v>1549.1453717754173</v>
      </c>
      <c r="AI18" s="70">
        <f t="shared" ca="1" si="18"/>
        <v>1565.5151950345748</v>
      </c>
      <c r="AJ18" s="70">
        <f t="shared" ref="AJ18:AK18" ca="1" si="19">+SUM(AJ15:AJ17)</f>
        <v>1568.2094366668582</v>
      </c>
      <c r="AK18" s="70">
        <f t="shared" ca="1" si="19"/>
        <v>1571.3036116949384</v>
      </c>
      <c r="AL18" s="130">
        <v>0</v>
      </c>
      <c r="AM18" s="70">
        <f t="shared" ref="AM18:AY18" ca="1" si="20">+SUM(AM15:AM17)</f>
        <v>0</v>
      </c>
      <c r="AN18" s="70">
        <f t="shared" ca="1" si="20"/>
        <v>0</v>
      </c>
      <c r="AO18" s="70">
        <f t="shared" ca="1" si="20"/>
        <v>0</v>
      </c>
      <c r="AP18" s="70">
        <f t="shared" ca="1" si="20"/>
        <v>0</v>
      </c>
      <c r="AQ18" s="70">
        <f t="shared" ca="1" si="20"/>
        <v>0</v>
      </c>
      <c r="AR18" s="70">
        <f t="shared" ca="1" si="20"/>
        <v>0</v>
      </c>
      <c r="AS18" s="70">
        <f t="shared" ca="1" si="20"/>
        <v>0</v>
      </c>
      <c r="AT18" s="70">
        <f t="shared" ca="1" si="20"/>
        <v>0</v>
      </c>
      <c r="AU18" s="70">
        <f t="shared" ca="1" si="20"/>
        <v>0</v>
      </c>
      <c r="AV18" s="70">
        <f t="shared" ca="1" si="20"/>
        <v>0</v>
      </c>
      <c r="AW18" s="70">
        <f t="shared" ca="1" si="20"/>
        <v>0</v>
      </c>
      <c r="AX18" s="70">
        <f t="shared" ca="1" si="20"/>
        <v>0</v>
      </c>
      <c r="AY18" s="70">
        <f t="shared" ca="1" si="20"/>
        <v>0</v>
      </c>
      <c r="AZ18" s="70"/>
      <c r="BA18" s="70"/>
      <c r="BB18" s="70"/>
      <c r="BC18" s="70"/>
      <c r="BD18" s="70"/>
      <c r="BE18" s="70"/>
      <c r="BF18" s="70"/>
      <c r="BG18" s="70"/>
      <c r="BH18" s="70"/>
      <c r="BI18" s="70"/>
      <c r="BJ18" s="70"/>
      <c r="BK18" s="70"/>
      <c r="BL18" s="70"/>
      <c r="BM18" s="70"/>
      <c r="BN18" s="70"/>
      <c r="BO18" s="70"/>
      <c r="BP18" s="70"/>
      <c r="BQ18" s="70"/>
      <c r="BR18" s="70"/>
      <c r="BS18" s="70"/>
      <c r="BT18" s="70"/>
      <c r="BU18" s="70"/>
      <c r="BV18" s="70"/>
      <c r="BW18" s="70"/>
      <c r="BX18" s="70"/>
      <c r="BY18" s="70"/>
      <c r="BZ18" s="70"/>
    </row>
    <row r="19" spans="1:78" hidden="1" outlineLevel="1">
      <c r="B19" t="s">
        <v>184</v>
      </c>
      <c r="C19" s="68">
        <v>0.01</v>
      </c>
      <c r="D19" s="68"/>
      <c r="E19" s="68"/>
      <c r="F19" s="68"/>
      <c r="G19" s="68"/>
      <c r="H19" s="68"/>
      <c r="I19" s="68"/>
      <c r="J19" s="68"/>
      <c r="K19" s="68"/>
      <c r="L19" s="68"/>
      <c r="M19" s="68"/>
      <c r="N19" s="68"/>
      <c r="O19" s="68"/>
      <c r="AB19" s="6"/>
      <c r="AC19" s="6"/>
      <c r="AE19" s="6"/>
      <c r="AF19" s="6"/>
      <c r="AG19" s="6"/>
      <c r="AH19" s="6"/>
      <c r="AI19" s="6"/>
    </row>
    <row r="20" spans="1:78" hidden="1" outlineLevel="1"/>
    <row r="21" spans="1:78" s="64" customFormat="1" hidden="1" outlineLevel="1">
      <c r="A21" s="63" t="s">
        <v>40</v>
      </c>
      <c r="B21" s="63" t="s">
        <v>394</v>
      </c>
      <c r="C21" s="67">
        <v>45323</v>
      </c>
      <c r="D21" s="67"/>
      <c r="E21" s="67"/>
      <c r="F21" s="67"/>
      <c r="G21" s="67"/>
      <c r="H21" s="67"/>
      <c r="I21" s="67"/>
      <c r="J21" s="67"/>
      <c r="K21" s="67"/>
      <c r="L21" s="67"/>
      <c r="M21" s="67"/>
      <c r="N21" s="67"/>
      <c r="O21" s="67"/>
      <c r="V21" s="71"/>
      <c r="Y21" s="71"/>
      <c r="Z21" s="75"/>
      <c r="AA21" s="75"/>
      <c r="AB21" s="75"/>
      <c r="AC21" s="75"/>
      <c r="AD21" s="75"/>
      <c r="AE21" s="75"/>
      <c r="AF21" s="75"/>
      <c r="AG21" s="75"/>
      <c r="AH21" s="71">
        <v>400</v>
      </c>
      <c r="AI21" s="75">
        <f t="shared" ref="AI21:AX21" si="21">+IF($C21&gt;AI$2,AH21+AI26,AH21-AH21)</f>
        <v>203</v>
      </c>
      <c r="AJ21" s="75">
        <f t="shared" si="21"/>
        <v>203</v>
      </c>
      <c r="AK21" s="75">
        <f t="shared" si="21"/>
        <v>203</v>
      </c>
      <c r="AL21" s="75">
        <f t="shared" si="21"/>
        <v>0</v>
      </c>
      <c r="AM21" s="75">
        <f t="shared" si="21"/>
        <v>0</v>
      </c>
      <c r="AN21" s="75">
        <f t="shared" si="21"/>
        <v>0</v>
      </c>
      <c r="AO21" s="75">
        <f t="shared" si="21"/>
        <v>0</v>
      </c>
      <c r="AP21" s="75">
        <f t="shared" si="21"/>
        <v>0</v>
      </c>
      <c r="AQ21" s="75">
        <f t="shared" si="21"/>
        <v>0</v>
      </c>
      <c r="AR21" s="75">
        <f t="shared" si="21"/>
        <v>0</v>
      </c>
      <c r="AS21" s="75">
        <f t="shared" si="21"/>
        <v>0</v>
      </c>
      <c r="AT21" s="75">
        <f t="shared" si="21"/>
        <v>0</v>
      </c>
      <c r="AU21" s="75">
        <f t="shared" si="21"/>
        <v>0</v>
      </c>
      <c r="AV21" s="75">
        <f t="shared" si="21"/>
        <v>0</v>
      </c>
      <c r="AW21" s="75">
        <f t="shared" si="21"/>
        <v>0</v>
      </c>
      <c r="AX21" s="75">
        <f t="shared" si="21"/>
        <v>0</v>
      </c>
      <c r="AY21" s="75">
        <f t="shared" ref="AY21" si="22">+IF($C21&gt;AY$2,AX21+AY26,AX21-AX21)</f>
        <v>0</v>
      </c>
      <c r="AZ21" s="75"/>
      <c r="BA21" s="75"/>
      <c r="BB21" s="75"/>
      <c r="BC21" s="75"/>
      <c r="BD21" s="75"/>
      <c r="BE21" s="75"/>
      <c r="BF21" s="75"/>
      <c r="BG21" s="75"/>
      <c r="BH21" s="75"/>
      <c r="BI21" s="75"/>
      <c r="BJ21" s="75"/>
      <c r="BK21" s="75"/>
      <c r="BL21" s="75"/>
      <c r="BM21" s="75"/>
      <c r="BN21" s="75"/>
      <c r="BO21" s="75"/>
      <c r="BP21" s="75"/>
      <c r="BQ21" s="75"/>
      <c r="BR21" s="75"/>
      <c r="BS21" s="75"/>
      <c r="BT21" s="75"/>
      <c r="BU21" s="75"/>
      <c r="BV21" s="75"/>
      <c r="BW21" s="75"/>
      <c r="BX21" s="75"/>
      <c r="BY21" s="75"/>
      <c r="BZ21" s="75"/>
    </row>
    <row r="22" spans="1:78" hidden="1" outlineLevel="1">
      <c r="B22" t="s">
        <v>178</v>
      </c>
      <c r="C22" s="68">
        <v>3.5000000000000003E-2</v>
      </c>
      <c r="D22" s="68"/>
      <c r="E22" s="68"/>
      <c r="F22" s="68"/>
      <c r="G22" s="68"/>
      <c r="H22" s="68"/>
      <c r="I22" s="68"/>
      <c r="J22" s="68"/>
      <c r="K22" s="68"/>
      <c r="L22" s="68"/>
      <c r="M22" s="68"/>
      <c r="N22" s="68"/>
      <c r="O22" s="68"/>
      <c r="T22" s="6"/>
      <c r="U22" s="6"/>
      <c r="V22" s="70"/>
      <c r="W22" s="6"/>
      <c r="X22" s="6"/>
      <c r="Y22" s="6"/>
      <c r="Z22" s="70"/>
      <c r="AA22" s="70"/>
      <c r="AB22" s="70"/>
      <c r="AC22" s="70"/>
      <c r="AD22" s="70"/>
      <c r="AE22" s="70"/>
      <c r="AF22" s="70"/>
      <c r="AG22" s="70"/>
      <c r="AH22" s="70">
        <f t="shared" ref="AH22:AX22" si="23">+IF(AH$5&gt;$C28,($C22+AH$5)*AVERAGE(AG21:AH21)/4,($C22+$C28)*AVERAGE(AG21:AH21)/4)</f>
        <v>4.5000000000000009</v>
      </c>
      <c r="AI22" s="70">
        <f t="shared" si="23"/>
        <v>3.3918750000000002</v>
      </c>
      <c r="AJ22" s="70">
        <f t="shared" si="23"/>
        <v>2.2837500000000004</v>
      </c>
      <c r="AK22" s="70">
        <f t="shared" si="23"/>
        <v>2.2837500000000004</v>
      </c>
      <c r="AL22" s="70">
        <f t="shared" si="23"/>
        <v>1.1418750000000002</v>
      </c>
      <c r="AM22" s="70">
        <f t="shared" si="23"/>
        <v>0</v>
      </c>
      <c r="AN22" s="70">
        <f t="shared" si="23"/>
        <v>0</v>
      </c>
      <c r="AO22" s="70">
        <f t="shared" si="23"/>
        <v>0</v>
      </c>
      <c r="AP22" s="70">
        <f t="shared" si="23"/>
        <v>0</v>
      </c>
      <c r="AQ22" s="70">
        <f t="shared" si="23"/>
        <v>0</v>
      </c>
      <c r="AR22" s="70">
        <f t="shared" si="23"/>
        <v>0</v>
      </c>
      <c r="AS22" s="70">
        <f t="shared" si="23"/>
        <v>0</v>
      </c>
      <c r="AT22" s="70">
        <f t="shared" si="23"/>
        <v>0</v>
      </c>
      <c r="AU22" s="70">
        <f t="shared" si="23"/>
        <v>0</v>
      </c>
      <c r="AV22" s="70">
        <f t="shared" si="23"/>
        <v>0</v>
      </c>
      <c r="AW22" s="70">
        <f t="shared" si="23"/>
        <v>0</v>
      </c>
      <c r="AX22" s="70">
        <f t="shared" si="23"/>
        <v>0</v>
      </c>
      <c r="AY22" s="70">
        <f t="shared" ref="AY22" si="24">+IF(AY$5&gt;$C28,($C22+AY$5)*AVERAGE(AX21:AY21)/4,($C22+$C28)*AVERAGE(AX21:AY21)/4)</f>
        <v>0</v>
      </c>
      <c r="AZ22" s="70"/>
      <c r="BA22" s="70"/>
      <c r="BB22" s="70"/>
      <c r="BC22" s="70"/>
      <c r="BD22" s="70"/>
      <c r="BE22" s="70"/>
      <c r="BF22" s="70"/>
      <c r="BG22" s="70"/>
      <c r="BH22" s="70"/>
      <c r="BI22" s="70"/>
      <c r="BJ22" s="70"/>
      <c r="BK22" s="70"/>
      <c r="BL22" s="70"/>
      <c r="BM22" s="70"/>
      <c r="BN22" s="70"/>
      <c r="BO22" s="70"/>
      <c r="BP22" s="70"/>
      <c r="BQ22" s="70"/>
      <c r="BR22" s="70"/>
      <c r="BS22" s="70"/>
      <c r="BT22" s="70"/>
      <c r="BU22" s="70"/>
      <c r="BV22" s="70"/>
      <c r="BW22" s="70"/>
      <c r="BX22" s="70"/>
      <c r="BY22" s="70"/>
      <c r="BZ22" s="70"/>
    </row>
    <row r="23" spans="1:78" hidden="1" outlineLevel="1">
      <c r="B23" s="7" t="s">
        <v>179</v>
      </c>
      <c r="C23" s="68">
        <v>3.5999999999999997E-2</v>
      </c>
      <c r="D23" s="68"/>
      <c r="E23" s="68"/>
      <c r="F23" s="68"/>
      <c r="G23" s="68"/>
      <c r="H23" s="68"/>
      <c r="I23" s="68"/>
      <c r="J23" s="68"/>
      <c r="K23" s="68"/>
      <c r="L23" s="68"/>
      <c r="M23" s="68"/>
      <c r="N23" s="68"/>
      <c r="O23" s="68"/>
      <c r="V23" s="70"/>
      <c r="Z23" s="70"/>
      <c r="AA23" s="70"/>
      <c r="AB23" s="70"/>
      <c r="AC23" s="70"/>
      <c r="AD23" s="70"/>
      <c r="AE23" s="70"/>
      <c r="AF23" s="70"/>
      <c r="AG23" s="70"/>
      <c r="AH23" s="70">
        <f t="shared" ref="AH23:AX23" ca="1" si="25">+IF(AH$5&gt;$C28,($C23+AH$5)*AVERAGE(AG27:AH27)/4,($C23+$C28)*AVERAGE(AG27:AH27)/4)</f>
        <v>4.554628224582701</v>
      </c>
      <c r="AI23" s="70">
        <f t="shared" ca="1" si="25"/>
        <v>3.4220517408425457</v>
      </c>
      <c r="AJ23" s="70">
        <f t="shared" ca="1" si="25"/>
        <v>2.2895083677167616</v>
      </c>
      <c r="AK23" s="70">
        <f t="shared" ca="1" si="25"/>
        <v>2.2895749719196714</v>
      </c>
      <c r="AL23" s="70">
        <f t="shared" ca="1" si="25"/>
        <v>1.1448042327541046</v>
      </c>
      <c r="AM23" s="70">
        <f t="shared" ca="1" si="25"/>
        <v>0</v>
      </c>
      <c r="AN23" s="70">
        <f t="shared" ca="1" si="25"/>
        <v>0</v>
      </c>
      <c r="AO23" s="70">
        <f t="shared" ca="1" si="25"/>
        <v>0</v>
      </c>
      <c r="AP23" s="70">
        <f t="shared" ca="1" si="25"/>
        <v>0</v>
      </c>
      <c r="AQ23" s="70">
        <f t="shared" ca="1" si="25"/>
        <v>0</v>
      </c>
      <c r="AR23" s="70">
        <f t="shared" ca="1" si="25"/>
        <v>0</v>
      </c>
      <c r="AS23" s="70">
        <f t="shared" ca="1" si="25"/>
        <v>0</v>
      </c>
      <c r="AT23" s="70">
        <f t="shared" ca="1" si="25"/>
        <v>0</v>
      </c>
      <c r="AU23" s="70">
        <f t="shared" ca="1" si="25"/>
        <v>0</v>
      </c>
      <c r="AV23" s="70">
        <f t="shared" ca="1" si="25"/>
        <v>0</v>
      </c>
      <c r="AW23" s="70">
        <f t="shared" ca="1" si="25"/>
        <v>0</v>
      </c>
      <c r="AX23" s="70">
        <f t="shared" ca="1" si="25"/>
        <v>0</v>
      </c>
      <c r="AY23" s="70">
        <f t="shared" ref="AY23" ca="1" si="26">+IF(AY$5&gt;$C28,($C23+AY$5)*AVERAGE(AX27:AY27)/4,($C23+$C28)*AVERAGE(AX27:AY27)/4)</f>
        <v>0</v>
      </c>
      <c r="AZ23" s="70"/>
      <c r="BA23" s="70"/>
      <c r="BB23" s="70"/>
      <c r="BC23" s="70"/>
      <c r="BD23" s="70"/>
      <c r="BE23" s="70"/>
      <c r="BF23" s="70"/>
      <c r="BG23" s="70"/>
      <c r="BH23" s="70"/>
      <c r="BI23" s="70"/>
      <c r="BJ23" s="70"/>
      <c r="BK23" s="70"/>
      <c r="BL23" s="70"/>
      <c r="BM23" s="70"/>
      <c r="BN23" s="70"/>
      <c r="BO23" s="70"/>
      <c r="BP23" s="70"/>
      <c r="BQ23" s="70"/>
      <c r="BR23" s="70"/>
      <c r="BS23" s="70"/>
      <c r="BT23" s="70"/>
      <c r="BU23" s="70"/>
      <c r="BV23" s="70"/>
      <c r="BW23" s="70"/>
      <c r="BX23" s="70"/>
      <c r="BY23" s="70"/>
      <c r="BZ23" s="70"/>
    </row>
    <row r="24" spans="1:78" hidden="1" outlineLevel="1">
      <c r="B24" t="s">
        <v>180</v>
      </c>
      <c r="C24" s="69"/>
      <c r="D24" s="69"/>
      <c r="E24" s="69"/>
      <c r="F24" s="69"/>
      <c r="G24" s="69"/>
      <c r="H24" s="69"/>
      <c r="I24" s="69"/>
      <c r="J24" s="69"/>
      <c r="K24" s="69"/>
      <c r="L24" s="69"/>
      <c r="M24" s="69"/>
      <c r="N24" s="69"/>
      <c r="O24" s="69"/>
      <c r="V24" s="70"/>
      <c r="Z24" s="70"/>
      <c r="AA24" s="70"/>
      <c r="AB24" s="70"/>
      <c r="AC24" s="70"/>
      <c r="AD24" s="70"/>
      <c r="AE24" s="70"/>
      <c r="AF24" s="70"/>
      <c r="AG24" s="70"/>
      <c r="AH24" s="120">
        <f>400*0.99</f>
        <v>396</v>
      </c>
      <c r="AI24" s="70">
        <f t="shared" ref="AI24:AX24" ca="1" si="27">+AH27</f>
        <v>396.0546282245827</v>
      </c>
      <c r="AJ24" s="70">
        <f t="shared" ca="1" si="27"/>
        <v>199.08480496542523</v>
      </c>
      <c r="AK24" s="70">
        <f t="shared" ca="1" si="27"/>
        <v>199.090563333142</v>
      </c>
      <c r="AL24" s="70">
        <f t="shared" ca="1" si="27"/>
        <v>199.09638830506168</v>
      </c>
      <c r="AM24" s="70">
        <f t="shared" si="27"/>
        <v>0</v>
      </c>
      <c r="AN24" s="70">
        <f t="shared" ca="1" si="27"/>
        <v>0</v>
      </c>
      <c r="AO24" s="70">
        <f t="shared" ca="1" si="27"/>
        <v>0</v>
      </c>
      <c r="AP24" s="70">
        <f t="shared" ca="1" si="27"/>
        <v>0</v>
      </c>
      <c r="AQ24" s="70">
        <f t="shared" ca="1" si="27"/>
        <v>0</v>
      </c>
      <c r="AR24" s="70">
        <f t="shared" ca="1" si="27"/>
        <v>0</v>
      </c>
      <c r="AS24" s="70">
        <f t="shared" ca="1" si="27"/>
        <v>0</v>
      </c>
      <c r="AT24" s="70">
        <f t="shared" ca="1" si="27"/>
        <v>0</v>
      </c>
      <c r="AU24" s="70">
        <f t="shared" ca="1" si="27"/>
        <v>0</v>
      </c>
      <c r="AV24" s="70">
        <f t="shared" ca="1" si="27"/>
        <v>0</v>
      </c>
      <c r="AW24" s="70">
        <f t="shared" ca="1" si="27"/>
        <v>0</v>
      </c>
      <c r="AX24" s="70">
        <f t="shared" ca="1" si="27"/>
        <v>0</v>
      </c>
      <c r="AY24" s="70">
        <f t="shared" ref="AY24" ca="1" si="28">+AX27</f>
        <v>0</v>
      </c>
      <c r="AZ24" s="70"/>
      <c r="BA24" s="70"/>
      <c r="BB24" s="70"/>
      <c r="BC24" s="70"/>
      <c r="BD24" s="70"/>
      <c r="BE24" s="70"/>
      <c r="BF24" s="70"/>
      <c r="BG24" s="70"/>
      <c r="BH24" s="70"/>
      <c r="BI24" s="70"/>
      <c r="BJ24" s="70"/>
      <c r="BK24" s="70"/>
      <c r="BL24" s="70"/>
      <c r="BM24" s="70"/>
      <c r="BN24" s="70"/>
      <c r="BO24" s="70"/>
      <c r="BP24" s="70"/>
      <c r="BQ24" s="70"/>
      <c r="BR24" s="70"/>
      <c r="BS24" s="70"/>
      <c r="BT24" s="70"/>
      <c r="BU24" s="70"/>
      <c r="BV24" s="70"/>
      <c r="BW24" s="70"/>
      <c r="BX24" s="70"/>
      <c r="BY24" s="70"/>
      <c r="BZ24" s="70"/>
    </row>
    <row r="25" spans="1:78" hidden="1" outlineLevel="1">
      <c r="B25" t="s">
        <v>181</v>
      </c>
      <c r="C25" s="69"/>
      <c r="D25" s="69"/>
      <c r="E25" s="69"/>
      <c r="F25" s="69"/>
      <c r="G25" s="69"/>
      <c r="H25" s="69"/>
      <c r="I25" s="69"/>
      <c r="J25" s="69"/>
      <c r="K25" s="69"/>
      <c r="L25" s="69"/>
      <c r="M25" s="69"/>
      <c r="N25" s="69"/>
      <c r="O25" s="69"/>
      <c r="V25" s="70"/>
      <c r="Z25" s="70"/>
      <c r="AA25" s="70"/>
      <c r="AB25" s="70"/>
      <c r="AC25" s="120"/>
      <c r="AD25" s="120"/>
      <c r="AE25" s="120"/>
      <c r="AF25" s="120"/>
      <c r="AG25" s="70"/>
      <c r="AH25" s="70">
        <f ca="1">+AH23-AH22</f>
        <v>5.4628224582700113E-2</v>
      </c>
      <c r="AI25" s="70">
        <f ca="1">+AI23-AI22</f>
        <v>3.0176740842545513E-2</v>
      </c>
      <c r="AJ25" s="70">
        <f t="shared" ref="AJ25:AX25" ca="1" si="29">+AJ23-AJ22</f>
        <v>5.7583677167611924E-3</v>
      </c>
      <c r="AK25" s="70">
        <f t="shared" ref="AK25" ca="1" si="30">+AK23-AK22</f>
        <v>5.8249719196710181E-3</v>
      </c>
      <c r="AL25" s="70">
        <f t="shared" ca="1" si="29"/>
        <v>2.9292327541043939E-3</v>
      </c>
      <c r="AM25" s="70">
        <f t="shared" ca="1" si="29"/>
        <v>0</v>
      </c>
      <c r="AN25" s="70">
        <f t="shared" ca="1" si="29"/>
        <v>0</v>
      </c>
      <c r="AO25" s="70">
        <f t="shared" ca="1" si="29"/>
        <v>0</v>
      </c>
      <c r="AP25" s="70">
        <f t="shared" ca="1" si="29"/>
        <v>0</v>
      </c>
      <c r="AQ25" s="70">
        <f t="shared" ca="1" si="29"/>
        <v>0</v>
      </c>
      <c r="AR25" s="70">
        <f t="shared" ca="1" si="29"/>
        <v>0</v>
      </c>
      <c r="AS25" s="70">
        <f t="shared" ca="1" si="29"/>
        <v>0</v>
      </c>
      <c r="AT25" s="70">
        <f t="shared" ca="1" si="29"/>
        <v>0</v>
      </c>
      <c r="AU25" s="70">
        <f t="shared" ca="1" si="29"/>
        <v>0</v>
      </c>
      <c r="AV25" s="70">
        <f t="shared" ca="1" si="29"/>
        <v>0</v>
      </c>
      <c r="AW25" s="70">
        <f t="shared" ca="1" si="29"/>
        <v>0</v>
      </c>
      <c r="AX25" s="70">
        <f t="shared" ca="1" si="29"/>
        <v>0</v>
      </c>
      <c r="AY25" s="70">
        <f t="shared" ref="AY25" ca="1" si="31">+AY23-AY22</f>
        <v>0</v>
      </c>
      <c r="AZ25" s="70"/>
      <c r="BA25" s="70"/>
      <c r="BB25" s="70"/>
      <c r="BC25" s="70"/>
      <c r="BD25" s="70"/>
      <c r="BE25" s="70"/>
      <c r="BF25" s="70"/>
      <c r="BG25" s="70"/>
      <c r="BH25" s="70"/>
      <c r="BI25" s="70"/>
      <c r="BJ25" s="70"/>
      <c r="BK25" s="70"/>
      <c r="BL25" s="70"/>
      <c r="BM25" s="70"/>
      <c r="BN25" s="70"/>
      <c r="BO25" s="70"/>
      <c r="BP25" s="70"/>
      <c r="BQ25" s="70"/>
      <c r="BR25" s="70"/>
      <c r="BS25" s="70"/>
      <c r="BT25" s="70"/>
      <c r="BU25" s="70"/>
      <c r="BV25" s="70"/>
      <c r="BW25" s="70"/>
      <c r="BX25" s="70"/>
      <c r="BY25" s="70"/>
      <c r="BZ25" s="70"/>
    </row>
    <row r="26" spans="1:78" hidden="1" outlineLevel="1">
      <c r="B26" t="s">
        <v>182</v>
      </c>
      <c r="C26" s="69"/>
      <c r="D26" s="69"/>
      <c r="E26" s="69"/>
      <c r="F26" s="69"/>
      <c r="G26" s="69"/>
      <c r="H26" s="69"/>
      <c r="I26" s="69"/>
      <c r="J26" s="69"/>
      <c r="K26" s="69"/>
      <c r="L26" s="69"/>
      <c r="M26" s="69"/>
      <c r="N26" s="69"/>
      <c r="O26" s="69"/>
      <c r="V26" s="70"/>
      <c r="Z26" s="70"/>
      <c r="AA26" s="120"/>
      <c r="AB26" s="120"/>
      <c r="AC26" s="120"/>
      <c r="AD26" s="120"/>
      <c r="AE26" s="130"/>
      <c r="AF26" s="120"/>
      <c r="AG26" s="130"/>
      <c r="AH26" s="70">
        <f>+IF(AH$2&gt;$C21,-(AH24+AH25),0)</f>
        <v>0</v>
      </c>
      <c r="AI26" s="302">
        <v>-197</v>
      </c>
      <c r="AJ26" s="70">
        <f t="shared" ref="AJ26:AX26" si="32">+IF(AJ$2&gt;$C21,-(AJ24+AJ25),0)</f>
        <v>0</v>
      </c>
      <c r="AK26" s="70">
        <f t="shared" ref="AK26" si="33">+IF(AK$2&gt;$C21,-(AK24+AK25),0)</f>
        <v>0</v>
      </c>
      <c r="AL26" s="302">
        <f>-AK21</f>
        <v>-203</v>
      </c>
      <c r="AM26" s="70">
        <f t="shared" si="32"/>
        <v>0</v>
      </c>
      <c r="AN26" s="70">
        <f t="shared" si="32"/>
        <v>0</v>
      </c>
      <c r="AO26" s="70">
        <f t="shared" si="32"/>
        <v>0</v>
      </c>
      <c r="AP26" s="70">
        <f t="shared" si="32"/>
        <v>0</v>
      </c>
      <c r="AQ26" s="70">
        <f t="shared" si="32"/>
        <v>0</v>
      </c>
      <c r="AR26" s="70">
        <f t="shared" si="32"/>
        <v>0</v>
      </c>
      <c r="AS26" s="70">
        <f t="shared" si="32"/>
        <v>0</v>
      </c>
      <c r="AT26" s="70">
        <f t="shared" si="32"/>
        <v>0</v>
      </c>
      <c r="AU26" s="70">
        <f t="shared" si="32"/>
        <v>0</v>
      </c>
      <c r="AV26" s="70">
        <f t="shared" si="32"/>
        <v>0</v>
      </c>
      <c r="AW26" s="70">
        <f t="shared" si="32"/>
        <v>0</v>
      </c>
      <c r="AX26" s="70">
        <f t="shared" si="32"/>
        <v>0</v>
      </c>
      <c r="AY26" s="70">
        <f t="shared" ref="AY26" si="34">+IF(AY$2&gt;$C21,-(AY24+AY25),0)</f>
        <v>0</v>
      </c>
      <c r="AZ26" s="70"/>
      <c r="BA26" s="70"/>
      <c r="BB26" s="70"/>
      <c r="BC26" s="70"/>
      <c r="BD26" s="70"/>
      <c r="BE26" s="70"/>
      <c r="BF26" s="70"/>
      <c r="BG26" s="70"/>
      <c r="BH26" s="70"/>
      <c r="BI26" s="70"/>
      <c r="BJ26" s="70"/>
      <c r="BK26" s="70"/>
      <c r="BL26" s="70"/>
      <c r="BM26" s="70"/>
      <c r="BN26" s="70"/>
      <c r="BO26" s="70"/>
      <c r="BP26" s="70"/>
      <c r="BQ26" s="70"/>
      <c r="BR26" s="70"/>
      <c r="BS26" s="70"/>
      <c r="BT26" s="70"/>
      <c r="BU26" s="70"/>
      <c r="BV26" s="70"/>
      <c r="BW26" s="70"/>
      <c r="BX26" s="70"/>
      <c r="BY26" s="70"/>
      <c r="BZ26" s="70"/>
    </row>
    <row r="27" spans="1:78" hidden="1" outlineLevel="1">
      <c r="B27" t="s">
        <v>183</v>
      </c>
      <c r="C27" s="69"/>
      <c r="D27" s="69"/>
      <c r="E27" s="69"/>
      <c r="F27" s="69"/>
      <c r="G27" s="69"/>
      <c r="H27" s="69"/>
      <c r="I27" s="69"/>
      <c r="J27" s="69"/>
      <c r="K27" s="69"/>
      <c r="L27" s="69"/>
      <c r="M27" s="69"/>
      <c r="N27" s="69"/>
      <c r="O27" s="69"/>
      <c r="V27" s="70"/>
      <c r="Y27" s="50"/>
      <c r="Z27" s="50"/>
      <c r="AA27" s="70"/>
      <c r="AB27" s="70"/>
      <c r="AC27" s="70"/>
      <c r="AD27" s="70"/>
      <c r="AE27" s="70"/>
      <c r="AF27" s="70"/>
      <c r="AG27" s="70"/>
      <c r="AH27" s="70">
        <f ca="1">+SUM(AH24:AH26)</f>
        <v>396.0546282245827</v>
      </c>
      <c r="AI27" s="70">
        <f ca="1">+SUM(AI24:AI26)</f>
        <v>199.08480496542523</v>
      </c>
      <c r="AJ27" s="70">
        <f t="shared" ref="AJ27" ca="1" si="35">+SUM(AJ24:AJ26)</f>
        <v>199.090563333142</v>
      </c>
      <c r="AK27" s="70">
        <f t="shared" ref="AK27" ca="1" si="36">+SUM(AK24:AK26)</f>
        <v>199.09638830506168</v>
      </c>
      <c r="AL27" s="130">
        <v>0</v>
      </c>
      <c r="AM27" s="70">
        <f t="shared" ref="AM27:AY27" ca="1" si="37">+SUM(AM24:AM26)</f>
        <v>0</v>
      </c>
      <c r="AN27" s="70">
        <f t="shared" ca="1" si="37"/>
        <v>0</v>
      </c>
      <c r="AO27" s="70">
        <f t="shared" ca="1" si="37"/>
        <v>0</v>
      </c>
      <c r="AP27" s="70">
        <f t="shared" ca="1" si="37"/>
        <v>0</v>
      </c>
      <c r="AQ27" s="70">
        <f t="shared" ca="1" si="37"/>
        <v>0</v>
      </c>
      <c r="AR27" s="70">
        <f t="shared" ca="1" si="37"/>
        <v>0</v>
      </c>
      <c r="AS27" s="70">
        <f t="shared" ca="1" si="37"/>
        <v>0</v>
      </c>
      <c r="AT27" s="70">
        <f t="shared" ca="1" si="37"/>
        <v>0</v>
      </c>
      <c r="AU27" s="70">
        <f t="shared" ca="1" si="37"/>
        <v>0</v>
      </c>
      <c r="AV27" s="70">
        <f t="shared" ca="1" si="37"/>
        <v>0</v>
      </c>
      <c r="AW27" s="70">
        <f t="shared" ca="1" si="37"/>
        <v>0</v>
      </c>
      <c r="AX27" s="70">
        <f t="shared" ca="1" si="37"/>
        <v>0</v>
      </c>
      <c r="AY27" s="70">
        <f t="shared" ca="1" si="37"/>
        <v>0</v>
      </c>
      <c r="AZ27" s="70"/>
      <c r="BA27" s="70"/>
      <c r="BB27" s="70"/>
      <c r="BC27" s="70"/>
      <c r="BD27" s="70"/>
      <c r="BE27" s="70"/>
      <c r="BF27" s="70"/>
      <c r="BG27" s="70"/>
      <c r="BH27" s="70"/>
      <c r="BI27" s="70"/>
      <c r="BJ27" s="70"/>
      <c r="BK27" s="70"/>
      <c r="BL27" s="70"/>
      <c r="BM27" s="70"/>
      <c r="BN27" s="70"/>
      <c r="BO27" s="70"/>
      <c r="BP27" s="70"/>
      <c r="BQ27" s="70"/>
      <c r="BR27" s="70"/>
      <c r="BS27" s="70"/>
      <c r="BT27" s="70"/>
      <c r="BU27" s="70"/>
      <c r="BV27" s="70"/>
      <c r="BW27" s="70"/>
      <c r="BX27" s="70"/>
      <c r="BY27" s="70"/>
      <c r="BZ27" s="70"/>
    </row>
    <row r="28" spans="1:78" hidden="1" outlineLevel="1">
      <c r="B28" t="s">
        <v>184</v>
      </c>
      <c r="C28" s="68">
        <v>0.01</v>
      </c>
      <c r="D28" s="68"/>
      <c r="E28" s="68"/>
      <c r="F28" s="68"/>
      <c r="G28" s="68"/>
      <c r="H28" s="68"/>
      <c r="I28" s="68"/>
      <c r="J28" s="68"/>
      <c r="K28" s="68"/>
      <c r="L28" s="68"/>
      <c r="M28" s="68"/>
      <c r="N28" s="68"/>
      <c r="O28" s="68"/>
      <c r="AB28" s="6"/>
      <c r="AC28" s="6"/>
      <c r="AE28" s="6"/>
      <c r="AF28" s="6"/>
      <c r="AG28" s="6"/>
      <c r="AH28" s="6"/>
      <c r="AI28" s="6"/>
    </row>
    <row r="29" spans="1:78" hidden="1" outlineLevel="1"/>
    <row r="30" spans="1:78" s="64" customFormat="1" collapsed="1">
      <c r="A30" s="63" t="s">
        <v>40</v>
      </c>
      <c r="B30" s="63" t="s">
        <v>402</v>
      </c>
      <c r="C30" s="67">
        <v>44215</v>
      </c>
      <c r="D30" s="67"/>
      <c r="E30" s="67"/>
      <c r="F30" s="67"/>
      <c r="G30" s="67"/>
      <c r="H30" s="67"/>
      <c r="I30" s="67"/>
      <c r="J30" s="67"/>
      <c r="K30" s="67"/>
      <c r="L30" s="67"/>
      <c r="M30" s="67"/>
      <c r="N30" s="67"/>
      <c r="O30" s="67"/>
      <c r="V30" s="71"/>
      <c r="Y30" s="71"/>
      <c r="Z30" s="75"/>
      <c r="AA30" s="75"/>
      <c r="AB30" s="75"/>
      <c r="AC30" s="75"/>
      <c r="AD30" s="75"/>
      <c r="AE30" s="75"/>
      <c r="AF30" s="75"/>
      <c r="AG30" s="75"/>
      <c r="AH30" s="75"/>
      <c r="AI30" s="75"/>
      <c r="AJ30" s="75"/>
      <c r="AK30" s="75"/>
      <c r="AL30" s="71">
        <v>500</v>
      </c>
      <c r="AM30" s="75">
        <f t="shared" ref="AM30:AN30" ca="1" si="38">+IF($C30&gt;AM$2,AL30+AM35,AL30-AL30)</f>
        <v>499.28078933065763</v>
      </c>
      <c r="AN30" s="75">
        <f t="shared" ca="1" si="38"/>
        <v>497.95265968992811</v>
      </c>
      <c r="AO30" s="75">
        <f t="shared" ref="AO30" ca="1" si="39">+IF($C30&gt;AO$2,AN30+AO35,AN30-AN30)</f>
        <v>497.95265968992811</v>
      </c>
      <c r="AP30" s="75">
        <f t="shared" ref="AP30" ca="1" si="40">+IF($C30&gt;AP$2,AO30+AP35,AO30-AO30)</f>
        <v>497.95265968992811</v>
      </c>
      <c r="AQ30" s="75">
        <f t="shared" ref="AQ30" ca="1" si="41">+IF($C30&gt;AQ$2,AP30+AQ35,AP30-AP30)</f>
        <v>497.95265968992811</v>
      </c>
      <c r="AR30" s="75">
        <f t="shared" ref="AR30" ca="1" si="42">+IF($C30&gt;AR$2,AQ30+AR35,AQ30-AQ30)</f>
        <v>497.95265968992811</v>
      </c>
      <c r="AS30" s="75">
        <f t="shared" ref="AS30" ca="1" si="43">+IF($C30&gt;AS$2,AR30+AS35,AR30-AR30)</f>
        <v>497.95265968992811</v>
      </c>
      <c r="AT30" s="75">
        <f t="shared" ref="AT30" ca="1" si="44">+IF($C30&gt;AT$2,AS30+AT35,AS30-AS30)</f>
        <v>497.95265968992811</v>
      </c>
      <c r="AU30" s="75">
        <f t="shared" ref="AU30" ca="1" si="45">+IF($C30&gt;AU$2,AT30+AU35,AT30-AT30)</f>
        <v>497.95265968992811</v>
      </c>
      <c r="AV30" s="75">
        <f t="shared" ref="AV30" ca="1" si="46">+IF($C30&gt;AV$2,AU30+AV35,AU30-AU30)</f>
        <v>497.95265968992811</v>
      </c>
      <c r="AW30" s="75">
        <f t="shared" ref="AW30" ca="1" si="47">+IF($C30&gt;AW$2,AV30+AW35,AV30-AV30)</f>
        <v>497.95265968992811</v>
      </c>
      <c r="AX30" s="75">
        <f t="shared" ref="AX30" ca="1" si="48">+IF($C30&gt;AX$2,AW30+AX35,AW30-AW30)</f>
        <v>497.95265968992811</v>
      </c>
      <c r="AY30" s="75">
        <f t="shared" ref="AY30" ca="1" si="49">+IF($C30&gt;AY$2,AX30+AY35,AX30-AX30)</f>
        <v>497.95265968992811</v>
      </c>
      <c r="AZ30" s="75"/>
      <c r="BA30" s="75"/>
      <c r="BB30" s="75"/>
      <c r="BC30" s="75"/>
      <c r="BD30" s="75"/>
      <c r="BE30" s="75"/>
      <c r="BF30" s="75"/>
      <c r="BG30" s="75"/>
      <c r="BH30" s="75"/>
      <c r="BI30" s="75"/>
      <c r="BJ30" s="75"/>
      <c r="BK30" s="75"/>
      <c r="BL30" s="75"/>
      <c r="BM30" s="75"/>
      <c r="BN30" s="75"/>
      <c r="BO30" s="75"/>
      <c r="BP30" s="75"/>
      <c r="BQ30" s="75"/>
      <c r="BR30" s="75"/>
      <c r="BS30" s="75"/>
      <c r="BT30" s="75"/>
      <c r="BU30" s="75"/>
      <c r="BV30" s="75"/>
      <c r="BW30" s="75"/>
      <c r="BX30" s="75"/>
      <c r="BY30" s="75"/>
      <c r="BZ30" s="75"/>
    </row>
    <row r="31" spans="1:78">
      <c r="A31" s="319"/>
      <c r="B31" t="s">
        <v>178</v>
      </c>
      <c r="C31" s="68">
        <v>0.02</v>
      </c>
      <c r="D31" s="68"/>
      <c r="E31" s="68"/>
      <c r="F31" s="68"/>
      <c r="G31" s="68"/>
      <c r="H31" s="68"/>
      <c r="I31" s="68"/>
      <c r="J31" s="68"/>
      <c r="K31" s="68"/>
      <c r="L31" s="68"/>
      <c r="M31" s="68"/>
      <c r="N31" s="68"/>
      <c r="O31" s="68"/>
      <c r="T31" s="6"/>
      <c r="U31" s="6"/>
      <c r="V31" s="70"/>
      <c r="W31" s="6"/>
      <c r="X31" s="6"/>
      <c r="Y31" s="6"/>
      <c r="Z31" s="70"/>
      <c r="AA31" s="70"/>
      <c r="AB31" s="70"/>
      <c r="AC31" s="70"/>
      <c r="AD31" s="70"/>
      <c r="AE31" s="70"/>
      <c r="AF31" s="70"/>
      <c r="AG31" s="70"/>
      <c r="AL31" s="130">
        <f>+($C31)*AVERAGE(AK30:AL30)/4/3*2</f>
        <v>1.6666666666666667</v>
      </c>
      <c r="AM31" s="70">
        <f t="shared" ref="AM31:AN31" ca="1" si="50">+IF(AM$5&gt;$C37,($C31+AM$5)*AVERAGE(AL30:AM30)/4,($C31+$C37)*AVERAGE(AL30:AM30)/4)</f>
        <v>3.2851355949245375</v>
      </c>
      <c r="AN31" s="70">
        <f t="shared" ca="1" si="50"/>
        <v>3.2908703817679337</v>
      </c>
      <c r="AO31" s="70">
        <f t="shared" ref="AO31" ca="1" si="51">+IF(AO$5&gt;$C37,($C31+AO$5)*AVERAGE(AN30:AO30)/4,($C31+$C37)*AVERAGE(AN30:AO30)/4)</f>
        <v>3.2989363704457739</v>
      </c>
      <c r="AP31" s="70">
        <f t="shared" ref="AP31" ca="1" si="52">+IF(AP$5&gt;$C37,($C31+AP$5)*AVERAGE(AO30:AP30)/4,($C31+$C37)*AVERAGE(AO30:AP30)/4)</f>
        <v>3.3113851869380224</v>
      </c>
      <c r="AQ31" s="70">
        <f t="shared" ref="AQ31" ca="1" si="53">+IF(AQ$5&gt;$C37,($C31+AQ$5)*AVERAGE(AP30:AQ30)/4,($C31+$C37)*AVERAGE(AP30:AQ30)/4)</f>
        <v>3.3238340034302709</v>
      </c>
      <c r="AR31" s="70">
        <f t="shared" ref="AR31" ca="1" si="54">+IF(AR$5&gt;$C37,($C31+AR$5)*AVERAGE(AQ30:AR30)/4,($C31+$C37)*AVERAGE(AQ30:AR30)/4)</f>
        <v>3.336282819922519</v>
      </c>
      <c r="AS31" s="70">
        <f t="shared" ref="AS31" ca="1" si="55">+IF(AS$5&gt;$C37,($C31+AS$5)*AVERAGE(AR30:AS30)/4,($C31+$C37)*AVERAGE(AR30:AS30)/4)</f>
        <v>3.3487316364147675</v>
      </c>
      <c r="AT31" s="70">
        <f t="shared" ref="AT31" ca="1" si="56">+IF(AT$5&gt;$C37,($C31+AT$5)*AVERAGE(AS30:AT30)/4,($C31+$C37)*AVERAGE(AS30:AT30)/4)</f>
        <v>3.3611804529070155</v>
      </c>
      <c r="AU31" s="70">
        <f t="shared" ref="AU31" ca="1" si="57">+IF(AU$5&gt;$C37,($C31+AU$5)*AVERAGE(AT30:AU30)/4,($C31+$C37)*AVERAGE(AT30:AU30)/4)</f>
        <v>3.3736292693992636</v>
      </c>
      <c r="AV31" s="70">
        <f t="shared" ref="AV31" ca="1" si="58">+IF(AV$5&gt;$C37,($C31+AV$5)*AVERAGE(AU30:AV30)/4,($C31+$C37)*AVERAGE(AU30:AV30)/4)</f>
        <v>3.386078085891512</v>
      </c>
      <c r="AW31" s="70">
        <f t="shared" ref="AW31" ca="1" si="59">+IF(AW$5&gt;$C37,($C31+AW$5)*AVERAGE(AV30:AW30)/4,($C31+$C37)*AVERAGE(AV30:AW30)/4)</f>
        <v>3.3985269023837601</v>
      </c>
      <c r="AX31" s="70">
        <f t="shared" ref="AX31" ca="1" si="60">+IF(AX$5&gt;$C37,($C31+AX$5)*AVERAGE(AW30:AX30)/4,($C31+$C37)*AVERAGE(AW30:AX30)/4)</f>
        <v>3.4109757188760086</v>
      </c>
      <c r="AY31" s="70">
        <f t="shared" ref="AY31" ca="1" si="61">+IF(AY$5&gt;$C37,($C31+AY$5)*AVERAGE(AX30:AY30)/4,($C31+$C37)*AVERAGE(AX30:AY30)/4)</f>
        <v>3.4234245353682566</v>
      </c>
      <c r="AZ31" s="70"/>
      <c r="BA31" s="70"/>
      <c r="BB31" s="70"/>
      <c r="BC31" s="70"/>
      <c r="BD31" s="70"/>
      <c r="BE31" s="70"/>
      <c r="BF31" s="70"/>
      <c r="BG31" s="70"/>
      <c r="BH31" s="70"/>
      <c r="BI31" s="70"/>
      <c r="BJ31" s="70"/>
      <c r="BK31" s="70"/>
      <c r="BL31" s="70"/>
      <c r="BM31" s="70"/>
      <c r="BN31" s="70"/>
      <c r="BO31" s="70"/>
      <c r="BP31" s="70"/>
      <c r="BQ31" s="70"/>
      <c r="BR31" s="70"/>
      <c r="BS31" s="70"/>
      <c r="BT31" s="70"/>
      <c r="BU31" s="70"/>
      <c r="BV31" s="70"/>
      <c r="BW31" s="70"/>
      <c r="BX31" s="70"/>
      <c r="BY31" s="70"/>
      <c r="BZ31" s="70"/>
    </row>
    <row r="32" spans="1:78">
      <c r="A32" s="319"/>
      <c r="B32" s="7" t="s">
        <v>179</v>
      </c>
      <c r="C32" s="68">
        <v>2.0250000000000001E-2</v>
      </c>
      <c r="D32" s="68"/>
      <c r="E32" s="68"/>
      <c r="F32" s="68"/>
      <c r="G32" s="68"/>
      <c r="H32" s="68"/>
      <c r="I32" s="68"/>
      <c r="J32" s="68"/>
      <c r="K32" s="68"/>
      <c r="L32" s="68"/>
      <c r="M32" s="68"/>
      <c r="N32" s="68"/>
      <c r="O32" s="68"/>
      <c r="V32" s="70"/>
      <c r="Z32" s="70"/>
      <c r="AA32" s="70"/>
      <c r="AB32" s="70"/>
      <c r="AC32" s="70"/>
      <c r="AD32" s="70"/>
      <c r="AE32" s="70"/>
      <c r="AF32" s="70"/>
      <c r="AG32" s="70"/>
      <c r="AL32" s="130">
        <f ca="1">+($C32)*AVERAGE(AK36:AL36)/4/3*2</f>
        <v>1.6858773360090307</v>
      </c>
      <c r="AM32" s="70">
        <f t="shared" ref="AM32:AN32" ca="1" si="62">+IF(AM$5&gt;$C37,($C32+AM$5)*AVERAGE(AL36:AM36)/4,($C32+$C37)*AVERAGE(AL36:AM36)/4)</f>
        <v>3.3132652356540517</v>
      </c>
      <c r="AN32" s="70">
        <f t="shared" ca="1" si="62"/>
        <v>3.3191121622970683</v>
      </c>
      <c r="AO32" s="70">
        <f t="shared" ref="AO32" ca="1" si="63">+IF(AO$5&gt;$C37,($C32+AO$5)*AVERAGE(AN36:AO36)/4,($C32+$C37)*AVERAGE(AN36:AO36)/4)</f>
        <v>3.3273150079765323</v>
      </c>
      <c r="AP32" s="70">
        <f t="shared" ref="AP32" ca="1" si="64">+IF(AP$5&gt;$C37,($C32+AP$5)*AVERAGE(AO36:AP36)/4,($C32+$C37)*AVERAGE(AO36:AP36)/4)</f>
        <v>3.3399446673122339</v>
      </c>
      <c r="AQ32" s="70">
        <f t="shared" ref="AQ32" ca="1" si="65">+IF(AQ$5&gt;$C37,($C32+AQ$5)*AVERAGE(AP36:AQ36)/4,($C32+$C37)*AVERAGE(AP36:AQ36)/4)</f>
        <v>3.3525769774594609</v>
      </c>
      <c r="AR32" s="70">
        <f t="shared" ref="AR32" ca="1" si="66">+IF(AR$5&gt;$C37,($C32+AR$5)*AVERAGE(AQ36:AR36)/4,($C32+$C37)*AVERAGE(AQ36:AR36)/4)</f>
        <v>3.3652119701141183</v>
      </c>
      <c r="AS32" s="70">
        <f t="shared" ref="AS32" ca="1" si="67">+IF(AS$5&gt;$C37,($C32+AS$5)*AVERAGE(AR36:AS36)/4,($C32+$C37)*AVERAGE(AR36:AS36)/4)</f>
        <v>3.3778496774555529</v>
      </c>
      <c r="AT32" s="70">
        <f t="shared" ref="AT32" ca="1" si="68">+IF(AT$5&gt;$C37,($C32+AT$5)*AVERAGE(AS36:AT36)/4,($C32+$C37)*AVERAGE(AS36:AT36)/4)</f>
        <v>3.3904901321538619</v>
      </c>
      <c r="AU32" s="70">
        <f t="shared" ref="AU32" ca="1" si="69">+IF(AU$5&gt;$C37,($C32+AU$5)*AVERAGE(AT36:AU36)/4,($C32+$C37)*AVERAGE(AT36:AU36)/4)</f>
        <v>3.4031333673773325</v>
      </c>
      <c r="AV32" s="70">
        <f t="shared" ref="AV32" ca="1" si="70">+IF(AV$5&gt;$C37,($C32+AV$5)*AVERAGE(AU36:AV36)/4,($C32+$C37)*AVERAGE(AU36:AV36)/4)</f>
        <v>3.4157794167999977</v>
      </c>
      <c r="AW32" s="70">
        <f t="shared" ref="AW32" ca="1" si="71">+IF(AW$5&gt;$C37,($C32+AW$5)*AVERAGE(AV36:AW36)/4,($C32+$C37)*AVERAGE(AV36:AW36)/4)</f>
        <v>3.4284283146093251</v>
      </c>
      <c r="AX32" s="70">
        <f t="shared" ref="AX32" ca="1" si="72">+IF(AX$5&gt;$C37,($C32+AX$5)*AVERAGE(AW36:AX36)/4,($C32+$C37)*AVERAGE(AW36:AX36)/4)</f>
        <v>3.4410800955140335</v>
      </c>
      <c r="AY32" s="70">
        <f t="shared" ref="AY32" ca="1" si="73">+IF(AY$5&gt;$C37,($C32+AY$5)*AVERAGE(AX36:AY36)/4,($C32+$C37)*AVERAGE(AX36:AY36)/4)</f>
        <v>3.4537347947520436</v>
      </c>
      <c r="AZ32" s="70"/>
      <c r="BA32" s="70"/>
      <c r="BB32" s="70"/>
      <c r="BC32" s="70"/>
      <c r="BD32" s="70"/>
      <c r="BE32" s="70"/>
      <c r="BF32" s="70"/>
      <c r="BG32" s="70"/>
      <c r="BH32" s="70"/>
      <c r="BI32" s="70"/>
      <c r="BJ32" s="70"/>
      <c r="BK32" s="70"/>
      <c r="BL32" s="70"/>
      <c r="BM32" s="70"/>
      <c r="BN32" s="70"/>
      <c r="BO32" s="70"/>
      <c r="BP32" s="70"/>
      <c r="BQ32" s="70"/>
      <c r="BR32" s="70"/>
      <c r="BS32" s="70"/>
      <c r="BT32" s="70"/>
      <c r="BU32" s="70"/>
      <c r="BV32" s="70"/>
      <c r="BW32" s="70"/>
      <c r="BX32" s="70"/>
      <c r="BY32" s="70"/>
      <c r="BZ32" s="70"/>
    </row>
    <row r="33" spans="1:78">
      <c r="A33" s="319"/>
      <c r="B33" t="s">
        <v>180</v>
      </c>
      <c r="C33" s="69"/>
      <c r="D33" s="69"/>
      <c r="E33" s="69"/>
      <c r="F33" s="69"/>
      <c r="G33" s="69"/>
      <c r="H33" s="69"/>
      <c r="I33" s="69"/>
      <c r="J33" s="69"/>
      <c r="K33" s="69"/>
      <c r="L33" s="69"/>
      <c r="M33" s="69"/>
      <c r="N33" s="69"/>
      <c r="O33" s="69"/>
      <c r="V33" s="70"/>
      <c r="Z33" s="70"/>
      <c r="AA33" s="70"/>
      <c r="AB33" s="70"/>
      <c r="AC33" s="70"/>
      <c r="AD33" s="70"/>
      <c r="AE33" s="70"/>
      <c r="AF33" s="70"/>
      <c r="AG33" s="70"/>
      <c r="AL33" s="120">
        <v>499.5</v>
      </c>
      <c r="AM33" s="70">
        <f t="shared" ref="AM33:AN33" ca="1" si="74">+AL36</f>
        <v>499.51921066934239</v>
      </c>
      <c r="AN33" s="70">
        <f t="shared" ca="1" si="74"/>
        <v>498.82812964072951</v>
      </c>
      <c r="AO33" s="70">
        <f t="shared" ref="AO33" ca="1" si="75">+AN36</f>
        <v>497.52824178052913</v>
      </c>
      <c r="AP33" s="70">
        <f t="shared" ref="AP33" ca="1" si="76">+AO36</f>
        <v>497.55662041805988</v>
      </c>
      <c r="AQ33" s="70">
        <f t="shared" ref="AQ33" ca="1" si="77">+AP36</f>
        <v>497.58517989843409</v>
      </c>
      <c r="AR33" s="70">
        <f t="shared" ref="AR33" ca="1" si="78">+AQ36</f>
        <v>497.61392287246326</v>
      </c>
      <c r="AS33" s="70">
        <f t="shared" ref="AS33" ca="1" si="79">+AR36</f>
        <v>497.64285202265484</v>
      </c>
      <c r="AT33" s="70">
        <f t="shared" ref="AT33" ca="1" si="80">+AS36</f>
        <v>497.6719700636956</v>
      </c>
      <c r="AU33" s="70">
        <f t="shared" ref="AU33" ca="1" si="81">+AT36</f>
        <v>497.70127974294246</v>
      </c>
      <c r="AV33" s="70">
        <f t="shared" ref="AV33" ca="1" si="82">+AU36</f>
        <v>497.73078384092054</v>
      </c>
      <c r="AW33" s="70">
        <f t="shared" ref="AW33" ca="1" si="83">+AV36</f>
        <v>497.76048517182903</v>
      </c>
      <c r="AX33" s="70">
        <f t="shared" ref="AX33" ca="1" si="84">+AW36</f>
        <v>497.7903865840546</v>
      </c>
      <c r="AY33" s="70">
        <f t="shared" ref="AY33" ca="1" si="85">+AX36</f>
        <v>497.82049096069261</v>
      </c>
      <c r="AZ33" s="70"/>
      <c r="BA33" s="70"/>
      <c r="BB33" s="70"/>
      <c r="BC33" s="70"/>
      <c r="BD33" s="70"/>
      <c r="BE33" s="70"/>
      <c r="BF33" s="70"/>
      <c r="BG33" s="70"/>
      <c r="BH33" s="70"/>
      <c r="BI33" s="70"/>
      <c r="BJ33" s="70"/>
      <c r="BK33" s="70"/>
      <c r="BL33" s="70"/>
      <c r="BM33" s="70"/>
      <c r="BN33" s="70"/>
      <c r="BO33" s="70"/>
      <c r="BP33" s="70"/>
      <c r="BQ33" s="70"/>
      <c r="BR33" s="70"/>
      <c r="BS33" s="70"/>
      <c r="BT33" s="70"/>
      <c r="BU33" s="70"/>
      <c r="BV33" s="70"/>
      <c r="BW33" s="70"/>
      <c r="BX33" s="70"/>
      <c r="BY33" s="70"/>
      <c r="BZ33" s="70"/>
    </row>
    <row r="34" spans="1:78">
      <c r="A34" s="319"/>
      <c r="B34" t="s">
        <v>181</v>
      </c>
      <c r="C34" s="69"/>
      <c r="D34" s="69"/>
      <c r="E34" s="69"/>
      <c r="F34" s="69"/>
      <c r="G34" s="69"/>
      <c r="H34" s="69"/>
      <c r="I34" s="69"/>
      <c r="J34" s="69"/>
      <c r="K34" s="69"/>
      <c r="L34" s="69"/>
      <c r="M34" s="69"/>
      <c r="N34" s="69"/>
      <c r="O34" s="69"/>
      <c r="V34" s="70"/>
      <c r="Z34" s="70"/>
      <c r="AA34" s="70"/>
      <c r="AB34" s="70"/>
      <c r="AC34" s="120"/>
      <c r="AD34" s="120"/>
      <c r="AE34" s="120"/>
      <c r="AF34" s="120"/>
      <c r="AG34" s="70"/>
      <c r="AL34" s="70">
        <f ca="1">+AL32-AL31</f>
        <v>1.9210669342363929E-2</v>
      </c>
      <c r="AM34" s="70">
        <f t="shared" ref="AM34:AX34" ca="1" si="86">+AM32-AM31</f>
        <v>2.8129640729514183E-2</v>
      </c>
      <c r="AN34" s="70">
        <f t="shared" ref="AN34" ca="1" si="87">+AN32-AN31</f>
        <v>2.8241780529134619E-2</v>
      </c>
      <c r="AO34" s="70">
        <f t="shared" ca="1" si="86"/>
        <v>2.8378637530758422E-2</v>
      </c>
      <c r="AP34" s="70">
        <f t="shared" ca="1" si="86"/>
        <v>2.8559480374211521E-2</v>
      </c>
      <c r="AQ34" s="70">
        <f t="shared" ca="1" si="86"/>
        <v>2.8742974029190016E-2</v>
      </c>
      <c r="AR34" s="70">
        <f t="shared" ca="1" si="86"/>
        <v>2.8929150191599362E-2</v>
      </c>
      <c r="AS34" s="70">
        <f t="shared" ca="1" si="86"/>
        <v>2.9118041040785414E-2</v>
      </c>
      <c r="AT34" s="70">
        <f t="shared" ca="1" si="86"/>
        <v>2.9309679246846354E-2</v>
      </c>
      <c r="AU34" s="70">
        <f t="shared" ca="1" si="86"/>
        <v>2.9504097978068966E-2</v>
      </c>
      <c r="AV34" s="70">
        <f t="shared" ca="1" si="86"/>
        <v>2.9701330908485701E-2</v>
      </c>
      <c r="AW34" s="70">
        <f t="shared" ca="1" si="86"/>
        <v>2.9901412225564972E-2</v>
      </c>
      <c r="AX34" s="70">
        <f t="shared" ca="1" si="86"/>
        <v>3.0104376638024899E-2</v>
      </c>
      <c r="AY34" s="70">
        <f t="shared" ref="AY34" ca="1" si="88">+AY32-AY31</f>
        <v>3.0310259383786953E-2</v>
      </c>
      <c r="AZ34" s="70"/>
      <c r="BA34" s="70"/>
      <c r="BB34" s="70"/>
      <c r="BC34" s="70"/>
      <c r="BD34" s="70"/>
      <c r="BE34" s="70"/>
      <c r="BF34" s="70"/>
      <c r="BG34" s="70"/>
      <c r="BH34" s="70"/>
      <c r="BI34" s="70"/>
      <c r="BJ34" s="70"/>
      <c r="BK34" s="70"/>
      <c r="BL34" s="70"/>
      <c r="BM34" s="70"/>
      <c r="BN34" s="70"/>
      <c r="BO34" s="70"/>
      <c r="BP34" s="70"/>
      <c r="BQ34" s="70"/>
      <c r="BR34" s="70"/>
      <c r="BS34" s="70"/>
      <c r="BT34" s="70"/>
      <c r="BU34" s="70"/>
      <c r="BV34" s="70"/>
      <c r="BW34" s="70"/>
      <c r="BX34" s="70"/>
      <c r="BY34" s="70"/>
      <c r="BZ34" s="70"/>
    </row>
    <row r="35" spans="1:78">
      <c r="A35" s="319"/>
      <c r="B35" t="s">
        <v>182</v>
      </c>
      <c r="C35" s="69"/>
      <c r="D35" s="69"/>
      <c r="E35" s="69"/>
      <c r="F35" s="69"/>
      <c r="G35" s="69"/>
      <c r="H35" s="69"/>
      <c r="I35" s="69"/>
      <c r="J35" s="69"/>
      <c r="K35" s="69"/>
      <c r="L35" s="69"/>
      <c r="M35" s="69"/>
      <c r="N35" s="69"/>
      <c r="O35" s="69"/>
      <c r="V35" s="70"/>
      <c r="Z35" s="70"/>
      <c r="AA35" s="120"/>
      <c r="AB35" s="120"/>
      <c r="AC35" s="120"/>
      <c r="AD35" s="120"/>
      <c r="AE35" s="130"/>
      <c r="AF35" s="120"/>
      <c r="AG35" s="130"/>
      <c r="AL35" s="70">
        <f>+IF(AL$2&gt;$C30,-(AL33+AL34),0)</f>
        <v>0</v>
      </c>
      <c r="AM35" s="120">
        <f ca="1">498.8-AL36</f>
        <v>-0.71921066934237388</v>
      </c>
      <c r="AN35" s="120">
        <f ca="1">497.5-AM36</f>
        <v>-1.3281296407295144</v>
      </c>
      <c r="AO35" s="70">
        <f t="shared" ref="AO35:AX35" si="89">+IF(AO$2&gt;$C30,-(AO33+AO34),0)</f>
        <v>0</v>
      </c>
      <c r="AP35" s="70">
        <f t="shared" si="89"/>
        <v>0</v>
      </c>
      <c r="AQ35" s="70">
        <f t="shared" si="89"/>
        <v>0</v>
      </c>
      <c r="AR35" s="70">
        <f t="shared" si="89"/>
        <v>0</v>
      </c>
      <c r="AS35" s="70">
        <f t="shared" si="89"/>
        <v>0</v>
      </c>
      <c r="AT35" s="70">
        <f t="shared" si="89"/>
        <v>0</v>
      </c>
      <c r="AU35" s="70">
        <f t="shared" si="89"/>
        <v>0</v>
      </c>
      <c r="AV35" s="70">
        <f t="shared" si="89"/>
        <v>0</v>
      </c>
      <c r="AW35" s="70">
        <f t="shared" si="89"/>
        <v>0</v>
      </c>
      <c r="AX35" s="70">
        <f t="shared" si="89"/>
        <v>0</v>
      </c>
      <c r="AY35" s="70">
        <f t="shared" ref="AY35" si="90">+IF(AY$2&gt;$C30,-(AY33+AY34),0)</f>
        <v>0</v>
      </c>
      <c r="AZ35" s="70"/>
      <c r="BA35" s="70"/>
      <c r="BB35" s="70"/>
      <c r="BC35" s="70"/>
      <c r="BD35" s="70"/>
      <c r="BE35" s="70"/>
      <c r="BF35" s="70"/>
      <c r="BG35" s="70"/>
      <c r="BH35" s="70"/>
      <c r="BI35" s="70"/>
      <c r="BJ35" s="70"/>
      <c r="BK35" s="70"/>
      <c r="BL35" s="70"/>
      <c r="BM35" s="70"/>
      <c r="BN35" s="70"/>
      <c r="BO35" s="70"/>
      <c r="BP35" s="70"/>
      <c r="BQ35" s="70"/>
      <c r="BR35" s="70"/>
      <c r="BS35" s="70"/>
      <c r="BT35" s="70"/>
      <c r="BU35" s="70"/>
      <c r="BV35" s="70"/>
      <c r="BW35" s="70"/>
      <c r="BX35" s="70"/>
      <c r="BY35" s="70"/>
      <c r="BZ35" s="70"/>
    </row>
    <row r="36" spans="1:78">
      <c r="A36" s="319"/>
      <c r="B36" t="s">
        <v>183</v>
      </c>
      <c r="C36" s="69"/>
      <c r="D36" s="69"/>
      <c r="E36" s="69"/>
      <c r="F36" s="69"/>
      <c r="G36" s="69"/>
      <c r="H36" s="69"/>
      <c r="I36" s="69"/>
      <c r="J36" s="69"/>
      <c r="K36" s="69"/>
      <c r="L36" s="69"/>
      <c r="M36" s="69"/>
      <c r="N36" s="69"/>
      <c r="O36" s="69"/>
      <c r="V36" s="70"/>
      <c r="Y36" s="50"/>
      <c r="Z36" s="50"/>
      <c r="AA36" s="70"/>
      <c r="AB36" s="70"/>
      <c r="AC36" s="70"/>
      <c r="AD36" s="70"/>
      <c r="AE36" s="70"/>
      <c r="AF36" s="70"/>
      <c r="AG36" s="70"/>
      <c r="AL36" s="70">
        <f ca="1">+SUM(AL33:AL35)</f>
        <v>499.51921066934239</v>
      </c>
      <c r="AM36" s="70">
        <f t="shared" ref="AM36:AX36" ca="1" si="91">+SUM(AM33:AM35)</f>
        <v>498.82812964072951</v>
      </c>
      <c r="AN36" s="70">
        <f t="shared" ref="AN36" ca="1" si="92">+SUM(AN33:AN35)</f>
        <v>497.52824178052913</v>
      </c>
      <c r="AO36" s="70">
        <f t="shared" ca="1" si="91"/>
        <v>497.55662041805988</v>
      </c>
      <c r="AP36" s="70">
        <f t="shared" ca="1" si="91"/>
        <v>497.58517989843409</v>
      </c>
      <c r="AQ36" s="70">
        <f t="shared" ca="1" si="91"/>
        <v>497.61392287246326</v>
      </c>
      <c r="AR36" s="70">
        <f t="shared" ca="1" si="91"/>
        <v>497.64285202265484</v>
      </c>
      <c r="AS36" s="70">
        <f t="shared" ca="1" si="91"/>
        <v>497.6719700636956</v>
      </c>
      <c r="AT36" s="70">
        <f t="shared" ca="1" si="91"/>
        <v>497.70127974294246</v>
      </c>
      <c r="AU36" s="70">
        <f t="shared" ca="1" si="91"/>
        <v>497.73078384092054</v>
      </c>
      <c r="AV36" s="70">
        <f t="shared" ca="1" si="91"/>
        <v>497.76048517182903</v>
      </c>
      <c r="AW36" s="70">
        <f t="shared" ca="1" si="91"/>
        <v>497.7903865840546</v>
      </c>
      <c r="AX36" s="70">
        <f t="shared" ca="1" si="91"/>
        <v>497.82049096069261</v>
      </c>
      <c r="AY36" s="70">
        <f t="shared" ref="AY36" ca="1" si="93">+SUM(AY33:AY35)</f>
        <v>497.85080122007639</v>
      </c>
      <c r="AZ36" s="70"/>
      <c r="BA36" s="70"/>
      <c r="BB36" s="70"/>
      <c r="BC36" s="70"/>
      <c r="BD36" s="70"/>
      <c r="BE36" s="70"/>
      <c r="BF36" s="70"/>
      <c r="BG36" s="70"/>
      <c r="BH36" s="70"/>
      <c r="BI36" s="70"/>
      <c r="BJ36" s="70"/>
      <c r="BK36" s="70"/>
      <c r="BL36" s="70"/>
      <c r="BM36" s="70"/>
      <c r="BN36" s="70"/>
      <c r="BO36" s="70"/>
      <c r="BP36" s="70"/>
      <c r="BQ36" s="70"/>
      <c r="BR36" s="70"/>
      <c r="BS36" s="70"/>
      <c r="BT36" s="70"/>
      <c r="BU36" s="70"/>
      <c r="BV36" s="70"/>
      <c r="BW36" s="70"/>
      <c r="BX36" s="70"/>
      <c r="BY36" s="70"/>
      <c r="BZ36" s="70"/>
    </row>
    <row r="37" spans="1:78">
      <c r="A37" s="319"/>
      <c r="B37" t="s">
        <v>184</v>
      </c>
      <c r="C37" s="68">
        <v>0</v>
      </c>
      <c r="D37" s="68"/>
      <c r="E37" s="68"/>
      <c r="F37" s="68"/>
      <c r="G37" s="68"/>
      <c r="H37" s="68"/>
      <c r="I37" s="68"/>
      <c r="J37" s="68"/>
      <c r="K37" s="68"/>
      <c r="L37" s="68"/>
      <c r="M37" s="68"/>
      <c r="N37" s="68"/>
      <c r="O37" s="68"/>
      <c r="AB37" s="6"/>
      <c r="AC37" s="6"/>
      <c r="AE37" s="6"/>
      <c r="AF37" s="6"/>
      <c r="AG37" s="6"/>
      <c r="AH37" s="6"/>
      <c r="AI37" s="6"/>
    </row>
    <row r="39" spans="1:78" s="64" customFormat="1">
      <c r="A39" s="63" t="s">
        <v>40</v>
      </c>
      <c r="B39" s="63" t="s">
        <v>403</v>
      </c>
      <c r="C39" s="67">
        <v>45310</v>
      </c>
      <c r="D39" s="67"/>
      <c r="E39" s="67"/>
      <c r="F39" s="67"/>
      <c r="G39" s="67"/>
      <c r="H39" s="67"/>
      <c r="I39" s="67"/>
      <c r="J39" s="67"/>
      <c r="K39" s="67"/>
      <c r="L39" s="67"/>
      <c r="M39" s="67"/>
      <c r="N39" s="67"/>
      <c r="O39" s="67"/>
      <c r="V39" s="71"/>
      <c r="Y39" s="71"/>
      <c r="Z39" s="75"/>
      <c r="AA39" s="75"/>
      <c r="AB39" s="75"/>
      <c r="AC39" s="75"/>
      <c r="AD39" s="75"/>
      <c r="AE39" s="75"/>
      <c r="AF39" s="75"/>
      <c r="AG39" s="75"/>
      <c r="AH39" s="75"/>
      <c r="AI39" s="75"/>
      <c r="AJ39" s="75"/>
      <c r="AK39" s="75"/>
      <c r="AL39" s="71">
        <v>1350</v>
      </c>
      <c r="AM39" s="75">
        <f t="shared" ref="AM39:AN39" si="94">+IF($C39&gt;AM$2,AL39+AM44,AL39-AL39)</f>
        <v>1350</v>
      </c>
      <c r="AN39" s="75">
        <f t="shared" si="94"/>
        <v>1350</v>
      </c>
      <c r="AO39" s="75">
        <f t="shared" ref="AO39" si="95">+IF($C39&gt;AO$2,AN39+AO44,AN39-AN39)</f>
        <v>1350</v>
      </c>
      <c r="AP39" s="75">
        <f t="shared" ref="AP39" si="96">+IF($C39&gt;AP$2,AO39+AP44,AO39-AO39)</f>
        <v>1350</v>
      </c>
      <c r="AQ39" s="75">
        <f t="shared" ref="AQ39" si="97">+IF($C39&gt;AQ$2,AP39+AQ44,AP39-AP39)</f>
        <v>1350</v>
      </c>
      <c r="AR39" s="75">
        <f t="shared" ref="AR39" si="98">+IF($C39&gt;AR$2,AQ39+AR44,AQ39-AQ39)</f>
        <v>1350</v>
      </c>
      <c r="AS39" s="75">
        <f t="shared" ref="AS39" si="99">+IF($C39&gt;AS$2,AR39+AS44,AR39-AR39)</f>
        <v>1350</v>
      </c>
      <c r="AT39" s="75">
        <f t="shared" ref="AT39" si="100">+IF($C39&gt;AT$2,AS39+AT44,AS39-AS39)</f>
        <v>1350</v>
      </c>
      <c r="AU39" s="75">
        <f t="shared" ref="AU39" si="101">+IF($C39&gt;AU$2,AT39+AU44,AT39-AT39)</f>
        <v>1350</v>
      </c>
      <c r="AV39" s="75">
        <f t="shared" ref="AV39" si="102">+IF($C39&gt;AV$2,AU39+AV44,AU39-AU39)</f>
        <v>1350</v>
      </c>
      <c r="AW39" s="75">
        <f t="shared" ref="AW39" si="103">+IF($C39&gt;AW$2,AV39+AW44,AV39-AV39)</f>
        <v>1350</v>
      </c>
      <c r="AX39" s="75">
        <f t="shared" ref="AX39" si="104">+IF($C39&gt;AX$2,AW39+AX44,AW39-AW39)</f>
        <v>1350</v>
      </c>
      <c r="AY39" s="75">
        <f t="shared" ref="AY39" si="105">+IF($C39&gt;AY$2,AX39+AY44,AX39-AX39)</f>
        <v>1350</v>
      </c>
      <c r="AZ39" s="75"/>
      <c r="BA39" s="75"/>
      <c r="BB39" s="75"/>
      <c r="BC39" s="75"/>
      <c r="BD39" s="75"/>
      <c r="BE39" s="75"/>
      <c r="BF39" s="75"/>
      <c r="BG39" s="75"/>
      <c r="BH39" s="75"/>
      <c r="BI39" s="75"/>
      <c r="BJ39" s="75"/>
      <c r="BK39" s="75"/>
      <c r="BL39" s="75"/>
      <c r="BM39" s="75"/>
      <c r="BN39" s="75"/>
      <c r="BO39" s="75"/>
      <c r="BP39" s="75"/>
      <c r="BQ39" s="75"/>
      <c r="BR39" s="75"/>
      <c r="BS39" s="75"/>
      <c r="BT39" s="75"/>
      <c r="BU39" s="75"/>
      <c r="BV39" s="75"/>
      <c r="BW39" s="75"/>
      <c r="BX39" s="75"/>
      <c r="BY39" s="75"/>
      <c r="BZ39" s="75"/>
    </row>
    <row r="40" spans="1:78">
      <c r="A40" s="319"/>
      <c r="B40" t="s">
        <v>178</v>
      </c>
      <c r="C40" s="68">
        <v>2.5000000000000001E-2</v>
      </c>
      <c r="D40" s="68"/>
      <c r="E40" s="68"/>
      <c r="F40" s="68"/>
      <c r="G40" s="68"/>
      <c r="H40" s="68"/>
      <c r="I40" s="68"/>
      <c r="J40" s="68"/>
      <c r="K40" s="68"/>
      <c r="L40" s="68"/>
      <c r="M40" s="68"/>
      <c r="N40" s="68"/>
      <c r="O40" s="68"/>
      <c r="T40" s="6"/>
      <c r="U40" s="6"/>
      <c r="V40" s="70"/>
      <c r="W40" s="6"/>
      <c r="X40" s="6"/>
      <c r="Y40" s="6"/>
      <c r="Z40" s="70"/>
      <c r="AA40" s="70"/>
      <c r="AB40" s="70"/>
      <c r="AC40" s="70"/>
      <c r="AD40" s="70"/>
      <c r="AE40" s="70"/>
      <c r="AF40" s="70"/>
      <c r="AG40" s="70"/>
      <c r="AL40" s="130">
        <f>+($C40)*AVERAGE(AK39:AL39)/4/3*2</f>
        <v>5.625</v>
      </c>
      <c r="AM40" s="70">
        <f t="shared" ref="AM40:AN40" si="106">+IF(AM$5&gt;$C46,($C40+AM$5)*AVERAGE(AL39:AM39)/4,($C40+$C46)*AVERAGE(AL39:AM39)/4)</f>
        <v>10.563750000000002</v>
      </c>
      <c r="AN40" s="70">
        <f t="shared" si="106"/>
        <v>10.597500000000002</v>
      </c>
      <c r="AO40" s="70">
        <f t="shared" ref="AO40" si="107">+IF(AO$5&gt;$C46,($C40+AO$5)*AVERAGE(AN39:AO39)/4,($C40+$C46)*AVERAGE(AN39:AO39)/4)</f>
        <v>10.631250000000003</v>
      </c>
      <c r="AP40" s="70">
        <f t="shared" ref="AP40" si="108">+IF(AP$5&gt;$C46,($C40+AP$5)*AVERAGE(AO39:AP39)/4,($C40+$C46)*AVERAGE(AO39:AP39)/4)</f>
        <v>10.665000000000001</v>
      </c>
      <c r="AQ40" s="70">
        <f t="shared" ref="AQ40" si="109">+IF(AQ$5&gt;$C46,($C40+AQ$5)*AVERAGE(AP39:AQ39)/4,($C40+$C46)*AVERAGE(AP39:AQ39)/4)</f>
        <v>10.698750000000002</v>
      </c>
      <c r="AR40" s="70">
        <f t="shared" ref="AR40" si="110">+IF(AR$5&gt;$C46,($C40+AR$5)*AVERAGE(AQ39:AR39)/4,($C40+$C46)*AVERAGE(AQ39:AR39)/4)</f>
        <v>10.732500000000003</v>
      </c>
      <c r="AS40" s="70">
        <f t="shared" ref="AS40" si="111">+IF(AS$5&gt;$C46,($C40+AS$5)*AVERAGE(AR39:AS39)/4,($C40+$C46)*AVERAGE(AR39:AS39)/4)</f>
        <v>10.766250000000001</v>
      </c>
      <c r="AT40" s="70">
        <f t="shared" ref="AT40" si="112">+IF(AT$5&gt;$C46,($C40+AT$5)*AVERAGE(AS39:AT39)/4,($C40+$C46)*AVERAGE(AS39:AT39)/4)</f>
        <v>10.800000000000002</v>
      </c>
      <c r="AU40" s="70">
        <f t="shared" ref="AU40" si="113">+IF(AU$5&gt;$C46,($C40+AU$5)*AVERAGE(AT39:AU39)/4,($C40+$C46)*AVERAGE(AT39:AU39)/4)</f>
        <v>10.833750000000002</v>
      </c>
      <c r="AV40" s="70">
        <f t="shared" ref="AV40" si="114">+IF(AV$5&gt;$C46,($C40+AV$5)*AVERAGE(AU39:AV39)/4,($C40+$C46)*AVERAGE(AU39:AV39)/4)</f>
        <v>10.867500000000001</v>
      </c>
      <c r="AW40" s="70">
        <f t="shared" ref="AW40" si="115">+IF(AW$5&gt;$C46,($C40+AW$5)*AVERAGE(AV39:AW39)/4,($C40+$C46)*AVERAGE(AV39:AW39)/4)</f>
        <v>10.901250000000003</v>
      </c>
      <c r="AX40" s="70">
        <f t="shared" ref="AX40" si="116">+IF(AX$5&gt;$C46,($C40+AX$5)*AVERAGE(AW39:AX39)/4,($C40+$C46)*AVERAGE(AW39:AX39)/4)</f>
        <v>10.935000000000002</v>
      </c>
      <c r="AY40" s="70">
        <f t="shared" ref="AY40" si="117">+IF(AY$5&gt;$C46,($C40+AY$5)*AVERAGE(AX39:AY39)/4,($C40+$C46)*AVERAGE(AX39:AY39)/4)</f>
        <v>10.968750000000004</v>
      </c>
      <c r="AZ40" s="70"/>
      <c r="BA40" s="70"/>
      <c r="BB40" s="70"/>
      <c r="BC40" s="70"/>
      <c r="BD40" s="70"/>
      <c r="BE40" s="70"/>
      <c r="BF40" s="70"/>
      <c r="BG40" s="70"/>
      <c r="BH40" s="70"/>
      <c r="BI40" s="70"/>
      <c r="BJ40" s="70"/>
      <c r="BK40" s="70"/>
      <c r="BL40" s="70"/>
      <c r="BM40" s="70"/>
      <c r="BN40" s="70"/>
      <c r="BO40" s="70"/>
      <c r="BP40" s="70"/>
      <c r="BQ40" s="70"/>
      <c r="BR40" s="70"/>
      <c r="BS40" s="70"/>
      <c r="BT40" s="70"/>
      <c r="BU40" s="70"/>
      <c r="BV40" s="70"/>
      <c r="BW40" s="70"/>
      <c r="BX40" s="70"/>
      <c r="BY40" s="70"/>
      <c r="BZ40" s="70"/>
    </row>
    <row r="41" spans="1:78">
      <c r="A41" s="319"/>
      <c r="B41" s="7" t="s">
        <v>179</v>
      </c>
      <c r="C41" s="68">
        <v>2.5250000000000002E-2</v>
      </c>
      <c r="D41" s="68"/>
      <c r="E41" s="68"/>
      <c r="F41" s="68"/>
      <c r="G41" s="68"/>
      <c r="H41" s="68"/>
      <c r="I41" s="68"/>
      <c r="J41" s="68"/>
      <c r="K41" s="68"/>
      <c r="L41" s="68"/>
      <c r="M41" s="68"/>
      <c r="N41" s="68"/>
      <c r="O41" s="68"/>
      <c r="V41" s="70"/>
      <c r="Z41" s="70"/>
      <c r="AA41" s="70"/>
      <c r="AB41" s="70"/>
      <c r="AC41" s="70"/>
      <c r="AD41" s="70"/>
      <c r="AE41" s="70"/>
      <c r="AF41" s="70"/>
      <c r="AG41" s="70"/>
      <c r="AL41" s="130">
        <f ca="1">+($C41)*AVERAGE(AK45:AL45)/4/3*2</f>
        <v>5.6730354826561786</v>
      </c>
      <c r="AM41" s="70">
        <f t="shared" ref="AM41:AN41" ca="1" si="118">+IF(AM$5&gt;$C46,($C41+AM$5)*AVERAGE(AL45:AM45)/4,($C41+$C46)*AVERAGE(AL45:AM45)/4)</f>
        <v>10.625440689934727</v>
      </c>
      <c r="AN41" s="70">
        <f t="shared" ca="1" si="118"/>
        <v>9.4404037499999998</v>
      </c>
      <c r="AO41" s="70">
        <f t="shared" ref="AO41" ca="1" si="119">+IF(AO$5&gt;$C46,($C41+AO$5)*AVERAGE(AN45:AO45)/4,($C41+$C46)*AVERAGE(AN45:AO45)/4)</f>
        <v>8.2455316804191661</v>
      </c>
      <c r="AP41" s="70">
        <f t="shared" ref="AP41" ca="1" si="120">+IF(AP$5&gt;$C46,($C41+AP$5)*AVERAGE(AO45:AP45)/4,($C41+$C46)*AVERAGE(AO45:AP45)/4)</f>
        <v>8.2523985483509605</v>
      </c>
      <c r="AQ41" s="70">
        <f t="shared" ref="AQ41" ca="1" si="121">+IF(AQ$5&gt;$C46,($C41+AQ$5)*AVERAGE(AP45:AQ45)/4,($C41+$C46)*AVERAGE(AP45:AQ45)/4)</f>
        <v>8.2589293872551526</v>
      </c>
      <c r="AR41" s="70">
        <f t="shared" ref="AR41" ca="1" si="122">+IF(AR$5&gt;$C46,($C41+AR$5)*AVERAGE(AQ45:AR45)/4,($C41+$C46)*AVERAGE(AQ45:AR45)/4)</f>
        <v>8.2651194568724993</v>
      </c>
      <c r="AS41" s="70">
        <f t="shared" ref="AS41" ca="1" si="123">+IF(AS$5&gt;$C46,($C41+AS$5)*AVERAGE(AR45:AS45)/4,($C41+$C46)*AVERAGE(AR45:AS45)/4)</f>
        <v>8.2709639447137349</v>
      </c>
      <c r="AT41" s="70">
        <f t="shared" ref="AT41" ca="1" si="124">+IF(AT$5&gt;$C46,($C41+AT$5)*AVERAGE(AS45:AT45)/4,($C41+$C46)*AVERAGE(AS45:AT45)/4)</f>
        <v>8.276457964875398</v>
      </c>
      <c r="AU41" s="70">
        <f t="shared" ref="AU41" ca="1" si="125">+IF(AU$5&gt;$C46,($C41+AU$5)*AVERAGE(AT45:AU45)/4,($C41+$C46)*AVERAGE(AT45:AU45)/4)</f>
        <v>8.2815965568350656</v>
      </c>
      <c r="AV41" s="70">
        <f t="shared" ref="AV41" ca="1" si="126">+IF(AV$5&gt;$C46,($C41+AV$5)*AVERAGE(AU45:AV45)/4,($C41+$C46)*AVERAGE(AU45:AV45)/4)</f>
        <v>8.2863746842256418</v>
      </c>
      <c r="AW41" s="70">
        <f t="shared" ref="AW41" ca="1" si="127">+IF(AW$5&gt;$C46,($C41+AW$5)*AVERAGE(AV45:AW45)/4,($C41+$C46)*AVERAGE(AV45:AW45)/4)</f>
        <v>8.2907872335882846</v>
      </c>
      <c r="AX41" s="70">
        <f t="shared" ref="AX41" ca="1" si="128">+IF(AX$5&gt;$C46,($C41+AX$5)*AVERAGE(AW45:AX45)/4,($C41+$C46)*AVERAGE(AW45:AX45)/4)</f>
        <v>8.2948290131036018</v>
      </c>
      <c r="AY41" s="70">
        <f t="shared" ref="AY41" ca="1" si="129">+IF(AY$5&gt;$C46,($C41+AY$5)*AVERAGE(AX45:AY45)/4,($C41+$C46)*AVERAGE(AX45:AY45)/4)</f>
        <v>8.2984947513007263</v>
      </c>
      <c r="AZ41" s="70"/>
      <c r="BA41" s="70"/>
      <c r="BB41" s="70"/>
      <c r="BC41" s="70"/>
      <c r="BD41" s="70"/>
      <c r="BE41" s="70"/>
      <c r="BF41" s="70"/>
      <c r="BG41" s="70"/>
      <c r="BH41" s="70"/>
      <c r="BI41" s="70"/>
      <c r="BJ41" s="70"/>
      <c r="BK41" s="70"/>
      <c r="BL41" s="70"/>
      <c r="BM41" s="70"/>
      <c r="BN41" s="70"/>
      <c r="BO41" s="70"/>
      <c r="BP41" s="70"/>
      <c r="BQ41" s="70"/>
      <c r="BR41" s="70"/>
      <c r="BS41" s="70"/>
      <c r="BT41" s="70"/>
      <c r="BU41" s="70"/>
      <c r="BV41" s="70"/>
      <c r="BW41" s="70"/>
      <c r="BX41" s="70"/>
      <c r="BY41" s="70"/>
      <c r="BZ41" s="70"/>
    </row>
    <row r="42" spans="1:78">
      <c r="A42" s="319"/>
      <c r="B42" t="s">
        <v>180</v>
      </c>
      <c r="C42" s="69"/>
      <c r="D42" s="69"/>
      <c r="E42" s="69"/>
      <c r="F42" s="69"/>
      <c r="G42" s="69"/>
      <c r="H42" s="69"/>
      <c r="I42" s="69"/>
      <c r="J42" s="69"/>
      <c r="K42" s="69"/>
      <c r="L42" s="69"/>
      <c r="M42" s="69"/>
      <c r="N42" s="69"/>
      <c r="O42" s="69"/>
      <c r="V42" s="70"/>
      <c r="Z42" s="70"/>
      <c r="AA42" s="70"/>
      <c r="AB42" s="70"/>
      <c r="AC42" s="70"/>
      <c r="AD42" s="70"/>
      <c r="AE42" s="70"/>
      <c r="AF42" s="70"/>
      <c r="AG42" s="70"/>
      <c r="AL42" s="120">
        <v>1348</v>
      </c>
      <c r="AM42" s="70">
        <f t="shared" ref="AM42:AN42" ca="1" si="130">+AL45</f>
        <v>1348.0480354826561</v>
      </c>
      <c r="AN42" s="70">
        <f t="shared" ca="1" si="130"/>
        <v>1346.2</v>
      </c>
      <c r="AO42" s="70">
        <f t="shared" ref="AO42" ca="1" si="131">+AN45</f>
        <v>1040</v>
      </c>
      <c r="AP42" s="70">
        <f t="shared" ref="AP42" ca="1" si="132">+AO45</f>
        <v>1037.6142816804193</v>
      </c>
      <c r="AQ42" s="70">
        <f t="shared" ref="AQ42" ca="1" si="133">+AP45</f>
        <v>1035.2016802287701</v>
      </c>
      <c r="AR42" s="70">
        <f t="shared" ref="AR42" ca="1" si="134">+AQ45</f>
        <v>1032.7618596160253</v>
      </c>
      <c r="AS42" s="70">
        <f t="shared" ref="AS42" ca="1" si="135">+AR45</f>
        <v>1030.2944790728977</v>
      </c>
      <c r="AT42" s="70">
        <f t="shared" ref="AT42" ca="1" si="136">+AS45</f>
        <v>1027.7991930176115</v>
      </c>
      <c r="AU42" s="70">
        <f t="shared" ref="AU42" ca="1" si="137">+AT45</f>
        <v>1025.2756509824869</v>
      </c>
      <c r="AV42" s="70">
        <f t="shared" ref="AV42" ca="1" si="138">+AU45</f>
        <v>1022.723497539322</v>
      </c>
      <c r="AW42" s="70">
        <f t="shared" ref="AW42" ca="1" si="139">+AV45</f>
        <v>1020.1423722235477</v>
      </c>
      <c r="AX42" s="70">
        <f t="shared" ref="AX42" ca="1" si="140">+AW45</f>
        <v>1017.531909457136</v>
      </c>
      <c r="AY42" s="70">
        <f t="shared" ref="AY42" ca="1" si="141">+AX45</f>
        <v>1014.8917384702396</v>
      </c>
      <c r="AZ42" s="70"/>
      <c r="BA42" s="70"/>
      <c r="BB42" s="70"/>
      <c r="BC42" s="70"/>
      <c r="BD42" s="70"/>
      <c r="BE42" s="70"/>
      <c r="BF42" s="70"/>
      <c r="BG42" s="70"/>
      <c r="BH42" s="70"/>
      <c r="BI42" s="70"/>
      <c r="BJ42" s="70"/>
      <c r="BK42" s="70"/>
      <c r="BL42" s="70"/>
      <c r="BM42" s="70"/>
      <c r="BN42" s="70"/>
      <c r="BO42" s="70"/>
      <c r="BP42" s="70"/>
      <c r="BQ42" s="70"/>
      <c r="BR42" s="70"/>
      <c r="BS42" s="70"/>
      <c r="BT42" s="70"/>
      <c r="BU42" s="70"/>
      <c r="BV42" s="70"/>
      <c r="BW42" s="70"/>
      <c r="BX42" s="70"/>
      <c r="BY42" s="70"/>
      <c r="BZ42" s="70"/>
    </row>
    <row r="43" spans="1:78">
      <c r="A43" s="319"/>
      <c r="B43" t="s">
        <v>181</v>
      </c>
      <c r="C43" s="69"/>
      <c r="D43" s="69"/>
      <c r="E43" s="69"/>
      <c r="F43" s="69"/>
      <c r="G43" s="69"/>
      <c r="H43" s="69"/>
      <c r="I43" s="69"/>
      <c r="J43" s="69"/>
      <c r="K43" s="69"/>
      <c r="L43" s="69"/>
      <c r="M43" s="69"/>
      <c r="N43" s="69"/>
      <c r="O43" s="69"/>
      <c r="V43" s="70"/>
      <c r="Z43" s="70"/>
      <c r="AA43" s="70"/>
      <c r="AB43" s="70"/>
      <c r="AC43" s="120"/>
      <c r="AD43" s="120"/>
      <c r="AE43" s="120"/>
      <c r="AF43" s="120"/>
      <c r="AG43" s="70"/>
      <c r="AL43" s="70">
        <f ca="1">+AL41-AL40</f>
        <v>4.803548265617863E-2</v>
      </c>
      <c r="AM43" s="120">
        <f ca="1">1430-16-67.8-AL45</f>
        <v>-1.848035482656087</v>
      </c>
      <c r="AN43" s="120">
        <f ca="1">1119.3-13.6-65.7-AM45</f>
        <v>-306.20000000000005</v>
      </c>
      <c r="AO43" s="70">
        <f t="shared" ref="AO43:AX43" ca="1" si="142">+AO41-AO40</f>
        <v>-2.3857183195808371</v>
      </c>
      <c r="AP43" s="70">
        <f t="shared" ca="1" si="142"/>
        <v>-2.4126014516490404</v>
      </c>
      <c r="AQ43" s="70">
        <f t="shared" ca="1" si="142"/>
        <v>-2.4398206127448496</v>
      </c>
      <c r="AR43" s="70">
        <f t="shared" ca="1" si="142"/>
        <v>-2.4673805431275042</v>
      </c>
      <c r="AS43" s="70">
        <f t="shared" ca="1" si="142"/>
        <v>-2.4952860552862663</v>
      </c>
      <c r="AT43" s="70">
        <f t="shared" ca="1" si="142"/>
        <v>-2.5235420351246045</v>
      </c>
      <c r="AU43" s="70">
        <f t="shared" ca="1" si="142"/>
        <v>-2.5521534431649364</v>
      </c>
      <c r="AV43" s="70">
        <f t="shared" ca="1" si="142"/>
        <v>-2.5811253157743597</v>
      </c>
      <c r="AW43" s="70">
        <f t="shared" ca="1" si="142"/>
        <v>-2.6104627664117181</v>
      </c>
      <c r="AX43" s="70">
        <f t="shared" ca="1" si="142"/>
        <v>-2.6401709868964005</v>
      </c>
      <c r="AY43" s="70">
        <f t="shared" ref="AY43" ca="1" si="143">+AY41-AY40</f>
        <v>-2.6702552486992772</v>
      </c>
      <c r="AZ43" s="70"/>
      <c r="BA43" s="70"/>
      <c r="BB43" s="70"/>
      <c r="BC43" s="70"/>
      <c r="BD43" s="70"/>
      <c r="BE43" s="70"/>
      <c r="BF43" s="70"/>
      <c r="BG43" s="70"/>
      <c r="BH43" s="70"/>
      <c r="BI43" s="70"/>
      <c r="BJ43" s="70"/>
      <c r="BK43" s="70"/>
      <c r="BL43" s="70"/>
      <c r="BM43" s="70"/>
      <c r="BN43" s="70"/>
      <c r="BO43" s="70"/>
      <c r="BP43" s="70"/>
      <c r="BQ43" s="70"/>
      <c r="BR43" s="70"/>
      <c r="BS43" s="70"/>
      <c r="BT43" s="70"/>
      <c r="BU43" s="70"/>
      <c r="BV43" s="70"/>
      <c r="BW43" s="70"/>
      <c r="BX43" s="70"/>
      <c r="BY43" s="70"/>
      <c r="BZ43" s="70"/>
    </row>
    <row r="44" spans="1:78">
      <c r="A44" s="319"/>
      <c r="B44" t="s">
        <v>182</v>
      </c>
      <c r="C44" s="69"/>
      <c r="D44" s="69"/>
      <c r="E44" s="69"/>
      <c r="F44" s="69"/>
      <c r="G44" s="69"/>
      <c r="H44" s="69"/>
      <c r="I44" s="69"/>
      <c r="J44" s="69"/>
      <c r="K44" s="69"/>
      <c r="L44" s="69"/>
      <c r="M44" s="69"/>
      <c r="N44" s="69"/>
      <c r="O44" s="69"/>
      <c r="V44" s="70"/>
      <c r="Z44" s="70"/>
      <c r="AA44" s="120"/>
      <c r="AB44" s="120"/>
      <c r="AC44" s="120"/>
      <c r="AD44" s="120"/>
      <c r="AE44" s="130"/>
      <c r="AF44" s="120"/>
      <c r="AG44" s="130"/>
      <c r="AL44" s="70">
        <f>+IF(AL$2&gt;$C39,-(AL42+AL43),0)</f>
        <v>0</v>
      </c>
      <c r="AM44" s="70">
        <f t="shared" ref="AM44:AX44" si="144">+IF(AM$2&gt;$C39,-(AM42+AM43),0)</f>
        <v>0</v>
      </c>
      <c r="AN44" s="70">
        <f t="shared" ref="AN44" si="145">+IF(AN$2&gt;$C39,-(AN42+AN43),0)</f>
        <v>0</v>
      </c>
      <c r="AO44" s="70">
        <f t="shared" si="144"/>
        <v>0</v>
      </c>
      <c r="AP44" s="70">
        <f t="shared" si="144"/>
        <v>0</v>
      </c>
      <c r="AQ44" s="70">
        <f t="shared" si="144"/>
        <v>0</v>
      </c>
      <c r="AR44" s="70">
        <f t="shared" si="144"/>
        <v>0</v>
      </c>
      <c r="AS44" s="70">
        <f t="shared" si="144"/>
        <v>0</v>
      </c>
      <c r="AT44" s="70">
        <f t="shared" si="144"/>
        <v>0</v>
      </c>
      <c r="AU44" s="70">
        <f t="shared" si="144"/>
        <v>0</v>
      </c>
      <c r="AV44" s="70">
        <f t="shared" si="144"/>
        <v>0</v>
      </c>
      <c r="AW44" s="70">
        <f t="shared" si="144"/>
        <v>0</v>
      </c>
      <c r="AX44" s="70">
        <f t="shared" si="144"/>
        <v>0</v>
      </c>
      <c r="AY44" s="70">
        <f t="shared" ref="AY44" si="146">+IF(AY$2&gt;$C39,-(AY42+AY43),0)</f>
        <v>0</v>
      </c>
      <c r="AZ44" s="70"/>
      <c r="BA44" s="70"/>
      <c r="BB44" s="70"/>
      <c r="BC44" s="70"/>
      <c r="BD44" s="70"/>
      <c r="BE44" s="70"/>
      <c r="BF44" s="70"/>
      <c r="BG44" s="70"/>
      <c r="BH44" s="70"/>
      <c r="BI44" s="70"/>
      <c r="BJ44" s="70"/>
      <c r="BK44" s="70"/>
      <c r="BL44" s="70"/>
      <c r="BM44" s="70"/>
      <c r="BN44" s="70"/>
      <c r="BO44" s="70"/>
      <c r="BP44" s="70"/>
      <c r="BQ44" s="70"/>
      <c r="BR44" s="70"/>
      <c r="BS44" s="70"/>
      <c r="BT44" s="70"/>
      <c r="BU44" s="70"/>
      <c r="BV44" s="70"/>
      <c r="BW44" s="70"/>
      <c r="BX44" s="70"/>
      <c r="BY44" s="70"/>
      <c r="BZ44" s="70"/>
    </row>
    <row r="45" spans="1:78">
      <c r="A45" s="319"/>
      <c r="B45" t="s">
        <v>183</v>
      </c>
      <c r="C45" s="69"/>
      <c r="D45" s="69"/>
      <c r="E45" s="69"/>
      <c r="F45" s="69"/>
      <c r="G45" s="69"/>
      <c r="H45" s="69"/>
      <c r="I45" s="69"/>
      <c r="J45" s="69"/>
      <c r="K45" s="69"/>
      <c r="L45" s="69"/>
      <c r="M45" s="69"/>
      <c r="N45" s="69"/>
      <c r="O45" s="69"/>
      <c r="V45" s="70"/>
      <c r="Y45" s="50"/>
      <c r="Z45" s="50"/>
      <c r="AA45" s="70"/>
      <c r="AB45" s="70"/>
      <c r="AC45" s="70"/>
      <c r="AD45" s="70"/>
      <c r="AE45" s="70"/>
      <c r="AF45" s="70"/>
      <c r="AG45" s="70"/>
      <c r="AL45" s="70">
        <f ca="1">+SUM(AL42:AL44)</f>
        <v>1348.0480354826561</v>
      </c>
      <c r="AM45" s="70">
        <f t="shared" ref="AM45:AX45" ca="1" si="147">+SUM(AM42:AM44)</f>
        <v>1346.2</v>
      </c>
      <c r="AN45" s="70">
        <f t="shared" ref="AN45" ca="1" si="148">+SUM(AN42:AN44)</f>
        <v>1040</v>
      </c>
      <c r="AO45" s="70">
        <f t="shared" ca="1" si="147"/>
        <v>1037.6142816804193</v>
      </c>
      <c r="AP45" s="70">
        <f t="shared" ca="1" si="147"/>
        <v>1035.2016802287701</v>
      </c>
      <c r="AQ45" s="70">
        <f t="shared" ca="1" si="147"/>
        <v>1032.7618596160253</v>
      </c>
      <c r="AR45" s="70">
        <f t="shared" ca="1" si="147"/>
        <v>1030.2944790728977</v>
      </c>
      <c r="AS45" s="70">
        <f t="shared" ca="1" si="147"/>
        <v>1027.7991930176115</v>
      </c>
      <c r="AT45" s="70">
        <f t="shared" ca="1" si="147"/>
        <v>1025.2756509824869</v>
      </c>
      <c r="AU45" s="70">
        <f t="shared" ca="1" si="147"/>
        <v>1022.723497539322</v>
      </c>
      <c r="AV45" s="70">
        <f t="shared" ca="1" si="147"/>
        <v>1020.1423722235477</v>
      </c>
      <c r="AW45" s="70">
        <f t="shared" ca="1" si="147"/>
        <v>1017.531909457136</v>
      </c>
      <c r="AX45" s="70">
        <f t="shared" ca="1" si="147"/>
        <v>1014.8917384702396</v>
      </c>
      <c r="AY45" s="70">
        <f t="shared" ref="AY45" ca="1" si="149">+SUM(AY42:AY44)</f>
        <v>1012.2214832215403</v>
      </c>
      <c r="AZ45" s="70"/>
      <c r="BA45" s="70"/>
      <c r="BB45" s="70"/>
      <c r="BC45" s="70"/>
      <c r="BD45" s="70"/>
      <c r="BE45" s="70"/>
      <c r="BF45" s="70"/>
      <c r="BG45" s="70"/>
      <c r="BH45" s="70"/>
      <c r="BI45" s="70"/>
      <c r="BJ45" s="70"/>
      <c r="BK45" s="70"/>
      <c r="BL45" s="70"/>
      <c r="BM45" s="70"/>
      <c r="BN45" s="70"/>
      <c r="BO45" s="70"/>
      <c r="BP45" s="70"/>
      <c r="BQ45" s="70"/>
      <c r="BR45" s="70"/>
      <c r="BS45" s="70"/>
      <c r="BT45" s="70"/>
      <c r="BU45" s="70"/>
      <c r="BV45" s="70"/>
      <c r="BW45" s="70"/>
      <c r="BX45" s="70"/>
      <c r="BY45" s="70"/>
      <c r="BZ45" s="70"/>
    </row>
    <row r="46" spans="1:78">
      <c r="A46" s="319"/>
      <c r="B46" t="s">
        <v>184</v>
      </c>
      <c r="C46" s="68">
        <v>0</v>
      </c>
      <c r="D46" s="68"/>
      <c r="E46" s="68"/>
      <c r="F46" s="68"/>
      <c r="G46" s="68"/>
      <c r="H46" s="68"/>
      <c r="I46" s="68"/>
      <c r="J46" s="68"/>
      <c r="K46" s="68"/>
      <c r="L46" s="68"/>
      <c r="M46" s="68"/>
      <c r="N46" s="68"/>
      <c r="O46" s="68"/>
      <c r="AB46" s="6"/>
      <c r="AC46" s="6"/>
      <c r="AE46" s="6"/>
      <c r="AF46" s="6"/>
      <c r="AG46" s="6"/>
      <c r="AH46" s="6"/>
      <c r="AI46" s="6"/>
    </row>
    <row r="48" spans="1:78" s="64" customFormat="1">
      <c r="A48" s="63" t="s">
        <v>40</v>
      </c>
      <c r="B48" s="63" t="s">
        <v>403</v>
      </c>
      <c r="C48" s="67">
        <v>45304</v>
      </c>
      <c r="D48" s="67"/>
      <c r="E48" s="67"/>
      <c r="F48" s="67"/>
      <c r="G48" s="67"/>
      <c r="H48" s="67"/>
      <c r="I48" s="67"/>
      <c r="J48" s="67"/>
      <c r="K48" s="67"/>
      <c r="L48" s="67"/>
      <c r="M48" s="67"/>
      <c r="N48" s="67"/>
      <c r="O48" s="67"/>
      <c r="V48" s="71"/>
      <c r="Y48" s="71"/>
      <c r="Z48" s="75"/>
      <c r="AA48" s="75"/>
      <c r="AB48" s="75"/>
      <c r="AC48" s="75"/>
      <c r="AD48" s="75"/>
      <c r="AE48" s="75"/>
      <c r="AF48" s="75"/>
      <c r="AG48" s="75"/>
      <c r="AH48" s="75"/>
      <c r="AI48" s="75"/>
      <c r="AJ48" s="75"/>
      <c r="AK48" s="75"/>
      <c r="AL48" s="71">
        <v>650</v>
      </c>
      <c r="AM48" s="71">
        <v>0</v>
      </c>
      <c r="AN48" s="75">
        <f t="shared" ref="AN48" si="150">+IF($C48&gt;AN$2,AM48+AN53,AM48-AM48)</f>
        <v>0</v>
      </c>
      <c r="AO48" s="75">
        <f t="shared" ref="AO48" si="151">+IF($C48&gt;AO$2,AN48+AO53,AN48-AN48)</f>
        <v>0</v>
      </c>
      <c r="AP48" s="75">
        <f t="shared" ref="AP48" si="152">+IF($C48&gt;AP$2,AO48+AP53,AO48-AO48)</f>
        <v>0</v>
      </c>
      <c r="AQ48" s="75">
        <f t="shared" ref="AQ48" si="153">+IF($C48&gt;AQ$2,AP48+AQ53,AP48-AP48)</f>
        <v>0</v>
      </c>
      <c r="AR48" s="75">
        <f t="shared" ref="AR48" si="154">+IF($C48&gt;AR$2,AQ48+AR53,AQ48-AQ48)</f>
        <v>0</v>
      </c>
      <c r="AS48" s="75">
        <f t="shared" ref="AS48" si="155">+IF($C48&gt;AS$2,AR48+AS53,AR48-AR48)</f>
        <v>0</v>
      </c>
      <c r="AT48" s="75">
        <f t="shared" ref="AT48" si="156">+IF($C48&gt;AT$2,AS48+AT53,AS48-AS48)</f>
        <v>0</v>
      </c>
      <c r="AU48" s="75">
        <f t="shared" ref="AU48" si="157">+IF($C48&gt;AU$2,AT48+AU53,AT48-AT48)</f>
        <v>0</v>
      </c>
      <c r="AV48" s="75">
        <f t="shared" ref="AV48" si="158">+IF($C48&gt;AV$2,AU48+AV53,AU48-AU48)</f>
        <v>0</v>
      </c>
      <c r="AW48" s="75">
        <f t="shared" ref="AW48" si="159">+IF($C48&gt;AW$2,AV48+AW53,AV48-AV48)</f>
        <v>0</v>
      </c>
      <c r="AX48" s="75">
        <f t="shared" ref="AX48" si="160">+IF($C48&gt;AX$2,AW48+AX53,AW48-AW48)</f>
        <v>0</v>
      </c>
      <c r="AY48" s="75">
        <f t="shared" ref="AY48" si="161">+IF($C48&gt;AY$2,AX48+AY53,AX48-AX48)</f>
        <v>0</v>
      </c>
      <c r="AZ48" s="75"/>
      <c r="BA48" s="75"/>
      <c r="BB48" s="75"/>
      <c r="BC48" s="75"/>
      <c r="BD48" s="75"/>
      <c r="BE48" s="75"/>
      <c r="BF48" s="75"/>
      <c r="BG48" s="75"/>
      <c r="BH48" s="75"/>
      <c r="BI48" s="75"/>
      <c r="BJ48" s="75"/>
      <c r="BK48" s="75"/>
      <c r="BL48" s="75"/>
      <c r="BM48" s="75"/>
      <c r="BN48" s="75"/>
      <c r="BO48" s="75"/>
      <c r="BP48" s="75"/>
      <c r="BQ48" s="75"/>
      <c r="BR48" s="75"/>
      <c r="BS48" s="75"/>
      <c r="BT48" s="75"/>
      <c r="BU48" s="75"/>
      <c r="BV48" s="75"/>
      <c r="BW48" s="75"/>
      <c r="BX48" s="75"/>
      <c r="BY48" s="75"/>
      <c r="BZ48" s="75"/>
    </row>
    <row r="49" spans="1:78">
      <c r="A49" s="319"/>
      <c r="B49" t="s">
        <v>178</v>
      </c>
      <c r="C49" s="68">
        <v>2.5000000000000001E-2</v>
      </c>
      <c r="D49" s="68"/>
      <c r="E49" s="68"/>
      <c r="F49" s="68"/>
      <c r="G49" s="68"/>
      <c r="H49" s="68"/>
      <c r="I49" s="68"/>
      <c r="J49" s="68"/>
      <c r="K49" s="68"/>
      <c r="L49" s="68"/>
      <c r="M49" s="68"/>
      <c r="N49" s="68"/>
      <c r="O49" s="68"/>
      <c r="T49" s="6"/>
      <c r="U49" s="6"/>
      <c r="V49" s="70"/>
      <c r="W49" s="6"/>
      <c r="X49" s="6"/>
      <c r="Y49" s="6"/>
      <c r="Z49" s="70"/>
      <c r="AA49" s="70"/>
      <c r="AB49" s="70"/>
      <c r="AC49" s="70"/>
      <c r="AD49" s="70"/>
      <c r="AE49" s="70"/>
      <c r="AF49" s="70"/>
      <c r="AG49" s="70"/>
      <c r="AL49" s="130">
        <f>+($C49)*AVERAGE(AK48:AL48)/4/3*2</f>
        <v>2.7083333333333335</v>
      </c>
      <c r="AM49" s="70">
        <f t="shared" ref="AM49" si="162">+IF(AM$5&gt;$C55,($C49+AM$5)*AVERAGE(AL48:AM48)/4,($C49+$C55)*AVERAGE(AL48:AM48)/4)</f>
        <v>2.5431250000000007</v>
      </c>
      <c r="AN49" s="70">
        <f t="shared" ref="AN49" si="163">+IF(AN$5&gt;$C55,($C49+AN$5)*AVERAGE(AM48:AN48)/4,($C49+$C55)*AVERAGE(AM48:AN48)/4)</f>
        <v>0</v>
      </c>
      <c r="AO49" s="70">
        <f t="shared" ref="AO49" si="164">+IF(AO$5&gt;$C55,($C49+AO$5)*AVERAGE(AN48:AO48)/4,($C49+$C55)*AVERAGE(AN48:AO48)/4)</f>
        <v>0</v>
      </c>
      <c r="AP49" s="70">
        <f t="shared" ref="AP49" si="165">+IF(AP$5&gt;$C55,($C49+AP$5)*AVERAGE(AO48:AP48)/4,($C49+$C55)*AVERAGE(AO48:AP48)/4)</f>
        <v>0</v>
      </c>
      <c r="AQ49" s="70">
        <f t="shared" ref="AQ49" si="166">+IF(AQ$5&gt;$C55,($C49+AQ$5)*AVERAGE(AP48:AQ48)/4,($C49+$C55)*AVERAGE(AP48:AQ48)/4)</f>
        <v>0</v>
      </c>
      <c r="AR49" s="70">
        <f t="shared" ref="AR49" si="167">+IF(AR$5&gt;$C55,($C49+AR$5)*AVERAGE(AQ48:AR48)/4,($C49+$C55)*AVERAGE(AQ48:AR48)/4)</f>
        <v>0</v>
      </c>
      <c r="AS49" s="70">
        <f t="shared" ref="AS49" si="168">+IF(AS$5&gt;$C55,($C49+AS$5)*AVERAGE(AR48:AS48)/4,($C49+$C55)*AVERAGE(AR48:AS48)/4)</f>
        <v>0</v>
      </c>
      <c r="AT49" s="70">
        <f t="shared" ref="AT49" si="169">+IF(AT$5&gt;$C55,($C49+AT$5)*AVERAGE(AS48:AT48)/4,($C49+$C55)*AVERAGE(AS48:AT48)/4)</f>
        <v>0</v>
      </c>
      <c r="AU49" s="70">
        <f t="shared" ref="AU49" si="170">+IF(AU$5&gt;$C55,($C49+AU$5)*AVERAGE(AT48:AU48)/4,($C49+$C55)*AVERAGE(AT48:AU48)/4)</f>
        <v>0</v>
      </c>
      <c r="AV49" s="70">
        <f t="shared" ref="AV49" si="171">+IF(AV$5&gt;$C55,($C49+AV$5)*AVERAGE(AU48:AV48)/4,($C49+$C55)*AVERAGE(AU48:AV48)/4)</f>
        <v>0</v>
      </c>
      <c r="AW49" s="70">
        <f t="shared" ref="AW49" si="172">+IF(AW$5&gt;$C55,($C49+AW$5)*AVERAGE(AV48:AW48)/4,($C49+$C55)*AVERAGE(AV48:AW48)/4)</f>
        <v>0</v>
      </c>
      <c r="AX49" s="70">
        <f t="shared" ref="AX49" si="173">+IF(AX$5&gt;$C55,($C49+AX$5)*AVERAGE(AW48:AX48)/4,($C49+$C55)*AVERAGE(AW48:AX48)/4)</f>
        <v>0</v>
      </c>
      <c r="AY49" s="70">
        <f t="shared" ref="AY49" si="174">+IF(AY$5&gt;$C55,($C49+AY$5)*AVERAGE(AX48:AY48)/4,($C49+$C55)*AVERAGE(AX48:AY48)/4)</f>
        <v>0</v>
      </c>
      <c r="AZ49" s="70"/>
      <c r="BA49" s="70"/>
      <c r="BB49" s="70"/>
      <c r="BC49" s="70"/>
      <c r="BD49" s="70"/>
      <c r="BE49" s="70"/>
      <c r="BF49" s="70"/>
      <c r="BG49" s="70"/>
      <c r="BH49" s="70"/>
      <c r="BI49" s="70"/>
      <c r="BJ49" s="70"/>
      <c r="BK49" s="70"/>
      <c r="BL49" s="70"/>
      <c r="BM49" s="70"/>
      <c r="BN49" s="70"/>
      <c r="BO49" s="70"/>
      <c r="BP49" s="70"/>
      <c r="BQ49" s="70"/>
      <c r="BR49" s="70"/>
      <c r="BS49" s="70"/>
      <c r="BT49" s="70"/>
      <c r="BU49" s="70"/>
      <c r="BV49" s="70"/>
      <c r="BW49" s="70"/>
      <c r="BX49" s="70"/>
      <c r="BY49" s="70"/>
      <c r="BZ49" s="70"/>
    </row>
    <row r="50" spans="1:78">
      <c r="A50" s="319"/>
      <c r="B50" s="7" t="s">
        <v>179</v>
      </c>
      <c r="C50" s="68">
        <v>2.5250000000000002E-2</v>
      </c>
      <c r="D50" s="68"/>
      <c r="E50" s="68"/>
      <c r="F50" s="68"/>
      <c r="G50" s="68"/>
      <c r="H50" s="68"/>
      <c r="I50" s="68"/>
      <c r="J50" s="68"/>
      <c r="K50" s="68"/>
      <c r="L50" s="68"/>
      <c r="M50" s="68"/>
      <c r="N50" s="68"/>
      <c r="O50" s="68"/>
      <c r="V50" s="70"/>
      <c r="Z50" s="70"/>
      <c r="AA50" s="70"/>
      <c r="AB50" s="70"/>
      <c r="AC50" s="70"/>
      <c r="AD50" s="70"/>
      <c r="AE50" s="70"/>
      <c r="AF50" s="70"/>
      <c r="AG50" s="70"/>
      <c r="AL50" s="130">
        <f>+($C50)*AVERAGE(AK54:AL54)/4/3*2</f>
        <v>2.3364666666666678</v>
      </c>
      <c r="AM50" s="70">
        <f t="shared" ref="AM50" si="175">+IF(AM$5&gt;$C55,($C50+AM$5)*AVERAGE(AL54:AM54)/4,($C50+$C55)*AVERAGE(AL54:AM54)/4)</f>
        <v>2.1895700000000016</v>
      </c>
      <c r="AN50" s="70">
        <f ca="1">+IF(AN$5&gt;$C55,($C50+AN$5)*AVERAGE(AM54:AN54)/4,($C50+$C55)*AVERAGE(AM54:AN54)/4)</f>
        <v>0</v>
      </c>
      <c r="AO50" s="70">
        <f t="shared" ref="AO50" ca="1" si="176">+IF(AO$5&gt;$C55,($C50+AO$5)*AVERAGE(AN54:AO54)/4,($C50+$C55)*AVERAGE(AN54:AO54)/4)</f>
        <v>0</v>
      </c>
      <c r="AP50" s="70">
        <f t="shared" ref="AP50" ca="1" si="177">+IF(AP$5&gt;$C55,($C50+AP$5)*AVERAGE(AO54:AP54)/4,($C50+$C55)*AVERAGE(AO54:AP54)/4)</f>
        <v>0</v>
      </c>
      <c r="AQ50" s="70">
        <f t="shared" ref="AQ50" ca="1" si="178">+IF(AQ$5&gt;$C55,($C50+AQ$5)*AVERAGE(AP54:AQ54)/4,($C50+$C55)*AVERAGE(AP54:AQ54)/4)</f>
        <v>0</v>
      </c>
      <c r="AR50" s="70">
        <f t="shared" ref="AR50" ca="1" si="179">+IF(AR$5&gt;$C55,($C50+AR$5)*AVERAGE(AQ54:AR54)/4,($C50+$C55)*AVERAGE(AQ54:AR54)/4)</f>
        <v>0</v>
      </c>
      <c r="AS50" s="70">
        <f t="shared" ref="AS50" ca="1" si="180">+IF(AS$5&gt;$C55,($C50+AS$5)*AVERAGE(AR54:AS54)/4,($C50+$C55)*AVERAGE(AR54:AS54)/4)</f>
        <v>0</v>
      </c>
      <c r="AT50" s="70">
        <f t="shared" ref="AT50" ca="1" si="181">+IF(AT$5&gt;$C55,($C50+AT$5)*AVERAGE(AS54:AT54)/4,($C50+$C55)*AVERAGE(AS54:AT54)/4)</f>
        <v>0</v>
      </c>
      <c r="AU50" s="70">
        <f t="shared" ref="AU50" ca="1" si="182">+IF(AU$5&gt;$C55,($C50+AU$5)*AVERAGE(AT54:AU54)/4,($C50+$C55)*AVERAGE(AT54:AU54)/4)</f>
        <v>0</v>
      </c>
      <c r="AV50" s="70">
        <f t="shared" ref="AV50" ca="1" si="183">+IF(AV$5&gt;$C55,($C50+AV$5)*AVERAGE(AU54:AV54)/4,($C50+$C55)*AVERAGE(AU54:AV54)/4)</f>
        <v>0</v>
      </c>
      <c r="AW50" s="70">
        <f t="shared" ref="AW50" ca="1" si="184">+IF(AW$5&gt;$C55,($C50+AW$5)*AVERAGE(AV54:AW54)/4,($C50+$C55)*AVERAGE(AV54:AW54)/4)</f>
        <v>0</v>
      </c>
      <c r="AX50" s="70">
        <f t="shared" ref="AX50" ca="1" si="185">+IF(AX$5&gt;$C55,($C50+AX$5)*AVERAGE(AW54:AX54)/4,($C50+$C55)*AVERAGE(AW54:AX54)/4)</f>
        <v>0</v>
      </c>
      <c r="AY50" s="70">
        <f t="shared" ref="AY50" ca="1" si="186">+IF(AY$5&gt;$C55,($C50+AY$5)*AVERAGE(AX54:AY54)/4,($C50+$C55)*AVERAGE(AX54:AY54)/4)</f>
        <v>0</v>
      </c>
      <c r="AZ50" s="70"/>
      <c r="BA50" s="70"/>
      <c r="BB50" s="70"/>
      <c r="BC50" s="70"/>
      <c r="BD50" s="70"/>
      <c r="BE50" s="70"/>
      <c r="BF50" s="70"/>
      <c r="BG50" s="70"/>
      <c r="BH50" s="70"/>
      <c r="BI50" s="70"/>
      <c r="BJ50" s="70"/>
      <c r="BK50" s="70"/>
      <c r="BL50" s="70"/>
      <c r="BM50" s="70"/>
      <c r="BN50" s="70"/>
      <c r="BO50" s="70"/>
      <c r="BP50" s="70"/>
      <c r="BQ50" s="70"/>
      <c r="BR50" s="70"/>
      <c r="BS50" s="70"/>
      <c r="BT50" s="70"/>
      <c r="BU50" s="70"/>
      <c r="BV50" s="70"/>
      <c r="BW50" s="70"/>
      <c r="BX50" s="70"/>
      <c r="BY50" s="70"/>
      <c r="BZ50" s="70"/>
    </row>
    <row r="51" spans="1:78">
      <c r="A51" s="319"/>
      <c r="B51" t="s">
        <v>180</v>
      </c>
      <c r="C51" s="69"/>
      <c r="D51" s="69"/>
      <c r="E51" s="69"/>
      <c r="F51" s="69"/>
      <c r="G51" s="69"/>
      <c r="H51" s="69"/>
      <c r="I51" s="69"/>
      <c r="J51" s="69"/>
      <c r="K51" s="69"/>
      <c r="L51" s="69"/>
      <c r="M51" s="69"/>
      <c r="N51" s="69"/>
      <c r="O51" s="69"/>
      <c r="V51" s="70"/>
      <c r="Z51" s="70"/>
      <c r="AA51" s="70"/>
      <c r="AB51" s="70"/>
      <c r="AC51" s="70"/>
      <c r="AD51" s="70"/>
      <c r="AE51" s="70"/>
      <c r="AF51" s="70"/>
      <c r="AG51" s="70"/>
      <c r="AL51" s="120">
        <v>649</v>
      </c>
      <c r="AM51" s="70">
        <f t="shared" ref="AM51" si="187">+AL54</f>
        <v>555.20000000000027</v>
      </c>
      <c r="AN51" s="70">
        <f t="shared" ref="AN51" si="188">+AM54</f>
        <v>0</v>
      </c>
      <c r="AO51" s="70">
        <f t="shared" ref="AO51" ca="1" si="189">+AN54</f>
        <v>0</v>
      </c>
      <c r="AP51" s="70">
        <f t="shared" ref="AP51" ca="1" si="190">+AO54</f>
        <v>0</v>
      </c>
      <c r="AQ51" s="70">
        <f t="shared" ref="AQ51" ca="1" si="191">+AP54</f>
        <v>0</v>
      </c>
      <c r="AR51" s="70">
        <f t="shared" ref="AR51" ca="1" si="192">+AQ54</f>
        <v>0</v>
      </c>
      <c r="AS51" s="70">
        <f t="shared" ref="AS51" ca="1" si="193">+AR54</f>
        <v>0</v>
      </c>
      <c r="AT51" s="70">
        <f t="shared" ref="AT51" ca="1" si="194">+AS54</f>
        <v>0</v>
      </c>
      <c r="AU51" s="70">
        <f t="shared" ref="AU51" ca="1" si="195">+AT54</f>
        <v>0</v>
      </c>
      <c r="AV51" s="70">
        <f t="shared" ref="AV51" ca="1" si="196">+AU54</f>
        <v>0</v>
      </c>
      <c r="AW51" s="70">
        <f t="shared" ref="AW51" ca="1" si="197">+AV54</f>
        <v>0</v>
      </c>
      <c r="AX51" s="70">
        <f t="shared" ref="AX51" ca="1" si="198">+AW54</f>
        <v>0</v>
      </c>
      <c r="AY51" s="70">
        <f t="shared" ref="AY51" ca="1" si="199">+AX54</f>
        <v>0</v>
      </c>
      <c r="AZ51" s="70"/>
      <c r="BA51" s="70"/>
      <c r="BB51" s="70"/>
      <c r="BC51" s="70"/>
      <c r="BD51" s="70"/>
      <c r="BE51" s="70"/>
      <c r="BF51" s="70"/>
      <c r="BG51" s="70"/>
      <c r="BH51" s="70"/>
      <c r="BI51" s="70"/>
      <c r="BJ51" s="70"/>
      <c r="BK51" s="70"/>
      <c r="BL51" s="70"/>
      <c r="BM51" s="70"/>
      <c r="BN51" s="70"/>
      <c r="BO51" s="70"/>
      <c r="BP51" s="70"/>
      <c r="BQ51" s="70"/>
      <c r="BR51" s="70"/>
      <c r="BS51" s="70"/>
      <c r="BT51" s="70"/>
      <c r="BU51" s="70"/>
      <c r="BV51" s="70"/>
      <c r="BW51" s="70"/>
      <c r="BX51" s="70"/>
      <c r="BY51" s="70"/>
      <c r="BZ51" s="70"/>
    </row>
    <row r="52" spans="1:78">
      <c r="A52" s="319"/>
      <c r="B52" t="s">
        <v>181</v>
      </c>
      <c r="C52" s="69"/>
      <c r="D52" s="69"/>
      <c r="E52" s="69"/>
      <c r="F52" s="69"/>
      <c r="G52" s="69"/>
      <c r="H52" s="69"/>
      <c r="I52" s="69"/>
      <c r="J52" s="69"/>
      <c r="K52" s="69"/>
      <c r="L52" s="69"/>
      <c r="M52" s="69"/>
      <c r="N52" s="69"/>
      <c r="O52" s="69"/>
      <c r="V52" s="70"/>
      <c r="Z52" s="70"/>
      <c r="AA52" s="70"/>
      <c r="AB52" s="70"/>
      <c r="AC52" s="120"/>
      <c r="AD52" s="120"/>
      <c r="AE52" s="120"/>
      <c r="AF52" s="120"/>
      <c r="AG52" s="70"/>
      <c r="AL52" s="120">
        <f>2500-21.6-75.7-AL51-AL53-AL33-AL42</f>
        <v>-93.799999999999727</v>
      </c>
      <c r="AM52" s="120">
        <f>-AM51</f>
        <v>-555.20000000000027</v>
      </c>
      <c r="AN52" s="70">
        <f t="shared" ref="AN52:AX52" ca="1" si="200">+AN50-AN49</f>
        <v>0</v>
      </c>
      <c r="AO52" s="70">
        <f t="shared" ca="1" si="200"/>
        <v>0</v>
      </c>
      <c r="AP52" s="70">
        <f t="shared" ca="1" si="200"/>
        <v>0</v>
      </c>
      <c r="AQ52" s="70">
        <f t="shared" ca="1" si="200"/>
        <v>0</v>
      </c>
      <c r="AR52" s="70">
        <f t="shared" ca="1" si="200"/>
        <v>0</v>
      </c>
      <c r="AS52" s="70">
        <f t="shared" ca="1" si="200"/>
        <v>0</v>
      </c>
      <c r="AT52" s="70">
        <f t="shared" ca="1" si="200"/>
        <v>0</v>
      </c>
      <c r="AU52" s="70">
        <f t="shared" ca="1" si="200"/>
        <v>0</v>
      </c>
      <c r="AV52" s="70">
        <f t="shared" ca="1" si="200"/>
        <v>0</v>
      </c>
      <c r="AW52" s="70">
        <f t="shared" ca="1" si="200"/>
        <v>0</v>
      </c>
      <c r="AX52" s="70">
        <f t="shared" ca="1" si="200"/>
        <v>0</v>
      </c>
      <c r="AY52" s="70">
        <f t="shared" ref="AY52" ca="1" si="201">+AY50-AY49</f>
        <v>0</v>
      </c>
      <c r="AZ52" s="70"/>
      <c r="BA52" s="70"/>
      <c r="BB52" s="70"/>
      <c r="BC52" s="70"/>
      <c r="BD52" s="70"/>
      <c r="BE52" s="70"/>
      <c r="BF52" s="70"/>
      <c r="BG52" s="70"/>
      <c r="BH52" s="70"/>
      <c r="BI52" s="70"/>
      <c r="BJ52" s="70"/>
      <c r="BK52" s="70"/>
      <c r="BL52" s="70"/>
      <c r="BM52" s="70"/>
      <c r="BN52" s="70"/>
      <c r="BO52" s="70"/>
      <c r="BP52" s="70"/>
      <c r="BQ52" s="70"/>
      <c r="BR52" s="70"/>
      <c r="BS52" s="70"/>
      <c r="BT52" s="70"/>
      <c r="BU52" s="70"/>
      <c r="BV52" s="70"/>
      <c r="BW52" s="70"/>
      <c r="BX52" s="70"/>
      <c r="BY52" s="70"/>
      <c r="BZ52" s="70"/>
    </row>
    <row r="53" spans="1:78">
      <c r="A53" s="319"/>
      <c r="B53" t="s">
        <v>182</v>
      </c>
      <c r="C53" s="69"/>
      <c r="D53" s="69"/>
      <c r="E53" s="69"/>
      <c r="F53" s="69"/>
      <c r="G53" s="69"/>
      <c r="H53" s="69"/>
      <c r="I53" s="69"/>
      <c r="J53" s="69"/>
      <c r="K53" s="69"/>
      <c r="L53" s="69"/>
      <c r="M53" s="69"/>
      <c r="N53" s="69"/>
      <c r="O53" s="69"/>
      <c r="V53" s="70"/>
      <c r="Z53" s="70"/>
      <c r="AA53" s="120"/>
      <c r="AB53" s="120"/>
      <c r="AC53" s="120"/>
      <c r="AD53" s="120"/>
      <c r="AE53" s="130"/>
      <c r="AF53" s="120"/>
      <c r="AG53" s="130"/>
      <c r="AL53" s="70">
        <f>+IF(AL$2&gt;$C48,-(AL51+AL52),0)</f>
        <v>0</v>
      </c>
      <c r="AM53" s="70">
        <f t="shared" ref="AM53:AX53" si="202">+IF(AM$2&gt;$C48,-(AM51+AM52),0)</f>
        <v>0</v>
      </c>
      <c r="AN53" s="70">
        <f t="shared" si="202"/>
        <v>0</v>
      </c>
      <c r="AO53" s="70">
        <f t="shared" si="202"/>
        <v>0</v>
      </c>
      <c r="AP53" s="70">
        <f t="shared" si="202"/>
        <v>0</v>
      </c>
      <c r="AQ53" s="70">
        <f t="shared" si="202"/>
        <v>0</v>
      </c>
      <c r="AR53" s="70">
        <f t="shared" si="202"/>
        <v>0</v>
      </c>
      <c r="AS53" s="70">
        <f t="shared" si="202"/>
        <v>0</v>
      </c>
      <c r="AT53" s="70">
        <f t="shared" si="202"/>
        <v>0</v>
      </c>
      <c r="AU53" s="70">
        <f t="shared" si="202"/>
        <v>0</v>
      </c>
      <c r="AV53" s="70">
        <f t="shared" si="202"/>
        <v>0</v>
      </c>
      <c r="AW53" s="70">
        <f t="shared" si="202"/>
        <v>0</v>
      </c>
      <c r="AX53" s="70">
        <f t="shared" si="202"/>
        <v>0</v>
      </c>
      <c r="AY53" s="70">
        <f t="shared" ref="AY53" si="203">+IF(AY$2&gt;$C48,-(AY51+AY52),0)</f>
        <v>0</v>
      </c>
      <c r="AZ53" s="70"/>
      <c r="BA53" s="70"/>
      <c r="BB53" s="70"/>
      <c r="BC53" s="70"/>
      <c r="BD53" s="70"/>
      <c r="BE53" s="70"/>
      <c r="BF53" s="70"/>
      <c r="BG53" s="70"/>
      <c r="BH53" s="70"/>
      <c r="BI53" s="70"/>
      <c r="BJ53" s="70"/>
      <c r="BK53" s="70"/>
      <c r="BL53" s="70"/>
      <c r="BM53" s="70"/>
      <c r="BN53" s="70"/>
      <c r="BO53" s="70"/>
      <c r="BP53" s="70"/>
      <c r="BQ53" s="70"/>
      <c r="BR53" s="70"/>
      <c r="BS53" s="70"/>
      <c r="BT53" s="70"/>
      <c r="BU53" s="70"/>
      <c r="BV53" s="70"/>
      <c r="BW53" s="70"/>
      <c r="BX53" s="70"/>
      <c r="BY53" s="70"/>
      <c r="BZ53" s="70"/>
    </row>
    <row r="54" spans="1:78">
      <c r="A54" s="319"/>
      <c r="B54" t="s">
        <v>183</v>
      </c>
      <c r="C54" s="69"/>
      <c r="D54" s="69"/>
      <c r="E54" s="69"/>
      <c r="F54" s="69"/>
      <c r="G54" s="69"/>
      <c r="H54" s="69"/>
      <c r="I54" s="69"/>
      <c r="J54" s="69"/>
      <c r="K54" s="69"/>
      <c r="L54" s="69"/>
      <c r="M54" s="69"/>
      <c r="N54" s="69"/>
      <c r="O54" s="69"/>
      <c r="V54" s="70"/>
      <c r="Y54" s="50"/>
      <c r="Z54" s="50"/>
      <c r="AA54" s="70"/>
      <c r="AB54" s="70"/>
      <c r="AC54" s="70"/>
      <c r="AD54" s="70"/>
      <c r="AE54" s="70"/>
      <c r="AF54" s="70"/>
      <c r="AG54" s="70"/>
      <c r="AL54" s="70">
        <f>+SUM(AL51:AL53)</f>
        <v>555.20000000000027</v>
      </c>
      <c r="AM54" s="70">
        <f t="shared" ref="AM54:AX54" si="204">+SUM(AM51:AM53)</f>
        <v>0</v>
      </c>
      <c r="AN54" s="70">
        <f t="shared" ca="1" si="204"/>
        <v>0</v>
      </c>
      <c r="AO54" s="70">
        <f t="shared" ca="1" si="204"/>
        <v>0</v>
      </c>
      <c r="AP54" s="70">
        <f t="shared" ca="1" si="204"/>
        <v>0</v>
      </c>
      <c r="AQ54" s="70">
        <f t="shared" ca="1" si="204"/>
        <v>0</v>
      </c>
      <c r="AR54" s="70">
        <f t="shared" ca="1" si="204"/>
        <v>0</v>
      </c>
      <c r="AS54" s="70">
        <f t="shared" ca="1" si="204"/>
        <v>0</v>
      </c>
      <c r="AT54" s="70">
        <f t="shared" ca="1" si="204"/>
        <v>0</v>
      </c>
      <c r="AU54" s="70">
        <f t="shared" ca="1" si="204"/>
        <v>0</v>
      </c>
      <c r="AV54" s="70">
        <f t="shared" ca="1" si="204"/>
        <v>0</v>
      </c>
      <c r="AW54" s="70">
        <f t="shared" ca="1" si="204"/>
        <v>0</v>
      </c>
      <c r="AX54" s="70">
        <f t="shared" ca="1" si="204"/>
        <v>0</v>
      </c>
      <c r="AY54" s="70">
        <f t="shared" ref="AY54" ca="1" si="205">+SUM(AY51:AY53)</f>
        <v>0</v>
      </c>
      <c r="AZ54" s="70"/>
      <c r="BA54" s="70"/>
      <c r="BB54" s="70"/>
      <c r="BC54" s="70"/>
      <c r="BD54" s="70"/>
      <c r="BE54" s="70"/>
      <c r="BF54" s="70"/>
      <c r="BG54" s="70"/>
      <c r="BH54" s="70"/>
      <c r="BI54" s="70"/>
      <c r="BJ54" s="70"/>
      <c r="BK54" s="70"/>
      <c r="BL54" s="70"/>
      <c r="BM54" s="70"/>
      <c r="BN54" s="70"/>
      <c r="BO54" s="70"/>
      <c r="BP54" s="70"/>
      <c r="BQ54" s="70"/>
      <c r="BR54" s="70"/>
      <c r="BS54" s="70"/>
      <c r="BT54" s="70"/>
      <c r="BU54" s="70"/>
      <c r="BV54" s="70"/>
      <c r="BW54" s="70"/>
      <c r="BX54" s="70"/>
      <c r="BY54" s="70"/>
      <c r="BZ54" s="70"/>
    </row>
    <row r="55" spans="1:78">
      <c r="A55" s="319"/>
      <c r="B55" t="s">
        <v>184</v>
      </c>
      <c r="C55" s="68">
        <v>0</v>
      </c>
      <c r="D55" s="68"/>
      <c r="E55" s="68"/>
      <c r="F55" s="68"/>
      <c r="G55" s="68"/>
      <c r="H55" s="68"/>
      <c r="I55" s="68"/>
      <c r="J55" s="68"/>
      <c r="K55" s="68"/>
      <c r="L55" s="68"/>
      <c r="M55" s="68"/>
      <c r="N55" s="68"/>
      <c r="O55" s="68"/>
      <c r="AB55" s="6"/>
      <c r="AC55" s="6"/>
      <c r="AE55" s="6"/>
      <c r="AF55" s="6"/>
      <c r="AG55" s="6"/>
      <c r="AH55" s="6"/>
      <c r="AI55" s="6"/>
    </row>
    <row r="57" spans="1:78" s="64" customFormat="1" hidden="1" outlineLevel="1">
      <c r="A57" s="63" t="s">
        <v>40</v>
      </c>
      <c r="B57" s="76" t="s">
        <v>187</v>
      </c>
      <c r="C57" s="67">
        <v>44013</v>
      </c>
      <c r="D57" s="67"/>
      <c r="E57" s="67"/>
      <c r="F57" s="67"/>
      <c r="G57" s="67"/>
      <c r="H57" s="67"/>
      <c r="I57" s="67"/>
      <c r="J57" s="67"/>
      <c r="K57" s="67"/>
      <c r="L57" s="67"/>
      <c r="M57" s="67"/>
      <c r="N57" s="67"/>
      <c r="O57" s="67"/>
      <c r="Z57" s="71">
        <v>750</v>
      </c>
      <c r="AA57" s="75">
        <f t="shared" ref="AA57:AO57" si="206">+IF($C57&gt;AA$2,Z57+AA62,Z57-Z57)</f>
        <v>750</v>
      </c>
      <c r="AB57" s="75">
        <f t="shared" si="206"/>
        <v>750</v>
      </c>
      <c r="AC57" s="75">
        <f t="shared" si="206"/>
        <v>675</v>
      </c>
      <c r="AD57" s="75">
        <f t="shared" si="206"/>
        <v>0</v>
      </c>
      <c r="AE57" s="75">
        <f t="shared" si="206"/>
        <v>0</v>
      </c>
      <c r="AF57" s="75">
        <f t="shared" si="206"/>
        <v>0</v>
      </c>
      <c r="AG57" s="75">
        <f t="shared" si="206"/>
        <v>0</v>
      </c>
      <c r="AH57" s="75">
        <f t="shared" si="206"/>
        <v>0</v>
      </c>
      <c r="AI57" s="75">
        <f t="shared" si="206"/>
        <v>0</v>
      </c>
      <c r="AJ57" s="75">
        <f t="shared" si="206"/>
        <v>0</v>
      </c>
      <c r="AK57" s="75">
        <f t="shared" si="206"/>
        <v>0</v>
      </c>
      <c r="AL57" s="75">
        <f t="shared" si="206"/>
        <v>0</v>
      </c>
      <c r="AM57" s="75">
        <f t="shared" si="206"/>
        <v>0</v>
      </c>
      <c r="AN57" s="75">
        <f t="shared" si="206"/>
        <v>0</v>
      </c>
      <c r="AO57" s="75">
        <f t="shared" si="206"/>
        <v>0</v>
      </c>
      <c r="AP57" s="75">
        <f t="shared" ref="AP57:AX57" si="207">+IF($C57&gt;AP$2,AO57+AP62,AO57-AO57)</f>
        <v>0</v>
      </c>
      <c r="AQ57" s="75">
        <f t="shared" si="207"/>
        <v>0</v>
      </c>
      <c r="AR57" s="75">
        <f t="shared" si="207"/>
        <v>0</v>
      </c>
      <c r="AS57" s="75">
        <f t="shared" si="207"/>
        <v>0</v>
      </c>
      <c r="AT57" s="75">
        <f t="shared" si="207"/>
        <v>0</v>
      </c>
      <c r="AU57" s="75">
        <f t="shared" si="207"/>
        <v>0</v>
      </c>
      <c r="AV57" s="75">
        <f t="shared" si="207"/>
        <v>0</v>
      </c>
      <c r="AW57" s="75">
        <f t="shared" si="207"/>
        <v>0</v>
      </c>
      <c r="AX57" s="75">
        <f t="shared" si="207"/>
        <v>0</v>
      </c>
      <c r="AY57" s="75">
        <f t="shared" ref="AY57" si="208">+IF($C57&gt;AY$2,AX57+AY62,AX57-AX57)</f>
        <v>0</v>
      </c>
      <c r="AZ57" s="75"/>
      <c r="BA57" s="75"/>
      <c r="BB57" s="75"/>
      <c r="BC57" s="75"/>
      <c r="BD57" s="75"/>
      <c r="BE57" s="75"/>
      <c r="BF57" s="75"/>
      <c r="BG57" s="75"/>
      <c r="BH57" s="75"/>
      <c r="BI57" s="75"/>
      <c r="BJ57" s="75"/>
      <c r="BK57" s="75"/>
      <c r="BL57" s="75"/>
      <c r="BM57" s="75"/>
      <c r="BN57" s="75"/>
      <c r="BO57" s="75"/>
      <c r="BP57" s="75"/>
      <c r="BQ57" s="75"/>
      <c r="BR57" s="75"/>
      <c r="BS57" s="75"/>
      <c r="BT57" s="75"/>
      <c r="BU57" s="75"/>
      <c r="BV57" s="75"/>
      <c r="BW57" s="75"/>
      <c r="BX57" s="75"/>
      <c r="BY57" s="75"/>
      <c r="BZ57" s="75"/>
    </row>
    <row r="58" spans="1:78" hidden="1" outlineLevel="1">
      <c r="B58" s="65" t="s">
        <v>178</v>
      </c>
      <c r="C58" s="68">
        <v>8.1250000000000003E-2</v>
      </c>
      <c r="D58" s="68"/>
      <c r="E58" s="68"/>
      <c r="F58" s="68"/>
      <c r="G58" s="68"/>
      <c r="H58" s="68"/>
      <c r="I58" s="68"/>
      <c r="J58" s="68"/>
      <c r="K58" s="68"/>
      <c r="L58" s="68"/>
      <c r="M58" s="68"/>
      <c r="N58" s="68"/>
      <c r="O58" s="68"/>
      <c r="Z58" s="70">
        <f t="shared" ref="Z58:AX58" si="209">+($C58)*AVERAGE(Y57:Z57)/4</f>
        <v>15.234375</v>
      </c>
      <c r="AA58" s="70">
        <f t="shared" si="209"/>
        <v>15.234375</v>
      </c>
      <c r="AB58" s="70">
        <f t="shared" si="209"/>
        <v>15.234375</v>
      </c>
      <c r="AC58" s="70">
        <f t="shared" si="209"/>
        <v>14.47265625</v>
      </c>
      <c r="AD58" s="70">
        <f t="shared" si="209"/>
        <v>6.85546875</v>
      </c>
      <c r="AE58" s="70">
        <f t="shared" si="209"/>
        <v>0</v>
      </c>
      <c r="AF58" s="70">
        <f t="shared" si="209"/>
        <v>0</v>
      </c>
      <c r="AG58" s="70">
        <f t="shared" si="209"/>
        <v>0</v>
      </c>
      <c r="AH58" s="70">
        <f t="shared" si="209"/>
        <v>0</v>
      </c>
      <c r="AI58" s="70">
        <f t="shared" si="209"/>
        <v>0</v>
      </c>
      <c r="AJ58" s="70">
        <f t="shared" si="209"/>
        <v>0</v>
      </c>
      <c r="AK58" s="70">
        <f t="shared" si="209"/>
        <v>0</v>
      </c>
      <c r="AL58" s="70">
        <f t="shared" si="209"/>
        <v>0</v>
      </c>
      <c r="AM58" s="70">
        <f t="shared" si="209"/>
        <v>0</v>
      </c>
      <c r="AN58" s="70">
        <f t="shared" si="209"/>
        <v>0</v>
      </c>
      <c r="AO58" s="70">
        <f t="shared" si="209"/>
        <v>0</v>
      </c>
      <c r="AP58" s="70">
        <f t="shared" si="209"/>
        <v>0</v>
      </c>
      <c r="AQ58" s="70">
        <f t="shared" si="209"/>
        <v>0</v>
      </c>
      <c r="AR58" s="70">
        <f t="shared" si="209"/>
        <v>0</v>
      </c>
      <c r="AS58" s="70">
        <f t="shared" si="209"/>
        <v>0</v>
      </c>
      <c r="AT58" s="70">
        <f t="shared" si="209"/>
        <v>0</v>
      </c>
      <c r="AU58" s="70">
        <f t="shared" si="209"/>
        <v>0</v>
      </c>
      <c r="AV58" s="70">
        <f t="shared" si="209"/>
        <v>0</v>
      </c>
      <c r="AW58" s="70">
        <f t="shared" si="209"/>
        <v>0</v>
      </c>
      <c r="AX58" s="70">
        <f t="shared" si="209"/>
        <v>0</v>
      </c>
      <c r="AY58" s="70">
        <f t="shared" ref="AY58" si="210">+($C58)*AVERAGE(AX57:AY57)/4</f>
        <v>0</v>
      </c>
      <c r="AZ58" s="70"/>
      <c r="BA58" s="70"/>
      <c r="BB58" s="70"/>
      <c r="BC58" s="70"/>
      <c r="BD58" s="70"/>
      <c r="BE58" s="70"/>
      <c r="BF58" s="70"/>
      <c r="BG58" s="70"/>
      <c r="BH58" s="70"/>
      <c r="BI58" s="70"/>
      <c r="BJ58" s="70"/>
      <c r="BK58" s="70"/>
      <c r="BL58" s="70"/>
      <c r="BM58" s="70"/>
      <c r="BN58" s="70"/>
      <c r="BO58" s="70"/>
      <c r="BP58" s="70"/>
      <c r="BQ58" s="70"/>
      <c r="BR58" s="70"/>
      <c r="BS58" s="70"/>
      <c r="BT58" s="70"/>
      <c r="BU58" s="70"/>
      <c r="BV58" s="70"/>
      <c r="BW58" s="70"/>
      <c r="BX58" s="70"/>
      <c r="BY58" s="70"/>
      <c r="BZ58" s="70"/>
    </row>
    <row r="59" spans="1:78" hidden="1" outlineLevel="1">
      <c r="B59" s="66" t="s">
        <v>179</v>
      </c>
      <c r="C59" s="68">
        <v>8.1250000000000003E-2</v>
      </c>
      <c r="D59" s="68"/>
      <c r="E59" s="68"/>
      <c r="F59" s="68"/>
      <c r="G59" s="68"/>
      <c r="H59" s="68"/>
      <c r="I59" s="68"/>
      <c r="J59" s="68"/>
      <c r="K59" s="68"/>
      <c r="L59" s="68"/>
      <c r="M59" s="68"/>
      <c r="N59" s="68"/>
      <c r="O59" s="68"/>
      <c r="Z59" s="70">
        <f t="shared" ref="Z59:AX59" si="211">+($C59)*AVERAGE(Y63:Z63)/4</f>
        <v>15.234375</v>
      </c>
      <c r="AA59" s="70">
        <f t="shared" ca="1" si="211"/>
        <v>15.234375</v>
      </c>
      <c r="AB59" s="70">
        <f t="shared" ca="1" si="211"/>
        <v>15.234375</v>
      </c>
      <c r="AC59" s="70">
        <f t="shared" ca="1" si="211"/>
        <v>14.47265625</v>
      </c>
      <c r="AD59" s="70">
        <f t="shared" ca="1" si="211"/>
        <v>6.85546875</v>
      </c>
      <c r="AE59" s="70">
        <f t="shared" ca="1" si="211"/>
        <v>0</v>
      </c>
      <c r="AF59" s="70">
        <f t="shared" ca="1" si="211"/>
        <v>0</v>
      </c>
      <c r="AG59" s="70">
        <f t="shared" ca="1" si="211"/>
        <v>0</v>
      </c>
      <c r="AH59" s="70">
        <f t="shared" ca="1" si="211"/>
        <v>0</v>
      </c>
      <c r="AI59" s="70">
        <f t="shared" ca="1" si="211"/>
        <v>0</v>
      </c>
      <c r="AJ59" s="70">
        <f t="shared" ca="1" si="211"/>
        <v>0</v>
      </c>
      <c r="AK59" s="70">
        <f t="shared" ca="1" si="211"/>
        <v>0</v>
      </c>
      <c r="AL59" s="70">
        <f t="shared" ca="1" si="211"/>
        <v>0</v>
      </c>
      <c r="AM59" s="70">
        <f t="shared" ca="1" si="211"/>
        <v>0</v>
      </c>
      <c r="AN59" s="70">
        <f t="shared" ca="1" si="211"/>
        <v>0</v>
      </c>
      <c r="AO59" s="70">
        <f t="shared" ca="1" si="211"/>
        <v>0</v>
      </c>
      <c r="AP59" s="70">
        <f t="shared" ca="1" si="211"/>
        <v>0</v>
      </c>
      <c r="AQ59" s="70">
        <f t="shared" ca="1" si="211"/>
        <v>0</v>
      </c>
      <c r="AR59" s="70">
        <f t="shared" ca="1" si="211"/>
        <v>0</v>
      </c>
      <c r="AS59" s="70">
        <f t="shared" ca="1" si="211"/>
        <v>0</v>
      </c>
      <c r="AT59" s="70">
        <f t="shared" ca="1" si="211"/>
        <v>0</v>
      </c>
      <c r="AU59" s="70">
        <f t="shared" ca="1" si="211"/>
        <v>0</v>
      </c>
      <c r="AV59" s="70">
        <f t="shared" ca="1" si="211"/>
        <v>0</v>
      </c>
      <c r="AW59" s="70">
        <f t="shared" ca="1" si="211"/>
        <v>0</v>
      </c>
      <c r="AX59" s="70">
        <f t="shared" ca="1" si="211"/>
        <v>0</v>
      </c>
      <c r="AY59" s="70">
        <f t="shared" ref="AY59" ca="1" si="212">+($C59)*AVERAGE(AX63:AY63)/4</f>
        <v>0</v>
      </c>
      <c r="AZ59" s="70"/>
      <c r="BA59" s="70"/>
      <c r="BB59" s="70"/>
      <c r="BC59" s="70"/>
      <c r="BD59" s="70"/>
      <c r="BE59" s="70"/>
      <c r="BF59" s="70"/>
      <c r="BG59" s="70"/>
      <c r="BH59" s="70"/>
      <c r="BI59" s="70"/>
      <c r="BJ59" s="70"/>
      <c r="BK59" s="70"/>
      <c r="BL59" s="70"/>
      <c r="BM59" s="70"/>
      <c r="BN59" s="70"/>
      <c r="BO59" s="70"/>
      <c r="BP59" s="70"/>
      <c r="BQ59" s="70"/>
      <c r="BR59" s="70"/>
      <c r="BS59" s="70"/>
      <c r="BT59" s="70"/>
      <c r="BU59" s="70"/>
      <c r="BV59" s="70"/>
      <c r="BW59" s="70"/>
      <c r="BX59" s="70"/>
      <c r="BY59" s="70"/>
      <c r="BZ59" s="70"/>
    </row>
    <row r="60" spans="1:78" hidden="1" outlineLevel="1">
      <c r="B60" s="65" t="s">
        <v>180</v>
      </c>
      <c r="C60" s="69"/>
      <c r="D60" s="69"/>
      <c r="E60" s="69"/>
      <c r="F60" s="69"/>
      <c r="G60" s="69"/>
      <c r="H60" s="69"/>
      <c r="I60" s="69"/>
      <c r="J60" s="69"/>
      <c r="K60" s="69"/>
      <c r="L60" s="69"/>
      <c r="M60" s="69"/>
      <c r="N60" s="69"/>
      <c r="O60" s="69"/>
      <c r="Z60" s="70">
        <f t="shared" ref="Z60:AX60" si="213">+Y63</f>
        <v>0</v>
      </c>
      <c r="AA60" s="70">
        <f t="shared" si="213"/>
        <v>750</v>
      </c>
      <c r="AB60" s="70">
        <f t="shared" ca="1" si="213"/>
        <v>750</v>
      </c>
      <c r="AC60" s="70">
        <f t="shared" ca="1" si="213"/>
        <v>750</v>
      </c>
      <c r="AD60" s="70">
        <f t="shared" ca="1" si="213"/>
        <v>675</v>
      </c>
      <c r="AE60" s="70">
        <f t="shared" ca="1" si="213"/>
        <v>0</v>
      </c>
      <c r="AF60" s="70">
        <f t="shared" ca="1" si="213"/>
        <v>0</v>
      </c>
      <c r="AG60" s="70">
        <f t="shared" ca="1" si="213"/>
        <v>0</v>
      </c>
      <c r="AH60" s="70">
        <f t="shared" ca="1" si="213"/>
        <v>0</v>
      </c>
      <c r="AI60" s="70">
        <f t="shared" ca="1" si="213"/>
        <v>0</v>
      </c>
      <c r="AJ60" s="70">
        <f t="shared" ca="1" si="213"/>
        <v>0</v>
      </c>
      <c r="AK60" s="70">
        <f t="shared" ca="1" si="213"/>
        <v>0</v>
      </c>
      <c r="AL60" s="70">
        <f t="shared" ca="1" si="213"/>
        <v>0</v>
      </c>
      <c r="AM60" s="70">
        <f t="shared" ca="1" si="213"/>
        <v>0</v>
      </c>
      <c r="AN60" s="70">
        <f t="shared" ca="1" si="213"/>
        <v>0</v>
      </c>
      <c r="AO60" s="70">
        <f t="shared" ca="1" si="213"/>
        <v>0</v>
      </c>
      <c r="AP60" s="70">
        <f t="shared" ca="1" si="213"/>
        <v>0</v>
      </c>
      <c r="AQ60" s="70">
        <f t="shared" ca="1" si="213"/>
        <v>0</v>
      </c>
      <c r="AR60" s="70">
        <f t="shared" ca="1" si="213"/>
        <v>0</v>
      </c>
      <c r="AS60" s="70">
        <f t="shared" ca="1" si="213"/>
        <v>0</v>
      </c>
      <c r="AT60" s="70">
        <f t="shared" ca="1" si="213"/>
        <v>0</v>
      </c>
      <c r="AU60" s="70">
        <f t="shared" ca="1" si="213"/>
        <v>0</v>
      </c>
      <c r="AV60" s="70">
        <f t="shared" ca="1" si="213"/>
        <v>0</v>
      </c>
      <c r="AW60" s="70">
        <f t="shared" ca="1" si="213"/>
        <v>0</v>
      </c>
      <c r="AX60" s="70">
        <f t="shared" ca="1" si="213"/>
        <v>0</v>
      </c>
      <c r="AY60" s="70">
        <f t="shared" ref="AY60" ca="1" si="214">+AX63</f>
        <v>0</v>
      </c>
      <c r="AZ60" s="70"/>
      <c r="BA60" s="70"/>
      <c r="BB60" s="70"/>
      <c r="BC60" s="70"/>
      <c r="BD60" s="70"/>
      <c r="BE60" s="70"/>
      <c r="BF60" s="70"/>
      <c r="BG60" s="70"/>
      <c r="BH60" s="70"/>
      <c r="BI60" s="70"/>
      <c r="BJ60" s="70"/>
      <c r="BK60" s="70"/>
      <c r="BL60" s="70"/>
      <c r="BM60" s="70"/>
      <c r="BN60" s="70"/>
      <c r="BO60" s="70"/>
      <c r="BP60" s="70"/>
      <c r="BQ60" s="70"/>
      <c r="BR60" s="70"/>
      <c r="BS60" s="70"/>
      <c r="BT60" s="70"/>
      <c r="BU60" s="70"/>
      <c r="BV60" s="70"/>
      <c r="BW60" s="70"/>
      <c r="BX60" s="70"/>
      <c r="BY60" s="70"/>
      <c r="BZ60" s="70"/>
    </row>
    <row r="61" spans="1:78" hidden="1" outlineLevel="1">
      <c r="B61" s="65" t="s">
        <v>181</v>
      </c>
      <c r="C61" s="69"/>
      <c r="D61" s="69"/>
      <c r="E61" s="69"/>
      <c r="F61" s="69"/>
      <c r="G61" s="69"/>
      <c r="H61" s="69"/>
      <c r="I61" s="69"/>
      <c r="J61" s="69"/>
      <c r="K61" s="69"/>
      <c r="L61" s="69"/>
      <c r="M61" s="69"/>
      <c r="N61" s="69"/>
      <c r="O61" s="69"/>
      <c r="Z61" s="70">
        <f>+Z59-Z58</f>
        <v>0</v>
      </c>
      <c r="AA61" s="70">
        <f ca="1">+AA59-AA58</f>
        <v>0</v>
      </c>
      <c r="AB61" s="70">
        <f ca="1">+AB59-AB58</f>
        <v>0</v>
      </c>
      <c r="AC61" s="70">
        <f ca="1">+AC59-AC58</f>
        <v>0</v>
      </c>
      <c r="AD61" s="70">
        <f t="shared" ref="AD61:AO61" ca="1" si="215">+AD59-AD58</f>
        <v>0</v>
      </c>
      <c r="AE61" s="70">
        <f t="shared" ca="1" si="215"/>
        <v>0</v>
      </c>
      <c r="AF61" s="70">
        <f ca="1">+AF59-AF58</f>
        <v>0</v>
      </c>
      <c r="AG61" s="70">
        <f t="shared" ca="1" si="215"/>
        <v>0</v>
      </c>
      <c r="AH61" s="70">
        <f t="shared" ca="1" si="215"/>
        <v>0</v>
      </c>
      <c r="AI61" s="70">
        <f t="shared" ca="1" si="215"/>
        <v>0</v>
      </c>
      <c r="AJ61" s="70">
        <f t="shared" ca="1" si="215"/>
        <v>0</v>
      </c>
      <c r="AK61" s="70">
        <f t="shared" ref="AK61" ca="1" si="216">+AK59-AK58</f>
        <v>0</v>
      </c>
      <c r="AL61" s="70">
        <f t="shared" ca="1" si="215"/>
        <v>0</v>
      </c>
      <c r="AM61" s="70">
        <f t="shared" ca="1" si="215"/>
        <v>0</v>
      </c>
      <c r="AN61" s="70">
        <f t="shared" ca="1" si="215"/>
        <v>0</v>
      </c>
      <c r="AO61" s="70">
        <f t="shared" ca="1" si="215"/>
        <v>0</v>
      </c>
      <c r="AP61" s="70">
        <f t="shared" ref="AP61:AX61" ca="1" si="217">+AP59-AP58</f>
        <v>0</v>
      </c>
      <c r="AQ61" s="70">
        <f t="shared" ca="1" si="217"/>
        <v>0</v>
      </c>
      <c r="AR61" s="70">
        <f t="shared" ca="1" si="217"/>
        <v>0</v>
      </c>
      <c r="AS61" s="70">
        <f t="shared" ca="1" si="217"/>
        <v>0</v>
      </c>
      <c r="AT61" s="70">
        <f t="shared" ca="1" si="217"/>
        <v>0</v>
      </c>
      <c r="AU61" s="70">
        <f t="shared" ca="1" si="217"/>
        <v>0</v>
      </c>
      <c r="AV61" s="70">
        <f t="shared" ca="1" si="217"/>
        <v>0</v>
      </c>
      <c r="AW61" s="70">
        <f t="shared" ca="1" si="217"/>
        <v>0</v>
      </c>
      <c r="AX61" s="70">
        <f t="shared" ca="1" si="217"/>
        <v>0</v>
      </c>
      <c r="AY61" s="70">
        <f t="shared" ref="AY61" ca="1" si="218">+AY59-AY58</f>
        <v>0</v>
      </c>
      <c r="AZ61" s="70"/>
      <c r="BA61" s="70"/>
      <c r="BB61" s="70"/>
      <c r="BC61" s="70"/>
      <c r="BD61" s="70"/>
      <c r="BE61" s="70"/>
      <c r="BF61" s="70"/>
      <c r="BG61" s="70"/>
      <c r="BH61" s="70"/>
      <c r="BI61" s="70"/>
      <c r="BJ61" s="70"/>
      <c r="BK61" s="70"/>
      <c r="BL61" s="70"/>
      <c r="BM61" s="70"/>
      <c r="BN61" s="70"/>
      <c r="BO61" s="70"/>
      <c r="BP61" s="70"/>
      <c r="BQ61" s="70"/>
      <c r="BR61" s="70"/>
      <c r="BS61" s="70"/>
      <c r="BT61" s="70"/>
      <c r="BU61" s="70"/>
      <c r="BV61" s="70"/>
      <c r="BW61" s="70"/>
      <c r="BX61" s="70"/>
      <c r="BY61" s="70"/>
      <c r="BZ61" s="70"/>
    </row>
    <row r="62" spans="1:78" hidden="1" outlineLevel="1">
      <c r="B62" s="65" t="s">
        <v>182</v>
      </c>
      <c r="C62" s="69"/>
      <c r="D62" s="69"/>
      <c r="E62" s="69"/>
      <c r="F62" s="69"/>
      <c r="G62" s="69"/>
      <c r="H62" s="69"/>
      <c r="I62" s="69"/>
      <c r="J62" s="69"/>
      <c r="K62" s="69"/>
      <c r="L62" s="69"/>
      <c r="M62" s="69"/>
      <c r="N62" s="69"/>
      <c r="O62" s="69"/>
      <c r="Z62" s="70">
        <f>+IF(Z$2&gt;$C57,-(Z60+Z61),0)</f>
        <v>0</v>
      </c>
      <c r="AA62" s="70">
        <f>+IF(AA$2&gt;$C57,-(AA60+AA61),0)</f>
        <v>0</v>
      </c>
      <c r="AB62" s="70">
        <f>+IF(AB$2&gt;$C57,-(AB60+AB61),0)</f>
        <v>0</v>
      </c>
      <c r="AC62" s="120">
        <v>-75</v>
      </c>
      <c r="AD62" s="120">
        <v>-675</v>
      </c>
      <c r="AE62" s="70">
        <f t="shared" ref="AE62:AO62" si="219">+IF(AE$2&gt;$C57,-(AE60+AE61),0)</f>
        <v>0</v>
      </c>
      <c r="AF62" s="70">
        <f>+IF(AF$2&gt;$C57,-(AF60+AF61),0)</f>
        <v>0</v>
      </c>
      <c r="AG62" s="70">
        <f t="shared" si="219"/>
        <v>0</v>
      </c>
      <c r="AH62" s="70">
        <f t="shared" si="219"/>
        <v>0</v>
      </c>
      <c r="AI62" s="70">
        <f t="shared" si="219"/>
        <v>0</v>
      </c>
      <c r="AJ62" s="70">
        <f t="shared" si="219"/>
        <v>0</v>
      </c>
      <c r="AK62" s="70">
        <f t="shared" ref="AK62" si="220">+IF(AK$2&gt;$C57,-(AK60+AK61),0)</f>
        <v>0</v>
      </c>
      <c r="AL62" s="70">
        <f t="shared" si="219"/>
        <v>0</v>
      </c>
      <c r="AM62" s="70">
        <f t="shared" si="219"/>
        <v>0</v>
      </c>
      <c r="AN62" s="70">
        <f t="shared" si="219"/>
        <v>0</v>
      </c>
      <c r="AO62" s="70">
        <f t="shared" si="219"/>
        <v>0</v>
      </c>
      <c r="AP62" s="70">
        <f t="shared" ref="AP62:AX62" si="221">+IF(AP$2&gt;$C57,-(AP60+AP61),0)</f>
        <v>0</v>
      </c>
      <c r="AQ62" s="70">
        <f t="shared" si="221"/>
        <v>0</v>
      </c>
      <c r="AR62" s="70">
        <f t="shared" si="221"/>
        <v>0</v>
      </c>
      <c r="AS62" s="70">
        <f t="shared" si="221"/>
        <v>0</v>
      </c>
      <c r="AT62" s="70">
        <f t="shared" si="221"/>
        <v>0</v>
      </c>
      <c r="AU62" s="70">
        <f t="shared" si="221"/>
        <v>0</v>
      </c>
      <c r="AV62" s="70">
        <f t="shared" si="221"/>
        <v>0</v>
      </c>
      <c r="AW62" s="70">
        <f t="shared" si="221"/>
        <v>0</v>
      </c>
      <c r="AX62" s="70">
        <f t="shared" si="221"/>
        <v>0</v>
      </c>
      <c r="AY62" s="70">
        <f t="shared" ref="AY62" si="222">+IF(AY$2&gt;$C57,-(AY60+AY61),0)</f>
        <v>0</v>
      </c>
      <c r="AZ62" s="70"/>
      <c r="BA62" s="70"/>
      <c r="BB62" s="70"/>
      <c r="BC62" s="70"/>
      <c r="BD62" s="70"/>
      <c r="BE62" s="70"/>
      <c r="BF62" s="70"/>
      <c r="BG62" s="70"/>
      <c r="BH62" s="70"/>
      <c r="BI62" s="70"/>
      <c r="BJ62" s="70"/>
      <c r="BK62" s="70"/>
      <c r="BL62" s="70"/>
      <c r="BM62" s="70"/>
      <c r="BN62" s="70"/>
      <c r="BO62" s="70"/>
      <c r="BP62" s="70"/>
      <c r="BQ62" s="70"/>
      <c r="BR62" s="70"/>
      <c r="BS62" s="70"/>
      <c r="BT62" s="70"/>
      <c r="BU62" s="70"/>
      <c r="BV62" s="70"/>
      <c r="BW62" s="70"/>
      <c r="BX62" s="70"/>
      <c r="BY62" s="70"/>
      <c r="BZ62" s="70"/>
    </row>
    <row r="63" spans="1:78" hidden="1" outlineLevel="1">
      <c r="B63" s="65" t="s">
        <v>183</v>
      </c>
      <c r="C63" s="69"/>
      <c r="D63" s="69"/>
      <c r="E63" s="69"/>
      <c r="F63" s="69"/>
      <c r="G63" s="69"/>
      <c r="H63" s="69"/>
      <c r="I63" s="69"/>
      <c r="J63" s="69"/>
      <c r="K63" s="69"/>
      <c r="L63" s="69"/>
      <c r="M63" s="69"/>
      <c r="N63" s="69"/>
      <c r="O63" s="69"/>
      <c r="Z63" s="50">
        <v>750</v>
      </c>
      <c r="AA63" s="70">
        <f ca="1">+SUM(AA60:AA62)</f>
        <v>750</v>
      </c>
      <c r="AB63" s="70">
        <f ca="1">+SUM(AB60:AB62)</f>
        <v>750</v>
      </c>
      <c r="AC63" s="70">
        <f ca="1">+SUM(AC60:AC62)</f>
        <v>675</v>
      </c>
      <c r="AD63" s="70">
        <f t="shared" ref="AD63:AO63" ca="1" si="223">+SUM(AD60:AD62)</f>
        <v>0</v>
      </c>
      <c r="AE63" s="70">
        <f t="shared" ca="1" si="223"/>
        <v>0</v>
      </c>
      <c r="AF63" s="70">
        <f ca="1">+SUM(AF60:AF62)</f>
        <v>0</v>
      </c>
      <c r="AG63" s="70">
        <f t="shared" ca="1" si="223"/>
        <v>0</v>
      </c>
      <c r="AH63" s="70">
        <f t="shared" ca="1" si="223"/>
        <v>0</v>
      </c>
      <c r="AI63" s="70">
        <f t="shared" ca="1" si="223"/>
        <v>0</v>
      </c>
      <c r="AJ63" s="70">
        <f t="shared" ca="1" si="223"/>
        <v>0</v>
      </c>
      <c r="AK63" s="70">
        <f t="shared" ref="AK63" ca="1" si="224">+SUM(AK60:AK62)</f>
        <v>0</v>
      </c>
      <c r="AL63" s="70">
        <f t="shared" ca="1" si="223"/>
        <v>0</v>
      </c>
      <c r="AM63" s="70">
        <f t="shared" ca="1" si="223"/>
        <v>0</v>
      </c>
      <c r="AN63" s="70">
        <f t="shared" ca="1" si="223"/>
        <v>0</v>
      </c>
      <c r="AO63" s="70">
        <f t="shared" ca="1" si="223"/>
        <v>0</v>
      </c>
      <c r="AP63" s="70">
        <f t="shared" ref="AP63:AX63" ca="1" si="225">+SUM(AP60:AP62)</f>
        <v>0</v>
      </c>
      <c r="AQ63" s="70">
        <f t="shared" ca="1" si="225"/>
        <v>0</v>
      </c>
      <c r="AR63" s="70">
        <f t="shared" ca="1" si="225"/>
        <v>0</v>
      </c>
      <c r="AS63" s="70">
        <f t="shared" ca="1" si="225"/>
        <v>0</v>
      </c>
      <c r="AT63" s="70">
        <f t="shared" ca="1" si="225"/>
        <v>0</v>
      </c>
      <c r="AU63" s="70">
        <f t="shared" ca="1" si="225"/>
        <v>0</v>
      </c>
      <c r="AV63" s="70">
        <f t="shared" ca="1" si="225"/>
        <v>0</v>
      </c>
      <c r="AW63" s="70">
        <f t="shared" ca="1" si="225"/>
        <v>0</v>
      </c>
      <c r="AX63" s="70">
        <f t="shared" ca="1" si="225"/>
        <v>0</v>
      </c>
      <c r="AY63" s="70">
        <f t="shared" ref="AY63" ca="1" si="226">+SUM(AY60:AY62)</f>
        <v>0</v>
      </c>
      <c r="AZ63" s="70"/>
      <c r="BA63" s="70"/>
      <c r="BB63" s="70"/>
      <c r="BC63" s="70"/>
      <c r="BD63" s="70"/>
      <c r="BE63" s="70"/>
      <c r="BF63" s="70"/>
      <c r="BG63" s="70"/>
      <c r="BH63" s="70"/>
      <c r="BI63" s="70"/>
      <c r="BJ63" s="70"/>
      <c r="BK63" s="70"/>
      <c r="BL63" s="70"/>
      <c r="BM63" s="70"/>
      <c r="BN63" s="70"/>
      <c r="BO63" s="70"/>
      <c r="BP63" s="70"/>
      <c r="BQ63" s="70"/>
      <c r="BR63" s="70"/>
      <c r="BS63" s="70"/>
      <c r="BT63" s="70"/>
      <c r="BU63" s="70"/>
      <c r="BV63" s="70"/>
      <c r="BW63" s="70"/>
      <c r="BX63" s="70"/>
      <c r="BY63" s="70"/>
      <c r="BZ63" s="70"/>
    </row>
    <row r="64" spans="1:78" hidden="1" outlineLevel="1"/>
    <row r="65" spans="1:78" s="64" customFormat="1" hidden="1" outlineLevel="1">
      <c r="A65" s="63" t="s">
        <v>40</v>
      </c>
      <c r="B65" s="76" t="s">
        <v>188</v>
      </c>
      <c r="C65" s="67">
        <v>44013</v>
      </c>
      <c r="D65" s="67"/>
      <c r="E65" s="67"/>
      <c r="F65" s="67"/>
      <c r="G65" s="67"/>
      <c r="H65" s="67"/>
      <c r="I65" s="67"/>
      <c r="J65" s="67"/>
      <c r="K65" s="67"/>
      <c r="L65" s="67"/>
      <c r="M65" s="67"/>
      <c r="N65" s="67"/>
      <c r="O65" s="67"/>
      <c r="Z65" s="71">
        <v>500</v>
      </c>
      <c r="AA65" s="75">
        <f t="shared" ref="AA65:AO65" si="227">+IF($C65&gt;AA$2,Z65+AA70,Z65-Z65)</f>
        <v>500</v>
      </c>
      <c r="AB65" s="75">
        <f t="shared" si="227"/>
        <v>500</v>
      </c>
      <c r="AC65" s="75">
        <f t="shared" si="227"/>
        <v>325.60000000000002</v>
      </c>
      <c r="AD65" s="75">
        <f t="shared" si="227"/>
        <v>325.60000000000002</v>
      </c>
      <c r="AE65" s="75">
        <f t="shared" si="227"/>
        <v>325.60000000000002</v>
      </c>
      <c r="AF65" s="75">
        <f t="shared" si="227"/>
        <v>325.60000000000002</v>
      </c>
      <c r="AG65" s="75">
        <f t="shared" si="227"/>
        <v>325.60000000000002</v>
      </c>
      <c r="AH65" s="75">
        <f t="shared" si="227"/>
        <v>325.60000000000002</v>
      </c>
      <c r="AI65" s="75">
        <f t="shared" si="227"/>
        <v>0</v>
      </c>
      <c r="AJ65" s="75">
        <f t="shared" si="227"/>
        <v>0</v>
      </c>
      <c r="AK65" s="75">
        <f t="shared" si="227"/>
        <v>0</v>
      </c>
      <c r="AL65" s="75">
        <f t="shared" si="227"/>
        <v>0</v>
      </c>
      <c r="AM65" s="75">
        <f t="shared" si="227"/>
        <v>0</v>
      </c>
      <c r="AN65" s="75">
        <f t="shared" si="227"/>
        <v>0</v>
      </c>
      <c r="AO65" s="75">
        <f t="shared" si="227"/>
        <v>0</v>
      </c>
      <c r="AP65" s="75">
        <f t="shared" ref="AP65:AX65" si="228">+IF($C65&gt;AP$2,AO65+AP70,AO65-AO65)</f>
        <v>0</v>
      </c>
      <c r="AQ65" s="75">
        <f t="shared" si="228"/>
        <v>0</v>
      </c>
      <c r="AR65" s="75">
        <f t="shared" si="228"/>
        <v>0</v>
      </c>
      <c r="AS65" s="75">
        <f t="shared" si="228"/>
        <v>0</v>
      </c>
      <c r="AT65" s="75">
        <f t="shared" si="228"/>
        <v>0</v>
      </c>
      <c r="AU65" s="75">
        <f t="shared" si="228"/>
        <v>0</v>
      </c>
      <c r="AV65" s="75">
        <f t="shared" si="228"/>
        <v>0</v>
      </c>
      <c r="AW65" s="75">
        <f t="shared" si="228"/>
        <v>0</v>
      </c>
      <c r="AX65" s="75">
        <f t="shared" si="228"/>
        <v>0</v>
      </c>
      <c r="AY65" s="75">
        <f t="shared" ref="AY65" si="229">+IF($C65&gt;AY$2,AX65+AY70,AX65-AX65)</f>
        <v>0</v>
      </c>
      <c r="AZ65" s="75"/>
      <c r="BA65" s="75"/>
      <c r="BB65" s="75"/>
      <c r="BC65" s="75"/>
      <c r="BD65" s="75"/>
      <c r="BE65" s="75"/>
      <c r="BF65" s="75"/>
      <c r="BG65" s="75"/>
      <c r="BH65" s="75"/>
      <c r="BI65" s="75"/>
      <c r="BJ65" s="75"/>
      <c r="BK65" s="75"/>
      <c r="BL65" s="75"/>
      <c r="BM65" s="75"/>
      <c r="BN65" s="75"/>
      <c r="BO65" s="75"/>
      <c r="BP65" s="75"/>
      <c r="BQ65" s="75"/>
      <c r="BR65" s="75"/>
      <c r="BS65" s="75"/>
      <c r="BT65" s="75"/>
      <c r="BU65" s="75"/>
      <c r="BV65" s="75"/>
      <c r="BW65" s="75"/>
      <c r="BX65" s="75"/>
      <c r="BY65" s="75"/>
      <c r="BZ65" s="75"/>
    </row>
    <row r="66" spans="1:78" hidden="1" outlineLevel="1">
      <c r="B66" s="65" t="s">
        <v>178</v>
      </c>
      <c r="C66" s="68">
        <v>0.10125000000000001</v>
      </c>
      <c r="D66" s="68"/>
      <c r="E66" s="68"/>
      <c r="F66" s="68"/>
      <c r="G66" s="68"/>
      <c r="H66" s="68"/>
      <c r="I66" s="68"/>
      <c r="J66" s="68"/>
      <c r="K66" s="68"/>
      <c r="L66" s="68"/>
      <c r="M66" s="68"/>
      <c r="N66" s="68"/>
      <c r="O66" s="68"/>
      <c r="Z66" s="70">
        <f t="shared" ref="Z66:AX66" si="230">+($C66)*AVERAGE(Y65:Z65)/4</f>
        <v>12.65625</v>
      </c>
      <c r="AA66" s="70">
        <f t="shared" si="230"/>
        <v>12.65625</v>
      </c>
      <c r="AB66" s="70">
        <f t="shared" si="230"/>
        <v>12.65625</v>
      </c>
      <c r="AC66" s="70">
        <f t="shared" si="230"/>
        <v>10.449000000000002</v>
      </c>
      <c r="AD66" s="70">
        <f t="shared" si="230"/>
        <v>8.2417500000000015</v>
      </c>
      <c r="AE66" s="70">
        <f t="shared" si="230"/>
        <v>8.2417500000000015</v>
      </c>
      <c r="AF66" s="70">
        <f t="shared" si="230"/>
        <v>8.2417500000000015</v>
      </c>
      <c r="AG66" s="70">
        <f t="shared" si="230"/>
        <v>8.2417500000000015</v>
      </c>
      <c r="AH66" s="70">
        <f t="shared" si="230"/>
        <v>8.2417500000000015</v>
      </c>
      <c r="AI66" s="70">
        <f t="shared" si="230"/>
        <v>4.1208750000000007</v>
      </c>
      <c r="AJ66" s="70">
        <f t="shared" si="230"/>
        <v>0</v>
      </c>
      <c r="AK66" s="70">
        <f t="shared" si="230"/>
        <v>0</v>
      </c>
      <c r="AL66" s="70">
        <f t="shared" si="230"/>
        <v>0</v>
      </c>
      <c r="AM66" s="70">
        <f t="shared" si="230"/>
        <v>0</v>
      </c>
      <c r="AN66" s="70">
        <f t="shared" si="230"/>
        <v>0</v>
      </c>
      <c r="AO66" s="70">
        <f t="shared" si="230"/>
        <v>0</v>
      </c>
      <c r="AP66" s="70">
        <f t="shared" si="230"/>
        <v>0</v>
      </c>
      <c r="AQ66" s="70">
        <f t="shared" si="230"/>
        <v>0</v>
      </c>
      <c r="AR66" s="70">
        <f t="shared" si="230"/>
        <v>0</v>
      </c>
      <c r="AS66" s="70">
        <f t="shared" si="230"/>
        <v>0</v>
      </c>
      <c r="AT66" s="70">
        <f t="shared" si="230"/>
        <v>0</v>
      </c>
      <c r="AU66" s="70">
        <f t="shared" si="230"/>
        <v>0</v>
      </c>
      <c r="AV66" s="70">
        <f t="shared" si="230"/>
        <v>0</v>
      </c>
      <c r="AW66" s="70">
        <f t="shared" si="230"/>
        <v>0</v>
      </c>
      <c r="AX66" s="70">
        <f t="shared" si="230"/>
        <v>0</v>
      </c>
      <c r="AY66" s="70">
        <f t="shared" ref="AY66" si="231">+($C66)*AVERAGE(AX65:AY65)/4</f>
        <v>0</v>
      </c>
      <c r="AZ66" s="70"/>
      <c r="BA66" s="70"/>
      <c r="BB66" s="70"/>
      <c r="BC66" s="70"/>
      <c r="BD66" s="70"/>
      <c r="BE66" s="70"/>
      <c r="BF66" s="70"/>
      <c r="BG66" s="70"/>
      <c r="BH66" s="70"/>
      <c r="BI66" s="70"/>
      <c r="BJ66" s="70"/>
      <c r="BK66" s="70"/>
      <c r="BL66" s="70"/>
      <c r="BM66" s="70"/>
      <c r="BN66" s="70"/>
      <c r="BO66" s="70"/>
      <c r="BP66" s="70"/>
      <c r="BQ66" s="70"/>
      <c r="BR66" s="70"/>
      <c r="BS66" s="70"/>
      <c r="BT66" s="70"/>
      <c r="BU66" s="70"/>
      <c r="BV66" s="70"/>
      <c r="BW66" s="70"/>
      <c r="BX66" s="70"/>
      <c r="BY66" s="70"/>
      <c r="BZ66" s="70"/>
    </row>
    <row r="67" spans="1:78" hidden="1" outlineLevel="1">
      <c r="B67" s="66" t="s">
        <v>179</v>
      </c>
      <c r="C67" s="68">
        <v>0.10125000000000001</v>
      </c>
      <c r="D67" s="68"/>
      <c r="E67" s="68"/>
      <c r="F67" s="68"/>
      <c r="G67" s="68"/>
      <c r="H67" s="68"/>
      <c r="I67" s="68"/>
      <c r="J67" s="68"/>
      <c r="K67" s="68"/>
      <c r="L67" s="68"/>
      <c r="M67" s="68"/>
      <c r="N67" s="68"/>
      <c r="O67" s="68"/>
      <c r="Z67" s="70">
        <f t="shared" ref="Z67:AX67" si="232">+($C67)*AVERAGE(Y71:Z71)/4</f>
        <v>12.65625</v>
      </c>
      <c r="AA67" s="70">
        <f t="shared" ca="1" si="232"/>
        <v>12.65625</v>
      </c>
      <c r="AB67" s="70">
        <f t="shared" ca="1" si="232"/>
        <v>12.65625</v>
      </c>
      <c r="AC67" s="70">
        <f t="shared" ca="1" si="232"/>
        <v>10.449000000000002</v>
      </c>
      <c r="AD67" s="70">
        <f t="shared" ca="1" si="232"/>
        <v>8.2417500000000015</v>
      </c>
      <c r="AE67" s="70">
        <f t="shared" ca="1" si="232"/>
        <v>8.2417500000000015</v>
      </c>
      <c r="AF67" s="70">
        <f t="shared" ca="1" si="232"/>
        <v>8.2417500000000015</v>
      </c>
      <c r="AG67" s="70">
        <f t="shared" ca="1" si="232"/>
        <v>8.2417500000000015</v>
      </c>
      <c r="AH67" s="70">
        <f t="shared" ca="1" si="232"/>
        <v>8.2417500000000015</v>
      </c>
      <c r="AI67" s="70">
        <f t="shared" ca="1" si="232"/>
        <v>4.1208750000000007</v>
      </c>
      <c r="AJ67" s="70">
        <f t="shared" ca="1" si="232"/>
        <v>0</v>
      </c>
      <c r="AK67" s="70">
        <f t="shared" ca="1" si="232"/>
        <v>0</v>
      </c>
      <c r="AL67" s="70">
        <f t="shared" ca="1" si="232"/>
        <v>0</v>
      </c>
      <c r="AM67" s="70">
        <f t="shared" ca="1" si="232"/>
        <v>0</v>
      </c>
      <c r="AN67" s="70">
        <f t="shared" ca="1" si="232"/>
        <v>0</v>
      </c>
      <c r="AO67" s="70">
        <f t="shared" ca="1" si="232"/>
        <v>0</v>
      </c>
      <c r="AP67" s="70">
        <f t="shared" ca="1" si="232"/>
        <v>0</v>
      </c>
      <c r="AQ67" s="70">
        <f t="shared" ca="1" si="232"/>
        <v>0</v>
      </c>
      <c r="AR67" s="70">
        <f t="shared" ca="1" si="232"/>
        <v>0</v>
      </c>
      <c r="AS67" s="70">
        <f t="shared" ca="1" si="232"/>
        <v>0</v>
      </c>
      <c r="AT67" s="70">
        <f t="shared" ca="1" si="232"/>
        <v>0</v>
      </c>
      <c r="AU67" s="70">
        <f t="shared" ca="1" si="232"/>
        <v>0</v>
      </c>
      <c r="AV67" s="70">
        <f t="shared" ca="1" si="232"/>
        <v>0</v>
      </c>
      <c r="AW67" s="70">
        <f t="shared" ca="1" si="232"/>
        <v>0</v>
      </c>
      <c r="AX67" s="70">
        <f t="shared" ca="1" si="232"/>
        <v>0</v>
      </c>
      <c r="AY67" s="70">
        <f t="shared" ref="AY67" ca="1" si="233">+($C67)*AVERAGE(AX71:AY71)/4</f>
        <v>0</v>
      </c>
      <c r="AZ67" s="70"/>
      <c r="BA67" s="70"/>
      <c r="BB67" s="70"/>
      <c r="BC67" s="70"/>
      <c r="BD67" s="70"/>
      <c r="BE67" s="70"/>
      <c r="BF67" s="70"/>
      <c r="BG67" s="70"/>
      <c r="BH67" s="70"/>
      <c r="BI67" s="70"/>
      <c r="BJ67" s="70"/>
      <c r="BK67" s="70"/>
      <c r="BL67" s="70"/>
      <c r="BM67" s="70"/>
      <c r="BN67" s="70"/>
      <c r="BO67" s="70"/>
      <c r="BP67" s="70"/>
      <c r="BQ67" s="70"/>
      <c r="BR67" s="70"/>
      <c r="BS67" s="70"/>
      <c r="BT67" s="70"/>
      <c r="BU67" s="70"/>
      <c r="BV67" s="70"/>
      <c r="BW67" s="70"/>
      <c r="BX67" s="70"/>
      <c r="BY67" s="70"/>
      <c r="BZ67" s="70"/>
    </row>
    <row r="68" spans="1:78" hidden="1" outlineLevel="1">
      <c r="B68" s="65" t="s">
        <v>180</v>
      </c>
      <c r="C68" s="69"/>
      <c r="D68" s="69"/>
      <c r="E68" s="69"/>
      <c r="F68" s="69"/>
      <c r="G68" s="69"/>
      <c r="H68" s="69"/>
      <c r="I68" s="69"/>
      <c r="J68" s="69"/>
      <c r="K68" s="69"/>
      <c r="L68" s="69"/>
      <c r="M68" s="69"/>
      <c r="N68" s="69"/>
      <c r="O68" s="69"/>
      <c r="Z68" s="70">
        <f t="shared" ref="Z68:AX68" si="234">+Y71</f>
        <v>0</v>
      </c>
      <c r="AA68" s="70">
        <f t="shared" si="234"/>
        <v>500</v>
      </c>
      <c r="AB68" s="70">
        <f t="shared" ca="1" si="234"/>
        <v>500</v>
      </c>
      <c r="AC68" s="70">
        <f t="shared" ca="1" si="234"/>
        <v>500</v>
      </c>
      <c r="AD68" s="70">
        <f t="shared" ca="1" si="234"/>
        <v>325.60000000000002</v>
      </c>
      <c r="AE68" s="70">
        <f t="shared" ca="1" si="234"/>
        <v>325.60000000000002</v>
      </c>
      <c r="AF68" s="70">
        <f t="shared" ca="1" si="234"/>
        <v>325.60000000000002</v>
      </c>
      <c r="AG68" s="70">
        <f t="shared" ca="1" si="234"/>
        <v>325.60000000000002</v>
      </c>
      <c r="AH68" s="70">
        <f t="shared" ca="1" si="234"/>
        <v>325.60000000000002</v>
      </c>
      <c r="AI68" s="70">
        <f t="shared" ca="1" si="234"/>
        <v>325.60000000000002</v>
      </c>
      <c r="AJ68" s="70">
        <f t="shared" ca="1" si="234"/>
        <v>0</v>
      </c>
      <c r="AK68" s="70">
        <f t="shared" ca="1" si="234"/>
        <v>0</v>
      </c>
      <c r="AL68" s="70">
        <f t="shared" ca="1" si="234"/>
        <v>0</v>
      </c>
      <c r="AM68" s="70">
        <f t="shared" ca="1" si="234"/>
        <v>0</v>
      </c>
      <c r="AN68" s="70">
        <f t="shared" ca="1" si="234"/>
        <v>0</v>
      </c>
      <c r="AO68" s="70">
        <f t="shared" ca="1" si="234"/>
        <v>0</v>
      </c>
      <c r="AP68" s="70">
        <f t="shared" ca="1" si="234"/>
        <v>0</v>
      </c>
      <c r="AQ68" s="70">
        <f t="shared" ca="1" si="234"/>
        <v>0</v>
      </c>
      <c r="AR68" s="70">
        <f t="shared" ca="1" si="234"/>
        <v>0</v>
      </c>
      <c r="AS68" s="70">
        <f t="shared" ca="1" si="234"/>
        <v>0</v>
      </c>
      <c r="AT68" s="70">
        <f t="shared" ca="1" si="234"/>
        <v>0</v>
      </c>
      <c r="AU68" s="70">
        <f t="shared" ca="1" si="234"/>
        <v>0</v>
      </c>
      <c r="AV68" s="70">
        <f t="shared" ca="1" si="234"/>
        <v>0</v>
      </c>
      <c r="AW68" s="70">
        <f t="shared" ca="1" si="234"/>
        <v>0</v>
      </c>
      <c r="AX68" s="70">
        <f t="shared" ca="1" si="234"/>
        <v>0</v>
      </c>
      <c r="AY68" s="70">
        <f t="shared" ref="AY68" ca="1" si="235">+AX71</f>
        <v>0</v>
      </c>
      <c r="AZ68" s="70"/>
      <c r="BA68" s="70"/>
      <c r="BB68" s="70"/>
      <c r="BC68" s="70"/>
      <c r="BD68" s="70"/>
      <c r="BE68" s="70"/>
      <c r="BF68" s="70"/>
      <c r="BG68" s="70"/>
      <c r="BH68" s="70"/>
      <c r="BI68" s="70"/>
      <c r="BJ68" s="70"/>
      <c r="BK68" s="70"/>
      <c r="BL68" s="70"/>
      <c r="BM68" s="70"/>
      <c r="BN68" s="70"/>
      <c r="BO68" s="70"/>
      <c r="BP68" s="70"/>
      <c r="BQ68" s="70"/>
      <c r="BR68" s="70"/>
      <c r="BS68" s="70"/>
      <c r="BT68" s="70"/>
      <c r="BU68" s="70"/>
      <c r="BV68" s="70"/>
      <c r="BW68" s="70"/>
      <c r="BX68" s="70"/>
      <c r="BY68" s="70"/>
      <c r="BZ68" s="70"/>
    </row>
    <row r="69" spans="1:78" hidden="1" outlineLevel="1">
      <c r="B69" s="65" t="s">
        <v>181</v>
      </c>
      <c r="C69" s="69"/>
      <c r="D69" s="69"/>
      <c r="E69" s="69"/>
      <c r="F69" s="69"/>
      <c r="G69" s="69"/>
      <c r="H69" s="69"/>
      <c r="I69" s="69"/>
      <c r="J69" s="69"/>
      <c r="K69" s="69"/>
      <c r="L69" s="69"/>
      <c r="M69" s="69"/>
      <c r="N69" s="69"/>
      <c r="O69" s="69"/>
      <c r="Z69" s="70">
        <f t="shared" ref="Z69:AO69" si="236">+Z67-Z66</f>
        <v>0</v>
      </c>
      <c r="AA69" s="70">
        <f ca="1">+AA67-AA66</f>
        <v>0</v>
      </c>
      <c r="AB69" s="70">
        <f ca="1">+AB67-AB66</f>
        <v>0</v>
      </c>
      <c r="AC69" s="70">
        <f ca="1">+AC67-AC66</f>
        <v>0</v>
      </c>
      <c r="AD69" s="70">
        <f t="shared" ca="1" si="236"/>
        <v>0</v>
      </c>
      <c r="AE69" s="70">
        <f t="shared" ca="1" si="236"/>
        <v>0</v>
      </c>
      <c r="AF69" s="70">
        <f ca="1">+AF67-AF66</f>
        <v>0</v>
      </c>
      <c r="AG69" s="70">
        <f t="shared" ca="1" si="236"/>
        <v>0</v>
      </c>
      <c r="AH69" s="70">
        <f t="shared" ca="1" si="236"/>
        <v>0</v>
      </c>
      <c r="AI69" s="70">
        <f t="shared" ca="1" si="236"/>
        <v>0</v>
      </c>
      <c r="AJ69" s="70">
        <f t="shared" ca="1" si="236"/>
        <v>0</v>
      </c>
      <c r="AK69" s="70">
        <f t="shared" ref="AK69" ca="1" si="237">+AK67-AK66</f>
        <v>0</v>
      </c>
      <c r="AL69" s="70">
        <f t="shared" ca="1" si="236"/>
        <v>0</v>
      </c>
      <c r="AM69" s="70">
        <f t="shared" ca="1" si="236"/>
        <v>0</v>
      </c>
      <c r="AN69" s="70">
        <f t="shared" ca="1" si="236"/>
        <v>0</v>
      </c>
      <c r="AO69" s="70">
        <f t="shared" ca="1" si="236"/>
        <v>0</v>
      </c>
      <c r="AP69" s="70">
        <f t="shared" ref="AP69:AX69" ca="1" si="238">+AP67-AP66</f>
        <v>0</v>
      </c>
      <c r="AQ69" s="70">
        <f t="shared" ca="1" si="238"/>
        <v>0</v>
      </c>
      <c r="AR69" s="70">
        <f t="shared" ca="1" si="238"/>
        <v>0</v>
      </c>
      <c r="AS69" s="70">
        <f t="shared" ca="1" si="238"/>
        <v>0</v>
      </c>
      <c r="AT69" s="70">
        <f t="shared" ca="1" si="238"/>
        <v>0</v>
      </c>
      <c r="AU69" s="70">
        <f t="shared" ca="1" si="238"/>
        <v>0</v>
      </c>
      <c r="AV69" s="70">
        <f t="shared" ca="1" si="238"/>
        <v>0</v>
      </c>
      <c r="AW69" s="70">
        <f t="shared" ca="1" si="238"/>
        <v>0</v>
      </c>
      <c r="AX69" s="70">
        <f t="shared" ca="1" si="238"/>
        <v>0</v>
      </c>
      <c r="AY69" s="70">
        <f t="shared" ref="AY69" ca="1" si="239">+AY67-AY66</f>
        <v>0</v>
      </c>
      <c r="AZ69" s="70"/>
      <c r="BA69" s="70"/>
      <c r="BB69" s="70"/>
      <c r="BC69" s="70"/>
      <c r="BD69" s="70"/>
      <c r="BE69" s="70"/>
      <c r="BF69" s="70"/>
      <c r="BG69" s="70"/>
      <c r="BH69" s="70"/>
      <c r="BI69" s="70"/>
      <c r="BJ69" s="70"/>
      <c r="BK69" s="70"/>
      <c r="BL69" s="70"/>
      <c r="BM69" s="70"/>
      <c r="BN69" s="70"/>
      <c r="BO69" s="70"/>
      <c r="BP69" s="70"/>
      <c r="BQ69" s="70"/>
      <c r="BR69" s="70"/>
      <c r="BS69" s="70"/>
      <c r="BT69" s="70"/>
      <c r="BU69" s="70"/>
      <c r="BV69" s="70"/>
      <c r="BW69" s="70"/>
      <c r="BX69" s="70"/>
      <c r="BY69" s="70"/>
      <c r="BZ69" s="70"/>
    </row>
    <row r="70" spans="1:78" hidden="1" outlineLevel="1">
      <c r="B70" s="65" t="s">
        <v>182</v>
      </c>
      <c r="C70" s="69"/>
      <c r="D70" s="69"/>
      <c r="E70" s="69"/>
      <c r="F70" s="69"/>
      <c r="G70" s="69"/>
      <c r="H70" s="69"/>
      <c r="I70" s="69"/>
      <c r="J70" s="69"/>
      <c r="K70" s="69"/>
      <c r="L70" s="69"/>
      <c r="M70" s="69"/>
      <c r="N70" s="69"/>
      <c r="O70" s="69"/>
      <c r="Z70" s="70">
        <f t="shared" ref="Z70:AO70" si="240">+IF(Z$2&gt;$C65,-(Z68+Z69),0)</f>
        <v>0</v>
      </c>
      <c r="AA70" s="70">
        <f>+IF(AA$2&gt;$C65,-(AA68+AA69),0)</f>
        <v>0</v>
      </c>
      <c r="AB70" s="70">
        <f>+IF(AB$2&gt;$C65,-(AB68+AB69),0)</f>
        <v>0</v>
      </c>
      <c r="AC70" s="120">
        <v>-174.4</v>
      </c>
      <c r="AD70" s="70">
        <f t="shared" si="240"/>
        <v>0</v>
      </c>
      <c r="AE70" s="70">
        <f t="shared" si="240"/>
        <v>0</v>
      </c>
      <c r="AF70" s="70">
        <f>+IF(AF$2&gt;$C65,-(AF68+AF69),0)</f>
        <v>0</v>
      </c>
      <c r="AG70" s="70">
        <f t="shared" si="240"/>
        <v>0</v>
      </c>
      <c r="AH70" s="70">
        <f t="shared" si="240"/>
        <v>0</v>
      </c>
      <c r="AI70" s="302">
        <v>-325.60000000000002</v>
      </c>
      <c r="AJ70" s="70">
        <f t="shared" si="240"/>
        <v>0</v>
      </c>
      <c r="AK70" s="70">
        <f t="shared" ref="AK70" si="241">+IF(AK$2&gt;$C65,-(AK68+AK69),0)</f>
        <v>0</v>
      </c>
      <c r="AL70" s="70">
        <f t="shared" si="240"/>
        <v>0</v>
      </c>
      <c r="AM70" s="70">
        <f t="shared" si="240"/>
        <v>0</v>
      </c>
      <c r="AN70" s="70">
        <f t="shared" si="240"/>
        <v>0</v>
      </c>
      <c r="AO70" s="70">
        <f t="shared" si="240"/>
        <v>0</v>
      </c>
      <c r="AP70" s="70">
        <f t="shared" ref="AP70:AX70" si="242">+IF(AP$2&gt;$C65,-(AP68+AP69),0)</f>
        <v>0</v>
      </c>
      <c r="AQ70" s="70">
        <f t="shared" si="242"/>
        <v>0</v>
      </c>
      <c r="AR70" s="70">
        <f t="shared" si="242"/>
        <v>0</v>
      </c>
      <c r="AS70" s="70">
        <f t="shared" si="242"/>
        <v>0</v>
      </c>
      <c r="AT70" s="70">
        <f t="shared" si="242"/>
        <v>0</v>
      </c>
      <c r="AU70" s="70">
        <f t="shared" si="242"/>
        <v>0</v>
      </c>
      <c r="AV70" s="70">
        <f t="shared" si="242"/>
        <v>0</v>
      </c>
      <c r="AW70" s="70">
        <f t="shared" si="242"/>
        <v>0</v>
      </c>
      <c r="AX70" s="70">
        <f t="shared" si="242"/>
        <v>0</v>
      </c>
      <c r="AY70" s="70">
        <f t="shared" ref="AY70" si="243">+IF(AY$2&gt;$C65,-(AY68+AY69),0)</f>
        <v>0</v>
      </c>
      <c r="AZ70" s="70"/>
      <c r="BA70" s="70"/>
      <c r="BB70" s="70"/>
      <c r="BC70" s="70"/>
      <c r="BD70" s="70"/>
      <c r="BE70" s="70"/>
      <c r="BF70" s="70"/>
      <c r="BG70" s="70"/>
      <c r="BH70" s="70"/>
      <c r="BI70" s="70"/>
      <c r="BJ70" s="70"/>
      <c r="BK70" s="70"/>
      <c r="BL70" s="70"/>
      <c r="BM70" s="70"/>
      <c r="BN70" s="70"/>
      <c r="BO70" s="70"/>
      <c r="BP70" s="70"/>
      <c r="BQ70" s="70"/>
      <c r="BR70" s="70"/>
      <c r="BS70" s="70"/>
      <c r="BT70" s="70"/>
      <c r="BU70" s="70"/>
      <c r="BV70" s="70"/>
      <c r="BW70" s="70"/>
      <c r="BX70" s="70"/>
      <c r="BY70" s="70"/>
      <c r="BZ70" s="70"/>
    </row>
    <row r="71" spans="1:78" hidden="1" outlineLevel="1">
      <c r="B71" s="65" t="s">
        <v>183</v>
      </c>
      <c r="C71" s="69"/>
      <c r="D71" s="69"/>
      <c r="E71" s="69"/>
      <c r="F71" s="69"/>
      <c r="G71" s="69"/>
      <c r="H71" s="69"/>
      <c r="I71" s="69"/>
      <c r="J71" s="69"/>
      <c r="K71" s="69"/>
      <c r="L71" s="69"/>
      <c r="M71" s="69"/>
      <c r="N71" s="69"/>
      <c r="O71" s="69"/>
      <c r="Z71" s="50">
        <v>500</v>
      </c>
      <c r="AA71" s="70">
        <f ca="1">+SUM(AA68:AA70)</f>
        <v>500</v>
      </c>
      <c r="AB71" s="70">
        <f ca="1">+SUM(AB68:AB70)</f>
        <v>500</v>
      </c>
      <c r="AC71" s="70">
        <f ca="1">+SUM(AC68:AC70)</f>
        <v>325.60000000000002</v>
      </c>
      <c r="AD71" s="70">
        <f t="shared" ref="AD71:AO71" ca="1" si="244">+SUM(AD68:AD70)</f>
        <v>325.60000000000002</v>
      </c>
      <c r="AE71" s="70">
        <f t="shared" ca="1" si="244"/>
        <v>325.60000000000002</v>
      </c>
      <c r="AF71" s="70">
        <f ca="1">+SUM(AF68:AF70)</f>
        <v>325.60000000000002</v>
      </c>
      <c r="AG71" s="70">
        <f t="shared" ca="1" si="244"/>
        <v>325.60000000000002</v>
      </c>
      <c r="AH71" s="70">
        <f t="shared" ca="1" si="244"/>
        <v>325.60000000000002</v>
      </c>
      <c r="AI71" s="70">
        <f t="shared" ca="1" si="244"/>
        <v>0</v>
      </c>
      <c r="AJ71" s="70">
        <f t="shared" ca="1" si="244"/>
        <v>0</v>
      </c>
      <c r="AK71" s="70">
        <f t="shared" ref="AK71" ca="1" si="245">+SUM(AK68:AK70)</f>
        <v>0</v>
      </c>
      <c r="AL71" s="70">
        <f t="shared" ca="1" si="244"/>
        <v>0</v>
      </c>
      <c r="AM71" s="70">
        <f t="shared" ca="1" si="244"/>
        <v>0</v>
      </c>
      <c r="AN71" s="70">
        <f t="shared" ca="1" si="244"/>
        <v>0</v>
      </c>
      <c r="AO71" s="70">
        <f t="shared" ca="1" si="244"/>
        <v>0</v>
      </c>
      <c r="AP71" s="70">
        <f t="shared" ref="AP71:AX71" ca="1" si="246">+SUM(AP68:AP70)</f>
        <v>0</v>
      </c>
      <c r="AQ71" s="70">
        <f t="shared" ca="1" si="246"/>
        <v>0</v>
      </c>
      <c r="AR71" s="70">
        <f t="shared" ca="1" si="246"/>
        <v>0</v>
      </c>
      <c r="AS71" s="70">
        <f t="shared" ca="1" si="246"/>
        <v>0</v>
      </c>
      <c r="AT71" s="70">
        <f t="shared" ca="1" si="246"/>
        <v>0</v>
      </c>
      <c r="AU71" s="70">
        <f t="shared" ca="1" si="246"/>
        <v>0</v>
      </c>
      <c r="AV71" s="70">
        <f t="shared" ca="1" si="246"/>
        <v>0</v>
      </c>
      <c r="AW71" s="70">
        <f t="shared" ca="1" si="246"/>
        <v>0</v>
      </c>
      <c r="AX71" s="70">
        <f t="shared" ca="1" si="246"/>
        <v>0</v>
      </c>
      <c r="AY71" s="70">
        <f t="shared" ref="AY71" ca="1" si="247">+SUM(AY68:AY70)</f>
        <v>0</v>
      </c>
      <c r="AZ71" s="70"/>
      <c r="BA71" s="70"/>
      <c r="BB71" s="70"/>
      <c r="BC71" s="70"/>
      <c r="BD71" s="70"/>
      <c r="BE71" s="70"/>
      <c r="BF71" s="70"/>
      <c r="BG71" s="70"/>
      <c r="BH71" s="70"/>
      <c r="BI71" s="70"/>
      <c r="BJ71" s="70"/>
      <c r="BK71" s="70"/>
      <c r="BL71" s="70"/>
      <c r="BM71" s="70"/>
      <c r="BN71" s="70"/>
      <c r="BO71" s="70"/>
      <c r="BP71" s="70"/>
      <c r="BQ71" s="70"/>
      <c r="BR71" s="70"/>
      <c r="BS71" s="70"/>
      <c r="BT71" s="70"/>
      <c r="BU71" s="70"/>
      <c r="BV71" s="70"/>
      <c r="BW71" s="70"/>
      <c r="BX71" s="70"/>
      <c r="BY71" s="70"/>
      <c r="BZ71" s="70"/>
    </row>
    <row r="72" spans="1:78" hidden="1" outlineLevel="1"/>
    <row r="73" spans="1:78" s="64" customFormat="1" collapsed="1">
      <c r="A73" s="63" t="s">
        <v>40</v>
      </c>
      <c r="B73" s="283" t="s">
        <v>362</v>
      </c>
      <c r="C73" s="67">
        <v>44957</v>
      </c>
      <c r="D73" s="67"/>
      <c r="E73" s="67"/>
      <c r="F73" s="67"/>
      <c r="G73" s="67"/>
      <c r="H73" s="67"/>
      <c r="I73" s="67"/>
      <c r="J73" s="67"/>
      <c r="K73" s="67"/>
      <c r="L73" s="67"/>
      <c r="M73" s="67"/>
      <c r="N73" s="67"/>
      <c r="O73" s="67"/>
      <c r="Z73" s="71"/>
      <c r="AA73" s="75"/>
      <c r="AB73" s="75"/>
      <c r="AC73" s="75"/>
      <c r="AD73" s="71">
        <v>700</v>
      </c>
      <c r="AE73" s="75">
        <f t="shared" ref="AE73:AX73" si="248">+IF($C73&gt;AE$2,AD73+AE78,AD73-AD73)</f>
        <v>700</v>
      </c>
      <c r="AF73" s="75">
        <f t="shared" si="248"/>
        <v>700</v>
      </c>
      <c r="AG73" s="75">
        <f t="shared" si="248"/>
        <v>700</v>
      </c>
      <c r="AH73" s="75">
        <f t="shared" si="248"/>
        <v>700</v>
      </c>
      <c r="AI73" s="75">
        <f t="shared" si="248"/>
        <v>700</v>
      </c>
      <c r="AJ73" s="75">
        <f t="shared" si="248"/>
        <v>700</v>
      </c>
      <c r="AK73" s="75">
        <f t="shared" si="248"/>
        <v>700</v>
      </c>
      <c r="AL73" s="75">
        <f t="shared" si="248"/>
        <v>700</v>
      </c>
      <c r="AM73" s="75">
        <f t="shared" si="248"/>
        <v>700</v>
      </c>
      <c r="AN73" s="75">
        <f t="shared" si="248"/>
        <v>700</v>
      </c>
      <c r="AO73" s="75">
        <f t="shared" si="248"/>
        <v>700</v>
      </c>
      <c r="AP73" s="75">
        <f t="shared" si="248"/>
        <v>700</v>
      </c>
      <c r="AQ73" s="75">
        <f t="shared" si="248"/>
        <v>700</v>
      </c>
      <c r="AR73" s="75">
        <f t="shared" si="248"/>
        <v>700</v>
      </c>
      <c r="AS73" s="75">
        <f t="shared" si="248"/>
        <v>700</v>
      </c>
      <c r="AT73" s="75">
        <f t="shared" si="248"/>
        <v>700</v>
      </c>
      <c r="AU73" s="75">
        <f t="shared" si="248"/>
        <v>700</v>
      </c>
      <c r="AV73" s="75">
        <f t="shared" si="248"/>
        <v>700</v>
      </c>
      <c r="AW73" s="75">
        <f t="shared" si="248"/>
        <v>700</v>
      </c>
      <c r="AX73" s="75">
        <f t="shared" si="248"/>
        <v>700</v>
      </c>
      <c r="AY73" s="75">
        <f t="shared" ref="AY73" si="249">+IF($C73&gt;AY$2,AX73+AY78,AX73-AX73)</f>
        <v>700</v>
      </c>
      <c r="AZ73" s="75"/>
      <c r="BA73" s="75"/>
      <c r="BB73" s="75"/>
      <c r="BC73" s="75"/>
      <c r="BD73" s="75"/>
      <c r="BE73" s="75"/>
      <c r="BF73" s="75"/>
      <c r="BG73" s="75"/>
      <c r="BH73" s="75"/>
      <c r="BI73" s="75"/>
      <c r="BJ73" s="75"/>
      <c r="BK73" s="75"/>
      <c r="BL73" s="75"/>
      <c r="BM73" s="75"/>
      <c r="BN73" s="75"/>
      <c r="BO73" s="75"/>
      <c r="BP73" s="75"/>
      <c r="BQ73" s="75"/>
      <c r="BR73" s="75"/>
      <c r="BS73" s="75"/>
      <c r="BT73" s="75"/>
      <c r="BU73" s="75"/>
      <c r="BV73" s="75"/>
      <c r="BW73" s="75"/>
      <c r="BX73" s="75"/>
      <c r="BY73" s="75"/>
      <c r="BZ73" s="75"/>
    </row>
    <row r="74" spans="1:78">
      <c r="B74" s="65" t="s">
        <v>178</v>
      </c>
      <c r="C74" s="68">
        <v>0.06</v>
      </c>
      <c r="D74" s="68"/>
      <c r="E74" s="68"/>
      <c r="F74" s="68"/>
      <c r="G74" s="68"/>
      <c r="H74" s="68"/>
      <c r="I74" s="68"/>
      <c r="J74" s="68"/>
      <c r="K74" s="68"/>
      <c r="L74" s="68"/>
      <c r="M74" s="68"/>
      <c r="N74" s="68"/>
      <c r="O74" s="68"/>
      <c r="Z74" s="130"/>
      <c r="AA74" s="70"/>
      <c r="AB74" s="70"/>
      <c r="AC74" s="70"/>
      <c r="AD74" s="130">
        <f>+($C74)*AVERAGE(AC73:AD73)/4/3*2</f>
        <v>7</v>
      </c>
      <c r="AE74" s="70">
        <f t="shared" ref="AE74:AX74" si="250">+($C74)*AVERAGE(AD73:AE73)/4</f>
        <v>10.5</v>
      </c>
      <c r="AF74" s="70">
        <f t="shared" si="250"/>
        <v>10.5</v>
      </c>
      <c r="AG74" s="70">
        <f t="shared" si="250"/>
        <v>10.5</v>
      </c>
      <c r="AH74" s="70">
        <f t="shared" si="250"/>
        <v>10.5</v>
      </c>
      <c r="AI74" s="70">
        <f t="shared" si="250"/>
        <v>10.5</v>
      </c>
      <c r="AJ74" s="70">
        <f t="shared" si="250"/>
        <v>10.5</v>
      </c>
      <c r="AK74" s="70">
        <f t="shared" si="250"/>
        <v>10.5</v>
      </c>
      <c r="AL74" s="70">
        <f t="shared" si="250"/>
        <v>10.5</v>
      </c>
      <c r="AM74" s="70">
        <f t="shared" si="250"/>
        <v>10.5</v>
      </c>
      <c r="AN74" s="70">
        <f t="shared" si="250"/>
        <v>10.5</v>
      </c>
      <c r="AO74" s="70">
        <f t="shared" si="250"/>
        <v>10.5</v>
      </c>
      <c r="AP74" s="70">
        <f t="shared" si="250"/>
        <v>10.5</v>
      </c>
      <c r="AQ74" s="70">
        <f t="shared" si="250"/>
        <v>10.5</v>
      </c>
      <c r="AR74" s="70">
        <f t="shared" si="250"/>
        <v>10.5</v>
      </c>
      <c r="AS74" s="70">
        <f t="shared" si="250"/>
        <v>10.5</v>
      </c>
      <c r="AT74" s="70">
        <f t="shared" si="250"/>
        <v>10.5</v>
      </c>
      <c r="AU74" s="70">
        <f t="shared" si="250"/>
        <v>10.5</v>
      </c>
      <c r="AV74" s="70">
        <f t="shared" si="250"/>
        <v>10.5</v>
      </c>
      <c r="AW74" s="70">
        <f t="shared" si="250"/>
        <v>10.5</v>
      </c>
      <c r="AX74" s="70">
        <f t="shared" si="250"/>
        <v>10.5</v>
      </c>
      <c r="AY74" s="70">
        <f t="shared" ref="AY74" si="251">+($C74)*AVERAGE(AX73:AY73)/4</f>
        <v>10.5</v>
      </c>
      <c r="AZ74" s="70"/>
      <c r="BA74" s="70"/>
      <c r="BB74" s="70"/>
      <c r="BC74" s="70"/>
      <c r="BD74" s="70"/>
      <c r="BE74" s="70"/>
      <c r="BF74" s="70"/>
      <c r="BG74" s="70"/>
      <c r="BH74" s="70"/>
      <c r="BI74" s="70"/>
      <c r="BJ74" s="70"/>
      <c r="BK74" s="70"/>
      <c r="BL74" s="70"/>
      <c r="BM74" s="70"/>
      <c r="BN74" s="70"/>
      <c r="BO74" s="70"/>
      <c r="BP74" s="70"/>
      <c r="BQ74" s="70"/>
      <c r="BR74" s="70"/>
      <c r="BS74" s="70"/>
      <c r="BT74" s="70"/>
      <c r="BU74" s="70"/>
      <c r="BV74" s="70"/>
      <c r="BW74" s="70"/>
      <c r="BX74" s="70"/>
      <c r="BY74" s="70"/>
      <c r="BZ74" s="70"/>
    </row>
    <row r="75" spans="1:78">
      <c r="B75" s="66" t="s">
        <v>179</v>
      </c>
      <c r="C75" s="68">
        <v>0.06</v>
      </c>
      <c r="D75" s="68"/>
      <c r="E75" s="68"/>
      <c r="F75" s="68"/>
      <c r="G75" s="68"/>
      <c r="H75" s="68"/>
      <c r="I75" s="68"/>
      <c r="J75" s="68"/>
      <c r="K75" s="68"/>
      <c r="L75" s="68"/>
      <c r="M75" s="68"/>
      <c r="N75" s="68"/>
      <c r="O75" s="68"/>
      <c r="Z75" s="130"/>
      <c r="AA75" s="70"/>
      <c r="AB75" s="70"/>
      <c r="AC75" s="70"/>
      <c r="AD75" s="130">
        <f>+($C75)*AVERAGE(AC79:AD79)/4/3*2</f>
        <v>7</v>
      </c>
      <c r="AE75" s="70">
        <f t="shared" ref="AE75:AX75" ca="1" si="252">+($C75)*AVERAGE(AD79:AE79)/4</f>
        <v>10.5</v>
      </c>
      <c r="AF75" s="70">
        <f t="shared" ca="1" si="252"/>
        <v>10.5</v>
      </c>
      <c r="AG75" s="70">
        <f t="shared" ca="1" si="252"/>
        <v>10.5</v>
      </c>
      <c r="AH75" s="70">
        <f t="shared" ca="1" si="252"/>
        <v>10.5</v>
      </c>
      <c r="AI75" s="70">
        <f t="shared" ca="1" si="252"/>
        <v>10.5</v>
      </c>
      <c r="AJ75" s="70">
        <f t="shared" ca="1" si="252"/>
        <v>10.5</v>
      </c>
      <c r="AK75" s="70">
        <f t="shared" ca="1" si="252"/>
        <v>10.5</v>
      </c>
      <c r="AL75" s="70">
        <f t="shared" ca="1" si="252"/>
        <v>10.5</v>
      </c>
      <c r="AM75" s="70">
        <f t="shared" ca="1" si="252"/>
        <v>10.5</v>
      </c>
      <c r="AN75" s="70">
        <f t="shared" ca="1" si="252"/>
        <v>10.5</v>
      </c>
      <c r="AO75" s="70">
        <f t="shared" ca="1" si="252"/>
        <v>10.5</v>
      </c>
      <c r="AP75" s="70">
        <f t="shared" ca="1" si="252"/>
        <v>10.5</v>
      </c>
      <c r="AQ75" s="70">
        <f t="shared" ca="1" si="252"/>
        <v>10.5</v>
      </c>
      <c r="AR75" s="70">
        <f t="shared" ca="1" si="252"/>
        <v>10.5</v>
      </c>
      <c r="AS75" s="70">
        <f t="shared" ca="1" si="252"/>
        <v>10.5</v>
      </c>
      <c r="AT75" s="70">
        <f t="shared" ca="1" si="252"/>
        <v>10.5</v>
      </c>
      <c r="AU75" s="70">
        <f t="shared" ca="1" si="252"/>
        <v>10.5</v>
      </c>
      <c r="AV75" s="70">
        <f t="shared" ca="1" si="252"/>
        <v>10.5</v>
      </c>
      <c r="AW75" s="70">
        <f t="shared" ca="1" si="252"/>
        <v>10.5</v>
      </c>
      <c r="AX75" s="70">
        <f t="shared" ca="1" si="252"/>
        <v>10.5</v>
      </c>
      <c r="AY75" s="70">
        <f t="shared" ref="AY75" ca="1" si="253">+($C75)*AVERAGE(AX79:AY79)/4</f>
        <v>10.5</v>
      </c>
      <c r="AZ75" s="70"/>
      <c r="BA75" s="70"/>
      <c r="BB75" s="70"/>
      <c r="BC75" s="70"/>
      <c r="BD75" s="70"/>
      <c r="BE75" s="70"/>
      <c r="BF75" s="70"/>
      <c r="BG75" s="70"/>
      <c r="BH75" s="70"/>
      <c r="BI75" s="70"/>
      <c r="BJ75" s="70"/>
      <c r="BK75" s="70"/>
      <c r="BL75" s="70"/>
      <c r="BM75" s="70"/>
      <c r="BN75" s="70"/>
      <c r="BO75" s="70"/>
      <c r="BP75" s="70"/>
      <c r="BQ75" s="70"/>
      <c r="BR75" s="70"/>
      <c r="BS75" s="70"/>
      <c r="BT75" s="70"/>
      <c r="BU75" s="70"/>
      <c r="BV75" s="70"/>
      <c r="BW75" s="70"/>
      <c r="BX75" s="70"/>
      <c r="BY75" s="70"/>
      <c r="BZ75" s="70"/>
    </row>
    <row r="76" spans="1:78">
      <c r="B76" s="65" t="s">
        <v>180</v>
      </c>
      <c r="C76" s="69"/>
      <c r="D76" s="69"/>
      <c r="E76" s="69"/>
      <c r="F76" s="69"/>
      <c r="G76" s="69"/>
      <c r="H76" s="69"/>
      <c r="I76" s="69"/>
      <c r="J76" s="69"/>
      <c r="K76" s="69"/>
      <c r="L76" s="69"/>
      <c r="M76" s="69"/>
      <c r="N76" s="69"/>
      <c r="O76" s="69"/>
      <c r="Z76" s="70"/>
      <c r="AA76" s="70"/>
      <c r="AB76" s="70"/>
      <c r="AC76" s="70"/>
      <c r="AD76" s="70">
        <f t="shared" ref="AD76:AX76" si="254">+AC79</f>
        <v>0</v>
      </c>
      <c r="AE76" s="70">
        <f t="shared" si="254"/>
        <v>700</v>
      </c>
      <c r="AF76" s="70">
        <f t="shared" ca="1" si="254"/>
        <v>700</v>
      </c>
      <c r="AG76" s="70">
        <f t="shared" ca="1" si="254"/>
        <v>700</v>
      </c>
      <c r="AH76" s="70">
        <f t="shared" ca="1" si="254"/>
        <v>700</v>
      </c>
      <c r="AI76" s="70">
        <f t="shared" ca="1" si="254"/>
        <v>700</v>
      </c>
      <c r="AJ76" s="70">
        <f t="shared" ca="1" si="254"/>
        <v>700</v>
      </c>
      <c r="AK76" s="70">
        <f t="shared" ca="1" si="254"/>
        <v>700</v>
      </c>
      <c r="AL76" s="70">
        <f t="shared" ca="1" si="254"/>
        <v>700</v>
      </c>
      <c r="AM76" s="70">
        <f t="shared" ca="1" si="254"/>
        <v>700</v>
      </c>
      <c r="AN76" s="70">
        <f t="shared" ca="1" si="254"/>
        <v>700</v>
      </c>
      <c r="AO76" s="70">
        <f t="shared" ca="1" si="254"/>
        <v>700</v>
      </c>
      <c r="AP76" s="70">
        <f t="shared" ca="1" si="254"/>
        <v>700</v>
      </c>
      <c r="AQ76" s="70">
        <f t="shared" ca="1" si="254"/>
        <v>700</v>
      </c>
      <c r="AR76" s="70">
        <f t="shared" ca="1" si="254"/>
        <v>700</v>
      </c>
      <c r="AS76" s="70">
        <f t="shared" ca="1" si="254"/>
        <v>700</v>
      </c>
      <c r="AT76" s="70">
        <f t="shared" ca="1" si="254"/>
        <v>700</v>
      </c>
      <c r="AU76" s="70">
        <f t="shared" ca="1" si="254"/>
        <v>700</v>
      </c>
      <c r="AV76" s="70">
        <f t="shared" ca="1" si="254"/>
        <v>700</v>
      </c>
      <c r="AW76" s="70">
        <f t="shared" ca="1" si="254"/>
        <v>700</v>
      </c>
      <c r="AX76" s="70">
        <f t="shared" ca="1" si="254"/>
        <v>700</v>
      </c>
      <c r="AY76" s="70">
        <f t="shared" ref="AY76" ca="1" si="255">+AX79</f>
        <v>700</v>
      </c>
      <c r="AZ76" s="70"/>
      <c r="BA76" s="70"/>
      <c r="BB76" s="70"/>
      <c r="BC76" s="70"/>
      <c r="BD76" s="70"/>
      <c r="BE76" s="70"/>
      <c r="BF76" s="70"/>
      <c r="BG76" s="70"/>
      <c r="BH76" s="70"/>
      <c r="BI76" s="70"/>
      <c r="BJ76" s="70"/>
      <c r="BK76" s="70"/>
      <c r="BL76" s="70"/>
      <c r="BM76" s="70"/>
      <c r="BN76" s="70"/>
      <c r="BO76" s="70"/>
      <c r="BP76" s="70"/>
      <c r="BQ76" s="70"/>
      <c r="BR76" s="70"/>
      <c r="BS76" s="70"/>
      <c r="BT76" s="70"/>
      <c r="BU76" s="70"/>
      <c r="BV76" s="70"/>
      <c r="BW76" s="70"/>
      <c r="BX76" s="70"/>
      <c r="BY76" s="70"/>
      <c r="BZ76" s="70"/>
    </row>
    <row r="77" spans="1:78">
      <c r="B77" s="65" t="s">
        <v>181</v>
      </c>
      <c r="C77" s="69"/>
      <c r="D77" s="69"/>
      <c r="E77" s="69"/>
      <c r="F77" s="69"/>
      <c r="G77" s="69"/>
      <c r="H77" s="69"/>
      <c r="I77" s="69"/>
      <c r="J77" s="69"/>
      <c r="K77" s="69"/>
      <c r="L77" s="69"/>
      <c r="M77" s="69"/>
      <c r="N77" s="69"/>
      <c r="O77" s="69"/>
      <c r="Z77" s="70"/>
      <c r="AA77" s="70"/>
      <c r="AB77" s="70"/>
      <c r="AC77" s="70"/>
      <c r="AD77" s="70">
        <f>+AD75-AD74</f>
        <v>0</v>
      </c>
      <c r="AE77" s="70">
        <f ca="1">+AE75-AE74</f>
        <v>0</v>
      </c>
      <c r="AF77" s="70">
        <f ca="1">+AF75-AF74</f>
        <v>0</v>
      </c>
      <c r="AG77" s="70">
        <f t="shared" ref="AG77:AX77" ca="1" si="256">+AG75-AG74</f>
        <v>0</v>
      </c>
      <c r="AH77" s="70">
        <f t="shared" ca="1" si="256"/>
        <v>0</v>
      </c>
      <c r="AI77" s="70">
        <f t="shared" ca="1" si="256"/>
        <v>0</v>
      </c>
      <c r="AJ77" s="70">
        <f t="shared" ca="1" si="256"/>
        <v>0</v>
      </c>
      <c r="AK77" s="70">
        <f t="shared" ref="AK77" ca="1" si="257">+AK75-AK74</f>
        <v>0</v>
      </c>
      <c r="AL77" s="70">
        <f t="shared" ca="1" si="256"/>
        <v>0</v>
      </c>
      <c r="AM77" s="70">
        <f t="shared" ca="1" si="256"/>
        <v>0</v>
      </c>
      <c r="AN77" s="70">
        <f t="shared" ca="1" si="256"/>
        <v>0</v>
      </c>
      <c r="AO77" s="70">
        <f t="shared" ca="1" si="256"/>
        <v>0</v>
      </c>
      <c r="AP77" s="70">
        <f t="shared" ca="1" si="256"/>
        <v>0</v>
      </c>
      <c r="AQ77" s="70">
        <f t="shared" ca="1" si="256"/>
        <v>0</v>
      </c>
      <c r="AR77" s="70">
        <f t="shared" ca="1" si="256"/>
        <v>0</v>
      </c>
      <c r="AS77" s="70">
        <f t="shared" ca="1" si="256"/>
        <v>0</v>
      </c>
      <c r="AT77" s="70">
        <f t="shared" ca="1" si="256"/>
        <v>0</v>
      </c>
      <c r="AU77" s="70">
        <f t="shared" ca="1" si="256"/>
        <v>0</v>
      </c>
      <c r="AV77" s="70">
        <f t="shared" ca="1" si="256"/>
        <v>0</v>
      </c>
      <c r="AW77" s="70">
        <f t="shared" ca="1" si="256"/>
        <v>0</v>
      </c>
      <c r="AX77" s="70">
        <f t="shared" ca="1" si="256"/>
        <v>0</v>
      </c>
      <c r="AY77" s="70">
        <f t="shared" ref="AY77" ca="1" si="258">+AY75-AY74</f>
        <v>0</v>
      </c>
      <c r="AZ77" s="70"/>
      <c r="BA77" s="70"/>
      <c r="BB77" s="70"/>
      <c r="BC77" s="70"/>
      <c r="BD77" s="70"/>
      <c r="BE77" s="70"/>
      <c r="BF77" s="70"/>
      <c r="BG77" s="70"/>
      <c r="BH77" s="70"/>
      <c r="BI77" s="70"/>
      <c r="BJ77" s="70"/>
      <c r="BK77" s="70"/>
      <c r="BL77" s="70"/>
      <c r="BM77" s="70"/>
      <c r="BN77" s="70"/>
      <c r="BO77" s="70"/>
      <c r="BP77" s="70"/>
      <c r="BQ77" s="70"/>
      <c r="BR77" s="70"/>
      <c r="BS77" s="70"/>
      <c r="BT77" s="70"/>
      <c r="BU77" s="70"/>
      <c r="BV77" s="70"/>
      <c r="BW77" s="70"/>
      <c r="BX77" s="70"/>
      <c r="BY77" s="70"/>
      <c r="BZ77" s="70"/>
    </row>
    <row r="78" spans="1:78">
      <c r="B78" s="65" t="s">
        <v>182</v>
      </c>
      <c r="C78" s="69"/>
      <c r="D78" s="69"/>
      <c r="E78" s="69"/>
      <c r="F78" s="69"/>
      <c r="G78" s="69"/>
      <c r="H78" s="69"/>
      <c r="I78" s="69"/>
      <c r="J78" s="69"/>
      <c r="K78" s="69"/>
      <c r="L78" s="69"/>
      <c r="M78" s="69"/>
      <c r="N78" s="69"/>
      <c r="O78" s="69"/>
      <c r="Z78" s="70"/>
      <c r="AA78" s="70"/>
      <c r="AB78" s="70"/>
      <c r="AC78" s="120"/>
      <c r="AD78" s="70">
        <f>+IF(AD$2&gt;$C73,-(AD76+AD77),0)</f>
        <v>0</v>
      </c>
      <c r="AE78" s="70">
        <f>+IF(AE$2&gt;$C73,-(AE76+AE77),0)</f>
        <v>0</v>
      </c>
      <c r="AF78" s="70">
        <f>+IF(AF$2&gt;$C73,-(AF76+AF77),0)</f>
        <v>0</v>
      </c>
      <c r="AG78" s="70">
        <f t="shared" ref="AG78:AX78" si="259">+IF(AG$2&gt;$C73,-(AG76+AG77),0)</f>
        <v>0</v>
      </c>
      <c r="AH78" s="70">
        <f t="shared" si="259"/>
        <v>0</v>
      </c>
      <c r="AI78" s="70">
        <f t="shared" si="259"/>
        <v>0</v>
      </c>
      <c r="AJ78" s="70">
        <f t="shared" si="259"/>
        <v>0</v>
      </c>
      <c r="AK78" s="70">
        <f t="shared" ref="AK78" si="260">+IF(AK$2&gt;$C73,-(AK76+AK77),0)</f>
        <v>0</v>
      </c>
      <c r="AL78" s="70">
        <f t="shared" si="259"/>
        <v>0</v>
      </c>
      <c r="AM78" s="70">
        <f t="shared" si="259"/>
        <v>0</v>
      </c>
      <c r="AN78" s="70">
        <f t="shared" si="259"/>
        <v>0</v>
      </c>
      <c r="AO78" s="70">
        <f t="shared" si="259"/>
        <v>0</v>
      </c>
      <c r="AP78" s="70">
        <f t="shared" si="259"/>
        <v>0</v>
      </c>
      <c r="AQ78" s="70">
        <f t="shared" si="259"/>
        <v>0</v>
      </c>
      <c r="AR78" s="70">
        <f t="shared" si="259"/>
        <v>0</v>
      </c>
      <c r="AS78" s="70">
        <f t="shared" si="259"/>
        <v>0</v>
      </c>
      <c r="AT78" s="70">
        <f t="shared" si="259"/>
        <v>0</v>
      </c>
      <c r="AU78" s="70">
        <f t="shared" si="259"/>
        <v>0</v>
      </c>
      <c r="AV78" s="70">
        <f t="shared" si="259"/>
        <v>0</v>
      </c>
      <c r="AW78" s="70">
        <f t="shared" si="259"/>
        <v>0</v>
      </c>
      <c r="AX78" s="70">
        <f t="shared" si="259"/>
        <v>0</v>
      </c>
      <c r="AY78" s="70">
        <f t="shared" ref="AY78" si="261">+IF(AY$2&gt;$C73,-(AY76+AY77),0)</f>
        <v>0</v>
      </c>
      <c r="AZ78" s="70"/>
      <c r="BA78" s="70"/>
      <c r="BB78" s="70"/>
      <c r="BC78" s="70"/>
      <c r="BD78" s="70"/>
      <c r="BE78" s="70"/>
      <c r="BF78" s="70"/>
      <c r="BG78" s="70"/>
      <c r="BH78" s="70"/>
      <c r="BI78" s="70"/>
      <c r="BJ78" s="70"/>
      <c r="BK78" s="70"/>
      <c r="BL78" s="70"/>
      <c r="BM78" s="70"/>
      <c r="BN78" s="70"/>
      <c r="BO78" s="70"/>
      <c r="BP78" s="70"/>
      <c r="BQ78" s="70"/>
      <c r="BR78" s="70"/>
      <c r="BS78" s="70"/>
      <c r="BT78" s="70"/>
      <c r="BU78" s="70"/>
      <c r="BV78" s="70"/>
      <c r="BW78" s="70"/>
      <c r="BX78" s="70"/>
      <c r="BY78" s="70"/>
      <c r="BZ78" s="70"/>
    </row>
    <row r="79" spans="1:78">
      <c r="B79" s="65" t="s">
        <v>183</v>
      </c>
      <c r="C79" s="69"/>
      <c r="D79" s="69"/>
      <c r="E79" s="69"/>
      <c r="F79" s="69"/>
      <c r="G79" s="69"/>
      <c r="H79" s="69"/>
      <c r="I79" s="69"/>
      <c r="J79" s="69"/>
      <c r="K79" s="69"/>
      <c r="L79" s="69"/>
      <c r="M79" s="69"/>
      <c r="N79" s="69"/>
      <c r="O79" s="69"/>
      <c r="Z79" s="50"/>
      <c r="AA79" s="70"/>
      <c r="AB79" s="70"/>
      <c r="AC79" s="70"/>
      <c r="AD79" s="50">
        <v>700</v>
      </c>
      <c r="AE79" s="70">
        <f t="shared" ref="AE79:AO79" ca="1" si="262">+SUM(AE76:AE78)</f>
        <v>700</v>
      </c>
      <c r="AF79" s="70">
        <f ca="1">+SUM(AF76:AF78)</f>
        <v>700</v>
      </c>
      <c r="AG79" s="70">
        <f t="shared" ca="1" si="262"/>
        <v>700</v>
      </c>
      <c r="AH79" s="70">
        <f t="shared" ca="1" si="262"/>
        <v>700</v>
      </c>
      <c r="AI79" s="70">
        <f t="shared" ca="1" si="262"/>
        <v>700</v>
      </c>
      <c r="AJ79" s="70">
        <f t="shared" ca="1" si="262"/>
        <v>700</v>
      </c>
      <c r="AK79" s="70">
        <f t="shared" ref="AK79" ca="1" si="263">+SUM(AK76:AK78)</f>
        <v>700</v>
      </c>
      <c r="AL79" s="70">
        <f t="shared" ca="1" si="262"/>
        <v>700</v>
      </c>
      <c r="AM79" s="70">
        <f t="shared" ca="1" si="262"/>
        <v>700</v>
      </c>
      <c r="AN79" s="70">
        <f t="shared" ca="1" si="262"/>
        <v>700</v>
      </c>
      <c r="AO79" s="70">
        <f t="shared" ca="1" si="262"/>
        <v>700</v>
      </c>
      <c r="AP79" s="70">
        <f t="shared" ref="AP79:AX79" ca="1" si="264">+SUM(AP76:AP78)</f>
        <v>700</v>
      </c>
      <c r="AQ79" s="70">
        <f t="shared" ca="1" si="264"/>
        <v>700</v>
      </c>
      <c r="AR79" s="70">
        <f t="shared" ca="1" si="264"/>
        <v>700</v>
      </c>
      <c r="AS79" s="70">
        <f t="shared" ca="1" si="264"/>
        <v>700</v>
      </c>
      <c r="AT79" s="70">
        <f t="shared" ca="1" si="264"/>
        <v>700</v>
      </c>
      <c r="AU79" s="70">
        <f t="shared" ca="1" si="264"/>
        <v>700</v>
      </c>
      <c r="AV79" s="70">
        <f t="shared" ca="1" si="264"/>
        <v>700</v>
      </c>
      <c r="AW79" s="70">
        <f t="shared" ca="1" si="264"/>
        <v>700</v>
      </c>
      <c r="AX79" s="70">
        <f t="shared" ca="1" si="264"/>
        <v>700</v>
      </c>
      <c r="AY79" s="70">
        <f t="shared" ref="AY79" ca="1" si="265">+SUM(AY76:AY78)</f>
        <v>700</v>
      </c>
      <c r="AZ79" s="70"/>
      <c r="BA79" s="70"/>
      <c r="BB79" s="70"/>
      <c r="BC79" s="70"/>
      <c r="BD79" s="70"/>
      <c r="BE79" s="70"/>
      <c r="BF79" s="70"/>
      <c r="BG79" s="70"/>
      <c r="BH79" s="70"/>
      <c r="BI79" s="70"/>
      <c r="BJ79" s="70"/>
      <c r="BK79" s="70"/>
      <c r="BL79" s="70"/>
      <c r="BM79" s="70"/>
      <c r="BN79" s="70"/>
      <c r="BO79" s="70"/>
      <c r="BP79" s="70"/>
      <c r="BQ79" s="70"/>
      <c r="BR79" s="70"/>
      <c r="BS79" s="70"/>
      <c r="BT79" s="70"/>
      <c r="BU79" s="70"/>
      <c r="BV79" s="70"/>
      <c r="BW79" s="70"/>
      <c r="BX79" s="70"/>
      <c r="BY79" s="70"/>
      <c r="BZ79" s="70"/>
    </row>
    <row r="81" spans="1:78" s="64" customFormat="1">
      <c r="A81" s="63" t="s">
        <v>40</v>
      </c>
      <c r="B81" s="283" t="s">
        <v>362</v>
      </c>
      <c r="C81" s="67">
        <v>45016</v>
      </c>
      <c r="D81" s="67"/>
      <c r="E81" s="67"/>
      <c r="F81" s="67"/>
      <c r="G81" s="67"/>
      <c r="H81" s="67"/>
      <c r="I81" s="67"/>
      <c r="J81" s="67"/>
      <c r="K81" s="67"/>
      <c r="L81" s="67"/>
      <c r="M81" s="67"/>
      <c r="N81" s="67"/>
      <c r="O81" s="67"/>
      <c r="Z81" s="71"/>
      <c r="AA81" s="75"/>
      <c r="AB81" s="75"/>
      <c r="AC81" s="75"/>
      <c r="AD81" s="71">
        <v>730</v>
      </c>
      <c r="AE81" s="75">
        <f t="shared" ref="AE81:AX81" si="266">+IF($C81&gt;AE$2,AD81+AE86,AD81-AD81)</f>
        <v>730</v>
      </c>
      <c r="AF81" s="75">
        <f t="shared" si="266"/>
        <v>730</v>
      </c>
      <c r="AG81" s="75">
        <f t="shared" si="266"/>
        <v>730</v>
      </c>
      <c r="AH81" s="75">
        <f t="shared" si="266"/>
        <v>730</v>
      </c>
      <c r="AI81" s="75">
        <f t="shared" si="266"/>
        <v>730</v>
      </c>
      <c r="AJ81" s="75">
        <f t="shared" si="266"/>
        <v>730</v>
      </c>
      <c r="AK81" s="75">
        <f t="shared" si="266"/>
        <v>730</v>
      </c>
      <c r="AL81" s="75">
        <f t="shared" si="266"/>
        <v>730</v>
      </c>
      <c r="AM81" s="75">
        <f t="shared" si="266"/>
        <v>730</v>
      </c>
      <c r="AN81" s="75">
        <f t="shared" si="266"/>
        <v>730</v>
      </c>
      <c r="AO81" s="75">
        <f t="shared" si="266"/>
        <v>730</v>
      </c>
      <c r="AP81" s="75">
        <f t="shared" si="266"/>
        <v>730</v>
      </c>
      <c r="AQ81" s="75">
        <f t="shared" si="266"/>
        <v>730</v>
      </c>
      <c r="AR81" s="75">
        <f t="shared" si="266"/>
        <v>730</v>
      </c>
      <c r="AS81" s="75">
        <f t="shared" si="266"/>
        <v>730</v>
      </c>
      <c r="AT81" s="75">
        <f t="shared" si="266"/>
        <v>730</v>
      </c>
      <c r="AU81" s="75">
        <f t="shared" si="266"/>
        <v>730</v>
      </c>
      <c r="AV81" s="75">
        <f t="shared" si="266"/>
        <v>730</v>
      </c>
      <c r="AW81" s="75">
        <f t="shared" si="266"/>
        <v>730</v>
      </c>
      <c r="AX81" s="75">
        <f t="shared" si="266"/>
        <v>730</v>
      </c>
      <c r="AY81" s="75">
        <f t="shared" ref="AY81" si="267">+IF($C81&gt;AY$2,AX81+AY86,AX81-AX81)</f>
        <v>730</v>
      </c>
      <c r="AZ81" s="75"/>
      <c r="BA81" s="75"/>
      <c r="BB81" s="75"/>
      <c r="BC81" s="75"/>
      <c r="BD81" s="75"/>
      <c r="BE81" s="75"/>
      <c r="BF81" s="75"/>
      <c r="BG81" s="75"/>
      <c r="BH81" s="75"/>
      <c r="BI81" s="75"/>
      <c r="BJ81" s="75"/>
      <c r="BK81" s="75"/>
      <c r="BL81" s="75"/>
      <c r="BM81" s="75"/>
      <c r="BN81" s="75"/>
      <c r="BO81" s="75"/>
      <c r="BP81" s="75"/>
      <c r="BQ81" s="75"/>
      <c r="BR81" s="75"/>
      <c r="BS81" s="75"/>
      <c r="BT81" s="75"/>
      <c r="BU81" s="75"/>
      <c r="BV81" s="75"/>
      <c r="BW81" s="75"/>
      <c r="BX81" s="75"/>
      <c r="BY81" s="75"/>
      <c r="BZ81" s="75"/>
    </row>
    <row r="82" spans="1:78">
      <c r="B82" s="65" t="s">
        <v>178</v>
      </c>
      <c r="C82" s="68">
        <v>0.06</v>
      </c>
      <c r="D82" s="68"/>
      <c r="E82" s="68"/>
      <c r="F82" s="68"/>
      <c r="G82" s="68"/>
      <c r="H82" s="68"/>
      <c r="I82" s="68"/>
      <c r="J82" s="68"/>
      <c r="K82" s="68"/>
      <c r="L82" s="68"/>
      <c r="M82" s="68"/>
      <c r="N82" s="68"/>
      <c r="O82" s="68"/>
      <c r="Z82" s="130"/>
      <c r="AA82" s="70"/>
      <c r="AB82" s="70"/>
      <c r="AC82" s="70"/>
      <c r="AD82" s="130">
        <f>+($C82)*AVERAGE(AC81:AD81)/4/3</f>
        <v>3.65</v>
      </c>
      <c r="AE82" s="70">
        <f t="shared" ref="AE82:AX82" si="268">+($C82)*AVERAGE(AD81:AE81)/4</f>
        <v>10.95</v>
      </c>
      <c r="AF82" s="70">
        <f t="shared" si="268"/>
        <v>10.95</v>
      </c>
      <c r="AG82" s="70">
        <f t="shared" si="268"/>
        <v>10.95</v>
      </c>
      <c r="AH82" s="70">
        <f t="shared" si="268"/>
        <v>10.95</v>
      </c>
      <c r="AI82" s="70">
        <f t="shared" si="268"/>
        <v>10.95</v>
      </c>
      <c r="AJ82" s="70">
        <f t="shared" si="268"/>
        <v>10.95</v>
      </c>
      <c r="AK82" s="70">
        <f t="shared" si="268"/>
        <v>10.95</v>
      </c>
      <c r="AL82" s="70">
        <f t="shared" si="268"/>
        <v>10.95</v>
      </c>
      <c r="AM82" s="70">
        <f t="shared" si="268"/>
        <v>10.95</v>
      </c>
      <c r="AN82" s="70">
        <f t="shared" si="268"/>
        <v>10.95</v>
      </c>
      <c r="AO82" s="70">
        <f t="shared" si="268"/>
        <v>10.95</v>
      </c>
      <c r="AP82" s="70">
        <f t="shared" si="268"/>
        <v>10.95</v>
      </c>
      <c r="AQ82" s="70">
        <f t="shared" si="268"/>
        <v>10.95</v>
      </c>
      <c r="AR82" s="70">
        <f t="shared" si="268"/>
        <v>10.95</v>
      </c>
      <c r="AS82" s="70">
        <f t="shared" si="268"/>
        <v>10.95</v>
      </c>
      <c r="AT82" s="70">
        <f t="shared" si="268"/>
        <v>10.95</v>
      </c>
      <c r="AU82" s="70">
        <f t="shared" si="268"/>
        <v>10.95</v>
      </c>
      <c r="AV82" s="70">
        <f t="shared" si="268"/>
        <v>10.95</v>
      </c>
      <c r="AW82" s="70">
        <f t="shared" si="268"/>
        <v>10.95</v>
      </c>
      <c r="AX82" s="70">
        <f t="shared" si="268"/>
        <v>10.95</v>
      </c>
      <c r="AY82" s="70">
        <f t="shared" ref="AY82" si="269">+($C82)*AVERAGE(AX81:AY81)/4</f>
        <v>10.95</v>
      </c>
      <c r="AZ82" s="70"/>
      <c r="BA82" s="70"/>
      <c r="BB82" s="70"/>
      <c r="BC82" s="70"/>
      <c r="BD82" s="70"/>
      <c r="BE82" s="70"/>
      <c r="BF82" s="70"/>
      <c r="BG82" s="70"/>
      <c r="BH82" s="70"/>
      <c r="BI82" s="70"/>
      <c r="BJ82" s="70"/>
      <c r="BK82" s="70"/>
      <c r="BL82" s="70"/>
      <c r="BM82" s="70"/>
      <c r="BN82" s="70"/>
      <c r="BO82" s="70"/>
      <c r="BP82" s="70"/>
      <c r="BQ82" s="70"/>
      <c r="BR82" s="70"/>
      <c r="BS82" s="70"/>
      <c r="BT82" s="70"/>
      <c r="BU82" s="70"/>
      <c r="BV82" s="70"/>
      <c r="BW82" s="70"/>
      <c r="BX82" s="70"/>
      <c r="BY82" s="70"/>
      <c r="BZ82" s="70"/>
    </row>
    <row r="83" spans="1:78">
      <c r="B83" s="66" t="s">
        <v>179</v>
      </c>
      <c r="C83" s="68">
        <v>5.8439999999999999E-2</v>
      </c>
      <c r="D83" s="68"/>
      <c r="E83" s="68"/>
      <c r="F83" s="68"/>
      <c r="G83" s="68"/>
      <c r="H83" s="68"/>
      <c r="I83" s="68"/>
      <c r="J83" s="68"/>
      <c r="K83" s="68"/>
      <c r="L83" s="68"/>
      <c r="M83" s="68"/>
      <c r="N83" s="68"/>
      <c r="O83" s="68"/>
      <c r="Z83" s="130"/>
      <c r="AA83" s="70"/>
      <c r="AB83" s="70"/>
      <c r="AC83" s="70"/>
      <c r="AD83" s="130">
        <f>+($C83)*AVERAGE(AC87:AD87)/4/3</f>
        <v>3.5906509999999998</v>
      </c>
      <c r="AE83" s="70">
        <f t="shared" ref="AE83:AX83" si="270">+($C83)*AVERAGE(AD87:AE87)/4</f>
        <v>10.770492000000001</v>
      </c>
      <c r="AF83" s="70">
        <f t="shared" si="270"/>
        <v>10.767569999999999</v>
      </c>
      <c r="AG83" s="70">
        <f t="shared" si="270"/>
        <v>10.764647999999999</v>
      </c>
      <c r="AH83" s="70">
        <f t="shared" ca="1" si="270"/>
        <v>10.761812288769461</v>
      </c>
      <c r="AI83" s="70">
        <f t="shared" ca="1" si="270"/>
        <v>10.758890288769461</v>
      </c>
      <c r="AJ83" s="70">
        <f t="shared" ca="1" si="270"/>
        <v>10.755882</v>
      </c>
      <c r="AK83" s="70">
        <f t="shared" ca="1" si="270"/>
        <v>10.75296</v>
      </c>
      <c r="AL83" s="70">
        <f t="shared" ca="1" si="270"/>
        <v>10.750038</v>
      </c>
      <c r="AM83" s="70">
        <f t="shared" ca="1" si="270"/>
        <v>10.747116</v>
      </c>
      <c r="AN83" s="70">
        <f t="shared" ca="1" si="270"/>
        <v>10.744194</v>
      </c>
      <c r="AO83" s="70">
        <f t="shared" ca="1" si="270"/>
        <v>10.741207772780157</v>
      </c>
      <c r="AP83" s="70">
        <f t="shared" ca="1" si="270"/>
        <v>10.738134870791448</v>
      </c>
      <c r="AQ83" s="70">
        <f t="shared" ca="1" si="270"/>
        <v>10.735016743332626</v>
      </c>
      <c r="AR83" s="70">
        <f t="shared" ca="1" si="270"/>
        <v>10.731852724797314</v>
      </c>
      <c r="AS83" s="70">
        <f t="shared" ca="1" si="270"/>
        <v>10.728642139783075</v>
      </c>
      <c r="AT83" s="70">
        <f t="shared" ca="1" si="270"/>
        <v>10.725384302947219</v>
      </c>
      <c r="AU83" s="70">
        <f t="shared" ca="1" si="270"/>
        <v>10.722078518860524</v>
      </c>
      <c r="AV83" s="70">
        <f t="shared" ca="1" si="270"/>
        <v>10.718724081858781</v>
      </c>
      <c r="AW83" s="70">
        <f t="shared" ca="1" si="270"/>
        <v>10.715320275892148</v>
      </c>
      <c r="AX83" s="70">
        <f t="shared" ca="1" si="270"/>
        <v>10.711866374372329</v>
      </c>
      <c r="AY83" s="70">
        <f t="shared" ref="AY83" ca="1" si="271">+($C83)*AVERAGE(AX87:AY87)/4</f>
        <v>10.708361640017449</v>
      </c>
      <c r="AZ83" s="70"/>
      <c r="BA83" s="70"/>
      <c r="BB83" s="70"/>
      <c r="BC83" s="70"/>
      <c r="BD83" s="70"/>
      <c r="BE83" s="70"/>
      <c r="BF83" s="70"/>
      <c r="BG83" s="70"/>
      <c r="BH83" s="70"/>
      <c r="BI83" s="70"/>
      <c r="BJ83" s="70"/>
      <c r="BK83" s="70"/>
      <c r="BL83" s="70"/>
      <c r="BM83" s="70"/>
      <c r="BN83" s="70"/>
      <c r="BO83" s="70"/>
      <c r="BP83" s="70"/>
      <c r="BQ83" s="70"/>
      <c r="BR83" s="70"/>
      <c r="BS83" s="70"/>
      <c r="BT83" s="70"/>
      <c r="BU83" s="70"/>
      <c r="BV83" s="70"/>
      <c r="BW83" s="70"/>
      <c r="BX83" s="70"/>
      <c r="BY83" s="70"/>
      <c r="BZ83" s="70"/>
    </row>
    <row r="84" spans="1:78">
      <c r="B84" s="65" t="s">
        <v>180</v>
      </c>
      <c r="C84" s="69"/>
      <c r="D84" s="69"/>
      <c r="E84" s="69"/>
      <c r="F84" s="69"/>
      <c r="G84" s="69"/>
      <c r="H84" s="69"/>
      <c r="I84" s="69"/>
      <c r="J84" s="69"/>
      <c r="K84" s="69"/>
      <c r="L84" s="69"/>
      <c r="M84" s="69"/>
      <c r="N84" s="69"/>
      <c r="O84" s="69"/>
      <c r="Z84" s="70"/>
      <c r="AA84" s="70"/>
      <c r="AB84" s="70"/>
      <c r="AC84" s="70"/>
      <c r="AD84" s="50">
        <v>0</v>
      </c>
      <c r="AE84" s="70">
        <f t="shared" ref="AE84:AX84" si="272">+AD87</f>
        <v>737.3</v>
      </c>
      <c r="AF84" s="70">
        <f t="shared" si="272"/>
        <v>737.1</v>
      </c>
      <c r="AG84" s="70">
        <f t="shared" si="272"/>
        <v>736.9</v>
      </c>
      <c r="AH84" s="70">
        <f t="shared" si="272"/>
        <v>736.7</v>
      </c>
      <c r="AI84" s="70">
        <f t="shared" ca="1" si="272"/>
        <v>736.51181228876953</v>
      </c>
      <c r="AJ84" s="70">
        <f t="shared" ca="1" si="272"/>
        <v>736.3</v>
      </c>
      <c r="AK84" s="70">
        <f t="shared" ca="1" si="272"/>
        <v>736.1</v>
      </c>
      <c r="AL84" s="70">
        <f t="shared" ca="1" si="272"/>
        <v>735.9</v>
      </c>
      <c r="AM84" s="70">
        <f t="shared" ca="1" si="272"/>
        <v>735.7</v>
      </c>
      <c r="AN84" s="70">
        <f t="shared" ca="1" si="272"/>
        <v>735.5</v>
      </c>
      <c r="AO84" s="70">
        <f t="shared" ca="1" si="272"/>
        <v>735.3</v>
      </c>
      <c r="AP84" s="70">
        <f t="shared" ca="1" si="272"/>
        <v>735.09120777278008</v>
      </c>
      <c r="AQ84" s="70">
        <f t="shared" ca="1" si="272"/>
        <v>734.87934264357148</v>
      </c>
      <c r="AR84" s="70">
        <f t="shared" ca="1" si="272"/>
        <v>734.66435938690415</v>
      </c>
      <c r="AS84" s="70">
        <f t="shared" ca="1" si="272"/>
        <v>734.44621211170147</v>
      </c>
      <c r="AT84" s="70">
        <f t="shared" ca="1" si="272"/>
        <v>734.22485425148454</v>
      </c>
      <c r="AU84" s="70">
        <f t="shared" ca="1" si="272"/>
        <v>734.0002385544318</v>
      </c>
      <c r="AV84" s="70">
        <f t="shared" ca="1" si="272"/>
        <v>733.77231707329236</v>
      </c>
      <c r="AW84" s="70">
        <f t="shared" ca="1" si="272"/>
        <v>733.54104115515111</v>
      </c>
      <c r="AX84" s="70">
        <f t="shared" ca="1" si="272"/>
        <v>733.30636143104323</v>
      </c>
      <c r="AY84" s="70">
        <f t="shared" ref="AY84" ca="1" si="273">+AX87</f>
        <v>733.06822780541552</v>
      </c>
      <c r="AZ84" s="70"/>
      <c r="BA84" s="70"/>
      <c r="BB84" s="70"/>
      <c r="BC84" s="70"/>
      <c r="BD84" s="70"/>
      <c r="BE84" s="70"/>
      <c r="BF84" s="70"/>
      <c r="BG84" s="70"/>
      <c r="BH84" s="70"/>
      <c r="BI84" s="70"/>
      <c r="BJ84" s="70"/>
      <c r="BK84" s="70"/>
      <c r="BL84" s="70"/>
      <c r="BM84" s="70"/>
      <c r="BN84" s="70"/>
      <c r="BO84" s="70"/>
      <c r="BP84" s="70"/>
      <c r="BQ84" s="70"/>
      <c r="BR84" s="70"/>
      <c r="BS84" s="70"/>
      <c r="BT84" s="70"/>
      <c r="BU84" s="70"/>
      <c r="BV84" s="70"/>
      <c r="BW84" s="70"/>
      <c r="BX84" s="70"/>
      <c r="BY84" s="70"/>
      <c r="BZ84" s="70"/>
    </row>
    <row r="85" spans="1:78">
      <c r="B85" s="65" t="s">
        <v>181</v>
      </c>
      <c r="C85" s="69"/>
      <c r="D85" s="69"/>
      <c r="E85" s="69"/>
      <c r="F85" s="69"/>
      <c r="G85" s="69"/>
      <c r="H85" s="69"/>
      <c r="I85" s="69"/>
      <c r="J85" s="69"/>
      <c r="K85" s="69"/>
      <c r="L85" s="69"/>
      <c r="M85" s="69"/>
      <c r="N85" s="69"/>
      <c r="O85" s="69"/>
      <c r="Z85" s="70"/>
      <c r="AA85" s="70"/>
      <c r="AB85" s="70"/>
      <c r="AC85" s="70"/>
      <c r="AD85" s="120">
        <f>730+7.3-AD84-AD86</f>
        <v>7.2999999999999545</v>
      </c>
      <c r="AE85" s="120">
        <f>730+7.1-AE84-AE86</f>
        <v>-0.19999999999993179</v>
      </c>
      <c r="AF85" s="120">
        <f>730+6.9-AF84-AF86</f>
        <v>-0.20000000000004547</v>
      </c>
      <c r="AG85" s="120">
        <f>730+6.7-AG84-AG86</f>
        <v>-0.19999999999993179</v>
      </c>
      <c r="AH85" s="70">
        <f t="shared" ref="AH85:AX85" ca="1" si="274">+AH83-AH82</f>
        <v>-0.18818771123053857</v>
      </c>
      <c r="AI85" s="120">
        <f ca="1">730+6.3-AI84-AI86</f>
        <v>-0.21181228876957903</v>
      </c>
      <c r="AJ85" s="120">
        <f ca="1">730+6.1-AJ84-AJ86</f>
        <v>-0.19999999999993179</v>
      </c>
      <c r="AK85" s="120">
        <f ca="1">730+5.9-AK84-AK86</f>
        <v>-0.20000000000004547</v>
      </c>
      <c r="AL85" s="120">
        <f ca="1">730+5.7-AL84-AL86</f>
        <v>-0.19999999999993179</v>
      </c>
      <c r="AM85" s="120">
        <f ca="1">730+5.5-AM84-AM86</f>
        <v>-0.20000000000004547</v>
      </c>
      <c r="AN85" s="120">
        <f ca="1">730+5.3-AN84-AN86</f>
        <v>-0.20000000000004547</v>
      </c>
      <c r="AO85" s="70">
        <f t="shared" ca="1" si="274"/>
        <v>-0.20879222721984192</v>
      </c>
      <c r="AP85" s="70">
        <f t="shared" ca="1" si="274"/>
        <v>-0.21186512920855094</v>
      </c>
      <c r="AQ85" s="70">
        <f t="shared" ca="1" si="274"/>
        <v>-0.21498325666737372</v>
      </c>
      <c r="AR85" s="70">
        <f t="shared" ca="1" si="274"/>
        <v>-0.21814727520268562</v>
      </c>
      <c r="AS85" s="70">
        <f t="shared" ca="1" si="274"/>
        <v>-0.22135786021692461</v>
      </c>
      <c r="AT85" s="70">
        <f t="shared" ca="1" si="274"/>
        <v>-0.22461569705277995</v>
      </c>
      <c r="AU85" s="70">
        <f t="shared" ca="1" si="274"/>
        <v>-0.22792148113947519</v>
      </c>
      <c r="AV85" s="70">
        <f t="shared" ca="1" si="274"/>
        <v>-0.23127591814121828</v>
      </c>
      <c r="AW85" s="70">
        <f t="shared" ca="1" si="274"/>
        <v>-0.23467972410785087</v>
      </c>
      <c r="AX85" s="70">
        <f t="shared" ca="1" si="274"/>
        <v>-0.23813362562767004</v>
      </c>
      <c r="AY85" s="70">
        <f t="shared" ref="AY85" ca="1" si="275">+AY83-AY82</f>
        <v>-0.24163835998255045</v>
      </c>
      <c r="AZ85" s="70"/>
      <c r="BA85" s="70"/>
      <c r="BB85" s="70"/>
      <c r="BC85" s="70"/>
      <c r="BD85" s="70"/>
      <c r="BE85" s="70"/>
      <c r="BF85" s="70"/>
      <c r="BG85" s="70"/>
      <c r="BH85" s="70"/>
      <c r="BI85" s="70"/>
      <c r="BJ85" s="70"/>
      <c r="BK85" s="70"/>
      <c r="BL85" s="70"/>
      <c r="BM85" s="70"/>
      <c r="BN85" s="70"/>
      <c r="BO85" s="70"/>
      <c r="BP85" s="70"/>
      <c r="BQ85" s="70"/>
      <c r="BR85" s="70"/>
      <c r="BS85" s="70"/>
      <c r="BT85" s="70"/>
      <c r="BU85" s="70"/>
      <c r="BV85" s="70"/>
      <c r="BW85" s="70"/>
      <c r="BX85" s="70"/>
      <c r="BY85" s="70"/>
      <c r="BZ85" s="70"/>
    </row>
    <row r="86" spans="1:78">
      <c r="B86" s="65" t="s">
        <v>182</v>
      </c>
      <c r="C86" s="69"/>
      <c r="D86" s="69"/>
      <c r="E86" s="69"/>
      <c r="F86" s="69"/>
      <c r="G86" s="69"/>
      <c r="H86" s="69"/>
      <c r="I86" s="69"/>
      <c r="J86" s="69"/>
      <c r="K86" s="69"/>
      <c r="L86" s="69"/>
      <c r="M86" s="69"/>
      <c r="N86" s="69"/>
      <c r="O86" s="69"/>
      <c r="Z86" s="70"/>
      <c r="AA86" s="70"/>
      <c r="AB86" s="70"/>
      <c r="AC86" s="120"/>
      <c r="AD86" s="120">
        <v>730</v>
      </c>
      <c r="AE86" s="70">
        <f t="shared" ref="AE86:AX86" si="276">+IF(AE$2&gt;$C81,-(AE84+AE85),0)</f>
        <v>0</v>
      </c>
      <c r="AF86" s="70">
        <f>+IF(AF$2&gt;$C81,-(AF84+AF85),0)</f>
        <v>0</v>
      </c>
      <c r="AG86" s="70">
        <f t="shared" si="276"/>
        <v>0</v>
      </c>
      <c r="AH86" s="70">
        <f t="shared" si="276"/>
        <v>0</v>
      </c>
      <c r="AI86" s="70">
        <f t="shared" si="276"/>
        <v>0</v>
      </c>
      <c r="AJ86" s="70">
        <f t="shared" ref="AJ86:AK86" si="277">+IF(AJ$2&gt;$C81,-(AJ84+AJ85),0)</f>
        <v>0</v>
      </c>
      <c r="AK86" s="70">
        <f t="shared" si="277"/>
        <v>0</v>
      </c>
      <c r="AL86" s="70">
        <f t="shared" si="276"/>
        <v>0</v>
      </c>
      <c r="AM86" s="70">
        <f t="shared" si="276"/>
        <v>0</v>
      </c>
      <c r="AN86" s="70">
        <f t="shared" ref="AN86" si="278">+IF(AN$2&gt;$C81,-(AN84+AN85),0)</f>
        <v>0</v>
      </c>
      <c r="AO86" s="70">
        <f t="shared" si="276"/>
        <v>0</v>
      </c>
      <c r="AP86" s="70">
        <f t="shared" si="276"/>
        <v>0</v>
      </c>
      <c r="AQ86" s="70">
        <f t="shared" si="276"/>
        <v>0</v>
      </c>
      <c r="AR86" s="70">
        <f t="shared" si="276"/>
        <v>0</v>
      </c>
      <c r="AS86" s="70">
        <f t="shared" si="276"/>
        <v>0</v>
      </c>
      <c r="AT86" s="70">
        <f t="shared" si="276"/>
        <v>0</v>
      </c>
      <c r="AU86" s="70">
        <f t="shared" si="276"/>
        <v>0</v>
      </c>
      <c r="AV86" s="70">
        <f t="shared" si="276"/>
        <v>0</v>
      </c>
      <c r="AW86" s="70">
        <f t="shared" si="276"/>
        <v>0</v>
      </c>
      <c r="AX86" s="70">
        <f t="shared" si="276"/>
        <v>0</v>
      </c>
      <c r="AY86" s="70">
        <f t="shared" ref="AY86" si="279">+IF(AY$2&gt;$C81,-(AY84+AY85),0)</f>
        <v>0</v>
      </c>
      <c r="AZ86" s="70"/>
      <c r="BA86" s="70"/>
      <c r="BB86" s="70"/>
      <c r="BC86" s="70"/>
      <c r="BD86" s="70"/>
      <c r="BE86" s="70"/>
      <c r="BF86" s="70"/>
      <c r="BG86" s="70"/>
      <c r="BH86" s="70"/>
      <c r="BI86" s="70"/>
      <c r="BJ86" s="70"/>
      <c r="BK86" s="70"/>
      <c r="BL86" s="70"/>
      <c r="BM86" s="70"/>
      <c r="BN86" s="70"/>
      <c r="BO86" s="70"/>
      <c r="BP86" s="70"/>
      <c r="BQ86" s="70"/>
      <c r="BR86" s="70"/>
      <c r="BS86" s="70"/>
      <c r="BT86" s="70"/>
      <c r="BU86" s="70"/>
      <c r="BV86" s="70"/>
      <c r="BW86" s="70"/>
      <c r="BX86" s="70"/>
      <c r="BY86" s="70"/>
      <c r="BZ86" s="70"/>
    </row>
    <row r="87" spans="1:78">
      <c r="B87" s="65" t="s">
        <v>183</v>
      </c>
      <c r="C87" s="69"/>
      <c r="D87" s="69"/>
      <c r="E87" s="69"/>
      <c r="F87" s="69"/>
      <c r="G87" s="69"/>
      <c r="H87" s="69"/>
      <c r="I87" s="69"/>
      <c r="J87" s="69"/>
      <c r="K87" s="69"/>
      <c r="L87" s="69"/>
      <c r="M87" s="69"/>
      <c r="N87" s="69"/>
      <c r="O87" s="69"/>
      <c r="Z87" s="50"/>
      <c r="AA87" s="70"/>
      <c r="AB87" s="70"/>
      <c r="AC87" s="70"/>
      <c r="AD87" s="70">
        <f t="shared" ref="AD87:AO87" si="280">+SUM(AD84:AD86)</f>
        <v>737.3</v>
      </c>
      <c r="AE87" s="70">
        <f t="shared" si="280"/>
        <v>737.1</v>
      </c>
      <c r="AF87" s="70">
        <f>+SUM(AF84:AF86)</f>
        <v>736.9</v>
      </c>
      <c r="AG87" s="70">
        <f t="shared" si="280"/>
        <v>736.7</v>
      </c>
      <c r="AH87" s="70">
        <f t="shared" ca="1" si="280"/>
        <v>736.51181228876953</v>
      </c>
      <c r="AI87" s="70">
        <f t="shared" ca="1" si="280"/>
        <v>736.3</v>
      </c>
      <c r="AJ87" s="70">
        <f t="shared" ref="AJ87:AK87" ca="1" si="281">+SUM(AJ84:AJ86)</f>
        <v>736.1</v>
      </c>
      <c r="AK87" s="70">
        <f t="shared" ca="1" si="281"/>
        <v>735.9</v>
      </c>
      <c r="AL87" s="70">
        <f t="shared" ca="1" si="280"/>
        <v>735.7</v>
      </c>
      <c r="AM87" s="70">
        <f t="shared" ca="1" si="280"/>
        <v>735.5</v>
      </c>
      <c r="AN87" s="70">
        <f t="shared" ref="AN87" ca="1" si="282">+SUM(AN84:AN86)</f>
        <v>735.3</v>
      </c>
      <c r="AO87" s="70">
        <f t="shared" ca="1" si="280"/>
        <v>735.09120777278008</v>
      </c>
      <c r="AP87" s="70">
        <f t="shared" ref="AP87:AX87" ca="1" si="283">+SUM(AP84:AP86)</f>
        <v>734.87934264357148</v>
      </c>
      <c r="AQ87" s="70">
        <f t="shared" ca="1" si="283"/>
        <v>734.66435938690415</v>
      </c>
      <c r="AR87" s="70">
        <f t="shared" ca="1" si="283"/>
        <v>734.44621211170147</v>
      </c>
      <c r="AS87" s="70">
        <f t="shared" ca="1" si="283"/>
        <v>734.22485425148454</v>
      </c>
      <c r="AT87" s="70">
        <f t="shared" ca="1" si="283"/>
        <v>734.0002385544318</v>
      </c>
      <c r="AU87" s="70">
        <f t="shared" ca="1" si="283"/>
        <v>733.77231707329236</v>
      </c>
      <c r="AV87" s="70">
        <f t="shared" ca="1" si="283"/>
        <v>733.54104115515111</v>
      </c>
      <c r="AW87" s="70">
        <f t="shared" ca="1" si="283"/>
        <v>733.30636143104323</v>
      </c>
      <c r="AX87" s="70">
        <f t="shared" ca="1" si="283"/>
        <v>733.06822780541552</v>
      </c>
      <c r="AY87" s="70">
        <f t="shared" ref="AY87" ca="1" si="284">+SUM(AY84:AY86)</f>
        <v>732.826589445433</v>
      </c>
      <c r="AZ87" s="70"/>
      <c r="BA87" s="70"/>
      <c r="BB87" s="70"/>
      <c r="BC87" s="70"/>
      <c r="BD87" s="70"/>
      <c r="BE87" s="70"/>
      <c r="BF87" s="70"/>
      <c r="BG87" s="70"/>
      <c r="BH87" s="70"/>
      <c r="BI87" s="70"/>
      <c r="BJ87" s="70"/>
      <c r="BK87" s="70"/>
      <c r="BL87" s="70"/>
      <c r="BM87" s="70"/>
      <c r="BN87" s="70"/>
      <c r="BO87" s="70"/>
      <c r="BP87" s="70"/>
      <c r="BQ87" s="70"/>
      <c r="BR87" s="70"/>
      <c r="BS87" s="70"/>
      <c r="BT87" s="70"/>
      <c r="BU87" s="70"/>
      <c r="BV87" s="70"/>
      <c r="BW87" s="70"/>
      <c r="BX87" s="70"/>
      <c r="BY87" s="70"/>
      <c r="BZ87" s="70"/>
    </row>
    <row r="89" spans="1:78" s="64" customFormat="1">
      <c r="A89" s="63" t="s">
        <v>40</v>
      </c>
      <c r="B89" s="292" t="s">
        <v>374</v>
      </c>
      <c r="C89" s="67">
        <v>45778</v>
      </c>
      <c r="D89" s="67"/>
      <c r="E89" s="67"/>
      <c r="F89" s="67"/>
      <c r="G89" s="67"/>
      <c r="H89" s="67"/>
      <c r="I89" s="67"/>
      <c r="J89" s="67"/>
      <c r="K89" s="67"/>
      <c r="L89" s="67"/>
      <c r="M89" s="67"/>
      <c r="N89" s="67"/>
      <c r="O89" s="67"/>
      <c r="Z89" s="71"/>
      <c r="AA89" s="75"/>
      <c r="AB89" s="75"/>
      <c r="AC89" s="75"/>
      <c r="AD89" s="71"/>
      <c r="AE89" s="71">
        <v>350</v>
      </c>
      <c r="AF89" s="75">
        <f t="shared" ref="AF89:AX89" si="285">+IF($C89&gt;AF$2,AE89+AF94,AE89-AE89)</f>
        <v>350</v>
      </c>
      <c r="AG89" s="75">
        <f t="shared" si="285"/>
        <v>350</v>
      </c>
      <c r="AH89" s="75">
        <f t="shared" si="285"/>
        <v>350</v>
      </c>
      <c r="AI89" s="75">
        <f t="shared" si="285"/>
        <v>350</v>
      </c>
      <c r="AJ89" s="75">
        <f t="shared" si="285"/>
        <v>350</v>
      </c>
      <c r="AK89" s="75">
        <f t="shared" si="285"/>
        <v>350</v>
      </c>
      <c r="AL89" s="75">
        <f t="shared" si="285"/>
        <v>350</v>
      </c>
      <c r="AM89" s="75">
        <f t="shared" si="285"/>
        <v>350</v>
      </c>
      <c r="AN89" s="75">
        <f t="shared" si="285"/>
        <v>350</v>
      </c>
      <c r="AO89" s="75">
        <f t="shared" si="285"/>
        <v>350</v>
      </c>
      <c r="AP89" s="75">
        <f t="shared" si="285"/>
        <v>350</v>
      </c>
      <c r="AQ89" s="75">
        <f t="shared" si="285"/>
        <v>350</v>
      </c>
      <c r="AR89" s="75">
        <f t="shared" si="285"/>
        <v>350</v>
      </c>
      <c r="AS89" s="75">
        <f t="shared" si="285"/>
        <v>350</v>
      </c>
      <c r="AT89" s="75">
        <f t="shared" si="285"/>
        <v>350</v>
      </c>
      <c r="AU89" s="75">
        <f t="shared" si="285"/>
        <v>350</v>
      </c>
      <c r="AV89" s="75">
        <f t="shared" si="285"/>
        <v>350</v>
      </c>
      <c r="AW89" s="75">
        <f t="shared" si="285"/>
        <v>350</v>
      </c>
      <c r="AX89" s="75">
        <f t="shared" si="285"/>
        <v>350</v>
      </c>
      <c r="AY89" s="75">
        <f t="shared" ref="AY89" si="286">+IF($C89&gt;AY$2,AX89+AY94,AX89-AX89)</f>
        <v>350</v>
      </c>
      <c r="AZ89" s="75"/>
      <c r="BA89" s="75"/>
      <c r="BB89" s="75"/>
      <c r="BC89" s="75"/>
      <c r="BD89" s="75"/>
      <c r="BE89" s="75"/>
      <c r="BF89" s="75"/>
      <c r="BG89" s="75"/>
      <c r="BH89" s="75"/>
      <c r="BI89" s="75"/>
      <c r="BJ89" s="75"/>
      <c r="BK89" s="75"/>
      <c r="BL89" s="75"/>
      <c r="BM89" s="75"/>
      <c r="BN89" s="75"/>
      <c r="BO89" s="75"/>
      <c r="BP89" s="75"/>
      <c r="BQ89" s="75"/>
      <c r="BR89" s="75"/>
      <c r="BS89" s="75"/>
      <c r="BT89" s="75"/>
      <c r="BU89" s="75"/>
      <c r="BV89" s="75"/>
      <c r="BW89" s="75"/>
      <c r="BX89" s="75"/>
      <c r="BY89" s="75"/>
      <c r="BZ89" s="75"/>
    </row>
    <row r="90" spans="1:78">
      <c r="B90" s="65" t="s">
        <v>178</v>
      </c>
      <c r="C90" s="68">
        <v>6.3750000000000001E-2</v>
      </c>
      <c r="D90" s="68"/>
      <c r="E90" s="68"/>
      <c r="F90" s="68"/>
      <c r="G90" s="68"/>
      <c r="H90" s="68"/>
      <c r="I90" s="68"/>
      <c r="J90" s="68"/>
      <c r="K90" s="68"/>
      <c r="L90" s="68"/>
      <c r="M90" s="68"/>
      <c r="N90" s="68"/>
      <c r="O90" s="68"/>
      <c r="Z90" s="130"/>
      <c r="AA90" s="70"/>
      <c r="AB90" s="70"/>
      <c r="AC90" s="70"/>
      <c r="AD90" s="130"/>
      <c r="AE90" s="130">
        <f>+($C90)*AVERAGE(AD89:AE89)/4/3</f>
        <v>1.859375</v>
      </c>
      <c r="AF90" s="70">
        <f t="shared" ref="AF90:AX90" si="287">+($C90)*AVERAGE(AE89:AF89)/4</f>
        <v>5.578125</v>
      </c>
      <c r="AG90" s="70">
        <f t="shared" si="287"/>
        <v>5.578125</v>
      </c>
      <c r="AH90" s="70">
        <f t="shared" si="287"/>
        <v>5.578125</v>
      </c>
      <c r="AI90" s="70">
        <f t="shared" si="287"/>
        <v>5.578125</v>
      </c>
      <c r="AJ90" s="70">
        <f t="shared" si="287"/>
        <v>5.578125</v>
      </c>
      <c r="AK90" s="70">
        <f t="shared" si="287"/>
        <v>5.578125</v>
      </c>
      <c r="AL90" s="70">
        <f t="shared" si="287"/>
        <v>5.578125</v>
      </c>
      <c r="AM90" s="70">
        <f t="shared" si="287"/>
        <v>5.578125</v>
      </c>
      <c r="AN90" s="70">
        <f t="shared" si="287"/>
        <v>5.578125</v>
      </c>
      <c r="AO90" s="70">
        <f t="shared" si="287"/>
        <v>5.578125</v>
      </c>
      <c r="AP90" s="70">
        <f t="shared" si="287"/>
        <v>5.578125</v>
      </c>
      <c r="AQ90" s="70">
        <f t="shared" si="287"/>
        <v>5.578125</v>
      </c>
      <c r="AR90" s="70">
        <f t="shared" si="287"/>
        <v>5.578125</v>
      </c>
      <c r="AS90" s="70">
        <f t="shared" si="287"/>
        <v>5.578125</v>
      </c>
      <c r="AT90" s="70">
        <f t="shared" si="287"/>
        <v>5.578125</v>
      </c>
      <c r="AU90" s="70">
        <f t="shared" si="287"/>
        <v>5.578125</v>
      </c>
      <c r="AV90" s="70">
        <f t="shared" si="287"/>
        <v>5.578125</v>
      </c>
      <c r="AW90" s="70">
        <f t="shared" si="287"/>
        <v>5.578125</v>
      </c>
      <c r="AX90" s="70">
        <f t="shared" si="287"/>
        <v>5.578125</v>
      </c>
      <c r="AY90" s="70">
        <f t="shared" ref="AY90" si="288">+($C90)*AVERAGE(AX89:AY89)/4</f>
        <v>5.578125</v>
      </c>
      <c r="AZ90" s="70"/>
      <c r="BA90" s="70"/>
      <c r="BB90" s="70"/>
      <c r="BC90" s="70"/>
      <c r="BD90" s="70"/>
      <c r="BE90" s="70"/>
      <c r="BF90" s="70"/>
      <c r="BG90" s="70"/>
      <c r="BH90" s="70"/>
      <c r="BI90" s="70"/>
      <c r="BJ90" s="70"/>
      <c r="BK90" s="70"/>
      <c r="BL90" s="70"/>
      <c r="BM90" s="70"/>
      <c r="BN90" s="70"/>
      <c r="BO90" s="70"/>
      <c r="BP90" s="70"/>
      <c r="BQ90" s="70"/>
      <c r="BR90" s="70"/>
      <c r="BS90" s="70"/>
      <c r="BT90" s="70"/>
      <c r="BU90" s="70"/>
      <c r="BV90" s="70"/>
      <c r="BW90" s="70"/>
      <c r="BX90" s="70"/>
      <c r="BY90" s="70"/>
      <c r="BZ90" s="70"/>
    </row>
    <row r="91" spans="1:78">
      <c r="B91" s="66" t="s">
        <v>179</v>
      </c>
      <c r="C91" s="68">
        <v>6.3750000000000001E-2</v>
      </c>
      <c r="D91" s="68"/>
      <c r="E91" s="68"/>
      <c r="F91" s="68"/>
      <c r="G91" s="68"/>
      <c r="H91" s="68"/>
      <c r="I91" s="68"/>
      <c r="J91" s="68"/>
      <c r="K91" s="68"/>
      <c r="L91" s="68"/>
      <c r="M91" s="68"/>
      <c r="N91" s="68"/>
      <c r="O91" s="68"/>
      <c r="Z91" s="130"/>
      <c r="AA91" s="70"/>
      <c r="AB91" s="70"/>
      <c r="AC91" s="70"/>
      <c r="AD91" s="130"/>
      <c r="AE91" s="130">
        <f>+($C91)*AVERAGE(AD95:AE95)/4/3</f>
        <v>1.859375</v>
      </c>
      <c r="AF91" s="70">
        <f t="shared" ref="AF91:AX91" ca="1" si="289">+($C91)*AVERAGE(AE95:AF95)/4</f>
        <v>5.578125</v>
      </c>
      <c r="AG91" s="70">
        <f t="shared" ca="1" si="289"/>
        <v>5.578125</v>
      </c>
      <c r="AH91" s="70">
        <f t="shared" ca="1" si="289"/>
        <v>5.578125</v>
      </c>
      <c r="AI91" s="70">
        <f t="shared" ca="1" si="289"/>
        <v>5.4538124999999997</v>
      </c>
      <c r="AJ91" s="70">
        <f t="shared" ca="1" si="289"/>
        <v>5.3318906249999998</v>
      </c>
      <c r="AK91" s="70">
        <f t="shared" ca="1" si="289"/>
        <v>5.3366718750000004</v>
      </c>
      <c r="AL91" s="70">
        <f t="shared" ca="1" si="289"/>
        <v>5.3422499999999999</v>
      </c>
      <c r="AM91" s="70">
        <f t="shared" ca="1" si="289"/>
        <v>5.3478281249999995</v>
      </c>
      <c r="AN91" s="70">
        <f t="shared" ca="1" si="289"/>
        <v>5.3534062499999999</v>
      </c>
      <c r="AO91" s="70">
        <f t="shared" ca="1" si="289"/>
        <v>5.3548142424003782</v>
      </c>
      <c r="AP91" s="70">
        <f t="shared" ca="1" si="289"/>
        <v>5.3512266384824123</v>
      </c>
      <c r="AQ91" s="70">
        <f t="shared" ca="1" si="289"/>
        <v>5.3475813978343112</v>
      </c>
      <c r="AR91" s="70">
        <f t="shared" ca="1" si="289"/>
        <v>5.3438775944919108</v>
      </c>
      <c r="AS91" s="70">
        <f t="shared" ca="1" si="289"/>
        <v>5.3401142876149503</v>
      </c>
      <c r="AT91" s="70">
        <f t="shared" ca="1" si="289"/>
        <v>5.3362905212480776</v>
      </c>
      <c r="AU91" s="70">
        <f t="shared" ca="1" si="289"/>
        <v>5.33240532407802</v>
      </c>
      <c r="AV91" s="70">
        <f t="shared" ca="1" si="289"/>
        <v>5.328457709186849</v>
      </c>
      <c r="AW91" s="70">
        <f t="shared" ca="1" si="289"/>
        <v>5.3244466738012859</v>
      </c>
      <c r="AX91" s="70">
        <f t="shared" ca="1" si="289"/>
        <v>5.3203711990379743</v>
      </c>
      <c r="AY91" s="70">
        <f t="shared" ref="AY91" ca="1" si="290">+($C91)*AVERAGE(AX95:AY95)/4</f>
        <v>5.3162302496446632</v>
      </c>
      <c r="AZ91" s="70"/>
      <c r="BA91" s="70"/>
      <c r="BB91" s="70"/>
      <c r="BC91" s="70"/>
      <c r="BD91" s="70"/>
      <c r="BE91" s="70"/>
      <c r="BF91" s="70"/>
      <c r="BG91" s="70"/>
      <c r="BH91" s="70"/>
      <c r="BI91" s="70"/>
      <c r="BJ91" s="70"/>
      <c r="BK91" s="70"/>
      <c r="BL91" s="70"/>
      <c r="BM91" s="70"/>
      <c r="BN91" s="70"/>
      <c r="BO91" s="70"/>
      <c r="BP91" s="70"/>
      <c r="BQ91" s="70"/>
      <c r="BR91" s="70"/>
      <c r="BS91" s="70"/>
      <c r="BT91" s="70"/>
      <c r="BU91" s="70"/>
      <c r="BV91" s="70"/>
      <c r="BW91" s="70"/>
      <c r="BX91" s="70"/>
      <c r="BY91" s="70"/>
      <c r="BZ91" s="70"/>
    </row>
    <row r="92" spans="1:78">
      <c r="B92" s="65" t="s">
        <v>180</v>
      </c>
      <c r="C92" s="69"/>
      <c r="D92" s="69"/>
      <c r="E92" s="69"/>
      <c r="F92" s="69"/>
      <c r="G92" s="69"/>
      <c r="H92" s="69"/>
      <c r="I92" s="69"/>
      <c r="J92" s="69"/>
      <c r="K92" s="69"/>
      <c r="L92" s="69"/>
      <c r="M92" s="69"/>
      <c r="N92" s="69"/>
      <c r="O92" s="69"/>
      <c r="Z92" s="70"/>
      <c r="AA92" s="70"/>
      <c r="AB92" s="70"/>
      <c r="AC92" s="70"/>
      <c r="AD92" s="70"/>
      <c r="AE92" s="70">
        <f t="shared" ref="AE92:AX92" si="291">+AD95</f>
        <v>0</v>
      </c>
      <c r="AF92" s="70">
        <f t="shared" si="291"/>
        <v>350</v>
      </c>
      <c r="AG92" s="70">
        <f t="shared" ca="1" si="291"/>
        <v>350</v>
      </c>
      <c r="AH92" s="70">
        <f t="shared" ca="1" si="291"/>
        <v>350</v>
      </c>
      <c r="AI92" s="70">
        <f t="shared" ca="1" si="291"/>
        <v>350</v>
      </c>
      <c r="AJ92" s="70">
        <f t="shared" ca="1" si="291"/>
        <v>334.4</v>
      </c>
      <c r="AK92" s="70">
        <f t="shared" ca="1" si="291"/>
        <v>334.7</v>
      </c>
      <c r="AL92" s="70">
        <f t="shared" ca="1" si="291"/>
        <v>335</v>
      </c>
      <c r="AM92" s="70">
        <f t="shared" ca="1" si="291"/>
        <v>335.4</v>
      </c>
      <c r="AN92" s="70">
        <f t="shared" ca="1" si="291"/>
        <v>335.7</v>
      </c>
      <c r="AO92" s="70">
        <f t="shared" ca="1" si="291"/>
        <v>336.1</v>
      </c>
      <c r="AP92" s="70">
        <f t="shared" ca="1" si="291"/>
        <v>335.8766892424004</v>
      </c>
      <c r="AQ92" s="70">
        <f t="shared" ca="1" si="291"/>
        <v>335.64979088088279</v>
      </c>
      <c r="AR92" s="70">
        <f t="shared" ca="1" si="291"/>
        <v>335.41924727871708</v>
      </c>
      <c r="AS92" s="70">
        <f t="shared" ca="1" si="291"/>
        <v>335.18499987320899</v>
      </c>
      <c r="AT92" s="70">
        <f t="shared" ca="1" si="291"/>
        <v>334.94698916082393</v>
      </c>
      <c r="AU92" s="70">
        <f t="shared" ca="1" si="291"/>
        <v>334.70515468207202</v>
      </c>
      <c r="AV92" s="70">
        <f t="shared" ca="1" si="291"/>
        <v>334.45943500615004</v>
      </c>
      <c r="AW92" s="70">
        <f t="shared" ca="1" si="291"/>
        <v>334.20976771533691</v>
      </c>
      <c r="AX92" s="70">
        <f t="shared" ca="1" si="291"/>
        <v>333.95608938913819</v>
      </c>
      <c r="AY92" s="70">
        <f t="shared" ref="AY92" ca="1" si="292">+AX95</f>
        <v>333.69833558817618</v>
      </c>
      <c r="AZ92" s="70"/>
      <c r="BA92" s="70"/>
      <c r="BB92" s="70"/>
      <c r="BC92" s="70"/>
      <c r="BD92" s="70"/>
      <c r="BE92" s="70"/>
      <c r="BF92" s="70"/>
      <c r="BG92" s="70"/>
      <c r="BH92" s="70"/>
      <c r="BI92" s="70"/>
      <c r="BJ92" s="70"/>
      <c r="BK92" s="70"/>
      <c r="BL92" s="70"/>
      <c r="BM92" s="70"/>
      <c r="BN92" s="70"/>
      <c r="BO92" s="70"/>
      <c r="BP92" s="70"/>
      <c r="BQ92" s="70"/>
      <c r="BR92" s="70"/>
      <c r="BS92" s="70"/>
      <c r="BT92" s="70"/>
      <c r="BU92" s="70"/>
      <c r="BV92" s="70"/>
      <c r="BW92" s="70"/>
      <c r="BX92" s="70"/>
      <c r="BY92" s="70"/>
      <c r="BZ92" s="70"/>
    </row>
    <row r="93" spans="1:78">
      <c r="B93" s="65" t="s">
        <v>181</v>
      </c>
      <c r="C93" s="69"/>
      <c r="D93" s="69"/>
      <c r="E93" s="69"/>
      <c r="F93" s="69"/>
      <c r="G93" s="69"/>
      <c r="H93" s="69"/>
      <c r="I93" s="69"/>
      <c r="J93" s="69"/>
      <c r="K93" s="69"/>
      <c r="L93" s="69"/>
      <c r="M93" s="69"/>
      <c r="N93" s="69"/>
      <c r="O93" s="69"/>
      <c r="Z93" s="70"/>
      <c r="AA93" s="70"/>
      <c r="AB93" s="70"/>
      <c r="AC93" s="70"/>
      <c r="AD93" s="70"/>
      <c r="AE93" s="70">
        <f>+AE91-AE90</f>
        <v>0</v>
      </c>
      <c r="AF93" s="70">
        <f ca="1">+AF91-AF90</f>
        <v>0</v>
      </c>
      <c r="AG93" s="70">
        <f t="shared" ref="AG93:AX93" ca="1" si="293">+AG91-AG90</f>
        <v>0</v>
      </c>
      <c r="AH93" s="70">
        <f t="shared" ca="1" si="293"/>
        <v>0</v>
      </c>
      <c r="AI93" s="120">
        <f ca="1">350-15.6-AI92-AI94</f>
        <v>-15.600000000000023</v>
      </c>
      <c r="AJ93" s="120">
        <f ca="1">350-15.3-AJ92-AJ94</f>
        <v>0.30000000000001137</v>
      </c>
      <c r="AK93" s="120">
        <f ca="1">350-15-AK92-AK94</f>
        <v>0.30000000000001137</v>
      </c>
      <c r="AL93" s="120">
        <f ca="1">350-14.6-AL92-AL94</f>
        <v>0.39999999999997726</v>
      </c>
      <c r="AM93" s="120">
        <f ca="1">350-14.3-AM92-AM94</f>
        <v>0.30000000000001137</v>
      </c>
      <c r="AN93" s="120">
        <f ca="1">350-13.9-AN92-AN94</f>
        <v>0.40000000000003411</v>
      </c>
      <c r="AO93" s="70">
        <f t="shared" ca="1" si="293"/>
        <v>-0.22331075759962182</v>
      </c>
      <c r="AP93" s="70">
        <f t="shared" ca="1" si="293"/>
        <v>-0.22689836151758769</v>
      </c>
      <c r="AQ93" s="70">
        <f t="shared" ca="1" si="293"/>
        <v>-0.23054360216568881</v>
      </c>
      <c r="AR93" s="70">
        <f t="shared" ca="1" si="293"/>
        <v>-0.2342474055080892</v>
      </c>
      <c r="AS93" s="70">
        <f t="shared" ca="1" si="293"/>
        <v>-0.23801071238504967</v>
      </c>
      <c r="AT93" s="70">
        <f t="shared" ca="1" si="293"/>
        <v>-0.24183447875192243</v>
      </c>
      <c r="AU93" s="70">
        <f t="shared" ca="1" si="293"/>
        <v>-0.24571967592197996</v>
      </c>
      <c r="AV93" s="70">
        <f t="shared" ca="1" si="293"/>
        <v>-0.24966729081315098</v>
      </c>
      <c r="AW93" s="70">
        <f t="shared" ca="1" si="293"/>
        <v>-0.25367832619871411</v>
      </c>
      <c r="AX93" s="70">
        <f t="shared" ca="1" si="293"/>
        <v>-0.25775380096202571</v>
      </c>
      <c r="AY93" s="70">
        <f t="shared" ref="AY93" ca="1" si="294">+AY91-AY90</f>
        <v>-0.26189475035533683</v>
      </c>
      <c r="AZ93" s="70"/>
      <c r="BA93" s="70"/>
      <c r="BB93" s="70"/>
      <c r="BC93" s="70"/>
      <c r="BD93" s="70"/>
      <c r="BE93" s="70"/>
      <c r="BF93" s="70"/>
      <c r="BG93" s="70"/>
      <c r="BH93" s="70"/>
      <c r="BI93" s="70"/>
      <c r="BJ93" s="70"/>
      <c r="BK93" s="70"/>
      <c r="BL93" s="70"/>
      <c r="BM93" s="70"/>
      <c r="BN93" s="70"/>
      <c r="BO93" s="70"/>
      <c r="BP93" s="70"/>
      <c r="BQ93" s="70"/>
      <c r="BR93" s="70"/>
      <c r="BS93" s="70"/>
      <c r="BT93" s="70"/>
      <c r="BU93" s="70"/>
      <c r="BV93" s="70"/>
      <c r="BW93" s="70"/>
      <c r="BX93" s="70"/>
      <c r="BY93" s="70"/>
      <c r="BZ93" s="70"/>
    </row>
    <row r="94" spans="1:78">
      <c r="B94" s="65" t="s">
        <v>182</v>
      </c>
      <c r="C94" s="69"/>
      <c r="D94" s="69"/>
      <c r="E94" s="69"/>
      <c r="F94" s="69"/>
      <c r="G94" s="69"/>
      <c r="H94" s="69"/>
      <c r="I94" s="69"/>
      <c r="J94" s="69"/>
      <c r="K94" s="69"/>
      <c r="L94" s="69"/>
      <c r="M94" s="69"/>
      <c r="N94" s="69"/>
      <c r="O94" s="69"/>
      <c r="Z94" s="70"/>
      <c r="AA94" s="70"/>
      <c r="AB94" s="70"/>
      <c r="AC94" s="120"/>
      <c r="AD94" s="70"/>
      <c r="AE94" s="70">
        <f>+IF(AE$2&gt;$C89,-(AE92+AE93),0)</f>
        <v>0</v>
      </c>
      <c r="AF94" s="70">
        <f>+IF(AF$2&gt;$C89,-(AF92+AF93),0)</f>
        <v>0</v>
      </c>
      <c r="AG94" s="70">
        <f t="shared" ref="AG94:AX94" si="295">+IF(AG$2&gt;$C89,-(AG92+AG93),0)</f>
        <v>0</v>
      </c>
      <c r="AH94" s="70">
        <f t="shared" si="295"/>
        <v>0</v>
      </c>
      <c r="AI94" s="70">
        <f t="shared" si="295"/>
        <v>0</v>
      </c>
      <c r="AJ94" s="70">
        <f t="shared" ref="AJ94:AK94" si="296">+IF(AJ$2&gt;$C89,-(AJ92+AJ93),0)</f>
        <v>0</v>
      </c>
      <c r="AK94" s="70">
        <f t="shared" si="296"/>
        <v>0</v>
      </c>
      <c r="AL94" s="70">
        <f t="shared" si="295"/>
        <v>0</v>
      </c>
      <c r="AM94" s="70">
        <f t="shared" si="295"/>
        <v>0</v>
      </c>
      <c r="AN94" s="70">
        <f t="shared" ref="AN94" si="297">+IF(AN$2&gt;$C89,-(AN92+AN93),0)</f>
        <v>0</v>
      </c>
      <c r="AO94" s="70">
        <f t="shared" si="295"/>
        <v>0</v>
      </c>
      <c r="AP94" s="70">
        <f t="shared" si="295"/>
        <v>0</v>
      </c>
      <c r="AQ94" s="70">
        <f t="shared" si="295"/>
        <v>0</v>
      </c>
      <c r="AR94" s="70">
        <f t="shared" si="295"/>
        <v>0</v>
      </c>
      <c r="AS94" s="70">
        <f t="shared" si="295"/>
        <v>0</v>
      </c>
      <c r="AT94" s="70">
        <f t="shared" si="295"/>
        <v>0</v>
      </c>
      <c r="AU94" s="70">
        <f t="shared" si="295"/>
        <v>0</v>
      </c>
      <c r="AV94" s="70">
        <f t="shared" si="295"/>
        <v>0</v>
      </c>
      <c r="AW94" s="70">
        <f t="shared" si="295"/>
        <v>0</v>
      </c>
      <c r="AX94" s="70">
        <f t="shared" si="295"/>
        <v>0</v>
      </c>
      <c r="AY94" s="70">
        <f t="shared" ref="AY94" si="298">+IF(AY$2&gt;$C89,-(AY92+AY93),0)</f>
        <v>0</v>
      </c>
      <c r="AZ94" s="70"/>
      <c r="BA94" s="70"/>
      <c r="BB94" s="70"/>
      <c r="BC94" s="70"/>
      <c r="BD94" s="70"/>
      <c r="BE94" s="70"/>
      <c r="BF94" s="70"/>
      <c r="BG94" s="70"/>
      <c r="BH94" s="70"/>
      <c r="BI94" s="70"/>
      <c r="BJ94" s="70"/>
      <c r="BK94" s="70"/>
      <c r="BL94" s="70"/>
      <c r="BM94" s="70"/>
      <c r="BN94" s="70"/>
      <c r="BO94" s="70"/>
      <c r="BP94" s="70"/>
      <c r="BQ94" s="70"/>
      <c r="BR94" s="70"/>
      <c r="BS94" s="70"/>
      <c r="BT94" s="70"/>
      <c r="BU94" s="70"/>
      <c r="BV94" s="70"/>
      <c r="BW94" s="70"/>
      <c r="BX94" s="70"/>
      <c r="BY94" s="70"/>
      <c r="BZ94" s="70"/>
    </row>
    <row r="95" spans="1:78">
      <c r="B95" s="65" t="s">
        <v>183</v>
      </c>
      <c r="C95" s="69"/>
      <c r="D95" s="69"/>
      <c r="E95" s="69"/>
      <c r="F95" s="69"/>
      <c r="G95" s="69"/>
      <c r="H95" s="69"/>
      <c r="I95" s="69"/>
      <c r="J95" s="69"/>
      <c r="K95" s="69"/>
      <c r="L95" s="69"/>
      <c r="M95" s="69"/>
      <c r="N95" s="69"/>
      <c r="O95" s="69"/>
      <c r="Z95" s="50"/>
      <c r="AA95" s="70"/>
      <c r="AB95" s="70"/>
      <c r="AC95" s="70"/>
      <c r="AD95" s="50"/>
      <c r="AE95" s="50">
        <v>350</v>
      </c>
      <c r="AF95" s="70">
        <f ca="1">+SUM(AF92:AF94)</f>
        <v>350</v>
      </c>
      <c r="AG95" s="70">
        <f t="shared" ref="AG95:AO95" ca="1" si="299">+SUM(AG92:AG94)</f>
        <v>350</v>
      </c>
      <c r="AH95" s="70">
        <f t="shared" ca="1" si="299"/>
        <v>350</v>
      </c>
      <c r="AI95" s="70">
        <f t="shared" ca="1" si="299"/>
        <v>334.4</v>
      </c>
      <c r="AJ95" s="70">
        <f t="shared" ref="AJ95:AK95" ca="1" si="300">+SUM(AJ92:AJ94)</f>
        <v>334.7</v>
      </c>
      <c r="AK95" s="70">
        <f t="shared" ca="1" si="300"/>
        <v>335</v>
      </c>
      <c r="AL95" s="70">
        <f t="shared" ca="1" si="299"/>
        <v>335.4</v>
      </c>
      <c r="AM95" s="70">
        <f t="shared" ca="1" si="299"/>
        <v>335.7</v>
      </c>
      <c r="AN95" s="70">
        <f t="shared" ref="AN95" ca="1" si="301">+SUM(AN92:AN94)</f>
        <v>336.1</v>
      </c>
      <c r="AO95" s="70">
        <f t="shared" ca="1" si="299"/>
        <v>335.8766892424004</v>
      </c>
      <c r="AP95" s="70">
        <f t="shared" ref="AP95:AX95" ca="1" si="302">+SUM(AP92:AP94)</f>
        <v>335.64979088088279</v>
      </c>
      <c r="AQ95" s="70">
        <f t="shared" ca="1" si="302"/>
        <v>335.41924727871708</v>
      </c>
      <c r="AR95" s="70">
        <f t="shared" ca="1" si="302"/>
        <v>335.18499987320899</v>
      </c>
      <c r="AS95" s="70">
        <f t="shared" ca="1" si="302"/>
        <v>334.94698916082393</v>
      </c>
      <c r="AT95" s="70">
        <f t="shared" ca="1" si="302"/>
        <v>334.70515468207202</v>
      </c>
      <c r="AU95" s="70">
        <f t="shared" ca="1" si="302"/>
        <v>334.45943500615004</v>
      </c>
      <c r="AV95" s="70">
        <f t="shared" ca="1" si="302"/>
        <v>334.20976771533691</v>
      </c>
      <c r="AW95" s="70">
        <f t="shared" ca="1" si="302"/>
        <v>333.95608938913819</v>
      </c>
      <c r="AX95" s="70">
        <f t="shared" ca="1" si="302"/>
        <v>333.69833558817618</v>
      </c>
      <c r="AY95" s="70">
        <f t="shared" ref="AY95" ca="1" si="303">+SUM(AY92:AY94)</f>
        <v>333.43644083782084</v>
      </c>
      <c r="AZ95" s="70"/>
      <c r="BA95" s="70"/>
      <c r="BB95" s="70"/>
      <c r="BC95" s="70"/>
      <c r="BD95" s="70"/>
      <c r="BE95" s="70"/>
      <c r="BF95" s="70"/>
      <c r="BG95" s="70"/>
      <c r="BH95" s="70"/>
      <c r="BI95" s="70"/>
      <c r="BJ95" s="70"/>
      <c r="BK95" s="70"/>
      <c r="BL95" s="70"/>
      <c r="BM95" s="70"/>
      <c r="BN95" s="70"/>
      <c r="BO95" s="70"/>
      <c r="BP95" s="70"/>
      <c r="BQ95" s="70"/>
      <c r="BR95" s="70"/>
      <c r="BS95" s="70"/>
      <c r="BT95" s="70"/>
      <c r="BU95" s="70"/>
      <c r="BV95" s="70"/>
      <c r="BW95" s="70"/>
      <c r="BX95" s="70"/>
      <c r="BY95" s="70"/>
      <c r="BZ95" s="70"/>
    </row>
    <row r="96" spans="1:78">
      <c r="B96" s="65"/>
      <c r="C96" s="69"/>
      <c r="D96" s="69"/>
      <c r="E96" s="69"/>
      <c r="F96" s="69"/>
      <c r="G96" s="69"/>
      <c r="H96" s="69"/>
      <c r="I96" s="69"/>
      <c r="J96" s="69"/>
      <c r="K96" s="69"/>
      <c r="L96" s="69"/>
      <c r="M96" s="69"/>
      <c r="N96" s="69"/>
      <c r="O96" s="69"/>
      <c r="Z96" s="50"/>
      <c r="AA96" s="70"/>
      <c r="AB96" s="70"/>
      <c r="AC96" s="70"/>
      <c r="AD96" s="50"/>
      <c r="AE96" s="50"/>
      <c r="AF96" s="50"/>
      <c r="AG96" s="70"/>
      <c r="AH96" s="70"/>
      <c r="AI96" s="70"/>
      <c r="AJ96" s="70"/>
      <c r="AK96" s="70"/>
      <c r="AL96" s="70"/>
      <c r="AM96" s="70"/>
      <c r="AN96" s="70"/>
      <c r="AO96" s="70"/>
      <c r="AP96" s="70"/>
      <c r="AQ96" s="70"/>
      <c r="AR96" s="70"/>
      <c r="AS96" s="70"/>
      <c r="AT96" s="70"/>
      <c r="AU96" s="70"/>
      <c r="AV96" s="70"/>
      <c r="AW96" s="70"/>
      <c r="AX96" s="70"/>
      <c r="AY96" s="70"/>
      <c r="AZ96" s="70"/>
      <c r="BA96" s="70"/>
      <c r="BB96" s="70"/>
      <c r="BC96" s="70"/>
      <c r="BD96" s="70"/>
      <c r="BE96" s="70"/>
      <c r="BF96" s="70"/>
      <c r="BG96" s="70"/>
      <c r="BH96" s="70"/>
      <c r="BI96" s="70"/>
      <c r="BJ96" s="70"/>
      <c r="BK96" s="70"/>
      <c r="BL96" s="70"/>
      <c r="BM96" s="70"/>
      <c r="BN96" s="70"/>
      <c r="BO96" s="70"/>
      <c r="BP96" s="70"/>
      <c r="BQ96" s="70"/>
      <c r="BR96" s="70"/>
      <c r="BS96" s="70"/>
      <c r="BT96" s="70"/>
      <c r="BU96" s="70"/>
      <c r="BV96" s="70"/>
      <c r="BW96" s="70"/>
      <c r="BX96" s="70"/>
      <c r="BY96" s="70"/>
      <c r="BZ96" s="70"/>
    </row>
    <row r="97" spans="1:78" s="64" customFormat="1">
      <c r="A97" s="63" t="s">
        <v>40</v>
      </c>
      <c r="B97" s="292" t="s">
        <v>374</v>
      </c>
      <c r="C97" s="67">
        <v>45778</v>
      </c>
      <c r="D97" s="67"/>
      <c r="E97" s="67"/>
      <c r="F97" s="67"/>
      <c r="G97" s="67"/>
      <c r="H97" s="67"/>
      <c r="I97" s="67"/>
      <c r="J97" s="67"/>
      <c r="K97" s="67"/>
      <c r="L97" s="67"/>
      <c r="M97" s="67"/>
      <c r="N97" s="67"/>
      <c r="O97" s="67"/>
      <c r="Z97" s="71"/>
      <c r="AA97" s="75"/>
      <c r="AB97" s="75"/>
      <c r="AC97" s="75"/>
      <c r="AD97" s="71"/>
      <c r="AE97" s="71"/>
      <c r="AF97" s="75"/>
      <c r="AG97" s="75"/>
      <c r="AH97" s="75"/>
      <c r="AI97" s="71">
        <v>550</v>
      </c>
      <c r="AJ97" s="75">
        <f t="shared" ref="AJ97:AX97" si="304">+IF($C97&gt;AJ$2,AI97+AJ102,AI97-AI97)</f>
        <v>550</v>
      </c>
      <c r="AK97" s="75">
        <f t="shared" si="304"/>
        <v>550</v>
      </c>
      <c r="AL97" s="75">
        <f t="shared" si="304"/>
        <v>550</v>
      </c>
      <c r="AM97" s="75">
        <f t="shared" si="304"/>
        <v>550</v>
      </c>
      <c r="AN97" s="75">
        <f t="shared" si="304"/>
        <v>550</v>
      </c>
      <c r="AO97" s="75">
        <f t="shared" si="304"/>
        <v>550</v>
      </c>
      <c r="AP97" s="75">
        <f t="shared" si="304"/>
        <v>550</v>
      </c>
      <c r="AQ97" s="75">
        <f t="shared" si="304"/>
        <v>550</v>
      </c>
      <c r="AR97" s="75">
        <f t="shared" si="304"/>
        <v>550</v>
      </c>
      <c r="AS97" s="75">
        <f t="shared" si="304"/>
        <v>550</v>
      </c>
      <c r="AT97" s="75">
        <f t="shared" si="304"/>
        <v>550</v>
      </c>
      <c r="AU97" s="75">
        <f t="shared" si="304"/>
        <v>550</v>
      </c>
      <c r="AV97" s="75">
        <f t="shared" si="304"/>
        <v>550</v>
      </c>
      <c r="AW97" s="75">
        <f t="shared" si="304"/>
        <v>550</v>
      </c>
      <c r="AX97" s="75">
        <f t="shared" si="304"/>
        <v>550</v>
      </c>
      <c r="AY97" s="75">
        <f t="shared" ref="AY97" si="305">+IF($C97&gt;AY$2,AX97+AY102,AX97-AX97)</f>
        <v>550</v>
      </c>
      <c r="AZ97" s="75"/>
      <c r="BA97" s="75"/>
      <c r="BB97" s="75"/>
      <c r="BC97" s="75"/>
      <c r="BD97" s="75"/>
      <c r="BE97" s="75"/>
      <c r="BF97" s="75"/>
      <c r="BG97" s="75"/>
      <c r="BH97" s="75"/>
      <c r="BI97" s="75"/>
      <c r="BJ97" s="75"/>
      <c r="BK97" s="75"/>
      <c r="BL97" s="75"/>
      <c r="BM97" s="75"/>
      <c r="BN97" s="75"/>
      <c r="BO97" s="75"/>
      <c r="BP97" s="75"/>
      <c r="BQ97" s="75"/>
      <c r="BR97" s="75"/>
      <c r="BS97" s="75"/>
      <c r="BT97" s="75"/>
      <c r="BU97" s="75"/>
      <c r="BV97" s="75"/>
      <c r="BW97" s="75"/>
      <c r="BX97" s="75"/>
      <c r="BY97" s="75"/>
      <c r="BZ97" s="75"/>
    </row>
    <row r="98" spans="1:78">
      <c r="A98" s="3"/>
      <c r="B98" s="65" t="s">
        <v>178</v>
      </c>
      <c r="C98" s="68">
        <v>6.3750000000000001E-2</v>
      </c>
      <c r="D98" s="68"/>
      <c r="E98" s="68"/>
      <c r="F98" s="68"/>
      <c r="G98" s="68"/>
      <c r="H98" s="68"/>
      <c r="I98" s="68"/>
      <c r="J98" s="68"/>
      <c r="K98" s="68"/>
      <c r="L98" s="68"/>
      <c r="M98" s="68"/>
      <c r="N98" s="68"/>
      <c r="O98" s="68"/>
      <c r="Z98" s="130"/>
      <c r="AA98" s="70"/>
      <c r="AB98" s="70"/>
      <c r="AC98" s="70"/>
      <c r="AD98" s="130"/>
      <c r="AE98" s="130"/>
      <c r="AF98" s="70"/>
      <c r="AG98" s="70"/>
      <c r="AH98" s="70"/>
      <c r="AI98" s="70">
        <f t="shared" ref="AI98:AX98" si="306">+($C98)*AVERAGE(AH97:AI97)/4</f>
        <v>8.765625</v>
      </c>
      <c r="AJ98" s="70">
        <f t="shared" si="306"/>
        <v>8.765625</v>
      </c>
      <c r="AK98" s="70">
        <f t="shared" si="306"/>
        <v>8.765625</v>
      </c>
      <c r="AL98" s="70">
        <f t="shared" si="306"/>
        <v>8.765625</v>
      </c>
      <c r="AM98" s="70">
        <f t="shared" si="306"/>
        <v>8.765625</v>
      </c>
      <c r="AN98" s="70">
        <f t="shared" si="306"/>
        <v>8.765625</v>
      </c>
      <c r="AO98" s="70">
        <f t="shared" si="306"/>
        <v>8.765625</v>
      </c>
      <c r="AP98" s="70">
        <f t="shared" si="306"/>
        <v>8.765625</v>
      </c>
      <c r="AQ98" s="70">
        <f t="shared" si="306"/>
        <v>8.765625</v>
      </c>
      <c r="AR98" s="70">
        <f t="shared" si="306"/>
        <v>8.765625</v>
      </c>
      <c r="AS98" s="70">
        <f t="shared" si="306"/>
        <v>8.765625</v>
      </c>
      <c r="AT98" s="70">
        <f t="shared" si="306"/>
        <v>8.765625</v>
      </c>
      <c r="AU98" s="70">
        <f t="shared" si="306"/>
        <v>8.765625</v>
      </c>
      <c r="AV98" s="70">
        <f t="shared" si="306"/>
        <v>8.765625</v>
      </c>
      <c r="AW98" s="70">
        <f t="shared" si="306"/>
        <v>8.765625</v>
      </c>
      <c r="AX98" s="70">
        <f t="shared" si="306"/>
        <v>8.765625</v>
      </c>
      <c r="AY98" s="70">
        <f t="shared" ref="AY98" si="307">+($C98)*AVERAGE(AX97:AY97)/4</f>
        <v>8.765625</v>
      </c>
      <c r="AZ98" s="70"/>
      <c r="BA98" s="70"/>
      <c r="BB98" s="70"/>
      <c r="BC98" s="70"/>
      <c r="BD98" s="70"/>
      <c r="BE98" s="70"/>
      <c r="BF98" s="70"/>
      <c r="BG98" s="70"/>
      <c r="BH98" s="70"/>
      <c r="BI98" s="70"/>
      <c r="BJ98" s="70"/>
      <c r="BK98" s="70"/>
      <c r="BL98" s="70"/>
      <c r="BM98" s="70"/>
      <c r="BN98" s="70"/>
      <c r="BO98" s="70"/>
      <c r="BP98" s="70"/>
      <c r="BQ98" s="70"/>
      <c r="BR98" s="70"/>
      <c r="BS98" s="70"/>
      <c r="BT98" s="70"/>
      <c r="BU98" s="70"/>
      <c r="BV98" s="70"/>
      <c r="BW98" s="70"/>
      <c r="BX98" s="70"/>
      <c r="BY98" s="70"/>
      <c r="BZ98" s="70"/>
    </row>
    <row r="99" spans="1:78">
      <c r="A99" s="3"/>
      <c r="B99" s="66" t="s">
        <v>179</v>
      </c>
      <c r="C99" s="68">
        <v>6.3750000000000001E-2</v>
      </c>
      <c r="D99" s="68"/>
      <c r="E99" s="68"/>
      <c r="F99" s="68"/>
      <c r="G99" s="68"/>
      <c r="H99" s="68"/>
      <c r="I99" s="68"/>
      <c r="J99" s="68"/>
      <c r="K99" s="68"/>
      <c r="L99" s="68"/>
      <c r="M99" s="68"/>
      <c r="N99" s="68"/>
      <c r="O99" s="68"/>
      <c r="Z99" s="130"/>
      <c r="AA99" s="70"/>
      <c r="AB99" s="70"/>
      <c r="AC99" s="70"/>
      <c r="AD99" s="130"/>
      <c r="AE99" s="130"/>
      <c r="AF99" s="70"/>
      <c r="AG99" s="70"/>
      <c r="AH99" s="70"/>
      <c r="AI99" s="70">
        <f t="shared" ref="AI99:AX99" si="308">+($C99)*AVERAGE(AH103:AI103)/4</f>
        <v>8.765625</v>
      </c>
      <c r="AJ99" s="70">
        <f t="shared" ca="1" si="308"/>
        <v>8.765625</v>
      </c>
      <c r="AK99" s="70">
        <f t="shared" ca="1" si="308"/>
        <v>8.765625</v>
      </c>
      <c r="AL99" s="70">
        <f t="shared" ca="1" si="308"/>
        <v>8.765625</v>
      </c>
      <c r="AM99" s="70">
        <f t="shared" ca="1" si="308"/>
        <v>8.765625</v>
      </c>
      <c r="AN99" s="70">
        <f t="shared" ca="1" si="308"/>
        <v>8.765625</v>
      </c>
      <c r="AO99" s="70">
        <f t="shared" ca="1" si="308"/>
        <v>8.765625</v>
      </c>
      <c r="AP99" s="70">
        <f t="shared" ca="1" si="308"/>
        <v>8.765625</v>
      </c>
      <c r="AQ99" s="70">
        <f t="shared" ca="1" si="308"/>
        <v>8.765625</v>
      </c>
      <c r="AR99" s="70">
        <f t="shared" ca="1" si="308"/>
        <v>8.765625</v>
      </c>
      <c r="AS99" s="70">
        <f t="shared" ca="1" si="308"/>
        <v>8.765625</v>
      </c>
      <c r="AT99" s="70">
        <f t="shared" ca="1" si="308"/>
        <v>8.765625</v>
      </c>
      <c r="AU99" s="70">
        <f t="shared" ca="1" si="308"/>
        <v>8.765625</v>
      </c>
      <c r="AV99" s="70">
        <f t="shared" ca="1" si="308"/>
        <v>8.765625</v>
      </c>
      <c r="AW99" s="70">
        <f t="shared" ca="1" si="308"/>
        <v>8.765625</v>
      </c>
      <c r="AX99" s="70">
        <f t="shared" ca="1" si="308"/>
        <v>8.765625</v>
      </c>
      <c r="AY99" s="70">
        <f t="shared" ref="AY99" ca="1" si="309">+($C99)*AVERAGE(AX103:AY103)/4</f>
        <v>8.765625</v>
      </c>
      <c r="AZ99" s="70"/>
      <c r="BA99" s="70"/>
      <c r="BB99" s="70"/>
      <c r="BC99" s="70"/>
      <c r="BD99" s="70"/>
      <c r="BE99" s="70"/>
      <c r="BF99" s="70"/>
      <c r="BG99" s="70"/>
      <c r="BH99" s="70"/>
      <c r="BI99" s="70"/>
      <c r="BJ99" s="70"/>
      <c r="BK99" s="70"/>
      <c r="BL99" s="70"/>
      <c r="BM99" s="70"/>
      <c r="BN99" s="70"/>
      <c r="BO99" s="70"/>
      <c r="BP99" s="70"/>
      <c r="BQ99" s="70"/>
      <c r="BR99" s="70"/>
      <c r="BS99" s="70"/>
      <c r="BT99" s="70"/>
      <c r="BU99" s="70"/>
      <c r="BV99" s="70"/>
      <c r="BW99" s="70"/>
      <c r="BX99" s="70"/>
      <c r="BY99" s="70"/>
      <c r="BZ99" s="70"/>
    </row>
    <row r="100" spans="1:78">
      <c r="A100" s="3"/>
      <c r="B100" s="65" t="s">
        <v>180</v>
      </c>
      <c r="C100" s="69"/>
      <c r="D100" s="69"/>
      <c r="E100" s="69"/>
      <c r="F100" s="69"/>
      <c r="G100" s="69"/>
      <c r="H100" s="69"/>
      <c r="I100" s="69"/>
      <c r="J100" s="69"/>
      <c r="K100" s="69"/>
      <c r="L100" s="69"/>
      <c r="M100" s="69"/>
      <c r="N100" s="69"/>
      <c r="O100" s="69"/>
      <c r="Z100" s="70"/>
      <c r="AA100" s="70"/>
      <c r="AB100" s="70"/>
      <c r="AC100" s="70"/>
      <c r="AD100" s="70"/>
      <c r="AE100" s="70"/>
      <c r="AF100" s="70"/>
      <c r="AG100" s="70"/>
      <c r="AH100" s="70"/>
      <c r="AI100" s="70">
        <f t="shared" ref="AI100:AX100" si="310">+AH103</f>
        <v>0</v>
      </c>
      <c r="AJ100" s="70">
        <f t="shared" si="310"/>
        <v>550</v>
      </c>
      <c r="AK100" s="70">
        <f t="shared" ca="1" si="310"/>
        <v>550</v>
      </c>
      <c r="AL100" s="70">
        <f t="shared" ca="1" si="310"/>
        <v>550</v>
      </c>
      <c r="AM100" s="70">
        <f t="shared" ca="1" si="310"/>
        <v>550</v>
      </c>
      <c r="AN100" s="70">
        <f t="shared" ca="1" si="310"/>
        <v>550</v>
      </c>
      <c r="AO100" s="70">
        <f t="shared" ca="1" si="310"/>
        <v>550</v>
      </c>
      <c r="AP100" s="70">
        <f t="shared" ca="1" si="310"/>
        <v>550</v>
      </c>
      <c r="AQ100" s="70">
        <f t="shared" ca="1" si="310"/>
        <v>550</v>
      </c>
      <c r="AR100" s="70">
        <f t="shared" ca="1" si="310"/>
        <v>550</v>
      </c>
      <c r="AS100" s="70">
        <f t="shared" ca="1" si="310"/>
        <v>550</v>
      </c>
      <c r="AT100" s="70">
        <f t="shared" ca="1" si="310"/>
        <v>550</v>
      </c>
      <c r="AU100" s="70">
        <f t="shared" ca="1" si="310"/>
        <v>550</v>
      </c>
      <c r="AV100" s="70">
        <f t="shared" ca="1" si="310"/>
        <v>550</v>
      </c>
      <c r="AW100" s="70">
        <f t="shared" ca="1" si="310"/>
        <v>550</v>
      </c>
      <c r="AX100" s="70">
        <f t="shared" ca="1" si="310"/>
        <v>550</v>
      </c>
      <c r="AY100" s="70">
        <f t="shared" ref="AY100" ca="1" si="311">+AX103</f>
        <v>550</v>
      </c>
      <c r="AZ100" s="70"/>
      <c r="BA100" s="70"/>
      <c r="BB100" s="70"/>
      <c r="BC100" s="70"/>
      <c r="BD100" s="70"/>
      <c r="BE100" s="70"/>
      <c r="BF100" s="70"/>
      <c r="BG100" s="70"/>
      <c r="BH100" s="70"/>
      <c r="BI100" s="70"/>
      <c r="BJ100" s="70"/>
      <c r="BK100" s="70"/>
      <c r="BL100" s="70"/>
      <c r="BM100" s="70"/>
      <c r="BN100" s="70"/>
      <c r="BO100" s="70"/>
      <c r="BP100" s="70"/>
      <c r="BQ100" s="70"/>
      <c r="BR100" s="70"/>
      <c r="BS100" s="70"/>
      <c r="BT100" s="70"/>
      <c r="BU100" s="70"/>
      <c r="BV100" s="70"/>
      <c r="BW100" s="70"/>
      <c r="BX100" s="70"/>
      <c r="BY100" s="70"/>
      <c r="BZ100" s="70"/>
    </row>
    <row r="101" spans="1:78">
      <c r="A101" s="3"/>
      <c r="B101" s="65" t="s">
        <v>181</v>
      </c>
      <c r="C101" s="69"/>
      <c r="D101" s="69"/>
      <c r="E101" s="69"/>
      <c r="F101" s="69"/>
      <c r="G101" s="69"/>
      <c r="H101" s="69"/>
      <c r="I101" s="69"/>
      <c r="J101" s="69"/>
      <c r="K101" s="69"/>
      <c r="L101" s="69"/>
      <c r="M101" s="69"/>
      <c r="N101" s="69"/>
      <c r="O101" s="69"/>
      <c r="Z101" s="70"/>
      <c r="AA101" s="70"/>
      <c r="AB101" s="70"/>
      <c r="AC101" s="70"/>
      <c r="AD101" s="70"/>
      <c r="AE101" s="70"/>
      <c r="AF101" s="70"/>
      <c r="AG101" s="70"/>
      <c r="AH101" s="70"/>
      <c r="AI101" s="70">
        <f>+AI99-AI98</f>
        <v>0</v>
      </c>
      <c r="AJ101" s="70">
        <f t="shared" ref="AJ101:AX101" ca="1" si="312">+AJ99-AJ98</f>
        <v>0</v>
      </c>
      <c r="AK101" s="70">
        <f t="shared" ref="AK101" ca="1" si="313">+AK99-AK98</f>
        <v>0</v>
      </c>
      <c r="AL101" s="70">
        <f t="shared" ca="1" si="312"/>
        <v>0</v>
      </c>
      <c r="AM101" s="70">
        <f t="shared" ca="1" si="312"/>
        <v>0</v>
      </c>
      <c r="AN101" s="70">
        <f t="shared" ca="1" si="312"/>
        <v>0</v>
      </c>
      <c r="AO101" s="70">
        <f t="shared" ca="1" si="312"/>
        <v>0</v>
      </c>
      <c r="AP101" s="70">
        <f t="shared" ca="1" si="312"/>
        <v>0</v>
      </c>
      <c r="AQ101" s="70">
        <f t="shared" ca="1" si="312"/>
        <v>0</v>
      </c>
      <c r="AR101" s="70">
        <f t="shared" ca="1" si="312"/>
        <v>0</v>
      </c>
      <c r="AS101" s="70">
        <f t="shared" ca="1" si="312"/>
        <v>0</v>
      </c>
      <c r="AT101" s="70">
        <f t="shared" ca="1" si="312"/>
        <v>0</v>
      </c>
      <c r="AU101" s="70">
        <f t="shared" ca="1" si="312"/>
        <v>0</v>
      </c>
      <c r="AV101" s="70">
        <f t="shared" ca="1" si="312"/>
        <v>0</v>
      </c>
      <c r="AW101" s="70">
        <f t="shared" ca="1" si="312"/>
        <v>0</v>
      </c>
      <c r="AX101" s="70">
        <f t="shared" ca="1" si="312"/>
        <v>0</v>
      </c>
      <c r="AY101" s="70">
        <f t="shared" ref="AY101" ca="1" si="314">+AY99-AY98</f>
        <v>0</v>
      </c>
      <c r="AZ101" s="70"/>
      <c r="BA101" s="70"/>
      <c r="BB101" s="70"/>
      <c r="BC101" s="70"/>
      <c r="BD101" s="70"/>
      <c r="BE101" s="70"/>
      <c r="BF101" s="70"/>
      <c r="BG101" s="70"/>
      <c r="BH101" s="70"/>
      <c r="BI101" s="70"/>
      <c r="BJ101" s="70"/>
      <c r="BK101" s="70"/>
      <c r="BL101" s="70"/>
      <c r="BM101" s="70"/>
      <c r="BN101" s="70"/>
      <c r="BO101" s="70"/>
      <c r="BP101" s="70"/>
      <c r="BQ101" s="70"/>
      <c r="BR101" s="70"/>
      <c r="BS101" s="70"/>
      <c r="BT101" s="70"/>
      <c r="BU101" s="70"/>
      <c r="BV101" s="70"/>
      <c r="BW101" s="70"/>
      <c r="BX101" s="70"/>
      <c r="BY101" s="70"/>
      <c r="BZ101" s="70"/>
    </row>
    <row r="102" spans="1:78">
      <c r="A102" s="3"/>
      <c r="B102" s="65" t="s">
        <v>182</v>
      </c>
      <c r="C102" s="69"/>
      <c r="D102" s="69"/>
      <c r="E102" s="69"/>
      <c r="F102" s="69"/>
      <c r="G102" s="69"/>
      <c r="H102" s="69"/>
      <c r="I102" s="69"/>
      <c r="J102" s="69"/>
      <c r="K102" s="69"/>
      <c r="L102" s="69"/>
      <c r="M102" s="69"/>
      <c r="N102" s="69"/>
      <c r="O102" s="69"/>
      <c r="Z102" s="70"/>
      <c r="AA102" s="70"/>
      <c r="AB102" s="70"/>
      <c r="AC102" s="120"/>
      <c r="AD102" s="70"/>
      <c r="AE102" s="70"/>
      <c r="AF102" s="70"/>
      <c r="AG102" s="70"/>
      <c r="AH102" s="70"/>
      <c r="AI102" s="70">
        <f>+IF(AI$2&gt;$C97,-(AI100+AI101),0)</f>
        <v>0</v>
      </c>
      <c r="AJ102" s="70">
        <f t="shared" ref="AJ102:AX102" si="315">+IF(AJ$2&gt;$C97,-(AJ100+AJ101),0)</f>
        <v>0</v>
      </c>
      <c r="AK102" s="70">
        <f t="shared" ref="AK102" si="316">+IF(AK$2&gt;$C97,-(AK100+AK101),0)</f>
        <v>0</v>
      </c>
      <c r="AL102" s="70">
        <f t="shared" si="315"/>
        <v>0</v>
      </c>
      <c r="AM102" s="70">
        <f t="shared" si="315"/>
        <v>0</v>
      </c>
      <c r="AN102" s="70">
        <f t="shared" si="315"/>
        <v>0</v>
      </c>
      <c r="AO102" s="70">
        <f t="shared" si="315"/>
        <v>0</v>
      </c>
      <c r="AP102" s="70">
        <f t="shared" si="315"/>
        <v>0</v>
      </c>
      <c r="AQ102" s="70">
        <f t="shared" si="315"/>
        <v>0</v>
      </c>
      <c r="AR102" s="70">
        <f t="shared" si="315"/>
        <v>0</v>
      </c>
      <c r="AS102" s="70">
        <f t="shared" si="315"/>
        <v>0</v>
      </c>
      <c r="AT102" s="70">
        <f t="shared" si="315"/>
        <v>0</v>
      </c>
      <c r="AU102" s="70">
        <f t="shared" si="315"/>
        <v>0</v>
      </c>
      <c r="AV102" s="70">
        <f t="shared" si="315"/>
        <v>0</v>
      </c>
      <c r="AW102" s="70">
        <f t="shared" si="315"/>
        <v>0</v>
      </c>
      <c r="AX102" s="70">
        <f t="shared" si="315"/>
        <v>0</v>
      </c>
      <c r="AY102" s="70">
        <f t="shared" ref="AY102" si="317">+IF(AY$2&gt;$C97,-(AY100+AY101),0)</f>
        <v>0</v>
      </c>
      <c r="AZ102" s="70"/>
      <c r="BA102" s="70"/>
      <c r="BB102" s="70"/>
      <c r="BC102" s="70"/>
      <c r="BD102" s="70"/>
      <c r="BE102" s="70"/>
      <c r="BF102" s="70"/>
      <c r="BG102" s="70"/>
      <c r="BH102" s="70"/>
      <c r="BI102" s="70"/>
      <c r="BJ102" s="70"/>
      <c r="BK102" s="70"/>
      <c r="BL102" s="70"/>
      <c r="BM102" s="70"/>
      <c r="BN102" s="70"/>
      <c r="BO102" s="70"/>
      <c r="BP102" s="70"/>
      <c r="BQ102" s="70"/>
      <c r="BR102" s="70"/>
      <c r="BS102" s="70"/>
      <c r="BT102" s="70"/>
      <c r="BU102" s="70"/>
      <c r="BV102" s="70"/>
      <c r="BW102" s="70"/>
      <c r="BX102" s="70"/>
      <c r="BY102" s="70"/>
      <c r="BZ102" s="70"/>
    </row>
    <row r="103" spans="1:78">
      <c r="A103" s="3"/>
      <c r="B103" s="65" t="s">
        <v>183</v>
      </c>
      <c r="C103" s="69"/>
      <c r="D103" s="69"/>
      <c r="E103" s="69"/>
      <c r="F103" s="69"/>
      <c r="G103" s="69"/>
      <c r="H103" s="69"/>
      <c r="I103" s="69"/>
      <c r="J103" s="69"/>
      <c r="K103" s="69"/>
      <c r="L103" s="69"/>
      <c r="M103" s="69"/>
      <c r="N103" s="69"/>
      <c r="O103" s="69"/>
      <c r="Z103" s="50"/>
      <c r="AA103" s="70"/>
      <c r="AB103" s="70"/>
      <c r="AC103" s="70"/>
      <c r="AD103" s="50"/>
      <c r="AE103" s="50"/>
      <c r="AF103" s="70"/>
      <c r="AG103" s="70"/>
      <c r="AH103" s="70"/>
      <c r="AI103" s="50">
        <v>550</v>
      </c>
      <c r="AJ103" s="70">
        <f t="shared" ref="AJ103:AO103" ca="1" si="318">+SUM(AJ100:AJ102)</f>
        <v>550</v>
      </c>
      <c r="AK103" s="70">
        <f t="shared" ref="AK103" ca="1" si="319">+SUM(AK100:AK102)</f>
        <v>550</v>
      </c>
      <c r="AL103" s="70">
        <f t="shared" ca="1" si="318"/>
        <v>550</v>
      </c>
      <c r="AM103" s="70">
        <f t="shared" ca="1" si="318"/>
        <v>550</v>
      </c>
      <c r="AN103" s="70">
        <f t="shared" ca="1" si="318"/>
        <v>550</v>
      </c>
      <c r="AO103" s="70">
        <f t="shared" ca="1" si="318"/>
        <v>550</v>
      </c>
      <c r="AP103" s="70">
        <f t="shared" ref="AP103:AX103" ca="1" si="320">+SUM(AP100:AP102)</f>
        <v>550</v>
      </c>
      <c r="AQ103" s="70">
        <f t="shared" ca="1" si="320"/>
        <v>550</v>
      </c>
      <c r="AR103" s="70">
        <f t="shared" ca="1" si="320"/>
        <v>550</v>
      </c>
      <c r="AS103" s="70">
        <f t="shared" ca="1" si="320"/>
        <v>550</v>
      </c>
      <c r="AT103" s="70">
        <f t="shared" ca="1" si="320"/>
        <v>550</v>
      </c>
      <c r="AU103" s="70">
        <f t="shared" ca="1" si="320"/>
        <v>550</v>
      </c>
      <c r="AV103" s="70">
        <f t="shared" ca="1" si="320"/>
        <v>550</v>
      </c>
      <c r="AW103" s="70">
        <f t="shared" ca="1" si="320"/>
        <v>550</v>
      </c>
      <c r="AX103" s="70">
        <f t="shared" ca="1" si="320"/>
        <v>550</v>
      </c>
      <c r="AY103" s="70">
        <f t="shared" ref="AY103" ca="1" si="321">+SUM(AY100:AY102)</f>
        <v>550</v>
      </c>
      <c r="AZ103" s="70"/>
      <c r="BA103" s="70"/>
      <c r="BB103" s="70"/>
      <c r="BC103" s="70"/>
      <c r="BD103" s="70"/>
      <c r="BE103" s="70"/>
      <c r="BF103" s="70"/>
      <c r="BG103" s="70"/>
      <c r="BH103" s="70"/>
      <c r="BI103" s="70"/>
      <c r="BJ103" s="70"/>
      <c r="BK103" s="70"/>
      <c r="BL103" s="70"/>
      <c r="BM103" s="70"/>
      <c r="BN103" s="70"/>
      <c r="BO103" s="70"/>
      <c r="BP103" s="70"/>
      <c r="BQ103" s="70"/>
      <c r="BR103" s="70"/>
      <c r="BS103" s="70"/>
      <c r="BT103" s="70"/>
      <c r="BU103" s="70"/>
      <c r="BV103" s="70"/>
      <c r="BW103" s="70"/>
      <c r="BX103" s="70"/>
      <c r="BY103" s="70"/>
      <c r="BZ103" s="70"/>
    </row>
    <row r="105" spans="1:78" s="64" customFormat="1">
      <c r="A105" s="63" t="s">
        <v>40</v>
      </c>
      <c r="B105" s="320" t="s">
        <v>401</v>
      </c>
      <c r="C105" s="67">
        <v>46419</v>
      </c>
      <c r="D105" s="67"/>
      <c r="E105" s="67"/>
      <c r="F105" s="67"/>
      <c r="G105" s="67"/>
      <c r="H105" s="67"/>
      <c r="I105" s="67"/>
      <c r="J105" s="67"/>
      <c r="K105" s="67"/>
      <c r="L105" s="67"/>
      <c r="M105" s="67"/>
      <c r="N105" s="67"/>
      <c r="O105" s="67"/>
      <c r="Z105" s="71"/>
      <c r="AA105" s="75"/>
      <c r="AB105" s="75"/>
      <c r="AC105" s="75"/>
      <c r="AD105" s="71"/>
      <c r="AE105" s="71"/>
      <c r="AF105" s="75"/>
      <c r="AG105" s="75"/>
      <c r="AH105" s="75"/>
      <c r="AI105" s="71"/>
      <c r="AJ105" s="75"/>
      <c r="AK105" s="75"/>
      <c r="AL105" s="71">
        <v>800</v>
      </c>
      <c r="AM105" s="75">
        <f t="shared" ref="AM105" si="322">+IF($C105&gt;AM$2,AL105+AM110,AL105-AL105)</f>
        <v>800</v>
      </c>
      <c r="AN105" s="75">
        <f t="shared" ref="AN105" si="323">+IF($C105&gt;AN$2,AM105+AN110,AM105-AM105)</f>
        <v>800</v>
      </c>
      <c r="AO105" s="75">
        <f t="shared" ref="AO105" si="324">+IF($C105&gt;AO$2,AN105+AO110,AN105-AN105)</f>
        <v>800</v>
      </c>
      <c r="AP105" s="75">
        <f t="shared" ref="AP105" si="325">+IF($C105&gt;AP$2,AO105+AP110,AO105-AO105)</f>
        <v>800</v>
      </c>
      <c r="AQ105" s="75">
        <f t="shared" ref="AQ105" si="326">+IF($C105&gt;AQ$2,AP105+AQ110,AP105-AP105)</f>
        <v>800</v>
      </c>
      <c r="AR105" s="75">
        <f t="shared" ref="AR105" si="327">+IF($C105&gt;AR$2,AQ105+AR110,AQ105-AQ105)</f>
        <v>800</v>
      </c>
      <c r="AS105" s="75">
        <f t="shared" ref="AS105" si="328">+IF($C105&gt;AS$2,AR105+AS110,AR105-AR105)</f>
        <v>800</v>
      </c>
      <c r="AT105" s="75">
        <f t="shared" ref="AT105" si="329">+IF($C105&gt;AT$2,AS105+AT110,AS105-AS105)</f>
        <v>800</v>
      </c>
      <c r="AU105" s="75">
        <f t="shared" ref="AU105" si="330">+IF($C105&gt;AU$2,AT105+AU110,AT105-AT105)</f>
        <v>800</v>
      </c>
      <c r="AV105" s="75">
        <f t="shared" ref="AV105" si="331">+IF($C105&gt;AV$2,AU105+AV110,AU105-AU105)</f>
        <v>800</v>
      </c>
      <c r="AW105" s="75">
        <f t="shared" ref="AW105" si="332">+IF($C105&gt;AW$2,AV105+AW110,AV105-AV105)</f>
        <v>800</v>
      </c>
      <c r="AX105" s="75">
        <f t="shared" ref="AX105" si="333">+IF($C105&gt;AX$2,AW105+AX110,AW105-AW105)</f>
        <v>800</v>
      </c>
      <c r="AY105" s="75">
        <f t="shared" ref="AY105" si="334">+IF($C105&gt;AY$2,AX105+AY110,AX105-AX105)</f>
        <v>800</v>
      </c>
      <c r="AZ105" s="75"/>
      <c r="BA105" s="75"/>
      <c r="BB105" s="75"/>
      <c r="BC105" s="75"/>
      <c r="BD105" s="75"/>
      <c r="BE105" s="75"/>
      <c r="BF105" s="75"/>
      <c r="BG105" s="75"/>
      <c r="BH105" s="75"/>
      <c r="BI105" s="75"/>
      <c r="BJ105" s="75"/>
      <c r="BK105" s="75"/>
      <c r="BL105" s="75"/>
      <c r="BM105" s="75"/>
      <c r="BN105" s="75"/>
      <c r="BO105" s="75"/>
      <c r="BP105" s="75"/>
      <c r="BQ105" s="75"/>
      <c r="BR105" s="75"/>
      <c r="BS105" s="75"/>
      <c r="BT105" s="75"/>
      <c r="BU105" s="75"/>
      <c r="BV105" s="75"/>
      <c r="BW105" s="75"/>
      <c r="BX105" s="75"/>
      <c r="BY105" s="75"/>
      <c r="BZ105" s="75"/>
    </row>
    <row r="106" spans="1:78">
      <c r="A106" s="3"/>
      <c r="B106" s="65" t="s">
        <v>178</v>
      </c>
      <c r="C106" s="68">
        <v>5.7500000000000002E-2</v>
      </c>
      <c r="D106" s="68"/>
      <c r="E106" s="68"/>
      <c r="F106" s="68"/>
      <c r="G106" s="68"/>
      <c r="H106" s="68"/>
      <c r="I106" s="68"/>
      <c r="J106" s="68"/>
      <c r="K106" s="68"/>
      <c r="L106" s="68"/>
      <c r="M106" s="68"/>
      <c r="N106" s="68"/>
      <c r="O106" s="68"/>
      <c r="Z106" s="130"/>
      <c r="AA106" s="70"/>
      <c r="AB106" s="70"/>
      <c r="AC106" s="70"/>
      <c r="AD106" s="130"/>
      <c r="AE106" s="130"/>
      <c r="AF106" s="70"/>
      <c r="AG106" s="70"/>
      <c r="AH106" s="70"/>
      <c r="AI106" s="70"/>
      <c r="AJ106" s="70"/>
      <c r="AK106" s="70"/>
      <c r="AL106" s="130">
        <f>+($C106)*AVERAGE(AK105:AL105)/4/3*2</f>
        <v>7.666666666666667</v>
      </c>
      <c r="AM106" s="70">
        <f t="shared" ref="AM106" si="335">+($C106)*AVERAGE(AL105:AM105)/4</f>
        <v>11.5</v>
      </c>
      <c r="AN106" s="70">
        <f t="shared" ref="AN106" si="336">+($C106)*AVERAGE(AM105:AN105)/4</f>
        <v>11.5</v>
      </c>
      <c r="AO106" s="70">
        <f t="shared" ref="AO106" si="337">+($C106)*AVERAGE(AN105:AO105)/4</f>
        <v>11.5</v>
      </c>
      <c r="AP106" s="70">
        <f t="shared" ref="AP106" si="338">+($C106)*AVERAGE(AO105:AP105)/4</f>
        <v>11.5</v>
      </c>
      <c r="AQ106" s="70">
        <f t="shared" ref="AQ106" si="339">+($C106)*AVERAGE(AP105:AQ105)/4</f>
        <v>11.5</v>
      </c>
      <c r="AR106" s="70">
        <f t="shared" ref="AR106" si="340">+($C106)*AVERAGE(AQ105:AR105)/4</f>
        <v>11.5</v>
      </c>
      <c r="AS106" s="70">
        <f t="shared" ref="AS106" si="341">+($C106)*AVERAGE(AR105:AS105)/4</f>
        <v>11.5</v>
      </c>
      <c r="AT106" s="70">
        <f t="shared" ref="AT106" si="342">+($C106)*AVERAGE(AS105:AT105)/4</f>
        <v>11.5</v>
      </c>
      <c r="AU106" s="70">
        <f t="shared" ref="AU106" si="343">+($C106)*AVERAGE(AT105:AU105)/4</f>
        <v>11.5</v>
      </c>
      <c r="AV106" s="70">
        <f t="shared" ref="AV106" si="344">+($C106)*AVERAGE(AU105:AV105)/4</f>
        <v>11.5</v>
      </c>
      <c r="AW106" s="70">
        <f t="shared" ref="AW106" si="345">+($C106)*AVERAGE(AV105:AW105)/4</f>
        <v>11.5</v>
      </c>
      <c r="AX106" s="70">
        <f t="shared" ref="AX106" si="346">+($C106)*AVERAGE(AW105:AX105)/4</f>
        <v>11.5</v>
      </c>
      <c r="AY106" s="70">
        <f t="shared" ref="AY106" si="347">+($C106)*AVERAGE(AX105:AY105)/4</f>
        <v>11.5</v>
      </c>
      <c r="AZ106" s="70"/>
      <c r="BA106" s="70"/>
      <c r="BB106" s="70"/>
      <c r="BC106" s="70"/>
      <c r="BD106" s="70"/>
      <c r="BE106" s="70"/>
      <c r="BF106" s="70"/>
      <c r="BG106" s="70"/>
      <c r="BH106" s="70"/>
      <c r="BI106" s="70"/>
      <c r="BJ106" s="70"/>
      <c r="BK106" s="70"/>
      <c r="BL106" s="70"/>
      <c r="BM106" s="70"/>
      <c r="BN106" s="70"/>
      <c r="BO106" s="70"/>
      <c r="BP106" s="70"/>
      <c r="BQ106" s="70"/>
      <c r="BR106" s="70"/>
      <c r="BS106" s="70"/>
      <c r="BT106" s="70"/>
      <c r="BU106" s="70"/>
      <c r="BV106" s="70"/>
      <c r="BW106" s="70"/>
      <c r="BX106" s="70"/>
      <c r="BY106" s="70"/>
      <c r="BZ106" s="70"/>
    </row>
    <row r="107" spans="1:78">
      <c r="A107" s="3"/>
      <c r="B107" s="66" t="s">
        <v>179</v>
      </c>
      <c r="C107" s="68">
        <v>5.7500000000000002E-2</v>
      </c>
      <c r="D107" s="68"/>
      <c r="E107" s="68"/>
      <c r="F107" s="68"/>
      <c r="G107" s="68"/>
      <c r="H107" s="68"/>
      <c r="I107" s="68"/>
      <c r="J107" s="68"/>
      <c r="K107" s="68"/>
      <c r="L107" s="68"/>
      <c r="M107" s="68"/>
      <c r="N107" s="68"/>
      <c r="O107" s="68"/>
      <c r="Z107" s="130"/>
      <c r="AA107" s="70"/>
      <c r="AB107" s="70"/>
      <c r="AC107" s="70"/>
      <c r="AD107" s="130"/>
      <c r="AE107" s="130"/>
      <c r="AF107" s="70"/>
      <c r="AG107" s="70"/>
      <c r="AH107" s="70"/>
      <c r="AI107" s="70"/>
      <c r="AJ107" s="70"/>
      <c r="AK107" s="70"/>
      <c r="AL107" s="130">
        <f>+($C107)*AVERAGE(AK111:AL111)/4/3*2</f>
        <v>7.666666666666667</v>
      </c>
      <c r="AM107" s="70">
        <f t="shared" ref="AM107" ca="1" si="348">+($C107)*AVERAGE(AL111:AM111)/4</f>
        <v>11.5</v>
      </c>
      <c r="AN107" s="70">
        <f t="shared" ref="AN107" ca="1" si="349">+($C107)*AVERAGE(AM111:AN111)/4</f>
        <v>11.5</v>
      </c>
      <c r="AO107" s="70">
        <f t="shared" ref="AO107" ca="1" si="350">+($C107)*AVERAGE(AN111:AO111)/4</f>
        <v>11.5</v>
      </c>
      <c r="AP107" s="70">
        <f t="shared" ref="AP107" ca="1" si="351">+($C107)*AVERAGE(AO111:AP111)/4</f>
        <v>11.5</v>
      </c>
      <c r="AQ107" s="70">
        <f t="shared" ref="AQ107" ca="1" si="352">+($C107)*AVERAGE(AP111:AQ111)/4</f>
        <v>11.5</v>
      </c>
      <c r="AR107" s="70">
        <f t="shared" ref="AR107" ca="1" si="353">+($C107)*AVERAGE(AQ111:AR111)/4</f>
        <v>11.5</v>
      </c>
      <c r="AS107" s="70">
        <f t="shared" ref="AS107" ca="1" si="354">+($C107)*AVERAGE(AR111:AS111)/4</f>
        <v>11.5</v>
      </c>
      <c r="AT107" s="70">
        <f t="shared" ref="AT107" ca="1" si="355">+($C107)*AVERAGE(AS111:AT111)/4</f>
        <v>11.5</v>
      </c>
      <c r="AU107" s="70">
        <f t="shared" ref="AU107" ca="1" si="356">+($C107)*AVERAGE(AT111:AU111)/4</f>
        <v>11.5</v>
      </c>
      <c r="AV107" s="70">
        <f t="shared" ref="AV107" ca="1" si="357">+($C107)*AVERAGE(AU111:AV111)/4</f>
        <v>11.5</v>
      </c>
      <c r="AW107" s="70">
        <f t="shared" ref="AW107" ca="1" si="358">+($C107)*AVERAGE(AV111:AW111)/4</f>
        <v>11.5</v>
      </c>
      <c r="AX107" s="70">
        <f t="shared" ref="AX107" ca="1" si="359">+($C107)*AVERAGE(AW111:AX111)/4</f>
        <v>11.5</v>
      </c>
      <c r="AY107" s="70">
        <f t="shared" ref="AY107" ca="1" si="360">+($C107)*AVERAGE(AX111:AY111)/4</f>
        <v>11.5</v>
      </c>
      <c r="AZ107" s="70"/>
      <c r="BA107" s="70"/>
      <c r="BB107" s="70"/>
      <c r="BC107" s="70"/>
      <c r="BD107" s="70"/>
      <c r="BE107" s="70"/>
      <c r="BF107" s="70"/>
      <c r="BG107" s="70"/>
      <c r="BH107" s="70"/>
      <c r="BI107" s="70"/>
      <c r="BJ107" s="70"/>
      <c r="BK107" s="70"/>
      <c r="BL107" s="70"/>
      <c r="BM107" s="70"/>
      <c r="BN107" s="70"/>
      <c r="BO107" s="70"/>
      <c r="BP107" s="70"/>
      <c r="BQ107" s="70"/>
      <c r="BR107" s="70"/>
      <c r="BS107" s="70"/>
      <c r="BT107" s="70"/>
      <c r="BU107" s="70"/>
      <c r="BV107" s="70"/>
      <c r="BW107" s="70"/>
      <c r="BX107" s="70"/>
      <c r="BY107" s="70"/>
      <c r="BZ107" s="70"/>
    </row>
    <row r="108" spans="1:78">
      <c r="A108" s="3"/>
      <c r="B108" s="65" t="s">
        <v>180</v>
      </c>
      <c r="C108" s="69"/>
      <c r="D108" s="69"/>
      <c r="E108" s="69"/>
      <c r="F108" s="69"/>
      <c r="G108" s="69"/>
      <c r="H108" s="69"/>
      <c r="I108" s="69"/>
      <c r="J108" s="69"/>
      <c r="K108" s="69"/>
      <c r="L108" s="69"/>
      <c r="M108" s="69"/>
      <c r="N108" s="69"/>
      <c r="O108" s="69"/>
      <c r="Z108" s="70"/>
      <c r="AA108" s="70"/>
      <c r="AB108" s="70"/>
      <c r="AC108" s="70"/>
      <c r="AD108" s="70"/>
      <c r="AE108" s="70"/>
      <c r="AF108" s="70"/>
      <c r="AG108" s="70"/>
      <c r="AH108" s="70"/>
      <c r="AI108" s="70"/>
      <c r="AJ108" s="70"/>
      <c r="AK108" s="70"/>
      <c r="AL108" s="70">
        <f t="shared" ref="AL108" si="361">+AK111</f>
        <v>0</v>
      </c>
      <c r="AM108" s="70">
        <f t="shared" ref="AM108" si="362">+AL111</f>
        <v>800</v>
      </c>
      <c r="AN108" s="70">
        <f t="shared" ref="AN108" ca="1" si="363">+AM111</f>
        <v>800</v>
      </c>
      <c r="AO108" s="70">
        <f t="shared" ref="AO108" ca="1" si="364">+AN111</f>
        <v>800</v>
      </c>
      <c r="AP108" s="70">
        <f t="shared" ref="AP108" ca="1" si="365">+AO111</f>
        <v>800</v>
      </c>
      <c r="AQ108" s="70">
        <f t="shared" ref="AQ108" ca="1" si="366">+AP111</f>
        <v>800</v>
      </c>
      <c r="AR108" s="70">
        <f t="shared" ref="AR108" ca="1" si="367">+AQ111</f>
        <v>800</v>
      </c>
      <c r="AS108" s="70">
        <f t="shared" ref="AS108" ca="1" si="368">+AR111</f>
        <v>800</v>
      </c>
      <c r="AT108" s="70">
        <f t="shared" ref="AT108" ca="1" si="369">+AS111</f>
        <v>800</v>
      </c>
      <c r="AU108" s="70">
        <f t="shared" ref="AU108" ca="1" si="370">+AT111</f>
        <v>800</v>
      </c>
      <c r="AV108" s="70">
        <f t="shared" ref="AV108" ca="1" si="371">+AU111</f>
        <v>800</v>
      </c>
      <c r="AW108" s="70">
        <f t="shared" ref="AW108" ca="1" si="372">+AV111</f>
        <v>800</v>
      </c>
      <c r="AX108" s="70">
        <f t="shared" ref="AX108" ca="1" si="373">+AW111</f>
        <v>800</v>
      </c>
      <c r="AY108" s="70">
        <f t="shared" ref="AY108" ca="1" si="374">+AX111</f>
        <v>800</v>
      </c>
      <c r="AZ108" s="70"/>
      <c r="BA108" s="70"/>
      <c r="BB108" s="70"/>
      <c r="BC108" s="70"/>
      <c r="BD108" s="70"/>
      <c r="BE108" s="70"/>
      <c r="BF108" s="70"/>
      <c r="BG108" s="70"/>
      <c r="BH108" s="70"/>
      <c r="BI108" s="70"/>
      <c r="BJ108" s="70"/>
      <c r="BK108" s="70"/>
      <c r="BL108" s="70"/>
      <c r="BM108" s="70"/>
      <c r="BN108" s="70"/>
      <c r="BO108" s="70"/>
      <c r="BP108" s="70"/>
      <c r="BQ108" s="70"/>
      <c r="BR108" s="70"/>
      <c r="BS108" s="70"/>
      <c r="BT108" s="70"/>
      <c r="BU108" s="70"/>
      <c r="BV108" s="70"/>
      <c r="BW108" s="70"/>
      <c r="BX108" s="70"/>
      <c r="BY108" s="70"/>
      <c r="BZ108" s="70"/>
    </row>
    <row r="109" spans="1:78">
      <c r="A109" s="3"/>
      <c r="B109" s="65" t="s">
        <v>181</v>
      </c>
      <c r="C109" s="69"/>
      <c r="D109" s="69"/>
      <c r="E109" s="69"/>
      <c r="F109" s="69"/>
      <c r="G109" s="69"/>
      <c r="H109" s="69"/>
      <c r="I109" s="69"/>
      <c r="J109" s="69"/>
      <c r="K109" s="69"/>
      <c r="L109" s="69"/>
      <c r="M109" s="69"/>
      <c r="N109" s="69"/>
      <c r="O109" s="69"/>
      <c r="Z109" s="70"/>
      <c r="AA109" s="70"/>
      <c r="AB109" s="70"/>
      <c r="AC109" s="70"/>
      <c r="AD109" s="70"/>
      <c r="AE109" s="70"/>
      <c r="AF109" s="70"/>
      <c r="AG109" s="70"/>
      <c r="AH109" s="70"/>
      <c r="AI109" s="70"/>
      <c r="AJ109" s="70"/>
      <c r="AK109" s="70"/>
      <c r="AL109" s="70">
        <f>+AL107-AL106</f>
        <v>0</v>
      </c>
      <c r="AM109" s="70">
        <f t="shared" ref="AM109:AX109" ca="1" si="375">+AM107-AM106</f>
        <v>0</v>
      </c>
      <c r="AN109" s="70">
        <f t="shared" ca="1" si="375"/>
        <v>0</v>
      </c>
      <c r="AO109" s="70">
        <f t="shared" ca="1" si="375"/>
        <v>0</v>
      </c>
      <c r="AP109" s="70">
        <f t="shared" ca="1" si="375"/>
        <v>0</v>
      </c>
      <c r="AQ109" s="70">
        <f t="shared" ca="1" si="375"/>
        <v>0</v>
      </c>
      <c r="AR109" s="70">
        <f t="shared" ca="1" si="375"/>
        <v>0</v>
      </c>
      <c r="AS109" s="70">
        <f t="shared" ca="1" si="375"/>
        <v>0</v>
      </c>
      <c r="AT109" s="70">
        <f t="shared" ca="1" si="375"/>
        <v>0</v>
      </c>
      <c r="AU109" s="70">
        <f t="shared" ca="1" si="375"/>
        <v>0</v>
      </c>
      <c r="AV109" s="70">
        <f t="shared" ca="1" si="375"/>
        <v>0</v>
      </c>
      <c r="AW109" s="70">
        <f t="shared" ca="1" si="375"/>
        <v>0</v>
      </c>
      <c r="AX109" s="70">
        <f t="shared" ca="1" si="375"/>
        <v>0</v>
      </c>
      <c r="AY109" s="70">
        <f t="shared" ref="AY109" ca="1" si="376">+AY107-AY106</f>
        <v>0</v>
      </c>
      <c r="AZ109" s="70"/>
      <c r="BA109" s="70"/>
      <c r="BB109" s="70"/>
      <c r="BC109" s="70"/>
      <c r="BD109" s="70"/>
      <c r="BE109" s="70"/>
      <c r="BF109" s="70"/>
      <c r="BG109" s="70"/>
      <c r="BH109" s="70"/>
      <c r="BI109" s="70"/>
      <c r="BJ109" s="70"/>
      <c r="BK109" s="70"/>
      <c r="BL109" s="70"/>
      <c r="BM109" s="70"/>
      <c r="BN109" s="70"/>
      <c r="BO109" s="70"/>
      <c r="BP109" s="70"/>
      <c r="BQ109" s="70"/>
      <c r="BR109" s="70"/>
      <c r="BS109" s="70"/>
      <c r="BT109" s="70"/>
      <c r="BU109" s="70"/>
      <c r="BV109" s="70"/>
      <c r="BW109" s="70"/>
      <c r="BX109" s="70"/>
      <c r="BY109" s="70"/>
      <c r="BZ109" s="70"/>
    </row>
    <row r="110" spans="1:78">
      <c r="A110" s="3"/>
      <c r="B110" s="65" t="s">
        <v>182</v>
      </c>
      <c r="C110" s="69"/>
      <c r="D110" s="69"/>
      <c r="E110" s="69"/>
      <c r="F110" s="69"/>
      <c r="G110" s="69"/>
      <c r="H110" s="69"/>
      <c r="I110" s="69"/>
      <c r="J110" s="69"/>
      <c r="K110" s="69"/>
      <c r="L110" s="69"/>
      <c r="M110" s="69"/>
      <c r="N110" s="69"/>
      <c r="O110" s="69"/>
      <c r="Z110" s="70"/>
      <c r="AA110" s="70"/>
      <c r="AB110" s="70"/>
      <c r="AC110" s="120"/>
      <c r="AD110" s="70"/>
      <c r="AE110" s="70"/>
      <c r="AF110" s="70"/>
      <c r="AG110" s="70"/>
      <c r="AH110" s="70"/>
      <c r="AI110" s="70"/>
      <c r="AJ110" s="70"/>
      <c r="AK110" s="70"/>
      <c r="AL110" s="70">
        <f>+IF(AL$2&gt;$C105,-(AL108+AL109),0)</f>
        <v>0</v>
      </c>
      <c r="AM110" s="70">
        <f t="shared" ref="AM110:AX110" si="377">+IF(AM$2&gt;$C105,-(AM108+AM109),0)</f>
        <v>0</v>
      </c>
      <c r="AN110" s="70">
        <f t="shared" si="377"/>
        <v>0</v>
      </c>
      <c r="AO110" s="70">
        <f t="shared" si="377"/>
        <v>0</v>
      </c>
      <c r="AP110" s="70">
        <f t="shared" si="377"/>
        <v>0</v>
      </c>
      <c r="AQ110" s="70">
        <f t="shared" si="377"/>
        <v>0</v>
      </c>
      <c r="AR110" s="70">
        <f t="shared" si="377"/>
        <v>0</v>
      </c>
      <c r="AS110" s="70">
        <f t="shared" si="377"/>
        <v>0</v>
      </c>
      <c r="AT110" s="70">
        <f t="shared" si="377"/>
        <v>0</v>
      </c>
      <c r="AU110" s="70">
        <f t="shared" si="377"/>
        <v>0</v>
      </c>
      <c r="AV110" s="70">
        <f t="shared" si="377"/>
        <v>0</v>
      </c>
      <c r="AW110" s="70">
        <f t="shared" si="377"/>
        <v>0</v>
      </c>
      <c r="AX110" s="70">
        <f t="shared" si="377"/>
        <v>0</v>
      </c>
      <c r="AY110" s="70">
        <f t="shared" ref="AY110" si="378">+IF(AY$2&gt;$C105,-(AY108+AY109),0)</f>
        <v>0</v>
      </c>
      <c r="AZ110" s="70"/>
      <c r="BA110" s="70"/>
      <c r="BB110" s="70"/>
      <c r="BC110" s="70"/>
      <c r="BD110" s="70"/>
      <c r="BE110" s="70"/>
      <c r="BF110" s="70"/>
      <c r="BG110" s="70"/>
      <c r="BH110" s="70"/>
      <c r="BI110" s="70"/>
      <c r="BJ110" s="70"/>
      <c r="BK110" s="70"/>
      <c r="BL110" s="70"/>
      <c r="BM110" s="70"/>
      <c r="BN110" s="70"/>
      <c r="BO110" s="70"/>
      <c r="BP110" s="70"/>
      <c r="BQ110" s="70"/>
      <c r="BR110" s="70"/>
      <c r="BS110" s="70"/>
      <c r="BT110" s="70"/>
      <c r="BU110" s="70"/>
      <c r="BV110" s="70"/>
      <c r="BW110" s="70"/>
      <c r="BX110" s="70"/>
      <c r="BY110" s="70"/>
      <c r="BZ110" s="70"/>
    </row>
    <row r="111" spans="1:78">
      <c r="A111" s="3"/>
      <c r="B111" s="65" t="s">
        <v>183</v>
      </c>
      <c r="C111" s="69"/>
      <c r="D111" s="69"/>
      <c r="E111" s="69"/>
      <c r="F111" s="69"/>
      <c r="G111" s="69"/>
      <c r="H111" s="69"/>
      <c r="I111" s="69"/>
      <c r="J111" s="69"/>
      <c r="K111" s="69"/>
      <c r="L111" s="69"/>
      <c r="M111" s="69"/>
      <c r="N111" s="69"/>
      <c r="O111" s="69"/>
      <c r="Z111" s="50"/>
      <c r="AA111" s="70"/>
      <c r="AB111" s="70"/>
      <c r="AC111" s="70"/>
      <c r="AD111" s="50"/>
      <c r="AE111" s="50"/>
      <c r="AF111" s="70"/>
      <c r="AG111" s="70"/>
      <c r="AH111" s="70"/>
      <c r="AI111" s="50"/>
      <c r="AJ111" s="70"/>
      <c r="AK111" s="70"/>
      <c r="AL111" s="50">
        <v>800</v>
      </c>
      <c r="AM111" s="70">
        <f t="shared" ref="AM111:AO111" ca="1" si="379">+SUM(AM108:AM110)</f>
        <v>800</v>
      </c>
      <c r="AN111" s="70">
        <f t="shared" ca="1" si="379"/>
        <v>800</v>
      </c>
      <c r="AO111" s="70">
        <f t="shared" ca="1" si="379"/>
        <v>800</v>
      </c>
      <c r="AP111" s="70">
        <f t="shared" ref="AP111:AX111" ca="1" si="380">+SUM(AP108:AP110)</f>
        <v>800</v>
      </c>
      <c r="AQ111" s="70">
        <f t="shared" ca="1" si="380"/>
        <v>800</v>
      </c>
      <c r="AR111" s="70">
        <f t="shared" ca="1" si="380"/>
        <v>800</v>
      </c>
      <c r="AS111" s="70">
        <f t="shared" ca="1" si="380"/>
        <v>800</v>
      </c>
      <c r="AT111" s="70">
        <f t="shared" ca="1" si="380"/>
        <v>800</v>
      </c>
      <c r="AU111" s="70">
        <f t="shared" ca="1" si="380"/>
        <v>800</v>
      </c>
      <c r="AV111" s="70">
        <f t="shared" ca="1" si="380"/>
        <v>800</v>
      </c>
      <c r="AW111" s="70">
        <f t="shared" ca="1" si="380"/>
        <v>800</v>
      </c>
      <c r="AX111" s="70">
        <f t="shared" ca="1" si="380"/>
        <v>800</v>
      </c>
      <c r="AY111" s="70">
        <f t="shared" ref="AY111" ca="1" si="381">+SUM(AY108:AY110)</f>
        <v>800</v>
      </c>
      <c r="AZ111" s="70"/>
      <c r="BA111" s="70"/>
      <c r="BB111" s="70"/>
      <c r="BC111" s="70"/>
      <c r="BD111" s="70"/>
      <c r="BE111" s="70"/>
      <c r="BF111" s="70"/>
      <c r="BG111" s="70"/>
      <c r="BH111" s="70"/>
      <c r="BI111" s="70"/>
      <c r="BJ111" s="70"/>
      <c r="BK111" s="70"/>
      <c r="BL111" s="70"/>
      <c r="BM111" s="70"/>
      <c r="BN111" s="70"/>
      <c r="BO111" s="70"/>
      <c r="BP111" s="70"/>
      <c r="BQ111" s="70"/>
      <c r="BR111" s="70"/>
      <c r="BS111" s="70"/>
      <c r="BT111" s="70"/>
      <c r="BU111" s="70"/>
      <c r="BV111" s="70"/>
      <c r="BW111" s="70"/>
      <c r="BX111" s="70"/>
      <c r="BY111" s="70"/>
      <c r="BZ111" s="70"/>
    </row>
    <row r="113" spans="1:78" s="64" customFormat="1">
      <c r="A113" s="63" t="s">
        <v>40</v>
      </c>
      <c r="B113" s="320" t="s">
        <v>401</v>
      </c>
      <c r="C113" s="67">
        <v>46478</v>
      </c>
      <c r="D113" s="67"/>
      <c r="E113" s="67"/>
      <c r="F113" s="67"/>
      <c r="G113" s="67"/>
      <c r="H113" s="67"/>
      <c r="I113" s="67"/>
      <c r="J113" s="67"/>
      <c r="K113" s="67"/>
      <c r="L113" s="67"/>
      <c r="M113" s="67"/>
      <c r="N113" s="67"/>
      <c r="O113" s="67"/>
      <c r="Z113" s="71"/>
      <c r="AA113" s="75"/>
      <c r="AB113" s="75"/>
      <c r="AC113" s="75"/>
      <c r="AD113" s="71"/>
      <c r="AE113" s="71"/>
      <c r="AF113" s="75"/>
      <c r="AG113" s="75"/>
      <c r="AH113" s="75"/>
      <c r="AI113" s="71"/>
      <c r="AJ113" s="75"/>
      <c r="AK113" s="75"/>
      <c r="AL113" s="71"/>
      <c r="AM113" s="71">
        <v>550</v>
      </c>
      <c r="AN113" s="71">
        <v>850</v>
      </c>
      <c r="AO113" s="75">
        <f t="shared" ref="AO113" si="382">+IF($C113&gt;AO$2,AN113+AO118,AN113-AN113)</f>
        <v>850</v>
      </c>
      <c r="AP113" s="75">
        <f t="shared" ref="AP113" si="383">+IF($C113&gt;AP$2,AO113+AP118,AO113-AO113)</f>
        <v>850</v>
      </c>
      <c r="AQ113" s="75">
        <f t="shared" ref="AQ113" si="384">+IF($C113&gt;AQ$2,AP113+AQ118,AP113-AP113)</f>
        <v>850</v>
      </c>
      <c r="AR113" s="75">
        <f t="shared" ref="AR113" si="385">+IF($C113&gt;AR$2,AQ113+AR118,AQ113-AQ113)</f>
        <v>850</v>
      </c>
      <c r="AS113" s="75">
        <f t="shared" ref="AS113" si="386">+IF($C113&gt;AS$2,AR113+AS118,AR113-AR113)</f>
        <v>850</v>
      </c>
      <c r="AT113" s="75">
        <f t="shared" ref="AT113" si="387">+IF($C113&gt;AT$2,AS113+AT118,AS113-AS113)</f>
        <v>850</v>
      </c>
      <c r="AU113" s="75">
        <f t="shared" ref="AU113" si="388">+IF($C113&gt;AU$2,AT113+AU118,AT113-AT113)</f>
        <v>850</v>
      </c>
      <c r="AV113" s="75">
        <f t="shared" ref="AV113" si="389">+IF($C113&gt;AV$2,AU113+AV118,AU113-AU113)</f>
        <v>850</v>
      </c>
      <c r="AW113" s="75">
        <f t="shared" ref="AW113" si="390">+IF($C113&gt;AW$2,AV113+AW118,AV113-AV113)</f>
        <v>850</v>
      </c>
      <c r="AX113" s="75">
        <f t="shared" ref="AX113" si="391">+IF($C113&gt;AX$2,AW113+AX118,AW113-AW113)</f>
        <v>850</v>
      </c>
      <c r="AY113" s="75">
        <f t="shared" ref="AY113" si="392">+IF($C113&gt;AY$2,AX113+AY118,AX113-AX113)</f>
        <v>850</v>
      </c>
      <c r="AZ113" s="75"/>
      <c r="BA113" s="75"/>
      <c r="BB113" s="75"/>
      <c r="BC113" s="75"/>
      <c r="BD113" s="75"/>
      <c r="BE113" s="75"/>
      <c r="BF113" s="75"/>
      <c r="BG113" s="75"/>
      <c r="BH113" s="75"/>
      <c r="BI113" s="75"/>
      <c r="BJ113" s="75"/>
      <c r="BK113" s="75"/>
      <c r="BL113" s="75"/>
      <c r="BM113" s="75"/>
      <c r="BN113" s="75"/>
      <c r="BO113" s="75"/>
      <c r="BP113" s="75"/>
      <c r="BQ113" s="75"/>
      <c r="BR113" s="75"/>
      <c r="BS113" s="75"/>
      <c r="BT113" s="75"/>
      <c r="BU113" s="75"/>
      <c r="BV113" s="75"/>
      <c r="BW113" s="75"/>
      <c r="BX113" s="75"/>
      <c r="BY113" s="75"/>
      <c r="BZ113" s="75"/>
    </row>
    <row r="114" spans="1:78">
      <c r="A114" s="3"/>
      <c r="B114" s="65" t="s">
        <v>178</v>
      </c>
      <c r="C114" s="68">
        <v>5.7500000000000002E-2</v>
      </c>
      <c r="D114" s="68"/>
      <c r="E114" s="68"/>
      <c r="F114" s="68"/>
      <c r="G114" s="68"/>
      <c r="H114" s="68"/>
      <c r="I114" s="68"/>
      <c r="J114" s="68"/>
      <c r="K114" s="68"/>
      <c r="L114" s="68"/>
      <c r="M114" s="68"/>
      <c r="N114" s="68"/>
      <c r="O114" s="68"/>
      <c r="Z114" s="130"/>
      <c r="AA114" s="70"/>
      <c r="AB114" s="70"/>
      <c r="AC114" s="70"/>
      <c r="AD114" s="130"/>
      <c r="AE114" s="130"/>
      <c r="AF114" s="70"/>
      <c r="AG114" s="70"/>
      <c r="AH114" s="70"/>
      <c r="AI114" s="70"/>
      <c r="AJ114" s="70"/>
      <c r="AK114" s="70"/>
      <c r="AL114" s="130"/>
      <c r="AM114" s="70">
        <f t="shared" ref="AM114:AN114" si="393">+($C114)*AVERAGE(AL113:AM113)/4</f>
        <v>7.90625</v>
      </c>
      <c r="AN114" s="70">
        <f t="shared" si="393"/>
        <v>10.0625</v>
      </c>
      <c r="AO114" s="70">
        <f t="shared" ref="AO114" si="394">+($C114)*AVERAGE(AN113:AO113)/4</f>
        <v>12.21875</v>
      </c>
      <c r="AP114" s="70">
        <f t="shared" ref="AP114" si="395">+($C114)*AVERAGE(AO113:AP113)/4</f>
        <v>12.21875</v>
      </c>
      <c r="AQ114" s="70">
        <f t="shared" ref="AQ114" si="396">+($C114)*AVERAGE(AP113:AQ113)/4</f>
        <v>12.21875</v>
      </c>
      <c r="AR114" s="70">
        <f t="shared" ref="AR114" si="397">+($C114)*AVERAGE(AQ113:AR113)/4</f>
        <v>12.21875</v>
      </c>
      <c r="AS114" s="70">
        <f t="shared" ref="AS114" si="398">+($C114)*AVERAGE(AR113:AS113)/4</f>
        <v>12.21875</v>
      </c>
      <c r="AT114" s="70">
        <f t="shared" ref="AT114" si="399">+($C114)*AVERAGE(AS113:AT113)/4</f>
        <v>12.21875</v>
      </c>
      <c r="AU114" s="70">
        <f t="shared" ref="AU114" si="400">+($C114)*AVERAGE(AT113:AU113)/4</f>
        <v>12.21875</v>
      </c>
      <c r="AV114" s="70">
        <f t="shared" ref="AV114" si="401">+($C114)*AVERAGE(AU113:AV113)/4</f>
        <v>12.21875</v>
      </c>
      <c r="AW114" s="70">
        <f t="shared" ref="AW114" si="402">+($C114)*AVERAGE(AV113:AW113)/4</f>
        <v>12.21875</v>
      </c>
      <c r="AX114" s="70">
        <f t="shared" ref="AX114" si="403">+($C114)*AVERAGE(AW113:AX113)/4</f>
        <v>12.21875</v>
      </c>
      <c r="AY114" s="70">
        <f t="shared" ref="AY114" si="404">+($C114)*AVERAGE(AX113:AY113)/4</f>
        <v>12.21875</v>
      </c>
      <c r="AZ114" s="70"/>
      <c r="BA114" s="70"/>
      <c r="BB114" s="70"/>
      <c r="BC114" s="70"/>
      <c r="BD114" s="70"/>
      <c r="BE114" s="70"/>
      <c r="BF114" s="70"/>
      <c r="BG114" s="70"/>
      <c r="BH114" s="70"/>
      <c r="BI114" s="70"/>
      <c r="BJ114" s="70"/>
      <c r="BK114" s="70"/>
      <c r="BL114" s="70"/>
      <c r="BM114" s="70"/>
      <c r="BN114" s="70"/>
      <c r="BO114" s="70"/>
      <c r="BP114" s="70"/>
      <c r="BQ114" s="70"/>
      <c r="BR114" s="70"/>
      <c r="BS114" s="70"/>
      <c r="BT114" s="70"/>
      <c r="BU114" s="70"/>
      <c r="BV114" s="70"/>
      <c r="BW114" s="70"/>
      <c r="BX114" s="70"/>
      <c r="BY114" s="70"/>
      <c r="BZ114" s="70"/>
    </row>
    <row r="115" spans="1:78">
      <c r="A115" s="3"/>
      <c r="B115" s="66" t="s">
        <v>179</v>
      </c>
      <c r="C115" s="68">
        <v>5.21E-2</v>
      </c>
      <c r="D115" s="68"/>
      <c r="E115" s="68"/>
      <c r="F115" s="68"/>
      <c r="G115" s="68"/>
      <c r="H115" s="68"/>
      <c r="I115" s="68"/>
      <c r="J115" s="68"/>
      <c r="K115" s="68"/>
      <c r="L115" s="68"/>
      <c r="M115" s="68"/>
      <c r="N115" s="68"/>
      <c r="O115" s="68"/>
      <c r="Z115" s="130"/>
      <c r="AA115" s="70"/>
      <c r="AB115" s="70"/>
      <c r="AC115" s="70"/>
      <c r="AD115" s="130"/>
      <c r="AE115" s="130"/>
      <c r="AF115" s="70"/>
      <c r="AG115" s="70"/>
      <c r="AH115" s="70"/>
      <c r="AI115" s="70"/>
      <c r="AJ115" s="70"/>
      <c r="AK115" s="70"/>
      <c r="AL115" s="130"/>
      <c r="AM115" s="70">
        <f t="shared" ref="AM115:AN115" si="405">+($C115)*AVERAGE(AL119:AM119)/4</f>
        <v>7.4450900000000004</v>
      </c>
      <c r="AN115" s="70">
        <f t="shared" si="405"/>
        <v>9.4769900000000007</v>
      </c>
      <c r="AO115" s="70">
        <f t="shared" ref="AO115" ca="1" si="406">+($C115)*AVERAGE(AN119:AO119)/4</f>
        <v>11.504236732344392</v>
      </c>
      <c r="AP115" s="70">
        <f t="shared" ref="AP115" ca="1" si="407">+($C115)*AVERAGE(AO119:AP119)/4</f>
        <v>11.494869190919649</v>
      </c>
      <c r="AQ115" s="70">
        <f t="shared" ref="AQ115" ca="1" si="408">+($C115)*AVERAGE(AP119:AQ119)/4</f>
        <v>11.485378837454435</v>
      </c>
      <c r="AR115" s="70">
        <f t="shared" ref="AR115" ca="1" si="409">+($C115)*AVERAGE(AQ119:AR119)/4</f>
        <v>11.475764061836065</v>
      </c>
      <c r="AS115" s="70">
        <f t="shared" ref="AS115" ca="1" si="410">+($C115)*AVERAGE(AR119:AS119)/4</f>
        <v>11.466023232842661</v>
      </c>
      <c r="AT115" s="70">
        <f t="shared" ref="AT115" ca="1" si="411">+($C115)*AVERAGE(AS119:AT119)/4</f>
        <v>11.456154697866403</v>
      </c>
      <c r="AU115" s="70">
        <f t="shared" ref="AU115" ca="1" si="412">+($C115)*AVERAGE(AT119:AU119)/4</f>
        <v>11.446156782633157</v>
      </c>
      <c r="AV115" s="70">
        <f t="shared" ref="AV115" ca="1" si="413">+($C115)*AVERAGE(AU119:AV119)/4</f>
        <v>11.436027790918411</v>
      </c>
      <c r="AW115" s="70">
        <f t="shared" ref="AW115" ca="1" si="414">+($C115)*AVERAGE(AV119:AW119)/4</f>
        <v>11.425766004259506</v>
      </c>
      <c r="AX115" s="70">
        <f t="shared" ref="AX115" ca="1" si="415">+($C115)*AVERAGE(AW119:AX119)/4</f>
        <v>11.415369681664084</v>
      </c>
      <c r="AY115" s="70">
        <f t="shared" ref="AY115" ca="1" si="416">+($C115)*AVERAGE(AX119:AY119)/4</f>
        <v>11.404837059314707</v>
      </c>
      <c r="AZ115" s="70"/>
      <c r="BA115" s="70"/>
      <c r="BB115" s="70"/>
      <c r="BC115" s="70"/>
      <c r="BD115" s="70"/>
      <c r="BE115" s="70"/>
      <c r="BF115" s="70"/>
      <c r="BG115" s="70"/>
      <c r="BH115" s="70"/>
      <c r="BI115" s="70"/>
      <c r="BJ115" s="70"/>
      <c r="BK115" s="70"/>
      <c r="BL115" s="70"/>
      <c r="BM115" s="70"/>
      <c r="BN115" s="70"/>
      <c r="BO115" s="70"/>
      <c r="BP115" s="70"/>
      <c r="BQ115" s="70"/>
      <c r="BR115" s="70"/>
      <c r="BS115" s="70"/>
      <c r="BT115" s="70"/>
      <c r="BU115" s="70"/>
      <c r="BV115" s="70"/>
      <c r="BW115" s="70"/>
      <c r="BX115" s="70"/>
      <c r="BY115" s="70"/>
      <c r="BZ115" s="70"/>
    </row>
    <row r="116" spans="1:78">
      <c r="A116" s="3"/>
      <c r="B116" s="65" t="s">
        <v>180</v>
      </c>
      <c r="C116" s="69"/>
      <c r="D116" s="69"/>
      <c r="E116" s="69"/>
      <c r="F116" s="69"/>
      <c r="G116" s="69"/>
      <c r="H116" s="69"/>
      <c r="I116" s="69"/>
      <c r="J116" s="69"/>
      <c r="K116" s="69"/>
      <c r="L116" s="69"/>
      <c r="M116" s="69"/>
      <c r="N116" s="69"/>
      <c r="O116" s="69"/>
      <c r="Z116" s="70"/>
      <c r="AA116" s="70"/>
      <c r="AB116" s="70"/>
      <c r="AC116" s="70"/>
      <c r="AD116" s="70"/>
      <c r="AE116" s="70"/>
      <c r="AF116" s="70"/>
      <c r="AG116" s="70"/>
      <c r="AH116" s="70"/>
      <c r="AI116" s="70"/>
      <c r="AJ116" s="70"/>
      <c r="AK116" s="70"/>
      <c r="AL116" s="70"/>
      <c r="AM116" s="70">
        <f t="shared" ref="AM116:AN116" si="417">+AL119</f>
        <v>0</v>
      </c>
      <c r="AN116" s="70">
        <f t="shared" si="417"/>
        <v>571.6</v>
      </c>
      <c r="AO116" s="70">
        <f t="shared" ref="AO116" si="418">+AN119</f>
        <v>883.6</v>
      </c>
      <c r="AP116" s="70">
        <f t="shared" ref="AP116" ca="1" si="419">+AO119</f>
        <v>882.88548673234436</v>
      </c>
      <c r="AQ116" s="70">
        <f t="shared" ref="AQ116" ca="1" si="420">+AP119</f>
        <v>882.16160592326401</v>
      </c>
      <c r="AR116" s="70">
        <f t="shared" ref="AR116" ca="1" si="421">+AQ119</f>
        <v>881.4282347607184</v>
      </c>
      <c r="AS116" s="70">
        <f t="shared" ref="AS116" ca="1" si="422">+AR119</f>
        <v>880.68524882255451</v>
      </c>
      <c r="AT116" s="70">
        <f t="shared" ref="AT116" ca="1" si="423">+AS119</f>
        <v>879.93252205539716</v>
      </c>
      <c r="AU116" s="70">
        <f t="shared" ref="AU116" ca="1" si="424">+AT119</f>
        <v>879.16992675326355</v>
      </c>
      <c r="AV116" s="70">
        <f t="shared" ref="AV116" ca="1" si="425">+AU119</f>
        <v>878.39733353589668</v>
      </c>
      <c r="AW116" s="70">
        <f t="shared" ref="AW116" ca="1" si="426">+AV119</f>
        <v>877.61461132681507</v>
      </c>
      <c r="AX116" s="70">
        <f t="shared" ref="AX116" ca="1" si="427">+AW119</f>
        <v>876.82162733107452</v>
      </c>
      <c r="AY116" s="70">
        <f t="shared" ref="AY116" ca="1" si="428">+AX119</f>
        <v>876.01824701273858</v>
      </c>
      <c r="AZ116" s="70"/>
      <c r="BA116" s="70"/>
      <c r="BB116" s="70"/>
      <c r="BC116" s="70"/>
      <c r="BD116" s="70"/>
      <c r="BE116" s="70"/>
      <c r="BF116" s="70"/>
      <c r="BG116" s="70"/>
      <c r="BH116" s="70"/>
      <c r="BI116" s="70"/>
      <c r="BJ116" s="70"/>
      <c r="BK116" s="70"/>
      <c r="BL116" s="70"/>
      <c r="BM116" s="70"/>
      <c r="BN116" s="70"/>
      <c r="BO116" s="70"/>
      <c r="BP116" s="70"/>
      <c r="BQ116" s="70"/>
      <c r="BR116" s="70"/>
      <c r="BS116" s="70"/>
      <c r="BT116" s="70"/>
      <c r="BU116" s="70"/>
      <c r="BV116" s="70"/>
      <c r="BW116" s="70"/>
      <c r="BX116" s="70"/>
      <c r="BY116" s="70"/>
      <c r="BZ116" s="70"/>
    </row>
    <row r="117" spans="1:78">
      <c r="A117" s="3"/>
      <c r="B117" s="65" t="s">
        <v>181</v>
      </c>
      <c r="C117" s="69"/>
      <c r="D117" s="69"/>
      <c r="E117" s="69"/>
      <c r="F117" s="69"/>
      <c r="G117" s="69"/>
      <c r="H117" s="69"/>
      <c r="I117" s="69"/>
      <c r="J117" s="69"/>
      <c r="K117" s="69"/>
      <c r="L117" s="69"/>
      <c r="M117" s="69"/>
      <c r="N117" s="69"/>
      <c r="O117" s="69"/>
      <c r="Z117" s="70"/>
      <c r="AA117" s="70"/>
      <c r="AB117" s="70"/>
      <c r="AC117" s="70"/>
      <c r="AD117" s="70"/>
      <c r="AE117" s="70"/>
      <c r="AF117" s="70"/>
      <c r="AG117" s="70"/>
      <c r="AH117" s="70"/>
      <c r="AI117" s="70"/>
      <c r="AJ117" s="70"/>
      <c r="AK117" s="70"/>
      <c r="AL117" s="70"/>
      <c r="AM117" s="70">
        <f>+AM115-AM114</f>
        <v>-0.46115999999999957</v>
      </c>
      <c r="AN117" s="70">
        <f>+AN115-AN114</f>
        <v>-0.58550999999999931</v>
      </c>
      <c r="AO117" s="70">
        <f t="shared" ref="AO117:AY117" ca="1" si="429">+AO115-AO114</f>
        <v>-0.71451326765560808</v>
      </c>
      <c r="AP117" s="70">
        <f t="shared" ca="1" si="429"/>
        <v>-0.72388080908035057</v>
      </c>
      <c r="AQ117" s="70">
        <f t="shared" ca="1" si="429"/>
        <v>-0.73337116254556456</v>
      </c>
      <c r="AR117" s="70">
        <f t="shared" ca="1" si="429"/>
        <v>-0.74298593816393499</v>
      </c>
      <c r="AS117" s="70">
        <f t="shared" ca="1" si="429"/>
        <v>-0.75272676715733944</v>
      </c>
      <c r="AT117" s="70">
        <f t="shared" ca="1" si="429"/>
        <v>-0.76259530213359739</v>
      </c>
      <c r="AU117" s="70">
        <f t="shared" ca="1" si="429"/>
        <v>-0.77259321736684328</v>
      </c>
      <c r="AV117" s="70">
        <f t="shared" ca="1" si="429"/>
        <v>-0.78272220908158907</v>
      </c>
      <c r="AW117" s="70">
        <f t="shared" ca="1" si="429"/>
        <v>-0.79298399574049405</v>
      </c>
      <c r="AX117" s="70">
        <f t="shared" ca="1" si="429"/>
        <v>-0.8033803183359165</v>
      </c>
      <c r="AY117" s="70">
        <f t="shared" ca="1" si="429"/>
        <v>-0.81391294068529341</v>
      </c>
      <c r="AZ117" s="70"/>
      <c r="BA117" s="70"/>
      <c r="BB117" s="70"/>
      <c r="BC117" s="70"/>
      <c r="BD117" s="70"/>
      <c r="BE117" s="70"/>
      <c r="BF117" s="70"/>
      <c r="BG117" s="70"/>
      <c r="BH117" s="70"/>
      <c r="BI117" s="70"/>
      <c r="BJ117" s="70"/>
      <c r="BK117" s="70"/>
      <c r="BL117" s="70"/>
      <c r="BM117" s="70"/>
      <c r="BN117" s="70"/>
      <c r="BO117" s="70"/>
      <c r="BP117" s="70"/>
      <c r="BQ117" s="70"/>
      <c r="BR117" s="70"/>
      <c r="BS117" s="70"/>
      <c r="BT117" s="70"/>
      <c r="BU117" s="70"/>
      <c r="BV117" s="70"/>
      <c r="BW117" s="70"/>
      <c r="BX117" s="70"/>
      <c r="BY117" s="70"/>
      <c r="BZ117" s="70"/>
    </row>
    <row r="118" spans="1:78">
      <c r="A118" s="3"/>
      <c r="B118" s="65" t="s">
        <v>182</v>
      </c>
      <c r="C118" s="69"/>
      <c r="D118" s="69"/>
      <c r="E118" s="69"/>
      <c r="F118" s="69"/>
      <c r="G118" s="69"/>
      <c r="H118" s="69"/>
      <c r="I118" s="69"/>
      <c r="J118" s="69"/>
      <c r="K118" s="69"/>
      <c r="L118" s="69"/>
      <c r="M118" s="69"/>
      <c r="N118" s="69"/>
      <c r="O118" s="69"/>
      <c r="Z118" s="70"/>
      <c r="AA118" s="70"/>
      <c r="AB118" s="70"/>
      <c r="AC118" s="120"/>
      <c r="AD118" s="70"/>
      <c r="AE118" s="70"/>
      <c r="AF118" s="70"/>
      <c r="AG118" s="70"/>
      <c r="AH118" s="70"/>
      <c r="AI118" s="70"/>
      <c r="AJ118" s="70"/>
      <c r="AK118" s="70"/>
      <c r="AL118" s="70"/>
      <c r="AM118" s="70">
        <f>+IF(AM$2&gt;$C113,-(AM116+AM117),0)</f>
        <v>0</v>
      </c>
      <c r="AN118" s="70">
        <f>+IF(AN$2&gt;$C113,-(AN116+AN117),0)</f>
        <v>0</v>
      </c>
      <c r="AO118" s="70">
        <f t="shared" ref="AO118:AY118" si="430">+IF(AO$2&gt;$C113,-(AO116+AO117),0)</f>
        <v>0</v>
      </c>
      <c r="AP118" s="70">
        <f t="shared" si="430"/>
        <v>0</v>
      </c>
      <c r="AQ118" s="70">
        <f t="shared" si="430"/>
        <v>0</v>
      </c>
      <c r="AR118" s="70">
        <f t="shared" si="430"/>
        <v>0</v>
      </c>
      <c r="AS118" s="70">
        <f t="shared" si="430"/>
        <v>0</v>
      </c>
      <c r="AT118" s="70">
        <f t="shared" si="430"/>
        <v>0</v>
      </c>
      <c r="AU118" s="70">
        <f t="shared" si="430"/>
        <v>0</v>
      </c>
      <c r="AV118" s="70">
        <f t="shared" si="430"/>
        <v>0</v>
      </c>
      <c r="AW118" s="70">
        <f t="shared" si="430"/>
        <v>0</v>
      </c>
      <c r="AX118" s="70">
        <f t="shared" si="430"/>
        <v>0</v>
      </c>
      <c r="AY118" s="70">
        <f t="shared" si="430"/>
        <v>0</v>
      </c>
      <c r="AZ118" s="70"/>
      <c r="BA118" s="70"/>
      <c r="BB118" s="70"/>
      <c r="BC118" s="70"/>
      <c r="BD118" s="70"/>
      <c r="BE118" s="70"/>
      <c r="BF118" s="70"/>
      <c r="BG118" s="70"/>
      <c r="BH118" s="70"/>
      <c r="BI118" s="70"/>
      <c r="BJ118" s="70"/>
      <c r="BK118" s="70"/>
      <c r="BL118" s="70"/>
      <c r="BM118" s="70"/>
      <c r="BN118" s="70"/>
      <c r="BO118" s="70"/>
      <c r="BP118" s="70"/>
      <c r="BQ118" s="70"/>
      <c r="BR118" s="70"/>
      <c r="BS118" s="70"/>
      <c r="BT118" s="70"/>
      <c r="BU118" s="70"/>
      <c r="BV118" s="70"/>
      <c r="BW118" s="70"/>
      <c r="BX118" s="70"/>
      <c r="BY118" s="70"/>
      <c r="BZ118" s="70"/>
    </row>
    <row r="119" spans="1:78">
      <c r="A119" s="3"/>
      <c r="B119" s="65" t="s">
        <v>183</v>
      </c>
      <c r="C119" s="69"/>
      <c r="D119" s="69"/>
      <c r="E119" s="69"/>
      <c r="F119" s="69"/>
      <c r="G119" s="69"/>
      <c r="H119" s="69"/>
      <c r="I119" s="69"/>
      <c r="J119" s="69"/>
      <c r="K119" s="69"/>
      <c r="L119" s="69"/>
      <c r="M119" s="69"/>
      <c r="N119" s="69"/>
      <c r="O119" s="69"/>
      <c r="Z119" s="50"/>
      <c r="AA119" s="70"/>
      <c r="AB119" s="70"/>
      <c r="AC119" s="70"/>
      <c r="AD119" s="50"/>
      <c r="AE119" s="50"/>
      <c r="AF119" s="70"/>
      <c r="AG119" s="70"/>
      <c r="AH119" s="70"/>
      <c r="AI119" s="50"/>
      <c r="AJ119" s="70"/>
      <c r="AK119" s="70"/>
      <c r="AL119" s="50"/>
      <c r="AM119" s="50">
        <f>550+21.6</f>
        <v>571.6</v>
      </c>
      <c r="AN119" s="50">
        <f>850+33.6</f>
        <v>883.6</v>
      </c>
      <c r="AO119" s="70">
        <f t="shared" ref="AO119" ca="1" si="431">+SUM(AO116:AO118)</f>
        <v>882.88548673234436</v>
      </c>
      <c r="AP119" s="70">
        <f t="shared" ref="AP119:AX119" ca="1" si="432">+SUM(AP116:AP118)</f>
        <v>882.16160592326401</v>
      </c>
      <c r="AQ119" s="70">
        <f t="shared" ca="1" si="432"/>
        <v>881.4282347607184</v>
      </c>
      <c r="AR119" s="70">
        <f t="shared" ca="1" si="432"/>
        <v>880.68524882255451</v>
      </c>
      <c r="AS119" s="70">
        <f t="shared" ca="1" si="432"/>
        <v>879.93252205539716</v>
      </c>
      <c r="AT119" s="70">
        <f t="shared" ca="1" si="432"/>
        <v>879.16992675326355</v>
      </c>
      <c r="AU119" s="70">
        <f t="shared" ca="1" si="432"/>
        <v>878.39733353589668</v>
      </c>
      <c r="AV119" s="70">
        <f t="shared" ca="1" si="432"/>
        <v>877.61461132681507</v>
      </c>
      <c r="AW119" s="70">
        <f t="shared" ca="1" si="432"/>
        <v>876.82162733107452</v>
      </c>
      <c r="AX119" s="70">
        <f t="shared" ca="1" si="432"/>
        <v>876.01824701273858</v>
      </c>
      <c r="AY119" s="70">
        <f t="shared" ref="AY119" ca="1" si="433">+SUM(AY116:AY118)</f>
        <v>875.20433407205326</v>
      </c>
      <c r="AZ119" s="70"/>
      <c r="BA119" s="70"/>
      <c r="BB119" s="70"/>
      <c r="BC119" s="70"/>
      <c r="BD119" s="70"/>
      <c r="BE119" s="70"/>
      <c r="BF119" s="70"/>
      <c r="BG119" s="70"/>
      <c r="BH119" s="70"/>
      <c r="BI119" s="70"/>
      <c r="BJ119" s="70"/>
      <c r="BK119" s="70"/>
      <c r="BL119" s="70"/>
      <c r="BM119" s="70"/>
      <c r="BN119" s="70"/>
      <c r="BO119" s="70"/>
      <c r="BP119" s="70"/>
      <c r="BQ119" s="70"/>
      <c r="BR119" s="70"/>
      <c r="BS119" s="70"/>
      <c r="BT119" s="70"/>
      <c r="BU119" s="70"/>
      <c r="BV119" s="70"/>
      <c r="BW119" s="70"/>
      <c r="BX119" s="70"/>
      <c r="BY119" s="70"/>
      <c r="BZ119" s="70"/>
    </row>
    <row r="121" spans="1:78" s="64" customFormat="1">
      <c r="A121" s="63" t="s">
        <v>40</v>
      </c>
      <c r="B121" s="76" t="s">
        <v>253</v>
      </c>
      <c r="C121" s="67">
        <v>44562</v>
      </c>
      <c r="D121" s="67"/>
      <c r="E121" s="67"/>
      <c r="F121" s="67"/>
      <c r="G121" s="67"/>
      <c r="H121" s="67"/>
      <c r="I121" s="67"/>
      <c r="J121" s="67"/>
      <c r="K121" s="67"/>
      <c r="L121" s="67"/>
      <c r="M121" s="67"/>
      <c r="N121" s="67"/>
      <c r="O121" s="67"/>
      <c r="Z121" s="71">
        <v>19.530999999999999</v>
      </c>
      <c r="AA121" s="75">
        <f t="shared" ref="AA121:AO121" ca="1" si="434">+IF($C121&gt;AA$2,Z121+AA126,Z121-Z121)</f>
        <v>22.856000000000002</v>
      </c>
      <c r="AB121" s="75">
        <f t="shared" ca="1" si="434"/>
        <v>26.400000000000002</v>
      </c>
      <c r="AC121" s="75">
        <f t="shared" ca="1" si="434"/>
        <v>29.599999999999998</v>
      </c>
      <c r="AD121" s="75">
        <f t="shared" ca="1" si="434"/>
        <v>32.5</v>
      </c>
      <c r="AE121" s="75">
        <f t="shared" ca="1" si="434"/>
        <v>32.700000000000003</v>
      </c>
      <c r="AF121" s="75">
        <f t="shared" ca="1" si="434"/>
        <v>36.5</v>
      </c>
      <c r="AG121" s="75">
        <f t="shared" ca="1" si="434"/>
        <v>35.9</v>
      </c>
      <c r="AH121" s="75">
        <f t="shared" ca="1" si="434"/>
        <v>38.299999999999997</v>
      </c>
      <c r="AI121" s="75">
        <f t="shared" ca="1" si="434"/>
        <v>50.699999999999996</v>
      </c>
      <c r="AJ121" s="75">
        <f t="shared" ca="1" si="434"/>
        <v>51.9</v>
      </c>
      <c r="AK121" s="75">
        <f t="shared" ca="1" si="434"/>
        <v>84.399999999999991</v>
      </c>
      <c r="AL121" s="75">
        <f t="shared" ca="1" si="434"/>
        <v>84.3</v>
      </c>
      <c r="AM121" s="75">
        <f t="shared" ca="1" si="434"/>
        <v>101.6</v>
      </c>
      <c r="AN121" s="75">
        <f t="shared" ca="1" si="434"/>
        <v>100.1</v>
      </c>
      <c r="AO121" s="75">
        <f t="shared" ca="1" si="434"/>
        <v>100.1</v>
      </c>
      <c r="AP121" s="75">
        <f t="shared" ref="AP121:AX121" ca="1" si="435">+IF($C121&gt;AP$2,AO121+AP126,AO121-AO121)</f>
        <v>100.1</v>
      </c>
      <c r="AQ121" s="75">
        <f t="shared" ca="1" si="435"/>
        <v>100.1</v>
      </c>
      <c r="AR121" s="75">
        <f t="shared" ca="1" si="435"/>
        <v>100.1</v>
      </c>
      <c r="AS121" s="75">
        <f t="shared" ca="1" si="435"/>
        <v>100.1</v>
      </c>
      <c r="AT121" s="75">
        <f t="shared" ca="1" si="435"/>
        <v>100.1</v>
      </c>
      <c r="AU121" s="75">
        <f t="shared" ca="1" si="435"/>
        <v>100.1</v>
      </c>
      <c r="AV121" s="75">
        <f t="shared" ca="1" si="435"/>
        <v>100.1</v>
      </c>
      <c r="AW121" s="75">
        <f t="shared" ca="1" si="435"/>
        <v>100.1</v>
      </c>
      <c r="AX121" s="75">
        <f t="shared" ca="1" si="435"/>
        <v>100.1</v>
      </c>
      <c r="AY121" s="75">
        <f t="shared" ref="AY121" ca="1" si="436">+IF($C121&gt;AY$2,AX121+AY126,AX121-AX121)</f>
        <v>100.1</v>
      </c>
      <c r="AZ121" s="75"/>
      <c r="BA121" s="75"/>
      <c r="BB121" s="75"/>
      <c r="BC121" s="75"/>
      <c r="BD121" s="75"/>
      <c r="BE121" s="75"/>
      <c r="BF121" s="75"/>
      <c r="BG121" s="75"/>
      <c r="BH121" s="75"/>
      <c r="BI121" s="75"/>
      <c r="BJ121" s="75"/>
      <c r="BK121" s="75"/>
      <c r="BL121" s="75"/>
      <c r="BM121" s="75"/>
      <c r="BN121" s="75"/>
      <c r="BO121" s="75"/>
      <c r="BP121" s="75"/>
      <c r="BQ121" s="75"/>
      <c r="BR121" s="75"/>
      <c r="BS121" s="75"/>
      <c r="BT121" s="75"/>
      <c r="BU121" s="75"/>
      <c r="BV121" s="75"/>
      <c r="BW121" s="75"/>
      <c r="BX121" s="75"/>
      <c r="BY121" s="75"/>
      <c r="BZ121" s="75"/>
    </row>
    <row r="122" spans="1:78">
      <c r="B122" s="65" t="s">
        <v>178</v>
      </c>
      <c r="C122" s="68">
        <v>0.1</v>
      </c>
      <c r="D122" s="68"/>
      <c r="E122" s="68"/>
      <c r="F122" s="68"/>
      <c r="G122" s="68"/>
      <c r="H122" s="68"/>
      <c r="I122" s="68"/>
      <c r="J122" s="68"/>
      <c r="K122" s="68"/>
      <c r="L122" s="68"/>
      <c r="M122" s="68"/>
      <c r="N122" s="68"/>
      <c r="O122" s="68"/>
      <c r="Z122" s="70">
        <f t="shared" ref="Z122:AX122" si="437">+($C122)*AVERAGE(Y121:Z121)/4</f>
        <v>0.48827500000000001</v>
      </c>
      <c r="AA122" s="70">
        <f t="shared" ca="1" si="437"/>
        <v>0.52983750000000007</v>
      </c>
      <c r="AB122" s="70">
        <f t="shared" ca="1" si="437"/>
        <v>0.61570000000000003</v>
      </c>
      <c r="AC122" s="70">
        <f t="shared" ca="1" si="437"/>
        <v>0.70000000000000007</v>
      </c>
      <c r="AD122" s="70">
        <f t="shared" ca="1" si="437"/>
        <v>0.77625</v>
      </c>
      <c r="AE122" s="70">
        <f t="shared" ca="1" si="437"/>
        <v>0.81500000000000006</v>
      </c>
      <c r="AF122" s="70">
        <f t="shared" ca="1" si="437"/>
        <v>0.8650000000000001</v>
      </c>
      <c r="AG122" s="70">
        <f t="shared" ca="1" si="437"/>
        <v>0.90500000000000014</v>
      </c>
      <c r="AH122" s="70">
        <f t="shared" ca="1" si="437"/>
        <v>0.92749999999999988</v>
      </c>
      <c r="AI122" s="70">
        <f t="shared" ca="1" si="437"/>
        <v>1.1125</v>
      </c>
      <c r="AJ122" s="70">
        <f t="shared" ca="1" si="437"/>
        <v>1.2825</v>
      </c>
      <c r="AK122" s="70">
        <f t="shared" ca="1" si="437"/>
        <v>1.7037499999999999</v>
      </c>
      <c r="AL122" s="70">
        <f t="shared" ca="1" si="437"/>
        <v>2.1087500000000001</v>
      </c>
      <c r="AM122" s="70">
        <f t="shared" ca="1" si="437"/>
        <v>2.32375</v>
      </c>
      <c r="AN122" s="70">
        <f t="shared" ca="1" si="437"/>
        <v>2.5212500000000002</v>
      </c>
      <c r="AO122" s="70">
        <f t="shared" ca="1" si="437"/>
        <v>2.5024999999999999</v>
      </c>
      <c r="AP122" s="70">
        <f t="shared" ca="1" si="437"/>
        <v>2.5024999999999999</v>
      </c>
      <c r="AQ122" s="70">
        <f t="shared" ca="1" si="437"/>
        <v>2.5024999999999999</v>
      </c>
      <c r="AR122" s="70">
        <f t="shared" ca="1" si="437"/>
        <v>2.5024999999999999</v>
      </c>
      <c r="AS122" s="70">
        <f t="shared" ca="1" si="437"/>
        <v>2.5024999999999999</v>
      </c>
      <c r="AT122" s="70">
        <f t="shared" ca="1" si="437"/>
        <v>2.5024999999999999</v>
      </c>
      <c r="AU122" s="70">
        <f t="shared" ca="1" si="437"/>
        <v>2.5024999999999999</v>
      </c>
      <c r="AV122" s="70">
        <f t="shared" ca="1" si="437"/>
        <v>2.5024999999999999</v>
      </c>
      <c r="AW122" s="70">
        <f t="shared" ca="1" si="437"/>
        <v>2.5024999999999999</v>
      </c>
      <c r="AX122" s="70">
        <f t="shared" ca="1" si="437"/>
        <v>2.5024999999999999</v>
      </c>
      <c r="AY122" s="70">
        <f t="shared" ref="AY122" ca="1" si="438">+($C122)*AVERAGE(AX121:AY121)/4</f>
        <v>2.5024999999999999</v>
      </c>
      <c r="AZ122" s="70"/>
      <c r="BA122" s="70"/>
      <c r="BB122" s="70"/>
      <c r="BC122" s="70"/>
      <c r="BD122" s="70"/>
      <c r="BE122" s="70"/>
      <c r="BF122" s="70"/>
      <c r="BG122" s="70"/>
      <c r="BH122" s="70"/>
      <c r="BI122" s="70"/>
      <c r="BJ122" s="70"/>
      <c r="BK122" s="70"/>
      <c r="BL122" s="70"/>
      <c r="BM122" s="70"/>
      <c r="BN122" s="70"/>
      <c r="BO122" s="70"/>
      <c r="BP122" s="70"/>
      <c r="BQ122" s="70"/>
      <c r="BR122" s="70"/>
      <c r="BS122" s="70"/>
      <c r="BT122" s="70"/>
      <c r="BU122" s="70"/>
      <c r="BV122" s="70"/>
      <c r="BW122" s="70"/>
      <c r="BX122" s="70"/>
      <c r="BY122" s="70"/>
      <c r="BZ122" s="70"/>
    </row>
    <row r="123" spans="1:78">
      <c r="B123" s="66" t="s">
        <v>179</v>
      </c>
      <c r="C123" s="68">
        <v>0.1</v>
      </c>
      <c r="D123" s="68"/>
      <c r="E123" s="68"/>
      <c r="F123" s="68"/>
      <c r="G123" s="68"/>
      <c r="H123" s="68"/>
      <c r="I123" s="68"/>
      <c r="J123" s="68"/>
      <c r="K123" s="68"/>
      <c r="L123" s="68"/>
      <c r="M123" s="68"/>
      <c r="N123" s="68"/>
      <c r="O123" s="68"/>
      <c r="Z123" s="70">
        <f t="shared" ref="Z123:AX123" si="439">+($C123)*AVERAGE(Y127:Z127)/4</f>
        <v>0.48827500000000001</v>
      </c>
      <c r="AA123" s="70">
        <f t="shared" ca="1" si="439"/>
        <v>0.52983750000000007</v>
      </c>
      <c r="AB123" s="70">
        <f t="shared" ca="1" si="439"/>
        <v>0.61570000000000003</v>
      </c>
      <c r="AC123" s="70">
        <f t="shared" ca="1" si="439"/>
        <v>0.70000000000000007</v>
      </c>
      <c r="AD123" s="70">
        <f t="shared" ca="1" si="439"/>
        <v>0.77625</v>
      </c>
      <c r="AE123" s="70">
        <f t="shared" ca="1" si="439"/>
        <v>0.81500000000000006</v>
      </c>
      <c r="AF123" s="70">
        <f t="shared" ca="1" si="439"/>
        <v>0.8650000000000001</v>
      </c>
      <c r="AG123" s="70">
        <f t="shared" ca="1" si="439"/>
        <v>0.90500000000000014</v>
      </c>
      <c r="AH123" s="70">
        <f t="shared" ca="1" si="439"/>
        <v>0.92749999999999988</v>
      </c>
      <c r="AI123" s="70">
        <f t="shared" ca="1" si="439"/>
        <v>1.1125</v>
      </c>
      <c r="AJ123" s="70">
        <f t="shared" ca="1" si="439"/>
        <v>1.2825</v>
      </c>
      <c r="AK123" s="70">
        <f t="shared" ca="1" si="439"/>
        <v>1.7037499999999999</v>
      </c>
      <c r="AL123" s="70">
        <f t="shared" ca="1" si="439"/>
        <v>2.1087500000000001</v>
      </c>
      <c r="AM123" s="70">
        <f t="shared" ca="1" si="439"/>
        <v>2.32375</v>
      </c>
      <c r="AN123" s="70">
        <f t="shared" ca="1" si="439"/>
        <v>2.5212500000000002</v>
      </c>
      <c r="AO123" s="70">
        <f t="shared" ca="1" si="439"/>
        <v>2.5024999999999999</v>
      </c>
      <c r="AP123" s="70">
        <f t="shared" ca="1" si="439"/>
        <v>2.5024999999999999</v>
      </c>
      <c r="AQ123" s="70">
        <f t="shared" ca="1" si="439"/>
        <v>2.5024999999999999</v>
      </c>
      <c r="AR123" s="70">
        <f t="shared" ca="1" si="439"/>
        <v>2.5024999999999999</v>
      </c>
      <c r="AS123" s="70">
        <f t="shared" ca="1" si="439"/>
        <v>2.5024999999999999</v>
      </c>
      <c r="AT123" s="70">
        <f t="shared" ca="1" si="439"/>
        <v>2.5024999999999999</v>
      </c>
      <c r="AU123" s="70">
        <f t="shared" ca="1" si="439"/>
        <v>2.5024999999999999</v>
      </c>
      <c r="AV123" s="70">
        <f t="shared" ca="1" si="439"/>
        <v>2.5024999999999999</v>
      </c>
      <c r="AW123" s="70">
        <f t="shared" ca="1" si="439"/>
        <v>2.5024999999999999</v>
      </c>
      <c r="AX123" s="70">
        <f t="shared" ca="1" si="439"/>
        <v>2.5024999999999999</v>
      </c>
      <c r="AY123" s="70">
        <f t="shared" ref="AY123" ca="1" si="440">+($C123)*AVERAGE(AX127:AY127)/4</f>
        <v>2.5024999999999999</v>
      </c>
      <c r="AZ123" s="70"/>
      <c r="BA123" s="70"/>
      <c r="BB123" s="70"/>
      <c r="BC123" s="70"/>
      <c r="BD123" s="70"/>
      <c r="BE123" s="70"/>
      <c r="BF123" s="70"/>
      <c r="BG123" s="70"/>
      <c r="BH123" s="70"/>
      <c r="BI123" s="70"/>
      <c r="BJ123" s="70"/>
      <c r="BK123" s="70"/>
      <c r="BL123" s="70"/>
      <c r="BM123" s="70"/>
      <c r="BN123" s="70"/>
      <c r="BO123" s="70"/>
      <c r="BP123" s="70"/>
      <c r="BQ123" s="70"/>
      <c r="BR123" s="70"/>
      <c r="BS123" s="70"/>
      <c r="BT123" s="70"/>
      <c r="BU123" s="70"/>
      <c r="BV123" s="70"/>
      <c r="BW123" s="70"/>
      <c r="BX123" s="70"/>
      <c r="BY123" s="70"/>
      <c r="BZ123" s="70"/>
    </row>
    <row r="124" spans="1:78">
      <c r="B124" s="65" t="s">
        <v>180</v>
      </c>
      <c r="C124" s="69"/>
      <c r="D124" s="69"/>
      <c r="E124" s="69"/>
      <c r="F124" s="69"/>
      <c r="G124" s="69"/>
      <c r="H124" s="69"/>
      <c r="I124" s="69"/>
      <c r="J124" s="69"/>
      <c r="K124" s="69"/>
      <c r="L124" s="69"/>
      <c r="M124" s="69"/>
      <c r="N124" s="69"/>
      <c r="O124" s="69"/>
      <c r="Z124" s="70">
        <f t="shared" ref="Z124:AX124" si="441">+Y127</f>
        <v>0</v>
      </c>
      <c r="AA124" s="70">
        <f t="shared" si="441"/>
        <v>19.530999999999999</v>
      </c>
      <c r="AB124" s="70">
        <f t="shared" ca="1" si="441"/>
        <v>22.856000000000002</v>
      </c>
      <c r="AC124" s="70">
        <f t="shared" ca="1" si="441"/>
        <v>26.400000000000002</v>
      </c>
      <c r="AD124" s="70">
        <f t="shared" ca="1" si="441"/>
        <v>29.599999999999998</v>
      </c>
      <c r="AE124" s="70">
        <f t="shared" ca="1" si="441"/>
        <v>32.5</v>
      </c>
      <c r="AF124" s="70">
        <f t="shared" ca="1" si="441"/>
        <v>32.700000000000003</v>
      </c>
      <c r="AG124" s="70">
        <f t="shared" ca="1" si="441"/>
        <v>36.5</v>
      </c>
      <c r="AH124" s="70">
        <f t="shared" ca="1" si="441"/>
        <v>35.9</v>
      </c>
      <c r="AI124" s="70">
        <f t="shared" ca="1" si="441"/>
        <v>38.299999999999997</v>
      </c>
      <c r="AJ124" s="70">
        <f t="shared" ca="1" si="441"/>
        <v>50.699999999999996</v>
      </c>
      <c r="AK124" s="70">
        <f t="shared" ca="1" si="441"/>
        <v>51.9</v>
      </c>
      <c r="AL124" s="70">
        <f t="shared" ca="1" si="441"/>
        <v>84.399999999999991</v>
      </c>
      <c r="AM124" s="70">
        <f t="shared" ca="1" si="441"/>
        <v>84.3</v>
      </c>
      <c r="AN124" s="70">
        <f t="shared" ca="1" si="441"/>
        <v>101.6</v>
      </c>
      <c r="AO124" s="70">
        <f t="shared" ca="1" si="441"/>
        <v>100.1</v>
      </c>
      <c r="AP124" s="70">
        <f t="shared" ca="1" si="441"/>
        <v>100.1</v>
      </c>
      <c r="AQ124" s="70">
        <f t="shared" ca="1" si="441"/>
        <v>100.1</v>
      </c>
      <c r="AR124" s="70">
        <f t="shared" ca="1" si="441"/>
        <v>100.1</v>
      </c>
      <c r="AS124" s="70">
        <f t="shared" ca="1" si="441"/>
        <v>100.1</v>
      </c>
      <c r="AT124" s="70">
        <f t="shared" ca="1" si="441"/>
        <v>100.1</v>
      </c>
      <c r="AU124" s="70">
        <f t="shared" ca="1" si="441"/>
        <v>100.1</v>
      </c>
      <c r="AV124" s="70">
        <f t="shared" ca="1" si="441"/>
        <v>100.1</v>
      </c>
      <c r="AW124" s="70">
        <f t="shared" ca="1" si="441"/>
        <v>100.1</v>
      </c>
      <c r="AX124" s="70">
        <f t="shared" ca="1" si="441"/>
        <v>100.1</v>
      </c>
      <c r="AY124" s="70">
        <f t="shared" ref="AY124" ca="1" si="442">+AX127</f>
        <v>100.1</v>
      </c>
      <c r="AZ124" s="70"/>
      <c r="BA124" s="70"/>
      <c r="BB124" s="70"/>
      <c r="BC124" s="70"/>
      <c r="BD124" s="70"/>
      <c r="BE124" s="70"/>
      <c r="BF124" s="70"/>
      <c r="BG124" s="70"/>
      <c r="BH124" s="70"/>
      <c r="BI124" s="70"/>
      <c r="BJ124" s="70"/>
      <c r="BK124" s="70"/>
      <c r="BL124" s="70"/>
      <c r="BM124" s="70"/>
      <c r="BN124" s="70"/>
      <c r="BO124" s="70"/>
      <c r="BP124" s="70"/>
      <c r="BQ124" s="70"/>
      <c r="BR124" s="70"/>
      <c r="BS124" s="70"/>
      <c r="BT124" s="70"/>
      <c r="BU124" s="70"/>
      <c r="BV124" s="70"/>
      <c r="BW124" s="70"/>
      <c r="BX124" s="70"/>
      <c r="BY124" s="70"/>
      <c r="BZ124" s="70"/>
    </row>
    <row r="125" spans="1:78">
      <c r="B125" s="65" t="s">
        <v>181</v>
      </c>
      <c r="C125" s="69"/>
      <c r="D125" s="69"/>
      <c r="E125" s="69"/>
      <c r="F125" s="69"/>
      <c r="G125" s="69"/>
      <c r="H125" s="69"/>
      <c r="I125" s="69"/>
      <c r="J125" s="69"/>
      <c r="K125" s="69"/>
      <c r="L125" s="69"/>
      <c r="M125" s="69"/>
      <c r="N125" s="69"/>
      <c r="O125" s="69"/>
      <c r="Z125" s="70">
        <f t="shared" ref="Z125:AO125" si="443">+Z123-Z122</f>
        <v>0</v>
      </c>
      <c r="AA125" s="70">
        <f ca="1">+AA123-AA122</f>
        <v>0</v>
      </c>
      <c r="AB125" s="70">
        <f ca="1">+AB123-AB122</f>
        <v>0</v>
      </c>
      <c r="AC125" s="70">
        <f ca="1">+AC123-AC122</f>
        <v>0</v>
      </c>
      <c r="AD125" s="70">
        <f ca="1">+AD123-AD122</f>
        <v>0</v>
      </c>
      <c r="AE125" s="70">
        <f t="shared" ca="1" si="443"/>
        <v>0</v>
      </c>
      <c r="AF125" s="70">
        <f ca="1">+AF123-AF122</f>
        <v>0</v>
      </c>
      <c r="AG125" s="70">
        <f t="shared" ca="1" si="443"/>
        <v>0</v>
      </c>
      <c r="AH125" s="70">
        <f t="shared" ca="1" si="443"/>
        <v>0</v>
      </c>
      <c r="AI125" s="70">
        <f t="shared" ca="1" si="443"/>
        <v>0</v>
      </c>
      <c r="AJ125" s="70">
        <f t="shared" ref="AJ125:AK125" ca="1" si="444">+AJ123-AJ122</f>
        <v>0</v>
      </c>
      <c r="AK125" s="70">
        <f t="shared" ca="1" si="444"/>
        <v>0</v>
      </c>
      <c r="AL125" s="70">
        <f t="shared" ca="1" si="443"/>
        <v>0</v>
      </c>
      <c r="AM125" s="70">
        <f t="shared" ca="1" si="443"/>
        <v>0</v>
      </c>
      <c r="AN125" s="70">
        <f t="shared" ref="AN125" ca="1" si="445">+AN123-AN122</f>
        <v>0</v>
      </c>
      <c r="AO125" s="70">
        <f t="shared" ca="1" si="443"/>
        <v>0</v>
      </c>
      <c r="AP125" s="70">
        <f t="shared" ref="AP125:AX125" ca="1" si="446">+AP123-AP122</f>
        <v>0</v>
      </c>
      <c r="AQ125" s="70">
        <f t="shared" ca="1" si="446"/>
        <v>0</v>
      </c>
      <c r="AR125" s="70">
        <f t="shared" ca="1" si="446"/>
        <v>0</v>
      </c>
      <c r="AS125" s="70">
        <f t="shared" ca="1" si="446"/>
        <v>0</v>
      </c>
      <c r="AT125" s="70">
        <f t="shared" ca="1" si="446"/>
        <v>0</v>
      </c>
      <c r="AU125" s="70">
        <f t="shared" ca="1" si="446"/>
        <v>0</v>
      </c>
      <c r="AV125" s="70">
        <f t="shared" ca="1" si="446"/>
        <v>0</v>
      </c>
      <c r="AW125" s="70">
        <f t="shared" ca="1" si="446"/>
        <v>0</v>
      </c>
      <c r="AX125" s="70">
        <f t="shared" ca="1" si="446"/>
        <v>0</v>
      </c>
      <c r="AY125" s="70">
        <f t="shared" ref="AY125" ca="1" si="447">+AY123-AY122</f>
        <v>0</v>
      </c>
      <c r="AZ125" s="70"/>
      <c r="BA125" s="70"/>
      <c r="BB125" s="70"/>
      <c r="BC125" s="70"/>
      <c r="BD125" s="70"/>
      <c r="BE125" s="70"/>
      <c r="BF125" s="70"/>
      <c r="BG125" s="70"/>
      <c r="BH125" s="70"/>
      <c r="BI125" s="70"/>
      <c r="BJ125" s="70"/>
      <c r="BK125" s="70"/>
      <c r="BL125" s="70"/>
      <c r="BM125" s="70"/>
      <c r="BN125" s="70"/>
      <c r="BO125" s="70"/>
      <c r="BP125" s="70"/>
      <c r="BQ125" s="70"/>
      <c r="BR125" s="70"/>
      <c r="BS125" s="70"/>
      <c r="BT125" s="70"/>
      <c r="BU125" s="70"/>
      <c r="BV125" s="70"/>
      <c r="BW125" s="70"/>
      <c r="BX125" s="70"/>
      <c r="BY125" s="70"/>
      <c r="BZ125" s="70"/>
    </row>
    <row r="126" spans="1:78">
      <c r="B126" s="65" t="s">
        <v>182</v>
      </c>
      <c r="C126" s="69"/>
      <c r="D126" s="69"/>
      <c r="E126" s="69"/>
      <c r="F126" s="69"/>
      <c r="G126" s="69"/>
      <c r="H126" s="69"/>
      <c r="I126" s="69"/>
      <c r="J126" s="69"/>
      <c r="K126" s="69"/>
      <c r="L126" s="69"/>
      <c r="M126" s="69"/>
      <c r="N126" s="69"/>
      <c r="O126" s="69"/>
      <c r="Z126" s="70">
        <f>+IF(Z$2&gt;$C121,-(Z124+Z125),0)</f>
        <v>0</v>
      </c>
      <c r="AA126" s="120">
        <f ca="1">22.856-SUM(AA124:AA125)</f>
        <v>3.3250000000000028</v>
      </c>
      <c r="AB126" s="120">
        <f ca="1">23.3+3.1-SUM(AB124:AB125)</f>
        <v>3.5440000000000005</v>
      </c>
      <c r="AC126" s="120">
        <f ca="1">26.4+3.2-SUM(AC124:AC125)</f>
        <v>3.1999999999999957</v>
      </c>
      <c r="AD126" s="120">
        <f ca="1">4+28.5-SUM(AD124:AD125)</f>
        <v>2.9000000000000021</v>
      </c>
      <c r="AE126" s="120">
        <f ca="1">4.4+28.3-SUM(AE124:AE125)</f>
        <v>0.20000000000000284</v>
      </c>
      <c r="AF126" s="120">
        <f ca="1">4.4+32.1-SUM(AF124:AF125)</f>
        <v>3.7999999999999972</v>
      </c>
      <c r="AG126" s="120">
        <f ca="1">5.4+30.5-SUM(AG124:AG125)</f>
        <v>-0.60000000000000142</v>
      </c>
      <c r="AH126" s="120">
        <f ca="1">5.5+32.8-SUM(AH124:AH125)</f>
        <v>2.3999999999999986</v>
      </c>
      <c r="AI126" s="120">
        <f ca="1">5.8+44.9-SUM(AI124:AI125)</f>
        <v>12.399999999999999</v>
      </c>
      <c r="AJ126" s="120">
        <f ca="1">5.9+46-SUM(AJ124:AJ125)</f>
        <v>1.2000000000000028</v>
      </c>
      <c r="AK126" s="120">
        <f ca="1">7.8+76.6-SUM(AK124:AK125)</f>
        <v>32.499999999999993</v>
      </c>
      <c r="AL126" s="120">
        <f ca="1">7.8+76.5-SUM(AL124:AL125)</f>
        <v>-9.9999999999994316E-2</v>
      </c>
      <c r="AM126" s="120">
        <f ca="1">93.6+8-SUM(AM124:AM125)</f>
        <v>17.299999999999997</v>
      </c>
      <c r="AN126" s="120">
        <f ca="1">92.3+7.8-SUM(AN124:AN125)</f>
        <v>-1.5</v>
      </c>
      <c r="AO126" s="70">
        <f t="shared" ref="AO126" si="448">+IF(AO$2&gt;$C121,-(AO124+AO125),0)</f>
        <v>0</v>
      </c>
      <c r="AP126" s="70">
        <f t="shared" ref="AP126:AX126" si="449">+IF(AP$2&gt;$C121,-(AP124+AP125),0)</f>
        <v>0</v>
      </c>
      <c r="AQ126" s="70">
        <f t="shared" si="449"/>
        <v>0</v>
      </c>
      <c r="AR126" s="70">
        <f t="shared" si="449"/>
        <v>0</v>
      </c>
      <c r="AS126" s="70">
        <f t="shared" si="449"/>
        <v>0</v>
      </c>
      <c r="AT126" s="70">
        <f t="shared" si="449"/>
        <v>0</v>
      </c>
      <c r="AU126" s="70">
        <f t="shared" si="449"/>
        <v>0</v>
      </c>
      <c r="AV126" s="70">
        <f t="shared" si="449"/>
        <v>0</v>
      </c>
      <c r="AW126" s="70">
        <f t="shared" si="449"/>
        <v>0</v>
      </c>
      <c r="AX126" s="70">
        <f t="shared" si="449"/>
        <v>0</v>
      </c>
      <c r="AY126" s="70">
        <f t="shared" ref="AY126" si="450">+IF(AY$2&gt;$C121,-(AY124+AY125),0)</f>
        <v>0</v>
      </c>
      <c r="AZ126" s="70"/>
      <c r="BA126" s="70"/>
      <c r="BB126" s="70"/>
      <c r="BC126" s="70"/>
      <c r="BD126" s="70"/>
      <c r="BE126" s="70"/>
      <c r="BF126" s="70"/>
      <c r="BG126" s="70"/>
      <c r="BH126" s="70"/>
      <c r="BI126" s="70"/>
      <c r="BJ126" s="70"/>
      <c r="BK126" s="70"/>
      <c r="BL126" s="70"/>
      <c r="BM126" s="70"/>
      <c r="BN126" s="70"/>
      <c r="BO126" s="70"/>
      <c r="BP126" s="70"/>
      <c r="BQ126" s="70"/>
      <c r="BR126" s="70"/>
      <c r="BS126" s="70"/>
      <c r="BT126" s="70"/>
      <c r="BU126" s="70"/>
      <c r="BV126" s="70"/>
      <c r="BW126" s="70"/>
      <c r="BX126" s="70"/>
      <c r="BY126" s="70"/>
      <c r="BZ126" s="70"/>
    </row>
    <row r="127" spans="1:78">
      <c r="B127" s="65" t="s">
        <v>183</v>
      </c>
      <c r="C127" s="69"/>
      <c r="D127" s="69"/>
      <c r="E127" s="69"/>
      <c r="F127" s="69"/>
      <c r="G127" s="69"/>
      <c r="H127" s="69"/>
      <c r="I127" s="69"/>
      <c r="J127" s="69"/>
      <c r="K127" s="69"/>
      <c r="L127" s="69"/>
      <c r="M127" s="69"/>
      <c r="N127" s="69"/>
      <c r="O127" s="69"/>
      <c r="Z127" s="50">
        <v>19.530999999999999</v>
      </c>
      <c r="AA127" s="70">
        <f ca="1">+SUM(AA124:AA126)</f>
        <v>22.856000000000002</v>
      </c>
      <c r="AB127" s="70">
        <f ca="1">+SUM(AB124:AB126)</f>
        <v>26.400000000000002</v>
      </c>
      <c r="AC127" s="70">
        <f ca="1">+SUM(AC124:AC126)</f>
        <v>29.599999999999998</v>
      </c>
      <c r="AD127" s="70">
        <f ca="1">+SUM(AD124:AD126)</f>
        <v>32.5</v>
      </c>
      <c r="AE127" s="70">
        <f t="shared" ref="AE127:AO127" ca="1" si="451">+SUM(AE124:AE126)</f>
        <v>32.700000000000003</v>
      </c>
      <c r="AF127" s="70">
        <f ca="1">+SUM(AF124:AF126)</f>
        <v>36.5</v>
      </c>
      <c r="AG127" s="70">
        <f t="shared" ca="1" si="451"/>
        <v>35.9</v>
      </c>
      <c r="AH127" s="70">
        <f t="shared" ca="1" si="451"/>
        <v>38.299999999999997</v>
      </c>
      <c r="AI127" s="70">
        <f t="shared" ca="1" si="451"/>
        <v>50.699999999999996</v>
      </c>
      <c r="AJ127" s="70">
        <f t="shared" ref="AJ127:AK127" ca="1" si="452">+SUM(AJ124:AJ126)</f>
        <v>51.9</v>
      </c>
      <c r="AK127" s="70">
        <f t="shared" ca="1" si="452"/>
        <v>84.399999999999991</v>
      </c>
      <c r="AL127" s="70">
        <f t="shared" ca="1" si="451"/>
        <v>84.3</v>
      </c>
      <c r="AM127" s="70">
        <f t="shared" ca="1" si="451"/>
        <v>101.6</v>
      </c>
      <c r="AN127" s="70">
        <f t="shared" ref="AN127" ca="1" si="453">+SUM(AN124:AN126)</f>
        <v>100.1</v>
      </c>
      <c r="AO127" s="70">
        <f t="shared" ca="1" si="451"/>
        <v>100.1</v>
      </c>
      <c r="AP127" s="70">
        <f t="shared" ref="AP127:AX127" ca="1" si="454">+SUM(AP124:AP126)</f>
        <v>100.1</v>
      </c>
      <c r="AQ127" s="70">
        <f t="shared" ca="1" si="454"/>
        <v>100.1</v>
      </c>
      <c r="AR127" s="70">
        <f t="shared" ca="1" si="454"/>
        <v>100.1</v>
      </c>
      <c r="AS127" s="70">
        <f t="shared" ca="1" si="454"/>
        <v>100.1</v>
      </c>
      <c r="AT127" s="70">
        <f t="shared" ca="1" si="454"/>
        <v>100.1</v>
      </c>
      <c r="AU127" s="70">
        <f t="shared" ca="1" si="454"/>
        <v>100.1</v>
      </c>
      <c r="AV127" s="70">
        <f t="shared" ca="1" si="454"/>
        <v>100.1</v>
      </c>
      <c r="AW127" s="70">
        <f t="shared" ca="1" si="454"/>
        <v>100.1</v>
      </c>
      <c r="AX127" s="70">
        <f t="shared" ca="1" si="454"/>
        <v>100.1</v>
      </c>
      <c r="AY127" s="70">
        <f t="shared" ref="AY127" ca="1" si="455">+SUM(AY124:AY126)</f>
        <v>100.1</v>
      </c>
      <c r="AZ127" s="70"/>
      <c r="BA127" s="70"/>
      <c r="BB127" s="70"/>
      <c r="BC127" s="70"/>
      <c r="BD127" s="70"/>
      <c r="BE127" s="70"/>
      <c r="BF127" s="70"/>
      <c r="BG127" s="70"/>
      <c r="BH127" s="70"/>
      <c r="BI127" s="70"/>
      <c r="BJ127" s="70"/>
      <c r="BK127" s="70"/>
      <c r="BL127" s="70"/>
      <c r="BM127" s="70"/>
      <c r="BN127" s="70"/>
      <c r="BO127" s="70"/>
      <c r="BP127" s="70"/>
      <c r="BQ127" s="70"/>
      <c r="BR127" s="70"/>
      <c r="BS127" s="70"/>
      <c r="BT127" s="70"/>
      <c r="BU127" s="70"/>
      <c r="BV127" s="70"/>
      <c r="BW127" s="70"/>
      <c r="BX127" s="70"/>
      <c r="BY127" s="70"/>
      <c r="BZ127" s="70"/>
    </row>
    <row r="129" spans="1:78" s="1" customFormat="1">
      <c r="A129" s="1" t="s">
        <v>40</v>
      </c>
      <c r="B129" s="77" t="s">
        <v>189</v>
      </c>
    </row>
    <row r="130" spans="1:78">
      <c r="AK130" s="6"/>
    </row>
    <row r="131" spans="1:78">
      <c r="B131" t="s">
        <v>191</v>
      </c>
      <c r="G131" s="41">
        <f>+BS!G21+BS!G26+BS!G31</f>
        <v>2843.8721699022003</v>
      </c>
      <c r="H131" s="41">
        <f>+BS!H21+BS!H26+BS!H31</f>
        <v>3242.5379999999996</v>
      </c>
      <c r="I131" s="41">
        <f>+BS!I21+BS!I26+BS!I31</f>
        <v>3673.1</v>
      </c>
      <c r="J131" s="41">
        <f>+BS!J21+BS!J26+BS!J31</f>
        <v>4091.1000000000004</v>
      </c>
      <c r="K131" s="41">
        <f>+BS!K21+BS!K26+BS!K31</f>
        <v>5545.7</v>
      </c>
      <c r="L131" s="41">
        <f ca="1">+BS!L21+BS!L26+BS!L31</f>
        <v>5542.1876239148287</v>
      </c>
      <c r="M131" s="41">
        <f ca="1">+BS!M21+BS!M26+BS!M31</f>
        <v>5527.383366995582</v>
      </c>
      <c r="N131" s="41">
        <f ca="1">+BS!N21+BS!N26+BS!N31</f>
        <v>5511.839648796923</v>
      </c>
      <c r="T131" s="41">
        <f>+BS!T21+BS!T26+BS!T31</f>
        <v>2845.8618106703598</v>
      </c>
      <c r="U131" s="41">
        <f>+BS!U21+BS!U26+BS!U31</f>
        <v>2843.71571631907</v>
      </c>
      <c r="V131" s="41">
        <f>+BS!V21+BS!V26+BS!V31</f>
        <v>2850.918936711947</v>
      </c>
      <c r="W131" s="41">
        <f>+BS!W21+BS!W26+BS!W31</f>
        <v>2843.8721699022003</v>
      </c>
      <c r="X131" s="41">
        <f>+BS!X21+BS!X26+BS!X31</f>
        <v>2848.1533881322002</v>
      </c>
      <c r="Y131" s="41">
        <f>+BS!Y21+BS!Y26+BS!Y31</f>
        <v>2842.7501803835285</v>
      </c>
      <c r="Z131" s="41">
        <f>+BS!Z21+BS!Z26+BS!Z31</f>
        <v>2987.9059541649726</v>
      </c>
      <c r="AA131" s="41">
        <f>+BS!AA21+BS!AA26+BS!AA31+BS!AA32</f>
        <v>3265.3939999999998</v>
      </c>
      <c r="AB131" s="41">
        <f>+BS!AB21+BS!AB26+BS!AB31+BS!AB32</f>
        <v>3262.4</v>
      </c>
      <c r="AC131" s="41">
        <f>+BS!AC21+BS!AC26+BS!AC31+BS!AC32</f>
        <v>3012</v>
      </c>
      <c r="AD131" s="6">
        <f ca="1">+AD18+AD63+AD71+AD127+AD79+AD87+AD95</f>
        <v>3773.1000000000004</v>
      </c>
      <c r="AE131" s="6">
        <f ca="1">+AE18+AE63+AE71+AE127+AE79+AE87+AE95</f>
        <v>3701.4</v>
      </c>
      <c r="AF131" s="6">
        <f ca="1">+AF18+AF63+AF71+AF127+AF79+AF87+AF95</f>
        <v>3704.1</v>
      </c>
      <c r="AG131" s="6">
        <f ca="1">+AG18+AG63+AG71+AG127+AG79+AG87+AG95</f>
        <v>3702.2</v>
      </c>
      <c r="AH131" s="6">
        <f ca="1">+AH18+AH63+AH71+AH127+AH79+AH87+AH95+AH27</f>
        <v>4095.6118122887697</v>
      </c>
      <c r="AI131" s="6">
        <f ca="1">+AI18+AI63+AI71+AI127+AI79+AI87+AI95+AI27+AI103</f>
        <v>4136</v>
      </c>
      <c r="AJ131" s="6">
        <f t="shared" ref="AJ131" ca="1" si="456">+AJ18+AJ63+AJ71+AJ127+AJ79+AJ87+AJ95+AJ27+AJ103</f>
        <v>4140</v>
      </c>
      <c r="AK131" s="6">
        <f t="shared" ref="AK131" ca="1" si="457">+AK18+AK63+AK71+AK127+AK79+AK87+AK95+AK27+AK103</f>
        <v>4175.7000000000007</v>
      </c>
      <c r="AL131" s="6">
        <f ca="1">+AL127+AL79+AL87+AL95+AL103+AL36+AL45+AL54+AL111</f>
        <v>5608.1672461519993</v>
      </c>
      <c r="AM131" s="6">
        <f ca="1">+AM127+AM79+AM87+AM95+AM103+AM36+AM45+AM54+AM111</f>
        <v>5067.8281296407295</v>
      </c>
      <c r="AN131" s="6">
        <f ca="1">+AN127+AN79+AN87+AN95+AN103+AN36+AN45+AN54+AN111</f>
        <v>4759.0282417805292</v>
      </c>
      <c r="AO131" s="6">
        <f ca="1">+AO127+AO79+AO87+AO95+AO103+AO36+AO45+AO54+AO111</f>
        <v>4756.2387991136602</v>
      </c>
      <c r="AP131" s="6">
        <f t="shared" ref="AP131:AY131" ca="1" si="458">++AP127+AP79+AP87+AP95+AP103+AP36+AP45+AP54+AP111+AP119</f>
        <v>5635.5775995749218</v>
      </c>
      <c r="AQ131" s="6">
        <f t="shared" ca="1" si="458"/>
        <v>5631.9876239148289</v>
      </c>
      <c r="AR131" s="6">
        <f t="shared" ca="1" si="458"/>
        <v>5628.3537919030186</v>
      </c>
      <c r="AS131" s="6">
        <f t="shared" ca="1" si="458"/>
        <v>5624.6755285490126</v>
      </c>
      <c r="AT131" s="6">
        <f t="shared" ca="1" si="458"/>
        <v>5620.952250715196</v>
      </c>
      <c r="AU131" s="6">
        <f t="shared" ca="1" si="458"/>
        <v>5617.1833669955822</v>
      </c>
      <c r="AV131" s="6">
        <f t="shared" ca="1" si="458"/>
        <v>5613.36827759268</v>
      </c>
      <c r="AW131" s="6">
        <f t="shared" ca="1" si="458"/>
        <v>5609.5063741924469</v>
      </c>
      <c r="AX131" s="6">
        <f t="shared" ca="1" si="458"/>
        <v>5605.5970398372619</v>
      </c>
      <c r="AY131" s="6">
        <f t="shared" ca="1" si="458"/>
        <v>5601.6396487969232</v>
      </c>
      <c r="AZ131" s="6"/>
      <c r="BA131" s="6"/>
      <c r="BB131" s="6"/>
      <c r="BC131" s="6"/>
      <c r="BD131" s="6"/>
      <c r="BE131" s="6"/>
      <c r="BF131" s="6"/>
      <c r="BG131" s="6"/>
      <c r="BH131" s="6"/>
      <c r="BI131" s="6"/>
      <c r="BJ131" s="6"/>
      <c r="BK131" s="6"/>
      <c r="BL131" s="6"/>
      <c r="BM131" s="6"/>
      <c r="BN131" s="6"/>
      <c r="BO131" s="6"/>
      <c r="BP131" s="6"/>
      <c r="BQ131" s="6"/>
      <c r="BR131" s="6"/>
      <c r="BS131" s="6"/>
      <c r="BT131" s="6"/>
      <c r="BU131" s="6"/>
      <c r="BV131" s="6"/>
      <c r="BW131" s="6"/>
      <c r="BX131" s="6"/>
      <c r="BY131" s="6"/>
      <c r="BZ131" s="6"/>
    </row>
    <row r="132" spans="1:78">
      <c r="B132" t="s">
        <v>190</v>
      </c>
      <c r="Z132" s="41">
        <f>BS!Z21</f>
        <v>17.699984869999998</v>
      </c>
      <c r="AA132" s="41">
        <f>BS!AA21</f>
        <v>20.45</v>
      </c>
      <c r="AB132" s="41">
        <f>BS!AB21</f>
        <v>20.5</v>
      </c>
      <c r="AC132" s="41">
        <f>BS!AC21</f>
        <v>20.5</v>
      </c>
      <c r="AD132" s="41">
        <f>BS!AD21</f>
        <v>20.5</v>
      </c>
      <c r="AE132" s="41">
        <f>BS!AE21</f>
        <v>16.5</v>
      </c>
      <c r="AF132" s="41">
        <f>BS!AF21</f>
        <v>16.5</v>
      </c>
      <c r="AG132" s="41">
        <f>BS!AG21</f>
        <v>16.5</v>
      </c>
      <c r="AH132" s="41">
        <f>BS!AH21</f>
        <v>20.5</v>
      </c>
      <c r="AI132" s="41">
        <f>BS!AI21</f>
        <v>0</v>
      </c>
      <c r="AJ132" s="41">
        <f>BS!AJ21</f>
        <v>0</v>
      </c>
      <c r="AK132" s="41">
        <f>BS!AK21</f>
        <v>0</v>
      </c>
      <c r="AL132" s="41">
        <f>BS!AL21</f>
        <v>25</v>
      </c>
      <c r="AM132" s="41">
        <f>BS!AM21</f>
        <v>5</v>
      </c>
      <c r="AN132" s="41">
        <f>BS!AN21</f>
        <v>5</v>
      </c>
      <c r="AO132" s="41">
        <f>BS!AO21</f>
        <v>5</v>
      </c>
      <c r="AP132" s="41">
        <f>BS!AP21</f>
        <v>5</v>
      </c>
      <c r="AQ132" s="41">
        <f>BS!AQ21</f>
        <v>5</v>
      </c>
      <c r="AR132" s="41">
        <f>BS!AR21</f>
        <v>5</v>
      </c>
      <c r="AS132" s="41">
        <f>BS!AS21</f>
        <v>5</v>
      </c>
      <c r="AT132" s="41">
        <f>BS!AT21</f>
        <v>5</v>
      </c>
      <c r="AU132" s="41">
        <f>BS!AU21</f>
        <v>5</v>
      </c>
      <c r="AV132" s="41">
        <f>BS!AV21</f>
        <v>5</v>
      </c>
      <c r="AW132" s="41">
        <f>BS!AW21</f>
        <v>5</v>
      </c>
      <c r="AX132" s="41">
        <f>BS!AX21</f>
        <v>5</v>
      </c>
      <c r="AY132" s="41">
        <f>BS!AY21</f>
        <v>5</v>
      </c>
      <c r="AZ132" s="41"/>
      <c r="BA132" s="41"/>
      <c r="BB132" s="41"/>
      <c r="BC132" s="41"/>
      <c r="BD132" s="41"/>
      <c r="BE132" s="41"/>
      <c r="BF132" s="41"/>
      <c r="BG132" s="41"/>
      <c r="BH132" s="41"/>
      <c r="BI132" s="41"/>
      <c r="BJ132" s="41"/>
      <c r="BK132" s="41"/>
      <c r="BL132" s="41"/>
      <c r="BM132" s="41"/>
      <c r="BN132" s="41"/>
      <c r="BO132" s="41"/>
      <c r="BP132" s="41"/>
      <c r="BQ132" s="41"/>
      <c r="BR132" s="41"/>
      <c r="BS132" s="41"/>
      <c r="BT132" s="41"/>
      <c r="BU132" s="41"/>
      <c r="BV132" s="41"/>
      <c r="BW132" s="41"/>
      <c r="BX132" s="41"/>
      <c r="BY132" s="41"/>
      <c r="BZ132" s="41"/>
    </row>
    <row r="133" spans="1:78">
      <c r="B133" t="s">
        <v>193</v>
      </c>
      <c r="Z133" s="41">
        <f>BS!Z26+BS!Z32</f>
        <v>13.654640771573</v>
      </c>
      <c r="AA133" s="41">
        <f>BS!AA26+BS!AA32</f>
        <v>25.271000000000001</v>
      </c>
      <c r="AB133" s="41">
        <f>BS!AB26+BS!AB32</f>
        <v>26.400000000000002</v>
      </c>
      <c r="AC133" s="41">
        <f>BS!AC26+BS!AC32</f>
        <v>29.599999999999998</v>
      </c>
      <c r="AD133" s="41">
        <f>BS!AD26+BS!AD32</f>
        <v>32.5</v>
      </c>
      <c r="AE133" s="41">
        <f>BS!AE26+BS!AE32</f>
        <v>32.700000000000003</v>
      </c>
      <c r="AF133" s="41">
        <f>BS!AF26+BS!AF32</f>
        <v>36.5</v>
      </c>
      <c r="AG133" s="41">
        <f>BS!AG26+BS!AG32</f>
        <v>35.9</v>
      </c>
      <c r="AH133" s="41">
        <f>BS!AH26+BS!AH32</f>
        <v>38.299999999999997</v>
      </c>
      <c r="AI133" s="41">
        <f>BS!AI26+BS!AI32</f>
        <v>50.699999999999996</v>
      </c>
      <c r="AJ133" s="41">
        <f>BS!AJ26+BS!AJ32</f>
        <v>51.9</v>
      </c>
      <c r="AK133" s="41">
        <f>BS!AK26+BS!AK32</f>
        <v>84.399999999999991</v>
      </c>
      <c r="AL133" s="41">
        <f>BS!AL26+BS!AL32</f>
        <v>84.3</v>
      </c>
      <c r="AM133" s="41">
        <f>BS!AM26+BS!AM32</f>
        <v>101.6</v>
      </c>
      <c r="AN133" s="41">
        <f>BS!AN26+BS!AN32</f>
        <v>100.1</v>
      </c>
      <c r="AO133" s="41">
        <f>BS!AO26+BS!AO32</f>
        <v>98.2</v>
      </c>
      <c r="AP133" s="41">
        <f>BS!AP26+BS!AP32</f>
        <v>98.2</v>
      </c>
      <c r="AQ133" s="41">
        <f>BS!AQ26+BS!AQ32</f>
        <v>98.2</v>
      </c>
      <c r="AR133" s="41">
        <f>BS!AR26+BS!AR32</f>
        <v>98.2</v>
      </c>
      <c r="AS133" s="41">
        <f>BS!AS26+BS!AS32</f>
        <v>98.2</v>
      </c>
      <c r="AT133" s="41">
        <f>BS!AT26+BS!AT32</f>
        <v>98.2</v>
      </c>
      <c r="AU133" s="41">
        <f>BS!AU26+BS!AU32</f>
        <v>98.2</v>
      </c>
      <c r="AV133" s="41">
        <f>BS!AV26+BS!AV32</f>
        <v>98.2</v>
      </c>
      <c r="AW133" s="41">
        <f>BS!AW26+BS!AW32</f>
        <v>98.2</v>
      </c>
      <c r="AX133" s="41">
        <f>BS!AX26+BS!AX32</f>
        <v>98.2</v>
      </c>
      <c r="AY133" s="41">
        <f>BS!AY26+BS!AY32</f>
        <v>98.2</v>
      </c>
      <c r="AZ133" s="41"/>
      <c r="BA133" s="41"/>
      <c r="BB133" s="41"/>
      <c r="BC133" s="41"/>
      <c r="BD133" s="41"/>
      <c r="BE133" s="41"/>
      <c r="BF133" s="41"/>
      <c r="BG133" s="41"/>
      <c r="BH133" s="41"/>
      <c r="BI133" s="41"/>
      <c r="BJ133" s="41"/>
      <c r="BK133" s="41"/>
      <c r="BL133" s="41"/>
      <c r="BM133" s="41"/>
      <c r="BN133" s="41"/>
      <c r="BO133" s="41"/>
      <c r="BP133" s="41"/>
      <c r="BQ133" s="41"/>
      <c r="BR133" s="41"/>
      <c r="BS133" s="41"/>
      <c r="BT133" s="41"/>
      <c r="BU133" s="41"/>
      <c r="BV133" s="41"/>
      <c r="BW133" s="41"/>
      <c r="BX133" s="41"/>
      <c r="BY133" s="41"/>
      <c r="BZ133" s="41"/>
    </row>
    <row r="134" spans="1:78">
      <c r="B134" t="s">
        <v>192</v>
      </c>
      <c r="W134" s="6"/>
      <c r="X134" s="6"/>
      <c r="Y134" s="6"/>
      <c r="Z134" s="6">
        <f>+Z131-Z132-Z133</f>
        <v>2956.5513285233992</v>
      </c>
      <c r="AA134" s="6">
        <f>+AA131-AA132-AA133</f>
        <v>3219.6729999999998</v>
      </c>
      <c r="AB134" s="6">
        <f>+AB131-AB132-AB133</f>
        <v>3215.5</v>
      </c>
      <c r="AC134" s="6">
        <f>+AC131-AC132-AC133</f>
        <v>2961.9</v>
      </c>
      <c r="AD134" s="6">
        <f t="shared" ref="AD134:AL134" ca="1" si="459">+AD131-AD132-AD133</f>
        <v>3720.1000000000004</v>
      </c>
      <c r="AE134" s="6">
        <f t="shared" ca="1" si="459"/>
        <v>3652.2000000000003</v>
      </c>
      <c r="AF134" s="6">
        <f ca="1">+AF131-AF132-AF133</f>
        <v>3651.1</v>
      </c>
      <c r="AG134" s="6">
        <f t="shared" ca="1" si="459"/>
        <v>3649.7999999999997</v>
      </c>
      <c r="AH134" s="6">
        <f t="shared" ca="1" si="459"/>
        <v>4036.8118122887695</v>
      </c>
      <c r="AI134" s="6">
        <f t="shared" ca="1" si="459"/>
        <v>4085.3</v>
      </c>
      <c r="AJ134" s="6">
        <f t="shared" ca="1" si="459"/>
        <v>4088.1</v>
      </c>
      <c r="AK134" s="6">
        <f t="shared" ref="AK134" ca="1" si="460">+AK131-AK132-AK133</f>
        <v>4091.3000000000006</v>
      </c>
      <c r="AL134" s="6">
        <f t="shared" ca="1" si="459"/>
        <v>5498.8672461519991</v>
      </c>
      <c r="AM134" s="6">
        <f t="shared" ref="AM134:AO134" ca="1" si="461">+AM131-AM132-AM133</f>
        <v>4961.2281296407291</v>
      </c>
      <c r="AN134" s="6">
        <f t="shared" ca="1" si="461"/>
        <v>4653.9282417805289</v>
      </c>
      <c r="AO134" s="6">
        <f t="shared" ca="1" si="461"/>
        <v>4653.0387991136604</v>
      </c>
      <c r="AP134" s="6">
        <f t="shared" ref="AP134:AX134" ca="1" si="462">+AP131-AP132-AP133</f>
        <v>5532.377599574922</v>
      </c>
      <c r="AQ134" s="6">
        <f t="shared" ca="1" si="462"/>
        <v>5528.7876239148291</v>
      </c>
      <c r="AR134" s="6">
        <f t="shared" ca="1" si="462"/>
        <v>5525.1537919030188</v>
      </c>
      <c r="AS134" s="6">
        <f t="shared" ca="1" si="462"/>
        <v>5521.4755285490128</v>
      </c>
      <c r="AT134" s="6">
        <f t="shared" ca="1" si="462"/>
        <v>5517.7522507151962</v>
      </c>
      <c r="AU134" s="6">
        <f t="shared" ca="1" si="462"/>
        <v>5513.9833669955824</v>
      </c>
      <c r="AV134" s="6">
        <f t="shared" ca="1" si="462"/>
        <v>5510.1682775926802</v>
      </c>
      <c r="AW134" s="6">
        <f t="shared" ca="1" si="462"/>
        <v>5506.306374192447</v>
      </c>
      <c r="AX134" s="6">
        <f t="shared" ca="1" si="462"/>
        <v>5502.3970398372621</v>
      </c>
      <c r="AY134" s="6">
        <f t="shared" ref="AY134" ca="1" si="463">+AY131-AY132-AY133</f>
        <v>5498.4396487969234</v>
      </c>
      <c r="AZ134" s="6"/>
      <c r="BA134" s="6"/>
      <c r="BB134" s="6"/>
      <c r="BC134" s="6"/>
      <c r="BD134" s="6"/>
      <c r="BE134" s="6"/>
      <c r="BF134" s="6"/>
      <c r="BG134" s="6"/>
      <c r="BH134" s="6"/>
      <c r="BI134" s="6"/>
      <c r="BJ134" s="6"/>
      <c r="BK134" s="6"/>
      <c r="BL134" s="6"/>
      <c r="BM134" s="6"/>
      <c r="BN134" s="6"/>
      <c r="BO134" s="6"/>
      <c r="BP134" s="6"/>
      <c r="BQ134" s="6"/>
      <c r="BR134" s="6"/>
      <c r="BS134" s="6"/>
      <c r="BT134" s="6"/>
      <c r="BU134" s="6"/>
      <c r="BV134" s="6"/>
      <c r="BW134" s="6"/>
      <c r="BX134" s="6"/>
      <c r="BY134" s="6"/>
      <c r="BZ134" s="6"/>
    </row>
    <row r="136" spans="1:78">
      <c r="B136" t="s">
        <v>194</v>
      </c>
      <c r="T136" s="6"/>
      <c r="Z136" s="6">
        <f>+Z131-BS!Z21-BS!Z26-BS!Z31</f>
        <v>0</v>
      </c>
      <c r="AA136" s="6">
        <f>+AA131-BS!AA21-BS!AA26-BS!AA31-BS!AA32</f>
        <v>2.2026824808563106E-13</v>
      </c>
      <c r="AB136" s="6">
        <f>+AB131-BS!AB21-BS!AB26-BS!AB31-BS!AB32</f>
        <v>1.8118839761882555E-13</v>
      </c>
      <c r="AC136" s="6">
        <f>+AC131-BS!AC21-BS!AC26-BS!AC31-BS!AC32</f>
        <v>9.2370555648813024E-14</v>
      </c>
      <c r="AD136" s="6">
        <f ca="1">+AD131-BS!AD21-BS!AD26-BS!AD31-BS!AD32</f>
        <v>4.5474735088646412E-13</v>
      </c>
      <c r="AE136" s="6">
        <f ca="1">+AE131-BS!AE21-BS!AE26-BS!AE31-BS!AE32</f>
        <v>1.8118839761882555E-13</v>
      </c>
      <c r="AF136" s="6">
        <f ca="1">+AF131-BS!AF21-BS!AF26-BS!AF31-BS!AF32</f>
        <v>-9.2370555648813024E-14</v>
      </c>
      <c r="AG136" s="6">
        <f ca="1">+AG131-BS!AG21-BS!AG26-BS!AG31-BS!AG32</f>
        <v>-4.5474735088646412E-13</v>
      </c>
      <c r="AH136" s="6">
        <f ca="1">+AH131-BS!AH21-BS!AH26-BS!AH31-BS!AH32</f>
        <v>1.181228876949092E-2</v>
      </c>
      <c r="AI136" s="6">
        <f ca="1">+AI131-BS!AI21-BS!AI26-BS!AI31-BS!AI32</f>
        <v>-3.6237679523765109E-13</v>
      </c>
      <c r="AJ136" s="6">
        <f ca="1">+AJ131-BS!AJ21-BS!AJ26-BS!AJ31-BS!AJ32</f>
        <v>4.5474735088646412E-13</v>
      </c>
      <c r="AK136" s="6">
        <f ca="1">+AK131-BS!AK21-BS!AK26-BS!AK31-BS!AK32</f>
        <v>3.694822225952521E-13</v>
      </c>
      <c r="AL136" s="6">
        <f ca="1">+AL131-BS!AL21-BS!AL26-BS!AL31-BS!AL32</f>
        <v>6.7246151998915593E-2</v>
      </c>
      <c r="AM136" s="6">
        <f ca="1">+AM131-BS!AM21-BS!AM26-BS!AM31-BS!AM32</f>
        <v>-571.47187035927038</v>
      </c>
      <c r="AN136" s="6">
        <f ca="1">+AN131-BS!AN21-BS!AN26-BS!AN31-BS!AN32</f>
        <v>-883.57175821947089</v>
      </c>
      <c r="AO136" s="6">
        <f ca="1">+AO131-BS!AO21-BS!AO26-BS!AO31-BS!AO32</f>
        <v>-885.56120088633975</v>
      </c>
      <c r="AP136" s="6">
        <f ca="1">+AP131-BS!AP21-BS!AP26-BS!AP31-BS!AP32</f>
        <v>1.8474111129762605E-13</v>
      </c>
      <c r="AQ136" s="6">
        <f ca="1">+AQ131-BS!AQ21-BS!AQ26-BS!AQ31-BS!AQ32</f>
        <v>1.8474111129762605E-13</v>
      </c>
      <c r="AR136" s="6">
        <f ca="1">+AR131-BS!AR21-BS!AR26-BS!AR31-BS!AR32</f>
        <v>1.8474111129762605E-13</v>
      </c>
      <c r="AS136" s="6">
        <f ca="1">+AS131-BS!AS21-BS!AS26-BS!AS31-BS!AS32</f>
        <v>1.8474111129762605E-13</v>
      </c>
      <c r="AT136" s="6">
        <f ca="1">+AT131-BS!AT21-BS!AT26-BS!AT31-BS!AT32</f>
        <v>1.8474111129762605E-13</v>
      </c>
      <c r="AU136" s="6">
        <f ca="1">+AU131-BS!AU21-BS!AU26-BS!AU31-BS!AU32</f>
        <v>1.8474111129762605E-13</v>
      </c>
      <c r="AV136" s="6">
        <f ca="1">+AV131-BS!AV21-BS!AV26-BS!AV31-BS!AV32</f>
        <v>1.8474111129762605E-13</v>
      </c>
      <c r="AW136" s="6">
        <f ca="1">+AW131-BS!AW21-BS!AW26-BS!AW31-BS!AW32</f>
        <v>1.8474111129762605E-13</v>
      </c>
      <c r="AX136" s="6">
        <f ca="1">+AX131-BS!AX21-BS!AX26-BS!AX31-BS!AX32</f>
        <v>1.8474111129762605E-13</v>
      </c>
      <c r="AY136" s="6">
        <f ca="1">+AY131-BS!AY21-BS!AY26-BS!AY31-BS!AY32</f>
        <v>1.8474111129762605E-13</v>
      </c>
      <c r="AZ136" s="6"/>
      <c r="BA136" s="6"/>
      <c r="BB136" s="6"/>
      <c r="BC136" s="6"/>
      <c r="BD136" s="6"/>
      <c r="BE136" s="6"/>
      <c r="BF136" s="6"/>
      <c r="BG136" s="6"/>
      <c r="BH136" s="6"/>
      <c r="BI136" s="6"/>
      <c r="BJ136" s="6"/>
      <c r="BK136" s="6"/>
      <c r="BL136" s="6"/>
      <c r="BM136" s="6"/>
      <c r="BN136" s="6"/>
      <c r="BO136" s="6"/>
      <c r="BP136" s="6"/>
      <c r="BQ136" s="6"/>
      <c r="BR136" s="6"/>
      <c r="BS136" s="6"/>
      <c r="BT136" s="6"/>
      <c r="BU136" s="6"/>
      <c r="BV136" s="6"/>
      <c r="BW136" s="6"/>
      <c r="BX136" s="6"/>
      <c r="BY136" s="6"/>
      <c r="BZ136" s="6"/>
    </row>
    <row r="138" spans="1:78">
      <c r="B138" t="s">
        <v>195</v>
      </c>
      <c r="G138" s="41">
        <f>IS!G21</f>
        <v>202.3990715417813</v>
      </c>
      <c r="H138" s="41">
        <f>IS!H21</f>
        <v>203.43501138084349</v>
      </c>
      <c r="I138" s="41">
        <f>IS!I21</f>
        <v>214</v>
      </c>
      <c r="J138" s="41">
        <f>IS!J21</f>
        <v>220.1</v>
      </c>
      <c r="K138" s="41">
        <f>IS!K21</f>
        <v>241.5</v>
      </c>
      <c r="L138" s="41">
        <f ca="1">IS!L21</f>
        <v>291.59230725919269</v>
      </c>
      <c r="M138" s="41">
        <f ca="1">IS!M21</f>
        <v>289.80806725939692</v>
      </c>
      <c r="N138" s="41">
        <f ca="1">IS!N21</f>
        <v>289.80778704386182</v>
      </c>
      <c r="T138" s="41">
        <f>IS!T21</f>
        <v>62.527663042372225</v>
      </c>
      <c r="U138" s="41">
        <f>IS!U21</f>
        <v>52.613457254425626</v>
      </c>
      <c r="V138" s="41">
        <f>IS!V21</f>
        <v>49.606358247925776</v>
      </c>
      <c r="W138" s="41">
        <f>IS!W21</f>
        <v>37.651592997057669</v>
      </c>
      <c r="X138" s="41">
        <f>IS!X21</f>
        <v>51.478101461387666</v>
      </c>
      <c r="Y138" s="41">
        <f>IS!Y21</f>
        <v>50.261359474242028</v>
      </c>
      <c r="Z138" s="41">
        <f>IS!Z21</f>
        <v>49.122097752465336</v>
      </c>
      <c r="AA138" s="41">
        <f>IS!AA21</f>
        <v>52.573452692748461</v>
      </c>
      <c r="AB138" s="41">
        <f>IS!AB21</f>
        <v>46.9</v>
      </c>
      <c r="AC138" s="41">
        <f>IS!AC21</f>
        <v>53.4</v>
      </c>
      <c r="AD138" s="41">
        <f>IS!AD21</f>
        <v>60.7</v>
      </c>
      <c r="AE138" s="41">
        <f>IS!AE21</f>
        <v>53</v>
      </c>
      <c r="AF138" s="41">
        <f>IS!AF21</f>
        <v>53.8</v>
      </c>
      <c r="AG138" s="41">
        <f>IS!AG21</f>
        <v>51.2</v>
      </c>
      <c r="AH138" s="41">
        <f>IS!AH21</f>
        <v>57.7</v>
      </c>
      <c r="AI138" s="41">
        <f>IS!AI21</f>
        <v>57.4</v>
      </c>
      <c r="AJ138" s="41">
        <f>IS!AJ21</f>
        <v>53.3</v>
      </c>
      <c r="AK138" s="41">
        <f>IS!AK21</f>
        <v>53.7</v>
      </c>
      <c r="AL138" s="41">
        <f>IS!AL21</f>
        <v>63</v>
      </c>
      <c r="AM138" s="41">
        <f>IS!AM21</f>
        <v>71.5</v>
      </c>
      <c r="AN138" s="41">
        <f>IS!AN21</f>
        <v>73.599999999999994</v>
      </c>
      <c r="AO138" s="41">
        <f>IS!AO21</f>
        <v>73.099999999999994</v>
      </c>
      <c r="AP138" s="6">
        <f t="shared" ref="AP138:AY138" ca="1" si="464">+AP123+AP75+AP83+AP91+AP99+AP32+AP41+AP50+AP107+AP115</f>
        <v>72.444698915856691</v>
      </c>
      <c r="AQ138" s="6">
        <f t="shared" ca="1" si="464"/>
        <v>72.447608343335986</v>
      </c>
      <c r="AR138" s="6">
        <f t="shared" ca="1" si="464"/>
        <v>72.449950808111893</v>
      </c>
      <c r="AS138" s="6">
        <f t="shared" ca="1" si="464"/>
        <v>72.451718282409971</v>
      </c>
      <c r="AT138" s="6">
        <f t="shared" ca="1" si="464"/>
        <v>72.452902619090963</v>
      </c>
      <c r="AU138" s="6">
        <f t="shared" ca="1" si="464"/>
        <v>72.453495549784108</v>
      </c>
      <c r="AV138" s="6">
        <f t="shared" ca="1" si="464"/>
        <v>72.453488682989686</v>
      </c>
      <c r="AW138" s="6">
        <f t="shared" ca="1" si="464"/>
        <v>72.452873502150553</v>
      </c>
      <c r="AX138" s="6">
        <f t="shared" ca="1" si="464"/>
        <v>72.451641363692019</v>
      </c>
      <c r="AY138" s="6">
        <f t="shared" ca="1" si="464"/>
        <v>72.449783495029578</v>
      </c>
      <c r="AZ138" s="6"/>
      <c r="BA138" s="6"/>
      <c r="BB138" s="6"/>
      <c r="BC138" s="6"/>
      <c r="BD138" s="6"/>
      <c r="BE138" s="6"/>
      <c r="BF138" s="6"/>
      <c r="BG138" s="6"/>
      <c r="BH138" s="6"/>
      <c r="BI138" s="6"/>
      <c r="BJ138" s="6"/>
      <c r="BK138" s="6"/>
      <c r="BL138" s="6"/>
      <c r="BM138" s="6"/>
      <c r="BN138" s="6"/>
      <c r="BO138" s="6"/>
      <c r="BP138" s="6"/>
      <c r="BQ138" s="6"/>
      <c r="BR138" s="6"/>
      <c r="BS138" s="6"/>
      <c r="BT138" s="6"/>
      <c r="BU138" s="6"/>
      <c r="BV138" s="6"/>
      <c r="BW138" s="6"/>
      <c r="BX138" s="6"/>
      <c r="BY138" s="6"/>
      <c r="BZ138" s="6"/>
    </row>
    <row r="140" spans="1:78">
      <c r="B140" t="s">
        <v>196</v>
      </c>
      <c r="F140" s="41"/>
      <c r="G140" s="41">
        <f>BS!G5</f>
        <v>91.313012048752995</v>
      </c>
      <c r="H140" s="41">
        <f>BS!H5</f>
        <v>297.423</v>
      </c>
      <c r="I140" s="41">
        <f>BS!I5</f>
        <v>308.59999999999997</v>
      </c>
      <c r="J140" s="41">
        <f>BS!J5</f>
        <v>170.69999999999993</v>
      </c>
      <c r="K140" s="41">
        <f>BS!K5</f>
        <v>220.7</v>
      </c>
      <c r="L140" s="41">
        <f ca="1">BS!L5</f>
        <v>301.63511914250603</v>
      </c>
      <c r="M140" s="41">
        <f ca="1">BS!M5</f>
        <v>447.48147159296127</v>
      </c>
      <c r="N140" s="41">
        <f ca="1">BS!N5</f>
        <v>726.84350907698308</v>
      </c>
      <c r="T140" s="41">
        <f>BS!T5</f>
        <v>221.942483676151</v>
      </c>
      <c r="U140" s="41">
        <f>BS!U5</f>
        <v>99.439509780891996</v>
      </c>
      <c r="V140" s="41">
        <f>BS!V5</f>
        <v>70.177172818441008</v>
      </c>
      <c r="W140" s="41">
        <f>BS!W5</f>
        <v>91.313012048752995</v>
      </c>
      <c r="X140" s="41">
        <f>BS!X5</f>
        <v>97.448272404297995</v>
      </c>
      <c r="Y140" s="41">
        <f>BS!Y5</f>
        <v>206.75864977252002</v>
      </c>
      <c r="Z140" s="41">
        <f>BS!Z5</f>
        <v>254.607473447345</v>
      </c>
      <c r="AA140" s="41">
        <f>BS!AA5</f>
        <v>297.423</v>
      </c>
      <c r="AB140" s="41">
        <f>BS!AB5</f>
        <v>167.3</v>
      </c>
      <c r="AC140" s="41">
        <f>BS!AC5</f>
        <v>163.6</v>
      </c>
      <c r="AD140" s="41">
        <f>BS!AD5</f>
        <v>273.69999999999993</v>
      </c>
      <c r="AE140" s="41">
        <f>BS!AE5</f>
        <v>308.59999999999997</v>
      </c>
      <c r="AF140" s="41">
        <f>BS!AF5</f>
        <v>345.7</v>
      </c>
      <c r="AG140" s="41">
        <f>BS!AG5</f>
        <v>176.20000000000002</v>
      </c>
      <c r="AH140" s="41">
        <f>BS!AH5</f>
        <v>215.2</v>
      </c>
      <c r="AI140" s="41">
        <f>BS!AI5</f>
        <v>170.69999999999993</v>
      </c>
      <c r="AJ140" s="41">
        <f>BS!AJ5</f>
        <v>192.99999999999994</v>
      </c>
      <c r="AK140" s="41">
        <f>BS!AK5</f>
        <v>143.99999999999994</v>
      </c>
      <c r="AL140" s="41">
        <f>BS!AL5</f>
        <v>198.40000000000003</v>
      </c>
      <c r="AM140" s="41">
        <f>BS!AM5</f>
        <v>220.7</v>
      </c>
      <c r="AN140" s="41">
        <f>BS!AN5</f>
        <v>291.20000000000005</v>
      </c>
      <c r="AO140" s="41">
        <f>BS!AO5</f>
        <v>280.8</v>
      </c>
      <c r="AP140" s="41">
        <f ca="1">BS!AP5</f>
        <v>257.82070844671949</v>
      </c>
      <c r="AQ140" s="41">
        <f ca="1">BS!AQ5</f>
        <v>301.63511914250603</v>
      </c>
      <c r="AR140" s="41">
        <f ca="1">BS!AR5</f>
        <v>333.34409686306424</v>
      </c>
      <c r="AS140" s="41">
        <f ca="1">BS!AS5</f>
        <v>368.20212827903021</v>
      </c>
      <c r="AT140" s="41">
        <f ca="1">BS!AT5</f>
        <v>406.24621171507044</v>
      </c>
      <c r="AU140" s="41">
        <f ca="1">BS!AU5</f>
        <v>447.48147159296127</v>
      </c>
      <c r="AV140" s="41">
        <f ca="1">BS!AV5</f>
        <v>492.00516326749209</v>
      </c>
      <c r="AW140" s="41">
        <f ca="1">BS!AW5</f>
        <v>539.91059189609166</v>
      </c>
      <c r="AX140" s="41">
        <f ca="1">BS!AX5</f>
        <v>591.28714358359855</v>
      </c>
      <c r="AY140" s="41">
        <f ca="1">BS!AY5</f>
        <v>726.84350907698308</v>
      </c>
      <c r="AZ140" s="41"/>
      <c r="BA140" s="41"/>
      <c r="BB140" s="41"/>
      <c r="BC140" s="41"/>
      <c r="BD140" s="41"/>
      <c r="BE140" s="41"/>
      <c r="BF140" s="41"/>
      <c r="BG140" s="41"/>
      <c r="BH140" s="41"/>
      <c r="BI140" s="41"/>
      <c r="BJ140" s="41"/>
      <c r="BK140" s="41"/>
      <c r="BL140" s="41"/>
      <c r="BM140" s="41"/>
      <c r="BN140" s="41"/>
      <c r="BO140" s="41"/>
      <c r="BP140" s="41"/>
      <c r="BQ140" s="41"/>
      <c r="BR140" s="41"/>
      <c r="BS140" s="41"/>
      <c r="BT140" s="41"/>
      <c r="BU140" s="41"/>
      <c r="BV140" s="41"/>
      <c r="BW140" s="41"/>
      <c r="BX140" s="41"/>
      <c r="BY140" s="41"/>
      <c r="BZ140" s="41"/>
    </row>
    <row r="141" spans="1:78">
      <c r="B141" t="s">
        <v>191</v>
      </c>
      <c r="F141" s="6"/>
      <c r="G141" s="6">
        <f t="shared" ref="G141:N141" si="465">G131</f>
        <v>2843.8721699022003</v>
      </c>
      <c r="H141" s="6">
        <f t="shared" si="465"/>
        <v>3242.5379999999996</v>
      </c>
      <c r="I141" s="6">
        <f t="shared" si="465"/>
        <v>3673.1</v>
      </c>
      <c r="J141" s="6">
        <f t="shared" si="465"/>
        <v>4091.1000000000004</v>
      </c>
      <c r="K141" s="6">
        <f t="shared" si="465"/>
        <v>5545.7</v>
      </c>
      <c r="L141" s="6">
        <f t="shared" ca="1" si="465"/>
        <v>5542.1876239148287</v>
      </c>
      <c r="M141" s="6">
        <f t="shared" ca="1" si="465"/>
        <v>5527.383366995582</v>
      </c>
      <c r="N141" s="6">
        <f t="shared" ca="1" si="465"/>
        <v>5511.839648796923</v>
      </c>
      <c r="T141" s="6">
        <f t="shared" ref="T141:AL141" si="466">T131</f>
        <v>2845.8618106703598</v>
      </c>
      <c r="U141" s="6">
        <f t="shared" si="466"/>
        <v>2843.71571631907</v>
      </c>
      <c r="V141" s="6">
        <f t="shared" si="466"/>
        <v>2850.918936711947</v>
      </c>
      <c r="W141" s="6">
        <f t="shared" si="466"/>
        <v>2843.8721699022003</v>
      </c>
      <c r="X141" s="6">
        <f t="shared" si="466"/>
        <v>2848.1533881322002</v>
      </c>
      <c r="Y141" s="6">
        <f t="shared" si="466"/>
        <v>2842.7501803835285</v>
      </c>
      <c r="Z141" s="6">
        <f t="shared" si="466"/>
        <v>2987.9059541649726</v>
      </c>
      <c r="AA141" s="6">
        <f>AA131</f>
        <v>3265.3939999999998</v>
      </c>
      <c r="AB141" s="6">
        <f>AB131</f>
        <v>3262.4</v>
      </c>
      <c r="AC141" s="6">
        <f>AC131</f>
        <v>3012</v>
      </c>
      <c r="AD141" s="6">
        <f ca="1">AD131</f>
        <v>3773.1000000000004</v>
      </c>
      <c r="AE141" s="6">
        <f t="shared" ca="1" si="466"/>
        <v>3701.4</v>
      </c>
      <c r="AF141" s="6">
        <f ca="1">AF131</f>
        <v>3704.1</v>
      </c>
      <c r="AG141" s="6">
        <f t="shared" ca="1" si="466"/>
        <v>3702.2</v>
      </c>
      <c r="AH141" s="6">
        <f t="shared" ca="1" si="466"/>
        <v>4095.6118122887697</v>
      </c>
      <c r="AI141" s="6">
        <f t="shared" ca="1" si="466"/>
        <v>4136</v>
      </c>
      <c r="AJ141" s="6">
        <f t="shared" ca="1" si="466"/>
        <v>4140</v>
      </c>
      <c r="AK141" s="6">
        <f t="shared" ref="AK141" ca="1" si="467">AK131</f>
        <v>4175.7000000000007</v>
      </c>
      <c r="AL141" s="6">
        <f t="shared" ca="1" si="466"/>
        <v>5608.1672461519993</v>
      </c>
      <c r="AM141" s="6">
        <f t="shared" ref="AM141:AO141" ca="1" si="468">AM131</f>
        <v>5067.8281296407295</v>
      </c>
      <c r="AN141" s="6">
        <f t="shared" ca="1" si="468"/>
        <v>4759.0282417805292</v>
      </c>
      <c r="AO141" s="6">
        <f t="shared" ca="1" si="468"/>
        <v>4756.2387991136602</v>
      </c>
      <c r="AP141" s="6">
        <f t="shared" ref="AP141:AX141" ca="1" si="469">AP131</f>
        <v>5635.5775995749218</v>
      </c>
      <c r="AQ141" s="6">
        <f t="shared" ca="1" si="469"/>
        <v>5631.9876239148289</v>
      </c>
      <c r="AR141" s="6">
        <f t="shared" ca="1" si="469"/>
        <v>5628.3537919030186</v>
      </c>
      <c r="AS141" s="6">
        <f t="shared" ca="1" si="469"/>
        <v>5624.6755285490126</v>
      </c>
      <c r="AT141" s="6">
        <f t="shared" ca="1" si="469"/>
        <v>5620.952250715196</v>
      </c>
      <c r="AU141" s="6">
        <f t="shared" ca="1" si="469"/>
        <v>5617.1833669955822</v>
      </c>
      <c r="AV141" s="6">
        <f t="shared" ca="1" si="469"/>
        <v>5613.36827759268</v>
      </c>
      <c r="AW141" s="6">
        <f t="shared" ca="1" si="469"/>
        <v>5609.5063741924469</v>
      </c>
      <c r="AX141" s="6">
        <f t="shared" ca="1" si="469"/>
        <v>5605.5970398372619</v>
      </c>
      <c r="AY141" s="6">
        <f t="shared" ref="AY141" ca="1" si="470">AY131</f>
        <v>5601.6396487969232</v>
      </c>
      <c r="AZ141" s="6"/>
      <c r="BA141" s="6"/>
      <c r="BB141" s="6"/>
      <c r="BC141" s="6"/>
      <c r="BD141" s="6"/>
      <c r="BE141" s="6"/>
      <c r="BF141" s="6"/>
      <c r="BG141" s="6"/>
      <c r="BH141" s="6"/>
      <c r="BI141" s="6"/>
      <c r="BJ141" s="6"/>
      <c r="BK141" s="6"/>
      <c r="BL141" s="6"/>
      <c r="BM141" s="6"/>
      <c r="BN141" s="6"/>
      <c r="BO141" s="6"/>
      <c r="BP141" s="6"/>
      <c r="BQ141" s="6"/>
      <c r="BR141" s="6"/>
      <c r="BS141" s="6"/>
      <c r="BT141" s="6"/>
      <c r="BU141" s="6"/>
      <c r="BV141" s="6"/>
      <c r="BW141" s="6"/>
      <c r="BX141" s="6"/>
      <c r="BY141" s="6"/>
      <c r="BZ141" s="6"/>
    </row>
    <row r="142" spans="1:78">
      <c r="B142" t="s">
        <v>197</v>
      </c>
      <c r="F142" s="6"/>
      <c r="G142" s="6">
        <f t="shared" ref="G142:N142" si="471">+G141-G140</f>
        <v>2752.5591578534472</v>
      </c>
      <c r="H142" s="6">
        <f t="shared" si="471"/>
        <v>2945.1149999999998</v>
      </c>
      <c r="I142" s="6">
        <f t="shared" si="471"/>
        <v>3364.5</v>
      </c>
      <c r="J142" s="6">
        <f t="shared" si="471"/>
        <v>3920.4000000000005</v>
      </c>
      <c r="K142" s="6">
        <f t="shared" si="471"/>
        <v>5325</v>
      </c>
      <c r="L142" s="6">
        <f t="shared" ca="1" si="471"/>
        <v>5240.5525047723222</v>
      </c>
      <c r="M142" s="6">
        <f t="shared" ca="1" si="471"/>
        <v>5079.9018954026205</v>
      </c>
      <c r="N142" s="6">
        <f t="shared" ca="1" si="471"/>
        <v>4784.9961397199404</v>
      </c>
      <c r="T142" s="6">
        <f>+T141-T140</f>
        <v>2623.9193269942089</v>
      </c>
      <c r="U142" s="6">
        <f t="shared" ref="U142:AL142" si="472">+U141-U140</f>
        <v>2744.276206538178</v>
      </c>
      <c r="V142" s="6">
        <f t="shared" si="472"/>
        <v>2780.7417638935062</v>
      </c>
      <c r="W142" s="6">
        <f t="shared" si="472"/>
        <v>2752.5591578534472</v>
      </c>
      <c r="X142" s="6">
        <f t="shared" si="472"/>
        <v>2750.705115727902</v>
      </c>
      <c r="Y142" s="6">
        <f t="shared" si="472"/>
        <v>2635.9915306110083</v>
      </c>
      <c r="Z142" s="6">
        <f t="shared" si="472"/>
        <v>2733.2984807176276</v>
      </c>
      <c r="AA142" s="6">
        <f>+AA141-AA140</f>
        <v>2967.9709999999995</v>
      </c>
      <c r="AB142" s="6">
        <f>+AB141-AB140</f>
        <v>3095.1</v>
      </c>
      <c r="AC142" s="6">
        <f>+AC141-AC140</f>
        <v>2848.4</v>
      </c>
      <c r="AD142" s="6">
        <f ca="1">+AD141-AD140</f>
        <v>3499.4000000000005</v>
      </c>
      <c r="AE142" s="6">
        <f t="shared" ca="1" si="472"/>
        <v>3392.8</v>
      </c>
      <c r="AF142" s="6">
        <f ca="1">+AF141-AF140</f>
        <v>3358.4</v>
      </c>
      <c r="AG142" s="6">
        <f t="shared" ca="1" si="472"/>
        <v>3526</v>
      </c>
      <c r="AH142" s="6">
        <f t="shared" ca="1" si="472"/>
        <v>3880.4118122887699</v>
      </c>
      <c r="AI142" s="6">
        <f t="shared" ca="1" si="472"/>
        <v>3965.3</v>
      </c>
      <c r="AJ142" s="6">
        <f t="shared" ca="1" si="472"/>
        <v>3947</v>
      </c>
      <c r="AK142" s="6">
        <f t="shared" ref="AK142" ca="1" si="473">+AK141-AK140</f>
        <v>4031.7000000000007</v>
      </c>
      <c r="AL142" s="6">
        <f t="shared" ca="1" si="472"/>
        <v>5409.7672461519996</v>
      </c>
      <c r="AM142" s="6">
        <f t="shared" ref="AM142:AO142" ca="1" si="474">+AM141-AM140</f>
        <v>4847.1281296407296</v>
      </c>
      <c r="AN142" s="6">
        <f t="shared" ca="1" si="474"/>
        <v>4467.8282417805294</v>
      </c>
      <c r="AO142" s="6">
        <f t="shared" ca="1" si="474"/>
        <v>4475.43879911366</v>
      </c>
      <c r="AP142" s="6">
        <f t="shared" ref="AP142:AX142" ca="1" si="475">+AP141-AP140</f>
        <v>5377.7568911282024</v>
      </c>
      <c r="AQ142" s="6">
        <f t="shared" ca="1" si="475"/>
        <v>5330.3525047723233</v>
      </c>
      <c r="AR142" s="6">
        <f t="shared" ca="1" si="475"/>
        <v>5295.0096950399547</v>
      </c>
      <c r="AS142" s="6">
        <f t="shared" ca="1" si="475"/>
        <v>5256.4734002699824</v>
      </c>
      <c r="AT142" s="6">
        <f t="shared" ca="1" si="475"/>
        <v>5214.7060390001252</v>
      </c>
      <c r="AU142" s="6">
        <f t="shared" ca="1" si="475"/>
        <v>5169.7018954026207</v>
      </c>
      <c r="AV142" s="6">
        <f t="shared" ca="1" si="475"/>
        <v>5121.3631143251878</v>
      </c>
      <c r="AW142" s="6">
        <f t="shared" ca="1" si="475"/>
        <v>5069.5957822963555</v>
      </c>
      <c r="AX142" s="6">
        <f t="shared" ca="1" si="475"/>
        <v>5014.3098962536633</v>
      </c>
      <c r="AY142" s="6">
        <f t="shared" ref="AY142" ca="1" si="476">+AY141-AY140</f>
        <v>4874.7961397199397</v>
      </c>
      <c r="AZ142" s="6"/>
      <c r="BA142" s="6"/>
      <c r="BB142" s="6"/>
      <c r="BC142" s="6"/>
      <c r="BD142" s="6"/>
      <c r="BE142" s="6"/>
      <c r="BF142" s="6"/>
      <c r="BG142" s="6"/>
      <c r="BH142" s="6"/>
      <c r="BI142" s="6"/>
      <c r="BJ142" s="6"/>
      <c r="BK142" s="6"/>
      <c r="BL142" s="6"/>
      <c r="BM142" s="6"/>
      <c r="BN142" s="6"/>
      <c r="BO142" s="6"/>
      <c r="BP142" s="6"/>
      <c r="BQ142" s="6"/>
      <c r="BR142" s="6"/>
      <c r="BS142" s="6"/>
      <c r="BT142" s="6"/>
      <c r="BU142" s="6"/>
      <c r="BV142" s="6"/>
      <c r="BW142" s="6"/>
      <c r="BX142" s="6"/>
      <c r="BY142" s="6"/>
      <c r="BZ142" s="6"/>
    </row>
    <row r="143" spans="1:78">
      <c r="B143" t="s">
        <v>69</v>
      </c>
      <c r="F143" s="41"/>
      <c r="G143" s="41">
        <f>IS!G51</f>
        <v>554.42707600667359</v>
      </c>
      <c r="H143" s="41">
        <f>IS!H51</f>
        <v>653.61018672880209</v>
      </c>
      <c r="I143" s="41">
        <f>IS!I51</f>
        <v>782.60000000000014</v>
      </c>
      <c r="J143" s="41">
        <f>IS!J51</f>
        <v>934.9</v>
      </c>
      <c r="K143" s="41">
        <f>IS!K51</f>
        <v>1116.8000000000002</v>
      </c>
      <c r="L143" s="41">
        <f ca="1">IS!L51</f>
        <v>1304.4861798408563</v>
      </c>
      <c r="M143" s="41">
        <f ca="1">IS!M51</f>
        <v>1370.016083933192</v>
      </c>
      <c r="N143" s="41">
        <f ca="1">IS!N51</f>
        <v>1451.1599812439413</v>
      </c>
      <c r="T143" s="41">
        <f>IS!T51</f>
        <v>125.6178835624993</v>
      </c>
      <c r="U143" s="41">
        <f>IS!U51</f>
        <v>139.37871740345793</v>
      </c>
      <c r="V143" s="41">
        <f>IS!V51</f>
        <v>147.59169075010976</v>
      </c>
      <c r="W143" s="41">
        <f>IS!W51</f>
        <v>141.83878429060655</v>
      </c>
      <c r="X143" s="41">
        <f>IS!X51</f>
        <v>155.60177105606058</v>
      </c>
      <c r="Y143" s="41">
        <f>IS!Y51</f>
        <v>161.66567373765406</v>
      </c>
      <c r="Z143" s="41">
        <f>IS!Z51</f>
        <v>165.22903738364963</v>
      </c>
      <c r="AA143" s="41">
        <f>IS!AA51</f>
        <v>171.11370455143791</v>
      </c>
      <c r="AB143" s="41">
        <f>IS!AB51</f>
        <v>182.99999999999997</v>
      </c>
      <c r="AC143" s="41">
        <f>IS!AC51</f>
        <v>189.70000000000002</v>
      </c>
      <c r="AD143" s="41">
        <f>IS!AD51</f>
        <v>199</v>
      </c>
      <c r="AE143" s="41">
        <f>IS!AE51</f>
        <v>210.90000000000003</v>
      </c>
      <c r="AF143" s="41">
        <f>IS!AF51</f>
        <v>215.39999999999998</v>
      </c>
      <c r="AG143" s="41">
        <f>IS!AG51</f>
        <v>218.90000000000006</v>
      </c>
      <c r="AH143" s="41">
        <f>IS!AH51</f>
        <v>242.79999999999995</v>
      </c>
      <c r="AI143" s="41">
        <f>IS!AI51</f>
        <v>257.79999999999995</v>
      </c>
      <c r="AJ143" s="41">
        <f>IS!AJ51</f>
        <v>260.60000000000002</v>
      </c>
      <c r="AK143" s="41">
        <f>IS!AK51</f>
        <v>263.39999999999992</v>
      </c>
      <c r="AL143" s="41">
        <f>IS!AL51</f>
        <v>282.00000000000006</v>
      </c>
      <c r="AM143" s="41">
        <f>IS!AM51</f>
        <v>310.80000000000007</v>
      </c>
      <c r="AN143" s="41">
        <f>IS!AN51</f>
        <v>316.60000000000002</v>
      </c>
      <c r="AO143" s="41">
        <f>IS!AO51</f>
        <v>329.89999999999992</v>
      </c>
      <c r="AP143" s="41">
        <f ca="1">IS!AP51</f>
        <v>326.94871317149068</v>
      </c>
      <c r="AQ143" s="41">
        <f ca="1">IS!AQ51</f>
        <v>331.03746666936564</v>
      </c>
      <c r="AR143" s="41">
        <f ca="1">IS!AR51</f>
        <v>335.40358115071263</v>
      </c>
      <c r="AS143" s="41">
        <f ca="1">IS!AS51</f>
        <v>340.01440528747918</v>
      </c>
      <c r="AT143" s="41">
        <f ca="1">IS!AT51</f>
        <v>344.82110276408577</v>
      </c>
      <c r="AU143" s="41">
        <f ca="1">IS!AU51</f>
        <v>349.77699473091468</v>
      </c>
      <c r="AV143" s="41">
        <f ca="1">IS!AV51</f>
        <v>354.87209374973708</v>
      </c>
      <c r="AW143" s="41">
        <f ca="1">IS!AW51</f>
        <v>360.09695091398476</v>
      </c>
      <c r="AX143" s="41">
        <f ca="1">IS!AX51</f>
        <v>365.4424473739632</v>
      </c>
      <c r="AY143" s="41">
        <f ca="1">IS!AY51</f>
        <v>370.74848920625618</v>
      </c>
      <c r="AZ143" s="41"/>
      <c r="BA143" s="41"/>
      <c r="BB143" s="41"/>
      <c r="BC143" s="41"/>
      <c r="BD143" s="41"/>
      <c r="BE143" s="41"/>
      <c r="BF143" s="41"/>
      <c r="BG143" s="41"/>
      <c r="BH143" s="41"/>
      <c r="BI143" s="41"/>
      <c r="BJ143" s="41"/>
      <c r="BK143" s="41"/>
      <c r="BL143" s="41"/>
      <c r="BM143" s="41"/>
      <c r="BN143" s="41"/>
      <c r="BO143" s="41"/>
      <c r="BP143" s="41"/>
      <c r="BQ143" s="41"/>
      <c r="BR143" s="41"/>
      <c r="BS143" s="41"/>
      <c r="BT143" s="41"/>
      <c r="BU143" s="41"/>
      <c r="BV143" s="41"/>
      <c r="BW143" s="41"/>
      <c r="BX143" s="41"/>
      <c r="BY143" s="41"/>
      <c r="BZ143" s="41"/>
    </row>
    <row r="144" spans="1:78">
      <c r="B144" t="s">
        <v>198</v>
      </c>
      <c r="F144" s="78"/>
      <c r="G144" s="78">
        <f>+G142/G143</f>
        <v>4.9646910783634146</v>
      </c>
      <c r="H144" s="78">
        <f t="shared" ref="H144:N144" si="477">+H142/H143</f>
        <v>4.5059196747525538</v>
      </c>
      <c r="I144" s="78">
        <f t="shared" si="477"/>
        <v>4.2991311014566822</v>
      </c>
      <c r="J144" s="78">
        <f t="shared" si="477"/>
        <v>4.1933896673441016</v>
      </c>
      <c r="K144" s="78">
        <f t="shared" si="477"/>
        <v>4.7680873925501421</v>
      </c>
      <c r="L144" s="78">
        <f t="shared" ca="1" si="477"/>
        <v>4.0173307971815042</v>
      </c>
      <c r="M144" s="78">
        <f t="shared" ca="1" si="477"/>
        <v>3.7079140566136148</v>
      </c>
      <c r="N144" s="78">
        <f t="shared" ca="1" si="477"/>
        <v>3.2973594927957004</v>
      </c>
      <c r="T144" s="78">
        <f>+T142/(T143*4)</f>
        <v>5.2220258226383764</v>
      </c>
      <c r="U144" s="78">
        <f t="shared" ref="U144:AL144" si="478">+U142/(U143*4)</f>
        <v>4.9223372435591335</v>
      </c>
      <c r="V144" s="78">
        <f t="shared" si="478"/>
        <v>4.7101936256723826</v>
      </c>
      <c r="W144" s="78">
        <f t="shared" si="478"/>
        <v>4.851562941018063</v>
      </c>
      <c r="X144" s="78">
        <f t="shared" si="478"/>
        <v>4.4194630579379321</v>
      </c>
      <c r="Y144" s="78">
        <f t="shared" si="478"/>
        <v>4.0763005987415299</v>
      </c>
      <c r="Z144" s="78">
        <f t="shared" si="478"/>
        <v>4.1356206572382161</v>
      </c>
      <c r="AA144" s="78">
        <f>+AA142/(AA143*4)</f>
        <v>4.3362555439091199</v>
      </c>
      <c r="AB144" s="78">
        <f>+AB142/(AB143*4)</f>
        <v>4.2282786885245907</v>
      </c>
      <c r="AC144" s="78">
        <f>+AC142/(AC143*4)</f>
        <v>3.7538218239325247</v>
      </c>
      <c r="AD144" s="78">
        <f ca="1">+AD142/(AD143*4)</f>
        <v>4.3962311557788949</v>
      </c>
      <c r="AE144" s="78">
        <f t="shared" ca="1" si="478"/>
        <v>4.0218112849691794</v>
      </c>
      <c r="AF144" s="78">
        <f ca="1">+AF142/(AF143*4)</f>
        <v>3.8978644382544108</v>
      </c>
      <c r="AG144" s="78">
        <f t="shared" ca="1" si="478"/>
        <v>4.0269529465509351</v>
      </c>
      <c r="AH144" s="78">
        <f t="shared" ca="1" si="478"/>
        <v>3.9954816848113373</v>
      </c>
      <c r="AI144" s="78">
        <f t="shared" ca="1" si="478"/>
        <v>3.84532583397983</v>
      </c>
      <c r="AJ144" s="78">
        <f t="shared" ca="1" si="478"/>
        <v>3.7864543361473517</v>
      </c>
      <c r="AK144" s="78">
        <f t="shared" ref="AK144" ca="1" si="479">+AK142/(AK143*4)</f>
        <v>3.8265945330296147</v>
      </c>
      <c r="AL144" s="78">
        <f t="shared" ca="1" si="478"/>
        <v>4.7958929487163111</v>
      </c>
      <c r="AM144" s="78">
        <f t="shared" ref="AM144:AO144" ca="1" si="480">+AM142/(AM143*4)</f>
        <v>3.8989125881923492</v>
      </c>
      <c r="AN144" s="78">
        <f t="shared" ca="1" si="480"/>
        <v>3.5279755541539237</v>
      </c>
      <c r="AO144" s="78">
        <f t="shared" ca="1" si="480"/>
        <v>3.3915116695314196</v>
      </c>
      <c r="AP144" s="78">
        <f t="shared" ref="AP144:AX144" ca="1" si="481">+AP142/(AP143*4)</f>
        <v>4.1120798725299377</v>
      </c>
      <c r="AQ144" s="78">
        <f t="shared" ca="1" si="481"/>
        <v>4.0254903458527433</v>
      </c>
      <c r="AR144" s="78">
        <f t="shared" ca="1" si="481"/>
        <v>3.9467450503015482</v>
      </c>
      <c r="AS144" s="78">
        <f t="shared" ca="1" si="481"/>
        <v>3.8648902212140692</v>
      </c>
      <c r="AT144" s="78">
        <f t="shared" ca="1" si="481"/>
        <v>3.7807329635563516</v>
      </c>
      <c r="AU144" s="78">
        <f t="shared" ca="1" si="481"/>
        <v>3.6949985085352028</v>
      </c>
      <c r="AV144" s="78">
        <f t="shared" ca="1" si="481"/>
        <v>3.6078936640315793</v>
      </c>
      <c r="AW144" s="78">
        <f t="shared" ca="1" si="481"/>
        <v>3.5196047685414271</v>
      </c>
      <c r="AX144" s="78">
        <f t="shared" ca="1" si="481"/>
        <v>3.4303006754456455</v>
      </c>
      <c r="AY144" s="78">
        <f t="shared" ref="AY144" ca="1" si="482">+AY142/(AY143*4)</f>
        <v>3.2871314932101954</v>
      </c>
      <c r="AZ144" s="78"/>
      <c r="BA144" s="78"/>
      <c r="BB144" s="78"/>
      <c r="BC144" s="78"/>
      <c r="BD144" s="78"/>
      <c r="BE144" s="78"/>
      <c r="BF144" s="78"/>
      <c r="BG144" s="78"/>
      <c r="BH144" s="78"/>
      <c r="BI144" s="78"/>
      <c r="BJ144" s="78"/>
      <c r="BK144" s="78"/>
      <c r="BL144" s="78"/>
      <c r="BM144" s="78"/>
      <c r="BN144" s="78"/>
      <c r="BO144" s="78"/>
      <c r="BP144" s="78"/>
      <c r="BQ144" s="78"/>
      <c r="BR144" s="78"/>
      <c r="BS144" s="78"/>
      <c r="BT144" s="78"/>
      <c r="BU144" s="78"/>
      <c r="BV144" s="78"/>
      <c r="BW144" s="78"/>
      <c r="BX144" s="78"/>
      <c r="BY144" s="78"/>
      <c r="BZ144" s="78"/>
    </row>
    <row r="146" spans="2:78">
      <c r="B146" t="s">
        <v>199</v>
      </c>
      <c r="C146" s="68"/>
      <c r="D146" s="68"/>
      <c r="E146" s="68"/>
      <c r="F146" s="68"/>
      <c r="G146" s="68"/>
      <c r="H146" s="68"/>
      <c r="I146" s="68"/>
      <c r="J146" s="68"/>
      <c r="K146" s="68"/>
      <c r="L146" s="68"/>
      <c r="M146" s="68"/>
      <c r="N146" s="68"/>
      <c r="O146" s="68"/>
      <c r="Z146" s="6"/>
      <c r="AA146" s="6"/>
      <c r="AB146" s="6"/>
      <c r="AC146" s="6"/>
      <c r="AD146" s="6"/>
      <c r="AE146" s="6">
        <f t="shared" ref="AE146:AX146" si="483">+AE140*AE5/4</f>
        <v>0.42432500000000006</v>
      </c>
      <c r="AF146" s="6">
        <f t="shared" si="483"/>
        <v>0.48398000000000013</v>
      </c>
      <c r="AG146" s="6">
        <f t="shared" si="483"/>
        <v>0.25108500000000011</v>
      </c>
      <c r="AH146" s="6">
        <f t="shared" si="483"/>
        <v>0.3120400000000001</v>
      </c>
      <c r="AI146" s="6">
        <f t="shared" si="483"/>
        <v>0.25178250000000002</v>
      </c>
      <c r="AJ146" s="6">
        <f t="shared" si="483"/>
        <v>0.28950000000000004</v>
      </c>
      <c r="AK146" s="6">
        <f t="shared" ref="AK146" si="484">+AK140*AK5/4</f>
        <v>0.21960000000000002</v>
      </c>
      <c r="AL146" s="6">
        <f t="shared" si="483"/>
        <v>0.30752000000000024</v>
      </c>
      <c r="AM146" s="6">
        <f t="shared" ref="AM146:AO146" si="485">+AM140*AM5/4</f>
        <v>0.3476025000000002</v>
      </c>
      <c r="AN146" s="6">
        <f t="shared" si="485"/>
        <v>0.46592000000000033</v>
      </c>
      <c r="AO146" s="6">
        <f t="shared" si="485"/>
        <v>0.45630000000000032</v>
      </c>
      <c r="AP146" s="6">
        <f t="shared" ca="1" si="483"/>
        <v>0.42540416893708743</v>
      </c>
      <c r="AQ146" s="6">
        <f t="shared" ca="1" si="483"/>
        <v>0.50523882456369795</v>
      </c>
      <c r="AR146" s="6">
        <f t="shared" ca="1" si="483"/>
        <v>0.56668496466720963</v>
      </c>
      <c r="AS146" s="6">
        <f t="shared" ca="1" si="483"/>
        <v>0.63514867128132757</v>
      </c>
      <c r="AT146" s="6">
        <f t="shared" ca="1" si="483"/>
        <v>0.71093087050137382</v>
      </c>
      <c r="AU146" s="6">
        <f t="shared" ca="1" si="483"/>
        <v>0.79427961207750686</v>
      </c>
      <c r="AV146" s="6">
        <f t="shared" ca="1" si="483"/>
        <v>0.88560929388148646</v>
      </c>
      <c r="AW146" s="6">
        <f t="shared" ca="1" si="483"/>
        <v>0.98533683021036811</v>
      </c>
      <c r="AX146" s="6">
        <f t="shared" ca="1" si="483"/>
        <v>1.0938812156296582</v>
      </c>
      <c r="AY146" s="6">
        <f t="shared" ref="AY146" ca="1" si="486">+AY140*AY5/4</f>
        <v>1.3628315795193444</v>
      </c>
      <c r="AZ146" s="6"/>
      <c r="BA146" s="6"/>
      <c r="BB146" s="6"/>
      <c r="BC146" s="6"/>
      <c r="BD146" s="6"/>
      <c r="BE146" s="6"/>
      <c r="BF146" s="6"/>
      <c r="BG146" s="6"/>
      <c r="BH146" s="6"/>
      <c r="BI146" s="6"/>
      <c r="BJ146" s="6"/>
      <c r="BK146" s="6"/>
      <c r="BL146" s="6"/>
      <c r="BM146" s="6"/>
      <c r="BN146" s="6"/>
      <c r="BO146" s="6"/>
      <c r="BP146" s="6"/>
      <c r="BQ146" s="6"/>
      <c r="BR146" s="6"/>
      <c r="BS146" s="6"/>
      <c r="BT146" s="6"/>
      <c r="BU146" s="6"/>
      <c r="BV146" s="6"/>
      <c r="BW146" s="6"/>
      <c r="BX146" s="6"/>
      <c r="BY146" s="6"/>
      <c r="BZ146" s="6"/>
    </row>
    <row r="149" spans="2:78">
      <c r="AD149" s="6"/>
    </row>
    <row r="150" spans="2:78">
      <c r="AD150" s="6"/>
    </row>
  </sheetData>
  <pageMargins left="0.7" right="0.7" top="0.75" bottom="0.75" header="0.3" footer="0.3"/>
  <pageSetup orientation="portrait" r:id="rId1"/>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B2:AY78"/>
  <sheetViews>
    <sheetView showGridLines="0" zoomScale="70" zoomScaleNormal="70" workbookViewId="0">
      <pane ySplit="5" topLeftCell="A6" activePane="bottomLeft" state="frozen"/>
      <selection activeCell="E21" sqref="E21"/>
      <selection pane="bottomLeft" activeCell="A6" sqref="A6"/>
    </sheetView>
  </sheetViews>
  <sheetFormatPr defaultRowHeight="12.75" outlineLevelCol="1"/>
  <cols>
    <col min="1" max="1" width="2" bestFit="1" customWidth="1"/>
    <col min="2" max="2" width="35.5703125" bestFit="1" customWidth="1"/>
    <col min="3" max="3" width="10.42578125" customWidth="1"/>
    <col min="4" max="4" width="9.140625" customWidth="1"/>
    <col min="5" max="6" width="10.42578125" customWidth="1"/>
    <col min="7" max="7" width="9.140625" customWidth="1"/>
    <col min="8" max="14" width="9.42578125" bestFit="1" customWidth="1"/>
    <col min="15" max="15" width="9.140625" customWidth="1"/>
    <col min="16" max="19" width="9.140625" hidden="1" customWidth="1" outlineLevel="1"/>
    <col min="20" max="20" width="9.42578125" bestFit="1" customWidth="1" collapsed="1"/>
    <col min="21" max="23" width="9.28515625" bestFit="1" customWidth="1"/>
    <col min="24" max="26" width="9.42578125" bestFit="1" customWidth="1"/>
    <col min="42" max="51" width="9.140625" customWidth="1"/>
  </cols>
  <sheetData>
    <row r="2" spans="2:51" s="14" customFormat="1">
      <c r="B2" s="13" t="s">
        <v>2</v>
      </c>
      <c r="C2" s="13"/>
      <c r="D2" s="52">
        <f>Rev!D2</f>
        <v>40359</v>
      </c>
      <c r="E2" s="52">
        <f>Rev!E2</f>
        <v>40724</v>
      </c>
      <c r="F2" s="52">
        <f>Rev!F2</f>
        <v>41090</v>
      </c>
      <c r="G2" s="52">
        <f>Rev!G2</f>
        <v>41455</v>
      </c>
      <c r="H2" s="52">
        <f>Rev!H2</f>
        <v>41820</v>
      </c>
      <c r="I2" s="52">
        <f>Rev!I2</f>
        <v>42185</v>
      </c>
      <c r="J2" s="52">
        <f>Rev!J2</f>
        <v>42551</v>
      </c>
      <c r="K2" s="52">
        <f>Rev!K2</f>
        <v>42916</v>
      </c>
      <c r="L2" s="52">
        <f>Rev!L2</f>
        <v>43281</v>
      </c>
      <c r="M2" s="52">
        <f>Rev!M2</f>
        <v>43646</v>
      </c>
      <c r="N2" s="52">
        <f>Rev!N2</f>
        <v>44012</v>
      </c>
      <c r="O2" s="13"/>
      <c r="P2" s="13"/>
      <c r="Q2" s="13"/>
      <c r="R2" s="13"/>
      <c r="S2" s="13"/>
      <c r="T2" s="52">
        <f>Rev!T2</f>
        <v>41182</v>
      </c>
      <c r="U2" s="52">
        <f>Rev!U2</f>
        <v>41274</v>
      </c>
      <c r="V2" s="52">
        <f>Rev!V2</f>
        <v>41364</v>
      </c>
      <c r="W2" s="52">
        <f>Rev!W2</f>
        <v>41455</v>
      </c>
      <c r="X2" s="52">
        <f>Rev!X2</f>
        <v>41547</v>
      </c>
      <c r="Y2" s="52">
        <f>Rev!Y2</f>
        <v>41639</v>
      </c>
      <c r="Z2" s="53">
        <f>Rev!Z2</f>
        <v>41729</v>
      </c>
      <c r="AA2" s="52">
        <f>Rev!AA2</f>
        <v>41820</v>
      </c>
      <c r="AB2" s="52">
        <f>Rev!AB2</f>
        <v>41912</v>
      </c>
      <c r="AC2" s="52">
        <f>Rev!AC2</f>
        <v>42004</v>
      </c>
      <c r="AD2" s="52">
        <f>Rev!AD2</f>
        <v>42094</v>
      </c>
      <c r="AE2" s="52">
        <f>Rev!AE2</f>
        <v>42185</v>
      </c>
      <c r="AF2" s="52">
        <f>Rev!AF2</f>
        <v>42277</v>
      </c>
      <c r="AG2" s="52">
        <f>Rev!AG2</f>
        <v>42369</v>
      </c>
      <c r="AH2" s="52">
        <f>Rev!AH2</f>
        <v>42460</v>
      </c>
      <c r="AI2" s="52">
        <f>Rev!AI2</f>
        <v>42551</v>
      </c>
      <c r="AJ2" s="52">
        <f>Rev!AJ2</f>
        <v>42643</v>
      </c>
      <c r="AK2" s="52">
        <f>Rev!AK2</f>
        <v>42735</v>
      </c>
      <c r="AL2" s="52">
        <f>Rev!AL2</f>
        <v>42825</v>
      </c>
      <c r="AM2" s="52">
        <f>Rev!AM2</f>
        <v>42916</v>
      </c>
      <c r="AN2" s="52">
        <f>Rev!AN2</f>
        <v>43008</v>
      </c>
      <c r="AO2" s="52">
        <f>Rev!AO2</f>
        <v>43100</v>
      </c>
      <c r="AP2" s="52">
        <f>Rev!AP2</f>
        <v>43190</v>
      </c>
      <c r="AQ2" s="52">
        <f>Rev!AQ2</f>
        <v>43281</v>
      </c>
      <c r="AR2" s="52">
        <f>Rev!AR2</f>
        <v>43373</v>
      </c>
      <c r="AS2" s="52">
        <f>Rev!AS2</f>
        <v>43465</v>
      </c>
      <c r="AT2" s="52">
        <f>Rev!AT2</f>
        <v>43555</v>
      </c>
      <c r="AU2" s="52">
        <f>Rev!AU2</f>
        <v>43646</v>
      </c>
      <c r="AV2" s="52">
        <f>Rev!AV2</f>
        <v>43738</v>
      </c>
      <c r="AW2" s="52">
        <f>Rev!AW2</f>
        <v>43830</v>
      </c>
      <c r="AX2" s="52">
        <f>Rev!AX2</f>
        <v>43921</v>
      </c>
      <c r="AY2" s="52">
        <f>Rev!AY2</f>
        <v>44012</v>
      </c>
    </row>
    <row r="3" spans="2:51" s="16" customFormat="1">
      <c r="B3" s="15" t="s">
        <v>1</v>
      </c>
      <c r="C3" s="15"/>
      <c r="D3" s="54">
        <f>Rev!D3</f>
        <v>2010</v>
      </c>
      <c r="E3" s="54">
        <f>Rev!E3</f>
        <v>2011</v>
      </c>
      <c r="F3" s="54">
        <f>Rev!F3</f>
        <v>2012</v>
      </c>
      <c r="G3" s="54">
        <f>Rev!G3</f>
        <v>2013</v>
      </c>
      <c r="H3" s="54">
        <f>Rev!H3</f>
        <v>2014</v>
      </c>
      <c r="I3" s="54">
        <f>Rev!I3</f>
        <v>2015</v>
      </c>
      <c r="J3" s="54">
        <f>Rev!J3</f>
        <v>2016</v>
      </c>
      <c r="K3" s="54">
        <f>Rev!K3</f>
        <v>2017</v>
      </c>
      <c r="L3" s="54" t="str">
        <f>Rev!L3</f>
        <v>2018E</v>
      </c>
      <c r="M3" s="54" t="str">
        <f>Rev!M3</f>
        <v>2019E</v>
      </c>
      <c r="N3" s="54" t="str">
        <f>Rev!N3</f>
        <v>2020E</v>
      </c>
      <c r="O3" s="15"/>
      <c r="P3" s="15"/>
      <c r="Q3" s="15"/>
      <c r="R3" s="15"/>
      <c r="S3" s="15"/>
      <c r="T3" s="54" t="str">
        <f>Rev!T3</f>
        <v>1Q13</v>
      </c>
      <c r="U3" s="54" t="str">
        <f>Rev!U3</f>
        <v>2Q13</v>
      </c>
      <c r="V3" s="54" t="str">
        <f>Rev!V3</f>
        <v>3Q13</v>
      </c>
      <c r="W3" s="54" t="str">
        <f>Rev!W3</f>
        <v>4Q13</v>
      </c>
      <c r="X3" s="54" t="str">
        <f>Rev!X3</f>
        <v>1Q14</v>
      </c>
      <c r="Y3" s="54" t="str">
        <f>Rev!Y3</f>
        <v>2Q14</v>
      </c>
      <c r="Z3" s="55" t="str">
        <f>Rev!Z3</f>
        <v>3Q14</v>
      </c>
      <c r="AA3" s="56" t="str">
        <f>Rev!AA3</f>
        <v>4Q14</v>
      </c>
      <c r="AB3" s="56" t="str">
        <f>Rev!AB3</f>
        <v>1Q15</v>
      </c>
      <c r="AC3" s="56" t="str">
        <f>Rev!AC3</f>
        <v>2Q15</v>
      </c>
      <c r="AD3" s="56" t="str">
        <f>Rev!AD3</f>
        <v>3Q15</v>
      </c>
      <c r="AE3" s="56" t="str">
        <f>Rev!AE3</f>
        <v>4Q15</v>
      </c>
      <c r="AF3" s="56" t="str">
        <f>Rev!AF3</f>
        <v>1Q16</v>
      </c>
      <c r="AG3" s="56" t="str">
        <f>Rev!AG3</f>
        <v>2Q16</v>
      </c>
      <c r="AH3" s="56" t="str">
        <f>Rev!AH3</f>
        <v>3Q16</v>
      </c>
      <c r="AI3" s="56" t="str">
        <f>Rev!AI3</f>
        <v>4Q16</v>
      </c>
      <c r="AJ3" s="56" t="str">
        <f>Rev!AJ3</f>
        <v>1Q17</v>
      </c>
      <c r="AK3" s="56" t="str">
        <f>Rev!AK3</f>
        <v>2Q17</v>
      </c>
      <c r="AL3" s="56" t="str">
        <f>Rev!AL3</f>
        <v>3Q17</v>
      </c>
      <c r="AM3" s="56" t="str">
        <f>Rev!AM3</f>
        <v>4Q17</v>
      </c>
      <c r="AN3" s="56" t="str">
        <f>Rev!AN3</f>
        <v>1Q18</v>
      </c>
      <c r="AO3" s="56" t="str">
        <f>Rev!AO3</f>
        <v>2Q18</v>
      </c>
      <c r="AP3" s="56" t="str">
        <f>Rev!AP3</f>
        <v>3Q18E</v>
      </c>
      <c r="AQ3" s="56" t="str">
        <f>Rev!AQ3</f>
        <v>4Q18E</v>
      </c>
      <c r="AR3" s="56" t="str">
        <f>Rev!AR3</f>
        <v>1Q19E</v>
      </c>
      <c r="AS3" s="56" t="str">
        <f>Rev!AS3</f>
        <v>2Q19E</v>
      </c>
      <c r="AT3" s="56" t="str">
        <f>Rev!AT3</f>
        <v>3Q19E</v>
      </c>
      <c r="AU3" s="56" t="str">
        <f>Rev!AU3</f>
        <v>4Q19E</v>
      </c>
      <c r="AV3" s="56" t="str">
        <f>Rev!AV3</f>
        <v>1Q20E</v>
      </c>
      <c r="AW3" s="56" t="str">
        <f>Rev!AW3</f>
        <v>2Q20E</v>
      </c>
      <c r="AX3" s="56" t="str">
        <f>Rev!AX3</f>
        <v>3Q20E</v>
      </c>
      <c r="AY3" s="56" t="str">
        <f>Rev!AY3</f>
        <v>4Q20E</v>
      </c>
    </row>
    <row r="4" spans="2:51" s="13" customFormat="1">
      <c r="Z4" s="17"/>
    </row>
    <row r="5" spans="2:51" s="15" customFormat="1">
      <c r="B5" s="72" t="s">
        <v>351</v>
      </c>
      <c r="C5" s="293">
        <v>2</v>
      </c>
    </row>
    <row r="6" spans="2:51" s="15" customFormat="1"/>
    <row r="7" spans="2:51" s="15" customFormat="1">
      <c r="B7" s="91" t="s">
        <v>219</v>
      </c>
      <c r="C7" s="59" t="s">
        <v>51</v>
      </c>
      <c r="D7" s="59"/>
      <c r="E7" s="59"/>
      <c r="F7"/>
      <c r="G7" s="59"/>
      <c r="O7" s="59"/>
    </row>
    <row r="8" spans="2:51" s="15" customFormat="1">
      <c r="B8" s="15" t="s">
        <v>220</v>
      </c>
      <c r="C8" s="82">
        <f>BS!$AO$5</f>
        <v>280.8</v>
      </c>
      <c r="D8" s="82"/>
      <c r="E8" s="82"/>
      <c r="F8"/>
      <c r="G8" s="82"/>
      <c r="O8" s="82"/>
    </row>
    <row r="9" spans="2:51" s="15" customFormat="1">
      <c r="B9" s="15" t="s">
        <v>221</v>
      </c>
      <c r="C9" s="82">
        <f ca="1">Capital!$AO$131</f>
        <v>4756.2387991136602</v>
      </c>
      <c r="D9" s="82"/>
      <c r="E9" s="82"/>
      <c r="F9"/>
      <c r="G9" s="82"/>
      <c r="O9" s="82"/>
    </row>
    <row r="10" spans="2:51" s="15" customFormat="1">
      <c r="B10" s="15" t="s">
        <v>222</v>
      </c>
      <c r="C10" s="81">
        <f ca="1">+C9-C8</f>
        <v>4475.43879911366</v>
      </c>
      <c r="D10" s="81"/>
      <c r="E10" s="81"/>
      <c r="F10"/>
      <c r="G10" s="81"/>
      <c r="O10" s="81"/>
    </row>
    <row r="11" spans="2:51" s="15" customFormat="1">
      <c r="B11" s="15" t="s">
        <v>223</v>
      </c>
      <c r="C11" s="95">
        <v>27.39</v>
      </c>
      <c r="D11" s="95"/>
      <c r="E11" s="95"/>
      <c r="F11"/>
      <c r="G11" s="95"/>
      <c r="O11" s="95"/>
    </row>
    <row r="12" spans="2:51" s="15" customFormat="1">
      <c r="B12" s="15" t="s">
        <v>224</v>
      </c>
      <c r="C12" s="82">
        <f>IS!$AO$125</f>
        <v>249.3</v>
      </c>
      <c r="D12" s="82"/>
      <c r="E12" s="82"/>
      <c r="F12"/>
      <c r="G12" s="82"/>
      <c r="O12" s="82"/>
    </row>
    <row r="13" spans="2:51" s="15" customFormat="1">
      <c r="B13" s="15" t="s">
        <v>225</v>
      </c>
      <c r="C13" s="81">
        <f>+C12*C11</f>
        <v>6828.3270000000002</v>
      </c>
      <c r="D13" s="81"/>
      <c r="E13" s="81"/>
      <c r="F13"/>
      <c r="G13" s="81"/>
      <c r="O13" s="81"/>
    </row>
    <row r="14" spans="2:51" s="15" customFormat="1">
      <c r="B14" s="15" t="s">
        <v>226</v>
      </c>
      <c r="C14" s="81">
        <f ca="1">+C13+C10</f>
        <v>11303.76579911366</v>
      </c>
      <c r="D14" s="81"/>
      <c r="E14" s="81"/>
      <c r="F14"/>
      <c r="G14" s="81"/>
      <c r="O14" s="81"/>
    </row>
    <row r="15" spans="2:51" s="15" customFormat="1">
      <c r="B15" s="15" t="s">
        <v>227</v>
      </c>
      <c r="C15" s="94">
        <f>1.4*2/3+1/3</f>
        <v>1.2666666666666666</v>
      </c>
      <c r="D15" s="94"/>
      <c r="E15" s="94"/>
      <c r="F15"/>
      <c r="G15" s="94"/>
      <c r="O15" s="94"/>
    </row>
    <row r="16" spans="2:51" s="15" customFormat="1">
      <c r="B16" s="15" t="s">
        <v>228</v>
      </c>
      <c r="C16" s="93">
        <v>0.12</v>
      </c>
      <c r="D16" s="93"/>
      <c r="E16" s="93"/>
      <c r="F16"/>
      <c r="G16" s="93"/>
      <c r="O16" s="93"/>
    </row>
    <row r="17" spans="2:51" s="15" customFormat="1">
      <c r="B17" s="15" t="s">
        <v>229</v>
      </c>
      <c r="C17" s="93">
        <v>5.5E-2</v>
      </c>
      <c r="D17" s="93"/>
      <c r="E17" s="93"/>
      <c r="F17"/>
      <c r="G17" s="93"/>
      <c r="O17" s="93"/>
    </row>
    <row r="18" spans="2:51" s="15" customFormat="1">
      <c r="B18" s="15" t="s">
        <v>230</v>
      </c>
      <c r="C18" s="93">
        <v>3.5000000000000003E-2</v>
      </c>
      <c r="D18" s="93"/>
      <c r="E18" s="93"/>
      <c r="F18"/>
      <c r="G18" s="93"/>
      <c r="H18" s="80"/>
      <c r="I18" s="80"/>
      <c r="J18" s="80"/>
      <c r="K18" s="80"/>
      <c r="L18" s="80"/>
      <c r="M18" s="80"/>
      <c r="N18" s="80"/>
      <c r="O18" s="93"/>
      <c r="T18" s="80"/>
    </row>
    <row r="19" spans="2:51" s="15" customFormat="1">
      <c r="B19" s="15" t="s">
        <v>231</v>
      </c>
      <c r="C19" s="93">
        <v>0.23</v>
      </c>
      <c r="D19" s="93"/>
      <c r="E19" s="93"/>
      <c r="F19"/>
      <c r="G19" s="93"/>
      <c r="H19" s="80"/>
      <c r="I19" s="80"/>
      <c r="J19" s="80"/>
      <c r="K19" s="80"/>
      <c r="L19" s="80"/>
      <c r="M19" s="80"/>
      <c r="N19" s="80"/>
      <c r="O19" s="93"/>
      <c r="T19" s="80"/>
    </row>
    <row r="20" spans="2:51" s="15" customFormat="1">
      <c r="B20" s="15" t="s">
        <v>232</v>
      </c>
      <c r="C20" s="82">
        <f>BS!$AO$44</f>
        <v>1510.3000000000002</v>
      </c>
      <c r="D20" s="82"/>
      <c r="E20" s="82"/>
      <c r="F20"/>
      <c r="G20" s="82"/>
      <c r="O20" s="82"/>
      <c r="Z20" s="80"/>
    </row>
    <row r="21" spans="2:51" s="15" customFormat="1">
      <c r="B21" s="15" t="s">
        <v>233</v>
      </c>
      <c r="C21" s="81">
        <f ca="1">+C20+C9</f>
        <v>6266.5387991136604</v>
      </c>
      <c r="D21" s="81"/>
      <c r="E21" s="81"/>
      <c r="F21"/>
      <c r="G21" s="81"/>
      <c r="O21" s="81"/>
      <c r="Z21" s="80"/>
    </row>
    <row r="22" spans="2:51" s="15" customFormat="1">
      <c r="B22" s="15" t="s">
        <v>234</v>
      </c>
      <c r="C22" s="92">
        <v>0.5</v>
      </c>
      <c r="D22" s="92"/>
      <c r="E22" s="92"/>
      <c r="F22"/>
      <c r="G22" s="92"/>
      <c r="H22" s="80"/>
      <c r="I22" s="80"/>
      <c r="J22" s="80"/>
      <c r="K22" s="80"/>
      <c r="L22" s="80"/>
      <c r="M22" s="80"/>
      <c r="N22" s="80"/>
      <c r="O22" s="92"/>
      <c r="T22" s="80"/>
    </row>
    <row r="23" spans="2:51" s="15" customFormat="1">
      <c r="B23" s="15" t="s">
        <v>235</v>
      </c>
      <c r="C23" s="115"/>
      <c r="D23" s="115"/>
      <c r="E23" s="115"/>
      <c r="F23"/>
      <c r="G23" s="115"/>
      <c r="H23" s="80"/>
      <c r="O23" s="115"/>
    </row>
    <row r="24" spans="2:51" s="15" customFormat="1">
      <c r="B24" s="15" t="s">
        <v>236</v>
      </c>
      <c r="C24" s="92">
        <v>0.03</v>
      </c>
      <c r="D24" s="92"/>
      <c r="E24" s="92"/>
      <c r="F24"/>
      <c r="G24" s="92"/>
      <c r="H24" s="80"/>
      <c r="O24" s="92"/>
      <c r="Z24" s="80"/>
    </row>
    <row r="25" spans="2:51" s="15" customFormat="1">
      <c r="B25" s="15" t="s">
        <v>237</v>
      </c>
      <c r="C25" s="92">
        <v>0.05</v>
      </c>
      <c r="D25" s="92"/>
      <c r="E25" s="92"/>
      <c r="F25"/>
      <c r="G25" s="92"/>
      <c r="H25" s="80"/>
      <c r="O25" s="92"/>
    </row>
    <row r="26" spans="2:51">
      <c r="B26" t="s">
        <v>238</v>
      </c>
      <c r="C26" s="2">
        <f>((1-C22)*(C18+C15*(C16-C18))+(C22)*(C17*(1-C19)))</f>
        <v>9.2508333333333331E-2</v>
      </c>
      <c r="D26" s="39"/>
      <c r="E26" s="39"/>
      <c r="G26" s="39"/>
      <c r="H26" s="3"/>
      <c r="O26" s="2"/>
    </row>
    <row r="29" spans="2:51">
      <c r="B29" t="s">
        <v>53</v>
      </c>
      <c r="H29" s="41">
        <f>Rev!H35</f>
        <v>1123.1872215806145</v>
      </c>
      <c r="I29" s="41">
        <f>Rev!I35</f>
        <v>1347.1</v>
      </c>
      <c r="J29" s="41">
        <f>Rev!J35</f>
        <v>1721.7</v>
      </c>
      <c r="K29" s="41">
        <f>Rev!K35</f>
        <v>2199.8000000000002</v>
      </c>
      <c r="L29" s="41">
        <f ca="1">Rev!L35</f>
        <v>2607.6426124011377</v>
      </c>
      <c r="M29" s="41">
        <f ca="1">Rev!M35</f>
        <v>2690.2027031106882</v>
      </c>
      <c r="N29" s="41">
        <f ca="1">Rev!N35</f>
        <v>2797.5603594642562</v>
      </c>
      <c r="O29" s="62"/>
      <c r="T29" s="41">
        <f>Rev!T35</f>
        <v>236.00767747572064</v>
      </c>
      <c r="U29" s="41">
        <f>Rev!U35</f>
        <v>250.02480987258627</v>
      </c>
      <c r="V29" s="41">
        <f>Rev!V35</f>
        <v>256.55395289598329</v>
      </c>
      <c r="W29" s="41">
        <f>Rev!W35</f>
        <v>261.77622606891981</v>
      </c>
      <c r="X29" s="41">
        <f>Rev!X35</f>
        <v>268.05077825707741</v>
      </c>
      <c r="Y29" s="41">
        <f>Rev!Y35</f>
        <v>276.97613063680853</v>
      </c>
      <c r="Z29" s="41">
        <f>Rev!Z35</f>
        <v>281.3929475507324</v>
      </c>
      <c r="AA29" s="41">
        <f>Rev!AA35</f>
        <v>296.76736513599604</v>
      </c>
      <c r="AB29" s="41">
        <f>Rev!AB35</f>
        <v>320.60000000000002</v>
      </c>
      <c r="AC29" s="41">
        <f>Rev!AC35</f>
        <v>323.89999999999998</v>
      </c>
      <c r="AD29" s="41">
        <f>Rev!AD35</f>
        <v>340.7</v>
      </c>
      <c r="AE29" s="41">
        <f>Rev!AE35</f>
        <v>361.9</v>
      </c>
      <c r="AF29" s="41">
        <f>Rev!AF35</f>
        <v>366.8</v>
      </c>
      <c r="AG29" s="41">
        <f>Rev!AG35</f>
        <v>369.6</v>
      </c>
      <c r="AH29" s="41">
        <f>Rev!AH35</f>
        <v>478</v>
      </c>
      <c r="AI29" s="41">
        <f>Rev!AI35</f>
        <v>507.3</v>
      </c>
      <c r="AJ29" s="41">
        <f>Rev!AJ35</f>
        <v>504.9</v>
      </c>
      <c r="AK29" s="41">
        <f>Rev!AK35</f>
        <v>506.7</v>
      </c>
      <c r="AL29" s="41">
        <f>Rev!AL35</f>
        <v>550.20000000000005</v>
      </c>
      <c r="AM29" s="41">
        <f>Rev!AM35</f>
        <v>638</v>
      </c>
      <c r="AN29" s="41">
        <f>Rev!AN35</f>
        <v>643.5</v>
      </c>
      <c r="AO29" s="41">
        <f>Rev!AO35</f>
        <v>653.5</v>
      </c>
      <c r="AP29" s="41">
        <f ca="1">Rev!AP35</f>
        <v>652.80480431086812</v>
      </c>
      <c r="AQ29" s="41">
        <f ca="1">Rev!AQ35</f>
        <v>657.83780809026939</v>
      </c>
      <c r="AR29" s="41">
        <f ca="1">Rev!AR35</f>
        <v>663.33243624668933</v>
      </c>
      <c r="AS29" s="41">
        <f ca="1">Rev!AS35</f>
        <v>669.26765209981852</v>
      </c>
      <c r="AT29" s="41">
        <f ca="1">Rev!AT35</f>
        <v>675.54210479847575</v>
      </c>
      <c r="AU29" s="41">
        <f ca="1">Rev!AU35</f>
        <v>682.06050996570434</v>
      </c>
      <c r="AV29" s="41">
        <f ca="1">Rev!AV35</f>
        <v>688.80079027866725</v>
      </c>
      <c r="AW29" s="41">
        <f ca="1">Rev!AW35</f>
        <v>695.74233631079085</v>
      </c>
      <c r="AX29" s="41">
        <f ca="1">Rev!AX35</f>
        <v>702.86557074145185</v>
      </c>
      <c r="AY29" s="41">
        <f ca="1">Rev!AY35</f>
        <v>710.15166213334624</v>
      </c>
    </row>
    <row r="30" spans="2:51">
      <c r="B30" s="7" t="s">
        <v>217</v>
      </c>
      <c r="H30" s="2"/>
      <c r="I30" s="2"/>
      <c r="J30" s="2"/>
      <c r="K30" s="2"/>
      <c r="L30" s="2"/>
      <c r="M30" s="2"/>
      <c r="N30" s="2"/>
      <c r="O30" s="39"/>
      <c r="T30" s="2"/>
      <c r="U30" s="2"/>
      <c r="V30" s="2"/>
      <c r="W30" s="2"/>
      <c r="X30" s="2">
        <f>+X29/T29-1</f>
        <v>0.13577143389605717</v>
      </c>
      <c r="Y30" s="2">
        <f t="shared" ref="Y30:AY30" si="0">+Y29/U29-1</f>
        <v>0.10779458557715449</v>
      </c>
      <c r="Z30" s="2">
        <f t="shared" si="0"/>
        <v>9.6817820869124604E-2</v>
      </c>
      <c r="AA30" s="2">
        <f t="shared" si="0"/>
        <v>0.13366813171897385</v>
      </c>
      <c r="AB30" s="2">
        <f t="shared" si="0"/>
        <v>0.19604204130504188</v>
      </c>
      <c r="AC30" s="2">
        <f t="shared" si="0"/>
        <v>0.16941484905326187</v>
      </c>
      <c r="AD30" s="2">
        <f t="shared" si="0"/>
        <v>0.21076239815347586</v>
      </c>
      <c r="AE30" s="2">
        <f t="shared" si="0"/>
        <v>0.21947371077731659</v>
      </c>
      <c r="AF30" s="2">
        <f t="shared" si="0"/>
        <v>0.14410480349344978</v>
      </c>
      <c r="AG30" s="2">
        <f t="shared" si="0"/>
        <v>0.14109292991664102</v>
      </c>
      <c r="AH30" s="2">
        <f t="shared" si="0"/>
        <v>0.40299383621954799</v>
      </c>
      <c r="AI30" s="2">
        <f t="shared" si="0"/>
        <v>0.40176844432163583</v>
      </c>
      <c r="AJ30" s="2">
        <f t="shared" si="0"/>
        <v>0.37649945474372948</v>
      </c>
      <c r="AK30" s="2">
        <f t="shared" si="0"/>
        <v>0.37094155844155829</v>
      </c>
      <c r="AL30" s="2">
        <f t="shared" si="0"/>
        <v>0.15104602510460263</v>
      </c>
      <c r="AM30" s="2">
        <f t="shared" si="0"/>
        <v>0.257638478218017</v>
      </c>
      <c r="AN30" s="2">
        <f t="shared" si="0"/>
        <v>0.27450980392156876</v>
      </c>
      <c r="AO30" s="2">
        <f t="shared" si="0"/>
        <v>0.2897177817248866</v>
      </c>
      <c r="AP30" s="2">
        <f t="shared" ca="1" si="0"/>
        <v>0.18648637642833155</v>
      </c>
      <c r="AQ30" s="2">
        <f t="shared" ca="1" si="0"/>
        <v>3.1093743088196568E-2</v>
      </c>
      <c r="AR30" s="2">
        <f t="shared" ca="1" si="0"/>
        <v>3.0819636746991952E-2</v>
      </c>
      <c r="AS30" s="2">
        <f t="shared" ca="1" si="0"/>
        <v>2.4128006273631986E-2</v>
      </c>
      <c r="AT30" s="2">
        <f t="shared" ca="1" si="0"/>
        <v>3.4830167206888474E-2</v>
      </c>
      <c r="AU30" s="2">
        <f t="shared" ca="1" si="0"/>
        <v>3.6821693094464258E-2</v>
      </c>
      <c r="AV30" s="2">
        <f t="shared" ca="1" si="0"/>
        <v>3.83945554902827E-2</v>
      </c>
      <c r="AW30" s="2">
        <f t="shared" ca="1" si="0"/>
        <v>3.9557692842181025E-2</v>
      </c>
      <c r="AX30" s="2">
        <f t="shared" ca="1" si="0"/>
        <v>4.0446725302380804E-2</v>
      </c>
      <c r="AY30" s="2">
        <f t="shared" ca="1" si="0"/>
        <v>4.1185718506198787E-2</v>
      </c>
    </row>
    <row r="31" spans="2:51">
      <c r="B31" t="s">
        <v>209</v>
      </c>
      <c r="H31" s="41">
        <f>IS!H51</f>
        <v>653.61018672880209</v>
      </c>
      <c r="I31" s="41">
        <f>IS!I51</f>
        <v>782.60000000000014</v>
      </c>
      <c r="J31" s="41">
        <f>IS!J51</f>
        <v>934.9</v>
      </c>
      <c r="K31" s="41">
        <f>IS!K51</f>
        <v>1116.8000000000002</v>
      </c>
      <c r="L31" s="41">
        <f ca="1">IS!L51</f>
        <v>1304.4861798408563</v>
      </c>
      <c r="M31" s="41">
        <f ca="1">IS!M51</f>
        <v>1370.016083933192</v>
      </c>
      <c r="N31" s="41">
        <f ca="1">IS!N51</f>
        <v>1451.1599812439413</v>
      </c>
      <c r="O31" s="62"/>
      <c r="T31" s="41">
        <f>IS!T51</f>
        <v>125.6178835624993</v>
      </c>
      <c r="U31" s="41">
        <f>IS!U51</f>
        <v>139.37871740345793</v>
      </c>
      <c r="V31" s="41">
        <f>IS!V51</f>
        <v>147.59169075010976</v>
      </c>
      <c r="W31" s="41">
        <f>IS!W51</f>
        <v>141.83878429060655</v>
      </c>
      <c r="X31" s="41">
        <f>IS!X51</f>
        <v>155.60177105606058</v>
      </c>
      <c r="Y31" s="41">
        <f>IS!Y51</f>
        <v>161.66567373765406</v>
      </c>
      <c r="Z31" s="41">
        <f>IS!Z51</f>
        <v>165.22903738364963</v>
      </c>
      <c r="AA31" s="41">
        <f>IS!AA51</f>
        <v>171.11370455143791</v>
      </c>
      <c r="AB31" s="41">
        <f>IS!AB51</f>
        <v>182.99999999999997</v>
      </c>
      <c r="AC31" s="41">
        <f>IS!AC51</f>
        <v>189.70000000000002</v>
      </c>
      <c r="AD31" s="41">
        <f>IS!AD51</f>
        <v>199</v>
      </c>
      <c r="AE31" s="41">
        <f>IS!AE51</f>
        <v>210.90000000000003</v>
      </c>
      <c r="AF31" s="41">
        <f>IS!AF51</f>
        <v>215.39999999999998</v>
      </c>
      <c r="AG31" s="41">
        <f>IS!AG51</f>
        <v>218.90000000000006</v>
      </c>
      <c r="AH31" s="41">
        <f>IS!AH51</f>
        <v>242.79999999999995</v>
      </c>
      <c r="AI31" s="41">
        <f>IS!AI51</f>
        <v>257.79999999999995</v>
      </c>
      <c r="AJ31" s="41">
        <f>IS!AJ51</f>
        <v>260.60000000000002</v>
      </c>
      <c r="AK31" s="41">
        <f>IS!AK51</f>
        <v>263.39999999999992</v>
      </c>
      <c r="AL31" s="41">
        <f>IS!AL51</f>
        <v>282.00000000000006</v>
      </c>
      <c r="AM31" s="41">
        <f>IS!AM51</f>
        <v>310.80000000000007</v>
      </c>
      <c r="AN31" s="41">
        <f>IS!AN51</f>
        <v>316.60000000000002</v>
      </c>
      <c r="AO31" s="41">
        <f>IS!AO51</f>
        <v>329.89999999999992</v>
      </c>
      <c r="AP31" s="41">
        <f ca="1">IS!AP51</f>
        <v>326.94871317149068</v>
      </c>
      <c r="AQ31" s="41">
        <f ca="1">IS!AQ51</f>
        <v>331.03746666936564</v>
      </c>
      <c r="AR31" s="41">
        <f ca="1">IS!AR51</f>
        <v>335.40358115071263</v>
      </c>
      <c r="AS31" s="41">
        <f ca="1">IS!AS51</f>
        <v>340.01440528747918</v>
      </c>
      <c r="AT31" s="41">
        <f ca="1">IS!AT51</f>
        <v>344.82110276408577</v>
      </c>
      <c r="AU31" s="41">
        <f ca="1">IS!AU51</f>
        <v>349.77699473091468</v>
      </c>
      <c r="AV31" s="41">
        <f ca="1">IS!AV51</f>
        <v>354.87209374973708</v>
      </c>
      <c r="AW31" s="41">
        <f ca="1">IS!AW51</f>
        <v>360.09695091398476</v>
      </c>
      <c r="AX31" s="41">
        <f ca="1">IS!AX51</f>
        <v>365.4424473739632</v>
      </c>
      <c r="AY31" s="41">
        <f ca="1">IS!AY51</f>
        <v>370.74848920625618</v>
      </c>
    </row>
    <row r="32" spans="2:51">
      <c r="B32" s="7" t="s">
        <v>203</v>
      </c>
      <c r="H32" s="2">
        <f>+H31/H29</f>
        <v>0.58192452172755649</v>
      </c>
      <c r="I32" s="2">
        <f t="shared" ref="I32:N32" si="1">+I31/I29</f>
        <v>0.5809516739662981</v>
      </c>
      <c r="J32" s="2">
        <f t="shared" si="1"/>
        <v>0.5430098158796538</v>
      </c>
      <c r="K32" s="2">
        <f t="shared" si="1"/>
        <v>0.50768251659241759</v>
      </c>
      <c r="L32" s="2">
        <f t="shared" ca="1" si="1"/>
        <v>0.50025497115176965</v>
      </c>
      <c r="M32" s="2">
        <f t="shared" ca="1" si="1"/>
        <v>0.50926128441884289</v>
      </c>
      <c r="N32" s="2">
        <f t="shared" ca="1" si="1"/>
        <v>0.51872338565801102</v>
      </c>
      <c r="O32" s="39"/>
      <c r="T32" s="2">
        <f>+T31/T29</f>
        <v>0.53226185226716738</v>
      </c>
      <c r="U32" s="2">
        <f t="shared" ref="U32:AY32" si="2">+U31/U29</f>
        <v>0.55745954761243866</v>
      </c>
      <c r="V32" s="2">
        <f t="shared" si="2"/>
        <v>0.57528519472841266</v>
      </c>
      <c r="W32" s="2">
        <f t="shared" si="2"/>
        <v>0.54183218400155098</v>
      </c>
      <c r="X32" s="2">
        <f t="shared" si="2"/>
        <v>0.58049363657071262</v>
      </c>
      <c r="Y32" s="2">
        <f t="shared" si="2"/>
        <v>0.58368088746839331</v>
      </c>
      <c r="Z32" s="2">
        <f t="shared" si="2"/>
        <v>0.58718258158854686</v>
      </c>
      <c r="AA32" s="2">
        <f t="shared" si="2"/>
        <v>0.57659205375572098</v>
      </c>
      <c r="AB32" s="2">
        <f t="shared" si="2"/>
        <v>0.57080474111041779</v>
      </c>
      <c r="AC32" s="2">
        <f t="shared" si="2"/>
        <v>0.58567459092312446</v>
      </c>
      <c r="AD32" s="2">
        <f t="shared" si="2"/>
        <v>0.58409157616671559</v>
      </c>
      <c r="AE32" s="2">
        <f t="shared" si="2"/>
        <v>0.58275766786405092</v>
      </c>
      <c r="AF32" s="2">
        <f t="shared" si="2"/>
        <v>0.5872410032715375</v>
      </c>
      <c r="AG32" s="2">
        <f t="shared" si="2"/>
        <v>0.59226190476190488</v>
      </c>
      <c r="AH32" s="2">
        <f t="shared" si="2"/>
        <v>0.50794979079497904</v>
      </c>
      <c r="AI32" s="2">
        <f t="shared" si="2"/>
        <v>0.50818056376897291</v>
      </c>
      <c r="AJ32" s="2">
        <f t="shared" si="2"/>
        <v>0.51614181025945738</v>
      </c>
      <c r="AK32" s="2">
        <f t="shared" si="2"/>
        <v>0.51983422143280034</v>
      </c>
      <c r="AL32" s="2">
        <f t="shared" si="2"/>
        <v>0.51254089422028359</v>
      </c>
      <c r="AM32" s="2">
        <f t="shared" si="2"/>
        <v>0.4871473354231976</v>
      </c>
      <c r="AN32" s="2">
        <f t="shared" si="2"/>
        <v>0.49199689199689201</v>
      </c>
      <c r="AO32" s="2">
        <f t="shared" si="2"/>
        <v>0.50482019892884455</v>
      </c>
      <c r="AP32" s="2">
        <f t="shared" ca="1" si="2"/>
        <v>0.50083686733377109</v>
      </c>
      <c r="AQ32" s="2">
        <f t="shared" ca="1" si="2"/>
        <v>0.50322049386364887</v>
      </c>
      <c r="AR32" s="2">
        <f t="shared" ca="1" si="2"/>
        <v>0.50563422323882568</v>
      </c>
      <c r="AS32" s="2">
        <f t="shared" ca="1" si="2"/>
        <v>0.50803950291141131</v>
      </c>
      <c r="AT32" s="2">
        <f t="shared" ca="1" si="2"/>
        <v>0.51043613760677586</v>
      </c>
      <c r="AU32" s="2">
        <f t="shared" ca="1" si="2"/>
        <v>0.51282399379565646</v>
      </c>
      <c r="AV32" s="2">
        <f t="shared" ca="1" si="2"/>
        <v>0.5152027970324583</v>
      </c>
      <c r="AW32" s="2">
        <f t="shared" ca="1" si="2"/>
        <v>0.51757228519888143</v>
      </c>
      <c r="AX32" s="2">
        <f t="shared" ca="1" si="2"/>
        <v>0.51993220693461839</v>
      </c>
      <c r="AY32" s="2">
        <f t="shared" ca="1" si="2"/>
        <v>0.52206945216814848</v>
      </c>
    </row>
    <row r="33" spans="2:51">
      <c r="B33" t="s">
        <v>210</v>
      </c>
      <c r="H33" s="19">
        <v>0</v>
      </c>
      <c r="I33" s="41">
        <f>-IS!I27</f>
        <v>8.8000000000000007</v>
      </c>
      <c r="J33" s="41">
        <f>-IS!J27</f>
        <v>-8.5000000000000018</v>
      </c>
      <c r="K33" s="41">
        <f>-IS!K27</f>
        <v>-18.399999999999999</v>
      </c>
      <c r="L33" s="41">
        <f ca="1">-IS!L27</f>
        <v>-41.706433235976213</v>
      </c>
      <c r="M33" s="41">
        <f ca="1">-IS!M27</f>
        <v>-28.430874021549826</v>
      </c>
      <c r="N33" s="19">
        <v>0</v>
      </c>
      <c r="O33" s="62"/>
      <c r="T33" s="19">
        <v>0</v>
      </c>
      <c r="U33" s="19">
        <v>0</v>
      </c>
      <c r="V33" s="19">
        <v>0</v>
      </c>
      <c r="W33" s="19">
        <v>0</v>
      </c>
      <c r="X33" s="19">
        <v>0</v>
      </c>
      <c r="Y33" s="19">
        <v>0</v>
      </c>
      <c r="Z33" s="19">
        <v>0</v>
      </c>
      <c r="AA33" s="19">
        <v>0</v>
      </c>
      <c r="AB33" s="19">
        <v>0</v>
      </c>
      <c r="AC33" s="19">
        <v>0</v>
      </c>
      <c r="AD33" s="19">
        <v>0</v>
      </c>
      <c r="AE33" s="19">
        <v>0</v>
      </c>
      <c r="AF33" s="19">
        <v>0</v>
      </c>
      <c r="AG33" s="19">
        <v>0</v>
      </c>
      <c r="AH33" s="19">
        <v>0</v>
      </c>
      <c r="AI33" s="19">
        <v>0</v>
      </c>
      <c r="AJ33" s="19">
        <v>0</v>
      </c>
      <c r="AK33" s="19">
        <v>0</v>
      </c>
      <c r="AL33" s="19">
        <v>0</v>
      </c>
      <c r="AM33" s="19">
        <v>0</v>
      </c>
      <c r="AN33" s="19">
        <v>0</v>
      </c>
      <c r="AO33" s="19">
        <v>0</v>
      </c>
      <c r="AP33" s="19">
        <v>0</v>
      </c>
      <c r="AQ33" s="19">
        <v>0</v>
      </c>
      <c r="AR33" s="19">
        <v>0</v>
      </c>
      <c r="AS33" s="19">
        <v>0</v>
      </c>
      <c r="AT33" s="19">
        <v>0</v>
      </c>
      <c r="AU33" s="19">
        <v>0</v>
      </c>
      <c r="AV33" s="19">
        <v>0</v>
      </c>
      <c r="AW33" s="19">
        <v>0</v>
      </c>
      <c r="AX33" s="19">
        <v>0</v>
      </c>
      <c r="AY33" s="19">
        <v>0</v>
      </c>
    </row>
    <row r="34" spans="2:51">
      <c r="B34" s="7" t="s">
        <v>211</v>
      </c>
      <c r="H34" s="2">
        <f>+H33/H31</f>
        <v>0</v>
      </c>
      <c r="I34" s="2">
        <f t="shared" ref="I34:N34" si="3">+I33/I31</f>
        <v>1.1244569384104267E-2</v>
      </c>
      <c r="J34" s="2">
        <f t="shared" si="3"/>
        <v>-9.091881484650767E-3</v>
      </c>
      <c r="K34" s="2">
        <f t="shared" si="3"/>
        <v>-1.6475644699140396E-2</v>
      </c>
      <c r="L34" s="2">
        <f t="shared" ca="1" si="3"/>
        <v>-3.1971540887511959E-2</v>
      </c>
      <c r="M34" s="2">
        <f t="shared" ca="1" si="3"/>
        <v>-2.0752219156381993E-2</v>
      </c>
      <c r="N34" s="2">
        <f t="shared" ca="1" si="3"/>
        <v>0</v>
      </c>
      <c r="O34" s="39"/>
      <c r="T34" s="2">
        <f>+T33/T31</f>
        <v>0</v>
      </c>
      <c r="U34" s="2">
        <f t="shared" ref="U34:AY34" si="4">+U33/U31</f>
        <v>0</v>
      </c>
      <c r="V34" s="2">
        <f t="shared" si="4"/>
        <v>0</v>
      </c>
      <c r="W34" s="2">
        <f t="shared" si="4"/>
        <v>0</v>
      </c>
      <c r="X34" s="2">
        <f t="shared" si="4"/>
        <v>0</v>
      </c>
      <c r="Y34" s="2">
        <f t="shared" si="4"/>
        <v>0</v>
      </c>
      <c r="Z34" s="2">
        <f t="shared" si="4"/>
        <v>0</v>
      </c>
      <c r="AA34" s="2">
        <f t="shared" si="4"/>
        <v>0</v>
      </c>
      <c r="AB34" s="2">
        <f t="shared" si="4"/>
        <v>0</v>
      </c>
      <c r="AC34" s="2">
        <f t="shared" si="4"/>
        <v>0</v>
      </c>
      <c r="AD34" s="2">
        <f t="shared" si="4"/>
        <v>0</v>
      </c>
      <c r="AE34" s="2">
        <f t="shared" si="4"/>
        <v>0</v>
      </c>
      <c r="AF34" s="2">
        <f t="shared" si="4"/>
        <v>0</v>
      </c>
      <c r="AG34" s="2">
        <f t="shared" si="4"/>
        <v>0</v>
      </c>
      <c r="AH34" s="2">
        <f t="shared" si="4"/>
        <v>0</v>
      </c>
      <c r="AI34" s="2">
        <f t="shared" si="4"/>
        <v>0</v>
      </c>
      <c r="AJ34" s="2">
        <f t="shared" si="4"/>
        <v>0</v>
      </c>
      <c r="AK34" s="2">
        <f t="shared" si="4"/>
        <v>0</v>
      </c>
      <c r="AL34" s="2">
        <f t="shared" si="4"/>
        <v>0</v>
      </c>
      <c r="AM34" s="2">
        <f t="shared" si="4"/>
        <v>0</v>
      </c>
      <c r="AN34" s="2">
        <f t="shared" si="4"/>
        <v>0</v>
      </c>
      <c r="AO34" s="2">
        <f t="shared" si="4"/>
        <v>0</v>
      </c>
      <c r="AP34" s="2">
        <f t="shared" ca="1" si="4"/>
        <v>0</v>
      </c>
      <c r="AQ34" s="2">
        <f t="shared" ca="1" si="4"/>
        <v>0</v>
      </c>
      <c r="AR34" s="2">
        <f t="shared" ca="1" si="4"/>
        <v>0</v>
      </c>
      <c r="AS34" s="2">
        <f t="shared" ca="1" si="4"/>
        <v>0</v>
      </c>
      <c r="AT34" s="2">
        <f t="shared" ca="1" si="4"/>
        <v>0</v>
      </c>
      <c r="AU34" s="2">
        <f t="shared" ca="1" si="4"/>
        <v>0</v>
      </c>
      <c r="AV34" s="2">
        <f t="shared" ca="1" si="4"/>
        <v>0</v>
      </c>
      <c r="AW34" s="2">
        <f t="shared" ca="1" si="4"/>
        <v>0</v>
      </c>
      <c r="AX34" s="2">
        <f t="shared" ca="1" si="4"/>
        <v>0</v>
      </c>
      <c r="AY34" s="2">
        <f t="shared" ca="1" si="4"/>
        <v>0</v>
      </c>
    </row>
    <row r="35" spans="2:51" s="3" customFormat="1">
      <c r="B35" s="3" t="s">
        <v>254</v>
      </c>
      <c r="H35" s="62">
        <f>-BS!H75</f>
        <v>0</v>
      </c>
      <c r="I35" s="62">
        <f>-BS!I75</f>
        <v>-381.29999999999995</v>
      </c>
      <c r="J35" s="62">
        <f>-BS!J75</f>
        <v>-520.10000000000014</v>
      </c>
      <c r="K35" s="62">
        <f>-BS!K75</f>
        <v>-635</v>
      </c>
      <c r="L35" s="62">
        <f ca="1">-BS!L75</f>
        <v>-737.7487208380096</v>
      </c>
      <c r="M35" s="62">
        <f ca="1">-BS!M75</f>
        <v>-761.8402520972835</v>
      </c>
      <c r="N35" s="62">
        <f ca="1">-BS!N75</f>
        <v>-700.39535435277912</v>
      </c>
      <c r="O35" s="62"/>
      <c r="T35" s="62"/>
      <c r="U35" s="62"/>
      <c r="V35" s="62"/>
      <c r="W35" s="62"/>
      <c r="X35" s="62"/>
      <c r="Y35" s="62"/>
      <c r="Z35" s="62"/>
      <c r="AA35" s="62"/>
      <c r="AB35" s="62">
        <f>-BS!AB75</f>
        <v>-72.099999999999994</v>
      </c>
      <c r="AC35" s="62">
        <f>-BS!AC75</f>
        <v>-88.600000000000009</v>
      </c>
      <c r="AD35" s="62">
        <f>-BS!AD75</f>
        <v>-90.599999999999966</v>
      </c>
      <c r="AE35" s="62">
        <f>-BS!AE75</f>
        <v>-130</v>
      </c>
      <c r="AF35" s="62">
        <f>-BS!AF75</f>
        <v>-109.49999999999999</v>
      </c>
      <c r="AG35" s="62">
        <f>-BS!AG75</f>
        <v>-135.50000000000006</v>
      </c>
      <c r="AH35" s="62">
        <f>-BS!AH75</f>
        <v>-126.30000000000001</v>
      </c>
      <c r="AI35" s="62">
        <f>-BS!AI75</f>
        <v>-148.80000000000001</v>
      </c>
      <c r="AJ35" s="62">
        <f>-BS!AJ75</f>
        <v>-167.4</v>
      </c>
      <c r="AK35" s="62">
        <f>-BS!AK75</f>
        <v>-170.19999999999996</v>
      </c>
      <c r="AL35" s="62">
        <f>-BS!AL75</f>
        <v>-135.90000000000009</v>
      </c>
      <c r="AM35" s="62">
        <f>-BS!AM75</f>
        <v>-161.5</v>
      </c>
      <c r="AN35" s="62">
        <f>-BS!AN75</f>
        <v>-193.4</v>
      </c>
      <c r="AO35" s="62">
        <f>-BS!AO75</f>
        <v>-193.4</v>
      </c>
      <c r="AP35" s="62">
        <f ca="1">-BS!AP75</f>
        <v>-177.45334119938025</v>
      </c>
      <c r="AQ35" s="62">
        <f ca="1">-BS!AQ75</f>
        <v>-173.49537963862937</v>
      </c>
      <c r="AR35" s="62">
        <f ca="1">-BS!AR75</f>
        <v>-189.16260313292329</v>
      </c>
      <c r="AS35" s="62">
        <f ca="1">-BS!AS75</f>
        <v>-189.88537558509398</v>
      </c>
      <c r="AT35" s="62">
        <f ca="1">-BS!AT75</f>
        <v>-190.82330278435489</v>
      </c>
      <c r="AU35" s="62">
        <f ca="1">-BS!AU75</f>
        <v>-191.96897059491138</v>
      </c>
      <c r="AV35" s="62">
        <f ca="1">-BS!AV75</f>
        <v>-193.2327467367414</v>
      </c>
      <c r="AW35" s="62">
        <f ca="1">-BS!AW75</f>
        <v>-194.6074187315497</v>
      </c>
      <c r="AX35" s="62">
        <f ca="1">-BS!AX75</f>
        <v>-196.08614238717135</v>
      </c>
      <c r="AY35" s="62">
        <f ca="1">-BS!AY75</f>
        <v>-116.46904649731664</v>
      </c>
    </row>
    <row r="36" spans="2:51">
      <c r="B36" s="7" t="s">
        <v>217</v>
      </c>
      <c r="H36" s="2"/>
      <c r="I36" s="2"/>
      <c r="J36" s="2"/>
      <c r="K36" s="2"/>
      <c r="L36" s="2"/>
      <c r="M36" s="2"/>
      <c r="N36" s="2"/>
      <c r="O36" s="39"/>
      <c r="T36" s="2"/>
      <c r="U36" s="2"/>
      <c r="V36" s="2"/>
      <c r="W36" s="2"/>
      <c r="X36" s="2"/>
      <c r="Y36" s="2"/>
      <c r="Z36" s="2"/>
      <c r="AA36" s="2"/>
      <c r="AB36" s="2"/>
      <c r="AC36" s="2"/>
      <c r="AD36" s="2"/>
      <c r="AE36" s="2"/>
      <c r="AF36" s="2">
        <f t="shared" ref="AF36:AY36" si="5">+AF35/AB35-1</f>
        <v>0.51872399445214978</v>
      </c>
      <c r="AG36" s="2">
        <f t="shared" si="5"/>
        <v>0.52934537246049707</v>
      </c>
      <c r="AH36" s="2">
        <f t="shared" si="5"/>
        <v>0.39403973509933832</v>
      </c>
      <c r="AI36" s="2">
        <f t="shared" si="5"/>
        <v>0.14461538461538481</v>
      </c>
      <c r="AJ36" s="2">
        <f t="shared" si="5"/>
        <v>0.52876712328767139</v>
      </c>
      <c r="AK36" s="2">
        <f t="shared" si="5"/>
        <v>0.25608856088560805</v>
      </c>
      <c r="AL36" s="2">
        <f t="shared" si="5"/>
        <v>7.6009501187649153E-2</v>
      </c>
      <c r="AM36" s="2">
        <f t="shared" si="5"/>
        <v>8.5349462365591267E-2</v>
      </c>
      <c r="AN36" s="2">
        <f t="shared" si="5"/>
        <v>0.15531660692951021</v>
      </c>
      <c r="AO36" s="2">
        <f t="shared" si="5"/>
        <v>0.13631022326674525</v>
      </c>
      <c r="AP36" s="2">
        <f t="shared" ca="1" si="5"/>
        <v>0.30576410006902233</v>
      </c>
      <c r="AQ36" s="2">
        <f t="shared" ca="1" si="5"/>
        <v>7.4274796524020914E-2</v>
      </c>
      <c r="AR36" s="2">
        <f t="shared" ca="1" si="5"/>
        <v>-2.1910014824595203E-2</v>
      </c>
      <c r="AS36" s="2">
        <f t="shared" ca="1" si="5"/>
        <v>-1.817282530975195E-2</v>
      </c>
      <c r="AT36" s="2">
        <f t="shared" ca="1" si="5"/>
        <v>7.5343532528658441E-2</v>
      </c>
      <c r="AU36" s="2">
        <f t="shared" ca="1" si="5"/>
        <v>0.10647886413321417</v>
      </c>
      <c r="AV36" s="2">
        <f t="shared" ca="1" si="5"/>
        <v>2.1516639845340135E-2</v>
      </c>
      <c r="AW36" s="2">
        <f t="shared" ca="1" si="5"/>
        <v>2.486786110781658E-2</v>
      </c>
      <c r="AX36" s="2">
        <f t="shared" ca="1" si="5"/>
        <v>2.7579648428807779E-2</v>
      </c>
      <c r="AY36" s="2">
        <f t="shared" ca="1" si="5"/>
        <v>-0.3932923318993724</v>
      </c>
    </row>
    <row r="37" spans="2:51">
      <c r="B37" s="7" t="s">
        <v>218</v>
      </c>
      <c r="H37" s="2">
        <f>+H35/H29</f>
        <v>0</v>
      </c>
      <c r="I37" s="2">
        <f t="shared" ref="I37:N37" si="6">+I35/I29</f>
        <v>-0.28305248311186992</v>
      </c>
      <c r="J37" s="2">
        <f t="shared" si="6"/>
        <v>-0.30208514839983747</v>
      </c>
      <c r="K37" s="2">
        <f t="shared" si="6"/>
        <v>-0.28866260569142649</v>
      </c>
      <c r="L37" s="2">
        <f t="shared" ca="1" si="6"/>
        <v>-0.28291788043710669</v>
      </c>
      <c r="M37" s="2">
        <f t="shared" ca="1" si="6"/>
        <v>-0.28319064998944715</v>
      </c>
      <c r="N37" s="2">
        <f t="shared" ca="1" si="6"/>
        <v>-0.2503593361206003</v>
      </c>
      <c r="O37" s="39"/>
      <c r="T37" s="2">
        <f>+T35/T29</f>
        <v>0</v>
      </c>
      <c r="U37" s="2">
        <f t="shared" ref="U37:AY37" si="7">+U35/U29</f>
        <v>0</v>
      </c>
      <c r="V37" s="2">
        <f t="shared" si="7"/>
        <v>0</v>
      </c>
      <c r="W37" s="2">
        <f t="shared" si="7"/>
        <v>0</v>
      </c>
      <c r="X37" s="2">
        <f t="shared" si="7"/>
        <v>0</v>
      </c>
      <c r="Y37" s="2">
        <f t="shared" si="7"/>
        <v>0</v>
      </c>
      <c r="Z37" s="2">
        <f t="shared" si="7"/>
        <v>0</v>
      </c>
      <c r="AA37" s="2">
        <f t="shared" si="7"/>
        <v>0</v>
      </c>
      <c r="AB37" s="2">
        <f t="shared" si="7"/>
        <v>-0.22489082969432311</v>
      </c>
      <c r="AC37" s="2">
        <f t="shared" si="7"/>
        <v>-0.27354121642482254</v>
      </c>
      <c r="AD37" s="2">
        <f t="shared" si="7"/>
        <v>-0.26592309950102722</v>
      </c>
      <c r="AE37" s="2">
        <f t="shared" si="7"/>
        <v>-0.35921525283227412</v>
      </c>
      <c r="AF37" s="2">
        <f t="shared" si="7"/>
        <v>-0.29852780806979273</v>
      </c>
      <c r="AG37" s="2">
        <f t="shared" si="7"/>
        <v>-0.36661255411255422</v>
      </c>
      <c r="AH37" s="2">
        <f t="shared" si="7"/>
        <v>-0.26422594142259415</v>
      </c>
      <c r="AI37" s="2">
        <f t="shared" si="7"/>
        <v>-0.29331756357185101</v>
      </c>
      <c r="AJ37" s="2">
        <f t="shared" si="7"/>
        <v>-0.33155080213903748</v>
      </c>
      <c r="AK37" s="2">
        <f t="shared" si="7"/>
        <v>-0.33589895401618308</v>
      </c>
      <c r="AL37" s="2">
        <f t="shared" si="7"/>
        <v>-0.24700109051254104</v>
      </c>
      <c r="AM37" s="2">
        <f t="shared" si="7"/>
        <v>-0.25313479623824453</v>
      </c>
      <c r="AN37" s="2">
        <f t="shared" si="7"/>
        <v>-0.30054390054390057</v>
      </c>
      <c r="AO37" s="2">
        <f t="shared" si="7"/>
        <v>-0.29594491201224177</v>
      </c>
      <c r="AP37" s="2">
        <f t="shared" ca="1" si="7"/>
        <v>-0.27183216181551922</v>
      </c>
      <c r="AQ37" s="2">
        <f t="shared" ca="1" si="7"/>
        <v>-0.26373579855845275</v>
      </c>
      <c r="AR37" s="2">
        <f t="shared" ca="1" si="7"/>
        <v>-0.28517013912851213</v>
      </c>
      <c r="AS37" s="2">
        <f t="shared" ca="1" si="7"/>
        <v>-0.28372113158215717</v>
      </c>
      <c r="AT37" s="2">
        <f t="shared" ca="1" si="7"/>
        <v>-0.28247432902983943</v>
      </c>
      <c r="AU37" s="2">
        <f t="shared" ca="1" si="7"/>
        <v>-0.28145445717794754</v>
      </c>
      <c r="AV37" s="2">
        <f t="shared" ca="1" si="7"/>
        <v>-0.28053502473271769</v>
      </c>
      <c r="AW37" s="2">
        <f t="shared" ca="1" si="7"/>
        <v>-0.27971191140022533</v>
      </c>
      <c r="AX37" s="2">
        <f t="shared" ca="1" si="7"/>
        <v>-0.27898100369366557</v>
      </c>
      <c r="AY37" s="2">
        <f t="shared" ca="1" si="7"/>
        <v>-0.16400587748740222</v>
      </c>
    </row>
    <row r="38" spans="2:51">
      <c r="B38" t="s">
        <v>212</v>
      </c>
      <c r="H38" s="41">
        <f>CF!H28</f>
        <v>-2.1050000000000004</v>
      </c>
      <c r="I38" s="41">
        <f>CF!I28</f>
        <v>-51.100000000000016</v>
      </c>
      <c r="J38" s="41">
        <f>CF!J28</f>
        <v>-48.4</v>
      </c>
      <c r="K38" s="41">
        <f>CF!K28</f>
        <v>-35.4</v>
      </c>
      <c r="L38" s="41">
        <f ca="1">CF!L28</f>
        <v>38.261533297739177</v>
      </c>
      <c r="M38" s="41">
        <f ca="1">CF!M28</f>
        <v>-1.7451264302996279</v>
      </c>
      <c r="N38" s="41">
        <f ca="1">CF!N28</f>
        <v>-1.965582219394328</v>
      </c>
      <c r="O38" s="62"/>
      <c r="T38" s="41">
        <f>CF!T28</f>
        <v>226.46556180935016</v>
      </c>
      <c r="U38" s="41">
        <f>CF!U28</f>
        <v>-87.063545326675836</v>
      </c>
      <c r="V38" s="41">
        <f>CF!V28</f>
        <v>-23.734561909571955</v>
      </c>
      <c r="W38" s="41">
        <f>CF!W28</f>
        <v>-36.553382380150097</v>
      </c>
      <c r="X38" s="41">
        <f>CF!X28</f>
        <v>-25.940166018963431</v>
      </c>
      <c r="Y38" s="41">
        <f>CF!Y28</f>
        <v>22.700075494355865</v>
      </c>
      <c r="Z38" s="41">
        <f>CF!Z28</f>
        <v>-15.575681276474102</v>
      </c>
      <c r="AA38" s="41">
        <f>CF!AA28</f>
        <v>16.710771801081666</v>
      </c>
      <c r="AB38" s="41">
        <f>CF!AB28</f>
        <v>-40.5</v>
      </c>
      <c r="AC38" s="41">
        <f>CF!AC28</f>
        <v>-39.300000000000004</v>
      </c>
      <c r="AD38" s="41">
        <f>CF!AD28</f>
        <v>4.1000000000000014</v>
      </c>
      <c r="AE38" s="41">
        <f>CF!AE28</f>
        <v>24.6</v>
      </c>
      <c r="AF38" s="41">
        <f>CF!AF28</f>
        <v>8.8000000000000025</v>
      </c>
      <c r="AG38" s="41">
        <f>CF!AG28</f>
        <v>-33.799999999999997</v>
      </c>
      <c r="AH38" s="41">
        <f>CF!AH28</f>
        <v>-9.9000000000000039</v>
      </c>
      <c r="AI38" s="41">
        <f>CF!AI28</f>
        <v>-13.499999999999998</v>
      </c>
      <c r="AJ38" s="41">
        <f>CF!AJ28</f>
        <v>13.399999999999999</v>
      </c>
      <c r="AK38" s="41">
        <f>CF!AK28</f>
        <v>-46.6</v>
      </c>
      <c r="AL38" s="41">
        <f>CF!AL28</f>
        <v>12.5</v>
      </c>
      <c r="AM38" s="41">
        <f>CF!AM28</f>
        <v>-14.699999999999994</v>
      </c>
      <c r="AN38" s="41">
        <f>CF!AN28</f>
        <v>66.400000000000006</v>
      </c>
      <c r="AO38" s="41">
        <f>CF!AO28</f>
        <v>-27.600000000000005</v>
      </c>
      <c r="AP38" s="41">
        <f ca="1">CF!AP28</f>
        <v>-0.15214035812257265</v>
      </c>
      <c r="AQ38" s="41">
        <f ca="1">CF!AQ28</f>
        <v>-0.38632634413824718</v>
      </c>
      <c r="AR38" s="41">
        <f ca="1">CF!AR28</f>
        <v>-0.40813631152783358</v>
      </c>
      <c r="AS38" s="41">
        <f ca="1">CF!AS28</f>
        <v>-0.42945554350747273</v>
      </c>
      <c r="AT38" s="41">
        <f ca="1">CF!AT28</f>
        <v>-0.44690542389621157</v>
      </c>
      <c r="AU38" s="41">
        <f ca="1">CF!AU28</f>
        <v>-0.46062915136811</v>
      </c>
      <c r="AV38" s="41">
        <f ca="1">CF!AV28</f>
        <v>-0.47362038634199877</v>
      </c>
      <c r="AW38" s="41">
        <f ca="1">CF!AW28</f>
        <v>-0.48591729049221755</v>
      </c>
      <c r="AX38" s="41">
        <f ca="1">CF!AX28</f>
        <v>-0.49754136395687709</v>
      </c>
      <c r="AY38" s="41">
        <f ca="1">CF!AY28</f>
        <v>-0.50850317860323457</v>
      </c>
    </row>
    <row r="39" spans="2:51">
      <c r="B39" s="7" t="s">
        <v>218</v>
      </c>
      <c r="H39" s="2">
        <f>+H38/H29</f>
        <v>-1.8741310082193792E-3</v>
      </c>
      <c r="I39" s="2">
        <f t="shared" ref="I39:N39" si="8">+I38/I29</f>
        <v>-3.7933338282235926E-2</v>
      </c>
      <c r="J39" s="2">
        <f t="shared" si="8"/>
        <v>-2.8111750014520532E-2</v>
      </c>
      <c r="K39" s="2">
        <f t="shared" si="8"/>
        <v>-1.6092372033821255E-2</v>
      </c>
      <c r="L39" s="2">
        <f t="shared" ca="1" si="8"/>
        <v>1.4672844014658765E-2</v>
      </c>
      <c r="M39" s="2">
        <f t="shared" ca="1" si="8"/>
        <v>-6.4869700275066032E-4</v>
      </c>
      <c r="N39" s="2">
        <f t="shared" ca="1" si="8"/>
        <v>-7.0260583037813162E-4</v>
      </c>
      <c r="O39" s="39"/>
      <c r="T39" s="2">
        <f>+T38/T29</f>
        <v>0.95956862179895763</v>
      </c>
      <c r="U39" s="2">
        <f t="shared" ref="U39:AY39" si="9">+U38/U29</f>
        <v>-0.34821962416867269</v>
      </c>
      <c r="V39" s="2">
        <f t="shared" si="9"/>
        <v>-9.251294568513177E-2</v>
      </c>
      <c r="W39" s="2">
        <f t="shared" si="9"/>
        <v>-0.13963598959718523</v>
      </c>
      <c r="X39" s="2">
        <f t="shared" si="9"/>
        <v>-9.6773328500039626E-2</v>
      </c>
      <c r="Y39" s="2">
        <f t="shared" si="9"/>
        <v>8.1956793324266169E-2</v>
      </c>
      <c r="Z39" s="2">
        <f t="shared" si="9"/>
        <v>-5.535206696559429E-2</v>
      </c>
      <c r="AA39" s="2">
        <f t="shared" si="9"/>
        <v>5.6309331025747457E-2</v>
      </c>
      <c r="AB39" s="2">
        <f t="shared" si="9"/>
        <v>-0.12632563942607611</v>
      </c>
      <c r="AC39" s="2">
        <f t="shared" si="9"/>
        <v>-0.12133374498301948</v>
      </c>
      <c r="AD39" s="2">
        <f t="shared" si="9"/>
        <v>1.2034047549163492E-2</v>
      </c>
      <c r="AE39" s="2">
        <f t="shared" si="9"/>
        <v>6.7974578612876493E-2</v>
      </c>
      <c r="AF39" s="2">
        <f t="shared" si="9"/>
        <v>2.3991275899672853E-2</v>
      </c>
      <c r="AG39" s="2">
        <f t="shared" si="9"/>
        <v>-9.1450216450216434E-2</v>
      </c>
      <c r="AH39" s="2">
        <f t="shared" si="9"/>
        <v>-2.0711297071129717E-2</v>
      </c>
      <c r="AI39" s="2">
        <f t="shared" si="9"/>
        <v>-2.6611472501478411E-2</v>
      </c>
      <c r="AJ39" s="2">
        <f t="shared" si="9"/>
        <v>2.6539908892850069E-2</v>
      </c>
      <c r="AK39" s="2">
        <f t="shared" si="9"/>
        <v>-9.1967633708308669E-2</v>
      </c>
      <c r="AL39" s="2">
        <f t="shared" si="9"/>
        <v>2.2719011268629588E-2</v>
      </c>
      <c r="AM39" s="2">
        <f t="shared" si="9"/>
        <v>-2.304075235109717E-2</v>
      </c>
      <c r="AN39" s="2">
        <f t="shared" si="9"/>
        <v>0.10318570318570319</v>
      </c>
      <c r="AO39" s="2">
        <f t="shared" si="9"/>
        <v>-4.2234123947972463E-2</v>
      </c>
      <c r="AP39" s="2">
        <f t="shared" ca="1" si="9"/>
        <v>-2.3305643144458667E-4</v>
      </c>
      <c r="AQ39" s="2">
        <f t="shared" ca="1" si="9"/>
        <v>-5.8726686029154918E-4</v>
      </c>
      <c r="AR39" s="2">
        <f t="shared" ca="1" si="9"/>
        <v>-6.1528170375200857E-4</v>
      </c>
      <c r="AS39" s="2">
        <f t="shared" ca="1" si="9"/>
        <v>-6.4167981548198482E-4</v>
      </c>
      <c r="AT39" s="2">
        <f t="shared" ca="1" si="9"/>
        <v>-6.6155080597016247E-4</v>
      </c>
      <c r="AU39" s="2">
        <f t="shared" ca="1" si="9"/>
        <v>-6.7534939296114876E-4</v>
      </c>
      <c r="AV39" s="2">
        <f t="shared" ca="1" si="9"/>
        <v>-6.8760139800418455E-4</v>
      </c>
      <c r="AW39" s="2">
        <f t="shared" ca="1" si="9"/>
        <v>-6.9841558452345836E-4</v>
      </c>
      <c r="AX39" s="2">
        <f t="shared" ca="1" si="9"/>
        <v>-7.0787556635050627E-4</v>
      </c>
      <c r="AY39" s="2">
        <f t="shared" ca="1" si="9"/>
        <v>-7.1604870581539544E-4</v>
      </c>
    </row>
    <row r="40" spans="2:51">
      <c r="B40" t="s">
        <v>213</v>
      </c>
      <c r="H40" s="6">
        <f>+H31+H33+H35+H38</f>
        <v>651.50518672880207</v>
      </c>
      <c r="I40" s="6">
        <f t="shared" ref="I40:N40" si="10">+I31+I33+I35+I38</f>
        <v>359.00000000000011</v>
      </c>
      <c r="J40" s="6">
        <f t="shared" si="10"/>
        <v>357.89999999999986</v>
      </c>
      <c r="K40" s="6">
        <f t="shared" si="10"/>
        <v>428.00000000000011</v>
      </c>
      <c r="L40" s="6">
        <f t="shared" ca="1" si="10"/>
        <v>563.29255906460969</v>
      </c>
      <c r="M40" s="6">
        <f t="shared" ca="1" si="10"/>
        <v>577.99983138405901</v>
      </c>
      <c r="N40" s="6">
        <f t="shared" ca="1" si="10"/>
        <v>748.79904467176777</v>
      </c>
      <c r="O40" s="40"/>
      <c r="T40" s="6">
        <f>+T31+T33+T35+T38</f>
        <v>352.08344537184945</v>
      </c>
      <c r="U40" s="6">
        <f t="shared" ref="U40:AY40" si="11">+U31+U33+U35+U38</f>
        <v>52.31517207678209</v>
      </c>
      <c r="V40" s="6">
        <f t="shared" si="11"/>
        <v>123.85712884053781</v>
      </c>
      <c r="W40" s="6">
        <f t="shared" si="11"/>
        <v>105.28540191045646</v>
      </c>
      <c r="X40" s="6">
        <f t="shared" si="11"/>
        <v>129.66160503709716</v>
      </c>
      <c r="Y40" s="6">
        <f t="shared" si="11"/>
        <v>184.36574923200993</v>
      </c>
      <c r="Z40" s="6">
        <f t="shared" si="11"/>
        <v>149.65335610717551</v>
      </c>
      <c r="AA40" s="6">
        <f t="shared" si="11"/>
        <v>187.82447635251958</v>
      </c>
      <c r="AB40" s="6">
        <f t="shared" si="11"/>
        <v>70.399999999999977</v>
      </c>
      <c r="AC40" s="6">
        <f t="shared" si="11"/>
        <v>61.800000000000004</v>
      </c>
      <c r="AD40" s="6">
        <f t="shared" si="11"/>
        <v>112.50000000000003</v>
      </c>
      <c r="AE40" s="6">
        <f t="shared" si="11"/>
        <v>105.50000000000003</v>
      </c>
      <c r="AF40" s="6">
        <f t="shared" si="11"/>
        <v>114.69999999999999</v>
      </c>
      <c r="AG40" s="6">
        <f t="shared" si="11"/>
        <v>49.600000000000009</v>
      </c>
      <c r="AH40" s="6">
        <f t="shared" si="11"/>
        <v>106.59999999999994</v>
      </c>
      <c r="AI40" s="6">
        <f t="shared" si="11"/>
        <v>95.499999999999943</v>
      </c>
      <c r="AJ40" s="6">
        <f t="shared" si="11"/>
        <v>106.60000000000002</v>
      </c>
      <c r="AK40" s="6">
        <f t="shared" si="11"/>
        <v>46.599999999999959</v>
      </c>
      <c r="AL40" s="6">
        <f t="shared" si="11"/>
        <v>158.59999999999997</v>
      </c>
      <c r="AM40" s="6">
        <f t="shared" si="11"/>
        <v>134.60000000000008</v>
      </c>
      <c r="AN40" s="6">
        <f t="shared" si="11"/>
        <v>189.60000000000002</v>
      </c>
      <c r="AO40" s="6">
        <f t="shared" si="11"/>
        <v>108.89999999999991</v>
      </c>
      <c r="AP40" s="6">
        <f t="shared" ca="1" si="11"/>
        <v>149.34323161398785</v>
      </c>
      <c r="AQ40" s="6">
        <f t="shared" ca="1" si="11"/>
        <v>157.15576068659803</v>
      </c>
      <c r="AR40" s="6">
        <f t="shared" ca="1" si="11"/>
        <v>145.83284170626149</v>
      </c>
      <c r="AS40" s="6">
        <f t="shared" ca="1" si="11"/>
        <v>149.69957415887774</v>
      </c>
      <c r="AT40" s="6">
        <f t="shared" ca="1" si="11"/>
        <v>153.55089455583465</v>
      </c>
      <c r="AU40" s="6">
        <f t="shared" ca="1" si="11"/>
        <v>157.34739498463517</v>
      </c>
      <c r="AV40" s="6">
        <f t="shared" ca="1" si="11"/>
        <v>161.16572662665368</v>
      </c>
      <c r="AW40" s="6">
        <f t="shared" ca="1" si="11"/>
        <v>165.00361489194285</v>
      </c>
      <c r="AX40" s="6">
        <f t="shared" ca="1" si="11"/>
        <v>168.85876362283497</v>
      </c>
      <c r="AY40" s="6">
        <f t="shared" ca="1" si="11"/>
        <v>253.77093953033631</v>
      </c>
    </row>
    <row r="41" spans="2:51">
      <c r="B41" s="7" t="s">
        <v>218</v>
      </c>
      <c r="H41" s="2">
        <f>+H40/H29</f>
        <v>0.58005039071933706</v>
      </c>
      <c r="I41" s="2">
        <f t="shared" ref="I41:N41" si="12">+I40/I29</f>
        <v>0.26649840397891777</v>
      </c>
      <c r="J41" s="2">
        <f t="shared" si="12"/>
        <v>0.20787593657431599</v>
      </c>
      <c r="K41" s="2">
        <f t="shared" si="12"/>
        <v>0.19456314210382766</v>
      </c>
      <c r="L41" s="2">
        <f t="shared" ca="1" si="12"/>
        <v>0.2160160124649618</v>
      </c>
      <c r="M41" s="2">
        <f t="shared" ca="1" si="12"/>
        <v>0.21485363564452462</v>
      </c>
      <c r="N41" s="2">
        <f t="shared" ca="1" si="12"/>
        <v>0.26766144370703254</v>
      </c>
      <c r="O41" s="39"/>
      <c r="T41" s="2">
        <f>+T40/T29</f>
        <v>1.491830474066125</v>
      </c>
      <c r="U41" s="2">
        <f t="shared" ref="U41:AY41" si="13">+U40/U29</f>
        <v>0.20923992344376596</v>
      </c>
      <c r="V41" s="2">
        <f t="shared" si="13"/>
        <v>0.48277224904328092</v>
      </c>
      <c r="W41" s="2">
        <f t="shared" si="13"/>
        <v>0.40219619440436571</v>
      </c>
      <c r="X41" s="2">
        <f t="shared" si="13"/>
        <v>0.48372030807067307</v>
      </c>
      <c r="Y41" s="2">
        <f t="shared" si="13"/>
        <v>0.6656376807926595</v>
      </c>
      <c r="Z41" s="2">
        <f t="shared" si="13"/>
        <v>0.53183051462295261</v>
      </c>
      <c r="AA41" s="2">
        <f t="shared" si="13"/>
        <v>0.63290138478146851</v>
      </c>
      <c r="AB41" s="2">
        <f t="shared" si="13"/>
        <v>0.21958827199001862</v>
      </c>
      <c r="AC41" s="2">
        <f t="shared" si="13"/>
        <v>0.19079962951528251</v>
      </c>
      <c r="AD41" s="2">
        <f t="shared" si="13"/>
        <v>0.33020252421485186</v>
      </c>
      <c r="AE41" s="2">
        <f t="shared" si="13"/>
        <v>0.29151699364465333</v>
      </c>
      <c r="AF41" s="2">
        <f t="shared" si="13"/>
        <v>0.31270447110141764</v>
      </c>
      <c r="AG41" s="2">
        <f t="shared" si="13"/>
        <v>0.13419913419913421</v>
      </c>
      <c r="AH41" s="2">
        <f t="shared" si="13"/>
        <v>0.22301255230125511</v>
      </c>
      <c r="AI41" s="2">
        <f t="shared" si="13"/>
        <v>0.18825152769564349</v>
      </c>
      <c r="AJ41" s="2">
        <f t="shared" si="13"/>
        <v>0.21113091701327</v>
      </c>
      <c r="AK41" s="2">
        <f t="shared" si="13"/>
        <v>9.1967633708308585E-2</v>
      </c>
      <c r="AL41" s="2">
        <f t="shared" si="13"/>
        <v>0.28825881497637212</v>
      </c>
      <c r="AM41" s="2">
        <f t="shared" si="13"/>
        <v>0.21097178683385592</v>
      </c>
      <c r="AN41" s="2">
        <f t="shared" si="13"/>
        <v>0.29463869463869469</v>
      </c>
      <c r="AO41" s="2">
        <f t="shared" si="13"/>
        <v>0.1666411629686303</v>
      </c>
      <c r="AP41" s="2">
        <f t="shared" ca="1" si="13"/>
        <v>0.22877164908680733</v>
      </c>
      <c r="AQ41" s="2">
        <f t="shared" ca="1" si="13"/>
        <v>0.23889742844490461</v>
      </c>
      <c r="AR41" s="2">
        <f t="shared" ca="1" si="13"/>
        <v>0.21984880240656154</v>
      </c>
      <c r="AS41" s="2">
        <f t="shared" ca="1" si="13"/>
        <v>0.22367669151377223</v>
      </c>
      <c r="AT41" s="2">
        <f t="shared" ca="1" si="13"/>
        <v>0.22730025777096627</v>
      </c>
      <c r="AU41" s="2">
        <f t="shared" ca="1" si="13"/>
        <v>0.23069418722474783</v>
      </c>
      <c r="AV41" s="2">
        <f t="shared" ca="1" si="13"/>
        <v>0.23398017090173642</v>
      </c>
      <c r="AW41" s="2">
        <f t="shared" ca="1" si="13"/>
        <v>0.23716195821413272</v>
      </c>
      <c r="AX41" s="2">
        <f t="shared" ca="1" si="13"/>
        <v>0.2402433276746023</v>
      </c>
      <c r="AY41" s="2">
        <f t="shared" ca="1" si="13"/>
        <v>0.35734752597493091</v>
      </c>
    </row>
    <row r="42" spans="2:51">
      <c r="B42" t="s">
        <v>274</v>
      </c>
      <c r="H42" s="25">
        <v>0</v>
      </c>
      <c r="I42" s="25">
        <v>0</v>
      </c>
      <c r="J42" s="25">
        <v>0</v>
      </c>
      <c r="K42" s="25">
        <v>0</v>
      </c>
      <c r="L42" s="25">
        <v>0.5</v>
      </c>
      <c r="M42" s="26">
        <f>+L42+1</f>
        <v>1.5</v>
      </c>
      <c r="N42" s="26">
        <f>+M42+1</f>
        <v>2.5</v>
      </c>
      <c r="O42" s="314"/>
      <c r="AE42" s="25"/>
      <c r="AF42" s="25">
        <v>0</v>
      </c>
      <c r="AG42" s="25">
        <v>0</v>
      </c>
      <c r="AH42" s="26">
        <f t="shared" ref="AH42:AY42" si="14">+AG42+0.25</f>
        <v>0.25</v>
      </c>
      <c r="AI42" s="26">
        <f t="shared" si="14"/>
        <v>0.5</v>
      </c>
      <c r="AJ42" s="26">
        <f t="shared" si="14"/>
        <v>0.75</v>
      </c>
      <c r="AK42" s="26">
        <f t="shared" si="14"/>
        <v>1</v>
      </c>
      <c r="AL42" s="26">
        <f t="shared" si="14"/>
        <v>1.25</v>
      </c>
      <c r="AM42" s="26">
        <f t="shared" si="14"/>
        <v>1.5</v>
      </c>
      <c r="AN42" s="26">
        <f t="shared" si="14"/>
        <v>1.75</v>
      </c>
      <c r="AO42" s="26">
        <f t="shared" si="14"/>
        <v>2</v>
      </c>
      <c r="AP42" s="26">
        <f t="shared" si="14"/>
        <v>2.25</v>
      </c>
      <c r="AQ42" s="26">
        <f t="shared" si="14"/>
        <v>2.5</v>
      </c>
      <c r="AR42" s="26">
        <f t="shared" si="14"/>
        <v>2.75</v>
      </c>
      <c r="AS42" s="26">
        <f t="shared" si="14"/>
        <v>3</v>
      </c>
      <c r="AT42" s="26">
        <f t="shared" si="14"/>
        <v>3.25</v>
      </c>
      <c r="AU42" s="26">
        <f t="shared" si="14"/>
        <v>3.5</v>
      </c>
      <c r="AV42" s="26">
        <f t="shared" si="14"/>
        <v>3.75</v>
      </c>
      <c r="AW42" s="26">
        <f t="shared" si="14"/>
        <v>4</v>
      </c>
      <c r="AX42" s="26">
        <f t="shared" si="14"/>
        <v>4.25</v>
      </c>
      <c r="AY42" s="26">
        <f t="shared" si="14"/>
        <v>4.5</v>
      </c>
    </row>
    <row r="43" spans="2:51">
      <c r="B43" t="s">
        <v>215</v>
      </c>
      <c r="H43" s="25">
        <v>0</v>
      </c>
      <c r="I43" s="25">
        <v>0</v>
      </c>
      <c r="J43" s="25">
        <v>0</v>
      </c>
      <c r="K43" s="25">
        <v>0</v>
      </c>
      <c r="L43" s="26">
        <f t="shared" ref="L43:N43" si="15">1/(1+L42)^$C$26</f>
        <v>0.96318584400339791</v>
      </c>
      <c r="M43" s="26">
        <f t="shared" si="15"/>
        <v>0.91872859337496904</v>
      </c>
      <c r="N43" s="26">
        <f t="shared" si="15"/>
        <v>0.89057227767197089</v>
      </c>
      <c r="O43" s="314"/>
      <c r="AE43" s="26"/>
      <c r="AF43" s="26">
        <f t="shared" ref="AF43:AY43" si="16">1/(1+AF42)^$C$26</f>
        <v>1</v>
      </c>
      <c r="AG43" s="26">
        <f t="shared" si="16"/>
        <v>1</v>
      </c>
      <c r="AH43" s="26">
        <f t="shared" si="16"/>
        <v>0.97956896272575222</v>
      </c>
      <c r="AI43" s="26">
        <f t="shared" si="16"/>
        <v>0.96318584400339791</v>
      </c>
      <c r="AJ43" s="26">
        <f t="shared" si="16"/>
        <v>0.94954806954113347</v>
      </c>
      <c r="AK43" s="26">
        <f t="shared" si="16"/>
        <v>0.93789067266740633</v>
      </c>
      <c r="AL43" s="26">
        <f t="shared" si="16"/>
        <v>0.92772697008853811</v>
      </c>
      <c r="AM43" s="26">
        <f t="shared" si="16"/>
        <v>0.91872859337496904</v>
      </c>
      <c r="AN43" s="26">
        <f t="shared" si="16"/>
        <v>0.91066378224540478</v>
      </c>
      <c r="AO43" s="26">
        <f t="shared" si="16"/>
        <v>0.90336301913607042</v>
      </c>
      <c r="AP43" s="26">
        <f t="shared" si="16"/>
        <v>0.89669866547606614</v>
      </c>
      <c r="AQ43" s="26">
        <f t="shared" si="16"/>
        <v>0.89057227767197089</v>
      </c>
      <c r="AR43" s="26">
        <f t="shared" si="16"/>
        <v>0.88490637561992425</v>
      </c>
      <c r="AS43" s="26">
        <f t="shared" si="16"/>
        <v>0.87963891387651971</v>
      </c>
      <c r="AT43" s="26">
        <f t="shared" si="16"/>
        <v>0.87471945789738725</v>
      </c>
      <c r="AU43" s="26">
        <f t="shared" si="16"/>
        <v>0.8701064720280336</v>
      </c>
      <c r="AV43" s="26">
        <f t="shared" si="16"/>
        <v>0.86576535333955251</v>
      </c>
      <c r="AW43" s="26">
        <f t="shared" si="16"/>
        <v>0.86166697843922968</v>
      </c>
      <c r="AX43" s="26">
        <f t="shared" si="16"/>
        <v>0.85778661091550568</v>
      </c>
      <c r="AY43" s="26">
        <f t="shared" si="16"/>
        <v>0.85410306730398688</v>
      </c>
    </row>
    <row r="44" spans="2:51">
      <c r="B44" t="s">
        <v>216</v>
      </c>
      <c r="H44" s="6">
        <f>+H40*H43</f>
        <v>0</v>
      </c>
      <c r="I44" s="6">
        <f t="shared" ref="I44:N44" si="17">+I40*I43</f>
        <v>0</v>
      </c>
      <c r="J44" s="6">
        <f t="shared" si="17"/>
        <v>0</v>
      </c>
      <c r="K44" s="6">
        <f t="shared" si="17"/>
        <v>0</v>
      </c>
      <c r="L44" s="6">
        <f t="shared" ca="1" si="17"/>
        <v>542.55541892347992</v>
      </c>
      <c r="M44" s="6">
        <f t="shared" ca="1" si="17"/>
        <v>531.02497205844577</v>
      </c>
      <c r="N44" s="6">
        <f t="shared" ca="1" si="17"/>
        <v>666.85967073193206</v>
      </c>
      <c r="O44" s="40"/>
      <c r="T44" s="6"/>
      <c r="U44" s="6"/>
      <c r="V44" s="6"/>
      <c r="W44" s="6"/>
      <c r="X44" s="6"/>
      <c r="Y44" s="6"/>
      <c r="Z44" s="6"/>
      <c r="AA44" s="6"/>
      <c r="AB44" s="6"/>
      <c r="AC44" s="6"/>
      <c r="AD44" s="6"/>
      <c r="AE44" s="6"/>
      <c r="AF44" s="6">
        <f t="shared" ref="AF44:AY44" si="18">+AF40/AF43</f>
        <v>114.69999999999999</v>
      </c>
      <c r="AG44" s="6">
        <f t="shared" si="18"/>
        <v>49.600000000000009</v>
      </c>
      <c r="AH44" s="6">
        <f t="shared" si="18"/>
        <v>108.82337441906529</v>
      </c>
      <c r="AI44" s="6">
        <f t="shared" si="18"/>
        <v>99.150128289949251</v>
      </c>
      <c r="AJ44" s="6">
        <f t="shared" si="18"/>
        <v>112.26393209510097</v>
      </c>
      <c r="AK44" s="6">
        <f t="shared" si="18"/>
        <v>49.685961656348823</v>
      </c>
      <c r="AL44" s="6">
        <f t="shared" si="18"/>
        <v>170.955469781011</v>
      </c>
      <c r="AM44" s="6">
        <f t="shared" si="18"/>
        <v>146.50681492947129</v>
      </c>
      <c r="AN44" s="6">
        <f t="shared" si="18"/>
        <v>208.19978096911601</v>
      </c>
      <c r="AO44" s="6">
        <f t="shared" si="18"/>
        <v>120.54954397418905</v>
      </c>
      <c r="AP44" s="6">
        <f t="shared" ca="1" si="18"/>
        <v>166.54784641025429</v>
      </c>
      <c r="AQ44" s="6">
        <f t="shared" ca="1" si="18"/>
        <v>176.46603720634118</v>
      </c>
      <c r="AR44" s="6">
        <f t="shared" ca="1" si="18"/>
        <v>164.80030625171818</v>
      </c>
      <c r="AS44" s="6">
        <f t="shared" ca="1" si="18"/>
        <v>170.18298280957131</v>
      </c>
      <c r="AT44" s="6">
        <f t="shared" ca="1" si="18"/>
        <v>175.54301915831806</v>
      </c>
      <c r="AU44" s="6">
        <f t="shared" ca="1" si="18"/>
        <v>180.8369435729995</v>
      </c>
      <c r="AV44" s="6">
        <f t="shared" ca="1" si="18"/>
        <v>186.15404971448956</v>
      </c>
      <c r="AW44" s="6">
        <f t="shared" ca="1" si="18"/>
        <v>191.49348764742058</v>
      </c>
      <c r="AX44" s="6">
        <f t="shared" ca="1" si="18"/>
        <v>196.85404443724528</v>
      </c>
      <c r="AY44" s="6">
        <f t="shared" ca="1" si="18"/>
        <v>297.11980818822627</v>
      </c>
    </row>
    <row r="45" spans="2:51">
      <c r="O45" s="3"/>
    </row>
    <row r="46" spans="2:51">
      <c r="B46" t="s">
        <v>275</v>
      </c>
      <c r="H46" s="25"/>
      <c r="I46" s="25"/>
      <c r="J46" s="25">
        <v>0</v>
      </c>
      <c r="K46" s="25">
        <v>0</v>
      </c>
      <c r="L46" s="25">
        <v>0</v>
      </c>
      <c r="M46" s="26">
        <f>+M42-1</f>
        <v>0.5</v>
      </c>
      <c r="N46" s="26">
        <f>+N42-1</f>
        <v>1.5</v>
      </c>
      <c r="O46" s="314"/>
      <c r="AE46" s="25"/>
      <c r="AF46" s="25">
        <v>0</v>
      </c>
      <c r="AG46" s="25">
        <v>0</v>
      </c>
      <c r="AH46" s="26">
        <f t="shared" ref="AH46:AY46" si="19">+AG46+0.25</f>
        <v>0.25</v>
      </c>
      <c r="AI46" s="26">
        <f t="shared" si="19"/>
        <v>0.5</v>
      </c>
      <c r="AJ46" s="26">
        <f t="shared" si="19"/>
        <v>0.75</v>
      </c>
      <c r="AK46" s="26">
        <f t="shared" si="19"/>
        <v>1</v>
      </c>
      <c r="AL46" s="26">
        <f t="shared" si="19"/>
        <v>1.25</v>
      </c>
      <c r="AM46" s="26">
        <f t="shared" si="19"/>
        <v>1.5</v>
      </c>
      <c r="AN46" s="26">
        <f t="shared" si="19"/>
        <v>1.75</v>
      </c>
      <c r="AO46" s="26">
        <f t="shared" si="19"/>
        <v>2</v>
      </c>
      <c r="AP46" s="26">
        <f t="shared" si="19"/>
        <v>2.25</v>
      </c>
      <c r="AQ46" s="26">
        <f t="shared" si="19"/>
        <v>2.5</v>
      </c>
      <c r="AR46" s="26">
        <f t="shared" si="19"/>
        <v>2.75</v>
      </c>
      <c r="AS46" s="26">
        <f t="shared" si="19"/>
        <v>3</v>
      </c>
      <c r="AT46" s="26">
        <f t="shared" si="19"/>
        <v>3.25</v>
      </c>
      <c r="AU46" s="26">
        <f t="shared" si="19"/>
        <v>3.5</v>
      </c>
      <c r="AV46" s="26">
        <f t="shared" si="19"/>
        <v>3.75</v>
      </c>
      <c r="AW46" s="26">
        <f t="shared" si="19"/>
        <v>4</v>
      </c>
      <c r="AX46" s="26">
        <f t="shared" si="19"/>
        <v>4.25</v>
      </c>
      <c r="AY46" s="26">
        <f t="shared" si="19"/>
        <v>4.5</v>
      </c>
    </row>
    <row r="47" spans="2:51">
      <c r="B47" t="s">
        <v>215</v>
      </c>
      <c r="H47" s="26"/>
      <c r="I47" s="26"/>
      <c r="J47" s="25">
        <v>0</v>
      </c>
      <c r="K47" s="25">
        <v>0</v>
      </c>
      <c r="L47" s="25">
        <v>0</v>
      </c>
      <c r="M47" s="26">
        <f>1/(1+M46)^$C$26</f>
        <v>0.96318584400339791</v>
      </c>
      <c r="N47" s="26">
        <f>1/(1+N46)^$C$26</f>
        <v>0.91872859337496904</v>
      </c>
      <c r="O47" s="314"/>
      <c r="AE47" s="26"/>
      <c r="AF47" s="26">
        <f t="shared" ref="AF47:AY47" si="20">1/(1+AF46)^$C$26</f>
        <v>1</v>
      </c>
      <c r="AG47" s="26">
        <f t="shared" si="20"/>
        <v>1</v>
      </c>
      <c r="AH47" s="26">
        <f t="shared" si="20"/>
        <v>0.97956896272575222</v>
      </c>
      <c r="AI47" s="26">
        <f t="shared" si="20"/>
        <v>0.96318584400339791</v>
      </c>
      <c r="AJ47" s="26">
        <f t="shared" si="20"/>
        <v>0.94954806954113347</v>
      </c>
      <c r="AK47" s="26">
        <f t="shared" si="20"/>
        <v>0.93789067266740633</v>
      </c>
      <c r="AL47" s="26">
        <f t="shared" si="20"/>
        <v>0.92772697008853811</v>
      </c>
      <c r="AM47" s="26">
        <f t="shared" si="20"/>
        <v>0.91872859337496904</v>
      </c>
      <c r="AN47" s="26">
        <f t="shared" si="20"/>
        <v>0.91066378224540478</v>
      </c>
      <c r="AO47" s="26">
        <f t="shared" si="20"/>
        <v>0.90336301913607042</v>
      </c>
      <c r="AP47" s="26">
        <f t="shared" si="20"/>
        <v>0.89669866547606614</v>
      </c>
      <c r="AQ47" s="26">
        <f t="shared" si="20"/>
        <v>0.89057227767197089</v>
      </c>
      <c r="AR47" s="26">
        <f t="shared" si="20"/>
        <v>0.88490637561992425</v>
      </c>
      <c r="AS47" s="26">
        <f t="shared" si="20"/>
        <v>0.87963891387651971</v>
      </c>
      <c r="AT47" s="26">
        <f t="shared" si="20"/>
        <v>0.87471945789738725</v>
      </c>
      <c r="AU47" s="26">
        <f t="shared" si="20"/>
        <v>0.8701064720280336</v>
      </c>
      <c r="AV47" s="26">
        <f t="shared" si="20"/>
        <v>0.86576535333955251</v>
      </c>
      <c r="AW47" s="26">
        <f t="shared" si="20"/>
        <v>0.86166697843922968</v>
      </c>
      <c r="AX47" s="26">
        <f t="shared" si="20"/>
        <v>0.85778661091550568</v>
      </c>
      <c r="AY47" s="26">
        <f t="shared" si="20"/>
        <v>0.85410306730398688</v>
      </c>
    </row>
    <row r="48" spans="2:51">
      <c r="B48" t="s">
        <v>216</v>
      </c>
      <c r="H48" s="6"/>
      <c r="I48" s="6"/>
      <c r="J48" s="6">
        <f>+J40*J47</f>
        <v>0</v>
      </c>
      <c r="K48" s="6">
        <f>+K40*K47</f>
        <v>0</v>
      </c>
      <c r="L48" s="6">
        <f ca="1">+L40*L47</f>
        <v>0</v>
      </c>
      <c r="M48" s="6">
        <f ca="1">+M40*M47</f>
        <v>556.72125542547656</v>
      </c>
      <c r="N48" s="6">
        <f ca="1">+N40*N47</f>
        <v>687.94309303181376</v>
      </c>
      <c r="O48" s="40"/>
      <c r="T48" s="6"/>
      <c r="U48" s="6"/>
      <c r="V48" s="6"/>
      <c r="W48" s="6"/>
      <c r="X48" s="6"/>
      <c r="Y48" s="6"/>
      <c r="Z48" s="6"/>
      <c r="AA48" s="6"/>
      <c r="AB48" s="6"/>
      <c r="AC48" s="6"/>
      <c r="AD48" s="6"/>
      <c r="AE48" s="6"/>
      <c r="AF48" s="6">
        <f t="shared" ref="AF48:AY48" si="21">+AF44/AF47</f>
        <v>114.69999999999999</v>
      </c>
      <c r="AG48" s="6">
        <f t="shared" si="21"/>
        <v>49.600000000000009</v>
      </c>
      <c r="AH48" s="6">
        <f t="shared" si="21"/>
        <v>111.09312213838724</v>
      </c>
      <c r="AI48" s="6">
        <f t="shared" si="21"/>
        <v>102.9397690043288</v>
      </c>
      <c r="AJ48" s="6">
        <f t="shared" si="21"/>
        <v>118.22880346579211</v>
      </c>
      <c r="AK48" s="6">
        <f t="shared" si="21"/>
        <v>52.976282955282571</v>
      </c>
      <c r="AL48" s="6">
        <f t="shared" si="21"/>
        <v>184.27347192967321</v>
      </c>
      <c r="AM48" s="6">
        <f t="shared" si="21"/>
        <v>159.46691545897727</v>
      </c>
      <c r="AN48" s="6">
        <f t="shared" si="21"/>
        <v>228.62420250837485</v>
      </c>
      <c r="AO48" s="6">
        <f t="shared" si="21"/>
        <v>133.44529432860378</v>
      </c>
      <c r="AP48" s="6">
        <f t="shared" ca="1" si="21"/>
        <v>185.73446445560663</v>
      </c>
      <c r="AQ48" s="6">
        <f t="shared" ca="1" si="21"/>
        <v>198.14903476182516</v>
      </c>
      <c r="AR48" s="6">
        <f t="shared" ca="1" si="21"/>
        <v>186.23473713393324</v>
      </c>
      <c r="AS48" s="6">
        <f t="shared" ca="1" si="21"/>
        <v>193.46913844407405</v>
      </c>
      <c r="AT48" s="6">
        <f t="shared" ca="1" si="21"/>
        <v>200.68493683709835</v>
      </c>
      <c r="AU48" s="6">
        <f t="shared" ca="1" si="21"/>
        <v>207.83312087256053</v>
      </c>
      <c r="AV48" s="6">
        <f t="shared" ca="1" si="21"/>
        <v>215.01674673909028</v>
      </c>
      <c r="AW48" s="6">
        <f t="shared" ca="1" si="21"/>
        <v>222.23607546651033</v>
      </c>
      <c r="AX48" s="6">
        <f t="shared" ca="1" si="21"/>
        <v>229.49069376024096</v>
      </c>
      <c r="AY48" s="6">
        <f t="shared" ca="1" si="21"/>
        <v>347.8734822087664</v>
      </c>
    </row>
    <row r="49" spans="2:51">
      <c r="H49" s="6"/>
      <c r="I49" s="6"/>
      <c r="J49" s="6"/>
      <c r="K49" s="6"/>
      <c r="L49" s="6"/>
      <c r="M49" s="6"/>
      <c r="N49" s="6"/>
      <c r="O49" s="3"/>
      <c r="T49" s="6"/>
      <c r="U49" s="6"/>
      <c r="V49" s="6"/>
      <c r="W49" s="6"/>
      <c r="X49" s="6"/>
      <c r="Y49" s="6"/>
      <c r="Z49" s="6"/>
      <c r="AA49" s="6"/>
      <c r="AB49" s="6"/>
      <c r="AC49" s="6"/>
      <c r="AD49" s="6"/>
      <c r="AE49" s="6"/>
      <c r="AF49" s="6"/>
      <c r="AG49" s="6"/>
      <c r="AH49" s="6"/>
      <c r="AI49" s="6"/>
      <c r="AJ49" s="6"/>
      <c r="AK49" s="6"/>
      <c r="AL49" s="6"/>
      <c r="AM49" s="6"/>
      <c r="AN49" s="6"/>
      <c r="AO49" s="6"/>
      <c r="AP49" s="6"/>
      <c r="AQ49" s="6"/>
      <c r="AR49" s="6"/>
      <c r="AS49" s="6"/>
      <c r="AT49" s="6"/>
      <c r="AU49" s="6"/>
      <c r="AV49" s="6"/>
      <c r="AW49" s="6"/>
      <c r="AX49" s="6"/>
      <c r="AY49" s="6"/>
    </row>
    <row r="50" spans="2:51">
      <c r="H50" s="6"/>
      <c r="I50" s="6"/>
      <c r="J50" s="6"/>
      <c r="K50" s="6"/>
      <c r="L50" s="6"/>
      <c r="M50" s="6"/>
      <c r="N50" s="6"/>
      <c r="T50" s="6"/>
      <c r="U50" s="6"/>
      <c r="V50" s="6"/>
      <c r="W50" s="6"/>
      <c r="X50" s="6"/>
      <c r="Y50" s="6"/>
      <c r="Z50" s="6"/>
      <c r="AA50" s="6"/>
      <c r="AB50" s="6"/>
      <c r="AC50" s="6"/>
      <c r="AD50" s="6"/>
      <c r="AE50" s="6"/>
      <c r="AF50" s="6"/>
      <c r="AG50" s="6"/>
      <c r="AH50" s="6"/>
      <c r="AI50" s="6"/>
      <c r="AJ50" s="6"/>
      <c r="AK50" s="6"/>
      <c r="AL50" s="6"/>
      <c r="AM50" s="6"/>
      <c r="AN50" s="6"/>
      <c r="AO50" s="6"/>
      <c r="AP50" s="6"/>
      <c r="AQ50" s="6"/>
      <c r="AR50" s="6"/>
      <c r="AS50" s="6"/>
      <c r="AT50" s="6"/>
      <c r="AU50" s="6"/>
      <c r="AV50" s="6"/>
      <c r="AW50" s="6"/>
      <c r="AX50" s="6"/>
      <c r="AY50" s="6"/>
    </row>
    <row r="51" spans="2:51">
      <c r="B51" t="s">
        <v>246</v>
      </c>
      <c r="C51" s="2">
        <f>+AVERAGE(C24:C25)</f>
        <v>0.04</v>
      </c>
      <c r="D51" s="2"/>
      <c r="E51" s="2"/>
      <c r="G51" s="2"/>
      <c r="O51" s="2"/>
    </row>
    <row r="52" spans="2:51">
      <c r="B52" t="s">
        <v>245</v>
      </c>
      <c r="C52" s="18">
        <f ca="1">(($N$40)*(1+C$51))/($C$26-C$51)</f>
        <v>14830.998377247519</v>
      </c>
      <c r="D52" s="34"/>
      <c r="E52" s="34"/>
      <c r="G52" s="34"/>
      <c r="O52" s="34"/>
    </row>
    <row r="53" spans="2:51">
      <c r="B53" t="s">
        <v>255</v>
      </c>
      <c r="C53" s="264">
        <f ca="1">+C52/N31</f>
        <v>10.220098796091603</v>
      </c>
      <c r="D53" s="123"/>
      <c r="E53" s="123"/>
      <c r="G53" s="34"/>
      <c r="O53" s="34"/>
    </row>
    <row r="54" spans="2:51">
      <c r="C54" s="123"/>
      <c r="D54" s="123"/>
      <c r="E54" s="123"/>
      <c r="G54" s="34"/>
      <c r="O54" s="34"/>
    </row>
    <row r="55" spans="2:51">
      <c r="B55" s="45" t="s">
        <v>273</v>
      </c>
      <c r="C55" s="123"/>
    </row>
    <row r="56" spans="2:51">
      <c r="B56" t="s">
        <v>239</v>
      </c>
      <c r="C56" s="6">
        <f ca="1">+SUM(H48:N48)</f>
        <v>1244.6643484572903</v>
      </c>
      <c r="D56" s="6"/>
      <c r="E56" s="40"/>
    </row>
    <row r="57" spans="2:51">
      <c r="B57" t="s">
        <v>240</v>
      </c>
      <c r="C57" s="62">
        <f ca="1">IS!$H$147</f>
        <v>570.95799652463165</v>
      </c>
      <c r="D57" s="62"/>
      <c r="E57" s="62"/>
    </row>
    <row r="58" spans="2:51">
      <c r="B58" t="str">
        <f>+"NPV of Terminal Value ("&amp;TEXT($C$51,"0.0%")&amp;" Growth)"</f>
        <v>NPV of Terminal Value (4.0% Growth)</v>
      </c>
      <c r="C58" s="6">
        <f ca="1">C52/((1+C26)^$N$46)</f>
        <v>12987.729950045999</v>
      </c>
      <c r="D58" s="6"/>
      <c r="E58" s="40"/>
    </row>
    <row r="59" spans="2:51">
      <c r="B59" t="s">
        <v>263</v>
      </c>
      <c r="C59" s="6">
        <f>+C8</f>
        <v>280.8</v>
      </c>
      <c r="D59" s="6"/>
      <c r="E59" s="40"/>
    </row>
    <row r="60" spans="2:51">
      <c r="B60" t="s">
        <v>264</v>
      </c>
      <c r="C60" s="6">
        <f ca="1">-C9</f>
        <v>-4756.2387991136602</v>
      </c>
      <c r="D60" s="6"/>
      <c r="E60" s="40"/>
    </row>
    <row r="61" spans="2:51">
      <c r="B61" t="s">
        <v>241</v>
      </c>
      <c r="C61" s="6">
        <f ca="1">+SUM(C56:C60)</f>
        <v>10327.913495914261</v>
      </c>
      <c r="D61" s="6"/>
      <c r="E61" s="40"/>
    </row>
    <row r="62" spans="2:51">
      <c r="B62" t="s">
        <v>242</v>
      </c>
      <c r="C62" s="6">
        <f>+C12</f>
        <v>249.3</v>
      </c>
      <c r="D62" s="6"/>
      <c r="E62" s="40"/>
    </row>
    <row r="63" spans="2:51">
      <c r="B63" t="s">
        <v>243</v>
      </c>
      <c r="C63" s="6">
        <f ca="1">+C61/C62</f>
        <v>41.427651407598319</v>
      </c>
      <c r="D63" s="6"/>
      <c r="E63" s="40"/>
    </row>
    <row r="64" spans="2:51">
      <c r="B64" t="s">
        <v>244</v>
      </c>
      <c r="E64" s="3"/>
    </row>
    <row r="65" spans="2:6">
      <c r="E65" s="3"/>
    </row>
    <row r="66" spans="2:6">
      <c r="B66" t="s">
        <v>413</v>
      </c>
      <c r="C66" s="78">
        <f ca="1">+SUM(C56:C58)/SUM(AP31:AS31)</f>
        <v>11.101924434762829</v>
      </c>
      <c r="D66" s="78"/>
      <c r="E66" s="263"/>
    </row>
    <row r="67" spans="2:6">
      <c r="B67" t="s">
        <v>414</v>
      </c>
      <c r="C67" s="78">
        <f ca="1">(C61-C60-C59)/SUM(CF!AP65:AS65)</f>
        <v>24.532928595368247</v>
      </c>
      <c r="D67" s="78"/>
      <c r="E67" s="263"/>
    </row>
    <row r="68" spans="2:6">
      <c r="C68" s="78"/>
      <c r="D68" s="78"/>
      <c r="E68" s="3"/>
    </row>
    <row r="69" spans="2:6">
      <c r="B69" t="s">
        <v>415</v>
      </c>
      <c r="C69" s="78">
        <f ca="1">+SUM(C56:C58)/SUM(AN31:AQ31)</f>
        <v>11.348033059908607</v>
      </c>
      <c r="D69" s="78"/>
      <c r="E69" s="263"/>
    </row>
    <row r="70" spans="2:6">
      <c r="B70" t="s">
        <v>416</v>
      </c>
      <c r="C70" s="78">
        <f ca="1">(C61-C60-C59)/SUM(CF!AN65:AQ65)</f>
        <v>26.120299725862246</v>
      </c>
      <c r="D70" s="78"/>
      <c r="E70" s="78"/>
    </row>
    <row r="71" spans="2:6">
      <c r="B71" t="s">
        <v>417</v>
      </c>
      <c r="C71" s="35">
        <f ca="1">SUM(CF!AN59:AQ59)/C61</f>
        <v>1.5167390324255466E-2</v>
      </c>
      <c r="D71" s="35"/>
      <c r="E71" s="78"/>
    </row>
    <row r="72" spans="2:6">
      <c r="C72" s="78"/>
    </row>
    <row r="73" spans="2:6">
      <c r="C73" s="259" t="s">
        <v>387</v>
      </c>
      <c r="E73" s="259" t="s">
        <v>387</v>
      </c>
      <c r="F73" s="259" t="s">
        <v>388</v>
      </c>
    </row>
    <row r="74" spans="2:6">
      <c r="C74" s="259" t="s">
        <v>300</v>
      </c>
      <c r="D74" s="42"/>
      <c r="E74" s="260" t="s">
        <v>300</v>
      </c>
      <c r="F74" s="259" t="s">
        <v>279</v>
      </c>
    </row>
    <row r="75" spans="2:6">
      <c r="C75" s="259" t="s">
        <v>278</v>
      </c>
      <c r="D75" s="132" t="s">
        <v>250</v>
      </c>
      <c r="E75" s="260" t="s">
        <v>301</v>
      </c>
      <c r="F75" s="259" t="s">
        <v>278</v>
      </c>
    </row>
    <row r="76" spans="2:6">
      <c r="B76" s="11" t="s">
        <v>26</v>
      </c>
      <c r="C76" s="133">
        <f ca="1">+IF(Case=1,$C$66,C76)</f>
        <v>12.739688529651795</v>
      </c>
      <c r="D76" s="134">
        <f ca="1">+IF(Case=1,$C$63,D76)</f>
        <v>48.990368781246261</v>
      </c>
      <c r="E76" s="133">
        <f ca="1">+IF(Case=1,$C$67,E76)</f>
        <v>24.91933763226325</v>
      </c>
      <c r="F76" s="133">
        <f ca="1">+IF(Case=1,$C$69,F76)</f>
        <v>13.266135810681078</v>
      </c>
    </row>
    <row r="77" spans="2:6">
      <c r="B77" s="11" t="s">
        <v>27</v>
      </c>
      <c r="C77" s="133">
        <f ca="1">+IF(Case=2,$C$66,C77)</f>
        <v>11.101924434762829</v>
      </c>
      <c r="D77" s="134">
        <f ca="1">+IF(Case=2,$C$63,D77)</f>
        <v>41.427651407598319</v>
      </c>
      <c r="E77" s="133">
        <f ca="1">+IF(Case=2,$C$67,E77)</f>
        <v>24.532928595368247</v>
      </c>
      <c r="F77" s="133">
        <f ca="1">+IF(Case=2,$C$69,F77)</f>
        <v>11.348033059908607</v>
      </c>
    </row>
    <row r="78" spans="2:6">
      <c r="B78" s="11" t="s">
        <v>28</v>
      </c>
      <c r="C78" s="133">
        <f ca="1">+IF(Case=3,$C$66,C78)</f>
        <v>8.7386594687455919</v>
      </c>
      <c r="D78" s="134">
        <f ca="1">+IF(Case=3,$C$63,D78)</f>
        <v>25.854898341700238</v>
      </c>
      <c r="E78" s="133">
        <f ca="1">+IF(Case=3,$C$67,E78)</f>
        <v>28.950643218764398</v>
      </c>
      <c r="F78" s="133">
        <f ca="1">+IF(Case=3,$C$69,F78)</f>
        <v>8.6267532422621702</v>
      </c>
    </row>
  </sheetData>
  <dataValidations count="1">
    <dataValidation type="list" allowBlank="1" showInputMessage="1" showErrorMessage="1" sqref="C5">
      <formula1>"1,2,3"</formula1>
    </dataValidation>
  </dataValidations>
  <pageMargins left="0.7" right="0.7" top="0.75" bottom="0.75" header="0.3" footer="0.3"/>
  <pageSetup scale="22" orientation="portrait" r:id="rId1"/>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D43"/>
  <sheetViews>
    <sheetView workbookViewId="0">
      <selection activeCell="B42" sqref="B42"/>
    </sheetView>
  </sheetViews>
  <sheetFormatPr defaultRowHeight="12.75"/>
  <cols>
    <col min="1" max="1" width="29.5703125" style="324" bestFit="1" customWidth="1"/>
    <col min="2" max="2" width="19.85546875" style="382" customWidth="1"/>
    <col min="3" max="3" width="12" style="324" bestFit="1" customWidth="1"/>
    <col min="4" max="256" width="9.140625" style="324"/>
    <col min="257" max="257" width="29.5703125" style="324" bestFit="1" customWidth="1"/>
    <col min="258" max="258" width="19.85546875" style="324" customWidth="1"/>
    <col min="259" max="259" width="12" style="324" bestFit="1" customWidth="1"/>
    <col min="260" max="512" width="9.140625" style="324"/>
    <col min="513" max="513" width="29.5703125" style="324" bestFit="1" customWidth="1"/>
    <col min="514" max="514" width="19.85546875" style="324" customWidth="1"/>
    <col min="515" max="515" width="12" style="324" bestFit="1" customWidth="1"/>
    <col min="516" max="768" width="9.140625" style="324"/>
    <col min="769" max="769" width="29.5703125" style="324" bestFit="1" customWidth="1"/>
    <col min="770" max="770" width="19.85546875" style="324" customWidth="1"/>
    <col min="771" max="771" width="12" style="324" bestFit="1" customWidth="1"/>
    <col min="772" max="1024" width="9.140625" style="324"/>
    <col min="1025" max="1025" width="29.5703125" style="324" bestFit="1" customWidth="1"/>
    <col min="1026" max="1026" width="19.85546875" style="324" customWidth="1"/>
    <col min="1027" max="1027" width="12" style="324" bestFit="1" customWidth="1"/>
    <col min="1028" max="1280" width="9.140625" style="324"/>
    <col min="1281" max="1281" width="29.5703125" style="324" bestFit="1" customWidth="1"/>
    <col min="1282" max="1282" width="19.85546875" style="324" customWidth="1"/>
    <col min="1283" max="1283" width="12" style="324" bestFit="1" customWidth="1"/>
    <col min="1284" max="1536" width="9.140625" style="324"/>
    <col min="1537" max="1537" width="29.5703125" style="324" bestFit="1" customWidth="1"/>
    <col min="1538" max="1538" width="19.85546875" style="324" customWidth="1"/>
    <col min="1539" max="1539" width="12" style="324" bestFit="1" customWidth="1"/>
    <col min="1540" max="1792" width="9.140625" style="324"/>
    <col min="1793" max="1793" width="29.5703125" style="324" bestFit="1" customWidth="1"/>
    <col min="1794" max="1794" width="19.85546875" style="324" customWidth="1"/>
    <col min="1795" max="1795" width="12" style="324" bestFit="1" customWidth="1"/>
    <col min="1796" max="2048" width="9.140625" style="324"/>
    <col min="2049" max="2049" width="29.5703125" style="324" bestFit="1" customWidth="1"/>
    <col min="2050" max="2050" width="19.85546875" style="324" customWidth="1"/>
    <col min="2051" max="2051" width="12" style="324" bestFit="1" customWidth="1"/>
    <col min="2052" max="2304" width="9.140625" style="324"/>
    <col min="2305" max="2305" width="29.5703125" style="324" bestFit="1" customWidth="1"/>
    <col min="2306" max="2306" width="19.85546875" style="324" customWidth="1"/>
    <col min="2307" max="2307" width="12" style="324" bestFit="1" customWidth="1"/>
    <col min="2308" max="2560" width="9.140625" style="324"/>
    <col min="2561" max="2561" width="29.5703125" style="324" bestFit="1" customWidth="1"/>
    <col min="2562" max="2562" width="19.85546875" style="324" customWidth="1"/>
    <col min="2563" max="2563" width="12" style="324" bestFit="1" customWidth="1"/>
    <col min="2564" max="2816" width="9.140625" style="324"/>
    <col min="2817" max="2817" width="29.5703125" style="324" bestFit="1" customWidth="1"/>
    <col min="2818" max="2818" width="19.85546875" style="324" customWidth="1"/>
    <col min="2819" max="2819" width="12" style="324" bestFit="1" customWidth="1"/>
    <col min="2820" max="3072" width="9.140625" style="324"/>
    <col min="3073" max="3073" width="29.5703125" style="324" bestFit="1" customWidth="1"/>
    <col min="3074" max="3074" width="19.85546875" style="324" customWidth="1"/>
    <col min="3075" max="3075" width="12" style="324" bestFit="1" customWidth="1"/>
    <col min="3076" max="3328" width="9.140625" style="324"/>
    <col min="3329" max="3329" width="29.5703125" style="324" bestFit="1" customWidth="1"/>
    <col min="3330" max="3330" width="19.85546875" style="324" customWidth="1"/>
    <col min="3331" max="3331" width="12" style="324" bestFit="1" customWidth="1"/>
    <col min="3332" max="3584" width="9.140625" style="324"/>
    <col min="3585" max="3585" width="29.5703125" style="324" bestFit="1" customWidth="1"/>
    <col min="3586" max="3586" width="19.85546875" style="324" customWidth="1"/>
    <col min="3587" max="3587" width="12" style="324" bestFit="1" customWidth="1"/>
    <col min="3588" max="3840" width="9.140625" style="324"/>
    <col min="3841" max="3841" width="29.5703125" style="324" bestFit="1" customWidth="1"/>
    <col min="3842" max="3842" width="19.85546875" style="324" customWidth="1"/>
    <col min="3843" max="3843" width="12" style="324" bestFit="1" customWidth="1"/>
    <col min="3844" max="4096" width="9.140625" style="324"/>
    <col min="4097" max="4097" width="29.5703125" style="324" bestFit="1" customWidth="1"/>
    <col min="4098" max="4098" width="19.85546875" style="324" customWidth="1"/>
    <col min="4099" max="4099" width="12" style="324" bestFit="1" customWidth="1"/>
    <col min="4100" max="4352" width="9.140625" style="324"/>
    <col min="4353" max="4353" width="29.5703125" style="324" bestFit="1" customWidth="1"/>
    <col min="4354" max="4354" width="19.85546875" style="324" customWidth="1"/>
    <col min="4355" max="4355" width="12" style="324" bestFit="1" customWidth="1"/>
    <col min="4356" max="4608" width="9.140625" style="324"/>
    <col min="4609" max="4609" width="29.5703125" style="324" bestFit="1" customWidth="1"/>
    <col min="4610" max="4610" width="19.85546875" style="324" customWidth="1"/>
    <col min="4611" max="4611" width="12" style="324" bestFit="1" customWidth="1"/>
    <col min="4612" max="4864" width="9.140625" style="324"/>
    <col min="4865" max="4865" width="29.5703125" style="324" bestFit="1" customWidth="1"/>
    <col min="4866" max="4866" width="19.85546875" style="324" customWidth="1"/>
    <col min="4867" max="4867" width="12" style="324" bestFit="1" customWidth="1"/>
    <col min="4868" max="5120" width="9.140625" style="324"/>
    <col min="5121" max="5121" width="29.5703125" style="324" bestFit="1" customWidth="1"/>
    <col min="5122" max="5122" width="19.85546875" style="324" customWidth="1"/>
    <col min="5123" max="5123" width="12" style="324" bestFit="1" customWidth="1"/>
    <col min="5124" max="5376" width="9.140625" style="324"/>
    <col min="5377" max="5377" width="29.5703125" style="324" bestFit="1" customWidth="1"/>
    <col min="5378" max="5378" width="19.85546875" style="324" customWidth="1"/>
    <col min="5379" max="5379" width="12" style="324" bestFit="1" customWidth="1"/>
    <col min="5380" max="5632" width="9.140625" style="324"/>
    <col min="5633" max="5633" width="29.5703125" style="324" bestFit="1" customWidth="1"/>
    <col min="5634" max="5634" width="19.85546875" style="324" customWidth="1"/>
    <col min="5635" max="5635" width="12" style="324" bestFit="1" customWidth="1"/>
    <col min="5636" max="5888" width="9.140625" style="324"/>
    <col min="5889" max="5889" width="29.5703125" style="324" bestFit="1" customWidth="1"/>
    <col min="5890" max="5890" width="19.85546875" style="324" customWidth="1"/>
    <col min="5891" max="5891" width="12" style="324" bestFit="1" customWidth="1"/>
    <col min="5892" max="6144" width="9.140625" style="324"/>
    <col min="6145" max="6145" width="29.5703125" style="324" bestFit="1" customWidth="1"/>
    <col min="6146" max="6146" width="19.85546875" style="324" customWidth="1"/>
    <col min="6147" max="6147" width="12" style="324" bestFit="1" customWidth="1"/>
    <col min="6148" max="6400" width="9.140625" style="324"/>
    <col min="6401" max="6401" width="29.5703125" style="324" bestFit="1" customWidth="1"/>
    <col min="6402" max="6402" width="19.85546875" style="324" customWidth="1"/>
    <col min="6403" max="6403" width="12" style="324" bestFit="1" customWidth="1"/>
    <col min="6404" max="6656" width="9.140625" style="324"/>
    <col min="6657" max="6657" width="29.5703125" style="324" bestFit="1" customWidth="1"/>
    <col min="6658" max="6658" width="19.85546875" style="324" customWidth="1"/>
    <col min="6659" max="6659" width="12" style="324" bestFit="1" customWidth="1"/>
    <col min="6660" max="6912" width="9.140625" style="324"/>
    <col min="6913" max="6913" width="29.5703125" style="324" bestFit="1" customWidth="1"/>
    <col min="6914" max="6914" width="19.85546875" style="324" customWidth="1"/>
    <col min="6915" max="6915" width="12" style="324" bestFit="1" customWidth="1"/>
    <col min="6916" max="7168" width="9.140625" style="324"/>
    <col min="7169" max="7169" width="29.5703125" style="324" bestFit="1" customWidth="1"/>
    <col min="7170" max="7170" width="19.85546875" style="324" customWidth="1"/>
    <col min="7171" max="7171" width="12" style="324" bestFit="1" customWidth="1"/>
    <col min="7172" max="7424" width="9.140625" style="324"/>
    <col min="7425" max="7425" width="29.5703125" style="324" bestFit="1" customWidth="1"/>
    <col min="7426" max="7426" width="19.85546875" style="324" customWidth="1"/>
    <col min="7427" max="7427" width="12" style="324" bestFit="1" customWidth="1"/>
    <col min="7428" max="7680" width="9.140625" style="324"/>
    <col min="7681" max="7681" width="29.5703125" style="324" bestFit="1" customWidth="1"/>
    <col min="7682" max="7682" width="19.85546875" style="324" customWidth="1"/>
    <col min="7683" max="7683" width="12" style="324" bestFit="1" customWidth="1"/>
    <col min="7684" max="7936" width="9.140625" style="324"/>
    <col min="7937" max="7937" width="29.5703125" style="324" bestFit="1" customWidth="1"/>
    <col min="7938" max="7938" width="19.85546875" style="324" customWidth="1"/>
    <col min="7939" max="7939" width="12" style="324" bestFit="1" customWidth="1"/>
    <col min="7940" max="8192" width="9.140625" style="324"/>
    <col min="8193" max="8193" width="29.5703125" style="324" bestFit="1" customWidth="1"/>
    <col min="8194" max="8194" width="19.85546875" style="324" customWidth="1"/>
    <col min="8195" max="8195" width="12" style="324" bestFit="1" customWidth="1"/>
    <col min="8196" max="8448" width="9.140625" style="324"/>
    <col min="8449" max="8449" width="29.5703125" style="324" bestFit="1" customWidth="1"/>
    <col min="8450" max="8450" width="19.85546875" style="324" customWidth="1"/>
    <col min="8451" max="8451" width="12" style="324" bestFit="1" customWidth="1"/>
    <col min="8452" max="8704" width="9.140625" style="324"/>
    <col min="8705" max="8705" width="29.5703125" style="324" bestFit="1" customWidth="1"/>
    <col min="8706" max="8706" width="19.85546875" style="324" customWidth="1"/>
    <col min="8707" max="8707" width="12" style="324" bestFit="1" customWidth="1"/>
    <col min="8708" max="8960" width="9.140625" style="324"/>
    <col min="8961" max="8961" width="29.5703125" style="324" bestFit="1" customWidth="1"/>
    <col min="8962" max="8962" width="19.85546875" style="324" customWidth="1"/>
    <col min="8963" max="8963" width="12" style="324" bestFit="1" customWidth="1"/>
    <col min="8964" max="9216" width="9.140625" style="324"/>
    <col min="9217" max="9217" width="29.5703125" style="324" bestFit="1" customWidth="1"/>
    <col min="9218" max="9218" width="19.85546875" style="324" customWidth="1"/>
    <col min="9219" max="9219" width="12" style="324" bestFit="1" customWidth="1"/>
    <col min="9220" max="9472" width="9.140625" style="324"/>
    <col min="9473" max="9473" width="29.5703125" style="324" bestFit="1" customWidth="1"/>
    <col min="9474" max="9474" width="19.85546875" style="324" customWidth="1"/>
    <col min="9475" max="9475" width="12" style="324" bestFit="1" customWidth="1"/>
    <col min="9476" max="9728" width="9.140625" style="324"/>
    <col min="9729" max="9729" width="29.5703125" style="324" bestFit="1" customWidth="1"/>
    <col min="9730" max="9730" width="19.85546875" style="324" customWidth="1"/>
    <col min="9731" max="9731" width="12" style="324" bestFit="1" customWidth="1"/>
    <col min="9732" max="9984" width="9.140625" style="324"/>
    <col min="9985" max="9985" width="29.5703125" style="324" bestFit="1" customWidth="1"/>
    <col min="9986" max="9986" width="19.85546875" style="324" customWidth="1"/>
    <col min="9987" max="9987" width="12" style="324" bestFit="1" customWidth="1"/>
    <col min="9988" max="10240" width="9.140625" style="324"/>
    <col min="10241" max="10241" width="29.5703125" style="324" bestFit="1" customWidth="1"/>
    <col min="10242" max="10242" width="19.85546875" style="324" customWidth="1"/>
    <col min="10243" max="10243" width="12" style="324" bestFit="1" customWidth="1"/>
    <col min="10244" max="10496" width="9.140625" style="324"/>
    <col min="10497" max="10497" width="29.5703125" style="324" bestFit="1" customWidth="1"/>
    <col min="10498" max="10498" width="19.85546875" style="324" customWidth="1"/>
    <col min="10499" max="10499" width="12" style="324" bestFit="1" customWidth="1"/>
    <col min="10500" max="10752" width="9.140625" style="324"/>
    <col min="10753" max="10753" width="29.5703125" style="324" bestFit="1" customWidth="1"/>
    <col min="10754" max="10754" width="19.85546875" style="324" customWidth="1"/>
    <col min="10755" max="10755" width="12" style="324" bestFit="1" customWidth="1"/>
    <col min="10756" max="11008" width="9.140625" style="324"/>
    <col min="11009" max="11009" width="29.5703125" style="324" bestFit="1" customWidth="1"/>
    <col min="11010" max="11010" width="19.85546875" style="324" customWidth="1"/>
    <col min="11011" max="11011" width="12" style="324" bestFit="1" customWidth="1"/>
    <col min="11012" max="11264" width="9.140625" style="324"/>
    <col min="11265" max="11265" width="29.5703125" style="324" bestFit="1" customWidth="1"/>
    <col min="11266" max="11266" width="19.85546875" style="324" customWidth="1"/>
    <col min="11267" max="11267" width="12" style="324" bestFit="1" customWidth="1"/>
    <col min="11268" max="11520" width="9.140625" style="324"/>
    <col min="11521" max="11521" width="29.5703125" style="324" bestFit="1" customWidth="1"/>
    <col min="11522" max="11522" width="19.85546875" style="324" customWidth="1"/>
    <col min="11523" max="11523" width="12" style="324" bestFit="1" customWidth="1"/>
    <col min="11524" max="11776" width="9.140625" style="324"/>
    <col min="11777" max="11777" width="29.5703125" style="324" bestFit="1" customWidth="1"/>
    <col min="11778" max="11778" width="19.85546875" style="324" customWidth="1"/>
    <col min="11779" max="11779" width="12" style="324" bestFit="1" customWidth="1"/>
    <col min="11780" max="12032" width="9.140625" style="324"/>
    <col min="12033" max="12033" width="29.5703125" style="324" bestFit="1" customWidth="1"/>
    <col min="12034" max="12034" width="19.85546875" style="324" customWidth="1"/>
    <col min="12035" max="12035" width="12" style="324" bestFit="1" customWidth="1"/>
    <col min="12036" max="12288" width="9.140625" style="324"/>
    <col min="12289" max="12289" width="29.5703125" style="324" bestFit="1" customWidth="1"/>
    <col min="12290" max="12290" width="19.85546875" style="324" customWidth="1"/>
    <col min="12291" max="12291" width="12" style="324" bestFit="1" customWidth="1"/>
    <col min="12292" max="12544" width="9.140625" style="324"/>
    <col min="12545" max="12545" width="29.5703125" style="324" bestFit="1" customWidth="1"/>
    <col min="12546" max="12546" width="19.85546875" style="324" customWidth="1"/>
    <col min="12547" max="12547" width="12" style="324" bestFit="1" customWidth="1"/>
    <col min="12548" max="12800" width="9.140625" style="324"/>
    <col min="12801" max="12801" width="29.5703125" style="324" bestFit="1" customWidth="1"/>
    <col min="12802" max="12802" width="19.85546875" style="324" customWidth="1"/>
    <col min="12803" max="12803" width="12" style="324" bestFit="1" customWidth="1"/>
    <col min="12804" max="13056" width="9.140625" style="324"/>
    <col min="13057" max="13057" width="29.5703125" style="324" bestFit="1" customWidth="1"/>
    <col min="13058" max="13058" width="19.85546875" style="324" customWidth="1"/>
    <col min="13059" max="13059" width="12" style="324" bestFit="1" customWidth="1"/>
    <col min="13060" max="13312" width="9.140625" style="324"/>
    <col min="13313" max="13313" width="29.5703125" style="324" bestFit="1" customWidth="1"/>
    <col min="13314" max="13314" width="19.85546875" style="324" customWidth="1"/>
    <col min="13315" max="13315" width="12" style="324" bestFit="1" customWidth="1"/>
    <col min="13316" max="13568" width="9.140625" style="324"/>
    <col min="13569" max="13569" width="29.5703125" style="324" bestFit="1" customWidth="1"/>
    <col min="13570" max="13570" width="19.85546875" style="324" customWidth="1"/>
    <col min="13571" max="13571" width="12" style="324" bestFit="1" customWidth="1"/>
    <col min="13572" max="13824" width="9.140625" style="324"/>
    <col min="13825" max="13825" width="29.5703125" style="324" bestFit="1" customWidth="1"/>
    <col min="13826" max="13826" width="19.85546875" style="324" customWidth="1"/>
    <col min="13827" max="13827" width="12" style="324" bestFit="1" customWidth="1"/>
    <col min="13828" max="14080" width="9.140625" style="324"/>
    <col min="14081" max="14081" width="29.5703125" style="324" bestFit="1" customWidth="1"/>
    <col min="14082" max="14082" width="19.85546875" style="324" customWidth="1"/>
    <col min="14083" max="14083" width="12" style="324" bestFit="1" customWidth="1"/>
    <col min="14084" max="14336" width="9.140625" style="324"/>
    <col min="14337" max="14337" width="29.5703125" style="324" bestFit="1" customWidth="1"/>
    <col min="14338" max="14338" width="19.85546875" style="324" customWidth="1"/>
    <col min="14339" max="14339" width="12" style="324" bestFit="1" customWidth="1"/>
    <col min="14340" max="14592" width="9.140625" style="324"/>
    <col min="14593" max="14593" width="29.5703125" style="324" bestFit="1" customWidth="1"/>
    <col min="14594" max="14594" width="19.85546875" style="324" customWidth="1"/>
    <col min="14595" max="14595" width="12" style="324" bestFit="1" customWidth="1"/>
    <col min="14596" max="14848" width="9.140625" style="324"/>
    <col min="14849" max="14849" width="29.5703125" style="324" bestFit="1" customWidth="1"/>
    <col min="14850" max="14850" width="19.85546875" style="324" customWidth="1"/>
    <col min="14851" max="14851" width="12" style="324" bestFit="1" customWidth="1"/>
    <col min="14852" max="15104" width="9.140625" style="324"/>
    <col min="15105" max="15105" width="29.5703125" style="324" bestFit="1" customWidth="1"/>
    <col min="15106" max="15106" width="19.85546875" style="324" customWidth="1"/>
    <col min="15107" max="15107" width="12" style="324" bestFit="1" customWidth="1"/>
    <col min="15108" max="15360" width="9.140625" style="324"/>
    <col min="15361" max="15361" width="29.5703125" style="324" bestFit="1" customWidth="1"/>
    <col min="15362" max="15362" width="19.85546875" style="324" customWidth="1"/>
    <col min="15363" max="15363" width="12" style="324" bestFit="1" customWidth="1"/>
    <col min="15364" max="15616" width="9.140625" style="324"/>
    <col min="15617" max="15617" width="29.5703125" style="324" bestFit="1" customWidth="1"/>
    <col min="15618" max="15618" width="19.85546875" style="324" customWidth="1"/>
    <col min="15619" max="15619" width="12" style="324" bestFit="1" customWidth="1"/>
    <col min="15620" max="15872" width="9.140625" style="324"/>
    <col min="15873" max="15873" width="29.5703125" style="324" bestFit="1" customWidth="1"/>
    <col min="15874" max="15874" width="19.85546875" style="324" customWidth="1"/>
    <col min="15875" max="15875" width="12" style="324" bestFit="1" customWidth="1"/>
    <col min="15876" max="16128" width="9.140625" style="324"/>
    <col min="16129" max="16129" width="29.5703125" style="324" bestFit="1" customWidth="1"/>
    <col min="16130" max="16130" width="19.85546875" style="324" customWidth="1"/>
    <col min="16131" max="16131" width="12" style="324" bestFit="1" customWidth="1"/>
    <col min="16132" max="16384" width="9.140625" style="324"/>
  </cols>
  <sheetData>
    <row r="1" spans="1:2">
      <c r="A1" s="324" t="s">
        <v>742</v>
      </c>
      <c r="B1" s="381">
        <v>6.1</v>
      </c>
    </row>
    <row r="2" spans="1:2">
      <c r="A2" s="324" t="s">
        <v>743</v>
      </c>
      <c r="B2" s="385">
        <v>43139.406423611108</v>
      </c>
    </row>
    <row r="3" spans="1:2">
      <c r="A3" s="324" t="s">
        <v>744</v>
      </c>
      <c r="B3" s="382" t="s">
        <v>442</v>
      </c>
    </row>
    <row r="4" spans="1:2">
      <c r="A4" s="324" t="s">
        <v>745</v>
      </c>
      <c r="B4" s="382" t="s">
        <v>746</v>
      </c>
    </row>
    <row r="5" spans="1:2">
      <c r="A5" s="324" t="s">
        <v>747</v>
      </c>
      <c r="B5" s="382" t="s">
        <v>748</v>
      </c>
    </row>
    <row r="6" spans="1:2">
      <c r="A6" s="324" t="s">
        <v>749</v>
      </c>
    </row>
    <row r="7" spans="1:2">
      <c r="A7" s="324" t="s">
        <v>750</v>
      </c>
      <c r="B7" s="382" t="s">
        <v>315</v>
      </c>
    </row>
    <row r="8" spans="1:2">
      <c r="A8" s="324" t="s">
        <v>751</v>
      </c>
      <c r="B8" s="382" t="s">
        <v>752</v>
      </c>
    </row>
    <row r="9" spans="1:2">
      <c r="A9" s="324" t="s">
        <v>753</v>
      </c>
      <c r="B9" s="382" t="s">
        <v>790</v>
      </c>
    </row>
    <row r="10" spans="1:2">
      <c r="A10" s="324" t="s">
        <v>754</v>
      </c>
    </row>
    <row r="11" spans="1:2">
      <c r="A11" s="324" t="s">
        <v>755</v>
      </c>
    </row>
    <row r="12" spans="1:2">
      <c r="A12" s="324" t="s">
        <v>756</v>
      </c>
    </row>
    <row r="13" spans="1:2">
      <c r="A13" s="324" t="s">
        <v>757</v>
      </c>
    </row>
    <row r="14" spans="1:2">
      <c r="A14" s="324" t="s">
        <v>758</v>
      </c>
    </row>
    <row r="15" spans="1:2">
      <c r="A15" s="324" t="s">
        <v>759</v>
      </c>
    </row>
    <row r="16" spans="1:2">
      <c r="A16" s="324" t="s">
        <v>760</v>
      </c>
    </row>
    <row r="17" spans="1:4">
      <c r="A17" s="324" t="s">
        <v>761</v>
      </c>
      <c r="B17" s="382" t="s">
        <v>791</v>
      </c>
    </row>
    <row r="18" spans="1:4">
      <c r="A18" s="324" t="s">
        <v>762</v>
      </c>
      <c r="B18" s="382" t="s">
        <v>793</v>
      </c>
    </row>
    <row r="19" spans="1:4">
      <c r="A19" s="324" t="s">
        <v>763</v>
      </c>
      <c r="B19" s="382" t="s">
        <v>314</v>
      </c>
    </row>
    <row r="20" spans="1:4">
      <c r="A20" s="324" t="s">
        <v>764</v>
      </c>
      <c r="B20" s="383" t="s">
        <v>794</v>
      </c>
    </row>
    <row r="21" spans="1:4">
      <c r="A21" s="324" t="s">
        <v>765</v>
      </c>
      <c r="B21" s="382" t="s">
        <v>314</v>
      </c>
    </row>
    <row r="22" spans="1:4">
      <c r="A22" s="324" t="s">
        <v>766</v>
      </c>
      <c r="B22" s="383" t="s">
        <v>359</v>
      </c>
    </row>
    <row r="23" spans="1:4">
      <c r="A23" s="324" t="s">
        <v>368</v>
      </c>
      <c r="B23" s="381">
        <v>36.31</v>
      </c>
    </row>
    <row r="24" spans="1:4">
      <c r="A24" s="324" t="s">
        <v>367</v>
      </c>
      <c r="B24" s="382" t="s">
        <v>313</v>
      </c>
      <c r="D24" s="324" t="s">
        <v>412</v>
      </c>
    </row>
    <row r="25" spans="1:4">
      <c r="A25" s="324" t="s">
        <v>767</v>
      </c>
      <c r="B25" s="382" t="s">
        <v>795</v>
      </c>
    </row>
    <row r="26" spans="1:4">
      <c r="A26" s="324" t="s">
        <v>768</v>
      </c>
      <c r="B26" s="382">
        <v>0</v>
      </c>
    </row>
    <row r="27" spans="1:4">
      <c r="A27" s="324" t="s">
        <v>769</v>
      </c>
      <c r="B27" s="382" t="s">
        <v>770</v>
      </c>
    </row>
    <row r="28" spans="1:4">
      <c r="A28" s="324" t="s">
        <v>771</v>
      </c>
      <c r="B28" s="382" t="s">
        <v>772</v>
      </c>
    </row>
    <row r="29" spans="1:4">
      <c r="A29" s="324" t="s">
        <v>773</v>
      </c>
    </row>
    <row r="30" spans="1:4">
      <c r="A30" s="324" t="s">
        <v>774</v>
      </c>
    </row>
    <row r="31" spans="1:4">
      <c r="A31" s="324" t="s">
        <v>775</v>
      </c>
    </row>
    <row r="32" spans="1:4">
      <c r="A32" s="324" t="s">
        <v>776</v>
      </c>
      <c r="B32" s="381"/>
    </row>
    <row r="33" spans="1:2">
      <c r="A33" s="324" t="s">
        <v>777</v>
      </c>
      <c r="B33" s="381"/>
    </row>
    <row r="34" spans="1:2">
      <c r="A34" s="324" t="s">
        <v>778</v>
      </c>
      <c r="B34" s="381"/>
    </row>
    <row r="35" spans="1:2">
      <c r="A35" s="324" t="s">
        <v>779</v>
      </c>
      <c r="B35" s="382">
        <v>1000000</v>
      </c>
    </row>
    <row r="36" spans="1:2">
      <c r="A36" s="324" t="s">
        <v>780</v>
      </c>
      <c r="B36" s="382" t="s">
        <v>792</v>
      </c>
    </row>
    <row r="37" spans="1:2">
      <c r="A37" s="324" t="s">
        <v>781</v>
      </c>
      <c r="B37" s="382" t="s">
        <v>782</v>
      </c>
    </row>
    <row r="38" spans="1:2">
      <c r="A38" s="324" t="s">
        <v>783</v>
      </c>
      <c r="B38" s="382" t="s">
        <v>784</v>
      </c>
    </row>
    <row r="39" spans="1:2">
      <c r="A39" s="324" t="s">
        <v>785</v>
      </c>
      <c r="B39" s="382" t="s">
        <v>312</v>
      </c>
    </row>
    <row r="40" spans="1:2">
      <c r="A40" s="324" t="s">
        <v>786</v>
      </c>
      <c r="B40" s="382">
        <v>1500004829</v>
      </c>
    </row>
    <row r="41" spans="1:2">
      <c r="A41" s="324" t="s">
        <v>787</v>
      </c>
      <c r="B41" s="382">
        <v>1</v>
      </c>
    </row>
    <row r="42" spans="1:2">
      <c r="A42" s="384" t="s">
        <v>788</v>
      </c>
    </row>
    <row r="43" spans="1:2">
      <c r="A43" s="324" t="s">
        <v>789</v>
      </c>
    </row>
  </sheetData>
  <pageMargins left="0.75" right="0.75" top="1" bottom="1" header="0.5" footer="0.5"/>
  <pageSetup orientation="portrait"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13"/>
  <sheetViews>
    <sheetView workbookViewId="0">
      <selection activeCell="E11" sqref="E11"/>
    </sheetView>
  </sheetViews>
  <sheetFormatPr defaultRowHeight="12.75"/>
  <cols>
    <col min="1" max="1" width="28.5703125" style="324" bestFit="1" customWidth="1"/>
    <col min="2" max="256" width="9.140625" style="324"/>
    <col min="257" max="257" width="28.5703125" style="324" bestFit="1" customWidth="1"/>
    <col min="258" max="512" width="9.140625" style="324"/>
    <col min="513" max="513" width="28.5703125" style="324" bestFit="1" customWidth="1"/>
    <col min="514" max="768" width="9.140625" style="324"/>
    <col min="769" max="769" width="28.5703125" style="324" bestFit="1" customWidth="1"/>
    <col min="770" max="1024" width="9.140625" style="324"/>
    <col min="1025" max="1025" width="28.5703125" style="324" bestFit="1" customWidth="1"/>
    <col min="1026" max="1280" width="9.140625" style="324"/>
    <col min="1281" max="1281" width="28.5703125" style="324" bestFit="1" customWidth="1"/>
    <col min="1282" max="1536" width="9.140625" style="324"/>
    <col min="1537" max="1537" width="28.5703125" style="324" bestFit="1" customWidth="1"/>
    <col min="1538" max="1792" width="9.140625" style="324"/>
    <col min="1793" max="1793" width="28.5703125" style="324" bestFit="1" customWidth="1"/>
    <col min="1794" max="2048" width="9.140625" style="324"/>
    <col min="2049" max="2049" width="28.5703125" style="324" bestFit="1" customWidth="1"/>
    <col min="2050" max="2304" width="9.140625" style="324"/>
    <col min="2305" max="2305" width="28.5703125" style="324" bestFit="1" customWidth="1"/>
    <col min="2306" max="2560" width="9.140625" style="324"/>
    <col min="2561" max="2561" width="28.5703125" style="324" bestFit="1" customWidth="1"/>
    <col min="2562" max="2816" width="9.140625" style="324"/>
    <col min="2817" max="2817" width="28.5703125" style="324" bestFit="1" customWidth="1"/>
    <col min="2818" max="3072" width="9.140625" style="324"/>
    <col min="3073" max="3073" width="28.5703125" style="324" bestFit="1" customWidth="1"/>
    <col min="3074" max="3328" width="9.140625" style="324"/>
    <col min="3329" max="3329" width="28.5703125" style="324" bestFit="1" customWidth="1"/>
    <col min="3330" max="3584" width="9.140625" style="324"/>
    <col min="3585" max="3585" width="28.5703125" style="324" bestFit="1" customWidth="1"/>
    <col min="3586" max="3840" width="9.140625" style="324"/>
    <col min="3841" max="3841" width="28.5703125" style="324" bestFit="1" customWidth="1"/>
    <col min="3842" max="4096" width="9.140625" style="324"/>
    <col min="4097" max="4097" width="28.5703125" style="324" bestFit="1" customWidth="1"/>
    <col min="4098" max="4352" width="9.140625" style="324"/>
    <col min="4353" max="4353" width="28.5703125" style="324" bestFit="1" customWidth="1"/>
    <col min="4354" max="4608" width="9.140625" style="324"/>
    <col min="4609" max="4609" width="28.5703125" style="324" bestFit="1" customWidth="1"/>
    <col min="4610" max="4864" width="9.140625" style="324"/>
    <col min="4865" max="4865" width="28.5703125" style="324" bestFit="1" customWidth="1"/>
    <col min="4866" max="5120" width="9.140625" style="324"/>
    <col min="5121" max="5121" width="28.5703125" style="324" bestFit="1" customWidth="1"/>
    <col min="5122" max="5376" width="9.140625" style="324"/>
    <col min="5377" max="5377" width="28.5703125" style="324" bestFit="1" customWidth="1"/>
    <col min="5378" max="5632" width="9.140625" style="324"/>
    <col min="5633" max="5633" width="28.5703125" style="324" bestFit="1" customWidth="1"/>
    <col min="5634" max="5888" width="9.140625" style="324"/>
    <col min="5889" max="5889" width="28.5703125" style="324" bestFit="1" customWidth="1"/>
    <col min="5890" max="6144" width="9.140625" style="324"/>
    <col min="6145" max="6145" width="28.5703125" style="324" bestFit="1" customWidth="1"/>
    <col min="6146" max="6400" width="9.140625" style="324"/>
    <col min="6401" max="6401" width="28.5703125" style="324" bestFit="1" customWidth="1"/>
    <col min="6402" max="6656" width="9.140625" style="324"/>
    <col min="6657" max="6657" width="28.5703125" style="324" bestFit="1" customWidth="1"/>
    <col min="6658" max="6912" width="9.140625" style="324"/>
    <col min="6913" max="6913" width="28.5703125" style="324" bestFit="1" customWidth="1"/>
    <col min="6914" max="7168" width="9.140625" style="324"/>
    <col min="7169" max="7169" width="28.5703125" style="324" bestFit="1" customWidth="1"/>
    <col min="7170" max="7424" width="9.140625" style="324"/>
    <col min="7425" max="7425" width="28.5703125" style="324" bestFit="1" customWidth="1"/>
    <col min="7426" max="7680" width="9.140625" style="324"/>
    <col min="7681" max="7681" width="28.5703125" style="324" bestFit="1" customWidth="1"/>
    <col min="7682" max="7936" width="9.140625" style="324"/>
    <col min="7937" max="7937" width="28.5703125" style="324" bestFit="1" customWidth="1"/>
    <col min="7938" max="8192" width="9.140625" style="324"/>
    <col min="8193" max="8193" width="28.5703125" style="324" bestFit="1" customWidth="1"/>
    <col min="8194" max="8448" width="9.140625" style="324"/>
    <col min="8449" max="8449" width="28.5703125" style="324" bestFit="1" customWidth="1"/>
    <col min="8450" max="8704" width="9.140625" style="324"/>
    <col min="8705" max="8705" width="28.5703125" style="324" bestFit="1" customWidth="1"/>
    <col min="8706" max="8960" width="9.140625" style="324"/>
    <col min="8961" max="8961" width="28.5703125" style="324" bestFit="1" customWidth="1"/>
    <col min="8962" max="9216" width="9.140625" style="324"/>
    <col min="9217" max="9217" width="28.5703125" style="324" bestFit="1" customWidth="1"/>
    <col min="9218" max="9472" width="9.140625" style="324"/>
    <col min="9473" max="9473" width="28.5703125" style="324" bestFit="1" customWidth="1"/>
    <col min="9474" max="9728" width="9.140625" style="324"/>
    <col min="9729" max="9729" width="28.5703125" style="324" bestFit="1" customWidth="1"/>
    <col min="9730" max="9984" width="9.140625" style="324"/>
    <col min="9985" max="9985" width="28.5703125" style="324" bestFit="1" customWidth="1"/>
    <col min="9986" max="10240" width="9.140625" style="324"/>
    <col min="10241" max="10241" width="28.5703125" style="324" bestFit="1" customWidth="1"/>
    <col min="10242" max="10496" width="9.140625" style="324"/>
    <col min="10497" max="10497" width="28.5703125" style="324" bestFit="1" customWidth="1"/>
    <col min="10498" max="10752" width="9.140625" style="324"/>
    <col min="10753" max="10753" width="28.5703125" style="324" bestFit="1" customWidth="1"/>
    <col min="10754" max="11008" width="9.140625" style="324"/>
    <col min="11009" max="11009" width="28.5703125" style="324" bestFit="1" customWidth="1"/>
    <col min="11010" max="11264" width="9.140625" style="324"/>
    <col min="11265" max="11265" width="28.5703125" style="324" bestFit="1" customWidth="1"/>
    <col min="11266" max="11520" width="9.140625" style="324"/>
    <col min="11521" max="11521" width="28.5703125" style="324" bestFit="1" customWidth="1"/>
    <col min="11522" max="11776" width="9.140625" style="324"/>
    <col min="11777" max="11777" width="28.5703125" style="324" bestFit="1" customWidth="1"/>
    <col min="11778" max="12032" width="9.140625" style="324"/>
    <col min="12033" max="12033" width="28.5703125" style="324" bestFit="1" customWidth="1"/>
    <col min="12034" max="12288" width="9.140625" style="324"/>
    <col min="12289" max="12289" width="28.5703125" style="324" bestFit="1" customWidth="1"/>
    <col min="12290" max="12544" width="9.140625" style="324"/>
    <col min="12545" max="12545" width="28.5703125" style="324" bestFit="1" customWidth="1"/>
    <col min="12546" max="12800" width="9.140625" style="324"/>
    <col min="12801" max="12801" width="28.5703125" style="324" bestFit="1" customWidth="1"/>
    <col min="12802" max="13056" width="9.140625" style="324"/>
    <col min="13057" max="13057" width="28.5703125" style="324" bestFit="1" customWidth="1"/>
    <col min="13058" max="13312" width="9.140625" style="324"/>
    <col min="13313" max="13313" width="28.5703125" style="324" bestFit="1" customWidth="1"/>
    <col min="13314" max="13568" width="9.140625" style="324"/>
    <col min="13569" max="13569" width="28.5703125" style="324" bestFit="1" customWidth="1"/>
    <col min="13570" max="13824" width="9.140625" style="324"/>
    <col min="13825" max="13825" width="28.5703125" style="324" bestFit="1" customWidth="1"/>
    <col min="13826" max="14080" width="9.140625" style="324"/>
    <col min="14081" max="14081" width="28.5703125" style="324" bestFit="1" customWidth="1"/>
    <col min="14082" max="14336" width="9.140625" style="324"/>
    <col min="14337" max="14337" width="28.5703125" style="324" bestFit="1" customWidth="1"/>
    <col min="14338" max="14592" width="9.140625" style="324"/>
    <col min="14593" max="14593" width="28.5703125" style="324" bestFit="1" customWidth="1"/>
    <col min="14594" max="14848" width="9.140625" style="324"/>
    <col min="14849" max="14849" width="28.5703125" style="324" bestFit="1" customWidth="1"/>
    <col min="14850" max="15104" width="9.140625" style="324"/>
    <col min="15105" max="15105" width="28.5703125" style="324" bestFit="1" customWidth="1"/>
    <col min="15106" max="15360" width="9.140625" style="324"/>
    <col min="15361" max="15361" width="28.5703125" style="324" bestFit="1" customWidth="1"/>
    <col min="15362" max="15616" width="9.140625" style="324"/>
    <col min="15617" max="15617" width="28.5703125" style="324" bestFit="1" customWidth="1"/>
    <col min="15618" max="15872" width="9.140625" style="324"/>
    <col min="15873" max="15873" width="28.5703125" style="324" bestFit="1" customWidth="1"/>
    <col min="15874" max="16128" width="9.140625" style="324"/>
    <col min="16129" max="16129" width="28.5703125" style="324" bestFit="1" customWidth="1"/>
    <col min="16130" max="16384" width="9.140625" style="324"/>
  </cols>
  <sheetData>
    <row r="1" spans="1:1">
      <c r="A1" s="386" t="s">
        <v>796</v>
      </c>
    </row>
    <row r="2" spans="1:1">
      <c r="A2" s="386" t="s">
        <v>801</v>
      </c>
    </row>
    <row r="3" spans="1:1">
      <c r="A3" s="386" t="s">
        <v>802</v>
      </c>
    </row>
    <row r="4" spans="1:1">
      <c r="A4" s="386" t="s">
        <v>803</v>
      </c>
    </row>
    <row r="5" spans="1:1">
      <c r="A5" s="386" t="s">
        <v>804</v>
      </c>
    </row>
    <row r="6" spans="1:1">
      <c r="A6" s="386" t="s">
        <v>797</v>
      </c>
    </row>
    <row r="7" spans="1:1">
      <c r="A7" s="386" t="s">
        <v>805</v>
      </c>
    </row>
    <row r="8" spans="1:1">
      <c r="A8" s="386" t="s">
        <v>806</v>
      </c>
    </row>
    <row r="9" spans="1:1">
      <c r="A9" s="386" t="s">
        <v>807</v>
      </c>
    </row>
    <row r="10" spans="1:1">
      <c r="A10" s="386" t="s">
        <v>798</v>
      </c>
    </row>
    <row r="11" spans="1:1">
      <c r="A11" s="386" t="s">
        <v>808</v>
      </c>
    </row>
    <row r="12" spans="1:1">
      <c r="A12" s="386" t="s">
        <v>799</v>
      </c>
    </row>
    <row r="13" spans="1:1">
      <c r="A13" s="386" t="s">
        <v>800</v>
      </c>
    </row>
  </sheetData>
  <pageMargins left="0.75" right="0.75" top="1" bottom="1" header="0.5" footer="0.5"/>
  <headerFooter alignWithMargins="0"/>
</worksheet>
</file>

<file path=customXml/_rels/item1.xml.rels><?xml version="1.0" encoding="UTF-8" standalone="yes"?>
<Relationships xmlns="http://schemas.openxmlformats.org/package/2006/relationships">
<Relationship Id="rId1" Target="itemProps1.xml" Type="http://schemas.openxmlformats.org/officeDocument/2006/relationships/customXmlProps"/>
</Relationships>

</file>

<file path=customXml/_rels/item2.xml.rels><?xml version="1.0" encoding="UTF-8" standalone="yes"?>
<Relationships xmlns="http://schemas.openxmlformats.org/package/2006/relationships">
<Relationship Id="rId1" Target="itemProps2.xml" Type="http://schemas.openxmlformats.org/officeDocument/2006/relationships/customXmlProps"/>
</Relationships>

</file>

<file path=customXml/item1.xml><?xml version="1.0" encoding="utf-8"?>
<lkmtd:Metadata xmlns:lkmtd="thomsonreuters.linking.metadatachange">
  <MetadataChanged>1</MetadataChanged>
</lkmtd:Metadata>
</file>

<file path=customXml/item2.xml><?xml version="1.0" encoding="utf-8"?>
<lk:Links xmlns:lk="thomsonreuters.linking.metadata">
  <Link>
    <GUID>439e415c-b997-4374-839b-2446b95b78cf</GUID>
    <SOURCE_ALTADDRESS>$D$8:$AI$39</SOURCE_ALTADDRESS>
    <SOURCETYPE>Table</SOURCETYPE>
    <SOURCE_OBJECTNAME>Linking_Range_25</SOURCE_OBJECTNAME>
    <OBJECTTYPE>Native</OBJECTTYPE>
    <SOURCE_SHEETCODE>Sheet22</SOURCE_SHEETCODE>
    <SOURCE_SHEETNAME>Q</SOURCE_SHEETNAME>
    <SOURCEAPPLICATION>EXCEL_SOURCE</SOURCEAPPLICATION>
    <UPDATEDAT>5/14/2015 6:35:01 PM</UPDATEDAT>
    <SOURCE_ISOUTOFDATE>False</SOURCE_ISOUTOFDATE>
    <SOURCE_WORKBOOKNAME>ZAYO Morgan Stanley - v6.xls</SOURCE_WORKBOOKNAME>
    <SOURCE_WORKBOOKPATH>\\MSAD\ROOT\NA\NY\LIB\ER\ER13\CLECs\CLEC\ZAYO\Model</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EXTRACTSOURCEMODE>CopyToClipboard</EXTRACTSOURCEMODE>
    <TARGET_BINARYFULLNAME>/MSResearch/Content/ExternalAssets/2015-05/Images/M5qvqZ_KsUCNpM6oj6uD4A--.png</TARGET_BINARYFULLNAME>
    <TARGET_STORYFULLNAME>/MSResearch/Content/ExternalAssets/2015-05/Sections/20150514_063457_Linking_Range_25.xml</TARGET_STORYFULLNAME>
    <TARGET_UUID>734f13ec-fa89-11e4-b06e-39cc228b6d15</TARGET_UUID>
  </Link>
  <Link>
    <GUID>4ff010df-4ff0-48da-bedb-8a90bc2eb4ea</GUID>
    <SOURCETYPE>Chart</SOURCETYPE>
    <SOURCE_OBJECTNAME>Chart 2</SOURCE_OBJECTNAME>
    <SOURCE_SHEETCODE>Sheet7</SOURCE_SHEETCODE>
    <SOURCE_SHEETNAME>Charts</SOURCE_SHEETNAME>
    <OBJECTTYPE>Native</OBJECTTYPE>
    <SOURCEAPPLICATION>EXCEL_SOURCE</SOURCEAPPLICATION>
    <UPDATEDAT>5/14/2015 6:35:41 PM</UPDATEDAT>
    <SOURCE_ISOUTOFDATE>False</SOURCE_ISOUTOFDATE>
    <SOURCE_WORKBOOKNAME>ZAYO Morgan Stanley - v6.xls</SOURCE_WORKBOOKNAME>
    <SOURCE_WORKBOOKPATH>\\MSAD\ROOT\NA\NY\LIB\ER\ER13\CLECs\CLEC\ZAYO\Model</SOURCE_WORKBOOKPATH>
    <TRANSPARENTBACKGROUND>True</TRANSPARENTBACKGROUND>
    <TRANSPARENTPLOTAREA>True</TRANSPARENTPLOTAREA>
    <TARGETTYPE>Picture</TARGETTYPE>
    <TARGETAPPLICATION>METHODE_TARGET</TARGETAPPLICATION>
    <TABLEBACKGROUND>Existing</TABLEBACKGROUND>
    <EXTRACTSOURCEMODE>CopyToClipboard</EXTRACTSOURCEMODE>
    <TARGET_BINARYFULLNAME>/MSResearch/Content/ExternalAssets/2015-05/Images/T-g2dvF9GEK4kvz5eR5WhA--.png</TARGET_BINARYFULLNAME>
    <TARGET_STORYFULLNAME>/MSResearch/Content/ExternalAssets/2015-05/Sections/20150514_063538_Chart2.xml</TARGET_STORYFULLNAME>
    <TARGET_UUID>8b8338bc-fa89-11e4-b06e-39cc228b6d15</TARGET_UUID>
  </Link>
  <Link>
    <GUID>c7677c1f-99fb-4861-9890-35b6d14e1f31</GUID>
    <SOURCETYPE>Chart</SOURCETYPE>
    <SOURCE_OBJECTNAME>bookings</SOURCE_OBJECTNAME>
    <SOURCE_SHEETCODE>Sheet7</SOURCE_SHEETCODE>
    <SOURCE_SHEETNAME>Charts</SOURCE_SHEETNAME>
    <OBJECTTYPE>Native</OBJECTTYPE>
    <SOURCEAPPLICATION>EXCEL_SOURCE</SOURCEAPPLICATION>
    <UPDATEDAT>5/14/2015 6:36:32 PM</UPDATEDAT>
    <SOURCE_ISOUTOFDATE>False</SOURCE_ISOUTOFDATE>
    <SOURCE_WORKBOOKNAME>ZAYO Morgan Stanley - v6.xls</SOURCE_WORKBOOKNAME>
    <SOURCE_WORKBOOKPATH>\\MSAD\ROOT\NA\NY\LIB\ER\ER13\CLECs\CLEC\ZAYO\Model</SOURCE_WORKBOOKPATH>
    <TRANSPARENTBACKGROUND>True</TRANSPARENTBACKGROUND>
    <TRANSPARENTPLOTAREA>True</TRANSPARENTPLOTAREA>
    <TARGETTYPE>Picture</TARGETTYPE>
    <TARGETAPPLICATION>METHODE_TARGET</TARGETAPPLICATION>
    <TABLEBACKGROUND>Existing</TABLEBACKGROUND>
    <EXTRACTSOURCEMODE>CopyToClipboard</EXTRACTSOURCEMODE>
    <TARGET_BINARYFULLNAME>/MSResearch/Content/ExternalAssets/2015-05/Images/3Xs_HQcwCEC7O3KJV-j7rA--.png</TARGET_BINARYFULLNAME>
    <TARGET_STORYFULLNAME>/MSResearch/Content/ExternalAssets/2015-05/Sections/20150514_063630_bookings.xml</TARGET_STORYFULLNAME>
    <TARGET_UUID>aa88f47c-fa89-11e4-b06e-39cc228b6d15</TARGET_UUID>
  </Link>
  <Link>
    <GUID>1d4454ee-a3d4-4cab-9dc2-c39633d35579</GUID>
    <SOURCETYPE>Chart</SOURCETYPE>
    <SOURCE_OBJECTNAME>ZPI quarterly rev</SOURCE_OBJECTNAME>
    <SOURCE_SHEETCODE>Sheet7</SOURCE_SHEETCODE>
    <SOURCE_SHEETNAME>Charts</SOURCE_SHEETNAME>
    <OBJECTTYPE>Native</OBJECTTYPE>
    <SOURCEAPPLICATION>EXCEL_SOURCE</SOURCEAPPLICATION>
    <UPDATEDAT>5/15/2015 10:58:13 AM</UPDATEDAT>
    <SOURCE_ISOUTOFDATE>False</SOURCE_ISOUTOFDATE>
    <SOURCE_WORKBOOKNAME>ZAYO Morgan Stanley - v6.xls</SOURCE_WORKBOOKNAME>
    <SOURCE_WORKBOOKPATH>\\MSAD\ROOT\NA\NY\LIB\ER\ER13\CLECs\CLEC\ZAYO\Model</SOURCE_WORKBOOKPATH>
    <TRANSPARENTBACKGROUND>True</TRANSPARENTBACKGROUND>
    <TRANSPARENTPLOTAREA>True</TRANSPARENTPLOTAREA>
    <TARGETTYPE>Picture</TARGETTYPE>
    <TARGETAPPLICATION>METHODE_TARGET</TARGETAPPLICATION>
    <TABLEBACKGROUND>Existing</TABLEBACKGROUND>
    <EXTRACTSOURCEMODE>CopyToClipboard</EXTRACTSOURCEMODE>
    <TARGET_BINARYFULLNAME>/MSResearch/Content/ExternalAssets/2015-05/Images/0cENBWcWPUCyrryOtiPJ-Q--.png</TARGET_BINARYFULLNAME>
    <TARGET_STORYFULLNAME>/MSResearch/Content/ExternalAssets/2015-05/Sections/20150515_105809_ZPIquarterlyrev.xml</TARGET_STORYFULLNAME>
    <TARGET_UUID>cd06449e-fb12-11e4-b06e-39cc228b6d15</TARGET_UUID>
  </Link>
  <Link>
    <GUID>2491e967-9789-49a4-ac07-5c9557f037c1</GUID>
    <SOURCETYPE>Chart</SOURCETYPE>
    <SOURCE_OBJECTNAME>ZCC quarterly rev</SOURCE_OBJECTNAME>
    <SOURCE_SHEETCODE>Sheet7</SOURCE_SHEETCODE>
    <SOURCE_SHEETNAME>Charts</SOURCE_SHEETNAME>
    <OBJECTTYPE>Native</OBJECTTYPE>
    <SOURCEAPPLICATION>EXCEL_SOURCE</SOURCEAPPLICATION>
    <UPDATEDAT>5/15/2015 10:58:53 AM</UPDATEDAT>
    <SOURCE_ISOUTOFDATE>False</SOURCE_ISOUTOFDATE>
    <SOURCE_WORKBOOKNAME>ZAYO Morgan Stanley - v6.xls</SOURCE_WORKBOOKNAME>
    <SOURCE_WORKBOOKPATH>\\MSAD\ROOT\NA\NY\LIB\ER\ER13\CLECs\CLEC\ZAYO\Model</SOURCE_WORKBOOKPATH>
    <TRANSPARENTBACKGROUND>True</TRANSPARENTBACKGROUND>
    <TRANSPARENTPLOTAREA>True</TRANSPARENTPLOTAREA>
    <TARGETTYPE>Picture</TARGETTYPE>
    <TARGETAPPLICATION>METHODE_TARGET</TARGETAPPLICATION>
    <TABLEBACKGROUND>Existing</TABLEBACKGROUND>
    <EXTRACTSOURCEMODE>CopyToClipboard</EXTRACTSOURCEMODE>
    <TARGET_BINARYFULLNAME>/MSResearch/Content/ExternalAssets/2015-05/Images/VBawZyzJUE2ZLRHg_cuT-w--.png</TARGET_BINARYFULLNAME>
    <TARGET_STORYFULLNAME>/MSResearch/Content/ExternalAssets/2015-05/Sections/20150515_105847_ZCCquarterlyrev.xml</TARGET_STORYFULLNAME>
    <TARGET_UUID>e3ee0cdc-fb12-11e4-b06e-39cc228b6d15</TARGET_UUID>
  </Link>
  <Link>
    <GUID>8f417c36-2c2c-41ca-b3b7-eff5a6a2dfd2</GUID>
    <SOURCETYPE>Chart</SOURCETYPE>
    <SOURCE_OBJECTNAME>quarterly ebitda</SOURCE_OBJECTNAME>
    <SOURCE_SHEETCODE>Sheet7</SOURCE_SHEETCODE>
    <SOURCE_SHEETNAME>Charts</SOURCE_SHEETNAME>
    <OBJECTTYPE>Native</OBJECTTYPE>
    <SOURCEAPPLICATION>EXCEL_SOURCE</SOURCEAPPLICATION>
    <UPDATEDAT>5/15/2015 3:48:09 PM</UPDATEDAT>
    <SOURCE_ISOUTOFDATE>False</SOURCE_ISOUTOFDATE>
    <SOURCE_WORKBOOKNAME>ZAYO Morgan Stanley - v6.xls</SOURCE_WORKBOOKNAME>
    <SOURCE_WORKBOOKPATH>\\MSAD\ROOT\NA\NY\LIB\ER\ER13\CLECs\CLEC\ZAYO\Model</SOURCE_WORKBOOKPATH>
    <TRANSPARENTBACKGROUND>True</TRANSPARENTBACKGROUND>
    <TRANSPARENTPLOTAREA>True</TRANSPARENTPLOTAREA>
    <TARGETTYPE>Picture</TARGETTYPE>
    <TARGETAPPLICATION>METHODE_TARGET</TARGETAPPLICATION>
    <TABLEBACKGROUND>Existing</TABLEBACKGROUND>
    <EXTRACTSOURCEMODE>CopyToClipboard</EXTRACTSOURCEMODE>
    <TARGET_BINARYFULLNAME>/MSResearch/Content/ExternalAssets/2015-05/Images/nEHOiZlSmEuMKdq5brKNCg--.png</TARGET_BINARYFULLNAME>
    <HIDEGRIDLINES>False</HIDEGRIDLINES>
    <TARGET_STORYFULLNAME>/MSResearch/Content/ExternalAssets/2015-05/Sections/20150515_034807_quarterlyebitda.xml</TARGET_STORYFULLNAME>
    <TARGET_UUID>4f074a4c-fb3b-11e4-b06e-39cc228b6d15</TARGET_UUID>
  </Link>
  <Link>
    <GUID>ae7db7e6-9eb4-436c-921f-8aba848cafdb</GUID>
    <SOURCETYPE>Chart</SOURCETYPE>
    <SOURCE_OBJECTNAME>capex quarter</SOURCE_OBJECTNAME>
    <SOURCE_SHEETCODE>Sheet7</SOURCE_SHEETCODE>
    <SOURCE_SHEETNAME>Charts</SOURCE_SHEETNAME>
    <OBJECTTYPE>Native</OBJECTTYPE>
    <SOURCEAPPLICATION>EXCEL_SOURCE</SOURCEAPPLICATION>
    <UPDATEDAT>5/15/2015 3:48:46 PM</UPDATEDAT>
    <SOURCE_ISOUTOFDATE>False</SOURCE_ISOUTOFDATE>
    <SOURCE_WORKBOOKNAME>ZAYO Morgan Stanley - v6.xls</SOURCE_WORKBOOKNAME>
    <SOURCE_WORKBOOKPATH>\\MSAD\ROOT\NA\NY\LIB\ER\ER13\CLECs\CLEC\ZAYO\Model</SOURCE_WORKBOOKPATH>
    <TRANSPARENTBACKGROUND>True</TRANSPARENTBACKGROUND>
    <TRANSPARENTPLOTAREA>True</TRANSPARENTPLOTAREA>
    <TARGETTYPE>Picture</TARGETTYPE>
    <TARGETAPPLICATION>METHODE_TARGET</TARGETAPPLICATION>
    <TABLEBACKGROUND>Existing</TABLEBACKGROUND>
    <EXTRACTSOURCEMODE>CopyToClipboard</EXTRACTSOURCEMODE>
    <TARGET_BINARYFULLNAME>/MSResearch/Content/ExternalAssets/2015-05/Images/6hvPNp_MIUGOcqQaMKHHYQ--.png</TARGET_BINARYFULLNAME>
    <TARGET_STORYFULLNAME>/MSResearch/Content/ExternalAssets/2015-05/Sections/20150515_034841_capexquarter.xml</TARGET_STORYFULLNAME>
    <TARGET_UUID>63678f9c-fb3b-11e4-b06e-39cc228b6d15</TARGET_UUID>
  </Link>
  <Link>
    <GUID>8a8fcc08-968c-4b4f-896d-57c43d859fb4</GUID>
    <SOURCETYPE>Chart</SOURCETYPE>
    <SOURCE_OBJECTNAME>levered FCF quarter</SOURCE_OBJECTNAME>
    <SOURCE_SHEETCODE>Sheet7</SOURCE_SHEETCODE>
    <SOURCE_SHEETNAME>Charts</SOURCE_SHEETNAME>
    <OBJECTTYPE>Native</OBJECTTYPE>
    <SOURCEAPPLICATION>EXCEL_SOURCE</SOURCEAPPLICATION>
    <UPDATEDAT>5/15/2015 3:51:38 PM</UPDATEDAT>
    <SOURCE_ISOUTOFDATE>False</SOURCE_ISOUTOFDATE>
    <SOURCE_WORKBOOKNAME>ZAYO Morgan Stanley - v6.xls</SOURCE_WORKBOOKNAME>
    <SOURCE_WORKBOOKPATH>\\MSAD\ROOT\NA\NY\LIB\ER\ER13\CLECs\CLEC\ZAYO\Model</SOURCE_WORKBOOKPATH>
    <TRANSPARENTBACKGROUND>True</TRANSPARENTBACKGROUND>
    <TRANSPARENTPLOTAREA>True</TRANSPARENTPLOTAREA>
    <TARGETTYPE>Picture</TARGETTYPE>
    <TARGETAPPLICATION>METHODE_TARGET</TARGETAPPLICATION>
    <TABLEBACKGROUND>Existing</TABLEBACKGROUND>
    <EXTRACTSOURCEMODE>CopyToClipboard</EXTRACTSOURCEMODE>
    <TARGET_BINARYFULLNAME>/MSResearch/Content/ExternalAssets/2015-05/Images/AXs0ajgh00aYANZQsSXhNQ--.png</TARGET_BINARYFULLNAME>
    <TARGET_STORYFULLNAME>/MSResearch/Content/ExternalAssets/2015-05/Sections/20150515_035136_leveredFCFquarter.xml</TARGET_STORYFULLNAME>
    <TARGET_UUID>cbaa8abe-fb3b-11e4-b06e-39cc228b6d15</TARGET_UUID>
  </Link>
  <Link>
    <GUID>038534a4-831c-408c-ac9d-522c342b645c</GUID>
    <SOURCETYPE>Chart</SOURCETYPE>
    <SOURCE_OBJECTNAME>quarterly rev</SOURCE_OBJECTNAME>
    <SOURCE_SHEETCODE>Sheet7</SOURCE_SHEETCODE>
    <SOURCE_SHEETNAME>Charts</SOURCE_SHEETNAME>
    <OBJECTTYPE>Native</OBJECTTYPE>
    <SOURCEAPPLICATION>EXCEL_SOURCE</SOURCEAPPLICATION>
    <UPDATEDAT>5/15/2015 3:57:12 PM</UPDATEDAT>
    <SOURCE_ISOUTOFDATE>False</SOURCE_ISOUTOFDATE>
    <SOURCE_WORKBOOKNAME>ZAYO Morgan Stanley - v6.xls</SOURCE_WORKBOOKNAME>
    <SOURCE_WORKBOOKPATH>\\MSAD\ROOT\NA\NY\LIB\ER\ER13\CLECs\CLEC\ZAYO\Model</SOURCE_WORKBOOKPATH>
    <TRANSPARENTBACKGROUND>True</TRANSPARENTBACKGROUND>
    <TRANSPARENTPLOTAREA>True</TRANSPARENTPLOTAREA>
    <TARGETTYPE>Picture</TARGETTYPE>
    <TARGETAPPLICATION>METHODE_TARGET</TARGETAPPLICATION>
    <TABLEBACKGROUND>Existing</TABLEBACKGROUND>
    <EXTRACTSOURCEMODE>CopyToClipboard</EXTRACTSOURCEMODE>
    <TARGET_BINARYFULLNAME>/MSResearch/Content/ExternalAssets/2015-05/Images/bH0UuUddQ0CNayVw6L4g_w--.png</TARGET_BINARYFULLNAME>
    <TARGET_STORYFULLNAME>/MSResearch/Content/ExternalAssets/2015-05/Sections/20150514_063556_quarterlyrev.xml</TARGET_STORYFULLNAME>
    <TARGET_UUID>965aca8e-fa89-11e4-b06e-39cc228b6d15</TARGET_UUID>
    <HIDEGRIDLINES>False</HIDEGRIDLINES>
  </Link>
  <Link>
    <GUID>fb94a92e-e9d0-4042-80a2-3c7e5501493f</GUID>
    <SOURCETYPE>Chart</SOURCETYPE>
    <SOURCE_OBJECTNAME>MWA_Risk_Reward</SOURCE_OBJECTNAME>
    <SOURCE_SHEETCODE>MWRSSData</SOURCE_SHEETCODE>
    <SOURCE_SHEETNAME>MWA RR</SOURCE_SHEETNAME>
    <OBJECTTYPE>Native</OBJECTTYPE>
    <SOURCEAPPLICATION>EXCEL_SOURCE</SOURCEAPPLICATION>
    <UPDATEDAT>5/15/2015 5:15:44 PM</UPDATEDAT>
    <SOURCE_ISOUTOFDATE>False</SOURCE_ISOUTOFDATE>
    <SOURCE_WORKBOOKNAME>ZAYO Morgan Stanley - v6.xls</SOURCE_WORKBOOKNAME>
    <SOURCE_WORKBOOKPATH>\\MSAD\ROOT\NA\NY\LIB\ER\ER13\CLECs\CLEC\ZAYO\Model</SOURCE_WORKBOOKPATH>
    <TRANSPARENTBACKGROUND>False</TRANSPARENTBACKGROUND>
    <TRANSPARENTPLOTAREA>False</TRANSPARENTPLOTAREA>
    <TARGETTYPE>Picture</TARGETTYPE>
    <TARGETAPPLICATION>METHODE_TARGET</TARGETAPPLICATION>
    <TABLEBACKGROUND>Existing</TABLEBACKGROUND>
    <EXTRACTSOURCEMODE>CopyToClipboard</EXTRACTSOURCEMODE>
    <TARGET_BINARYFULLNAME>/MSResearch/Content/ExternalAssets/2015-05/Images/_17RpP81G0iLObULeK93DQ--.png</TARGET_BINARYFULLNAME>
    <TARGET_STORYFULLNAME>/MSResearch/Content/ExternalAssets/2015-05/Sections/20150515_051539_MWA_Risk_Reward.xml</TARGET_STORYFULLNAME>
    <TARGET_UUID>898665a2-fb47-11e4-b06e-39cc228b6d15</TARGET_UUID>
  </Link>
  <Link>
    <GUID>ee00cba1-4c11-4925-be2d-fdc5ccbdbe39</GUID>
    <SOURCE_ALTADDRESS>$B$2:$AG$51</SOURCE_ALTADDRESS>
    <SOURCETYPE>Table</SOURCETYPE>
    <SOURCE_OBJECTNAME>Linking_Range_23</SOURCE_OBJECTNAME>
    <OBJECTTYPE>Native</OBJECTTYPE>
    <SOURCE_SHEETCODE>Sheet3</SOURCE_SHEETCODE>
    <SOURCE_SHEETNAME>IS</SOURCE_SHEETNAME>
    <SOURCEAPPLICATION>EXCEL_SOURCE</SOURCEAPPLICATION>
    <UPDATEDAT>5/15/2015 6:03:06 PM</UPDATEDAT>
    <SOURCE_ISOUTOFDATE>False</SOURCE_ISOUTOFDATE>
    <SOURCE_WORKBOOKNAME>ZAYO Morgan Stanley - v6.xls</SOURCE_WORKBOOKNAME>
    <SOURCE_WORKBOOKPATH>\\MSAD\ROOT\NA\NY\LIB\ER\ER13\CLECs\CLEC\ZAYO\Model</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EXTRACTSOURCEMODE>CopyToClipboard</EXTRACTSOURCEMODE>
    <TARGET_BINARYFULLNAME>/MSResearch/Content/ExternalAssets/2015-05/Images/9Pp60xJ1W0Wq_zBtsxQ72g--.png</TARGET_BINARYFULLNAME>
    <TARGET_STORYFULLNAME>/MSResearch/Content/ExternalAssets/2015-05/Sections/20150515_060305_Linking_Range_23.xml</TARGET_STORYFULLNAME>
    <TARGET_UUID>299b1212-fb4e-11e4-b06e-39cc228b6d15</TARGET_UUID>
  </Link>
  <Link>
    <GUID>f458a63a-4984-48fe-a636-d7bf46fe1b12</GUID>
    <SOURCE_ALTADDRESS>$B$2:$AG$76</SOURCE_ALTADDRESS>
    <SOURCETYPE>Table</SOURCETYPE>
    <SOURCE_OBJECTNAME>Linking_Range_26</SOURCE_OBJECTNAME>
    <OBJECTTYPE>Native</OBJECTTYPE>
    <SOURCE_SHEETCODE>Sheet4</SOURCE_SHEETCODE>
    <SOURCE_SHEETNAME>BS</SOURCE_SHEETNAME>
    <SOURCEAPPLICATION>EXCEL_SOURCE</SOURCEAPPLICATION>
    <UPDATEDAT>5/15/2015 6:03:41 PM</UPDATEDAT>
    <SOURCE_ISOUTOFDATE>False</SOURCE_ISOUTOFDATE>
    <SOURCE_WORKBOOKNAME>ZAYO Morgan Stanley - v6.xls</SOURCE_WORKBOOKNAME>
    <SOURCE_WORKBOOKPATH>\\MSAD\ROOT\NA\NY\LIB\ER\ER13\CLECs\CLEC\ZAYO\Model</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EXTRACTSOURCEMODE>CopyToClipboard</EXTRACTSOURCEMODE>
    <TARGET_BINARYFULLNAME>/MSResearch/Content/ExternalAssets/2015-05/Images/zWfAwg5XP0O3zL1NSMZ5LA--.png</TARGET_BINARYFULLNAME>
    <TARGET_STORYFULLNAME>/MSResearch/Content/ExternalAssets/2015-05/Sections/20150515_060340_Linking_Range_26.xml</TARGET_STORYFULLNAME>
    <TARGET_UUID>3e8f0fac-fb4e-11e4-b06e-39cc228b6d15</TARGET_UUID>
  </Link>
  <Link>
    <GUID>5e97bff0-3e8c-40dd-b56b-171ad6e223e0</GUID>
    <SOURCE_ALTADDRESS>$B$2:$AG$68</SOURCE_ALTADDRESS>
    <SOURCETYPE>Table</SOURCETYPE>
    <SOURCE_OBJECTNAME>Linking_Range_27</SOURCE_OBJECTNAME>
    <OBJECTTYPE>Native</OBJECTTYPE>
    <SOURCE_SHEETCODE>Sheet5</SOURCE_SHEETCODE>
    <SOURCE_SHEETNAME>CF</SOURCE_SHEETNAME>
    <SOURCEAPPLICATION>EXCEL_SOURCE</SOURCEAPPLICATION>
    <UPDATEDAT>5/15/2015 6:04:20 PM</UPDATEDAT>
    <SOURCE_ISOUTOFDATE>False</SOURCE_ISOUTOFDATE>
    <SOURCE_WORKBOOKNAME>ZAYO Morgan Stanley - v6.xls</SOURCE_WORKBOOKNAME>
    <SOURCE_WORKBOOKPATH>\\MSAD\ROOT\NA\NY\LIB\ER\ER13\CLECs\CLEC\ZAYO\Model</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EXTRACTSOURCEMODE>CopyToClipboard</EXTRACTSOURCEMODE>
    <TARGET_BINARYFULLNAME>/MSResearch/Content/ExternalAssets/2015-05/Images/gN0PaO0NtUimfZ1NIFavig--.png</TARGET_BINARYFULLNAME>
    <TARGET_STORYFULLNAME>/MSResearch/Content/ExternalAssets/2015-05/Sections/20150515_060418_Linking_Range_27.xml</TARGET_STORYFULLNAME>
    <TARGET_UUID>55f4c68c-fb4e-11e4-b06e-39cc228b6d15</TARGET_UUID>
  </Link>
</lk:Links>
</file>

<file path=customXml/itemProps1.xml><?xml version="1.0" encoding="utf-8"?>
<ds:datastoreItem xmlns:ds="http://schemas.openxmlformats.org/officeDocument/2006/customXml" ds:itemID="{BD269CEE-6986-4FCC-94E6-2C359CA90D1E}">
  <ds:schemaRefs>
    <ds:schemaRef ds:uri="thomsonreuters.linking.metadatachange"/>
  </ds:schemaRefs>
</ds:datastoreItem>
</file>

<file path=customXml/itemProps2.xml><?xml version="1.0" encoding="utf-8"?>
<ds:datastoreItem xmlns:ds="http://schemas.openxmlformats.org/officeDocument/2006/customXml" ds:itemID="{D6E53277-F92E-44A1-A63F-E8632E208B7C}">
  <ds:schemaRefs>
    <ds:schemaRef ds:uri="thomsonreuters.linking.metadata"/>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125</vt:i4>
      </vt:variant>
    </vt:vector>
  </HeadingPairs>
  <TitlesOfParts>
    <vt:vector size="127" baseType="lpstr">
      <vt:lpstr>ImportantDisclosures</vt:lpstr>
      <vt:lpstr>CircularReferenceAlert</vt:lpstr>
      <vt:lpstr>AdditionalInstructions</vt:lpstr>
      <vt:lpstr>ImportantDisclosures!Address</vt:lpstr>
      <vt:lpstr>ModPubIndex!ANA</vt:lpstr>
      <vt:lpstr>ImportantDisclosures!Authors</vt:lpstr>
      <vt:lpstr>IndexInformation!Authors</vt:lpstr>
      <vt:lpstr>ModPubIndex!BRO</vt:lpstr>
      <vt:lpstr>CircularReferenceAlert!Buttons</vt:lpstr>
      <vt:lpstr>Case</vt:lpstr>
      <vt:lpstr>CopyrightStamp</vt:lpstr>
      <vt:lpstr>ModPubIndex!COU</vt:lpstr>
      <vt:lpstr>IndexInformation!CQEnd</vt:lpstr>
      <vt:lpstr>IndexInformation!Currency</vt:lpstr>
      <vt:lpstr>IndexInformation!CurrentStockPrice</vt:lpstr>
      <vt:lpstr>IndexInformation!CurrQtrEPS</vt:lpstr>
      <vt:lpstr>IndexInformation!CurrYearEPS</vt:lpstr>
      <vt:lpstr>IndexInformation!CurrYearTotalRevenue</vt:lpstr>
      <vt:lpstr>IndexInformation!CurrYearTotalRevenueActual</vt:lpstr>
      <vt:lpstr>IndexInformation!CUSIP</vt:lpstr>
      <vt:lpstr>IndexInformation!CYEnd</vt:lpstr>
      <vt:lpstr>ImportantDisclosures!Date</vt:lpstr>
      <vt:lpstr>IndexInformation!Deleted</vt:lpstr>
      <vt:lpstr>IndexInformation!Description</vt:lpstr>
      <vt:lpstr>IndexInformation!Discipline</vt:lpstr>
      <vt:lpstr>ModPubIndex!DISCIPLINE</vt:lpstr>
      <vt:lpstr>DisclosuresText</vt:lpstr>
      <vt:lpstr>IndexInformation!Distribution</vt:lpstr>
      <vt:lpstr>ModPubIndex!DOCDAT</vt:lpstr>
      <vt:lpstr>ModPubIndex!DOCTIME</vt:lpstr>
      <vt:lpstr>IndexInformation!DocType</vt:lpstr>
      <vt:lpstr>ModPubIndex!EMAIL_ALERT</vt:lpstr>
      <vt:lpstr>IndexInformation!EmailAlert</vt:lpstr>
      <vt:lpstr>IndexInformation!FiveYearGrowthRate</vt:lpstr>
      <vt:lpstr>IndexInformation!FollowingYearEPS</vt:lpstr>
      <vt:lpstr>IndexInformation!FollowingYearTotalRevenue</vt:lpstr>
      <vt:lpstr>IndexInformation!FollowingYearTotalRevenueActual</vt:lpstr>
      <vt:lpstr>ModPubIndex!HL</vt:lpstr>
      <vt:lpstr>ModPubIndex!IND</vt:lpstr>
      <vt:lpstr>ImportantDisclosures!Industry</vt:lpstr>
      <vt:lpstr>IndustryId</vt:lpstr>
      <vt:lpstr>ImportantDisclosures!IndustryRating</vt:lpstr>
      <vt:lpstr>IndexInformation!KeepVersions</vt:lpstr>
      <vt:lpstr>LanguageCode</vt:lpstr>
      <vt:lpstr>ImportantDisclosures!LastCell</vt:lpstr>
      <vt:lpstr>Linking_1</vt:lpstr>
      <vt:lpstr>Linking_10</vt:lpstr>
      <vt:lpstr>Linking_11</vt:lpstr>
      <vt:lpstr>Linking_12</vt:lpstr>
      <vt:lpstr>Linking_13</vt:lpstr>
      <vt:lpstr>Linking_14</vt:lpstr>
      <vt:lpstr>Linking_15</vt:lpstr>
      <vt:lpstr>Linking_2</vt:lpstr>
      <vt:lpstr>Linking_3</vt:lpstr>
      <vt:lpstr>Linking_4</vt:lpstr>
      <vt:lpstr>Linking_5</vt:lpstr>
      <vt:lpstr>Linking_6</vt:lpstr>
      <vt:lpstr>Linking_7</vt:lpstr>
      <vt:lpstr>Linking_8</vt:lpstr>
      <vt:lpstr>Linking_9</vt:lpstr>
      <vt:lpstr>Linking_Range_0000</vt:lpstr>
      <vt:lpstr>Linking_Range_0001</vt:lpstr>
      <vt:lpstr>Linking_Range_0002</vt:lpstr>
      <vt:lpstr>Linking_Range_0003</vt:lpstr>
      <vt:lpstr>Linking_Range_10</vt:lpstr>
      <vt:lpstr>Linking_Range_11</vt:lpstr>
      <vt:lpstr>Linking_Range_12</vt:lpstr>
      <vt:lpstr>Linking_Range_14</vt:lpstr>
      <vt:lpstr>Linking_Range_15</vt:lpstr>
      <vt:lpstr>Linking_Range_17</vt:lpstr>
      <vt:lpstr>Linking_Range_19</vt:lpstr>
      <vt:lpstr>Linking_Range_2</vt:lpstr>
      <vt:lpstr>Linking_Range_20</vt:lpstr>
      <vt:lpstr>Linking_Range_21</vt:lpstr>
      <vt:lpstr>Linking_Range_22</vt:lpstr>
      <vt:lpstr>Linking_Range_23</vt:lpstr>
      <vt:lpstr>Linking_Range_24</vt:lpstr>
      <vt:lpstr>Linking_Range_25</vt:lpstr>
      <vt:lpstr>Linking_Range_26</vt:lpstr>
      <vt:lpstr>Linking_Range_27</vt:lpstr>
      <vt:lpstr>Linking_Range_37</vt:lpstr>
      <vt:lpstr>Linking_Range_4</vt:lpstr>
      <vt:lpstr>Linking_Range_42</vt:lpstr>
      <vt:lpstr>Linking_Range_43</vt:lpstr>
      <vt:lpstr>Linking_Range_49</vt:lpstr>
      <vt:lpstr>Linking_Range_5</vt:lpstr>
      <vt:lpstr>Linking_Range_50</vt:lpstr>
      <vt:lpstr>Linking_Range_54</vt:lpstr>
      <vt:lpstr>Linking_Range_56</vt:lpstr>
      <vt:lpstr>Linking_Range_57</vt:lpstr>
      <vt:lpstr>Linking_Range_6</vt:lpstr>
      <vt:lpstr>Linking_Range_61</vt:lpstr>
      <vt:lpstr>Linking_Range_7</vt:lpstr>
      <vt:lpstr>Linking_Range_76</vt:lpstr>
      <vt:lpstr>Linking_Range_8</vt:lpstr>
      <vt:lpstr>Linking_Range_9</vt:lpstr>
      <vt:lpstr>IndexInformation!MacroVersion</vt:lpstr>
      <vt:lpstr>CircularReferenceAlert!MaxChange</vt:lpstr>
      <vt:lpstr>CircularReferenceAlert!MaxIterations</vt:lpstr>
      <vt:lpstr>ImportantDisclosures!ModelPrice</vt:lpstr>
      <vt:lpstr>IndexInformation!Multiplier</vt:lpstr>
      <vt:lpstr>IndexInformation!NextYearEPS</vt:lpstr>
      <vt:lpstr>IndexInformation!NextYearTotalRevenue</vt:lpstr>
      <vt:lpstr>IndexInformation!NextYearTotalRevenueActual</vt:lpstr>
      <vt:lpstr>ObjectType</vt:lpstr>
      <vt:lpstr>ModPubIndex!PANA</vt:lpstr>
      <vt:lpstr>IndexInformation!PathName</vt:lpstr>
      <vt:lpstr>Q!Print_Area</vt:lpstr>
      <vt:lpstr>ModPubIndex!PRODUCT</vt:lpstr>
      <vt:lpstr>ModPubIndex!PSYM</vt:lpstr>
      <vt:lpstr>IndexInformation!PublishDate</vt:lpstr>
      <vt:lpstr>IndexInformation!Rating</vt:lpstr>
      <vt:lpstr>ImportantDisclosures!RatingsDefined</vt:lpstr>
      <vt:lpstr>IndexInformation!ResearchTopic</vt:lpstr>
      <vt:lpstr>IndexInformation!RIC</vt:lpstr>
      <vt:lpstr>IndexInformation!SEDOL</vt:lpstr>
      <vt:lpstr>ImportantDisclosures!SourceDefined</vt:lpstr>
      <vt:lpstr>ImportantDisclosures!StockRating</vt:lpstr>
      <vt:lpstr>IndexInformation!SubjectCode</vt:lpstr>
      <vt:lpstr>SubmitterUserId</vt:lpstr>
      <vt:lpstr>ModPubIndex!SUPPRESSED</vt:lpstr>
      <vt:lpstr>ImportantDisclosures!TargetPrice</vt:lpstr>
      <vt:lpstr>TemplateRegion</vt:lpstr>
      <vt:lpstr>ImportantDisclosures!Ticker</vt:lpstr>
      <vt:lpstr>TickerRegion</vt:lpstr>
      <vt:lpstr>IndexInformation!Tickers</vt:lpstr>
      <vt:lpstr>IndexInformation!UpdateReason</vt:lpstr>
    </vt:vector>
  </TitlesOfParts>
  <Company>Morgan Stanley</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2014-08-28T19:38:22Z</dcterms:created>
  <dc:creator>Lam, Lisa (Research)</dc:creator>
  <cp:lastModifiedBy>Lam, Lisa (Research)</cp:lastModifiedBy>
  <cp:lastPrinted>2018-02-08T03:49:21Z</cp:lastPrinted>
  <dcterms:modified xsi:type="dcterms:W3CDTF">2018-02-08T14:45:17Z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name="LinkingAutoNameNumberLinking_Range_" pid="2">
    <vt:lpwstr>27</vt:lpwstr>
  </property>
  <property fmtid="{D5CDD505-2E9C-101B-9397-08002B2CF9AE}" name="ERModPubTicket" pid="3">
    <vt:lpwstr>NA</vt:lpwstr>
  </property>
  <property fmtid="{D5CDD505-2E9C-101B-9397-08002B2CF9AE}" name="ERCompanyUploadState" pid="4">
    <vt:lpwstr>P</vt:lpwstr>
  </property>
  <property fmtid="{D5CDD505-2E9C-101B-9397-08002B2CF9AE}" name="ModelId" pid="5">
    <vt:lpwstr>749552</vt:lpwstr>
  </property>
  <property fmtid="{D5CDD505-2E9C-101B-9397-08002B2CF9AE}" name="ERModPubCompanyName" pid="6">
    <vt:lpwstr>Zayo Group Holdings, Inc.</vt:lpwstr>
  </property>
  <property fmtid="{D5CDD505-2E9C-101B-9397-08002B2CF9AE}" name="ERModPubMaxIterations" pid="7">
    <vt:i4>100</vt:i4>
  </property>
  <property fmtid="{D5CDD505-2E9C-101B-9397-08002B2CF9AE}" name="ERModPubMaxChange" pid="8">
    <vt:r8>0.001</vt:r8>
  </property>
  <property fmtid="{D5CDD505-2E9C-101B-9397-08002B2CF9AE}" name="MSDH34TAG" pid="9">
    <vt:lpwstr>.TEZUF76X5TAHATHESADREYAK-00-INB160+*94600-06=b130a5a8/-0cde/-11e8/-8049/-1b1ec112dbd5,MD=20180208095106/-0500,ZZ=000Z-7251.</vt:lpwstr>
  </property>
</Properties>
</file>