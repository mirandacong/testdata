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gif" Extension="gif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spreadsheetml.comments+xml" PartName="/xl/comments1.xml"/>
  <Override ContentType="application/vnd.openxmlformats-officedocument.spreadsheetml.comments+xml" PartName="/xl/comments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spreadsheetml.externalLink+xml" PartName="/xl/externalLinks/externalLink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</Types>
</file>

<file path=_rels/.rels><?xml version="1.0" encoding="UTF-8" standalone="yes"?>
<Relationships xmlns="http://schemas.openxmlformats.org/package/2006/relationships">
<Relationship Id="rId1" Target="xl/workbook.xml" Type="http://schemas.openxmlformats.org/officeDocument/2006/relationships/officeDocument"/>
<Relationship Id="rId2" Target="docProps/core.xml" Type="http://schemas.openxmlformats.org/package/2006/relationships/metadata/core-properties"/>
<Relationship Id="rId3" Target="docProps/app.xml" Type="http://schemas.openxmlformats.org/officeDocument/2006/relationships/extended-properties"/>
<Relationship Id="rId4" Target="docProps/custom.xml" Type="http://schemas.openxmlformats.org/officeDocument/2006/relationships/custom-properties"/>
</Relationships>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210" yWindow="105" windowWidth="27405" windowHeight="11430"/>
  </bookViews>
  <sheets>
    <sheet name="ImportantDisclosures" sheetId="20" r:id="rId1"/>
    <sheet name="INPUT" sheetId="1" r:id="rId2"/>
    <sheet name="FORECAST - CORE" sheetId="2" r:id="rId3"/>
    <sheet name="FORECAST- REPORTED" sheetId="3" r:id="rId4"/>
    <sheet name="SOTPs" sheetId="4" r:id="rId5"/>
    <sheet name="IndexInformation" sheetId="21" r:id="rId6"/>
    <sheet name="ModPubIndex" sheetId="22" r:id="rId7"/>
    <sheet name="MW-Cache" sheetId="9" state="veryHidden" r:id="rId8"/>
  </sheets>
  <externalReferences>
    <externalReference r:id="rId9"/>
  </externalReferences>
  <definedNames>
    <definedName name="__FDS_HYPERLINK_TOGGLE_STATE__" hidden="1">"ON"</definedName>
    <definedName name="__FDS_UNIQUE_RANGE_ID_GENERATOR_COUNTER" hidden="1">1</definedName>
    <definedName name="_1Q16">INPUT!$C:$C</definedName>
    <definedName name="_1Q17">INPUT!$K:$K</definedName>
    <definedName name="_1Q18">INPUT!$S:$S</definedName>
    <definedName name="_2Q16">INPUT!$E:$E</definedName>
    <definedName name="_2Q17">INPUT!$M:$M</definedName>
    <definedName name="_2Q18">INPUT!$U:$U</definedName>
    <definedName name="_3Q16">INPUT!$G:$G</definedName>
    <definedName name="_3Q17">INPUT!$O:$O</definedName>
    <definedName name="_3Q18">INPUT!$W:$W</definedName>
    <definedName name="_4Q16">INPUT!$I:$I</definedName>
    <definedName name="_4Q17">INPUT!$Q:$Q</definedName>
    <definedName name="_4Q18">INPUT!$Y:$Y</definedName>
    <definedName name="_n1" hidden="1">{"cover a","1q",FALSE,"Cover";"Op Earn Mgd Q1",#N/A,FALSE,"Op-Earn (Mng)";"Op Earn Rpt Q1",#N/A,FALSE,"Op-Earn (Rpt)";"Loans",#N/A,FALSE,"Loans";"Credit Costs",#N/A,FALSE,"CCosts";"Net Interest Margin",#N/A,FALSE,"Margin";"Nonint Income",#N/A,FALSE,"NonII";"Nonint Exp",#N/A,FALSE,"NonIE";"Valuation",#N/A,FALSE,"Valuation"}</definedName>
    <definedName name="Abn_Tot">INPUT!$128:$128</definedName>
    <definedName name="AdditionalInstructions">IndexInformation!$B$42</definedName>
    <definedName name="Address" localSheetId="0">ImportantDisclosures!$A$2:$A$2</definedName>
    <definedName name="AmtIssued">INPUT!$160:$160</definedName>
    <definedName name="ANA" localSheetId="6">ModPubIndex!$A$7</definedName>
    <definedName name="Authors" localSheetId="0">ImportantDisclosures!$A$7</definedName>
    <definedName name="Authors" localSheetId="5">IndexInformation!$B$18</definedName>
    <definedName name="Avg_Eq_ex115">INPUT!$228:$228</definedName>
    <definedName name="Avg_Eq_incl115">INPUT!$227:$227</definedName>
    <definedName name="AvgDefAnn">INPUT!$44:$44</definedName>
    <definedName name="AvgInv_Alts">INPUT!$42:$42</definedName>
    <definedName name="AvgInv_Corp_Alt">INPUT!$83:$83</definedName>
    <definedName name="AvgInv_Corp_FIA">INPUT!$82:$82</definedName>
    <definedName name="AvgInv_FIA">INPUT!$41:$41</definedName>
    <definedName name="AvgInv_Ger">INPUT!$85:$85</definedName>
    <definedName name="AvgRes_Tot">INPUT!$36:$36</definedName>
    <definedName name="AvgRetInvAsset">INPUT!$43:$43</definedName>
    <definedName name="AvgShares_Basic">INPUT!$175:$175</definedName>
    <definedName name="AvgShrsOut">[1]INPUT!$375:$375</definedName>
    <definedName name="BRO" localSheetId="6">ModPubIndex!$A$1</definedName>
    <definedName name="Buybacks_AvgPrice">INPUT!$163:$163</definedName>
    <definedName name="BVPS_basic">INPUT!$248:$248</definedName>
    <definedName name="BVPS_ex115">INPUT!$247:$247</definedName>
    <definedName name="BVPS_incl115">INPUT!$252:$252</definedName>
    <definedName name="CopyrightStamp">ImportantDisclosures!$A$27</definedName>
    <definedName name="Core_ATEarns">INPUT!$129:$129</definedName>
    <definedName name="Core_Colonial">[1]INPUT!$177:$177</definedName>
    <definedName name="Core_Corp">[1]INPUT!$263:$263</definedName>
    <definedName name="Core_OpEPS">INPUT!$188:$188</definedName>
    <definedName name="Core_PTEarns">INPUT!$130:$130</definedName>
    <definedName name="Core_ROE">INPUT!$241:$241</definedName>
    <definedName name="CoreOpEarns_PT">[1]INPUT!$301:$301</definedName>
    <definedName name="CoreOpROE_ExDTA">[1]INPUT!$446:$446</definedName>
    <definedName name="CoreROE">'FORECAST - CORE'!$40:$40</definedName>
    <definedName name="Corp_DebtExp">INPUT!$99:$99</definedName>
    <definedName name="Corp_OpExp">INPUT!$98:$98</definedName>
    <definedName name="Corp_OthExp">INPUT!$100:$100</definedName>
    <definedName name="CorpRev_Alts">INPUT!$89:$89</definedName>
    <definedName name="CorpRev_FIA">INPUT!$88:$88</definedName>
    <definedName name="CostofCred_Ret">INPUT!$54:$54</definedName>
    <definedName name="COU" localSheetId="6">ModPubIndex!$A$5</definedName>
    <definedName name="CQEnd" localSheetId="5">IndexInformation!$B$31</definedName>
    <definedName name="CredCost">INPUT!$70:$70</definedName>
    <definedName name="Currency" localSheetId="5">IndexInformation!$B$24</definedName>
    <definedName name="CurrentStockPrice" localSheetId="5">IndexInformation!$B$23</definedName>
    <definedName name="CurrQtrEPS" localSheetId="5">IndexInformation!$B$29</definedName>
    <definedName name="CurrYearEPS" localSheetId="5">IndexInformation!$B$11</definedName>
    <definedName name="CurrYearTotalRevenue" localSheetId="5">IndexInformation!$B$10</definedName>
    <definedName name="CurrYearTotalRevenueActual" localSheetId="5">IndexInformation!$B$32</definedName>
    <definedName name="CUSIP" localSheetId="5">IndexInformation!$B$20</definedName>
    <definedName name="CYEnd" localSheetId="5">IndexInformation!$B$30</definedName>
    <definedName name="DAC_Asset">INPUT!$203:$203</definedName>
    <definedName name="Date" localSheetId="0">ImportantDisclosures!$A$8</definedName>
    <definedName name="Deleted" localSheetId="5">IndexInformation!$B$27</definedName>
    <definedName name="Description" localSheetId="5">IndexInformation!$B$7</definedName>
    <definedName name="DEVELOPMENT">5</definedName>
    <definedName name="Discipline" localSheetId="5">IndexInformation!$B$3</definedName>
    <definedName name="DISCIPLINE" localSheetId="6">ModPubIndex!$A$12</definedName>
    <definedName name="DisclosuresText">ImportantDisclosures!$A$22</definedName>
    <definedName name="Distribution" localSheetId="5">IndexInformation!$B$26</definedName>
    <definedName name="DistTable" localSheetId="0">ImportantDisclosures!#REF!</definedName>
    <definedName name="DistTablePreamble" localSheetId="0">ImportantDisclosures!#REF!</definedName>
    <definedName name="DivAmt">INPUT!$154:$154</definedName>
    <definedName name="DiviAmt">[1]INPUT!$345:$345</definedName>
    <definedName name="DivPS">INPUT!$152:$152</definedName>
    <definedName name="DOCDAT" localSheetId="6">ModPubIndex!$A$2</definedName>
    <definedName name="DOCTIME" localSheetId="6">ModPubIndex!$A$3</definedName>
    <definedName name="DocType" localSheetId="5">IndexInformation!$B$5</definedName>
    <definedName name="DTA">[1]INPUT!$399:$399</definedName>
    <definedName name="EMAIL_ALERT" localSheetId="6">ModPubIndex!$A$10</definedName>
    <definedName name="EmailAlert" localSheetId="5">IndexInformation!$B$28</definedName>
    <definedName name="EOP_Eq_ex115">INPUT!$224:$224</definedName>
    <definedName name="EOP_Eq_exAOCI_exDTA">[1]INPUT!$437:$437</definedName>
    <definedName name="EOP_Eq_incl115">INPUT!$222:$222</definedName>
    <definedName name="EoP_Shares">INPUT!$174:$174</definedName>
    <definedName name="EOPShrsout">INPUT!$174:$174</definedName>
    <definedName name="EPS_ForConsensus">INPUT!$189:$189</definedName>
    <definedName name="Eq_Corp">INPUT!$233:$233</definedName>
    <definedName name="Eq_exAOCI">INPUT!$224:$224</definedName>
    <definedName name="Eq_Ger">INPUT!$234:$234</definedName>
    <definedName name="Eq_Ret">INPUT!$232:$232</definedName>
    <definedName name="F2013_">INPUT!$AD:$AD</definedName>
    <definedName name="F2014_">INPUT!$AF:$AF</definedName>
    <definedName name="F2015_">INPUT!$AH:$AH</definedName>
    <definedName name="F2016_">INPUT!$AJ:$AJ</definedName>
    <definedName name="F2017_">INPUT!$AL:$AL</definedName>
    <definedName name="F2018_">INPUT!$AN:$AN</definedName>
    <definedName name="F2019_">INPUT!$AP:$AP</definedName>
    <definedName name="F2020_">INPUT!$AR:$AR</definedName>
    <definedName name="F2021_">INPUT!$AT:$AT</definedName>
    <definedName name="F2022_">INPUT!$AV:$AV</definedName>
    <definedName name="FABN_Dep">INPUT!$25:$25</definedName>
    <definedName name="FAS_115">INPUT!$207:$207</definedName>
    <definedName name="FAS115_Adjmt">INPUT!$223:$223</definedName>
    <definedName name="FD_Adjustment">INPUT!$176:$176</definedName>
    <definedName name="FiveYearGrowthRate" localSheetId="5">IndexInformation!$B$16</definedName>
    <definedName name="Flow_Dep">INPUT!$24:$24</definedName>
    <definedName name="FollowingYearEPS" localSheetId="5">IndexInformation!$B$15</definedName>
    <definedName name="FollowingYearTotalRevenue" localSheetId="5">IndexInformation!$B$14</definedName>
    <definedName name="FollowingYearTotalRevenueActual" localSheetId="5">IndexInformation!$B$34</definedName>
    <definedName name="forecast" hidden="1">{"cover a","1q",FALSE,"Cover";"Op Earn Mgd Q1",#N/A,FALSE,"Op-Earn (Mng)";"Op Earn Rpt Q1",#N/A,FALSE,"Op-Earn (Rpt)";"Loans",#N/A,FALSE,"Loans";"Credit Costs",#N/A,FALSE,"CCosts";"Net Interest Margin",#N/A,FALSE,"Margin";"Nonint Income",#N/A,FALSE,"NonII";"Nonint Exp",#N/A,FALSE,"NonIE";"Valuation",#N/A,FALSE,"Valuation"}</definedName>
    <definedName name="GerLiab">INPUT!$33:$33</definedName>
    <definedName name="HL" localSheetId="6">ModPubIndex!$A$8</definedName>
    <definedName name="i" hidden="1">{"Qtr Op Mgd Q3",#N/A,FALSE,"Qtr-Op (Mng)";"Qtr Op Rpt Q3",#N/A,FALSE,"Qtr-Op (Rpt)";"Operating Vs Reported",#N/A,FALSE,"Rpt-Op Inc"}</definedName>
    <definedName name="IND" localSheetId="6">ModPubIndex!$A$9</definedName>
    <definedName name="Industry" localSheetId="0">ImportantDisclosures!$A$12</definedName>
    <definedName name="IndustryId">IndexInformation!$B$40</definedName>
    <definedName name="IndustryRating" localSheetId="0">ImportantDisclosures!$A$13</definedName>
    <definedName name="InOrgFlow">INPUT!$27:$27</definedName>
    <definedName name="IntElim">INPUT!$34:$34</definedName>
    <definedName name="Issuance_Timing">INPUT!$159:$159</definedName>
    <definedName name="KeepVersions" localSheetId="5">IndexInformation!$B$8</definedName>
    <definedName name="LanguageCode">IndexInformation!$B$38</definedName>
    <definedName name="LastCell" localSheetId="0">ImportantDisclosures!$A$22</definedName>
    <definedName name="Life_Other_Dep">INPUT!$28:$28</definedName>
    <definedName name="Linking_1">SOTPs!$A$13:$B$23</definedName>
    <definedName name="Linking_2">'FORECAST - CORE'!$A$3:$AW$42</definedName>
    <definedName name="Linking_3">'FORECAST - CORE'!$A$45:$AW$60</definedName>
    <definedName name="Linking_4">'FORECAST- REPORTED'!$A$3:$AM$35</definedName>
    <definedName name="Linking_5">'FORECAST - CORE'!$A$3:$AW$60</definedName>
    <definedName name="Linking_6">'FORECAST - CORE'!$A$46:$AW$60</definedName>
    <definedName name="MacroVersion" localSheetId="5">IndexInformation!$B$1</definedName>
    <definedName name="ModelPrice" localSheetId="0">ImportantDisclosures!$A$14</definedName>
    <definedName name="Multiplier" localSheetId="5">IndexInformation!$B$35</definedName>
    <definedName name="Net_Flows">INPUT!$38:$38</definedName>
    <definedName name="NetEarnedRate">INPUT!$69:$69</definedName>
    <definedName name="NetEarnedRate_Corp">INPUT!$95:$95</definedName>
    <definedName name="NetEarns">INPUT!$145:$145</definedName>
    <definedName name="NetEPS_Basic">INPUT!$195:$195</definedName>
    <definedName name="NetEPS_Dil">INPUT!$196:$196</definedName>
    <definedName name="NetInvInc">INPUT!$116:$116</definedName>
    <definedName name="NextYearEPS" localSheetId="5">IndexInformation!$B$13</definedName>
    <definedName name="NextYearTotalRevenue" localSheetId="5">IndexInformation!$B$12</definedName>
    <definedName name="NextYearTotalRevenueActual" localSheetId="5">IndexInformation!$B$33</definedName>
    <definedName name="NonOpItems">INPUT!$141:$141</definedName>
    <definedName name="ObjectType">IndexInformation!$B$37</definedName>
    <definedName name="Op_EPS">INPUT!$180:$180</definedName>
    <definedName name="Op_ROE">INPUT!$239:$239</definedName>
    <definedName name="Op_ROE_exXS">INPUT!$240:$240</definedName>
    <definedName name="OpEarns_AT">INPUT!$127:$127</definedName>
    <definedName name="OpEarns_ForConsensus">INPUT!$133:$133</definedName>
    <definedName name="OpEarns_PT">INPUT!$124:$124</definedName>
    <definedName name="OpEPS_Basic">INPUT!$192:$192</definedName>
    <definedName name="OpEPS_Dil">INPUT!$193:$193</definedName>
    <definedName name="OpExp">INPUT!$75:$75</definedName>
    <definedName name="OpInc_Corp">INPUT!$108:$108</definedName>
    <definedName name="OpInc_Corp_PT">INPUT!$103:$103</definedName>
    <definedName name="OpInc_Ret">INPUT!$63:$63</definedName>
    <definedName name="OpInc_Ret_PT">INPUT!$58:$58</definedName>
    <definedName name="OpInc_Total">INPUT!$129:$129</definedName>
    <definedName name="OpROE">'FORECAST - CORE'!$39:$39</definedName>
    <definedName name="OrgFlow">INPUT!$26:$26</definedName>
    <definedName name="OthExp_ret">INPUT!$56:$56</definedName>
    <definedName name="OthLiabCost">INPUT!$74:$74</definedName>
    <definedName name="OthLiabCost_Ret">INPUT!$55:$55</definedName>
    <definedName name="PANA" localSheetId="6">ModPubIndex!$A$11</definedName>
    <definedName name="PathName" localSheetId="5">IndexInformation!$B$25</definedName>
    <definedName name="PRODUCT" localSheetId="6">ModPubIndex!$A$6</definedName>
    <definedName name="PSYM" localSheetId="6">ModPubIndex!$A$4</definedName>
    <definedName name="PublishDate" localSheetId="5">IndexInformation!$B$2</definedName>
    <definedName name="q" hidden="1">{"Qtr Op Mgd Q2",#N/A,FALSE,"Qtr-Op (Mng)";"Qtr Op Rpt Q2",#N/A,FALSE,"Qtr-Op (Rpt)";"Operating Vs Reported",#N/A,FALSE,"Rpt-Op Inc"}</definedName>
    <definedName name="Rating" localSheetId="5">IndexInformation!$B$9</definedName>
    <definedName name="RatingsDefined" localSheetId="0">ImportantDisclosures!$A$21</definedName>
    <definedName name="RatingsDefs" localSheetId="0">ImportantDisclosures!#REF!</definedName>
    <definedName name="RegACDisclosure" localSheetId="0">ImportantDisclosures!#REF!</definedName>
    <definedName name="rep" hidden="1">{#N/A,#N/A,FALSE,"COVER";#N/A,#N/A,FALSE,"VALUATION";#N/A,#N/A,FALSE,"FORECAST";#N/A,#N/A,FALSE,"FY ANALYSIS ";#N/A,#N/A,FALSE," HY ANALYSIS"}</definedName>
    <definedName name="Rep_ROE_ex115">INPUT!$242:$242</definedName>
    <definedName name="Rep_Timing">INPUT!$164:$164</definedName>
    <definedName name="ResearchTopic" localSheetId="5">IndexInformation!$B$4</definedName>
    <definedName name="Reserves_BOP">INPUT!$22:$22</definedName>
    <definedName name="Ret_Dep">INPUT!$23:$23</definedName>
    <definedName name="Ret_ROE">'FORECAST - CORE'!$38:$38</definedName>
    <definedName name="Rev_Alts">INPUT!$51:$51</definedName>
    <definedName name="Rev_FIA">INPUT!$50:$50</definedName>
    <definedName name="RIC" localSheetId="5">IndexInformation!$B$21</definedName>
    <definedName name="ROE_Ret">INPUT!$238:$238</definedName>
    <definedName name="RunOff">INPUT!$30:$30</definedName>
    <definedName name="SECSettlement" localSheetId="0">ImportantDisclosures!#REF!</definedName>
    <definedName name="SEDOL" localSheetId="5">IndexInformation!$B$22</definedName>
    <definedName name="Shares_FD">INPUT!$177:$177</definedName>
    <definedName name="ShrsIssued">INPUT!$157:$157</definedName>
    <definedName name="ShrsRepurch">INPUT!$162:$162</definedName>
    <definedName name="SourceDefined" localSheetId="0">ImportantDisclosures!$A$19</definedName>
    <definedName name="StockRating" localSheetId="0">ImportantDisclosures!$A$11</definedName>
    <definedName name="SubjectCode" localSheetId="5">IndexInformation!$B$6</definedName>
    <definedName name="SubmitterUserId">IndexInformation!$B$39</definedName>
    <definedName name="SUPPRESSED" localSheetId="6">ModPubIndex!$A$13</definedName>
    <definedName name="TargetPrice" localSheetId="0">ImportantDisclosures!$A$15</definedName>
    <definedName name="Tax_Rate">[1]INPUT!$306:$306</definedName>
    <definedName name="tax_rate_cons">INPUT!$126:$126</definedName>
    <definedName name="Tax_Ret">INPUT!$59:$59</definedName>
    <definedName name="taxrate">INPUT!$60:$60</definedName>
    <definedName name="TemplateRegion">IndexInformation!$B$36</definedName>
    <definedName name="Ticker" localSheetId="0">ImportantDisclosures!$A$10</definedName>
    <definedName name="TickerRegion">IndexInformation!$B$41</definedName>
    <definedName name="Tickers" localSheetId="5">IndexInformation!$B$19</definedName>
    <definedName name="Tot_Debt">INPUT!$213:$213</definedName>
    <definedName name="Tot_Dep">INPUT!$29:$29</definedName>
    <definedName name="Tot_OpExp">INPUT!$121:$121</definedName>
    <definedName name="Tot_OthLiabCost">INPUT!$120:$120</definedName>
    <definedName name="TotalAssets">INPUT!$206:$206</definedName>
    <definedName name="TotalReserveEOP">INPUT!$35:$35</definedName>
    <definedName name="TotCostofCred">INPUT!$119:$119</definedName>
    <definedName name="TotRev_Alts">INPUT!$115:$115</definedName>
    <definedName name="TotRev_FIA">INPUT!$114:$114</definedName>
    <definedName name="TotTax">INPUT!$125:$125</definedName>
    <definedName name="UpdateReason" localSheetId="5">IndexInformation!$B$17</definedName>
    <definedName name="USRegDisclosures" localSheetId="0">ImportantDisclosures!#REF!</definedName>
    <definedName name="wrn.Annual._.Operating._.Earnings." hidden="1">{"Annual 1996",#N/A,FALSE,"Ann-Op (Mng)";"Annual 1996",#N/A,FALSE,"Ann-Op (Rep)";"Operating Vs. Reported Earnings",#N/A,FALSE,"Rpt-Op Inc"}</definedName>
    <definedName name="wrn.Annual._.Operating._.Earnings1." hidden="1">{"Annual 1996",#N/A,FALSE,"Ann-Op (Mng)";"Annual 1996",#N/A,FALSE,"Ann-Op (Rep)";"Operating Vs. Reported Earnings",#N/A,FALSE,"Rpt-Op Inc"}</definedName>
    <definedName name="wrn.Forecast._.Q1." hidden="1">{"cover a","1q",FALSE,"Cover";"Op Earn Mgd Q1",#N/A,FALSE,"Op-Earn (Mng)";"Op Earn Rpt Q1",#N/A,FALSE,"Op-Earn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2." hidden="1">{"cover a","2q",FALSE,"Cover";"Op Earn Mgd Q2",#N/A,FALSE,"Op-Earn (Mng)";"Op Earn Rpt Q2",#N/A,FALSE,"Op-Earn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2a." hidden="1">{"cover a","2q",FALSE,"Cover";"Op Earn Mgd Q2",#N/A,FALSE,"Op-Earn (Mng)";"Op Earn Rpt Q2",#N/A,FALSE,"Op-Earn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3." hidden="1">{"cover a","3q",FALSE,"Cover";"Op Earn Mgd Q3",#N/A,FALSE,"Op-Earn (Mng)";"Op Earn Rpt Q3",#N/A,FALSE,"Op-Earn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4." hidden="1">{"cover a","4q",FALSE,"Cover";"Op Earn Mgd Q4",#N/A,FALSE,"Op-Earn (Mng)";"Op Earn Rpt Q4",#N/A,FALSE,"Op-Earn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4a" hidden="1">{"cover a","4q",FALSE,"Cover";"Op Earn Mgd Q4",#N/A,FALSE,"Op-Earn (Mng)";"Op Earn Rpt Q4",#N/A,FALSE,"Op-Earn (Rpt)";"Loans",#N/A,FALSE,"Loans";"Credit Costs",#N/A,FALSE,"CCosts";"Net Interest Margin",#N/A,FALSE,"Margin";"Nonint Income",#N/A,FALSE,"NonII";"Nonint Exp",#N/A,FALSE,"NonIE";"Valuation",#N/A,FALSE,"Valuation"}</definedName>
    <definedName name="wrn.Full._.Report." hidden="1">{#N/A,#N/A,FALSE,"COVER";#N/A,#N/A,FALSE,"VALUATION";#N/A,#N/A,FALSE,"FORECAST";#N/A,#N/A,FALSE,"FY ANALYSIS ";#N/A,#N/A,FALSE," HY ANALYSIS"}</definedName>
    <definedName name="wrn.Qtr._.Op._.Q1." hidden="1">{"Qtr Op Mgd Q1",#N/A,FALSE,"Qtr-Op (Mng)";"Qtr Op Rpt Q1",#N/A,FALSE,"Qtr-Op (Rpt)";"Operating Vs Reported",#N/A,FALSE,"Rpt-Op Inc"}</definedName>
    <definedName name="wrn.Qtr._.Op._.Q2." hidden="1">{"Qtr Op Mgd Q2",#N/A,FALSE,"Qtr-Op (Mng)";"Qtr Op Rpt Q2",#N/A,FALSE,"Qtr-Op (Rpt)";"Operating Vs Reported",#N/A,FALSE,"Rpt-Op Inc"}</definedName>
    <definedName name="wrn.Qtr._.Op._.Q3." hidden="1">{"Qtr Op Mgd Q3",#N/A,FALSE,"Qtr-Op (Mng)";"Qtr Op Rpt Q3",#N/A,FALSE,"Qtr-Op (Rpt)";"Operating Vs Reported",#N/A,FALSE,"Rpt-Op Inc"}</definedName>
    <definedName name="wrn.Qtr._.Op._.Q4." hidden="1">{"Qtr Op Mgd Q3",#N/A,FALSE,"Qtr-Op (Mng)";"Qtr Op Rpt Q4",#N/A,FALSE,"Qtr-Op (Rpt)";"Operating Vs Reported",#N/A,FALSE,"Rpt-Op Inc"}</definedName>
    <definedName name="wrn.Qtr._.Op._Q2a." hidden="1">{"Qtr Op Mgd Q2",#N/A,FALSE,"Qtr-Op (Mng)";"Qtr Op Rpt Q2",#N/A,FALSE,"Qtr-Op (Rpt)";"Operating Vs Reported",#N/A,FALSE,"Rpt-Op Inc"}</definedName>
    <definedName name="wrn.Qtr_.Op._.Q4." hidden="1">{"Qtr Op Mgd Q3",#N/A,FALSE,"Qtr-Op (Mng)";"Qtr Op Rpt Q4",#N/A,FALSE,"Qtr-Op (Rpt)";"Operating Vs Reported",#N/A,FALSE,"Rpt-Op Inc"}</definedName>
    <definedName name="wrn.Report." hidden="1">{#N/A,#N/A,FALSE,"COVER";#N/A,#N/A,FALSE,"FORECAST";#N/A,#N/A,FALSE,"VALUATION";#N/A,#N/A,FALSE,"FY ANALYSIS ";#N/A,#N/A,FALSE," HY ANALYSIS"}</definedName>
    <definedName name="wrn.Variance._.3." hidden="1">{"Variance Q3",#N/A,FALSE,"Var"}</definedName>
    <definedName name="wrn.Variance._.Q1." hidden="1">{"Variance Q1",#N/A,FALSE,"Var"}</definedName>
    <definedName name="wrn.Variance._.Q2." hidden="1">{"Variance Q2",#N/A,FALSE,"Var"}</definedName>
    <definedName name="wrn.Variance._.Q3." hidden="1">{"Variance Q3",#N/A,FALSE,"Var"}</definedName>
    <definedName name="wrn.Variance._.Q4" hidden="1">{"Variance Q4",#N/A,FALSE,"Var"}</definedName>
    <definedName name="wrn.Variance._.Q4." hidden="1">{"Variance Q4",#N/A,FALSE,"Var"}</definedName>
    <definedName name="XSCap">INPUT!$229:$229</definedName>
    <definedName name="Yield_Alts">INPUT!$68:$68</definedName>
    <definedName name="Yield_Corp_Alt">INPUT!$94:$94</definedName>
    <definedName name="Yield_Corp_FIA">INPUT!$93:$93</definedName>
    <definedName name="Yield_FIA">INPUT!$67:$67</definedName>
  </definedNames>
  <calcPr calcId="145621" iterate="1"/>
</workbook>
</file>

<file path=xl/calcChain.xml><?xml version="1.0" encoding="utf-8"?>
<calcChain xmlns="http://schemas.openxmlformats.org/spreadsheetml/2006/main">
  <c r="B35" i="4" l="1"/>
  <c r="I28" i="4"/>
  <c r="I29" i="4" s="1"/>
  <c r="I30" i="4" s="1"/>
  <c r="I31" i="4" s="1"/>
  <c r="I32" i="4" s="1"/>
  <c r="B28" i="4"/>
  <c r="B25" i="4"/>
  <c r="B22" i="4"/>
  <c r="B7" i="4"/>
  <c r="B20" i="4" s="1"/>
  <c r="B6" i="4"/>
  <c r="B8" i="4" s="1"/>
  <c r="B17" i="4" s="1"/>
  <c r="M9" i="4" l="1"/>
  <c r="M7" i="4"/>
  <c r="M5" i="4"/>
  <c r="M6" i="4" l="1"/>
  <c r="M8" i="4"/>
  <c r="M10" i="4"/>
  <c r="B2" i="4" l="1"/>
  <c r="B4" i="4" s="1"/>
  <c r="B10" i="4" s="1"/>
  <c r="B14" i="4" s="1"/>
  <c r="I1" i="4"/>
  <c r="L4" i="4" l="1"/>
  <c r="M4" i="4" s="1"/>
  <c r="L3" i="4"/>
  <c r="M3" i="4" s="1"/>
  <c r="Y60" i="2"/>
  <c r="X60" i="2"/>
  <c r="W60" i="2"/>
  <c r="V60" i="2"/>
  <c r="U60" i="2"/>
  <c r="T60" i="2"/>
  <c r="S60" i="2"/>
  <c r="R60" i="2"/>
  <c r="Y59" i="2"/>
  <c r="X59" i="2"/>
  <c r="W59" i="2"/>
  <c r="V59" i="2"/>
  <c r="U59" i="2"/>
  <c r="T59" i="2"/>
  <c r="S59" i="2"/>
  <c r="R59" i="2"/>
  <c r="Y56" i="2"/>
  <c r="X56" i="2"/>
  <c r="W56" i="2"/>
  <c r="V56" i="2"/>
  <c r="U56" i="2"/>
  <c r="T56" i="2"/>
  <c r="S56" i="2"/>
  <c r="R56" i="2"/>
  <c r="Y55" i="2"/>
  <c r="X55" i="2"/>
  <c r="W55" i="2"/>
  <c r="V55" i="2"/>
  <c r="U55" i="2"/>
  <c r="T55" i="2"/>
  <c r="S55" i="2"/>
  <c r="R55" i="2"/>
  <c r="Y54" i="2"/>
  <c r="X54" i="2"/>
  <c r="W54" i="2"/>
  <c r="V54" i="2"/>
  <c r="U54" i="2"/>
  <c r="T54" i="2"/>
  <c r="S54" i="2"/>
  <c r="R54" i="2"/>
  <c r="Y51" i="2"/>
  <c r="X51" i="2"/>
  <c r="W51" i="2"/>
  <c r="V51" i="2"/>
  <c r="U51" i="2"/>
  <c r="T51" i="2"/>
  <c r="S51" i="2"/>
  <c r="R51" i="2"/>
  <c r="Y50" i="2"/>
  <c r="X50" i="2"/>
  <c r="W50" i="2"/>
  <c r="V50" i="2"/>
  <c r="U50" i="2"/>
  <c r="T50" i="2"/>
  <c r="S50" i="2"/>
  <c r="R50" i="2"/>
  <c r="Y42" i="2"/>
  <c r="X42" i="2"/>
  <c r="W42" i="2"/>
  <c r="V42" i="2"/>
  <c r="U42" i="2"/>
  <c r="T42" i="2"/>
  <c r="S42" i="2"/>
  <c r="R42" i="2"/>
  <c r="Y41" i="2"/>
  <c r="X41" i="2"/>
  <c r="W41" i="2"/>
  <c r="V41" i="2"/>
  <c r="U41" i="2"/>
  <c r="T41" i="2"/>
  <c r="S41" i="2"/>
  <c r="R41" i="2"/>
  <c r="Y40" i="2"/>
  <c r="X40" i="2"/>
  <c r="W40" i="2"/>
  <c r="V40" i="2"/>
  <c r="U40" i="2"/>
  <c r="T40" i="2"/>
  <c r="S40" i="2"/>
  <c r="R40" i="2"/>
  <c r="Y39" i="2"/>
  <c r="X39" i="2"/>
  <c r="W39" i="2"/>
  <c r="V39" i="2"/>
  <c r="U39" i="2"/>
  <c r="T39" i="2"/>
  <c r="S39" i="2"/>
  <c r="R39" i="2"/>
  <c r="Y38" i="2"/>
  <c r="X38" i="2"/>
  <c r="W38" i="2"/>
  <c r="V38" i="2"/>
  <c r="U38" i="2"/>
  <c r="T38" i="2"/>
  <c r="S38" i="2"/>
  <c r="R38" i="2"/>
  <c r="Y34" i="2"/>
  <c r="X34" i="2"/>
  <c r="X35" i="2" s="1"/>
  <c r="W34" i="2"/>
  <c r="V34" i="2"/>
  <c r="V35" i="2" s="1"/>
  <c r="U34" i="2"/>
  <c r="T34" i="2"/>
  <c r="T35" i="2" s="1"/>
  <c r="S34" i="2"/>
  <c r="R34" i="2"/>
  <c r="R35" i="2" s="1"/>
  <c r="X31" i="2"/>
  <c r="W31" i="2"/>
  <c r="V31" i="2"/>
  <c r="U31" i="2"/>
  <c r="T31" i="2"/>
  <c r="S31" i="2"/>
  <c r="R31" i="2"/>
  <c r="Y30" i="2"/>
  <c r="X30" i="2"/>
  <c r="W30" i="2"/>
  <c r="V30" i="2"/>
  <c r="U30" i="2"/>
  <c r="T30" i="2"/>
  <c r="S30" i="2"/>
  <c r="R30" i="2"/>
  <c r="Y27" i="2"/>
  <c r="X27" i="2"/>
  <c r="W27" i="2"/>
  <c r="V27" i="2"/>
  <c r="U27" i="2"/>
  <c r="T27" i="2"/>
  <c r="S27" i="2"/>
  <c r="R27" i="2"/>
  <c r="X25" i="2"/>
  <c r="T25" i="2"/>
  <c r="Y22" i="2"/>
  <c r="X22" i="2"/>
  <c r="W22" i="2"/>
  <c r="V22" i="2"/>
  <c r="V25" i="2" s="1"/>
  <c r="U22" i="2"/>
  <c r="T22" i="2"/>
  <c r="S22" i="2"/>
  <c r="R22" i="2"/>
  <c r="R25" i="2" s="1"/>
  <c r="Y21" i="2"/>
  <c r="X21" i="2"/>
  <c r="W21" i="2"/>
  <c r="V21" i="2"/>
  <c r="U21" i="2"/>
  <c r="T21" i="2"/>
  <c r="S21" i="2"/>
  <c r="R21" i="2"/>
  <c r="Y18" i="2"/>
  <c r="X18" i="2"/>
  <c r="X32" i="2" s="1"/>
  <c r="W18" i="2"/>
  <c r="V18" i="2"/>
  <c r="V28" i="2" s="1"/>
  <c r="U18" i="2"/>
  <c r="T18" i="2"/>
  <c r="T32" i="2" s="1"/>
  <c r="S18" i="2"/>
  <c r="R18" i="2"/>
  <c r="R28" i="2" s="1"/>
  <c r="Y17" i="2"/>
  <c r="X17" i="2"/>
  <c r="W17" i="2"/>
  <c r="V17" i="2"/>
  <c r="U17" i="2"/>
  <c r="T17" i="2"/>
  <c r="S17" i="2"/>
  <c r="R17" i="2"/>
  <c r="Y14" i="2"/>
  <c r="X14" i="2"/>
  <c r="X19" i="2" s="1"/>
  <c r="W14" i="2"/>
  <c r="V14" i="2"/>
  <c r="V19" i="2" s="1"/>
  <c r="U14" i="2"/>
  <c r="T14" i="2"/>
  <c r="T19" i="2" s="1"/>
  <c r="S14" i="2"/>
  <c r="R14" i="2"/>
  <c r="R19" i="2" s="1"/>
  <c r="Y13" i="2"/>
  <c r="X13" i="2"/>
  <c r="W13" i="2"/>
  <c r="V13" i="2"/>
  <c r="U13" i="2"/>
  <c r="T13" i="2"/>
  <c r="S13" i="2"/>
  <c r="R13" i="2"/>
  <c r="Y10" i="2"/>
  <c r="X10" i="2"/>
  <c r="X15" i="2" s="1"/>
  <c r="W10" i="2"/>
  <c r="V10" i="2"/>
  <c r="V15" i="2" s="1"/>
  <c r="U10" i="2"/>
  <c r="T10" i="2"/>
  <c r="T15" i="2" s="1"/>
  <c r="S10" i="2"/>
  <c r="R10" i="2"/>
  <c r="R15" i="2" s="1"/>
  <c r="Y9" i="2"/>
  <c r="X9" i="2"/>
  <c r="W9" i="2"/>
  <c r="V9" i="2"/>
  <c r="U9" i="2"/>
  <c r="T9" i="2"/>
  <c r="S9" i="2"/>
  <c r="R9" i="2"/>
  <c r="Y8" i="2"/>
  <c r="X8" i="2"/>
  <c r="X11" i="2" s="1"/>
  <c r="W8" i="2"/>
  <c r="V8" i="2"/>
  <c r="V11" i="2" s="1"/>
  <c r="U8" i="2"/>
  <c r="T8" i="2"/>
  <c r="T11" i="2" s="1"/>
  <c r="S8" i="2"/>
  <c r="R8" i="2"/>
  <c r="R11" i="2" s="1"/>
  <c r="Y5" i="2"/>
  <c r="Y48" i="2" s="1"/>
  <c r="X5" i="2"/>
  <c r="X48" i="2" s="1"/>
  <c r="W5" i="2"/>
  <c r="W48" i="2" s="1"/>
  <c r="V5" i="2"/>
  <c r="V48" i="2" s="1"/>
  <c r="U5" i="2"/>
  <c r="U48" i="2" s="1"/>
  <c r="T5" i="2"/>
  <c r="T48" i="2" s="1"/>
  <c r="S5" i="2"/>
  <c r="S48" i="2" s="1"/>
  <c r="R5" i="2"/>
  <c r="R48" i="2" s="1"/>
  <c r="Y4" i="2"/>
  <c r="W4" i="2"/>
  <c r="U4" i="2"/>
  <c r="S4" i="2"/>
  <c r="S47" i="2" s="1"/>
  <c r="Y3" i="2"/>
  <c r="W3" i="2"/>
  <c r="U3" i="2"/>
  <c r="S3" i="2"/>
  <c r="S46" i="2" s="1"/>
  <c r="M11" i="4" l="1"/>
  <c r="M13" i="4" s="1"/>
  <c r="B15" i="4" s="1"/>
  <c r="B16" i="4" s="1"/>
  <c r="B18" i="4" s="1"/>
  <c r="B21" i="4" s="1"/>
  <c r="B23" i="4" s="1"/>
  <c r="B26" i="4" s="1"/>
  <c r="T23" i="2"/>
  <c r="X23" i="2"/>
  <c r="T28" i="2"/>
  <c r="X28" i="2"/>
  <c r="R32" i="2"/>
  <c r="V32" i="2"/>
  <c r="R23" i="2"/>
  <c r="V23" i="2"/>
  <c r="B29" i="4" l="1"/>
  <c r="AR75" i="1" l="1"/>
  <c r="AT75" i="1"/>
  <c r="AV75" i="1" s="1"/>
  <c r="AL140" i="1" l="1"/>
  <c r="AL139" i="1"/>
  <c r="R58" i="3" l="1"/>
  <c r="Q58" i="3"/>
  <c r="P58" i="3"/>
  <c r="O58" i="3"/>
  <c r="N58" i="3"/>
  <c r="M58" i="3"/>
  <c r="L58" i="3"/>
  <c r="K58" i="3"/>
  <c r="J58" i="3"/>
  <c r="I58" i="3"/>
  <c r="H58" i="3"/>
  <c r="G58" i="3"/>
  <c r="F58" i="3"/>
  <c r="E58" i="3"/>
  <c r="D58" i="3"/>
  <c r="C58" i="3"/>
  <c r="B58" i="3"/>
  <c r="AD58" i="3"/>
  <c r="AC58" i="3"/>
  <c r="AB58" i="3"/>
  <c r="AA58" i="3"/>
  <c r="Z58" i="3"/>
  <c r="Y58" i="3"/>
  <c r="X58" i="3"/>
  <c r="W58" i="3"/>
  <c r="V58" i="3"/>
  <c r="U58" i="3"/>
  <c r="AD57" i="3"/>
  <c r="AC57" i="3"/>
  <c r="AB57" i="3"/>
  <c r="AA57" i="3"/>
  <c r="Z57" i="3"/>
  <c r="Y57" i="3"/>
  <c r="X57" i="3"/>
  <c r="W57" i="3"/>
  <c r="V57" i="3"/>
  <c r="U57" i="3"/>
  <c r="Q57" i="3"/>
  <c r="P57" i="3"/>
  <c r="O57" i="3"/>
  <c r="N57" i="3"/>
  <c r="M57" i="3"/>
  <c r="L57" i="3"/>
  <c r="K57" i="3"/>
  <c r="J57" i="3"/>
  <c r="I57" i="3"/>
  <c r="H57" i="3"/>
  <c r="G57" i="3"/>
  <c r="F57" i="3"/>
  <c r="E57" i="3"/>
  <c r="D57" i="3"/>
  <c r="C57" i="3"/>
  <c r="B57" i="3"/>
  <c r="AD54" i="3"/>
  <c r="AC54" i="3"/>
  <c r="AB54" i="3"/>
  <c r="AA54" i="3"/>
  <c r="Z54" i="3"/>
  <c r="Y54" i="3"/>
  <c r="X54" i="3"/>
  <c r="W54" i="3"/>
  <c r="V54" i="3"/>
  <c r="U54" i="3"/>
  <c r="AD53" i="3"/>
  <c r="AC53" i="3"/>
  <c r="AB53" i="3"/>
  <c r="AA53" i="3"/>
  <c r="Z53" i="3"/>
  <c r="Y53" i="3"/>
  <c r="X53" i="3"/>
  <c r="W53" i="3"/>
  <c r="V53" i="3"/>
  <c r="U53" i="3"/>
  <c r="AD52" i="3"/>
  <c r="AC52" i="3"/>
  <c r="AB52" i="3"/>
  <c r="AA52" i="3"/>
  <c r="Z52" i="3"/>
  <c r="Y52" i="3"/>
  <c r="X52" i="3"/>
  <c r="W52" i="3"/>
  <c r="V52" i="3"/>
  <c r="U52" i="3"/>
  <c r="Q54" i="3"/>
  <c r="P54" i="3"/>
  <c r="O54" i="3"/>
  <c r="N54" i="3"/>
  <c r="M54" i="3"/>
  <c r="L54" i="3"/>
  <c r="K54" i="3"/>
  <c r="J54" i="3"/>
  <c r="I54" i="3"/>
  <c r="H54" i="3"/>
  <c r="G54" i="3"/>
  <c r="F54" i="3"/>
  <c r="E54" i="3"/>
  <c r="D54" i="3"/>
  <c r="C54" i="3"/>
  <c r="B54" i="3"/>
  <c r="Q53" i="3"/>
  <c r="P53" i="3"/>
  <c r="O53" i="3"/>
  <c r="N53" i="3"/>
  <c r="M53" i="3"/>
  <c r="L53" i="3"/>
  <c r="K53" i="3"/>
  <c r="J53" i="3"/>
  <c r="I53" i="3"/>
  <c r="H53" i="3"/>
  <c r="G53" i="3"/>
  <c r="F53" i="3"/>
  <c r="E53" i="3"/>
  <c r="D53" i="3"/>
  <c r="C53" i="3"/>
  <c r="B53" i="3"/>
  <c r="Q52" i="3"/>
  <c r="P52" i="3"/>
  <c r="O52" i="3"/>
  <c r="N52" i="3"/>
  <c r="M52" i="3"/>
  <c r="L52" i="3"/>
  <c r="K52" i="3"/>
  <c r="J52" i="3"/>
  <c r="I52" i="3"/>
  <c r="H52" i="3"/>
  <c r="G52" i="3"/>
  <c r="F52" i="3"/>
  <c r="E52" i="3"/>
  <c r="D52" i="3"/>
  <c r="C52" i="3"/>
  <c r="B52" i="3"/>
  <c r="AJ49" i="3"/>
  <c r="AI49" i="3"/>
  <c r="AH49" i="3"/>
  <c r="AG49" i="3"/>
  <c r="AF49" i="3"/>
  <c r="AE49" i="3"/>
  <c r="AD49" i="3"/>
  <c r="AC49" i="3"/>
  <c r="AB49" i="3"/>
  <c r="AA49" i="3"/>
  <c r="Z49" i="3"/>
  <c r="Y49" i="3"/>
  <c r="X49" i="3"/>
  <c r="W49" i="3"/>
  <c r="V49" i="3"/>
  <c r="U49" i="3"/>
  <c r="AJ48" i="3"/>
  <c r="AI48" i="3"/>
  <c r="AH48" i="3"/>
  <c r="AG48" i="3"/>
  <c r="AF48" i="3"/>
  <c r="AE48" i="3"/>
  <c r="AD48" i="3"/>
  <c r="AC48" i="3"/>
  <c r="AB48" i="3"/>
  <c r="AA48" i="3"/>
  <c r="Z48" i="3"/>
  <c r="Y48" i="3"/>
  <c r="X48" i="3"/>
  <c r="W48" i="3"/>
  <c r="V48" i="3"/>
  <c r="U48" i="3"/>
  <c r="Q49" i="3"/>
  <c r="P49" i="3"/>
  <c r="O49" i="3"/>
  <c r="N49" i="3"/>
  <c r="M49" i="3"/>
  <c r="L49" i="3"/>
  <c r="K49" i="3"/>
  <c r="J49" i="3"/>
  <c r="I49" i="3"/>
  <c r="H49" i="3"/>
  <c r="G49" i="3"/>
  <c r="F49" i="3"/>
  <c r="E49" i="3"/>
  <c r="D49" i="3"/>
  <c r="C49" i="3"/>
  <c r="B49" i="3"/>
  <c r="Q48" i="3"/>
  <c r="P48" i="3"/>
  <c r="O48" i="3"/>
  <c r="N48" i="3"/>
  <c r="M48" i="3"/>
  <c r="L48" i="3"/>
  <c r="K48" i="3"/>
  <c r="J48" i="3"/>
  <c r="I48" i="3"/>
  <c r="H48" i="3"/>
  <c r="G48" i="3"/>
  <c r="F48" i="3"/>
  <c r="E48" i="3"/>
  <c r="D48" i="3"/>
  <c r="C48" i="3"/>
  <c r="B48" i="3"/>
  <c r="V44" i="3"/>
  <c r="I44" i="3"/>
  <c r="I43" i="3"/>
  <c r="G44" i="3"/>
  <c r="G43" i="3"/>
  <c r="E44" i="3"/>
  <c r="E43" i="3"/>
  <c r="C44" i="3"/>
  <c r="C43" i="3"/>
  <c r="A43" i="3"/>
  <c r="A41" i="3"/>
  <c r="AB35" i="3"/>
  <c r="AA35" i="3"/>
  <c r="Z35" i="3"/>
  <c r="Y35" i="3"/>
  <c r="X35" i="3"/>
  <c r="W35" i="3"/>
  <c r="V35" i="3"/>
  <c r="U35" i="3"/>
  <c r="AB34" i="3"/>
  <c r="AA34" i="3"/>
  <c r="Z34" i="3"/>
  <c r="Y34" i="3"/>
  <c r="X34" i="3"/>
  <c r="W34" i="3"/>
  <c r="V34" i="3"/>
  <c r="U34" i="3"/>
  <c r="AD33" i="3"/>
  <c r="AC33" i="3"/>
  <c r="AB33" i="3"/>
  <c r="AA33" i="3"/>
  <c r="Z33" i="3"/>
  <c r="Y33" i="3"/>
  <c r="X33" i="3"/>
  <c r="W33" i="3"/>
  <c r="V33" i="3"/>
  <c r="U33" i="3"/>
  <c r="AD32" i="3"/>
  <c r="AC32" i="3"/>
  <c r="AB32" i="3"/>
  <c r="AA32" i="3"/>
  <c r="Z32" i="3"/>
  <c r="Y32" i="3"/>
  <c r="X32" i="3"/>
  <c r="W32" i="3"/>
  <c r="V32" i="3"/>
  <c r="U32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Q34" i="3"/>
  <c r="P34" i="3"/>
  <c r="O34" i="3"/>
  <c r="N34" i="3"/>
  <c r="M34" i="3"/>
  <c r="L34" i="3"/>
  <c r="K34" i="3"/>
  <c r="J34" i="3"/>
  <c r="I34" i="3"/>
  <c r="H34" i="3"/>
  <c r="G34" i="3"/>
  <c r="F34" i="3"/>
  <c r="E34" i="3"/>
  <c r="D34" i="3"/>
  <c r="C34" i="3"/>
  <c r="B34" i="3"/>
  <c r="Q33" i="3"/>
  <c r="P33" i="3"/>
  <c r="O33" i="3"/>
  <c r="N33" i="3"/>
  <c r="M33" i="3"/>
  <c r="L33" i="3"/>
  <c r="K33" i="3"/>
  <c r="J33" i="3"/>
  <c r="I33" i="3"/>
  <c r="H33" i="3"/>
  <c r="G33" i="3"/>
  <c r="F33" i="3"/>
  <c r="E33" i="3"/>
  <c r="D33" i="3"/>
  <c r="C33" i="3"/>
  <c r="B33" i="3"/>
  <c r="Q32" i="3"/>
  <c r="P32" i="3"/>
  <c r="O32" i="3"/>
  <c r="N32" i="3"/>
  <c r="M32" i="3"/>
  <c r="L32" i="3"/>
  <c r="K32" i="3"/>
  <c r="J32" i="3"/>
  <c r="I32" i="3"/>
  <c r="H32" i="3"/>
  <c r="G32" i="3"/>
  <c r="F32" i="3"/>
  <c r="E32" i="3"/>
  <c r="D32" i="3"/>
  <c r="C32" i="3"/>
  <c r="B32" i="3"/>
  <c r="P28" i="3"/>
  <c r="N28" i="3"/>
  <c r="L28" i="3"/>
  <c r="J28" i="3"/>
  <c r="H28" i="3"/>
  <c r="F28" i="3"/>
  <c r="D28" i="3"/>
  <c r="B28" i="3"/>
  <c r="AB29" i="3"/>
  <c r="X29" i="3"/>
  <c r="AB28" i="3"/>
  <c r="AA28" i="3"/>
  <c r="Z28" i="3"/>
  <c r="Y28" i="3"/>
  <c r="X28" i="3"/>
  <c r="W28" i="3"/>
  <c r="V28" i="3"/>
  <c r="U28" i="3"/>
  <c r="Q28" i="3"/>
  <c r="O28" i="3"/>
  <c r="M28" i="3"/>
  <c r="K28" i="3"/>
  <c r="I28" i="3"/>
  <c r="G28" i="3"/>
  <c r="E28" i="3"/>
  <c r="C28" i="3"/>
  <c r="P25" i="3"/>
  <c r="P29" i="3" s="1"/>
  <c r="P24" i="3"/>
  <c r="N25" i="3"/>
  <c r="N29" i="3" s="1"/>
  <c r="N24" i="3"/>
  <c r="L25" i="3"/>
  <c r="L29" i="3" s="1"/>
  <c r="L24" i="3"/>
  <c r="J25" i="3"/>
  <c r="J29" i="3" s="1"/>
  <c r="J24" i="3"/>
  <c r="H25" i="3"/>
  <c r="H29" i="3" s="1"/>
  <c r="H24" i="3"/>
  <c r="F25" i="3"/>
  <c r="F29" i="3" s="1"/>
  <c r="F24" i="3"/>
  <c r="D25" i="3"/>
  <c r="D29" i="3" s="1"/>
  <c r="D24" i="3"/>
  <c r="B25" i="3"/>
  <c r="B29" i="3" s="1"/>
  <c r="B24" i="3"/>
  <c r="Q25" i="3"/>
  <c r="Q24" i="3"/>
  <c r="O25" i="3"/>
  <c r="O24" i="3"/>
  <c r="M25" i="3"/>
  <c r="M24" i="3"/>
  <c r="K25" i="3"/>
  <c r="K24" i="3"/>
  <c r="I25" i="3"/>
  <c r="I24" i="3"/>
  <c r="G25" i="3"/>
  <c r="G24" i="3"/>
  <c r="E25" i="3"/>
  <c r="E24" i="3"/>
  <c r="C25" i="3"/>
  <c r="C24" i="3"/>
  <c r="AB25" i="3"/>
  <c r="AA25" i="3"/>
  <c r="AA29" i="3" s="1"/>
  <c r="Z25" i="3"/>
  <c r="Z29" i="3" s="1"/>
  <c r="Y25" i="3"/>
  <c r="Y29" i="3" s="1"/>
  <c r="X25" i="3"/>
  <c r="W25" i="3"/>
  <c r="W29" i="3" s="1"/>
  <c r="V25" i="3"/>
  <c r="V29" i="3" s="1"/>
  <c r="U25" i="3"/>
  <c r="U29" i="3" s="1"/>
  <c r="AN24" i="3"/>
  <c r="AM24" i="3"/>
  <c r="AL24" i="3"/>
  <c r="AK24" i="3"/>
  <c r="AJ24" i="3"/>
  <c r="AI24" i="3"/>
  <c r="AH24" i="3"/>
  <c r="AG24" i="3"/>
  <c r="AE24" i="3"/>
  <c r="AB24" i="3"/>
  <c r="AA24" i="3"/>
  <c r="Z24" i="3"/>
  <c r="Y24" i="3"/>
  <c r="X24" i="3"/>
  <c r="W24" i="3"/>
  <c r="V24" i="3"/>
  <c r="U24" i="3"/>
  <c r="AD22" i="3"/>
  <c r="AC22" i="3"/>
  <c r="AB22" i="3"/>
  <c r="AA22" i="3"/>
  <c r="Z22" i="3"/>
  <c r="Y22" i="3"/>
  <c r="X22" i="3"/>
  <c r="W22" i="3"/>
  <c r="V22" i="3"/>
  <c r="U22" i="3"/>
  <c r="Q22" i="3"/>
  <c r="P22" i="3"/>
  <c r="O22" i="3"/>
  <c r="N22" i="3"/>
  <c r="M22" i="3"/>
  <c r="L22" i="3"/>
  <c r="K22" i="3"/>
  <c r="J22" i="3"/>
  <c r="I22" i="3"/>
  <c r="H22" i="3"/>
  <c r="G22" i="3"/>
  <c r="F22" i="3"/>
  <c r="E22" i="3"/>
  <c r="D22" i="3"/>
  <c r="C22" i="3"/>
  <c r="B22" i="3"/>
  <c r="P18" i="3"/>
  <c r="P17" i="3"/>
  <c r="N18" i="3"/>
  <c r="N17" i="3"/>
  <c r="L18" i="3"/>
  <c r="L17" i="3"/>
  <c r="J18" i="3"/>
  <c r="J17" i="3"/>
  <c r="H18" i="3"/>
  <c r="H17" i="3"/>
  <c r="F18" i="3"/>
  <c r="F17" i="3"/>
  <c r="D18" i="3"/>
  <c r="D17" i="3"/>
  <c r="B18" i="3"/>
  <c r="B17" i="3"/>
  <c r="Q18" i="3"/>
  <c r="Q17" i="3"/>
  <c r="O18" i="3"/>
  <c r="O17" i="3"/>
  <c r="M18" i="3"/>
  <c r="M17" i="3"/>
  <c r="K18" i="3"/>
  <c r="K17" i="3"/>
  <c r="I18" i="3"/>
  <c r="I17" i="3"/>
  <c r="G18" i="3"/>
  <c r="G17" i="3"/>
  <c r="E18" i="3"/>
  <c r="E17" i="3"/>
  <c r="C18" i="3"/>
  <c r="C17" i="3"/>
  <c r="AD18" i="3"/>
  <c r="AC18" i="3"/>
  <c r="AB18" i="3"/>
  <c r="AA18" i="3"/>
  <c r="Z18" i="3"/>
  <c r="Y18" i="3"/>
  <c r="X18" i="3"/>
  <c r="W18" i="3"/>
  <c r="V18" i="3"/>
  <c r="U18" i="3"/>
  <c r="AJ17" i="3"/>
  <c r="AI17" i="3"/>
  <c r="AH17" i="3"/>
  <c r="AG17" i="3"/>
  <c r="AF17" i="3"/>
  <c r="AE17" i="3"/>
  <c r="AD17" i="3"/>
  <c r="AC17" i="3"/>
  <c r="AB17" i="3"/>
  <c r="AA17" i="3"/>
  <c r="Z17" i="3"/>
  <c r="Y17" i="3"/>
  <c r="X17" i="3"/>
  <c r="W17" i="3"/>
  <c r="V17" i="3"/>
  <c r="U17" i="3"/>
  <c r="P15" i="3"/>
  <c r="P14" i="3"/>
  <c r="P26" i="3" s="1"/>
  <c r="P13" i="3"/>
  <c r="N14" i="3"/>
  <c r="N26" i="3" s="1"/>
  <c r="N13" i="3"/>
  <c r="N15" i="3" s="1"/>
  <c r="L14" i="3"/>
  <c r="L26" i="3" s="1"/>
  <c r="L13" i="3"/>
  <c r="L15" i="3" s="1"/>
  <c r="J15" i="3"/>
  <c r="J14" i="3"/>
  <c r="J26" i="3" s="1"/>
  <c r="J13" i="3"/>
  <c r="H15" i="3"/>
  <c r="H14" i="3"/>
  <c r="H26" i="3" s="1"/>
  <c r="H13" i="3"/>
  <c r="F14" i="3"/>
  <c r="F26" i="3" s="1"/>
  <c r="F13" i="3"/>
  <c r="F15" i="3" s="1"/>
  <c r="D14" i="3"/>
  <c r="D26" i="3" s="1"/>
  <c r="D13" i="3"/>
  <c r="D15" i="3" s="1"/>
  <c r="B15" i="3"/>
  <c r="B14" i="3"/>
  <c r="B26" i="3" s="1"/>
  <c r="B13" i="3"/>
  <c r="R14" i="3"/>
  <c r="Q14" i="3"/>
  <c r="O14" i="3"/>
  <c r="O13" i="3"/>
  <c r="M14" i="3"/>
  <c r="M13" i="3"/>
  <c r="K14" i="3"/>
  <c r="K13" i="3"/>
  <c r="I14" i="3"/>
  <c r="I13" i="3"/>
  <c r="G14" i="3"/>
  <c r="G13" i="3"/>
  <c r="E14" i="3"/>
  <c r="E13" i="3"/>
  <c r="C14" i="3"/>
  <c r="C13" i="3"/>
  <c r="AC15" i="3"/>
  <c r="Y15" i="3"/>
  <c r="U15" i="3"/>
  <c r="AD14" i="3"/>
  <c r="AC14" i="3"/>
  <c r="AB14" i="3"/>
  <c r="AB26" i="3" s="1"/>
  <c r="AA14" i="3"/>
  <c r="AA26" i="3" s="1"/>
  <c r="Z14" i="3"/>
  <c r="Z26" i="3" s="1"/>
  <c r="Y14" i="3"/>
  <c r="Y26" i="3" s="1"/>
  <c r="X14" i="3"/>
  <c r="X26" i="3" s="1"/>
  <c r="W14" i="3"/>
  <c r="W26" i="3" s="1"/>
  <c r="V14" i="3"/>
  <c r="V26" i="3" s="1"/>
  <c r="U14" i="3"/>
  <c r="U26" i="3" s="1"/>
  <c r="AD13" i="3"/>
  <c r="AD15" i="3" s="1"/>
  <c r="AC13" i="3"/>
  <c r="AB13" i="3"/>
  <c r="AB15" i="3" s="1"/>
  <c r="AA13" i="3"/>
  <c r="AA15" i="3" s="1"/>
  <c r="Z13" i="3"/>
  <c r="Z15" i="3" s="1"/>
  <c r="Y13" i="3"/>
  <c r="X13" i="3"/>
  <c r="X15" i="3" s="1"/>
  <c r="W13" i="3"/>
  <c r="W15" i="3" s="1"/>
  <c r="V13" i="3"/>
  <c r="V15" i="3" s="1"/>
  <c r="U13" i="3"/>
  <c r="Q13" i="3"/>
  <c r="P11" i="3"/>
  <c r="P10" i="3"/>
  <c r="P9" i="3"/>
  <c r="P8" i="3"/>
  <c r="N11" i="3"/>
  <c r="N10" i="3"/>
  <c r="N9" i="3"/>
  <c r="N8" i="3"/>
  <c r="L11" i="3"/>
  <c r="L10" i="3"/>
  <c r="L9" i="3"/>
  <c r="L8" i="3"/>
  <c r="J11" i="3"/>
  <c r="J10" i="3"/>
  <c r="J9" i="3"/>
  <c r="J8" i="3"/>
  <c r="H11" i="3"/>
  <c r="H10" i="3"/>
  <c r="H9" i="3"/>
  <c r="H8" i="3"/>
  <c r="F11" i="3"/>
  <c r="F10" i="3"/>
  <c r="F9" i="3"/>
  <c r="F8" i="3"/>
  <c r="D11" i="3"/>
  <c r="D10" i="3"/>
  <c r="D9" i="3"/>
  <c r="D8" i="3"/>
  <c r="B11" i="3"/>
  <c r="B10" i="3"/>
  <c r="B9" i="3"/>
  <c r="B8" i="3"/>
  <c r="Q10" i="3"/>
  <c r="Q9" i="3"/>
  <c r="Q8" i="3"/>
  <c r="O10" i="3"/>
  <c r="O9" i="3"/>
  <c r="O8" i="3"/>
  <c r="M10" i="3"/>
  <c r="M9" i="3"/>
  <c r="M8" i="3"/>
  <c r="K10" i="3"/>
  <c r="K9" i="3"/>
  <c r="K8" i="3"/>
  <c r="I10" i="3"/>
  <c r="I9" i="3"/>
  <c r="I8" i="3"/>
  <c r="G10" i="3"/>
  <c r="G9" i="3"/>
  <c r="G8" i="3"/>
  <c r="E10" i="3"/>
  <c r="E9" i="3"/>
  <c r="E8" i="3"/>
  <c r="C10" i="3"/>
  <c r="C9" i="3"/>
  <c r="C8" i="3"/>
  <c r="A9" i="3"/>
  <c r="A8" i="3"/>
  <c r="AA11" i="3"/>
  <c r="W11" i="3"/>
  <c r="AD10" i="3"/>
  <c r="AC10" i="3"/>
  <c r="AB10" i="3"/>
  <c r="AA10" i="3"/>
  <c r="Z10" i="3"/>
  <c r="Y10" i="3"/>
  <c r="X10" i="3"/>
  <c r="W10" i="3"/>
  <c r="V10" i="3"/>
  <c r="U10" i="3"/>
  <c r="AO9" i="3"/>
  <c r="AN9" i="3"/>
  <c r="AM9" i="3"/>
  <c r="AL9" i="3"/>
  <c r="AK9" i="3"/>
  <c r="AJ9" i="3"/>
  <c r="AI9" i="3"/>
  <c r="AH9" i="3"/>
  <c r="AG9" i="3"/>
  <c r="AF9" i="3"/>
  <c r="AE9" i="3"/>
  <c r="AD9" i="3"/>
  <c r="AC9" i="3"/>
  <c r="AB9" i="3"/>
  <c r="AA9" i="3"/>
  <c r="Z9" i="3"/>
  <c r="Y9" i="3"/>
  <c r="X9" i="3"/>
  <c r="W9" i="3"/>
  <c r="V9" i="3"/>
  <c r="U9" i="3"/>
  <c r="AD8" i="3"/>
  <c r="AD11" i="3" s="1"/>
  <c r="AC8" i="3"/>
  <c r="AC11" i="3" s="1"/>
  <c r="AB8" i="3"/>
  <c r="AB11" i="3" s="1"/>
  <c r="AA8" i="3"/>
  <c r="Z8" i="3"/>
  <c r="Z11" i="3" s="1"/>
  <c r="Y8" i="3"/>
  <c r="Y11" i="3" s="1"/>
  <c r="X8" i="3"/>
  <c r="X11" i="3" s="1"/>
  <c r="W8" i="3"/>
  <c r="V8" i="3"/>
  <c r="V11" i="3" s="1"/>
  <c r="U8" i="3"/>
  <c r="U11" i="3" s="1"/>
  <c r="AO5" i="3"/>
  <c r="AO45" i="3" s="1"/>
  <c r="AN5" i="3"/>
  <c r="AN45" i="3" s="1"/>
  <c r="AM5" i="3"/>
  <c r="AM45" i="3" s="1"/>
  <c r="AL5" i="3"/>
  <c r="AL45" i="3" s="1"/>
  <c r="AK5" i="3"/>
  <c r="AK45" i="3" s="1"/>
  <c r="AJ5" i="3"/>
  <c r="AJ45" i="3" s="1"/>
  <c r="AI5" i="3"/>
  <c r="AI45" i="3" s="1"/>
  <c r="AH5" i="3"/>
  <c r="AH45" i="3" s="1"/>
  <c r="AG5" i="3"/>
  <c r="AG45" i="3" s="1"/>
  <c r="AF5" i="3"/>
  <c r="AF45" i="3" s="1"/>
  <c r="AE5" i="3"/>
  <c r="AE45" i="3" s="1"/>
  <c r="AD5" i="3"/>
  <c r="AD45" i="3" s="1"/>
  <c r="AC5" i="3"/>
  <c r="AC45" i="3" s="1"/>
  <c r="AB5" i="3"/>
  <c r="AB45" i="3" s="1"/>
  <c r="AA5" i="3"/>
  <c r="AA45" i="3" s="1"/>
  <c r="Z5" i="3"/>
  <c r="Z45" i="3" s="1"/>
  <c r="Y5" i="3"/>
  <c r="Y45" i="3" s="1"/>
  <c r="X5" i="3"/>
  <c r="X45" i="3" s="1"/>
  <c r="W5" i="3"/>
  <c r="W45" i="3" s="1"/>
  <c r="V45" i="3"/>
  <c r="U45" i="3"/>
  <c r="Q5" i="3"/>
  <c r="Q45" i="3" s="1"/>
  <c r="P5" i="3"/>
  <c r="P45" i="3" s="1"/>
  <c r="O5" i="3"/>
  <c r="O45" i="3" s="1"/>
  <c r="N5" i="3"/>
  <c r="N45" i="3" s="1"/>
  <c r="M5" i="3"/>
  <c r="M45" i="3" s="1"/>
  <c r="L5" i="3"/>
  <c r="L45" i="3" s="1"/>
  <c r="K5" i="3"/>
  <c r="K45" i="3" s="1"/>
  <c r="J5" i="3"/>
  <c r="J45" i="3" s="1"/>
  <c r="I5" i="3"/>
  <c r="I45" i="3" s="1"/>
  <c r="H5" i="3"/>
  <c r="H45" i="3" s="1"/>
  <c r="G5" i="3"/>
  <c r="G45" i="3" s="1"/>
  <c r="F5" i="3"/>
  <c r="F45" i="3" s="1"/>
  <c r="E5" i="3"/>
  <c r="E45" i="3" s="1"/>
  <c r="D5" i="3"/>
  <c r="D45" i="3" s="1"/>
  <c r="C5" i="3"/>
  <c r="C45" i="3" s="1"/>
  <c r="B5" i="3"/>
  <c r="B45" i="3" s="1"/>
  <c r="AL4" i="3"/>
  <c r="AL44" i="3" s="1"/>
  <c r="AL3" i="3"/>
  <c r="AL43" i="3" s="1"/>
  <c r="AJ4" i="3"/>
  <c r="AJ44" i="3" s="1"/>
  <c r="AJ3" i="3"/>
  <c r="AJ43" i="3" s="1"/>
  <c r="AH4" i="3"/>
  <c r="AH44" i="3" s="1"/>
  <c r="AH3" i="3"/>
  <c r="AH43" i="3" s="1"/>
  <c r="AF4" i="3"/>
  <c r="AF44" i="3" s="1"/>
  <c r="AF3" i="3"/>
  <c r="AF43" i="3" s="1"/>
  <c r="AD4" i="3"/>
  <c r="AD44" i="3" s="1"/>
  <c r="AD3" i="3"/>
  <c r="AD43" i="3" s="1"/>
  <c r="AB4" i="3"/>
  <c r="AB44" i="3" s="1"/>
  <c r="AB3" i="3"/>
  <c r="AB43" i="3" s="1"/>
  <c r="Z4" i="3"/>
  <c r="Z44" i="3" s="1"/>
  <c r="Z3" i="3"/>
  <c r="Z43" i="3" s="1"/>
  <c r="X4" i="3"/>
  <c r="X44" i="3" s="1"/>
  <c r="X3" i="3"/>
  <c r="X43" i="3" s="1"/>
  <c r="Q4" i="3"/>
  <c r="Q44" i="3" s="1"/>
  <c r="Q3" i="3"/>
  <c r="Q43" i="3" s="1"/>
  <c r="O4" i="3"/>
  <c r="O44" i="3" s="1"/>
  <c r="O3" i="3"/>
  <c r="O43" i="3" s="1"/>
  <c r="M4" i="3"/>
  <c r="M44" i="3" s="1"/>
  <c r="M3" i="3"/>
  <c r="M43" i="3" s="1"/>
  <c r="K4" i="3"/>
  <c r="K44" i="3" s="1"/>
  <c r="K3" i="3"/>
  <c r="K43" i="3" s="1"/>
  <c r="AO4" i="3"/>
  <c r="AO44" i="3" s="1"/>
  <c r="AN4" i="3"/>
  <c r="AN44" i="3" s="1"/>
  <c r="AO3" i="3"/>
  <c r="AO43" i="3" s="1"/>
  <c r="AN3" i="3"/>
  <c r="AN43" i="3" s="1"/>
  <c r="V3" i="3"/>
  <c r="V43" i="3" s="1"/>
  <c r="Z60" i="2"/>
  <c r="Q60" i="2"/>
  <c r="P60" i="2"/>
  <c r="O60" i="2"/>
  <c r="N60" i="2"/>
  <c r="M60" i="2"/>
  <c r="L60" i="2"/>
  <c r="K60" i="2"/>
  <c r="J60" i="2"/>
  <c r="I60" i="2"/>
  <c r="H60" i="2"/>
  <c r="G60" i="2"/>
  <c r="F60" i="2"/>
  <c r="E60" i="2"/>
  <c r="D60" i="2"/>
  <c r="C60" i="2"/>
  <c r="B60" i="2"/>
  <c r="AL60" i="2"/>
  <c r="AK60" i="2"/>
  <c r="AJ60" i="2"/>
  <c r="AI60" i="2"/>
  <c r="AH60" i="2"/>
  <c r="AG60" i="2"/>
  <c r="AF60" i="2"/>
  <c r="AE60" i="2"/>
  <c r="AD60" i="2"/>
  <c r="AC60" i="2"/>
  <c r="AL59" i="2"/>
  <c r="AK59" i="2"/>
  <c r="AJ59" i="2"/>
  <c r="AI59" i="2"/>
  <c r="AH59" i="2"/>
  <c r="AG59" i="2"/>
  <c r="AF59" i="2"/>
  <c r="AE59" i="2"/>
  <c r="AD59" i="2"/>
  <c r="AC59" i="2"/>
  <c r="Q59" i="2"/>
  <c r="P59" i="2"/>
  <c r="O59" i="2"/>
  <c r="N59" i="2"/>
  <c r="M59" i="2"/>
  <c r="L59" i="2"/>
  <c r="K59" i="2"/>
  <c r="J59" i="2"/>
  <c r="I59" i="2"/>
  <c r="H59" i="2"/>
  <c r="G59" i="2"/>
  <c r="F59" i="2"/>
  <c r="E59" i="2"/>
  <c r="D59" i="2"/>
  <c r="C59" i="2"/>
  <c r="B59" i="2"/>
  <c r="AL56" i="2"/>
  <c r="AK56" i="2"/>
  <c r="AJ56" i="2"/>
  <c r="AI56" i="2"/>
  <c r="AH56" i="2"/>
  <c r="AG56" i="2"/>
  <c r="AF56" i="2"/>
  <c r="AE56" i="2"/>
  <c r="AD56" i="2"/>
  <c r="AC56" i="2"/>
  <c r="AL55" i="2"/>
  <c r="AK55" i="2"/>
  <c r="AJ55" i="2"/>
  <c r="AI55" i="2"/>
  <c r="AH55" i="2"/>
  <c r="AG55" i="2"/>
  <c r="AF55" i="2"/>
  <c r="AE55" i="2"/>
  <c r="AD55" i="2"/>
  <c r="AC55" i="2"/>
  <c r="AL54" i="2"/>
  <c r="AK54" i="2"/>
  <c r="AJ54" i="2"/>
  <c r="AI54" i="2"/>
  <c r="AH54" i="2"/>
  <c r="AG54" i="2"/>
  <c r="AF54" i="2"/>
  <c r="AE54" i="2"/>
  <c r="AD54" i="2"/>
  <c r="AC54" i="2"/>
  <c r="Q56" i="2"/>
  <c r="P56" i="2"/>
  <c r="O56" i="2"/>
  <c r="N56" i="2"/>
  <c r="M56" i="2"/>
  <c r="L56" i="2"/>
  <c r="K56" i="2"/>
  <c r="J56" i="2"/>
  <c r="I56" i="2"/>
  <c r="H56" i="2"/>
  <c r="G56" i="2"/>
  <c r="F56" i="2"/>
  <c r="E56" i="2"/>
  <c r="D56" i="2"/>
  <c r="C56" i="2"/>
  <c r="B56" i="2"/>
  <c r="Q55" i="2"/>
  <c r="P55" i="2"/>
  <c r="O55" i="2"/>
  <c r="N55" i="2"/>
  <c r="M55" i="2"/>
  <c r="L55" i="2"/>
  <c r="K55" i="2"/>
  <c r="J55" i="2"/>
  <c r="I55" i="2"/>
  <c r="H55" i="2"/>
  <c r="G55" i="2"/>
  <c r="F55" i="2"/>
  <c r="E55" i="2"/>
  <c r="D55" i="2"/>
  <c r="C55" i="2"/>
  <c r="B55" i="2"/>
  <c r="Q54" i="2"/>
  <c r="P54" i="2"/>
  <c r="O54" i="2"/>
  <c r="N54" i="2"/>
  <c r="M54" i="2"/>
  <c r="L54" i="2"/>
  <c r="K54" i="2"/>
  <c r="J54" i="2"/>
  <c r="I54" i="2"/>
  <c r="H54" i="2"/>
  <c r="G54" i="2"/>
  <c r="F54" i="2"/>
  <c r="E54" i="2"/>
  <c r="D54" i="2"/>
  <c r="C54" i="2"/>
  <c r="B54" i="2"/>
  <c r="AR51" i="2"/>
  <c r="AQ51" i="2"/>
  <c r="AP51" i="2"/>
  <c r="AO51" i="2"/>
  <c r="AN51" i="2"/>
  <c r="AM51" i="2"/>
  <c r="AL51" i="2"/>
  <c r="AK51" i="2"/>
  <c r="AJ51" i="2"/>
  <c r="AI51" i="2"/>
  <c r="AH51" i="2"/>
  <c r="AG51" i="2"/>
  <c r="AF51" i="2"/>
  <c r="AE51" i="2"/>
  <c r="AD51" i="2"/>
  <c r="AC51" i="2"/>
  <c r="AR50" i="2"/>
  <c r="AQ50" i="2"/>
  <c r="AP50" i="2"/>
  <c r="AO50" i="2"/>
  <c r="AN50" i="2"/>
  <c r="AM50" i="2"/>
  <c r="AL50" i="2"/>
  <c r="AK50" i="2"/>
  <c r="AJ50" i="2"/>
  <c r="AI50" i="2"/>
  <c r="AH50" i="2"/>
  <c r="AG50" i="2"/>
  <c r="AF50" i="2"/>
  <c r="AE50" i="2"/>
  <c r="AD50" i="2"/>
  <c r="AC50" i="2"/>
  <c r="Q51" i="2"/>
  <c r="P51" i="2"/>
  <c r="O51" i="2"/>
  <c r="N51" i="2"/>
  <c r="M51" i="2"/>
  <c r="L51" i="2"/>
  <c r="K51" i="2"/>
  <c r="J51" i="2"/>
  <c r="I51" i="2"/>
  <c r="H51" i="2"/>
  <c r="G51" i="2"/>
  <c r="F51" i="2"/>
  <c r="E51" i="2"/>
  <c r="D51" i="2"/>
  <c r="C51" i="2"/>
  <c r="B51" i="2"/>
  <c r="Q50" i="2"/>
  <c r="P50" i="2"/>
  <c r="O50" i="2"/>
  <c r="N50" i="2"/>
  <c r="M50" i="2"/>
  <c r="L50" i="2"/>
  <c r="K50" i="2"/>
  <c r="J50" i="2"/>
  <c r="I50" i="2"/>
  <c r="H50" i="2"/>
  <c r="G50" i="2"/>
  <c r="F50" i="2"/>
  <c r="E50" i="2"/>
  <c r="D50" i="2"/>
  <c r="C50" i="2"/>
  <c r="B50" i="2"/>
  <c r="AB48" i="2"/>
  <c r="AA48" i="2"/>
  <c r="Z48" i="2"/>
  <c r="AJ42" i="2"/>
  <c r="AI42" i="2"/>
  <c r="AH42" i="2"/>
  <c r="AG42" i="2"/>
  <c r="AF42" i="2"/>
  <c r="AE42" i="2"/>
  <c r="AD42" i="2"/>
  <c r="AC42" i="2"/>
  <c r="AJ41" i="2"/>
  <c r="AI41" i="2"/>
  <c r="AH41" i="2"/>
  <c r="AG41" i="2"/>
  <c r="AF41" i="2"/>
  <c r="AE41" i="2"/>
  <c r="AD41" i="2"/>
  <c r="AC41" i="2"/>
  <c r="AL40" i="2"/>
  <c r="AK40" i="2"/>
  <c r="AJ40" i="2"/>
  <c r="AI40" i="2"/>
  <c r="AH40" i="2"/>
  <c r="AG40" i="2"/>
  <c r="AF40" i="2"/>
  <c r="AE40" i="2"/>
  <c r="AD40" i="2"/>
  <c r="AC40" i="2"/>
  <c r="AL39" i="2"/>
  <c r="AK39" i="2"/>
  <c r="AJ39" i="2"/>
  <c r="AI39" i="2"/>
  <c r="AH39" i="2"/>
  <c r="AG39" i="2"/>
  <c r="AF39" i="2"/>
  <c r="AE39" i="2"/>
  <c r="AD39" i="2"/>
  <c r="AC39" i="2"/>
  <c r="AL38" i="2"/>
  <c r="AK38" i="2"/>
  <c r="AJ38" i="2"/>
  <c r="AI38" i="2"/>
  <c r="AH38" i="2"/>
  <c r="AG38" i="2"/>
  <c r="AF38" i="2"/>
  <c r="AE38" i="2"/>
  <c r="AD38" i="2"/>
  <c r="AC38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C42" i="2"/>
  <c r="B42" i="2"/>
  <c r="Q41" i="2"/>
  <c r="P41" i="2"/>
  <c r="O41" i="2"/>
  <c r="N41" i="2"/>
  <c r="M41" i="2"/>
  <c r="L41" i="2"/>
  <c r="K41" i="2"/>
  <c r="J41" i="2"/>
  <c r="I41" i="2"/>
  <c r="H41" i="2"/>
  <c r="G41" i="2"/>
  <c r="F41" i="2"/>
  <c r="E41" i="2"/>
  <c r="D41" i="2"/>
  <c r="C41" i="2"/>
  <c r="B41" i="2"/>
  <c r="Q40" i="2"/>
  <c r="P40" i="2"/>
  <c r="O40" i="2"/>
  <c r="N40" i="2"/>
  <c r="M40" i="2"/>
  <c r="L40" i="2"/>
  <c r="K40" i="2"/>
  <c r="J40" i="2"/>
  <c r="I40" i="2"/>
  <c r="H40" i="2"/>
  <c r="G40" i="2"/>
  <c r="F40" i="2"/>
  <c r="E40" i="2"/>
  <c r="D40" i="2"/>
  <c r="C40" i="2"/>
  <c r="B40" i="2"/>
  <c r="Q39" i="2"/>
  <c r="P39" i="2"/>
  <c r="O39" i="2"/>
  <c r="N39" i="2"/>
  <c r="M39" i="2"/>
  <c r="L39" i="2"/>
  <c r="K39" i="2"/>
  <c r="J39" i="2"/>
  <c r="I39" i="2"/>
  <c r="H39" i="2"/>
  <c r="G39" i="2"/>
  <c r="F39" i="2"/>
  <c r="E39" i="2"/>
  <c r="D39" i="2"/>
  <c r="C39" i="2"/>
  <c r="B39" i="2"/>
  <c r="Q38" i="2"/>
  <c r="P38" i="2"/>
  <c r="O38" i="2"/>
  <c r="N38" i="2"/>
  <c r="M38" i="2"/>
  <c r="L38" i="2"/>
  <c r="K38" i="2"/>
  <c r="J38" i="2"/>
  <c r="I38" i="2"/>
  <c r="H38" i="2"/>
  <c r="G38" i="2"/>
  <c r="F38" i="2"/>
  <c r="E38" i="2"/>
  <c r="D38" i="2"/>
  <c r="C38" i="2"/>
  <c r="B38" i="2"/>
  <c r="P34" i="2"/>
  <c r="N34" i="2"/>
  <c r="N35" i="2" s="1"/>
  <c r="L34" i="2"/>
  <c r="L35" i="2" s="1"/>
  <c r="J34" i="2"/>
  <c r="J35" i="2" s="1"/>
  <c r="H34" i="2"/>
  <c r="F34" i="2"/>
  <c r="F35" i="2" s="1"/>
  <c r="D34" i="2"/>
  <c r="B34" i="2"/>
  <c r="B35" i="2" s="1"/>
  <c r="AJ34" i="2"/>
  <c r="AJ35" i="2" s="1"/>
  <c r="AI34" i="2"/>
  <c r="AH34" i="2"/>
  <c r="AG34" i="2"/>
  <c r="AG35" i="2" s="1"/>
  <c r="AF34" i="2"/>
  <c r="AF35" i="2" s="1"/>
  <c r="AE34" i="2"/>
  <c r="AD34" i="2"/>
  <c r="AC34" i="2"/>
  <c r="AC35" i="2" s="1"/>
  <c r="Q34" i="2"/>
  <c r="O34" i="2"/>
  <c r="M34" i="2"/>
  <c r="K34" i="2"/>
  <c r="I34" i="2"/>
  <c r="G34" i="2"/>
  <c r="E34" i="2"/>
  <c r="C34" i="2"/>
  <c r="P31" i="2"/>
  <c r="P30" i="2"/>
  <c r="N31" i="2"/>
  <c r="N30" i="2"/>
  <c r="L31" i="2"/>
  <c r="L30" i="2"/>
  <c r="J31" i="2"/>
  <c r="J30" i="2"/>
  <c r="H31" i="2"/>
  <c r="H30" i="2"/>
  <c r="F31" i="2"/>
  <c r="F30" i="2"/>
  <c r="D31" i="2"/>
  <c r="D30" i="2"/>
  <c r="B31" i="2"/>
  <c r="B30" i="2"/>
  <c r="AU30" i="2"/>
  <c r="AJ31" i="2"/>
  <c r="AI31" i="2"/>
  <c r="AH31" i="2"/>
  <c r="AG31" i="2"/>
  <c r="AF31" i="2"/>
  <c r="AE31" i="2"/>
  <c r="O31" i="2"/>
  <c r="O30" i="2"/>
  <c r="M31" i="2"/>
  <c r="M30" i="2"/>
  <c r="K31" i="2"/>
  <c r="K30" i="2"/>
  <c r="I31" i="2"/>
  <c r="I30" i="2"/>
  <c r="G31" i="2"/>
  <c r="G30" i="2"/>
  <c r="E31" i="2"/>
  <c r="E30" i="2"/>
  <c r="C31" i="2"/>
  <c r="C30" i="2"/>
  <c r="AS30" i="2"/>
  <c r="AR30" i="2"/>
  <c r="AQ30" i="2"/>
  <c r="AP30" i="2"/>
  <c r="AO30" i="2"/>
  <c r="AM30" i="2"/>
  <c r="AJ30" i="2"/>
  <c r="AI30" i="2"/>
  <c r="AH30" i="2"/>
  <c r="AG30" i="2"/>
  <c r="AF30" i="2"/>
  <c r="AE30" i="2"/>
  <c r="AD30" i="2"/>
  <c r="AC30" i="2"/>
  <c r="Q30" i="2"/>
  <c r="P27" i="2"/>
  <c r="N27" i="2"/>
  <c r="L27" i="2"/>
  <c r="J27" i="2"/>
  <c r="H27" i="2"/>
  <c r="F27" i="2"/>
  <c r="D27" i="2"/>
  <c r="B27" i="2"/>
  <c r="AL27" i="2"/>
  <c r="AK27" i="2"/>
  <c r="AJ27" i="2"/>
  <c r="AI27" i="2"/>
  <c r="AH27" i="2"/>
  <c r="AG27" i="2"/>
  <c r="AF27" i="2"/>
  <c r="AE27" i="2"/>
  <c r="AD27" i="2"/>
  <c r="AC27" i="2"/>
  <c r="Q27" i="2"/>
  <c r="O27" i="2"/>
  <c r="M27" i="2"/>
  <c r="K27" i="2"/>
  <c r="I27" i="2"/>
  <c r="G27" i="2"/>
  <c r="E27" i="2"/>
  <c r="C27" i="2"/>
  <c r="P22" i="2"/>
  <c r="P25" i="2" s="1"/>
  <c r="P21" i="2"/>
  <c r="N22" i="2"/>
  <c r="N21" i="2"/>
  <c r="L22" i="2"/>
  <c r="L25" i="2" s="1"/>
  <c r="L21" i="2"/>
  <c r="J22" i="2"/>
  <c r="J21" i="2"/>
  <c r="H22" i="2"/>
  <c r="H25" i="2" s="1"/>
  <c r="H21" i="2"/>
  <c r="F22" i="2"/>
  <c r="F21" i="2"/>
  <c r="D22" i="2"/>
  <c r="D21" i="2"/>
  <c r="B22" i="2"/>
  <c r="B21" i="2"/>
  <c r="Q22" i="2"/>
  <c r="Q21" i="2"/>
  <c r="O22" i="2"/>
  <c r="O21" i="2"/>
  <c r="M22" i="2"/>
  <c r="M21" i="2"/>
  <c r="K22" i="2"/>
  <c r="K21" i="2"/>
  <c r="I22" i="2"/>
  <c r="I21" i="2"/>
  <c r="G22" i="2"/>
  <c r="G21" i="2"/>
  <c r="E22" i="2"/>
  <c r="E21" i="2"/>
  <c r="C22" i="2"/>
  <c r="C21" i="2"/>
  <c r="AL22" i="2"/>
  <c r="AK22" i="2"/>
  <c r="AK25" i="2" s="1"/>
  <c r="AJ22" i="2"/>
  <c r="AI22" i="2"/>
  <c r="AI25" i="2" s="1"/>
  <c r="AH22" i="2"/>
  <c r="AG22" i="2"/>
  <c r="AG25" i="2" s="1"/>
  <c r="AF22" i="2"/>
  <c r="AE22" i="2"/>
  <c r="AD22" i="2"/>
  <c r="AC22" i="2"/>
  <c r="AC25" i="2" s="1"/>
  <c r="AR21" i="2"/>
  <c r="AQ21" i="2"/>
  <c r="AP21" i="2"/>
  <c r="AO21" i="2"/>
  <c r="AN21" i="2"/>
  <c r="AM21" i="2"/>
  <c r="AL21" i="2"/>
  <c r="AK21" i="2"/>
  <c r="AJ21" i="2"/>
  <c r="AI21" i="2"/>
  <c r="AH21" i="2"/>
  <c r="AG21" i="2"/>
  <c r="AF21" i="2"/>
  <c r="AE21" i="2"/>
  <c r="AD21" i="2"/>
  <c r="AC21" i="2"/>
  <c r="P18" i="2"/>
  <c r="P32" i="2" s="1"/>
  <c r="P17" i="2"/>
  <c r="N18" i="2"/>
  <c r="N17" i="2"/>
  <c r="L18" i="2"/>
  <c r="L32" i="2" s="1"/>
  <c r="L17" i="2"/>
  <c r="J18" i="2"/>
  <c r="J17" i="2"/>
  <c r="H18" i="2"/>
  <c r="H32" i="2" s="1"/>
  <c r="H17" i="2"/>
  <c r="F18" i="2"/>
  <c r="F17" i="2"/>
  <c r="D18" i="2"/>
  <c r="D32" i="2" s="1"/>
  <c r="D17" i="2"/>
  <c r="B18" i="2"/>
  <c r="B17" i="2"/>
  <c r="Z18" i="2"/>
  <c r="Q18" i="2"/>
  <c r="O18" i="2"/>
  <c r="O17" i="2"/>
  <c r="M18" i="2"/>
  <c r="M17" i="2"/>
  <c r="K18" i="2"/>
  <c r="K17" i="2"/>
  <c r="I18" i="2"/>
  <c r="I17" i="2"/>
  <c r="G18" i="2"/>
  <c r="G17" i="2"/>
  <c r="E18" i="2"/>
  <c r="E17" i="2"/>
  <c r="C18" i="2"/>
  <c r="C17" i="2"/>
  <c r="AL18" i="2"/>
  <c r="AK18" i="2"/>
  <c r="AK32" i="2" s="1"/>
  <c r="AJ18" i="2"/>
  <c r="AJ28" i="2" s="1"/>
  <c r="AI18" i="2"/>
  <c r="AI28" i="2" s="1"/>
  <c r="AH18" i="2"/>
  <c r="AG18" i="2"/>
  <c r="AG32" i="2" s="1"/>
  <c r="AF18" i="2"/>
  <c r="AF28" i="2" s="1"/>
  <c r="AE18" i="2"/>
  <c r="AE28" i="2" s="1"/>
  <c r="AD18" i="2"/>
  <c r="AC18" i="2"/>
  <c r="AC32" i="2" s="1"/>
  <c r="AL17" i="2"/>
  <c r="AK17" i="2"/>
  <c r="AJ17" i="2"/>
  <c r="AI17" i="2"/>
  <c r="AH17" i="2"/>
  <c r="AG17" i="2"/>
  <c r="AF17" i="2"/>
  <c r="AE17" i="2"/>
  <c r="AD17" i="2"/>
  <c r="AC17" i="2"/>
  <c r="Q17" i="2"/>
  <c r="P14" i="2"/>
  <c r="P13" i="2"/>
  <c r="N14" i="2"/>
  <c r="N13" i="2"/>
  <c r="L14" i="2"/>
  <c r="L13" i="2"/>
  <c r="J14" i="2"/>
  <c r="J13" i="2"/>
  <c r="H14" i="2"/>
  <c r="H13" i="2"/>
  <c r="F14" i="2"/>
  <c r="F13" i="2"/>
  <c r="D14" i="2"/>
  <c r="D13" i="2"/>
  <c r="B14" i="2"/>
  <c r="B13" i="2"/>
  <c r="Q14" i="2"/>
  <c r="Q13" i="2"/>
  <c r="O14" i="2"/>
  <c r="O13" i="2"/>
  <c r="M14" i="2"/>
  <c r="M13" i="2"/>
  <c r="K14" i="2"/>
  <c r="K13" i="2"/>
  <c r="I14" i="2"/>
  <c r="I13" i="2"/>
  <c r="G14" i="2"/>
  <c r="G13" i="2"/>
  <c r="E14" i="2"/>
  <c r="E13" i="2"/>
  <c r="C14" i="2"/>
  <c r="C13" i="2"/>
  <c r="AL14" i="2"/>
  <c r="AK14" i="2"/>
  <c r="AK19" i="2" s="1"/>
  <c r="AJ14" i="2"/>
  <c r="AI14" i="2"/>
  <c r="AI19" i="2" s="1"/>
  <c r="AH14" i="2"/>
  <c r="AG14" i="2"/>
  <c r="AF14" i="2"/>
  <c r="AE14" i="2"/>
  <c r="AE19" i="2" s="1"/>
  <c r="AD14" i="2"/>
  <c r="AC14" i="2"/>
  <c r="AC19" i="2" s="1"/>
  <c r="AW13" i="2"/>
  <c r="AV13" i="2"/>
  <c r="AU13" i="2"/>
  <c r="AT13" i="2"/>
  <c r="AS13" i="2"/>
  <c r="AR13" i="2"/>
  <c r="AQ13" i="2"/>
  <c r="AP13" i="2"/>
  <c r="AO13" i="2"/>
  <c r="AN13" i="2"/>
  <c r="AM13" i="2"/>
  <c r="AL13" i="2"/>
  <c r="AK13" i="2"/>
  <c r="AJ13" i="2"/>
  <c r="AI13" i="2"/>
  <c r="AH13" i="2"/>
  <c r="AG13" i="2"/>
  <c r="AF13" i="2"/>
  <c r="AE13" i="2"/>
  <c r="AD13" i="2"/>
  <c r="AD23" i="2" s="1"/>
  <c r="AC13" i="2"/>
  <c r="P10" i="2"/>
  <c r="P15" i="2" s="1"/>
  <c r="P9" i="2"/>
  <c r="P8" i="2"/>
  <c r="N10" i="2"/>
  <c r="N9" i="2"/>
  <c r="N8" i="2"/>
  <c r="L10" i="2"/>
  <c r="L15" i="2" s="1"/>
  <c r="L9" i="2"/>
  <c r="L8" i="2"/>
  <c r="J10" i="2"/>
  <c r="J9" i="2"/>
  <c r="J8" i="2"/>
  <c r="H10" i="2"/>
  <c r="H15" i="2" s="1"/>
  <c r="H9" i="2"/>
  <c r="H8" i="2"/>
  <c r="F10" i="2"/>
  <c r="F9" i="2"/>
  <c r="F8" i="2"/>
  <c r="D10" i="2"/>
  <c r="D15" i="2" s="1"/>
  <c r="D9" i="2"/>
  <c r="D8" i="2"/>
  <c r="B10" i="2"/>
  <c r="B9" i="2"/>
  <c r="B8" i="2"/>
  <c r="Q10" i="2"/>
  <c r="Q9" i="2"/>
  <c r="Q8" i="2"/>
  <c r="O10" i="2"/>
  <c r="O9" i="2"/>
  <c r="O8" i="2"/>
  <c r="M10" i="2"/>
  <c r="M9" i="2"/>
  <c r="M8" i="2"/>
  <c r="K10" i="2"/>
  <c r="K9" i="2"/>
  <c r="K8" i="2"/>
  <c r="I10" i="2"/>
  <c r="I9" i="2"/>
  <c r="I8" i="2"/>
  <c r="G10" i="2"/>
  <c r="G9" i="2"/>
  <c r="G8" i="2"/>
  <c r="E10" i="2"/>
  <c r="E9" i="2"/>
  <c r="E8" i="2"/>
  <c r="C10" i="2"/>
  <c r="C9" i="2"/>
  <c r="C8" i="2"/>
  <c r="A9" i="2"/>
  <c r="A8" i="2"/>
  <c r="AL10" i="2"/>
  <c r="AK10" i="2"/>
  <c r="AK15" i="2" s="1"/>
  <c r="AJ10" i="2"/>
  <c r="AI10" i="2"/>
  <c r="AH10" i="2"/>
  <c r="AG10" i="2"/>
  <c r="AF10" i="2"/>
  <c r="AE10" i="2"/>
  <c r="AD10" i="2"/>
  <c r="AC10" i="2"/>
  <c r="AC15" i="2" s="1"/>
  <c r="AW9" i="2"/>
  <c r="AV9" i="2"/>
  <c r="AU9" i="2"/>
  <c r="AT9" i="2"/>
  <c r="AS9" i="2"/>
  <c r="AR9" i="2"/>
  <c r="AQ9" i="2"/>
  <c r="AP9" i="2"/>
  <c r="AO9" i="2"/>
  <c r="AN9" i="2"/>
  <c r="AM9" i="2"/>
  <c r="AL9" i="2"/>
  <c r="AK9" i="2"/>
  <c r="AJ9" i="2"/>
  <c r="AI9" i="2"/>
  <c r="AH9" i="2"/>
  <c r="AG9" i="2"/>
  <c r="AF9" i="2"/>
  <c r="AE9" i="2"/>
  <c r="AD9" i="2"/>
  <c r="AC9" i="2"/>
  <c r="AL8" i="2"/>
  <c r="AL11" i="2" s="1"/>
  <c r="AK8" i="2"/>
  <c r="AJ8" i="2"/>
  <c r="AI8" i="2"/>
  <c r="AH8" i="2"/>
  <c r="AH11" i="2" s="1"/>
  <c r="AG8" i="2"/>
  <c r="AF8" i="2"/>
  <c r="AE8" i="2"/>
  <c r="AD8" i="2"/>
  <c r="AD11" i="2" s="1"/>
  <c r="AC8" i="2"/>
  <c r="AW5" i="2"/>
  <c r="AW48" i="2" s="1"/>
  <c r="AV5" i="2"/>
  <c r="AV48" i="2" s="1"/>
  <c r="AU5" i="2"/>
  <c r="AU48" i="2" s="1"/>
  <c r="AT5" i="2"/>
  <c r="AT48" i="2" s="1"/>
  <c r="AS5" i="2"/>
  <c r="AS48" i="2" s="1"/>
  <c r="AR5" i="2"/>
  <c r="AR48" i="2" s="1"/>
  <c r="AQ5" i="2"/>
  <c r="AQ48" i="2" s="1"/>
  <c r="AP5" i="2"/>
  <c r="AP48" i="2" s="1"/>
  <c r="AO5" i="2"/>
  <c r="AO48" i="2" s="1"/>
  <c r="AN5" i="2"/>
  <c r="AN48" i="2" s="1"/>
  <c r="AM5" i="2"/>
  <c r="AM48" i="2" s="1"/>
  <c r="AL5" i="2"/>
  <c r="AL48" i="2" s="1"/>
  <c r="AK5" i="2"/>
  <c r="AK48" i="2" s="1"/>
  <c r="AJ5" i="2"/>
  <c r="AJ48" i="2" s="1"/>
  <c r="AI5" i="2"/>
  <c r="AI48" i="2" s="1"/>
  <c r="AH5" i="2"/>
  <c r="AH48" i="2" s="1"/>
  <c r="AG5" i="2"/>
  <c r="AG48" i="2" s="1"/>
  <c r="AF5" i="2"/>
  <c r="AF48" i="2" s="1"/>
  <c r="AE5" i="2"/>
  <c r="AE48" i="2" s="1"/>
  <c r="AD48" i="2"/>
  <c r="AC48" i="2"/>
  <c r="Q5" i="2"/>
  <c r="Q48" i="2" s="1"/>
  <c r="P5" i="2"/>
  <c r="P48" i="2" s="1"/>
  <c r="O5" i="2"/>
  <c r="O48" i="2" s="1"/>
  <c r="N5" i="2"/>
  <c r="N48" i="2" s="1"/>
  <c r="M5" i="2"/>
  <c r="M48" i="2" s="1"/>
  <c r="L5" i="2"/>
  <c r="L48" i="2" s="1"/>
  <c r="K5" i="2"/>
  <c r="K48" i="2" s="1"/>
  <c r="J5" i="2"/>
  <c r="J48" i="2" s="1"/>
  <c r="I5" i="2"/>
  <c r="I48" i="2" s="1"/>
  <c r="H5" i="2"/>
  <c r="H48" i="2" s="1"/>
  <c r="G5" i="2"/>
  <c r="G48" i="2" s="1"/>
  <c r="F5" i="2"/>
  <c r="F48" i="2" s="1"/>
  <c r="E5" i="2"/>
  <c r="E48" i="2" s="1"/>
  <c r="D5" i="2"/>
  <c r="D48" i="2" s="1"/>
  <c r="C5" i="2"/>
  <c r="C48" i="2" s="1"/>
  <c r="B5" i="2"/>
  <c r="B48" i="2" s="1"/>
  <c r="AT4" i="2"/>
  <c r="AT3" i="2"/>
  <c r="AR4" i="2"/>
  <c r="AR3" i="2"/>
  <c r="AP4" i="2"/>
  <c r="AP47" i="2" s="1"/>
  <c r="AP3" i="2"/>
  <c r="AP46" i="2" s="1"/>
  <c r="AN4" i="2"/>
  <c r="AN47" i="2" s="1"/>
  <c r="AN3" i="2"/>
  <c r="AN46" i="2" s="1"/>
  <c r="AL4" i="2"/>
  <c r="AL47" i="2" s="1"/>
  <c r="AL3" i="2"/>
  <c r="AL46" i="2" s="1"/>
  <c r="AJ4" i="2"/>
  <c r="AJ47" i="2" s="1"/>
  <c r="AJ3" i="2"/>
  <c r="AJ46" i="2" s="1"/>
  <c r="AH4" i="2"/>
  <c r="AH3" i="2"/>
  <c r="AF4" i="2"/>
  <c r="AF3" i="2"/>
  <c r="Q4" i="2"/>
  <c r="Q3" i="2"/>
  <c r="O4" i="2"/>
  <c r="O3" i="2"/>
  <c r="M4" i="2"/>
  <c r="M3" i="2"/>
  <c r="K4" i="2"/>
  <c r="K47" i="2" s="1"/>
  <c r="K3" i="2"/>
  <c r="K46" i="2" s="1"/>
  <c r="AW4" i="2"/>
  <c r="AW47" i="2" s="1"/>
  <c r="AV4" i="2"/>
  <c r="AW3" i="2"/>
  <c r="AV3" i="2"/>
  <c r="AD3" i="2"/>
  <c r="AV257" i="1"/>
  <c r="AT257" i="1"/>
  <c r="AR257" i="1"/>
  <c r="AP257" i="1"/>
  <c r="AN257" i="1"/>
  <c r="AL257" i="1"/>
  <c r="AH257" i="1"/>
  <c r="AD257" i="1"/>
  <c r="Y257" i="1"/>
  <c r="W257" i="1"/>
  <c r="U257" i="1"/>
  <c r="S257" i="1"/>
  <c r="Q257" i="1"/>
  <c r="O257" i="1"/>
  <c r="M257" i="1"/>
  <c r="K257" i="1"/>
  <c r="I257" i="1"/>
  <c r="G257" i="1"/>
  <c r="E257" i="1"/>
  <c r="C257" i="1"/>
  <c r="E251" i="1"/>
  <c r="C252" i="1"/>
  <c r="C251" i="1"/>
  <c r="AI251" i="1"/>
  <c r="AH251" i="1"/>
  <c r="AF251" i="1"/>
  <c r="AG251" i="1" s="1"/>
  <c r="AE251" i="1"/>
  <c r="AD251" i="1"/>
  <c r="AD246" i="1"/>
  <c r="AL235" i="1"/>
  <c r="AH235" i="1"/>
  <c r="AI235" i="1" s="1"/>
  <c r="AG235" i="1"/>
  <c r="AF235" i="1"/>
  <c r="AD235" i="1"/>
  <c r="Q235" i="1"/>
  <c r="R235" i="1" s="1"/>
  <c r="O235" i="1"/>
  <c r="P235" i="1" s="1"/>
  <c r="M235" i="1"/>
  <c r="N235" i="1" s="1"/>
  <c r="K235" i="1"/>
  <c r="I235" i="1"/>
  <c r="G235" i="1"/>
  <c r="E235" i="1"/>
  <c r="C235" i="1"/>
  <c r="AG234" i="1"/>
  <c r="AG233" i="1"/>
  <c r="AG232" i="1"/>
  <c r="P234" i="1"/>
  <c r="P233" i="1"/>
  <c r="P232" i="1"/>
  <c r="N234" i="1"/>
  <c r="N233" i="1"/>
  <c r="N232" i="1"/>
  <c r="L234" i="1"/>
  <c r="L233" i="1"/>
  <c r="L232" i="1"/>
  <c r="AM234" i="1"/>
  <c r="AL234" i="1"/>
  <c r="AK234" i="1"/>
  <c r="AJ234" i="1"/>
  <c r="AI234" i="1"/>
  <c r="AL233" i="1"/>
  <c r="AM233" i="1" s="1"/>
  <c r="AK233" i="1"/>
  <c r="AJ233" i="1"/>
  <c r="AJ235" i="1" s="1"/>
  <c r="AK235" i="1" s="1"/>
  <c r="AI233" i="1"/>
  <c r="AL232" i="1"/>
  <c r="AM232" i="1" s="1"/>
  <c r="AK232" i="1"/>
  <c r="AJ232" i="1"/>
  <c r="AI232" i="1"/>
  <c r="R234" i="1"/>
  <c r="R233" i="1"/>
  <c r="R232" i="1"/>
  <c r="AL229" i="1"/>
  <c r="AJ229" i="1"/>
  <c r="N229" i="1"/>
  <c r="L229" i="1"/>
  <c r="G229" i="1"/>
  <c r="P229" i="1" s="1"/>
  <c r="G227" i="1"/>
  <c r="E227" i="1"/>
  <c r="C226" i="1"/>
  <c r="C246" i="1" s="1"/>
  <c r="C248" i="1" s="1"/>
  <c r="AE228" i="1"/>
  <c r="AD228" i="1"/>
  <c r="AH227" i="1"/>
  <c r="AI227" i="1" s="1"/>
  <c r="AG227" i="1"/>
  <c r="AF227" i="1"/>
  <c r="AD227" i="1"/>
  <c r="AE227" i="1" s="1"/>
  <c r="AI226" i="1"/>
  <c r="AH226" i="1"/>
  <c r="AH246" i="1" s="1"/>
  <c r="AF226" i="1"/>
  <c r="AF246" i="1" s="1"/>
  <c r="AE226" i="1"/>
  <c r="AD226" i="1"/>
  <c r="U229" i="1"/>
  <c r="V229" i="1" s="1"/>
  <c r="T229" i="1"/>
  <c r="S229" i="1"/>
  <c r="R229" i="1"/>
  <c r="AG224" i="1"/>
  <c r="AG222" i="1"/>
  <c r="AG221" i="1"/>
  <c r="AE224" i="1"/>
  <c r="AE222" i="1"/>
  <c r="AE221" i="1"/>
  <c r="P224" i="1"/>
  <c r="G224" i="1"/>
  <c r="E224" i="1"/>
  <c r="C224" i="1"/>
  <c r="C247" i="1" s="1"/>
  <c r="AH223" i="1"/>
  <c r="AF223" i="1"/>
  <c r="AI223" i="1" s="1"/>
  <c r="AD223" i="1"/>
  <c r="AE223" i="1" s="1"/>
  <c r="P223" i="1"/>
  <c r="N223" i="1"/>
  <c r="L223" i="1"/>
  <c r="L222" i="1"/>
  <c r="Q222" i="1"/>
  <c r="Q224" i="1" s="1"/>
  <c r="O222" i="1"/>
  <c r="O224" i="1" s="1"/>
  <c r="M222" i="1"/>
  <c r="K222" i="1"/>
  <c r="I222" i="1"/>
  <c r="AI224" i="1"/>
  <c r="AL223" i="1"/>
  <c r="AM223" i="1" s="1"/>
  <c r="AK223" i="1"/>
  <c r="AJ223" i="1"/>
  <c r="AI222" i="1"/>
  <c r="AK221" i="1"/>
  <c r="AJ221" i="1"/>
  <c r="AI221" i="1"/>
  <c r="AL220" i="1"/>
  <c r="AM220" i="1" s="1"/>
  <c r="AJ220" i="1"/>
  <c r="Y223" i="1"/>
  <c r="AN223" i="1" s="1"/>
  <c r="AP223" i="1" s="1"/>
  <c r="U223" i="1"/>
  <c r="W223" i="1" s="1"/>
  <c r="X223" i="1" s="1"/>
  <c r="S223" i="1"/>
  <c r="T223" i="1" s="1"/>
  <c r="R223" i="1"/>
  <c r="R220" i="1"/>
  <c r="R219" i="1"/>
  <c r="AT214" i="1"/>
  <c r="AP214" i="1"/>
  <c r="AR214" i="1" s="1"/>
  <c r="AN214" i="1"/>
  <c r="AN212" i="1"/>
  <c r="AL214" i="1"/>
  <c r="AM214" i="1" s="1"/>
  <c r="AJ214" i="1"/>
  <c r="AJ212" i="1"/>
  <c r="AK212" i="1" s="1"/>
  <c r="AJ211" i="1"/>
  <c r="AH215" i="1"/>
  <c r="C215" i="1"/>
  <c r="AS214" i="1"/>
  <c r="AQ214" i="1"/>
  <c r="AO214" i="1"/>
  <c r="AK214" i="1"/>
  <c r="AK211" i="1"/>
  <c r="AI214" i="1"/>
  <c r="AI212" i="1"/>
  <c r="AI211" i="1"/>
  <c r="AG214" i="1"/>
  <c r="AG212" i="1"/>
  <c r="AG211" i="1"/>
  <c r="AE214" i="1"/>
  <c r="AE213" i="1"/>
  <c r="AE212" i="1"/>
  <c r="AE211" i="1"/>
  <c r="Z214" i="1"/>
  <c r="X214" i="1"/>
  <c r="V214" i="1"/>
  <c r="T214" i="1"/>
  <c r="R214" i="1"/>
  <c r="P214" i="1"/>
  <c r="N214" i="1"/>
  <c r="L214" i="1"/>
  <c r="AH213" i="1"/>
  <c r="AF213" i="1"/>
  <c r="AI213" i="1" s="1"/>
  <c r="AD213" i="1"/>
  <c r="AD215" i="1" s="1"/>
  <c r="AE215" i="1" s="1"/>
  <c r="Y212" i="1"/>
  <c r="I212" i="1"/>
  <c r="K212" i="1" s="1"/>
  <c r="G212" i="1"/>
  <c r="G211" i="1"/>
  <c r="G213" i="1" s="1"/>
  <c r="G215" i="1" s="1"/>
  <c r="E213" i="1"/>
  <c r="E215" i="1" s="1"/>
  <c r="C213" i="1"/>
  <c r="AP207" i="1"/>
  <c r="AN207" i="1"/>
  <c r="AL207" i="1"/>
  <c r="AL204" i="1"/>
  <c r="AL203" i="1"/>
  <c r="AL202" i="1"/>
  <c r="AL201" i="1"/>
  <c r="AJ207" i="1"/>
  <c r="AJ204" i="1"/>
  <c r="AJ203" i="1"/>
  <c r="AJ202" i="1"/>
  <c r="AJ201" i="1"/>
  <c r="AJ206" i="1" s="1"/>
  <c r="AJ208" i="1" s="1"/>
  <c r="AH207" i="1"/>
  <c r="AF207" i="1"/>
  <c r="AD207" i="1"/>
  <c r="Y207" i="1"/>
  <c r="W207" i="1"/>
  <c r="U207" i="1"/>
  <c r="S207" i="1"/>
  <c r="S203" i="1"/>
  <c r="U203" i="1" s="1"/>
  <c r="W203" i="1" s="1"/>
  <c r="Y203" i="1" s="1"/>
  <c r="AN203" i="1" s="1"/>
  <c r="AP203" i="1" s="1"/>
  <c r="AR203" i="1" s="1"/>
  <c r="AT203" i="1" s="1"/>
  <c r="AV203" i="1" s="1"/>
  <c r="S202" i="1"/>
  <c r="U202" i="1" s="1"/>
  <c r="W202" i="1" s="1"/>
  <c r="Y202" i="1" s="1"/>
  <c r="AN202" i="1" s="1"/>
  <c r="AP202" i="1" s="1"/>
  <c r="AR202" i="1" s="1"/>
  <c r="AT202" i="1" s="1"/>
  <c r="AV202" i="1" s="1"/>
  <c r="S201" i="1"/>
  <c r="Q207" i="1"/>
  <c r="Q208" i="1" s="1"/>
  <c r="Q216" i="1" s="1"/>
  <c r="O207" i="1"/>
  <c r="O208" i="1" s="1"/>
  <c r="O216" i="1" s="1"/>
  <c r="M207" i="1"/>
  <c r="M208" i="1" s="1"/>
  <c r="K207" i="1"/>
  <c r="K208" i="1" s="1"/>
  <c r="I207" i="1"/>
  <c r="I208" i="1" s="1"/>
  <c r="G207" i="1"/>
  <c r="E207" i="1"/>
  <c r="C207" i="1"/>
  <c r="Q205" i="1"/>
  <c r="AL205" i="1" s="1"/>
  <c r="O205" i="1"/>
  <c r="M205" i="1"/>
  <c r="K205" i="1"/>
  <c r="I205" i="1"/>
  <c r="AJ205" i="1" s="1"/>
  <c r="I183" i="1"/>
  <c r="G184" i="1"/>
  <c r="G183" i="1"/>
  <c r="G181" i="1"/>
  <c r="E184" i="1"/>
  <c r="E183" i="1"/>
  <c r="E182" i="1"/>
  <c r="E181" i="1"/>
  <c r="C184" i="1"/>
  <c r="C183" i="1"/>
  <c r="L183" i="1" s="1"/>
  <c r="C182" i="1"/>
  <c r="C181" i="1"/>
  <c r="AD184" i="1"/>
  <c r="AD183" i="1"/>
  <c r="AE183" i="1" s="1"/>
  <c r="AD182" i="1"/>
  <c r="AL184" i="1"/>
  <c r="AH184" i="1"/>
  <c r="AH183" i="1"/>
  <c r="AI183" i="1" s="1"/>
  <c r="AH182" i="1"/>
  <c r="AI182" i="1" s="1"/>
  <c r="AF183" i="1"/>
  <c r="AF182" i="1"/>
  <c r="Q184" i="1"/>
  <c r="Q183" i="1"/>
  <c r="R183" i="1" s="1"/>
  <c r="Q182" i="1"/>
  <c r="Q181" i="1"/>
  <c r="O184" i="1"/>
  <c r="O183" i="1"/>
  <c r="O182" i="1"/>
  <c r="O181" i="1"/>
  <c r="M184" i="1"/>
  <c r="M183" i="1"/>
  <c r="M182" i="1"/>
  <c r="M181" i="1"/>
  <c r="K184" i="1"/>
  <c r="K183" i="1"/>
  <c r="K182" i="1"/>
  <c r="L182" i="1" s="1"/>
  <c r="K181" i="1"/>
  <c r="AG183" i="1"/>
  <c r="AG182" i="1"/>
  <c r="AE182" i="1"/>
  <c r="P182" i="1"/>
  <c r="P181" i="1"/>
  <c r="N182" i="1"/>
  <c r="N181" i="1"/>
  <c r="L181" i="1"/>
  <c r="AM177" i="1"/>
  <c r="AL177" i="1"/>
  <c r="AK177" i="1"/>
  <c r="AI177" i="1"/>
  <c r="AG177" i="1"/>
  <c r="AE177" i="1"/>
  <c r="P177" i="1"/>
  <c r="P175" i="1"/>
  <c r="P174" i="1"/>
  <c r="N177" i="1"/>
  <c r="N176" i="1"/>
  <c r="N174" i="1"/>
  <c r="L177" i="1"/>
  <c r="I177" i="1"/>
  <c r="I184" i="1" s="1"/>
  <c r="I176" i="1"/>
  <c r="R176" i="1" s="1"/>
  <c r="I175" i="1"/>
  <c r="AJ175" i="1" s="1"/>
  <c r="AK175" i="1" s="1"/>
  <c r="G177" i="1"/>
  <c r="G182" i="1" s="1"/>
  <c r="G176" i="1"/>
  <c r="G252" i="1" s="1"/>
  <c r="AL174" i="1"/>
  <c r="AJ176" i="1"/>
  <c r="AJ174" i="1"/>
  <c r="AM174" i="1" s="1"/>
  <c r="AH176" i="1"/>
  <c r="AF176" i="1"/>
  <c r="AD176" i="1"/>
  <c r="O176" i="1"/>
  <c r="P176" i="1" s="1"/>
  <c r="M176" i="1"/>
  <c r="M175" i="1"/>
  <c r="N175" i="1" s="1"/>
  <c r="K175" i="1"/>
  <c r="K174" i="1"/>
  <c r="L174" i="1" s="1"/>
  <c r="E176" i="1"/>
  <c r="E252" i="1" s="1"/>
  <c r="C176" i="1"/>
  <c r="AI175" i="1"/>
  <c r="AG175" i="1"/>
  <c r="AE175" i="1"/>
  <c r="AH174" i="1"/>
  <c r="AF174" i="1"/>
  <c r="AD174" i="1"/>
  <c r="R177" i="1"/>
  <c r="U176" i="1"/>
  <c r="S176" i="1"/>
  <c r="R175" i="1"/>
  <c r="R174" i="1"/>
  <c r="AC168" i="1"/>
  <c r="AB168" i="1"/>
  <c r="AA168" i="1"/>
  <c r="Y166" i="1"/>
  <c r="W166" i="1"/>
  <c r="U166" i="1"/>
  <c r="U162" i="1" s="1"/>
  <c r="S166" i="1"/>
  <c r="Q166" i="1"/>
  <c r="O166" i="1"/>
  <c r="M166" i="1"/>
  <c r="K166" i="1"/>
  <c r="I166" i="1"/>
  <c r="G166" i="1"/>
  <c r="G221" i="1" s="1"/>
  <c r="E166" i="1"/>
  <c r="C166" i="1"/>
  <c r="AV166" i="1"/>
  <c r="AW166" i="1" s="1"/>
  <c r="AU166" i="1"/>
  <c r="AT166" i="1"/>
  <c r="AR166" i="1"/>
  <c r="AS166" i="1" s="1"/>
  <c r="AQ166" i="1"/>
  <c r="AP166" i="1"/>
  <c r="AO166" i="1"/>
  <c r="AM166" i="1"/>
  <c r="AM164" i="1"/>
  <c r="AK166" i="1"/>
  <c r="AK164" i="1"/>
  <c r="AK163" i="1"/>
  <c r="AI166" i="1"/>
  <c r="AI165" i="1"/>
  <c r="AI164" i="1"/>
  <c r="AI163" i="1"/>
  <c r="AI162" i="1"/>
  <c r="AG166" i="1"/>
  <c r="AG165" i="1"/>
  <c r="AG164" i="1"/>
  <c r="AG163" i="1"/>
  <c r="AG162" i="1"/>
  <c r="AE166" i="1"/>
  <c r="AE165" i="1"/>
  <c r="AE164" i="1"/>
  <c r="AE163" i="1"/>
  <c r="AE162" i="1"/>
  <c r="AW165" i="1"/>
  <c r="AU165" i="1"/>
  <c r="AU164" i="1"/>
  <c r="AS165" i="1"/>
  <c r="AS164" i="1"/>
  <c r="AQ164" i="1"/>
  <c r="AN165" i="1"/>
  <c r="AL165" i="1"/>
  <c r="AM165" i="1" s="1"/>
  <c r="AJ165" i="1"/>
  <c r="AK165" i="1" s="1"/>
  <c r="Z165" i="1"/>
  <c r="Z164" i="1"/>
  <c r="X165" i="1"/>
  <c r="X164" i="1"/>
  <c r="V165" i="1"/>
  <c r="V164" i="1"/>
  <c r="T165" i="1"/>
  <c r="T164" i="1"/>
  <c r="R165" i="1"/>
  <c r="R164" i="1"/>
  <c r="R163" i="1"/>
  <c r="R162" i="1"/>
  <c r="P165" i="1"/>
  <c r="P164" i="1"/>
  <c r="P163" i="1"/>
  <c r="P162" i="1"/>
  <c r="N165" i="1"/>
  <c r="N164" i="1"/>
  <c r="N163" i="1"/>
  <c r="L165" i="1"/>
  <c r="L164" i="1"/>
  <c r="L163" i="1"/>
  <c r="AW164" i="1"/>
  <c r="AO164" i="1"/>
  <c r="AL162" i="1"/>
  <c r="AJ163" i="1"/>
  <c r="AJ162" i="1"/>
  <c r="AM162" i="1" s="1"/>
  <c r="U163" i="1"/>
  <c r="W163" i="1" s="1"/>
  <c r="S163" i="1"/>
  <c r="T163" i="1" s="1"/>
  <c r="S162" i="1"/>
  <c r="S175" i="1" s="1"/>
  <c r="T175" i="1" s="1"/>
  <c r="E162" i="1"/>
  <c r="N162" i="1" s="1"/>
  <c r="C162" i="1"/>
  <c r="L162" i="1" s="1"/>
  <c r="AF160" i="1"/>
  <c r="M160" i="1"/>
  <c r="N160" i="1" s="1"/>
  <c r="E160" i="1"/>
  <c r="AU159" i="1"/>
  <c r="AS159" i="1"/>
  <c r="AQ159" i="1"/>
  <c r="AO159" i="1"/>
  <c r="AM159" i="1"/>
  <c r="AK159" i="1"/>
  <c r="AI159" i="1"/>
  <c r="AI157" i="1"/>
  <c r="AG159" i="1"/>
  <c r="AG157" i="1"/>
  <c r="Z159" i="1"/>
  <c r="Z157" i="1"/>
  <c r="X159" i="1"/>
  <c r="X157" i="1"/>
  <c r="V159" i="1"/>
  <c r="V157" i="1"/>
  <c r="T159" i="1"/>
  <c r="T158" i="1"/>
  <c r="T157" i="1"/>
  <c r="R159" i="1"/>
  <c r="R157" i="1"/>
  <c r="P159" i="1"/>
  <c r="P157" i="1"/>
  <c r="N159" i="1"/>
  <c r="N157" i="1"/>
  <c r="L159" i="1"/>
  <c r="L158" i="1"/>
  <c r="L157" i="1"/>
  <c r="AN157" i="1"/>
  <c r="AL157" i="1"/>
  <c r="AJ158" i="1"/>
  <c r="AK158" i="1" s="1"/>
  <c r="AJ157" i="1"/>
  <c r="AK157" i="1" s="1"/>
  <c r="AH158" i="1"/>
  <c r="AH160" i="1" s="1"/>
  <c r="AI160" i="1" s="1"/>
  <c r="AF158" i="1"/>
  <c r="AD158" i="1"/>
  <c r="AG158" i="1" s="1"/>
  <c r="S158" i="1"/>
  <c r="S160" i="1" s="1"/>
  <c r="Q158" i="1"/>
  <c r="Q160" i="1" s="1"/>
  <c r="O158" i="1"/>
  <c r="P158" i="1" s="1"/>
  <c r="M158" i="1"/>
  <c r="N158" i="1" s="1"/>
  <c r="K158" i="1"/>
  <c r="K160" i="1" s="1"/>
  <c r="I158" i="1"/>
  <c r="I160" i="1" s="1"/>
  <c r="G158" i="1"/>
  <c r="G160" i="1" s="1"/>
  <c r="E158" i="1"/>
  <c r="C158" i="1"/>
  <c r="C160" i="1" s="1"/>
  <c r="AX159" i="1"/>
  <c r="AW159" i="1"/>
  <c r="I152" i="1"/>
  <c r="G154" i="1"/>
  <c r="G152" i="1"/>
  <c r="E154" i="1"/>
  <c r="E152" i="1"/>
  <c r="C154" i="1"/>
  <c r="AE154" i="1"/>
  <c r="AD154" i="1"/>
  <c r="AG152" i="1"/>
  <c r="AF152" i="1"/>
  <c r="AF154" i="1" s="1"/>
  <c r="AE152" i="1"/>
  <c r="E141" i="1"/>
  <c r="N141" i="1" s="1"/>
  <c r="C141" i="1"/>
  <c r="Z142" i="1"/>
  <c r="X142" i="1"/>
  <c r="V142" i="1"/>
  <c r="T142" i="1"/>
  <c r="R142" i="1"/>
  <c r="P142" i="1"/>
  <c r="P141" i="1"/>
  <c r="AD141" i="1"/>
  <c r="AE141" i="1" s="1"/>
  <c r="Q141" i="1"/>
  <c r="R141" i="1" s="1"/>
  <c r="O141" i="1"/>
  <c r="M141" i="1"/>
  <c r="K141" i="1"/>
  <c r="L141" i="1" s="1"/>
  <c r="I141" i="1"/>
  <c r="G141" i="1"/>
  <c r="AW140" i="1"/>
  <c r="AW139" i="1"/>
  <c r="AW138" i="1"/>
  <c r="AW137" i="1"/>
  <c r="AU140" i="1"/>
  <c r="AU139" i="1"/>
  <c r="AU138" i="1"/>
  <c r="AU137" i="1"/>
  <c r="AS140" i="1"/>
  <c r="AS139" i="1"/>
  <c r="AS138" i="1"/>
  <c r="AS137" i="1"/>
  <c r="AQ140" i="1"/>
  <c r="AQ139" i="1"/>
  <c r="AQ137" i="1"/>
  <c r="AO140" i="1"/>
  <c r="AO139" i="1"/>
  <c r="AM140" i="1"/>
  <c r="AM139" i="1"/>
  <c r="AG140" i="1"/>
  <c r="AG137" i="1"/>
  <c r="AG136" i="1"/>
  <c r="AJ140" i="1"/>
  <c r="AJ184" i="1" s="1"/>
  <c r="AI140" i="1"/>
  <c r="AK139" i="1"/>
  <c r="AJ139" i="1"/>
  <c r="AJ257" i="1" s="1"/>
  <c r="AF139" i="1"/>
  <c r="AG139" i="1" s="1"/>
  <c r="AF138" i="1"/>
  <c r="AF181" i="1" s="1"/>
  <c r="AG181" i="1" s="1"/>
  <c r="AN138" i="1"/>
  <c r="AN137" i="1"/>
  <c r="AL138" i="1"/>
  <c r="AM138" i="1" s="1"/>
  <c r="AJ138" i="1"/>
  <c r="AJ181" i="1" s="1"/>
  <c r="AH138" i="1"/>
  <c r="AH181" i="1" s="1"/>
  <c r="AI181" i="1" s="1"/>
  <c r="AE138" i="1"/>
  <c r="AD138" i="1"/>
  <c r="AD181" i="1" s="1"/>
  <c r="AE181" i="1" s="1"/>
  <c r="Z138" i="1"/>
  <c r="X138" i="1"/>
  <c r="V138" i="1"/>
  <c r="T138" i="1"/>
  <c r="R138" i="1"/>
  <c r="P138" i="1"/>
  <c r="N138" i="1"/>
  <c r="L138" i="1"/>
  <c r="AE137" i="1"/>
  <c r="AE136" i="1"/>
  <c r="AL137" i="1"/>
  <c r="AJ137" i="1"/>
  <c r="AJ183" i="1" s="1"/>
  <c r="AK183" i="1" s="1"/>
  <c r="AI137" i="1"/>
  <c r="AL136" i="1"/>
  <c r="AJ136" i="1"/>
  <c r="AJ182" i="1" s="1"/>
  <c r="AK182" i="1" s="1"/>
  <c r="AI136" i="1"/>
  <c r="R136" i="1"/>
  <c r="P136" i="1"/>
  <c r="N136" i="1"/>
  <c r="L136" i="1"/>
  <c r="AD128" i="1"/>
  <c r="AD187" i="1" s="1"/>
  <c r="I125" i="1"/>
  <c r="G128" i="1"/>
  <c r="G187" i="1" s="1"/>
  <c r="G125" i="1"/>
  <c r="E128" i="1"/>
  <c r="E187" i="1" s="1"/>
  <c r="E125" i="1"/>
  <c r="C128" i="1"/>
  <c r="C187" i="1" s="1"/>
  <c r="C125" i="1"/>
  <c r="AV128" i="1"/>
  <c r="AT128" i="1"/>
  <c r="AR128" i="1"/>
  <c r="AP128" i="1"/>
  <c r="AH128" i="1"/>
  <c r="AF128" i="1"/>
  <c r="AF187" i="1" s="1"/>
  <c r="AG187" i="1" s="1"/>
  <c r="Y128" i="1"/>
  <c r="W128" i="1"/>
  <c r="U128" i="1"/>
  <c r="S128" i="1"/>
  <c r="Q128" i="1"/>
  <c r="Q187" i="1" s="1"/>
  <c r="Q125" i="1"/>
  <c r="O128" i="1"/>
  <c r="O187" i="1" s="1"/>
  <c r="P187" i="1" s="1"/>
  <c r="O125" i="1"/>
  <c r="M125" i="1"/>
  <c r="N125" i="1" s="1"/>
  <c r="K125" i="1"/>
  <c r="P125" i="1"/>
  <c r="L125" i="1"/>
  <c r="AH126" i="1"/>
  <c r="AG125" i="1"/>
  <c r="AF125" i="1"/>
  <c r="AI125" i="1"/>
  <c r="AH122" i="1"/>
  <c r="AD122" i="1"/>
  <c r="I121" i="1"/>
  <c r="I119" i="1"/>
  <c r="G121" i="1"/>
  <c r="G119" i="1"/>
  <c r="P119" i="1" s="1"/>
  <c r="E121" i="1"/>
  <c r="E120" i="1"/>
  <c r="E122" i="1" s="1"/>
  <c r="E119" i="1"/>
  <c r="C121" i="1"/>
  <c r="C119" i="1"/>
  <c r="AG121" i="1"/>
  <c r="AG120" i="1"/>
  <c r="AG119" i="1"/>
  <c r="AF120" i="1"/>
  <c r="AF122" i="1" s="1"/>
  <c r="AI121" i="1"/>
  <c r="AI120" i="1"/>
  <c r="AI119" i="1"/>
  <c r="Q121" i="1"/>
  <c r="P121" i="1"/>
  <c r="O121" i="1"/>
  <c r="M121" i="1"/>
  <c r="N121" i="1" s="1"/>
  <c r="K121" i="1"/>
  <c r="L121" i="1" s="1"/>
  <c r="Q120" i="1"/>
  <c r="O120" i="1"/>
  <c r="O122" i="1" s="1"/>
  <c r="Q119" i="1"/>
  <c r="R119" i="1" s="1"/>
  <c r="O119" i="1"/>
  <c r="M119" i="1"/>
  <c r="N119" i="1" s="1"/>
  <c r="K119" i="1"/>
  <c r="L119" i="1" s="1"/>
  <c r="AH116" i="1"/>
  <c r="AH124" i="1" s="1"/>
  <c r="AH127" i="1" s="1"/>
  <c r="AH129" i="1" s="1"/>
  <c r="AD116" i="1"/>
  <c r="AD124" i="1" s="1"/>
  <c r="I115" i="1"/>
  <c r="I114" i="1"/>
  <c r="I116" i="1" s="1"/>
  <c r="G115" i="1"/>
  <c r="G114" i="1"/>
  <c r="G116" i="1" s="1"/>
  <c r="E116" i="1"/>
  <c r="E124" i="1" s="1"/>
  <c r="E115" i="1"/>
  <c r="E114" i="1"/>
  <c r="C115" i="1"/>
  <c r="C116" i="1" s="1"/>
  <c r="C114" i="1"/>
  <c r="AG115" i="1"/>
  <c r="AI115" i="1"/>
  <c r="AF114" i="1"/>
  <c r="AG114" i="1" s="1"/>
  <c r="R115" i="1"/>
  <c r="Q115" i="1"/>
  <c r="O115" i="1"/>
  <c r="P115" i="1" s="1"/>
  <c r="N115" i="1"/>
  <c r="M115" i="1"/>
  <c r="K115" i="1"/>
  <c r="L115" i="1" s="1"/>
  <c r="Q114" i="1"/>
  <c r="Q116" i="1" s="1"/>
  <c r="R116" i="1" s="1"/>
  <c r="O114" i="1"/>
  <c r="P114" i="1" s="1"/>
  <c r="N114" i="1"/>
  <c r="M114" i="1"/>
  <c r="M116" i="1" s="1"/>
  <c r="N116" i="1" s="1"/>
  <c r="K114" i="1"/>
  <c r="L114" i="1" s="1"/>
  <c r="AW107" i="1"/>
  <c r="AU107" i="1"/>
  <c r="AS107" i="1"/>
  <c r="AN107" i="1"/>
  <c r="AL107" i="1"/>
  <c r="AJ107" i="1"/>
  <c r="AK107" i="1" s="1"/>
  <c r="AI107" i="1"/>
  <c r="AG107" i="1"/>
  <c r="AD104" i="1"/>
  <c r="P104" i="1"/>
  <c r="N104" i="1"/>
  <c r="L104" i="1"/>
  <c r="AL104" i="1"/>
  <c r="AK104" i="1"/>
  <c r="AJ104" i="1"/>
  <c r="AH104" i="1"/>
  <c r="W105" i="1"/>
  <c r="Y105" i="1" s="1"/>
  <c r="U105" i="1"/>
  <c r="R104" i="1"/>
  <c r="AD100" i="1"/>
  <c r="Q101" i="1"/>
  <c r="O101" i="1"/>
  <c r="E101" i="1"/>
  <c r="C101" i="1"/>
  <c r="AH101" i="1"/>
  <c r="AL100" i="1"/>
  <c r="AM100" i="1" s="1"/>
  <c r="AK100" i="1"/>
  <c r="AJ100" i="1"/>
  <c r="AH100" i="1"/>
  <c r="R100" i="1"/>
  <c r="R98" i="1"/>
  <c r="P100" i="1"/>
  <c r="P99" i="1"/>
  <c r="P98" i="1"/>
  <c r="N100" i="1"/>
  <c r="N98" i="1"/>
  <c r="L100" i="1"/>
  <c r="L98" i="1"/>
  <c r="AG99" i="1"/>
  <c r="S99" i="1"/>
  <c r="S98" i="1"/>
  <c r="I99" i="1"/>
  <c r="AJ99" i="1" s="1"/>
  <c r="AK99" i="1" s="1"/>
  <c r="G99" i="1"/>
  <c r="G101" i="1" s="1"/>
  <c r="AI99" i="1"/>
  <c r="AL98" i="1"/>
  <c r="AK98" i="1"/>
  <c r="AJ98" i="1"/>
  <c r="AH98" i="1"/>
  <c r="AF98" i="1"/>
  <c r="AD98" i="1"/>
  <c r="AD101" i="1" s="1"/>
  <c r="X100" i="1"/>
  <c r="W100" i="1"/>
  <c r="Y100" i="1" s="1"/>
  <c r="Z100" i="1" s="1"/>
  <c r="U100" i="1"/>
  <c r="AN100" i="1" s="1"/>
  <c r="AP100" i="1" s="1"/>
  <c r="T100" i="1"/>
  <c r="W99" i="1"/>
  <c r="U99" i="1"/>
  <c r="U98" i="1"/>
  <c r="T98" i="1"/>
  <c r="AH95" i="1"/>
  <c r="AF95" i="1"/>
  <c r="AG95" i="1" s="1"/>
  <c r="AD95" i="1"/>
  <c r="L95" i="1"/>
  <c r="AU94" i="1"/>
  <c r="AU93" i="1"/>
  <c r="AS94" i="1"/>
  <c r="AS93" i="1"/>
  <c r="AQ94" i="1"/>
  <c r="AQ93" i="1"/>
  <c r="AO94" i="1"/>
  <c r="AO93" i="1"/>
  <c r="AM94" i="1"/>
  <c r="AM93" i="1"/>
  <c r="AK94" i="1"/>
  <c r="AK93" i="1"/>
  <c r="AI94" i="1"/>
  <c r="AI93" i="1"/>
  <c r="AG94" i="1"/>
  <c r="AG93" i="1"/>
  <c r="Z94" i="1"/>
  <c r="Z93" i="1"/>
  <c r="X94" i="1"/>
  <c r="X93" i="1"/>
  <c r="V94" i="1"/>
  <c r="V93" i="1"/>
  <c r="T94" i="1"/>
  <c r="T93" i="1"/>
  <c r="R94" i="1"/>
  <c r="R93" i="1"/>
  <c r="AX94" i="1"/>
  <c r="AW94" i="1"/>
  <c r="AX93" i="1"/>
  <c r="AW93" i="1"/>
  <c r="AD90" i="1"/>
  <c r="AD103" i="1" s="1"/>
  <c r="AD89" i="1"/>
  <c r="AD88" i="1"/>
  <c r="Q90" i="1"/>
  <c r="Q103" i="1" s="1"/>
  <c r="O90" i="1"/>
  <c r="M90" i="1"/>
  <c r="N90" i="1" s="1"/>
  <c r="L90" i="1"/>
  <c r="K90" i="1"/>
  <c r="I90" i="1"/>
  <c r="G90" i="1"/>
  <c r="G103" i="1" s="1"/>
  <c r="E90" i="1"/>
  <c r="E103" i="1" s="1"/>
  <c r="C90" i="1"/>
  <c r="C103" i="1" s="1"/>
  <c r="AL89" i="1"/>
  <c r="AL88" i="1"/>
  <c r="AJ89" i="1"/>
  <c r="AJ88" i="1"/>
  <c r="AH89" i="1"/>
  <c r="AH88" i="1"/>
  <c r="AH90" i="1" s="1"/>
  <c r="AF89" i="1"/>
  <c r="U89" i="1"/>
  <c r="U88" i="1"/>
  <c r="AK88" i="1"/>
  <c r="S88" i="1"/>
  <c r="AG85" i="1"/>
  <c r="AG84" i="1"/>
  <c r="AG83" i="1"/>
  <c r="AG82" i="1"/>
  <c r="P85" i="1"/>
  <c r="P83" i="1"/>
  <c r="P82" i="1"/>
  <c r="N85" i="1"/>
  <c r="N83" i="1"/>
  <c r="N82" i="1"/>
  <c r="L85" i="1"/>
  <c r="L84" i="1"/>
  <c r="L83" i="1"/>
  <c r="L82" i="1"/>
  <c r="Q84" i="1"/>
  <c r="Q95" i="1" s="1"/>
  <c r="O84" i="1"/>
  <c r="O95" i="1" s="1"/>
  <c r="M84" i="1"/>
  <c r="M95" i="1" s="1"/>
  <c r="K84" i="1"/>
  <c r="K95" i="1" s="1"/>
  <c r="I84" i="1"/>
  <c r="I95" i="1" s="1"/>
  <c r="G84" i="1"/>
  <c r="G95" i="1" s="1"/>
  <c r="E84" i="1"/>
  <c r="E95" i="1" s="1"/>
  <c r="C84" i="1"/>
  <c r="C95" i="1" s="1"/>
  <c r="AL85" i="1"/>
  <c r="AM85" i="1" s="1"/>
  <c r="AK85" i="1"/>
  <c r="AJ85" i="1"/>
  <c r="AI85" i="1"/>
  <c r="AL84" i="1"/>
  <c r="AM84" i="1" s="1"/>
  <c r="AJ84" i="1"/>
  <c r="AK84" i="1" s="1"/>
  <c r="AI84" i="1"/>
  <c r="AL83" i="1"/>
  <c r="AK83" i="1"/>
  <c r="AJ83" i="1"/>
  <c r="AI83" i="1"/>
  <c r="AM82" i="1"/>
  <c r="AL82" i="1"/>
  <c r="AK82" i="1"/>
  <c r="AJ82" i="1"/>
  <c r="AJ95" i="1" s="1"/>
  <c r="AK95" i="1" s="1"/>
  <c r="AI82" i="1"/>
  <c r="S85" i="1"/>
  <c r="R85" i="1"/>
  <c r="R84" i="1"/>
  <c r="U83" i="1"/>
  <c r="W83" i="1" s="1"/>
  <c r="S83" i="1"/>
  <c r="R83" i="1"/>
  <c r="T82" i="1"/>
  <c r="S82" i="1"/>
  <c r="S84" i="1" s="1"/>
  <c r="T84" i="1" s="1"/>
  <c r="R82" i="1"/>
  <c r="J82" i="1"/>
  <c r="H82" i="1"/>
  <c r="F82" i="1"/>
  <c r="AU75" i="1"/>
  <c r="AS75" i="1"/>
  <c r="AS74" i="1"/>
  <c r="U75" i="1"/>
  <c r="W75" i="1" s="1"/>
  <c r="Y75" i="1" s="1"/>
  <c r="AW75" i="1"/>
  <c r="AT74" i="1"/>
  <c r="AV74" i="1" s="1"/>
  <c r="AR74" i="1"/>
  <c r="Y74" i="1"/>
  <c r="U74" i="1"/>
  <c r="AT67" i="1"/>
  <c r="AV67" i="1" s="1"/>
  <c r="AH70" i="1"/>
  <c r="AH68" i="1"/>
  <c r="AH67" i="1"/>
  <c r="AF70" i="1"/>
  <c r="AF68" i="1"/>
  <c r="AD70" i="1"/>
  <c r="AD68" i="1"/>
  <c r="AD67" i="1"/>
  <c r="Y67" i="1"/>
  <c r="U70" i="1"/>
  <c r="W70" i="1" s="1"/>
  <c r="U68" i="1"/>
  <c r="W68" i="1" s="1"/>
  <c r="U67" i="1"/>
  <c r="Q70" i="1"/>
  <c r="Q68" i="1"/>
  <c r="Q67" i="1"/>
  <c r="O70" i="1"/>
  <c r="O68" i="1"/>
  <c r="O67" i="1"/>
  <c r="M70" i="1"/>
  <c r="M69" i="1"/>
  <c r="M71" i="1" s="1"/>
  <c r="M68" i="1"/>
  <c r="M67" i="1"/>
  <c r="K70" i="1"/>
  <c r="K68" i="1"/>
  <c r="K67" i="1"/>
  <c r="I70" i="1"/>
  <c r="I68" i="1"/>
  <c r="I67" i="1"/>
  <c r="G70" i="1"/>
  <c r="G68" i="1"/>
  <c r="G69" i="1" s="1"/>
  <c r="G71" i="1" s="1"/>
  <c r="G67" i="1"/>
  <c r="E70" i="1"/>
  <c r="E69" i="1"/>
  <c r="E71" i="1" s="1"/>
  <c r="E68" i="1"/>
  <c r="E67" i="1"/>
  <c r="C70" i="1"/>
  <c r="C68" i="1"/>
  <c r="C67" i="1"/>
  <c r="AU67" i="1"/>
  <c r="AS67" i="1"/>
  <c r="AI70" i="1"/>
  <c r="AI68" i="1"/>
  <c r="AG70" i="1"/>
  <c r="AG68" i="1"/>
  <c r="X67" i="1"/>
  <c r="V70" i="1"/>
  <c r="V68" i="1"/>
  <c r="V67" i="1"/>
  <c r="T70" i="1"/>
  <c r="T68" i="1"/>
  <c r="T67" i="1"/>
  <c r="R70" i="1"/>
  <c r="R68" i="1"/>
  <c r="P70" i="1"/>
  <c r="P68" i="1"/>
  <c r="P67" i="1"/>
  <c r="N70" i="1"/>
  <c r="N68" i="1"/>
  <c r="N67" i="1"/>
  <c r="L70" i="1"/>
  <c r="L68" i="1"/>
  <c r="L67" i="1"/>
  <c r="I62" i="1"/>
  <c r="I128" i="1" s="1"/>
  <c r="I187" i="1" s="1"/>
  <c r="AW62" i="1"/>
  <c r="AU62" i="1"/>
  <c r="AS62" i="1"/>
  <c r="AQ62" i="1"/>
  <c r="AN62" i="1"/>
  <c r="AK62" i="1"/>
  <c r="AJ62" i="1"/>
  <c r="AI62" i="1"/>
  <c r="AG62" i="1"/>
  <c r="AG59" i="1"/>
  <c r="AG56" i="1"/>
  <c r="AG55" i="1"/>
  <c r="AG54" i="1"/>
  <c r="M62" i="1"/>
  <c r="M128" i="1" s="1"/>
  <c r="M187" i="1" s="1"/>
  <c r="N187" i="1" s="1"/>
  <c r="K62" i="1"/>
  <c r="K128" i="1" s="1"/>
  <c r="K187" i="1" s="1"/>
  <c r="L187" i="1" s="1"/>
  <c r="L59" i="1"/>
  <c r="L56" i="1"/>
  <c r="L54" i="1"/>
  <c r="P59" i="1"/>
  <c r="P56" i="1"/>
  <c r="P54" i="1"/>
  <c r="N59" i="1"/>
  <c r="N56" i="1"/>
  <c r="N55" i="1"/>
  <c r="N54" i="1"/>
  <c r="AH57" i="1"/>
  <c r="AF57" i="1"/>
  <c r="AD57" i="1"/>
  <c r="Q57" i="1"/>
  <c r="O57" i="1"/>
  <c r="M57" i="1"/>
  <c r="N57" i="1" s="1"/>
  <c r="K57" i="1"/>
  <c r="I57" i="1"/>
  <c r="G57" i="1"/>
  <c r="E57" i="1"/>
  <c r="C57" i="1"/>
  <c r="AF55" i="1"/>
  <c r="AF100" i="1" s="1"/>
  <c r="AG100" i="1" s="1"/>
  <c r="G55" i="1"/>
  <c r="G120" i="1" s="1"/>
  <c r="C55" i="1"/>
  <c r="C120" i="1" s="1"/>
  <c r="C122" i="1" s="1"/>
  <c r="AL59" i="1"/>
  <c r="AJ59" i="1"/>
  <c r="AJ125" i="1" s="1"/>
  <c r="AI59" i="1"/>
  <c r="AL56" i="1"/>
  <c r="AJ56" i="1"/>
  <c r="AJ121" i="1" s="1"/>
  <c r="AK121" i="1" s="1"/>
  <c r="AI56" i="1"/>
  <c r="AL55" i="1"/>
  <c r="AJ55" i="1"/>
  <c r="AI55" i="1"/>
  <c r="AL54" i="1"/>
  <c r="AJ54" i="1"/>
  <c r="AJ119" i="1" s="1"/>
  <c r="AK119" i="1" s="1"/>
  <c r="AI54" i="1"/>
  <c r="W60" i="1"/>
  <c r="Y60" i="1" s="1"/>
  <c r="U60" i="1"/>
  <c r="R59" i="1"/>
  <c r="R57" i="1"/>
  <c r="R56" i="1"/>
  <c r="R55" i="1"/>
  <c r="R54" i="1"/>
  <c r="AJ52" i="1"/>
  <c r="AH52" i="1"/>
  <c r="AF52" i="1"/>
  <c r="AF58" i="1" s="1"/>
  <c r="AD52" i="1"/>
  <c r="Q52" i="1"/>
  <c r="O52" i="1"/>
  <c r="O58" i="1" s="1"/>
  <c r="M52" i="1"/>
  <c r="L52" i="1"/>
  <c r="K52" i="1"/>
  <c r="I52" i="1"/>
  <c r="I58" i="1" s="1"/>
  <c r="G52" i="1"/>
  <c r="G58" i="1" s="1"/>
  <c r="E52" i="1"/>
  <c r="E58" i="1" s="1"/>
  <c r="C52" i="1"/>
  <c r="AL51" i="1"/>
  <c r="AL50" i="1"/>
  <c r="AJ51" i="1"/>
  <c r="AJ68" i="1" s="1"/>
  <c r="AK68" i="1" s="1"/>
  <c r="AJ50" i="1"/>
  <c r="AJ67" i="1" s="1"/>
  <c r="AF50" i="1"/>
  <c r="AF88" i="1" s="1"/>
  <c r="AF90" i="1" s="1"/>
  <c r="G46" i="1"/>
  <c r="E47" i="1"/>
  <c r="AH47" i="1"/>
  <c r="AI47" i="1" s="1"/>
  <c r="AF47" i="1"/>
  <c r="AH46" i="1"/>
  <c r="Y47" i="1"/>
  <c r="X47" i="1"/>
  <c r="U47" i="1"/>
  <c r="W47" i="1" s="1"/>
  <c r="U46" i="1"/>
  <c r="O47" i="1"/>
  <c r="K46" i="1"/>
  <c r="AG44" i="1"/>
  <c r="AG42" i="1"/>
  <c r="AG41" i="1"/>
  <c r="P44" i="1"/>
  <c r="P42" i="1"/>
  <c r="P41" i="1"/>
  <c r="N44" i="1"/>
  <c r="N42" i="1"/>
  <c r="N41" i="1"/>
  <c r="L44" i="1"/>
  <c r="L42" i="1"/>
  <c r="L41" i="1"/>
  <c r="AH43" i="1"/>
  <c r="AF43" i="1"/>
  <c r="AF75" i="1" s="1"/>
  <c r="AD43" i="1"/>
  <c r="Q43" i="1"/>
  <c r="O43" i="1"/>
  <c r="M43" i="1"/>
  <c r="M75" i="1" s="1"/>
  <c r="K43" i="1"/>
  <c r="I43" i="1"/>
  <c r="G43" i="1"/>
  <c r="G75" i="1" s="1"/>
  <c r="E43" i="1"/>
  <c r="E75" i="1" s="1"/>
  <c r="C43" i="1"/>
  <c r="C75" i="1" s="1"/>
  <c r="AM44" i="1"/>
  <c r="AL44" i="1"/>
  <c r="AK44" i="1"/>
  <c r="AJ44" i="1"/>
  <c r="AI44" i="1"/>
  <c r="AI43" i="1"/>
  <c r="AL42" i="1"/>
  <c r="AM42" i="1" s="1"/>
  <c r="AK42" i="1"/>
  <c r="AJ42" i="1"/>
  <c r="AI42" i="1"/>
  <c r="AL41" i="1"/>
  <c r="AL43" i="1" s="1"/>
  <c r="AK41" i="1"/>
  <c r="AJ41" i="1"/>
  <c r="AI41" i="1"/>
  <c r="R44" i="1"/>
  <c r="R43" i="1"/>
  <c r="R42" i="1"/>
  <c r="R41" i="1"/>
  <c r="AD39" i="1"/>
  <c r="W39" i="1"/>
  <c r="U39" i="1"/>
  <c r="I38" i="1"/>
  <c r="G38" i="1"/>
  <c r="AR39" i="1"/>
  <c r="AT39" i="1" s="1"/>
  <c r="Q38" i="1"/>
  <c r="O38" i="1"/>
  <c r="M38" i="1"/>
  <c r="K38" i="1"/>
  <c r="AD34" i="1"/>
  <c r="AF34" i="1" s="1"/>
  <c r="AD33" i="1"/>
  <c r="P34" i="1"/>
  <c r="P33" i="1"/>
  <c r="N34" i="1"/>
  <c r="N33" i="1"/>
  <c r="L34" i="1"/>
  <c r="L33" i="1"/>
  <c r="AG34" i="1"/>
  <c r="AF33" i="1"/>
  <c r="AG33" i="1" s="1"/>
  <c r="AL34" i="1"/>
  <c r="AM34" i="1" s="1"/>
  <c r="AJ34" i="1"/>
  <c r="AK34" i="1" s="1"/>
  <c r="AI34" i="1"/>
  <c r="AL33" i="1"/>
  <c r="AM33" i="1" s="1"/>
  <c r="AJ33" i="1"/>
  <c r="AK33" i="1" s="1"/>
  <c r="AI33" i="1"/>
  <c r="W34" i="1"/>
  <c r="Y34" i="1" s="1"/>
  <c r="AN34" i="1" s="1"/>
  <c r="T34" i="1"/>
  <c r="S34" i="1"/>
  <c r="U34" i="1" s="1"/>
  <c r="V34" i="1" s="1"/>
  <c r="R34" i="1"/>
  <c r="U33" i="1"/>
  <c r="V33" i="1" s="1"/>
  <c r="S33" i="1"/>
  <c r="T33" i="1" s="1"/>
  <c r="R33" i="1"/>
  <c r="AT27" i="1"/>
  <c r="AV27" i="1" s="1"/>
  <c r="AR27" i="1"/>
  <c r="AP28" i="1"/>
  <c r="AR28" i="1" s="1"/>
  <c r="AT28" i="1" s="1"/>
  <c r="AV28" i="1" s="1"/>
  <c r="AN28" i="1"/>
  <c r="AN24" i="1"/>
  <c r="AN23" i="1"/>
  <c r="AP23" i="1" s="1"/>
  <c r="AL31" i="1"/>
  <c r="AL30" i="1"/>
  <c r="AL24" i="1"/>
  <c r="AM24" i="1" s="1"/>
  <c r="AL23" i="1"/>
  <c r="AJ31" i="1"/>
  <c r="AJ25" i="1"/>
  <c r="AJ24" i="1"/>
  <c r="AJ23" i="1"/>
  <c r="U31" i="1"/>
  <c r="W31" i="1" s="1"/>
  <c r="Y31" i="1" s="1"/>
  <c r="S31" i="1"/>
  <c r="AN31" i="1" s="1"/>
  <c r="AP31" i="1" s="1"/>
  <c r="AR31" i="1" s="1"/>
  <c r="AT31" i="1" s="1"/>
  <c r="AV31" i="1" s="1"/>
  <c r="AX31" i="1" s="1"/>
  <c r="AG30" i="1"/>
  <c r="AF30" i="1"/>
  <c r="AE30" i="1"/>
  <c r="R30" i="1"/>
  <c r="P30" i="1"/>
  <c r="P29" i="1"/>
  <c r="N30" i="1"/>
  <c r="N29" i="1"/>
  <c r="E30" i="1"/>
  <c r="AJ30" i="1" s="1"/>
  <c r="C30" i="1"/>
  <c r="C38" i="1" s="1"/>
  <c r="AH29" i="1"/>
  <c r="AH38" i="1" s="1"/>
  <c r="AG29" i="1"/>
  <c r="AD29" i="1"/>
  <c r="AD32" i="1" s="1"/>
  <c r="Q28" i="1"/>
  <c r="Q26" i="1"/>
  <c r="Q25" i="1"/>
  <c r="O28" i="1"/>
  <c r="O26" i="1"/>
  <c r="P26" i="1" s="1"/>
  <c r="M25" i="1"/>
  <c r="AL25" i="1" s="1"/>
  <c r="AM25" i="1" s="1"/>
  <c r="K28" i="1"/>
  <c r="K26" i="1"/>
  <c r="I26" i="1"/>
  <c r="AJ26" i="1" s="1"/>
  <c r="G27" i="1"/>
  <c r="I27" i="1" s="1"/>
  <c r="G26" i="1"/>
  <c r="G28" i="1" s="1"/>
  <c r="E28" i="1"/>
  <c r="AU27" i="1"/>
  <c r="AS27" i="1"/>
  <c r="AO24" i="1"/>
  <c r="AO23" i="1"/>
  <c r="AM23" i="1"/>
  <c r="AI27" i="1"/>
  <c r="AH27" i="1"/>
  <c r="AG27" i="1"/>
  <c r="AF27" i="1"/>
  <c r="AE27" i="1"/>
  <c r="AP24" i="1"/>
  <c r="AR24" i="1" s="1"/>
  <c r="AI26" i="1"/>
  <c r="AG26" i="1"/>
  <c r="U26" i="1"/>
  <c r="T26" i="1"/>
  <c r="S26" i="1"/>
  <c r="R26" i="1"/>
  <c r="E26" i="1"/>
  <c r="C26" i="1"/>
  <c r="C28" i="1" s="1"/>
  <c r="W25" i="1"/>
  <c r="AW27" i="1"/>
  <c r="AE22" i="1"/>
  <c r="AR16" i="1"/>
  <c r="AT16" i="1" s="1"/>
  <c r="AP17" i="1"/>
  <c r="AP18" i="1" s="1"/>
  <c r="Y17" i="1"/>
  <c r="Y18" i="1" s="1"/>
  <c r="W17" i="1"/>
  <c r="W18" i="1" s="1"/>
  <c r="U17" i="1"/>
  <c r="U18" i="1" s="1"/>
  <c r="S17" i="1"/>
  <c r="S18" i="1" s="1"/>
  <c r="Q17" i="1"/>
  <c r="Q18" i="1" s="1"/>
  <c r="O17" i="1"/>
  <c r="O18" i="1" s="1"/>
  <c r="M17" i="1"/>
  <c r="M18" i="1" s="1"/>
  <c r="K17" i="1"/>
  <c r="K18" i="1" s="1"/>
  <c r="I17" i="1"/>
  <c r="I18" i="1" s="1"/>
  <c r="G17" i="1"/>
  <c r="G18" i="1" s="1"/>
  <c r="AW5" i="1"/>
  <c r="AW4" i="1"/>
  <c r="AU5" i="1"/>
  <c r="AU4" i="1"/>
  <c r="AS5" i="1"/>
  <c r="AS4" i="1"/>
  <c r="AQ5" i="1"/>
  <c r="AQ4" i="1"/>
  <c r="AO5" i="1"/>
  <c r="AO4" i="1"/>
  <c r="AM5" i="1"/>
  <c r="AM4" i="1"/>
  <c r="AK5" i="1"/>
  <c r="AK4" i="1"/>
  <c r="AI5" i="1"/>
  <c r="AI4" i="1"/>
  <c r="AG5" i="1"/>
  <c r="AG4" i="1"/>
  <c r="Z5" i="1"/>
  <c r="Z4" i="1"/>
  <c r="X5" i="1"/>
  <c r="X4" i="1"/>
  <c r="V5" i="1"/>
  <c r="V4" i="1"/>
  <c r="T5" i="1"/>
  <c r="T4" i="1"/>
  <c r="R5" i="1"/>
  <c r="R4" i="1"/>
  <c r="P5" i="1"/>
  <c r="P4" i="1"/>
  <c r="N5" i="1"/>
  <c r="N4" i="1"/>
  <c r="L5" i="1"/>
  <c r="L4" i="1"/>
  <c r="AI11" i="2" l="1"/>
  <c r="AF15" i="2"/>
  <c r="AJ15" i="2"/>
  <c r="B15" i="2"/>
  <c r="J15" i="2"/>
  <c r="AD19" i="2"/>
  <c r="AF19" i="2"/>
  <c r="AH19" i="2"/>
  <c r="AJ19" i="2"/>
  <c r="AL19" i="2"/>
  <c r="B19" i="2"/>
  <c r="D19" i="2"/>
  <c r="H19" i="2"/>
  <c r="J19" i="2"/>
  <c r="L19" i="2"/>
  <c r="N19" i="2"/>
  <c r="P19" i="2"/>
  <c r="B25" i="2"/>
  <c r="J25" i="2"/>
  <c r="AG15" i="2"/>
  <c r="J23" i="2"/>
  <c r="AG28" i="2"/>
  <c r="L28" i="2"/>
  <c r="J32" i="2"/>
  <c r="AF32" i="2"/>
  <c r="AJ32" i="2"/>
  <c r="AD35" i="2"/>
  <c r="AH35" i="2"/>
  <c r="F11" i="2"/>
  <c r="N11" i="2"/>
  <c r="B23" i="2"/>
  <c r="AC23" i="2"/>
  <c r="AK28" i="2"/>
  <c r="D25" i="2"/>
  <c r="B32" i="2"/>
  <c r="AE32" i="2"/>
  <c r="AI32" i="2"/>
  <c r="D35" i="2"/>
  <c r="H35" i="2"/>
  <c r="P35" i="2"/>
  <c r="AE35" i="2"/>
  <c r="AI35" i="2"/>
  <c r="S205" i="1"/>
  <c r="U205" i="1" s="1"/>
  <c r="W205" i="1" s="1"/>
  <c r="Y205" i="1" s="1"/>
  <c r="AN205" i="1" s="1"/>
  <c r="AP205" i="1" s="1"/>
  <c r="AR205" i="1" s="1"/>
  <c r="AT205" i="1" s="1"/>
  <c r="AV205" i="1" s="1"/>
  <c r="X19" i="3"/>
  <c r="AB19" i="3"/>
  <c r="B19" i="3"/>
  <c r="J19" i="3"/>
  <c r="U19" i="3"/>
  <c r="Y19" i="3"/>
  <c r="AC19" i="3"/>
  <c r="H19" i="3"/>
  <c r="P19" i="3"/>
  <c r="V19" i="3"/>
  <c r="Z19" i="3"/>
  <c r="AD19" i="3"/>
  <c r="F19" i="3"/>
  <c r="N19" i="3"/>
  <c r="W19" i="3"/>
  <c r="AA19" i="3"/>
  <c r="D19" i="3"/>
  <c r="L19" i="3"/>
  <c r="AG19" i="2"/>
  <c r="AF11" i="2"/>
  <c r="AJ11" i="2"/>
  <c r="AD15" i="2"/>
  <c r="AH15" i="2"/>
  <c r="AL15" i="2"/>
  <c r="D11" i="2"/>
  <c r="L11" i="2"/>
  <c r="F19" i="2"/>
  <c r="N23" i="2"/>
  <c r="N32" i="2"/>
  <c r="N28" i="2"/>
  <c r="AG23" i="2"/>
  <c r="H28" i="2"/>
  <c r="N25" i="2"/>
  <c r="AC11" i="2"/>
  <c r="AG11" i="2"/>
  <c r="AK11" i="2"/>
  <c r="AE15" i="2"/>
  <c r="AI15" i="2"/>
  <c r="AE11" i="2"/>
  <c r="B11" i="2"/>
  <c r="F15" i="2"/>
  <c r="J11" i="2"/>
  <c r="N15" i="2"/>
  <c r="AD32" i="2"/>
  <c r="AD28" i="2"/>
  <c r="AH32" i="2"/>
  <c r="AH23" i="2"/>
  <c r="AH28" i="2"/>
  <c r="AL32" i="2"/>
  <c r="AL28" i="2"/>
  <c r="AL23" i="2"/>
  <c r="AK23" i="2"/>
  <c r="H23" i="2"/>
  <c r="AC28" i="2"/>
  <c r="D28" i="2"/>
  <c r="H11" i="2"/>
  <c r="P11" i="2"/>
  <c r="F32" i="2"/>
  <c r="F28" i="2"/>
  <c r="F23" i="2"/>
  <c r="P23" i="2"/>
  <c r="AE25" i="2"/>
  <c r="F25" i="2"/>
  <c r="P28" i="2"/>
  <c r="AE23" i="2"/>
  <c r="AI23" i="2"/>
  <c r="D23" i="2"/>
  <c r="L23" i="2"/>
  <c r="B28" i="2"/>
  <c r="J28" i="2"/>
  <c r="AF23" i="2"/>
  <c r="AJ23" i="2"/>
  <c r="AR23" i="1"/>
  <c r="AQ23" i="1"/>
  <c r="AO34" i="1"/>
  <c r="AP34" i="1"/>
  <c r="AD36" i="1"/>
  <c r="AE36" i="1" s="1"/>
  <c r="AD35" i="1"/>
  <c r="AE32" i="1"/>
  <c r="AF22" i="1"/>
  <c r="AM30" i="1"/>
  <c r="AK30" i="1"/>
  <c r="AU39" i="1"/>
  <c r="AV39" i="1"/>
  <c r="P47" i="1"/>
  <c r="AV16" i="1"/>
  <c r="AV17" i="1" s="1"/>
  <c r="AV18" i="1" s="1"/>
  <c r="AT17" i="1"/>
  <c r="AT18" i="1" s="1"/>
  <c r="AT24" i="1"/>
  <c r="AS24" i="1"/>
  <c r="AL47" i="1"/>
  <c r="AM43" i="1"/>
  <c r="K27" i="1"/>
  <c r="AJ27" i="1"/>
  <c r="AK27" i="1" s="1"/>
  <c r="AK26" i="1"/>
  <c r="AR17" i="1"/>
  <c r="AR18" i="1" s="1"/>
  <c r="H26" i="1"/>
  <c r="L26" i="1"/>
  <c r="AQ24" i="1"/>
  <c r="M26" i="1"/>
  <c r="AL26" i="1" s="1"/>
  <c r="AI30" i="1"/>
  <c r="E38" i="1"/>
  <c r="H38" i="1" s="1"/>
  <c r="O75" i="1"/>
  <c r="O74" i="1"/>
  <c r="P43" i="1"/>
  <c r="AH74" i="1"/>
  <c r="AH69" i="1"/>
  <c r="AH75" i="1"/>
  <c r="AI75" i="1" s="1"/>
  <c r="O46" i="1"/>
  <c r="P46" i="1" s="1"/>
  <c r="V47" i="1"/>
  <c r="AL46" i="1"/>
  <c r="C46" i="1"/>
  <c r="L46" i="1" s="1"/>
  <c r="G47" i="1"/>
  <c r="AG90" i="1"/>
  <c r="C58" i="1"/>
  <c r="K58" i="1"/>
  <c r="P52" i="1"/>
  <c r="AD58" i="1"/>
  <c r="AI52" i="1"/>
  <c r="P57" i="1"/>
  <c r="AH58" i="1"/>
  <c r="AI57" i="1"/>
  <c r="K69" i="1"/>
  <c r="O69" i="1"/>
  <c r="Y83" i="1"/>
  <c r="Z83" i="1" s="1"/>
  <c r="X83" i="1"/>
  <c r="C32" i="1"/>
  <c r="AD38" i="1"/>
  <c r="I75" i="1"/>
  <c r="I74" i="1"/>
  <c r="I46" i="1"/>
  <c r="Q75" i="1"/>
  <c r="R75" i="1" s="1"/>
  <c r="Q74" i="1"/>
  <c r="Q47" i="1"/>
  <c r="Q46" i="1"/>
  <c r="R46" i="1" s="1"/>
  <c r="T46" i="1"/>
  <c r="C47" i="1"/>
  <c r="I47" i="1"/>
  <c r="AL67" i="1"/>
  <c r="AL52" i="1"/>
  <c r="E64" i="1"/>
  <c r="E77" i="1"/>
  <c r="E61" i="1"/>
  <c r="E60" i="1"/>
  <c r="Q58" i="1"/>
  <c r="R52" i="1"/>
  <c r="AF61" i="1"/>
  <c r="AF77" i="1"/>
  <c r="AG58" i="1"/>
  <c r="AF60" i="1"/>
  <c r="AF64" i="1"/>
  <c r="AJ58" i="1"/>
  <c r="AL119" i="1"/>
  <c r="AM119" i="1" s="1"/>
  <c r="AM54" i="1"/>
  <c r="AL70" i="1"/>
  <c r="AL74" i="1"/>
  <c r="AM55" i="1"/>
  <c r="AL121" i="1"/>
  <c r="AM121" i="1" s="1"/>
  <c r="AM56" i="1"/>
  <c r="AL75" i="1"/>
  <c r="AM59" i="1"/>
  <c r="I69" i="1"/>
  <c r="I71" i="1" s="1"/>
  <c r="AD69" i="1"/>
  <c r="AD71" i="1" s="1"/>
  <c r="AW67" i="1"/>
  <c r="AX67" i="1"/>
  <c r="AW74" i="1"/>
  <c r="N95" i="1"/>
  <c r="W26" i="1"/>
  <c r="W33" i="1"/>
  <c r="X34" i="1"/>
  <c r="AF38" i="1"/>
  <c r="AG38" i="1" s="1"/>
  <c r="AS39" i="1"/>
  <c r="K75" i="1"/>
  <c r="K74" i="1"/>
  <c r="L43" i="1"/>
  <c r="AD75" i="1"/>
  <c r="AD74" i="1"/>
  <c r="AD46" i="1"/>
  <c r="AL68" i="1"/>
  <c r="AM68" i="1" s="1"/>
  <c r="G61" i="1"/>
  <c r="G64" i="1"/>
  <c r="G77" i="1"/>
  <c r="M58" i="1"/>
  <c r="N52" i="1"/>
  <c r="AG52" i="1"/>
  <c r="AK52" i="1"/>
  <c r="L57" i="1"/>
  <c r="Q69" i="1"/>
  <c r="X68" i="1"/>
  <c r="Y68" i="1"/>
  <c r="P95" i="1"/>
  <c r="Y25" i="1"/>
  <c r="Y26" i="1" s="1"/>
  <c r="AN26" i="1" s="1"/>
  <c r="I28" i="1"/>
  <c r="AJ28" i="1" s="1"/>
  <c r="AJ29" i="1" s="1"/>
  <c r="AJ38" i="1" s="1"/>
  <c r="AK38" i="1" s="1"/>
  <c r="L30" i="1"/>
  <c r="Z34" i="1"/>
  <c r="C39" i="1"/>
  <c r="Y39" i="1"/>
  <c r="AM41" i="1"/>
  <c r="V75" i="1"/>
  <c r="N75" i="1"/>
  <c r="AG75" i="1"/>
  <c r="K47" i="1"/>
  <c r="W46" i="1"/>
  <c r="AD47" i="1"/>
  <c r="AG47" i="1" s="1"/>
  <c r="AJ69" i="1"/>
  <c r="AK67" i="1"/>
  <c r="I61" i="1"/>
  <c r="I77" i="1"/>
  <c r="I64" i="1"/>
  <c r="I60" i="1"/>
  <c r="O77" i="1"/>
  <c r="O64" i="1"/>
  <c r="P64" i="1" s="1"/>
  <c r="P58" i="1"/>
  <c r="O61" i="1"/>
  <c r="O60" i="1"/>
  <c r="AL57" i="1"/>
  <c r="AM57" i="1" s="1"/>
  <c r="AG57" i="1"/>
  <c r="C69" i="1"/>
  <c r="C71" i="1" s="1"/>
  <c r="Y70" i="1"/>
  <c r="X70" i="1"/>
  <c r="AN83" i="1"/>
  <c r="R95" i="1"/>
  <c r="AH103" i="1"/>
  <c r="AI90" i="1"/>
  <c r="AJ43" i="1"/>
  <c r="N43" i="1"/>
  <c r="AG43" i="1"/>
  <c r="M46" i="1"/>
  <c r="V46" i="1" s="1"/>
  <c r="M47" i="1"/>
  <c r="N47" i="1" s="1"/>
  <c r="AF46" i="1"/>
  <c r="AG46" i="1" s="1"/>
  <c r="E46" i="1"/>
  <c r="AK54" i="1"/>
  <c r="AK55" i="1"/>
  <c r="AK56" i="1"/>
  <c r="AK59" i="1"/>
  <c r="L55" i="1"/>
  <c r="N69" i="1"/>
  <c r="M74" i="1"/>
  <c r="V74" i="1" s="1"/>
  <c r="AF74" i="1"/>
  <c r="AG74" i="1" s="1"/>
  <c r="AU74" i="1"/>
  <c r="U82" i="1"/>
  <c r="T83" i="1"/>
  <c r="AL95" i="1"/>
  <c r="AM95" i="1" s="1"/>
  <c r="AM83" i="1"/>
  <c r="W88" i="1"/>
  <c r="I103" i="1"/>
  <c r="R90" i="1"/>
  <c r="AI95" i="1"/>
  <c r="X99" i="1"/>
  <c r="Y99" i="1"/>
  <c r="AI98" i="1"/>
  <c r="S101" i="1"/>
  <c r="C124" i="1"/>
  <c r="C126" i="1" s="1"/>
  <c r="AD127" i="1"/>
  <c r="AD130" i="1"/>
  <c r="AD126" i="1"/>
  <c r="AI122" i="1"/>
  <c r="AG122" i="1"/>
  <c r="E74" i="1"/>
  <c r="AG88" i="1"/>
  <c r="AJ115" i="1"/>
  <c r="AK115" i="1" s="1"/>
  <c r="C105" i="1"/>
  <c r="C109" i="1"/>
  <c r="C106" i="1"/>
  <c r="AD106" i="1"/>
  <c r="AD105" i="1"/>
  <c r="AD109" i="1"/>
  <c r="AJ90" i="1"/>
  <c r="AJ101" i="1"/>
  <c r="AK101" i="1" s="1"/>
  <c r="AI100" i="1"/>
  <c r="AO100" i="1"/>
  <c r="P101" i="1"/>
  <c r="AH105" i="1"/>
  <c r="AN128" i="1"/>
  <c r="AQ128" i="1" s="1"/>
  <c r="P55" i="1"/>
  <c r="AJ60" i="1"/>
  <c r="AL62" i="1"/>
  <c r="R67" i="1"/>
  <c r="Z67" i="1"/>
  <c r="AF67" i="1"/>
  <c r="AJ75" i="1"/>
  <c r="AK75" i="1" s="1"/>
  <c r="S95" i="1"/>
  <c r="T95" i="1" s="1"/>
  <c r="V83" i="1"/>
  <c r="T85" i="1"/>
  <c r="N84" i="1"/>
  <c r="P84" i="1"/>
  <c r="AI88" i="1"/>
  <c r="W89" i="1"/>
  <c r="AL114" i="1"/>
  <c r="AM88" i="1"/>
  <c r="E106" i="1"/>
  <c r="E105" i="1"/>
  <c r="E109" i="1"/>
  <c r="P90" i="1"/>
  <c r="U90" i="1"/>
  <c r="AL90" i="1"/>
  <c r="W98" i="1"/>
  <c r="U101" i="1"/>
  <c r="R99" i="1"/>
  <c r="K99" i="1"/>
  <c r="I120" i="1"/>
  <c r="I122" i="1" s="1"/>
  <c r="AJ120" i="1"/>
  <c r="AJ57" i="1"/>
  <c r="AK57" i="1" s="1"/>
  <c r="AK125" i="1"/>
  <c r="G122" i="1"/>
  <c r="P122" i="1" s="1"/>
  <c r="P120" i="1"/>
  <c r="AJ70" i="1"/>
  <c r="AK70" i="1" s="1"/>
  <c r="C74" i="1"/>
  <c r="G74" i="1"/>
  <c r="U85" i="1"/>
  <c r="AL115" i="1"/>
  <c r="AM115" i="1" s="1"/>
  <c r="G105" i="1"/>
  <c r="G109" i="1"/>
  <c r="G106" i="1"/>
  <c r="Q109" i="1"/>
  <c r="Q106" i="1"/>
  <c r="Q105" i="1"/>
  <c r="R103" i="1"/>
  <c r="V98" i="1"/>
  <c r="AQ100" i="1"/>
  <c r="AR100" i="1"/>
  <c r="AF101" i="1"/>
  <c r="AG101" i="1" s="1"/>
  <c r="AG98" i="1"/>
  <c r="AM98" i="1"/>
  <c r="I101" i="1"/>
  <c r="R101" i="1" s="1"/>
  <c r="E130" i="1"/>
  <c r="E127" i="1"/>
  <c r="E171" i="1" s="1"/>
  <c r="AJ114" i="1"/>
  <c r="S90" i="1"/>
  <c r="V100" i="1"/>
  <c r="AF104" i="1"/>
  <c r="AM107" i="1"/>
  <c r="R114" i="1"/>
  <c r="O116" i="1"/>
  <c r="AF116" i="1"/>
  <c r="R120" i="1"/>
  <c r="R121" i="1"/>
  <c r="Q122" i="1"/>
  <c r="R122" i="1" s="1"/>
  <c r="S187" i="1"/>
  <c r="T187" i="1" s="1"/>
  <c r="AJ128" i="1"/>
  <c r="AU128" i="1"/>
  <c r="E126" i="1"/>
  <c r="AL183" i="1"/>
  <c r="AM183" i="1" s="1"/>
  <c r="AM137" i="1"/>
  <c r="AX137" i="1"/>
  <c r="R160" i="1"/>
  <c r="X163" i="1"/>
  <c r="W162" i="1"/>
  <c r="X162" i="1" s="1"/>
  <c r="Y163" i="1"/>
  <c r="Y162" i="1" s="1"/>
  <c r="Z162" i="1" s="1"/>
  <c r="W158" i="1"/>
  <c r="K116" i="1"/>
  <c r="I124" i="1"/>
  <c r="AL182" i="1"/>
  <c r="AM182" i="1" s="1"/>
  <c r="AL141" i="1"/>
  <c r="AM136" i="1"/>
  <c r="AG154" i="1"/>
  <c r="L160" i="1"/>
  <c r="T160" i="1"/>
  <c r="V162" i="1"/>
  <c r="O103" i="1"/>
  <c r="AL125" i="1"/>
  <c r="AO107" i="1"/>
  <c r="AI114" i="1"/>
  <c r="AH180" i="1"/>
  <c r="AH192" i="1"/>
  <c r="AH143" i="1"/>
  <c r="R125" i="1"/>
  <c r="AG128" i="1"/>
  <c r="AW128" i="1"/>
  <c r="AH130" i="1"/>
  <c r="AI104" i="1"/>
  <c r="AM104" i="1"/>
  <c r="AQ107" i="1"/>
  <c r="Q124" i="1"/>
  <c r="AH187" i="1"/>
  <c r="AI187" i="1" s="1"/>
  <c r="AI128" i="1"/>
  <c r="AS128" i="1"/>
  <c r="R187" i="1"/>
  <c r="AK136" i="1"/>
  <c r="AK137" i="1"/>
  <c r="AK181" i="1"/>
  <c r="AX138" i="1"/>
  <c r="AK140" i="1"/>
  <c r="AO137" i="1"/>
  <c r="AF141" i="1"/>
  <c r="AJ141" i="1"/>
  <c r="AD145" i="1"/>
  <c r="K152" i="1"/>
  <c r="I154" i="1"/>
  <c r="U158" i="1"/>
  <c r="AP157" i="1"/>
  <c r="AI158" i="1"/>
  <c r="AO157" i="1"/>
  <c r="O160" i="1"/>
  <c r="P160" i="1" s="1"/>
  <c r="AD160" i="1"/>
  <c r="AG160" i="1" s="1"/>
  <c r="T162" i="1"/>
  <c r="V163" i="1"/>
  <c r="S174" i="1"/>
  <c r="AF252" i="1"/>
  <c r="AF247" i="1"/>
  <c r="AG247" i="1" s="1"/>
  <c r="AI174" i="1"/>
  <c r="K176" i="1"/>
  <c r="K252" i="1" s="1"/>
  <c r="L252" i="1" s="1"/>
  <c r="L175" i="1"/>
  <c r="AL175" i="1"/>
  <c r="AK138" i="1"/>
  <c r="AO138" i="1"/>
  <c r="AJ152" i="1"/>
  <c r="AD171" i="1"/>
  <c r="AE171" i="1" s="1"/>
  <c r="AD172" i="1"/>
  <c r="AE172" i="1" s="1"/>
  <c r="AM157" i="1"/>
  <c r="AJ160" i="1"/>
  <c r="AK160" i="1" s="1"/>
  <c r="AX165" i="1"/>
  <c r="AK162" i="1"/>
  <c r="AL181" i="1"/>
  <c r="AM181" i="1" s="1"/>
  <c r="AF257" i="1"/>
  <c r="AF184" i="1"/>
  <c r="AQ138" i="1"/>
  <c r="AH141" i="1"/>
  <c r="R158" i="1"/>
  <c r="AK174" i="1"/>
  <c r="AI138" i="1"/>
  <c r="AI139" i="1"/>
  <c r="AM184" i="1"/>
  <c r="AK184" i="1"/>
  <c r="AG138" i="1"/>
  <c r="AH152" i="1"/>
  <c r="AQ165" i="1"/>
  <c r="AO165" i="1"/>
  <c r="V176" i="1"/>
  <c r="W176" i="1"/>
  <c r="S177" i="1"/>
  <c r="AD247" i="1"/>
  <c r="AE247" i="1" s="1"/>
  <c r="AD252" i="1"/>
  <c r="AE252" i="1" s="1"/>
  <c r="AE174" i="1"/>
  <c r="AG174" i="1"/>
  <c r="I221" i="1"/>
  <c r="K221" i="1" s="1"/>
  <c r="N183" i="1"/>
  <c r="I182" i="1"/>
  <c r="R182" i="1" s="1"/>
  <c r="Q247" i="1"/>
  <c r="R247" i="1" s="1"/>
  <c r="R224" i="1"/>
  <c r="Q226" i="1"/>
  <c r="AQ223" i="1"/>
  <c r="AR223" i="1"/>
  <c r="AH247" i="1"/>
  <c r="AI247" i="1" s="1"/>
  <c r="AH252" i="1"/>
  <c r="AI252" i="1" s="1"/>
  <c r="P183" i="1"/>
  <c r="I181" i="1"/>
  <c r="R181" i="1" s="1"/>
  <c r="M216" i="1"/>
  <c r="U201" i="1"/>
  <c r="K251" i="1"/>
  <c r="L251" i="1" s="1"/>
  <c r="AL212" i="1"/>
  <c r="M212" i="1"/>
  <c r="T212" i="1"/>
  <c r="L212" i="1"/>
  <c r="G251" i="1"/>
  <c r="G246" i="1"/>
  <c r="G248" i="1" s="1"/>
  <c r="AP212" i="1"/>
  <c r="Z223" i="1"/>
  <c r="AO223" i="1"/>
  <c r="M252" i="1"/>
  <c r="N252" i="1" s="1"/>
  <c r="M227" i="1"/>
  <c r="N227" i="1" s="1"/>
  <c r="O227" i="1"/>
  <c r="P227" i="1" s="1"/>
  <c r="N222" i="1"/>
  <c r="M224" i="1"/>
  <c r="I211" i="1"/>
  <c r="I252" i="1"/>
  <c r="I224" i="1"/>
  <c r="I216" i="1" s="1"/>
  <c r="I227" i="1"/>
  <c r="AJ222" i="1"/>
  <c r="E247" i="1"/>
  <c r="E226" i="1"/>
  <c r="AL206" i="1"/>
  <c r="AL208" i="1" s="1"/>
  <c r="I251" i="1"/>
  <c r="AJ213" i="1"/>
  <c r="R222" i="1"/>
  <c r="V223" i="1"/>
  <c r="AL222" i="1"/>
  <c r="O247" i="1"/>
  <c r="P247" i="1" s="1"/>
  <c r="O226" i="1"/>
  <c r="G247" i="1"/>
  <c r="G226" i="1"/>
  <c r="AG223" i="1"/>
  <c r="AH248" i="1"/>
  <c r="AI246" i="1"/>
  <c r="AF215" i="1"/>
  <c r="AG215" i="1" s="1"/>
  <c r="AG213" i="1"/>
  <c r="AV214" i="1"/>
  <c r="AU214" i="1"/>
  <c r="K227" i="1"/>
  <c r="Q252" i="1"/>
  <c r="R252" i="1" s="1"/>
  <c r="Q227" i="1"/>
  <c r="R227" i="1" s="1"/>
  <c r="K224" i="1"/>
  <c r="K216" i="1" s="1"/>
  <c r="W229" i="1"/>
  <c r="AH228" i="1"/>
  <c r="AI228" i="1" s="1"/>
  <c r="C228" i="1"/>
  <c r="AM235" i="1"/>
  <c r="AG246" i="1"/>
  <c r="AF248" i="1"/>
  <c r="AG248" i="1" s="1"/>
  <c r="AF228" i="1"/>
  <c r="AG228" i="1" s="1"/>
  <c r="L235" i="1"/>
  <c r="AD248" i="1"/>
  <c r="AE248" i="1" s="1"/>
  <c r="AE246" i="1"/>
  <c r="O252" i="1"/>
  <c r="P252" i="1" s="1"/>
  <c r="P222" i="1"/>
  <c r="AG226" i="1"/>
  <c r="C227" i="1"/>
  <c r="AE4" i="1"/>
  <c r="AK30" i="2" l="1"/>
  <c r="AC24" i="3"/>
  <c r="AO26" i="1"/>
  <c r="AM26" i="1"/>
  <c r="O228" i="1"/>
  <c r="P228" i="1" s="1"/>
  <c r="P226" i="1"/>
  <c r="U160" i="1"/>
  <c r="V160" i="1" s="1"/>
  <c r="V158" i="1"/>
  <c r="E246" i="1"/>
  <c r="E248" i="1" s="1"/>
  <c r="E228" i="1"/>
  <c r="AQ212" i="1"/>
  <c r="AR212" i="1"/>
  <c r="AL251" i="1"/>
  <c r="AO212" i="1"/>
  <c r="AM212" i="1"/>
  <c r="L221" i="1"/>
  <c r="M221" i="1"/>
  <c r="AL221" i="1"/>
  <c r="AM221" i="1" s="1"/>
  <c r="AI184" i="1"/>
  <c r="AG184" i="1"/>
  <c r="AJ154" i="1"/>
  <c r="AK152" i="1"/>
  <c r="T174" i="1"/>
  <c r="U174" i="1"/>
  <c r="U175" i="1"/>
  <c r="L227" i="1"/>
  <c r="G228" i="1"/>
  <c r="AL252" i="1"/>
  <c r="AM222" i="1"/>
  <c r="AL227" i="1"/>
  <c r="AL219" i="1"/>
  <c r="AL224" i="1"/>
  <c r="M247" i="1"/>
  <c r="N247" i="1" s="1"/>
  <c r="N224" i="1"/>
  <c r="M226" i="1"/>
  <c r="AT223" i="1"/>
  <c r="AS223" i="1"/>
  <c r="AR207" i="1"/>
  <c r="Q228" i="1"/>
  <c r="AL226" i="1"/>
  <c r="AI215" i="1"/>
  <c r="S183" i="1"/>
  <c r="T183" i="1" s="1"/>
  <c r="S184" i="1"/>
  <c r="S181" i="1"/>
  <c r="T181" i="1" s="1"/>
  <c r="T177" i="1"/>
  <c r="M152" i="1"/>
  <c r="L152" i="1"/>
  <c r="K154" i="1"/>
  <c r="AH193" i="1"/>
  <c r="AH189" i="1"/>
  <c r="AH188" i="1"/>
  <c r="AH11" i="1"/>
  <c r="AN162" i="1"/>
  <c r="AO162" i="1" s="1"/>
  <c r="L116" i="1"/>
  <c r="AI116" i="1"/>
  <c r="AG116" i="1"/>
  <c r="AF124" i="1"/>
  <c r="AG104" i="1"/>
  <c r="AK114" i="1"/>
  <c r="AJ116" i="1"/>
  <c r="AT100" i="1"/>
  <c r="AS100" i="1"/>
  <c r="G108" i="1"/>
  <c r="G8" i="1"/>
  <c r="W85" i="1"/>
  <c r="V85" i="1"/>
  <c r="W101" i="1"/>
  <c r="X101" i="1" s="1"/>
  <c r="X98" i="1"/>
  <c r="Y98" i="1"/>
  <c r="AL116" i="1"/>
  <c r="AM114" i="1"/>
  <c r="AH241" i="1"/>
  <c r="C108" i="1"/>
  <c r="C8" i="1"/>
  <c r="AD239" i="1"/>
  <c r="AE239" i="1" s="1"/>
  <c r="AD240" i="1"/>
  <c r="AD192" i="1"/>
  <c r="AD180" i="1"/>
  <c r="AD143" i="1"/>
  <c r="AE143" i="1" s="1"/>
  <c r="AD129" i="1"/>
  <c r="AD241" i="1" s="1"/>
  <c r="Z105" i="1"/>
  <c r="U84" i="1"/>
  <c r="V84" i="1" s="1"/>
  <c r="W82" i="1"/>
  <c r="V82" i="1"/>
  <c r="U95" i="1"/>
  <c r="V95" i="1" s="1"/>
  <c r="AK43" i="1"/>
  <c r="AJ47" i="1"/>
  <c r="AK47" i="1" s="1"/>
  <c r="Z70" i="1"/>
  <c r="P60" i="1"/>
  <c r="X60" i="1"/>
  <c r="P77" i="1"/>
  <c r="I238" i="1"/>
  <c r="I78" i="1"/>
  <c r="I63" i="1"/>
  <c r="I7" i="1"/>
  <c r="Y46" i="1"/>
  <c r="X46" i="1"/>
  <c r="Q71" i="1"/>
  <c r="R69" i="1"/>
  <c r="G238" i="1"/>
  <c r="G78" i="1"/>
  <c r="G63" i="1"/>
  <c r="G7" i="1"/>
  <c r="L74" i="1"/>
  <c r="T74" i="1"/>
  <c r="W29" i="1"/>
  <c r="X26" i="1"/>
  <c r="R47" i="1"/>
  <c r="C35" i="1"/>
  <c r="C36" i="1"/>
  <c r="E22" i="1"/>
  <c r="K71" i="1"/>
  <c r="L69" i="1"/>
  <c r="AJ74" i="1"/>
  <c r="AK74" i="1" s="1"/>
  <c r="L58" i="1"/>
  <c r="K77" i="1"/>
  <c r="K64" i="1"/>
  <c r="L64" i="1" s="1"/>
  <c r="K61" i="1"/>
  <c r="K60" i="1"/>
  <c r="M27" i="1"/>
  <c r="L27" i="1"/>
  <c r="AV24" i="1"/>
  <c r="AU24" i="1"/>
  <c r="Z47" i="1"/>
  <c r="AF32" i="1"/>
  <c r="AF36" i="1" s="1"/>
  <c r="AG36" i="1" s="1"/>
  <c r="AG22" i="1"/>
  <c r="AF39" i="1"/>
  <c r="AG39" i="1" s="1"/>
  <c r="AJ252" i="1"/>
  <c r="AK252" i="1" s="1"/>
  <c r="AJ227" i="1"/>
  <c r="AK227" i="1" s="1"/>
  <c r="AJ224" i="1"/>
  <c r="AJ219" i="1"/>
  <c r="AK222" i="1"/>
  <c r="AJ251" i="1"/>
  <c r="AK251" i="1" s="1"/>
  <c r="Y176" i="1"/>
  <c r="Z176" i="1" s="1"/>
  <c r="X176" i="1"/>
  <c r="AH154" i="1"/>
  <c r="AH153" i="1"/>
  <c r="AI152" i="1"/>
  <c r="AI141" i="1"/>
  <c r="AH145" i="1"/>
  <c r="AL176" i="1"/>
  <c r="AM175" i="1"/>
  <c r="AQ157" i="1"/>
  <c r="AR157" i="1"/>
  <c r="AD242" i="1"/>
  <c r="AE242" i="1" s="1"/>
  <c r="AD243" i="1"/>
  <c r="AE243" i="1" s="1"/>
  <c r="AD220" i="1"/>
  <c r="AD195" i="1"/>
  <c r="AD185" i="1"/>
  <c r="AE145" i="1"/>
  <c r="Q127" i="1"/>
  <c r="R124" i="1"/>
  <c r="Q130" i="1"/>
  <c r="AH240" i="1"/>
  <c r="AM125" i="1"/>
  <c r="X158" i="1"/>
  <c r="W160" i="1"/>
  <c r="X160" i="1" s="1"/>
  <c r="P116" i="1"/>
  <c r="O124" i="1"/>
  <c r="E239" i="1"/>
  <c r="E240" i="1"/>
  <c r="E180" i="1"/>
  <c r="E192" i="1"/>
  <c r="E145" i="1"/>
  <c r="E143" i="1"/>
  <c r="E129" i="1"/>
  <c r="E241" i="1" s="1"/>
  <c r="Q108" i="1"/>
  <c r="Q8" i="1"/>
  <c r="AK120" i="1"/>
  <c r="AJ122" i="1"/>
  <c r="AK122" i="1" s="1"/>
  <c r="K120" i="1"/>
  <c r="M99" i="1"/>
  <c r="AL99" i="1"/>
  <c r="K101" i="1"/>
  <c r="L99" i="1"/>
  <c r="AM90" i="1"/>
  <c r="Y89" i="1"/>
  <c r="AM62" i="1"/>
  <c r="AO62" i="1"/>
  <c r="Q126" i="1"/>
  <c r="G124" i="1"/>
  <c r="AI101" i="1"/>
  <c r="AP99" i="1"/>
  <c r="AN99" i="1"/>
  <c r="AO99" i="1" s="1"/>
  <c r="Z99" i="1"/>
  <c r="I109" i="1"/>
  <c r="I106" i="1"/>
  <c r="I105" i="1"/>
  <c r="R105" i="1" s="1"/>
  <c r="N46" i="1"/>
  <c r="AP83" i="1"/>
  <c r="AO83" i="1"/>
  <c r="O238" i="1"/>
  <c r="P238" i="1" s="1"/>
  <c r="O78" i="1"/>
  <c r="O63" i="1"/>
  <c r="P63" i="1" s="1"/>
  <c r="P61" i="1"/>
  <c r="O7" i="1"/>
  <c r="T47" i="1"/>
  <c r="L47" i="1"/>
  <c r="M60" i="1"/>
  <c r="N58" i="1"/>
  <c r="M77" i="1"/>
  <c r="N77" i="1" s="1"/>
  <c r="M64" i="1"/>
  <c r="N64" i="1" s="1"/>
  <c r="M61" i="1"/>
  <c r="T75" i="1"/>
  <c r="L75" i="1"/>
  <c r="AN89" i="1"/>
  <c r="AX75" i="1"/>
  <c r="AM75" i="1"/>
  <c r="AM74" i="1"/>
  <c r="Q61" i="1"/>
  <c r="Q60" i="1"/>
  <c r="Q77" i="1"/>
  <c r="R77" i="1" s="1"/>
  <c r="Q64" i="1"/>
  <c r="R64" i="1" s="1"/>
  <c r="R58" i="1"/>
  <c r="Z74" i="1"/>
  <c r="R74" i="1"/>
  <c r="AN25" i="1"/>
  <c r="C61" i="1"/>
  <c r="C60" i="1"/>
  <c r="C64" i="1"/>
  <c r="C77" i="1"/>
  <c r="P74" i="1"/>
  <c r="X74" i="1"/>
  <c r="AI46" i="1"/>
  <c r="AI248" i="1"/>
  <c r="W201" i="1"/>
  <c r="AH239" i="1"/>
  <c r="Z163" i="1"/>
  <c r="Y158" i="1"/>
  <c r="S103" i="1"/>
  <c r="T90" i="1"/>
  <c r="R109" i="1"/>
  <c r="U103" i="1"/>
  <c r="V90" i="1"/>
  <c r="E108" i="1"/>
  <c r="E8" i="1"/>
  <c r="AI67" i="1"/>
  <c r="AG67" i="1"/>
  <c r="AF69" i="1"/>
  <c r="AD108" i="1"/>
  <c r="AD8" i="1"/>
  <c r="AE8" i="1" s="1"/>
  <c r="C130" i="1"/>
  <c r="C127" i="1"/>
  <c r="W90" i="1"/>
  <c r="Y88" i="1"/>
  <c r="AH109" i="1"/>
  <c r="AH106" i="1"/>
  <c r="AJ71" i="1"/>
  <c r="AK69" i="1"/>
  <c r="Z68" i="1"/>
  <c r="AJ61" i="1"/>
  <c r="AJ77" i="1"/>
  <c r="AJ64" i="1"/>
  <c r="AK58" i="1"/>
  <c r="AG77" i="1"/>
  <c r="AM52" i="1"/>
  <c r="AL58" i="1"/>
  <c r="AN98" i="1"/>
  <c r="Z75" i="1"/>
  <c r="AH64" i="1"/>
  <c r="AI64" i="1" s="1"/>
  <c r="AI58" i="1"/>
  <c r="AH61" i="1"/>
  <c r="AH77" i="1"/>
  <c r="AI77" i="1" s="1"/>
  <c r="AH60" i="1"/>
  <c r="AI60" i="1" s="1"/>
  <c r="AD61" i="1"/>
  <c r="AD77" i="1"/>
  <c r="AD64" i="1"/>
  <c r="AD60" i="1"/>
  <c r="AG60" i="1" s="1"/>
  <c r="AH71" i="1"/>
  <c r="AI69" i="1"/>
  <c r="X75" i="1"/>
  <c r="P75" i="1"/>
  <c r="AM47" i="1"/>
  <c r="AW39" i="1"/>
  <c r="AD201" i="1"/>
  <c r="AD206" i="1" s="1"/>
  <c r="AD208" i="1" s="1"/>
  <c r="AD216" i="1" s="1"/>
  <c r="AD142" i="1"/>
  <c r="AE142" i="1" s="1"/>
  <c r="AE35" i="1"/>
  <c r="AI38" i="1"/>
  <c r="Y229" i="1"/>
  <c r="X229" i="1"/>
  <c r="AW214" i="1"/>
  <c r="AX214" i="1"/>
  <c r="M246" i="1"/>
  <c r="M251" i="1"/>
  <c r="N251" i="1" s="1"/>
  <c r="V212" i="1"/>
  <c r="N212" i="1"/>
  <c r="O212" i="1"/>
  <c r="AG252" i="1"/>
  <c r="AK141" i="1"/>
  <c r="K247" i="1"/>
  <c r="L247" i="1" s="1"/>
  <c r="K226" i="1"/>
  <c r="L224" i="1"/>
  <c r="AJ215" i="1"/>
  <c r="AK215" i="1" s="1"/>
  <c r="AK213" i="1"/>
  <c r="I247" i="1"/>
  <c r="I226" i="1"/>
  <c r="K211" i="1"/>
  <c r="I213" i="1"/>
  <c r="I215" i="1" s="1"/>
  <c r="L176" i="1"/>
  <c r="T176" i="1"/>
  <c r="AG141" i="1"/>
  <c r="O106" i="1"/>
  <c r="O105" i="1"/>
  <c r="P103" i="1"/>
  <c r="O109" i="1"/>
  <c r="P109" i="1" s="1"/>
  <c r="AM141" i="1"/>
  <c r="I130" i="1"/>
  <c r="I127" i="1"/>
  <c r="I171" i="1" s="1"/>
  <c r="I126" i="1"/>
  <c r="AJ187" i="1"/>
  <c r="AK187" i="1" s="1"/>
  <c r="AK128" i="1"/>
  <c r="AJ103" i="1"/>
  <c r="AK90" i="1"/>
  <c r="AL128" i="1"/>
  <c r="AO128" i="1" s="1"/>
  <c r="T99" i="1"/>
  <c r="N74" i="1"/>
  <c r="Y29" i="1"/>
  <c r="Z26" i="1"/>
  <c r="X33" i="1"/>
  <c r="Y33" i="1"/>
  <c r="AX74" i="1"/>
  <c r="AM70" i="1"/>
  <c r="AG64" i="1"/>
  <c r="AF238" i="1"/>
  <c r="AF63" i="1"/>
  <c r="AF78" i="1"/>
  <c r="AG61" i="1"/>
  <c r="AF7" i="1"/>
  <c r="E238" i="1"/>
  <c r="E78" i="1"/>
  <c r="E63" i="1"/>
  <c r="E7" i="1"/>
  <c r="E9" i="1" s="1"/>
  <c r="E10" i="1" s="1"/>
  <c r="AL69" i="1"/>
  <c r="AM67" i="1"/>
  <c r="O71" i="1"/>
  <c r="P69" i="1"/>
  <c r="AF103" i="1"/>
  <c r="AI74" i="1"/>
  <c r="AJ46" i="1"/>
  <c r="AK46" i="1" s="1"/>
  <c r="M28" i="1"/>
  <c r="AL28" i="1" s="1"/>
  <c r="N26" i="1"/>
  <c r="V26" i="1"/>
  <c r="AR34" i="1"/>
  <c r="AQ34" i="1"/>
  <c r="AT23" i="1"/>
  <c r="AS23" i="1"/>
  <c r="J4" i="1"/>
  <c r="AL30" i="2" l="1"/>
  <c r="AD24" i="3"/>
  <c r="AJ238" i="1"/>
  <c r="AJ63" i="1"/>
  <c r="AJ78" i="1"/>
  <c r="AK61" i="1"/>
  <c r="AJ7" i="1"/>
  <c r="AF109" i="1"/>
  <c r="AG109" i="1" s="1"/>
  <c r="AG103" i="1"/>
  <c r="AF106" i="1"/>
  <c r="AL71" i="1"/>
  <c r="AM69" i="1"/>
  <c r="P105" i="1"/>
  <c r="X105" i="1"/>
  <c r="I228" i="1"/>
  <c r="AJ226" i="1"/>
  <c r="I246" i="1"/>
  <c r="I248" i="1" s="1"/>
  <c r="AM46" i="1"/>
  <c r="AD238" i="1"/>
  <c r="AD63" i="1"/>
  <c r="AG63" i="1" s="1"/>
  <c r="AD78" i="1"/>
  <c r="AD7" i="1"/>
  <c r="AL64" i="1"/>
  <c r="AM64" i="1" s="1"/>
  <c r="AM58" i="1"/>
  <c r="AL61" i="1"/>
  <c r="AL77" i="1"/>
  <c r="AM77" i="1" s="1"/>
  <c r="AL60" i="1"/>
  <c r="AM60" i="1" s="1"/>
  <c r="AK64" i="1"/>
  <c r="Y90" i="1"/>
  <c r="AN88" i="1"/>
  <c r="C240" i="1"/>
  <c r="C239" i="1"/>
  <c r="C192" i="1"/>
  <c r="C180" i="1"/>
  <c r="C129" i="1"/>
  <c r="C241" i="1" s="1"/>
  <c r="C143" i="1"/>
  <c r="C145" i="1"/>
  <c r="C171" i="1"/>
  <c r="U109" i="1"/>
  <c r="U106" i="1"/>
  <c r="U104" i="1"/>
  <c r="Y160" i="1"/>
  <c r="Z160" i="1" s="1"/>
  <c r="Z158" i="1"/>
  <c r="P7" i="1"/>
  <c r="M120" i="1"/>
  <c r="M101" i="1"/>
  <c r="N99" i="1"/>
  <c r="V99" i="1"/>
  <c r="AD219" i="1"/>
  <c r="AE219" i="1" s="1"/>
  <c r="AE220" i="1"/>
  <c r="AH242" i="1"/>
  <c r="AH243" i="1"/>
  <c r="AH195" i="1"/>
  <c r="AH185" i="1"/>
  <c r="AH171" i="1"/>
  <c r="AH172" i="1"/>
  <c r="AI154" i="1"/>
  <c r="K238" i="1"/>
  <c r="K78" i="1"/>
  <c r="K63" i="1"/>
  <c r="L61" i="1"/>
  <c r="K7" i="1"/>
  <c r="G9" i="1"/>
  <c r="AD188" i="1"/>
  <c r="AD12" i="1" s="1"/>
  <c r="AD189" i="1"/>
  <c r="AD193" i="1"/>
  <c r="AE180" i="1"/>
  <c r="AD153" i="1"/>
  <c r="AE153" i="1" s="1"/>
  <c r="AD11" i="1"/>
  <c r="AE11" i="1" s="1"/>
  <c r="AM116" i="1"/>
  <c r="L154" i="1"/>
  <c r="N226" i="1"/>
  <c r="M228" i="1"/>
  <c r="N228" i="1" s="1"/>
  <c r="AM219" i="1"/>
  <c r="AM251" i="1"/>
  <c r="AK77" i="1"/>
  <c r="AH108" i="1"/>
  <c r="AI106" i="1"/>
  <c r="AH8" i="1"/>
  <c r="W103" i="1"/>
  <c r="X90" i="1"/>
  <c r="AK60" i="1"/>
  <c r="Y201" i="1"/>
  <c r="R60" i="1"/>
  <c r="Z60" i="1"/>
  <c r="M238" i="1"/>
  <c r="N238" i="1" s="1"/>
  <c r="N61" i="1"/>
  <c r="M78" i="1"/>
  <c r="N78" i="1" s="1"/>
  <c r="M63" i="1"/>
  <c r="N63" i="1" s="1"/>
  <c r="M7" i="1"/>
  <c r="N60" i="1"/>
  <c r="V60" i="1"/>
  <c r="I108" i="1"/>
  <c r="R108" i="1" s="1"/>
  <c r="I8" i="1"/>
  <c r="R8" i="1" s="1"/>
  <c r="AQ99" i="1"/>
  <c r="AR99" i="1"/>
  <c r="K122" i="1"/>
  <c r="L120" i="1"/>
  <c r="R106" i="1"/>
  <c r="E242" i="1"/>
  <c r="E243" i="1"/>
  <c r="E185" i="1"/>
  <c r="E195" i="1"/>
  <c r="E172" i="1"/>
  <c r="R130" i="1"/>
  <c r="O27" i="1"/>
  <c r="N27" i="1"/>
  <c r="C201" i="1"/>
  <c r="C206" i="1" s="1"/>
  <c r="C208" i="1" s="1"/>
  <c r="C216" i="1" s="1"/>
  <c r="C142" i="1"/>
  <c r="L142" i="1" s="1"/>
  <c r="I9" i="1"/>
  <c r="I10" i="1" s="1"/>
  <c r="Y101" i="1"/>
  <c r="Z101" i="1" s="1"/>
  <c r="Z98" i="1"/>
  <c r="Y85" i="1"/>
  <c r="X85" i="1"/>
  <c r="R226" i="1"/>
  <c r="AM227" i="1"/>
  <c r="AT212" i="1"/>
  <c r="AS212" i="1"/>
  <c r="AG238" i="1"/>
  <c r="AJ109" i="1"/>
  <c r="AK109" i="1" s="1"/>
  <c r="AJ106" i="1"/>
  <c r="AJ105" i="1"/>
  <c r="AK105" i="1" s="1"/>
  <c r="AK103" i="1"/>
  <c r="K228" i="1"/>
  <c r="L228" i="1" s="1"/>
  <c r="L226" i="1"/>
  <c r="K246" i="1"/>
  <c r="AI109" i="1"/>
  <c r="AF71" i="1"/>
  <c r="AG69" i="1"/>
  <c r="C238" i="1"/>
  <c r="C78" i="1"/>
  <c r="C63" i="1"/>
  <c r="C7" i="1"/>
  <c r="C9" i="1" s="1"/>
  <c r="C10" i="1" s="1"/>
  <c r="Q238" i="1"/>
  <c r="R238" i="1" s="1"/>
  <c r="R61" i="1"/>
  <c r="Q78" i="1"/>
  <c r="R78" i="1" s="1"/>
  <c r="Q63" i="1"/>
  <c r="R63" i="1" s="1"/>
  <c r="Q7" i="1"/>
  <c r="AP89" i="1"/>
  <c r="AQ83" i="1"/>
  <c r="AR83" i="1"/>
  <c r="R126" i="1"/>
  <c r="L101" i="1"/>
  <c r="K103" i="1"/>
  <c r="O130" i="1"/>
  <c r="O127" i="1"/>
  <c r="O126" i="1"/>
  <c r="P126" i="1" s="1"/>
  <c r="P124" i="1"/>
  <c r="AD196" i="1"/>
  <c r="AD186" i="1"/>
  <c r="AE185" i="1"/>
  <c r="AJ247" i="1"/>
  <c r="AK247" i="1" s="1"/>
  <c r="AK224" i="1"/>
  <c r="AJ216" i="1"/>
  <c r="L77" i="1"/>
  <c r="AU100" i="1"/>
  <c r="AV100" i="1"/>
  <c r="AF105" i="1"/>
  <c r="AH12" i="1"/>
  <c r="N152" i="1"/>
  <c r="M154" i="1"/>
  <c r="O152" i="1"/>
  <c r="AL228" i="1"/>
  <c r="AM226" i="1"/>
  <c r="AU223" i="1"/>
  <c r="AV223" i="1"/>
  <c r="AT207" i="1"/>
  <c r="U177" i="1"/>
  <c r="V175" i="1"/>
  <c r="AG7" i="1"/>
  <c r="Z33" i="1"/>
  <c r="AN33" i="1"/>
  <c r="O108" i="1"/>
  <c r="P108" i="1" s="1"/>
  <c r="P106" i="1"/>
  <c r="O8" i="1"/>
  <c r="P8" i="1" s="1"/>
  <c r="AS34" i="1"/>
  <c r="AT34" i="1"/>
  <c r="I239" i="1"/>
  <c r="I240" i="1"/>
  <c r="I180" i="1"/>
  <c r="I192" i="1"/>
  <c r="I145" i="1"/>
  <c r="I143" i="1"/>
  <c r="I129" i="1"/>
  <c r="I241" i="1" s="1"/>
  <c r="M211" i="1"/>
  <c r="AL211" i="1"/>
  <c r="L211" i="1"/>
  <c r="K213" i="1"/>
  <c r="AV23" i="1"/>
  <c r="AU23" i="1"/>
  <c r="AG78" i="1"/>
  <c r="AL187" i="1"/>
  <c r="AM187" i="1" s="1"/>
  <c r="AM128" i="1"/>
  <c r="O251" i="1"/>
  <c r="P251" i="1" s="1"/>
  <c r="O246" i="1"/>
  <c r="X212" i="1"/>
  <c r="P212" i="1"/>
  <c r="Q212" i="1"/>
  <c r="M248" i="1"/>
  <c r="N248" i="1" s="1"/>
  <c r="N246" i="1"/>
  <c r="Z229" i="1"/>
  <c r="AN229" i="1"/>
  <c r="AP229" i="1" s="1"/>
  <c r="AR229" i="1" s="1"/>
  <c r="AT229" i="1" s="1"/>
  <c r="AV229" i="1" s="1"/>
  <c r="AX229" i="1" s="1"/>
  <c r="AH238" i="1"/>
  <c r="AI238" i="1" s="1"/>
  <c r="AH78" i="1"/>
  <c r="AI78" i="1" s="1"/>
  <c r="AI61" i="1"/>
  <c r="AH63" i="1"/>
  <c r="AI63" i="1" s="1"/>
  <c r="AH7" i="1"/>
  <c r="AN101" i="1"/>
  <c r="AP98" i="1"/>
  <c r="AO98" i="1"/>
  <c r="AI103" i="1"/>
  <c r="T101" i="1"/>
  <c r="S109" i="1"/>
  <c r="S106" i="1"/>
  <c r="S104" i="1"/>
  <c r="T103" i="1"/>
  <c r="AO25" i="1"/>
  <c r="AP25" i="1"/>
  <c r="P78" i="1"/>
  <c r="G127" i="1"/>
  <c r="G130" i="1"/>
  <c r="G126" i="1"/>
  <c r="AM99" i="1"/>
  <c r="AL101" i="1"/>
  <c r="AL120" i="1"/>
  <c r="E193" i="1"/>
  <c r="E188" i="1"/>
  <c r="E12" i="1" s="1"/>
  <c r="E189" i="1"/>
  <c r="E153" i="1"/>
  <c r="E11" i="1"/>
  <c r="Q240" i="1"/>
  <c r="R240" i="1" s="1"/>
  <c r="Q239" i="1"/>
  <c r="R239" i="1" s="1"/>
  <c r="Q192" i="1"/>
  <c r="R192" i="1" s="1"/>
  <c r="Q180" i="1"/>
  <c r="Q145" i="1"/>
  <c r="Q143" i="1"/>
  <c r="R143" i="1" s="1"/>
  <c r="R127" i="1"/>
  <c r="Q129" i="1"/>
  <c r="AS157" i="1"/>
  <c r="AT157" i="1"/>
  <c r="AF35" i="1"/>
  <c r="AG32" i="1"/>
  <c r="AH22" i="1"/>
  <c r="AX24" i="1"/>
  <c r="AW24" i="1"/>
  <c r="L60" i="1"/>
  <c r="T60" i="1"/>
  <c r="E32" i="1"/>
  <c r="E36" i="1"/>
  <c r="E39" i="1"/>
  <c r="Z46" i="1"/>
  <c r="X82" i="1"/>
  <c r="W84" i="1"/>
  <c r="X84" i="1" s="1"/>
  <c r="Y82" i="1"/>
  <c r="AN82" i="1"/>
  <c r="AJ124" i="1"/>
  <c r="AK116" i="1"/>
  <c r="AF130" i="1"/>
  <c r="AF127" i="1"/>
  <c r="AG124" i="1"/>
  <c r="AF126" i="1"/>
  <c r="AI124" i="1"/>
  <c r="AH132" i="1"/>
  <c r="AH147" i="1" s="1"/>
  <c r="AH13" i="1"/>
  <c r="R228" i="1"/>
  <c r="AL247" i="1"/>
  <c r="AM247" i="1" s="1"/>
  <c r="AM224" i="1"/>
  <c r="AM252" i="1"/>
  <c r="W175" i="1"/>
  <c r="W174" i="1"/>
  <c r="V174" i="1"/>
  <c r="AK154" i="1"/>
  <c r="N221" i="1"/>
  <c r="O221" i="1"/>
  <c r="AL246" i="1"/>
  <c r="AN175" i="1" l="1"/>
  <c r="AH167" i="1"/>
  <c r="X174" i="1"/>
  <c r="Y174" i="1"/>
  <c r="Y175" i="1"/>
  <c r="AJ130" i="1"/>
  <c r="AK130" i="1" s="1"/>
  <c r="AJ127" i="1"/>
  <c r="AK124" i="1"/>
  <c r="AJ126" i="1"/>
  <c r="AK126" i="1" s="1"/>
  <c r="AL248" i="1"/>
  <c r="AF240" i="1"/>
  <c r="AF239" i="1"/>
  <c r="AF192" i="1"/>
  <c r="AF180" i="1"/>
  <c r="AF143" i="1"/>
  <c r="AF129" i="1"/>
  <c r="AG127" i="1"/>
  <c r="AF171" i="1"/>
  <c r="AG171" i="1" s="1"/>
  <c r="AI127" i="1"/>
  <c r="AF145" i="1"/>
  <c r="W95" i="1"/>
  <c r="X95" i="1" s="1"/>
  <c r="AF201" i="1"/>
  <c r="AF206" i="1" s="1"/>
  <c r="AF208" i="1" s="1"/>
  <c r="AF216" i="1" s="1"/>
  <c r="AF142" i="1"/>
  <c r="AG142" i="1" s="1"/>
  <c r="AG35" i="1"/>
  <c r="Q243" i="1"/>
  <c r="Q242" i="1"/>
  <c r="Q185" i="1"/>
  <c r="Q195" i="1"/>
  <c r="R145" i="1"/>
  <c r="AO101" i="1"/>
  <c r="Q221" i="1"/>
  <c r="P221" i="1"/>
  <c r="AG130" i="1"/>
  <c r="AI130" i="1"/>
  <c r="Y95" i="1"/>
  <c r="Z95" i="1" s="1"/>
  <c r="Y84" i="1"/>
  <c r="Z84" i="1" s="1"/>
  <c r="Z82" i="1"/>
  <c r="E35" i="1"/>
  <c r="G22" i="1"/>
  <c r="Q241" i="1"/>
  <c r="R241" i="1" s="1"/>
  <c r="R129" i="1"/>
  <c r="Q189" i="1"/>
  <c r="Q188" i="1"/>
  <c r="Q193" i="1"/>
  <c r="R180" i="1"/>
  <c r="Q11" i="1"/>
  <c r="AR25" i="1"/>
  <c r="AQ25" i="1"/>
  <c r="AP26" i="1"/>
  <c r="T104" i="1"/>
  <c r="AI7" i="1"/>
  <c r="AH9" i="1"/>
  <c r="O248" i="1"/>
  <c r="P248" i="1" s="1"/>
  <c r="P246" i="1"/>
  <c r="L213" i="1"/>
  <c r="K215" i="1"/>
  <c r="L215" i="1" s="1"/>
  <c r="I193" i="1"/>
  <c r="I188" i="1"/>
  <c r="I12" i="1" s="1"/>
  <c r="I189" i="1"/>
  <c r="I11" i="1"/>
  <c r="I153" i="1"/>
  <c r="AO33" i="1"/>
  <c r="AP33" i="1"/>
  <c r="AX223" i="1"/>
  <c r="AV207" i="1"/>
  <c r="AW223" i="1"/>
  <c r="Q152" i="1"/>
  <c r="P152" i="1"/>
  <c r="O154" i="1"/>
  <c r="AL152" i="1"/>
  <c r="AX100" i="1"/>
  <c r="AW100" i="1"/>
  <c r="AT83" i="1"/>
  <c r="AS83" i="1"/>
  <c r="R7" i="1"/>
  <c r="Q9" i="1"/>
  <c r="L246" i="1"/>
  <c r="K248" i="1"/>
  <c r="L248" i="1" s="1"/>
  <c r="L122" i="1"/>
  <c r="K124" i="1"/>
  <c r="N7" i="1"/>
  <c r="L7" i="1"/>
  <c r="L238" i="1"/>
  <c r="AI171" i="1"/>
  <c r="O9" i="1"/>
  <c r="V104" i="1"/>
  <c r="C193" i="1"/>
  <c r="C189" i="1"/>
  <c r="C188" i="1"/>
  <c r="C12" i="1" s="1"/>
  <c r="C153" i="1"/>
  <c r="C11" i="1"/>
  <c r="AP88" i="1"/>
  <c r="AN90" i="1"/>
  <c r="AO88" i="1"/>
  <c r="AK78" i="1"/>
  <c r="AG126" i="1"/>
  <c r="AI126" i="1"/>
  <c r="AH32" i="1"/>
  <c r="AH39" i="1"/>
  <c r="AI39" i="1" s="1"/>
  <c r="AH36" i="1"/>
  <c r="AI36" i="1" s="1"/>
  <c r="AI22" i="1"/>
  <c r="AV157" i="1"/>
  <c r="AU157" i="1"/>
  <c r="AL122" i="1"/>
  <c r="AM120" i="1"/>
  <c r="S108" i="1"/>
  <c r="T106" i="1"/>
  <c r="S8" i="1"/>
  <c r="Q246" i="1"/>
  <c r="Q251" i="1"/>
  <c r="R251" i="1" s="1"/>
  <c r="Z212" i="1"/>
  <c r="R212" i="1"/>
  <c r="K106" i="1"/>
  <c r="K105" i="1"/>
  <c r="K109" i="1"/>
  <c r="L109" i="1" s="1"/>
  <c r="L103" i="1"/>
  <c r="AK106" i="1"/>
  <c r="AJ108" i="1"/>
  <c r="AK108" i="1" s="1"/>
  <c r="AJ8" i="1"/>
  <c r="AK8" i="1" s="1"/>
  <c r="AU212" i="1"/>
  <c r="AV212" i="1"/>
  <c r="Z85" i="1"/>
  <c r="AN85" i="1"/>
  <c r="P27" i="1"/>
  <c r="Q27" i="1"/>
  <c r="AL27" i="1" s="1"/>
  <c r="X27" i="1"/>
  <c r="AE189" i="1"/>
  <c r="AD132" i="1"/>
  <c r="AD13" i="1"/>
  <c r="AE13" i="1" s="1"/>
  <c r="U108" i="1"/>
  <c r="U8" i="1"/>
  <c r="C242" i="1"/>
  <c r="C243" i="1"/>
  <c r="C220" i="1"/>
  <c r="C195" i="1"/>
  <c r="C185" i="1"/>
  <c r="C172" i="1"/>
  <c r="Y103" i="1"/>
  <c r="Z90" i="1"/>
  <c r="AD9" i="1"/>
  <c r="AE7" i="1"/>
  <c r="AK63" i="1"/>
  <c r="AH133" i="1"/>
  <c r="E132" i="1"/>
  <c r="E13" i="1"/>
  <c r="AM101" i="1"/>
  <c r="AL103" i="1"/>
  <c r="G240" i="1"/>
  <c r="G239" i="1"/>
  <c r="G180" i="1"/>
  <c r="G192" i="1"/>
  <c r="G145" i="1"/>
  <c r="G143" i="1"/>
  <c r="G129" i="1"/>
  <c r="G171" i="1"/>
  <c r="T109" i="1"/>
  <c r="AQ98" i="1"/>
  <c r="AP101" i="1"/>
  <c r="AQ101" i="1" s="1"/>
  <c r="AR98" i="1"/>
  <c r="AL213" i="1"/>
  <c r="AM211" i="1"/>
  <c r="I242" i="1"/>
  <c r="I243" i="1"/>
  <c r="I195" i="1"/>
  <c r="I185" i="1"/>
  <c r="I172" i="1"/>
  <c r="U184" i="1"/>
  <c r="U181" i="1"/>
  <c r="V181" i="1" s="1"/>
  <c r="U183" i="1"/>
  <c r="V183" i="1" s="1"/>
  <c r="V177" i="1"/>
  <c r="U187" i="1"/>
  <c r="V187" i="1" s="1"/>
  <c r="N154" i="1"/>
  <c r="O240" i="1"/>
  <c r="O239" i="1"/>
  <c r="P239" i="1" s="1"/>
  <c r="O192" i="1"/>
  <c r="O180" i="1"/>
  <c r="O143" i="1"/>
  <c r="P143" i="1" s="1"/>
  <c r="O145" i="1"/>
  <c r="O129" i="1"/>
  <c r="P127" i="1"/>
  <c r="AR89" i="1"/>
  <c r="AT99" i="1"/>
  <c r="AS99" i="1"/>
  <c r="L63" i="1"/>
  <c r="N101" i="1"/>
  <c r="M103" i="1"/>
  <c r="V101" i="1"/>
  <c r="AL238" i="1"/>
  <c r="AM238" i="1" s="1"/>
  <c r="AL78" i="1"/>
  <c r="AM78" i="1" s="1"/>
  <c r="AM61" i="1"/>
  <c r="AL63" i="1"/>
  <c r="AM63" i="1" s="1"/>
  <c r="AL7" i="1"/>
  <c r="AK7" i="1"/>
  <c r="AJ9" i="1"/>
  <c r="AK238" i="1"/>
  <c r="X175" i="1"/>
  <c r="W177" i="1"/>
  <c r="AN95" i="1"/>
  <c r="AO95" i="1" s="1"/>
  <c r="AO82" i="1"/>
  <c r="AN84" i="1"/>
  <c r="AO84" i="1" s="1"/>
  <c r="AP82" i="1"/>
  <c r="AW23" i="1"/>
  <c r="AX23" i="1"/>
  <c r="M213" i="1"/>
  <c r="N211" i="1"/>
  <c r="O211" i="1"/>
  <c r="AV34" i="1"/>
  <c r="AU34" i="1"/>
  <c r="AG105" i="1"/>
  <c r="AI105" i="1"/>
  <c r="P130" i="1"/>
  <c r="E196" i="1"/>
  <c r="E186" i="1"/>
  <c r="AN201" i="1"/>
  <c r="W109" i="1"/>
  <c r="X109" i="1" s="1"/>
  <c r="W104" i="1"/>
  <c r="X103" i="1"/>
  <c r="G10" i="1"/>
  <c r="L78" i="1"/>
  <c r="AH196" i="1"/>
  <c r="AH186" i="1"/>
  <c r="N120" i="1"/>
  <c r="M122" i="1"/>
  <c r="AK226" i="1"/>
  <c r="AJ228" i="1"/>
  <c r="AK228" i="1" s="1"/>
  <c r="AJ246" i="1"/>
  <c r="AG106" i="1"/>
  <c r="AF108" i="1"/>
  <c r="AG108" i="1" s="1"/>
  <c r="AF8" i="1"/>
  <c r="AM27" i="1" l="1"/>
  <c r="AX27" i="1"/>
  <c r="AL29" i="1"/>
  <c r="AL38" i="1" s="1"/>
  <c r="AM38" i="1" s="1"/>
  <c r="O213" i="1"/>
  <c r="P211" i="1"/>
  <c r="Q211" i="1"/>
  <c r="AM228" i="1"/>
  <c r="M109" i="1"/>
  <c r="N103" i="1"/>
  <c r="M106" i="1"/>
  <c r="M105" i="1"/>
  <c r="V103" i="1"/>
  <c r="AI108" i="1"/>
  <c r="P240" i="1"/>
  <c r="AE9" i="1"/>
  <c r="AD10" i="1"/>
  <c r="AK246" i="1"/>
  <c r="AJ248" i="1"/>
  <c r="AK248" i="1" s="1"/>
  <c r="N122" i="1"/>
  <c r="M124" i="1"/>
  <c r="AP201" i="1"/>
  <c r="M215" i="1"/>
  <c r="N215" i="1" s="1"/>
  <c r="N213" i="1"/>
  <c r="AR82" i="1"/>
  <c r="AQ82" i="1"/>
  <c r="AP84" i="1"/>
  <c r="AQ84" i="1" s="1"/>
  <c r="W181" i="1"/>
  <c r="X181" i="1" s="1"/>
  <c r="W184" i="1"/>
  <c r="W183" i="1"/>
  <c r="X183" i="1" s="1"/>
  <c r="X177" i="1"/>
  <c r="W187" i="1"/>
  <c r="X187" i="1" s="1"/>
  <c r="O189" i="1"/>
  <c r="O188" i="1"/>
  <c r="P180" i="1"/>
  <c r="O193" i="1"/>
  <c r="O11" i="1"/>
  <c r="P11" i="1" s="1"/>
  <c r="G241" i="1"/>
  <c r="H129" i="1"/>
  <c r="G193" i="1"/>
  <c r="G189" i="1"/>
  <c r="G188" i="1"/>
  <c r="G12" i="1" s="1"/>
  <c r="G11" i="1"/>
  <c r="G153" i="1"/>
  <c r="C196" i="1"/>
  <c r="C186" i="1"/>
  <c r="Q248" i="1"/>
  <c r="R248" i="1" s="1"/>
  <c r="R246" i="1"/>
  <c r="AI32" i="1"/>
  <c r="AJ22" i="1"/>
  <c r="AH35" i="1"/>
  <c r="C132" i="1"/>
  <c r="C13" i="1"/>
  <c r="O10" i="1"/>
  <c r="P9" i="1"/>
  <c r="AU83" i="1"/>
  <c r="AV83" i="1"/>
  <c r="O153" i="1"/>
  <c r="P153" i="1" s="1"/>
  <c r="R193" i="1"/>
  <c r="R243" i="1"/>
  <c r="AG192" i="1"/>
  <c r="AI192" i="1"/>
  <c r="AM248" i="1"/>
  <c r="AT89" i="1"/>
  <c r="AG8" i="1"/>
  <c r="AF9" i="1"/>
  <c r="X104" i="1"/>
  <c r="AW34" i="1"/>
  <c r="AX34" i="1"/>
  <c r="AM7" i="1"/>
  <c r="AU99" i="1"/>
  <c r="AV99" i="1"/>
  <c r="O241" i="1"/>
  <c r="P241" i="1" s="1"/>
  <c r="P129" i="1"/>
  <c r="P192" i="1"/>
  <c r="I196" i="1"/>
  <c r="I186" i="1"/>
  <c r="Y109" i="1"/>
  <c r="Z109" i="1" s="1"/>
  <c r="Z103" i="1"/>
  <c r="Y104" i="1"/>
  <c r="Y106" i="1" s="1"/>
  <c r="Z27" i="1"/>
  <c r="R27" i="1"/>
  <c r="S27" i="1"/>
  <c r="AW212" i="1"/>
  <c r="AX212" i="1"/>
  <c r="AM122" i="1"/>
  <c r="AL124" i="1"/>
  <c r="K130" i="1"/>
  <c r="L130" i="1" s="1"/>
  <c r="K127" i="1"/>
  <c r="L124" i="1"/>
  <c r="K126" i="1"/>
  <c r="L126" i="1" s="1"/>
  <c r="Q10" i="1"/>
  <c r="R9" i="1"/>
  <c r="O172" i="1"/>
  <c r="O171" i="1"/>
  <c r="P171" i="1" s="1"/>
  <c r="P154" i="1"/>
  <c r="AT25" i="1"/>
  <c r="AS25" i="1"/>
  <c r="AR26" i="1"/>
  <c r="R188" i="1"/>
  <c r="Q12" i="1"/>
  <c r="R12" i="1" s="1"/>
  <c r="G39" i="1"/>
  <c r="G32" i="1"/>
  <c r="G36" i="1" s="1"/>
  <c r="R221" i="1"/>
  <c r="S221" i="1"/>
  <c r="R195" i="1"/>
  <c r="AF242" i="1"/>
  <c r="AF243" i="1"/>
  <c r="AF195" i="1"/>
  <c r="AF185" i="1"/>
  <c r="AG145" i="1"/>
  <c r="AF172" i="1"/>
  <c r="AF220" i="1"/>
  <c r="AI145" i="1"/>
  <c r="AF241" i="1"/>
  <c r="AG129" i="1"/>
  <c r="AI129" i="1"/>
  <c r="AG239" i="1"/>
  <c r="AI239" i="1"/>
  <c r="Y177" i="1"/>
  <c r="Z175" i="1"/>
  <c r="AL215" i="1"/>
  <c r="AM213" i="1"/>
  <c r="G243" i="1"/>
  <c r="G242" i="1"/>
  <c r="G185" i="1"/>
  <c r="G195" i="1"/>
  <c r="G172" i="1"/>
  <c r="E133" i="1"/>
  <c r="E147" i="1"/>
  <c r="E167" i="1" s="1"/>
  <c r="L220" i="1"/>
  <c r="C219" i="1"/>
  <c r="L219" i="1" s="1"/>
  <c r="E220" i="1"/>
  <c r="AD133" i="1"/>
  <c r="AD147" i="1"/>
  <c r="AD167" i="1" s="1"/>
  <c r="AE167" i="1" s="1"/>
  <c r="T105" i="1"/>
  <c r="L105" i="1"/>
  <c r="AN103" i="1"/>
  <c r="AO90" i="1"/>
  <c r="AI8" i="1"/>
  <c r="AH10" i="1"/>
  <c r="AI9" i="1"/>
  <c r="R11" i="1"/>
  <c r="R189" i="1"/>
  <c r="Q132" i="1"/>
  <c r="Q13" i="1"/>
  <c r="E201" i="1"/>
  <c r="E206" i="1" s="1"/>
  <c r="E208" i="1" s="1"/>
  <c r="E216" i="1" s="1"/>
  <c r="E142" i="1"/>
  <c r="N142" i="1" s="1"/>
  <c r="Q186" i="1"/>
  <c r="Q196" i="1"/>
  <c r="R196" i="1" s="1"/>
  <c r="R185" i="1"/>
  <c r="AG143" i="1"/>
  <c r="AI143" i="1"/>
  <c r="AG240" i="1"/>
  <c r="AI240" i="1"/>
  <c r="Z174" i="1"/>
  <c r="AN174" i="1"/>
  <c r="O243" i="1"/>
  <c r="O242" i="1"/>
  <c r="P242" i="1" s="1"/>
  <c r="O185" i="1"/>
  <c r="O195" i="1"/>
  <c r="P195" i="1" s="1"/>
  <c r="P145" i="1"/>
  <c r="W106" i="1"/>
  <c r="AJ10" i="1"/>
  <c r="AK9" i="1"/>
  <c r="AR101" i="1"/>
  <c r="AS101" i="1" s="1"/>
  <c r="AT98" i="1"/>
  <c r="AS98" i="1"/>
  <c r="AM103" i="1"/>
  <c r="AL109" i="1"/>
  <c r="AM109" i="1" s="1"/>
  <c r="AL106" i="1"/>
  <c r="AL105" i="1"/>
  <c r="AM105" i="1" s="1"/>
  <c r="AP85" i="1"/>
  <c r="AO85" i="1"/>
  <c r="K108" i="1"/>
  <c r="L108" i="1" s="1"/>
  <c r="L106" i="1"/>
  <c r="K8" i="1"/>
  <c r="T108" i="1"/>
  <c r="AX157" i="1"/>
  <c r="AW157" i="1"/>
  <c r="AR88" i="1"/>
  <c r="AP90" i="1"/>
  <c r="AQ88" i="1"/>
  <c r="AL163" i="1"/>
  <c r="AL154" i="1"/>
  <c r="AM152" i="1"/>
  <c r="R152" i="1"/>
  <c r="Q154" i="1"/>
  <c r="Q153" i="1"/>
  <c r="R153" i="1" s="1"/>
  <c r="S152" i="1"/>
  <c r="AR33" i="1"/>
  <c r="AQ33" i="1"/>
  <c r="I132" i="1"/>
  <c r="I13" i="1"/>
  <c r="AP29" i="1"/>
  <c r="AQ26" i="1"/>
  <c r="R242" i="1"/>
  <c r="AF189" i="1"/>
  <c r="AG180" i="1"/>
  <c r="AF193" i="1"/>
  <c r="AF188" i="1"/>
  <c r="AF153" i="1"/>
  <c r="AF11" i="1"/>
  <c r="AI180" i="1"/>
  <c r="AM246" i="1"/>
  <c r="AJ240" i="1"/>
  <c r="AK240" i="1" s="1"/>
  <c r="AJ239" i="1"/>
  <c r="AK239" i="1" s="1"/>
  <c r="AJ180" i="1"/>
  <c r="AJ192" i="1"/>
  <c r="AK192" i="1" s="1"/>
  <c r="AJ129" i="1"/>
  <c r="AK127" i="1"/>
  <c r="AJ143" i="1"/>
  <c r="AK143" i="1" s="1"/>
  <c r="AJ145" i="1"/>
  <c r="AJ171" i="1"/>
  <c r="AK171" i="1" s="1"/>
  <c r="AO175" i="1"/>
  <c r="AN181" i="1"/>
  <c r="AO181" i="1" s="1"/>
  <c r="Y108" i="1" l="1"/>
  <c r="Z108" i="1" s="1"/>
  <c r="Z106" i="1"/>
  <c r="Y8" i="1"/>
  <c r="Z8" i="1" s="1"/>
  <c r="AG11" i="1"/>
  <c r="AI11" i="1"/>
  <c r="AG153" i="1"/>
  <c r="AI153" i="1"/>
  <c r="L8" i="1"/>
  <c r="K9" i="1"/>
  <c r="AQ85" i="1"/>
  <c r="AR85" i="1"/>
  <c r="AJ243" i="1"/>
  <c r="AK243" i="1" s="1"/>
  <c r="AJ242" i="1"/>
  <c r="AK242" i="1" s="1"/>
  <c r="AJ185" i="1"/>
  <c r="AJ195" i="1"/>
  <c r="AK195" i="1" s="1"/>
  <c r="AK145" i="1"/>
  <c r="AJ172" i="1"/>
  <c r="AK172" i="1" s="1"/>
  <c r="AG188" i="1"/>
  <c r="AF12" i="1"/>
  <c r="AI188" i="1"/>
  <c r="I133" i="1"/>
  <c r="I147" i="1"/>
  <c r="I167" i="1" s="1"/>
  <c r="AP103" i="1"/>
  <c r="AQ90" i="1"/>
  <c r="P243" i="1"/>
  <c r="R13" i="1"/>
  <c r="AN109" i="1"/>
  <c r="AO109" i="1" s="1"/>
  <c r="AO103" i="1"/>
  <c r="Y184" i="1"/>
  <c r="Y183" i="1"/>
  <c r="Z183" i="1" s="1"/>
  <c r="Y181" i="1"/>
  <c r="Z181" i="1" s="1"/>
  <c r="Z177" i="1"/>
  <c r="Y187" i="1"/>
  <c r="Z187" i="1" s="1"/>
  <c r="AN177" i="1"/>
  <c r="AG172" i="1"/>
  <c r="AI172" i="1"/>
  <c r="AG195" i="1"/>
  <c r="AI195" i="1"/>
  <c r="U221" i="1"/>
  <c r="AN221" i="1"/>
  <c r="T221" i="1"/>
  <c r="AL127" i="1"/>
  <c r="AM124" i="1"/>
  <c r="AL130" i="1"/>
  <c r="AM130" i="1" s="1"/>
  <c r="AL126" i="1"/>
  <c r="AM126" i="1" s="1"/>
  <c r="AX99" i="1"/>
  <c r="AW99" i="1"/>
  <c r="AF10" i="1"/>
  <c r="AG9" i="1"/>
  <c r="AH201" i="1"/>
  <c r="AH206" i="1" s="1"/>
  <c r="AH208" i="1" s="1"/>
  <c r="AH216" i="1" s="1"/>
  <c r="AH142" i="1"/>
  <c r="AI142" i="1" s="1"/>
  <c r="AI35" i="1"/>
  <c r="P193" i="1"/>
  <c r="AS82" i="1"/>
  <c r="AR95" i="1"/>
  <c r="AR84" i="1"/>
  <c r="AS84" i="1" s="1"/>
  <c r="AT82" i="1"/>
  <c r="AR201" i="1"/>
  <c r="N105" i="1"/>
  <c r="V105" i="1"/>
  <c r="AG189" i="1"/>
  <c r="AF132" i="1"/>
  <c r="AF13" i="1"/>
  <c r="AI189" i="1"/>
  <c r="AJ189" i="1"/>
  <c r="AJ193" i="1"/>
  <c r="AK193" i="1" s="1"/>
  <c r="AJ188" i="1"/>
  <c r="AK180" i="1"/>
  <c r="AJ11" i="1"/>
  <c r="AK11" i="1" s="1"/>
  <c r="AJ153" i="1"/>
  <c r="AK153" i="1" s="1"/>
  <c r="AG193" i="1"/>
  <c r="AI193" i="1"/>
  <c r="Q167" i="1"/>
  <c r="R154" i="1"/>
  <c r="Q172" i="1"/>
  <c r="R172" i="1" s="1"/>
  <c r="Q171" i="1"/>
  <c r="R171" i="1" s="1"/>
  <c r="AL171" i="1"/>
  <c r="AM171" i="1" s="1"/>
  <c r="AM154" i="1"/>
  <c r="AR90" i="1"/>
  <c r="AS88" i="1"/>
  <c r="AT88" i="1"/>
  <c r="AO174" i="1"/>
  <c r="R132" i="1"/>
  <c r="Q133" i="1"/>
  <c r="R133" i="1" s="1"/>
  <c r="Q147" i="1"/>
  <c r="R147" i="1" s="1"/>
  <c r="N220" i="1"/>
  <c r="E219" i="1"/>
  <c r="N219" i="1" s="1"/>
  <c r="G220" i="1"/>
  <c r="G196" i="1"/>
  <c r="G186" i="1"/>
  <c r="AM215" i="1"/>
  <c r="AL216" i="1"/>
  <c r="AG241" i="1"/>
  <c r="AI241" i="1"/>
  <c r="AG243" i="1"/>
  <c r="AI243" i="1"/>
  <c r="AV25" i="1"/>
  <c r="AU25" i="1"/>
  <c r="AT26" i="1"/>
  <c r="P172" i="1"/>
  <c r="AJ36" i="1"/>
  <c r="AK36" i="1" s="1"/>
  <c r="AJ32" i="1"/>
  <c r="AK22" i="1"/>
  <c r="AJ39" i="1"/>
  <c r="AK39" i="1" s="1"/>
  <c r="AP95" i="1"/>
  <c r="AQ95" i="1" s="1"/>
  <c r="M108" i="1"/>
  <c r="N106" i="1"/>
  <c r="M8" i="1"/>
  <c r="V106" i="1"/>
  <c r="R211" i="1"/>
  <c r="S211" i="1"/>
  <c r="Q213" i="1"/>
  <c r="AS33" i="1"/>
  <c r="AT33" i="1"/>
  <c r="AM163" i="1"/>
  <c r="AL158" i="1"/>
  <c r="AL108" i="1"/>
  <c r="AM108" i="1" s="1"/>
  <c r="AM106" i="1"/>
  <c r="AL8" i="1"/>
  <c r="AU98" i="1"/>
  <c r="AT101" i="1"/>
  <c r="AU101" i="1" s="1"/>
  <c r="AV98" i="1"/>
  <c r="W108" i="1"/>
  <c r="X108" i="1" s="1"/>
  <c r="X106" i="1"/>
  <c r="W8" i="1"/>
  <c r="X8" i="1" s="1"/>
  <c r="P185" i="1"/>
  <c r="O196" i="1"/>
  <c r="P196" i="1" s="1"/>
  <c r="O186" i="1"/>
  <c r="AG242" i="1"/>
  <c r="AI242" i="1"/>
  <c r="K240" i="1"/>
  <c r="L240" i="1" s="1"/>
  <c r="K239" i="1"/>
  <c r="L239" i="1" s="1"/>
  <c r="K180" i="1"/>
  <c r="K192" i="1"/>
  <c r="L192" i="1" s="1"/>
  <c r="K143" i="1"/>
  <c r="L143" i="1" s="1"/>
  <c r="K145" i="1"/>
  <c r="K129" i="1"/>
  <c r="L127" i="1"/>
  <c r="K171" i="1"/>
  <c r="L171" i="1" s="1"/>
  <c r="T8" i="1"/>
  <c r="AV89" i="1"/>
  <c r="AX83" i="1"/>
  <c r="AW83" i="1"/>
  <c r="P188" i="1"/>
  <c r="O12" i="1"/>
  <c r="P12" i="1" s="1"/>
  <c r="AJ241" i="1"/>
  <c r="AK241" i="1" s="1"/>
  <c r="AK129" i="1"/>
  <c r="U152" i="1"/>
  <c r="T152" i="1"/>
  <c r="S154" i="1"/>
  <c r="AG220" i="1"/>
  <c r="AH220" i="1"/>
  <c r="AF219" i="1"/>
  <c r="AG219" i="1" s="1"/>
  <c r="AG185" i="1"/>
  <c r="AF186" i="1"/>
  <c r="AF196" i="1"/>
  <c r="AI185" i="1"/>
  <c r="G35" i="1"/>
  <c r="G201" i="1" s="1"/>
  <c r="G206" i="1" s="1"/>
  <c r="G208" i="1" s="1"/>
  <c r="G216" i="1" s="1"/>
  <c r="I22" i="1"/>
  <c r="AR29" i="1"/>
  <c r="AS26" i="1"/>
  <c r="AN27" i="1"/>
  <c r="U27" i="1"/>
  <c r="T27" i="1"/>
  <c r="S29" i="1"/>
  <c r="Z104" i="1"/>
  <c r="C133" i="1"/>
  <c r="C147" i="1"/>
  <c r="C167" i="1" s="1"/>
  <c r="G132" i="1"/>
  <c r="G13" i="1"/>
  <c r="P189" i="1"/>
  <c r="O132" i="1"/>
  <c r="O13" i="1"/>
  <c r="P13" i="1" s="1"/>
  <c r="N124" i="1"/>
  <c r="M127" i="1"/>
  <c r="M130" i="1"/>
  <c r="N130" i="1" s="1"/>
  <c r="M126" i="1"/>
  <c r="N126" i="1" s="1"/>
  <c r="N109" i="1"/>
  <c r="V109" i="1"/>
  <c r="O215" i="1"/>
  <c r="P215" i="1" s="1"/>
  <c r="P213" i="1"/>
  <c r="AN104" i="1"/>
  <c r="AN106" i="1" s="1"/>
  <c r="AN108" i="1" l="1"/>
  <c r="AO108" i="1" s="1"/>
  <c r="AO106" i="1"/>
  <c r="AN8" i="1"/>
  <c r="AO8" i="1" s="1"/>
  <c r="AO27" i="1"/>
  <c r="AQ27" i="1"/>
  <c r="AN29" i="1"/>
  <c r="T154" i="1"/>
  <c r="AM8" i="1"/>
  <c r="AL9" i="1"/>
  <c r="AN211" i="1"/>
  <c r="S213" i="1"/>
  <c r="U211" i="1"/>
  <c r="T211" i="1"/>
  <c r="M240" i="1"/>
  <c r="N240" i="1" s="1"/>
  <c r="M239" i="1"/>
  <c r="N239" i="1" s="1"/>
  <c r="M180" i="1"/>
  <c r="M192" i="1"/>
  <c r="N192" i="1" s="1"/>
  <c r="M145" i="1"/>
  <c r="M143" i="1"/>
  <c r="N143" i="1" s="1"/>
  <c r="N127" i="1"/>
  <c r="M129" i="1"/>
  <c r="M171" i="1"/>
  <c r="N171" i="1" s="1"/>
  <c r="AG196" i="1"/>
  <c r="AI196" i="1"/>
  <c r="AH219" i="1"/>
  <c r="AI220" i="1"/>
  <c r="AK220" i="1"/>
  <c r="AX89" i="1"/>
  <c r="AV101" i="1"/>
  <c r="AX98" i="1"/>
  <c r="AW98" i="1"/>
  <c r="AV33" i="1"/>
  <c r="AU33" i="1"/>
  <c r="N108" i="1"/>
  <c r="V108" i="1"/>
  <c r="AJ35" i="1"/>
  <c r="AK32" i="1"/>
  <c r="AL22" i="1"/>
  <c r="AK188" i="1"/>
  <c r="AJ12" i="1"/>
  <c r="AK12" i="1" s="1"/>
  <c r="AG13" i="1"/>
  <c r="AI13" i="1"/>
  <c r="AT95" i="1"/>
  <c r="AU95" i="1" s="1"/>
  <c r="AT84" i="1"/>
  <c r="AU84" i="1" s="1"/>
  <c r="AV82" i="1"/>
  <c r="AU82" i="1"/>
  <c r="AP109" i="1"/>
  <c r="AQ109" i="1" s="1"/>
  <c r="AQ103" i="1"/>
  <c r="AG12" i="1"/>
  <c r="AI12" i="1"/>
  <c r="G133" i="1"/>
  <c r="G147" i="1"/>
  <c r="G167" i="1" s="1"/>
  <c r="AN105" i="1"/>
  <c r="AO104" i="1"/>
  <c r="V27" i="1"/>
  <c r="U29" i="1"/>
  <c r="I32" i="1"/>
  <c r="I36" i="1"/>
  <c r="I39" i="1"/>
  <c r="V152" i="1"/>
  <c r="U154" i="1"/>
  <c r="W152" i="1"/>
  <c r="K241" i="1"/>
  <c r="L241" i="1" s="1"/>
  <c r="L129" i="1"/>
  <c r="K189" i="1"/>
  <c r="K188" i="1"/>
  <c r="K193" i="1"/>
  <c r="L193" i="1" s="1"/>
  <c r="L180" i="1"/>
  <c r="K11" i="1"/>
  <c r="L11" i="1" s="1"/>
  <c r="K153" i="1"/>
  <c r="L153" i="1" s="1"/>
  <c r="AW25" i="1"/>
  <c r="AX25" i="1"/>
  <c r="AV26" i="1"/>
  <c r="AR103" i="1"/>
  <c r="AS90" i="1"/>
  <c r="AF133" i="1"/>
  <c r="AG132" i="1"/>
  <c r="AI132" i="1"/>
  <c r="AF147" i="1"/>
  <c r="AP221" i="1"/>
  <c r="AO221" i="1"/>
  <c r="AS85" i="1"/>
  <c r="AT85" i="1"/>
  <c r="K243" i="1"/>
  <c r="L243" i="1" s="1"/>
  <c r="K242" i="1"/>
  <c r="L242" i="1" s="1"/>
  <c r="K195" i="1"/>
  <c r="L195" i="1" s="1"/>
  <c r="K185" i="1"/>
  <c r="L145" i="1"/>
  <c r="K172" i="1"/>
  <c r="L172" i="1" s="1"/>
  <c r="AL160" i="1"/>
  <c r="AM160" i="1" s="1"/>
  <c r="AM158" i="1"/>
  <c r="Q215" i="1"/>
  <c r="R215" i="1" s="1"/>
  <c r="R213" i="1"/>
  <c r="N8" i="1"/>
  <c r="M9" i="1"/>
  <c r="V8" i="1"/>
  <c r="G219" i="1"/>
  <c r="P219" i="1" s="1"/>
  <c r="P220" i="1"/>
  <c r="AK189" i="1"/>
  <c r="AJ132" i="1"/>
  <c r="AJ13" i="1"/>
  <c r="AK13" i="1" s="1"/>
  <c r="AT201" i="1"/>
  <c r="AS95" i="1"/>
  <c r="V221" i="1"/>
  <c r="W221" i="1"/>
  <c r="AK185" i="1"/>
  <c r="AJ196" i="1"/>
  <c r="AK196" i="1" s="1"/>
  <c r="AJ186" i="1"/>
  <c r="O133" i="1"/>
  <c r="P133" i="1" s="1"/>
  <c r="P132" i="1"/>
  <c r="O147" i="1"/>
  <c r="AT29" i="1"/>
  <c r="AU26" i="1"/>
  <c r="AV88" i="1"/>
  <c r="AU88" i="1"/>
  <c r="AT90" i="1"/>
  <c r="AL239" i="1"/>
  <c r="AM239" i="1" s="1"/>
  <c r="AL240" i="1"/>
  <c r="AM240" i="1" s="1"/>
  <c r="AL180" i="1"/>
  <c r="AL192" i="1"/>
  <c r="AM192" i="1" s="1"/>
  <c r="AM127" i="1"/>
  <c r="AL129" i="1"/>
  <c r="AL143" i="1"/>
  <c r="AM143" i="1" s="1"/>
  <c r="AL145" i="1"/>
  <c r="AN184" i="1"/>
  <c r="AO184" i="1" s="1"/>
  <c r="AN176" i="1"/>
  <c r="AP176" i="1" s="1"/>
  <c r="AR176" i="1" s="1"/>
  <c r="AT176" i="1" s="1"/>
  <c r="AV176" i="1" s="1"/>
  <c r="AX176" i="1" s="1"/>
  <c r="AO177" i="1"/>
  <c r="AN183" i="1"/>
  <c r="AO183" i="1" s="1"/>
  <c r="AN187" i="1"/>
  <c r="AO187" i="1" s="1"/>
  <c r="K10" i="1"/>
  <c r="L9" i="1"/>
  <c r="AC25" i="3" l="1"/>
  <c r="AK31" i="2"/>
  <c r="P147" i="1"/>
  <c r="O167" i="1"/>
  <c r="AL193" i="1"/>
  <c r="AM193" i="1" s="1"/>
  <c r="AM180" i="1"/>
  <c r="AL189" i="1"/>
  <c r="AL188" i="1"/>
  <c r="AL11" i="1"/>
  <c r="AM11" i="1" s="1"/>
  <c r="AL153" i="1"/>
  <c r="AM153" i="1" s="1"/>
  <c r="Y221" i="1"/>
  <c r="Z221" i="1" s="1"/>
  <c r="X221" i="1"/>
  <c r="L185" i="1"/>
  <c r="K196" i="1"/>
  <c r="L196" i="1" s="1"/>
  <c r="K186" i="1"/>
  <c r="AU85" i="1"/>
  <c r="AV85" i="1"/>
  <c r="AG147" i="1"/>
  <c r="AF167" i="1"/>
  <c r="AI147" i="1"/>
  <c r="V154" i="1"/>
  <c r="I35" i="1"/>
  <c r="K22" i="1"/>
  <c r="AP105" i="1"/>
  <c r="AO105" i="1"/>
  <c r="AK35" i="1"/>
  <c r="AJ142" i="1"/>
  <c r="AK142" i="1" s="1"/>
  <c r="AW33" i="1"/>
  <c r="AX33" i="1"/>
  <c r="AI219" i="1"/>
  <c r="AK219" i="1"/>
  <c r="M243" i="1"/>
  <c r="N243" i="1" s="1"/>
  <c r="M242" i="1"/>
  <c r="N242" i="1" s="1"/>
  <c r="M195" i="1"/>
  <c r="N195" i="1" s="1"/>
  <c r="M185" i="1"/>
  <c r="N145" i="1"/>
  <c r="M172" i="1"/>
  <c r="N172" i="1" s="1"/>
  <c r="AO211" i="1"/>
  <c r="AN213" i="1"/>
  <c r="AP211" i="1"/>
  <c r="AX88" i="1"/>
  <c r="AW88" i="1"/>
  <c r="AV90" i="1"/>
  <c r="AR109" i="1"/>
  <c r="AS109" i="1" s="1"/>
  <c r="AS103" i="1"/>
  <c r="L188" i="1"/>
  <c r="K12" i="1"/>
  <c r="L12" i="1" s="1"/>
  <c r="Y152" i="1"/>
  <c r="X152" i="1"/>
  <c r="W154" i="1"/>
  <c r="M241" i="1"/>
  <c r="N241" i="1" s="1"/>
  <c r="N129" i="1"/>
  <c r="AL10" i="1"/>
  <c r="AM9" i="1"/>
  <c r="AJ133" i="1"/>
  <c r="AK133" i="1" s="1"/>
  <c r="AK132" i="1"/>
  <c r="AJ147" i="1"/>
  <c r="AX26" i="1"/>
  <c r="AV29" i="1"/>
  <c r="AW26" i="1"/>
  <c r="L189" i="1"/>
  <c r="K132" i="1"/>
  <c r="K13" i="1"/>
  <c r="L13" i="1" s="1"/>
  <c r="AM22" i="1"/>
  <c r="AL32" i="1"/>
  <c r="AL36" i="1" s="1"/>
  <c r="AM36" i="1" s="1"/>
  <c r="AL39" i="1"/>
  <c r="M193" i="1"/>
  <c r="N193" i="1" s="1"/>
  <c r="M189" i="1"/>
  <c r="M188" i="1"/>
  <c r="N180" i="1"/>
  <c r="M11" i="1"/>
  <c r="N11" i="1" s="1"/>
  <c r="M153" i="1"/>
  <c r="N153" i="1" s="1"/>
  <c r="V211" i="1"/>
  <c r="U213" i="1"/>
  <c r="W211" i="1"/>
  <c r="AL241" i="1"/>
  <c r="AM241" i="1" s="1"/>
  <c r="AM129" i="1"/>
  <c r="AL242" i="1"/>
  <c r="AL243" i="1"/>
  <c r="AL185" i="1"/>
  <c r="AL195" i="1"/>
  <c r="AM195" i="1" s="1"/>
  <c r="AM145" i="1"/>
  <c r="AL172" i="1"/>
  <c r="AM172" i="1" s="1"/>
  <c r="AT103" i="1"/>
  <c r="AU90" i="1"/>
  <c r="AV201" i="1"/>
  <c r="M10" i="1"/>
  <c r="N9" i="1"/>
  <c r="AQ221" i="1"/>
  <c r="AR221" i="1"/>
  <c r="AG133" i="1"/>
  <c r="AI133" i="1"/>
  <c r="AW82" i="1"/>
  <c r="AV84" i="1"/>
  <c r="AV95" i="1" s="1"/>
  <c r="AX82" i="1"/>
  <c r="AW101" i="1"/>
  <c r="AX101" i="1"/>
  <c r="T213" i="1"/>
  <c r="S215" i="1"/>
  <c r="T215" i="1" s="1"/>
  <c r="AD25" i="3" l="1"/>
  <c r="AL31" i="2"/>
  <c r="AM242" i="1"/>
  <c r="AC34" i="3"/>
  <c r="AK41" i="2"/>
  <c r="AC28" i="3"/>
  <c r="AC29" i="3" s="1"/>
  <c r="AK34" i="2"/>
  <c r="AK35" i="2" s="1"/>
  <c r="AM243" i="1"/>
  <c r="AK42" i="2"/>
  <c r="AC35" i="3"/>
  <c r="AC26" i="3"/>
  <c r="AX95" i="1"/>
  <c r="AW95" i="1"/>
  <c r="N189" i="1"/>
  <c r="M132" i="1"/>
  <c r="M13" i="1"/>
  <c r="N13" i="1" s="1"/>
  <c r="AK147" i="1"/>
  <c r="AJ167" i="1"/>
  <c r="AK167" i="1" s="1"/>
  <c r="M196" i="1"/>
  <c r="N196" i="1" s="1"/>
  <c r="M186" i="1"/>
  <c r="N185" i="1"/>
  <c r="K39" i="1"/>
  <c r="K36" i="1"/>
  <c r="L36" i="1" s="1"/>
  <c r="K32" i="1"/>
  <c r="L22" i="1"/>
  <c r="AX85" i="1"/>
  <c r="AW85" i="1"/>
  <c r="AL196" i="1"/>
  <c r="AM196" i="1" s="1"/>
  <c r="AL186" i="1"/>
  <c r="AM185" i="1"/>
  <c r="Y211" i="1"/>
  <c r="X211" i="1"/>
  <c r="W213" i="1"/>
  <c r="X154" i="1"/>
  <c r="AX84" i="1"/>
  <c r="AW84" i="1"/>
  <c r="AU103" i="1"/>
  <c r="AT109" i="1"/>
  <c r="AU109" i="1" s="1"/>
  <c r="U215" i="1"/>
  <c r="V215" i="1" s="1"/>
  <c r="V213" i="1"/>
  <c r="AM39" i="1"/>
  <c r="AX39" i="1"/>
  <c r="AV103" i="1"/>
  <c r="AW90" i="1"/>
  <c r="AX90" i="1"/>
  <c r="AR211" i="1"/>
  <c r="AP213" i="1"/>
  <c r="AQ211" i="1"/>
  <c r="AG167" i="1"/>
  <c r="AI167" i="1"/>
  <c r="AM188" i="1"/>
  <c r="AL12" i="1"/>
  <c r="AM12" i="1" s="1"/>
  <c r="AT221" i="1"/>
  <c r="AS221" i="1"/>
  <c r="N188" i="1"/>
  <c r="M12" i="1"/>
  <c r="N12" i="1" s="1"/>
  <c r="AM32" i="1"/>
  <c r="AN22" i="1"/>
  <c r="K133" i="1"/>
  <c r="L133" i="1" s="1"/>
  <c r="L132" i="1"/>
  <c r="K147" i="1"/>
  <c r="Z152" i="1"/>
  <c r="Y154" i="1"/>
  <c r="AN152" i="1"/>
  <c r="AN215" i="1"/>
  <c r="AO215" i="1" s="1"/>
  <c r="AO213" i="1"/>
  <c r="AQ105" i="1"/>
  <c r="AR105" i="1"/>
  <c r="AP104" i="1"/>
  <c r="AM189" i="1"/>
  <c r="AL132" i="1"/>
  <c r="AL13" i="1"/>
  <c r="AM13" i="1" s="1"/>
  <c r="AD28" i="3" l="1"/>
  <c r="AD29" i="3" s="1"/>
  <c r="AL34" i="2"/>
  <c r="AL35" i="2" s="1"/>
  <c r="AD26" i="3"/>
  <c r="AD35" i="3"/>
  <c r="AL42" i="2"/>
  <c r="AL41" i="2"/>
  <c r="AD34" i="3"/>
  <c r="X213" i="1"/>
  <c r="W215" i="1"/>
  <c r="X215" i="1" s="1"/>
  <c r="T39" i="1"/>
  <c r="L39" i="1"/>
  <c r="AM132" i="1"/>
  <c r="AL133" i="1"/>
  <c r="AM133" i="1" s="1"/>
  <c r="AL147" i="1"/>
  <c r="AN154" i="1"/>
  <c r="AP152" i="1"/>
  <c r="AO152" i="1"/>
  <c r="AN163" i="1"/>
  <c r="AU221" i="1"/>
  <c r="AV221" i="1"/>
  <c r="AQ104" i="1"/>
  <c r="AP106" i="1"/>
  <c r="Z154" i="1"/>
  <c r="AP215" i="1"/>
  <c r="AQ215" i="1" s="1"/>
  <c r="AQ213" i="1"/>
  <c r="AV109" i="1"/>
  <c r="AX103" i="1"/>
  <c r="AW103" i="1"/>
  <c r="AO22" i="1"/>
  <c r="AS211" i="1"/>
  <c r="AT211" i="1"/>
  <c r="AR213" i="1"/>
  <c r="Z211" i="1"/>
  <c r="Y213" i="1"/>
  <c r="L32" i="1"/>
  <c r="K35" i="1"/>
  <c r="L35" i="1" s="1"/>
  <c r="M22" i="1"/>
  <c r="AS105" i="1"/>
  <c r="AT105" i="1"/>
  <c r="AR104" i="1"/>
  <c r="L147" i="1"/>
  <c r="K167" i="1"/>
  <c r="N132" i="1"/>
  <c r="M133" i="1"/>
  <c r="N133" i="1" s="1"/>
  <c r="M147" i="1"/>
  <c r="AS104" i="1" l="1"/>
  <c r="AR106" i="1"/>
  <c r="AU105" i="1"/>
  <c r="AV105" i="1"/>
  <c r="AT104" i="1"/>
  <c r="AV211" i="1"/>
  <c r="AT213" i="1"/>
  <c r="AU211" i="1"/>
  <c r="AO163" i="1"/>
  <c r="AN158" i="1"/>
  <c r="AP163" i="1"/>
  <c r="AO154" i="1"/>
  <c r="Y215" i="1"/>
  <c r="Z215" i="1" s="1"/>
  <c r="Z213" i="1"/>
  <c r="AX109" i="1"/>
  <c r="AW109" i="1"/>
  <c r="AM147" i="1"/>
  <c r="AL167" i="1"/>
  <c r="AM167" i="1" s="1"/>
  <c r="M32" i="1"/>
  <c r="M39" i="1"/>
  <c r="N22" i="1"/>
  <c r="AX221" i="1"/>
  <c r="AW221" i="1"/>
  <c r="N147" i="1"/>
  <c r="M167" i="1"/>
  <c r="AR215" i="1"/>
  <c r="AS215" i="1" s="1"/>
  <c r="AS213" i="1"/>
  <c r="AP108" i="1"/>
  <c r="AQ108" i="1" s="1"/>
  <c r="AQ106" i="1"/>
  <c r="AP8" i="1"/>
  <c r="AQ8" i="1" s="1"/>
  <c r="AR152" i="1"/>
  <c r="AQ152" i="1"/>
  <c r="AT152" i="1" l="1"/>
  <c r="AS152" i="1"/>
  <c r="V39" i="1"/>
  <c r="N39" i="1"/>
  <c r="AR163" i="1"/>
  <c r="AP162" i="1"/>
  <c r="AP158" i="1"/>
  <c r="AQ163" i="1"/>
  <c r="AT215" i="1"/>
  <c r="AU215" i="1" s="1"/>
  <c r="AU213" i="1"/>
  <c r="M35" i="1"/>
  <c r="N35" i="1" s="1"/>
  <c r="N32" i="1"/>
  <c r="O22" i="1"/>
  <c r="AO158" i="1"/>
  <c r="AN160" i="1"/>
  <c r="AO160" i="1" s="1"/>
  <c r="AV213" i="1"/>
  <c r="AX211" i="1"/>
  <c r="AW211" i="1"/>
  <c r="AS106" i="1"/>
  <c r="AR108" i="1"/>
  <c r="AS108" i="1" s="1"/>
  <c r="AR8" i="1"/>
  <c r="AS8" i="1" s="1"/>
  <c r="M36" i="1"/>
  <c r="N36" i="1" s="1"/>
  <c r="AU104" i="1"/>
  <c r="AT106" i="1"/>
  <c r="AW105" i="1"/>
  <c r="AX105" i="1"/>
  <c r="AV104" i="1"/>
  <c r="AQ162" i="1" l="1"/>
  <c r="AP174" i="1"/>
  <c r="AP175" i="1"/>
  <c r="AT108" i="1"/>
  <c r="AU108" i="1" s="1"/>
  <c r="AU106" i="1"/>
  <c r="AT8" i="1"/>
  <c r="AU8" i="1" s="1"/>
  <c r="O39" i="1"/>
  <c r="O32" i="1"/>
  <c r="P22" i="1"/>
  <c r="AT163" i="1"/>
  <c r="AR158" i="1"/>
  <c r="AS163" i="1"/>
  <c r="AR162" i="1"/>
  <c r="AS162" i="1" s="1"/>
  <c r="AW104" i="1"/>
  <c r="AX104" i="1"/>
  <c r="AV106" i="1"/>
  <c r="AV215" i="1"/>
  <c r="AX213" i="1"/>
  <c r="AW213" i="1"/>
  <c r="AV152" i="1"/>
  <c r="AU152" i="1"/>
  <c r="AQ158" i="1"/>
  <c r="AP160" i="1"/>
  <c r="AQ160" i="1" s="1"/>
  <c r="AS158" i="1" l="1"/>
  <c r="AR160" i="1"/>
  <c r="AS160" i="1" s="1"/>
  <c r="P32" i="1"/>
  <c r="Q22" i="1"/>
  <c r="O35" i="1"/>
  <c r="P35" i="1" s="1"/>
  <c r="AX152" i="1"/>
  <c r="AW152" i="1"/>
  <c r="AW215" i="1"/>
  <c r="AX215" i="1"/>
  <c r="AV163" i="1"/>
  <c r="AT162" i="1"/>
  <c r="AU162" i="1" s="1"/>
  <c r="AU163" i="1"/>
  <c r="AT158" i="1"/>
  <c r="P39" i="1"/>
  <c r="X39" i="1"/>
  <c r="AP181" i="1"/>
  <c r="AQ181" i="1" s="1"/>
  <c r="AQ175" i="1"/>
  <c r="AP177" i="1"/>
  <c r="AW106" i="1"/>
  <c r="AX106" i="1"/>
  <c r="AV108" i="1"/>
  <c r="AV8" i="1"/>
  <c r="AR175" i="1"/>
  <c r="AQ174" i="1"/>
  <c r="AR174" i="1"/>
  <c r="AP154" i="1"/>
  <c r="O36" i="1"/>
  <c r="P36" i="1" s="1"/>
  <c r="AT174" i="1" l="1"/>
  <c r="AT175" i="1"/>
  <c r="AS174" i="1"/>
  <c r="AR154" i="1"/>
  <c r="AR181" i="1"/>
  <c r="AS181" i="1" s="1"/>
  <c r="AS175" i="1"/>
  <c r="AQ154" i="1"/>
  <c r="AX8" i="1"/>
  <c r="AW8" i="1"/>
  <c r="AP184" i="1"/>
  <c r="AQ184" i="1" s="1"/>
  <c r="AQ177" i="1"/>
  <c r="AP183" i="1"/>
  <c r="AQ183" i="1" s="1"/>
  <c r="AR177" i="1"/>
  <c r="AP187" i="1"/>
  <c r="AQ187" i="1" s="1"/>
  <c r="AV158" i="1"/>
  <c r="AW163" i="1"/>
  <c r="AX163" i="1"/>
  <c r="AV162" i="1"/>
  <c r="Q36" i="1"/>
  <c r="R36" i="1" s="1"/>
  <c r="Q39" i="1"/>
  <c r="Q32" i="1"/>
  <c r="R22" i="1"/>
  <c r="AX108" i="1"/>
  <c r="AW108" i="1"/>
  <c r="AU158" i="1"/>
  <c r="AT160" i="1"/>
  <c r="AU160" i="1" s="1"/>
  <c r="AS50" i="2" l="1"/>
  <c r="AK48" i="3"/>
  <c r="AU174" i="1"/>
  <c r="AV175" i="1"/>
  <c r="AV174" i="1"/>
  <c r="AT154" i="1"/>
  <c r="Q35" i="1"/>
  <c r="R32" i="1"/>
  <c r="S22" i="1"/>
  <c r="AS154" i="1"/>
  <c r="AW158" i="1"/>
  <c r="AX158" i="1"/>
  <c r="AV160" i="1"/>
  <c r="R39" i="1"/>
  <c r="Z39" i="1"/>
  <c r="AT177" i="1"/>
  <c r="AR184" i="1"/>
  <c r="AS184" i="1" s="1"/>
  <c r="AR183" i="1"/>
  <c r="AS183" i="1" s="1"/>
  <c r="AS177" i="1"/>
  <c r="AR187" i="1"/>
  <c r="AS187" i="1" s="1"/>
  <c r="AT181" i="1"/>
  <c r="AU181" i="1" s="1"/>
  <c r="AU175" i="1"/>
  <c r="AW162" i="1"/>
  <c r="AX162" i="1"/>
  <c r="AM48" i="3" l="1"/>
  <c r="AU50" i="2"/>
  <c r="AL48" i="3"/>
  <c r="AT50" i="2"/>
  <c r="AK49" i="3"/>
  <c r="AK17" i="3"/>
  <c r="AS51" i="2"/>
  <c r="AS21" i="2"/>
  <c r="AT184" i="1"/>
  <c r="AU184" i="1" s="1"/>
  <c r="AV177" i="1"/>
  <c r="AT183" i="1"/>
  <c r="AU183" i="1" s="1"/>
  <c r="AU177" i="1"/>
  <c r="AT187" i="1"/>
  <c r="AU187" i="1" s="1"/>
  <c r="AU154" i="1"/>
  <c r="S32" i="1"/>
  <c r="S36" i="1"/>
  <c r="S30" i="1"/>
  <c r="T22" i="1"/>
  <c r="AX174" i="1"/>
  <c r="AW174" i="1"/>
  <c r="AV154" i="1"/>
  <c r="AV181" i="1"/>
  <c r="AX175" i="1"/>
  <c r="AW175" i="1"/>
  <c r="AX160" i="1"/>
  <c r="AW160" i="1"/>
  <c r="AL35" i="1"/>
  <c r="R35" i="1"/>
  <c r="AO48" i="3" l="1"/>
  <c r="AW50" i="2"/>
  <c r="AL49" i="3"/>
  <c r="AL17" i="3"/>
  <c r="AT51" i="2"/>
  <c r="AT21" i="2"/>
  <c r="AV50" i="2"/>
  <c r="AN48" i="3"/>
  <c r="AM17" i="3"/>
  <c r="AU51" i="2"/>
  <c r="AU21" i="2"/>
  <c r="AM49" i="3"/>
  <c r="AW181" i="1"/>
  <c r="AX181" i="1"/>
  <c r="AX154" i="1"/>
  <c r="AW154" i="1"/>
  <c r="T30" i="1"/>
  <c r="S38" i="1"/>
  <c r="S35" i="1"/>
  <c r="U22" i="1"/>
  <c r="T32" i="1"/>
  <c r="AV183" i="1"/>
  <c r="AX177" i="1"/>
  <c r="AV184" i="1"/>
  <c r="AW184" i="1" s="1"/>
  <c r="AW177" i="1"/>
  <c r="AV187" i="1"/>
  <c r="AW187" i="1" s="1"/>
  <c r="S43" i="1"/>
  <c r="T36" i="1"/>
  <c r="AM35" i="1"/>
  <c r="AL142" i="1"/>
  <c r="AM142" i="1" s="1"/>
  <c r="AV51" i="2" l="1"/>
  <c r="AV21" i="2"/>
  <c r="AN49" i="3"/>
  <c r="AN17" i="3"/>
  <c r="AO49" i="3"/>
  <c r="AO17" i="3"/>
  <c r="AW51" i="2"/>
  <c r="AW21" i="2"/>
  <c r="S55" i="1"/>
  <c r="S41" i="1"/>
  <c r="T43" i="1"/>
  <c r="S44" i="1"/>
  <c r="S56" i="1"/>
  <c r="V22" i="1"/>
  <c r="U30" i="1"/>
  <c r="U32" i="1" s="1"/>
  <c r="S136" i="1"/>
  <c r="T35" i="1"/>
  <c r="AW183" i="1"/>
  <c r="AX183" i="1"/>
  <c r="U35" i="1" l="1"/>
  <c r="V32" i="1"/>
  <c r="W22" i="1"/>
  <c r="U36" i="1"/>
  <c r="S121" i="1"/>
  <c r="T121" i="1" s="1"/>
  <c r="T56" i="1"/>
  <c r="S50" i="1"/>
  <c r="T41" i="1"/>
  <c r="T44" i="1"/>
  <c r="S54" i="1"/>
  <c r="S120" i="1"/>
  <c r="T55" i="1"/>
  <c r="S42" i="1"/>
  <c r="S69" i="1" s="1"/>
  <c r="S182" i="1"/>
  <c r="T182" i="1" s="1"/>
  <c r="T136" i="1"/>
  <c r="S141" i="1"/>
  <c r="T141" i="1" s="1"/>
  <c r="V30" i="1"/>
  <c r="U38" i="1"/>
  <c r="S71" i="1" l="1"/>
  <c r="T69" i="1"/>
  <c r="U136" i="1"/>
  <c r="V35" i="1"/>
  <c r="U43" i="1"/>
  <c r="V36" i="1"/>
  <c r="T120" i="1"/>
  <c r="W32" i="1"/>
  <c r="W36" i="1"/>
  <c r="X22" i="1"/>
  <c r="W30" i="1"/>
  <c r="S51" i="1"/>
  <c r="T42" i="1"/>
  <c r="S119" i="1"/>
  <c r="T119" i="1" s="1"/>
  <c r="S57" i="1"/>
  <c r="T57" i="1" s="1"/>
  <c r="T54" i="1"/>
  <c r="S114" i="1"/>
  <c r="S115" i="1" l="1"/>
  <c r="T115" i="1" s="1"/>
  <c r="X30" i="1"/>
  <c r="W38" i="1"/>
  <c r="S122" i="1"/>
  <c r="T122" i="1" s="1"/>
  <c r="U182" i="1"/>
  <c r="V182" i="1" s="1"/>
  <c r="U141" i="1"/>
  <c r="V141" i="1" s="1"/>
  <c r="V136" i="1"/>
  <c r="X36" i="1"/>
  <c r="W43" i="1"/>
  <c r="S116" i="1"/>
  <c r="T114" i="1"/>
  <c r="S52" i="1"/>
  <c r="X32" i="1"/>
  <c r="W35" i="1"/>
  <c r="Y22" i="1"/>
  <c r="U56" i="1"/>
  <c r="U55" i="1"/>
  <c r="U44" i="1"/>
  <c r="U42" i="1"/>
  <c r="U41" i="1"/>
  <c r="V43" i="1"/>
  <c r="V44" i="1" l="1"/>
  <c r="U54" i="1"/>
  <c r="W136" i="1"/>
  <c r="X35" i="1"/>
  <c r="W56" i="1"/>
  <c r="X43" i="1"/>
  <c r="W55" i="1"/>
  <c r="W44" i="1"/>
  <c r="W41" i="1"/>
  <c r="W42" i="1" s="1"/>
  <c r="U69" i="1"/>
  <c r="U50" i="1"/>
  <c r="V41" i="1"/>
  <c r="U121" i="1"/>
  <c r="V121" i="1" s="1"/>
  <c r="V56" i="1"/>
  <c r="S58" i="1"/>
  <c r="T52" i="1"/>
  <c r="U51" i="1"/>
  <c r="V42" i="1"/>
  <c r="Z22" i="1"/>
  <c r="Y30" i="1"/>
  <c r="S124" i="1"/>
  <c r="T116" i="1"/>
  <c r="U120" i="1"/>
  <c r="V55" i="1"/>
  <c r="X42" i="1" l="1"/>
  <c r="W51" i="1"/>
  <c r="W115" i="1" s="1"/>
  <c r="X115" i="1" s="1"/>
  <c r="U52" i="1"/>
  <c r="U114" i="1"/>
  <c r="S130" i="1"/>
  <c r="T130" i="1" s="1"/>
  <c r="T124" i="1"/>
  <c r="U71" i="1"/>
  <c r="V69" i="1"/>
  <c r="W182" i="1"/>
  <c r="X182" i="1" s="1"/>
  <c r="X136" i="1"/>
  <c r="W141" i="1"/>
  <c r="X141" i="1" s="1"/>
  <c r="S77" i="1"/>
  <c r="T77" i="1" s="1"/>
  <c r="S64" i="1"/>
  <c r="T64" i="1" s="1"/>
  <c r="S59" i="1"/>
  <c r="S61" i="1" s="1"/>
  <c r="T58" i="1"/>
  <c r="W69" i="1"/>
  <c r="X41" i="1"/>
  <c r="W50" i="1"/>
  <c r="X44" i="1"/>
  <c r="W54" i="1"/>
  <c r="W121" i="1"/>
  <c r="X121" i="1" s="1"/>
  <c r="X56" i="1"/>
  <c r="U119" i="1"/>
  <c r="V119" i="1" s="1"/>
  <c r="V54" i="1"/>
  <c r="U57" i="1"/>
  <c r="V57" i="1" s="1"/>
  <c r="Z30" i="1"/>
  <c r="Y38" i="1"/>
  <c r="AN30" i="1"/>
  <c r="V120" i="1"/>
  <c r="U122" i="1"/>
  <c r="V122" i="1" s="1"/>
  <c r="Y32" i="1"/>
  <c r="U115" i="1"/>
  <c r="V115" i="1" s="1"/>
  <c r="W120" i="1"/>
  <c r="X55" i="1"/>
  <c r="S78" i="1" l="1"/>
  <c r="T78" i="1" s="1"/>
  <c r="S63" i="1"/>
  <c r="T63" i="1" s="1"/>
  <c r="T61" i="1"/>
  <c r="S7" i="1"/>
  <c r="X120" i="1"/>
  <c r="AO30" i="1"/>
  <c r="AN39" i="1"/>
  <c r="AN38" i="1"/>
  <c r="AO38" i="1" s="1"/>
  <c r="AN32" i="1"/>
  <c r="Y35" i="1"/>
  <c r="Z32" i="1"/>
  <c r="Y36" i="1"/>
  <c r="W119" i="1"/>
  <c r="X119" i="1" s="1"/>
  <c r="W57" i="1"/>
  <c r="X57" i="1" s="1"/>
  <c r="X54" i="1"/>
  <c r="W71" i="1"/>
  <c r="X69" i="1"/>
  <c r="U116" i="1"/>
  <c r="V114" i="1"/>
  <c r="W52" i="1"/>
  <c r="W114" i="1"/>
  <c r="T59" i="1"/>
  <c r="S125" i="1"/>
  <c r="V52" i="1"/>
  <c r="U58" i="1"/>
  <c r="W116" i="1" l="1"/>
  <c r="X114" i="1"/>
  <c r="AO32" i="1"/>
  <c r="AP22" i="1"/>
  <c r="AN36" i="1"/>
  <c r="AO36" i="1" s="1"/>
  <c r="W122" i="1"/>
  <c r="X122" i="1" s="1"/>
  <c r="S204" i="1"/>
  <c r="S126" i="1"/>
  <c r="T126" i="1" s="1"/>
  <c r="T125" i="1"/>
  <c r="S127" i="1"/>
  <c r="W58" i="1"/>
  <c r="X52" i="1"/>
  <c r="Y43" i="1"/>
  <c r="Z36" i="1"/>
  <c r="AQ39" i="1"/>
  <c r="AO39" i="1"/>
  <c r="S9" i="1"/>
  <c r="T7" i="1"/>
  <c r="U77" i="1"/>
  <c r="V77" i="1" s="1"/>
  <c r="U64" i="1"/>
  <c r="V64" i="1" s="1"/>
  <c r="U59" i="1"/>
  <c r="U61" i="1" s="1"/>
  <c r="V58" i="1"/>
  <c r="U124" i="1"/>
  <c r="V116" i="1"/>
  <c r="Y136" i="1"/>
  <c r="AN35" i="1"/>
  <c r="AO35" i="1" s="1"/>
  <c r="Z35" i="1"/>
  <c r="V61" i="1" l="1"/>
  <c r="U78" i="1"/>
  <c r="V78" i="1" s="1"/>
  <c r="U63" i="1"/>
  <c r="V63" i="1" s="1"/>
  <c r="U7" i="1"/>
  <c r="AP30" i="1"/>
  <c r="AQ22" i="1"/>
  <c r="Y182" i="1"/>
  <c r="Z182" i="1" s="1"/>
  <c r="Y141" i="1"/>
  <c r="Z141" i="1" s="1"/>
  <c r="Z136" i="1"/>
  <c r="AN136" i="1"/>
  <c r="V59" i="1"/>
  <c r="U125" i="1"/>
  <c r="U127" i="1" s="1"/>
  <c r="W77" i="1"/>
  <c r="X77" i="1" s="1"/>
  <c r="W64" i="1"/>
  <c r="X64" i="1" s="1"/>
  <c r="W59" i="1"/>
  <c r="W61" i="1" s="1"/>
  <c r="X58" i="1"/>
  <c r="U204" i="1"/>
  <c r="S206" i="1"/>
  <c r="S208" i="1" s="1"/>
  <c r="S192" i="1"/>
  <c r="T192" i="1" s="1"/>
  <c r="S180" i="1"/>
  <c r="S145" i="1"/>
  <c r="S129" i="1"/>
  <c r="T127" i="1"/>
  <c r="S171" i="1"/>
  <c r="T171" i="1" s="1"/>
  <c r="S143" i="1"/>
  <c r="T143" i="1" s="1"/>
  <c r="U130" i="1"/>
  <c r="V130" i="1" s="1"/>
  <c r="V124" i="1"/>
  <c r="S10" i="1"/>
  <c r="T9" i="1"/>
  <c r="Z43" i="1"/>
  <c r="Y55" i="1"/>
  <c r="Y44" i="1"/>
  <c r="Y42" i="1"/>
  <c r="Y56" i="1"/>
  <c r="Y41" i="1"/>
  <c r="X116" i="1"/>
  <c r="W124" i="1"/>
  <c r="W78" i="1" l="1"/>
  <c r="X78" i="1" s="1"/>
  <c r="W63" i="1"/>
  <c r="X63" i="1" s="1"/>
  <c r="X61" i="1"/>
  <c r="W7" i="1"/>
  <c r="Y69" i="1"/>
  <c r="Y50" i="1"/>
  <c r="Z41" i="1"/>
  <c r="AN41" i="1"/>
  <c r="Y120" i="1"/>
  <c r="Z55" i="1"/>
  <c r="AN55" i="1"/>
  <c r="S189" i="1"/>
  <c r="S188" i="1"/>
  <c r="S193" i="1"/>
  <c r="T193" i="1" s="1"/>
  <c r="T180" i="1"/>
  <c r="S11" i="1"/>
  <c r="T11" i="1" s="1"/>
  <c r="S153" i="1"/>
  <c r="T153" i="1" s="1"/>
  <c r="U126" i="1"/>
  <c r="V126" i="1" s="1"/>
  <c r="V125" i="1"/>
  <c r="Y121" i="1"/>
  <c r="Z121" i="1" s="1"/>
  <c r="Z56" i="1"/>
  <c r="AN56" i="1"/>
  <c r="U180" i="1"/>
  <c r="U192" i="1"/>
  <c r="V192" i="1" s="1"/>
  <c r="U145" i="1"/>
  <c r="V127" i="1"/>
  <c r="U129" i="1"/>
  <c r="U171" i="1"/>
  <c r="V171" i="1" s="1"/>
  <c r="U143" i="1"/>
  <c r="V143" i="1" s="1"/>
  <c r="U206" i="1"/>
  <c r="U208" i="1" s="1"/>
  <c r="AQ30" i="1"/>
  <c r="AP38" i="1"/>
  <c r="AQ38" i="1" s="1"/>
  <c r="W130" i="1"/>
  <c r="X130" i="1" s="1"/>
  <c r="X124" i="1"/>
  <c r="Z42" i="1"/>
  <c r="Y51" i="1"/>
  <c r="AN42" i="1"/>
  <c r="AO42" i="1" s="1"/>
  <c r="T129" i="1"/>
  <c r="AN182" i="1"/>
  <c r="AO182" i="1" s="1"/>
  <c r="AO136" i="1"/>
  <c r="AN142" i="1"/>
  <c r="AN141" i="1"/>
  <c r="Z44" i="1"/>
  <c r="Y54" i="1"/>
  <c r="AN44" i="1"/>
  <c r="S220" i="1"/>
  <c r="S222" i="1"/>
  <c r="S195" i="1"/>
  <c r="T195" i="1" s="1"/>
  <c r="S185" i="1"/>
  <c r="T145" i="1"/>
  <c r="S172" i="1"/>
  <c r="T172" i="1" s="1"/>
  <c r="X59" i="1"/>
  <c r="W125" i="1"/>
  <c r="W127" i="1" s="1"/>
  <c r="AP32" i="1"/>
  <c r="V7" i="1"/>
  <c r="U9" i="1"/>
  <c r="W204" i="1" l="1"/>
  <c r="W206" i="1" s="1"/>
  <c r="W208" i="1" s="1"/>
  <c r="AO44" i="1"/>
  <c r="U10" i="1"/>
  <c r="V9" i="1"/>
  <c r="X125" i="1"/>
  <c r="W126" i="1"/>
  <c r="X126" i="1" s="1"/>
  <c r="U220" i="1"/>
  <c r="T220" i="1"/>
  <c r="Y119" i="1"/>
  <c r="Z119" i="1" s="1"/>
  <c r="Z54" i="1"/>
  <c r="Y57" i="1"/>
  <c r="Z57" i="1" s="1"/>
  <c r="AN54" i="1"/>
  <c r="AN121" i="1"/>
  <c r="AO121" i="1" s="1"/>
  <c r="AO56" i="1"/>
  <c r="AN120" i="1"/>
  <c r="AO55" i="1"/>
  <c r="T185" i="1"/>
  <c r="S186" i="1"/>
  <c r="S196" i="1"/>
  <c r="T196" i="1" s="1"/>
  <c r="W192" i="1"/>
  <c r="X192" i="1" s="1"/>
  <c r="W180" i="1"/>
  <c r="W145" i="1"/>
  <c r="W129" i="1"/>
  <c r="X127" i="1"/>
  <c r="W171" i="1"/>
  <c r="X171" i="1" s="1"/>
  <c r="W143" i="1"/>
  <c r="X143" i="1" s="1"/>
  <c r="V129" i="1"/>
  <c r="U189" i="1"/>
  <c r="U188" i="1"/>
  <c r="U193" i="1"/>
  <c r="V193" i="1" s="1"/>
  <c r="V180" i="1"/>
  <c r="U11" i="1"/>
  <c r="V11" i="1" s="1"/>
  <c r="U153" i="1"/>
  <c r="V153" i="1" s="1"/>
  <c r="Y52" i="1"/>
  <c r="Y114" i="1"/>
  <c r="AN50" i="1"/>
  <c r="AP35" i="1"/>
  <c r="AQ35" i="1" s="1"/>
  <c r="AQ32" i="1"/>
  <c r="AR22" i="1"/>
  <c r="AP36" i="1"/>
  <c r="AO141" i="1"/>
  <c r="Y115" i="1"/>
  <c r="Z115" i="1" s="1"/>
  <c r="AN51" i="1"/>
  <c r="T188" i="1"/>
  <c r="S12" i="1"/>
  <c r="T12" i="1" s="1"/>
  <c r="Z120" i="1"/>
  <c r="Y71" i="1"/>
  <c r="Z69" i="1"/>
  <c r="S252" i="1"/>
  <c r="T252" i="1" s="1"/>
  <c r="S251" i="1"/>
  <c r="T251" i="1" s="1"/>
  <c r="T222" i="1"/>
  <c r="S219" i="1"/>
  <c r="T219" i="1" s="1"/>
  <c r="S224" i="1"/>
  <c r="U222" i="1"/>
  <c r="S227" i="1"/>
  <c r="AP142" i="1"/>
  <c r="AO142" i="1"/>
  <c r="U195" i="1"/>
  <c r="V195" i="1" s="1"/>
  <c r="U185" i="1"/>
  <c r="V145" i="1"/>
  <c r="U172" i="1"/>
  <c r="V172" i="1" s="1"/>
  <c r="T189" i="1"/>
  <c r="S13" i="1"/>
  <c r="T13" i="1" s="1"/>
  <c r="S132" i="1"/>
  <c r="AN46" i="1"/>
  <c r="AN43" i="1"/>
  <c r="AO43" i="1" s="1"/>
  <c r="AO41" i="1"/>
  <c r="X7" i="1"/>
  <c r="W9" i="1"/>
  <c r="AF24" i="3" l="1"/>
  <c r="AN30" i="2"/>
  <c r="T227" i="1"/>
  <c r="S243" i="1"/>
  <c r="T243" i="1" s="1"/>
  <c r="AR30" i="1"/>
  <c r="AR32" i="1"/>
  <c r="AS22" i="1"/>
  <c r="U252" i="1"/>
  <c r="V252" i="1" s="1"/>
  <c r="U251" i="1"/>
  <c r="V251" i="1" s="1"/>
  <c r="U227" i="1"/>
  <c r="W222" i="1"/>
  <c r="U219" i="1"/>
  <c r="V219" i="1" s="1"/>
  <c r="U224" i="1"/>
  <c r="V222" i="1"/>
  <c r="Y122" i="1"/>
  <c r="Z122" i="1" s="1"/>
  <c r="Z52" i="1"/>
  <c r="Y58" i="1"/>
  <c r="AN122" i="1"/>
  <c r="AO122" i="1" s="1"/>
  <c r="AO120" i="1"/>
  <c r="AN119" i="1"/>
  <c r="AO119" i="1" s="1"/>
  <c r="AN57" i="1"/>
  <c r="AO57" i="1" s="1"/>
  <c r="AN70" i="1"/>
  <c r="AO54" i="1"/>
  <c r="V185" i="1"/>
  <c r="U186" i="1"/>
  <c r="U196" i="1"/>
  <c r="V196" i="1" s="1"/>
  <c r="S233" i="1"/>
  <c r="S247" i="1"/>
  <c r="T247" i="1" s="1"/>
  <c r="S234" i="1"/>
  <c r="T224" i="1"/>
  <c r="S226" i="1"/>
  <c r="S232" i="1"/>
  <c r="S216" i="1"/>
  <c r="V188" i="1"/>
  <c r="U12" i="1"/>
  <c r="V12" i="1" s="1"/>
  <c r="X129" i="1"/>
  <c r="V220" i="1"/>
  <c r="W220" i="1"/>
  <c r="AR142" i="1"/>
  <c r="AQ142" i="1"/>
  <c r="AP136" i="1"/>
  <c r="AN68" i="1"/>
  <c r="AN115" i="1"/>
  <c r="AO115" i="1" s="1"/>
  <c r="AQ36" i="1"/>
  <c r="AP43" i="1"/>
  <c r="AN67" i="1"/>
  <c r="AN52" i="1"/>
  <c r="AN114" i="1"/>
  <c r="V189" i="1"/>
  <c r="U13" i="1"/>
  <c r="V13" i="1" s="1"/>
  <c r="U132" i="1"/>
  <c r="W185" i="1"/>
  <c r="W195" i="1"/>
  <c r="X195" i="1" s="1"/>
  <c r="X145" i="1"/>
  <c r="W172" i="1"/>
  <c r="X172" i="1" s="1"/>
  <c r="AN75" i="1"/>
  <c r="AN47" i="1"/>
  <c r="W10" i="1"/>
  <c r="X9" i="1"/>
  <c r="AP46" i="1"/>
  <c r="AO46" i="1"/>
  <c r="S133" i="1"/>
  <c r="T133" i="1" s="1"/>
  <c r="T132" i="1"/>
  <c r="S147" i="1"/>
  <c r="T147" i="1" s="1"/>
  <c r="Y116" i="1"/>
  <c r="Z114" i="1"/>
  <c r="W189" i="1"/>
  <c r="W188" i="1"/>
  <c r="W193" i="1"/>
  <c r="X193" i="1" s="1"/>
  <c r="X180" i="1"/>
  <c r="W11" i="1"/>
  <c r="X11" i="1" s="1"/>
  <c r="W153" i="1"/>
  <c r="X153" i="1" s="1"/>
  <c r="AN74" i="1"/>
  <c r="AO74" i="1" l="1"/>
  <c r="AQ74" i="1"/>
  <c r="V132" i="1"/>
  <c r="U133" i="1"/>
  <c r="V133" i="1" s="1"/>
  <c r="U147" i="1"/>
  <c r="V147" i="1" s="1"/>
  <c r="AN58" i="1"/>
  <c r="AE8" i="3" s="1"/>
  <c r="AO52" i="1"/>
  <c r="AT142" i="1"/>
  <c r="AS142" i="1"/>
  <c r="T232" i="1"/>
  <c r="S238" i="1"/>
  <c r="T238" i="1" s="1"/>
  <c r="T234" i="1"/>
  <c r="AR35" i="1"/>
  <c r="AS35" i="1" s="1"/>
  <c r="AS32" i="1"/>
  <c r="AT22" i="1"/>
  <c r="X189" i="1"/>
  <c r="W13" i="1"/>
  <c r="X13" i="1" s="1"/>
  <c r="W132" i="1"/>
  <c r="X185" i="1"/>
  <c r="W196" i="1"/>
  <c r="X196" i="1" s="1"/>
  <c r="W186" i="1"/>
  <c r="AQ67" i="1"/>
  <c r="AO67" i="1"/>
  <c r="AN69" i="1"/>
  <c r="AP68" i="1"/>
  <c r="AO68" i="1"/>
  <c r="X220" i="1"/>
  <c r="S167" i="1"/>
  <c r="U247" i="1"/>
  <c r="V247" i="1" s="1"/>
  <c r="U226" i="1"/>
  <c r="V224" i="1"/>
  <c r="U167" i="1"/>
  <c r="U216" i="1"/>
  <c r="AS30" i="1"/>
  <c r="AR38" i="1"/>
  <c r="AS38" i="1" s="1"/>
  <c r="AQ43" i="1"/>
  <c r="AP56" i="1"/>
  <c r="AP55" i="1"/>
  <c r="AP182" i="1"/>
  <c r="AQ182" i="1" s="1"/>
  <c r="AP141" i="1"/>
  <c r="AQ136" i="1"/>
  <c r="S228" i="1"/>
  <c r="S246" i="1"/>
  <c r="T226" i="1"/>
  <c r="S235" i="1"/>
  <c r="T235" i="1" s="1"/>
  <c r="T233" i="1"/>
  <c r="AR36" i="1"/>
  <c r="Y124" i="1"/>
  <c r="Z116" i="1"/>
  <c r="AO47" i="1"/>
  <c r="AP47" i="1"/>
  <c r="AN116" i="1"/>
  <c r="AO114" i="1"/>
  <c r="AP70" i="1"/>
  <c r="AO70" i="1"/>
  <c r="W252" i="1"/>
  <c r="X252" i="1" s="1"/>
  <c r="W251" i="1"/>
  <c r="X251" i="1" s="1"/>
  <c r="X222" i="1"/>
  <c r="W219" i="1"/>
  <c r="X219" i="1" s="1"/>
  <c r="W224" i="1"/>
  <c r="W227" i="1"/>
  <c r="X188" i="1"/>
  <c r="W12" i="1"/>
  <c r="X12" i="1" s="1"/>
  <c r="AR46" i="1"/>
  <c r="AP41" i="1"/>
  <c r="AP42" i="1" s="1"/>
  <c r="AQ42" i="1" s="1"/>
  <c r="AQ46" i="1"/>
  <c r="AO75" i="1"/>
  <c r="AQ75" i="1"/>
  <c r="Y77" i="1"/>
  <c r="Z77" i="1" s="1"/>
  <c r="Y64" i="1"/>
  <c r="Z64" i="1" s="1"/>
  <c r="Y59" i="1"/>
  <c r="Y61" i="1" s="1"/>
  <c r="Z58" i="1"/>
  <c r="V227" i="1"/>
  <c r="U243" i="1"/>
  <c r="V243" i="1" s="1"/>
  <c r="U232" i="1" l="1"/>
  <c r="U238" i="1" s="1"/>
  <c r="V238" i="1" s="1"/>
  <c r="U233" i="1"/>
  <c r="Z61" i="1"/>
  <c r="Y78" i="1"/>
  <c r="Z78" i="1" s="1"/>
  <c r="Y63" i="1"/>
  <c r="Z63" i="1" s="1"/>
  <c r="Y7" i="1"/>
  <c r="AR41" i="1"/>
  <c r="AT46" i="1"/>
  <c r="AS46" i="1"/>
  <c r="W247" i="1"/>
  <c r="X247" i="1" s="1"/>
  <c r="W226" i="1"/>
  <c r="X224" i="1"/>
  <c r="W216" i="1"/>
  <c r="AN124" i="1"/>
  <c r="AO116" i="1"/>
  <c r="Y130" i="1"/>
  <c r="Z130" i="1" s="1"/>
  <c r="Z124" i="1"/>
  <c r="AN71" i="1"/>
  <c r="AO69" i="1"/>
  <c r="U234" i="1"/>
  <c r="AV142" i="1"/>
  <c r="AU142" i="1"/>
  <c r="AR47" i="1"/>
  <c r="AP44" i="1"/>
  <c r="AQ44" i="1" s="1"/>
  <c r="AQ47" i="1"/>
  <c r="AR43" i="1"/>
  <c r="AS36" i="1"/>
  <c r="AQ141" i="1"/>
  <c r="AP120" i="1"/>
  <c r="AQ55" i="1"/>
  <c r="U246" i="1"/>
  <c r="V226" i="1"/>
  <c r="U228" i="1"/>
  <c r="AT32" i="1"/>
  <c r="AU22" i="1"/>
  <c r="AT36" i="1"/>
  <c r="AT30" i="1"/>
  <c r="AP69" i="1"/>
  <c r="AQ41" i="1"/>
  <c r="AP50" i="1"/>
  <c r="X227" i="1"/>
  <c r="W243" i="1"/>
  <c r="X243" i="1" s="1"/>
  <c r="AR70" i="1"/>
  <c r="AQ70" i="1"/>
  <c r="AP54" i="1"/>
  <c r="T246" i="1"/>
  <c r="S248" i="1"/>
  <c r="T248" i="1" s="1"/>
  <c r="AP121" i="1"/>
  <c r="AQ121" i="1" s="1"/>
  <c r="AQ56" i="1"/>
  <c r="W133" i="1"/>
  <c r="X133" i="1" s="1"/>
  <c r="X132" i="1"/>
  <c r="W147" i="1"/>
  <c r="X147" i="1" s="1"/>
  <c r="AN77" i="1"/>
  <c r="AO77" i="1" s="1"/>
  <c r="AN64" i="1"/>
  <c r="AO58" i="1"/>
  <c r="AF8" i="3" s="1"/>
  <c r="Z59" i="1"/>
  <c r="Y125" i="1"/>
  <c r="AN59" i="1"/>
  <c r="T228" i="1"/>
  <c r="S240" i="1"/>
  <c r="T240" i="1" s="1"/>
  <c r="S239" i="1"/>
  <c r="T239" i="1" s="1"/>
  <c r="S242" i="1"/>
  <c r="T242" i="1" s="1"/>
  <c r="S241" i="1"/>
  <c r="T241" i="1" s="1"/>
  <c r="AR68" i="1"/>
  <c r="AQ68" i="1"/>
  <c r="AP51" i="1"/>
  <c r="AP115" i="1" s="1"/>
  <c r="AQ115" i="1" s="1"/>
  <c r="AR136" i="1"/>
  <c r="U235" i="1" l="1"/>
  <c r="V235" i="1" s="1"/>
  <c r="V233" i="1"/>
  <c r="V232" i="1"/>
  <c r="AE10" i="3"/>
  <c r="AE11" i="3" s="1"/>
  <c r="AM14" i="2"/>
  <c r="AO64" i="1"/>
  <c r="AN8" i="2" s="1"/>
  <c r="AM8" i="2"/>
  <c r="AR182" i="1"/>
  <c r="AS182" i="1" s="1"/>
  <c r="AS136" i="1"/>
  <c r="AR141" i="1"/>
  <c r="AN60" i="1"/>
  <c r="AO59" i="1"/>
  <c r="AN125" i="1"/>
  <c r="AN127" i="1" s="1"/>
  <c r="Y126" i="1"/>
  <c r="Z126" i="1" s="1"/>
  <c r="Z125" i="1"/>
  <c r="Y204" i="1"/>
  <c r="AP71" i="1"/>
  <c r="AQ69" i="1"/>
  <c r="AU30" i="1"/>
  <c r="AT38" i="1"/>
  <c r="AU38" i="1" s="1"/>
  <c r="V228" i="1"/>
  <c r="U240" i="1"/>
  <c r="V240" i="1" s="1"/>
  <c r="U239" i="1"/>
  <c r="V239" i="1" s="1"/>
  <c r="U241" i="1"/>
  <c r="V241" i="1" s="1"/>
  <c r="U242" i="1"/>
  <c r="V242" i="1" s="1"/>
  <c r="AP122" i="1"/>
  <c r="AQ122" i="1" s="1"/>
  <c r="AQ120" i="1"/>
  <c r="AR56" i="1"/>
  <c r="AR55" i="1"/>
  <c r="AR42" i="1"/>
  <c r="AS42" i="1" s="1"/>
  <c r="AS43" i="1"/>
  <c r="Y127" i="1"/>
  <c r="W167" i="1"/>
  <c r="AN61" i="1"/>
  <c r="AP119" i="1"/>
  <c r="AQ119" i="1" s="1"/>
  <c r="AQ54" i="1"/>
  <c r="AP57" i="1"/>
  <c r="AQ57" i="1" s="1"/>
  <c r="AU36" i="1"/>
  <c r="AT43" i="1"/>
  <c r="AV46" i="1"/>
  <c r="AU46" i="1"/>
  <c r="AT41" i="1"/>
  <c r="AP52" i="1"/>
  <c r="AP114" i="1"/>
  <c r="U248" i="1"/>
  <c r="V248" i="1" s="1"/>
  <c r="V246" i="1"/>
  <c r="AW142" i="1"/>
  <c r="AN130" i="1"/>
  <c r="AO124" i="1"/>
  <c r="W246" i="1"/>
  <c r="W228" i="1"/>
  <c r="X226" i="1"/>
  <c r="AS41" i="1"/>
  <c r="AR50" i="1"/>
  <c r="AS68" i="1"/>
  <c r="AT68" i="1"/>
  <c r="AR51" i="1"/>
  <c r="AR115" i="1" s="1"/>
  <c r="AS115" i="1" s="1"/>
  <c r="AT70" i="1"/>
  <c r="AS70" i="1"/>
  <c r="AT35" i="1"/>
  <c r="AU32" i="1"/>
  <c r="AV22" i="1"/>
  <c r="AS47" i="1"/>
  <c r="AR44" i="1"/>
  <c r="AS44" i="1" s="1"/>
  <c r="AT47" i="1"/>
  <c r="V234" i="1"/>
  <c r="Y9" i="1"/>
  <c r="Z7" i="1"/>
  <c r="W232" i="1" l="1"/>
  <c r="W233" i="1"/>
  <c r="X233" i="1" s="1"/>
  <c r="W234" i="1"/>
  <c r="AE14" i="3"/>
  <c r="AM18" i="2"/>
  <c r="AF10" i="3"/>
  <c r="AF11" i="3" s="1"/>
  <c r="AN14" i="2"/>
  <c r="AO130" i="1"/>
  <c r="AN10" i="2" s="1"/>
  <c r="AM10" i="2"/>
  <c r="AM15" i="2" s="1"/>
  <c r="AE13" i="3"/>
  <c r="AM17" i="2"/>
  <c r="AV47" i="1"/>
  <c r="AT44" i="1"/>
  <c r="AU44" i="1" s="1"/>
  <c r="AU47" i="1"/>
  <c r="AR52" i="1"/>
  <c r="AR114" i="1"/>
  <c r="AX22" i="1"/>
  <c r="AW22" i="1"/>
  <c r="AV30" i="1"/>
  <c r="AP58" i="1"/>
  <c r="AG8" i="3" s="1"/>
  <c r="AQ52" i="1"/>
  <c r="AT56" i="1"/>
  <c r="AT55" i="1"/>
  <c r="AU43" i="1"/>
  <c r="AT42" i="1"/>
  <c r="AU42" i="1" s="1"/>
  <c r="AO60" i="1"/>
  <c r="AP60" i="1"/>
  <c r="AV70" i="1"/>
  <c r="AU70" i="1"/>
  <c r="AT54" i="1"/>
  <c r="X228" i="1"/>
  <c r="W240" i="1"/>
  <c r="X240" i="1" s="1"/>
  <c r="W239" i="1"/>
  <c r="X239" i="1" s="1"/>
  <c r="W241" i="1"/>
  <c r="X241" i="1" s="1"/>
  <c r="W242" i="1"/>
  <c r="X242" i="1" s="1"/>
  <c r="AU41" i="1"/>
  <c r="AT50" i="1"/>
  <c r="AN63" i="1"/>
  <c r="AO63" i="1" s="1"/>
  <c r="AN78" i="1"/>
  <c r="AO78" i="1" s="1"/>
  <c r="AO61" i="1"/>
  <c r="AN7" i="1"/>
  <c r="AS141" i="1"/>
  <c r="Z9" i="1"/>
  <c r="Y10" i="1"/>
  <c r="AU35" i="1"/>
  <c r="AT136" i="1"/>
  <c r="W248" i="1"/>
  <c r="X248" i="1" s="1"/>
  <c r="X246" i="1"/>
  <c r="X232" i="1"/>
  <c r="W238" i="1"/>
  <c r="X238" i="1" s="1"/>
  <c r="AR120" i="1"/>
  <c r="AS55" i="1"/>
  <c r="AO125" i="1"/>
  <c r="AN126" i="1"/>
  <c r="AO126" i="1" s="1"/>
  <c r="X234" i="1"/>
  <c r="AR54" i="1"/>
  <c r="AU68" i="1"/>
  <c r="AV68" i="1"/>
  <c r="AT51" i="1"/>
  <c r="AT115" i="1" s="1"/>
  <c r="AU115" i="1" s="1"/>
  <c r="AR69" i="1"/>
  <c r="AN192" i="1"/>
  <c r="AO192" i="1" s="1"/>
  <c r="AN180" i="1"/>
  <c r="AN129" i="1"/>
  <c r="AO127" i="1"/>
  <c r="AN171" i="1"/>
  <c r="AO171" i="1" s="1"/>
  <c r="AN143" i="1"/>
  <c r="AO143" i="1" s="1"/>
  <c r="AN145" i="1"/>
  <c r="AP116" i="1"/>
  <c r="AQ114" i="1"/>
  <c r="AX46" i="1"/>
  <c r="AW46" i="1"/>
  <c r="Y192" i="1"/>
  <c r="Z192" i="1" s="1"/>
  <c r="Y180" i="1"/>
  <c r="Y145" i="1"/>
  <c r="Z127" i="1"/>
  <c r="Y129" i="1"/>
  <c r="Y171" i="1"/>
  <c r="Z171" i="1" s="1"/>
  <c r="Y143" i="1"/>
  <c r="Z143" i="1" s="1"/>
  <c r="AR121" i="1"/>
  <c r="AS121" i="1" s="1"/>
  <c r="AS56" i="1"/>
  <c r="AN204" i="1"/>
  <c r="Y206" i="1"/>
  <c r="Y208" i="1" s="1"/>
  <c r="W235" i="1"/>
  <c r="X235" i="1" s="1"/>
  <c r="AN15" i="2" l="1"/>
  <c r="AM19" i="2"/>
  <c r="AE15" i="3"/>
  <c r="AE25" i="3"/>
  <c r="AM31" i="2"/>
  <c r="AM27" i="2"/>
  <c r="AM28" i="2" s="1"/>
  <c r="AE18" i="3"/>
  <c r="AE19" i="3" s="1"/>
  <c r="AM11" i="2"/>
  <c r="AN11" i="2"/>
  <c r="AF13" i="3"/>
  <c r="AN17" i="2"/>
  <c r="AF14" i="3"/>
  <c r="AN18" i="2"/>
  <c r="AM32" i="2"/>
  <c r="AE26" i="3"/>
  <c r="AR71" i="1"/>
  <c r="AS69" i="1"/>
  <c r="Y189" i="1"/>
  <c r="Y188" i="1"/>
  <c r="Y193" i="1"/>
  <c r="Z193" i="1" s="1"/>
  <c r="Z180" i="1"/>
  <c r="Y11" i="1"/>
  <c r="Z11" i="1" s="1"/>
  <c r="Y153" i="1"/>
  <c r="Z153" i="1" s="1"/>
  <c r="AW68" i="1"/>
  <c r="AX68" i="1"/>
  <c r="AT182" i="1"/>
  <c r="AU182" i="1" s="1"/>
  <c r="AT141" i="1"/>
  <c r="AU136" i="1"/>
  <c r="Z129" i="1"/>
  <c r="AN195" i="1"/>
  <c r="AO195" i="1" s="1"/>
  <c r="AN185" i="1"/>
  <c r="AO145" i="1"/>
  <c r="AN172" i="1"/>
  <c r="AO172" i="1" s="1"/>
  <c r="AO129" i="1"/>
  <c r="AS120" i="1"/>
  <c r="AT69" i="1"/>
  <c r="AW70" i="1"/>
  <c r="AX70" i="1"/>
  <c r="AP64" i="1"/>
  <c r="AQ58" i="1"/>
  <c r="AH8" i="3" s="1"/>
  <c r="AP77" i="1"/>
  <c r="AQ77" i="1" s="1"/>
  <c r="AP59" i="1"/>
  <c r="AS52" i="1"/>
  <c r="AN189" i="1"/>
  <c r="AE22" i="3" s="1"/>
  <c r="AN193" i="1"/>
  <c r="AN188" i="1"/>
  <c r="AM22" i="2" s="1"/>
  <c r="AM23" i="2" s="1"/>
  <c r="AO180" i="1"/>
  <c r="AN11" i="1"/>
  <c r="AO11" i="1" s="1"/>
  <c r="AN153" i="1"/>
  <c r="AO153" i="1" s="1"/>
  <c r="AO7" i="1"/>
  <c r="AN9" i="1"/>
  <c r="AR60" i="1"/>
  <c r="AQ60" i="1"/>
  <c r="AT120" i="1"/>
  <c r="AU55" i="1"/>
  <c r="AW30" i="1"/>
  <c r="AX30" i="1"/>
  <c r="AV38" i="1"/>
  <c r="AR119" i="1"/>
  <c r="AS119" i="1" s="1"/>
  <c r="AS54" i="1"/>
  <c r="AR57" i="1"/>
  <c r="AS57" i="1" s="1"/>
  <c r="Y195" i="1"/>
  <c r="Z195" i="1" s="1"/>
  <c r="Y185" i="1"/>
  <c r="Z145" i="1"/>
  <c r="Y172" i="1"/>
  <c r="Z172" i="1" s="1"/>
  <c r="Y220" i="1"/>
  <c r="Y222" i="1"/>
  <c r="AT52" i="1"/>
  <c r="AT114" i="1"/>
  <c r="AT119" i="1"/>
  <c r="AU119" i="1" s="1"/>
  <c r="AT57" i="1"/>
  <c r="AU54" i="1"/>
  <c r="AT121" i="1"/>
  <c r="AU121" i="1" s="1"/>
  <c r="AU56" i="1"/>
  <c r="AN206" i="1"/>
  <c r="AN208" i="1" s="1"/>
  <c r="AP124" i="1"/>
  <c r="AQ116" i="1"/>
  <c r="AV32" i="1"/>
  <c r="AR116" i="1"/>
  <c r="AS114" i="1"/>
  <c r="AW47" i="1"/>
  <c r="AX47" i="1"/>
  <c r="AG10" i="3" l="1"/>
  <c r="AG11" i="3" s="1"/>
  <c r="AO14" i="2"/>
  <c r="AQ64" i="1"/>
  <c r="AP8" i="2" s="1"/>
  <c r="AO8" i="2"/>
  <c r="AN19" i="2"/>
  <c r="AF18" i="3"/>
  <c r="AF19" i="3" s="1"/>
  <c r="AN27" i="2"/>
  <c r="AN28" i="2" s="1"/>
  <c r="AM34" i="2"/>
  <c r="AM35" i="2" s="1"/>
  <c r="AE28" i="3"/>
  <c r="AE29" i="3" s="1"/>
  <c r="AN32" i="2"/>
  <c r="AM25" i="2"/>
  <c r="AF15" i="3"/>
  <c r="AF25" i="3"/>
  <c r="AN31" i="2"/>
  <c r="Y252" i="1"/>
  <c r="Z252" i="1" s="1"/>
  <c r="Y227" i="1"/>
  <c r="AN222" i="1"/>
  <c r="Y219" i="1"/>
  <c r="Z219" i="1" s="1"/>
  <c r="Y224" i="1"/>
  <c r="Z222" i="1"/>
  <c r="Y251" i="1"/>
  <c r="Z251" i="1" s="1"/>
  <c r="AN196" i="1"/>
  <c r="AO196" i="1" s="1"/>
  <c r="AO185" i="1"/>
  <c r="AN186" i="1"/>
  <c r="AS116" i="1"/>
  <c r="AP130" i="1"/>
  <c r="AQ124" i="1"/>
  <c r="AT116" i="1"/>
  <c r="AU114" i="1"/>
  <c r="Z220" i="1"/>
  <c r="AN220" i="1"/>
  <c r="Y186" i="1"/>
  <c r="Y196" i="1"/>
  <c r="Z196" i="1" s="1"/>
  <c r="Z185" i="1"/>
  <c r="AW38" i="1"/>
  <c r="AX38" i="1"/>
  <c r="AT122" i="1"/>
  <c r="AU122" i="1" s="1"/>
  <c r="AU120" i="1"/>
  <c r="AO188" i="1"/>
  <c r="AN22" i="2" s="1"/>
  <c r="AN23" i="2" s="1"/>
  <c r="AN12" i="1"/>
  <c r="AO12" i="1" s="1"/>
  <c r="AR58" i="1"/>
  <c r="AI8" i="3" s="1"/>
  <c r="Z188" i="1"/>
  <c r="Y12" i="1"/>
  <c r="Z12" i="1" s="1"/>
  <c r="AT58" i="1"/>
  <c r="AK8" i="3" s="1"/>
  <c r="AU52" i="1"/>
  <c r="AO193" i="1"/>
  <c r="AQ59" i="1"/>
  <c r="AP125" i="1"/>
  <c r="AT71" i="1"/>
  <c r="AU69" i="1"/>
  <c r="Z189" i="1"/>
  <c r="Y13" i="1"/>
  <c r="Z13" i="1" s="1"/>
  <c r="Y132" i="1"/>
  <c r="AV35" i="1"/>
  <c r="AW32" i="1"/>
  <c r="AX32" i="1"/>
  <c r="AV36" i="1"/>
  <c r="AU57" i="1"/>
  <c r="AT60" i="1"/>
  <c r="AS60" i="1"/>
  <c r="AO189" i="1"/>
  <c r="AF22" i="3" s="1"/>
  <c r="AN13" i="1"/>
  <c r="AO13" i="1" s="1"/>
  <c r="AN132" i="1"/>
  <c r="AR122" i="1"/>
  <c r="AS122" i="1" s="1"/>
  <c r="AU141" i="1"/>
  <c r="AO9" i="1"/>
  <c r="AN10" i="1"/>
  <c r="AP61" i="1"/>
  <c r="AQ130" i="1" l="1"/>
  <c r="AP10" i="2" s="1"/>
  <c r="AP11" i="2" s="1"/>
  <c r="AO10" i="2"/>
  <c r="AO11" i="2" s="1"/>
  <c r="AG13" i="3"/>
  <c r="AO17" i="2"/>
  <c r="AH10" i="3"/>
  <c r="AH11" i="3" s="1"/>
  <c r="AP14" i="2"/>
  <c r="AF28" i="3"/>
  <c r="AF29" i="3" s="1"/>
  <c r="AN34" i="2"/>
  <c r="AN35" i="2" s="1"/>
  <c r="AF26" i="3"/>
  <c r="AN133" i="1"/>
  <c r="AO133" i="1" s="1"/>
  <c r="AO132" i="1"/>
  <c r="AN147" i="1"/>
  <c r="AO147" i="1" s="1"/>
  <c r="AO220" i="1"/>
  <c r="AP78" i="1"/>
  <c r="AQ78" i="1" s="1"/>
  <c r="AQ61" i="1"/>
  <c r="AP63" i="1"/>
  <c r="AQ63" i="1" s="1"/>
  <c r="AP7" i="1"/>
  <c r="Z132" i="1"/>
  <c r="Y133" i="1"/>
  <c r="Z133" i="1" s="1"/>
  <c r="Y147" i="1"/>
  <c r="Z147" i="1" s="1"/>
  <c r="AT64" i="1"/>
  <c r="AS8" i="2" s="1"/>
  <c r="AT59" i="1"/>
  <c r="AT61" i="1" s="1"/>
  <c r="AT77" i="1"/>
  <c r="AU58" i="1"/>
  <c r="AL8" i="3" s="1"/>
  <c r="AS58" i="1"/>
  <c r="AJ8" i="3" s="1"/>
  <c r="AR77" i="1"/>
  <c r="AS77" i="1" s="1"/>
  <c r="AR64" i="1"/>
  <c r="AR59" i="1"/>
  <c r="AR61" i="1" s="1"/>
  <c r="AT124" i="1"/>
  <c r="AU116" i="1"/>
  <c r="AR124" i="1"/>
  <c r="AN252" i="1"/>
  <c r="AN227" i="1"/>
  <c r="AN224" i="1"/>
  <c r="AN219" i="1"/>
  <c r="AO219" i="1" s="1"/>
  <c r="AO222" i="1"/>
  <c r="AN251" i="1"/>
  <c r="AU60" i="1"/>
  <c r="AV60" i="1"/>
  <c r="AW35" i="1"/>
  <c r="AX35" i="1"/>
  <c r="AV136" i="1"/>
  <c r="AP126" i="1"/>
  <c r="AQ126" i="1" s="1"/>
  <c r="AQ125" i="1"/>
  <c r="AP204" i="1"/>
  <c r="Z227" i="1"/>
  <c r="Y243" i="1"/>
  <c r="Z243" i="1" s="1"/>
  <c r="AV43" i="1"/>
  <c r="AW36" i="1"/>
  <c r="AX36" i="1"/>
  <c r="AP127" i="1"/>
  <c r="Y247" i="1"/>
  <c r="Z247" i="1" s="1"/>
  <c r="Y226" i="1"/>
  <c r="Z224" i="1"/>
  <c r="Y234" i="1"/>
  <c r="Y232" i="1"/>
  <c r="Y233" i="1"/>
  <c r="Y216" i="1"/>
  <c r="AO15" i="2" l="1"/>
  <c r="AU77" i="1"/>
  <c r="AK10" i="3"/>
  <c r="AK11" i="3" s="1"/>
  <c r="AS14" i="2"/>
  <c r="AS64" i="1"/>
  <c r="AR8" i="2" s="1"/>
  <c r="AQ8" i="2"/>
  <c r="AQ14" i="2"/>
  <c r="AI10" i="3"/>
  <c r="AI11" i="3" s="1"/>
  <c r="AG14" i="3"/>
  <c r="AG15" i="3" s="1"/>
  <c r="AO18" i="2"/>
  <c r="AO19" i="2" s="1"/>
  <c r="AO251" i="1"/>
  <c r="AM59" i="2"/>
  <c r="AE57" i="3"/>
  <c r="AH13" i="3"/>
  <c r="AP17" i="2"/>
  <c r="AO252" i="1"/>
  <c r="AE58" i="3"/>
  <c r="AM60" i="2"/>
  <c r="AP15" i="2"/>
  <c r="AR63" i="1"/>
  <c r="AS63" i="1" s="1"/>
  <c r="AS61" i="1"/>
  <c r="AR78" i="1"/>
  <c r="AS78" i="1" s="1"/>
  <c r="AR7" i="1"/>
  <c r="AV56" i="1"/>
  <c r="AW43" i="1"/>
  <c r="AX43" i="1"/>
  <c r="AV55" i="1"/>
  <c r="AV41" i="1"/>
  <c r="AV44" i="1"/>
  <c r="AN247" i="1"/>
  <c r="AO224" i="1"/>
  <c r="AN167" i="1"/>
  <c r="AO167" i="1" s="1"/>
  <c r="AN216" i="1"/>
  <c r="Y167" i="1"/>
  <c r="AP180" i="1"/>
  <c r="AP192" i="1"/>
  <c r="AQ192" i="1" s="1"/>
  <c r="AP129" i="1"/>
  <c r="AQ127" i="1"/>
  <c r="AP171" i="1"/>
  <c r="AQ171" i="1" s="1"/>
  <c r="AP143" i="1"/>
  <c r="AQ143" i="1" s="1"/>
  <c r="AP145" i="1"/>
  <c r="AO227" i="1"/>
  <c r="AN243" i="1"/>
  <c r="AU124" i="1"/>
  <c r="AT130" i="1"/>
  <c r="AS10" i="2" s="1"/>
  <c r="AU59" i="1"/>
  <c r="AT125" i="1"/>
  <c r="AN232" i="1"/>
  <c r="Z232" i="1"/>
  <c r="Y238" i="1"/>
  <c r="Z238" i="1" s="1"/>
  <c r="AN234" i="1"/>
  <c r="Z234" i="1"/>
  <c r="AN233" i="1"/>
  <c r="Z233" i="1"/>
  <c r="Y235" i="1"/>
  <c r="Z235" i="1" s="1"/>
  <c r="AW60" i="1"/>
  <c r="AX60" i="1"/>
  <c r="AS59" i="1"/>
  <c r="AR125" i="1"/>
  <c r="AT78" i="1"/>
  <c r="AU61" i="1"/>
  <c r="AT63" i="1"/>
  <c r="AT7" i="1"/>
  <c r="AN226" i="1"/>
  <c r="Z226" i="1"/>
  <c r="Y228" i="1"/>
  <c r="Y246" i="1"/>
  <c r="AP206" i="1"/>
  <c r="AP208" i="1" s="1"/>
  <c r="AV182" i="1"/>
  <c r="AW136" i="1"/>
  <c r="AX136" i="1"/>
  <c r="AV141" i="1"/>
  <c r="AR130" i="1"/>
  <c r="AS124" i="1"/>
  <c r="AU64" i="1"/>
  <c r="AT8" i="2" s="1"/>
  <c r="AQ7" i="1"/>
  <c r="AP9" i="1"/>
  <c r="AS15" i="2" l="1"/>
  <c r="AS11" i="2"/>
  <c r="AS130" i="1"/>
  <c r="AR10" i="2" s="1"/>
  <c r="AR11" i="2" s="1"/>
  <c r="AQ10" i="2"/>
  <c r="AQ15" i="2" s="1"/>
  <c r="AL10" i="3"/>
  <c r="AL11" i="3" s="1"/>
  <c r="AT14" i="2"/>
  <c r="AR14" i="2"/>
  <c r="AJ10" i="3"/>
  <c r="AJ11" i="3" s="1"/>
  <c r="AU63" i="1"/>
  <c r="AU78" i="1"/>
  <c r="AN60" i="2"/>
  <c r="AF58" i="3"/>
  <c r="AO31" i="2"/>
  <c r="AG25" i="3"/>
  <c r="AG26" i="3" s="1"/>
  <c r="AR204" i="1"/>
  <c r="AT204" i="1" s="1"/>
  <c r="AI13" i="3"/>
  <c r="AQ17" i="2"/>
  <c r="AK13" i="3"/>
  <c r="AS17" i="2"/>
  <c r="AO243" i="1"/>
  <c r="AN42" i="2" s="1"/>
  <c r="AE35" i="3"/>
  <c r="AM42" i="2"/>
  <c r="AG18" i="3"/>
  <c r="AG19" i="3" s="1"/>
  <c r="AO27" i="2"/>
  <c r="AO28" i="2" s="1"/>
  <c r="AF57" i="3"/>
  <c r="AN59" i="2"/>
  <c r="AH14" i="3"/>
  <c r="AH15" i="3" s="1"/>
  <c r="AP18" i="2"/>
  <c r="AP19" i="2" s="1"/>
  <c r="AO247" i="1"/>
  <c r="AE53" i="3"/>
  <c r="AM55" i="2"/>
  <c r="AO32" i="2"/>
  <c r="AR206" i="1"/>
  <c r="AR208" i="1" s="1"/>
  <c r="AX141" i="1"/>
  <c r="AO24" i="3" s="1"/>
  <c r="AW141" i="1"/>
  <c r="AP10" i="1"/>
  <c r="AQ9" i="1"/>
  <c r="AR127" i="1"/>
  <c r="AN228" i="1"/>
  <c r="AO226" i="1"/>
  <c r="AN246" i="1"/>
  <c r="AN235" i="1"/>
  <c r="AO235" i="1" s="1"/>
  <c r="AO233" i="1"/>
  <c r="AU130" i="1"/>
  <c r="AT10" i="2" s="1"/>
  <c r="AX44" i="1"/>
  <c r="AW44" i="1"/>
  <c r="AV54" i="1"/>
  <c r="Y248" i="1"/>
  <c r="Z248" i="1" s="1"/>
  <c r="Z246" i="1"/>
  <c r="AU7" i="1"/>
  <c r="AT9" i="1"/>
  <c r="AO232" i="1"/>
  <c r="AN238" i="1"/>
  <c r="AP195" i="1"/>
  <c r="AQ195" i="1" s="1"/>
  <c r="AP185" i="1"/>
  <c r="AQ145" i="1"/>
  <c r="AP172" i="1"/>
  <c r="AQ172" i="1" s="1"/>
  <c r="AP220" i="1"/>
  <c r="AP222" i="1"/>
  <c r="AQ129" i="1"/>
  <c r="AX41" i="1"/>
  <c r="AW41" i="1"/>
  <c r="AV50" i="1"/>
  <c r="AV69" i="1"/>
  <c r="AV42" i="1"/>
  <c r="AX182" i="1"/>
  <c r="AW182" i="1"/>
  <c r="Z228" i="1"/>
  <c r="Y240" i="1"/>
  <c r="Z240" i="1" s="1"/>
  <c r="Y239" i="1"/>
  <c r="Z239" i="1" s="1"/>
  <c r="Y242" i="1"/>
  <c r="Z242" i="1" s="1"/>
  <c r="Y241" i="1"/>
  <c r="Z241" i="1" s="1"/>
  <c r="AS125" i="1"/>
  <c r="AR126" i="1"/>
  <c r="AS126" i="1" s="1"/>
  <c r="AO234" i="1"/>
  <c r="AU125" i="1"/>
  <c r="AT126" i="1"/>
  <c r="AT127" i="1"/>
  <c r="AV120" i="1"/>
  <c r="AW55" i="1"/>
  <c r="AX55" i="1"/>
  <c r="AV121" i="1"/>
  <c r="AW56" i="1"/>
  <c r="AX56" i="1"/>
  <c r="AP193" i="1"/>
  <c r="AQ193" i="1" s="1"/>
  <c r="AP189" i="1"/>
  <c r="AG22" i="3" s="1"/>
  <c r="AP188" i="1"/>
  <c r="AO22" i="2" s="1"/>
  <c r="AQ180" i="1"/>
  <c r="AP11" i="1"/>
  <c r="AQ11" i="1" s="1"/>
  <c r="AP153" i="1"/>
  <c r="AQ153" i="1" s="1"/>
  <c r="AR9" i="1"/>
  <c r="AS7" i="1"/>
  <c r="AT15" i="2" l="1"/>
  <c r="AQ11" i="2"/>
  <c r="AR15" i="2"/>
  <c r="AT11" i="2"/>
  <c r="AF35" i="3"/>
  <c r="AO25" i="2"/>
  <c r="AO23" i="2"/>
  <c r="AU126" i="1"/>
  <c r="AJ13" i="3"/>
  <c r="AR17" i="2"/>
  <c r="AO238" i="1"/>
  <c r="AM38" i="2"/>
  <c r="AE32" i="3"/>
  <c r="AM54" i="2"/>
  <c r="AE52" i="3"/>
  <c r="AN55" i="2"/>
  <c r="AF53" i="3"/>
  <c r="AL13" i="3"/>
  <c r="AT17" i="2"/>
  <c r="AH25" i="3"/>
  <c r="AH26" i="3" s="1"/>
  <c r="AP31" i="2"/>
  <c r="AP32" i="2"/>
  <c r="AK14" i="3"/>
  <c r="AK15" i="3" s="1"/>
  <c r="AS18" i="2"/>
  <c r="AS19" i="2" s="1"/>
  <c r="AI14" i="3"/>
  <c r="AI15" i="3" s="1"/>
  <c r="AQ18" i="2"/>
  <c r="AH18" i="3"/>
  <c r="AH19" i="3" s="1"/>
  <c r="AP27" i="2"/>
  <c r="AP28" i="2" s="1"/>
  <c r="AG28" i="3"/>
  <c r="AG29" i="3" s="1"/>
  <c r="AO34" i="2"/>
  <c r="AO35" i="2" s="1"/>
  <c r="AR10" i="1"/>
  <c r="AS9" i="1"/>
  <c r="AQ188" i="1"/>
  <c r="AP22" i="2" s="1"/>
  <c r="AP23" i="2" s="1"/>
  <c r="AP12" i="1"/>
  <c r="AQ12" i="1" s="1"/>
  <c r="AX120" i="1"/>
  <c r="AW120" i="1"/>
  <c r="AQ189" i="1"/>
  <c r="AH22" i="3" s="1"/>
  <c r="AP13" i="1"/>
  <c r="AQ13" i="1" s="1"/>
  <c r="AP132" i="1"/>
  <c r="AX121" i="1"/>
  <c r="AW121" i="1"/>
  <c r="AT192" i="1"/>
  <c r="AT180" i="1"/>
  <c r="AT129" i="1"/>
  <c r="AU127" i="1"/>
  <c r="AT171" i="1"/>
  <c r="AT143" i="1"/>
  <c r="AT145" i="1"/>
  <c r="AX50" i="1"/>
  <c r="AV114" i="1"/>
  <c r="AO246" i="1"/>
  <c r="AN248" i="1"/>
  <c r="AP252" i="1"/>
  <c r="AP227" i="1"/>
  <c r="AQ222" i="1"/>
  <c r="AP224" i="1"/>
  <c r="AP232" i="1" s="1"/>
  <c r="AP219" i="1"/>
  <c r="AQ219" i="1" s="1"/>
  <c r="AP251" i="1"/>
  <c r="AW42" i="1"/>
  <c r="AX42" i="1"/>
  <c r="AV51" i="1"/>
  <c r="AV52" i="1" s="1"/>
  <c r="AQ220" i="1"/>
  <c r="AP196" i="1"/>
  <c r="AQ196" i="1" s="1"/>
  <c r="AP186" i="1"/>
  <c r="AQ185" i="1"/>
  <c r="AT10" i="1"/>
  <c r="AU9" i="1"/>
  <c r="AV119" i="1"/>
  <c r="AV122" i="1" s="1"/>
  <c r="AV57" i="1"/>
  <c r="AW54" i="1"/>
  <c r="AX54" i="1"/>
  <c r="AO228" i="1"/>
  <c r="AN239" i="1"/>
  <c r="AN240" i="1"/>
  <c r="AO240" i="1" s="1"/>
  <c r="AN242" i="1"/>
  <c r="AN241" i="1"/>
  <c r="AX69" i="1"/>
  <c r="AV71" i="1"/>
  <c r="AX71" i="1" s="1"/>
  <c r="AW69" i="1"/>
  <c r="AR192" i="1"/>
  <c r="AS192" i="1" s="1"/>
  <c r="AR180" i="1"/>
  <c r="AR129" i="1"/>
  <c r="AS127" i="1"/>
  <c r="AR171" i="1"/>
  <c r="AS171" i="1" s="1"/>
  <c r="AR143" i="1"/>
  <c r="AS143" i="1" s="1"/>
  <c r="AR145" i="1"/>
  <c r="AT206" i="1"/>
  <c r="AT208" i="1" s="1"/>
  <c r="AO239" i="1" l="1"/>
  <c r="AE33" i="3"/>
  <c r="AM39" i="2"/>
  <c r="AO241" i="1"/>
  <c r="AN40" i="2" s="1"/>
  <c r="AM40" i="2"/>
  <c r="AF32" i="3"/>
  <c r="AN38" i="2"/>
  <c r="AQ27" i="2"/>
  <c r="AQ28" i="2" s="1"/>
  <c r="AI18" i="3"/>
  <c r="AI19" i="3" s="1"/>
  <c r="AQ252" i="1"/>
  <c r="AG58" i="3"/>
  <c r="AO60" i="2"/>
  <c r="AQ32" i="2"/>
  <c r="AQ19" i="2"/>
  <c r="AJ14" i="3"/>
  <c r="AJ15" i="3" s="1"/>
  <c r="AR18" i="2"/>
  <c r="AR19" i="2" s="1"/>
  <c r="AO242" i="1"/>
  <c r="AF34" i="3" s="1"/>
  <c r="AE34" i="3"/>
  <c r="AM41" i="2"/>
  <c r="AL14" i="3"/>
  <c r="AL15" i="3" s="1"/>
  <c r="AT18" i="2"/>
  <c r="AT19" i="2" s="1"/>
  <c r="AQ31" i="2"/>
  <c r="AI25" i="3"/>
  <c r="AI26" i="3" s="1"/>
  <c r="AR222" i="1"/>
  <c r="AT222" i="1" s="1"/>
  <c r="AM56" i="2"/>
  <c r="AE54" i="3"/>
  <c r="AS31" i="2"/>
  <c r="AK25" i="3"/>
  <c r="AP34" i="2"/>
  <c r="AP35" i="2" s="1"/>
  <c r="AH28" i="3"/>
  <c r="AH29" i="3" s="1"/>
  <c r="AQ251" i="1"/>
  <c r="AO59" i="2"/>
  <c r="AG57" i="3"/>
  <c r="AF52" i="3"/>
  <c r="AN54" i="2"/>
  <c r="AK18" i="3"/>
  <c r="AK19" i="3" s="1"/>
  <c r="AS27" i="2"/>
  <c r="AS28" i="2" s="1"/>
  <c r="AS32" i="2"/>
  <c r="AV58" i="1"/>
  <c r="AM8" i="3" s="1"/>
  <c r="AX52" i="1"/>
  <c r="AW52" i="1"/>
  <c r="AX122" i="1"/>
  <c r="AW122" i="1"/>
  <c r="AR185" i="1"/>
  <c r="AR195" i="1"/>
  <c r="AS195" i="1" s="1"/>
  <c r="AS145" i="1"/>
  <c r="AR172" i="1"/>
  <c r="AS172" i="1" s="1"/>
  <c r="AS129" i="1"/>
  <c r="AQ227" i="1"/>
  <c r="AP243" i="1"/>
  <c r="AX114" i="1"/>
  <c r="AW114" i="1"/>
  <c r="AU143" i="1"/>
  <c r="AT193" i="1"/>
  <c r="AT189" i="1"/>
  <c r="AK22" i="3" s="1"/>
  <c r="AT188" i="1"/>
  <c r="AS22" i="2" s="1"/>
  <c r="AS23" i="2" s="1"/>
  <c r="AU180" i="1"/>
  <c r="AT11" i="1"/>
  <c r="AT153" i="1"/>
  <c r="AR189" i="1"/>
  <c r="AI22" i="3" s="1"/>
  <c r="AR193" i="1"/>
  <c r="AS193" i="1" s="1"/>
  <c r="AR188" i="1"/>
  <c r="AQ22" i="2" s="1"/>
  <c r="AS180" i="1"/>
  <c r="AR11" i="1"/>
  <c r="AS11" i="1" s="1"/>
  <c r="AR153" i="1"/>
  <c r="AS153" i="1" s="1"/>
  <c r="AR220" i="1"/>
  <c r="AP247" i="1"/>
  <c r="AP226" i="1"/>
  <c r="AQ224" i="1"/>
  <c r="AP216" i="1"/>
  <c r="AP233" i="1"/>
  <c r="AP234" i="1"/>
  <c r="AU171" i="1"/>
  <c r="AU192" i="1"/>
  <c r="AX57" i="1"/>
  <c r="AW57" i="1"/>
  <c r="AQ232" i="1"/>
  <c r="AP238" i="1"/>
  <c r="AO248" i="1"/>
  <c r="AP133" i="1"/>
  <c r="AQ133" i="1" s="1"/>
  <c r="AQ132" i="1"/>
  <c r="AP147" i="1"/>
  <c r="AQ147" i="1" s="1"/>
  <c r="AX119" i="1"/>
  <c r="AW119" i="1"/>
  <c r="AX51" i="1"/>
  <c r="AV115" i="1"/>
  <c r="AT195" i="1"/>
  <c r="AT185" i="1"/>
  <c r="AU145" i="1"/>
  <c r="AL25" i="3" s="1"/>
  <c r="AT172" i="1"/>
  <c r="AU172" i="1" s="1"/>
  <c r="AU129" i="1"/>
  <c r="AQ25" i="2" l="1"/>
  <c r="AN41" i="2"/>
  <c r="AU195" i="1"/>
  <c r="AR251" i="1"/>
  <c r="AS251" i="1" s="1"/>
  <c r="AR224" i="1"/>
  <c r="AR226" i="1" s="1"/>
  <c r="AR227" i="1"/>
  <c r="AS227" i="1" s="1"/>
  <c r="AS222" i="1"/>
  <c r="AR252" i="1"/>
  <c r="AS252" i="1" s="1"/>
  <c r="AU11" i="1"/>
  <c r="AK28" i="3"/>
  <c r="AK29" i="3" s="1"/>
  <c r="AS34" i="2"/>
  <c r="AS35" i="2" s="1"/>
  <c r="AQ238" i="1"/>
  <c r="AO38" i="2"/>
  <c r="AG32" i="3"/>
  <c r="AL18" i="3"/>
  <c r="AL19" i="3" s="1"/>
  <c r="AT27" i="2"/>
  <c r="AT28" i="2" s="1"/>
  <c r="AS25" i="2"/>
  <c r="AI28" i="3"/>
  <c r="AI29" i="3" s="1"/>
  <c r="AQ34" i="2"/>
  <c r="AQ35" i="2" s="1"/>
  <c r="AT32" i="2"/>
  <c r="AQ243" i="1"/>
  <c r="AG35" i="3"/>
  <c r="AO42" i="2"/>
  <c r="AF54" i="3"/>
  <c r="AN56" i="2"/>
  <c r="AQ247" i="1"/>
  <c r="AG53" i="3"/>
  <c r="AO55" i="2"/>
  <c r="AJ18" i="3"/>
  <c r="AJ19" i="3" s="1"/>
  <c r="AR27" i="2"/>
  <c r="AR28" i="2" s="1"/>
  <c r="AU153" i="1"/>
  <c r="AH57" i="3"/>
  <c r="AP59" i="2"/>
  <c r="AL26" i="3"/>
  <c r="AR32" i="2"/>
  <c r="AQ23" i="2"/>
  <c r="AK26" i="3"/>
  <c r="AJ25" i="3"/>
  <c r="AR31" i="2"/>
  <c r="AP60" i="2"/>
  <c r="AH58" i="3"/>
  <c r="AN39" i="2"/>
  <c r="AF33" i="3"/>
  <c r="AR247" i="1"/>
  <c r="AR216" i="1"/>
  <c r="AP235" i="1"/>
  <c r="AR233" i="1" s="1"/>
  <c r="AQ233" i="1"/>
  <c r="AP228" i="1"/>
  <c r="AQ226" i="1"/>
  <c r="AP246" i="1"/>
  <c r="AS189" i="1"/>
  <c r="AJ22" i="3" s="1"/>
  <c r="AR13" i="1"/>
  <c r="AS13" i="1" s="1"/>
  <c r="AR132" i="1"/>
  <c r="AR196" i="1"/>
  <c r="AS196" i="1" s="1"/>
  <c r="AS185" i="1"/>
  <c r="AR186" i="1"/>
  <c r="AT252" i="1"/>
  <c r="AU222" i="1"/>
  <c r="AT227" i="1"/>
  <c r="AT224" i="1"/>
  <c r="AT251" i="1"/>
  <c r="AT196" i="1"/>
  <c r="AT186" i="1"/>
  <c r="AU185" i="1"/>
  <c r="AX115" i="1"/>
  <c r="AW115" i="1"/>
  <c r="AU188" i="1"/>
  <c r="AT22" i="2" s="1"/>
  <c r="AT23" i="2" s="1"/>
  <c r="AT12" i="1"/>
  <c r="AP167" i="1"/>
  <c r="AQ167" i="1" s="1"/>
  <c r="AT220" i="1"/>
  <c r="AT219" i="1" s="1"/>
  <c r="AS220" i="1"/>
  <c r="AS188" i="1"/>
  <c r="AR22" i="2" s="1"/>
  <c r="AR23" i="2" s="1"/>
  <c r="AR12" i="1"/>
  <c r="AS12" i="1" s="1"/>
  <c r="AU189" i="1"/>
  <c r="AT13" i="1"/>
  <c r="AT132" i="1"/>
  <c r="AR219" i="1"/>
  <c r="AS219" i="1" s="1"/>
  <c r="AR234" i="1"/>
  <c r="AQ234" i="1"/>
  <c r="AU193" i="1"/>
  <c r="AV116" i="1"/>
  <c r="AV77" i="1"/>
  <c r="AV64" i="1"/>
  <c r="AU8" i="2" s="1"/>
  <c r="AW58" i="1"/>
  <c r="AN8" i="3" s="1"/>
  <c r="AV59" i="1"/>
  <c r="AX58" i="1"/>
  <c r="AO8" i="3" s="1"/>
  <c r="AR243" i="1" l="1"/>
  <c r="AS243" i="1" s="1"/>
  <c r="AQ60" i="2"/>
  <c r="AI57" i="3"/>
  <c r="AU13" i="1"/>
  <c r="AS224" i="1"/>
  <c r="AU196" i="1"/>
  <c r="AI58" i="3"/>
  <c r="AQ59" i="2"/>
  <c r="AU219" i="1"/>
  <c r="AR34" i="2"/>
  <c r="AR35" i="2" s="1"/>
  <c r="AJ28" i="3"/>
  <c r="AJ29" i="3" s="1"/>
  <c r="AR60" i="2"/>
  <c r="AJ58" i="3"/>
  <c r="AO54" i="2"/>
  <c r="AG52" i="3"/>
  <c r="AP55" i="2"/>
  <c r="AH53" i="3"/>
  <c r="AH32" i="3"/>
  <c r="AP38" i="2"/>
  <c r="AT30" i="2"/>
  <c r="AL22" i="3"/>
  <c r="AU251" i="1"/>
  <c r="AS59" i="2"/>
  <c r="AK57" i="3"/>
  <c r="AU252" i="1"/>
  <c r="AK58" i="3"/>
  <c r="AS60" i="2"/>
  <c r="AS247" i="1"/>
  <c r="AI53" i="3"/>
  <c r="AQ55" i="2"/>
  <c r="AJ26" i="3"/>
  <c r="AH35" i="3"/>
  <c r="AP42" i="2"/>
  <c r="AT34" i="2"/>
  <c r="AT35" i="2" s="1"/>
  <c r="AL28" i="3"/>
  <c r="AL29" i="3" s="1"/>
  <c r="AQ42" i="2"/>
  <c r="AJ57" i="3"/>
  <c r="AR59" i="2"/>
  <c r="AX116" i="1"/>
  <c r="AW116" i="1"/>
  <c r="AV124" i="1"/>
  <c r="AU227" i="1"/>
  <c r="AT243" i="1"/>
  <c r="AW77" i="1"/>
  <c r="AX77" i="1"/>
  <c r="AW59" i="1"/>
  <c r="AX59" i="1"/>
  <c r="AV125" i="1"/>
  <c r="AV61" i="1"/>
  <c r="AX64" i="1"/>
  <c r="AW8" i="2" s="1"/>
  <c r="AW64" i="1"/>
  <c r="AV8" i="2" s="1"/>
  <c r="AU132" i="1"/>
  <c r="AT133" i="1"/>
  <c r="AT147" i="1"/>
  <c r="AT167" i="1" s="1"/>
  <c r="AU12" i="1"/>
  <c r="AT247" i="1"/>
  <c r="AT226" i="1"/>
  <c r="AU224" i="1"/>
  <c r="AT216" i="1"/>
  <c r="AP248" i="1"/>
  <c r="AQ246" i="1"/>
  <c r="AQ235" i="1"/>
  <c r="AR232" i="1"/>
  <c r="AR133" i="1"/>
  <c r="AS133" i="1" s="1"/>
  <c r="AS132" i="1"/>
  <c r="AR147" i="1"/>
  <c r="AR235" i="1"/>
  <c r="AS235" i="1" s="1"/>
  <c r="AS233" i="1"/>
  <c r="AR228" i="1"/>
  <c r="AS226" i="1"/>
  <c r="AR246" i="1"/>
  <c r="AS234" i="1"/>
  <c r="AU220" i="1"/>
  <c r="AQ228" i="1"/>
  <c r="AP239" i="1"/>
  <c r="AP240" i="1"/>
  <c r="AQ240" i="1" s="1"/>
  <c r="AP242" i="1"/>
  <c r="AP241" i="1"/>
  <c r="AI35" i="3" l="1"/>
  <c r="AM10" i="3"/>
  <c r="AM11" i="3" s="1"/>
  <c r="AU14" i="2"/>
  <c r="AQ239" i="1"/>
  <c r="AG33" i="3"/>
  <c r="AO39" i="2"/>
  <c r="AQ54" i="2"/>
  <c r="AI52" i="3"/>
  <c r="AT233" i="1"/>
  <c r="AU233" i="1" s="1"/>
  <c r="AU247" i="1"/>
  <c r="AK53" i="3"/>
  <c r="AS55" i="2"/>
  <c r="AM13" i="3"/>
  <c r="AU17" i="2"/>
  <c r="AJ35" i="3"/>
  <c r="AR42" i="2"/>
  <c r="AR55" i="2"/>
  <c r="AJ53" i="3"/>
  <c r="AQ248" i="1"/>
  <c r="AO56" i="2"/>
  <c r="AG54" i="3"/>
  <c r="AQ241" i="1"/>
  <c r="AP40" i="2" s="1"/>
  <c r="AO40" i="2"/>
  <c r="AU243" i="1"/>
  <c r="AS42" i="2"/>
  <c r="AK35" i="3"/>
  <c r="AQ242" i="1"/>
  <c r="AG34" i="3"/>
  <c r="AO41" i="2"/>
  <c r="AH52" i="3"/>
  <c r="AP54" i="2"/>
  <c r="AL57" i="3"/>
  <c r="AT59" i="2"/>
  <c r="AT60" i="2"/>
  <c r="AL58" i="3"/>
  <c r="AS228" i="1"/>
  <c r="AR240" i="1"/>
  <c r="AS240" i="1" s="1"/>
  <c r="AR239" i="1"/>
  <c r="AR241" i="1"/>
  <c r="AR242" i="1"/>
  <c r="AT234" i="1"/>
  <c r="AU147" i="1"/>
  <c r="AS246" i="1"/>
  <c r="AR248" i="1"/>
  <c r="AT228" i="1"/>
  <c r="AU226" i="1"/>
  <c r="AT246" i="1"/>
  <c r="AU133" i="1"/>
  <c r="AX61" i="1"/>
  <c r="AV63" i="1"/>
  <c r="AV78" i="1"/>
  <c r="AW61" i="1"/>
  <c r="AV7" i="1"/>
  <c r="AV130" i="1"/>
  <c r="AU10" i="2" s="1"/>
  <c r="AX124" i="1"/>
  <c r="AV127" i="1"/>
  <c r="AW124" i="1"/>
  <c r="AS232" i="1"/>
  <c r="AT232" i="1"/>
  <c r="AR238" i="1"/>
  <c r="AX125" i="1"/>
  <c r="AW125" i="1"/>
  <c r="AV126" i="1"/>
  <c r="AV204" i="1"/>
  <c r="AV206" i="1" s="1"/>
  <c r="AV208" i="1" s="1"/>
  <c r="AS147" i="1"/>
  <c r="AR167" i="1"/>
  <c r="AS167" i="1" s="1"/>
  <c r="AU15" i="2" l="1"/>
  <c r="AU11" i="2"/>
  <c r="AO10" i="3"/>
  <c r="AO11" i="3" s="1"/>
  <c r="AW14" i="2"/>
  <c r="AV14" i="2"/>
  <c r="AN10" i="3"/>
  <c r="AN11" i="3" s="1"/>
  <c r="AT235" i="1"/>
  <c r="AU235" i="1" s="1"/>
  <c r="AO13" i="3"/>
  <c r="AW17" i="2"/>
  <c r="AS238" i="1"/>
  <c r="AQ38" i="2"/>
  <c r="AI32" i="3"/>
  <c r="AU18" i="2"/>
  <c r="AM14" i="3"/>
  <c r="AM15" i="3" s="1"/>
  <c r="AS248" i="1"/>
  <c r="AQ56" i="2"/>
  <c r="AI54" i="3"/>
  <c r="AS242" i="1"/>
  <c r="AI34" i="3"/>
  <c r="AQ41" i="2"/>
  <c r="AH34" i="3"/>
  <c r="AP41" i="2"/>
  <c r="AH54" i="3"/>
  <c r="AP56" i="2"/>
  <c r="AL35" i="3"/>
  <c r="AT42" i="2"/>
  <c r="AS54" i="2"/>
  <c r="AK52" i="3"/>
  <c r="AJ52" i="3"/>
  <c r="AR54" i="2"/>
  <c r="AS241" i="1"/>
  <c r="AR40" i="2" s="1"/>
  <c r="AQ40" i="2"/>
  <c r="AU19" i="2"/>
  <c r="AT55" i="2"/>
  <c r="AL53" i="3"/>
  <c r="AN13" i="3"/>
  <c r="AV17" i="2"/>
  <c r="AS239" i="1"/>
  <c r="AI33" i="3"/>
  <c r="AQ39" i="2"/>
  <c r="AP39" i="2"/>
  <c r="AH33" i="3"/>
  <c r="AW130" i="1"/>
  <c r="AV10" i="2" s="1"/>
  <c r="AX130" i="1"/>
  <c r="AW10" i="2" s="1"/>
  <c r="AW11" i="2" s="1"/>
  <c r="AW63" i="1"/>
  <c r="AX63" i="1"/>
  <c r="AT248" i="1"/>
  <c r="AU246" i="1"/>
  <c r="AX7" i="1"/>
  <c r="AW7" i="1"/>
  <c r="AV9" i="1"/>
  <c r="AW126" i="1"/>
  <c r="AX126" i="1"/>
  <c r="AT238" i="1"/>
  <c r="AV192" i="1"/>
  <c r="AV180" i="1"/>
  <c r="AV129" i="1"/>
  <c r="AX127" i="1"/>
  <c r="AW127" i="1"/>
  <c r="AV171" i="1"/>
  <c r="AV143" i="1"/>
  <c r="AV145" i="1"/>
  <c r="AU228" i="1"/>
  <c r="AT239" i="1"/>
  <c r="AT240" i="1"/>
  <c r="AU240" i="1" s="1"/>
  <c r="AT241" i="1"/>
  <c r="AT242" i="1"/>
  <c r="AU234" i="1"/>
  <c r="AU232" i="1"/>
  <c r="AX78" i="1"/>
  <c r="AW78" i="1"/>
  <c r="AU167" i="1"/>
  <c r="AW15" i="2" l="1"/>
  <c r="AV15" i="2"/>
  <c r="AV11" i="2"/>
  <c r="AU239" i="1"/>
  <c r="AK33" i="3"/>
  <c r="AS39" i="2"/>
  <c r="AU27" i="2"/>
  <c r="AU28" i="2" s="1"/>
  <c r="AM18" i="3"/>
  <c r="AM19" i="3" s="1"/>
  <c r="AL52" i="3"/>
  <c r="AT54" i="2"/>
  <c r="AJ54" i="3"/>
  <c r="AR56" i="2"/>
  <c r="AU242" i="1"/>
  <c r="AK34" i="3"/>
  <c r="AS41" i="2"/>
  <c r="AN14" i="3"/>
  <c r="AN15" i="3" s="1"/>
  <c r="AV18" i="2"/>
  <c r="AV19" i="2" s="1"/>
  <c r="AU248" i="1"/>
  <c r="AS56" i="2"/>
  <c r="AK54" i="3"/>
  <c r="AR39" i="2"/>
  <c r="AJ33" i="3"/>
  <c r="AJ34" i="3"/>
  <c r="AR41" i="2"/>
  <c r="AJ32" i="3"/>
  <c r="AR38" i="2"/>
  <c r="AU241" i="1"/>
  <c r="AT40" i="2" s="1"/>
  <c r="AS40" i="2"/>
  <c r="AU31" i="2"/>
  <c r="AM25" i="3"/>
  <c r="AM26" i="3" s="1"/>
  <c r="AO14" i="3"/>
  <c r="AO15" i="3" s="1"/>
  <c r="AW18" i="2"/>
  <c r="AW19" i="2" s="1"/>
  <c r="AU238" i="1"/>
  <c r="AS38" i="2"/>
  <c r="AK32" i="3"/>
  <c r="AU32" i="2"/>
  <c r="AW192" i="1"/>
  <c r="AX192" i="1"/>
  <c r="AV195" i="1"/>
  <c r="AV185" i="1"/>
  <c r="AW145" i="1"/>
  <c r="AN25" i="3" s="1"/>
  <c r="AX145" i="1"/>
  <c r="AV172" i="1"/>
  <c r="AV222" i="1"/>
  <c r="AV220" i="1"/>
  <c r="AX143" i="1"/>
  <c r="AW143" i="1"/>
  <c r="AX129" i="1"/>
  <c r="AW129" i="1"/>
  <c r="AV10" i="1"/>
  <c r="AW9" i="1"/>
  <c r="AX9" i="1"/>
  <c r="AX171" i="1"/>
  <c r="AW171" i="1"/>
  <c r="AV189" i="1"/>
  <c r="AM22" i="3" s="1"/>
  <c r="AW180" i="1"/>
  <c r="AV193" i="1"/>
  <c r="AV188" i="1"/>
  <c r="AU22" i="2" s="1"/>
  <c r="AU23" i="2" s="1"/>
  <c r="AX180" i="1"/>
  <c r="AV11" i="1"/>
  <c r="AV153" i="1"/>
  <c r="AL32" i="3" l="1"/>
  <c r="AT38" i="2"/>
  <c r="AU25" i="2"/>
  <c r="AO18" i="3"/>
  <c r="AO19" i="3" s="1"/>
  <c r="AW27" i="2"/>
  <c r="AW28" i="2" s="1"/>
  <c r="AN18" i="3"/>
  <c r="AN19" i="3" s="1"/>
  <c r="AV27" i="2"/>
  <c r="AV28" i="2" s="1"/>
  <c r="AM28" i="3"/>
  <c r="AM29" i="3" s="1"/>
  <c r="AU34" i="2"/>
  <c r="AU35" i="2" s="1"/>
  <c r="AW32" i="2"/>
  <c r="AL54" i="3"/>
  <c r="AT56" i="2"/>
  <c r="AV32" i="2"/>
  <c r="AL34" i="3"/>
  <c r="AT41" i="2"/>
  <c r="AN26" i="3"/>
  <c r="AT39" i="2"/>
  <c r="AL33" i="3"/>
  <c r="AO25" i="3"/>
  <c r="AW31" i="2"/>
  <c r="AW153" i="1"/>
  <c r="AX153" i="1"/>
  <c r="AX193" i="1"/>
  <c r="AW193" i="1"/>
  <c r="AX11" i="1"/>
  <c r="AW11" i="1"/>
  <c r="AX220" i="1"/>
  <c r="AW220" i="1"/>
  <c r="AX189" i="1"/>
  <c r="AW189" i="1"/>
  <c r="AV13" i="1"/>
  <c r="AV132" i="1"/>
  <c r="AV252" i="1"/>
  <c r="AV227" i="1"/>
  <c r="AV224" i="1"/>
  <c r="AV219" i="1"/>
  <c r="AW222" i="1"/>
  <c r="AX222" i="1"/>
  <c r="AV251" i="1"/>
  <c r="AW188" i="1"/>
  <c r="AV22" i="2" s="1"/>
  <c r="AV23" i="2" s="1"/>
  <c r="AX188" i="1"/>
  <c r="AW22" i="2" s="1"/>
  <c r="AW23" i="2" s="1"/>
  <c r="AV12" i="1"/>
  <c r="AW172" i="1"/>
  <c r="AX172" i="1"/>
  <c r="AV196" i="1"/>
  <c r="AX185" i="1"/>
  <c r="AV186" i="1"/>
  <c r="AW185" i="1"/>
  <c r="AW195" i="1"/>
  <c r="AX195" i="1"/>
  <c r="AM58" i="3" l="1"/>
  <c r="AU60" i="2"/>
  <c r="AO22" i="3"/>
  <c r="AW30" i="2"/>
  <c r="AV30" i="2"/>
  <c r="AN22" i="3"/>
  <c r="AV34" i="2"/>
  <c r="AV35" i="2" s="1"/>
  <c r="AN28" i="3"/>
  <c r="AN29" i="3" s="1"/>
  <c r="AU59" i="2"/>
  <c r="AM57" i="3"/>
  <c r="AO28" i="3"/>
  <c r="AO29" i="3" s="1"/>
  <c r="AW34" i="2"/>
  <c r="AW35" i="2" s="1"/>
  <c r="AO26" i="3"/>
  <c r="AX252" i="1"/>
  <c r="AW252" i="1"/>
  <c r="AW219" i="1"/>
  <c r="AX219" i="1"/>
  <c r="AV133" i="1"/>
  <c r="AW132" i="1"/>
  <c r="AV147" i="1"/>
  <c r="AW147" i="1" s="1"/>
  <c r="AX196" i="1"/>
  <c r="AW196" i="1"/>
  <c r="AW251" i="1"/>
  <c r="AX251" i="1"/>
  <c r="AV247" i="1"/>
  <c r="AV226" i="1"/>
  <c r="AX224" i="1"/>
  <c r="AW224" i="1"/>
  <c r="AV216" i="1"/>
  <c r="AV232" i="1"/>
  <c r="AV233" i="1"/>
  <c r="AV234" i="1"/>
  <c r="AX13" i="1"/>
  <c r="AW13" i="1"/>
  <c r="AX12" i="1"/>
  <c r="AW12" i="1"/>
  <c r="AX227" i="1"/>
  <c r="AW227" i="1"/>
  <c r="AV243" i="1"/>
  <c r="AV167" i="1" l="1"/>
  <c r="AW167" i="1" s="1"/>
  <c r="AO58" i="3"/>
  <c r="AW60" i="2"/>
  <c r="AW59" i="2"/>
  <c r="AO57" i="3"/>
  <c r="AM53" i="3"/>
  <c r="AU55" i="2"/>
  <c r="AM35" i="3"/>
  <c r="AU42" i="2"/>
  <c r="AN57" i="3"/>
  <c r="AV59" i="2"/>
  <c r="AV60" i="2"/>
  <c r="AN58" i="3"/>
  <c r="AW243" i="1"/>
  <c r="AX243" i="1"/>
  <c r="AV235" i="1"/>
  <c r="AW233" i="1"/>
  <c r="AX233" i="1"/>
  <c r="AX232" i="1"/>
  <c r="AW232" i="1"/>
  <c r="AV238" i="1"/>
  <c r="AX226" i="1"/>
  <c r="AV228" i="1"/>
  <c r="AW226" i="1"/>
  <c r="AV246" i="1"/>
  <c r="AX234" i="1"/>
  <c r="AW234" i="1"/>
  <c r="AX247" i="1"/>
  <c r="AW247" i="1"/>
  <c r="AW133" i="1"/>
  <c r="AX133" i="1"/>
  <c r="AN35" i="3" l="1"/>
  <c r="AV42" i="2"/>
  <c r="AO53" i="3"/>
  <c r="AW55" i="2"/>
  <c r="AV55" i="2"/>
  <c r="AN53" i="3"/>
  <c r="AU54" i="2"/>
  <c r="AM52" i="3"/>
  <c r="AU38" i="2"/>
  <c r="AM32" i="3"/>
  <c r="AW42" i="2"/>
  <c r="AO35" i="3"/>
  <c r="AW246" i="1"/>
  <c r="AX246" i="1"/>
  <c r="AV248" i="1"/>
  <c r="AW238" i="1"/>
  <c r="AX238" i="1"/>
  <c r="AX235" i="1"/>
  <c r="AW235" i="1"/>
  <c r="AW228" i="1"/>
  <c r="AX228" i="1"/>
  <c r="AV240" i="1"/>
  <c r="AV239" i="1"/>
  <c r="AV242" i="1"/>
  <c r="AV241" i="1"/>
  <c r="AU40" i="2" s="1"/>
  <c r="AW54" i="2" l="1"/>
  <c r="AO52" i="3"/>
  <c r="AN52" i="3"/>
  <c r="AV54" i="2"/>
  <c r="AN32" i="3"/>
  <c r="AV38" i="2"/>
  <c r="AW38" i="2"/>
  <c r="AO32" i="3"/>
  <c r="AM34" i="3"/>
  <c r="AU41" i="2"/>
  <c r="AM33" i="3"/>
  <c r="AU39" i="2"/>
  <c r="AU56" i="2"/>
  <c r="AM54" i="3"/>
  <c r="AX242" i="1"/>
  <c r="AW242" i="1"/>
  <c r="AW240" i="1"/>
  <c r="AX240" i="1"/>
  <c r="AX239" i="1"/>
  <c r="AW239" i="1"/>
  <c r="AX248" i="1"/>
  <c r="AW248" i="1"/>
  <c r="AW241" i="1"/>
  <c r="AV40" i="2" s="1"/>
  <c r="AX241" i="1"/>
  <c r="AW40" i="2" s="1"/>
  <c r="AW56" i="2" l="1"/>
  <c r="AO54" i="3"/>
  <c r="AV39" i="2"/>
  <c r="AN33" i="3"/>
  <c r="AN34" i="3"/>
  <c r="AV41" i="2"/>
  <c r="AN54" i="3"/>
  <c r="AV56" i="2"/>
  <c r="AO33" i="3"/>
  <c r="AW39" i="2"/>
  <c r="AO34" i="3"/>
  <c r="AW41" i="2"/>
</calcChain>
</file>

<file path=xl/comments1.xml><?xml version="1.0" encoding="utf-8"?>
<comments xmlns="http://schemas.openxmlformats.org/spreadsheetml/2006/main">
  <authors>
    <author>Gupta, Tanmay (Research)</author>
    <author>sanclaur</author>
    <author>Laura Sanchez</author>
    <author>Dally, Nigel (Research)</author>
    <author>Aerin Lim</author>
  </authors>
  <commentList>
    <comment ref="AR13" authorId="0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Dec 2017: 7-9% Op EPS accretion from Voya deal</t>
        </r>
      </text>
    </comment>
    <comment ref="A18" authorId="1">
      <text>
        <r>
          <rPr>
            <b/>
            <sz val="8"/>
            <color indexed="81"/>
            <rFont val="Tahoma"/>
            <family val="2"/>
          </rPr>
          <t>sanclaur:</t>
        </r>
        <r>
          <rPr>
            <sz val="8"/>
            <color indexed="81"/>
            <rFont val="Tahoma"/>
            <family val="2"/>
          </rPr>
          <t xml:space="preserve">
=TF(".SPX-UT","TF.PR.PricePchg(sdate=20120101,edate=20120331)")*100</t>
        </r>
      </text>
    </comment>
    <comment ref="B18" authorId="1">
      <text>
        <r>
          <rPr>
            <b/>
            <sz val="8"/>
            <color indexed="81"/>
            <rFont val="Tahoma"/>
            <family val="2"/>
          </rPr>
          <t>sanclaur:</t>
        </r>
        <r>
          <rPr>
            <sz val="8"/>
            <color indexed="81"/>
            <rFont val="Tahoma"/>
            <family val="2"/>
          </rPr>
          <t xml:space="preserve">
=TF(".SPX-UT","TF.PR.PricePchg(sdate=20120101,edate=20120331)")*100</t>
        </r>
      </text>
    </comment>
    <comment ref="AA18" authorId="1">
      <text>
        <r>
          <rPr>
            <b/>
            <sz val="8"/>
            <color indexed="81"/>
            <rFont val="Tahoma"/>
            <family val="2"/>
          </rPr>
          <t>sanclaur:</t>
        </r>
        <r>
          <rPr>
            <sz val="8"/>
            <color indexed="81"/>
            <rFont val="Tahoma"/>
            <family val="2"/>
          </rPr>
          <t xml:space="preserve">
=TF(".SPX-UT","TF.PR.PricePchg(sdate=20120101,edate=20120331)")*100</t>
        </r>
      </text>
    </comment>
    <comment ref="AB18" authorId="1">
      <text>
        <r>
          <rPr>
            <b/>
            <sz val="8"/>
            <color indexed="81"/>
            <rFont val="Tahoma"/>
            <family val="2"/>
          </rPr>
          <t>sanclaur:</t>
        </r>
        <r>
          <rPr>
            <sz val="8"/>
            <color indexed="81"/>
            <rFont val="Tahoma"/>
            <family val="2"/>
          </rPr>
          <t xml:space="preserve">
=TF(".SPX-UT","TF.PR.PricePchg(sdate=20120101,edate=20120331)")*100</t>
        </r>
      </text>
    </comment>
    <comment ref="AC18" authorId="1">
      <text>
        <r>
          <rPr>
            <b/>
            <sz val="8"/>
            <color indexed="81"/>
            <rFont val="Tahoma"/>
            <family val="2"/>
          </rPr>
          <t>sanclaur:</t>
        </r>
        <r>
          <rPr>
            <sz val="8"/>
            <color indexed="81"/>
            <rFont val="Tahoma"/>
            <family val="2"/>
          </rPr>
          <t xml:space="preserve">
=TF(".SPX-UT","TF.PR.PricePchg(sdate=20120101,edate=20120331)")*100</t>
        </r>
      </text>
    </comment>
    <comment ref="AD18" authorId="1">
      <text>
        <r>
          <rPr>
            <b/>
            <sz val="8"/>
            <color indexed="81"/>
            <rFont val="Tahoma"/>
            <family val="2"/>
          </rPr>
          <t>sanclaur:</t>
        </r>
        <r>
          <rPr>
            <sz val="8"/>
            <color indexed="81"/>
            <rFont val="Tahoma"/>
            <family val="2"/>
          </rPr>
          <t xml:space="preserve">
=TF(".SPX-UT","TF.PR.PricePchg(sdate=20120101,edate=20120331)")*100</t>
        </r>
      </text>
    </comment>
    <comment ref="AE18" authorId="1">
      <text>
        <r>
          <rPr>
            <b/>
            <sz val="8"/>
            <color indexed="81"/>
            <rFont val="Tahoma"/>
            <family val="2"/>
          </rPr>
          <t>sanclaur:</t>
        </r>
        <r>
          <rPr>
            <sz val="8"/>
            <color indexed="81"/>
            <rFont val="Tahoma"/>
            <family val="2"/>
          </rPr>
          <t xml:space="preserve">
=TF(".SPX-UT","TF.PR.PricePchg(sdate=20120101,edate=20120331)")*100</t>
        </r>
      </text>
    </comment>
    <comment ref="AF18" authorId="1">
      <text>
        <r>
          <rPr>
            <b/>
            <sz val="8"/>
            <color indexed="81"/>
            <rFont val="Tahoma"/>
            <family val="2"/>
          </rPr>
          <t>sanclaur:</t>
        </r>
        <r>
          <rPr>
            <sz val="8"/>
            <color indexed="81"/>
            <rFont val="Tahoma"/>
            <family val="2"/>
          </rPr>
          <t xml:space="preserve">
=TF(".SPX-UT","TF.PR.PricePchg(sdate=20120101,edate=20120331)")*100</t>
        </r>
      </text>
    </comment>
    <comment ref="AG18" authorId="1">
      <text>
        <r>
          <rPr>
            <b/>
            <sz val="8"/>
            <color indexed="81"/>
            <rFont val="Tahoma"/>
            <family val="2"/>
          </rPr>
          <t>sanclaur:</t>
        </r>
        <r>
          <rPr>
            <sz val="8"/>
            <color indexed="81"/>
            <rFont val="Tahoma"/>
            <family val="2"/>
          </rPr>
          <t xml:space="preserve">
=TF(".SPX-UT","TF.PR.PricePchg(sdate=20120101,edate=20120331)")*100</t>
        </r>
      </text>
    </comment>
    <comment ref="AH18" authorId="1">
      <text>
        <r>
          <rPr>
            <b/>
            <sz val="8"/>
            <color indexed="81"/>
            <rFont val="Tahoma"/>
            <family val="2"/>
          </rPr>
          <t>sanclaur:</t>
        </r>
        <r>
          <rPr>
            <sz val="8"/>
            <color indexed="81"/>
            <rFont val="Tahoma"/>
            <family val="2"/>
          </rPr>
          <t xml:space="preserve">
=TF(".SPX-UT","TF.PR.PricePchg(sdate=20120101,edate=20120331)")*100</t>
        </r>
      </text>
    </comment>
    <comment ref="AI18" authorId="1">
      <text>
        <r>
          <rPr>
            <b/>
            <sz val="8"/>
            <color indexed="81"/>
            <rFont val="Tahoma"/>
            <family val="2"/>
          </rPr>
          <t>sanclaur:</t>
        </r>
        <r>
          <rPr>
            <sz val="8"/>
            <color indexed="81"/>
            <rFont val="Tahoma"/>
            <family val="2"/>
          </rPr>
          <t xml:space="preserve">
=TF(".SPX-UT","TF.PR.PricePchg(sdate=20120101,edate=20120331)")*100</t>
        </r>
      </text>
    </comment>
    <comment ref="AJ18" authorId="1">
      <text>
        <r>
          <rPr>
            <b/>
            <sz val="8"/>
            <color indexed="81"/>
            <rFont val="Tahoma"/>
            <family val="2"/>
          </rPr>
          <t>sanclaur:</t>
        </r>
        <r>
          <rPr>
            <sz val="8"/>
            <color indexed="81"/>
            <rFont val="Tahoma"/>
            <family val="2"/>
          </rPr>
          <t xml:space="preserve">
=TF(".SPX-UT","TF.PR.PricePchg(sdate=20120101,edate=20120331)")*100</t>
        </r>
      </text>
    </comment>
    <comment ref="AK18" authorId="1">
      <text>
        <r>
          <rPr>
            <b/>
            <sz val="8"/>
            <color indexed="81"/>
            <rFont val="Tahoma"/>
            <family val="2"/>
          </rPr>
          <t>sanclaur:</t>
        </r>
        <r>
          <rPr>
            <sz val="8"/>
            <color indexed="81"/>
            <rFont val="Tahoma"/>
            <family val="2"/>
          </rPr>
          <t xml:space="preserve">
=TF(".SPX-UT","TF.PR.PricePchg(sdate=20120101,edate=20120331)")*100</t>
        </r>
      </text>
    </comment>
    <comment ref="AL18" authorId="1">
      <text>
        <r>
          <rPr>
            <b/>
            <sz val="8"/>
            <color indexed="81"/>
            <rFont val="Tahoma"/>
            <family val="2"/>
          </rPr>
          <t>sanclaur:</t>
        </r>
        <r>
          <rPr>
            <sz val="8"/>
            <color indexed="81"/>
            <rFont val="Tahoma"/>
            <family val="2"/>
          </rPr>
          <t xml:space="preserve">
=TF(".SPX-UT","TF.PR.PricePchg(sdate=20120101,edate=20120331)")*100</t>
        </r>
      </text>
    </comment>
    <comment ref="AM18" authorId="1">
      <text>
        <r>
          <rPr>
            <b/>
            <sz val="8"/>
            <color indexed="81"/>
            <rFont val="Tahoma"/>
            <family val="2"/>
          </rPr>
          <t>sanclaur:</t>
        </r>
        <r>
          <rPr>
            <sz val="8"/>
            <color indexed="81"/>
            <rFont val="Tahoma"/>
            <family val="2"/>
          </rPr>
          <t xml:space="preserve">
=TF(".SPX-UT","TF.PR.PricePchg(sdate=20120101,edate=20120331)")*100</t>
        </r>
      </text>
    </comment>
    <comment ref="AN18" authorId="1">
      <text>
        <r>
          <rPr>
            <b/>
            <sz val="8"/>
            <color indexed="81"/>
            <rFont val="Tahoma"/>
            <family val="2"/>
          </rPr>
          <t>sanclaur:</t>
        </r>
        <r>
          <rPr>
            <sz val="8"/>
            <color indexed="81"/>
            <rFont val="Tahoma"/>
            <family val="2"/>
          </rPr>
          <t xml:space="preserve">
=TF(".SPX-UT","TF.PR.PricePchg(sdate=20120101,edate=20120331)")*100</t>
        </r>
      </text>
    </comment>
    <comment ref="AO18" authorId="1">
      <text>
        <r>
          <rPr>
            <b/>
            <sz val="8"/>
            <color indexed="81"/>
            <rFont val="Tahoma"/>
            <family val="2"/>
          </rPr>
          <t>sanclaur:</t>
        </r>
        <r>
          <rPr>
            <sz val="8"/>
            <color indexed="81"/>
            <rFont val="Tahoma"/>
            <family val="2"/>
          </rPr>
          <t xml:space="preserve">
=TF(".SPX-UT","TF.PR.PricePchg(sdate=20120101,edate=20120331)")*100</t>
        </r>
      </text>
    </comment>
    <comment ref="AQ18" authorId="1">
      <text>
        <r>
          <rPr>
            <b/>
            <sz val="8"/>
            <color indexed="81"/>
            <rFont val="Tahoma"/>
            <family val="2"/>
          </rPr>
          <t>sanclaur:</t>
        </r>
        <r>
          <rPr>
            <sz val="8"/>
            <color indexed="81"/>
            <rFont val="Tahoma"/>
            <family val="2"/>
          </rPr>
          <t xml:space="preserve">
=TF(".SPX-UT","TF.PR.PricePchg(sdate=20120101,edate=20120331)")*100</t>
        </r>
      </text>
    </comment>
    <comment ref="AS18" authorId="1">
      <text>
        <r>
          <rPr>
            <b/>
            <sz val="8"/>
            <color indexed="81"/>
            <rFont val="Tahoma"/>
            <family val="2"/>
          </rPr>
          <t>sanclaur:</t>
        </r>
        <r>
          <rPr>
            <sz val="8"/>
            <color indexed="81"/>
            <rFont val="Tahoma"/>
            <family val="2"/>
          </rPr>
          <t xml:space="preserve">
=TF(".SPX-UT","TF.PR.PricePchg(sdate=20120101,edate=20120331)")*100</t>
        </r>
      </text>
    </comment>
    <comment ref="AU18" authorId="1">
      <text>
        <r>
          <rPr>
            <b/>
            <sz val="8"/>
            <color indexed="81"/>
            <rFont val="Tahoma"/>
            <family val="2"/>
          </rPr>
          <t>sanclaur:</t>
        </r>
        <r>
          <rPr>
            <sz val="8"/>
            <color indexed="81"/>
            <rFont val="Tahoma"/>
            <family val="2"/>
          </rPr>
          <t xml:space="preserve">
=TF(".SPX-UT","TF.PR.PricePchg(sdate=20120101,edate=20120331)")*100</t>
        </r>
      </text>
    </comment>
    <comment ref="AW18" authorId="1">
      <text>
        <r>
          <rPr>
            <b/>
            <sz val="8"/>
            <color indexed="81"/>
            <rFont val="Tahoma"/>
            <family val="2"/>
          </rPr>
          <t>sanclaur:</t>
        </r>
        <r>
          <rPr>
            <sz val="8"/>
            <color indexed="81"/>
            <rFont val="Tahoma"/>
            <family val="2"/>
          </rPr>
          <t xml:space="preserve">
=TF(".SPX-UT","TF.PR.PricePchg(sdate=20120101,edate=20120331)")*100</t>
        </r>
      </text>
    </comment>
    <comment ref="AX18" authorId="1">
      <text>
        <r>
          <rPr>
            <b/>
            <sz val="8"/>
            <color indexed="81"/>
            <rFont val="Tahoma"/>
            <family val="2"/>
          </rPr>
          <t>sanclaur:</t>
        </r>
        <r>
          <rPr>
            <sz val="8"/>
            <color indexed="81"/>
            <rFont val="Tahoma"/>
            <family val="2"/>
          </rPr>
          <t xml:space="preserve">
=TF(".SPX-UT","TF.PR.PricePchg(sdate=20120101,edate=20120331)")*100</t>
        </r>
      </text>
    </comment>
    <comment ref="AY18" authorId="1">
      <text>
        <r>
          <rPr>
            <b/>
            <sz val="8"/>
            <color indexed="81"/>
            <rFont val="Tahoma"/>
            <family val="2"/>
          </rPr>
          <t>sanclaur:</t>
        </r>
        <r>
          <rPr>
            <sz val="8"/>
            <color indexed="81"/>
            <rFont val="Tahoma"/>
            <family val="2"/>
          </rPr>
          <t xml:space="preserve">
=TF(".SPX-UT","TF.PR.PricePchg(sdate=20120101,edate=20120331)")*100</t>
        </r>
      </text>
    </comment>
    <comment ref="AZ18" authorId="1">
      <text>
        <r>
          <rPr>
            <b/>
            <sz val="8"/>
            <color indexed="81"/>
            <rFont val="Tahoma"/>
            <family val="2"/>
          </rPr>
          <t>sanclaur:</t>
        </r>
        <r>
          <rPr>
            <sz val="8"/>
            <color indexed="81"/>
            <rFont val="Tahoma"/>
            <family val="2"/>
          </rPr>
          <t xml:space="preserve">
=TF(".SPX-UT","TF.PR.PricePchg(sdate=20120101,edate=20120331)")*100</t>
        </r>
      </text>
    </comment>
    <comment ref="BG18" authorId="1">
      <text>
        <r>
          <rPr>
            <b/>
            <sz val="8"/>
            <color indexed="81"/>
            <rFont val="Tahoma"/>
            <family val="2"/>
          </rPr>
          <t>sanclaur:</t>
        </r>
        <r>
          <rPr>
            <sz val="8"/>
            <color indexed="81"/>
            <rFont val="Tahoma"/>
            <family val="2"/>
          </rPr>
          <t xml:space="preserve">
=TF(".SPX-UT","TF.PR.PricePchg(sdate=20120101,edate=20120331)")*100</t>
        </r>
      </text>
    </comment>
    <comment ref="BH18" authorId="1">
      <text>
        <r>
          <rPr>
            <b/>
            <sz val="8"/>
            <color indexed="81"/>
            <rFont val="Tahoma"/>
            <family val="2"/>
          </rPr>
          <t>sanclaur:</t>
        </r>
        <r>
          <rPr>
            <sz val="8"/>
            <color indexed="81"/>
            <rFont val="Tahoma"/>
            <family val="2"/>
          </rPr>
          <t xml:space="preserve">
=TF(".SPX-UT","TF.PR.PricePchg(sdate=20120101,edate=20120331)")*100</t>
        </r>
      </text>
    </comment>
    <comment ref="AE22" authorId="2">
      <text>
        <r>
          <rPr>
            <b/>
            <sz val="8"/>
            <color indexed="81"/>
            <rFont val="Tahoma"/>
            <family val="2"/>
          </rPr>
          <t>Laura Sanchez:</t>
        </r>
        <r>
          <rPr>
            <sz val="8"/>
            <color indexed="81"/>
            <rFont val="Tahoma"/>
            <family val="2"/>
          </rPr>
          <t xml:space="preserve">
3Q12 guid: mid single digit</t>
        </r>
      </text>
    </comment>
    <comment ref="M25" authorId="0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2Q17: includes PRT of $327mn</t>
        </r>
      </text>
    </comment>
    <comment ref="O25" authorId="0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3Q17: includes PRT of $1B</t>
        </r>
      </text>
    </comment>
    <comment ref="AJ26" authorId="0">
      <text>
        <r>
          <rPr>
            <b/>
            <sz val="9"/>
            <color indexed="81"/>
            <rFont val="Calibri"/>
            <family val="2"/>
            <scheme val="minor"/>
          </rPr>
          <t>Gupta, Tanmay (Research):</t>
        </r>
        <r>
          <rPr>
            <sz val="9"/>
            <color indexed="81"/>
            <rFont val="Calibri"/>
            <family val="2"/>
            <scheme val="minor"/>
          </rPr>
          <t xml:space="preserve">
2016 Expected Deposits ~ $9B</t>
        </r>
      </text>
    </comment>
    <comment ref="W27" authorId="0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Dec 2017: Reinsured $19B of Voya liabilities. Expected closing of 2Q/3Q18</t>
        </r>
      </text>
    </comment>
    <comment ref="AJ27" authorId="0">
      <text>
        <r>
          <rPr>
            <b/>
            <sz val="9"/>
            <color indexed="81"/>
            <rFont val="Calibri"/>
            <family val="2"/>
            <scheme val="minor"/>
          </rPr>
          <t>Gupta, Tanmay (Research):</t>
        </r>
        <r>
          <rPr>
            <sz val="9"/>
            <color indexed="81"/>
            <rFont val="Calibri"/>
            <family val="2"/>
            <scheme val="minor"/>
          </rPr>
          <t xml:space="preserve">
$15bn of Acquisitions in next 5 years</t>
        </r>
      </text>
    </comment>
    <comment ref="AT27" authorId="0">
      <text>
        <r>
          <rPr>
            <b/>
            <sz val="9"/>
            <color indexed="81"/>
            <rFont val="Calibri"/>
            <family val="2"/>
            <scheme val="minor"/>
          </rPr>
          <t>Gupta, Tanmay (Research):</t>
        </r>
        <r>
          <rPr>
            <sz val="9"/>
            <color indexed="81"/>
            <rFont val="Calibri"/>
            <family val="2"/>
            <scheme val="minor"/>
          </rPr>
          <t xml:space="preserve">
$15bn of Acquisitions in next 5 years</t>
        </r>
      </text>
    </comment>
    <comment ref="AV27" authorId="0">
      <text>
        <r>
          <rPr>
            <b/>
            <sz val="9"/>
            <color indexed="81"/>
            <rFont val="Calibri"/>
            <family val="2"/>
            <scheme val="minor"/>
          </rPr>
          <t>Gupta, Tanmay (Research):</t>
        </r>
        <r>
          <rPr>
            <sz val="9"/>
            <color indexed="81"/>
            <rFont val="Calibri"/>
            <family val="2"/>
            <scheme val="minor"/>
          </rPr>
          <t xml:space="preserve">
$15bn of Acquisitions in next 5 years</t>
        </r>
      </text>
    </comment>
    <comment ref="B28" authorId="0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Life &amp; Other (ex German Products)</t>
        </r>
      </text>
    </comment>
    <comment ref="AN30" authorId="0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4Q17: Liability outflows expected to be higher than in 2017 due to aging of the in-force block</t>
        </r>
      </text>
    </comment>
    <comment ref="B39" authorId="0">
      <text>
        <r>
          <rPr>
            <b/>
            <sz val="9"/>
            <color indexed="81"/>
            <rFont val="Calibri"/>
            <family val="2"/>
            <scheme val="minor"/>
          </rPr>
          <t>Gupta, Tanmay (Research):</t>
        </r>
        <r>
          <rPr>
            <sz val="9"/>
            <color indexed="81"/>
            <rFont val="Calibri"/>
            <family val="2"/>
            <scheme val="minor"/>
          </rPr>
          <t xml:space="preserve">
Decrement rates steadily increase as the in-force block ages and interest rates rise, offset by a decline in mortality rates</t>
        </r>
      </text>
    </comment>
    <comment ref="I51" authorId="0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Alt Inv Income high from marking to market private investments. Don't expect to repeat in 2017   </t>
        </r>
      </text>
    </comment>
    <comment ref="K51" authorId="0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Alt Inv Income high from marking to market private investments. Don't expect to repeat in 2017   </t>
        </r>
      </text>
    </comment>
    <comment ref="M51" authorId="0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Alt Inv Income high from marking to market private investments. Don't expect to repeat in 2017   </t>
        </r>
      </text>
    </comment>
    <comment ref="G60" authorId="0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tax benefit of $110mn</t>
        </r>
      </text>
    </comment>
    <comment ref="C62" authorId="0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Liquidity Discount ~ $12mn</t>
        </r>
      </text>
    </comment>
    <comment ref="E62" authorId="0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Liquidity Discount ~ $12mn</t>
        </r>
      </text>
    </comment>
    <comment ref="G62" authorId="0">
      <text>
        <r>
          <rPr>
            <b/>
            <sz val="9"/>
            <color indexed="81"/>
            <rFont val="Calibri"/>
            <family val="2"/>
            <scheme val="minor"/>
          </rPr>
          <t>Gupta, Tanmay (Research):</t>
        </r>
        <r>
          <rPr>
            <sz val="9"/>
            <color indexed="81"/>
            <rFont val="Calibri"/>
            <family val="2"/>
            <scheme val="minor"/>
          </rPr>
          <t xml:space="preserve">
- Q3 2016: increase in liability costs primarily driven by our annual
unlocking of assumptions of $158 million</t>
        </r>
      </text>
    </comment>
    <comment ref="I62" authorId="0">
      <text>
        <r>
          <rPr>
            <b/>
            <sz val="9"/>
            <color indexed="81"/>
            <rFont val="Calibri"/>
            <family val="2"/>
            <scheme val="minor"/>
          </rPr>
          <t>Gupta, Tanmay (Research):</t>
        </r>
        <r>
          <rPr>
            <sz val="9"/>
            <color indexed="81"/>
            <rFont val="Calibri"/>
            <family val="2"/>
            <scheme val="minor"/>
          </rPr>
          <t xml:space="preserve">
- Q4 2016: deferred tax valuation allowance release of $102 million and tax benefit of $11mn 
- Earnings Call: Removal of liquidity discount ~ $28mn in the quarter </t>
        </r>
      </text>
    </comment>
    <comment ref="K62" authorId="0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- $14 million from a bond previously written down
- $40mn of favorable DAC</t>
        </r>
      </text>
    </comment>
    <comment ref="M62" authorId="0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- $25 million of favorable impacts related to improved equity market performance and out of period
actuarial adjustments
- Alt ~ $16mn above top end of range </t>
        </r>
      </text>
    </comment>
    <comment ref="O62" authorId="0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- $20mn Unlocking
- $(13)mn Act Adj
- $(1)mn tax effect of items</t>
        </r>
      </text>
    </comment>
    <comment ref="Q62" authorId="0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- $20mn Unlocking
- $(13)mn Act Adj
- $(1)mn tax effect of items</t>
        </r>
      </text>
    </comment>
    <comment ref="AJ62" authorId="0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- 4Q16 ER: Liquidity discount resulted in $52mn of inv income in 2016.
- Actuarial Assumption Review ~ $158mn
- DTA allowance ~ $102mn in 4Q + $11mn of tax benefit</t>
        </r>
      </text>
    </comment>
    <comment ref="K67" authorId="0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- benefit from higher ST rates.
- $14 million benefit from a previously written down bond or 9bps</t>
        </r>
      </text>
    </comment>
    <comment ref="S67" authorId="0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4Q17: benefit from higher interest rates</t>
        </r>
      </text>
    </comment>
    <comment ref="W67" authorId="0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Dec 2017: Voya deal - we need to redeploy so the initial spread is not going to be as high </t>
        </r>
      </text>
    </comment>
    <comment ref="AN67" authorId="0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4Q17:  expected to be slightly higher than in 2017, benefiting from the deconsolidation of ~$6
billion of German invested assets offset by mid-year onboarding of lower NIER Voya assets</t>
        </r>
      </text>
    </comment>
    <comment ref="AP67" authorId="0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Dec 2017: Voya deal - we need to redeploy so the initial spread is not going to be as high </t>
        </r>
      </text>
    </comment>
    <comment ref="U68" authorId="0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Expect to be down in 2Q due to the markets</t>
        </r>
      </text>
    </comment>
    <comment ref="AN68" authorId="0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4Q17:  Alternative NIER expected to be approximately 10%, with quarterly volatility</t>
        </r>
      </text>
    </comment>
    <comment ref="AL70" authorId="0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1Q17 call: expect to increase vs 2016</t>
        </r>
      </text>
    </comment>
    <comment ref="AP70" authorId="0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1Q17 call: expect to increase vs 2016</t>
        </r>
      </text>
    </comment>
    <comment ref="I71" authorId="0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investment margins should come in between 2% to 3% for 2017 although we don't expect it to be as high as in 2016 which benefited from evaluation adjustment and relatively high bond call income</t>
        </r>
      </text>
    </comment>
    <comment ref="AL71" authorId="0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4Q16 call: investment margins ~ 2% to 3% in 2017. Not as high as 2016</t>
        </r>
      </text>
    </comment>
    <comment ref="AN71" authorId="0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4Q17: Target investment margin ~ 2-3%</t>
        </r>
      </text>
    </comment>
    <comment ref="AP71" authorId="0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4Q16 call: investment margins ~ 2% to 3% in 2017. 
Not as high as 2016</t>
        </r>
      </text>
    </comment>
    <comment ref="O74" authorId="0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3Q17: Excise tax is lumped into other liability costs. Expect ~$50mn in 2017</t>
        </r>
      </text>
    </comment>
    <comment ref="W74" authorId="0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Dec 2017: Voya deal - Going to be some transaction costs</t>
        </r>
      </text>
    </comment>
    <comment ref="AL74" authorId="0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4Q17: other liability costs expected to increase from 2017 which benefited by 15-20 bps primarily due to equity market performance above expectations
3Q17: Excise tax is lumped into other liability costs. Expect ~$50mn in 2017</t>
        </r>
      </text>
    </comment>
    <comment ref="AN74" authorId="0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4Q17: other liability costs expected to increase from 2017 which benefited by 15-20 bps primarily due to equity market performance above expectations
3Q17: Excise tax is lumped into other liability costs. Expect ~$50mn in 2017</t>
        </r>
      </text>
    </comment>
    <comment ref="AP74" authorId="0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3Q17: higher excise tax will show up in oth liab costs, and will add 4-5 points to overall tax rate</t>
        </r>
      </text>
    </comment>
    <comment ref="AR74" authorId="0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3Q17: higher excise tax will show up in oth liab costs, and will add 4-5 points to overall tax rate</t>
        </r>
      </text>
    </comment>
    <comment ref="AT74" authorId="0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3Q17: higher excise tax will show up in oth liab costs, and will add 4-5 points to overall tax rate</t>
        </r>
      </text>
    </comment>
    <comment ref="AV74" authorId="0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3Q17: higher excise tax will show up in oth liab costs, and will add 4-5 points to overall tax rate</t>
        </r>
      </text>
    </comment>
    <comment ref="AL75" authorId="0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4Q16 call: G&amp;A op expenses ~ in line with 2016 as a % of invested assets. A little higher in 1Q17.</t>
        </r>
      </text>
    </comment>
    <comment ref="AN75" authorId="0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4Q17 call: G&amp;A op expenses ~ expected to decrease slightly as a percentage of invested assets</t>
        </r>
      </text>
    </comment>
    <comment ref="A87" authorId="3">
      <text>
        <r>
          <rPr>
            <b/>
            <sz val="9"/>
            <color indexed="81"/>
            <rFont val="Tahoma"/>
            <family val="2"/>
          </rPr>
          <t>Dally, Nigel (Research):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L89" authorId="0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4Q16 Call: Inv Income significantly better in corp &amp; other as the negative volatility from the public equity holdings in 2016 should not recur</t>
        </r>
      </text>
    </comment>
    <comment ref="S99" authorId="0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Jan 2018: Issued $1B of debt for Voya deal at debt cost of 3-4%</t>
        </r>
      </text>
    </comment>
    <comment ref="K100" authorId="0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higher expenses due to change in FV</t>
        </r>
      </text>
    </comment>
    <comment ref="AL106" authorId="0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1Q17 Call: expect operating income to be slightly positive even after 1Q loss</t>
        </r>
      </text>
    </comment>
    <comment ref="AN106" authorId="0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4Q17 Call: expect operating income to be  break even, and will include debt servicing costs</t>
        </r>
      </text>
    </comment>
    <comment ref="G107" authorId="0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Fund VI Equity Performance</t>
        </r>
      </text>
    </comment>
    <comment ref="I107" authorId="0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Fund VI Equity Performance</t>
        </r>
      </text>
    </comment>
    <comment ref="K107" authorId="0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- $11mn loss from change in FV of a fund</t>
        </r>
      </text>
    </comment>
    <comment ref="M107" authorId="0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Alt ~ $8mn above top-end of the range</t>
        </r>
      </text>
    </comment>
    <comment ref="O107" authorId="0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- loss of $17 million, primarily driven by policyholder dividends related to a timing difference </t>
        </r>
      </text>
    </comment>
    <comment ref="Q107" authorId="0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- loss of $17 million, primarily driven by policyholder dividends related to a timing difference </t>
        </r>
      </text>
    </comment>
    <comment ref="AD107" authorId="0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Fund VI Equity Performance</t>
        </r>
      </text>
    </comment>
    <comment ref="AF107" authorId="0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Fund VI Equity Performance</t>
        </r>
      </text>
    </comment>
    <comment ref="AH107" authorId="0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Fund VI Equity Performance</t>
        </r>
      </text>
    </comment>
    <comment ref="AN129" authorId="0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Dec 2017: Voya deal not going to be have a really big impact in 2018 earnings</t>
        </r>
      </text>
    </comment>
    <comment ref="B152" authorId="1">
      <text>
        <r>
          <rPr>
            <b/>
            <sz val="8"/>
            <color indexed="81"/>
            <rFont val="Tahoma"/>
            <family val="2"/>
          </rPr>
          <t>sanclaur:</t>
        </r>
        <r>
          <rPr>
            <sz val="8"/>
            <color indexed="81"/>
            <rFont val="Tahoma"/>
            <family val="2"/>
          </rPr>
          <t xml:space="preserve">
SNL</t>
        </r>
      </text>
    </comment>
    <comment ref="B162" authorId="4">
      <text>
        <r>
          <rPr>
            <b/>
            <sz val="8"/>
            <color indexed="81"/>
            <rFont val="Tahoma"/>
            <family val="2"/>
          </rPr>
          <t>Aerin Lim:</t>
        </r>
        <r>
          <rPr>
            <sz val="8"/>
            <color indexed="81"/>
            <rFont val="Tahoma"/>
            <family val="2"/>
          </rPr>
          <t xml:space="preserve">
Press release</t>
        </r>
      </text>
    </comment>
    <comment ref="AL177" authorId="0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4Q16 Call: Wtd average op diluted share count in 2017 ~ 196-198mn</t>
        </r>
      </text>
    </comment>
    <comment ref="AN177" authorId="0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4Q16 Call: Wtd average op diluted share count in 2017 ~ 196-198mn</t>
        </r>
      </text>
    </comment>
    <comment ref="AP177" authorId="0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4Q16 Call: Wtd average op diluted share count in 2017 ~ 196-198mn</t>
        </r>
      </text>
    </comment>
    <comment ref="I229" authorId="0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ER: currently hold more than $1.5 billion of excess capital</t>
        </r>
      </text>
    </comment>
    <comment ref="K229" authorId="0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ER: currently hold more than $1.5 billion of excess capital</t>
        </r>
      </text>
    </comment>
    <comment ref="M229" authorId="0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ER: currently hold more than $1.5 billion of excess capital</t>
        </r>
      </text>
    </comment>
    <comment ref="O229" authorId="0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ER: currently hold more than $1.5 billion of excess capital</t>
        </r>
      </text>
    </comment>
    <comment ref="Q229" authorId="0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4Q17: Continue to have more than $1.5 billion of excess equity capital</t>
        </r>
      </text>
    </comment>
    <comment ref="W229" authorId="0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3Q18: expected closing of Voya transaction. 
• Expect to maintain more than $1.5 billion of excess capital following the transaction</t>
        </r>
      </text>
    </comment>
    <comment ref="AL229" authorId="0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4Q16 Call: Excess capital of $1.5B asteady state number for a year or 2</t>
        </r>
      </text>
    </comment>
    <comment ref="AN229" authorId="0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4Q16 Call: Excess capital of $1.5B asteady state number for a year or 2</t>
        </r>
      </text>
    </comment>
    <comment ref="AP229" authorId="0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4Q16 Call: Excess capital of $1.5B asteady state number for a year or 2</t>
        </r>
      </text>
    </comment>
    <comment ref="AR239" authorId="0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Dec 2017: 90-100bps from Voya deal by 2020</t>
        </r>
      </text>
    </comment>
    <comment ref="C252" authorId="0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this does not match the reported because of different class shares</t>
        </r>
      </text>
    </comment>
    <comment ref="E252" authorId="0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this does not match the reported because of different class shares</t>
        </r>
      </text>
    </comment>
    <comment ref="G252" authorId="0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this does not match the reported because of different class shares</t>
        </r>
      </text>
    </comment>
    <comment ref="I252" authorId="0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this does not match the reported because of different class shares</t>
        </r>
      </text>
    </comment>
    <comment ref="K252" authorId="0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this does not match the reported because of different class shares</t>
        </r>
      </text>
    </comment>
    <comment ref="M252" authorId="0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this does not match the reported because of different class shares</t>
        </r>
      </text>
    </comment>
    <comment ref="O252" authorId="0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this does not match the reported because of different class shares</t>
        </r>
      </text>
    </comment>
    <comment ref="G261" authorId="0">
      <text>
        <r>
          <rPr>
            <b/>
            <sz val="10"/>
            <color indexed="81"/>
            <rFont val="Calibri"/>
            <family val="2"/>
            <scheme val="minor"/>
          </rPr>
          <t>Gupta, Tanmay (Research):</t>
        </r>
        <r>
          <rPr>
            <sz val="10"/>
            <color indexed="81"/>
            <rFont val="Calibri"/>
            <family val="2"/>
            <scheme val="minor"/>
          </rPr>
          <t xml:space="preserve">
S-1 Filing: 0% from Bermuda, 31% from Germany, and 35% from US</t>
        </r>
      </text>
    </comment>
    <comment ref="I261" authorId="0">
      <text>
        <r>
          <rPr>
            <b/>
            <sz val="10"/>
            <color indexed="81"/>
            <rFont val="Calibri"/>
            <family val="2"/>
            <scheme val="minor"/>
          </rPr>
          <t>Gupta, Tanmay (Research):</t>
        </r>
        <r>
          <rPr>
            <sz val="10"/>
            <color indexed="81"/>
            <rFont val="Calibri"/>
            <family val="2"/>
            <scheme val="minor"/>
          </rPr>
          <t xml:space="preserve">
S-1 Filing: 0% from Bermuda, 31% from Germany, and 35% from US</t>
        </r>
      </text>
    </comment>
    <comment ref="K261" authorId="0">
      <text>
        <r>
          <rPr>
            <b/>
            <sz val="10"/>
            <color indexed="81"/>
            <rFont val="Calibri"/>
            <family val="2"/>
            <scheme val="minor"/>
          </rPr>
          <t>Gupta, Tanmay (Research):</t>
        </r>
        <r>
          <rPr>
            <sz val="10"/>
            <color indexed="81"/>
            <rFont val="Calibri"/>
            <family val="2"/>
            <scheme val="minor"/>
          </rPr>
          <t xml:space="preserve">
S-1 Filing: 0% from Bermuda, 31% from Germany, and 35% from US</t>
        </r>
      </text>
    </comment>
    <comment ref="M261" authorId="0">
      <text>
        <r>
          <rPr>
            <b/>
            <sz val="10"/>
            <color indexed="81"/>
            <rFont val="Calibri"/>
            <family val="2"/>
            <scheme val="minor"/>
          </rPr>
          <t>Gupta, Tanmay (Research):</t>
        </r>
        <r>
          <rPr>
            <sz val="10"/>
            <color indexed="81"/>
            <rFont val="Calibri"/>
            <family val="2"/>
            <scheme val="minor"/>
          </rPr>
          <t xml:space="preserve">
S-1 Filing: 0% from Bermuda, 31% from Germany, and 35% from US</t>
        </r>
      </text>
    </comment>
  </commentList>
</comments>
</file>

<file path=xl/comments2.xml><?xml version="1.0" encoding="utf-8"?>
<comments xmlns="http://schemas.openxmlformats.org/spreadsheetml/2006/main">
  <authors>
    <author>Gupta, Tanmay (Research)</author>
  </authors>
  <commentList>
    <comment ref="B34" authorId="0">
      <text>
        <r>
          <rPr>
            <b/>
            <sz val="9"/>
            <color indexed="81"/>
            <rFont val="Tahoma"/>
            <family val="2"/>
          </rPr>
          <t>Gupta, Tanmay (Research):</t>
        </r>
        <r>
          <rPr>
            <sz val="9"/>
            <color indexed="81"/>
            <rFont val="Tahoma"/>
            <family val="2"/>
          </rPr>
          <t xml:space="preserve">
http://pages.stern.nyu.edu/~adamodar/New_Home_Page/datafile/ratings.htm</t>
        </r>
      </text>
    </comment>
  </commentList>
</comments>
</file>

<file path=xl/sharedStrings.xml><?xml version="1.0" encoding="utf-8"?>
<sst xmlns="http://schemas.openxmlformats.org/spreadsheetml/2006/main" count="1064" uniqueCount="723">
  <si>
    <t>ElementName</t>
  </si>
  <si>
    <t>ScaleOverride</t>
  </si>
  <si>
    <t>UnitOverride</t>
  </si>
  <si>
    <t>ReverseSign</t>
  </si>
  <si>
    <t>IsDrivingAssumption</t>
  </si>
  <si>
    <t>SegmentID</t>
  </si>
  <si>
    <t>1Q16</t>
  </si>
  <si>
    <t>2Q16</t>
  </si>
  <si>
    <t>3Q16</t>
  </si>
  <si>
    <t>4Q16</t>
  </si>
  <si>
    <t>1Q17</t>
  </si>
  <si>
    <t>2Q17</t>
  </si>
  <si>
    <t>3Q17</t>
  </si>
  <si>
    <t>4Q17</t>
  </si>
  <si>
    <t>F2013</t>
  </si>
  <si>
    <t>F2014</t>
  </si>
  <si>
    <t>F2015</t>
  </si>
  <si>
    <t>F2016</t>
  </si>
  <si>
    <t>F2017</t>
  </si>
  <si>
    <t>F2018</t>
  </si>
  <si>
    <t>F2019</t>
  </si>
  <si>
    <t>F2020</t>
  </si>
  <si>
    <t>F2021</t>
  </si>
  <si>
    <t>5-Yr</t>
  </si>
  <si>
    <t>CAGR</t>
  </si>
  <si>
    <t>% Chg</t>
  </si>
  <si>
    <t>2013</t>
  </si>
  <si>
    <t>2014</t>
  </si>
  <si>
    <t>2015</t>
  </si>
  <si>
    <t>2018E</t>
  </si>
  <si>
    <t>2019E</t>
  </si>
  <si>
    <t>2020E</t>
  </si>
  <si>
    <t>2021E</t>
  </si>
  <si>
    <t>(%)</t>
  </si>
  <si>
    <t>Corporate/Other</t>
  </si>
  <si>
    <t>Taxes</t>
  </si>
  <si>
    <t>Op. After-tax Income</t>
  </si>
  <si>
    <t>CHECK</t>
  </si>
  <si>
    <t>Op. EPS</t>
  </si>
  <si>
    <t>EPS For Consensus</t>
  </si>
  <si>
    <t>Pretax Earnings</t>
  </si>
  <si>
    <t>Modelware Adjustment</t>
  </si>
  <si>
    <t>Op. Earnings - For Modelware</t>
  </si>
  <si>
    <t>Other Items</t>
  </si>
  <si>
    <t>RealGainLoss</t>
  </si>
  <si>
    <t>Net Realized Gains and DAC Adj</t>
  </si>
  <si>
    <t>TotalNonOpItems</t>
  </si>
  <si>
    <t>Realized Gains % Invested Assets</t>
  </si>
  <si>
    <t>Realized Gains % Operating Income</t>
  </si>
  <si>
    <t>NetEarns</t>
  </si>
  <si>
    <t>Net Income</t>
  </si>
  <si>
    <t>Net Income - Modelware</t>
  </si>
  <si>
    <t>Dividends</t>
  </si>
  <si>
    <t>DivPS</t>
  </si>
  <si>
    <t>DivPayout</t>
  </si>
  <si>
    <t>Dividend Payout Ratio (%)</t>
  </si>
  <si>
    <t>DivAmt</t>
  </si>
  <si>
    <t>Dividend Amount</t>
  </si>
  <si>
    <t>BUYBACKS/ISSUANCE</t>
  </si>
  <si>
    <t>ShrsIssued</t>
  </si>
  <si>
    <t>Shares Issued</t>
  </si>
  <si>
    <t>Average Price</t>
  </si>
  <si>
    <t>When in Qtr (0%-beg; 100%-end)</t>
  </si>
  <si>
    <t>AmtIssued</t>
  </si>
  <si>
    <t>Amount Raised</t>
  </si>
  <si>
    <t>ShrsRepurch</t>
  </si>
  <si>
    <t>Shares Repurchased</t>
  </si>
  <si>
    <t>Average Price per Share</t>
  </si>
  <si>
    <t>AmtRepurch</t>
  </si>
  <si>
    <t>Amount Repurchased</t>
  </si>
  <si>
    <t>Amount Repurchased - Scenario Analysis</t>
  </si>
  <si>
    <t>Net issuances - FOR MODELWARE PURPOSES</t>
  </si>
  <si>
    <t xml:space="preserve">Dividend &amp; Stock Repurchases </t>
  </si>
  <si>
    <t>Payout Ratios</t>
  </si>
  <si>
    <t xml:space="preserve">  % of Operating Earnings</t>
  </si>
  <si>
    <t xml:space="preserve">  % of Net Income</t>
  </si>
  <si>
    <t>Outstanding Shares (EOP)</t>
  </si>
  <si>
    <t>Average Shares (Basic)</t>
  </si>
  <si>
    <t>Average Shares (Fully Diluted)</t>
  </si>
  <si>
    <t>EARNINGS PER SHARE</t>
  </si>
  <si>
    <t>Operating EPS</t>
  </si>
  <si>
    <t>Gains (Losses) per Share</t>
  </si>
  <si>
    <t>Net_EPS</t>
  </si>
  <si>
    <t xml:space="preserve">Reported EPS </t>
  </si>
  <si>
    <t>FAS 115</t>
  </si>
  <si>
    <t>Debt, Preferred Equity, and Liabilities</t>
  </si>
  <si>
    <t>STDebt</t>
  </si>
  <si>
    <t>Short-Term Debt</t>
  </si>
  <si>
    <t>LTDebt</t>
  </si>
  <si>
    <t>Long-Term Debt</t>
  </si>
  <si>
    <t>Debt</t>
  </si>
  <si>
    <t>PfdStk</t>
  </si>
  <si>
    <t>Preferred Equity</t>
  </si>
  <si>
    <t xml:space="preserve"> Total Debt and Preferred Equity</t>
  </si>
  <si>
    <t>Equity</t>
  </si>
  <si>
    <t>Total Share Capital</t>
  </si>
  <si>
    <t>Retained Earnings</t>
  </si>
  <si>
    <t>Treasury Stock</t>
  </si>
  <si>
    <t>EOP_Eq_incl115</t>
  </si>
  <si>
    <t>Equity EOP Including FAS 115</t>
  </si>
  <si>
    <t>Equity EOP Ex AOCI</t>
  </si>
  <si>
    <t>EOP_Eq_ex115</t>
  </si>
  <si>
    <t>Equity EOP Excluding FAS 115</t>
  </si>
  <si>
    <t>Avg_Eq_incl115</t>
  </si>
  <si>
    <t>Average Equity Incl FAS 115</t>
  </si>
  <si>
    <t>Avg_Eq_ex115</t>
  </si>
  <si>
    <t>Average Equity Excl FAS 115</t>
  </si>
  <si>
    <t>Profitability</t>
  </si>
  <si>
    <t>Op_ROE</t>
  </si>
  <si>
    <t>Operating ROE (Excl FAS 115)(%)</t>
  </si>
  <si>
    <t>Core ROE (Excl FAS 115)(%)</t>
  </si>
  <si>
    <t>Rep_ROE_ex115</t>
  </si>
  <si>
    <t>Reported ROE (Excl FAS 115)(%)</t>
  </si>
  <si>
    <t>Rep_ROE_incl115</t>
  </si>
  <si>
    <t>Reported ROE (Incl FAS 115)(%)</t>
  </si>
  <si>
    <t>Capital Structure Excl FAS 115</t>
  </si>
  <si>
    <t>Total_Cap_ex115</t>
  </si>
  <si>
    <t>Total Capital</t>
  </si>
  <si>
    <t>BVPS_ex115</t>
  </si>
  <si>
    <t>Book Value per Share</t>
  </si>
  <si>
    <t>Capital Structure Incl FAS 115</t>
  </si>
  <si>
    <t>Total_Cap_incl115</t>
  </si>
  <si>
    <t>BVPS_incl115</t>
  </si>
  <si>
    <t>Core Pretax Earnings</t>
  </si>
  <si>
    <t>Athene</t>
  </si>
  <si>
    <t>Retirement Services</t>
  </si>
  <si>
    <t>Core EPS</t>
  </si>
  <si>
    <t>Forecast Only</t>
  </si>
  <si>
    <t>Equity Market Performance (%)</t>
  </si>
  <si>
    <t>Market Performance - Scenario Analysis</t>
  </si>
  <si>
    <t>S&amp;P 500 Quarterly Performance (%)</t>
  </si>
  <si>
    <t>1. RETIREMENT SERVICES</t>
  </si>
  <si>
    <t>2. CORPORATE &amp; OTHER</t>
  </si>
  <si>
    <t>3. CONSOLIDATED EARNINGS</t>
  </si>
  <si>
    <t>4. EPS/DPS CALCULATION</t>
  </si>
  <si>
    <t>5. CAPITAL &amp; OTHER</t>
  </si>
  <si>
    <t>RESERVES</t>
  </si>
  <si>
    <t>Beginning Balance</t>
  </si>
  <si>
    <t>Inorganic (Acquisitions / Block Re)</t>
  </si>
  <si>
    <t>Reserve Liabilities (EOP)</t>
  </si>
  <si>
    <t>Germany Reserve Liabilities</t>
  </si>
  <si>
    <t>Intersegment Eliminations</t>
  </si>
  <si>
    <t>Total Reserves - EOP</t>
  </si>
  <si>
    <t>REVENUES</t>
  </si>
  <si>
    <t>Net Investment Income</t>
  </si>
  <si>
    <t>Fixed Income and Other</t>
  </si>
  <si>
    <t>Alternatives</t>
  </si>
  <si>
    <t>Yields</t>
  </si>
  <si>
    <t>NIER - Fixed Income (%)</t>
  </si>
  <si>
    <t>NIER - Alternatives (%)</t>
  </si>
  <si>
    <t>Total Net Investment Earned Rate (%)</t>
  </si>
  <si>
    <t>EXPENSES</t>
  </si>
  <si>
    <t>Cost of Crediting</t>
  </si>
  <si>
    <t>Operating Expenses</t>
  </si>
  <si>
    <t>Other Liability Costs</t>
  </si>
  <si>
    <t>Total Benefits and Expenses</t>
  </si>
  <si>
    <t>OPERATING EXPENSE ANALYSIS</t>
  </si>
  <si>
    <t>Cost of Crediting (%)</t>
  </si>
  <si>
    <t>Other Liability Costs as % of Total Invested Assets</t>
  </si>
  <si>
    <t>Operating Expense as % of Total Invested Assets</t>
  </si>
  <si>
    <t>Tax Rate</t>
  </si>
  <si>
    <t>After-Tax Earnings</t>
  </si>
  <si>
    <t>Abnormal Items</t>
  </si>
  <si>
    <t>Core After-Tax Earnings</t>
  </si>
  <si>
    <t>Pretax Margin (%)</t>
  </si>
  <si>
    <t>After-tax Margin (%)</t>
  </si>
  <si>
    <t>Average Total Invested Assets</t>
  </si>
  <si>
    <t>Avg Invested Assets (Fixed Income and Other)</t>
  </si>
  <si>
    <t>Avg Invested Assets (Alternatives)</t>
  </si>
  <si>
    <t>Average Account Value on Deferred Annuities</t>
  </si>
  <si>
    <t>Fixed Income &amp; Other/Total Assets (%)</t>
  </si>
  <si>
    <t>Defered Annuities/Total Assets(%)</t>
  </si>
  <si>
    <t>Debt Expenses</t>
  </si>
  <si>
    <t>Other Expenses</t>
  </si>
  <si>
    <t>Change in fair value of derivatives</t>
  </si>
  <si>
    <t>Restructuring Expense</t>
  </si>
  <si>
    <t>Stock compensation expense</t>
  </si>
  <si>
    <t>Provision for income taxes</t>
  </si>
  <si>
    <t>Dividends Per Share</t>
  </si>
  <si>
    <t>Restructuring Expense per Share</t>
  </si>
  <si>
    <t>Change in Fair Value per Share</t>
  </si>
  <si>
    <t>Check</t>
  </si>
  <si>
    <t>Abnormals</t>
  </si>
  <si>
    <t>Excess Capital</t>
  </si>
  <si>
    <t>Operating Earnings per Share</t>
  </si>
  <si>
    <t xml:space="preserve">    Basic</t>
  </si>
  <si>
    <t xml:space="preserve">    Diluted</t>
  </si>
  <si>
    <t>Net Income per Share</t>
  </si>
  <si>
    <t>Book Value per Share - Basic</t>
  </si>
  <si>
    <t>Segment Equity (ex AOCI)</t>
  </si>
  <si>
    <t>Corporate and Other</t>
  </si>
  <si>
    <t xml:space="preserve">  Corporate</t>
  </si>
  <si>
    <t xml:space="preserve">  Germany</t>
  </si>
  <si>
    <t>Retirement ROE (Excl FAS 115)(%)</t>
  </si>
  <si>
    <t>Operating ROE (Excl Excess Capital + FAS 115)(%)</t>
  </si>
  <si>
    <t>Dilutive Shares</t>
  </si>
  <si>
    <t>Surrenders</t>
  </si>
  <si>
    <t>Surrenders/BOP AUM (%)</t>
  </si>
  <si>
    <t>Net Flows</t>
  </si>
  <si>
    <t>Average Invested assets - Germany</t>
  </si>
  <si>
    <t>Avg Reserves - Ex Germany</t>
  </si>
  <si>
    <t>Net Interest Spread (%)</t>
  </si>
  <si>
    <t>Revenues</t>
  </si>
  <si>
    <t>Expenses</t>
  </si>
  <si>
    <t>Adjusted ROE</t>
  </si>
  <si>
    <t>Athene Total Op Earnings</t>
  </si>
  <si>
    <t>Earnings on Excess Capital</t>
  </si>
  <si>
    <t>Adjusted Earnings</t>
  </si>
  <si>
    <t>Less Excess Capital</t>
  </si>
  <si>
    <t>Adjusted Capital</t>
  </si>
  <si>
    <t>Adjusted Return on Capital</t>
  </si>
  <si>
    <t>Debt Costs</t>
  </si>
  <si>
    <t>Valuation</t>
  </si>
  <si>
    <t>Cost of Capital</t>
  </si>
  <si>
    <t>Target Price to Book</t>
  </si>
  <si>
    <t>Year-end Adjusted Capital</t>
  </si>
  <si>
    <t>Value Ongoing Operations</t>
  </si>
  <si>
    <t>Total Value</t>
  </si>
  <si>
    <t>Shares</t>
  </si>
  <si>
    <t>Value/Share</t>
  </si>
  <si>
    <t>Implied P/B Multiple</t>
  </si>
  <si>
    <t>Risk-free Rate (10Y UST)</t>
  </si>
  <si>
    <t>Spread for A-rated debt</t>
  </si>
  <si>
    <t>Int Expense</t>
  </si>
  <si>
    <t>P/Avg Book (ex AOCI)</t>
  </si>
  <si>
    <t>Cost of Capital (ROE/PB)</t>
  </si>
  <si>
    <t>AEL</t>
  </si>
  <si>
    <t>PRI</t>
  </si>
  <si>
    <t>AMP</t>
  </si>
  <si>
    <t>LNC</t>
  </si>
  <si>
    <t>MET</t>
  </si>
  <si>
    <t>PFG</t>
  </si>
  <si>
    <t>PRU</t>
  </si>
  <si>
    <t>VOYA</t>
  </si>
  <si>
    <t>Median</t>
  </si>
  <si>
    <t>Unadjusted Increment</t>
  </si>
  <si>
    <t>Adjusted Cost of Capital</t>
  </si>
  <si>
    <t>Consolidated Operating Earnings Forecast (Page 1/2)</t>
  </si>
  <si>
    <t>($Millions Except Per Share Data)</t>
  </si>
  <si>
    <t>Abnormals - Per Share Impact</t>
  </si>
  <si>
    <t>EPS - For Consensus</t>
  </si>
  <si>
    <t>Reported EPS</t>
  </si>
  <si>
    <t xml:space="preserve">Quarterly income statement ratios are annualized where appropriate    E = Morgan Stanley Research Estimates     NM = Not Meaningful      NA = Not Available       CAGR = Cumulative Average Growth Rate       </t>
  </si>
  <si>
    <t xml:space="preserve"> Chg = Change      EPS = Earnings per Share   FAS = Financial Accounting Standards    ROE = Return on Average Equity   Excl = Excluding         Incl = Including         Exp = Expenses</t>
  </si>
  <si>
    <t>Consolidated Operating Earnings Forecast (Page 2/2)</t>
  </si>
  <si>
    <t>Shares Outstanding</t>
  </si>
  <si>
    <t>Non-Operating Items</t>
  </si>
  <si>
    <t>1Q16/</t>
  </si>
  <si>
    <t>1Q15</t>
  </si>
  <si>
    <t>2Q16/</t>
  </si>
  <si>
    <t>2Q15</t>
  </si>
  <si>
    <t>3Q16/</t>
  </si>
  <si>
    <t>3Q15</t>
  </si>
  <si>
    <t>4Q16E/</t>
  </si>
  <si>
    <t>4Q15</t>
  </si>
  <si>
    <t>Reported Pretax Earnings</t>
  </si>
  <si>
    <t>Reported Pretax Operating Earnings</t>
  </si>
  <si>
    <t>Reported Operating Earnings</t>
  </si>
  <si>
    <t>Core Pretax Operating Earnings</t>
  </si>
  <si>
    <t>Operating Income Tax Expense</t>
  </si>
  <si>
    <t>Operating Earnings, after-tax</t>
  </si>
  <si>
    <t>Fully Diluted Average Shares Out</t>
  </si>
  <si>
    <t>Income Tax Expense</t>
  </si>
  <si>
    <t>Net Income, available for common</t>
  </si>
  <si>
    <t>USD</t>
  </si>
  <si>
    <t>AFL.N,mscalc:closePriceCurrencyCalc</t>
  </si>
  <si>
    <t>AFL.N,mscalc:targetPrice,,,,USD</t>
  </si>
  <si>
    <t>AFL.N,mscalc:sedolCodeCalc</t>
  </si>
  <si>
    <t>2026361</t>
  </si>
  <si>
    <t>79</t>
  </si>
  <si>
    <t>FOR MODELWARE PURPOSES &amp; OTHERS</t>
  </si>
  <si>
    <t>Unrecorded Goodwill</t>
  </si>
  <si>
    <t>stockCompensation</t>
  </si>
  <si>
    <t>unrealizedGainsLossesOnAvailableForSaleSecuritiesGrossOfTaxForFinancialServices</t>
  </si>
  <si>
    <t>Change in DAC</t>
  </si>
  <si>
    <t>Statutory Tax Rate</t>
  </si>
  <si>
    <t>ND</t>
  </si>
  <si>
    <t>Separate Account Assets</t>
  </si>
  <si>
    <t>DPAC</t>
  </si>
  <si>
    <t>Goodwill</t>
  </si>
  <si>
    <t>Assets By Type</t>
  </si>
  <si>
    <t>Investments (Total of segments)</t>
  </si>
  <si>
    <t>Separate Account</t>
  </si>
  <si>
    <t>Deferred Policy Acquisition Costs</t>
  </si>
  <si>
    <t>Other</t>
  </si>
  <si>
    <t xml:space="preserve"> Total Assets </t>
  </si>
  <si>
    <t>Assets (Excl FAS 115)</t>
  </si>
  <si>
    <t>ATH.N</t>
  </si>
  <si>
    <t>Athene Holding Ltd</t>
  </si>
  <si>
    <t>Price Target</t>
  </si>
  <si>
    <t>Currency</t>
  </si>
  <si>
    <t>Current Stock Price</t>
  </si>
  <si>
    <t>Count</t>
  </si>
  <si>
    <t>ATH.N,mscalc:targetPrice,,,,USD</t>
  </si>
  <si>
    <t>ATH.N,mscalc:sedolCodeCalc</t>
  </si>
  <si>
    <t>ATH.N,mscalc:closePriceCurrencyCalc</t>
  </si>
  <si>
    <t>$L$2</t>
  </si>
  <si>
    <t>BZ13MZ1</t>
  </si>
  <si>
    <t>Deferred Tax Asset</t>
  </si>
  <si>
    <t>Reinsurance Recoverable</t>
  </si>
  <si>
    <t xml:space="preserve">Total Liabilities </t>
  </si>
  <si>
    <t>2016</t>
  </si>
  <si>
    <t>Core Operating EPS</t>
  </si>
  <si>
    <t>Total Non-Operating Items</t>
  </si>
  <si>
    <t>Reported Earnings, after-tax</t>
  </si>
  <si>
    <t>Debt Leverage</t>
  </si>
  <si>
    <t>2016 Y/E BVPS</t>
  </si>
  <si>
    <t>P/B Mult. ~ 1.8x</t>
  </si>
  <si>
    <t xml:space="preserve">  Retail</t>
  </si>
  <si>
    <t xml:space="preserve">  Flow Reinsurance</t>
  </si>
  <si>
    <t>Organic Deposits</t>
  </si>
  <si>
    <t>Total Deposits</t>
  </si>
  <si>
    <t>Other Reserve Changes</t>
  </si>
  <si>
    <t>2Q17E/</t>
  </si>
  <si>
    <t>3Q17E/</t>
  </si>
  <si>
    <t>4Q17E/</t>
  </si>
  <si>
    <t>2013/</t>
  </si>
  <si>
    <t>2014/</t>
  </si>
  <si>
    <t>2015/</t>
  </si>
  <si>
    <t>2020E/</t>
  </si>
  <si>
    <t>2021E/</t>
  </si>
  <si>
    <t>Management estimate - 4Q16 call</t>
  </si>
  <si>
    <t>Or 1.5x current BVPS Ex AOCI</t>
  </si>
  <si>
    <t>2018</t>
  </si>
  <si>
    <t>1Q18</t>
  </si>
  <si>
    <t>2Q18</t>
  </si>
  <si>
    <t>3Q18</t>
  </si>
  <si>
    <t>4Q18</t>
  </si>
  <si>
    <t>1Q18E</t>
  </si>
  <si>
    <t>2Q18E</t>
  </si>
  <si>
    <t>3Q18E</t>
  </si>
  <si>
    <t>4Q18E</t>
  </si>
  <si>
    <t>F2022</t>
  </si>
  <si>
    <t>2022E</t>
  </si>
  <si>
    <t>2018 ROE</t>
  </si>
  <si>
    <t>Average 2018 Equity</t>
  </si>
  <si>
    <t>Expected 2018 EPS</t>
  </si>
  <si>
    <t>Expected 2018 Y/E Book Value</t>
  </si>
  <si>
    <t>Assumed 4% Yield</t>
  </si>
  <si>
    <t>Equates to 12.4x 2018 Expected EPS</t>
  </si>
  <si>
    <t>2017</t>
  </si>
  <si>
    <t>65</t>
  </si>
  <si>
    <t xml:space="preserve">  FABN|PRT</t>
  </si>
  <si>
    <t>Implied PE Multiple</t>
  </si>
  <si>
    <t>ROE ex Excess Capital</t>
  </si>
  <si>
    <t xml:space="preserve">  After-tax realized gain/(loss)</t>
  </si>
  <si>
    <t>Common Book value per share</t>
  </si>
  <si>
    <t>Common Equity to Total Assets (%)</t>
  </si>
  <si>
    <t>Shares Used in EPS calculation</t>
  </si>
  <si>
    <t>Research</t>
  </si>
  <si>
    <t>e = Morgan Stanley Research estimates unless otherwise noted</t>
  </si>
  <si>
    <t>Source: Morgan Stanley Research unless otherwise noted</t>
  </si>
  <si>
    <t>Stocks ratings are relative to the analyst's industry coverage universe.</t>
  </si>
  <si>
    <t>1585 Broadway</t>
  </si>
  <si>
    <t>New York, NY  10036-8293</t>
  </si>
  <si>
    <t>United States</t>
  </si>
  <si>
    <t>Tel: +1 (1)212 761 4000</t>
  </si>
  <si>
    <t>Authors: Nigel Dally, Tanmay Gupta, Bob Huang</t>
  </si>
  <si>
    <t>Date: 05 Apr 2018</t>
  </si>
  <si>
    <t>Ticker: ATH.N</t>
  </si>
  <si>
    <t>Stock Rating: Overweight</t>
  </si>
  <si>
    <t>Industry: Insurance - Life/Annuity</t>
  </si>
  <si>
    <t>Industry View: In-Line</t>
  </si>
  <si>
    <t>Price as of 05 Apr 2018: 47.84</t>
  </si>
  <si>
    <t>Target Price: 64</t>
  </si>
  <si>
    <t>Analyst Certification</t>
  </si>
  <si>
    <t>Unless otherwise stated, the individuals listed on the cover page of this report are research analysts.</t>
  </si>
  <si>
    <t>Global Research Conflict Management Policy</t>
  </si>
  <si>
    <t>Important US Regulatory Disclosures on Subject Companies</t>
  </si>
  <si>
    <t>STOCK RATINGS</t>
  </si>
  <si>
    <t>Global Stock Ratings Distribution</t>
  </si>
  <si>
    <t>(as of March 31, 2018)</t>
  </si>
  <si>
    <t>Coverage Universe</t>
  </si>
  <si>
    <t>Investment Banking Clients (IBC)</t>
  </si>
  <si>
    <t>Other Material Investment Services Clients (MISC)</t>
  </si>
  <si>
    <t>Stock Rating Category</t>
  </si>
  <si>
    <t>% of Total</t>
  </si>
  <si>
    <t>% of Total IBC</t>
  </si>
  <si>
    <t>% of Rating Category</t>
  </si>
  <si>
    <t>% of Total Other MISC</t>
  </si>
  <si>
    <t>Overweight/Buy</t>
  </si>
  <si>
    <t>Equal-weight/Hold</t>
  </si>
  <si>
    <t>Not-Rated/Hold</t>
  </si>
  <si>
    <t>Underweight/Sell</t>
  </si>
  <si>
    <t>Total</t>
  </si>
  <si>
    <t>Analyst Stock Ratings</t>
  </si>
  <si>
    <t>Analyst Industry Views</t>
  </si>
  <si>
    <t>.</t>
  </si>
  <si>
    <t>Stock Price, Price Target and Rating History (See Rating Definitions)</t>
  </si>
  <si>
    <t>Important Disclosures for Morgan Stanley Smith Barney LLC Customers</t>
  </si>
  <si>
    <t>Other Important Disclosures</t>
  </si>
  <si>
    <t>Morgan Stanley Research, or any portion thereof may not be reprinted, sold or redistributed without the</t>
  </si>
  <si>
    <t>written consent of Morgan Stanley.</t>
  </si>
  <si>
    <t>The trademarks and service marks contained in Morgan Stanley Research are the property of their</t>
  </si>
  <si>
    <t>respective owners. Third-party data providers make no warranties or representations relating to the</t>
  </si>
  <si>
    <t>accuracy, completeness, or timeliness of the data they provide and shall not have liability for any</t>
  </si>
  <si>
    <t>damages relating to such data. The Global Industry Classification Standard (GICS) was developed by and</t>
  </si>
  <si>
    <t>is the exclusive property of MSCI and S&amp;P.</t>
  </si>
  <si>
    <t>As required by the Capital Markets Board of Turkey, investment information, comments and recommendations</t>
  </si>
  <si>
    <t>stated here, are not within the scope of investment advisory activity. Investment advisory service is</t>
  </si>
  <si>
    <t>provided exclusively to persons based on their risk and income preferences by the authorized firms.</t>
  </si>
  <si>
    <t>Comments and recommendations stated here are general in nature. These opinions may not fit to your</t>
  </si>
  <si>
    <t>financial status, risk and return preferences. For this reason, to make an investment decision by</t>
  </si>
  <si>
    <t>relying solely to this information stated here may not bring about outcomes that fit your expectations.</t>
  </si>
  <si>
    <t>The information in Morgan Stanley Research is being communicated by Morgan Stanley &amp; Co. International</t>
  </si>
  <si>
    <t>plc (QFC Branch), regulated by the Qatar Financial Centre Regulatory Authority (the QFCRA), and is</t>
  </si>
  <si>
    <t>directed at business customers and market counterparties only and is not intended for Retail Customers</t>
  </si>
  <si>
    <t>as defined by the QFCRA.</t>
  </si>
  <si>
    <t>plc (DIFC Branch), regulated by the Dubai Financial Services Authority (the DFSA), and is directed at</t>
  </si>
  <si>
    <t>Professional Clients only, as defined by the DFSA. The financial products or financial services to which</t>
  </si>
  <si>
    <t>this research relates will only be made available to a customer who we are satisfied meets the</t>
  </si>
  <si>
    <t>regulatory criteria to be a Professional Client.</t>
  </si>
  <si>
    <t>Morgan Stanley Research is disseminated in Brazil by Morgan Stanley C.T.V.M. S.A.; in Mexico by Morgan</t>
  </si>
  <si>
    <t>Stanley México, Casa de Bolsa, S.A. de C.V which is regulated by Comision Nacional Bancaria y de</t>
  </si>
  <si>
    <t>Valores. Paseo de los Tamarindos 90, Torre 1, Col. Bosques de las Lomas Floor 29, 05120 Mexico City; in</t>
  </si>
  <si>
    <t>Japan by Morgan Stanley MUFG Securities Co., Ltd. and, for Commodities related research reports only,</t>
  </si>
  <si>
    <t>Morgan Stanley Capital Group Japan Co., Ltd; in Hong Kong by Morgan Stanley Asia Limited (which accepts</t>
  </si>
  <si>
    <t>responsibility for its contents) and by Morgan Stanley Asia International Limited, Hong Kong Branch; in</t>
  </si>
  <si>
    <t>Singapore by Morgan Stanley Asia (Singapore) Pte. (Registration number 199206298Z) and/or Morgan Stanley</t>
  </si>
  <si>
    <t>Asia (Singapore) Securities Pte Ltd (Registration number 200008434H), regulated by the Monetary</t>
  </si>
  <si>
    <t>Authority of Singapore (which accepts legal responsibility for its contents and should be contacted with</t>
  </si>
  <si>
    <t>respect to any matters arising from, or in connection with, Morgan Stanley Research) and by Morgan</t>
  </si>
  <si>
    <t>Stanley Asia International Limited, Singapore Branch (Registration number T11FC0207F); in Australia to</t>
  </si>
  <si>
    <t>"wholesale clients" within the meaning of the Australian Corporations Act by Morgan Stanley Australia</t>
  </si>
  <si>
    <t>Limited A.B.N. 67 003 734 576, holder of Australian financial services license No. 233742, which accepts</t>
  </si>
  <si>
    <t>responsibility for its contents; in Australia to "wholesale clients" and "retail clients" within the</t>
  </si>
  <si>
    <t>meaning of the Australian Corporations Act by Morgan Stanley Wealth Management Australia Pty Ltd (A.B.N.</t>
  </si>
  <si>
    <t>19 009 145 555, holder of Australian financial services license No. 240813, which accepts responsibility</t>
  </si>
  <si>
    <t>for its contents; in Korea by Morgan Stanley &amp; Co International plc, Seoul Branch; in India by Morgan</t>
  </si>
  <si>
    <t>Stanley India Company Private Limited; in Indonesia by PT. Morgan Stanley Sekuritas Indonesia; in Canada</t>
  </si>
  <si>
    <t>by Morgan Stanley Canada Limited, which has approved of and takes responsibility for its contents in</t>
  </si>
  <si>
    <t>Canada; in Germany by Morgan Stanley Bank AG, Frankfurt am Main and Morgan Stanley Private Wealth</t>
  </si>
  <si>
    <t>Management Limited, Niederlassung Deutschland, regulated by Bundesanstalt fuer</t>
  </si>
  <si>
    <t>Finanzdienstleistungsaufsicht (BaFin); in Spain by Morgan Stanley, S.V., S.A., a Morgan Stanley group</t>
  </si>
  <si>
    <t>company, which is supervised by the Spanish Securities Markets Commission (CNMV) and states that Morgan</t>
  </si>
  <si>
    <t>Stanley Research has been written and distributed in accordance with the rules of conduct applicable to</t>
  </si>
  <si>
    <t>financial research as established under Spanish regulations; in the US by Morgan Stanley &amp; Co. LLC,</t>
  </si>
  <si>
    <t>which accepts responsibility for its contents. Morgan Stanley &amp; Co. International plc, authorized by the</t>
  </si>
  <si>
    <t>Prudential Regulatory Authority and regulated by the Financial Conduct Authority and the Prudential</t>
  </si>
  <si>
    <t>Regulatory Authority, disseminates in the UK research that it has prepared, and approves solely for the</t>
  </si>
  <si>
    <t>purposes of section 21 of the Financial Services and Markets Act 2000, research which has been prepared</t>
  </si>
  <si>
    <t>by any of its affiliates. RMB Morgan Stanley Proprietary Limited is a member of the JSE Limited and</t>
  </si>
  <si>
    <t>regulated by the Financial Services Board in South Africa. RMB Morgan Stanley Proprietary Limited is a</t>
  </si>
  <si>
    <t>joint venture owned equally by Morgan Stanley International Holdings Inc. and RMB Investment Advisory</t>
  </si>
  <si>
    <t>(Proprietary) Limited, which is wholly owned by FirstRand Limited. The information in Morgan Stanley</t>
  </si>
  <si>
    <t>Research is being disseminated by Morgan Stanley Saudi Arabia, regulated by the Capital Market Authority</t>
  </si>
  <si>
    <t>in the Kingdom of Saudi Arabia , and is directed at Sophisticated investors only.</t>
  </si>
  <si>
    <t>Morgan Stanley is not incorporated under PRC law and the research in relation to this report is</t>
  </si>
  <si>
    <t>conducted outside the PRC. Morgan Stanley Research does not constitute an offer to sell or the</t>
  </si>
  <si>
    <t>solicitation of an offer to buy any securities in the PRC. PRC investors shall have the relevant</t>
  </si>
  <si>
    <t>qualifications to invest in such securities and shall be responsible for obtaining all relevant</t>
  </si>
  <si>
    <t>approvals, licenses, verifications and/or registrations from the relevant governmental authorities</t>
  </si>
  <si>
    <t>themselves. Neither this report nor any part of it is intended as, or shall constitute, provision of any</t>
  </si>
  <si>
    <t>consultancy or advisory service of securities investment as defined under PRC law. Such information is</t>
  </si>
  <si>
    <t>provided for your reference only.</t>
  </si>
  <si>
    <t>To our readers based in Taiwan or trading in Taiwan securities/instruments: Information on</t>
  </si>
  <si>
    <t>securities/instruments that trade in Taiwan is distributed by Morgan Stanley Taiwan Limited ("MSTL").</t>
  </si>
  <si>
    <t>Such information is for your reference only. The reader should independently evaluate the investment</t>
  </si>
  <si>
    <t>risks and is solely responsible for their investment decisions. Morgan Stanley Research may not be</t>
  </si>
  <si>
    <t>distributed to the public media or quoted or used by the public media without the express written</t>
  </si>
  <si>
    <t>consent of Morgan Stanley. Any non-customer reader within the scope of Article 7-1 of the Taiwan Stock</t>
  </si>
  <si>
    <t>Exchange Recommendation Regulations accessing and/or receiving Morgan Stanley Research is not permitted</t>
  </si>
  <si>
    <t>to provide Morgan Stanley Research to any third party (including but not limited to related parties,</t>
  </si>
  <si>
    <t>affiliated companies and any other third parties) or engage in any activities regarding Morgan Stanley</t>
  </si>
  <si>
    <t>Research which may create or give the appearance of creating a conflict of interest. Information on</t>
  </si>
  <si>
    <t>securities/instruments that do not trade in Taiwan is for informational purposes only and is not to be</t>
  </si>
  <si>
    <t>construed as a recommendation or a solicitation to trade in such securities/instruments. MSTL may not</t>
  </si>
  <si>
    <t>execute transactions for clients in these securities/instruments.</t>
  </si>
  <si>
    <t>Morgan Stanley may make investment decisions that are inconsistent with the recommendations or views in</t>
  </si>
  <si>
    <t>this report.</t>
  </si>
  <si>
    <t>Morgan Stanley Research personnel may participate in company events such as site visits and are</t>
  </si>
  <si>
    <t>generally prohibited from accepting payment by the company of associated expenses unless pre-approved by</t>
  </si>
  <si>
    <t>authorized members of Research management.</t>
  </si>
  <si>
    <t>With the exception of information regarding Morgan Stanley, Morgan Stanley Research is based on public</t>
  </si>
  <si>
    <t>information. Morgan Stanley makes every effort to use reliable, comprehensive information, but we make</t>
  </si>
  <si>
    <t>no representation that it is accurate or complete. We have no obligation to tell you when opinions or</t>
  </si>
  <si>
    <t>information in Morgan Stanley Research change apart from when we intend to discontinue equity research</t>
  </si>
  <si>
    <t>coverage of a subject company. Facts and views presented in Morgan Stanley Research have not been</t>
  </si>
  <si>
    <t>reviewed by, and may not reflect information known to, professionals in other Morgan Stanley business</t>
  </si>
  <si>
    <t>areas, including investment banking personnel.</t>
  </si>
  <si>
    <t>The "Important US Regulatory Disclosures on Subject Companies" section in Morgan Stanley Research lists</t>
  </si>
  <si>
    <t>all companies mentioned where Morgan Stanley owns 1% or more of a class of common equity securities of</t>
  </si>
  <si>
    <t>the companies. For all other companies mentioned in Morgan Stanley Research, Morgan Stanley may have an</t>
  </si>
  <si>
    <t>investment of less than 1% in securities/instruments or derivatives of securities/instruments of</t>
  </si>
  <si>
    <t>companies and may trade them in ways different from those discussed in Morgan Stanley Research.</t>
  </si>
  <si>
    <t>Employees of Morgan Stanley not involved in the preparation of Morgan Stanley Research may have</t>
  </si>
  <si>
    <t>investments in securities/instruments or derivatives of securities/instruments of companies mentioned</t>
  </si>
  <si>
    <t>and may trade them in ways different from those discussed in Morgan Stanley Research. Derivatives may be</t>
  </si>
  <si>
    <t>issued by Morgan Stanley or associated persons.</t>
  </si>
  <si>
    <t>The fixed income research analysts, strategists or economists principally responsible for the</t>
  </si>
  <si>
    <t>preparation of Morgan Stanley Research have received compensation based upon various factors, including</t>
  </si>
  <si>
    <t>quality, accuracy and value of research, firm profitability or revenues (which include fixed income</t>
  </si>
  <si>
    <t>trading and capital markets profitability or revenues), client feedback and competitive factors. Fixed</t>
  </si>
  <si>
    <t>Income Research analysts', strategists' or economists' compensation is not linked to investment banking</t>
  </si>
  <si>
    <t>or capital markets transactions performed by Morgan Stanley or the profitability or revenues of</t>
  </si>
  <si>
    <t>particular trading desks.</t>
  </si>
  <si>
    <t>Morgan Stanley Research does not provide individually tailored investment advice. Morgan Stanley</t>
  </si>
  <si>
    <t>Research has been prepared without regard to the circumstances and objectives of those who receive it.</t>
  </si>
  <si>
    <t>Morgan Stanley recommends that investors independently evaluate particular investments and strategies,</t>
  </si>
  <si>
    <t>and encourages investors to seek the advice of a financial adviser. The appropriateness of an investment</t>
  </si>
  <si>
    <t>or strategy will depend on an investor's circumstances and objectives. The securities, instruments, or</t>
  </si>
  <si>
    <t>strategies discussed in Morgan Stanley Research may not be suitable for all investors, and certain</t>
  </si>
  <si>
    <t>investors may not be eligible to purchase or participate in some or all of them. Morgan Stanley Research</t>
  </si>
  <si>
    <t>is not an offer to buy or sell or the solicitation of an offer to buy or sell any security/instrument or</t>
  </si>
  <si>
    <t>to participate in any particular trading strategy. The value of and income from your investments may</t>
  </si>
  <si>
    <t>vary because of changes in interest rates, foreign exchange rates, default rates, prepayment rates,</t>
  </si>
  <si>
    <t>securities/instruments prices, market indexes, operational or financial conditions of companies or other</t>
  </si>
  <si>
    <t>factors. There may be time limitations on the exercise of options or other rights in</t>
  </si>
  <si>
    <t>securities/instruments transactions. Past performance is not necessarily a guide to future performance.</t>
  </si>
  <si>
    <t>Estimates of future performance are based on assumptions that may not be realized. If provided, and</t>
  </si>
  <si>
    <t>unless otherwise stated, the closing price on the cover page is that of the primary exchange for the</t>
  </si>
  <si>
    <t>subject company's securities/instruments.</t>
  </si>
  <si>
    <t>If you do not agree to our Terms of Use and/or if you do not wish to provide your consent to Morgan</t>
  </si>
  <si>
    <t>Stanley processing your personal data or using cookies please do not access our research.</t>
  </si>
  <si>
    <t>Any access and/or use of Morgan Stanley Research is subject to Morgan Stanley's Terms of Use</t>
  </si>
  <si>
    <t>(http://www.morganstanley.com/terms.html). By accessing and/or using Morgan Stanley Research, you are</t>
  </si>
  <si>
    <t>indicating that you have read and agree to be bound by our Terms of Use</t>
  </si>
  <si>
    <t>(http://www.morganstanley.com/terms.html). In addition you consent to Morgan Stanley processing your</t>
  </si>
  <si>
    <t>personal data and using cookies in accordance with our Privacy Policy and our Global Cookies Policy</t>
  </si>
  <si>
    <t>(http://www.morganstanley.com/privacy_pledge.html), including for the purposes of setting your</t>
  </si>
  <si>
    <t>preferences and to collect readership data so that we can deliver better and more personalized service</t>
  </si>
  <si>
    <t>and products to you. To find out more information about how Morgan Stanley processes personal data, how</t>
  </si>
  <si>
    <t>we use cookies and how to reject cookies see our Privacy Policy and our Global Cookies Policy</t>
  </si>
  <si>
    <t>(http://www.morganstanley.com/privacy_pledge.html).</t>
  </si>
  <si>
    <t>Morgan Stanley Research is provided to our clients through our proprietary research portal on Matrix and</t>
  </si>
  <si>
    <t>also distributed electronically by Morgan Stanley to clients. Certain, but not all, Morgan Stanley</t>
  </si>
  <si>
    <t>Research products are also made available to clients through third-party vendors or redistributed to</t>
  </si>
  <si>
    <t>clients through alternate electronic means as a convenience. For access to all available Morgan Stanley</t>
  </si>
  <si>
    <t>Research, please contact your sales representative or go to Matrix at</t>
  </si>
  <si>
    <t>http://www.morganstanley.com/matrix.</t>
  </si>
  <si>
    <t>Morgan Stanley produces an equity research product called a "Tactical Idea." Views contained in a</t>
  </si>
  <si>
    <t>"Tactical Idea" on a particular stock may be contrary to the recommendations or views expressed in</t>
  </si>
  <si>
    <t>research on the same stock. This may be the result of differing time horizons, methodologies, market</t>
  </si>
  <si>
    <t>events, or other factors. For all research available on a particular stock, please contact your sales</t>
  </si>
  <si>
    <t>representative or go to Matrix at http://www.morganstanley.com/matrix.</t>
  </si>
  <si>
    <t>Morgan Stanley is not acting as a municipal advisor and the opinions or views contained herein are not</t>
  </si>
  <si>
    <t>intended to be, and do not constitute, advice within the meaning of Section 975 of the Dodd-Frank Wall</t>
  </si>
  <si>
    <t>Street Reform and Consumer Protection Act.</t>
  </si>
  <si>
    <t>Morgan Stanley Research policy is to update research reports as and when the Research Analyst and</t>
  </si>
  <si>
    <t>Research Management deem appropriate, based on developments with the issuer, the sector, or the market</t>
  </si>
  <si>
    <t>that may have a material impact on the research views or opinions stated therein. In addition, certain</t>
  </si>
  <si>
    <t>Research publications are intended to be updated on a regular periodic basis</t>
  </si>
  <si>
    <t>(weekly/monthly/quarterly/annual) and will ordinarily be updated with that frequency, unless the</t>
  </si>
  <si>
    <t>Research Analyst and Research Management determine that a different publication schedule is appropriate</t>
  </si>
  <si>
    <t>based on current conditions.</t>
  </si>
  <si>
    <t>Morgan Stanley &amp; Co. International PLC and its affiliates have a significant financial interest in the</t>
  </si>
  <si>
    <t>debt securities of Athene Holding Ltd.</t>
  </si>
  <si>
    <t>Each Morgan Stanley Equity Research report is reviewed and approved on behalf of Morgan Stanley Smith</t>
  </si>
  <si>
    <t>Barney LLC. This review and approval is conducted by the same person who reviews the Equity Research</t>
  </si>
  <si>
    <t>report on behalf of Morgan Stanley. This could create a conflict of interest.</t>
  </si>
  <si>
    <t>Important disclosures regarding the relationship between the companies that are the subject of Morgan</t>
  </si>
  <si>
    <t>Stanley Research and Morgan Stanley Smith Barney LLC or Morgan Stanley or any of their affiliates, are</t>
  </si>
  <si>
    <t>available on the Morgan Stanley Wealth Management disclosure website at</t>
  </si>
  <si>
    <t>www.morganstanley.com/online/researchdisclosures. For Morgan Stanley specific disclosures, you may refer</t>
  </si>
  <si>
    <t>to www.morganstanley.com/researchdisclosures.</t>
  </si>
  <si>
    <t>Benchmarks for each region are as follows: North America - S&amp;P 500; Latin America - relevant MSCI</t>
  </si>
  <si>
    <t>country index or MSCI Latin America Index; Europe - MSCI Europe; Japan - TOPIX; Asia - relevant MSCI</t>
  </si>
  <si>
    <t>country index or MSCI sub-regional index or MSCI AC Asia Pacific ex Japan Index.</t>
  </si>
  <si>
    <t>Cautious (C): The analyst views the performance of his or her industry coverage universe over the next</t>
  </si>
  <si>
    <t>12-18 months with caution vs. the relevant broad market benchmark, as indicated below.</t>
  </si>
  <si>
    <t>In-Line (I): The analyst expects the performance of his or her industry coverage universe over the next</t>
  </si>
  <si>
    <t>12-18 months to be in line with the relevant broad market benchmark, as indicated below.</t>
  </si>
  <si>
    <t>Attractive (A): The analyst expects the performance of his or her industry coverage universe over the</t>
  </si>
  <si>
    <t>next 12-18 months to be attractive vs. the relevant broad market benchmark, as indicated below.</t>
  </si>
  <si>
    <t>Unless otherwise specified, the time frame for price targets included in Morgan Stanley Research is 12</t>
  </si>
  <si>
    <t>to 18 months.</t>
  </si>
  <si>
    <t>Underweight (U). The stock's total return is expected to be below the average total return of the</t>
  </si>
  <si>
    <t>analyst's industry (or industry team's) coverage universe, on a risk-adjusted basis, over the next 12-18</t>
  </si>
  <si>
    <t>months.</t>
  </si>
  <si>
    <t>Not-Rated (NR). Currently the analyst does not have adequate conviction about the stock's total return</t>
  </si>
  <si>
    <t>relative to the average total return of the analyst's industry (or industry team's) coverage universe,</t>
  </si>
  <si>
    <t>on a risk-adjusted basis, over the next 12-18 months.</t>
  </si>
  <si>
    <t>Equal-weight (E). The stock's total return is expected to be in line with the average total return of</t>
  </si>
  <si>
    <t>the analyst's industry (or industry team's) coverage universe, on a risk-adjusted basis, over the next</t>
  </si>
  <si>
    <t>12-18 months.</t>
  </si>
  <si>
    <t>Overweight (O). The stock's total return is expected to exceed the average total return of the analyst's</t>
  </si>
  <si>
    <t>industry (or industry team's) coverage universe, on a risk-adjusted basis, over the next 12-18 months.</t>
  </si>
  <si>
    <t>Data include common stock and ADRs currently assigned ratings. Investment Banking Clients are companies</t>
  </si>
  <si>
    <t>from whom Morgan Stanley received investment banking compensation in the last 12 months. Due to rounding</t>
  </si>
  <si>
    <t>off of decimals, the percentages provided in the "% of total" column may not add up to exactly 100</t>
  </si>
  <si>
    <t>percent.</t>
  </si>
  <si>
    <t>For disclosure purposes only (in accordance with NASD and NYSE requirements), we include the category</t>
  </si>
  <si>
    <t>headings of Buy, Hold, and Sell alongside our ratings of Overweight, Equal-weight, Not-Rated and</t>
  </si>
  <si>
    <t>Underweight. Morgan Stanley does not assign ratings of Buy, Hold or Sell to the stocks we cover.</t>
  </si>
  <si>
    <t>Overweight, Equal-weight, Not-Rated and Underweight are not the equivalent of buy, hold, and sell but</t>
  </si>
  <si>
    <t>represent recommended relative weightings (see definitions below). To satisfy regulatory requirements,</t>
  </si>
  <si>
    <t>we correspond Overweight, our most positive stock rating, with a buy recommendation; we correspond</t>
  </si>
  <si>
    <t>Equal-weight and Not-Rated to hold and Underweight to sell recommendations, respectively.</t>
  </si>
  <si>
    <t>The Stock Ratings described below apply to Morgan Stanley's Fundamental Equity Research and do not apply</t>
  </si>
  <si>
    <t>to Debt Research produced by the Firm.</t>
  </si>
  <si>
    <t>Morgan Stanley uses a relative rating system using terms such as Overweight, Equal-weight, Not-Rated or</t>
  </si>
  <si>
    <t>Underweight (see definitions below). Morgan Stanley does not assign ratings of Buy, Hold or Sell to the</t>
  </si>
  <si>
    <t>stocks we cover. Overweight, Equal-weight, Not-Rated and Underweight are not the equivalent of buy, hold</t>
  </si>
  <si>
    <t>and sell. Investors should carefully read the definitions of all ratings used in Morgan Stanley</t>
  </si>
  <si>
    <t>Research. In addition, since Morgan Stanley Research contains more complete information concerning the</t>
  </si>
  <si>
    <t>analyst's views, investors should carefully read Morgan Stanley Research, in its entirety, and not infer</t>
  </si>
  <si>
    <t>the contents from the rating alone. In any case, ratings (or research) should not be used or relied upon</t>
  </si>
  <si>
    <t>as investment advice. An investor's decision to buy or sell a stock should depend on individual</t>
  </si>
  <si>
    <t>circumstances (such as the investor's existing holdings) and other considerations.</t>
  </si>
  <si>
    <t>Certain disclosures listed above are also for compliance with applicable regulations in non-US</t>
  </si>
  <si>
    <t>jurisdictions.</t>
  </si>
  <si>
    <t>Morgan Stanley and its affiliates do business that relates to companies/instruments covered in Morgan</t>
  </si>
  <si>
    <t>Stanley Research, including market making, providing liquidity, fund management, commercial banking,</t>
  </si>
  <si>
    <t>extension of credit, investment services and investment banking. Morgan Stanley sells to and buys from</t>
  </si>
  <si>
    <t>customers the securities/instruments of companies covered in Morgan Stanley Research on a principal</t>
  </si>
  <si>
    <t>basis. Morgan Stanley may have a position in the debt of the Company or instruments discussed in this</t>
  </si>
  <si>
    <t>report. Morgan Stanley trades or may trade as principal in the debt securities (or in related</t>
  </si>
  <si>
    <t>derivatives) that are the subject of the debt research report.</t>
  </si>
  <si>
    <t>The equity research analysts or strategists principally responsible for the preparation of Morgan</t>
  </si>
  <si>
    <t>Stanley Research have received compensation based upon various factors, including quality of research,</t>
  </si>
  <si>
    <t>investor client feedback, stock picking, competitive factors, firm revenues and overall investment</t>
  </si>
  <si>
    <t>banking revenues. Equity Research analysts' or strategists' compensation is not linked to investment</t>
  </si>
  <si>
    <t>banking or capital markets transactions performed by Morgan Stanley or the profitability or revenues of</t>
  </si>
  <si>
    <t>Within the last 12 months, an affiliate of Morgan Stanley &amp; Co. LLC has received compensation for</t>
  </si>
  <si>
    <t>products and services other than investment banking services from Athene Holding Ltd.</t>
  </si>
  <si>
    <t>Within the last 12 months, Morgan Stanley has either provided or is providing non-investment banking,</t>
  </si>
  <si>
    <t>securities-related services to and/or in the past has entered into an agreement to provide services or</t>
  </si>
  <si>
    <t>has a client relationship with the following company: Athene Holding Ltd.</t>
  </si>
  <si>
    <t>Within the last 12 months, Morgan Stanley has provided or is providing investment banking services to,</t>
  </si>
  <si>
    <t>or has an investment banking client relationship with, the following company: Athene Holding Ltd.</t>
  </si>
  <si>
    <t>Within the last 12 months, Morgan Stanley has received compensation for products and services other than</t>
  </si>
  <si>
    <t>investment banking services from Athene Holding Ltd.</t>
  </si>
  <si>
    <t>In the next 3 months, Morgan Stanley expects to receive or intends to seek compensation for investment</t>
  </si>
  <si>
    <t>banking services from Athene Holding Ltd.</t>
  </si>
  <si>
    <t>Within the last 12 months, Morgan Stanley has received compensation for investment banking services from</t>
  </si>
  <si>
    <t>Athene Holding Ltd.</t>
  </si>
  <si>
    <t>Within the last 12 months, Morgan Stanley managed or co-managed a public offering (or 144A offering) of</t>
  </si>
  <si>
    <t>securities of Athene Holding Ltd.</t>
  </si>
  <si>
    <t>Morgan Stanley Research has been published in accordance with our conflict management policy, which is</t>
  </si>
  <si>
    <t>available at www.morganstanley.com/institutional/research/conflictpolicies.</t>
  </si>
  <si>
    <t>The following analysts hereby certify that their views about the companies and their securities</t>
  </si>
  <si>
    <t>discussed in this report are accurately expressed and that they have not received and will not receive</t>
  </si>
  <si>
    <t>direct or indirect compensation in exchange for expressing specific recommendations or views in this</t>
  </si>
  <si>
    <t>report: Nigel Dally.</t>
  </si>
  <si>
    <t>For valuation methodology and risks associated with any recommendation, rating or price target</t>
  </si>
  <si>
    <t>referenced in this research report, please contact the Client Support Team as follows: US/Canada +1 800</t>
  </si>
  <si>
    <t>303-2495; Hong Kong +852 2848-5999; Latin America +1 718 754-5444 (U.S.); London +44 (0)20-7425-8169;</t>
  </si>
  <si>
    <t>Singapore +65 6834-6860; Sydney +61 (0)2-9770-1505; Tokyo +81 (0)3-6836-9000. Alternatively you may</t>
  </si>
  <si>
    <t>contact your investment representative or Morgan Stanley Research at 1585 Broadway, (Attention: Research</t>
  </si>
  <si>
    <t>Management), New York, NY 10036 USA.</t>
  </si>
  <si>
    <t>For important disclosures, stock price charts and equity rating histories regarding companies that are</t>
  </si>
  <si>
    <t>the subject of this report, please see the Morgan Stanley Research Disclosure Website at</t>
  </si>
  <si>
    <t>www.morganstanley.com/researchdisclosures, or contact your investment representative or Morgan Stanley</t>
  </si>
  <si>
    <t>Research at 1585 Broadway, (Attention: Research Management), New York, NY, 10036 USA.</t>
  </si>
  <si>
    <t>The information and opinions in Morgan Stanley Research were prepared by Morgan Stanley &amp; Co. LLC,</t>
  </si>
  <si>
    <t>and/or Morgan Stanley C.T.V.M. S.A., and/or Morgan Stanley Mexico, Casa de Bolsa, S.A. de C.V., and/or</t>
  </si>
  <si>
    <t>Morgan Stanley Canada Limited. As used in this disclosure section, "Morgan Stanley" includes Morgan</t>
  </si>
  <si>
    <t>Stanley &amp; Co. LLC, Morgan Stanley C.T.V.M. S.A., Morgan Stanley Mexico, Casa de Bolsa, S.A. de C.V.,</t>
  </si>
  <si>
    <t>Morgan Stanley Canada Limited and their affiliates as necessary.</t>
  </si>
  <si>
    <t>Morgan Stanley does and seeks to do business with companies covered in Morgan Stanley Research. As a</t>
  </si>
  <si>
    <t>result, investors should be aware that the firm may have a conflict of interest that could affect the</t>
  </si>
  <si>
    <t>objectivity of Morgan Stanley Research. Investors should consider Morgan Stanley Research as only a</t>
  </si>
  <si>
    <t>single factor in making their investment decision.</t>
  </si>
  <si>
    <t>© Copyright 2018 Morgan Stanley</t>
  </si>
  <si>
    <t>MacroVersion</t>
  </si>
  <si>
    <t>PublishDate</t>
  </si>
  <si>
    <t>Discipline</t>
  </si>
  <si>
    <t>ResearchTopic</t>
  </si>
  <si>
    <t>Company</t>
  </si>
  <si>
    <t>DocType</t>
  </si>
  <si>
    <t>Model</t>
  </si>
  <si>
    <t>SubjectCode</t>
  </si>
  <si>
    <t>Description</t>
  </si>
  <si>
    <t>KeepVersions</t>
  </si>
  <si>
    <t>All</t>
  </si>
  <si>
    <t>Rating</t>
  </si>
  <si>
    <t>CurrYearTotalRevenue*</t>
  </si>
  <si>
    <t>CurrYearEPS*</t>
  </si>
  <si>
    <t>NextYearTotalRevenue*</t>
  </si>
  <si>
    <t>NextYearEPS*</t>
  </si>
  <si>
    <t>FollowingYearTotalRevenue*</t>
  </si>
  <si>
    <t>FollowingYearEPS*</t>
  </si>
  <si>
    <t>5YearGrowthRate</t>
  </si>
  <si>
    <t>UpdateReason</t>
  </si>
  <si>
    <t>Authors</t>
  </si>
  <si>
    <t>Tickers</t>
  </si>
  <si>
    <t>CUSIP</t>
  </si>
  <si>
    <t>RIC</t>
  </si>
  <si>
    <t>SEDOL</t>
  </si>
  <si>
    <t xml:space="preserve"> </t>
  </si>
  <si>
    <t>PathName</t>
  </si>
  <si>
    <t>Distribution</t>
  </si>
  <si>
    <t>Deleted</t>
  </si>
  <si>
    <t>NO</t>
  </si>
  <si>
    <t>EmailAlert</t>
  </si>
  <si>
    <t>YES</t>
  </si>
  <si>
    <t>CurrQtrEPS</t>
  </si>
  <si>
    <t>CYEnd</t>
  </si>
  <si>
    <t>CQEnd</t>
  </si>
  <si>
    <t>CurrYearTotalRevenueActual*</t>
  </si>
  <si>
    <t>NextYearTotalRevenueActual*</t>
  </si>
  <si>
    <t>FollowingYearTotalRevenueActual*</t>
  </si>
  <si>
    <t>Multiplier</t>
  </si>
  <si>
    <t>TemplateRegion</t>
  </si>
  <si>
    <t>ObjectType</t>
  </si>
  <si>
    <t>excel</t>
  </si>
  <si>
    <t>LanguageCode</t>
  </si>
  <si>
    <t>en-US</t>
  </si>
  <si>
    <t>SubmitterUserId</t>
  </si>
  <si>
    <t>IndustryId</t>
  </si>
  <si>
    <t>TickerRegion</t>
  </si>
  <si>
    <t>AdditionalInstructions</t>
  </si>
  <si>
    <t>*Estimated</t>
  </si>
  <si>
    <t>Overweight / In-Line</t>
  </si>
  <si>
    <t>Quarterly Update</t>
  </si>
  <si>
    <t>NorthAmerica</t>
  </si>
  <si>
    <t>huangb</t>
  </si>
  <si>
    <t>MSA10131, MSA86LPP, MSA35NYJ</t>
  </si>
  <si>
    <t>03674B104</t>
  </si>
  <si>
    <t>L:\INSURANC\life&amp;annuities\models\Models to Submit\pre1Q18\CopyOf-ATH.xlsm</t>
  </si>
  <si>
    <t>[BRO MSA]</t>
  </si>
  <si>
    <t>[PRODUCT MODEL]</t>
  </si>
  <si>
    <t>[EMAIL_ALERT YES]</t>
  </si>
  <si>
    <t>[DISCIPLINE Company]</t>
  </si>
  <si>
    <t>[SUPPRESSED NO]</t>
  </si>
  <si>
    <t>[DOCDAT 2018-04-05]</t>
  </si>
  <si>
    <t>[DOCTIME 08:37]</t>
  </si>
  <si>
    <t>[PSYM ATH.N(S&amp;P) (None)]</t>
  </si>
  <si>
    <t>[COU 1]</t>
  </si>
  <si>
    <t>[ANA MSA86LPP MSA35NYJ]</t>
  </si>
  <si>
    <t>[HL ATH.N Model]</t>
  </si>
  <si>
    <t>[IND INSURN]</t>
  </si>
  <si>
    <t>[PANA MSA10131]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</si>
</sst>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5">
    <numFmt numFmtId="5" formatCode="&quot;$&quot;#,##0_);\(&quot;$&quot;#,##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#,##0_)"/>
    <numFmt numFmtId="165" formatCode="_(* #,##0_);_(* \(#,##0\);_(* &quot;-&quot;??_);_(@_)"/>
    <numFmt numFmtId="166" formatCode="#,##0.0_);\(#,##0.0\)"/>
    <numFmt numFmtId="167" formatCode="#,##0.00_)"/>
    <numFmt numFmtId="168" formatCode="#,##0.0_)"/>
    <numFmt numFmtId="169" formatCode="_(* #,##0.0_);_(* \(#,##0.0\);_(* &quot;-&quot;??_);_(@_)"/>
    <numFmt numFmtId="170" formatCode="_(* #,##0.0_);_(* \(#,##0.0\);_(* &quot;-&quot;_);_(@_)"/>
    <numFmt numFmtId="171" formatCode="_(* #,##0.0_);_(* \(#,##0.0\);_(* &quot;-&quot;?_);_(@_)"/>
    <numFmt numFmtId="172" formatCode="_(* #,##0.00_);_(* \(#,##0.00\);_(* &quot;-&quot;_);_(@_)"/>
    <numFmt numFmtId="173" formatCode="_(* #,##0.0000_);_(* \(#,##0.0000\);_(* &quot;-&quot;??_);_(@_)"/>
    <numFmt numFmtId="174" formatCode="#,##0.0_);\(#,##0.0\);0.0_);@_)"/>
    <numFmt numFmtId="175" formatCode="#,##0.0_);\(#,##0.0\);\-_);@_)"/>
    <numFmt numFmtId="176" formatCode="#,##0.0_)\x;\(#,##0.0\)\x;0.0_)\x;@_)_x"/>
    <numFmt numFmtId="177" formatCode="#,##0.0_);\(#,##0.0\);#,##0.0_);@_)"/>
    <numFmt numFmtId="178" formatCode="&quot;$&quot;_(#,##0.00_);&quot;$&quot;\(#,##0.00\);&quot;$&quot;_(0.00_);@_)"/>
    <numFmt numFmtId="179" formatCode="#,##0.00_);\(#,##0.00\);0.00_);@_)"/>
    <numFmt numFmtId="180" formatCode="\€_(#,##0.00_);\€\(#,##0.00\);\€_(0.00_);@_)"/>
    <numFmt numFmtId="181" formatCode="0.0_)\%;\(0.0\)\%;0.0_)\%;@_)_%"/>
    <numFmt numFmtId="182" formatCode="#,##0.0_)_%;\(#,##0.0\)_%;0.0_)_%;@_)_%"/>
    <numFmt numFmtId="183" formatCode="#,##0.0_)_x;\(#,##0.0\)_x;0.0_)_x;@_)_x"/>
    <numFmt numFmtId="184" formatCode="0.000%"/>
    <numFmt numFmtId="185" formatCode="#,##0_);\(#,##0\);0_);@_)"/>
    <numFmt numFmtId="186" formatCode="#,##0.0"/>
    <numFmt numFmtId="187" formatCode="0.0"/>
    <numFmt numFmtId="195" formatCode="&quot;$&quot;#,##0.0;\(&quot;$&quot;#,##0.0\)"/>
    <numFmt numFmtId="196" formatCode="\£\ #,##0_);[Red]\(\£\ #,##0\)"/>
    <numFmt numFmtId="197" formatCode="\¥\ #,##0_);[Red]\(\¥\ #,##0\)"/>
    <numFmt numFmtId="198" formatCode="_(* #,##0.0_);_(* \(#,##0.0\);_(* &quot;--- &quot;_)"/>
    <numFmt numFmtId="199" formatCode="0.0_)"/>
    <numFmt numFmtId="200" formatCode="\•\ \ @"/>
    <numFmt numFmtId="201" formatCode="0.000_)"/>
    <numFmt numFmtId="202" formatCode="\ \ _•\–\ \ \ \ @"/>
    <numFmt numFmtId="203" formatCode="_([$€-2]* #,##0.00_);_([$€-2]* \(#,##0.00\);_([$€-2]* &quot;-&quot;??_)"/>
    <numFmt numFmtId="204" formatCode="0.0%"/>
    <numFmt numFmtId="205" formatCode="mmm\-yyyy"/>
    <numFmt numFmtId="206" formatCode="#\ #/#"/>
    <numFmt numFmtId="207" formatCode="0.00000000000000000%"/>
    <numFmt numFmtId="208" formatCode="0.00\ "/>
    <numFmt numFmtId="209" formatCode="#,###"/>
    <numFmt numFmtId="215" formatCode="mm/dd/yy\ hh:mm"/>
  </numFmts>
  <fonts count="12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0"/>
      <name val="Calibri"/>
      <family val="2"/>
    </font>
    <font>
      <b/>
      <sz val="10"/>
      <color rgb="FFCC0000"/>
      <name val="Calibri"/>
      <family val="2"/>
    </font>
    <font>
      <sz val="10"/>
      <color rgb="FFCC0000"/>
      <name val="Calibri"/>
      <family val="2"/>
    </font>
    <font>
      <i/>
      <sz val="10"/>
      <color rgb="FFCC0000"/>
      <name val="Calibri"/>
      <family val="2"/>
    </font>
    <font>
      <i/>
      <sz val="10"/>
      <color theme="0"/>
      <name val="Calibri"/>
      <family val="2"/>
    </font>
    <font>
      <b/>
      <sz val="10"/>
      <color theme="0"/>
      <name val="Calibri"/>
      <family val="2"/>
    </font>
    <font>
      <u/>
      <sz val="10"/>
      <color indexed="12"/>
      <name val="Arial"/>
      <family val="2"/>
    </font>
    <font>
      <b/>
      <i/>
      <sz val="10"/>
      <color theme="0"/>
      <name val="Calibri"/>
      <family val="2"/>
    </font>
    <font>
      <b/>
      <i/>
      <sz val="10"/>
      <color rgb="FF7F7F7F"/>
      <name val="Calibri"/>
      <family val="2"/>
    </font>
    <font>
      <i/>
      <sz val="10"/>
      <color rgb="FF7F7F7F"/>
      <name val="Calibri"/>
      <family val="2"/>
    </font>
    <font>
      <sz val="10"/>
      <color rgb="FF7F7F7F"/>
      <name val="Calibri"/>
      <family val="2"/>
    </font>
    <font>
      <i/>
      <sz val="10"/>
      <name val="Calibri"/>
      <family val="2"/>
    </font>
    <font>
      <sz val="10"/>
      <name val="Calibri"/>
      <family val="2"/>
    </font>
    <font>
      <b/>
      <sz val="10"/>
      <name val="Calibri"/>
      <family val="2"/>
    </font>
    <font>
      <sz val="10"/>
      <color indexed="12"/>
      <name val="Calibri"/>
      <family val="2"/>
    </font>
    <font>
      <sz val="10"/>
      <color indexed="10"/>
      <name val="Calibri"/>
      <family val="2"/>
    </font>
    <font>
      <sz val="10"/>
      <color indexed="8"/>
      <name val="Calibri"/>
      <family val="2"/>
    </font>
    <font>
      <b/>
      <sz val="10"/>
      <color indexed="8"/>
      <name val="Calibri"/>
      <family val="2"/>
    </font>
    <font>
      <sz val="12"/>
      <name val="Helv"/>
    </font>
    <font>
      <sz val="10"/>
      <color indexed="9"/>
      <name val="Calibri"/>
      <family val="2"/>
    </font>
    <font>
      <b/>
      <sz val="10"/>
      <color indexed="9"/>
      <name val="Calibri"/>
      <family val="2"/>
    </font>
    <font>
      <i/>
      <sz val="10"/>
      <color indexed="9"/>
      <name val="Calibri"/>
      <family val="2"/>
    </font>
    <font>
      <i/>
      <sz val="10"/>
      <color indexed="8"/>
      <name val="Calibri"/>
      <family val="2"/>
    </font>
    <font>
      <sz val="10"/>
      <color indexed="16"/>
      <name val="Calibri"/>
      <family val="2"/>
    </font>
    <font>
      <i/>
      <sz val="10"/>
      <color indexed="16"/>
      <name val="Calibri"/>
      <family val="2"/>
    </font>
    <font>
      <b/>
      <i/>
      <sz val="10"/>
      <color indexed="8"/>
      <name val="Calibri"/>
      <family val="2"/>
    </font>
    <font>
      <b/>
      <sz val="10"/>
      <color indexed="10"/>
      <name val="Calibri"/>
      <family val="2"/>
    </font>
    <font>
      <sz val="10"/>
      <color theme="4"/>
      <name val="Calibri"/>
      <family val="2"/>
    </font>
    <font>
      <b/>
      <sz val="10"/>
      <color theme="4"/>
      <name val="Calibri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9"/>
      <color indexed="81"/>
      <name val="Calibri"/>
      <family val="2"/>
      <scheme val="minor"/>
    </font>
    <font>
      <sz val="9"/>
      <color indexed="81"/>
      <name val="Calibri"/>
      <family val="2"/>
      <scheme val="minor"/>
    </font>
    <font>
      <sz val="10"/>
      <color rgb="FFC00000"/>
      <name val="Calibri"/>
      <family val="2"/>
    </font>
    <font>
      <b/>
      <sz val="18"/>
      <color rgb="FF2270AB"/>
      <name val="Calibri"/>
      <family val="2"/>
    </font>
    <font>
      <sz val="10"/>
      <color rgb="FF2270AB"/>
      <name val="Calibri"/>
      <family val="2"/>
    </font>
    <font>
      <i/>
      <sz val="10"/>
      <color rgb="FF2270AB"/>
      <name val="Calibri"/>
      <family val="2"/>
    </font>
    <font>
      <sz val="8"/>
      <color rgb="FF2270AB"/>
      <name val="Calibri"/>
      <family val="2"/>
    </font>
    <font>
      <b/>
      <sz val="10"/>
      <color rgb="FF00355F"/>
      <name val="Arial"/>
      <family val="2"/>
    </font>
    <font>
      <b/>
      <u val="singleAccounting"/>
      <sz val="10"/>
      <color rgb="FF00355F"/>
      <name val="Arial"/>
      <family val="2"/>
    </font>
    <font>
      <b/>
      <sz val="22"/>
      <color rgb="FF00355F"/>
      <name val="Arial"/>
      <family val="2"/>
    </font>
    <font>
      <b/>
      <sz val="16"/>
      <color rgb="FF00355F"/>
      <name val="Arial"/>
      <family val="2"/>
    </font>
    <font>
      <sz val="9"/>
      <color indexed="8"/>
      <name val="Arial"/>
      <family val="2"/>
    </font>
    <font>
      <i/>
      <sz val="10"/>
      <color rgb="FFC00000"/>
      <name val="Calibri"/>
      <family val="2"/>
    </font>
    <font>
      <b/>
      <sz val="10"/>
      <color rgb="FFC00000"/>
      <name val="Calibri"/>
      <family val="2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i/>
      <sz val="10"/>
      <name val="Calibri"/>
      <family val="2"/>
      <scheme val="minor"/>
    </font>
    <font>
      <i/>
      <sz val="8"/>
      <name val="Calibri"/>
      <family val="2"/>
      <scheme val="minor"/>
    </font>
    <font>
      <b/>
      <sz val="10"/>
      <name val="Calibri"/>
      <family val="2"/>
      <scheme val="minor"/>
    </font>
    <font>
      <i/>
      <sz val="10"/>
      <color indexed="10"/>
      <name val="Calibri"/>
      <family val="2"/>
      <scheme val="minor"/>
    </font>
    <font>
      <sz val="10"/>
      <color indexed="12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i/>
      <sz val="10"/>
      <color indexed="9"/>
      <name val="Calibri"/>
      <family val="2"/>
      <scheme val="minor"/>
    </font>
    <font>
      <i/>
      <sz val="10"/>
      <color indexed="9"/>
      <name val="Calibri"/>
      <family val="2"/>
      <scheme val="minor"/>
    </font>
    <font>
      <sz val="10"/>
      <color indexed="9"/>
      <name val="Calibri"/>
      <family val="2"/>
      <scheme val="minor"/>
    </font>
    <font>
      <b/>
      <i/>
      <sz val="10"/>
      <name val="Calibri"/>
      <family val="2"/>
      <scheme val="minor"/>
    </font>
    <font>
      <b/>
      <sz val="10"/>
      <color rgb="FF2270AB"/>
      <name val="Calibri"/>
      <family val="2"/>
      <scheme val="minor"/>
    </font>
    <font>
      <b/>
      <sz val="16"/>
      <color rgb="FF2270AB"/>
      <name val="Calibri"/>
      <family val="2"/>
      <scheme val="minor"/>
    </font>
    <font>
      <sz val="10"/>
      <name val="Arial"/>
      <family val="2"/>
    </font>
    <font>
      <sz val="10"/>
      <name val="MS Sans Serif"/>
      <family val="2"/>
    </font>
    <font>
      <b/>
      <sz val="10"/>
      <color indexed="8"/>
      <name val="Times New Roman"/>
      <family val="1"/>
    </font>
    <font>
      <sz val="9"/>
      <name val="Times New Roman"/>
      <family val="1"/>
    </font>
    <font>
      <sz val="10"/>
      <color indexed="8"/>
      <name val="Times New Roman"/>
      <family val="1"/>
    </font>
    <font>
      <i/>
      <sz val="8"/>
      <name val="Times New Roman"/>
      <family val="1"/>
    </font>
    <font>
      <b/>
      <sz val="11"/>
      <color theme="1"/>
      <name val="Calibri"/>
      <family val="2"/>
      <scheme val="minor"/>
    </font>
    <font>
      <sz val="8"/>
      <name val="Arial"/>
      <family val="2"/>
    </font>
    <font>
      <b/>
      <sz val="9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sz val="8"/>
      <color indexed="12"/>
      <name val="Arial"/>
      <family val="2"/>
    </font>
    <font>
      <b/>
      <sz val="10"/>
      <color indexed="81"/>
      <name val="Calibri"/>
      <family val="2"/>
      <scheme val="minor"/>
    </font>
    <font>
      <sz val="10"/>
      <color indexed="81"/>
      <name val="Calibri"/>
      <family val="2"/>
      <scheme val="minor"/>
    </font>
    <font>
      <sz val="8"/>
      <name val="Tms Rmn"/>
    </font>
    <font>
      <sz val="8"/>
      <name val="Times New Roman"/>
      <family val="1"/>
    </font>
    <font>
      <sz val="10"/>
      <name val="Times New Roman"/>
      <family val="1"/>
    </font>
    <font>
      <sz val="12"/>
      <name val="Times New Roman"/>
      <family val="1"/>
    </font>
    <font>
      <sz val="11"/>
      <name val="‚l‚r ƒSƒVƒbƒN"/>
      <charset val="128"/>
    </font>
    <font>
      <sz val="12"/>
      <name val="Arial MT"/>
    </font>
    <font>
      <sz val="9"/>
      <color indexed="12"/>
      <name val="Times New Roman"/>
      <family val="1"/>
    </font>
    <font>
      <sz val="8"/>
      <color indexed="13"/>
      <name val="Arial"/>
      <family val="2"/>
    </font>
    <font>
      <sz val="8"/>
      <color indexed="12"/>
      <name val="Tms Rmn"/>
      <family val="1"/>
    </font>
    <font>
      <b/>
      <sz val="12"/>
      <name val="Times New Roman"/>
      <family val="1"/>
    </font>
    <font>
      <sz val="10"/>
      <color indexed="18"/>
      <name val="Times New Roman"/>
      <family val="1"/>
    </font>
    <font>
      <sz val="11"/>
      <name val="Tms Rmn"/>
      <family val="1"/>
    </font>
    <font>
      <i/>
      <sz val="9"/>
      <name val="MS Sans Serif"/>
      <family val="2"/>
    </font>
    <font>
      <b/>
      <sz val="11"/>
      <name val="Times New Roman"/>
      <family val="1"/>
    </font>
    <font>
      <sz val="10"/>
      <color indexed="8"/>
      <name val="Arial"/>
      <family val="2"/>
    </font>
    <font>
      <sz val="10"/>
      <color indexed="2"/>
      <name val="Tahoma"/>
      <family val="2"/>
    </font>
    <font>
      <sz val="14"/>
      <color indexed="32"/>
      <name val="Times New Roman"/>
      <family val="1"/>
    </font>
    <font>
      <b/>
      <sz val="10"/>
      <color indexed="0"/>
      <name val="Tahoma"/>
      <family val="2"/>
    </font>
    <font>
      <i/>
      <sz val="8"/>
      <name val="Tms Rmn"/>
    </font>
    <font>
      <b/>
      <sz val="10"/>
      <color indexed="17"/>
      <name val="Helvetica"/>
      <family val="2"/>
    </font>
    <font>
      <sz val="9"/>
      <name val="Futura UBS Bk"/>
      <family val="2"/>
    </font>
    <font>
      <b/>
      <sz val="11"/>
      <name val="Tms Rmn"/>
    </font>
    <font>
      <b/>
      <sz val="12"/>
      <name val="Tms Rmn"/>
    </font>
    <font>
      <sz val="10"/>
      <name val="Tahoma"/>
      <family val="2"/>
    </font>
    <font>
      <sz val="10"/>
      <color indexed="12"/>
      <name val="Times New Roman"/>
      <family val="1"/>
    </font>
    <font>
      <b/>
      <i/>
      <sz val="10"/>
      <color indexed="4"/>
      <name val="Tahoma"/>
      <family val="2"/>
    </font>
    <font>
      <sz val="10"/>
      <color indexed="4"/>
      <name val="Tahoma"/>
      <family val="2"/>
    </font>
    <font>
      <sz val="7"/>
      <name val="Small Fonts"/>
      <family val="2"/>
    </font>
    <font>
      <sz val="10"/>
      <name val="Tms Rmn"/>
    </font>
    <font>
      <sz val="9"/>
      <name val="Tms Rmn"/>
    </font>
    <font>
      <b/>
      <sz val="13.5"/>
      <name val="MS Sans Serif"/>
      <family val="2"/>
    </font>
    <font>
      <sz val="8"/>
      <color indexed="32"/>
      <name val="Arial"/>
      <family val="2"/>
    </font>
    <font>
      <sz val="8"/>
      <color indexed="12"/>
      <name val="Helvetica"/>
      <family val="2"/>
    </font>
    <font>
      <u/>
      <sz val="8"/>
      <name val="Tms Rmn"/>
    </font>
    <font>
      <u/>
      <sz val="8"/>
      <name val="Times New Roman"/>
      <family val="1"/>
    </font>
    <font>
      <sz val="8"/>
      <color indexed="16"/>
      <name val="Helv"/>
    </font>
    <font>
      <b/>
      <sz val="10"/>
      <color rgb="FF2270AB"/>
      <name val="Calibri"/>
      <family val="2"/>
    </font>
    <font>
      <b/>
      <i/>
      <sz val="10"/>
      <color rgb="FF2270AB"/>
      <name val="Calibri"/>
      <family val="2"/>
    </font>
    <font>
      <b/>
      <i/>
      <sz val="10"/>
      <name val="Calibri"/>
      <family val="2"/>
    </font>
    <font>
      <b/>
      <sz val="10"/>
      <color indexed="12"/>
      <name val="Calibri"/>
      <family val="2"/>
    </font>
    <font>
      <b/>
      <sz val="10"/>
      <color theme="1"/>
      <name val="Calibri"/>
      <family val="2"/>
    </font>
    <font>
      <sz val="10"/>
      <color theme="3" tint="0.39997558519241921"/>
      <name val="Calibri"/>
      <family val="2"/>
    </font>
    <font>
      <sz val="10"/>
      <color theme="1"/>
      <name val="Calibri"/>
      <family val="2"/>
    </font>
    <font>
      <i/>
      <sz val="10"/>
      <color theme="1"/>
      <name val="Calibri"/>
      <family val="2"/>
    </font>
    <font>
      <sz val="10"/>
      <name val="Courier"/>
      <family val="3"/>
    </font>
    <font>
      <sz val="11"/>
      <name val="Arial"/>
      <family val="2"/>
    </font>
    <font>
      <i/>
      <sz val="10"/>
      <name val="Arial"/>
      <family val="2"/>
    </font>
    <font>
      <sz val="10"/>
      <color rgb="FF000000"/>
      <name val="Arial"/>
      <family val="2"/>
    </font>
    <font>
      <b/>
      <sz val="12"/>
      <color rgb="FF00008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C6D9E2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2270AB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48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65"/>
        <bgColor indexed="64"/>
      </patternFill>
    </fill>
  </fills>
  <borders count="4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rgb="FF00355F"/>
      </bottom>
      <diagonal/>
    </border>
    <border>
      <left/>
      <right/>
      <top style="hair">
        <color rgb="FF4D4D4D"/>
      </top>
      <bottom style="hair">
        <color rgb="FF4D4D4D"/>
      </bottom>
      <diagonal/>
    </border>
    <border>
      <left/>
      <right/>
      <top/>
      <bottom style="thin">
        <color rgb="FFBFBFBF"/>
      </bottom>
      <diagonal/>
    </border>
    <border>
      <left/>
      <right/>
      <top/>
      <bottom style="thin">
        <color theme="0" tint="-0.249977111117893"/>
      </bottom>
      <diagonal/>
    </border>
    <border>
      <left/>
      <right/>
      <top/>
      <bottom style="thin">
        <color indexed="8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/>
      <top/>
      <bottom style="thin">
        <color indexed="64"/>
      </bottom>
      <diagonal/>
    </border>
    <border>
      <left/>
      <right style="thin">
        <color theme="0" tint="-0.14999847407452621"/>
      </right>
      <top/>
      <bottom style="thin">
        <color indexed="64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/>
      <top/>
      <bottom style="thin">
        <color rgb="FFBFBFBF"/>
      </bottom>
      <diagonal/>
    </border>
    <border>
      <left/>
      <right style="thin">
        <color theme="0" tint="-0.14996795556505021"/>
      </right>
      <top/>
      <bottom style="thin">
        <color rgb="FFBFBFBF"/>
      </bottom>
      <diagonal/>
    </border>
    <border>
      <left style="thin">
        <color theme="0" tint="-0.14996795556505021"/>
      </left>
      <right/>
      <top style="thin">
        <color theme="0" tint="-0.14999847407452621"/>
      </top>
      <bottom/>
      <diagonal/>
    </border>
    <border>
      <left/>
      <right style="thin">
        <color theme="0" tint="-0.14996795556505021"/>
      </right>
      <top style="thin">
        <color theme="0" tint="-0.14999847407452621"/>
      </top>
      <bottom/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</borders>
  <cellStyleXfs count="15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8" fillId="0" borderId="0" applyNumberFormat="0" applyFill="0" applyBorder="0" applyAlignment="0" applyProtection="0">
      <alignment vertical="top"/>
      <protection locked="0"/>
    </xf>
    <xf numFmtId="0" fontId="20" fillId="0" borderId="0"/>
    <xf numFmtId="0" fontId="42" fillId="0" borderId="0" applyNumberFormat="0" applyFill="0" applyBorder="0" applyProtection="0">
      <alignment horizontal="left"/>
    </xf>
    <xf numFmtId="0" fontId="43" fillId="0" borderId="0" applyNumberFormat="0" applyFill="0" applyBorder="0" applyProtection="0">
      <alignment horizontal="centerContinuous"/>
    </xf>
    <xf numFmtId="0" fontId="42" fillId="0" borderId="2" applyNumberFormat="0" applyFill="0" applyProtection="0">
      <alignment horizontal="center"/>
    </xf>
    <xf numFmtId="0" fontId="44" fillId="0" borderId="0" applyNumberFormat="0" applyFill="0" applyBorder="0" applyAlignment="0" applyProtection="0"/>
    <xf numFmtId="0" fontId="1" fillId="10" borderId="0" applyNumberFormat="0" applyFont="0" applyAlignment="0" applyProtection="0"/>
    <xf numFmtId="176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9" fontId="1" fillId="0" borderId="0" applyFont="0" applyFill="0" applyBorder="0" applyAlignment="0" applyProtection="0"/>
    <xf numFmtId="180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0" fontId="45" fillId="0" borderId="0" applyNumberFormat="0" applyFill="0" applyBorder="0" applyProtection="0">
      <alignment vertical="top"/>
    </xf>
    <xf numFmtId="182" fontId="1" fillId="0" borderId="0" applyFont="0" applyFill="0" applyBorder="0" applyAlignment="0" applyProtection="0"/>
    <xf numFmtId="0" fontId="46" fillId="0" borderId="3" applyNumberFormat="0" applyFill="0" applyAlignment="0" applyProtection="0"/>
    <xf numFmtId="183" fontId="1" fillId="0" borderId="0" applyFont="0" applyFill="0" applyBorder="0" applyAlignment="0" applyProtection="0"/>
    <xf numFmtId="0" fontId="65" fillId="0" borderId="0"/>
    <xf numFmtId="0" fontId="65" fillId="10" borderId="0" applyNumberFormat="0" applyFont="0" applyBorder="0" applyAlignment="0" applyProtection="0"/>
    <xf numFmtId="44" fontId="65" fillId="0" borderId="0" applyFont="0" applyFill="0" applyBorder="0" applyAlignment="0" applyProtection="0"/>
    <xf numFmtId="0" fontId="65" fillId="0" borderId="0"/>
    <xf numFmtId="0" fontId="66" fillId="0" borderId="0"/>
    <xf numFmtId="0" fontId="66" fillId="0" borderId="0"/>
    <xf numFmtId="0" fontId="67" fillId="0" borderId="0"/>
    <xf numFmtId="0" fontId="68" fillId="0" borderId="0">
      <alignment vertical="center"/>
    </xf>
    <xf numFmtId="0" fontId="69" fillId="0" borderId="0"/>
    <xf numFmtId="0" fontId="69" fillId="0" borderId="6">
      <alignment horizontal="centerContinuous"/>
    </xf>
    <xf numFmtId="0" fontId="70" fillId="0" borderId="6"/>
    <xf numFmtId="43" fontId="65" fillId="0" borderId="0" applyFont="0" applyFill="0" applyBorder="0" applyAlignment="0" applyProtection="0"/>
    <xf numFmtId="9" fontId="76" fillId="0" borderId="0">
      <alignment horizontal="right"/>
    </xf>
    <xf numFmtId="0" fontId="79" fillId="0" borderId="0">
      <alignment horizontal="right"/>
    </xf>
    <xf numFmtId="195" fontId="80" fillId="0" borderId="0">
      <alignment horizontal="right"/>
    </xf>
    <xf numFmtId="0" fontId="79" fillId="0" borderId="0">
      <alignment horizontal="right"/>
    </xf>
    <xf numFmtId="0" fontId="65" fillId="0" borderId="0"/>
    <xf numFmtId="0" fontId="65" fillId="0" borderId="0" applyFont="0" applyFill="0" applyBorder="0" applyAlignment="0" applyProtection="0"/>
    <xf numFmtId="0" fontId="65" fillId="0" borderId="0"/>
    <xf numFmtId="0" fontId="65" fillId="0" borderId="0"/>
    <xf numFmtId="44" fontId="81" fillId="0" borderId="0" applyFont="0" applyFill="0" applyBorder="0" applyAlignment="0" applyProtection="0"/>
    <xf numFmtId="42" fontId="81" fillId="0" borderId="0" applyFont="0" applyFill="0" applyBorder="0" applyAlignment="0" applyProtection="0"/>
    <xf numFmtId="196" fontId="82" fillId="0" borderId="0" applyFont="0" applyFill="0" applyBorder="0" applyAlignment="0" applyProtection="0"/>
    <xf numFmtId="0" fontId="80" fillId="0" borderId="0">
      <alignment horizontal="right"/>
    </xf>
    <xf numFmtId="197" fontId="82" fillId="0" borderId="0" applyFont="0" applyFill="0" applyBorder="0" applyAlignment="0" applyProtection="0"/>
    <xf numFmtId="0" fontId="65" fillId="0" borderId="0"/>
    <xf numFmtId="0" fontId="83" fillId="0" borderId="0"/>
    <xf numFmtId="0" fontId="81" fillId="0" borderId="0"/>
    <xf numFmtId="0" fontId="66" fillId="0" borderId="0"/>
    <xf numFmtId="9" fontId="65" fillId="0" borderId="0"/>
    <xf numFmtId="0" fontId="66" fillId="0" borderId="0"/>
    <xf numFmtId="0" fontId="66" fillId="0" borderId="0"/>
    <xf numFmtId="0" fontId="66" fillId="0" borderId="0"/>
    <xf numFmtId="2" fontId="66" fillId="0" borderId="0"/>
    <xf numFmtId="10" fontId="66" fillId="0" borderId="0"/>
    <xf numFmtId="166" fontId="65" fillId="0" borderId="0"/>
    <xf numFmtId="37" fontId="84" fillId="0" borderId="0">
      <alignment horizontal="center"/>
    </xf>
    <xf numFmtId="198" fontId="85" fillId="0" borderId="0" applyFont="0" applyFill="0" applyBorder="0" applyAlignment="0" applyProtection="0"/>
    <xf numFmtId="1" fontId="86" fillId="15" borderId="10" applyNumberFormat="0" applyBorder="0" applyAlignment="0">
      <alignment horizontal="center" vertical="top" wrapText="1"/>
      <protection hidden="1"/>
    </xf>
    <xf numFmtId="0" fontId="87" fillId="0" borderId="0" applyNumberFormat="0" applyFill="0" applyBorder="0" applyAlignment="0" applyProtection="0"/>
    <xf numFmtId="0" fontId="88" fillId="0" borderId="1" applyNumberFormat="0" applyFill="0" applyAlignment="0" applyProtection="0"/>
    <xf numFmtId="199" fontId="80" fillId="0" borderId="11" applyNumberFormat="0" applyFont="0" applyFill="0" applyAlignment="0" applyProtection="0"/>
    <xf numFmtId="200" fontId="82" fillId="0" borderId="0" applyFont="0" applyFill="0" applyBorder="0" applyAlignment="0" applyProtection="0"/>
    <xf numFmtId="0" fontId="72" fillId="0" borderId="0"/>
    <xf numFmtId="0" fontId="79" fillId="0" borderId="0">
      <alignment horizontal="right"/>
    </xf>
    <xf numFmtId="1" fontId="89" fillId="0" borderId="0"/>
    <xf numFmtId="187" fontId="75" fillId="0" borderId="0" applyBorder="0">
      <alignment horizontal="right"/>
    </xf>
    <xf numFmtId="187" fontId="75" fillId="0" borderId="8" applyAlignment="0">
      <alignment horizontal="right"/>
    </xf>
    <xf numFmtId="201" fontId="90" fillId="0" borderId="0"/>
    <xf numFmtId="201" fontId="90" fillId="0" borderId="0"/>
    <xf numFmtId="201" fontId="90" fillId="0" borderId="0"/>
    <xf numFmtId="201" fontId="90" fillId="0" borderId="0"/>
    <xf numFmtId="201" fontId="90" fillId="0" borderId="0"/>
    <xf numFmtId="201" fontId="90" fillId="0" borderId="0"/>
    <xf numFmtId="201" fontId="90" fillId="0" borderId="0"/>
    <xf numFmtId="201" fontId="90" fillId="0" borderId="0"/>
    <xf numFmtId="0" fontId="91" fillId="0" borderId="0"/>
    <xf numFmtId="0" fontId="92" fillId="0" borderId="0" applyFill="0" applyBorder="0">
      <alignment horizontal="left"/>
    </xf>
    <xf numFmtId="44" fontId="65" fillId="0" borderId="0" applyFont="0" applyFill="0" applyBorder="0" applyAlignment="0" applyProtection="0"/>
    <xf numFmtId="44" fontId="65" fillId="0" borderId="0" applyFont="0" applyFill="0" applyBorder="0" applyAlignment="0" applyProtection="0"/>
    <xf numFmtId="202" fontId="82" fillId="0" borderId="0" applyFont="0" applyFill="0" applyBorder="0" applyAlignment="0" applyProtection="0"/>
    <xf numFmtId="14" fontId="80" fillId="0" borderId="0">
      <alignment horizontal="right"/>
    </xf>
    <xf numFmtId="0" fontId="81" fillId="0" borderId="0"/>
    <xf numFmtId="0" fontId="80" fillId="0" borderId="0"/>
    <xf numFmtId="0" fontId="80" fillId="0" borderId="0">
      <alignment horizontal="right"/>
    </xf>
    <xf numFmtId="0" fontId="80" fillId="0" borderId="0">
      <alignment horizontal="right"/>
    </xf>
    <xf numFmtId="0" fontId="80" fillId="0" borderId="0">
      <alignment horizontal="right"/>
    </xf>
    <xf numFmtId="0" fontId="79" fillId="0" borderId="0"/>
    <xf numFmtId="5" fontId="93" fillId="0" borderId="0" applyFont="0" applyFill="0" applyBorder="0" applyAlignment="0" applyProtection="0">
      <protection locked="0"/>
    </xf>
    <xf numFmtId="203" fontId="65" fillId="0" borderId="0" applyFont="0" applyFill="0" applyBorder="0" applyAlignment="0" applyProtection="0"/>
    <xf numFmtId="0" fontId="94" fillId="0" borderId="0"/>
    <xf numFmtId="1" fontId="95" fillId="16" borderId="12" applyNumberFormat="0" applyBorder="0" applyAlignment="0">
      <alignment horizontal="centerContinuous" vertical="center"/>
      <protection locked="0"/>
    </xf>
    <xf numFmtId="0" fontId="96" fillId="17" borderId="0"/>
    <xf numFmtId="0" fontId="79" fillId="0" borderId="0"/>
    <xf numFmtId="0" fontId="97" fillId="0" borderId="0"/>
    <xf numFmtId="49" fontId="72" fillId="0" borderId="0" applyFill="0" applyBorder="0"/>
    <xf numFmtId="49" fontId="65" fillId="0" borderId="0"/>
    <xf numFmtId="49" fontId="65" fillId="0" borderId="0" applyFill="0" applyBorder="0">
      <alignment horizontal="right" vertical="center"/>
    </xf>
    <xf numFmtId="49" fontId="65" fillId="0" borderId="0" applyFill="0" applyBorder="0">
      <alignment horizontal="right" vertical="center"/>
    </xf>
    <xf numFmtId="0" fontId="98" fillId="0" borderId="0"/>
    <xf numFmtId="38" fontId="72" fillId="2" borderId="0" applyNumberFormat="0" applyBorder="0" applyAlignment="0" applyProtection="0"/>
    <xf numFmtId="204" fontId="65" fillId="18" borderId="13" applyNumberFormat="0" applyFont="0" applyBorder="0" applyAlignment="0" applyProtection="0"/>
    <xf numFmtId="166" fontId="99" fillId="18" borderId="0" applyNumberFormat="0" applyFont="0" applyAlignment="0"/>
    <xf numFmtId="0" fontId="74" fillId="0" borderId="7" applyNumberFormat="0" applyAlignment="0" applyProtection="0">
      <alignment horizontal="left" vertical="center"/>
    </xf>
    <xf numFmtId="0" fontId="74" fillId="0" borderId="9">
      <alignment horizontal="left" vertical="center"/>
    </xf>
    <xf numFmtId="0" fontId="100" fillId="0" borderId="11"/>
    <xf numFmtId="0" fontId="101" fillId="0" borderId="11"/>
    <xf numFmtId="0" fontId="102" fillId="0" borderId="0">
      <alignment wrapText="1"/>
    </xf>
    <xf numFmtId="199" fontId="92" fillId="0" borderId="0" applyNumberFormat="0" applyFill="0" applyBorder="0" applyAlignment="0" applyProtection="0"/>
    <xf numFmtId="10" fontId="72" fillId="19" borderId="13" applyNumberFormat="0" applyBorder="0" applyAlignment="0" applyProtection="0"/>
    <xf numFmtId="0" fontId="103" fillId="0" borderId="0" applyNumberFormat="0" applyFill="0" applyBorder="0" applyAlignment="0">
      <protection locked="0"/>
    </xf>
    <xf numFmtId="0" fontId="79" fillId="0" borderId="0"/>
    <xf numFmtId="199" fontId="70" fillId="0" borderId="0"/>
    <xf numFmtId="0" fontId="96" fillId="0" borderId="0"/>
    <xf numFmtId="0" fontId="104" fillId="0" borderId="0"/>
    <xf numFmtId="0" fontId="105" fillId="0" borderId="0"/>
    <xf numFmtId="205" fontId="72" fillId="19" borderId="0">
      <alignment horizontal="center"/>
    </xf>
    <xf numFmtId="37" fontId="106" fillId="0" borderId="0"/>
    <xf numFmtId="0" fontId="66" fillId="0" borderId="0"/>
    <xf numFmtId="0" fontId="65" fillId="0" borderId="0"/>
    <xf numFmtId="0" fontId="101" fillId="0" borderId="0"/>
    <xf numFmtId="0" fontId="107" fillId="0" borderId="0"/>
    <xf numFmtId="0" fontId="108" fillId="0" borderId="0"/>
    <xf numFmtId="0" fontId="65" fillId="0" borderId="0"/>
    <xf numFmtId="171" fontId="76" fillId="0" borderId="0" applyFont="0" applyFill="0" applyBorder="0" applyProtection="0">
      <alignment horizontal="right"/>
    </xf>
    <xf numFmtId="43" fontId="81" fillId="0" borderId="0" applyFont="0" applyFill="0" applyBorder="0" applyAlignment="0" applyProtection="0"/>
    <xf numFmtId="41" fontId="81" fillId="0" borderId="0" applyFont="0" applyFill="0" applyBorder="0" applyAlignment="0" applyProtection="0"/>
    <xf numFmtId="0" fontId="79" fillId="0" borderId="0"/>
    <xf numFmtId="0" fontId="109" fillId="0" borderId="0">
      <alignment horizontal="left"/>
    </xf>
    <xf numFmtId="0" fontId="105" fillId="0" borderId="0"/>
    <xf numFmtId="10" fontId="65" fillId="0" borderId="0" applyFont="0" applyFill="0" applyBorder="0" applyAlignment="0" applyProtection="0"/>
    <xf numFmtId="0" fontId="80" fillId="0" borderId="0">
      <alignment horizontal="right"/>
    </xf>
    <xf numFmtId="10" fontId="80" fillId="0" borderId="0">
      <alignment horizontal="right"/>
    </xf>
    <xf numFmtId="9" fontId="79" fillId="0" borderId="0">
      <alignment horizontal="right"/>
    </xf>
    <xf numFmtId="206" fontId="80" fillId="0" borderId="0">
      <alignment horizontal="right"/>
    </xf>
    <xf numFmtId="1" fontId="110" fillId="2" borderId="0">
      <alignment horizontal="center"/>
    </xf>
    <xf numFmtId="207" fontId="72" fillId="0" borderId="0"/>
    <xf numFmtId="0" fontId="111" fillId="0" borderId="0"/>
    <xf numFmtId="0" fontId="65" fillId="10" borderId="0" applyNumberFormat="0" applyFont="0" applyBorder="0" applyAlignment="0" applyProtection="0"/>
    <xf numFmtId="0" fontId="65" fillId="0" borderId="0">
      <alignment vertical="top"/>
    </xf>
    <xf numFmtId="0" fontId="65" fillId="0" borderId="0">
      <alignment vertical="top"/>
    </xf>
    <xf numFmtId="0" fontId="67" fillId="0" borderId="0">
      <alignment vertical="center"/>
    </xf>
    <xf numFmtId="187" fontId="73" fillId="0" borderId="0"/>
    <xf numFmtId="187" fontId="75" fillId="0" borderId="14"/>
    <xf numFmtId="0" fontId="112" fillId="0" borderId="0">
      <alignment horizontal="left"/>
    </xf>
    <xf numFmtId="0" fontId="112" fillId="0" borderId="0">
      <alignment horizontal="right"/>
    </xf>
    <xf numFmtId="0" fontId="113" fillId="0" borderId="0">
      <alignment horizontal="right"/>
    </xf>
    <xf numFmtId="1" fontId="112" fillId="0" borderId="0">
      <alignment horizontal="left"/>
    </xf>
    <xf numFmtId="0" fontId="112" fillId="0" borderId="0">
      <alignment horizontal="right"/>
    </xf>
    <xf numFmtId="166" fontId="112" fillId="0" borderId="0">
      <alignment horizontal="left"/>
    </xf>
    <xf numFmtId="208" fontId="110" fillId="2" borderId="10" applyBorder="0">
      <alignment horizontal="right" vertical="center"/>
      <protection locked="0"/>
    </xf>
    <xf numFmtId="0" fontId="114" fillId="0" borderId="0" applyNumberFormat="0"/>
    <xf numFmtId="209" fontId="80" fillId="0" borderId="0"/>
    <xf numFmtId="1" fontId="65" fillId="0" borderId="0">
      <alignment horizontal="center"/>
    </xf>
    <xf numFmtId="0" fontId="123" fillId="0" borderId="0"/>
  </cellStyleXfs>
  <cellXfs count="517">
    <xf numFmtId="0" fontId="0" fillId="0" borderId="0" xfId="0"/>
    <xf numFmtId="0" fontId="2" fillId="0" borderId="0" xfId="0" applyFont="1" applyFill="1" applyBorder="1"/>
    <xf numFmtId="0" fontId="3" fillId="0" borderId="0" xfId="0" applyNumberFormat="1" applyFont="1" applyFill="1" applyBorder="1"/>
    <xf numFmtId="3" fontId="5" fillId="0" borderId="0" xfId="0" applyNumberFormat="1" applyFont="1" applyFill="1" applyBorder="1" applyAlignment="1">
      <alignment horizontal="right"/>
    </xf>
    <xf numFmtId="43" fontId="3" fillId="0" borderId="0" xfId="0" applyNumberFormat="1" applyFont="1" applyFill="1" applyBorder="1" applyAlignment="1">
      <alignment horizontal="right"/>
    </xf>
    <xf numFmtId="0" fontId="4" fillId="0" borderId="0" xfId="0" applyFont="1" applyBorder="1"/>
    <xf numFmtId="1" fontId="5" fillId="0" borderId="0" xfId="0" applyNumberFormat="1" applyFont="1" applyFill="1" applyBorder="1" applyAlignment="1">
      <alignment horizontal="right"/>
    </xf>
    <xf numFmtId="43" fontId="7" fillId="0" borderId="0" xfId="0" applyNumberFormat="1" applyFont="1" applyFill="1" applyBorder="1" applyAlignment="1">
      <alignment horizontal="right"/>
    </xf>
    <xf numFmtId="0" fontId="2" fillId="0" borderId="0" xfId="0" applyFont="1" applyFill="1" applyBorder="1" applyAlignment="1"/>
    <xf numFmtId="0" fontId="2" fillId="0" borderId="0" xfId="0" applyFont="1"/>
    <xf numFmtId="0" fontId="2" fillId="0" borderId="0" xfId="0" applyFont="1" applyFill="1"/>
    <xf numFmtId="39" fontId="2" fillId="0" borderId="0" xfId="0" applyNumberFormat="1" applyFont="1" applyFill="1" applyBorder="1" applyAlignment="1">
      <alignment horizontal="right"/>
    </xf>
    <xf numFmtId="164" fontId="6" fillId="0" borderId="0" xfId="0" applyNumberFormat="1" applyFont="1" applyFill="1" applyBorder="1" applyAlignment="1">
      <alignment horizontal="right"/>
    </xf>
    <xf numFmtId="2" fontId="9" fillId="0" borderId="0" xfId="0" applyNumberFormat="1" applyFont="1" applyFill="1" applyBorder="1" applyAlignment="1">
      <alignment horizontal="right"/>
    </xf>
    <xf numFmtId="2" fontId="10" fillId="0" borderId="0" xfId="0" applyNumberFormat="1" applyFont="1" applyFill="1" applyBorder="1" applyAlignment="1">
      <alignment horizontal="right"/>
    </xf>
    <xf numFmtId="164" fontId="11" fillId="0" borderId="0" xfId="0" applyNumberFormat="1" applyFont="1" applyFill="1" applyBorder="1" applyAlignment="1">
      <alignment horizontal="right"/>
    </xf>
    <xf numFmtId="10" fontId="11" fillId="0" borderId="0" xfId="0" applyNumberFormat="1" applyFont="1" applyFill="1" applyBorder="1" applyAlignment="1">
      <alignment horizontal="right"/>
    </xf>
    <xf numFmtId="0" fontId="12" fillId="0" borderId="0" xfId="0" applyFont="1" applyFill="1" applyBorder="1"/>
    <xf numFmtId="1" fontId="11" fillId="0" borderId="0" xfId="0" applyNumberFormat="1" applyFont="1" applyFill="1" applyAlignment="1">
      <alignment horizontal="right"/>
    </xf>
    <xf numFmtId="3" fontId="11" fillId="0" borderId="0" xfId="0" applyNumberFormat="1" applyFont="1" applyFill="1" applyAlignment="1">
      <alignment horizontal="right"/>
    </xf>
    <xf numFmtId="43" fontId="12" fillId="0" borderId="0" xfId="0" applyNumberFormat="1" applyFont="1" applyFill="1" applyAlignment="1">
      <alignment horizontal="right"/>
    </xf>
    <xf numFmtId="39" fontId="12" fillId="0" borderId="0" xfId="0" applyNumberFormat="1" applyFont="1" applyFill="1" applyBorder="1" applyAlignment="1">
      <alignment horizontal="right"/>
    </xf>
    <xf numFmtId="3" fontId="13" fillId="0" borderId="0" xfId="0" applyNumberFormat="1" applyFont="1" applyBorder="1" applyAlignment="1">
      <alignment horizontal="right"/>
    </xf>
    <xf numFmtId="0" fontId="2" fillId="0" borderId="0" xfId="0" applyFont="1" applyFill="1" applyAlignment="1"/>
    <xf numFmtId="0" fontId="14" fillId="0" borderId="0" xfId="0" applyFont="1" applyFill="1"/>
    <xf numFmtId="3" fontId="13" fillId="0" borderId="0" xfId="0" applyNumberFormat="1" applyFont="1" applyFill="1" applyAlignment="1">
      <alignment horizontal="right"/>
    </xf>
    <xf numFmtId="43" fontId="14" fillId="0" borderId="0" xfId="0" applyNumberFormat="1" applyFont="1" applyFill="1" applyAlignment="1">
      <alignment horizontal="right"/>
    </xf>
    <xf numFmtId="43" fontId="16" fillId="0" borderId="0" xfId="0" applyNumberFormat="1" applyFont="1" applyFill="1" applyAlignment="1">
      <alignment horizontal="right"/>
    </xf>
    <xf numFmtId="0" fontId="14" fillId="0" borderId="0" xfId="0" applyFont="1" applyFill="1" applyBorder="1"/>
    <xf numFmtId="1" fontId="13" fillId="0" borderId="0" xfId="0" applyNumberFormat="1" applyFont="1" applyFill="1" applyAlignment="1">
      <alignment horizontal="right"/>
    </xf>
    <xf numFmtId="0" fontId="14" fillId="0" borderId="0" xfId="0" applyFont="1" applyFill="1" applyAlignment="1"/>
    <xf numFmtId="0" fontId="14" fillId="0" borderId="0" xfId="0" applyFont="1"/>
    <xf numFmtId="0" fontId="14" fillId="0" borderId="1" xfId="0" applyFont="1" applyFill="1" applyBorder="1" applyAlignment="1">
      <alignment horizontal="left"/>
    </xf>
    <xf numFmtId="164" fontId="15" fillId="0" borderId="1" xfId="0" applyNumberFormat="1" applyFont="1" applyFill="1" applyBorder="1" applyAlignment="1">
      <alignment horizontal="right"/>
    </xf>
    <xf numFmtId="3" fontId="13" fillId="0" borderId="1" xfId="0" applyNumberFormat="1" applyFont="1" applyFill="1" applyBorder="1" applyAlignment="1">
      <alignment horizontal="right"/>
    </xf>
    <xf numFmtId="164" fontId="14" fillId="0" borderId="1" xfId="0" applyNumberFormat="1" applyFont="1" applyFill="1" applyBorder="1" applyAlignment="1">
      <alignment horizontal="right"/>
    </xf>
    <xf numFmtId="0" fontId="14" fillId="0" borderId="1" xfId="0" applyFont="1" applyFill="1" applyBorder="1" applyAlignment="1">
      <alignment horizontal="right"/>
    </xf>
    <xf numFmtId="164" fontId="15" fillId="0" borderId="1" xfId="0" quotePrefix="1" applyNumberFormat="1" applyFont="1" applyFill="1" applyBorder="1" applyAlignment="1">
      <alignment horizontal="right"/>
    </xf>
    <xf numFmtId="1" fontId="15" fillId="0" borderId="1" xfId="0" quotePrefix="1" applyNumberFormat="1" applyFont="1" applyFill="1" applyBorder="1" applyAlignment="1">
      <alignment horizontal="right"/>
    </xf>
    <xf numFmtId="3" fontId="13" fillId="0" borderId="1" xfId="0" applyNumberFormat="1" applyFont="1" applyBorder="1" applyAlignment="1">
      <alignment horizontal="right"/>
    </xf>
    <xf numFmtId="164" fontId="15" fillId="0" borderId="1" xfId="0" applyNumberFormat="1" applyFont="1" applyFill="1" applyBorder="1" applyAlignment="1">
      <alignment horizontal="center"/>
    </xf>
    <xf numFmtId="0" fontId="14" fillId="0" borderId="1" xfId="0" applyFont="1" applyBorder="1"/>
    <xf numFmtId="1" fontId="13" fillId="4" borderId="0" xfId="0" applyNumberFormat="1" applyFont="1" applyFill="1" applyAlignment="1">
      <alignment horizontal="right"/>
    </xf>
    <xf numFmtId="37" fontId="14" fillId="4" borderId="0" xfId="0" applyNumberFormat="1" applyFont="1" applyFill="1"/>
    <xf numFmtId="2" fontId="15" fillId="4" borderId="0" xfId="0" applyNumberFormat="1" applyFont="1" applyFill="1"/>
    <xf numFmtId="2" fontId="13" fillId="4" borderId="0" xfId="0" applyNumberFormat="1" applyFont="1" applyFill="1" applyAlignment="1">
      <alignment horizontal="right"/>
    </xf>
    <xf numFmtId="43" fontId="15" fillId="4" borderId="0" xfId="0" applyNumberFormat="1" applyFont="1" applyFill="1"/>
    <xf numFmtId="0" fontId="21" fillId="5" borderId="0" xfId="4" applyFont="1" applyFill="1" applyBorder="1"/>
    <xf numFmtId="0" fontId="22" fillId="5" borderId="0" xfId="4" applyFont="1" applyFill="1" applyBorder="1"/>
    <xf numFmtId="0" fontId="21" fillId="5" borderId="0" xfId="4" applyFont="1" applyFill="1" applyBorder="1" applyAlignment="1">
      <alignment horizontal="right"/>
    </xf>
    <xf numFmtId="1" fontId="23" fillId="5" borderId="0" xfId="4" applyNumberFormat="1" applyFont="1" applyFill="1" applyBorder="1" applyAlignment="1">
      <alignment horizontal="right"/>
    </xf>
    <xf numFmtId="0" fontId="21" fillId="5" borderId="0" xfId="0" applyFont="1" applyFill="1" applyBorder="1"/>
    <xf numFmtId="0" fontId="14" fillId="5" borderId="0" xfId="4" applyFont="1" applyFill="1" applyBorder="1" applyAlignment="1"/>
    <xf numFmtId="0" fontId="14" fillId="5" borderId="0" xfId="0" applyFont="1" applyFill="1" applyBorder="1"/>
    <xf numFmtId="0" fontId="18" fillId="0" borderId="0" xfId="0" applyFont="1" applyFill="1" applyBorder="1"/>
    <xf numFmtId="0" fontId="18" fillId="0" borderId="0" xfId="0" applyNumberFormat="1" applyFont="1" applyFill="1" applyBorder="1"/>
    <xf numFmtId="164" fontId="18" fillId="0" borderId="0" xfId="0" applyNumberFormat="1" applyFont="1" applyFill="1" applyBorder="1" applyAlignment="1">
      <alignment horizontal="right"/>
    </xf>
    <xf numFmtId="3" fontId="24" fillId="0" borderId="0" xfId="0" applyNumberFormat="1" applyFont="1" applyFill="1" applyBorder="1" applyAlignment="1">
      <alignment horizontal="right"/>
    </xf>
    <xf numFmtId="164" fontId="14" fillId="0" borderId="0" xfId="0" applyNumberFormat="1" applyFont="1" applyFill="1" applyBorder="1" applyAlignment="1"/>
    <xf numFmtId="164" fontId="18" fillId="0" borderId="0" xfId="0" applyNumberFormat="1" applyFont="1" applyFill="1" applyBorder="1"/>
    <xf numFmtId="10" fontId="14" fillId="0" borderId="0" xfId="0" applyNumberFormat="1" applyFont="1" applyFill="1" applyAlignment="1"/>
    <xf numFmtId="3" fontId="24" fillId="0" borderId="0" xfId="0" applyNumberFormat="1" applyFont="1" applyFill="1" applyAlignment="1">
      <alignment horizontal="right"/>
    </xf>
    <xf numFmtId="165" fontId="18" fillId="0" borderId="0" xfId="0" applyNumberFormat="1" applyFont="1" applyFill="1" applyBorder="1" applyAlignment="1">
      <alignment horizontal="right"/>
    </xf>
    <xf numFmtId="3" fontId="13" fillId="0" borderId="0" xfId="0" applyNumberFormat="1" applyFont="1" applyFill="1" applyBorder="1" applyAlignment="1">
      <alignment horizontal="right"/>
    </xf>
    <xf numFmtId="168" fontId="18" fillId="0" borderId="0" xfId="0" applyNumberFormat="1" applyFont="1" applyFill="1" applyBorder="1" applyAlignment="1">
      <alignment horizontal="right"/>
    </xf>
    <xf numFmtId="168" fontId="16" fillId="0" borderId="0" xfId="0" applyNumberFormat="1" applyFont="1" applyFill="1" applyAlignment="1">
      <alignment horizontal="right"/>
    </xf>
    <xf numFmtId="37" fontId="16" fillId="0" borderId="0" xfId="0" applyNumberFormat="1" applyFont="1" applyFill="1" applyAlignment="1">
      <alignment horizontal="right"/>
    </xf>
    <xf numFmtId="3" fontId="24" fillId="6" borderId="0" xfId="0" applyNumberFormat="1" applyFont="1" applyFill="1" applyAlignment="1">
      <alignment horizontal="right"/>
    </xf>
    <xf numFmtId="168" fontId="14" fillId="0" borderId="0" xfId="0" applyNumberFormat="1" applyFont="1" applyFill="1" applyAlignment="1">
      <alignment horizontal="right"/>
    </xf>
    <xf numFmtId="37" fontId="14" fillId="0" borderId="0" xfId="0" applyNumberFormat="1" applyFont="1" applyFill="1" applyAlignment="1">
      <alignment horizontal="right"/>
    </xf>
    <xf numFmtId="0" fontId="25" fillId="0" borderId="0" xfId="0" applyFont="1" applyFill="1" applyBorder="1"/>
    <xf numFmtId="164" fontId="25" fillId="0" borderId="0" xfId="0" applyNumberFormat="1" applyFont="1" applyFill="1" applyBorder="1" applyAlignment="1">
      <alignment horizontal="right"/>
    </xf>
    <xf numFmtId="164" fontId="25" fillId="0" borderId="0" xfId="0" applyNumberFormat="1" applyFont="1" applyFill="1" applyAlignment="1">
      <alignment horizontal="right"/>
    </xf>
    <xf numFmtId="3" fontId="26" fillId="0" borderId="0" xfId="0" applyNumberFormat="1" applyFont="1" applyFill="1" applyAlignment="1">
      <alignment horizontal="right"/>
    </xf>
    <xf numFmtId="165" fontId="25" fillId="0" borderId="0" xfId="1" applyNumberFormat="1" applyFont="1" applyFill="1" applyBorder="1" applyAlignment="1">
      <alignment horizontal="right"/>
    </xf>
    <xf numFmtId="164" fontId="25" fillId="0" borderId="0" xfId="0" applyNumberFormat="1" applyFont="1" applyFill="1" applyBorder="1"/>
    <xf numFmtId="0" fontId="25" fillId="0" borderId="0" xfId="0" applyFont="1"/>
    <xf numFmtId="166" fontId="18" fillId="0" borderId="0" xfId="0" applyNumberFormat="1" applyFont="1" applyFill="1" applyBorder="1" applyAlignment="1">
      <alignment horizontal="right"/>
    </xf>
    <xf numFmtId="166" fontId="24" fillId="0" borderId="0" xfId="0" applyNumberFormat="1" applyFont="1" applyFill="1" applyAlignment="1">
      <alignment horizontal="right"/>
    </xf>
    <xf numFmtId="168" fontId="16" fillId="0" borderId="0" xfId="0" applyNumberFormat="1" applyFont="1" applyFill="1" applyBorder="1" applyAlignment="1">
      <alignment horizontal="right"/>
    </xf>
    <xf numFmtId="3" fontId="24" fillId="7" borderId="0" xfId="0" applyNumberFormat="1" applyFont="1" applyFill="1" applyAlignment="1">
      <alignment horizontal="right"/>
    </xf>
    <xf numFmtId="168" fontId="16" fillId="7" borderId="0" xfId="0" applyNumberFormat="1" applyFont="1" applyFill="1" applyBorder="1" applyAlignment="1">
      <alignment horizontal="right"/>
    </xf>
    <xf numFmtId="41" fontId="16" fillId="0" borderId="0" xfId="0" applyNumberFormat="1" applyFont="1" applyFill="1" applyBorder="1" applyAlignment="1">
      <alignment horizontal="right"/>
    </xf>
    <xf numFmtId="165" fontId="16" fillId="0" borderId="0" xfId="0" applyNumberFormat="1" applyFont="1" applyFill="1" applyBorder="1" applyAlignment="1">
      <alignment horizontal="right"/>
    </xf>
    <xf numFmtId="41" fontId="18" fillId="0" borderId="0" xfId="0" applyNumberFormat="1" applyFont="1" applyFill="1" applyBorder="1" applyAlignment="1">
      <alignment horizontal="right"/>
    </xf>
    <xf numFmtId="164" fontId="14" fillId="0" borderId="0" xfId="0" applyNumberFormat="1" applyFont="1" applyFill="1" applyAlignment="1">
      <alignment horizontal="right"/>
    </xf>
    <xf numFmtId="164" fontId="24" fillId="0" borderId="0" xfId="0" applyNumberFormat="1" applyFont="1" applyFill="1" applyBorder="1" applyAlignment="1">
      <alignment horizontal="right"/>
    </xf>
    <xf numFmtId="0" fontId="24" fillId="0" borderId="0" xfId="0" applyFont="1" applyFill="1" applyBorder="1"/>
    <xf numFmtId="164" fontId="24" fillId="0" borderId="0" xfId="0" applyNumberFormat="1" applyFont="1" applyFill="1" applyBorder="1"/>
    <xf numFmtId="0" fontId="24" fillId="3" borderId="0" xfId="0" applyFont="1" applyFill="1" applyBorder="1"/>
    <xf numFmtId="37" fontId="16" fillId="0" borderId="0" xfId="0" applyNumberFormat="1" applyFont="1" applyFill="1" applyBorder="1" applyAlignment="1">
      <alignment horizontal="right"/>
    </xf>
    <xf numFmtId="164" fontId="16" fillId="0" borderId="0" xfId="0" applyNumberFormat="1" applyFont="1" applyFill="1" applyAlignment="1">
      <alignment horizontal="right"/>
    </xf>
    <xf numFmtId="0" fontId="15" fillId="0" borderId="0" xfId="0" applyNumberFormat="1" applyFont="1" applyFill="1" applyBorder="1"/>
    <xf numFmtId="164" fontId="16" fillId="0" borderId="0" xfId="0" applyNumberFormat="1" applyFont="1" applyFill="1" applyBorder="1" applyAlignment="1">
      <alignment horizontal="right"/>
    </xf>
    <xf numFmtId="0" fontId="14" fillId="0" borderId="0" xfId="0" applyNumberFormat="1" applyFont="1" applyFill="1" applyBorder="1"/>
    <xf numFmtId="0" fontId="14" fillId="0" borderId="0" xfId="0" applyNumberFormat="1" applyFont="1" applyFill="1"/>
    <xf numFmtId="164" fontId="14" fillId="0" borderId="0" xfId="0" applyNumberFormat="1" applyFont="1" applyFill="1" applyAlignment="1"/>
    <xf numFmtId="0" fontId="15" fillId="0" borderId="0" xfId="0" applyNumberFormat="1" applyFont="1" applyFill="1"/>
    <xf numFmtId="164" fontId="14" fillId="0" borderId="0" xfId="0" applyNumberFormat="1" applyFont="1" applyFill="1"/>
    <xf numFmtId="165" fontId="16" fillId="0" borderId="0" xfId="0" applyNumberFormat="1" applyFont="1" applyFill="1" applyAlignment="1">
      <alignment horizontal="right"/>
    </xf>
    <xf numFmtId="165" fontId="14" fillId="0" borderId="0" xfId="0" applyNumberFormat="1" applyFont="1" applyFill="1" applyAlignment="1">
      <alignment horizontal="right"/>
    </xf>
    <xf numFmtId="0" fontId="15" fillId="0" borderId="0" xfId="0" applyFont="1" applyFill="1"/>
    <xf numFmtId="0" fontId="15" fillId="0" borderId="0" xfId="0" applyFont="1" applyFill="1" applyBorder="1"/>
    <xf numFmtId="3" fontId="27" fillId="0" borderId="0" xfId="0" applyNumberFormat="1" applyFont="1" applyFill="1" applyAlignment="1">
      <alignment horizontal="right"/>
    </xf>
    <xf numFmtId="169" fontId="16" fillId="0" borderId="0" xfId="0" applyNumberFormat="1" applyFont="1" applyFill="1" applyAlignment="1">
      <alignment horizontal="right"/>
    </xf>
    <xf numFmtId="169" fontId="24" fillId="0" borderId="0" xfId="0" applyNumberFormat="1" applyFont="1" applyFill="1" applyAlignment="1">
      <alignment horizontal="right"/>
    </xf>
    <xf numFmtId="164" fontId="16" fillId="0" borderId="0" xfId="0" applyNumberFormat="1" applyFont="1" applyFill="1" applyBorder="1"/>
    <xf numFmtId="0" fontId="14" fillId="0" borderId="0" xfId="0" applyFont="1" applyFill="1" applyBorder="1" applyProtection="1">
      <protection locked="0"/>
    </xf>
    <xf numFmtId="0" fontId="14" fillId="0" borderId="0" xfId="0" applyFont="1" applyBorder="1"/>
    <xf numFmtId="0" fontId="14" fillId="0" borderId="0" xfId="0" applyFont="1" applyBorder="1" applyProtection="1">
      <protection locked="0"/>
    </xf>
    <xf numFmtId="0" fontId="16" fillId="0" borderId="0" xfId="0" applyFont="1" applyBorder="1" applyProtection="1">
      <protection locked="0"/>
    </xf>
    <xf numFmtId="41" fontId="19" fillId="0" borderId="0" xfId="0" applyNumberFormat="1" applyFont="1" applyFill="1" applyBorder="1" applyAlignment="1">
      <alignment horizontal="right"/>
    </xf>
    <xf numFmtId="0" fontId="25" fillId="0" borderId="0" xfId="0" applyNumberFormat="1" applyFont="1" applyFill="1"/>
    <xf numFmtId="3" fontId="24" fillId="8" borderId="0" xfId="0" applyNumberFormat="1" applyFont="1" applyFill="1" applyAlignment="1">
      <alignment horizontal="right"/>
    </xf>
    <xf numFmtId="164" fontId="14" fillId="0" borderId="0" xfId="0" applyNumberFormat="1" applyFont="1" applyFill="1" applyBorder="1" applyAlignment="1">
      <alignment horizontal="right"/>
    </xf>
    <xf numFmtId="43" fontId="18" fillId="0" borderId="0" xfId="0" applyNumberFormat="1" applyFont="1" applyFill="1" applyAlignment="1">
      <alignment horizontal="right"/>
    </xf>
    <xf numFmtId="164" fontId="15" fillId="0" borderId="0" xfId="0" applyNumberFormat="1" applyFont="1" applyFill="1" applyBorder="1" applyAlignment="1">
      <alignment horizontal="right"/>
    </xf>
    <xf numFmtId="164" fontId="19" fillId="0" borderId="0" xfId="0" applyNumberFormat="1" applyFont="1" applyFill="1" applyBorder="1" applyAlignment="1">
      <alignment horizontal="right"/>
    </xf>
    <xf numFmtId="164" fontId="15" fillId="0" borderId="0" xfId="0" applyNumberFormat="1" applyFont="1" applyFill="1" applyBorder="1" applyAlignment="1"/>
    <xf numFmtId="170" fontId="16" fillId="0" borderId="0" xfId="0" applyNumberFormat="1" applyFont="1" applyFill="1" applyBorder="1" applyAlignment="1">
      <alignment horizontal="right"/>
    </xf>
    <xf numFmtId="170" fontId="16" fillId="0" borderId="0" xfId="0" applyNumberFormat="1" applyFont="1" applyFill="1" applyAlignment="1">
      <alignment horizontal="right"/>
    </xf>
    <xf numFmtId="41" fontId="14" fillId="0" borderId="0" xfId="0" applyNumberFormat="1" applyFont="1" applyFill="1" applyBorder="1" applyAlignment="1">
      <alignment horizontal="right"/>
    </xf>
    <xf numFmtId="41" fontId="14" fillId="0" borderId="0" xfId="0" applyNumberFormat="1" applyFont="1" applyFill="1" applyAlignment="1">
      <alignment horizontal="right"/>
    </xf>
    <xf numFmtId="0" fontId="14" fillId="0" borderId="0" xfId="0" applyFont="1" applyFill="1" applyBorder="1" applyAlignment="1"/>
    <xf numFmtId="4" fontId="16" fillId="0" borderId="0" xfId="0" applyNumberFormat="1" applyFont="1" applyFill="1" applyAlignment="1">
      <alignment horizontal="right"/>
    </xf>
    <xf numFmtId="4" fontId="24" fillId="0" borderId="0" xfId="0" applyNumberFormat="1" applyFont="1" applyFill="1" applyAlignment="1">
      <alignment horizontal="right"/>
    </xf>
    <xf numFmtId="164" fontId="16" fillId="0" borderId="0" xfId="0" applyNumberFormat="1" applyFont="1" applyFill="1"/>
    <xf numFmtId="0" fontId="16" fillId="0" borderId="0" xfId="0" applyFont="1" applyFill="1" applyBorder="1"/>
    <xf numFmtId="41" fontId="18" fillId="0" borderId="0" xfId="0" applyNumberFormat="1" applyFont="1" applyFill="1" applyBorder="1" applyAlignment="1">
      <alignment horizontal="center"/>
    </xf>
    <xf numFmtId="41" fontId="24" fillId="0" borderId="0" xfId="0" applyNumberFormat="1" applyFont="1" applyFill="1" applyAlignment="1">
      <alignment horizontal="right"/>
    </xf>
    <xf numFmtId="41" fontId="16" fillId="0" borderId="0" xfId="0" applyNumberFormat="1" applyFont="1" applyFill="1" applyAlignment="1">
      <alignment horizontal="right"/>
    </xf>
    <xf numFmtId="169" fontId="18" fillId="0" borderId="0" xfId="1" applyNumberFormat="1" applyFont="1" applyFill="1" applyBorder="1" applyAlignment="1">
      <alignment horizontal="right"/>
    </xf>
    <xf numFmtId="172" fontId="24" fillId="0" borderId="0" xfId="0" applyNumberFormat="1" applyFont="1" applyFill="1" applyAlignment="1">
      <alignment horizontal="right"/>
    </xf>
    <xf numFmtId="1" fontId="19" fillId="0" borderId="0" xfId="0" applyNumberFormat="1" applyFont="1" applyFill="1" applyBorder="1" applyAlignment="1">
      <alignment horizontal="right"/>
    </xf>
    <xf numFmtId="164" fontId="14" fillId="0" borderId="0" xfId="0" applyNumberFormat="1" applyFont="1" applyFill="1" applyBorder="1"/>
    <xf numFmtId="3" fontId="13" fillId="6" borderId="0" xfId="0" applyNumberFormat="1" applyFont="1" applyFill="1" applyAlignment="1">
      <alignment horizontal="right"/>
    </xf>
    <xf numFmtId="43" fontId="18" fillId="0" borderId="0" xfId="1" applyFont="1" applyFill="1" applyBorder="1" applyAlignment="1">
      <alignment horizontal="right"/>
    </xf>
    <xf numFmtId="0" fontId="22" fillId="0" borderId="0" xfId="0" applyNumberFormat="1" applyFont="1" applyFill="1"/>
    <xf numFmtId="171" fontId="18" fillId="0" borderId="0" xfId="0" applyNumberFormat="1" applyFont="1" applyFill="1" applyAlignment="1">
      <alignment horizontal="right"/>
    </xf>
    <xf numFmtId="41" fontId="18" fillId="0" borderId="0" xfId="0" applyNumberFormat="1" applyFont="1" applyFill="1" applyAlignment="1">
      <alignment horizontal="right"/>
    </xf>
    <xf numFmtId="172" fontId="14" fillId="0" borderId="0" xfId="0" applyNumberFormat="1" applyFont="1" applyFill="1" applyAlignment="1">
      <alignment horizontal="right"/>
    </xf>
    <xf numFmtId="167" fontId="16" fillId="0" borderId="0" xfId="0" applyNumberFormat="1" applyFont="1" applyFill="1" applyAlignment="1">
      <alignment horizontal="right"/>
    </xf>
    <xf numFmtId="170" fontId="18" fillId="0" borderId="0" xfId="0" applyNumberFormat="1" applyFont="1" applyFill="1" applyAlignment="1">
      <alignment horizontal="right"/>
    </xf>
    <xf numFmtId="0" fontId="25" fillId="0" borderId="0" xfId="0" applyFont="1" applyBorder="1"/>
    <xf numFmtId="165" fontId="25" fillId="0" borderId="0" xfId="0" applyNumberFormat="1" applyFont="1" applyFill="1" applyAlignment="1">
      <alignment horizontal="right"/>
    </xf>
    <xf numFmtId="164" fontId="25" fillId="0" borderId="0" xfId="0" applyNumberFormat="1" applyFont="1" applyFill="1" applyBorder="1" applyAlignment="1"/>
    <xf numFmtId="43" fontId="14" fillId="0" borderId="0" xfId="0" applyNumberFormat="1" applyFont="1" applyFill="1" applyBorder="1"/>
    <xf numFmtId="0" fontId="15" fillId="0" borderId="0" xfId="0" applyFont="1" applyFill="1" applyBorder="1" applyAlignment="1">
      <alignment horizontal="left"/>
    </xf>
    <xf numFmtId="0" fontId="14" fillId="0" borderId="0" xfId="0" applyFont="1" applyFill="1" applyBorder="1" applyAlignment="1">
      <alignment horizontal="left"/>
    </xf>
    <xf numFmtId="169" fontId="18" fillId="0" borderId="0" xfId="0" applyNumberFormat="1" applyFont="1" applyFill="1" applyAlignment="1">
      <alignment horizontal="right"/>
    </xf>
    <xf numFmtId="3" fontId="24" fillId="4" borderId="0" xfId="0" applyNumberFormat="1" applyFont="1" applyFill="1" applyAlignment="1">
      <alignment horizontal="right"/>
    </xf>
    <xf numFmtId="3" fontId="13" fillId="4" borderId="0" xfId="0" applyNumberFormat="1" applyFont="1" applyFill="1" applyBorder="1" applyAlignment="1">
      <alignment horizontal="right"/>
    </xf>
    <xf numFmtId="170" fontId="19" fillId="0" borderId="0" xfId="0" quotePrefix="1" applyNumberFormat="1" applyFont="1" applyFill="1" applyAlignment="1">
      <alignment horizontal="right"/>
    </xf>
    <xf numFmtId="164" fontId="29" fillId="0" borderId="0" xfId="0" applyNumberFormat="1" applyFont="1" applyFill="1" applyBorder="1" applyAlignment="1">
      <alignment horizontal="right"/>
    </xf>
    <xf numFmtId="164" fontId="30" fillId="0" borderId="0" xfId="0" applyNumberFormat="1" applyFont="1" applyFill="1" applyBorder="1" applyAlignment="1">
      <alignment horizontal="right"/>
    </xf>
    <xf numFmtId="173" fontId="17" fillId="0" borderId="0" xfId="1" applyNumberFormat="1" applyFont="1" applyFill="1" applyAlignment="1">
      <alignment horizontal="right"/>
    </xf>
    <xf numFmtId="43" fontId="19" fillId="0" borderId="0" xfId="0" applyNumberFormat="1" applyFont="1" applyFill="1" applyAlignment="1">
      <alignment horizontal="right"/>
    </xf>
    <xf numFmtId="3" fontId="23" fillId="0" borderId="0" xfId="0" applyNumberFormat="1" applyFont="1" applyFill="1" applyAlignment="1">
      <alignment horizontal="right"/>
    </xf>
    <xf numFmtId="4" fontId="14" fillId="0" borderId="0" xfId="0" applyNumberFormat="1" applyFont="1" applyFill="1" applyBorder="1" applyAlignment="1">
      <alignment horizontal="right"/>
    </xf>
    <xf numFmtId="164" fontId="21" fillId="0" borderId="0" xfId="0" applyNumberFormat="1" applyFont="1" applyFill="1" applyBorder="1" applyAlignment="1">
      <alignment horizontal="right"/>
    </xf>
    <xf numFmtId="0" fontId="21" fillId="0" borderId="0" xfId="0" applyFont="1" applyBorder="1"/>
    <xf numFmtId="43" fontId="14" fillId="0" borderId="0" xfId="0" applyNumberFormat="1" applyFont="1"/>
    <xf numFmtId="164" fontId="21" fillId="0" borderId="0" xfId="0" applyNumberFormat="1" applyFont="1" applyFill="1" applyAlignment="1">
      <alignment horizontal="right"/>
    </xf>
    <xf numFmtId="41" fontId="18" fillId="4" borderId="0" xfId="0" applyNumberFormat="1" applyFont="1" applyFill="1" applyBorder="1"/>
    <xf numFmtId="41" fontId="19" fillId="4" borderId="0" xfId="0" applyNumberFormat="1" applyFont="1" applyFill="1" applyBorder="1"/>
    <xf numFmtId="0" fontId="14" fillId="4" borderId="0" xfId="0" applyFont="1" applyFill="1"/>
    <xf numFmtId="41" fontId="25" fillId="4" borderId="0" xfId="0" applyNumberFormat="1" applyFont="1" applyFill="1" applyBorder="1"/>
    <xf numFmtId="174" fontId="16" fillId="4" borderId="0" xfId="0" applyNumberFormat="1" applyFont="1" applyFill="1" applyBorder="1" applyAlignment="1">
      <alignment horizontal="right"/>
    </xf>
    <xf numFmtId="175" fontId="25" fillId="4" borderId="0" xfId="4" applyNumberFormat="1" applyFont="1" applyFill="1" applyBorder="1" applyAlignment="1">
      <alignment horizontal="right"/>
    </xf>
    <xf numFmtId="41" fontId="26" fillId="4" borderId="0" xfId="0" applyNumberFormat="1" applyFont="1" applyFill="1" applyAlignment="1">
      <alignment horizontal="right"/>
    </xf>
    <xf numFmtId="41" fontId="24" fillId="4" borderId="0" xfId="0" applyNumberFormat="1" applyFont="1" applyFill="1" applyBorder="1" applyAlignment="1">
      <alignment horizontal="right"/>
    </xf>
    <xf numFmtId="169" fontId="14" fillId="4" borderId="0" xfId="1" applyNumberFormat="1" applyFont="1" applyFill="1" applyBorder="1" applyAlignment="1">
      <alignment horizontal="right"/>
    </xf>
    <xf numFmtId="37" fontId="14" fillId="4" borderId="0" xfId="0" applyNumberFormat="1" applyFont="1" applyFill="1" applyBorder="1"/>
    <xf numFmtId="37" fontId="14" fillId="4" borderId="0" xfId="0" applyNumberFormat="1" applyFont="1" applyFill="1" applyAlignment="1"/>
    <xf numFmtId="0" fontId="14" fillId="4" borderId="0" xfId="0" applyFont="1" applyFill="1" applyBorder="1"/>
    <xf numFmtId="0" fontId="14" fillId="4" borderId="0" xfId="0" applyFont="1" applyFill="1" applyAlignment="1"/>
    <xf numFmtId="0" fontId="37" fillId="9" borderId="0" xfId="0" applyFont="1" applyFill="1" applyAlignment="1">
      <alignment horizontal="right"/>
    </xf>
    <xf numFmtId="167" fontId="11" fillId="9" borderId="0" xfId="0" applyNumberFormat="1" applyFont="1" applyFill="1" applyBorder="1" applyAlignment="1">
      <alignment horizontal="right"/>
    </xf>
    <xf numFmtId="167" fontId="14" fillId="9" borderId="0" xfId="0" applyNumberFormat="1" applyFont="1" applyFill="1" applyBorder="1" applyAlignment="1">
      <alignment horizontal="right"/>
    </xf>
    <xf numFmtId="167" fontId="14" fillId="9" borderId="1" xfId="0" applyNumberFormat="1" applyFont="1" applyFill="1" applyBorder="1" applyAlignment="1">
      <alignment horizontal="right"/>
    </xf>
    <xf numFmtId="41" fontId="18" fillId="9" borderId="0" xfId="0" applyNumberFormat="1" applyFont="1" applyFill="1" applyBorder="1" applyAlignment="1">
      <alignment horizontal="right"/>
    </xf>
    <xf numFmtId="41" fontId="19" fillId="9" borderId="0" xfId="0" applyNumberFormat="1" applyFont="1" applyFill="1" applyBorder="1" applyAlignment="1">
      <alignment horizontal="right"/>
    </xf>
    <xf numFmtId="41" fontId="28" fillId="9" borderId="0" xfId="0" applyNumberFormat="1" applyFont="1" applyFill="1" applyBorder="1" applyAlignment="1">
      <alignment horizontal="right"/>
    </xf>
    <xf numFmtId="41" fontId="25" fillId="9" borderId="0" xfId="0" applyNumberFormat="1" applyFont="1" applyFill="1" applyBorder="1" applyAlignment="1">
      <alignment horizontal="right"/>
    </xf>
    <xf numFmtId="41" fontId="16" fillId="9" borderId="0" xfId="0" applyNumberFormat="1" applyFont="1" applyFill="1" applyBorder="1" applyAlignment="1">
      <alignment horizontal="right"/>
    </xf>
    <xf numFmtId="0" fontId="17" fillId="9" borderId="0" xfId="0" applyFont="1" applyFill="1" applyAlignment="1">
      <alignment horizontal="right"/>
    </xf>
    <xf numFmtId="41" fontId="14" fillId="9" borderId="0" xfId="0" applyNumberFormat="1" applyFont="1" applyFill="1" applyBorder="1"/>
    <xf numFmtId="0" fontId="14" fillId="9" borderId="0" xfId="0" applyFont="1" applyFill="1"/>
    <xf numFmtId="0" fontId="15" fillId="4" borderId="0" xfId="0" applyFont="1" applyFill="1" applyBorder="1" applyProtection="1">
      <protection locked="0"/>
    </xf>
    <xf numFmtId="0" fontId="15" fillId="4" borderId="0" xfId="0" applyNumberFormat="1" applyFont="1" applyFill="1"/>
    <xf numFmtId="167" fontId="15" fillId="4" borderId="0" xfId="0" applyNumberFormat="1" applyFont="1" applyFill="1" applyAlignment="1">
      <alignment horizontal="right"/>
    </xf>
    <xf numFmtId="0" fontId="15" fillId="4" borderId="0" xfId="0" applyFont="1" applyFill="1" applyBorder="1"/>
    <xf numFmtId="41" fontId="19" fillId="4" borderId="0" xfId="0" applyNumberFormat="1" applyFont="1" applyFill="1" applyBorder="1" applyAlignment="1">
      <alignment horizontal="right"/>
    </xf>
    <xf numFmtId="164" fontId="15" fillId="4" borderId="0" xfId="0" applyNumberFormat="1" applyFont="1" applyFill="1" applyAlignment="1">
      <alignment horizontal="right"/>
    </xf>
    <xf numFmtId="164" fontId="15" fillId="4" borderId="0" xfId="0" applyNumberFormat="1" applyFont="1" applyFill="1" applyBorder="1" applyAlignment="1"/>
    <xf numFmtId="164" fontId="15" fillId="4" borderId="0" xfId="0" applyNumberFormat="1" applyFont="1" applyFill="1" applyBorder="1"/>
    <xf numFmtId="0" fontId="15" fillId="4" borderId="0" xfId="0" applyFont="1" applyFill="1"/>
    <xf numFmtId="37" fontId="39" fillId="0" borderId="0" xfId="0" applyNumberFormat="1" applyFont="1" applyFill="1" applyAlignment="1">
      <alignment horizontal="right"/>
    </xf>
    <xf numFmtId="3" fontId="40" fillId="6" borderId="0" xfId="0" applyNumberFormat="1" applyFont="1" applyFill="1" applyAlignment="1">
      <alignment horizontal="right"/>
    </xf>
    <xf numFmtId="37" fontId="39" fillId="6" borderId="0" xfId="0" applyNumberFormat="1" applyFont="1" applyFill="1" applyBorder="1" applyAlignment="1">
      <alignment horizontal="right"/>
    </xf>
    <xf numFmtId="3" fontId="40" fillId="0" borderId="0" xfId="0" applyNumberFormat="1" applyFont="1" applyFill="1" applyAlignment="1">
      <alignment horizontal="right"/>
    </xf>
    <xf numFmtId="0" fontId="41" fillId="0" borderId="1" xfId="3" applyFont="1" applyFill="1" applyBorder="1" applyAlignment="1" applyProtection="1"/>
    <xf numFmtId="0" fontId="15" fillId="0" borderId="0" xfId="0" applyFont="1" applyAlignment="1">
      <alignment horizontal="left"/>
    </xf>
    <xf numFmtId="0" fontId="14" fillId="0" borderId="0" xfId="0" applyFont="1" applyAlignment="1">
      <alignment horizontal="left"/>
    </xf>
    <xf numFmtId="0" fontId="15" fillId="0" borderId="0" xfId="0" applyFont="1" applyBorder="1" applyAlignment="1">
      <alignment horizontal="left"/>
    </xf>
    <xf numFmtId="0" fontId="14" fillId="0" borderId="0" xfId="0" applyFont="1" applyAlignment="1">
      <alignment horizontal="left" indent="1"/>
    </xf>
    <xf numFmtId="164" fontId="39" fillId="0" borderId="0" xfId="0" applyNumberFormat="1" applyFont="1" applyFill="1" applyBorder="1" applyAlignment="1">
      <alignment horizontal="right"/>
    </xf>
    <xf numFmtId="168" fontId="15" fillId="0" borderId="0" xfId="0" applyNumberFormat="1" applyFont="1" applyFill="1" applyAlignment="1"/>
    <xf numFmtId="166" fontId="39" fillId="4" borderId="0" xfId="0" applyNumberFormat="1" applyFont="1" applyFill="1" applyAlignment="1">
      <alignment horizontal="right"/>
    </xf>
    <xf numFmtId="37" fontId="14" fillId="6" borderId="0" xfId="0" applyNumberFormat="1" applyFont="1" applyFill="1" applyBorder="1" applyAlignment="1">
      <alignment horizontal="right"/>
    </xf>
    <xf numFmtId="0" fontId="15" fillId="0" borderId="0" xfId="0" applyFont="1"/>
    <xf numFmtId="164" fontId="19" fillId="0" borderId="0" xfId="0" applyNumberFormat="1" applyFont="1" applyFill="1" applyBorder="1"/>
    <xf numFmtId="37" fontId="15" fillId="6" borderId="0" xfId="0" applyNumberFormat="1" applyFont="1" applyFill="1" applyBorder="1" applyAlignment="1">
      <alignment horizontal="right"/>
    </xf>
    <xf numFmtId="166" fontId="14" fillId="0" borderId="0" xfId="0" applyNumberFormat="1" applyFont="1" applyFill="1" applyAlignment="1">
      <alignment horizontal="right"/>
    </xf>
    <xf numFmtId="3" fontId="27" fillId="7" borderId="0" xfId="0" applyNumberFormat="1" applyFont="1" applyFill="1" applyAlignment="1">
      <alignment horizontal="right"/>
    </xf>
    <xf numFmtId="164" fontId="14" fillId="7" borderId="0" xfId="0" applyNumberFormat="1" applyFont="1" applyFill="1" applyBorder="1" applyAlignment="1">
      <alignment horizontal="right"/>
    </xf>
    <xf numFmtId="0" fontId="28" fillId="9" borderId="0" xfId="0" applyFont="1" applyFill="1" applyAlignment="1">
      <alignment horizontal="right"/>
    </xf>
    <xf numFmtId="0" fontId="15" fillId="0" borderId="0" xfId="0" applyFont="1" applyFill="1" applyAlignment="1">
      <alignment horizontal="left"/>
    </xf>
    <xf numFmtId="184" fontId="18" fillId="0" borderId="0" xfId="2" applyNumberFormat="1" applyFont="1" applyFill="1" applyBorder="1" applyAlignment="1">
      <alignment horizontal="right"/>
    </xf>
    <xf numFmtId="39" fontId="39" fillId="6" borderId="0" xfId="0" applyNumberFormat="1" applyFont="1" applyFill="1" applyBorder="1" applyAlignment="1">
      <alignment horizontal="right"/>
    </xf>
    <xf numFmtId="0" fontId="19" fillId="0" borderId="0" xfId="0" applyFont="1" applyFill="1" applyBorder="1"/>
    <xf numFmtId="166" fontId="39" fillId="6" borderId="0" xfId="0" applyNumberFormat="1" applyFont="1" applyFill="1" applyBorder="1" applyAlignment="1">
      <alignment horizontal="right"/>
    </xf>
    <xf numFmtId="39" fontId="14" fillId="0" borderId="0" xfId="0" applyNumberFormat="1" applyFont="1" applyFill="1" applyAlignment="1">
      <alignment horizontal="right"/>
    </xf>
    <xf numFmtId="39" fontId="24" fillId="7" borderId="0" xfId="0" applyNumberFormat="1" applyFont="1" applyFill="1" applyAlignment="1">
      <alignment horizontal="right"/>
    </xf>
    <xf numFmtId="39" fontId="26" fillId="0" borderId="0" xfId="0" applyNumberFormat="1" applyFont="1" applyFill="1" applyAlignment="1">
      <alignment horizontal="right"/>
    </xf>
    <xf numFmtId="39" fontId="24" fillId="0" borderId="0" xfId="0" applyNumberFormat="1" applyFont="1" applyFill="1" applyAlignment="1">
      <alignment horizontal="right"/>
    </xf>
    <xf numFmtId="0" fontId="14" fillId="8" borderId="0" xfId="0" applyFont="1" applyFill="1"/>
    <xf numFmtId="164" fontId="14" fillId="8" borderId="0" xfId="0" applyNumberFormat="1" applyFont="1" applyFill="1" applyBorder="1"/>
    <xf numFmtId="164" fontId="14" fillId="8" borderId="0" xfId="0" applyNumberFormat="1" applyFont="1" applyFill="1" applyBorder="1" applyAlignment="1"/>
    <xf numFmtId="166" fontId="14" fillId="6" borderId="0" xfId="0" applyNumberFormat="1" applyFont="1" applyFill="1" applyBorder="1" applyAlignment="1">
      <alignment horizontal="right"/>
    </xf>
    <xf numFmtId="164" fontId="24" fillId="0" borderId="0" xfId="0" applyNumberFormat="1" applyFont="1" applyFill="1" applyAlignment="1">
      <alignment horizontal="right"/>
    </xf>
    <xf numFmtId="41" fontId="37" fillId="0" borderId="0" xfId="0" applyNumberFormat="1" applyFont="1" applyFill="1" applyAlignment="1">
      <alignment horizontal="right"/>
    </xf>
    <xf numFmtId="3" fontId="47" fillId="0" borderId="0" xfId="0" applyNumberFormat="1" applyFont="1" applyFill="1" applyAlignment="1">
      <alignment horizontal="right"/>
    </xf>
    <xf numFmtId="0" fontId="47" fillId="0" borderId="0" xfId="0" applyNumberFormat="1" applyFont="1" applyFill="1"/>
    <xf numFmtId="43" fontId="47" fillId="0" borderId="0" xfId="0" applyNumberFormat="1" applyFont="1" applyFill="1" applyAlignment="1">
      <alignment horizontal="right"/>
    </xf>
    <xf numFmtId="0" fontId="14" fillId="8" borderId="0" xfId="0" applyNumberFormat="1" applyFont="1" applyFill="1"/>
    <xf numFmtId="41" fontId="14" fillId="8" borderId="0" xfId="0" applyNumberFormat="1" applyFont="1" applyFill="1" applyAlignment="1">
      <alignment horizontal="right"/>
    </xf>
    <xf numFmtId="3" fontId="13" fillId="8" borderId="0" xfId="0" applyNumberFormat="1" applyFont="1" applyFill="1" applyAlignment="1">
      <alignment horizontal="right"/>
    </xf>
    <xf numFmtId="0" fontId="14" fillId="8" borderId="0" xfId="0" applyFont="1" applyFill="1" applyBorder="1"/>
    <xf numFmtId="41" fontId="18" fillId="8" borderId="0" xfId="0" applyNumberFormat="1" applyFont="1" applyFill="1" applyBorder="1" applyAlignment="1">
      <alignment horizontal="right"/>
    </xf>
    <xf numFmtId="164" fontId="14" fillId="8" borderId="0" xfId="0" applyNumberFormat="1" applyFont="1" applyFill="1" applyAlignment="1">
      <alignment horizontal="right"/>
    </xf>
    <xf numFmtId="0" fontId="37" fillId="4" borderId="0" xfId="0" applyFont="1" applyFill="1"/>
    <xf numFmtId="41" fontId="37" fillId="4" borderId="0" xfId="0" applyNumberFormat="1" applyFont="1" applyFill="1" applyBorder="1"/>
    <xf numFmtId="1" fontId="37" fillId="4" borderId="0" xfId="1" applyNumberFormat="1" applyFont="1" applyFill="1" applyBorder="1" applyAlignment="1">
      <alignment horizontal="right"/>
    </xf>
    <xf numFmtId="1" fontId="47" fillId="4" borderId="0" xfId="1" applyNumberFormat="1" applyFont="1" applyFill="1" applyBorder="1" applyAlignment="1">
      <alignment horizontal="right"/>
    </xf>
    <xf numFmtId="1" fontId="37" fillId="4" borderId="0" xfId="1" applyNumberFormat="1" applyFont="1" applyFill="1" applyBorder="1" applyAlignment="1"/>
    <xf numFmtId="41" fontId="48" fillId="9" borderId="0" xfId="0" applyNumberFormat="1" applyFont="1" applyFill="1" applyBorder="1" applyAlignment="1">
      <alignment horizontal="right"/>
    </xf>
    <xf numFmtId="0" fontId="15" fillId="7" borderId="0" xfId="0" applyFont="1" applyFill="1" applyBorder="1" applyAlignment="1">
      <alignment horizontal="left"/>
    </xf>
    <xf numFmtId="0" fontId="18" fillId="7" borderId="0" xfId="0" applyFont="1" applyFill="1" applyBorder="1"/>
    <xf numFmtId="164" fontId="18" fillId="7" borderId="0" xfId="0" applyNumberFormat="1" applyFont="1" applyFill="1" applyBorder="1" applyAlignment="1">
      <alignment horizontal="right"/>
    </xf>
    <xf numFmtId="164" fontId="14" fillId="7" borderId="0" xfId="0" applyNumberFormat="1" applyFont="1" applyFill="1" applyBorder="1" applyAlignment="1"/>
    <xf numFmtId="164" fontId="18" fillId="7" borderId="0" xfId="0" applyNumberFormat="1" applyFont="1" applyFill="1" applyBorder="1"/>
    <xf numFmtId="0" fontId="14" fillId="7" borderId="0" xfId="0" applyFont="1" applyFill="1"/>
    <xf numFmtId="0" fontId="14" fillId="7" borderId="0" xfId="0" applyFont="1" applyFill="1" applyAlignment="1">
      <alignment horizontal="left" indent="1"/>
    </xf>
    <xf numFmtId="164" fontId="39" fillId="7" borderId="0" xfId="0" applyNumberFormat="1" applyFont="1" applyFill="1" applyBorder="1" applyAlignment="1">
      <alignment horizontal="right"/>
    </xf>
    <xf numFmtId="3" fontId="40" fillId="7" borderId="0" xfId="0" applyNumberFormat="1" applyFont="1" applyFill="1" applyAlignment="1">
      <alignment horizontal="right"/>
    </xf>
    <xf numFmtId="3" fontId="13" fillId="7" borderId="0" xfId="0" applyNumberFormat="1" applyFont="1" applyFill="1" applyAlignment="1">
      <alignment horizontal="right"/>
    </xf>
    <xf numFmtId="0" fontId="24" fillId="7" borderId="0" xfId="0" applyFont="1" applyFill="1" applyBorder="1"/>
    <xf numFmtId="164" fontId="24" fillId="7" borderId="0" xfId="0" applyNumberFormat="1" applyFont="1" applyFill="1" applyBorder="1" applyAlignment="1">
      <alignment horizontal="right"/>
    </xf>
    <xf numFmtId="37" fontId="14" fillId="7" borderId="0" xfId="0" applyNumberFormat="1" applyFont="1" applyFill="1" applyBorder="1" applyAlignment="1">
      <alignment horizontal="right"/>
    </xf>
    <xf numFmtId="3" fontId="13" fillId="7" borderId="0" xfId="0" applyNumberFormat="1" applyFont="1" applyFill="1" applyBorder="1" applyAlignment="1">
      <alignment horizontal="right"/>
    </xf>
    <xf numFmtId="164" fontId="24" fillId="7" borderId="0" xfId="0" applyNumberFormat="1" applyFont="1" applyFill="1" applyBorder="1"/>
    <xf numFmtId="37" fontId="14" fillId="0" borderId="0" xfId="0" applyNumberFormat="1" applyFont="1" applyFill="1"/>
    <xf numFmtId="0" fontId="37" fillId="0" borderId="0" xfId="0" applyFont="1" applyFill="1"/>
    <xf numFmtId="0" fontId="21" fillId="0" borderId="0" xfId="0" applyFont="1" applyFill="1" applyBorder="1"/>
    <xf numFmtId="167" fontId="21" fillId="5" borderId="0" xfId="4" applyNumberFormat="1" applyFont="1" applyFill="1" applyBorder="1" applyAlignment="1">
      <alignment horizontal="right"/>
    </xf>
    <xf numFmtId="0" fontId="0" fillId="0" borderId="0" xfId="0"/>
    <xf numFmtId="0" fontId="13" fillId="0" borderId="0" xfId="0" applyNumberFormat="1" applyFont="1" applyFill="1"/>
    <xf numFmtId="167" fontId="14" fillId="0" borderId="0" xfId="0" applyNumberFormat="1" applyFont="1" applyFill="1" applyBorder="1" applyAlignment="1">
      <alignment horizontal="right"/>
    </xf>
    <xf numFmtId="167" fontId="26" fillId="0" borderId="0" xfId="0" applyNumberFormat="1" applyFont="1" applyFill="1" applyAlignment="1">
      <alignment horizontal="right"/>
    </xf>
    <xf numFmtId="167" fontId="39" fillId="6" borderId="0" xfId="0" applyNumberFormat="1" applyFont="1" applyFill="1" applyBorder="1" applyAlignment="1">
      <alignment horizontal="right"/>
    </xf>
    <xf numFmtId="167" fontId="24" fillId="0" borderId="0" xfId="0" applyNumberFormat="1" applyFont="1" applyFill="1" applyAlignment="1">
      <alignment horizontal="right"/>
    </xf>
    <xf numFmtId="167" fontId="13" fillId="6" borderId="0" xfId="0" applyNumberFormat="1" applyFont="1" applyFill="1" applyAlignment="1">
      <alignment horizontal="right"/>
    </xf>
    <xf numFmtId="167" fontId="18" fillId="0" borderId="0" xfId="0" applyNumberFormat="1" applyFont="1" applyFill="1" applyBorder="1" applyAlignment="1">
      <alignment horizontal="right"/>
    </xf>
    <xf numFmtId="39" fontId="18" fillId="0" borderId="0" xfId="0" applyNumberFormat="1" applyFont="1" applyFill="1" applyBorder="1" applyAlignment="1">
      <alignment horizontal="right"/>
    </xf>
    <xf numFmtId="39" fontId="14" fillId="0" borderId="0" xfId="0" applyNumberFormat="1" applyFont="1" applyFill="1" applyBorder="1" applyAlignment="1">
      <alignment horizontal="right"/>
    </xf>
    <xf numFmtId="0" fontId="14" fillId="0" borderId="0" xfId="0" applyFont="1" applyFill="1" applyAlignment="1">
      <alignment horizontal="left"/>
    </xf>
    <xf numFmtId="0" fontId="49" fillId="11" borderId="0" xfId="0" applyFont="1" applyFill="1"/>
    <xf numFmtId="169" fontId="49" fillId="11" borderId="0" xfId="0" quotePrefix="1" applyNumberFormat="1" applyFont="1" applyFill="1" applyAlignment="1">
      <alignment horizontal="right"/>
    </xf>
    <xf numFmtId="0" fontId="50" fillId="11" borderId="0" xfId="0" applyFont="1" applyFill="1"/>
    <xf numFmtId="0" fontId="51" fillId="0" borderId="0" xfId="0" applyFont="1"/>
    <xf numFmtId="165" fontId="51" fillId="0" borderId="0" xfId="1" applyNumberFormat="1" applyFont="1"/>
    <xf numFmtId="165" fontId="51" fillId="0" borderId="0" xfId="0" applyNumberFormat="1" applyFont="1"/>
    <xf numFmtId="169" fontId="51" fillId="0" borderId="0" xfId="0" applyNumberFormat="1" applyFont="1"/>
    <xf numFmtId="169" fontId="51" fillId="0" borderId="0" xfId="1" applyNumberFormat="1" applyFont="1"/>
    <xf numFmtId="43" fontId="51" fillId="0" borderId="0" xfId="1" applyFont="1"/>
    <xf numFmtId="43" fontId="51" fillId="0" borderId="0" xfId="0" applyNumberFormat="1" applyFont="1"/>
    <xf numFmtId="0" fontId="50" fillId="11" borderId="0" xfId="0" applyFont="1" applyFill="1" applyAlignment="1">
      <alignment horizontal="right"/>
    </xf>
    <xf numFmtId="2" fontId="51" fillId="0" borderId="0" xfId="0" applyNumberFormat="1" applyFont="1"/>
    <xf numFmtId="169" fontId="51" fillId="7" borderId="0" xfId="1" applyNumberFormat="1" applyFont="1" applyFill="1" applyAlignment="1">
      <alignment horizontal="right"/>
    </xf>
    <xf numFmtId="169" fontId="51" fillId="7" borderId="1" xfId="1" applyNumberFormat="1" applyFont="1" applyFill="1" applyBorder="1" applyAlignment="1">
      <alignment horizontal="right"/>
    </xf>
    <xf numFmtId="169" fontId="51" fillId="7" borderId="0" xfId="1" applyNumberFormat="1" applyFont="1" applyFill="1"/>
    <xf numFmtId="0" fontId="51" fillId="7" borderId="1" xfId="0" applyFont="1" applyFill="1" applyBorder="1"/>
    <xf numFmtId="0" fontId="51" fillId="7" borderId="1" xfId="0" applyFont="1" applyFill="1" applyBorder="1" applyAlignment="1">
      <alignment horizontal="right"/>
    </xf>
    <xf numFmtId="0" fontId="51" fillId="7" borderId="1" xfId="0" applyFont="1" applyFill="1" applyBorder="1" applyAlignment="1">
      <alignment horizontal="right" wrapText="1"/>
    </xf>
    <xf numFmtId="0" fontId="51" fillId="7" borderId="0" xfId="0" applyFont="1" applyFill="1"/>
    <xf numFmtId="39" fontId="15" fillId="6" borderId="0" xfId="0" applyNumberFormat="1" applyFont="1" applyFill="1" applyBorder="1" applyAlignment="1">
      <alignment horizontal="right"/>
    </xf>
    <xf numFmtId="39" fontId="14" fillId="6" borderId="0" xfId="0" applyNumberFormat="1" applyFont="1" applyFill="1" applyBorder="1" applyAlignment="1">
      <alignment horizontal="right"/>
    </xf>
    <xf numFmtId="0" fontId="52" fillId="0" borderId="0" xfId="0" applyFont="1"/>
    <xf numFmtId="0" fontId="52" fillId="0" borderId="0" xfId="0" applyFont="1" applyAlignment="1">
      <alignment horizontal="right"/>
    </xf>
    <xf numFmtId="1" fontId="52" fillId="0" borderId="0" xfId="0" applyNumberFormat="1" applyFont="1" applyAlignment="1">
      <alignment horizontal="right"/>
    </xf>
    <xf numFmtId="1" fontId="53" fillId="0" borderId="0" xfId="0" applyNumberFormat="1" applyFont="1" applyAlignment="1">
      <alignment horizontal="right"/>
    </xf>
    <xf numFmtId="0" fontId="52" fillId="0" borderId="0" xfId="0" applyFont="1" applyBorder="1" applyAlignment="1">
      <alignment horizontal="right"/>
    </xf>
    <xf numFmtId="1" fontId="52" fillId="0" borderId="0" xfId="0" applyNumberFormat="1" applyFont="1" applyBorder="1" applyAlignment="1">
      <alignment horizontal="right"/>
    </xf>
    <xf numFmtId="1" fontId="53" fillId="0" borderId="0" xfId="0" applyNumberFormat="1" applyFont="1" applyBorder="1" applyAlignment="1">
      <alignment horizontal="right"/>
    </xf>
    <xf numFmtId="0" fontId="52" fillId="0" borderId="0" xfId="0" applyFont="1" applyBorder="1"/>
    <xf numFmtId="164" fontId="52" fillId="7" borderId="0" xfId="0" applyNumberFormat="1" applyFont="1" applyFill="1" applyBorder="1" applyAlignment="1">
      <alignment horizontal="right"/>
    </xf>
    <xf numFmtId="1" fontId="53" fillId="7" borderId="0" xfId="0" applyNumberFormat="1" applyFont="1" applyFill="1" applyBorder="1" applyAlignment="1">
      <alignment horizontal="right"/>
    </xf>
    <xf numFmtId="164" fontId="52" fillId="7" borderId="1" xfId="0" applyNumberFormat="1" applyFont="1" applyFill="1" applyBorder="1" applyAlignment="1">
      <alignment horizontal="right"/>
    </xf>
    <xf numFmtId="1" fontId="53" fillId="7" borderId="1" xfId="0" applyNumberFormat="1" applyFont="1" applyFill="1" applyBorder="1" applyAlignment="1">
      <alignment horizontal="right"/>
    </xf>
    <xf numFmtId="1" fontId="52" fillId="7" borderId="0" xfId="0" applyNumberFormat="1" applyFont="1" applyFill="1" applyBorder="1" applyAlignment="1">
      <alignment horizontal="right"/>
    </xf>
    <xf numFmtId="0" fontId="55" fillId="7" borderId="0" xfId="0" applyNumberFormat="1" applyFont="1" applyFill="1" applyBorder="1"/>
    <xf numFmtId="1" fontId="55" fillId="7" borderId="0" xfId="0" applyNumberFormat="1" applyFont="1" applyFill="1" applyBorder="1" applyAlignment="1">
      <alignment horizontal="right"/>
    </xf>
    <xf numFmtId="185" fontId="52" fillId="7" borderId="0" xfId="0" applyNumberFormat="1" applyFont="1" applyFill="1" applyBorder="1"/>
    <xf numFmtId="185" fontId="55" fillId="7" borderId="0" xfId="0" applyNumberFormat="1" applyFont="1" applyFill="1" applyBorder="1"/>
    <xf numFmtId="186" fontId="56" fillId="7" borderId="0" xfId="0" applyNumberFormat="1" applyFont="1" applyFill="1" applyBorder="1"/>
    <xf numFmtId="1" fontId="56" fillId="7" borderId="0" xfId="0" applyNumberFormat="1" applyFont="1" applyFill="1" applyBorder="1" applyAlignment="1">
      <alignment horizontal="right"/>
    </xf>
    <xf numFmtId="185" fontId="56" fillId="7" borderId="0" xfId="0" applyNumberFormat="1" applyFont="1" applyFill="1" applyBorder="1"/>
    <xf numFmtId="0" fontId="56" fillId="0" borderId="0" xfId="0" applyFont="1"/>
    <xf numFmtId="185" fontId="57" fillId="7" borderId="0" xfId="0" applyNumberFormat="1" applyFont="1" applyFill="1" applyBorder="1"/>
    <xf numFmtId="187" fontId="52" fillId="7" borderId="0" xfId="0" applyNumberFormat="1" applyFont="1" applyFill="1" applyBorder="1"/>
    <xf numFmtId="167" fontId="58" fillId="5" borderId="0" xfId="0" applyNumberFormat="1" applyFont="1" applyFill="1" applyBorder="1" applyAlignment="1">
      <alignment horizontal="right"/>
    </xf>
    <xf numFmtId="1" fontId="59" fillId="5" borderId="0" xfId="0" applyNumberFormat="1" applyFont="1" applyFill="1" applyBorder="1" applyAlignment="1">
      <alignment horizontal="right"/>
    </xf>
    <xf numFmtId="1" fontId="60" fillId="5" borderId="0" xfId="0" applyNumberFormat="1" applyFont="1" applyFill="1" applyBorder="1" applyAlignment="1">
      <alignment horizontal="right"/>
    </xf>
    <xf numFmtId="167" fontId="61" fillId="5" borderId="0" xfId="0" applyNumberFormat="1" applyFont="1" applyFill="1" applyBorder="1" applyAlignment="1">
      <alignment horizontal="right"/>
    </xf>
    <xf numFmtId="0" fontId="61" fillId="5" borderId="0" xfId="0" applyFont="1" applyFill="1"/>
    <xf numFmtId="186" fontId="56" fillId="0" borderId="0" xfId="0" applyNumberFormat="1" applyFont="1" applyBorder="1"/>
    <xf numFmtId="1" fontId="56" fillId="0" borderId="0" xfId="0" applyNumberFormat="1" applyFont="1" applyBorder="1" applyAlignment="1">
      <alignment horizontal="right"/>
    </xf>
    <xf numFmtId="185" fontId="56" fillId="0" borderId="0" xfId="0" applyNumberFormat="1" applyFont="1" applyBorder="1"/>
    <xf numFmtId="167" fontId="55" fillId="7" borderId="0" xfId="0" applyNumberFormat="1" applyFont="1" applyFill="1" applyBorder="1" applyAlignment="1">
      <alignment horizontal="right"/>
    </xf>
    <xf numFmtId="1" fontId="62" fillId="7" borderId="0" xfId="0" applyNumberFormat="1" applyFont="1" applyFill="1" applyBorder="1" applyAlignment="1">
      <alignment horizontal="right"/>
    </xf>
    <xf numFmtId="167" fontId="52" fillId="7" borderId="0" xfId="0" applyNumberFormat="1" applyFont="1" applyFill="1" applyBorder="1" applyAlignment="1">
      <alignment horizontal="right"/>
    </xf>
    <xf numFmtId="0" fontId="57" fillId="0" borderId="0" xfId="0" applyFont="1"/>
    <xf numFmtId="179" fontId="52" fillId="7" borderId="0" xfId="0" applyNumberFormat="1" applyFont="1" applyFill="1" applyBorder="1" applyAlignment="1">
      <alignment horizontal="right"/>
    </xf>
    <xf numFmtId="43" fontId="52" fillId="7" borderId="0" xfId="1" applyFont="1" applyFill="1" applyBorder="1" applyAlignment="1">
      <alignment horizontal="right"/>
    </xf>
    <xf numFmtId="0" fontId="52" fillId="0" borderId="0" xfId="0" applyFont="1" applyFill="1"/>
    <xf numFmtId="179" fontId="55" fillId="7" borderId="0" xfId="0" applyNumberFormat="1" applyFont="1" applyFill="1" applyBorder="1" applyAlignment="1">
      <alignment horizontal="right"/>
    </xf>
    <xf numFmtId="174" fontId="52" fillId="7" borderId="0" xfId="0" applyNumberFormat="1" applyFont="1" applyFill="1" applyBorder="1"/>
    <xf numFmtId="0" fontId="52" fillId="7" borderId="0" xfId="0" applyFont="1" applyFill="1" applyBorder="1"/>
    <xf numFmtId="179" fontId="52" fillId="7" borderId="0" xfId="0" applyNumberFormat="1" applyFont="1" applyFill="1" applyBorder="1"/>
    <xf numFmtId="174" fontId="52" fillId="7" borderId="4" xfId="0" applyNumberFormat="1" applyFont="1" applyFill="1" applyBorder="1"/>
    <xf numFmtId="1" fontId="53" fillId="7" borderId="4" xfId="0" applyNumberFormat="1" applyFont="1" applyFill="1" applyBorder="1" applyAlignment="1">
      <alignment horizontal="right"/>
    </xf>
    <xf numFmtId="186" fontId="52" fillId="7" borderId="4" xfId="0" applyNumberFormat="1" applyFont="1" applyFill="1" applyBorder="1"/>
    <xf numFmtId="2" fontId="53" fillId="0" borderId="0" xfId="0" quotePrefix="1" applyNumberFormat="1" applyFont="1" applyAlignment="1">
      <alignment horizontal="left"/>
    </xf>
    <xf numFmtId="179" fontId="52" fillId="0" borderId="0" xfId="0" applyNumberFormat="1" applyFont="1" applyFill="1" applyBorder="1" applyAlignment="1">
      <alignment horizontal="right"/>
    </xf>
    <xf numFmtId="3" fontId="53" fillId="0" borderId="0" xfId="0" applyNumberFormat="1" applyFont="1" applyFill="1" applyBorder="1" applyAlignment="1">
      <alignment horizontal="right"/>
    </xf>
    <xf numFmtId="179" fontId="53" fillId="0" borderId="0" xfId="0" applyNumberFormat="1" applyFont="1" applyFill="1" applyBorder="1" applyAlignment="1">
      <alignment horizontal="right"/>
    </xf>
    <xf numFmtId="0" fontId="53" fillId="0" borderId="0" xfId="0" applyFont="1"/>
    <xf numFmtId="187" fontId="55" fillId="7" borderId="0" xfId="0" applyNumberFormat="1" applyFont="1" applyFill="1" applyBorder="1"/>
    <xf numFmtId="0" fontId="52" fillId="0" borderId="0" xfId="0" applyNumberFormat="1" applyFont="1" applyFill="1" applyBorder="1"/>
    <xf numFmtId="174" fontId="52" fillId="0" borderId="0" xfId="0" applyNumberFormat="1" applyFont="1"/>
    <xf numFmtId="0" fontId="63" fillId="0" borderId="0" xfId="0" applyNumberFormat="1" applyFont="1" applyBorder="1"/>
    <xf numFmtId="49" fontId="64" fillId="0" borderId="0" xfId="0" applyNumberFormat="1" applyFont="1"/>
    <xf numFmtId="179" fontId="55" fillId="12" borderId="0" xfId="0" applyNumberFormat="1" applyFont="1" applyFill="1" applyBorder="1" applyAlignment="1">
      <alignment horizontal="right"/>
    </xf>
    <xf numFmtId="1" fontId="53" fillId="12" borderId="0" xfId="0" applyNumberFormat="1" applyFont="1" applyFill="1" applyBorder="1" applyAlignment="1">
      <alignment horizontal="right"/>
    </xf>
    <xf numFmtId="0" fontId="52" fillId="12" borderId="0" xfId="0" applyFont="1" applyFill="1"/>
    <xf numFmtId="164" fontId="13" fillId="6" borderId="0" xfId="0" applyNumberFormat="1" applyFont="1" applyFill="1" applyAlignment="1">
      <alignment horizontal="right"/>
    </xf>
    <xf numFmtId="0" fontId="52" fillId="0" borderId="5" xfId="0" applyFont="1" applyBorder="1"/>
    <xf numFmtId="179" fontId="55" fillId="4" borderId="0" xfId="0" applyNumberFormat="1" applyFont="1" applyFill="1" applyBorder="1" applyAlignment="1">
      <alignment horizontal="right"/>
    </xf>
    <xf numFmtId="1" fontId="53" fillId="4" borderId="0" xfId="0" applyNumberFormat="1" applyFont="1" applyFill="1" applyBorder="1" applyAlignment="1">
      <alignment horizontal="right"/>
    </xf>
    <xf numFmtId="0" fontId="52" fillId="4" borderId="0" xfId="0" applyFont="1" applyFill="1"/>
    <xf numFmtId="14" fontId="51" fillId="0" borderId="0" xfId="0" applyNumberFormat="1" applyFont="1"/>
    <xf numFmtId="0" fontId="0" fillId="0" borderId="0" xfId="0" applyNumberFormat="1"/>
    <xf numFmtId="0" fontId="2" fillId="13" borderId="0" xfId="0" applyFont="1" applyFill="1" applyBorder="1"/>
    <xf numFmtId="0" fontId="2" fillId="13" borderId="0" xfId="0" applyNumberFormat="1" applyFont="1" applyFill="1" applyBorder="1"/>
    <xf numFmtId="0" fontId="2" fillId="13" borderId="0" xfId="0" applyFont="1" applyFill="1" applyBorder="1" applyAlignment="1">
      <alignment horizontal="right"/>
    </xf>
    <xf numFmtId="3" fontId="2" fillId="13" borderId="0" xfId="0" applyNumberFormat="1" applyFont="1" applyFill="1" applyBorder="1" applyAlignment="1">
      <alignment horizontal="right"/>
    </xf>
    <xf numFmtId="0" fontId="2" fillId="13" borderId="0" xfId="0" applyFont="1" applyFill="1" applyBorder="1" applyProtection="1">
      <protection locked="0"/>
    </xf>
    <xf numFmtId="0" fontId="2" fillId="13" borderId="0" xfId="0" applyFont="1" applyFill="1" applyBorder="1" applyAlignment="1"/>
    <xf numFmtId="0" fontId="2" fillId="13" borderId="0" xfId="0" applyFont="1" applyFill="1"/>
    <xf numFmtId="49" fontId="0" fillId="0" borderId="0" xfId="0" applyNumberFormat="1"/>
    <xf numFmtId="165" fontId="14" fillId="4" borderId="0" xfId="1" applyNumberFormat="1" applyFont="1" applyFill="1"/>
    <xf numFmtId="165" fontId="15" fillId="4" borderId="0" xfId="1" applyNumberFormat="1" applyFont="1" applyFill="1"/>
    <xf numFmtId="43" fontId="15" fillId="4" borderId="0" xfId="1" applyNumberFormat="1" applyFont="1" applyFill="1"/>
    <xf numFmtId="1" fontId="14" fillId="0" borderId="0" xfId="0" applyNumberFormat="1" applyFont="1" applyFill="1"/>
    <xf numFmtId="1" fontId="14" fillId="0" borderId="0" xfId="0" applyNumberFormat="1" applyFont="1" applyFill="1" applyBorder="1" applyAlignment="1">
      <alignment horizontal="right"/>
    </xf>
    <xf numFmtId="41" fontId="14" fillId="0" borderId="0" xfId="0" applyNumberFormat="1" applyFont="1" applyFill="1"/>
    <xf numFmtId="0" fontId="71" fillId="0" borderId="0" xfId="0" applyFont="1"/>
    <xf numFmtId="0" fontId="55" fillId="4" borderId="0" xfId="0" applyFont="1" applyFill="1"/>
    <xf numFmtId="169" fontId="55" fillId="4" borderId="0" xfId="1" applyNumberFormat="1" applyFont="1" applyFill="1"/>
    <xf numFmtId="0" fontId="49" fillId="14" borderId="0" xfId="0" applyFont="1" applyFill="1"/>
    <xf numFmtId="0" fontId="50" fillId="14" borderId="0" xfId="0" applyFont="1" applyFill="1"/>
    <xf numFmtId="0" fontId="49" fillId="14" borderId="0" xfId="0" applyFont="1" applyFill="1" applyAlignment="1">
      <alignment horizontal="right"/>
    </xf>
    <xf numFmtId="165" fontId="14" fillId="8" borderId="0" xfId="0" applyNumberFormat="1" applyFont="1" applyFill="1" applyAlignment="1">
      <alignment horizontal="right"/>
    </xf>
    <xf numFmtId="9" fontId="14" fillId="0" borderId="0" xfId="2" applyFont="1" applyFill="1"/>
    <xf numFmtId="9" fontId="24" fillId="0" borderId="0" xfId="2" applyFont="1" applyFill="1" applyAlignment="1">
      <alignment horizontal="right"/>
    </xf>
    <xf numFmtId="39" fontId="48" fillId="0" borderId="0" xfId="0" applyNumberFormat="1" applyFont="1" applyFill="1"/>
    <xf numFmtId="37" fontId="39" fillId="8" borderId="0" xfId="0" applyNumberFormat="1" applyFont="1" applyFill="1" applyAlignment="1">
      <alignment horizontal="right"/>
    </xf>
    <xf numFmtId="39" fontId="39" fillId="8" borderId="0" xfId="0" applyNumberFormat="1" applyFont="1" applyFill="1" applyBorder="1" applyAlignment="1">
      <alignment horizontal="right"/>
    </xf>
    <xf numFmtId="185" fontId="14" fillId="0" borderId="0" xfId="0" applyNumberFormat="1" applyFont="1" applyFill="1" applyBorder="1" applyAlignment="1">
      <alignment horizontal="right"/>
    </xf>
    <xf numFmtId="204" fontId="51" fillId="0" borderId="0" xfId="2" applyNumberFormat="1" applyFont="1"/>
    <xf numFmtId="164" fontId="52" fillId="7" borderId="16" xfId="0" applyNumberFormat="1" applyFont="1" applyFill="1" applyBorder="1" applyAlignment="1">
      <alignment horizontal="right"/>
    </xf>
    <xf numFmtId="1" fontId="53" fillId="7" borderId="16" xfId="0" applyNumberFormat="1" applyFont="1" applyFill="1" applyBorder="1" applyAlignment="1">
      <alignment horizontal="right"/>
    </xf>
    <xf numFmtId="0" fontId="54" fillId="7" borderId="17" xfId="0" applyNumberFormat="1" applyFont="1" applyFill="1" applyBorder="1"/>
    <xf numFmtId="1" fontId="53" fillId="7" borderId="18" xfId="0" applyNumberFormat="1" applyFont="1" applyFill="1" applyBorder="1" applyAlignment="1">
      <alignment horizontal="right"/>
    </xf>
    <xf numFmtId="0" fontId="52" fillId="7" borderId="19" xfId="0" applyNumberFormat="1" applyFont="1" applyFill="1" applyBorder="1"/>
    <xf numFmtId="1" fontId="53" fillId="7" borderId="20" xfId="0" applyNumberFormat="1" applyFont="1" applyFill="1" applyBorder="1" applyAlignment="1">
      <alignment horizontal="right"/>
    </xf>
    <xf numFmtId="0" fontId="52" fillId="7" borderId="21" xfId="0" applyNumberFormat="1" applyFont="1" applyFill="1" applyBorder="1"/>
    <xf numFmtId="1" fontId="53" fillId="7" borderId="22" xfId="0" applyNumberFormat="1" applyFont="1" applyFill="1" applyBorder="1" applyAlignment="1">
      <alignment horizontal="right"/>
    </xf>
    <xf numFmtId="0" fontId="55" fillId="7" borderId="19" xfId="0" applyNumberFormat="1" applyFont="1" applyFill="1" applyBorder="1"/>
    <xf numFmtId="0" fontId="56" fillId="7" borderId="19" xfId="0" applyNumberFormat="1" applyFont="1" applyFill="1" applyBorder="1"/>
    <xf numFmtId="1" fontId="56" fillId="7" borderId="20" xfId="0" applyNumberFormat="1" applyFont="1" applyFill="1" applyBorder="1" applyAlignment="1">
      <alignment horizontal="right"/>
    </xf>
    <xf numFmtId="41" fontId="52" fillId="7" borderId="19" xfId="0" applyNumberFormat="1" applyFont="1" applyFill="1" applyBorder="1"/>
    <xf numFmtId="0" fontId="58" fillId="5" borderId="19" xfId="0" applyNumberFormat="1" applyFont="1" applyFill="1" applyBorder="1"/>
    <xf numFmtId="1" fontId="60" fillId="5" borderId="20" xfId="0" applyNumberFormat="1" applyFont="1" applyFill="1" applyBorder="1" applyAlignment="1">
      <alignment horizontal="right"/>
    </xf>
    <xf numFmtId="0" fontId="56" fillId="0" borderId="19" xfId="0" applyNumberFormat="1" applyFont="1" applyBorder="1"/>
    <xf numFmtId="1" fontId="56" fillId="0" borderId="20" xfId="0" applyNumberFormat="1" applyFont="1" applyBorder="1" applyAlignment="1">
      <alignment horizontal="right"/>
    </xf>
    <xf numFmtId="0" fontId="55" fillId="12" borderId="19" xfId="0" applyNumberFormat="1" applyFont="1" applyFill="1" applyBorder="1"/>
    <xf numFmtId="1" fontId="53" fillId="12" borderId="20" xfId="0" applyNumberFormat="1" applyFont="1" applyFill="1" applyBorder="1" applyAlignment="1">
      <alignment horizontal="right"/>
    </xf>
    <xf numFmtId="0" fontId="53" fillId="7" borderId="19" xfId="0" applyNumberFormat="1" applyFont="1" applyFill="1" applyBorder="1"/>
    <xf numFmtId="0" fontId="14" fillId="0" borderId="19" xfId="0" applyNumberFormat="1" applyFont="1" applyFill="1" applyBorder="1"/>
    <xf numFmtId="0" fontId="52" fillId="7" borderId="23" xfId="0" applyNumberFormat="1" applyFont="1" applyFill="1" applyBorder="1"/>
    <xf numFmtId="179" fontId="52" fillId="7" borderId="15" xfId="0" applyNumberFormat="1" applyFont="1" applyFill="1" applyBorder="1"/>
    <xf numFmtId="1" fontId="53" fillId="7" borderId="15" xfId="0" applyNumberFormat="1" applyFont="1" applyFill="1" applyBorder="1" applyAlignment="1">
      <alignment horizontal="right"/>
    </xf>
    <xf numFmtId="174" fontId="52" fillId="7" borderId="15" xfId="0" applyNumberFormat="1" applyFont="1" applyFill="1" applyBorder="1"/>
    <xf numFmtId="1" fontId="53" fillId="7" borderId="24" xfId="0" applyNumberFormat="1" applyFont="1" applyFill="1" applyBorder="1" applyAlignment="1">
      <alignment horizontal="right"/>
    </xf>
    <xf numFmtId="9" fontId="13" fillId="0" borderId="0" xfId="2" applyFont="1" applyFill="1" applyAlignment="1">
      <alignment horizontal="right"/>
    </xf>
    <xf numFmtId="37" fontId="115" fillId="0" borderId="0" xfId="0" applyNumberFormat="1" applyFont="1" applyFill="1" applyAlignment="1">
      <alignment horizontal="right"/>
    </xf>
    <xf numFmtId="3" fontId="116" fillId="6" borderId="0" xfId="0" applyNumberFormat="1" applyFont="1" applyFill="1" applyAlignment="1">
      <alignment horizontal="right"/>
    </xf>
    <xf numFmtId="37" fontId="115" fillId="6" borderId="0" xfId="0" applyNumberFormat="1" applyFont="1" applyFill="1" applyBorder="1" applyAlignment="1">
      <alignment horizontal="right"/>
    </xf>
    <xf numFmtId="3" fontId="117" fillId="6" borderId="0" xfId="0" applyNumberFormat="1" applyFont="1" applyFill="1" applyAlignment="1">
      <alignment horizontal="right"/>
    </xf>
    <xf numFmtId="41" fontId="118" fillId="9" borderId="0" xfId="0" applyNumberFormat="1" applyFont="1" applyFill="1" applyBorder="1" applyAlignment="1">
      <alignment horizontal="right"/>
    </xf>
    <xf numFmtId="168" fontId="19" fillId="0" borderId="0" xfId="0" applyNumberFormat="1" applyFont="1" applyFill="1" applyBorder="1" applyAlignment="1">
      <alignment horizontal="right"/>
    </xf>
    <xf numFmtId="3" fontId="117" fillId="0" borderId="0" xfId="0" applyNumberFormat="1" applyFont="1" applyFill="1" applyAlignment="1">
      <alignment horizontal="right"/>
    </xf>
    <xf numFmtId="37" fontId="15" fillId="0" borderId="0" xfId="0" applyNumberFormat="1" applyFont="1" applyFill="1" applyAlignment="1">
      <alignment horizontal="right"/>
    </xf>
    <xf numFmtId="3" fontId="117" fillId="0" borderId="0" xfId="0" applyNumberFormat="1" applyFont="1" applyFill="1" applyBorder="1" applyAlignment="1">
      <alignment horizontal="right"/>
    </xf>
    <xf numFmtId="37" fontId="119" fillId="6" borderId="0" xfId="0" applyNumberFormat="1" applyFont="1" applyFill="1" applyBorder="1" applyAlignment="1">
      <alignment horizontal="right"/>
    </xf>
    <xf numFmtId="37" fontId="120" fillId="6" borderId="0" xfId="0" applyNumberFormat="1" applyFont="1" applyFill="1" applyBorder="1" applyAlignment="1">
      <alignment horizontal="right"/>
    </xf>
    <xf numFmtId="185" fontId="53" fillId="7" borderId="0" xfId="0" applyNumberFormat="1" applyFont="1" applyFill="1" applyBorder="1" applyAlignment="1">
      <alignment horizontal="right"/>
    </xf>
    <xf numFmtId="185" fontId="62" fillId="7" borderId="0" xfId="0" applyNumberFormat="1" applyFont="1" applyFill="1" applyBorder="1" applyAlignment="1">
      <alignment horizontal="right"/>
    </xf>
    <xf numFmtId="43" fontId="17" fillId="0" borderId="0" xfId="1" applyNumberFormat="1" applyFont="1" applyFill="1" applyAlignment="1">
      <alignment horizontal="right"/>
    </xf>
    <xf numFmtId="39" fontId="16" fillId="0" borderId="0" xfId="0" applyNumberFormat="1" applyFont="1" applyFill="1" applyBorder="1" applyAlignment="1">
      <alignment horizontal="right"/>
    </xf>
    <xf numFmtId="43" fontId="37" fillId="0" borderId="0" xfId="0" applyNumberFormat="1" applyFont="1" applyFill="1" applyAlignment="1">
      <alignment horizontal="right"/>
    </xf>
    <xf numFmtId="37" fontId="121" fillId="6" borderId="0" xfId="0" applyNumberFormat="1" applyFont="1" applyFill="1" applyBorder="1" applyAlignment="1">
      <alignment horizontal="right"/>
    </xf>
    <xf numFmtId="0" fontId="2" fillId="7" borderId="0" xfId="0" applyFont="1" applyFill="1" applyBorder="1"/>
    <xf numFmtId="0" fontId="21" fillId="7" borderId="0" xfId="0" applyFont="1" applyFill="1" applyBorder="1"/>
    <xf numFmtId="0" fontId="19" fillId="7" borderId="0" xfId="0" applyFont="1" applyFill="1" applyBorder="1"/>
    <xf numFmtId="0" fontId="25" fillId="7" borderId="0" xfId="0" applyFont="1" applyFill="1" applyBorder="1"/>
    <xf numFmtId="0" fontId="15" fillId="7" borderId="0" xfId="0" applyFont="1" applyFill="1" applyBorder="1"/>
    <xf numFmtId="0" fontId="14" fillId="7" borderId="0" xfId="0" applyFont="1" applyFill="1" applyBorder="1"/>
    <xf numFmtId="0" fontId="16" fillId="7" borderId="0" xfId="0" applyFont="1" applyFill="1" applyBorder="1"/>
    <xf numFmtId="43" fontId="14" fillId="7" borderId="0" xfId="0" applyNumberFormat="1" applyFont="1" applyFill="1" applyBorder="1"/>
    <xf numFmtId="0" fontId="14" fillId="7" borderId="0" xfId="0" applyFont="1" applyFill="1" applyBorder="1" applyAlignment="1">
      <alignment horizontal="right"/>
    </xf>
    <xf numFmtId="37" fontId="14" fillId="7" borderId="0" xfId="0" applyNumberFormat="1" applyFont="1" applyFill="1" applyBorder="1"/>
    <xf numFmtId="0" fontId="37" fillId="7" borderId="0" xfId="0" applyFont="1" applyFill="1" applyBorder="1"/>
    <xf numFmtId="0" fontId="65" fillId="0" borderId="0" xfId="119"/>
    <xf numFmtId="204" fontId="16" fillId="0" borderId="0" xfId="2" applyNumberFormat="1" applyFont="1" applyFill="1" applyAlignment="1">
      <alignment horizontal="right"/>
    </xf>
    <xf numFmtId="164" fontId="52" fillId="7" borderId="22" xfId="0" applyNumberFormat="1" applyFont="1" applyFill="1" applyBorder="1" applyAlignment="1">
      <alignment horizontal="right"/>
    </xf>
    <xf numFmtId="0" fontId="55" fillId="4" borderId="19" xfId="0" applyNumberFormat="1" applyFont="1" applyFill="1" applyBorder="1"/>
    <xf numFmtId="0" fontId="52" fillId="0" borderId="15" xfId="0" applyFont="1" applyBorder="1"/>
    <xf numFmtId="186" fontId="52" fillId="7" borderId="15" xfId="0" applyNumberFormat="1" applyFont="1" applyFill="1" applyBorder="1"/>
    <xf numFmtId="0" fontId="52" fillId="0" borderId="20" xfId="0" applyFont="1" applyBorder="1"/>
    <xf numFmtId="1" fontId="53" fillId="4" borderId="20" xfId="0" applyNumberFormat="1" applyFont="1" applyFill="1" applyBorder="1" applyAlignment="1">
      <alignment horizontal="right"/>
    </xf>
    <xf numFmtId="0" fontId="52" fillId="0" borderId="24" xfId="0" applyFont="1" applyBorder="1"/>
    <xf numFmtId="2" fontId="53" fillId="0" borderId="0" xfId="0" quotePrefix="1" applyNumberFormat="1" applyFont="1" applyBorder="1" applyAlignment="1">
      <alignment horizontal="left"/>
    </xf>
    <xf numFmtId="0" fontId="54" fillId="7" borderId="25" xfId="0" applyNumberFormat="1" applyFont="1" applyFill="1" applyBorder="1"/>
    <xf numFmtId="164" fontId="52" fillId="7" borderId="26" xfId="0" applyNumberFormat="1" applyFont="1" applyFill="1" applyBorder="1" applyAlignment="1">
      <alignment horizontal="right"/>
    </xf>
    <xf numFmtId="1" fontId="53" fillId="7" borderId="26" xfId="0" applyNumberFormat="1" applyFont="1" applyFill="1" applyBorder="1" applyAlignment="1">
      <alignment horizontal="right"/>
    </xf>
    <xf numFmtId="1" fontId="53" fillId="7" borderId="27" xfId="0" applyNumberFormat="1" applyFont="1" applyFill="1" applyBorder="1" applyAlignment="1">
      <alignment horizontal="right"/>
    </xf>
    <xf numFmtId="0" fontId="52" fillId="7" borderId="28" xfId="0" applyNumberFormat="1" applyFont="1" applyFill="1" applyBorder="1"/>
    <xf numFmtId="1" fontId="53" fillId="7" borderId="29" xfId="0" applyNumberFormat="1" applyFont="1" applyFill="1" applyBorder="1" applyAlignment="1">
      <alignment horizontal="right"/>
    </xf>
    <xf numFmtId="0" fontId="52" fillId="7" borderId="30" xfId="0" applyNumberFormat="1" applyFont="1" applyFill="1" applyBorder="1"/>
    <xf numFmtId="164" fontId="52" fillId="7" borderId="31" xfId="0" applyNumberFormat="1" applyFont="1" applyFill="1" applyBorder="1" applyAlignment="1">
      <alignment horizontal="right"/>
    </xf>
    <xf numFmtId="0" fontId="55" fillId="7" borderId="28" xfId="0" applyNumberFormat="1" applyFont="1" applyFill="1" applyBorder="1"/>
    <xf numFmtId="0" fontId="56" fillId="7" borderId="28" xfId="0" applyNumberFormat="1" applyFont="1" applyFill="1" applyBorder="1"/>
    <xf numFmtId="1" fontId="56" fillId="7" borderId="29" xfId="0" applyNumberFormat="1" applyFont="1" applyFill="1" applyBorder="1" applyAlignment="1">
      <alignment horizontal="right"/>
    </xf>
    <xf numFmtId="41" fontId="52" fillId="7" borderId="28" xfId="0" applyNumberFormat="1" applyFont="1" applyFill="1" applyBorder="1"/>
    <xf numFmtId="0" fontId="58" fillId="5" borderId="28" xfId="0" applyNumberFormat="1" applyFont="1" applyFill="1" applyBorder="1"/>
    <xf numFmtId="1" fontId="60" fillId="5" borderId="29" xfId="0" applyNumberFormat="1" applyFont="1" applyFill="1" applyBorder="1" applyAlignment="1">
      <alignment horizontal="right"/>
    </xf>
    <xf numFmtId="0" fontId="56" fillId="0" borderId="28" xfId="0" applyNumberFormat="1" applyFont="1" applyBorder="1"/>
    <xf numFmtId="1" fontId="56" fillId="0" borderId="29" xfId="0" applyNumberFormat="1" applyFont="1" applyBorder="1" applyAlignment="1">
      <alignment horizontal="right"/>
    </xf>
    <xf numFmtId="0" fontId="55" fillId="12" borderId="28" xfId="0" applyNumberFormat="1" applyFont="1" applyFill="1" applyBorder="1"/>
    <xf numFmtId="1" fontId="53" fillId="12" borderId="29" xfId="0" applyNumberFormat="1" applyFont="1" applyFill="1" applyBorder="1" applyAlignment="1">
      <alignment horizontal="right"/>
    </xf>
    <xf numFmtId="0" fontId="53" fillId="7" borderId="28" xfId="0" applyNumberFormat="1" applyFont="1" applyFill="1" applyBorder="1"/>
    <xf numFmtId="0" fontId="14" fillId="0" borderId="28" xfId="0" applyNumberFormat="1" applyFont="1" applyFill="1" applyBorder="1"/>
    <xf numFmtId="0" fontId="52" fillId="7" borderId="32" xfId="0" applyNumberFormat="1" applyFont="1" applyFill="1" applyBorder="1"/>
    <xf numFmtId="1" fontId="53" fillId="7" borderId="33" xfId="0" applyNumberFormat="1" applyFont="1" applyFill="1" applyBorder="1" applyAlignment="1">
      <alignment horizontal="right"/>
    </xf>
    <xf numFmtId="2" fontId="53" fillId="0" borderId="28" xfId="0" quotePrefix="1" applyNumberFormat="1" applyFont="1" applyBorder="1" applyAlignment="1">
      <alignment horizontal="left"/>
    </xf>
    <xf numFmtId="0" fontId="53" fillId="0" borderId="29" xfId="0" applyFont="1" applyBorder="1"/>
    <xf numFmtId="0" fontId="54" fillId="7" borderId="34" xfId="0" applyNumberFormat="1" applyFont="1" applyFill="1" applyBorder="1"/>
    <xf numFmtId="1" fontId="53" fillId="7" borderId="35" xfId="0" applyNumberFormat="1" applyFont="1" applyFill="1" applyBorder="1" applyAlignment="1">
      <alignment horizontal="right"/>
    </xf>
    <xf numFmtId="1" fontId="53" fillId="7" borderId="31" xfId="0" applyNumberFormat="1" applyFont="1" applyFill="1" applyBorder="1" applyAlignment="1">
      <alignment horizontal="right"/>
    </xf>
    <xf numFmtId="0" fontId="52" fillId="7" borderId="36" xfId="0" applyNumberFormat="1" applyFont="1" applyFill="1" applyBorder="1"/>
    <xf numFmtId="179" fontId="52" fillId="7" borderId="37" xfId="0" applyNumberFormat="1" applyFont="1" applyFill="1" applyBorder="1"/>
    <xf numFmtId="1" fontId="53" fillId="7" borderId="37" xfId="0" applyNumberFormat="1" applyFont="1" applyFill="1" applyBorder="1" applyAlignment="1">
      <alignment horizontal="right"/>
    </xf>
    <xf numFmtId="174" fontId="52" fillId="7" borderId="37" xfId="0" applyNumberFormat="1" applyFont="1" applyFill="1" applyBorder="1"/>
    <xf numFmtId="1" fontId="53" fillId="7" borderId="38" xfId="0" applyNumberFormat="1" applyFont="1" applyFill="1" applyBorder="1" applyAlignment="1">
      <alignment horizontal="right"/>
    </xf>
    <xf numFmtId="169" fontId="52" fillId="7" borderId="0" xfId="1" applyNumberFormat="1" applyFont="1" applyFill="1"/>
    <xf numFmtId="43" fontId="0" fillId="0" borderId="0" xfId="0" applyNumberFormat="1"/>
    <xf numFmtId="3" fontId="122" fillId="6" borderId="0" xfId="0" applyNumberFormat="1" applyFont="1" applyFill="1" applyAlignment="1">
      <alignment horizontal="right"/>
    </xf>
    <xf numFmtId="49" fontId="38" fillId="0" borderId="0" xfId="1" applyNumberFormat="1" applyFont="1" applyFill="1" applyBorder="1" applyAlignment="1">
      <alignment horizontal="left"/>
    </xf>
    <xf numFmtId="0" fontId="65" fillId="20" borderId="0" xfId="154" applyFont="1" applyFill="1" applyAlignment="1">
      <alignment vertical="top"/>
    </xf>
    <xf numFmtId="0" fontId="65" fillId="20" borderId="0" xfId="119" applyFill="1" applyAlignment="1">
      <alignment vertical="top"/>
    </xf>
    <xf numFmtId="0" fontId="65" fillId="20" borderId="0" xfId="119" applyFill="1"/>
    <xf numFmtId="0" fontId="124" fillId="20" borderId="0" xfId="154" applyFont="1" applyFill="1" applyAlignment="1">
      <alignment horizontal="left" vertical="top"/>
    </xf>
    <xf numFmtId="0" fontId="65" fillId="20" borderId="0" xfId="119" applyFont="1" applyFill="1" applyAlignment="1">
      <alignment vertical="top"/>
    </xf>
    <xf numFmtId="0" fontId="125" fillId="20" borderId="0" xfId="154" applyFont="1" applyFill="1" applyAlignment="1">
      <alignment vertical="top"/>
    </xf>
    <xf numFmtId="0" fontId="0" fillId="20" borderId="0" xfId="0" applyFill="1" applyAlignment="1">
      <alignment vertical="top"/>
    </xf>
    <xf numFmtId="0" fontId="126" fillId="20" borderId="0" xfId="0" applyFont="1" applyFill="1" applyAlignment="1">
      <alignment vertical="top"/>
    </xf>
    <xf numFmtId="0" fontId="127" fillId="20" borderId="0" xfId="0" applyFont="1" applyFill="1" applyAlignment="1">
      <alignment vertical="top"/>
    </xf>
    <xf numFmtId="0" fontId="127" fillId="20" borderId="0" xfId="0" applyFont="1" applyFill="1" applyAlignment="1">
      <alignment vertical="top"/>
    </xf>
    <xf numFmtId="0" fontId="126" fillId="20" borderId="0" xfId="0" applyFont="1" applyFill="1" applyAlignment="1">
      <alignment vertical="top"/>
    </xf>
    <xf numFmtId="0" fontId="0" fillId="20" borderId="0" xfId="0" applyFill="1" applyAlignment="1">
      <alignment vertical="top"/>
    </xf>
    <xf numFmtId="0" fontId="0" fillId="20" borderId="43" xfId="0" applyFill="1" applyBorder="1" applyAlignment="1">
      <alignment vertical="top"/>
    </xf>
    <xf numFmtId="0" fontId="126" fillId="20" borderId="39" xfId="0" applyFont="1" applyFill="1" applyBorder="1" applyAlignment="1">
      <alignment vertical="top"/>
    </xf>
    <xf numFmtId="0" fontId="126" fillId="20" borderId="40" xfId="0" applyFont="1" applyFill="1" applyBorder="1" applyAlignment="1">
      <alignment vertical="top"/>
    </xf>
    <xf numFmtId="0" fontId="126" fillId="20" borderId="41" xfId="0" applyFont="1" applyFill="1" applyBorder="1" applyAlignment="1">
      <alignment vertical="top"/>
    </xf>
    <xf numFmtId="0" fontId="126" fillId="20" borderId="42" xfId="0" applyFont="1" applyFill="1" applyBorder="1" applyAlignment="1">
      <alignment vertical="top"/>
    </xf>
    <xf numFmtId="9" fontId="126" fillId="20" borderId="39" xfId="0" applyNumberFormat="1" applyFont="1" applyFill="1" applyBorder="1" applyAlignment="1">
      <alignment vertical="top"/>
    </xf>
    <xf numFmtId="3" fontId="126" fillId="20" borderId="39" xfId="0" applyNumberFormat="1" applyFont="1" applyFill="1" applyBorder="1" applyAlignment="1">
      <alignment vertical="top"/>
    </xf>
    <xf numFmtId="0" fontId="0" fillId="20" borderId="44" xfId="0" applyFill="1" applyBorder="1" applyAlignment="1">
      <alignment vertical="top"/>
    </xf>
    <xf numFmtId="2" fontId="65" fillId="0" borderId="0" xfId="119" applyNumberFormat="1" applyAlignment="1">
      <alignment horizontal="left"/>
    </xf>
    <xf numFmtId="0" fontId="65" fillId="0" borderId="0" xfId="119" applyNumberFormat="1" applyAlignment="1">
      <alignment horizontal="left"/>
    </xf>
    <xf numFmtId="1" fontId="65" fillId="0" borderId="0" xfId="119" applyNumberFormat="1" applyAlignment="1">
      <alignment horizontal="left"/>
    </xf>
    <xf numFmtId="0" fontId="65" fillId="0" borderId="0" xfId="119" applyFont="1"/>
    <xf numFmtId="215" fontId="65" fillId="0" borderId="0" xfId="119" applyNumberFormat="1" applyAlignment="1">
      <alignment horizontal="left"/>
    </xf>
    <xf numFmtId="49" fontId="65" fillId="0" borderId="0" xfId="119" applyNumberFormat="1"/>
  </cellXfs>
  <cellStyles count="155">
    <cellStyle name="-" xfId="32"/>
    <cellStyle name="$ 0 decimal" xfId="33"/>
    <cellStyle name="$ 1 decimal" xfId="34"/>
    <cellStyle name="$ 2 decimals" xfId="35"/>
    <cellStyle name="%" xfId="36"/>
    <cellStyle name="?? [0.00]_HELPDESK_jp1.xls Chart 1" xfId="37"/>
    <cellStyle name="_%(SignOnly)" xfId="15"/>
    <cellStyle name="_%(SignSpaceOnly)" xfId="17"/>
    <cellStyle name="_Comma" xfId="11"/>
    <cellStyle name="_Currency" xfId="12"/>
    <cellStyle name="_CurrencySpace" xfId="13"/>
    <cellStyle name="_Euro" xfId="14"/>
    <cellStyle name="_Heading" xfId="8"/>
    <cellStyle name="_Highlight" xfId="9"/>
    <cellStyle name="_Multiple" xfId="10"/>
    <cellStyle name="_MultipleSpace" xfId="19"/>
    <cellStyle name="_RRS1" xfId="38"/>
    <cellStyle name="_RRS6" xfId="39"/>
    <cellStyle name="_SubHeading" xfId="16"/>
    <cellStyle name="_SUMMARY " xfId="23"/>
    <cellStyle name="_Table" xfId="18"/>
    <cellStyle name="_TableHead" xfId="7"/>
    <cellStyle name="_TableRowHead" xfId="5"/>
    <cellStyle name="_TableSuperHead" xfId="6"/>
    <cellStyle name="’Ê‰Ý [0.00]_GE 3 MINIMUM" xfId="40"/>
    <cellStyle name="’Ê‰Ý_GE 3 MINIMUM" xfId="41"/>
    <cellStyle name="£ BP" xfId="42"/>
    <cellStyle name="¥ 0 decimal" xfId="43"/>
    <cellStyle name="¥ JY" xfId="44"/>
    <cellStyle name="=C:\WINNT35\SYSTEM32\COMMAND.COM" xfId="45"/>
    <cellStyle name="•W€_Comparables" xfId="46"/>
    <cellStyle name="•W_GE 3 MINIMUM" xfId="47"/>
    <cellStyle name="0" xfId="48"/>
    <cellStyle name="0%" xfId="49"/>
    <cellStyle name="0.0" xfId="50"/>
    <cellStyle name="0.0%" xfId="51"/>
    <cellStyle name="0.0_Diageo FRS 17 and Capacity" xfId="52"/>
    <cellStyle name="0.00" xfId="53"/>
    <cellStyle name="0.00%" xfId="54"/>
    <cellStyle name="0_Capex &amp; Depreciation " xfId="24"/>
    <cellStyle name="0_Valuing BP " xfId="25"/>
    <cellStyle name="1,comma" xfId="55"/>
    <cellStyle name="752131" xfId="56"/>
    <cellStyle name="Acctg" xfId="57"/>
    <cellStyle name="Band 2" xfId="58"/>
    <cellStyle name="Blue" xfId="59"/>
    <cellStyle name="Bold/Border" xfId="60"/>
    <cellStyle name="Border" xfId="61"/>
    <cellStyle name="Bullet" xfId="62"/>
    <cellStyle name="c_HardInc " xfId="26"/>
    <cellStyle name="C05_Style E Text" xfId="63"/>
    <cellStyle name="Cents" xfId="64"/>
    <cellStyle name="Changeable" xfId="65"/>
    <cellStyle name="ColumnHeadings" xfId="66"/>
    <cellStyle name="ColumnHeadings2" xfId="67"/>
    <cellStyle name="Comma" xfId="1" builtinId="3"/>
    <cellStyle name="Comma  - Style1" xfId="68"/>
    <cellStyle name="Comma  - Style2" xfId="69"/>
    <cellStyle name="Comma  - Style3" xfId="70"/>
    <cellStyle name="Comma  - Style4" xfId="71"/>
    <cellStyle name="Comma  - Style5" xfId="72"/>
    <cellStyle name="Comma  - Style6" xfId="73"/>
    <cellStyle name="Comma  - Style7" xfId="74"/>
    <cellStyle name="Comma  - Style8" xfId="75"/>
    <cellStyle name="Comma 2" xfId="31"/>
    <cellStyle name="Comment" xfId="76"/>
    <cellStyle name="CompanyName" xfId="77"/>
    <cellStyle name="Currency 2" xfId="22"/>
    <cellStyle name="Currency 3" xfId="78"/>
    <cellStyle name="Currency 4" xfId="79"/>
    <cellStyle name="Dash" xfId="80"/>
    <cellStyle name="date" xfId="81"/>
    <cellStyle name="Date2" xfId="82"/>
    <cellStyle name="Decimal" xfId="83"/>
    <cellStyle name="decimal 0" xfId="84"/>
    <cellStyle name="decimal 1" xfId="85"/>
    <cellStyle name="decimal 2" xfId="86"/>
    <cellStyle name="Dollar" xfId="87"/>
    <cellStyle name="Dollars" xfId="88"/>
    <cellStyle name="Euro" xfId="89"/>
    <cellStyle name="Fail" xfId="90"/>
    <cellStyle name="FieldName" xfId="91"/>
    <cellStyle name="FiscalPeriod" xfId="92"/>
    <cellStyle name="Fixed" xfId="93"/>
    <cellStyle name="Footnote8ital" xfId="94"/>
    <cellStyle name="G02 Table Text" xfId="95"/>
    <cellStyle name="G04_Main head" xfId="96"/>
    <cellStyle name="G05 Tab Head Bold" xfId="97"/>
    <cellStyle name="G05 Tab Head Light" xfId="98"/>
    <cellStyle name="Green" xfId="99"/>
    <cellStyle name="Grey" xfId="100"/>
    <cellStyle name="hard no" xfId="101"/>
    <cellStyle name="hardno" xfId="102"/>
    <cellStyle name="Header1" xfId="103"/>
    <cellStyle name="Header2" xfId="104"/>
    <cellStyle name="Heading11Bold" xfId="105"/>
    <cellStyle name="Heading12Bold" xfId="106"/>
    <cellStyle name="Hidden" xfId="107"/>
    <cellStyle name="High" xfId="108"/>
    <cellStyle name="Hyperlink" xfId="3" builtinId="8"/>
    <cellStyle name="Input [yellow]" xfId="109"/>
    <cellStyle name="InputBlueFont" xfId="110"/>
    <cellStyle name="Integer" xfId="111"/>
    <cellStyle name="Italic" xfId="112"/>
    <cellStyle name="MetricLabel" xfId="113"/>
    <cellStyle name="MetricLabelBlue" xfId="114"/>
    <cellStyle name="MetricValue" xfId="115"/>
    <cellStyle name="MonthYears" xfId="116"/>
    <cellStyle name="no dec" xfId="117"/>
    <cellStyle name="No.s to 1dp" xfId="118"/>
    <cellStyle name="Normal" xfId="0" builtinId="0"/>
    <cellStyle name="Normal - Style1" xfId="119"/>
    <cellStyle name="Normal 2" xfId="20"/>
    <cellStyle name="Normal Bold" xfId="120"/>
    <cellStyle name="Normal_DisclaimerSheet Samples" xfId="154"/>
    <cellStyle name="Normal_HIG" xfId="4"/>
    <cellStyle name="Normal10pt" xfId="121"/>
    <cellStyle name="Normal9pt" xfId="122"/>
    <cellStyle name="Normalny_Ferrum . Valuation . CA IB . 8" xfId="123"/>
    <cellStyle name="number" xfId="124"/>
    <cellStyle name="Œ…‹æØ‚è [0.00]_GE 3 MINIMUM" xfId="125"/>
    <cellStyle name="Œ…‹æØ‚è_GE 3 MINIMUM" xfId="126"/>
    <cellStyle name="onedecimal" xfId="127"/>
    <cellStyle name="outh America" xfId="128"/>
    <cellStyle name="p " xfId="27"/>
    <cellStyle name="Pass" xfId="129"/>
    <cellStyle name="Percent" xfId="2" builtinId="5"/>
    <cellStyle name="Percent [2]" xfId="130"/>
    <cellStyle name="percent 1 decimal" xfId="131"/>
    <cellStyle name="percent 2 decimal" xfId="132"/>
    <cellStyle name="percent no decimal" xfId="133"/>
    <cellStyle name="Price" xfId="134"/>
    <cellStyle name="ProtectedDates" xfId="135"/>
    <cellStyle name="RED" xfId="136"/>
    <cellStyle name="Restruct" xfId="137"/>
    <cellStyle name="RRSInstruction" xfId="21"/>
    <cellStyle name="RRSInstruction 2" xfId="138"/>
    <cellStyle name="s_HardInc " xfId="28"/>
    <cellStyle name="s_Valuation " xfId="29"/>
    <cellStyle name="ssp " xfId="30"/>
    <cellStyle name="Style 1" xfId="139"/>
    <cellStyle name="Style 2" xfId="140"/>
    <cellStyle name="textbold" xfId="141"/>
    <cellStyle name="Titles" xfId="142"/>
    <cellStyle name="Totals" xfId="143"/>
    <cellStyle name="underline" xfId="144"/>
    <cellStyle name="underline 1 decimal" xfId="145"/>
    <cellStyle name="underline 2 decimals" xfId="146"/>
    <cellStyle name="underline flush left" xfId="147"/>
    <cellStyle name="underline no decimals" xfId="148"/>
    <cellStyle name="underline_UNM new charts" xfId="149"/>
    <cellStyle name="UnProtectedCalc" xfId="150"/>
    <cellStyle name="Upload Only" xfId="151"/>
    <cellStyle name="Volume" xfId="152"/>
    <cellStyle name="Year" xfId="153"/>
  </cellStyles>
  <dxfs count="0"/>
  <tableStyles count="0" defaultTableStyle="TableStyleMedium2" defaultPivotStyle="PivotStyleLight16"/>
  <colors>
    <mruColors>
      <color rgb="FF2270AB"/>
      <color rgb="FF0082BE"/>
      <color rgb="FFC6D9E2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
<Relationships xmlns="http://schemas.openxmlformats.org/package/2006/relationships">
<Relationship Id="rId1" Target="worksheets/sheet1.xml" Type="http://schemas.openxmlformats.org/officeDocument/2006/relationships/worksheet"/>
<Relationship Id="rId10" Target="theme/theme1.xml" Type="http://schemas.openxmlformats.org/officeDocument/2006/relationships/theme"/>
<Relationship Id="rId11" Target="styles.xml" Type="http://schemas.openxmlformats.org/officeDocument/2006/relationships/styles"/>
<Relationship Id="rId12" Target="sharedStrings.xml" Type="http://schemas.openxmlformats.org/officeDocument/2006/relationships/sharedStrings"/>
<Relationship Id="rId13" Target="calcChain.xml" Type="http://schemas.openxmlformats.org/officeDocument/2006/relationships/calcChain"/>
<Relationship Id="rId2" Target="worksheets/sheet2.xml" Type="http://schemas.openxmlformats.org/officeDocument/2006/relationships/worksheet"/>
<Relationship Id="rId3" Target="worksheets/sheet3.xml" Type="http://schemas.openxmlformats.org/officeDocument/2006/relationships/worksheet"/>
<Relationship Id="rId4" Target="worksheets/sheet4.xml" Type="http://schemas.openxmlformats.org/officeDocument/2006/relationships/worksheet"/>
<Relationship Id="rId5" Target="worksheets/sheet5.xml" Type="http://schemas.openxmlformats.org/officeDocument/2006/relationships/worksheet"/>
<Relationship Id="rId6" Target="worksheets/sheet6.xml" Type="http://schemas.openxmlformats.org/officeDocument/2006/relationships/worksheet"/>
<Relationship Id="rId7" Target="worksheets/sheet7.xml" Type="http://schemas.openxmlformats.org/officeDocument/2006/relationships/worksheet"/>
<Relationship Id="rId8" Target="worksheets/sheet8.xml" Type="http://schemas.openxmlformats.org/officeDocument/2006/relationships/worksheet"/>
<Relationship Id="rId9" Target="externalLinks/externalLink1.xml" Type="http://schemas.openxmlformats.org/officeDocument/2006/relationships/externalLink"/>
</Relationships>
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704862395556262E-2"/>
          <c:y val="2.5705745115193929E-2"/>
          <c:w val="0.9423145261204765"/>
          <c:h val="0.63613772236803734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rgbClr val="12607F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006699"/>
              </a:solidFill>
              <a:ln w="25400">
                <a:noFill/>
              </a:ln>
            </c:spPr>
          </c:dPt>
          <c:dPt>
            <c:idx val="1"/>
            <c:invertIfNegative val="0"/>
            <c:bubble3D val="0"/>
            <c:spPr>
              <a:noFill/>
              <a:ln w="25400">
                <a:noFill/>
              </a:ln>
            </c:spPr>
          </c:dPt>
          <c:dPt>
            <c:idx val="2"/>
            <c:invertIfNegative val="0"/>
            <c:bubble3D val="0"/>
            <c:spPr>
              <a:noFill/>
              <a:ln w="25400">
                <a:noFill/>
              </a:ln>
            </c:spPr>
          </c:dPt>
          <c:dPt>
            <c:idx val="3"/>
            <c:invertIfNegative val="0"/>
            <c:bubble3D val="0"/>
            <c:spPr>
              <a:noFill/>
              <a:ln w="25400">
                <a:noFill/>
              </a:ln>
            </c:spPr>
          </c:dPt>
          <c:dPt>
            <c:idx val="4"/>
            <c:invertIfNegative val="0"/>
            <c:bubble3D val="0"/>
            <c:spPr>
              <a:solidFill>
                <a:srgbClr val="006699"/>
              </a:solidFill>
              <a:ln w="25400">
                <a:noFill/>
              </a:ln>
            </c:spPr>
          </c:dPt>
          <c:dPt>
            <c:idx val="5"/>
            <c:invertIfNegative val="0"/>
            <c:bubble3D val="0"/>
            <c:spPr>
              <a:noFill/>
              <a:ln w="25400">
                <a:noFill/>
              </a:ln>
            </c:spPr>
          </c:dPt>
          <c:dPt>
            <c:idx val="6"/>
            <c:invertIfNegative val="0"/>
            <c:bubble3D val="0"/>
            <c:spPr>
              <a:solidFill>
                <a:srgbClr val="006699"/>
              </a:solidFill>
              <a:ln w="25400">
                <a:noFill/>
              </a:ln>
            </c:spPr>
          </c:dPt>
          <c:dPt>
            <c:idx val="7"/>
            <c:invertIfNegative val="0"/>
            <c:bubble3D val="0"/>
            <c:spPr>
              <a:solidFill>
                <a:srgbClr val="006699"/>
              </a:solidFill>
              <a:ln w="25400">
                <a:noFill/>
              </a:ln>
            </c:spPr>
          </c:dPt>
          <c:dLbls>
            <c:dLbl>
              <c:idx val="0"/>
              <c:layout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FFFFFF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/>
              <c:spPr>
                <a:solidFill>
                  <a:srgbClr val="006699"/>
                </a:solidFill>
                <a:ln>
                  <a:noFill/>
                </a:ln>
              </c:spPr>
              <c:txPr>
                <a:bodyPr/>
                <a:lstStyle/>
                <a:p>
                  <a:pPr>
                    <a:defRPr sz="1000" b="1" i="0" u="none" strike="noStrike" baseline="0">
                      <a:solidFill>
                        <a:srgbClr val="FFFFFF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tx>
                <c:rich>
                  <a:bodyPr/>
                  <a:lstStyle/>
                  <a:p>
                    <a:pPr>
                      <a:defRPr sz="1000" b="1" i="0" u="none" strike="noStrike" baseline="0">
                        <a:solidFill>
                          <a:srgbClr val="FFFFFF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r>
                      <a:rPr lang="en-US"/>
                      <a:t>0.49</a:t>
                    </a:r>
                  </a:p>
                </c:rich>
              </c:tx>
              <c:spPr/>
              <c:showLegendKey val="0"/>
              <c:showVal val="0"/>
              <c:showCatName val="0"/>
              <c:showSerName val="0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SOTPs!$H$28:$H$32</c:f>
              <c:strCache>
                <c:ptCount val="5"/>
                <c:pt idx="0">
                  <c:v>2016 Y/E BVPS</c:v>
                </c:pt>
                <c:pt idx="1">
                  <c:v>P/B Mult. ~ 1.8x</c:v>
                </c:pt>
                <c:pt idx="2">
                  <c:v>Excess Capital</c:v>
                </c:pt>
                <c:pt idx="3">
                  <c:v>Debt Leverage</c:v>
                </c:pt>
                <c:pt idx="4">
                  <c:v>Price Target</c:v>
                </c:pt>
              </c:strCache>
            </c:strRef>
          </c:cat>
          <c:val>
            <c:numRef>
              <c:f>SOTPs!$I$28:$I$32</c:f>
              <c:numCache>
                <c:formatCode>_(* #,##0.0_);_(* \(#,##0.0\);_(* "-"??_);_(@_)</c:formatCode>
                <c:ptCount val="5"/>
                <c:pt idx="0">
                  <c:v>33.049898167006106</c:v>
                </c:pt>
                <c:pt idx="1">
                  <c:v>33.049898167006106</c:v>
                </c:pt>
                <c:pt idx="2">
                  <c:v>43.049898167006106</c:v>
                </c:pt>
                <c:pt idx="3">
                  <c:v>51.049898167006106</c:v>
                </c:pt>
                <c:pt idx="4">
                  <c:v>57.749898167006108</c:v>
                </c:pt>
              </c:numCache>
            </c:numRef>
          </c:val>
        </c:ser>
        <c:ser>
          <c:idx val="1"/>
          <c:order val="1"/>
          <c:spPr>
            <a:solidFill>
              <a:srgbClr val="4091BF"/>
            </a:solidFill>
            <a:ln w="25400">
              <a:noFill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0082BE"/>
              </a:solidFill>
              <a:ln w="25400">
                <a:noFill/>
              </a:ln>
            </c:spPr>
          </c:dPt>
          <c:dPt>
            <c:idx val="2"/>
            <c:invertIfNegative val="0"/>
            <c:bubble3D val="0"/>
            <c:spPr>
              <a:solidFill>
                <a:srgbClr val="0082BE"/>
              </a:solidFill>
              <a:ln w="25400">
                <a:noFill/>
              </a:ln>
            </c:spPr>
          </c:dPt>
          <c:dPt>
            <c:idx val="3"/>
            <c:invertIfNegative val="0"/>
            <c:bubble3D val="0"/>
            <c:spPr>
              <a:solidFill>
                <a:srgbClr val="0082BE"/>
              </a:solidFill>
              <a:ln w="25400">
                <a:noFill/>
              </a:ln>
            </c:spPr>
          </c:dPt>
          <c:dPt>
            <c:idx val="4"/>
            <c:invertIfNegative val="0"/>
            <c:bubble3D val="0"/>
            <c:spPr>
              <a:solidFill>
                <a:srgbClr val="0082BE"/>
              </a:solidFill>
              <a:ln w="25400">
                <a:noFill/>
              </a:ln>
            </c:spPr>
          </c:dPt>
          <c:dPt>
            <c:idx val="5"/>
            <c:invertIfNegative val="0"/>
            <c:bubble3D val="0"/>
            <c:spPr>
              <a:solidFill>
                <a:srgbClr val="0082BE"/>
              </a:solidFill>
              <a:ln w="25400">
                <a:noFill/>
              </a:ln>
            </c:spPr>
          </c:dPt>
          <c:dPt>
            <c:idx val="6"/>
            <c:invertIfNegative val="0"/>
            <c:bubble3D val="0"/>
            <c:spPr>
              <a:solidFill>
                <a:srgbClr val="0082BE"/>
              </a:solidFill>
              <a:ln w="25400">
                <a:noFill/>
              </a:ln>
            </c:spPr>
          </c:dPt>
          <c:dLbls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SOTPs!$H$28:$H$32</c:f>
              <c:strCache>
                <c:ptCount val="5"/>
                <c:pt idx="0">
                  <c:v>2016 Y/E BVPS</c:v>
                </c:pt>
                <c:pt idx="1">
                  <c:v>P/B Mult. ~ 1.8x</c:v>
                </c:pt>
                <c:pt idx="2">
                  <c:v>Excess Capital</c:v>
                </c:pt>
                <c:pt idx="3">
                  <c:v>Debt Leverage</c:v>
                </c:pt>
                <c:pt idx="4">
                  <c:v>Price Target</c:v>
                </c:pt>
              </c:strCache>
            </c:strRef>
          </c:cat>
          <c:val>
            <c:numRef>
              <c:f>SOTPs!$J$28:$J$32</c:f>
              <c:numCache>
                <c:formatCode>_(* #,##0.0_);_(* \(#,##0.0\);_(* "-"??_);_(@_)</c:formatCode>
                <c:ptCount val="5"/>
                <c:pt idx="1">
                  <c:v>10</c:v>
                </c:pt>
                <c:pt idx="2">
                  <c:v>8</c:v>
                </c:pt>
                <c:pt idx="3">
                  <c:v>6.7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637958400"/>
        <c:axId val="639138432"/>
      </c:barChart>
      <c:catAx>
        <c:axId val="637958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969696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6391384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39138432"/>
        <c:scaling>
          <c:orientation val="minMax"/>
          <c:min val="0.2"/>
        </c:scaling>
        <c:delete val="1"/>
        <c:axPos val="l"/>
        <c:numFmt formatCode="_(* #,##0.0_);_(* \(#,##0.0\);_(* &quot;-&quot;??_);_(@_)" sourceLinked="1"/>
        <c:majorTickMark val="out"/>
        <c:minorTickMark val="none"/>
        <c:tickLblPos val="nextTo"/>
        <c:crossAx val="637958400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drawings/_rels/drawing1.xml.rels><?xml version="1.0" encoding="UTF-8" standalone="yes"?>
<Relationships xmlns="http://schemas.openxmlformats.org/package/2006/relationships">
<Relationship Id="rId1" Target="../media/image1.png" Type="http://schemas.openxmlformats.org/officeDocument/2006/relationships/image"/>
<Relationship Id="rId2" Target="../media/image2.jpeg" Type="http://schemas.openxmlformats.org/officeDocument/2006/relationships/image"/>
<Relationship Id="rId3" Target="../media/image3.gif" Type="http://schemas.openxmlformats.org/officeDocument/2006/relationships/image"/>
</Relationships>

</file>

<file path=xl/drawings/_rels/drawing3.xml.rels><?xml version="1.0" encoding="UTF-8" standalone="yes"?>
<Relationships xmlns="http://schemas.openxmlformats.org/package/2006/relationships">
<Relationship Id="rId1" Target="../charts/chart1.xml" Type="http://schemas.openxmlformats.org/officeDocument/2006/relationships/chart"/>
</Relationships>
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28575</xdr:rowOff>
    </xdr:from>
    <xdr:to>
      <xdr:col>0</xdr:col>
      <xdr:colOff>1581150</xdr:colOff>
      <xdr:row>0</xdr:row>
      <xdr:rowOff>323850</xdr:rowOff>
    </xdr:to>
    <xdr:pic>
      <xdr:nvPicPr>
        <xdr:cNvPr id="2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8575"/>
          <a:ext cx="15621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0</xdr:row>
      <xdr:rowOff>95250</xdr:rowOff>
    </xdr:from>
    <xdr:to>
      <xdr:col>1</xdr:col>
      <xdr:colOff>523875</xdr:colOff>
      <xdr:row>0</xdr:row>
      <xdr:rowOff>314325</xdr:rowOff>
    </xdr:to>
    <xdr:pic>
      <xdr:nvPicPr>
        <xdr:cNvPr id="3" name="Picture 6" descr="MSMS_logo_3" hidden="1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95250"/>
          <a:ext cx="2219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181</xdr:row>
      <xdr:rowOff>0</xdr:rowOff>
    </xdr:from>
    <xdr:to>
      <xdr:col>7</xdr:col>
      <xdr:colOff>390525</xdr:colOff>
      <xdr:row>201</xdr:row>
      <xdr:rowOff>19050</xdr:rowOff>
    </xdr:to>
    <xdr:pic>
      <xdr:nvPicPr>
        <xdr:cNvPr id="36865" name="Picture 1" descr="C:\Users\huangb\AppData\Local\Temp\MercuryPriceRatingHistoryChart\ATH.N_2018_04_05_00_10_26.gif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9279850"/>
          <a:ext cx="6400800" cy="382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92</xdr:col>
      <xdr:colOff>247650</xdr:colOff>
      <xdr:row>12</xdr:row>
      <xdr:rowOff>66675</xdr:rowOff>
    </xdr:from>
    <xdr:to>
      <xdr:col>94</xdr:col>
      <xdr:colOff>381000</xdr:colOff>
      <xdr:row>23</xdr:row>
      <xdr:rowOff>152400</xdr:rowOff>
    </xdr:to>
    <xdr:sp macro="" textlink="">
      <xdr:nvSpPr>
        <xdr:cNvPr id="17771" name="Text Box 16747" hidden="1"/>
        <xdr:cNvSpPr txBox="1">
          <a:spLocks noChangeArrowheads="1"/>
        </xdr:cNvSpPr>
      </xdr:nvSpPr>
      <xdr:spPr bwMode="auto">
        <a:xfrm>
          <a:off x="39128700" y="1524000"/>
          <a:ext cx="1352550" cy="10572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27</xdr:row>
      <xdr:rowOff>0</xdr:rowOff>
    </xdr:from>
    <xdr:to>
      <xdr:col>17</xdr:col>
      <xdr:colOff>428625</xdr:colOff>
      <xdr:row>41</xdr:row>
      <xdr:rowOff>76200</xdr:rowOff>
    </xdr:to>
    <xdr:graphicFrame macro="">
      <xdr:nvGraphicFramePr>
        <xdr:cNvPr id="2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
<Relationships xmlns="http://schemas.openxmlformats.org/package/2006/relationships">
<Relationship Id="rId1" Target="INSURANC/life&amp;annuities/models/CNO.xlsm" TargetMode="External" Type="http://schemas.microsoft.com/office/2006/relationships/xlExternalLinkPath/xlAlternateStartup"/>
</Relationships>
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_FDSCACHE__"/>
      <sheetName val="INPUT"/>
      <sheetName val="FORECAST - CORE"/>
      <sheetName val="FORECAST- REPORTED"/>
      <sheetName val="A vs E"/>
      <sheetName val="SOTPs"/>
      <sheetName val="Guidance"/>
      <sheetName val="MW-Cache"/>
      <sheetName val="mwareDates"/>
      <sheetName val="MWA RR"/>
      <sheetName val="mwareSettings"/>
      <sheetName val="NY UPLOAD shadow"/>
      <sheetName val="CNO"/>
      <sheetName val="Output"/>
      <sheetName val="Sheet1"/>
    </sheetNames>
    <sheetDataSet>
      <sheetData sheetId="0"/>
      <sheetData sheetId="1">
        <row r="177">
          <cell r="A177">
            <v>0</v>
          </cell>
          <cell r="B177" t="str">
            <v>Core Pretax Income</v>
          </cell>
          <cell r="C177">
            <v>5.0999999999999943</v>
          </cell>
          <cell r="D177">
            <v>0</v>
          </cell>
          <cell r="E177">
            <v>6.4999999999999964</v>
          </cell>
          <cell r="F177">
            <v>0</v>
          </cell>
          <cell r="G177">
            <v>4.6000000000000014</v>
          </cell>
          <cell r="H177">
            <v>0</v>
          </cell>
          <cell r="I177">
            <v>5.3999999999999986</v>
          </cell>
          <cell r="J177">
            <v>0</v>
          </cell>
          <cell r="K177">
            <v>4.5999999999999943</v>
          </cell>
          <cell r="L177">
            <v>-9.8039215686274588</v>
          </cell>
          <cell r="M177">
            <v>6.6999999999999957</v>
          </cell>
          <cell r="N177">
            <v>3.076923076923066</v>
          </cell>
          <cell r="O177">
            <v>6.9999999999999929</v>
          </cell>
          <cell r="P177">
            <v>52.173913043478052</v>
          </cell>
          <cell r="Q177">
            <v>8.1999999999999975</v>
          </cell>
          <cell r="R177">
            <v>51.851851851851848</v>
          </cell>
          <cell r="S177">
            <v>3.7000000000000028</v>
          </cell>
          <cell r="T177">
            <v>-19.565217391304188</v>
          </cell>
          <cell r="U177">
            <v>8.3000000000000043</v>
          </cell>
          <cell r="V177">
            <v>23.880597014925513</v>
          </cell>
          <cell r="W177">
            <v>7.8000000000000069</v>
          </cell>
          <cell r="X177">
            <v>11.42857142857163</v>
          </cell>
          <cell r="Y177">
            <v>6.7000000000000099</v>
          </cell>
          <cell r="Z177">
            <v>-18.292682926829116</v>
          </cell>
          <cell r="AA177">
            <v>5.1000000000000014</v>
          </cell>
          <cell r="AB177">
            <v>37.837837837837753</v>
          </cell>
          <cell r="AC177">
            <v>7.9000000000000057</v>
          </cell>
          <cell r="AD177">
            <v>-4.8192771084337238</v>
          </cell>
          <cell r="AE177">
            <v>7.3999999999999986</v>
          </cell>
          <cell r="AF177">
            <v>-5.1282051282052379</v>
          </cell>
          <cell r="AG177">
            <v>5.8999999999999986</v>
          </cell>
          <cell r="AH177">
            <v>-11.940298507462842</v>
          </cell>
          <cell r="AI177">
            <v>-4.0999999999999943</v>
          </cell>
          <cell r="AJ177" t="str">
            <v>NM</v>
          </cell>
          <cell r="AK177">
            <v>2.5999999999999943</v>
          </cell>
          <cell r="AL177" t="str">
            <v>NM</v>
          </cell>
          <cell r="AM177">
            <v>2.2000000000000028</v>
          </cell>
          <cell r="AN177" t="str">
            <v>NM</v>
          </cell>
          <cell r="AO177">
            <v>3.4999999999999929</v>
          </cell>
          <cell r="AP177">
            <v>-40.67796610169502</v>
          </cell>
          <cell r="AQ177">
            <v>-5.7000000000000028</v>
          </cell>
          <cell r="AR177">
            <v>39.024390243902701</v>
          </cell>
          <cell r="AS177">
            <v>0.49999999999999289</v>
          </cell>
          <cell r="AT177" t="str">
            <v>NM</v>
          </cell>
          <cell r="AU177">
            <v>-1.3000000000000043</v>
          </cell>
          <cell r="AV177" t="str">
            <v>NM</v>
          </cell>
          <cell r="AW177">
            <v>1.7999999999999972</v>
          </cell>
          <cell r="AX177">
            <v>-48.571428571428541</v>
          </cell>
          <cell r="AY177">
            <v>-9.8000000000000114</v>
          </cell>
          <cell r="AZ177">
            <v>71.92982456140362</v>
          </cell>
          <cell r="BA177">
            <v>0.60000000000000853</v>
          </cell>
          <cell r="BB177">
            <v>20.000000000003411</v>
          </cell>
          <cell r="BC177">
            <v>-2.6000000000000085</v>
          </cell>
          <cell r="BD177">
            <v>100</v>
          </cell>
          <cell r="BE177">
            <v>3.2000000000000028</v>
          </cell>
          <cell r="BF177">
            <v>77.777777777778226</v>
          </cell>
          <cell r="BG177">
            <v>-5.4000000000000057</v>
          </cell>
          <cell r="BH177">
            <v>-44.897959183673478</v>
          </cell>
          <cell r="BI177">
            <v>1.1999999999999886</v>
          </cell>
          <cell r="BJ177">
            <v>99.999999999995282</v>
          </cell>
          <cell r="BK177">
            <v>-4.2000000000000028</v>
          </cell>
          <cell r="BL177">
            <v>61.538461538461121</v>
          </cell>
          <cell r="BM177">
            <v>-4.1000000000000085</v>
          </cell>
          <cell r="BN177" t="str">
            <v>NM</v>
          </cell>
          <cell r="BO177">
            <v>-6.1999999999999886</v>
          </cell>
          <cell r="BP177">
            <v>14.814814814814483</v>
          </cell>
          <cell r="BQ177">
            <v>3.7999999999999972</v>
          </cell>
          <cell r="BR177" t="str">
            <v>NM</v>
          </cell>
          <cell r="BS177">
            <v>0.39999999999999147</v>
          </cell>
          <cell r="BT177" t="str">
            <v>NM</v>
          </cell>
          <cell r="BU177">
            <v>2.7999999999999972</v>
          </cell>
          <cell r="BV177" t="str">
            <v>NM</v>
          </cell>
          <cell r="BW177">
            <v>-5.8999999999999915</v>
          </cell>
          <cell r="BX177">
            <v>-4.8387096774193168</v>
          </cell>
          <cell r="BY177">
            <v>4.1999999999999886</v>
          </cell>
          <cell r="BZ177">
            <v>10.526315789473472</v>
          </cell>
          <cell r="CA177">
            <v>0.59999999999999432</v>
          </cell>
          <cell r="CB177">
            <v>50.000000000001762</v>
          </cell>
          <cell r="CC177">
            <v>6.7999999999999829</v>
          </cell>
          <cell r="CD177" t="str">
            <v>NM</v>
          </cell>
          <cell r="CE177">
            <v>-6.7999999999999972</v>
          </cell>
          <cell r="CF177">
            <v>15.254237288135712</v>
          </cell>
          <cell r="CG177">
            <v>3</v>
          </cell>
          <cell r="CH177">
            <v>-28.571428571428385</v>
          </cell>
          <cell r="CI177">
            <v>0.89999999999999147</v>
          </cell>
          <cell r="CJ177">
            <v>50</v>
          </cell>
          <cell r="CK177">
            <v>7.3000000000000114</v>
          </cell>
          <cell r="CL177">
            <v>7.3529411764710346</v>
          </cell>
          <cell r="CM177">
            <v>-0.30000000000001137</v>
          </cell>
          <cell r="CN177" t="str">
            <v>NM</v>
          </cell>
          <cell r="CO177">
            <v>7.9999999999999858</v>
          </cell>
          <cell r="CP177" t="str">
            <v>NM</v>
          </cell>
          <cell r="CQ177">
            <v>5.9999999999999858</v>
          </cell>
          <cell r="CR177" t="str">
            <v>NM</v>
          </cell>
          <cell r="CS177">
            <v>5.9000000000000057</v>
          </cell>
          <cell r="CT177">
            <v>-19.178082191780859</v>
          </cell>
          <cell r="CU177">
            <v>-2.0003314409050006</v>
          </cell>
          <cell r="CV177" t="str">
            <v>NM</v>
          </cell>
          <cell r="CW177">
            <v>5.9774173328713545</v>
          </cell>
          <cell r="CX177">
            <v>-25.282283339107934</v>
          </cell>
          <cell r="CY177">
            <v>6.02780983655434</v>
          </cell>
          <cell r="CZ177">
            <v>0.46349727590590817</v>
          </cell>
          <cell r="DA177">
            <v>6.091683145387421</v>
          </cell>
          <cell r="DB177">
            <v>3.2488668709731456</v>
          </cell>
          <cell r="DC177">
            <v>0</v>
          </cell>
          <cell r="DD177">
            <v>0</v>
          </cell>
          <cell r="DE177">
            <v>0</v>
          </cell>
          <cell r="DF177">
            <v>20</v>
          </cell>
          <cell r="DG177" t="str">
            <v>NA</v>
          </cell>
          <cell r="DH177">
            <v>21.599999999999994</v>
          </cell>
          <cell r="DI177">
            <v>7.9999999999999574</v>
          </cell>
          <cell r="DJ177">
            <v>26.500000000000021</v>
          </cell>
          <cell r="DK177">
            <v>22.685185185185318</v>
          </cell>
          <cell r="DL177">
            <v>26.500000000000018</v>
          </cell>
          <cell r="DM177">
            <v>-1.4210854715202004E-14</v>
          </cell>
          <cell r="DN177">
            <v>26.300000000000011</v>
          </cell>
          <cell r="DO177">
            <v>-0.75471698113209129</v>
          </cell>
          <cell r="DP177">
            <v>4.1999999999999602</v>
          </cell>
          <cell r="DQ177" t="str">
            <v>NM</v>
          </cell>
          <cell r="DR177">
            <v>-4.6999999999999886</v>
          </cell>
          <cell r="DS177" t="str">
            <v>NM</v>
          </cell>
          <cell r="DT177">
            <v>-8.5999999999999659</v>
          </cell>
          <cell r="DU177">
            <v>82.978723404255021</v>
          </cell>
          <cell r="DV177">
            <v>-12.5</v>
          </cell>
          <cell r="DW177">
            <v>45.3488372093029</v>
          </cell>
          <cell r="DX177">
            <v>0.80000000000001137</v>
          </cell>
          <cell r="DY177" t="str">
            <v>NM</v>
          </cell>
          <cell r="DZ177">
            <v>5.6999999999999886</v>
          </cell>
          <cell r="EA177" t="str">
            <v>NM</v>
          </cell>
          <cell r="EB177">
            <v>4.3999999999999773</v>
          </cell>
          <cell r="EC177">
            <v>-22.807017543859899</v>
          </cell>
          <cell r="ED177">
            <v>19.600000000000023</v>
          </cell>
          <cell r="EE177" t="str">
            <v>NM</v>
          </cell>
          <cell r="EF177">
            <v>16.096578873908015</v>
          </cell>
          <cell r="EG177">
            <v>-17.874597582102055</v>
          </cell>
          <cell r="EH177">
            <v>17.20243908222352</v>
          </cell>
          <cell r="EI177">
            <v>6.8701568015056012</v>
          </cell>
          <cell r="EJ177">
            <v>19.36334310155155</v>
          </cell>
          <cell r="EK177">
            <v>12.561614135062044</v>
          </cell>
          <cell r="EL177">
            <v>20.041027221843478</v>
          </cell>
          <cell r="EM177">
            <v>3.4998301519411967</v>
          </cell>
          <cell r="EN177">
            <v>22.188822119944462</v>
          </cell>
          <cell r="EO177">
            <v>10.716990074041803</v>
          </cell>
          <cell r="EP177">
            <v>2.5122192362009299</v>
          </cell>
          <cell r="EQ177">
            <v>0</v>
          </cell>
          <cell r="ER177">
            <v>0</v>
          </cell>
          <cell r="ES177">
            <v>0</v>
          </cell>
          <cell r="ET177">
            <v>0</v>
          </cell>
          <cell r="EU177">
            <v>0</v>
          </cell>
          <cell r="EV177">
            <v>0</v>
          </cell>
          <cell r="EW177">
            <v>0</v>
          </cell>
          <cell r="EX177">
            <v>0</v>
          </cell>
          <cell r="EY177">
            <v>0</v>
          </cell>
        </row>
        <row r="263">
          <cell r="A263" t="str">
            <v>Rev</v>
          </cell>
          <cell r="B263" t="str">
            <v>Total Revenues</v>
          </cell>
          <cell r="C263">
            <v>1116.5999999999999</v>
          </cell>
          <cell r="D263">
            <v>0</v>
          </cell>
          <cell r="E263">
            <v>1079.3000000000002</v>
          </cell>
          <cell r="F263">
            <v>0</v>
          </cell>
          <cell r="G263">
            <v>1128.4000000000001</v>
          </cell>
          <cell r="H263">
            <v>0</v>
          </cell>
          <cell r="I263">
            <v>1149.3000000000002</v>
          </cell>
          <cell r="J263">
            <v>0</v>
          </cell>
          <cell r="K263">
            <v>1027.2</v>
          </cell>
          <cell r="L263">
            <v>-8.0064481461579646</v>
          </cell>
          <cell r="M263">
            <v>1076.5</v>
          </cell>
          <cell r="N263">
            <v>-0.25942740665247754</v>
          </cell>
          <cell r="O263">
            <v>1100.4000000000001</v>
          </cell>
          <cell r="P263">
            <v>-2.4813895781637711</v>
          </cell>
          <cell r="Q263">
            <v>1031.6999999999998</v>
          </cell>
          <cell r="R263">
            <v>-10.232315322370169</v>
          </cell>
          <cell r="S263">
            <v>1062.3999999999999</v>
          </cell>
          <cell r="T263">
            <v>3.4267912772585589</v>
          </cell>
          <cell r="U263">
            <v>1117.4000000000001</v>
          </cell>
          <cell r="V263">
            <v>3.7993497445424964</v>
          </cell>
          <cell r="W263">
            <v>1107.8999999999999</v>
          </cell>
          <cell r="X263">
            <v>0.68157033805886158</v>
          </cell>
          <cell r="Y263">
            <v>1131</v>
          </cell>
          <cell r="Z263">
            <v>9.6248909566734682</v>
          </cell>
          <cell r="AA263">
            <v>1071.3999999999999</v>
          </cell>
          <cell r="AB263">
            <v>0.84713855421686901</v>
          </cell>
          <cell r="AC263">
            <v>1108</v>
          </cell>
          <cell r="AD263">
            <v>-0.84123858958297149</v>
          </cell>
          <cell r="AE263">
            <v>1134.3999999999999</v>
          </cell>
          <cell r="AF263">
            <v>2.3919126274934541</v>
          </cell>
          <cell r="AG263">
            <v>1070</v>
          </cell>
          <cell r="AH263">
            <v>-5.3934571175950481</v>
          </cell>
          <cell r="AI263">
            <v>1000.9999999999998</v>
          </cell>
          <cell r="AJ263">
            <v>-6.5708418891170481</v>
          </cell>
          <cell r="AK263">
            <v>967.4</v>
          </cell>
          <cell r="AL263">
            <v>-12.689530685920573</v>
          </cell>
          <cell r="AM263">
            <v>1039.8999999999999</v>
          </cell>
          <cell r="AN263">
            <v>-8.3303949224259526</v>
          </cell>
          <cell r="AO263">
            <v>1024.5</v>
          </cell>
          <cell r="AP263">
            <v>-4.252336448598129</v>
          </cell>
          <cell r="AQ263">
            <v>1030.9000000000001</v>
          </cell>
          <cell r="AR263">
            <v>2.9870129870130313</v>
          </cell>
          <cell r="AS263">
            <v>1024.0999999999999</v>
          </cell>
          <cell r="AT263">
            <v>5.8610709117221376</v>
          </cell>
          <cell r="AU263">
            <v>967.7</v>
          </cell>
          <cell r="AV263">
            <v>-6.9429752860851863</v>
          </cell>
          <cell r="AW263">
            <v>1024.5</v>
          </cell>
          <cell r="AX263">
            <v>0</v>
          </cell>
          <cell r="AY263">
            <v>952.19999999999993</v>
          </cell>
          <cell r="AZ263">
            <v>-7.6341061208652832</v>
          </cell>
          <cell r="BA263">
            <v>907.59999999999991</v>
          </cell>
          <cell r="BB263">
            <v>-11.375842202909865</v>
          </cell>
          <cell r="BC263">
            <v>947.40000000000009</v>
          </cell>
          <cell r="BD263">
            <v>-2.0977575694946751</v>
          </cell>
          <cell r="BE263">
            <v>920.9</v>
          </cell>
          <cell r="BF263">
            <v>-10.112249877989271</v>
          </cell>
          <cell r="BG263">
            <v>996</v>
          </cell>
          <cell r="BH263">
            <v>4.5998739760554628</v>
          </cell>
          <cell r="BI263">
            <v>955.4</v>
          </cell>
          <cell r="BJ263">
            <v>5.2666372851476524</v>
          </cell>
          <cell r="BK263">
            <v>963.39999999999986</v>
          </cell>
          <cell r="BL263">
            <v>1.6888325944690621</v>
          </cell>
          <cell r="BM263">
            <v>1008.1999999999999</v>
          </cell>
          <cell r="BN263">
            <v>9.4798566619611222</v>
          </cell>
          <cell r="BO263">
            <v>942.2</v>
          </cell>
          <cell r="BP263">
            <v>-5.4016064257028091</v>
          </cell>
          <cell r="BQ263">
            <v>962.69999999999993</v>
          </cell>
          <cell r="BR263">
            <v>0.76407787314214204</v>
          </cell>
          <cell r="BS263">
            <v>946.3</v>
          </cell>
          <cell r="BT263">
            <v>-1.7749636703342304</v>
          </cell>
          <cell r="BU263">
            <v>978.99999999999989</v>
          </cell>
          <cell r="BV263">
            <v>-2.8962507439000262</v>
          </cell>
          <cell r="BW263">
            <v>946.3</v>
          </cell>
          <cell r="BX263">
            <v>0.43515177244745473</v>
          </cell>
          <cell r="BY263">
            <v>946.19999999999993</v>
          </cell>
          <cell r="BZ263">
            <v>-1.7139295730757169</v>
          </cell>
          <cell r="CA263">
            <v>913.30000000000007</v>
          </cell>
          <cell r="CB263">
            <v>-3.4872661946528467</v>
          </cell>
          <cell r="CC263">
            <v>961.8</v>
          </cell>
          <cell r="CD263">
            <v>-1.7568947906026438</v>
          </cell>
          <cell r="CE263">
            <v>937.5</v>
          </cell>
          <cell r="CF263">
            <v>-0.92993765190742295</v>
          </cell>
          <cell r="CG263">
            <v>963.8</v>
          </cell>
          <cell r="CH263">
            <v>1.8600718664130227</v>
          </cell>
          <cell r="CI263">
            <v>982.1</v>
          </cell>
          <cell r="CJ263">
            <v>7.5331216467754132</v>
          </cell>
          <cell r="CK263">
            <v>1004.2</v>
          </cell>
          <cell r="CL263">
            <v>4.4084009149511445</v>
          </cell>
          <cell r="CM263">
            <v>1035.7999999999997</v>
          </cell>
          <cell r="CN263">
            <v>10.485333333333301</v>
          </cell>
          <cell r="CO263">
            <v>1019.9000000000001</v>
          </cell>
          <cell r="CP263">
            <v>5.8207096908072344</v>
          </cell>
          <cell r="CQ263">
            <v>1027.7</v>
          </cell>
          <cell r="CR263">
            <v>4.6431116994196202</v>
          </cell>
          <cell r="CS263">
            <v>1066.9000000000001</v>
          </cell>
          <cell r="CT263">
            <v>6.2437761402111249</v>
          </cell>
          <cell r="CU263">
            <v>1071.6328493582041</v>
          </cell>
          <cell r="CV263">
            <v>3.4594370880676166</v>
          </cell>
          <cell r="CW263">
            <v>1072.273289701641</v>
          </cell>
          <cell r="CX263">
            <v>5.1351396903265965</v>
          </cell>
          <cell r="CY263">
            <v>1072.0845110348482</v>
          </cell>
          <cell r="CZ263">
            <v>4.318819795158916</v>
          </cell>
          <cell r="DA263">
            <v>1072.0090106369939</v>
          </cell>
          <cell r="DB263">
            <v>0.47886499550040185</v>
          </cell>
          <cell r="DC263">
            <v>0</v>
          </cell>
          <cell r="DD263">
            <v>0</v>
          </cell>
          <cell r="DE263">
            <v>0</v>
          </cell>
          <cell r="DF263">
            <v>4300.0999999999995</v>
          </cell>
          <cell r="DG263" t="str">
            <v>NA</v>
          </cell>
          <cell r="DH263">
            <v>4473.6000000000004</v>
          </cell>
          <cell r="DI263">
            <v>4.0347898886072642</v>
          </cell>
          <cell r="DJ263">
            <v>4235.8</v>
          </cell>
          <cell r="DK263">
            <v>-5.3156294706723912</v>
          </cell>
          <cell r="DL263">
            <v>4418.7</v>
          </cell>
          <cell r="DM263">
            <v>4.3179564663109744</v>
          </cell>
          <cell r="DN263">
            <v>4383.8000000000011</v>
          </cell>
          <cell r="DO263">
            <v>-0.78982506166968847</v>
          </cell>
          <cell r="DP263">
            <v>4032.8</v>
          </cell>
          <cell r="DQ263">
            <v>-8.006752132852796</v>
          </cell>
          <cell r="DR263">
            <v>4047.2</v>
          </cell>
          <cell r="DS263">
            <v>0.35707200952191442</v>
          </cell>
          <cell r="DT263">
            <v>3728.1</v>
          </cell>
          <cell r="DU263">
            <v>-7.8844633326744429</v>
          </cell>
          <cell r="DV263">
            <v>3922.9999999999995</v>
          </cell>
          <cell r="DW263">
            <v>5.2278640594404493</v>
          </cell>
          <cell r="DX263">
            <v>3830.2000000000003</v>
          </cell>
          <cell r="DY263">
            <v>-2.3655365791485963</v>
          </cell>
          <cell r="DZ263">
            <v>3767.6</v>
          </cell>
          <cell r="EA263">
            <v>-1.6343794057751637</v>
          </cell>
          <cell r="EB263">
            <v>3887.6000000000004</v>
          </cell>
          <cell r="EC263">
            <v>3.1850514916657886</v>
          </cell>
          <cell r="ED263">
            <v>4150.3</v>
          </cell>
          <cell r="EE263">
            <v>6.7573824467537662</v>
          </cell>
          <cell r="EF263">
            <v>4287.9996607316871</v>
          </cell>
          <cell r="EG263">
            <v>3.3178242712981358</v>
          </cell>
          <cell r="EH263">
            <v>4397.7777593720457</v>
          </cell>
          <cell r="EI263">
            <v>2.5601237715962384</v>
          </cell>
          <cell r="EJ263">
            <v>4491.7989102016099</v>
          </cell>
          <cell r="EK263">
            <v>2.1379241056280591</v>
          </cell>
          <cell r="EL263">
            <v>4590.9367797599625</v>
          </cell>
          <cell r="EM263">
            <v>2.2070861038145466</v>
          </cell>
          <cell r="EN263">
            <v>4694.5797379059322</v>
          </cell>
          <cell r="EO263">
            <v>2.2575557695087412</v>
          </cell>
          <cell r="EP263">
            <v>2.4951808138507614</v>
          </cell>
          <cell r="EQ263">
            <v>0</v>
          </cell>
          <cell r="ER263">
            <v>0</v>
          </cell>
          <cell r="ES263">
            <v>0</v>
          </cell>
          <cell r="ET263">
            <v>0</v>
          </cell>
          <cell r="EU263">
            <v>0</v>
          </cell>
          <cell r="EV263">
            <v>0</v>
          </cell>
          <cell r="EW263">
            <v>0</v>
          </cell>
          <cell r="EX263">
            <v>0</v>
          </cell>
          <cell r="EY263">
            <v>0</v>
          </cell>
        </row>
        <row r="301">
          <cell r="A301">
            <v>0</v>
          </cell>
          <cell r="B301" t="str">
            <v>Modelware Adjustment</v>
          </cell>
          <cell r="C301">
            <v>0</v>
          </cell>
          <cell r="D301">
            <v>0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  <cell r="I301">
            <v>0</v>
          </cell>
          <cell r="J301">
            <v>0</v>
          </cell>
          <cell r="K301">
            <v>0</v>
          </cell>
          <cell r="L301">
            <v>0</v>
          </cell>
          <cell r="M301">
            <v>0</v>
          </cell>
          <cell r="N301">
            <v>0</v>
          </cell>
          <cell r="O301">
            <v>0</v>
          </cell>
          <cell r="P301">
            <v>0</v>
          </cell>
          <cell r="Q301">
            <v>0</v>
          </cell>
          <cell r="R301">
            <v>0</v>
          </cell>
          <cell r="S301">
            <v>0</v>
          </cell>
          <cell r="T301">
            <v>0</v>
          </cell>
          <cell r="U301">
            <v>0</v>
          </cell>
          <cell r="V301">
            <v>0</v>
          </cell>
          <cell r="W301">
            <v>0</v>
          </cell>
          <cell r="X301">
            <v>0</v>
          </cell>
          <cell r="Y301">
            <v>0</v>
          </cell>
          <cell r="Z301">
            <v>0</v>
          </cell>
          <cell r="AA301">
            <v>0</v>
          </cell>
          <cell r="AB301">
            <v>0</v>
          </cell>
          <cell r="AC301">
            <v>0</v>
          </cell>
          <cell r="AD301">
            <v>0</v>
          </cell>
          <cell r="AE301">
            <v>0</v>
          </cell>
          <cell r="AF301">
            <v>0</v>
          </cell>
          <cell r="AG301">
            <v>0</v>
          </cell>
          <cell r="AH301">
            <v>0</v>
          </cell>
          <cell r="AI301">
            <v>0</v>
          </cell>
          <cell r="AJ301">
            <v>0</v>
          </cell>
          <cell r="AK301">
            <v>0</v>
          </cell>
          <cell r="AL301">
            <v>0</v>
          </cell>
          <cell r="AM301">
            <v>0</v>
          </cell>
          <cell r="AN301">
            <v>0</v>
          </cell>
          <cell r="AO301">
            <v>0</v>
          </cell>
          <cell r="AP301">
            <v>0</v>
          </cell>
          <cell r="AQ301">
            <v>0</v>
          </cell>
          <cell r="AR301">
            <v>0</v>
          </cell>
          <cell r="AS301">
            <v>0</v>
          </cell>
          <cell r="AT301">
            <v>0</v>
          </cell>
          <cell r="AU301">
            <v>0</v>
          </cell>
          <cell r="AV301">
            <v>0</v>
          </cell>
          <cell r="AW301">
            <v>0</v>
          </cell>
          <cell r="AX301">
            <v>0</v>
          </cell>
          <cell r="AY301">
            <v>0</v>
          </cell>
          <cell r="AZ301">
            <v>0</v>
          </cell>
          <cell r="BA301">
            <v>0</v>
          </cell>
          <cell r="BB301">
            <v>0</v>
          </cell>
          <cell r="BC301">
            <v>0</v>
          </cell>
          <cell r="BD301">
            <v>0</v>
          </cell>
          <cell r="BE301">
            <v>0</v>
          </cell>
          <cell r="BF301">
            <v>0</v>
          </cell>
          <cell r="BG301">
            <v>0</v>
          </cell>
          <cell r="BH301">
            <v>0</v>
          </cell>
          <cell r="BI301">
            <v>0</v>
          </cell>
          <cell r="BJ301">
            <v>0</v>
          </cell>
          <cell r="BK301">
            <v>0</v>
          </cell>
          <cell r="BL301">
            <v>0</v>
          </cell>
          <cell r="BM301">
            <v>0</v>
          </cell>
          <cell r="BN301">
            <v>0</v>
          </cell>
          <cell r="BO301">
            <v>0</v>
          </cell>
          <cell r="BP301">
            <v>0</v>
          </cell>
          <cell r="BQ301">
            <v>0</v>
          </cell>
          <cell r="BR301">
            <v>0</v>
          </cell>
          <cell r="BS301">
            <v>0</v>
          </cell>
          <cell r="BT301">
            <v>0</v>
          </cell>
          <cell r="BU301">
            <v>0</v>
          </cell>
          <cell r="BV301">
            <v>0</v>
          </cell>
          <cell r="BW301">
            <v>0</v>
          </cell>
          <cell r="BX301">
            <v>0</v>
          </cell>
          <cell r="BY301">
            <v>0</v>
          </cell>
          <cell r="BZ301">
            <v>0</v>
          </cell>
          <cell r="CA301">
            <v>0</v>
          </cell>
          <cell r="CB301">
            <v>0</v>
          </cell>
          <cell r="CC301">
            <v>0</v>
          </cell>
          <cell r="CD301">
            <v>0</v>
          </cell>
          <cell r="CE301">
            <v>0</v>
          </cell>
          <cell r="CF301">
            <v>0</v>
          </cell>
          <cell r="CG301">
            <v>0</v>
          </cell>
          <cell r="CH301">
            <v>0</v>
          </cell>
          <cell r="CI301">
            <v>0</v>
          </cell>
          <cell r="CJ301">
            <v>0</v>
          </cell>
          <cell r="CK301">
            <v>0</v>
          </cell>
          <cell r="CL301">
            <v>0</v>
          </cell>
          <cell r="CM301">
            <v>0</v>
          </cell>
          <cell r="CN301">
            <v>0</v>
          </cell>
          <cell r="CO301">
            <v>0</v>
          </cell>
          <cell r="CP301">
            <v>0</v>
          </cell>
          <cell r="CQ301">
            <v>0</v>
          </cell>
          <cell r="CR301">
            <v>0</v>
          </cell>
          <cell r="CS301">
            <v>0</v>
          </cell>
          <cell r="CT301">
            <v>0</v>
          </cell>
          <cell r="CU301">
            <v>0</v>
          </cell>
          <cell r="CV301">
            <v>0</v>
          </cell>
          <cell r="CW301">
            <v>0</v>
          </cell>
          <cell r="CX301">
            <v>0</v>
          </cell>
          <cell r="CY301">
            <v>0</v>
          </cell>
          <cell r="CZ301">
            <v>0</v>
          </cell>
          <cell r="DA301">
            <v>0</v>
          </cell>
          <cell r="DB301">
            <v>0</v>
          </cell>
          <cell r="DC301">
            <v>0</v>
          </cell>
          <cell r="DD301">
            <v>0</v>
          </cell>
          <cell r="DE301">
            <v>0</v>
          </cell>
          <cell r="DF301">
            <v>0</v>
          </cell>
          <cell r="DG301">
            <v>0</v>
          </cell>
          <cell r="DH301">
            <v>4.8316906031686813E-13</v>
          </cell>
          <cell r="DI301">
            <v>0</v>
          </cell>
          <cell r="DJ301">
            <v>-5.6843418860808015E-13</v>
          </cell>
          <cell r="DK301">
            <v>0</v>
          </cell>
          <cell r="DL301">
            <v>0</v>
          </cell>
          <cell r="DM301">
            <v>0</v>
          </cell>
          <cell r="DN301">
            <v>0</v>
          </cell>
          <cell r="DO301">
            <v>0</v>
          </cell>
          <cell r="DP301">
            <v>-3.979039320256561E-13</v>
          </cell>
          <cell r="DQ301">
            <v>0</v>
          </cell>
          <cell r="DR301">
            <v>0</v>
          </cell>
          <cell r="DS301">
            <v>0</v>
          </cell>
          <cell r="DT301">
            <v>0</v>
          </cell>
          <cell r="DU301">
            <v>0</v>
          </cell>
          <cell r="DV301">
            <v>0</v>
          </cell>
          <cell r="DW301">
            <v>0</v>
          </cell>
          <cell r="DX301">
            <v>0</v>
          </cell>
          <cell r="DY301">
            <v>0</v>
          </cell>
          <cell r="DZ301">
            <v>0</v>
          </cell>
          <cell r="EA301">
            <v>0</v>
          </cell>
          <cell r="EB301">
            <v>0</v>
          </cell>
          <cell r="EC301">
            <v>0</v>
          </cell>
          <cell r="ED301">
            <v>-0.15000000000031832</v>
          </cell>
          <cell r="EE301">
            <v>0</v>
          </cell>
          <cell r="EF301">
            <v>0</v>
          </cell>
          <cell r="EG301">
            <v>0</v>
          </cell>
          <cell r="EH301">
            <v>0</v>
          </cell>
          <cell r="EI301">
            <v>0</v>
          </cell>
          <cell r="EJ301">
            <v>0</v>
          </cell>
          <cell r="EK301">
            <v>0</v>
          </cell>
          <cell r="EL301">
            <v>0</v>
          </cell>
          <cell r="EM301">
            <v>0</v>
          </cell>
          <cell r="EN301">
            <v>0</v>
          </cell>
          <cell r="EO301">
            <v>0</v>
          </cell>
          <cell r="EP301">
            <v>0</v>
          </cell>
          <cell r="EQ301">
            <v>0</v>
          </cell>
          <cell r="ER301">
            <v>0</v>
          </cell>
          <cell r="ES301" t="str">
            <v>mstag:otherProvisionsRecurring</v>
          </cell>
          <cell r="ET301">
            <v>6</v>
          </cell>
          <cell r="EU301" t="str">
            <v>ISO4217:USD</v>
          </cell>
          <cell r="EV301" t="b">
            <v>1</v>
          </cell>
          <cell r="EW301">
            <v>0</v>
          </cell>
          <cell r="EX301">
            <v>0</v>
          </cell>
          <cell r="EY301">
            <v>0</v>
          </cell>
        </row>
        <row r="306">
          <cell r="A306">
            <v>0</v>
          </cell>
          <cell r="B306" t="str">
            <v xml:space="preserve">  Other</v>
          </cell>
          <cell r="C306">
            <v>0</v>
          </cell>
          <cell r="D306">
            <v>0</v>
          </cell>
          <cell r="E306">
            <v>0</v>
          </cell>
          <cell r="F306">
            <v>0</v>
          </cell>
          <cell r="G306">
            <v>0</v>
          </cell>
          <cell r="H306">
            <v>0</v>
          </cell>
          <cell r="I306">
            <v>0</v>
          </cell>
          <cell r="J306">
            <v>0</v>
          </cell>
          <cell r="K306">
            <v>0</v>
          </cell>
          <cell r="L306" t="str">
            <v>NA</v>
          </cell>
          <cell r="M306">
            <v>0</v>
          </cell>
          <cell r="N306" t="str">
            <v>NA</v>
          </cell>
          <cell r="O306">
            <v>0</v>
          </cell>
          <cell r="P306" t="str">
            <v>NA</v>
          </cell>
          <cell r="Q306">
            <v>-68</v>
          </cell>
          <cell r="R306" t="str">
            <v>NA</v>
          </cell>
          <cell r="S306">
            <v>0.50000000000002487</v>
          </cell>
          <cell r="T306" t="str">
            <v>NA</v>
          </cell>
          <cell r="U306">
            <v>-297.59999999999997</v>
          </cell>
          <cell r="V306" t="str">
            <v>NA</v>
          </cell>
          <cell r="W306">
            <v>0.2999999999999261</v>
          </cell>
          <cell r="X306" t="str">
            <v>NA</v>
          </cell>
          <cell r="Y306">
            <v>-62.000000000000114</v>
          </cell>
          <cell r="Z306">
            <v>-8.8235294117645395</v>
          </cell>
          <cell r="AA306">
            <v>-8.48</v>
          </cell>
          <cell r="AB306" t="str">
            <v>NM</v>
          </cell>
          <cell r="AC306">
            <v>-4.5</v>
          </cell>
          <cell r="AD306" t="str">
            <v>NM</v>
          </cell>
          <cell r="AE306">
            <v>-26.7</v>
          </cell>
          <cell r="AF306" t="str">
            <v>NM</v>
          </cell>
          <cell r="AG306">
            <v>-2.1799999999999997</v>
          </cell>
          <cell r="AH306" t="str">
            <v>NM</v>
          </cell>
          <cell r="AI306">
            <v>-1.2</v>
          </cell>
          <cell r="AJ306" t="str">
            <v>NM</v>
          </cell>
          <cell r="AK306">
            <v>-0.6</v>
          </cell>
          <cell r="AL306" t="str">
            <v>NM</v>
          </cell>
          <cell r="AM306">
            <v>0</v>
          </cell>
          <cell r="AN306" t="str">
            <v>NM</v>
          </cell>
          <cell r="AO306">
            <v>92.4</v>
          </cell>
          <cell r="AP306" t="str">
            <v>NM</v>
          </cell>
          <cell r="AQ306">
            <v>-0.9</v>
          </cell>
          <cell r="AR306">
            <v>-25</v>
          </cell>
          <cell r="AS306">
            <v>-0.4</v>
          </cell>
          <cell r="AT306">
            <v>-33.333333333333329</v>
          </cell>
          <cell r="AU306">
            <v>129.4</v>
          </cell>
          <cell r="AV306" t="str">
            <v>NA</v>
          </cell>
          <cell r="AW306">
            <v>-0.60000000000000009</v>
          </cell>
          <cell r="AX306" t="str">
            <v>NM</v>
          </cell>
          <cell r="AY306">
            <v>2.2999999999999998</v>
          </cell>
          <cell r="AZ306" t="str">
            <v>NM</v>
          </cell>
          <cell r="BA306">
            <v>-4.8</v>
          </cell>
          <cell r="BB306" t="str">
            <v>NM</v>
          </cell>
          <cell r="BC306">
            <v>-70.100000000000023</v>
          </cell>
          <cell r="BD306" t="str">
            <v>NM</v>
          </cell>
          <cell r="BE306">
            <v>33.700000000000003</v>
          </cell>
          <cell r="BF306" t="str">
            <v>NM</v>
          </cell>
          <cell r="BG306">
            <v>-47.2</v>
          </cell>
          <cell r="BH306" t="str">
            <v>NM</v>
          </cell>
          <cell r="BI306">
            <v>7.5999999999999988</v>
          </cell>
          <cell r="BJ306" t="str">
            <v>NM</v>
          </cell>
          <cell r="BK306">
            <v>205.89999999999998</v>
          </cell>
          <cell r="BL306" t="str">
            <v>NM</v>
          </cell>
          <cell r="BM306">
            <v>21</v>
          </cell>
          <cell r="BN306">
            <v>-37.685459940652819</v>
          </cell>
          <cell r="BO306">
            <v>-308.2</v>
          </cell>
          <cell r="BP306" t="str">
            <v>NM</v>
          </cell>
          <cell r="BQ306">
            <v>-9.1999999999999993</v>
          </cell>
          <cell r="BR306" t="str">
            <v>NM</v>
          </cell>
          <cell r="BS306">
            <v>38.200000000000003</v>
          </cell>
          <cell r="BT306" t="str">
            <v>NM</v>
          </cell>
          <cell r="BU306">
            <v>17.100000000000001</v>
          </cell>
          <cell r="BV306">
            <v>-18.571428571428555</v>
          </cell>
          <cell r="BW306">
            <v>-16.399999999999999</v>
          </cell>
          <cell r="BX306" t="str">
            <v>NM</v>
          </cell>
          <cell r="BY306">
            <v>-3.5999999999999979</v>
          </cell>
          <cell r="BZ306" t="str">
            <v>NM</v>
          </cell>
          <cell r="CA306">
            <v>-3.9999999999999982</v>
          </cell>
          <cell r="CB306" t="str">
            <v>NM</v>
          </cell>
          <cell r="CC306">
            <v>56.099999999999994</v>
          </cell>
          <cell r="CD306" t="str">
            <v>NM</v>
          </cell>
          <cell r="CE306">
            <v>-3.1000000000000014</v>
          </cell>
          <cell r="CF306" t="str">
            <v>NM</v>
          </cell>
          <cell r="CG306">
            <v>-15.799999999999997</v>
          </cell>
          <cell r="CH306" t="str">
            <v>NM</v>
          </cell>
          <cell r="CI306">
            <v>-57.100000000000009</v>
          </cell>
          <cell r="CJ306" t="str">
            <v>NM</v>
          </cell>
          <cell r="CK306">
            <v>164.1</v>
          </cell>
          <cell r="CL306" t="str">
            <v>NM</v>
          </cell>
          <cell r="CM306">
            <v>-5.4</v>
          </cell>
          <cell r="CN306">
            <v>74.193548387096712</v>
          </cell>
          <cell r="CO306">
            <v>-10.1</v>
          </cell>
          <cell r="CP306">
            <v>-36.075949367088597</v>
          </cell>
          <cell r="CQ306">
            <v>-4.4000000000000021</v>
          </cell>
          <cell r="CR306" t="str">
            <v>NM</v>
          </cell>
          <cell r="CS306">
            <v>-154.69999999999999</v>
          </cell>
          <cell r="CT306" t="str">
            <v>NM</v>
          </cell>
          <cell r="CU306">
            <v>0</v>
          </cell>
          <cell r="CV306" t="str">
            <v>NM</v>
          </cell>
          <cell r="CW306">
            <v>0</v>
          </cell>
          <cell r="CX306" t="str">
            <v>NM</v>
          </cell>
          <cell r="CY306">
            <v>0</v>
          </cell>
          <cell r="CZ306" t="str">
            <v>NM</v>
          </cell>
          <cell r="DA306">
            <v>0</v>
          </cell>
          <cell r="DB306" t="str">
            <v>NM</v>
          </cell>
          <cell r="DC306">
            <v>0</v>
          </cell>
          <cell r="DD306">
            <v>0</v>
          </cell>
          <cell r="DE306">
            <v>0</v>
          </cell>
          <cell r="DF306">
            <v>0</v>
          </cell>
          <cell r="DG306" t="str">
            <v>NA</v>
          </cell>
          <cell r="DH306">
            <v>0</v>
          </cell>
          <cell r="DI306" t="str">
            <v>NA</v>
          </cell>
          <cell r="DJ306">
            <v>-68</v>
          </cell>
          <cell r="DK306" t="str">
            <v>NA</v>
          </cell>
          <cell r="DL306">
            <v>-358.80000000000018</v>
          </cell>
          <cell r="DM306" t="str">
            <v>NM</v>
          </cell>
          <cell r="DN306">
            <v>-41.86</v>
          </cell>
          <cell r="DO306" t="str">
            <v>NM</v>
          </cell>
          <cell r="DP306">
            <v>90.600000000000009</v>
          </cell>
          <cell r="DQ306" t="str">
            <v>NM</v>
          </cell>
          <cell r="DR306">
            <v>127.5</v>
          </cell>
          <cell r="DS306">
            <v>40.728476821192061</v>
          </cell>
          <cell r="DT306">
            <v>-38.90000000000002</v>
          </cell>
          <cell r="DU306" t="str">
            <v>NM</v>
          </cell>
          <cell r="DV306">
            <v>187.29999999999995</v>
          </cell>
          <cell r="DW306" t="str">
            <v>NM</v>
          </cell>
          <cell r="DX306">
            <v>-262.09999999999997</v>
          </cell>
          <cell r="DY306" t="str">
            <v>NM</v>
          </cell>
          <cell r="DZ306">
            <v>32.1</v>
          </cell>
          <cell r="EA306" t="str">
            <v>NM</v>
          </cell>
          <cell r="EB306">
            <v>88.1</v>
          </cell>
          <cell r="EC306" t="str">
            <v>NM</v>
          </cell>
          <cell r="ED306">
            <v>-174.6</v>
          </cell>
          <cell r="EE306" t="str">
            <v>NM</v>
          </cell>
          <cell r="EF306">
            <v>0</v>
          </cell>
          <cell r="EG306" t="str">
            <v>NM</v>
          </cell>
          <cell r="EH306">
            <v>0</v>
          </cell>
          <cell r="EI306" t="str">
            <v>NA</v>
          </cell>
          <cell r="EJ306">
            <v>0</v>
          </cell>
          <cell r="EK306" t="str">
            <v>NA</v>
          </cell>
          <cell r="EL306">
            <v>0</v>
          </cell>
          <cell r="EM306" t="str">
            <v>NA</v>
          </cell>
          <cell r="EN306">
            <v>0</v>
          </cell>
          <cell r="EO306" t="str">
            <v>NA</v>
          </cell>
          <cell r="EP306" t="str">
            <v>NM</v>
          </cell>
          <cell r="EQ306">
            <v>0</v>
          </cell>
          <cell r="ER306">
            <v>0</v>
          </cell>
          <cell r="ES306" t="str">
            <v>mstag:otherProvisionsOneTime</v>
          </cell>
          <cell r="ET306">
            <v>6</v>
          </cell>
          <cell r="EU306" t="str">
            <v>ISO4217:USD</v>
          </cell>
          <cell r="EV306" t="b">
            <v>1</v>
          </cell>
          <cell r="EW306" t="b">
            <v>0</v>
          </cell>
          <cell r="EX306">
            <v>0</v>
          </cell>
          <cell r="EY306">
            <v>0</v>
          </cell>
        </row>
        <row r="345">
          <cell r="A345" t="str">
            <v>ShrsRepurch</v>
          </cell>
          <cell r="B345" t="str">
            <v>Shares Repurchased</v>
          </cell>
          <cell r="C345">
            <v>0</v>
          </cell>
          <cell r="D345">
            <v>0</v>
          </cell>
          <cell r="E345">
            <v>0</v>
          </cell>
          <cell r="F345">
            <v>0</v>
          </cell>
          <cell r="G345">
            <v>0</v>
          </cell>
          <cell r="H345">
            <v>0</v>
          </cell>
          <cell r="I345">
            <v>1.24</v>
          </cell>
          <cell r="J345">
            <v>0</v>
          </cell>
          <cell r="K345">
            <v>1.5</v>
          </cell>
          <cell r="L345" t="str">
            <v>NA</v>
          </cell>
          <cell r="M345">
            <v>0</v>
          </cell>
          <cell r="N345" t="str">
            <v>NA</v>
          </cell>
          <cell r="O345">
            <v>2.4</v>
          </cell>
          <cell r="P345" t="str">
            <v>NA</v>
          </cell>
          <cell r="Q345">
            <v>1.8000000000000003</v>
          </cell>
          <cell r="R345">
            <v>45.161290322580669</v>
          </cell>
          <cell r="S345">
            <v>0</v>
          </cell>
          <cell r="T345" t="str">
            <v>NM</v>
          </cell>
          <cell r="U345">
            <v>0</v>
          </cell>
          <cell r="V345" t="str">
            <v>NA</v>
          </cell>
          <cell r="W345">
            <v>0</v>
          </cell>
          <cell r="X345" t="str">
            <v>NM</v>
          </cell>
          <cell r="Y345">
            <v>0</v>
          </cell>
          <cell r="Z345" t="str">
            <v>NM</v>
          </cell>
          <cell r="AA345">
            <v>0</v>
          </cell>
          <cell r="AB345" t="str">
            <v>NA</v>
          </cell>
          <cell r="AC345">
            <v>0</v>
          </cell>
          <cell r="AD345" t="str">
            <v>NA</v>
          </cell>
          <cell r="AE345">
            <v>0</v>
          </cell>
          <cell r="AF345" t="str">
            <v>NA</v>
          </cell>
          <cell r="AG345">
            <v>0</v>
          </cell>
          <cell r="AH345" t="str">
            <v>NA</v>
          </cell>
          <cell r="AI345">
            <v>0</v>
          </cell>
          <cell r="AJ345" t="str">
            <v>NA</v>
          </cell>
          <cell r="AK345">
            <v>0</v>
          </cell>
          <cell r="AL345" t="str">
            <v>NA</v>
          </cell>
          <cell r="AM345">
            <v>0</v>
          </cell>
          <cell r="AN345" t="str">
            <v>NA</v>
          </cell>
          <cell r="AO345">
            <v>0</v>
          </cell>
          <cell r="AP345" t="str">
            <v>NA</v>
          </cell>
          <cell r="AQ345">
            <v>0</v>
          </cell>
          <cell r="AR345" t="str">
            <v>NA</v>
          </cell>
          <cell r="AS345">
            <v>2.2000000000000002</v>
          </cell>
          <cell r="AT345" t="str">
            <v>NA</v>
          </cell>
          <cell r="AU345">
            <v>6.5670260000000003</v>
          </cell>
          <cell r="AV345" t="str">
            <v>NA</v>
          </cell>
          <cell r="AW345">
            <v>2.2329739999999996</v>
          </cell>
          <cell r="AX345" t="str">
            <v>NA</v>
          </cell>
          <cell r="AY345">
            <v>2.4369299999999998</v>
          </cell>
          <cell r="AZ345" t="str">
            <v>NA</v>
          </cell>
          <cell r="BA345">
            <v>5.6630699999999994</v>
          </cell>
          <cell r="BB345" t="str">
            <v>NM</v>
          </cell>
          <cell r="BC345">
            <v>4.8000000000000007</v>
          </cell>
          <cell r="BD345">
            <v>-26.90755297755787</v>
          </cell>
          <cell r="BE345">
            <v>8.6</v>
          </cell>
          <cell r="BF345" t="str">
            <v>NM</v>
          </cell>
          <cell r="BG345">
            <v>0</v>
          </cell>
          <cell r="BH345" t="str">
            <v>NM</v>
          </cell>
          <cell r="BI345">
            <v>4.4000000000000004</v>
          </cell>
          <cell r="BJ345">
            <v>-22.303626831382957</v>
          </cell>
          <cell r="BK345">
            <v>2.6</v>
          </cell>
          <cell r="BL345">
            <v>-45.833333333333336</v>
          </cell>
          <cell r="BM345">
            <v>1.9</v>
          </cell>
          <cell r="BN345" t="str">
            <v>NM</v>
          </cell>
          <cell r="BO345">
            <v>2.2000000000000002</v>
          </cell>
          <cell r="BP345" t="str">
            <v>NA</v>
          </cell>
          <cell r="BQ345">
            <v>5.6</v>
          </cell>
          <cell r="BR345">
            <v>27.272727272727252</v>
          </cell>
          <cell r="BS345">
            <v>9.6</v>
          </cell>
          <cell r="BT345" t="str">
            <v>NM</v>
          </cell>
          <cell r="BU345">
            <v>4.4000000000000004</v>
          </cell>
          <cell r="BV345" t="str">
            <v>NM</v>
          </cell>
          <cell r="BW345">
            <v>5.3</v>
          </cell>
          <cell r="BX345" t="str">
            <v>NM</v>
          </cell>
          <cell r="BY345">
            <v>5.5962285080421523</v>
          </cell>
          <cell r="BZ345">
            <v>-6.7348070675848248E-2</v>
          </cell>
          <cell r="CA345">
            <v>6.8940654464780913</v>
          </cell>
          <cell r="CB345">
            <v>-28.186818265853205</v>
          </cell>
          <cell r="CC345">
            <v>2.8154327424400418</v>
          </cell>
          <cell r="CD345">
            <v>-36.012892217271784</v>
          </cell>
          <cell r="CE345">
            <v>5.3317535545023702</v>
          </cell>
          <cell r="CF345">
            <v>0.59912366985604137</v>
          </cell>
          <cell r="CG345">
            <v>3.2620320855614975</v>
          </cell>
          <cell r="CH345">
            <v>-41.710169967617652</v>
          </cell>
          <cell r="CI345">
            <v>3.0952380952380949</v>
          </cell>
          <cell r="CJ345" t="str">
            <v>NM</v>
          </cell>
          <cell r="CK345">
            <v>0</v>
          </cell>
          <cell r="CL345" t="str">
            <v>NM</v>
          </cell>
          <cell r="CM345">
            <v>2.1457085828343314</v>
          </cell>
          <cell r="CN345" t="str">
            <v>NM</v>
          </cell>
          <cell r="CO345">
            <v>3.336561743341405</v>
          </cell>
          <cell r="CP345">
            <v>2.2847616401381572</v>
          </cell>
          <cell r="CQ345">
            <v>1.2260869565217392</v>
          </cell>
          <cell r="CR345" t="str">
            <v>NM</v>
          </cell>
          <cell r="CS345">
            <v>1.1065573770491803</v>
          </cell>
          <cell r="CT345" t="str">
            <v>NA</v>
          </cell>
          <cell r="CU345">
            <v>1.6130333091378337</v>
          </cell>
          <cell r="CV345">
            <v>-24.825145313669339</v>
          </cell>
          <cell r="CW345">
            <v>1.5876191111238123</v>
          </cell>
          <cell r="CX345" t="str">
            <v>NM</v>
          </cell>
          <cell r="CY345">
            <v>1.562508593797266</v>
          </cell>
          <cell r="CZ345">
            <v>27.43864417495432</v>
          </cell>
          <cell r="DA345">
            <v>1.5377011816588977</v>
          </cell>
          <cell r="DB345">
            <v>38.962625305470738</v>
          </cell>
          <cell r="DC345">
            <v>0</v>
          </cell>
          <cell r="DD345">
            <v>0</v>
          </cell>
          <cell r="DE345">
            <v>0</v>
          </cell>
          <cell r="DF345">
            <v>0</v>
          </cell>
          <cell r="DG345" t="str">
            <v>NA</v>
          </cell>
          <cell r="DH345">
            <v>1.24</v>
          </cell>
          <cell r="DI345" t="str">
            <v>NA</v>
          </cell>
          <cell r="DJ345">
            <v>5.7</v>
          </cell>
          <cell r="DK345" t="str">
            <v>NM</v>
          </cell>
          <cell r="DL345">
            <v>0</v>
          </cell>
          <cell r="DM345" t="str">
            <v>NM</v>
          </cell>
          <cell r="DN345">
            <v>0</v>
          </cell>
          <cell r="DO345" t="str">
            <v>NA</v>
          </cell>
          <cell r="DP345">
            <v>0</v>
          </cell>
          <cell r="DQ345" t="str">
            <v>NA</v>
          </cell>
          <cell r="DR345">
            <v>11</v>
          </cell>
          <cell r="DS345" t="str">
            <v>NA</v>
          </cell>
          <cell r="DT345">
            <v>21.5</v>
          </cell>
          <cell r="DU345">
            <v>95.454545454545467</v>
          </cell>
          <cell r="DV345">
            <v>8.9</v>
          </cell>
          <cell r="DW345" t="str">
            <v>NM</v>
          </cell>
          <cell r="DX345">
            <v>21.50814053127678</v>
          </cell>
          <cell r="DY345" t="str">
            <v>NM</v>
          </cell>
          <cell r="DZ345">
            <v>20.413638904415876</v>
          </cell>
          <cell r="EA345">
            <v>-5.0887784802656313</v>
          </cell>
          <cell r="EB345">
            <v>11.687881694501488</v>
          </cell>
          <cell r="EC345">
            <v>-42.744741644405359</v>
          </cell>
          <cell r="ED345">
            <v>7.5876944034510165</v>
          </cell>
          <cell r="EE345">
            <v>-35.080670717084573</v>
          </cell>
          <cell r="EF345">
            <v>6.2988607311694489</v>
          </cell>
          <cell r="EG345">
            <v>-16.985840543279963</v>
          </cell>
          <cell r="EH345">
            <v>7.4052592218814119</v>
          </cell>
          <cell r="EI345">
            <v>17.565057205297947</v>
          </cell>
          <cell r="EJ345">
            <v>6.9685952241620575</v>
          </cell>
          <cell r="EK345">
            <v>-5.8966740344359465</v>
          </cell>
          <cell r="EL345">
            <v>7.3816216422801952</v>
          </cell>
          <cell r="EM345">
            <v>5.9269681310525755</v>
          </cell>
          <cell r="EN345">
            <v>6.9545351766397534</v>
          </cell>
          <cell r="EO345">
            <v>-5.7858081372552448</v>
          </cell>
          <cell r="EP345">
            <v>-1.7275789780074269</v>
          </cell>
          <cell r="EQ345">
            <v>0</v>
          </cell>
          <cell r="ER345">
            <v>0</v>
          </cell>
          <cell r="ES345">
            <v>0</v>
          </cell>
          <cell r="ET345">
            <v>0</v>
          </cell>
          <cell r="EU345">
            <v>0</v>
          </cell>
          <cell r="EV345">
            <v>0</v>
          </cell>
          <cell r="EW345">
            <v>0</v>
          </cell>
          <cell r="EX345">
            <v>0</v>
          </cell>
          <cell r="EY345">
            <v>0</v>
          </cell>
        </row>
        <row r="375">
          <cell r="A375">
            <v>0</v>
          </cell>
          <cell r="B375">
            <v>0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  <cell r="L375">
            <v>0</v>
          </cell>
          <cell r="M375">
            <v>0</v>
          </cell>
          <cell r="N375">
            <v>0</v>
          </cell>
          <cell r="O375">
            <v>0</v>
          </cell>
          <cell r="P375">
            <v>0</v>
          </cell>
          <cell r="Q375">
            <v>0</v>
          </cell>
          <cell r="R375">
            <v>0</v>
          </cell>
          <cell r="S375">
            <v>0</v>
          </cell>
          <cell r="T375">
            <v>0</v>
          </cell>
          <cell r="U375">
            <v>0</v>
          </cell>
          <cell r="V375">
            <v>0</v>
          </cell>
          <cell r="W375">
            <v>0</v>
          </cell>
          <cell r="X375">
            <v>0</v>
          </cell>
          <cell r="Y375">
            <v>0</v>
          </cell>
          <cell r="Z375">
            <v>0</v>
          </cell>
          <cell r="AA375">
            <v>0</v>
          </cell>
          <cell r="AB375">
            <v>0</v>
          </cell>
          <cell r="AC375">
            <v>0</v>
          </cell>
          <cell r="AD375">
            <v>0</v>
          </cell>
          <cell r="AE375">
            <v>0</v>
          </cell>
          <cell r="AF375">
            <v>0</v>
          </cell>
          <cell r="AG375">
            <v>0</v>
          </cell>
          <cell r="AH375">
            <v>0</v>
          </cell>
          <cell r="AI375">
            <v>0</v>
          </cell>
          <cell r="AJ375">
            <v>0</v>
          </cell>
          <cell r="AK375">
            <v>0</v>
          </cell>
          <cell r="AL375">
            <v>0</v>
          </cell>
          <cell r="AM375">
            <v>0</v>
          </cell>
          <cell r="AN375">
            <v>0</v>
          </cell>
          <cell r="AO375">
            <v>0</v>
          </cell>
          <cell r="AP375">
            <v>0</v>
          </cell>
          <cell r="AQ375">
            <v>0</v>
          </cell>
          <cell r="AR375">
            <v>0</v>
          </cell>
          <cell r="AS375">
            <v>0</v>
          </cell>
          <cell r="AT375">
            <v>0</v>
          </cell>
          <cell r="AU375">
            <v>0</v>
          </cell>
          <cell r="AV375">
            <v>0</v>
          </cell>
          <cell r="AW375">
            <v>0</v>
          </cell>
          <cell r="AX375">
            <v>0</v>
          </cell>
          <cell r="AY375">
            <v>0</v>
          </cell>
          <cell r="AZ375">
            <v>0</v>
          </cell>
          <cell r="BA375">
            <v>0</v>
          </cell>
          <cell r="BB375">
            <v>0</v>
          </cell>
          <cell r="BC375">
            <v>0</v>
          </cell>
          <cell r="BD375">
            <v>0</v>
          </cell>
          <cell r="BE375">
            <v>0</v>
          </cell>
          <cell r="BF375">
            <v>0</v>
          </cell>
          <cell r="BG375">
            <v>0</v>
          </cell>
          <cell r="BH375">
            <v>0</v>
          </cell>
          <cell r="BI375">
            <v>0</v>
          </cell>
          <cell r="BJ375">
            <v>0</v>
          </cell>
          <cell r="BK375">
            <v>0</v>
          </cell>
          <cell r="BL375">
            <v>0</v>
          </cell>
          <cell r="BM375">
            <v>0</v>
          </cell>
          <cell r="BN375">
            <v>0</v>
          </cell>
          <cell r="BO375">
            <v>0</v>
          </cell>
          <cell r="BP375">
            <v>0</v>
          </cell>
          <cell r="BQ375">
            <v>0</v>
          </cell>
          <cell r="BR375">
            <v>0</v>
          </cell>
          <cell r="BS375">
            <v>0</v>
          </cell>
          <cell r="BT375">
            <v>0</v>
          </cell>
          <cell r="BU375">
            <v>0</v>
          </cell>
          <cell r="BV375">
            <v>0</v>
          </cell>
          <cell r="BW375">
            <v>0</v>
          </cell>
          <cell r="BX375">
            <v>0</v>
          </cell>
          <cell r="BY375">
            <v>0</v>
          </cell>
          <cell r="BZ375">
            <v>0</v>
          </cell>
          <cell r="CA375">
            <v>0</v>
          </cell>
          <cell r="CB375">
            <v>0</v>
          </cell>
          <cell r="CC375">
            <v>0</v>
          </cell>
          <cell r="CD375">
            <v>0</v>
          </cell>
          <cell r="CE375">
            <v>0</v>
          </cell>
          <cell r="CF375">
            <v>0</v>
          </cell>
          <cell r="CG375">
            <v>0</v>
          </cell>
          <cell r="CH375">
            <v>0</v>
          </cell>
          <cell r="CI375">
            <v>0</v>
          </cell>
          <cell r="CJ375">
            <v>0</v>
          </cell>
          <cell r="CK375">
            <v>0</v>
          </cell>
          <cell r="CL375">
            <v>0</v>
          </cell>
          <cell r="CM375">
            <v>0</v>
          </cell>
          <cell r="CN375">
            <v>0</v>
          </cell>
          <cell r="CO375">
            <v>0</v>
          </cell>
          <cell r="CP375">
            <v>0</v>
          </cell>
          <cell r="CQ375">
            <v>0</v>
          </cell>
          <cell r="CR375">
            <v>0</v>
          </cell>
          <cell r="CS375">
            <v>0</v>
          </cell>
          <cell r="CT375">
            <v>0</v>
          </cell>
          <cell r="CU375">
            <v>0</v>
          </cell>
          <cell r="CV375">
            <v>0</v>
          </cell>
          <cell r="CW375">
            <v>0</v>
          </cell>
          <cell r="CX375">
            <v>0</v>
          </cell>
          <cell r="CY375">
            <v>0</v>
          </cell>
          <cell r="CZ375">
            <v>0</v>
          </cell>
          <cell r="DA375">
            <v>0</v>
          </cell>
          <cell r="DB375">
            <v>0</v>
          </cell>
          <cell r="DC375">
            <v>0</v>
          </cell>
          <cell r="DD375">
            <v>0</v>
          </cell>
          <cell r="DE375">
            <v>0</v>
          </cell>
          <cell r="DF375">
            <v>0</v>
          </cell>
          <cell r="DG375">
            <v>0</v>
          </cell>
          <cell r="DH375">
            <v>0</v>
          </cell>
          <cell r="DI375">
            <v>0</v>
          </cell>
          <cell r="DJ375">
            <v>0</v>
          </cell>
          <cell r="DK375">
            <v>0</v>
          </cell>
          <cell r="DL375">
            <v>0</v>
          </cell>
          <cell r="DM375">
            <v>0</v>
          </cell>
          <cell r="DN375">
            <v>0</v>
          </cell>
          <cell r="DO375">
            <v>0</v>
          </cell>
          <cell r="DP375">
            <v>0</v>
          </cell>
          <cell r="DQ375">
            <v>0</v>
          </cell>
          <cell r="DR375">
            <v>0</v>
          </cell>
          <cell r="DS375">
            <v>0</v>
          </cell>
          <cell r="DT375">
            <v>0</v>
          </cell>
          <cell r="DU375">
            <v>0</v>
          </cell>
          <cell r="DV375">
            <v>0</v>
          </cell>
          <cell r="DW375">
            <v>0</v>
          </cell>
          <cell r="DX375">
            <v>0</v>
          </cell>
          <cell r="DY375">
            <v>0</v>
          </cell>
          <cell r="DZ375">
            <v>0</v>
          </cell>
          <cell r="EA375">
            <v>0</v>
          </cell>
          <cell r="EB375">
            <v>0</v>
          </cell>
          <cell r="EC375">
            <v>0</v>
          </cell>
          <cell r="ED375">
            <v>0</v>
          </cell>
          <cell r="EE375">
            <v>0</v>
          </cell>
          <cell r="EF375">
            <v>0</v>
          </cell>
          <cell r="EG375">
            <v>0</v>
          </cell>
          <cell r="EH375">
            <v>0</v>
          </cell>
          <cell r="EI375">
            <v>0</v>
          </cell>
          <cell r="EJ375">
            <v>0</v>
          </cell>
          <cell r="EK375">
            <v>0</v>
          </cell>
          <cell r="EL375">
            <v>0</v>
          </cell>
          <cell r="EM375">
            <v>0</v>
          </cell>
          <cell r="EN375">
            <v>0</v>
          </cell>
          <cell r="EO375">
            <v>0</v>
          </cell>
          <cell r="EP375">
            <v>0</v>
          </cell>
          <cell r="EQ375">
            <v>0</v>
          </cell>
          <cell r="ER375">
            <v>0</v>
          </cell>
          <cell r="ES375">
            <v>0</v>
          </cell>
          <cell r="ET375">
            <v>0</v>
          </cell>
          <cell r="EU375">
            <v>0</v>
          </cell>
          <cell r="EV375">
            <v>0</v>
          </cell>
          <cell r="EW375">
            <v>0</v>
          </cell>
          <cell r="EX375">
            <v>0</v>
          </cell>
          <cell r="EY375">
            <v>0</v>
          </cell>
        </row>
        <row r="399">
          <cell r="A399" t="str">
            <v>BIG_FixPct</v>
          </cell>
          <cell r="B399" t="str">
            <v>Below Investment Grade / Fixed Income (%)</v>
          </cell>
          <cell r="C399">
            <v>4.4000000000000004</v>
          </cell>
          <cell r="D399">
            <v>0</v>
          </cell>
          <cell r="E399">
            <v>4.4000000000000004</v>
          </cell>
          <cell r="F399">
            <v>0</v>
          </cell>
          <cell r="G399">
            <v>4.4000000000000004</v>
          </cell>
          <cell r="H399">
            <v>0</v>
          </cell>
          <cell r="I399">
            <v>4.4000000000000004</v>
          </cell>
          <cell r="J399">
            <v>0</v>
          </cell>
          <cell r="K399">
            <v>4.4000000000000004</v>
          </cell>
          <cell r="L399">
            <v>0</v>
          </cell>
          <cell r="M399">
            <v>4.4000000000000004</v>
          </cell>
          <cell r="N399">
            <v>0</v>
          </cell>
          <cell r="O399">
            <v>4.4000000000000004</v>
          </cell>
          <cell r="P399">
            <v>0</v>
          </cell>
          <cell r="Q399">
            <v>4.4000000000000004</v>
          </cell>
          <cell r="R399">
            <v>0</v>
          </cell>
          <cell r="S399">
            <v>4.4000000000000004</v>
          </cell>
          <cell r="T399">
            <v>0</v>
          </cell>
          <cell r="U399">
            <v>4.4000000000000004</v>
          </cell>
          <cell r="V399">
            <v>0</v>
          </cell>
          <cell r="W399">
            <v>4.4000000000000004</v>
          </cell>
          <cell r="X399">
            <v>0</v>
          </cell>
          <cell r="Y399">
            <v>4.4000000000000004</v>
          </cell>
          <cell r="Z399">
            <v>0</v>
          </cell>
          <cell r="AA399">
            <v>4.4000000000000004</v>
          </cell>
          <cell r="AB399">
            <v>0</v>
          </cell>
          <cell r="AC399">
            <v>4.4000000000000004</v>
          </cell>
          <cell r="AD399">
            <v>0</v>
          </cell>
          <cell r="AE399">
            <v>4.4000000000000004</v>
          </cell>
          <cell r="AF399">
            <v>0</v>
          </cell>
          <cell r="AG399">
            <v>4.4000000000000004</v>
          </cell>
          <cell r="AH399">
            <v>0</v>
          </cell>
          <cell r="AI399">
            <v>4.4000000000000004</v>
          </cell>
          <cell r="AJ399">
            <v>0</v>
          </cell>
          <cell r="AK399">
            <v>4.4000000000000004</v>
          </cell>
          <cell r="AL399">
            <v>0</v>
          </cell>
          <cell r="AM399">
            <v>4.4000000000000004</v>
          </cell>
          <cell r="AN399">
            <v>0</v>
          </cell>
          <cell r="AO399">
            <v>4.4000000000000004</v>
          </cell>
          <cell r="AP399">
            <v>0</v>
          </cell>
          <cell r="AQ399">
            <v>4.4000000000000004</v>
          </cell>
          <cell r="AR399">
            <v>0</v>
          </cell>
          <cell r="AS399">
            <v>4.4000000000000004</v>
          </cell>
          <cell r="AT399">
            <v>0</v>
          </cell>
          <cell r="AU399">
            <v>4.4000000000000004</v>
          </cell>
          <cell r="AV399">
            <v>0</v>
          </cell>
          <cell r="AW399">
            <v>4.4000000000000004</v>
          </cell>
          <cell r="AX399">
            <v>0</v>
          </cell>
          <cell r="AY399">
            <v>4.4000000000000004</v>
          </cell>
          <cell r="AZ399">
            <v>0</v>
          </cell>
          <cell r="BA399">
            <v>4.4000000000000004</v>
          </cell>
          <cell r="BB399">
            <v>0</v>
          </cell>
          <cell r="BC399">
            <v>4.4000000000000004</v>
          </cell>
          <cell r="BD399">
            <v>0</v>
          </cell>
          <cell r="BE399">
            <v>4.4000000000000004</v>
          </cell>
          <cell r="BF399">
            <v>0</v>
          </cell>
          <cell r="BG399">
            <v>4.4000000000000004</v>
          </cell>
          <cell r="BH399">
            <v>0</v>
          </cell>
          <cell r="BI399">
            <v>4.4000000000000004</v>
          </cell>
          <cell r="BJ399">
            <v>0</v>
          </cell>
          <cell r="BK399">
            <v>4.4000000000000004</v>
          </cell>
          <cell r="BL399">
            <v>0</v>
          </cell>
          <cell r="BM399">
            <v>4.4000000000000004</v>
          </cell>
          <cell r="BN399">
            <v>0</v>
          </cell>
          <cell r="BO399">
            <v>4.4000000000000004</v>
          </cell>
          <cell r="BP399">
            <v>0</v>
          </cell>
          <cell r="BQ399">
            <v>4.4000000000000004</v>
          </cell>
          <cell r="BR399">
            <v>0</v>
          </cell>
          <cell r="BS399">
            <v>4.4000000000000004</v>
          </cell>
          <cell r="BT399">
            <v>0</v>
          </cell>
          <cell r="BU399">
            <v>4.4000000000000004</v>
          </cell>
          <cell r="BV399">
            <v>0</v>
          </cell>
          <cell r="BW399">
            <v>4.4000000000000004</v>
          </cell>
          <cell r="BX399">
            <v>0</v>
          </cell>
          <cell r="BY399">
            <v>4.4000000000000004</v>
          </cell>
          <cell r="BZ399">
            <v>0</v>
          </cell>
          <cell r="CA399">
            <v>0</v>
          </cell>
          <cell r="CB399" t="str">
            <v>NM</v>
          </cell>
          <cell r="CC399">
            <v>0</v>
          </cell>
          <cell r="CD399" t="str">
            <v>NM</v>
          </cell>
          <cell r="CE399">
            <v>0</v>
          </cell>
          <cell r="CF399" t="str">
            <v>NM</v>
          </cell>
          <cell r="CG399">
            <v>0</v>
          </cell>
          <cell r="CH399" t="str">
            <v>NM</v>
          </cell>
          <cell r="CI399">
            <v>0</v>
          </cell>
          <cell r="CJ399" t="str">
            <v>NA</v>
          </cell>
          <cell r="CK399">
            <v>0</v>
          </cell>
          <cell r="CL399" t="str">
            <v>NA</v>
          </cell>
          <cell r="CM399">
            <v>0</v>
          </cell>
          <cell r="CN399" t="str">
            <v>NA</v>
          </cell>
          <cell r="CO399">
            <v>0</v>
          </cell>
          <cell r="CP399" t="str">
            <v>NA</v>
          </cell>
          <cell r="CQ399">
            <v>0</v>
          </cell>
          <cell r="CR399" t="str">
            <v>NA</v>
          </cell>
          <cell r="CS399">
            <v>0</v>
          </cell>
          <cell r="CT399" t="str">
            <v>NA</v>
          </cell>
          <cell r="CU399">
            <v>0</v>
          </cell>
          <cell r="CV399" t="str">
            <v>NA</v>
          </cell>
          <cell r="CW399">
            <v>0</v>
          </cell>
          <cell r="CX399" t="str">
            <v>NA</v>
          </cell>
          <cell r="CY399">
            <v>0</v>
          </cell>
          <cell r="CZ399" t="str">
            <v>NA</v>
          </cell>
          <cell r="DA399">
            <v>0</v>
          </cell>
          <cell r="DB399" t="str">
            <v>NA</v>
          </cell>
          <cell r="DC399">
            <v>0</v>
          </cell>
          <cell r="DD399">
            <v>0</v>
          </cell>
          <cell r="DE399">
            <v>0</v>
          </cell>
          <cell r="DF399">
            <v>0</v>
          </cell>
          <cell r="DG399" t="str">
            <v>NA</v>
          </cell>
          <cell r="DH399">
            <v>0</v>
          </cell>
          <cell r="DI399" t="str">
            <v>NA</v>
          </cell>
          <cell r="DJ399">
            <v>0</v>
          </cell>
          <cell r="DK399" t="str">
            <v>NA</v>
          </cell>
          <cell r="DL399">
            <v>0</v>
          </cell>
          <cell r="DM399" t="str">
            <v>NA</v>
          </cell>
          <cell r="DN399">
            <v>0</v>
          </cell>
          <cell r="DO399" t="str">
            <v>NA</v>
          </cell>
          <cell r="DP399">
            <v>0</v>
          </cell>
          <cell r="DQ399" t="str">
            <v>NA</v>
          </cell>
          <cell r="DR399">
            <v>0</v>
          </cell>
          <cell r="DS399" t="str">
            <v>NA</v>
          </cell>
          <cell r="DT399">
            <v>0</v>
          </cell>
          <cell r="DU399" t="str">
            <v>NA</v>
          </cell>
          <cell r="DV399">
            <v>0</v>
          </cell>
          <cell r="DW399" t="str">
            <v>NA</v>
          </cell>
          <cell r="DX399">
            <v>0</v>
          </cell>
          <cell r="DY399">
            <v>0</v>
          </cell>
          <cell r="DZ399">
            <v>0</v>
          </cell>
          <cell r="EA399">
            <v>0</v>
          </cell>
          <cell r="EB399">
            <v>0</v>
          </cell>
          <cell r="EC399">
            <v>0</v>
          </cell>
          <cell r="ED399">
            <v>0</v>
          </cell>
          <cell r="EE399">
            <v>0</v>
          </cell>
          <cell r="EF399">
            <v>0</v>
          </cell>
          <cell r="EG399">
            <v>0</v>
          </cell>
          <cell r="EH399">
            <v>0</v>
          </cell>
          <cell r="EI399">
            <v>0</v>
          </cell>
          <cell r="EJ399">
            <v>0</v>
          </cell>
          <cell r="EK399">
            <v>0</v>
          </cell>
          <cell r="EL399">
            <v>0</v>
          </cell>
          <cell r="EM399">
            <v>0</v>
          </cell>
          <cell r="EN399">
            <v>0</v>
          </cell>
          <cell r="EO399">
            <v>0</v>
          </cell>
          <cell r="EP399">
            <v>0</v>
          </cell>
          <cell r="EQ399">
            <v>0</v>
          </cell>
          <cell r="ER399">
            <v>0</v>
          </cell>
          <cell r="ES399">
            <v>0</v>
          </cell>
          <cell r="ET399">
            <v>0</v>
          </cell>
          <cell r="EU399">
            <v>0</v>
          </cell>
          <cell r="EV399">
            <v>0</v>
          </cell>
          <cell r="EW399">
            <v>0</v>
          </cell>
          <cell r="EX399">
            <v>0</v>
          </cell>
          <cell r="EY399">
            <v>0</v>
          </cell>
        </row>
        <row r="437">
          <cell r="A437">
            <v>0</v>
          </cell>
          <cell r="B437" t="str">
            <v>Op ROE (Excl DTA, Excl FAS 115) (%)</v>
          </cell>
          <cell r="C437">
            <v>19.442590976748946</v>
          </cell>
          <cell r="D437">
            <v>0</v>
          </cell>
          <cell r="E437">
            <v>-6.8031163343456953</v>
          </cell>
          <cell r="F437">
            <v>0</v>
          </cell>
          <cell r="G437">
            <v>18.172222710880483</v>
          </cell>
          <cell r="H437">
            <v>0</v>
          </cell>
          <cell r="I437">
            <v>6.6802585346809327</v>
          </cell>
          <cell r="J437">
            <v>0</v>
          </cell>
          <cell r="K437">
            <v>7.3140367258014125</v>
          </cell>
          <cell r="L437" t="str">
            <v>NM</v>
          </cell>
          <cell r="M437">
            <v>5.6829713821798142</v>
          </cell>
          <cell r="N437" t="str">
            <v>NM</v>
          </cell>
          <cell r="O437">
            <v>-0.40678655570431932</v>
          </cell>
          <cell r="P437" t="str">
            <v>NM</v>
          </cell>
          <cell r="Q437">
            <v>3.6942091234741832</v>
          </cell>
          <cell r="R437">
            <v>-44.699608491265842</v>
          </cell>
          <cell r="S437">
            <v>2.889228281376333</v>
          </cell>
          <cell r="T437" t="str">
            <v>NM</v>
          </cell>
          <cell r="U437">
            <v>3.6142383502750701</v>
          </cell>
          <cell r="V437">
            <v>-36.402313029266764</v>
          </cell>
          <cell r="W437">
            <v>10.683121129095403</v>
          </cell>
          <cell r="X437" t="str">
            <v>NM</v>
          </cell>
          <cell r="Y437">
            <v>8.4575697148102655</v>
          </cell>
          <cell r="Z437" t="str">
            <v>NM</v>
          </cell>
          <cell r="AA437">
            <v>10.986340709104942</v>
          </cell>
          <cell r="AB437" t="str">
            <v>NM</v>
          </cell>
          <cell r="AC437">
            <v>10.243341517232814</v>
          </cell>
          <cell r="AD437" t="str">
            <v>NM</v>
          </cell>
          <cell r="AE437">
            <v>10.156889335733821</v>
          </cell>
          <cell r="AF437">
            <v>-4.9258244571279306</v>
          </cell>
          <cell r="AG437">
            <v>5.0245338567222824</v>
          </cell>
          <cell r="AH437">
            <v>-40.591280637939128</v>
          </cell>
          <cell r="AI437">
            <v>4.1058841067359424</v>
          </cell>
          <cell r="AJ437" t="str">
            <v>NM</v>
          </cell>
          <cell r="AK437">
            <v>5.8907714325285028</v>
          </cell>
          <cell r="AL437">
            <v>-42.491701339663379</v>
          </cell>
          <cell r="AM437">
            <v>5.8977291292272591</v>
          </cell>
          <cell r="AN437">
            <v>-41.933706922670176</v>
          </cell>
          <cell r="AO437">
            <v>7.0604641896603146</v>
          </cell>
          <cell r="AP437">
            <v>40.519785337184601</v>
          </cell>
          <cell r="AQ437">
            <v>6.9850637670028481</v>
          </cell>
          <cell r="AR437">
            <v>70.123256902050485</v>
          </cell>
          <cell r="AS437">
            <v>6.9016323523709815</v>
          </cell>
          <cell r="AT437">
            <v>17.160077104003093</v>
          </cell>
          <cell r="AU437">
            <v>4.7628555351859534</v>
          </cell>
          <cell r="AV437">
            <v>-19.242551992041058</v>
          </cell>
          <cell r="AW437">
            <v>6.9938461011022106</v>
          </cell>
          <cell r="AX437">
            <v>-0.94353695123420778</v>
          </cell>
          <cell r="AY437">
            <v>5.4202162108304703</v>
          </cell>
          <cell r="AZ437">
            <v>-22.402766937714333</v>
          </cell>
          <cell r="BA437">
            <v>6.779553021010881</v>
          </cell>
          <cell r="BB437">
            <v>-1.7688472107350321</v>
          </cell>
          <cell r="BC437">
            <v>7.100033045366569</v>
          </cell>
          <cell r="BD437">
            <v>49.070930094657314</v>
          </cell>
          <cell r="BE437">
            <v>7.2120370813588046</v>
          </cell>
          <cell r="BF437">
            <v>3.119756670399255</v>
          </cell>
          <cell r="BG437">
            <v>5.8048501050219619</v>
          </cell>
          <cell r="BH437">
            <v>7.0962832335531374</v>
          </cell>
          <cell r="BI437">
            <v>8.378267639105152</v>
          </cell>
          <cell r="BJ437">
            <v>23.581416254723692</v>
          </cell>
          <cell r="BK437">
            <v>9.7436756575640864</v>
          </cell>
          <cell r="BL437">
            <v>37.23422969027925</v>
          </cell>
          <cell r="BM437">
            <v>8.6917989200899388</v>
          </cell>
          <cell r="BN437">
            <v>20.51794551300803</v>
          </cell>
          <cell r="BO437">
            <v>7.7925034555655008</v>
          </cell>
          <cell r="BP437">
            <v>34.241251963146397</v>
          </cell>
          <cell r="BQ437">
            <v>9.1103657562689762</v>
          </cell>
          <cell r="BR437">
            <v>8.7380607626664073</v>
          </cell>
          <cell r="BS437">
            <v>9.6972765970914594</v>
          </cell>
          <cell r="BT437">
            <v>-0.47619668494000678</v>
          </cell>
          <cell r="BU437">
            <v>8.8649411462843517</v>
          </cell>
          <cell r="BV437">
            <v>1.9920183127363629</v>
          </cell>
          <cell r="BW437">
            <v>7.6877568315185298</v>
          </cell>
          <cell r="BX437">
            <v>-1.3441973384324797</v>
          </cell>
          <cell r="BY437">
            <v>7.9982898393435686</v>
          </cell>
          <cell r="BZ437">
            <v>-12.206709880557455</v>
          </cell>
          <cell r="CA437">
            <v>7.9332378923845006</v>
          </cell>
          <cell r="CB437">
            <v>-18.191073411642748</v>
          </cell>
          <cell r="CC437">
            <v>13.836455651247448</v>
          </cell>
          <cell r="CD437">
            <v>56.080626175920571</v>
          </cell>
          <cell r="CE437">
            <v>6.9706977724685597</v>
          </cell>
          <cell r="CF437">
            <v>-9.3272859010075138</v>
          </cell>
          <cell r="CG437">
            <v>8.6992147490611273</v>
          </cell>
          <cell r="CH437">
            <v>8.7634347316311505</v>
          </cell>
          <cell r="CI437">
            <v>8.5277100843818907</v>
          </cell>
          <cell r="CJ437">
            <v>7.4934371067840004</v>
          </cell>
          <cell r="CK437">
            <v>11.149323638269301</v>
          </cell>
          <cell r="CL437">
            <v>-19.420667262687928</v>
          </cell>
          <cell r="CM437">
            <v>7.6492596974832807</v>
          </cell>
          <cell r="CN437">
            <v>9.7344906803270987</v>
          </cell>
          <cell r="CO437">
            <v>9.7125193199381759</v>
          </cell>
          <cell r="CP437">
            <v>11.648230330058354</v>
          </cell>
          <cell r="CQ437">
            <v>9.2036034955705812</v>
          </cell>
          <cell r="CR437">
            <v>7.9258488445398569</v>
          </cell>
          <cell r="CS437">
            <v>10.007877921395842</v>
          </cell>
          <cell r="CT437">
            <v>-10.237802344848291</v>
          </cell>
          <cell r="CU437">
            <v>8.3272456629152067</v>
          </cell>
          <cell r="CV437">
            <v>8.8634193666478893</v>
          </cell>
          <cell r="CW437">
            <v>9.6134514240203686</v>
          </cell>
          <cell r="CX437">
            <v>-1.0200020474032669</v>
          </cell>
          <cell r="CY437">
            <v>9.5941991904318016</v>
          </cell>
          <cell r="CZ437">
            <v>4.2439430930417927</v>
          </cell>
          <cell r="DA437">
            <v>9.6168824803668453</v>
          </cell>
          <cell r="DB437">
            <v>-3.9068766036113232</v>
          </cell>
          <cell r="DC437">
            <v>0</v>
          </cell>
          <cell r="DD437">
            <v>0</v>
          </cell>
          <cell r="DE437">
            <v>0</v>
          </cell>
          <cell r="DF437">
            <v>0</v>
          </cell>
          <cell r="DG437">
            <v>0</v>
          </cell>
          <cell r="DH437">
            <v>9.5127232090889802</v>
          </cell>
          <cell r="DI437">
            <v>0</v>
          </cell>
          <cell r="DJ437">
            <v>4.2114557739557918</v>
          </cell>
          <cell r="DK437" t="str">
            <v>NM</v>
          </cell>
          <cell r="DL437">
            <v>6.4111006585136465</v>
          </cell>
          <cell r="DM437">
            <v>52.230036420203049</v>
          </cell>
          <cell r="DN437">
            <v>8.1873959808232151</v>
          </cell>
          <cell r="DO437">
            <v>27.706557998753766</v>
          </cell>
          <cell r="DP437">
            <v>5.3441993496062494</v>
          </cell>
          <cell r="DQ437">
            <v>-34.726506912288031</v>
          </cell>
          <cell r="DR437">
            <v>6.3533813695889796</v>
          </cell>
          <cell r="DS437">
            <v>18.883689659838083</v>
          </cell>
          <cell r="DT437">
            <v>6.7816054279065217</v>
          </cell>
          <cell r="DU437">
            <v>6.7400968619210317</v>
          </cell>
          <cell r="DV437">
            <v>7.998454404945905</v>
          </cell>
          <cell r="DW437">
            <v>17.943376239968359</v>
          </cell>
          <cell r="DX437">
            <v>8.9605850753996563</v>
          </cell>
          <cell r="DY437">
            <v>12.028957367798583</v>
          </cell>
          <cell r="DZ437">
            <v>9.2637179465593675</v>
          </cell>
          <cell r="EA437">
            <v>3.3829584631915424</v>
          </cell>
          <cell r="EB437">
            <v>8.8901673463172148</v>
          </cell>
          <cell r="EC437">
            <v>-4.0324047255874405</v>
          </cell>
          <cell r="ED437">
            <v>9.1926641928932504</v>
          </cell>
          <cell r="EE437">
            <v>3.4026001400451236</v>
          </cell>
          <cell r="EF437">
            <v>9.2791560388760637</v>
          </cell>
          <cell r="EG437">
            <v>0.94087898968047057</v>
          </cell>
          <cell r="EH437">
            <v>9.3962287958465502</v>
          </cell>
          <cell r="EI437">
            <v>1.261674622993695</v>
          </cell>
          <cell r="EJ437">
            <v>9.3829730440990087</v>
          </cell>
          <cell r="EK437">
            <v>-0.14107523385766285</v>
          </cell>
          <cell r="EL437">
            <v>9.5270760496337861</v>
          </cell>
          <cell r="EM437">
            <v>1.5357925985453562</v>
          </cell>
          <cell r="EN437">
            <v>9.6144564054003325</v>
          </cell>
          <cell r="EO437">
            <v>0.91717915666167471</v>
          </cell>
          <cell r="EP437">
            <v>0.90127818582375063</v>
          </cell>
          <cell r="EQ437">
            <v>0</v>
          </cell>
          <cell r="ER437">
            <v>0</v>
          </cell>
          <cell r="ES437">
            <v>0</v>
          </cell>
          <cell r="ET437">
            <v>0</v>
          </cell>
          <cell r="EU437">
            <v>0</v>
          </cell>
          <cell r="EV437">
            <v>0</v>
          </cell>
          <cell r="EW437">
            <v>0</v>
          </cell>
          <cell r="EX437">
            <v>0</v>
          </cell>
          <cell r="EY437">
            <v>0</v>
          </cell>
        </row>
        <row r="446">
          <cell r="A446">
            <v>0</v>
          </cell>
          <cell r="B446" t="str">
            <v>LTD + Pref Equity to Common Equity (%)</v>
          </cell>
          <cell r="C446">
            <v>32.880228561224946</v>
          </cell>
          <cell r="D446">
            <v>0</v>
          </cell>
          <cell r="E446">
            <v>31.237146188911268</v>
          </cell>
          <cell r="F446">
            <v>0</v>
          </cell>
          <cell r="G446">
            <v>30.940131454610366</v>
          </cell>
          <cell r="H446">
            <v>0</v>
          </cell>
          <cell r="I446">
            <v>34.961342636243636</v>
          </cell>
          <cell r="J446">
            <v>0</v>
          </cell>
          <cell r="K446">
            <v>35.156793690292922</v>
          </cell>
          <cell r="L446">
            <v>6.9238117515785405</v>
          </cell>
          <cell r="M446">
            <v>25.56124626547162</v>
          </cell>
          <cell r="N446">
            <v>-18.170353620378137</v>
          </cell>
          <cell r="O446">
            <v>25.985004889709877</v>
          </cell>
          <cell r="P446">
            <v>-16.015208507338556</v>
          </cell>
          <cell r="Q446">
            <v>26.472545019072118</v>
          </cell>
          <cell r="R446">
            <v>-24.280525223225752</v>
          </cell>
          <cell r="S446">
            <v>25.832356259540301</v>
          </cell>
          <cell r="T446">
            <v>-26.522434078871001</v>
          </cell>
          <cell r="U446">
            <v>28.944955265310174</v>
          </cell>
          <cell r="V446">
            <v>13.237652674272397</v>
          </cell>
          <cell r="W446">
            <v>30.306175402179559</v>
          </cell>
          <cell r="X446">
            <v>16.629477388248915</v>
          </cell>
          <cell r="Y446">
            <v>38.565589437468759</v>
          </cell>
          <cell r="Z446">
            <v>45.681457561727512</v>
          </cell>
          <cell r="AA446">
            <v>38.188070052743541</v>
          </cell>
          <cell r="AB446">
            <v>47.830378572764062</v>
          </cell>
          <cell r="AC446">
            <v>36.375978508911295</v>
          </cell>
          <cell r="AD446">
            <v>25.67294775717626</v>
          </cell>
          <cell r="AE446">
            <v>36.264620513262642</v>
          </cell>
          <cell r="AF446">
            <v>19.660828303179969</v>
          </cell>
          <cell r="AG446">
            <v>27.323728501066718</v>
          </cell>
          <cell r="AH446">
            <v>-29.149978258804737</v>
          </cell>
          <cell r="AI446">
            <v>31.194923155583627</v>
          </cell>
          <cell r="AJ446">
            <v>-18.31238627011345</v>
          </cell>
          <cell r="AK446">
            <v>30.70269625387736</v>
          </cell>
          <cell r="AL446">
            <v>-15.596232699675994</v>
          </cell>
          <cell r="AM446">
            <v>30.339991750633434</v>
          </cell>
          <cell r="AN446">
            <v>-16.337214284270431</v>
          </cell>
          <cell r="AO446">
            <v>28.056421928123861</v>
          </cell>
          <cell r="AP446">
            <v>2.6815279877654206</v>
          </cell>
          <cell r="AQ446">
            <v>26.337973490100381</v>
          </cell>
          <cell r="AR446">
            <v>-15.569679852261132</v>
          </cell>
          <cell r="AS446">
            <v>25.667435728411338</v>
          </cell>
          <cell r="AT446">
            <v>-16.400059733614214</v>
          </cell>
          <cell r="AU446">
            <v>23.015348849496746</v>
          </cell>
          <cell r="AV446">
            <v>-24.141875058300784</v>
          </cell>
          <cell r="AW446">
            <v>22.386618652471167</v>
          </cell>
          <cell r="AX446">
            <v>-20.208575741332368</v>
          </cell>
          <cell r="AY446">
            <v>20.62709677419355</v>
          </cell>
          <cell r="AZ446">
            <v>-21.683052866817448</v>
          </cell>
          <cell r="BA446">
            <v>19.942085436793686</v>
          </cell>
          <cell r="BB446">
            <v>-22.305891216395452</v>
          </cell>
          <cell r="BC446">
            <v>27.013414061276681</v>
          </cell>
          <cell r="BD446">
            <v>17.371299639750433</v>
          </cell>
          <cell r="BE446">
            <v>26.070251044938868</v>
          </cell>
          <cell r="BF446">
            <v>16.45461715166654</v>
          </cell>
          <cell r="BG446">
            <v>24.215246636771305</v>
          </cell>
          <cell r="BH446">
            <v>17.395321803439018</v>
          </cell>
          <cell r="BI446">
            <v>23.32294697808565</v>
          </cell>
          <cell r="BJ446">
            <v>16.953400144671832</v>
          </cell>
          <cell r="BK446">
            <v>20.917015845494387</v>
          </cell>
          <cell r="BL446">
            <v>-22.568040462983859</v>
          </cell>
          <cell r="BM446">
            <v>20.277501539044373</v>
          </cell>
          <cell r="BN446">
            <v>-22.219768792825136</v>
          </cell>
          <cell r="BO446">
            <v>21.402129817444219</v>
          </cell>
          <cell r="BP446">
            <v>-11.617130568702592</v>
          </cell>
          <cell r="BQ446">
            <v>21.11428717268133</v>
          </cell>
          <cell r="BR446">
            <v>-9.4699002123513196</v>
          </cell>
          <cell r="BS446">
            <v>21.073342480648254</v>
          </cell>
          <cell r="BT446">
            <v>0.74736585901445096</v>
          </cell>
          <cell r="BU446">
            <v>20.564860596960834</v>
          </cell>
          <cell r="BV446">
            <v>1.4171324675436523</v>
          </cell>
          <cell r="BW446">
            <v>20.285908781484</v>
          </cell>
          <cell r="BX446">
            <v>-5.2154670842638353</v>
          </cell>
          <cell r="BY446">
            <v>24.606299212598419</v>
          </cell>
          <cell r="BZ446">
            <v>16.538621509492501</v>
          </cell>
          <cell r="CA446">
            <v>24.866755951567495</v>
          </cell>
          <cell r="CB446">
            <v>18.001005177051297</v>
          </cell>
          <cell r="CC446">
            <v>24.400760598837678</v>
          </cell>
          <cell r="CD446">
            <v>18.652691486971378</v>
          </cell>
          <cell r="CE446">
            <v>24.728032337701091</v>
          </cell>
          <cell r="CF446">
            <v>21.897582228466135</v>
          </cell>
          <cell r="CG446">
            <v>24.793388429752071</v>
          </cell>
          <cell r="CH446">
            <v>0.76033057851243768</v>
          </cell>
          <cell r="CI446">
            <v>25.080394689827667</v>
          </cell>
          <cell r="CJ446">
            <v>0.8591339323724867</v>
          </cell>
          <cell r="CK446">
            <v>23.62271962737741</v>
          </cell>
          <cell r="CL446">
            <v>-3.1885931108939616</v>
          </cell>
          <cell r="CM446">
            <v>23.558237903641803</v>
          </cell>
          <cell r="CN446">
            <v>-4.7306409910981273</v>
          </cell>
          <cell r="CO446">
            <v>23.525020593080729</v>
          </cell>
          <cell r="CP446">
            <v>-5.1157502745744097</v>
          </cell>
          <cell r="CQ446">
            <v>23.160507585927409</v>
          </cell>
          <cell r="CR446">
            <v>-7.6549317809537598</v>
          </cell>
          <cell r="CS446">
            <v>23.812747344303268</v>
          </cell>
          <cell r="CT446">
            <v>0.8044277709058747</v>
          </cell>
          <cell r="CU446">
            <v>23.716417034510702</v>
          </cell>
          <cell r="CV446">
            <v>0.67143871929590659</v>
          </cell>
          <cell r="CW446">
            <v>23.557863072728267</v>
          </cell>
          <cell r="CX446">
            <v>0.13960659255363339</v>
          </cell>
          <cell r="CY446">
            <v>23.397788155585243</v>
          </cell>
          <cell r="CZ446">
            <v>1.0245050492848833</v>
          </cell>
          <cell r="DA446">
            <v>23.234013282437662</v>
          </cell>
          <cell r="DB446">
            <v>-2.4303540179460157</v>
          </cell>
          <cell r="DC446">
            <v>0</v>
          </cell>
          <cell r="DD446">
            <v>0</v>
          </cell>
          <cell r="DE446">
            <v>0</v>
          </cell>
          <cell r="DF446">
            <v>34.33665514202427</v>
          </cell>
          <cell r="DG446" t="str">
            <v>NA</v>
          </cell>
          <cell r="DH446">
            <v>34.961342636243636</v>
          </cell>
          <cell r="DI446">
            <v>1.8193021179130966</v>
          </cell>
          <cell r="DJ446">
            <v>26.472545019072118</v>
          </cell>
          <cell r="DK446">
            <v>-24.280525223225752</v>
          </cell>
          <cell r="DL446">
            <v>38.565589437468759</v>
          </cell>
          <cell r="DM446">
            <v>45.681457561727512</v>
          </cell>
          <cell r="DN446">
            <v>27.323728501066718</v>
          </cell>
          <cell r="DO446">
            <v>-29.149978258804737</v>
          </cell>
          <cell r="DP446">
            <v>28.056421928123861</v>
          </cell>
          <cell r="DQ446">
            <v>2.6815279877654206</v>
          </cell>
          <cell r="DR446">
            <v>22.386618652471167</v>
          </cell>
          <cell r="DS446">
            <v>-20.208575741332368</v>
          </cell>
          <cell r="DT446">
            <v>26.070251044938868</v>
          </cell>
          <cell r="DU446">
            <v>16.45461715166654</v>
          </cell>
          <cell r="DV446">
            <v>20.277501539044373</v>
          </cell>
          <cell r="DW446">
            <v>-22.219768792825136</v>
          </cell>
          <cell r="DX446">
            <v>20.564860596960834</v>
          </cell>
          <cell r="DY446">
            <v>1.4171324675436523</v>
          </cell>
          <cell r="DZ446">
            <v>24.400760598837678</v>
          </cell>
          <cell r="EA446">
            <v>18.652691486971378</v>
          </cell>
          <cell r="EB446">
            <v>23.62271962737741</v>
          </cell>
          <cell r="EC446">
            <v>-3.1885931108939616</v>
          </cell>
          <cell r="ED446">
            <v>23.812747344303268</v>
          </cell>
          <cell r="EE446">
            <v>0.8044277709058747</v>
          </cell>
          <cell r="EF446">
            <v>23.234013282437662</v>
          </cell>
          <cell r="EG446">
            <v>-2.4303540179460157</v>
          </cell>
          <cell r="EH446">
            <v>22.85660209680562</v>
          </cell>
          <cell r="EI446">
            <v>-1.6243908490717871</v>
          </cell>
          <cell r="EJ446">
            <v>22.47849840848771</v>
          </cell>
          <cell r="EK446">
            <v>-1.6542427729043396</v>
          </cell>
          <cell r="EL446">
            <v>22.205790881044106</v>
          </cell>
          <cell r="EM446">
            <v>-1.2131928142523662</v>
          </cell>
          <cell r="EN446">
            <v>21.913779008758759</v>
          </cell>
          <cell r="EO446">
            <v>-1.3150257689521112</v>
          </cell>
          <cell r="EP446">
            <v>-1.6483716404921855</v>
          </cell>
          <cell r="EQ446">
            <v>0</v>
          </cell>
          <cell r="ER446">
            <v>0</v>
          </cell>
          <cell r="ES446">
            <v>0</v>
          </cell>
          <cell r="ET446">
            <v>0</v>
          </cell>
          <cell r="EU446">
            <v>0</v>
          </cell>
          <cell r="EV446">
            <v>0</v>
          </cell>
          <cell r="EW446">
            <v>0</v>
          </cell>
          <cell r="EX446">
            <v>0</v>
          </cell>
          <cell r="EY446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 refreshError="1"/>
      <sheetData sheetId="13" refreshError="1"/>
      <sheetData sheetId="1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
<Relationship Id="rId1" Target="../printerSettings/printerSettings1.bin" Type="http://schemas.openxmlformats.org/officeDocument/2006/relationships/printerSettings"/>
<Relationship Id="rId2" Target="../drawings/drawing1.xml" Type="http://schemas.openxmlformats.org/officeDocument/2006/relationships/drawing"/>
</Relationships>

</file>

<file path=xl/worksheets/_rels/sheet2.xml.rels><?xml version="1.0" encoding="UTF-8" standalone="yes"?>
<Relationships xmlns="http://schemas.openxmlformats.org/package/2006/relationships">
<Relationship Id="rId1" Target="../printerSettings/printerSettings2.bin" Type="http://schemas.openxmlformats.org/officeDocument/2006/relationships/printerSettings"/>
<Relationship Id="rId2" Target="../drawings/drawing2.xml" Type="http://schemas.openxmlformats.org/officeDocument/2006/relationships/drawing"/>
<Relationship Id="rId3" Target="../drawings/vmlDrawing1.vml" Type="http://schemas.openxmlformats.org/officeDocument/2006/relationships/vmlDrawing"/>
<Relationship Id="rId4" Target="../comments1.xml" Type="http://schemas.openxmlformats.org/officeDocument/2006/relationships/comments"/>
</Relationships>

</file>

<file path=xl/worksheets/_rels/sheet3.xml.rels><?xml version="1.0" encoding="UTF-8" standalone="yes"?>
<Relationships xmlns="http://schemas.openxmlformats.org/package/2006/relationships">
<Relationship Id="rId1" Target="../printerSettings/printerSettings3.bin" Type="http://schemas.openxmlformats.org/officeDocument/2006/relationships/printerSettings"/>
</Relationships>

</file>

<file path=xl/worksheets/_rels/sheet4.xml.rels><?xml version="1.0" encoding="UTF-8" standalone="yes"?>
<Relationships xmlns="http://schemas.openxmlformats.org/package/2006/relationships">
<Relationship Id="rId1" Target="../printerSettings/printerSettings4.bin" Type="http://schemas.openxmlformats.org/officeDocument/2006/relationships/printerSettings"/>
</Relationships>

</file>

<file path=xl/worksheets/_rels/sheet5.xml.rels><?xml version="1.0" encoding="UTF-8" standalone="yes"?>
<Relationships xmlns="http://schemas.openxmlformats.org/package/2006/relationships">
<Relationship Id="rId1" Target="../printerSettings/printerSettings5.bin" Type="http://schemas.openxmlformats.org/officeDocument/2006/relationships/printerSettings"/>
<Relationship Id="rId2" Target="../drawings/drawing3.xml" Type="http://schemas.openxmlformats.org/officeDocument/2006/relationships/drawing"/>
<Relationship Id="rId3" Target="../drawings/vmlDrawing2.vml" Type="http://schemas.openxmlformats.org/officeDocument/2006/relationships/vmlDrawing"/>
<Relationship Id="rId4" Target="../comments2.xml" Type="http://schemas.openxmlformats.org/officeDocument/2006/relationships/comments"/>
</Relationships>

</file>

<file path=xl/worksheets/_rels/sheet6.xml.rels><?xml version="1.0" encoding="UTF-8" standalone="yes"?>
<Relationships xmlns="http://schemas.openxmlformats.org/package/2006/relationships">
<Relationship Id="rId1" Target="../printerSettings/printerSettings6.bin" Type="http://schemas.openxmlformats.org/officeDocument/2006/relationships/printerSettings"/>
</Relationships>

</file>

<file path=xl/worksheets/_rels/sheet8.xml.rels><?xml version="1.0" encoding="UTF-8" standalone="yes"?>
<Relationships xmlns="http://schemas.openxmlformats.org/package/2006/relationships">
<Relationship Id="rId1" Target="../printerSettings/printerSettings7.bin" Type="http://schemas.openxmlformats.org/officeDocument/2006/relationships/printerSettings"/>
</Relationships>
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398"/>
  <sheetViews>
    <sheetView showGridLines="0" tabSelected="1" workbookViewId="0">
      <selection activeCell="Z1" sqref="Z1"/>
    </sheetView>
  </sheetViews>
  <sheetFormatPr defaultRowHeight="12.75"/>
  <cols>
    <col min="1" max="1" width="25.7109375" style="493" customWidth="1"/>
    <col min="2" max="5" width="9.140625" style="493"/>
    <col min="6" max="6" width="18.7109375" style="493" customWidth="1"/>
    <col min="7" max="256" width="9.140625" style="493"/>
    <col min="257" max="257" width="100.7109375" style="493" customWidth="1"/>
    <col min="258" max="512" width="9.140625" style="493"/>
    <col min="513" max="513" width="100.7109375" style="493" customWidth="1"/>
    <col min="514" max="768" width="9.140625" style="493"/>
    <col min="769" max="769" width="100.7109375" style="493" customWidth="1"/>
    <col min="770" max="1024" width="9.140625" style="493"/>
    <col min="1025" max="1025" width="100.7109375" style="493" customWidth="1"/>
    <col min="1026" max="1280" width="9.140625" style="493"/>
    <col min="1281" max="1281" width="100.7109375" style="493" customWidth="1"/>
    <col min="1282" max="1536" width="9.140625" style="493"/>
    <col min="1537" max="1537" width="100.7109375" style="493" customWidth="1"/>
    <col min="1538" max="1792" width="9.140625" style="493"/>
    <col min="1793" max="1793" width="100.7109375" style="493" customWidth="1"/>
    <col min="1794" max="2048" width="9.140625" style="493"/>
    <col min="2049" max="2049" width="100.7109375" style="493" customWidth="1"/>
    <col min="2050" max="2304" width="9.140625" style="493"/>
    <col min="2305" max="2305" width="100.7109375" style="493" customWidth="1"/>
    <col min="2306" max="2560" width="9.140625" style="493"/>
    <col min="2561" max="2561" width="100.7109375" style="493" customWidth="1"/>
    <col min="2562" max="2816" width="9.140625" style="493"/>
    <col min="2817" max="2817" width="100.7109375" style="493" customWidth="1"/>
    <col min="2818" max="3072" width="9.140625" style="493"/>
    <col min="3073" max="3073" width="100.7109375" style="493" customWidth="1"/>
    <col min="3074" max="3328" width="9.140625" style="493"/>
    <col min="3329" max="3329" width="100.7109375" style="493" customWidth="1"/>
    <col min="3330" max="3584" width="9.140625" style="493"/>
    <col min="3585" max="3585" width="100.7109375" style="493" customWidth="1"/>
    <col min="3586" max="3840" width="9.140625" style="493"/>
    <col min="3841" max="3841" width="100.7109375" style="493" customWidth="1"/>
    <col min="3842" max="4096" width="9.140625" style="493"/>
    <col min="4097" max="4097" width="100.7109375" style="493" customWidth="1"/>
    <col min="4098" max="4352" width="9.140625" style="493"/>
    <col min="4353" max="4353" width="100.7109375" style="493" customWidth="1"/>
    <col min="4354" max="4608" width="9.140625" style="493"/>
    <col min="4609" max="4609" width="100.7109375" style="493" customWidth="1"/>
    <col min="4610" max="4864" width="9.140625" style="493"/>
    <col min="4865" max="4865" width="100.7109375" style="493" customWidth="1"/>
    <col min="4866" max="5120" width="9.140625" style="493"/>
    <col min="5121" max="5121" width="100.7109375" style="493" customWidth="1"/>
    <col min="5122" max="5376" width="9.140625" style="493"/>
    <col min="5377" max="5377" width="100.7109375" style="493" customWidth="1"/>
    <col min="5378" max="5632" width="9.140625" style="493"/>
    <col min="5633" max="5633" width="100.7109375" style="493" customWidth="1"/>
    <col min="5634" max="5888" width="9.140625" style="493"/>
    <col min="5889" max="5889" width="100.7109375" style="493" customWidth="1"/>
    <col min="5890" max="6144" width="9.140625" style="493"/>
    <col min="6145" max="6145" width="100.7109375" style="493" customWidth="1"/>
    <col min="6146" max="6400" width="9.140625" style="493"/>
    <col min="6401" max="6401" width="100.7109375" style="493" customWidth="1"/>
    <col min="6402" max="6656" width="9.140625" style="493"/>
    <col min="6657" max="6657" width="100.7109375" style="493" customWidth="1"/>
    <col min="6658" max="6912" width="9.140625" style="493"/>
    <col min="6913" max="6913" width="100.7109375" style="493" customWidth="1"/>
    <col min="6914" max="7168" width="9.140625" style="493"/>
    <col min="7169" max="7169" width="100.7109375" style="493" customWidth="1"/>
    <col min="7170" max="7424" width="9.140625" style="493"/>
    <col min="7425" max="7425" width="100.7109375" style="493" customWidth="1"/>
    <col min="7426" max="7680" width="9.140625" style="493"/>
    <col min="7681" max="7681" width="100.7109375" style="493" customWidth="1"/>
    <col min="7682" max="7936" width="9.140625" style="493"/>
    <col min="7937" max="7937" width="100.7109375" style="493" customWidth="1"/>
    <col min="7938" max="8192" width="9.140625" style="493"/>
    <col min="8193" max="8193" width="100.7109375" style="493" customWidth="1"/>
    <col min="8194" max="8448" width="9.140625" style="493"/>
    <col min="8449" max="8449" width="100.7109375" style="493" customWidth="1"/>
    <col min="8450" max="8704" width="9.140625" style="493"/>
    <col min="8705" max="8705" width="100.7109375" style="493" customWidth="1"/>
    <col min="8706" max="8960" width="9.140625" style="493"/>
    <col min="8961" max="8961" width="100.7109375" style="493" customWidth="1"/>
    <col min="8962" max="9216" width="9.140625" style="493"/>
    <col min="9217" max="9217" width="100.7109375" style="493" customWidth="1"/>
    <col min="9218" max="9472" width="9.140625" style="493"/>
    <col min="9473" max="9473" width="100.7109375" style="493" customWidth="1"/>
    <col min="9474" max="9728" width="9.140625" style="493"/>
    <col min="9729" max="9729" width="100.7109375" style="493" customWidth="1"/>
    <col min="9730" max="9984" width="9.140625" style="493"/>
    <col min="9985" max="9985" width="100.7109375" style="493" customWidth="1"/>
    <col min="9986" max="10240" width="9.140625" style="493"/>
    <col min="10241" max="10241" width="100.7109375" style="493" customWidth="1"/>
    <col min="10242" max="10496" width="9.140625" style="493"/>
    <col min="10497" max="10497" width="100.7109375" style="493" customWidth="1"/>
    <col min="10498" max="10752" width="9.140625" style="493"/>
    <col min="10753" max="10753" width="100.7109375" style="493" customWidth="1"/>
    <col min="10754" max="11008" width="9.140625" style="493"/>
    <col min="11009" max="11009" width="100.7109375" style="493" customWidth="1"/>
    <col min="11010" max="11264" width="9.140625" style="493"/>
    <col min="11265" max="11265" width="100.7109375" style="493" customWidth="1"/>
    <col min="11266" max="11520" width="9.140625" style="493"/>
    <col min="11521" max="11521" width="100.7109375" style="493" customWidth="1"/>
    <col min="11522" max="11776" width="9.140625" style="493"/>
    <col min="11777" max="11777" width="100.7109375" style="493" customWidth="1"/>
    <col min="11778" max="12032" width="9.140625" style="493"/>
    <col min="12033" max="12033" width="100.7109375" style="493" customWidth="1"/>
    <col min="12034" max="12288" width="9.140625" style="493"/>
    <col min="12289" max="12289" width="100.7109375" style="493" customWidth="1"/>
    <col min="12290" max="12544" width="9.140625" style="493"/>
    <col min="12545" max="12545" width="100.7109375" style="493" customWidth="1"/>
    <col min="12546" max="12800" width="9.140625" style="493"/>
    <col min="12801" max="12801" width="100.7109375" style="493" customWidth="1"/>
    <col min="12802" max="13056" width="9.140625" style="493"/>
    <col min="13057" max="13057" width="100.7109375" style="493" customWidth="1"/>
    <col min="13058" max="13312" width="9.140625" style="493"/>
    <col min="13313" max="13313" width="100.7109375" style="493" customWidth="1"/>
    <col min="13314" max="13568" width="9.140625" style="493"/>
    <col min="13569" max="13569" width="100.7109375" style="493" customWidth="1"/>
    <col min="13570" max="13824" width="9.140625" style="493"/>
    <col min="13825" max="13825" width="100.7109375" style="493" customWidth="1"/>
    <col min="13826" max="14080" width="9.140625" style="493"/>
    <col min="14081" max="14081" width="100.7109375" style="493" customWidth="1"/>
    <col min="14082" max="14336" width="9.140625" style="493"/>
    <col min="14337" max="14337" width="100.7109375" style="493" customWidth="1"/>
    <col min="14338" max="14592" width="9.140625" style="493"/>
    <col min="14593" max="14593" width="100.7109375" style="493" customWidth="1"/>
    <col min="14594" max="14848" width="9.140625" style="493"/>
    <col min="14849" max="14849" width="100.7109375" style="493" customWidth="1"/>
    <col min="14850" max="15104" width="9.140625" style="493"/>
    <col min="15105" max="15105" width="100.7109375" style="493" customWidth="1"/>
    <col min="15106" max="15360" width="9.140625" style="493"/>
    <col min="15361" max="15361" width="100.7109375" style="493" customWidth="1"/>
    <col min="15362" max="15616" width="9.140625" style="493"/>
    <col min="15617" max="15617" width="100.7109375" style="493" customWidth="1"/>
    <col min="15618" max="15872" width="9.140625" style="493"/>
    <col min="15873" max="15873" width="100.7109375" style="493" customWidth="1"/>
    <col min="15874" max="16128" width="9.140625" style="493"/>
    <col min="16129" max="16129" width="100.7109375" style="493" customWidth="1"/>
    <col min="16130" max="16384" width="9.140625" style="493"/>
  </cols>
  <sheetData>
    <row r="1" spans="1:8" ht="30" customHeight="1">
      <c r="A1" s="491"/>
      <c r="B1" s="492"/>
      <c r="C1" s="492"/>
      <c r="D1" s="492"/>
      <c r="E1" s="492"/>
      <c r="F1" s="492"/>
      <c r="G1" s="492"/>
      <c r="H1" s="492"/>
    </row>
    <row r="2" spans="1:8" ht="14.25">
      <c r="A2" s="494" t="s">
        <v>353</v>
      </c>
      <c r="B2" s="492"/>
      <c r="C2" s="492"/>
      <c r="D2" s="492"/>
      <c r="E2" s="492"/>
      <c r="F2" s="492"/>
      <c r="G2" s="492"/>
      <c r="H2" s="492"/>
    </row>
    <row r="3" spans="1:8" ht="14.25">
      <c r="A3" s="494" t="s">
        <v>354</v>
      </c>
      <c r="B3" s="492"/>
      <c r="C3" s="492"/>
      <c r="D3" s="492"/>
      <c r="E3" s="492"/>
      <c r="F3" s="492"/>
      <c r="G3" s="492"/>
      <c r="H3" s="492"/>
    </row>
    <row r="4" spans="1:8" ht="14.25">
      <c r="A4" s="494" t="s">
        <v>355</v>
      </c>
      <c r="B4" s="492"/>
      <c r="C4" s="492"/>
      <c r="D4" s="492"/>
      <c r="E4" s="492"/>
      <c r="F4" s="492"/>
      <c r="G4" s="492"/>
      <c r="H4" s="492"/>
    </row>
    <row r="5" spans="1:8" ht="14.25">
      <c r="A5" s="494" t="s">
        <v>356</v>
      </c>
      <c r="B5" s="492"/>
      <c r="C5" s="492"/>
      <c r="D5" s="492"/>
      <c r="E5" s="492"/>
      <c r="F5" s="492"/>
      <c r="G5" s="492"/>
      <c r="H5" s="492"/>
    </row>
    <row r="6" spans="1:8" ht="14.25">
      <c r="A6" s="494"/>
      <c r="B6" s="492"/>
      <c r="C6" s="492"/>
      <c r="D6" s="492"/>
      <c r="E6" s="492"/>
      <c r="F6" s="492"/>
      <c r="G6" s="492"/>
      <c r="H6" s="492"/>
    </row>
    <row r="7" spans="1:8">
      <c r="A7" s="491" t="s">
        <v>357</v>
      </c>
      <c r="B7" s="492"/>
      <c r="C7" s="492"/>
      <c r="D7" s="492"/>
      <c r="E7" s="492"/>
      <c r="F7" s="492"/>
      <c r="G7" s="492"/>
      <c r="H7" s="492"/>
    </row>
    <row r="8" spans="1:8">
      <c r="A8" s="491" t="s">
        <v>358</v>
      </c>
      <c r="B8" s="492"/>
      <c r="C8" s="492"/>
      <c r="D8" s="492"/>
      <c r="E8" s="492"/>
      <c r="F8" s="492"/>
      <c r="G8" s="492"/>
      <c r="H8" s="492"/>
    </row>
    <row r="9" spans="1:8">
      <c r="A9" s="491"/>
      <c r="B9" s="492"/>
      <c r="C9" s="492"/>
      <c r="D9" s="492"/>
      <c r="E9" s="492"/>
      <c r="F9" s="492"/>
      <c r="G9" s="492"/>
      <c r="H9" s="492"/>
    </row>
    <row r="10" spans="1:8">
      <c r="A10" s="495" t="s">
        <v>359</v>
      </c>
      <c r="B10" s="492"/>
      <c r="C10" s="492"/>
      <c r="D10" s="492"/>
      <c r="E10" s="492"/>
      <c r="F10" s="492"/>
      <c r="G10" s="492"/>
      <c r="H10" s="492"/>
    </row>
    <row r="11" spans="1:8">
      <c r="A11" s="495" t="s">
        <v>360</v>
      </c>
      <c r="B11" s="492"/>
      <c r="C11" s="492"/>
      <c r="D11" s="492"/>
      <c r="E11" s="492"/>
      <c r="F11" s="492"/>
      <c r="G11" s="492"/>
      <c r="H11" s="492"/>
    </row>
    <row r="12" spans="1:8">
      <c r="A12" s="495" t="s">
        <v>361</v>
      </c>
      <c r="B12" s="492"/>
      <c r="C12" s="492"/>
      <c r="D12" s="492"/>
      <c r="E12" s="492"/>
      <c r="F12" s="492"/>
      <c r="G12" s="492"/>
      <c r="H12" s="492"/>
    </row>
    <row r="13" spans="1:8">
      <c r="A13" s="495" t="s">
        <v>362</v>
      </c>
      <c r="B13" s="492"/>
      <c r="C13" s="492"/>
      <c r="D13" s="492"/>
      <c r="E13" s="492"/>
      <c r="F13" s="492"/>
      <c r="G13" s="492"/>
      <c r="H13" s="492"/>
    </row>
    <row r="14" spans="1:8">
      <c r="A14" s="495" t="s">
        <v>363</v>
      </c>
      <c r="B14" s="492"/>
      <c r="C14" s="492"/>
      <c r="D14" s="492"/>
      <c r="E14" s="492"/>
      <c r="F14" s="492"/>
      <c r="G14" s="492"/>
      <c r="H14" s="492"/>
    </row>
    <row r="15" spans="1:8">
      <c r="A15" s="495" t="s">
        <v>364</v>
      </c>
      <c r="B15" s="492"/>
      <c r="C15" s="492"/>
      <c r="D15" s="492"/>
      <c r="E15" s="492"/>
      <c r="F15" s="492"/>
      <c r="G15" s="492"/>
      <c r="H15" s="492"/>
    </row>
    <row r="16" spans="1:8">
      <c r="A16" s="495"/>
      <c r="B16" s="492"/>
      <c r="C16" s="492"/>
      <c r="D16" s="492"/>
      <c r="E16" s="492"/>
      <c r="F16" s="492"/>
      <c r="G16" s="492"/>
      <c r="H16" s="492"/>
    </row>
    <row r="17" spans="1:8">
      <c r="A17" s="495" t="s">
        <v>350</v>
      </c>
      <c r="B17" s="492"/>
      <c r="C17" s="492"/>
      <c r="D17" s="492"/>
      <c r="E17" s="492"/>
      <c r="F17" s="492"/>
      <c r="G17" s="492"/>
      <c r="H17" s="492"/>
    </row>
    <row r="18" spans="1:8">
      <c r="A18" s="495"/>
      <c r="B18" s="492"/>
      <c r="C18" s="492"/>
      <c r="D18" s="492"/>
      <c r="E18" s="492"/>
      <c r="F18" s="492"/>
      <c r="G18" s="492"/>
      <c r="H18" s="492"/>
    </row>
    <row r="19" spans="1:8">
      <c r="A19" s="495" t="s">
        <v>351</v>
      </c>
      <c r="B19" s="492"/>
      <c r="C19" s="492"/>
      <c r="D19" s="492"/>
      <c r="E19" s="492"/>
      <c r="F19" s="492"/>
      <c r="G19" s="492"/>
      <c r="H19" s="492"/>
    </row>
    <row r="20" spans="1:8">
      <c r="A20" s="491"/>
      <c r="B20" s="492"/>
      <c r="C20" s="492"/>
      <c r="D20" s="492"/>
      <c r="E20" s="492"/>
      <c r="F20" s="492"/>
      <c r="G20" s="492"/>
      <c r="H20" s="492"/>
    </row>
    <row r="21" spans="1:8">
      <c r="A21" s="496" t="s">
        <v>352</v>
      </c>
      <c r="B21" s="492"/>
      <c r="C21" s="492"/>
      <c r="D21" s="492"/>
      <c r="E21" s="492"/>
      <c r="F21" s="492"/>
      <c r="G21" s="492"/>
      <c r="H21" s="492"/>
    </row>
    <row r="22" spans="1:8" ht="15">
      <c r="A22" s="497"/>
      <c r="B22" s="497"/>
      <c r="C22" s="497"/>
      <c r="D22" s="497"/>
      <c r="E22" s="497"/>
      <c r="F22" s="497"/>
      <c r="G22" s="497"/>
      <c r="H22" s="497"/>
    </row>
    <row r="23" spans="1:8" ht="15">
      <c r="A23" s="498" t="s">
        <v>649</v>
      </c>
      <c r="B23" s="497"/>
      <c r="C23" s="497"/>
      <c r="D23" s="497"/>
      <c r="E23" s="497"/>
      <c r="F23" s="497"/>
      <c r="G23" s="497"/>
      <c r="H23" s="497"/>
    </row>
    <row r="24" spans="1:8" ht="15">
      <c r="A24" s="498" t="s">
        <v>650</v>
      </c>
      <c r="B24" s="497"/>
      <c r="C24" s="497"/>
      <c r="D24" s="497"/>
      <c r="E24" s="497"/>
      <c r="F24" s="497"/>
      <c r="G24" s="497"/>
      <c r="H24" s="497"/>
    </row>
    <row r="25" spans="1:8" ht="15">
      <c r="A25" s="498" t="s">
        <v>651</v>
      </c>
      <c r="B25" s="497"/>
      <c r="C25" s="497"/>
      <c r="D25" s="497"/>
      <c r="E25" s="497"/>
      <c r="F25" s="497"/>
      <c r="G25" s="497"/>
      <c r="H25" s="497"/>
    </row>
    <row r="26" spans="1:8" ht="15">
      <c r="A26" s="498" t="s">
        <v>652</v>
      </c>
      <c r="B26" s="497"/>
      <c r="C26" s="497"/>
      <c r="D26" s="497"/>
      <c r="E26" s="497"/>
      <c r="F26" s="497"/>
      <c r="G26" s="497"/>
      <c r="H26" s="497"/>
    </row>
    <row r="27" spans="1:8" ht="15">
      <c r="A27" s="497"/>
      <c r="B27" s="497"/>
      <c r="C27" s="497"/>
      <c r="D27" s="497"/>
      <c r="E27" s="497"/>
      <c r="F27" s="497"/>
      <c r="G27" s="497"/>
      <c r="H27" s="497"/>
    </row>
    <row r="28" spans="1:8" ht="15">
      <c r="A28" s="497"/>
      <c r="B28" s="497"/>
      <c r="C28" s="497"/>
      <c r="D28" s="497"/>
      <c r="E28" s="497"/>
      <c r="F28" s="497"/>
      <c r="G28" s="497"/>
      <c r="H28" s="497"/>
    </row>
    <row r="29" spans="1:8" ht="15">
      <c r="A29" s="498" t="s">
        <v>644</v>
      </c>
      <c r="B29" s="497"/>
      <c r="C29" s="497"/>
      <c r="D29" s="497"/>
      <c r="E29" s="497"/>
      <c r="F29" s="497"/>
      <c r="G29" s="497"/>
      <c r="H29" s="497"/>
    </row>
    <row r="30" spans="1:8" ht="15">
      <c r="A30" s="498" t="s">
        <v>645</v>
      </c>
      <c r="B30" s="497"/>
      <c r="C30" s="497"/>
      <c r="D30" s="497"/>
      <c r="E30" s="497"/>
      <c r="F30" s="497"/>
      <c r="G30" s="497"/>
      <c r="H30" s="497"/>
    </row>
    <row r="31" spans="1:8" ht="15">
      <c r="A31" s="498" t="s">
        <v>646</v>
      </c>
      <c r="B31" s="497"/>
      <c r="C31" s="497"/>
      <c r="D31" s="497"/>
      <c r="E31" s="497"/>
      <c r="F31" s="497"/>
      <c r="G31" s="497"/>
      <c r="H31" s="497"/>
    </row>
    <row r="32" spans="1:8" ht="15">
      <c r="A32" s="498" t="s">
        <v>647</v>
      </c>
      <c r="B32" s="497"/>
      <c r="C32" s="497"/>
      <c r="D32" s="497"/>
      <c r="E32" s="497"/>
      <c r="F32" s="497"/>
      <c r="G32" s="497"/>
      <c r="H32" s="497"/>
    </row>
    <row r="33" spans="1:8" ht="15">
      <c r="A33" s="498" t="s">
        <v>648</v>
      </c>
      <c r="B33" s="497"/>
      <c r="C33" s="497"/>
      <c r="D33" s="497"/>
      <c r="E33" s="497"/>
      <c r="F33" s="497"/>
      <c r="G33" s="497"/>
      <c r="H33" s="497"/>
    </row>
    <row r="34" spans="1:8" ht="15">
      <c r="A34" s="497"/>
      <c r="B34" s="497"/>
      <c r="C34" s="497"/>
      <c r="D34" s="497"/>
      <c r="E34" s="497"/>
      <c r="F34" s="497"/>
      <c r="G34" s="497"/>
      <c r="H34" s="497"/>
    </row>
    <row r="35" spans="1:8" ht="15">
      <c r="A35" s="498" t="s">
        <v>640</v>
      </c>
      <c r="B35" s="497"/>
      <c r="C35" s="497"/>
      <c r="D35" s="497"/>
      <c r="E35" s="497"/>
      <c r="F35" s="497"/>
      <c r="G35" s="497"/>
      <c r="H35" s="497"/>
    </row>
    <row r="36" spans="1:8" ht="15">
      <c r="A36" s="498" t="s">
        <v>641</v>
      </c>
      <c r="B36" s="497"/>
      <c r="C36" s="497"/>
      <c r="D36" s="497"/>
      <c r="E36" s="497"/>
      <c r="F36" s="497"/>
      <c r="G36" s="497"/>
      <c r="H36" s="497"/>
    </row>
    <row r="37" spans="1:8" ht="15">
      <c r="A37" s="498" t="s">
        <v>642</v>
      </c>
      <c r="B37" s="497"/>
      <c r="C37" s="497"/>
      <c r="D37" s="497"/>
      <c r="E37" s="497"/>
      <c r="F37" s="497"/>
      <c r="G37" s="497"/>
      <c r="H37" s="497"/>
    </row>
    <row r="38" spans="1:8" ht="15">
      <c r="A38" s="498" t="s">
        <v>643</v>
      </c>
      <c r="B38" s="497"/>
      <c r="C38" s="497"/>
      <c r="D38" s="497"/>
      <c r="E38" s="497"/>
      <c r="F38" s="497"/>
      <c r="G38" s="497"/>
      <c r="H38" s="497"/>
    </row>
    <row r="39" spans="1:8" ht="15">
      <c r="A39" s="497"/>
      <c r="B39" s="497"/>
      <c r="C39" s="497"/>
      <c r="D39" s="497"/>
      <c r="E39" s="497"/>
      <c r="F39" s="497"/>
      <c r="G39" s="497"/>
      <c r="H39" s="497"/>
    </row>
    <row r="40" spans="1:8" ht="15">
      <c r="A40" s="498" t="s">
        <v>634</v>
      </c>
      <c r="B40" s="497"/>
      <c r="C40" s="497"/>
      <c r="D40" s="497"/>
      <c r="E40" s="497"/>
      <c r="F40" s="497"/>
      <c r="G40" s="497"/>
      <c r="H40" s="497"/>
    </row>
    <row r="41" spans="1:8" ht="15">
      <c r="A41" s="498" t="s">
        <v>635</v>
      </c>
      <c r="B41" s="497"/>
      <c r="C41" s="497"/>
      <c r="D41" s="497"/>
      <c r="E41" s="497"/>
      <c r="F41" s="497"/>
      <c r="G41" s="497"/>
      <c r="H41" s="497"/>
    </row>
    <row r="42" spans="1:8" ht="15">
      <c r="A42" s="498" t="s">
        <v>636</v>
      </c>
      <c r="B42" s="497"/>
      <c r="C42" s="497"/>
      <c r="D42" s="497"/>
      <c r="E42" s="497"/>
      <c r="F42" s="497"/>
      <c r="G42" s="497"/>
      <c r="H42" s="497"/>
    </row>
    <row r="43" spans="1:8" ht="15">
      <c r="A43" s="498" t="s">
        <v>637</v>
      </c>
      <c r="B43" s="497"/>
      <c r="C43" s="497"/>
      <c r="D43" s="497"/>
      <c r="E43" s="497"/>
      <c r="F43" s="497"/>
      <c r="G43" s="497"/>
      <c r="H43" s="497"/>
    </row>
    <row r="44" spans="1:8" ht="15">
      <c r="A44" s="498" t="s">
        <v>638</v>
      </c>
      <c r="B44" s="497"/>
      <c r="C44" s="497"/>
      <c r="D44" s="497"/>
      <c r="E44" s="497"/>
      <c r="F44" s="497"/>
      <c r="G44" s="497"/>
      <c r="H44" s="497"/>
    </row>
    <row r="45" spans="1:8" ht="15">
      <c r="A45" s="498" t="s">
        <v>639</v>
      </c>
      <c r="B45" s="497"/>
      <c r="C45" s="497"/>
      <c r="D45" s="497"/>
      <c r="E45" s="497"/>
      <c r="F45" s="497"/>
      <c r="G45" s="497"/>
      <c r="H45" s="497"/>
    </row>
    <row r="46" spans="1:8" ht="15">
      <c r="A46" s="497"/>
      <c r="B46" s="497"/>
      <c r="C46" s="497"/>
      <c r="D46" s="497"/>
      <c r="E46" s="497"/>
      <c r="F46" s="497"/>
      <c r="G46" s="497"/>
      <c r="H46" s="497"/>
    </row>
    <row r="47" spans="1:8" ht="15.75">
      <c r="A47" s="499" t="s">
        <v>365</v>
      </c>
      <c r="B47" s="497"/>
      <c r="C47" s="497"/>
      <c r="D47" s="497"/>
      <c r="E47" s="497"/>
      <c r="F47" s="497"/>
      <c r="G47" s="497"/>
      <c r="H47" s="497"/>
    </row>
    <row r="48" spans="1:8" ht="15">
      <c r="A48" s="497"/>
      <c r="B48" s="497"/>
      <c r="C48" s="497"/>
      <c r="D48" s="497"/>
      <c r="E48" s="497"/>
      <c r="F48" s="497"/>
      <c r="G48" s="497"/>
      <c r="H48" s="497"/>
    </row>
    <row r="49" spans="1:8" ht="15">
      <c r="A49" s="498" t="s">
        <v>630</v>
      </c>
      <c r="B49" s="497"/>
      <c r="C49" s="497"/>
      <c r="D49" s="497"/>
      <c r="E49" s="497"/>
      <c r="F49" s="497"/>
      <c r="G49" s="497"/>
      <c r="H49" s="497"/>
    </row>
    <row r="50" spans="1:8" ht="15">
      <c r="A50" s="498" t="s">
        <v>631</v>
      </c>
      <c r="B50" s="497"/>
      <c r="C50" s="497"/>
      <c r="D50" s="497"/>
      <c r="E50" s="497"/>
      <c r="F50" s="497"/>
      <c r="G50" s="497"/>
      <c r="H50" s="497"/>
    </row>
    <row r="51" spans="1:8" ht="15">
      <c r="A51" s="498" t="s">
        <v>632</v>
      </c>
      <c r="B51" s="497"/>
      <c r="C51" s="497"/>
      <c r="D51" s="497"/>
      <c r="E51" s="497"/>
      <c r="F51" s="497"/>
      <c r="G51" s="497"/>
      <c r="H51" s="497"/>
    </row>
    <row r="52" spans="1:8" ht="15">
      <c r="A52" s="498" t="s">
        <v>633</v>
      </c>
      <c r="B52" s="497"/>
      <c r="C52" s="497"/>
      <c r="D52" s="497"/>
      <c r="E52" s="497"/>
      <c r="F52" s="497"/>
      <c r="G52" s="497"/>
      <c r="H52" s="497"/>
    </row>
    <row r="53" spans="1:8" ht="15">
      <c r="A53" s="497"/>
      <c r="B53" s="497"/>
      <c r="C53" s="497"/>
      <c r="D53" s="497"/>
      <c r="E53" s="497"/>
      <c r="F53" s="497"/>
      <c r="G53" s="497"/>
      <c r="H53" s="497"/>
    </row>
    <row r="54" spans="1:8" ht="15">
      <c r="A54" s="498" t="s">
        <v>366</v>
      </c>
      <c r="B54" s="497"/>
      <c r="C54" s="497"/>
      <c r="D54" s="497"/>
      <c r="E54" s="497"/>
      <c r="F54" s="497"/>
      <c r="G54" s="497"/>
      <c r="H54" s="497"/>
    </row>
    <row r="55" spans="1:8" ht="15">
      <c r="A55" s="497"/>
      <c r="B55" s="497"/>
      <c r="C55" s="497"/>
      <c r="D55" s="497"/>
      <c r="E55" s="497"/>
      <c r="F55" s="497"/>
      <c r="G55" s="497"/>
      <c r="H55" s="497"/>
    </row>
    <row r="56" spans="1:8" ht="15.75">
      <c r="A56" s="499" t="s">
        <v>367</v>
      </c>
      <c r="B56" s="497"/>
      <c r="C56" s="497"/>
      <c r="D56" s="497"/>
      <c r="E56" s="497"/>
      <c r="F56" s="497"/>
      <c r="G56" s="497"/>
      <c r="H56" s="497"/>
    </row>
    <row r="57" spans="1:8" ht="15">
      <c r="A57" s="497"/>
      <c r="B57" s="497"/>
      <c r="C57" s="497"/>
      <c r="D57" s="497"/>
      <c r="E57" s="497"/>
      <c r="F57" s="497"/>
      <c r="G57" s="497"/>
      <c r="H57" s="497"/>
    </row>
    <row r="58" spans="1:8" ht="15">
      <c r="A58" s="498" t="s">
        <v>628</v>
      </c>
      <c r="B58" s="497"/>
      <c r="C58" s="497"/>
      <c r="D58" s="497"/>
      <c r="E58" s="497"/>
      <c r="F58" s="497"/>
      <c r="G58" s="497"/>
      <c r="H58" s="497"/>
    </row>
    <row r="59" spans="1:8" ht="15">
      <c r="A59" s="498" t="s">
        <v>629</v>
      </c>
      <c r="B59" s="497"/>
      <c r="C59" s="497"/>
      <c r="D59" s="497"/>
      <c r="E59" s="497"/>
      <c r="F59" s="497"/>
      <c r="G59" s="497"/>
      <c r="H59" s="497"/>
    </row>
    <row r="60" spans="1:8" ht="15">
      <c r="A60" s="497"/>
      <c r="B60" s="497"/>
      <c r="C60" s="497"/>
      <c r="D60" s="497"/>
      <c r="E60" s="497"/>
      <c r="F60" s="497"/>
      <c r="G60" s="497"/>
      <c r="H60" s="497"/>
    </row>
    <row r="61" spans="1:8" ht="15.75">
      <c r="A61" s="499" t="s">
        <v>368</v>
      </c>
      <c r="B61" s="497"/>
      <c r="C61" s="497"/>
      <c r="D61" s="497"/>
      <c r="E61" s="497"/>
      <c r="F61" s="497"/>
      <c r="G61" s="497"/>
      <c r="H61" s="497"/>
    </row>
    <row r="62" spans="1:8" ht="15">
      <c r="A62" s="497"/>
      <c r="B62" s="497"/>
      <c r="C62" s="497"/>
      <c r="D62" s="497"/>
      <c r="E62" s="497"/>
      <c r="F62" s="497"/>
      <c r="G62" s="497"/>
      <c r="H62" s="497"/>
    </row>
    <row r="63" spans="1:8" ht="15">
      <c r="A63" s="498" t="s">
        <v>626</v>
      </c>
      <c r="B63" s="497"/>
      <c r="C63" s="497"/>
      <c r="D63" s="497"/>
      <c r="E63" s="497"/>
      <c r="F63" s="497"/>
      <c r="G63" s="497"/>
      <c r="H63" s="497"/>
    </row>
    <row r="64" spans="1:8" ht="15">
      <c r="A64" s="498" t="s">
        <v>627</v>
      </c>
      <c r="B64" s="497"/>
      <c r="C64" s="497"/>
      <c r="D64" s="497"/>
      <c r="E64" s="497"/>
      <c r="F64" s="497"/>
      <c r="G64" s="497"/>
      <c r="H64" s="497"/>
    </row>
    <row r="65" spans="1:8" ht="15">
      <c r="A65" s="497"/>
      <c r="B65" s="497"/>
      <c r="C65" s="497"/>
      <c r="D65" s="497"/>
      <c r="E65" s="497"/>
      <c r="F65" s="497"/>
      <c r="G65" s="497"/>
      <c r="H65" s="497"/>
    </row>
    <row r="66" spans="1:8" ht="15">
      <c r="A66" s="498" t="s">
        <v>624</v>
      </c>
      <c r="B66" s="497"/>
      <c r="C66" s="497"/>
      <c r="D66" s="497"/>
      <c r="E66" s="497"/>
      <c r="F66" s="497"/>
      <c r="G66" s="497"/>
      <c r="H66" s="497"/>
    </row>
    <row r="67" spans="1:8" ht="15">
      <c r="A67" s="498" t="s">
        <v>625</v>
      </c>
      <c r="B67" s="497"/>
      <c r="C67" s="497"/>
      <c r="D67" s="497"/>
      <c r="E67" s="497"/>
      <c r="F67" s="497"/>
      <c r="G67" s="497"/>
      <c r="H67" s="497"/>
    </row>
    <row r="68" spans="1:8" ht="15">
      <c r="A68" s="497"/>
      <c r="B68" s="497"/>
      <c r="C68" s="497"/>
      <c r="D68" s="497"/>
      <c r="E68" s="497"/>
      <c r="F68" s="497"/>
      <c r="G68" s="497"/>
      <c r="H68" s="497"/>
    </row>
    <row r="69" spans="1:8" ht="15">
      <c r="A69" s="498" t="s">
        <v>622</v>
      </c>
      <c r="B69" s="497"/>
      <c r="C69" s="497"/>
      <c r="D69" s="497"/>
      <c r="E69" s="497"/>
      <c r="F69" s="497"/>
      <c r="G69" s="497"/>
      <c r="H69" s="497"/>
    </row>
    <row r="70" spans="1:8" ht="15">
      <c r="A70" s="498" t="s">
        <v>623</v>
      </c>
      <c r="B70" s="497"/>
      <c r="C70" s="497"/>
      <c r="D70" s="497"/>
      <c r="E70" s="497"/>
      <c r="F70" s="497"/>
      <c r="G70" s="497"/>
      <c r="H70" s="497"/>
    </row>
    <row r="71" spans="1:8" ht="15">
      <c r="A71" s="497"/>
      <c r="B71" s="497"/>
      <c r="C71" s="497"/>
      <c r="D71" s="497"/>
      <c r="E71" s="497"/>
      <c r="F71" s="497"/>
      <c r="G71" s="497"/>
      <c r="H71" s="497"/>
    </row>
    <row r="72" spans="1:8" ht="15">
      <c r="A72" s="498" t="s">
        <v>620</v>
      </c>
      <c r="B72" s="497"/>
      <c r="C72" s="497"/>
      <c r="D72" s="497"/>
      <c r="E72" s="497"/>
      <c r="F72" s="497"/>
      <c r="G72" s="497"/>
      <c r="H72" s="497"/>
    </row>
    <row r="73" spans="1:8" ht="15">
      <c r="A73" s="498" t="s">
        <v>621</v>
      </c>
      <c r="B73" s="497"/>
      <c r="C73" s="497"/>
      <c r="D73" s="497"/>
      <c r="E73" s="497"/>
      <c r="F73" s="497"/>
      <c r="G73" s="497"/>
      <c r="H73" s="497"/>
    </row>
    <row r="74" spans="1:8" ht="15">
      <c r="A74" s="497"/>
      <c r="B74" s="497"/>
      <c r="C74" s="497"/>
      <c r="D74" s="497"/>
      <c r="E74" s="497"/>
      <c r="F74" s="497"/>
      <c r="G74" s="497"/>
      <c r="H74" s="497"/>
    </row>
    <row r="75" spans="1:8" ht="15">
      <c r="A75" s="498" t="s">
        <v>618</v>
      </c>
      <c r="B75" s="497"/>
      <c r="C75" s="497"/>
      <c r="D75" s="497"/>
      <c r="E75" s="497"/>
      <c r="F75" s="497"/>
      <c r="G75" s="497"/>
      <c r="H75" s="497"/>
    </row>
    <row r="76" spans="1:8" ht="15">
      <c r="A76" s="498" t="s">
        <v>619</v>
      </c>
      <c r="B76" s="497"/>
      <c r="C76" s="497"/>
      <c r="D76" s="497"/>
      <c r="E76" s="497"/>
      <c r="F76" s="497"/>
      <c r="G76" s="497"/>
      <c r="H76" s="497"/>
    </row>
    <row r="77" spans="1:8" ht="15">
      <c r="A77" s="497"/>
      <c r="B77" s="497"/>
      <c r="C77" s="497"/>
      <c r="D77" s="497"/>
      <c r="E77" s="497"/>
      <c r="F77" s="497"/>
      <c r="G77" s="497"/>
      <c r="H77" s="497"/>
    </row>
    <row r="78" spans="1:8" ht="15">
      <c r="A78" s="498" t="s">
        <v>615</v>
      </c>
      <c r="B78" s="497"/>
      <c r="C78" s="497"/>
      <c r="D78" s="497"/>
      <c r="E78" s="497"/>
      <c r="F78" s="497"/>
      <c r="G78" s="497"/>
      <c r="H78" s="497"/>
    </row>
    <row r="79" spans="1:8" ht="15">
      <c r="A79" s="498" t="s">
        <v>616</v>
      </c>
      <c r="B79" s="497"/>
      <c r="C79" s="497"/>
      <c r="D79" s="497"/>
      <c r="E79" s="497"/>
      <c r="F79" s="497"/>
      <c r="G79" s="497"/>
      <c r="H79" s="497"/>
    </row>
    <row r="80" spans="1:8" ht="15">
      <c r="A80" s="498" t="s">
        <v>617</v>
      </c>
      <c r="B80" s="497"/>
      <c r="C80" s="497"/>
      <c r="D80" s="497"/>
      <c r="E80" s="497"/>
      <c r="F80" s="497"/>
      <c r="G80" s="497"/>
      <c r="H80" s="497"/>
    </row>
    <row r="81" spans="1:8" ht="15">
      <c r="A81" s="497"/>
      <c r="B81" s="497"/>
      <c r="C81" s="497"/>
      <c r="D81" s="497"/>
      <c r="E81" s="497"/>
      <c r="F81" s="497"/>
      <c r="G81" s="497"/>
      <c r="H81" s="497"/>
    </row>
    <row r="82" spans="1:8" ht="15">
      <c r="A82" s="498" t="s">
        <v>613</v>
      </c>
      <c r="B82" s="497"/>
      <c r="C82" s="497"/>
      <c r="D82" s="497"/>
      <c r="E82" s="497"/>
      <c r="F82" s="497"/>
      <c r="G82" s="497"/>
      <c r="H82" s="497"/>
    </row>
    <row r="83" spans="1:8" ht="15">
      <c r="A83" s="498" t="s">
        <v>614</v>
      </c>
      <c r="B83" s="497"/>
      <c r="C83" s="497"/>
      <c r="D83" s="497"/>
      <c r="E83" s="497"/>
      <c r="F83" s="497"/>
      <c r="G83" s="497"/>
      <c r="H83" s="497"/>
    </row>
    <row r="84" spans="1:8" ht="15">
      <c r="A84" s="497"/>
      <c r="B84" s="497"/>
      <c r="C84" s="497"/>
      <c r="D84" s="497"/>
      <c r="E84" s="497"/>
      <c r="F84" s="497"/>
      <c r="G84" s="497"/>
      <c r="H84" s="497"/>
    </row>
    <row r="85" spans="1:8" ht="15">
      <c r="A85" s="498" t="s">
        <v>608</v>
      </c>
      <c r="B85" s="497"/>
      <c r="C85" s="497"/>
      <c r="D85" s="497"/>
      <c r="E85" s="497"/>
      <c r="F85" s="497"/>
      <c r="G85" s="497"/>
      <c r="H85" s="497"/>
    </row>
    <row r="86" spans="1:8" ht="15">
      <c r="A86" s="498" t="s">
        <v>609</v>
      </c>
      <c r="B86" s="497"/>
      <c r="C86" s="497"/>
      <c r="D86" s="497"/>
      <c r="E86" s="497"/>
      <c r="F86" s="497"/>
      <c r="G86" s="497"/>
      <c r="H86" s="497"/>
    </row>
    <row r="87" spans="1:8" ht="15">
      <c r="A87" s="498" t="s">
        <v>610</v>
      </c>
      <c r="B87" s="497"/>
      <c r="C87" s="497"/>
      <c r="D87" s="497"/>
      <c r="E87" s="497"/>
      <c r="F87" s="497"/>
      <c r="G87" s="497"/>
      <c r="H87" s="497"/>
    </row>
    <row r="88" spans="1:8" ht="15">
      <c r="A88" s="498" t="s">
        <v>611</v>
      </c>
      <c r="B88" s="497"/>
      <c r="C88" s="497"/>
      <c r="D88" s="497"/>
      <c r="E88" s="497"/>
      <c r="F88" s="497"/>
      <c r="G88" s="497"/>
      <c r="H88" s="497"/>
    </row>
    <row r="89" spans="1:8" ht="15">
      <c r="A89" s="498" t="s">
        <v>612</v>
      </c>
      <c r="B89" s="497"/>
      <c r="C89" s="497"/>
      <c r="D89" s="497"/>
      <c r="E89" s="497"/>
      <c r="F89" s="497"/>
      <c r="G89" s="497"/>
      <c r="H89" s="497"/>
    </row>
    <row r="90" spans="1:8" ht="15">
      <c r="A90" s="498" t="s">
        <v>495</v>
      </c>
      <c r="B90" s="497"/>
      <c r="C90" s="497"/>
      <c r="D90" s="497"/>
      <c r="E90" s="497"/>
      <c r="F90" s="497"/>
      <c r="G90" s="497"/>
      <c r="H90" s="497"/>
    </row>
    <row r="91" spans="1:8" ht="15">
      <c r="A91" s="497"/>
      <c r="B91" s="497"/>
      <c r="C91" s="497"/>
      <c r="D91" s="497"/>
      <c r="E91" s="497"/>
      <c r="F91" s="497"/>
      <c r="G91" s="497"/>
      <c r="H91" s="497"/>
    </row>
    <row r="92" spans="1:8" ht="15">
      <c r="A92" s="498" t="s">
        <v>601</v>
      </c>
      <c r="B92" s="497"/>
      <c r="C92" s="497"/>
      <c r="D92" s="497"/>
      <c r="E92" s="497"/>
      <c r="F92" s="497"/>
      <c r="G92" s="497"/>
      <c r="H92" s="497"/>
    </row>
    <row r="93" spans="1:8" ht="15">
      <c r="A93" s="498" t="s">
        <v>602</v>
      </c>
      <c r="B93" s="497"/>
      <c r="C93" s="497"/>
      <c r="D93" s="497"/>
      <c r="E93" s="497"/>
      <c r="F93" s="497"/>
      <c r="G93" s="497"/>
      <c r="H93" s="497"/>
    </row>
    <row r="94" spans="1:8" ht="15">
      <c r="A94" s="498" t="s">
        <v>603</v>
      </c>
      <c r="B94" s="497"/>
      <c r="C94" s="497"/>
      <c r="D94" s="497"/>
      <c r="E94" s="497"/>
      <c r="F94" s="497"/>
      <c r="G94" s="497"/>
      <c r="H94" s="497"/>
    </row>
    <row r="95" spans="1:8" ht="15">
      <c r="A95" s="498" t="s">
        <v>604</v>
      </c>
      <c r="B95" s="497"/>
      <c r="C95" s="497"/>
      <c r="D95" s="497"/>
      <c r="E95" s="497"/>
      <c r="F95" s="497"/>
      <c r="G95" s="497"/>
      <c r="H95" s="497"/>
    </row>
    <row r="96" spans="1:8" ht="15">
      <c r="A96" s="498" t="s">
        <v>605</v>
      </c>
      <c r="B96" s="497"/>
      <c r="C96" s="497"/>
      <c r="D96" s="497"/>
      <c r="E96" s="497"/>
      <c r="F96" s="497"/>
      <c r="G96" s="497"/>
      <c r="H96" s="497"/>
    </row>
    <row r="97" spans="1:8" ht="15">
      <c r="A97" s="498" t="s">
        <v>606</v>
      </c>
      <c r="B97" s="497"/>
      <c r="C97" s="497"/>
      <c r="D97" s="497"/>
      <c r="E97" s="497"/>
      <c r="F97" s="497"/>
      <c r="G97" s="497"/>
      <c r="H97" s="497"/>
    </row>
    <row r="98" spans="1:8" ht="15">
      <c r="A98" s="498" t="s">
        <v>607</v>
      </c>
      <c r="B98" s="497"/>
      <c r="C98" s="497"/>
      <c r="D98" s="497"/>
      <c r="E98" s="497"/>
      <c r="F98" s="497"/>
      <c r="G98" s="497"/>
      <c r="H98" s="497"/>
    </row>
    <row r="99" spans="1:8" ht="15">
      <c r="A99" s="497"/>
      <c r="B99" s="497"/>
      <c r="C99" s="497"/>
      <c r="D99" s="497"/>
      <c r="E99" s="497"/>
      <c r="F99" s="497"/>
      <c r="G99" s="497"/>
      <c r="H99" s="497"/>
    </row>
    <row r="100" spans="1:8" ht="15">
      <c r="A100" s="498" t="s">
        <v>599</v>
      </c>
      <c r="B100" s="497"/>
      <c r="C100" s="497"/>
      <c r="D100" s="497"/>
      <c r="E100" s="497"/>
      <c r="F100" s="497"/>
      <c r="G100" s="497"/>
      <c r="H100" s="497"/>
    </row>
    <row r="101" spans="1:8" ht="15">
      <c r="A101" s="498" t="s">
        <v>600</v>
      </c>
      <c r="B101" s="497"/>
      <c r="C101" s="497"/>
      <c r="D101" s="497"/>
      <c r="E101" s="497"/>
      <c r="F101" s="497"/>
      <c r="G101" s="497"/>
      <c r="H101" s="497"/>
    </row>
    <row r="102" spans="1:8" ht="15">
      <c r="A102" s="497"/>
      <c r="B102" s="497"/>
      <c r="C102" s="497"/>
      <c r="D102" s="497"/>
      <c r="E102" s="497"/>
      <c r="F102" s="497"/>
      <c r="G102" s="497"/>
      <c r="H102" s="497"/>
    </row>
    <row r="103" spans="1:8" ht="15.75">
      <c r="A103" s="499" t="s">
        <v>369</v>
      </c>
      <c r="B103" s="497"/>
      <c r="C103" s="497"/>
      <c r="D103" s="497"/>
      <c r="E103" s="497"/>
      <c r="F103" s="497"/>
      <c r="G103" s="497"/>
      <c r="H103" s="497"/>
    </row>
    <row r="104" spans="1:8" ht="15">
      <c r="A104" s="497"/>
      <c r="B104" s="497"/>
      <c r="C104" s="497"/>
      <c r="D104" s="497"/>
      <c r="E104" s="497"/>
      <c r="F104" s="497"/>
      <c r="G104" s="497"/>
      <c r="H104" s="497"/>
    </row>
    <row r="105" spans="1:8" ht="15">
      <c r="A105" s="498" t="s">
        <v>590</v>
      </c>
      <c r="B105" s="497"/>
      <c r="C105" s="497"/>
      <c r="D105" s="497"/>
      <c r="E105" s="497"/>
      <c r="F105" s="497"/>
      <c r="G105" s="497"/>
      <c r="H105" s="497"/>
    </row>
    <row r="106" spans="1:8" ht="15">
      <c r="A106" s="498" t="s">
        <v>591</v>
      </c>
      <c r="B106" s="497"/>
      <c r="C106" s="497"/>
      <c r="D106" s="497"/>
      <c r="E106" s="497"/>
      <c r="F106" s="497"/>
      <c r="G106" s="497"/>
      <c r="H106" s="497"/>
    </row>
    <row r="107" spans="1:8" ht="15">
      <c r="A107" s="498" t="s">
        <v>592</v>
      </c>
      <c r="B107" s="497"/>
      <c r="C107" s="497"/>
      <c r="D107" s="497"/>
      <c r="E107" s="497"/>
      <c r="F107" s="497"/>
      <c r="G107" s="497"/>
      <c r="H107" s="497"/>
    </row>
    <row r="108" spans="1:8" ht="15">
      <c r="A108" s="498" t="s">
        <v>593</v>
      </c>
      <c r="B108" s="497"/>
      <c r="C108" s="497"/>
      <c r="D108" s="497"/>
      <c r="E108" s="497"/>
      <c r="F108" s="497"/>
      <c r="G108" s="497"/>
      <c r="H108" s="497"/>
    </row>
    <row r="109" spans="1:8" ht="15">
      <c r="A109" s="498" t="s">
        <v>594</v>
      </c>
      <c r="B109" s="497"/>
      <c r="C109" s="497"/>
      <c r="D109" s="497"/>
      <c r="E109" s="497"/>
      <c r="F109" s="497"/>
      <c r="G109" s="497"/>
      <c r="H109" s="497"/>
    </row>
    <row r="110" spans="1:8" ht="15">
      <c r="A110" s="498" t="s">
        <v>595</v>
      </c>
      <c r="B110" s="497"/>
      <c r="C110" s="497"/>
      <c r="D110" s="497"/>
      <c r="E110" s="497"/>
      <c r="F110" s="497"/>
      <c r="G110" s="497"/>
      <c r="H110" s="497"/>
    </row>
    <row r="111" spans="1:8" ht="15">
      <c r="A111" s="498" t="s">
        <v>596</v>
      </c>
      <c r="B111" s="497"/>
      <c r="C111" s="497"/>
      <c r="D111" s="497"/>
      <c r="E111" s="497"/>
      <c r="F111" s="497"/>
      <c r="G111" s="497"/>
      <c r="H111" s="497"/>
    </row>
    <row r="112" spans="1:8" ht="15">
      <c r="A112" s="498" t="s">
        <v>597</v>
      </c>
      <c r="B112" s="497"/>
      <c r="C112" s="497"/>
      <c r="D112" s="497"/>
      <c r="E112" s="497"/>
      <c r="F112" s="497"/>
      <c r="G112" s="497"/>
      <c r="H112" s="497"/>
    </row>
    <row r="113" spans="1:8" ht="15">
      <c r="A113" s="498" t="s">
        <v>598</v>
      </c>
      <c r="B113" s="497"/>
      <c r="C113" s="497"/>
      <c r="D113" s="497"/>
      <c r="E113" s="497"/>
      <c r="F113" s="497"/>
      <c r="G113" s="497"/>
      <c r="H113" s="497"/>
    </row>
    <row r="114" spans="1:8" ht="15">
      <c r="A114" s="497"/>
      <c r="B114" s="497"/>
      <c r="C114" s="497"/>
      <c r="D114" s="497"/>
      <c r="E114" s="497"/>
      <c r="F114" s="497"/>
      <c r="G114" s="497"/>
      <c r="H114" s="497"/>
    </row>
    <row r="115" spans="1:8" ht="15.75">
      <c r="A115" s="500" t="s">
        <v>370</v>
      </c>
      <c r="B115" s="500"/>
      <c r="C115" s="500"/>
      <c r="D115" s="500"/>
      <c r="E115" s="500"/>
      <c r="F115" s="500"/>
      <c r="G115" s="500"/>
      <c r="H115" s="500"/>
    </row>
    <row r="116" spans="1:8">
      <c r="A116" s="501" t="s">
        <v>371</v>
      </c>
      <c r="B116" s="501"/>
      <c r="C116" s="501"/>
      <c r="D116" s="501"/>
      <c r="E116" s="501"/>
      <c r="F116" s="501"/>
      <c r="G116" s="501"/>
      <c r="H116" s="501"/>
    </row>
    <row r="117" spans="1:8" ht="15">
      <c r="A117" s="502"/>
      <c r="B117" s="502"/>
      <c r="C117" s="502"/>
      <c r="D117" s="502"/>
      <c r="E117" s="502"/>
      <c r="F117" s="502"/>
      <c r="G117" s="502"/>
      <c r="H117" s="502"/>
    </row>
    <row r="118" spans="1:8">
      <c r="A118" s="501" t="s">
        <v>588</v>
      </c>
      <c r="B118" s="501"/>
      <c r="C118" s="501"/>
      <c r="D118" s="501"/>
      <c r="E118" s="501"/>
      <c r="F118" s="501"/>
      <c r="G118" s="501"/>
      <c r="H118" s="501"/>
    </row>
    <row r="119" spans="1:8">
      <c r="A119" s="498" t="s">
        <v>589</v>
      </c>
      <c r="B119" s="498"/>
      <c r="C119" s="498"/>
      <c r="D119" s="498"/>
      <c r="E119" s="498"/>
      <c r="F119" s="498"/>
      <c r="G119" s="498"/>
      <c r="H119" s="498"/>
    </row>
    <row r="120" spans="1:8" ht="15">
      <c r="A120" s="502"/>
      <c r="B120" s="502"/>
      <c r="C120" s="502"/>
      <c r="D120" s="502"/>
      <c r="E120" s="502"/>
      <c r="F120" s="502"/>
      <c r="G120" s="502"/>
      <c r="H120" s="502"/>
    </row>
    <row r="121" spans="1:8">
      <c r="A121" s="501" t="s">
        <v>581</v>
      </c>
      <c r="B121" s="501"/>
      <c r="C121" s="501"/>
      <c r="D121" s="501"/>
      <c r="E121" s="501"/>
      <c r="F121" s="501"/>
      <c r="G121" s="501"/>
      <c r="H121" s="501"/>
    </row>
    <row r="122" spans="1:8">
      <c r="A122" s="498" t="s">
        <v>582</v>
      </c>
      <c r="B122" s="498"/>
      <c r="C122" s="498"/>
      <c r="D122" s="498"/>
      <c r="E122" s="498"/>
      <c r="F122" s="498"/>
      <c r="G122" s="498"/>
      <c r="H122" s="498"/>
    </row>
    <row r="123" spans="1:8">
      <c r="A123" s="498" t="s">
        <v>583</v>
      </c>
      <c r="B123" s="498"/>
      <c r="C123" s="498"/>
      <c r="D123" s="498"/>
      <c r="E123" s="498"/>
      <c r="F123" s="498"/>
      <c r="G123" s="498"/>
      <c r="H123" s="498"/>
    </row>
    <row r="124" spans="1:8">
      <c r="A124" s="498" t="s">
        <v>584</v>
      </c>
      <c r="B124" s="498"/>
      <c r="C124" s="498"/>
      <c r="D124" s="498"/>
      <c r="E124" s="498"/>
      <c r="F124" s="498"/>
      <c r="G124" s="498"/>
      <c r="H124" s="498"/>
    </row>
    <row r="125" spans="1:8">
      <c r="A125" s="498" t="s">
        <v>585</v>
      </c>
      <c r="B125" s="498"/>
      <c r="C125" s="498"/>
      <c r="D125" s="498"/>
      <c r="E125" s="498"/>
      <c r="F125" s="498"/>
      <c r="G125" s="498"/>
      <c r="H125" s="498"/>
    </row>
    <row r="126" spans="1:8">
      <c r="A126" s="498" t="s">
        <v>586</v>
      </c>
      <c r="B126" s="498"/>
      <c r="C126" s="498"/>
      <c r="D126" s="498"/>
      <c r="E126" s="498"/>
      <c r="F126" s="498"/>
      <c r="G126" s="498"/>
      <c r="H126" s="498"/>
    </row>
    <row r="127" spans="1:8">
      <c r="A127" s="498" t="s">
        <v>587</v>
      </c>
      <c r="B127" s="498"/>
      <c r="C127" s="498"/>
      <c r="D127" s="498"/>
      <c r="E127" s="498"/>
      <c r="F127" s="498"/>
      <c r="G127" s="498"/>
      <c r="H127" s="498"/>
    </row>
    <row r="128" spans="1:8" ht="15">
      <c r="A128" s="503"/>
      <c r="B128" s="503"/>
      <c r="C128" s="503"/>
      <c r="D128" s="503"/>
      <c r="E128" s="503"/>
      <c r="F128" s="503"/>
      <c r="G128" s="503"/>
      <c r="H128" s="503"/>
    </row>
    <row r="129" spans="1:8">
      <c r="A129" s="504"/>
      <c r="B129" s="505" t="s">
        <v>372</v>
      </c>
      <c r="C129" s="506"/>
      <c r="D129" s="505" t="s">
        <v>373</v>
      </c>
      <c r="E129" s="507"/>
      <c r="F129" s="506"/>
      <c r="G129" s="505" t="s">
        <v>374</v>
      </c>
      <c r="H129" s="506"/>
    </row>
    <row r="130" spans="1:8">
      <c r="A130" s="504" t="s">
        <v>375</v>
      </c>
      <c r="B130" s="504" t="s">
        <v>292</v>
      </c>
      <c r="C130" s="504" t="s">
        <v>376</v>
      </c>
      <c r="D130" s="504" t="s">
        <v>292</v>
      </c>
      <c r="E130" s="504" t="s">
        <v>377</v>
      </c>
      <c r="F130" s="504" t="s">
        <v>378</v>
      </c>
      <c r="G130" s="504" t="s">
        <v>292</v>
      </c>
      <c r="H130" s="504" t="s">
        <v>379</v>
      </c>
    </row>
    <row r="131" spans="1:8">
      <c r="A131" s="504" t="s">
        <v>380</v>
      </c>
      <c r="B131" s="504">
        <v>1189</v>
      </c>
      <c r="C131" s="508">
        <v>0.38</v>
      </c>
      <c r="D131" s="504">
        <v>315</v>
      </c>
      <c r="E131" s="508">
        <v>0.41</v>
      </c>
      <c r="F131" s="508">
        <v>0.26</v>
      </c>
      <c r="G131" s="504">
        <v>555</v>
      </c>
      <c r="H131" s="508">
        <v>0.39</v>
      </c>
    </row>
    <row r="132" spans="1:8">
      <c r="A132" s="504" t="s">
        <v>381</v>
      </c>
      <c r="B132" s="504">
        <v>1355</v>
      </c>
      <c r="C132" s="508">
        <v>0.43</v>
      </c>
      <c r="D132" s="504">
        <v>364</v>
      </c>
      <c r="E132" s="508">
        <v>0.47</v>
      </c>
      <c r="F132" s="508">
        <v>0.27</v>
      </c>
      <c r="G132" s="504">
        <v>644</v>
      </c>
      <c r="H132" s="508">
        <v>0.45</v>
      </c>
    </row>
    <row r="133" spans="1:8">
      <c r="A133" s="504" t="s">
        <v>382</v>
      </c>
      <c r="B133" s="504">
        <v>53</v>
      </c>
      <c r="C133" s="508">
        <v>0.02</v>
      </c>
      <c r="D133" s="504">
        <v>4</v>
      </c>
      <c r="E133" s="508">
        <v>0.01</v>
      </c>
      <c r="F133" s="508">
        <v>0.08</v>
      </c>
      <c r="G133" s="504">
        <v>7</v>
      </c>
      <c r="H133" s="508">
        <v>0</v>
      </c>
    </row>
    <row r="134" spans="1:8">
      <c r="A134" s="504" t="s">
        <v>383</v>
      </c>
      <c r="B134" s="504">
        <v>545</v>
      </c>
      <c r="C134" s="508">
        <v>0.17</v>
      </c>
      <c r="D134" s="504">
        <v>84</v>
      </c>
      <c r="E134" s="508">
        <v>0.11</v>
      </c>
      <c r="F134" s="508">
        <v>0.15</v>
      </c>
      <c r="G134" s="504">
        <v>214</v>
      </c>
      <c r="H134" s="508">
        <v>0.15</v>
      </c>
    </row>
    <row r="135" spans="1:8">
      <c r="A135" s="504" t="s">
        <v>384</v>
      </c>
      <c r="B135" s="509">
        <v>3142</v>
      </c>
      <c r="C135" s="504"/>
      <c r="D135" s="504">
        <v>767</v>
      </c>
      <c r="E135" s="504"/>
      <c r="F135" s="504"/>
      <c r="G135" s="504">
        <v>1420</v>
      </c>
      <c r="H135" s="504"/>
    </row>
    <row r="136" spans="1:8" ht="15">
      <c r="A136" s="510"/>
      <c r="B136" s="510"/>
      <c r="C136" s="510"/>
      <c r="D136" s="510"/>
      <c r="E136" s="510"/>
      <c r="F136" s="510"/>
      <c r="G136" s="510"/>
      <c r="H136" s="510"/>
    </row>
    <row r="137" spans="1:8">
      <c r="A137" s="501" t="s">
        <v>577</v>
      </c>
      <c r="B137" s="501"/>
      <c r="C137" s="501"/>
      <c r="D137" s="501"/>
      <c r="E137" s="501"/>
      <c r="F137" s="501"/>
      <c r="G137" s="501"/>
      <c r="H137" s="501"/>
    </row>
    <row r="138" spans="1:8">
      <c r="A138" s="498" t="s">
        <v>578</v>
      </c>
      <c r="B138" s="498"/>
      <c r="C138" s="498"/>
      <c r="D138" s="498"/>
      <c r="E138" s="498"/>
      <c r="F138" s="498"/>
      <c r="G138" s="498"/>
      <c r="H138" s="498"/>
    </row>
    <row r="139" spans="1:8">
      <c r="A139" s="498" t="s">
        <v>579</v>
      </c>
      <c r="B139" s="498"/>
      <c r="C139" s="498"/>
      <c r="D139" s="498"/>
      <c r="E139" s="498"/>
      <c r="F139" s="498"/>
      <c r="G139" s="498"/>
      <c r="H139" s="498"/>
    </row>
    <row r="140" spans="1:8">
      <c r="A140" s="498" t="s">
        <v>580</v>
      </c>
      <c r="B140" s="498"/>
      <c r="C140" s="498"/>
      <c r="D140" s="498"/>
      <c r="E140" s="498"/>
      <c r="F140" s="498"/>
      <c r="G140" s="498"/>
      <c r="H140" s="498"/>
    </row>
    <row r="141" spans="1:8" ht="15">
      <c r="A141" s="497"/>
      <c r="B141" s="497"/>
      <c r="C141" s="497"/>
      <c r="D141" s="497"/>
      <c r="E141" s="497"/>
      <c r="F141" s="497"/>
      <c r="G141" s="497"/>
      <c r="H141" s="497"/>
    </row>
    <row r="142" spans="1:8" ht="15.75">
      <c r="A142" s="499" t="s">
        <v>385</v>
      </c>
      <c r="B142" s="497"/>
      <c r="C142" s="497"/>
      <c r="D142" s="497"/>
      <c r="E142" s="497"/>
      <c r="F142" s="497"/>
      <c r="G142" s="497"/>
      <c r="H142" s="497"/>
    </row>
    <row r="143" spans="1:8" ht="15">
      <c r="A143" s="497"/>
      <c r="B143" s="497"/>
      <c r="C143" s="497"/>
      <c r="D143" s="497"/>
      <c r="E143" s="497"/>
      <c r="F143" s="497"/>
      <c r="G143" s="497"/>
      <c r="H143" s="497"/>
    </row>
    <row r="144" spans="1:8" ht="15">
      <c r="A144" s="498" t="s">
        <v>575</v>
      </c>
      <c r="B144" s="497"/>
      <c r="C144" s="497"/>
      <c r="D144" s="497"/>
      <c r="E144" s="497"/>
      <c r="F144" s="497"/>
      <c r="G144" s="497"/>
      <c r="H144" s="497"/>
    </row>
    <row r="145" spans="1:8" ht="15">
      <c r="A145" s="498" t="s">
        <v>576</v>
      </c>
      <c r="B145" s="497"/>
      <c r="C145" s="497"/>
      <c r="D145" s="497"/>
      <c r="E145" s="497"/>
      <c r="F145" s="497"/>
      <c r="G145" s="497"/>
      <c r="H145" s="497"/>
    </row>
    <row r="146" spans="1:8" ht="15">
      <c r="A146" s="497"/>
      <c r="B146" s="497"/>
      <c r="C146" s="497"/>
      <c r="D146" s="497"/>
      <c r="E146" s="497"/>
      <c r="F146" s="497"/>
      <c r="G146" s="497"/>
      <c r="H146" s="497"/>
    </row>
    <row r="147" spans="1:8" ht="15">
      <c r="A147" s="498" t="s">
        <v>572</v>
      </c>
      <c r="B147" s="497"/>
      <c r="C147" s="497"/>
      <c r="D147" s="497"/>
      <c r="E147" s="497"/>
      <c r="F147" s="497"/>
      <c r="G147" s="497"/>
      <c r="H147" s="497"/>
    </row>
    <row r="148" spans="1:8" ht="15">
      <c r="A148" s="498" t="s">
        <v>573</v>
      </c>
      <c r="B148" s="497"/>
      <c r="C148" s="497"/>
      <c r="D148" s="497"/>
      <c r="E148" s="497"/>
      <c r="F148" s="497"/>
      <c r="G148" s="497"/>
      <c r="H148" s="497"/>
    </row>
    <row r="149" spans="1:8" ht="15">
      <c r="A149" s="498" t="s">
        <v>574</v>
      </c>
      <c r="B149" s="497"/>
      <c r="C149" s="497"/>
      <c r="D149" s="497"/>
      <c r="E149" s="497"/>
      <c r="F149" s="497"/>
      <c r="G149" s="497"/>
      <c r="H149" s="497"/>
    </row>
    <row r="150" spans="1:8" ht="15">
      <c r="A150" s="497"/>
      <c r="B150" s="497"/>
      <c r="C150" s="497"/>
      <c r="D150" s="497"/>
      <c r="E150" s="497"/>
      <c r="F150" s="497"/>
      <c r="G150" s="497"/>
      <c r="H150" s="497"/>
    </row>
    <row r="151" spans="1:8" ht="15">
      <c r="A151" s="498" t="s">
        <v>569</v>
      </c>
      <c r="B151" s="497"/>
      <c r="C151" s="497"/>
      <c r="D151" s="497"/>
      <c r="E151" s="497"/>
      <c r="F151" s="497"/>
      <c r="G151" s="497"/>
      <c r="H151" s="497"/>
    </row>
    <row r="152" spans="1:8" ht="15">
      <c r="A152" s="498" t="s">
        <v>570</v>
      </c>
      <c r="B152" s="497"/>
      <c r="C152" s="497"/>
      <c r="D152" s="497"/>
      <c r="E152" s="497"/>
      <c r="F152" s="497"/>
      <c r="G152" s="497"/>
      <c r="H152" s="497"/>
    </row>
    <row r="153" spans="1:8" ht="15">
      <c r="A153" s="498" t="s">
        <v>571</v>
      </c>
      <c r="B153" s="497"/>
      <c r="C153" s="497"/>
      <c r="D153" s="497"/>
      <c r="E153" s="497"/>
      <c r="F153" s="497"/>
      <c r="G153" s="497"/>
      <c r="H153" s="497"/>
    </row>
    <row r="154" spans="1:8" ht="15">
      <c r="A154" s="497"/>
      <c r="B154" s="497"/>
      <c r="C154" s="497"/>
      <c r="D154" s="497"/>
      <c r="E154" s="497"/>
      <c r="F154" s="497"/>
      <c r="G154" s="497"/>
      <c r="H154" s="497"/>
    </row>
    <row r="155" spans="1:8" ht="15">
      <c r="A155" s="498" t="s">
        <v>566</v>
      </c>
      <c r="B155" s="497"/>
      <c r="C155" s="497"/>
      <c r="D155" s="497"/>
      <c r="E155" s="497"/>
      <c r="F155" s="497"/>
      <c r="G155" s="497"/>
      <c r="H155" s="497"/>
    </row>
    <row r="156" spans="1:8" ht="15">
      <c r="A156" s="498" t="s">
        <v>567</v>
      </c>
      <c r="B156" s="497"/>
      <c r="C156" s="497"/>
      <c r="D156" s="497"/>
      <c r="E156" s="497"/>
      <c r="F156" s="497"/>
      <c r="G156" s="497"/>
      <c r="H156" s="497"/>
    </row>
    <row r="157" spans="1:8" ht="15">
      <c r="A157" s="498" t="s">
        <v>568</v>
      </c>
      <c r="B157" s="497"/>
      <c r="C157" s="497"/>
      <c r="D157" s="497"/>
      <c r="E157" s="497"/>
      <c r="F157" s="497"/>
      <c r="G157" s="497"/>
      <c r="H157" s="497"/>
    </row>
    <row r="158" spans="1:8" ht="15">
      <c r="A158" s="497"/>
      <c r="B158" s="497"/>
      <c r="C158" s="497"/>
      <c r="D158" s="497"/>
      <c r="E158" s="497"/>
      <c r="F158" s="497"/>
      <c r="G158" s="497"/>
      <c r="H158" s="497"/>
    </row>
    <row r="159" spans="1:8" ht="15">
      <c r="A159" s="498" t="s">
        <v>564</v>
      </c>
      <c r="B159" s="497"/>
      <c r="C159" s="497"/>
      <c r="D159" s="497"/>
      <c r="E159" s="497"/>
      <c r="F159" s="497"/>
      <c r="G159" s="497"/>
      <c r="H159" s="497"/>
    </row>
    <row r="160" spans="1:8" ht="15">
      <c r="A160" s="498" t="s">
        <v>565</v>
      </c>
      <c r="B160" s="497"/>
      <c r="C160" s="497"/>
      <c r="D160" s="497"/>
      <c r="E160" s="497"/>
      <c r="F160" s="497"/>
      <c r="G160" s="497"/>
      <c r="H160" s="497"/>
    </row>
    <row r="161" spans="1:8" ht="15">
      <c r="A161" s="497"/>
      <c r="B161" s="497"/>
      <c r="C161" s="497"/>
      <c r="D161" s="497"/>
      <c r="E161" s="497"/>
      <c r="F161" s="497"/>
      <c r="G161" s="497"/>
      <c r="H161" s="497"/>
    </row>
    <row r="162" spans="1:8" ht="15.75">
      <c r="A162" s="499" t="s">
        <v>386</v>
      </c>
      <c r="B162" s="497"/>
      <c r="C162" s="497"/>
      <c r="D162" s="497"/>
      <c r="E162" s="497"/>
      <c r="F162" s="497"/>
      <c r="G162" s="497"/>
      <c r="H162" s="497"/>
    </row>
    <row r="163" spans="1:8" ht="15">
      <c r="A163" s="497"/>
      <c r="B163" s="497"/>
      <c r="C163" s="497"/>
      <c r="D163" s="497"/>
      <c r="E163" s="497"/>
      <c r="F163" s="497"/>
      <c r="G163" s="497"/>
      <c r="H163" s="497"/>
    </row>
    <row r="164" spans="1:8" ht="15">
      <c r="A164" s="498" t="s">
        <v>562</v>
      </c>
      <c r="B164" s="497"/>
      <c r="C164" s="497"/>
      <c r="D164" s="497"/>
      <c r="E164" s="497"/>
      <c r="F164" s="497"/>
      <c r="G164" s="497"/>
      <c r="H164" s="497"/>
    </row>
    <row r="165" spans="1:8" ht="15">
      <c r="A165" s="498" t="s">
        <v>563</v>
      </c>
      <c r="B165" s="497"/>
      <c r="C165" s="497"/>
      <c r="D165" s="497"/>
      <c r="E165" s="497"/>
      <c r="F165" s="497"/>
      <c r="G165" s="497"/>
      <c r="H165" s="497"/>
    </row>
    <row r="166" spans="1:8" ht="15">
      <c r="A166" s="497"/>
      <c r="B166" s="497"/>
      <c r="C166" s="497"/>
      <c r="D166" s="497"/>
      <c r="E166" s="497"/>
      <c r="F166" s="497"/>
      <c r="G166" s="497"/>
      <c r="H166" s="497"/>
    </row>
    <row r="167" spans="1:8" ht="15">
      <c r="A167" s="498" t="s">
        <v>560</v>
      </c>
      <c r="B167" s="497"/>
      <c r="C167" s="497"/>
      <c r="D167" s="497"/>
      <c r="E167" s="497"/>
      <c r="F167" s="497"/>
      <c r="G167" s="497"/>
      <c r="H167" s="497"/>
    </row>
    <row r="168" spans="1:8" ht="15">
      <c r="A168" s="498" t="s">
        <v>561</v>
      </c>
      <c r="B168" s="497"/>
      <c r="C168" s="497"/>
      <c r="D168" s="497"/>
      <c r="E168" s="497"/>
      <c r="F168" s="497"/>
      <c r="G168" s="497"/>
      <c r="H168" s="497"/>
    </row>
    <row r="169" spans="1:8" ht="15">
      <c r="A169" s="497"/>
      <c r="B169" s="497"/>
      <c r="C169" s="497"/>
      <c r="D169" s="497"/>
      <c r="E169" s="497"/>
      <c r="F169" s="497"/>
      <c r="G169" s="497"/>
      <c r="H169" s="497"/>
    </row>
    <row r="170" spans="1:8" ht="15">
      <c r="A170" s="498" t="s">
        <v>558</v>
      </c>
      <c r="B170" s="497"/>
      <c r="C170" s="497"/>
      <c r="D170" s="497"/>
      <c r="E170" s="497"/>
      <c r="F170" s="497"/>
      <c r="G170" s="497"/>
      <c r="H170" s="497"/>
    </row>
    <row r="171" spans="1:8" ht="15">
      <c r="A171" s="498" t="s">
        <v>559</v>
      </c>
      <c r="B171" s="497"/>
      <c r="C171" s="497"/>
      <c r="D171" s="497"/>
      <c r="E171" s="497"/>
      <c r="F171" s="497"/>
      <c r="G171" s="497"/>
      <c r="H171" s="497"/>
    </row>
    <row r="172" spans="1:8" ht="15">
      <c r="A172" s="497"/>
      <c r="B172" s="497"/>
      <c r="C172" s="497"/>
      <c r="D172" s="497"/>
      <c r="E172" s="497"/>
      <c r="F172" s="497"/>
      <c r="G172" s="497"/>
      <c r="H172" s="497"/>
    </row>
    <row r="173" spans="1:8" ht="15">
      <c r="A173" s="498" t="s">
        <v>555</v>
      </c>
      <c r="B173" s="497"/>
      <c r="C173" s="497"/>
      <c r="D173" s="497"/>
      <c r="E173" s="497"/>
      <c r="F173" s="497"/>
      <c r="G173" s="497"/>
      <c r="H173" s="497"/>
    </row>
    <row r="174" spans="1:8" ht="15">
      <c r="A174" s="498" t="s">
        <v>556</v>
      </c>
      <c r="B174" s="497"/>
      <c r="C174" s="497"/>
      <c r="D174" s="497"/>
      <c r="E174" s="497"/>
      <c r="F174" s="497"/>
      <c r="G174" s="497"/>
      <c r="H174" s="497"/>
    </row>
    <row r="175" spans="1:8" ht="15">
      <c r="A175" s="498" t="s">
        <v>557</v>
      </c>
      <c r="B175" s="497"/>
      <c r="C175" s="497"/>
      <c r="D175" s="497"/>
      <c r="E175" s="497"/>
      <c r="F175" s="497"/>
      <c r="G175" s="497"/>
      <c r="H175" s="497"/>
    </row>
    <row r="176" spans="1:8" ht="15">
      <c r="A176" s="497"/>
      <c r="B176" s="497"/>
      <c r="C176" s="497"/>
      <c r="D176" s="497"/>
      <c r="E176" s="497"/>
      <c r="F176" s="497"/>
      <c r="G176" s="497"/>
      <c r="H176" s="497"/>
    </row>
    <row r="177" spans="1:8" ht="15">
      <c r="A177" s="497"/>
      <c r="B177" s="497"/>
      <c r="C177" s="497"/>
      <c r="D177" s="497"/>
      <c r="E177" s="497"/>
      <c r="F177" s="497"/>
      <c r="G177" s="497"/>
      <c r="H177" s="497"/>
    </row>
    <row r="178" spans="1:8" ht="15">
      <c r="A178" s="498" t="s">
        <v>387</v>
      </c>
      <c r="B178" s="497"/>
      <c r="C178" s="497"/>
      <c r="D178" s="497"/>
      <c r="E178" s="497"/>
      <c r="F178" s="497"/>
      <c r="G178" s="497"/>
      <c r="H178" s="497"/>
    </row>
    <row r="179" spans="1:8" ht="15">
      <c r="A179" s="497"/>
      <c r="B179" s="497"/>
      <c r="C179" s="497"/>
      <c r="D179" s="497"/>
      <c r="E179" s="497"/>
      <c r="F179" s="497"/>
      <c r="G179" s="497"/>
      <c r="H179" s="497"/>
    </row>
    <row r="180" spans="1:8" ht="15.75">
      <c r="A180" s="499" t="s">
        <v>388</v>
      </c>
      <c r="B180" s="497"/>
      <c r="C180" s="497"/>
      <c r="D180" s="497"/>
      <c r="E180" s="497"/>
      <c r="F180" s="497"/>
      <c r="G180" s="497"/>
      <c r="H180" s="497"/>
    </row>
    <row r="181" spans="1:8" ht="15">
      <c r="A181" s="497"/>
      <c r="B181" s="497"/>
      <c r="C181" s="497"/>
      <c r="D181" s="497"/>
      <c r="E181" s="497"/>
      <c r="F181" s="497"/>
      <c r="G181" s="497"/>
      <c r="H181" s="497"/>
    </row>
    <row r="182" spans="1:8" ht="15">
      <c r="A182" s="497"/>
      <c r="B182" s="497"/>
      <c r="C182" s="497"/>
      <c r="D182" s="497"/>
      <c r="E182" s="497"/>
      <c r="F182" s="497"/>
      <c r="G182" s="497"/>
      <c r="H182" s="497"/>
    </row>
    <row r="183" spans="1:8" ht="15">
      <c r="A183" s="497"/>
      <c r="B183" s="497"/>
      <c r="C183" s="497"/>
      <c r="D183" s="497"/>
      <c r="E183" s="497"/>
      <c r="F183" s="497"/>
      <c r="G183" s="497"/>
      <c r="H183" s="497"/>
    </row>
    <row r="184" spans="1:8" ht="15">
      <c r="A184" s="497"/>
      <c r="B184" s="497"/>
      <c r="C184" s="497"/>
      <c r="D184" s="497"/>
      <c r="E184" s="497"/>
      <c r="F184" s="497"/>
      <c r="G184" s="497"/>
      <c r="H184" s="497"/>
    </row>
    <row r="185" spans="1:8" ht="15">
      <c r="A185" s="497"/>
      <c r="B185" s="497"/>
      <c r="C185" s="497"/>
      <c r="D185" s="497"/>
      <c r="E185" s="497"/>
      <c r="F185" s="497"/>
      <c r="G185" s="497"/>
      <c r="H185" s="497"/>
    </row>
    <row r="186" spans="1:8" ht="15">
      <c r="A186" s="497"/>
      <c r="B186" s="497"/>
      <c r="C186" s="497"/>
      <c r="D186" s="497"/>
      <c r="E186" s="497"/>
      <c r="F186" s="497"/>
      <c r="G186" s="497"/>
      <c r="H186" s="497"/>
    </row>
    <row r="187" spans="1:8" ht="15">
      <c r="A187" s="497"/>
      <c r="B187" s="497"/>
      <c r="C187" s="497"/>
      <c r="D187" s="497"/>
      <c r="E187" s="497"/>
      <c r="F187" s="497"/>
      <c r="G187" s="497"/>
      <c r="H187" s="497"/>
    </row>
    <row r="188" spans="1:8" ht="15">
      <c r="A188" s="497"/>
      <c r="B188" s="497"/>
      <c r="C188" s="497"/>
      <c r="D188" s="497"/>
      <c r="E188" s="497"/>
      <c r="F188" s="497"/>
      <c r="G188" s="497"/>
      <c r="H188" s="497"/>
    </row>
    <row r="189" spans="1:8" ht="15">
      <c r="A189" s="497"/>
      <c r="B189" s="497"/>
      <c r="C189" s="497"/>
      <c r="D189" s="497"/>
      <c r="E189" s="497"/>
      <c r="F189" s="497"/>
      <c r="G189" s="497"/>
      <c r="H189" s="497"/>
    </row>
    <row r="190" spans="1:8" ht="15">
      <c r="A190" s="497"/>
      <c r="B190" s="497"/>
      <c r="C190" s="497"/>
      <c r="D190" s="497"/>
      <c r="E190" s="497"/>
      <c r="F190" s="497"/>
      <c r="G190" s="497"/>
      <c r="H190" s="497"/>
    </row>
    <row r="191" spans="1:8" ht="15">
      <c r="A191" s="497"/>
      <c r="B191" s="497"/>
      <c r="C191" s="497"/>
      <c r="D191" s="497"/>
      <c r="E191" s="497"/>
      <c r="F191" s="497"/>
      <c r="G191" s="497"/>
      <c r="H191" s="497"/>
    </row>
    <row r="192" spans="1:8" ht="15">
      <c r="A192" s="497"/>
      <c r="B192" s="497"/>
      <c r="C192" s="497"/>
      <c r="D192" s="497"/>
      <c r="E192" s="497"/>
      <c r="F192" s="497"/>
      <c r="G192" s="497"/>
      <c r="H192" s="497"/>
    </row>
    <row r="193" spans="1:8" ht="15">
      <c r="A193" s="497"/>
      <c r="B193" s="497"/>
      <c r="C193" s="497"/>
      <c r="D193" s="497"/>
      <c r="E193" s="497"/>
      <c r="F193" s="497"/>
      <c r="G193" s="497"/>
      <c r="H193" s="497"/>
    </row>
    <row r="194" spans="1:8" ht="15">
      <c r="A194" s="497"/>
      <c r="B194" s="497"/>
      <c r="C194" s="497"/>
      <c r="D194" s="497"/>
      <c r="E194" s="497"/>
      <c r="F194" s="497"/>
      <c r="G194" s="497"/>
      <c r="H194" s="497"/>
    </row>
    <row r="195" spans="1:8" ht="15">
      <c r="A195" s="497"/>
      <c r="B195" s="497"/>
      <c r="C195" s="497"/>
      <c r="D195" s="497"/>
      <c r="E195" s="497"/>
      <c r="F195" s="497"/>
      <c r="G195" s="497"/>
      <c r="H195" s="497"/>
    </row>
    <row r="196" spans="1:8" ht="15">
      <c r="A196" s="497"/>
      <c r="B196" s="497"/>
      <c r="C196" s="497"/>
      <c r="D196" s="497"/>
      <c r="E196" s="497"/>
      <c r="F196" s="497"/>
      <c r="G196" s="497"/>
      <c r="H196" s="497"/>
    </row>
    <row r="197" spans="1:8" ht="15">
      <c r="A197" s="497"/>
      <c r="B197" s="497"/>
      <c r="C197" s="497"/>
      <c r="D197" s="497"/>
      <c r="E197" s="497"/>
      <c r="F197" s="497"/>
      <c r="G197" s="497"/>
      <c r="H197" s="497"/>
    </row>
    <row r="198" spans="1:8" ht="15">
      <c r="A198" s="497"/>
      <c r="B198" s="497"/>
      <c r="C198" s="497"/>
      <c r="D198" s="497"/>
      <c r="E198" s="497"/>
      <c r="F198" s="497"/>
      <c r="G198" s="497"/>
      <c r="H198" s="497"/>
    </row>
    <row r="199" spans="1:8" ht="15">
      <c r="A199" s="497"/>
      <c r="B199" s="497"/>
      <c r="C199" s="497"/>
      <c r="D199" s="497"/>
      <c r="E199" s="497"/>
      <c r="F199" s="497"/>
      <c r="G199" s="497"/>
      <c r="H199" s="497"/>
    </row>
    <row r="200" spans="1:8" ht="15">
      <c r="A200" s="497"/>
      <c r="B200" s="497"/>
      <c r="C200" s="497"/>
      <c r="D200" s="497"/>
      <c r="E200" s="497"/>
      <c r="F200" s="497"/>
      <c r="G200" s="497"/>
      <c r="H200" s="497"/>
    </row>
    <row r="201" spans="1:8" ht="15">
      <c r="A201" s="497"/>
      <c r="B201" s="497"/>
      <c r="C201" s="497"/>
      <c r="D201" s="497"/>
      <c r="E201" s="497"/>
      <c r="F201" s="497"/>
      <c r="G201" s="497"/>
      <c r="H201" s="497"/>
    </row>
    <row r="202" spans="1:8" ht="15">
      <c r="A202" s="497"/>
      <c r="B202" s="497"/>
      <c r="C202" s="497"/>
      <c r="D202" s="497"/>
      <c r="E202" s="497"/>
      <c r="F202" s="497"/>
      <c r="G202" s="497"/>
      <c r="H202" s="497"/>
    </row>
    <row r="203" spans="1:8" ht="15">
      <c r="A203" s="497"/>
      <c r="B203" s="497"/>
      <c r="C203" s="497"/>
      <c r="D203" s="497"/>
      <c r="E203" s="497"/>
      <c r="F203" s="497"/>
      <c r="G203" s="497"/>
      <c r="H203" s="497"/>
    </row>
    <row r="204" spans="1:8" ht="15">
      <c r="A204" s="497"/>
      <c r="B204" s="497"/>
      <c r="C204" s="497"/>
      <c r="D204" s="497"/>
      <c r="E204" s="497"/>
      <c r="F204" s="497"/>
      <c r="G204" s="497"/>
      <c r="H204" s="497"/>
    </row>
    <row r="205" spans="1:8" ht="15">
      <c r="A205" s="497"/>
      <c r="B205" s="497"/>
      <c r="C205" s="497"/>
      <c r="D205" s="497"/>
      <c r="E205" s="497"/>
      <c r="F205" s="497"/>
      <c r="G205" s="497"/>
      <c r="H205" s="497"/>
    </row>
    <row r="206" spans="1:8" ht="15">
      <c r="A206" s="497"/>
      <c r="B206" s="497"/>
      <c r="C206" s="497"/>
      <c r="D206" s="497"/>
      <c r="E206" s="497"/>
      <c r="F206" s="497"/>
      <c r="G206" s="497"/>
      <c r="H206" s="497"/>
    </row>
    <row r="207" spans="1:8" ht="15.75">
      <c r="A207" s="499" t="s">
        <v>389</v>
      </c>
      <c r="B207" s="497"/>
      <c r="C207" s="497"/>
      <c r="D207" s="497"/>
      <c r="E207" s="497"/>
      <c r="F207" s="497"/>
      <c r="G207" s="497"/>
      <c r="H207" s="497"/>
    </row>
    <row r="208" spans="1:8" ht="15">
      <c r="A208" s="497"/>
      <c r="B208" s="497"/>
      <c r="C208" s="497"/>
      <c r="D208" s="497"/>
      <c r="E208" s="497"/>
      <c r="F208" s="497"/>
      <c r="G208" s="497"/>
      <c r="H208" s="497"/>
    </row>
    <row r="209" spans="1:8" ht="15">
      <c r="A209" s="498" t="s">
        <v>550</v>
      </c>
      <c r="B209" s="497"/>
      <c r="C209" s="497"/>
      <c r="D209" s="497"/>
      <c r="E209" s="497"/>
      <c r="F209" s="497"/>
      <c r="G209" s="497"/>
      <c r="H209" s="497"/>
    </row>
    <row r="210" spans="1:8" ht="15">
      <c r="A210" s="498" t="s">
        <v>551</v>
      </c>
      <c r="B210" s="497"/>
      <c r="C210" s="497"/>
      <c r="D210" s="497"/>
      <c r="E210" s="497"/>
      <c r="F210" s="497"/>
      <c r="G210" s="497"/>
      <c r="H210" s="497"/>
    </row>
    <row r="211" spans="1:8" ht="15">
      <c r="A211" s="498" t="s">
        <v>552</v>
      </c>
      <c r="B211" s="497"/>
      <c r="C211" s="497"/>
      <c r="D211" s="497"/>
      <c r="E211" s="497"/>
      <c r="F211" s="497"/>
      <c r="G211" s="497"/>
      <c r="H211" s="497"/>
    </row>
    <row r="212" spans="1:8" ht="15">
      <c r="A212" s="498" t="s">
        <v>553</v>
      </c>
      <c r="B212" s="497"/>
      <c r="C212" s="497"/>
      <c r="D212" s="497"/>
      <c r="E212" s="497"/>
      <c r="F212" s="497"/>
      <c r="G212" s="497"/>
      <c r="H212" s="497"/>
    </row>
    <row r="213" spans="1:8" ht="15">
      <c r="A213" s="498" t="s">
        <v>554</v>
      </c>
      <c r="B213" s="497"/>
      <c r="C213" s="497"/>
      <c r="D213" s="497"/>
      <c r="E213" s="497"/>
      <c r="F213" s="497"/>
      <c r="G213" s="497"/>
      <c r="H213" s="497"/>
    </row>
    <row r="214" spans="1:8" ht="15">
      <c r="A214" s="497"/>
      <c r="B214" s="497"/>
      <c r="C214" s="497"/>
      <c r="D214" s="497"/>
      <c r="E214" s="497"/>
      <c r="F214" s="497"/>
      <c r="G214" s="497"/>
      <c r="H214" s="497"/>
    </row>
    <row r="215" spans="1:8" ht="15">
      <c r="A215" s="498" t="s">
        <v>547</v>
      </c>
      <c r="B215" s="497"/>
      <c r="C215" s="497"/>
      <c r="D215" s="497"/>
      <c r="E215" s="497"/>
      <c r="F215" s="497"/>
      <c r="G215" s="497"/>
      <c r="H215" s="497"/>
    </row>
    <row r="216" spans="1:8" ht="15">
      <c r="A216" s="498" t="s">
        <v>548</v>
      </c>
      <c r="B216" s="497"/>
      <c r="C216" s="497"/>
      <c r="D216" s="497"/>
      <c r="E216" s="497"/>
      <c r="F216" s="497"/>
      <c r="G216" s="497"/>
      <c r="H216" s="497"/>
    </row>
    <row r="217" spans="1:8" ht="15">
      <c r="A217" s="498" t="s">
        <v>549</v>
      </c>
      <c r="B217" s="497"/>
      <c r="C217" s="497"/>
      <c r="D217" s="497"/>
      <c r="E217" s="497"/>
      <c r="F217" s="497"/>
      <c r="G217" s="497"/>
      <c r="H217" s="497"/>
    </row>
    <row r="218" spans="1:8" ht="15.75">
      <c r="A218" s="499" t="s">
        <v>390</v>
      </c>
      <c r="B218" s="497"/>
      <c r="C218" s="497"/>
      <c r="D218" s="497"/>
      <c r="E218" s="497"/>
      <c r="F218" s="497"/>
      <c r="G218" s="497"/>
      <c r="H218" s="497"/>
    </row>
    <row r="219" spans="1:8" ht="15">
      <c r="A219" s="497"/>
      <c r="B219" s="497"/>
      <c r="C219" s="497"/>
      <c r="D219" s="497"/>
      <c r="E219" s="497"/>
      <c r="F219" s="497"/>
      <c r="G219" s="497"/>
      <c r="H219" s="497"/>
    </row>
    <row r="220" spans="1:8" ht="15">
      <c r="A220" s="498" t="s">
        <v>545</v>
      </c>
      <c r="B220" s="497"/>
      <c r="C220" s="497"/>
      <c r="D220" s="497"/>
      <c r="E220" s="497"/>
      <c r="F220" s="497"/>
      <c r="G220" s="497"/>
      <c r="H220" s="497"/>
    </row>
    <row r="221" spans="1:8" ht="15">
      <c r="A221" s="498" t="s">
        <v>546</v>
      </c>
      <c r="B221" s="497"/>
      <c r="C221" s="497"/>
      <c r="D221" s="497"/>
      <c r="E221" s="497"/>
      <c r="F221" s="497"/>
      <c r="G221" s="497"/>
      <c r="H221" s="497"/>
    </row>
    <row r="222" spans="1:8" ht="15">
      <c r="A222" s="497"/>
      <c r="B222" s="497"/>
      <c r="C222" s="497"/>
      <c r="D222" s="497"/>
      <c r="E222" s="497"/>
      <c r="F222" s="497"/>
      <c r="G222" s="497"/>
      <c r="H222" s="497"/>
    </row>
    <row r="223" spans="1:8" ht="15">
      <c r="A223" s="498" t="s">
        <v>538</v>
      </c>
      <c r="B223" s="497"/>
      <c r="C223" s="497"/>
      <c r="D223" s="497"/>
      <c r="E223" s="497"/>
      <c r="F223" s="497"/>
      <c r="G223" s="497"/>
      <c r="H223" s="497"/>
    </row>
    <row r="224" spans="1:8" ht="15">
      <c r="A224" s="498" t="s">
        <v>539</v>
      </c>
      <c r="B224" s="497"/>
      <c r="C224" s="497"/>
      <c r="D224" s="497"/>
      <c r="E224" s="497"/>
      <c r="F224" s="497"/>
      <c r="G224" s="497"/>
      <c r="H224" s="497"/>
    </row>
    <row r="225" spans="1:8" ht="15">
      <c r="A225" s="498" t="s">
        <v>540</v>
      </c>
      <c r="B225" s="497"/>
      <c r="C225" s="497"/>
      <c r="D225" s="497"/>
      <c r="E225" s="497"/>
      <c r="F225" s="497"/>
      <c r="G225" s="497"/>
      <c r="H225" s="497"/>
    </row>
    <row r="226" spans="1:8" ht="15">
      <c r="A226" s="498" t="s">
        <v>541</v>
      </c>
      <c r="B226" s="497"/>
      <c r="C226" s="497"/>
      <c r="D226" s="497"/>
      <c r="E226" s="497"/>
      <c r="F226" s="497"/>
      <c r="G226" s="497"/>
      <c r="H226" s="497"/>
    </row>
    <row r="227" spans="1:8" ht="15">
      <c r="A227" s="498" t="s">
        <v>542</v>
      </c>
      <c r="B227" s="497"/>
      <c r="C227" s="497"/>
      <c r="D227" s="497"/>
      <c r="E227" s="497"/>
      <c r="F227" s="497"/>
      <c r="G227" s="497"/>
      <c r="H227" s="497"/>
    </row>
    <row r="228" spans="1:8" ht="15">
      <c r="A228" s="498" t="s">
        <v>543</v>
      </c>
      <c r="B228" s="497"/>
      <c r="C228" s="497"/>
      <c r="D228" s="497"/>
      <c r="E228" s="497"/>
      <c r="F228" s="497"/>
      <c r="G228" s="497"/>
      <c r="H228" s="497"/>
    </row>
    <row r="229" spans="1:8" ht="15">
      <c r="A229" s="498" t="s">
        <v>544</v>
      </c>
      <c r="B229" s="497"/>
      <c r="C229" s="497"/>
      <c r="D229" s="497"/>
      <c r="E229" s="497"/>
      <c r="F229" s="497"/>
      <c r="G229" s="497"/>
      <c r="H229" s="497"/>
    </row>
    <row r="230" spans="1:8" ht="15">
      <c r="A230" s="497"/>
      <c r="B230" s="497"/>
      <c r="C230" s="497"/>
      <c r="D230" s="497"/>
      <c r="E230" s="497"/>
      <c r="F230" s="497"/>
      <c r="G230" s="497"/>
      <c r="H230" s="497"/>
    </row>
    <row r="231" spans="1:8" ht="15">
      <c r="A231" s="498" t="s">
        <v>535</v>
      </c>
      <c r="B231" s="497"/>
      <c r="C231" s="497"/>
      <c r="D231" s="497"/>
      <c r="E231" s="497"/>
      <c r="F231" s="497"/>
      <c r="G231" s="497"/>
      <c r="H231" s="497"/>
    </row>
    <row r="232" spans="1:8" ht="15">
      <c r="A232" s="498" t="s">
        <v>536</v>
      </c>
      <c r="B232" s="497"/>
      <c r="C232" s="497"/>
      <c r="D232" s="497"/>
      <c r="E232" s="497"/>
      <c r="F232" s="497"/>
      <c r="G232" s="497"/>
      <c r="H232" s="497"/>
    </row>
    <row r="233" spans="1:8" ht="15">
      <c r="A233" s="498" t="s">
        <v>537</v>
      </c>
      <c r="B233" s="497"/>
      <c r="C233" s="497"/>
      <c r="D233" s="497"/>
      <c r="E233" s="497"/>
      <c r="F233" s="497"/>
      <c r="G233" s="497"/>
      <c r="H233" s="497"/>
    </row>
    <row r="234" spans="1:8" ht="15">
      <c r="A234" s="497"/>
      <c r="B234" s="497"/>
      <c r="C234" s="497"/>
      <c r="D234" s="497"/>
      <c r="E234" s="497"/>
      <c r="F234" s="497"/>
      <c r="G234" s="497"/>
      <c r="H234" s="497"/>
    </row>
    <row r="235" spans="1:8" ht="15">
      <c r="A235" s="498" t="s">
        <v>530</v>
      </c>
      <c r="B235" s="497"/>
      <c r="C235" s="497"/>
      <c r="D235" s="497"/>
      <c r="E235" s="497"/>
      <c r="F235" s="497"/>
      <c r="G235" s="497"/>
      <c r="H235" s="497"/>
    </row>
    <row r="236" spans="1:8" ht="15">
      <c r="A236" s="498" t="s">
        <v>531</v>
      </c>
      <c r="B236" s="497"/>
      <c r="C236" s="497"/>
      <c r="D236" s="497"/>
      <c r="E236" s="497"/>
      <c r="F236" s="497"/>
      <c r="G236" s="497"/>
      <c r="H236" s="497"/>
    </row>
    <row r="237" spans="1:8" ht="15">
      <c r="A237" s="498" t="s">
        <v>532</v>
      </c>
      <c r="B237" s="497"/>
      <c r="C237" s="497"/>
      <c r="D237" s="497"/>
      <c r="E237" s="497"/>
      <c r="F237" s="497"/>
      <c r="G237" s="497"/>
      <c r="H237" s="497"/>
    </row>
    <row r="238" spans="1:8" ht="15">
      <c r="A238" s="498" t="s">
        <v>533</v>
      </c>
      <c r="B238" s="497"/>
      <c r="C238" s="497"/>
      <c r="D238" s="497"/>
      <c r="E238" s="497"/>
      <c r="F238" s="497"/>
      <c r="G238" s="497"/>
      <c r="H238" s="497"/>
    </row>
    <row r="239" spans="1:8" ht="15">
      <c r="A239" s="498" t="s">
        <v>534</v>
      </c>
      <c r="B239" s="497"/>
      <c r="C239" s="497"/>
      <c r="D239" s="497"/>
      <c r="E239" s="497"/>
      <c r="F239" s="497"/>
      <c r="G239" s="497"/>
      <c r="H239" s="497"/>
    </row>
    <row r="240" spans="1:8" ht="15">
      <c r="A240" s="497"/>
      <c r="B240" s="497"/>
      <c r="C240" s="497"/>
      <c r="D240" s="497"/>
      <c r="E240" s="497"/>
      <c r="F240" s="497"/>
      <c r="G240" s="497"/>
      <c r="H240" s="497"/>
    </row>
    <row r="241" spans="1:8" ht="15">
      <c r="A241" s="498" t="s">
        <v>524</v>
      </c>
      <c r="B241" s="497"/>
      <c r="C241" s="497"/>
      <c r="D241" s="497"/>
      <c r="E241" s="497"/>
      <c r="F241" s="497"/>
      <c r="G241" s="497"/>
      <c r="H241" s="497"/>
    </row>
    <row r="242" spans="1:8" ht="15">
      <c r="A242" s="498" t="s">
        <v>525</v>
      </c>
      <c r="B242" s="497"/>
      <c r="C242" s="497"/>
      <c r="D242" s="497"/>
      <c r="E242" s="497"/>
      <c r="F242" s="497"/>
      <c r="G242" s="497"/>
      <c r="H242" s="497"/>
    </row>
    <row r="243" spans="1:8" ht="15">
      <c r="A243" s="498" t="s">
        <v>526</v>
      </c>
      <c r="B243" s="497"/>
      <c r="C243" s="497"/>
      <c r="D243" s="497"/>
      <c r="E243" s="497"/>
      <c r="F243" s="497"/>
      <c r="G243" s="497"/>
      <c r="H243" s="497"/>
    </row>
    <row r="244" spans="1:8" ht="15">
      <c r="A244" s="498" t="s">
        <v>527</v>
      </c>
      <c r="B244" s="497"/>
      <c r="C244" s="497"/>
      <c r="D244" s="497"/>
      <c r="E244" s="497"/>
      <c r="F244" s="497"/>
      <c r="G244" s="497"/>
      <c r="H244" s="497"/>
    </row>
    <row r="245" spans="1:8" ht="15">
      <c r="A245" s="498" t="s">
        <v>528</v>
      </c>
      <c r="B245" s="497"/>
      <c r="C245" s="497"/>
      <c r="D245" s="497"/>
      <c r="E245" s="497"/>
      <c r="F245" s="497"/>
      <c r="G245" s="497"/>
      <c r="H245" s="497"/>
    </row>
    <row r="246" spans="1:8" ht="15">
      <c r="A246" s="498" t="s">
        <v>529</v>
      </c>
      <c r="B246" s="497"/>
      <c r="C246" s="497"/>
      <c r="D246" s="497"/>
      <c r="E246" s="497"/>
      <c r="F246" s="497"/>
      <c r="G246" s="497"/>
      <c r="H246" s="497"/>
    </row>
    <row r="247" spans="1:8" ht="15">
      <c r="A247" s="497"/>
      <c r="B247" s="497"/>
      <c r="C247" s="497"/>
      <c r="D247" s="497"/>
      <c r="E247" s="497"/>
      <c r="F247" s="497"/>
      <c r="G247" s="497"/>
      <c r="H247" s="497"/>
    </row>
    <row r="248" spans="1:8" ht="15">
      <c r="A248" s="498" t="s">
        <v>514</v>
      </c>
      <c r="B248" s="497"/>
      <c r="C248" s="497"/>
      <c r="D248" s="497"/>
      <c r="E248" s="497"/>
      <c r="F248" s="497"/>
      <c r="G248" s="497"/>
      <c r="H248" s="497"/>
    </row>
    <row r="249" spans="1:8" ht="15">
      <c r="A249" s="498" t="s">
        <v>515</v>
      </c>
      <c r="B249" s="497"/>
      <c r="C249" s="497"/>
      <c r="D249" s="497"/>
      <c r="E249" s="497"/>
      <c r="F249" s="497"/>
      <c r="G249" s="497"/>
      <c r="H249" s="497"/>
    </row>
    <row r="250" spans="1:8" ht="15">
      <c r="A250" s="498" t="s">
        <v>516</v>
      </c>
      <c r="B250" s="497"/>
      <c r="C250" s="497"/>
      <c r="D250" s="497"/>
      <c r="E250" s="497"/>
      <c r="F250" s="497"/>
      <c r="G250" s="497"/>
      <c r="H250" s="497"/>
    </row>
    <row r="251" spans="1:8" ht="15">
      <c r="A251" s="498" t="s">
        <v>517</v>
      </c>
      <c r="B251" s="497"/>
      <c r="C251" s="497"/>
      <c r="D251" s="497"/>
      <c r="E251" s="497"/>
      <c r="F251" s="497"/>
      <c r="G251" s="497"/>
      <c r="H251" s="497"/>
    </row>
    <row r="252" spans="1:8" ht="15">
      <c r="A252" s="498" t="s">
        <v>518</v>
      </c>
      <c r="B252" s="497"/>
      <c r="C252" s="497"/>
      <c r="D252" s="497"/>
      <c r="E252" s="497"/>
      <c r="F252" s="497"/>
      <c r="G252" s="497"/>
      <c r="H252" s="497"/>
    </row>
    <row r="253" spans="1:8" ht="15">
      <c r="A253" s="498" t="s">
        <v>519</v>
      </c>
      <c r="B253" s="497"/>
      <c r="C253" s="497"/>
      <c r="D253" s="497"/>
      <c r="E253" s="497"/>
      <c r="F253" s="497"/>
      <c r="G253" s="497"/>
      <c r="H253" s="497"/>
    </row>
    <row r="254" spans="1:8" ht="15">
      <c r="A254" s="498" t="s">
        <v>520</v>
      </c>
      <c r="B254" s="497"/>
      <c r="C254" s="497"/>
      <c r="D254" s="497"/>
      <c r="E254" s="497"/>
      <c r="F254" s="497"/>
      <c r="G254" s="497"/>
      <c r="H254" s="497"/>
    </row>
    <row r="255" spans="1:8" ht="15">
      <c r="A255" s="498" t="s">
        <v>521</v>
      </c>
      <c r="B255" s="497"/>
      <c r="C255" s="497"/>
      <c r="D255" s="497"/>
      <c r="E255" s="497"/>
      <c r="F255" s="497"/>
      <c r="G255" s="497"/>
      <c r="H255" s="497"/>
    </row>
    <row r="256" spans="1:8" ht="15">
      <c r="A256" s="498" t="s">
        <v>522</v>
      </c>
      <c r="B256" s="497"/>
      <c r="C256" s="497"/>
      <c r="D256" s="497"/>
      <c r="E256" s="497"/>
      <c r="F256" s="497"/>
      <c r="G256" s="497"/>
      <c r="H256" s="497"/>
    </row>
    <row r="257" spans="1:8" ht="15">
      <c r="A257" s="498" t="s">
        <v>523</v>
      </c>
      <c r="B257" s="497"/>
      <c r="C257" s="497"/>
      <c r="D257" s="497"/>
      <c r="E257" s="497"/>
      <c r="F257" s="497"/>
      <c r="G257" s="497"/>
      <c r="H257" s="497"/>
    </row>
    <row r="258" spans="1:8" ht="15">
      <c r="A258" s="497"/>
      <c r="B258" s="497"/>
      <c r="C258" s="497"/>
      <c r="D258" s="497"/>
      <c r="E258" s="497"/>
      <c r="F258" s="497"/>
      <c r="G258" s="497"/>
      <c r="H258" s="497"/>
    </row>
    <row r="259" spans="1:8" ht="15">
      <c r="A259" s="498" t="s">
        <v>512</v>
      </c>
      <c r="B259" s="497"/>
      <c r="C259" s="497"/>
      <c r="D259" s="497"/>
      <c r="E259" s="497"/>
      <c r="F259" s="497"/>
      <c r="G259" s="497"/>
      <c r="H259" s="497"/>
    </row>
    <row r="260" spans="1:8" ht="15">
      <c r="A260" s="498" t="s">
        <v>513</v>
      </c>
      <c r="B260" s="497"/>
      <c r="C260" s="497"/>
      <c r="D260" s="497"/>
      <c r="E260" s="497"/>
      <c r="F260" s="497"/>
      <c r="G260" s="497"/>
      <c r="H260" s="497"/>
    </row>
    <row r="261" spans="1:8" ht="15">
      <c r="A261" s="497"/>
      <c r="B261" s="497"/>
      <c r="C261" s="497"/>
      <c r="D261" s="497"/>
      <c r="E261" s="497"/>
      <c r="F261" s="497"/>
      <c r="G261" s="497"/>
      <c r="H261" s="497"/>
    </row>
    <row r="262" spans="1:8" ht="15">
      <c r="A262" s="498" t="s">
        <v>496</v>
      </c>
      <c r="B262" s="497"/>
      <c r="C262" s="497"/>
      <c r="D262" s="497"/>
      <c r="E262" s="497"/>
      <c r="F262" s="497"/>
      <c r="G262" s="497"/>
      <c r="H262" s="497"/>
    </row>
    <row r="263" spans="1:8" ht="15">
      <c r="A263" s="498" t="s">
        <v>497</v>
      </c>
      <c r="B263" s="497"/>
      <c r="C263" s="497"/>
      <c r="D263" s="497"/>
      <c r="E263" s="497"/>
      <c r="F263" s="497"/>
      <c r="G263" s="497"/>
      <c r="H263" s="497"/>
    </row>
    <row r="264" spans="1:8" ht="15">
      <c r="A264" s="498" t="s">
        <v>498</v>
      </c>
      <c r="B264" s="497"/>
      <c r="C264" s="497"/>
      <c r="D264" s="497"/>
      <c r="E264" s="497"/>
      <c r="F264" s="497"/>
      <c r="G264" s="497"/>
      <c r="H264" s="497"/>
    </row>
    <row r="265" spans="1:8" ht="15">
      <c r="A265" s="498" t="s">
        <v>499</v>
      </c>
      <c r="B265" s="497"/>
      <c r="C265" s="497"/>
      <c r="D265" s="497"/>
      <c r="E265" s="497"/>
      <c r="F265" s="497"/>
      <c r="G265" s="497"/>
      <c r="H265" s="497"/>
    </row>
    <row r="266" spans="1:8" ht="15">
      <c r="A266" s="498" t="s">
        <v>500</v>
      </c>
      <c r="B266" s="497"/>
      <c r="C266" s="497"/>
      <c r="D266" s="497"/>
      <c r="E266" s="497"/>
      <c r="F266" s="497"/>
      <c r="G266" s="497"/>
      <c r="H266" s="497"/>
    </row>
    <row r="267" spans="1:8" ht="15">
      <c r="A267" s="498" t="s">
        <v>501</v>
      </c>
      <c r="B267" s="497"/>
      <c r="C267" s="497"/>
      <c r="D267" s="497"/>
      <c r="E267" s="497"/>
      <c r="F267" s="497"/>
      <c r="G267" s="497"/>
      <c r="H267" s="497"/>
    </row>
    <row r="268" spans="1:8" ht="15">
      <c r="A268" s="498" t="s">
        <v>502</v>
      </c>
      <c r="B268" s="497"/>
      <c r="C268" s="497"/>
      <c r="D268" s="497"/>
      <c r="E268" s="497"/>
      <c r="F268" s="497"/>
      <c r="G268" s="497"/>
      <c r="H268" s="497"/>
    </row>
    <row r="269" spans="1:8" ht="15">
      <c r="A269" s="498" t="s">
        <v>503</v>
      </c>
      <c r="B269" s="497"/>
      <c r="C269" s="497"/>
      <c r="D269" s="497"/>
      <c r="E269" s="497"/>
      <c r="F269" s="497"/>
      <c r="G269" s="497"/>
      <c r="H269" s="497"/>
    </row>
    <row r="270" spans="1:8" ht="15">
      <c r="A270" s="498" t="s">
        <v>504</v>
      </c>
      <c r="B270" s="497"/>
      <c r="C270" s="497"/>
      <c r="D270" s="497"/>
      <c r="E270" s="497"/>
      <c r="F270" s="497"/>
      <c r="G270" s="497"/>
      <c r="H270" s="497"/>
    </row>
    <row r="271" spans="1:8" ht="15">
      <c r="A271" s="498" t="s">
        <v>505</v>
      </c>
      <c r="B271" s="497"/>
      <c r="C271" s="497"/>
      <c r="D271" s="497"/>
      <c r="E271" s="497"/>
      <c r="F271" s="497"/>
      <c r="G271" s="497"/>
      <c r="H271" s="497"/>
    </row>
    <row r="272" spans="1:8" ht="15">
      <c r="A272" s="498" t="s">
        <v>506</v>
      </c>
      <c r="B272" s="497"/>
      <c r="C272" s="497"/>
      <c r="D272" s="497"/>
      <c r="E272" s="497"/>
      <c r="F272" s="497"/>
      <c r="G272" s="497"/>
      <c r="H272" s="497"/>
    </row>
    <row r="273" spans="1:8" ht="15">
      <c r="A273" s="498" t="s">
        <v>507</v>
      </c>
      <c r="B273" s="497"/>
      <c r="C273" s="497"/>
      <c r="D273" s="497"/>
      <c r="E273" s="497"/>
      <c r="F273" s="497"/>
      <c r="G273" s="497"/>
      <c r="H273" s="497"/>
    </row>
    <row r="274" spans="1:8" ht="15">
      <c r="A274" s="498" t="s">
        <v>508</v>
      </c>
      <c r="B274" s="497"/>
      <c r="C274" s="497"/>
      <c r="D274" s="497"/>
      <c r="E274" s="497"/>
      <c r="F274" s="497"/>
      <c r="G274" s="497"/>
      <c r="H274" s="497"/>
    </row>
    <row r="275" spans="1:8" ht="15">
      <c r="A275" s="498" t="s">
        <v>509</v>
      </c>
      <c r="B275" s="497"/>
      <c r="C275" s="497"/>
      <c r="D275" s="497"/>
      <c r="E275" s="497"/>
      <c r="F275" s="497"/>
      <c r="G275" s="497"/>
      <c r="H275" s="497"/>
    </row>
    <row r="276" spans="1:8" ht="15">
      <c r="A276" s="498" t="s">
        <v>510</v>
      </c>
      <c r="B276" s="497"/>
      <c r="C276" s="497"/>
      <c r="D276" s="497"/>
      <c r="E276" s="497"/>
      <c r="F276" s="497"/>
      <c r="G276" s="497"/>
      <c r="H276" s="497"/>
    </row>
    <row r="277" spans="1:8" ht="15">
      <c r="A277" s="498" t="s">
        <v>511</v>
      </c>
      <c r="B277" s="497"/>
      <c r="C277" s="497"/>
      <c r="D277" s="497"/>
      <c r="E277" s="497"/>
      <c r="F277" s="497"/>
      <c r="G277" s="497"/>
      <c r="H277" s="497"/>
    </row>
    <row r="278" spans="1:8" ht="15">
      <c r="A278" s="497"/>
      <c r="B278" s="497"/>
      <c r="C278" s="497"/>
      <c r="D278" s="497"/>
      <c r="E278" s="497"/>
      <c r="F278" s="497"/>
      <c r="G278" s="497"/>
      <c r="H278" s="497"/>
    </row>
    <row r="279" spans="1:8" ht="15">
      <c r="A279" s="498" t="s">
        <v>489</v>
      </c>
      <c r="B279" s="497"/>
      <c r="C279" s="497"/>
      <c r="D279" s="497"/>
      <c r="E279" s="497"/>
      <c r="F279" s="497"/>
      <c r="G279" s="497"/>
      <c r="H279" s="497"/>
    </row>
    <row r="280" spans="1:8" ht="15">
      <c r="A280" s="498" t="s">
        <v>490</v>
      </c>
      <c r="B280" s="497"/>
      <c r="C280" s="497"/>
      <c r="D280" s="497"/>
      <c r="E280" s="497"/>
      <c r="F280" s="497"/>
      <c r="G280" s="497"/>
      <c r="H280" s="497"/>
    </row>
    <row r="281" spans="1:8" ht="15">
      <c r="A281" s="498" t="s">
        <v>491</v>
      </c>
      <c r="B281" s="497"/>
      <c r="C281" s="497"/>
      <c r="D281" s="497"/>
      <c r="E281" s="497"/>
      <c r="F281" s="497"/>
      <c r="G281" s="497"/>
      <c r="H281" s="497"/>
    </row>
    <row r="282" spans="1:8" ht="15">
      <c r="A282" s="498" t="s">
        <v>492</v>
      </c>
      <c r="B282" s="497"/>
      <c r="C282" s="497"/>
      <c r="D282" s="497"/>
      <c r="E282" s="497"/>
      <c r="F282" s="497"/>
      <c r="G282" s="497"/>
      <c r="H282" s="497"/>
    </row>
    <row r="283" spans="1:8" ht="15">
      <c r="A283" s="498" t="s">
        <v>493</v>
      </c>
      <c r="B283" s="497"/>
      <c r="C283" s="497"/>
      <c r="D283" s="497"/>
      <c r="E283" s="497"/>
      <c r="F283" s="497"/>
      <c r="G283" s="497"/>
      <c r="H283" s="497"/>
    </row>
    <row r="284" spans="1:8" ht="15">
      <c r="A284" s="498" t="s">
        <v>494</v>
      </c>
      <c r="B284" s="497"/>
      <c r="C284" s="497"/>
      <c r="D284" s="497"/>
      <c r="E284" s="497"/>
      <c r="F284" s="497"/>
      <c r="G284" s="497"/>
      <c r="H284" s="497"/>
    </row>
    <row r="285" spans="1:8" ht="15">
      <c r="A285" s="498" t="s">
        <v>495</v>
      </c>
      <c r="B285" s="497"/>
      <c r="C285" s="497"/>
      <c r="D285" s="497"/>
      <c r="E285" s="497"/>
      <c r="F285" s="497"/>
      <c r="G285" s="497"/>
      <c r="H285" s="497"/>
    </row>
    <row r="286" spans="1:8" ht="15">
      <c r="A286" s="497"/>
      <c r="B286" s="497"/>
      <c r="C286" s="497"/>
      <c r="D286" s="497"/>
      <c r="E286" s="497"/>
      <c r="F286" s="497"/>
      <c r="G286" s="497"/>
      <c r="H286" s="497"/>
    </row>
    <row r="287" spans="1:8" ht="15">
      <c r="A287" s="498" t="s">
        <v>480</v>
      </c>
      <c r="B287" s="497"/>
      <c r="C287" s="497"/>
      <c r="D287" s="497"/>
      <c r="E287" s="497"/>
      <c r="F287" s="497"/>
      <c r="G287" s="497"/>
      <c r="H287" s="497"/>
    </row>
    <row r="288" spans="1:8" ht="15">
      <c r="A288" s="498" t="s">
        <v>481</v>
      </c>
      <c r="B288" s="497"/>
      <c r="C288" s="497"/>
      <c r="D288" s="497"/>
      <c r="E288" s="497"/>
      <c r="F288" s="497"/>
      <c r="G288" s="497"/>
      <c r="H288" s="497"/>
    </row>
    <row r="289" spans="1:8" ht="15">
      <c r="A289" s="498" t="s">
        <v>482</v>
      </c>
      <c r="B289" s="497"/>
      <c r="C289" s="497"/>
      <c r="D289" s="497"/>
      <c r="E289" s="497"/>
      <c r="F289" s="497"/>
      <c r="G289" s="497"/>
      <c r="H289" s="497"/>
    </row>
    <row r="290" spans="1:8" ht="15">
      <c r="A290" s="498" t="s">
        <v>483</v>
      </c>
      <c r="B290" s="497"/>
      <c r="C290" s="497"/>
      <c r="D290" s="497"/>
      <c r="E290" s="497"/>
      <c r="F290" s="497"/>
      <c r="G290" s="497"/>
      <c r="H290" s="497"/>
    </row>
    <row r="291" spans="1:8" ht="15">
      <c r="A291" s="498" t="s">
        <v>484</v>
      </c>
      <c r="B291" s="497"/>
      <c r="C291" s="497"/>
      <c r="D291" s="497"/>
      <c r="E291" s="497"/>
      <c r="F291" s="497"/>
      <c r="G291" s="497"/>
      <c r="H291" s="497"/>
    </row>
    <row r="292" spans="1:8" ht="15">
      <c r="A292" s="498" t="s">
        <v>485</v>
      </c>
      <c r="B292" s="497"/>
      <c r="C292" s="497"/>
      <c r="D292" s="497"/>
      <c r="E292" s="497"/>
      <c r="F292" s="497"/>
      <c r="G292" s="497"/>
      <c r="H292" s="497"/>
    </row>
    <row r="293" spans="1:8" ht="15">
      <c r="A293" s="498" t="s">
        <v>486</v>
      </c>
      <c r="B293" s="497"/>
      <c r="C293" s="497"/>
      <c r="D293" s="497"/>
      <c r="E293" s="497"/>
      <c r="F293" s="497"/>
      <c r="G293" s="497"/>
      <c r="H293" s="497"/>
    </row>
    <row r="294" spans="1:8" ht="15">
      <c r="A294" s="498" t="s">
        <v>487</v>
      </c>
      <c r="B294" s="497"/>
      <c r="C294" s="497"/>
      <c r="D294" s="497"/>
      <c r="E294" s="497"/>
      <c r="F294" s="497"/>
      <c r="G294" s="497"/>
      <c r="H294" s="497"/>
    </row>
    <row r="295" spans="1:8" ht="15">
      <c r="A295" s="498" t="s">
        <v>488</v>
      </c>
      <c r="B295" s="497"/>
      <c r="C295" s="497"/>
      <c r="D295" s="497"/>
      <c r="E295" s="497"/>
      <c r="F295" s="497"/>
      <c r="G295" s="497"/>
      <c r="H295" s="497"/>
    </row>
    <row r="296" spans="1:8" ht="15">
      <c r="A296" s="497"/>
      <c r="B296" s="497"/>
      <c r="C296" s="497"/>
      <c r="D296" s="497"/>
      <c r="E296" s="497"/>
      <c r="F296" s="497"/>
      <c r="G296" s="497"/>
      <c r="H296" s="497"/>
    </row>
    <row r="297" spans="1:8" ht="15">
      <c r="A297" s="498" t="s">
        <v>473</v>
      </c>
      <c r="B297" s="497"/>
      <c r="C297" s="497"/>
      <c r="D297" s="497"/>
      <c r="E297" s="497"/>
      <c r="F297" s="497"/>
      <c r="G297" s="497"/>
      <c r="H297" s="497"/>
    </row>
    <row r="298" spans="1:8" ht="15">
      <c r="A298" s="498" t="s">
        <v>474</v>
      </c>
      <c r="B298" s="497"/>
      <c r="C298" s="497"/>
      <c r="D298" s="497"/>
      <c r="E298" s="497"/>
      <c r="F298" s="497"/>
      <c r="G298" s="497"/>
      <c r="H298" s="497"/>
    </row>
    <row r="299" spans="1:8" ht="15">
      <c r="A299" s="498" t="s">
        <v>475</v>
      </c>
      <c r="B299" s="497"/>
      <c r="C299" s="497"/>
      <c r="D299" s="497"/>
      <c r="E299" s="497"/>
      <c r="F299" s="497"/>
      <c r="G299" s="497"/>
      <c r="H299" s="497"/>
    </row>
    <row r="300" spans="1:8" ht="15">
      <c r="A300" s="498" t="s">
        <v>476</v>
      </c>
      <c r="B300" s="497"/>
      <c r="C300" s="497"/>
      <c r="D300" s="497"/>
      <c r="E300" s="497"/>
      <c r="F300" s="497"/>
      <c r="G300" s="497"/>
      <c r="H300" s="497"/>
    </row>
    <row r="301" spans="1:8" ht="15">
      <c r="A301" s="498" t="s">
        <v>477</v>
      </c>
      <c r="B301" s="497"/>
      <c r="C301" s="497"/>
      <c r="D301" s="497"/>
      <c r="E301" s="497"/>
      <c r="F301" s="497"/>
      <c r="G301" s="497"/>
      <c r="H301" s="497"/>
    </row>
    <row r="302" spans="1:8" ht="15">
      <c r="A302" s="498" t="s">
        <v>478</v>
      </c>
      <c r="B302" s="497"/>
      <c r="C302" s="497"/>
      <c r="D302" s="497"/>
      <c r="E302" s="497"/>
      <c r="F302" s="497"/>
      <c r="G302" s="497"/>
      <c r="H302" s="497"/>
    </row>
    <row r="303" spans="1:8" ht="15">
      <c r="A303" s="498" t="s">
        <v>479</v>
      </c>
      <c r="B303" s="497"/>
      <c r="C303" s="497"/>
      <c r="D303" s="497"/>
      <c r="E303" s="497"/>
      <c r="F303" s="497"/>
      <c r="G303" s="497"/>
      <c r="H303" s="497"/>
    </row>
    <row r="304" spans="1:8" ht="15">
      <c r="A304" s="497"/>
      <c r="B304" s="497"/>
      <c r="C304" s="497"/>
      <c r="D304" s="497"/>
      <c r="E304" s="497"/>
      <c r="F304" s="497"/>
      <c r="G304" s="497"/>
      <c r="H304" s="497"/>
    </row>
    <row r="305" spans="1:8" ht="15">
      <c r="A305" s="498" t="s">
        <v>470</v>
      </c>
      <c r="B305" s="497"/>
      <c r="C305" s="497"/>
      <c r="D305" s="497"/>
      <c r="E305" s="497"/>
      <c r="F305" s="497"/>
      <c r="G305" s="497"/>
      <c r="H305" s="497"/>
    </row>
    <row r="306" spans="1:8" ht="15">
      <c r="A306" s="498" t="s">
        <v>471</v>
      </c>
      <c r="B306" s="497"/>
      <c r="C306" s="497"/>
      <c r="D306" s="497"/>
      <c r="E306" s="497"/>
      <c r="F306" s="497"/>
      <c r="G306" s="497"/>
      <c r="H306" s="497"/>
    </row>
    <row r="307" spans="1:8" ht="15">
      <c r="A307" s="498" t="s">
        <v>472</v>
      </c>
      <c r="B307" s="497"/>
      <c r="C307" s="497"/>
      <c r="D307" s="497"/>
      <c r="E307" s="497"/>
      <c r="F307" s="497"/>
      <c r="G307" s="497"/>
      <c r="H307" s="497"/>
    </row>
    <row r="308" spans="1:8" ht="15">
      <c r="A308" s="497"/>
      <c r="B308" s="497"/>
      <c r="C308" s="497"/>
      <c r="D308" s="497"/>
      <c r="E308" s="497"/>
      <c r="F308" s="497"/>
      <c r="G308" s="497"/>
      <c r="H308" s="497"/>
    </row>
    <row r="309" spans="1:8" ht="15">
      <c r="A309" s="498" t="s">
        <v>468</v>
      </c>
      <c r="B309" s="497"/>
      <c r="C309" s="497"/>
      <c r="D309" s="497"/>
      <c r="E309" s="497"/>
      <c r="F309" s="497"/>
      <c r="G309" s="497"/>
      <c r="H309" s="497"/>
    </row>
    <row r="310" spans="1:8" ht="15">
      <c r="A310" s="498" t="s">
        <v>469</v>
      </c>
      <c r="B310" s="497"/>
      <c r="C310" s="497"/>
      <c r="D310" s="497"/>
      <c r="E310" s="497"/>
      <c r="F310" s="497"/>
      <c r="G310" s="497"/>
      <c r="H310" s="497"/>
    </row>
    <row r="311" spans="1:8" ht="15">
      <c r="A311" s="497"/>
      <c r="B311" s="497"/>
      <c r="C311" s="497"/>
      <c r="D311" s="497"/>
      <c r="E311" s="497"/>
      <c r="F311" s="497"/>
      <c r="G311" s="497"/>
      <c r="H311" s="497"/>
    </row>
    <row r="312" spans="1:8" ht="15">
      <c r="A312" s="498" t="s">
        <v>455</v>
      </c>
      <c r="B312" s="497"/>
      <c r="C312" s="497"/>
      <c r="D312" s="497"/>
      <c r="E312" s="497"/>
      <c r="F312" s="497"/>
      <c r="G312" s="497"/>
      <c r="H312" s="497"/>
    </row>
    <row r="313" spans="1:8" ht="15">
      <c r="A313" s="498" t="s">
        <v>456</v>
      </c>
      <c r="B313" s="497"/>
      <c r="C313" s="497"/>
      <c r="D313" s="497"/>
      <c r="E313" s="497"/>
      <c r="F313" s="497"/>
      <c r="G313" s="497"/>
      <c r="H313" s="497"/>
    </row>
    <row r="314" spans="1:8" ht="15">
      <c r="A314" s="498" t="s">
        <v>457</v>
      </c>
      <c r="B314" s="497"/>
      <c r="C314" s="497"/>
      <c r="D314" s="497"/>
      <c r="E314" s="497"/>
      <c r="F314" s="497"/>
      <c r="G314" s="497"/>
      <c r="H314" s="497"/>
    </row>
    <row r="315" spans="1:8" ht="15">
      <c r="A315" s="498" t="s">
        <v>458</v>
      </c>
      <c r="B315" s="497"/>
      <c r="C315" s="497"/>
      <c r="D315" s="497"/>
      <c r="E315" s="497"/>
      <c r="F315" s="497"/>
      <c r="G315" s="497"/>
      <c r="H315" s="497"/>
    </row>
    <row r="316" spans="1:8" ht="15">
      <c r="A316" s="498" t="s">
        <v>459</v>
      </c>
      <c r="B316" s="497"/>
      <c r="C316" s="497"/>
      <c r="D316" s="497"/>
      <c r="E316" s="497"/>
      <c r="F316" s="497"/>
      <c r="G316" s="497"/>
      <c r="H316" s="497"/>
    </row>
    <row r="317" spans="1:8" ht="15">
      <c r="A317" s="498" t="s">
        <v>460</v>
      </c>
      <c r="B317" s="497"/>
      <c r="C317" s="497"/>
      <c r="D317" s="497"/>
      <c r="E317" s="497"/>
      <c r="F317" s="497"/>
      <c r="G317" s="497"/>
      <c r="H317" s="497"/>
    </row>
    <row r="318" spans="1:8" ht="15">
      <c r="A318" s="498" t="s">
        <v>461</v>
      </c>
      <c r="B318" s="497"/>
      <c r="C318" s="497"/>
      <c r="D318" s="497"/>
      <c r="E318" s="497"/>
      <c r="F318" s="497"/>
      <c r="G318" s="497"/>
      <c r="H318" s="497"/>
    </row>
    <row r="319" spans="1:8" ht="15">
      <c r="A319" s="498" t="s">
        <v>462</v>
      </c>
      <c r="B319" s="497"/>
      <c r="C319" s="497"/>
      <c r="D319" s="497"/>
      <c r="E319" s="497"/>
      <c r="F319" s="497"/>
      <c r="G319" s="497"/>
      <c r="H319" s="497"/>
    </row>
    <row r="320" spans="1:8" ht="15">
      <c r="A320" s="498" t="s">
        <v>463</v>
      </c>
      <c r="B320" s="497"/>
      <c r="C320" s="497"/>
      <c r="D320" s="497"/>
      <c r="E320" s="497"/>
      <c r="F320" s="497"/>
      <c r="G320" s="497"/>
      <c r="H320" s="497"/>
    </row>
    <row r="321" spans="1:8" ht="15">
      <c r="A321" s="498" t="s">
        <v>464</v>
      </c>
      <c r="B321" s="497"/>
      <c r="C321" s="497"/>
      <c r="D321" s="497"/>
      <c r="E321" s="497"/>
      <c r="F321" s="497"/>
      <c r="G321" s="497"/>
      <c r="H321" s="497"/>
    </row>
    <row r="322" spans="1:8" ht="15">
      <c r="A322" s="498" t="s">
        <v>465</v>
      </c>
      <c r="B322" s="497"/>
      <c r="C322" s="497"/>
      <c r="D322" s="497"/>
      <c r="E322" s="497"/>
      <c r="F322" s="497"/>
      <c r="G322" s="497"/>
      <c r="H322" s="497"/>
    </row>
    <row r="323" spans="1:8" ht="15">
      <c r="A323" s="498" t="s">
        <v>466</v>
      </c>
      <c r="B323" s="497"/>
      <c r="C323" s="497"/>
      <c r="D323" s="497"/>
      <c r="E323" s="497"/>
      <c r="F323" s="497"/>
      <c r="G323" s="497"/>
      <c r="H323" s="497"/>
    </row>
    <row r="324" spans="1:8" ht="15">
      <c r="A324" s="498" t="s">
        <v>467</v>
      </c>
      <c r="B324" s="497"/>
      <c r="C324" s="497"/>
      <c r="D324" s="497"/>
      <c r="E324" s="497"/>
      <c r="F324" s="497"/>
      <c r="G324" s="497"/>
      <c r="H324" s="497"/>
    </row>
    <row r="325" spans="1:8" ht="15">
      <c r="A325" s="497"/>
      <c r="B325" s="497"/>
      <c r="C325" s="497"/>
      <c r="D325" s="497"/>
      <c r="E325" s="497"/>
      <c r="F325" s="497"/>
      <c r="G325" s="497"/>
      <c r="H325" s="497"/>
    </row>
    <row r="326" spans="1:8" ht="15">
      <c r="A326" s="498" t="s">
        <v>447</v>
      </c>
      <c r="B326" s="497"/>
      <c r="C326" s="497"/>
      <c r="D326" s="497"/>
      <c r="E326" s="497"/>
      <c r="F326" s="497"/>
      <c r="G326" s="497"/>
      <c r="H326" s="497"/>
    </row>
    <row r="327" spans="1:8" ht="15">
      <c r="A327" s="498" t="s">
        <v>448</v>
      </c>
      <c r="B327" s="497"/>
      <c r="C327" s="497"/>
      <c r="D327" s="497"/>
      <c r="E327" s="497"/>
      <c r="F327" s="497"/>
      <c r="G327" s="497"/>
      <c r="H327" s="497"/>
    </row>
    <row r="328" spans="1:8" ht="15">
      <c r="A328" s="498" t="s">
        <v>449</v>
      </c>
      <c r="B328" s="497"/>
      <c r="C328" s="497"/>
      <c r="D328" s="497"/>
      <c r="E328" s="497"/>
      <c r="F328" s="497"/>
      <c r="G328" s="497"/>
      <c r="H328" s="497"/>
    </row>
    <row r="329" spans="1:8" ht="15">
      <c r="A329" s="498" t="s">
        <v>450</v>
      </c>
      <c r="B329" s="497"/>
      <c r="C329" s="497"/>
      <c r="D329" s="497"/>
      <c r="E329" s="497"/>
      <c r="F329" s="497"/>
      <c r="G329" s="497"/>
      <c r="H329" s="497"/>
    </row>
    <row r="330" spans="1:8" ht="15">
      <c r="A330" s="498" t="s">
        <v>451</v>
      </c>
      <c r="B330" s="497"/>
      <c r="C330" s="497"/>
      <c r="D330" s="497"/>
      <c r="E330" s="497"/>
      <c r="F330" s="497"/>
      <c r="G330" s="497"/>
      <c r="H330" s="497"/>
    </row>
    <row r="331" spans="1:8" ht="15">
      <c r="A331" s="498" t="s">
        <v>452</v>
      </c>
      <c r="B331" s="497"/>
      <c r="C331" s="497"/>
      <c r="D331" s="497"/>
      <c r="E331" s="497"/>
      <c r="F331" s="497"/>
      <c r="G331" s="497"/>
      <c r="H331" s="497"/>
    </row>
    <row r="332" spans="1:8" ht="15">
      <c r="A332" s="498" t="s">
        <v>453</v>
      </c>
      <c r="B332" s="497"/>
      <c r="C332" s="497"/>
      <c r="D332" s="497"/>
      <c r="E332" s="497"/>
      <c r="F332" s="497"/>
      <c r="G332" s="497"/>
      <c r="H332" s="497"/>
    </row>
    <row r="333" spans="1:8" ht="15">
      <c r="A333" s="498" t="s">
        <v>454</v>
      </c>
      <c r="B333" s="497"/>
      <c r="C333" s="497"/>
      <c r="D333" s="497"/>
      <c r="E333" s="497"/>
      <c r="F333" s="497"/>
      <c r="G333" s="497"/>
      <c r="H333" s="497"/>
    </row>
    <row r="334" spans="1:8" ht="15">
      <c r="A334" s="497"/>
      <c r="B334" s="497"/>
      <c r="C334" s="497"/>
      <c r="D334" s="497"/>
      <c r="E334" s="497"/>
      <c r="F334" s="497"/>
      <c r="G334" s="497"/>
      <c r="H334" s="497"/>
    </row>
    <row r="335" spans="1:8" ht="15">
      <c r="A335" s="498" t="s">
        <v>412</v>
      </c>
      <c r="B335" s="497"/>
      <c r="C335" s="497"/>
      <c r="D335" s="497"/>
      <c r="E335" s="497"/>
      <c r="F335" s="497"/>
      <c r="G335" s="497"/>
      <c r="H335" s="497"/>
    </row>
    <row r="336" spans="1:8" ht="15">
      <c r="A336" s="498" t="s">
        <v>413</v>
      </c>
      <c r="B336" s="497"/>
      <c r="C336" s="497"/>
      <c r="D336" s="497"/>
      <c r="E336" s="497"/>
      <c r="F336" s="497"/>
      <c r="G336" s="497"/>
      <c r="H336" s="497"/>
    </row>
    <row r="337" spans="1:8" ht="15">
      <c r="A337" s="498" t="s">
        <v>414</v>
      </c>
      <c r="B337" s="497"/>
      <c r="C337" s="497"/>
      <c r="D337" s="497"/>
      <c r="E337" s="497"/>
      <c r="F337" s="497"/>
      <c r="G337" s="497"/>
      <c r="H337" s="497"/>
    </row>
    <row r="338" spans="1:8" ht="15">
      <c r="A338" s="498" t="s">
        <v>415</v>
      </c>
      <c r="B338" s="497"/>
      <c r="C338" s="497"/>
      <c r="D338" s="497"/>
      <c r="E338" s="497"/>
      <c r="F338" s="497"/>
      <c r="G338" s="497"/>
      <c r="H338" s="497"/>
    </row>
    <row r="339" spans="1:8" ht="15">
      <c r="A339" s="498" t="s">
        <v>416</v>
      </c>
      <c r="B339" s="497"/>
      <c r="C339" s="497"/>
      <c r="D339" s="497"/>
      <c r="E339" s="497"/>
      <c r="F339" s="497"/>
      <c r="G339" s="497"/>
      <c r="H339" s="497"/>
    </row>
    <row r="340" spans="1:8" ht="15">
      <c r="A340" s="498" t="s">
        <v>417</v>
      </c>
      <c r="B340" s="497"/>
      <c r="C340" s="497"/>
      <c r="D340" s="497"/>
      <c r="E340" s="497"/>
      <c r="F340" s="497"/>
      <c r="G340" s="497"/>
      <c r="H340" s="497"/>
    </row>
    <row r="341" spans="1:8" ht="15">
      <c r="A341" s="498" t="s">
        <v>418</v>
      </c>
      <c r="B341" s="497"/>
      <c r="C341" s="497"/>
      <c r="D341" s="497"/>
      <c r="E341" s="497"/>
      <c r="F341" s="497"/>
      <c r="G341" s="497"/>
      <c r="H341" s="497"/>
    </row>
    <row r="342" spans="1:8" ht="15">
      <c r="A342" s="498" t="s">
        <v>419</v>
      </c>
      <c r="B342" s="497"/>
      <c r="C342" s="497"/>
      <c r="D342" s="497"/>
      <c r="E342" s="497"/>
      <c r="F342" s="497"/>
      <c r="G342" s="497"/>
      <c r="H342" s="497"/>
    </row>
    <row r="343" spans="1:8" ht="15">
      <c r="A343" s="498" t="s">
        <v>420</v>
      </c>
      <c r="B343" s="497"/>
      <c r="C343" s="497"/>
      <c r="D343" s="497"/>
      <c r="E343" s="497"/>
      <c r="F343" s="497"/>
      <c r="G343" s="497"/>
      <c r="H343" s="497"/>
    </row>
    <row r="344" spans="1:8" ht="15">
      <c r="A344" s="498" t="s">
        <v>421</v>
      </c>
      <c r="B344" s="497"/>
      <c r="C344" s="497"/>
      <c r="D344" s="497"/>
      <c r="E344" s="497"/>
      <c r="F344" s="497"/>
      <c r="G344" s="497"/>
      <c r="H344" s="497"/>
    </row>
    <row r="345" spans="1:8" ht="15">
      <c r="A345" s="498" t="s">
        <v>422</v>
      </c>
      <c r="B345" s="497"/>
      <c r="C345" s="497"/>
      <c r="D345" s="497"/>
      <c r="E345" s="497"/>
      <c r="F345" s="497"/>
      <c r="G345" s="497"/>
      <c r="H345" s="497"/>
    </row>
    <row r="346" spans="1:8" ht="15">
      <c r="A346" s="498" t="s">
        <v>423</v>
      </c>
      <c r="B346" s="497"/>
      <c r="C346" s="497"/>
      <c r="D346" s="497"/>
      <c r="E346" s="497"/>
      <c r="F346" s="497"/>
      <c r="G346" s="497"/>
      <c r="H346" s="497"/>
    </row>
    <row r="347" spans="1:8" ht="15">
      <c r="A347" s="498" t="s">
        <v>424</v>
      </c>
      <c r="B347" s="497"/>
      <c r="C347" s="497"/>
      <c r="D347" s="497"/>
      <c r="E347" s="497"/>
      <c r="F347" s="497"/>
      <c r="G347" s="497"/>
      <c r="H347" s="497"/>
    </row>
    <row r="348" spans="1:8" ht="15">
      <c r="A348" s="498" t="s">
        <v>425</v>
      </c>
      <c r="B348" s="497"/>
      <c r="C348" s="497"/>
      <c r="D348" s="497"/>
      <c r="E348" s="497"/>
      <c r="F348" s="497"/>
      <c r="G348" s="497"/>
      <c r="H348" s="497"/>
    </row>
    <row r="349" spans="1:8" ht="15">
      <c r="A349" s="498" t="s">
        <v>426</v>
      </c>
      <c r="B349" s="497"/>
      <c r="C349" s="497"/>
      <c r="D349" s="497"/>
      <c r="E349" s="497"/>
      <c r="F349" s="497"/>
      <c r="G349" s="497"/>
      <c r="H349" s="497"/>
    </row>
    <row r="350" spans="1:8" ht="15">
      <c r="A350" s="498" t="s">
        <v>427</v>
      </c>
      <c r="B350" s="497"/>
      <c r="C350" s="497"/>
      <c r="D350" s="497"/>
      <c r="E350" s="497"/>
      <c r="F350" s="497"/>
      <c r="G350" s="497"/>
      <c r="H350" s="497"/>
    </row>
    <row r="351" spans="1:8" ht="15">
      <c r="A351" s="498" t="s">
        <v>428</v>
      </c>
      <c r="B351" s="497"/>
      <c r="C351" s="497"/>
      <c r="D351" s="497"/>
      <c r="E351" s="497"/>
      <c r="F351" s="497"/>
      <c r="G351" s="497"/>
      <c r="H351" s="497"/>
    </row>
    <row r="352" spans="1:8" ht="15">
      <c r="A352" s="498" t="s">
        <v>429</v>
      </c>
      <c r="B352" s="497"/>
      <c r="C352" s="497"/>
      <c r="D352" s="497"/>
      <c r="E352" s="497"/>
      <c r="F352" s="497"/>
      <c r="G352" s="497"/>
      <c r="H352" s="497"/>
    </row>
    <row r="353" spans="1:8" ht="15">
      <c r="A353" s="498" t="s">
        <v>430</v>
      </c>
      <c r="B353" s="497"/>
      <c r="C353" s="497"/>
      <c r="D353" s="497"/>
      <c r="E353" s="497"/>
      <c r="F353" s="497"/>
      <c r="G353" s="497"/>
      <c r="H353" s="497"/>
    </row>
    <row r="354" spans="1:8" ht="15">
      <c r="A354" s="498" t="s">
        <v>431</v>
      </c>
      <c r="B354" s="497"/>
      <c r="C354" s="497"/>
      <c r="D354" s="497"/>
      <c r="E354" s="497"/>
      <c r="F354" s="497"/>
      <c r="G354" s="497"/>
      <c r="H354" s="497"/>
    </row>
    <row r="355" spans="1:8" ht="15">
      <c r="A355" s="498" t="s">
        <v>432</v>
      </c>
      <c r="B355" s="497"/>
      <c r="C355" s="497"/>
      <c r="D355" s="497"/>
      <c r="E355" s="497"/>
      <c r="F355" s="497"/>
      <c r="G355" s="497"/>
      <c r="H355" s="497"/>
    </row>
    <row r="356" spans="1:8" ht="15">
      <c r="A356" s="498" t="s">
        <v>433</v>
      </c>
      <c r="B356" s="497"/>
      <c r="C356" s="497"/>
      <c r="D356" s="497"/>
      <c r="E356" s="497"/>
      <c r="F356" s="497"/>
      <c r="G356" s="497"/>
      <c r="H356" s="497"/>
    </row>
    <row r="357" spans="1:8" ht="15">
      <c r="A357" s="498" t="s">
        <v>434</v>
      </c>
      <c r="B357" s="497"/>
      <c r="C357" s="497"/>
      <c r="D357" s="497"/>
      <c r="E357" s="497"/>
      <c r="F357" s="497"/>
      <c r="G357" s="497"/>
      <c r="H357" s="497"/>
    </row>
    <row r="358" spans="1:8" ht="15">
      <c r="A358" s="498" t="s">
        <v>435</v>
      </c>
      <c r="B358" s="497"/>
      <c r="C358" s="497"/>
      <c r="D358" s="497"/>
      <c r="E358" s="497"/>
      <c r="F358" s="497"/>
      <c r="G358" s="497"/>
      <c r="H358" s="497"/>
    </row>
    <row r="359" spans="1:8" ht="15">
      <c r="A359" s="498" t="s">
        <v>436</v>
      </c>
      <c r="B359" s="497"/>
      <c r="C359" s="497"/>
      <c r="D359" s="497"/>
      <c r="E359" s="497"/>
      <c r="F359" s="497"/>
      <c r="G359" s="497"/>
      <c r="H359" s="497"/>
    </row>
    <row r="360" spans="1:8" ht="15">
      <c r="A360" s="498" t="s">
        <v>437</v>
      </c>
      <c r="B360" s="497"/>
      <c r="C360" s="497"/>
      <c r="D360" s="497"/>
      <c r="E360" s="497"/>
      <c r="F360" s="497"/>
      <c r="G360" s="497"/>
      <c r="H360" s="497"/>
    </row>
    <row r="361" spans="1:8" ht="15">
      <c r="A361" s="498" t="s">
        <v>438</v>
      </c>
      <c r="B361" s="497"/>
      <c r="C361" s="497"/>
      <c r="D361" s="497"/>
      <c r="E361" s="497"/>
      <c r="F361" s="497"/>
      <c r="G361" s="497"/>
      <c r="H361" s="497"/>
    </row>
    <row r="362" spans="1:8" ht="15">
      <c r="A362" s="498" t="s">
        <v>439</v>
      </c>
      <c r="B362" s="497"/>
      <c r="C362" s="497"/>
      <c r="D362" s="497"/>
      <c r="E362" s="497"/>
      <c r="F362" s="497"/>
      <c r="G362" s="497"/>
      <c r="H362" s="497"/>
    </row>
    <row r="363" spans="1:8" ht="15">
      <c r="A363" s="498" t="s">
        <v>440</v>
      </c>
      <c r="B363" s="497"/>
      <c r="C363" s="497"/>
      <c r="D363" s="497"/>
      <c r="E363" s="497"/>
      <c r="F363" s="497"/>
      <c r="G363" s="497"/>
      <c r="H363" s="497"/>
    </row>
    <row r="364" spans="1:8" ht="15">
      <c r="A364" s="498" t="s">
        <v>441</v>
      </c>
      <c r="B364" s="497"/>
      <c r="C364" s="497"/>
      <c r="D364" s="497"/>
      <c r="E364" s="497"/>
      <c r="F364" s="497"/>
      <c r="G364" s="497"/>
      <c r="H364" s="497"/>
    </row>
    <row r="365" spans="1:8" ht="15">
      <c r="A365" s="498" t="s">
        <v>442</v>
      </c>
      <c r="B365" s="497"/>
      <c r="C365" s="497"/>
      <c r="D365" s="497"/>
      <c r="E365" s="497"/>
      <c r="F365" s="497"/>
      <c r="G365" s="497"/>
      <c r="H365" s="497"/>
    </row>
    <row r="366" spans="1:8" ht="15">
      <c r="A366" s="498" t="s">
        <v>443</v>
      </c>
      <c r="B366" s="497"/>
      <c r="C366" s="497"/>
      <c r="D366" s="497"/>
      <c r="E366" s="497"/>
      <c r="F366" s="497"/>
      <c r="G366" s="497"/>
      <c r="H366" s="497"/>
    </row>
    <row r="367" spans="1:8" ht="15">
      <c r="A367" s="498" t="s">
        <v>444</v>
      </c>
      <c r="B367" s="497"/>
      <c r="C367" s="497"/>
      <c r="D367" s="497"/>
      <c r="E367" s="497"/>
      <c r="F367" s="497"/>
      <c r="G367" s="497"/>
      <c r="H367" s="497"/>
    </row>
    <row r="368" spans="1:8" ht="15">
      <c r="A368" s="498" t="s">
        <v>445</v>
      </c>
      <c r="B368" s="497"/>
      <c r="C368" s="497"/>
      <c r="D368" s="497"/>
      <c r="E368" s="497"/>
      <c r="F368" s="497"/>
      <c r="G368" s="497"/>
      <c r="H368" s="497"/>
    </row>
    <row r="369" spans="1:8" ht="15">
      <c r="A369" s="498" t="s">
        <v>446</v>
      </c>
      <c r="B369" s="497"/>
      <c r="C369" s="497"/>
      <c r="D369" s="497"/>
      <c r="E369" s="497"/>
      <c r="F369" s="497"/>
      <c r="G369" s="497"/>
      <c r="H369" s="497"/>
    </row>
    <row r="370" spans="1:8" ht="15">
      <c r="A370" s="497"/>
      <c r="B370" s="497"/>
      <c r="C370" s="497"/>
      <c r="D370" s="497"/>
      <c r="E370" s="497"/>
      <c r="F370" s="497"/>
      <c r="G370" s="497"/>
      <c r="H370" s="497"/>
    </row>
    <row r="371" spans="1:8" ht="15">
      <c r="A371" s="498" t="s">
        <v>404</v>
      </c>
      <c r="B371" s="497"/>
      <c r="C371" s="497"/>
      <c r="D371" s="497"/>
      <c r="E371" s="497"/>
      <c r="F371" s="497"/>
      <c r="G371" s="497"/>
      <c r="H371" s="497"/>
    </row>
    <row r="372" spans="1:8" ht="15">
      <c r="A372" s="498" t="s">
        <v>408</v>
      </c>
      <c r="B372" s="497"/>
      <c r="C372" s="497"/>
      <c r="D372" s="497"/>
      <c r="E372" s="497"/>
      <c r="F372" s="497"/>
      <c r="G372" s="497"/>
      <c r="H372" s="497"/>
    </row>
    <row r="373" spans="1:8" ht="15">
      <c r="A373" s="498" t="s">
        <v>409</v>
      </c>
      <c r="B373" s="497"/>
      <c r="C373" s="497"/>
      <c r="D373" s="497"/>
      <c r="E373" s="497"/>
      <c r="F373" s="497"/>
      <c r="G373" s="497"/>
      <c r="H373" s="497"/>
    </row>
    <row r="374" spans="1:8" ht="15">
      <c r="A374" s="498" t="s">
        <v>410</v>
      </c>
      <c r="B374" s="497"/>
      <c r="C374" s="497"/>
      <c r="D374" s="497"/>
      <c r="E374" s="497"/>
      <c r="F374" s="497"/>
      <c r="G374" s="497"/>
      <c r="H374" s="497"/>
    </row>
    <row r="375" spans="1:8" ht="15">
      <c r="A375" s="498" t="s">
        <v>411</v>
      </c>
      <c r="B375" s="497"/>
      <c r="C375" s="497"/>
      <c r="D375" s="497"/>
      <c r="E375" s="497"/>
      <c r="F375" s="497"/>
      <c r="G375" s="497"/>
      <c r="H375" s="497"/>
    </row>
    <row r="376" spans="1:8" ht="15">
      <c r="A376" s="497"/>
      <c r="B376" s="497"/>
      <c r="C376" s="497"/>
      <c r="D376" s="497"/>
      <c r="E376" s="497"/>
      <c r="F376" s="497"/>
      <c r="G376" s="497"/>
      <c r="H376" s="497"/>
    </row>
    <row r="377" spans="1:8" ht="15">
      <c r="A377" s="498" t="s">
        <v>404</v>
      </c>
      <c r="B377" s="497"/>
      <c r="C377" s="497"/>
      <c r="D377" s="497"/>
      <c r="E377" s="497"/>
      <c r="F377" s="497"/>
      <c r="G377" s="497"/>
      <c r="H377" s="497"/>
    </row>
    <row r="378" spans="1:8" ht="15">
      <c r="A378" s="498" t="s">
        <v>405</v>
      </c>
      <c r="B378" s="497"/>
      <c r="C378" s="497"/>
      <c r="D378" s="497"/>
      <c r="E378" s="497"/>
      <c r="F378" s="497"/>
      <c r="G378" s="497"/>
      <c r="H378" s="497"/>
    </row>
    <row r="379" spans="1:8" ht="15">
      <c r="A379" s="498" t="s">
        <v>406</v>
      </c>
      <c r="B379" s="497"/>
      <c r="C379" s="497"/>
      <c r="D379" s="497"/>
      <c r="E379" s="497"/>
      <c r="F379" s="497"/>
      <c r="G379" s="497"/>
      <c r="H379" s="497"/>
    </row>
    <row r="380" spans="1:8" ht="15">
      <c r="A380" s="498" t="s">
        <v>407</v>
      </c>
      <c r="B380" s="497"/>
      <c r="C380" s="497"/>
      <c r="D380" s="497"/>
      <c r="E380" s="497"/>
      <c r="F380" s="497"/>
      <c r="G380" s="497"/>
      <c r="H380" s="497"/>
    </row>
    <row r="381" spans="1:8" ht="15">
      <c r="A381" s="497"/>
      <c r="B381" s="497"/>
      <c r="C381" s="497"/>
      <c r="D381" s="497"/>
      <c r="E381" s="497"/>
      <c r="F381" s="497"/>
      <c r="G381" s="497"/>
      <c r="H381" s="497"/>
    </row>
    <row r="382" spans="1:8" ht="15">
      <c r="A382" s="498" t="s">
        <v>398</v>
      </c>
      <c r="B382" s="497"/>
      <c r="C382" s="497"/>
      <c r="D382" s="497"/>
      <c r="E382" s="497"/>
      <c r="F382" s="497"/>
      <c r="G382" s="497"/>
      <c r="H382" s="497"/>
    </row>
    <row r="383" spans="1:8" ht="15">
      <c r="A383" s="498" t="s">
        <v>399</v>
      </c>
      <c r="B383" s="497"/>
      <c r="C383" s="497"/>
      <c r="D383" s="497"/>
      <c r="E383" s="497"/>
      <c r="F383" s="497"/>
      <c r="G383" s="497"/>
      <c r="H383" s="497"/>
    </row>
    <row r="384" spans="1:8" ht="15">
      <c r="A384" s="498" t="s">
        <v>400</v>
      </c>
      <c r="B384" s="497"/>
      <c r="C384" s="497"/>
      <c r="D384" s="497"/>
      <c r="E384" s="497"/>
      <c r="F384" s="497"/>
      <c r="G384" s="497"/>
      <c r="H384" s="497"/>
    </row>
    <row r="385" spans="1:8" ht="15">
      <c r="A385" s="498" t="s">
        <v>401</v>
      </c>
      <c r="B385" s="497"/>
      <c r="C385" s="497"/>
      <c r="D385" s="497"/>
      <c r="E385" s="497"/>
      <c r="F385" s="497"/>
      <c r="G385" s="497"/>
      <c r="H385" s="497"/>
    </row>
    <row r="386" spans="1:8" ht="15">
      <c r="A386" s="498" t="s">
        <v>402</v>
      </c>
      <c r="B386" s="497"/>
      <c r="C386" s="497"/>
      <c r="D386" s="497"/>
      <c r="E386" s="497"/>
      <c r="F386" s="497"/>
      <c r="G386" s="497"/>
      <c r="H386" s="497"/>
    </row>
    <row r="387" spans="1:8" ht="15">
      <c r="A387" s="498" t="s">
        <v>403</v>
      </c>
      <c r="B387" s="497"/>
      <c r="C387" s="497"/>
      <c r="D387" s="497"/>
      <c r="E387" s="497"/>
      <c r="F387" s="497"/>
      <c r="G387" s="497"/>
      <c r="H387" s="497"/>
    </row>
    <row r="388" spans="1:8" ht="15">
      <c r="A388" s="497"/>
      <c r="B388" s="497"/>
      <c r="C388" s="497"/>
      <c r="D388" s="497"/>
      <c r="E388" s="497"/>
      <c r="F388" s="497"/>
      <c r="G388" s="497"/>
      <c r="H388" s="497"/>
    </row>
    <row r="389" spans="1:8" ht="15">
      <c r="A389" s="498" t="s">
        <v>393</v>
      </c>
      <c r="B389" s="497"/>
      <c r="C389" s="497"/>
      <c r="D389" s="497"/>
      <c r="E389" s="497"/>
      <c r="F389" s="497"/>
      <c r="G389" s="497"/>
      <c r="H389" s="497"/>
    </row>
    <row r="390" spans="1:8" ht="15">
      <c r="A390" s="498" t="s">
        <v>394</v>
      </c>
      <c r="B390" s="497"/>
      <c r="C390" s="497"/>
      <c r="D390" s="497"/>
      <c r="E390" s="497"/>
      <c r="F390" s="497"/>
      <c r="G390" s="497"/>
      <c r="H390" s="497"/>
    </row>
    <row r="391" spans="1:8" ht="15">
      <c r="A391" s="498" t="s">
        <v>395</v>
      </c>
      <c r="B391" s="497"/>
      <c r="C391" s="497"/>
      <c r="D391" s="497"/>
      <c r="E391" s="497"/>
      <c r="F391" s="497"/>
      <c r="G391" s="497"/>
      <c r="H391" s="497"/>
    </row>
    <row r="392" spans="1:8" ht="15">
      <c r="A392" s="498" t="s">
        <v>396</v>
      </c>
      <c r="B392" s="497"/>
      <c r="C392" s="497"/>
      <c r="D392" s="497"/>
      <c r="E392" s="497"/>
      <c r="F392" s="497"/>
      <c r="G392" s="497"/>
      <c r="H392" s="497"/>
    </row>
    <row r="393" spans="1:8" ht="15">
      <c r="A393" s="498" t="s">
        <v>397</v>
      </c>
      <c r="B393" s="497"/>
      <c r="C393" s="497"/>
      <c r="D393" s="497"/>
      <c r="E393" s="497"/>
      <c r="F393" s="497"/>
      <c r="G393" s="497"/>
      <c r="H393" s="497"/>
    </row>
    <row r="394" spans="1:8" ht="15">
      <c r="A394" s="497"/>
      <c r="B394" s="497"/>
      <c r="C394" s="497"/>
      <c r="D394" s="497"/>
      <c r="E394" s="497"/>
      <c r="F394" s="497"/>
      <c r="G394" s="497"/>
      <c r="H394" s="497"/>
    </row>
    <row r="395" spans="1:8" ht="15">
      <c r="A395" s="498" t="s">
        <v>391</v>
      </c>
      <c r="B395" s="497"/>
      <c r="C395" s="497"/>
      <c r="D395" s="497"/>
      <c r="E395" s="497"/>
      <c r="F395" s="497"/>
      <c r="G395" s="497"/>
      <c r="H395" s="497"/>
    </row>
    <row r="396" spans="1:8" ht="15">
      <c r="A396" s="498" t="s">
        <v>392</v>
      </c>
      <c r="B396" s="497"/>
      <c r="C396" s="497"/>
      <c r="D396" s="497"/>
      <c r="E396" s="497"/>
      <c r="F396" s="497"/>
      <c r="G396" s="497"/>
      <c r="H396" s="497"/>
    </row>
    <row r="398" spans="1:8">
      <c r="A398" s="493" t="s">
        <v>653</v>
      </c>
    </row>
  </sheetData>
  <mergeCells count="12">
    <mergeCell ref="A136:H136"/>
    <mergeCell ref="A137:H137"/>
    <mergeCell ref="B129:C129"/>
    <mergeCell ref="D129:F129"/>
    <mergeCell ref="G129:H129"/>
    <mergeCell ref="A115:H115"/>
    <mergeCell ref="A116:H116"/>
    <mergeCell ref="A117:H117"/>
    <mergeCell ref="A118:H118"/>
    <mergeCell ref="A120:H120"/>
    <mergeCell ref="A121:H121"/>
    <mergeCell ref="A128:H128"/>
  </mergeCells>
  <pageMargins left="0.5" right="0.5" top="0.5" bottom="0.5" header="0.5" footer="0.5"/>
  <pageSetup orientation="portrait" horizontalDpi="300" verticalDpi="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N282"/>
  <sheetViews>
    <sheetView showGridLines="0" workbookViewId="0">
      <pane xSplit="2" ySplit="13" topLeftCell="C19" activePane="bottomRight" state="frozen"/>
      <selection pane="topRight" activeCell="D1" sqref="D1"/>
      <selection pane="bottomLeft" activeCell="A16" sqref="A16"/>
      <selection pane="bottomRight" activeCell="W21" sqref="W21"/>
    </sheetView>
  </sheetViews>
  <sheetFormatPr defaultRowHeight="15" outlineLevelRow="1" outlineLevelCol="1"/>
  <cols>
    <col min="1" max="1" width="0.5703125" style="24" customWidth="1"/>
    <col min="2" max="2" width="39.7109375" style="24" customWidth="1"/>
    <col min="3" max="3" width="9.140625" style="24"/>
    <col min="4" max="4" width="9.140625" style="24" hidden="1" customWidth="1" outlineLevel="1"/>
    <col min="5" max="5" width="9.140625" style="24" collapsed="1"/>
    <col min="6" max="6" width="9.140625" style="24" hidden="1" customWidth="1" outlineLevel="1"/>
    <col min="7" max="7" width="9.140625" style="24" collapsed="1"/>
    <col min="8" max="8" width="9.140625" style="24" hidden="1" customWidth="1" outlineLevel="1"/>
    <col min="9" max="9" width="9.140625" style="24" collapsed="1"/>
    <col min="10" max="10" width="9.140625" style="24" hidden="1" customWidth="1" outlineLevel="1"/>
    <col min="11" max="11" width="9.140625" style="24" collapsed="1"/>
    <col min="12" max="12" width="9.140625" style="24" hidden="1" customWidth="1" outlineLevel="1"/>
    <col min="13" max="13" width="9.140625" style="24" collapsed="1"/>
    <col min="14" max="14" width="9.140625" style="24" hidden="1" customWidth="1" outlineLevel="1"/>
    <col min="15" max="15" width="9.140625" style="24" collapsed="1"/>
    <col min="16" max="16" width="9.140625" style="24" hidden="1" customWidth="1" outlineLevel="1"/>
    <col min="17" max="17" width="9.140625" style="24" collapsed="1"/>
    <col min="18" max="18" width="9.140625" style="24" hidden="1" customWidth="1" outlineLevel="1"/>
    <col min="19" max="19" width="9.140625" style="24" collapsed="1"/>
    <col min="20" max="20" width="9.140625" style="24" hidden="1" customWidth="1" outlineLevel="1"/>
    <col min="21" max="21" width="9.140625" style="24" collapsed="1"/>
    <col min="22" max="22" width="9.140625" style="24" hidden="1" customWidth="1" outlineLevel="1"/>
    <col min="23" max="23" width="9.140625" style="24" collapsed="1"/>
    <col min="24" max="24" width="9.140625" style="24" hidden="1" customWidth="1" outlineLevel="1"/>
    <col min="25" max="25" width="9.140625" style="24" collapsed="1"/>
    <col min="26" max="26" width="9.140625" style="24" hidden="1" customWidth="1" outlineLevel="1"/>
    <col min="27" max="27" width="0.85546875" style="28" customWidth="1" collapsed="1"/>
    <col min="28" max="28" width="0.5703125" style="187" customWidth="1"/>
    <col min="29" max="29" width="2" style="24" customWidth="1"/>
    <col min="30" max="30" width="9.140625" style="24"/>
    <col min="31" max="31" width="9.140625" style="24" hidden="1" customWidth="1" outlineLevel="1"/>
    <col min="32" max="32" width="9.140625" style="24" collapsed="1"/>
    <col min="33" max="33" width="9.140625" style="24" hidden="1" customWidth="1" outlineLevel="1"/>
    <col min="34" max="34" width="9.140625" style="24" customWidth="1" collapsed="1"/>
    <col min="35" max="35" width="9.140625" style="24" hidden="1" customWidth="1" outlineLevel="1"/>
    <col min="36" max="36" width="9.140625" style="24" collapsed="1"/>
    <col min="37" max="37" width="9.140625" style="24" hidden="1" customWidth="1" outlineLevel="1"/>
    <col min="38" max="38" width="9.140625" style="24" customWidth="1" collapsed="1"/>
    <col min="39" max="39" width="9.140625" style="24" hidden="1" customWidth="1" outlineLevel="1"/>
    <col min="40" max="40" width="9.140625" style="24" customWidth="1" collapsed="1"/>
    <col min="41" max="41" width="9.140625" style="24" hidden="1" customWidth="1" outlineLevel="1"/>
    <col min="42" max="42" width="9.140625" style="24" collapsed="1"/>
    <col min="43" max="43" width="9.140625" style="24" hidden="1" customWidth="1" outlineLevel="1"/>
    <col min="44" max="44" width="9.140625" style="24" collapsed="1"/>
    <col min="45" max="45" width="9.140625" style="24" hidden="1" customWidth="1" outlineLevel="1"/>
    <col min="46" max="46" width="9.140625" style="24" collapsed="1"/>
    <col min="47" max="47" width="9.140625" style="24" hidden="1" customWidth="1" outlineLevel="1"/>
    <col min="48" max="48" width="9.140625" style="24" collapsed="1"/>
    <col min="49" max="49" width="9.140625" style="24" hidden="1" customWidth="1" outlineLevel="1"/>
    <col min="50" max="50" width="9.140625" style="24" collapsed="1"/>
    <col min="51" max="51" width="9.140625" style="30"/>
    <col min="52" max="52" width="9.140625" style="24"/>
    <col min="53" max="58" width="9.140625" hidden="1" customWidth="1" outlineLevel="1"/>
    <col min="59" max="59" width="9.140625" style="24" collapsed="1"/>
    <col min="60" max="16384" width="9.140625" style="24"/>
  </cols>
  <sheetData>
    <row r="1" spans="1:66" s="434" customFormat="1" ht="12.75" customHeight="1">
      <c r="A1" s="1"/>
      <c r="B1" s="2"/>
      <c r="C1" s="4"/>
      <c r="D1" s="3"/>
      <c r="E1" s="4"/>
      <c r="F1" s="3"/>
      <c r="G1" s="4"/>
      <c r="H1" s="4"/>
      <c r="I1" s="4"/>
      <c r="J1" s="3"/>
      <c r="K1" s="4"/>
      <c r="L1" s="3"/>
      <c r="M1" s="4"/>
      <c r="N1" s="3"/>
      <c r="O1" s="386"/>
      <c r="P1" s="3"/>
      <c r="Q1" s="386"/>
      <c r="R1" s="3"/>
      <c r="S1" s="386"/>
      <c r="T1" s="3">
        <v>8.8969675809780888</v>
      </c>
      <c r="U1" s="386"/>
      <c r="V1" s="3">
        <v>8.1433062091316177</v>
      </c>
      <c r="W1" s="386"/>
      <c r="X1" s="3">
        <v>6.5696862895096242</v>
      </c>
      <c r="Y1" s="386"/>
      <c r="Z1" s="3"/>
      <c r="AA1" s="5"/>
      <c r="AB1" s="176"/>
      <c r="AC1" s="6"/>
      <c r="AD1" s="4"/>
      <c r="AE1" s="3"/>
      <c r="AF1" s="4"/>
      <c r="AG1" s="3"/>
      <c r="AH1" s="4"/>
      <c r="AI1" s="3"/>
      <c r="AJ1" s="4"/>
      <c r="AK1" s="3"/>
      <c r="AL1" s="386"/>
      <c r="AM1" s="3"/>
      <c r="AN1" s="386"/>
      <c r="AO1" s="3">
        <v>-6.3300563791682247</v>
      </c>
      <c r="AP1" s="386"/>
      <c r="AQ1" s="3">
        <v>14.091266643193467</v>
      </c>
      <c r="AR1" s="386"/>
      <c r="AS1" s="3">
        <v>14.938180976156911</v>
      </c>
      <c r="AT1" s="386"/>
      <c r="AU1" s="3">
        <v>8.6335459099204712</v>
      </c>
      <c r="AV1" s="386"/>
      <c r="AW1" s="3"/>
      <c r="AX1" s="7"/>
      <c r="AY1" s="8"/>
      <c r="AZ1" s="1"/>
      <c r="BA1"/>
      <c r="BB1"/>
      <c r="BC1"/>
      <c r="BD1"/>
      <c r="BE1"/>
      <c r="BF1"/>
      <c r="BG1" s="369" t="s">
        <v>0</v>
      </c>
      <c r="BH1" s="363" t="s">
        <v>1</v>
      </c>
      <c r="BI1" s="363" t="s">
        <v>2</v>
      </c>
      <c r="BJ1" s="363" t="s">
        <v>3</v>
      </c>
      <c r="BK1" s="363" t="s">
        <v>4</v>
      </c>
      <c r="BL1" s="363" t="s">
        <v>5</v>
      </c>
      <c r="BM1" s="1"/>
      <c r="BN1" s="24"/>
    </row>
    <row r="2" spans="1:66" customFormat="1" ht="12.75" hidden="1" customHeight="1" outlineLevel="1"/>
    <row r="3" spans="1:66" s="434" customFormat="1" ht="12.75" hidden="1" customHeight="1" outlineLevel="1">
      <c r="A3" s="363"/>
      <c r="B3" s="364"/>
      <c r="C3" s="365" t="s">
        <v>6</v>
      </c>
      <c r="D3" s="366"/>
      <c r="E3" s="365" t="s">
        <v>7</v>
      </c>
      <c r="F3" s="366"/>
      <c r="G3" s="365" t="s">
        <v>8</v>
      </c>
      <c r="H3" s="366"/>
      <c r="I3" s="365" t="s">
        <v>9</v>
      </c>
      <c r="J3" s="366"/>
      <c r="K3" s="365" t="s">
        <v>10</v>
      </c>
      <c r="L3" s="366"/>
      <c r="M3" s="365" t="s">
        <v>11</v>
      </c>
      <c r="N3" s="366"/>
      <c r="O3" s="365" t="s">
        <v>12</v>
      </c>
      <c r="P3" s="366"/>
      <c r="Q3" s="365" t="s">
        <v>13</v>
      </c>
      <c r="R3" s="366"/>
      <c r="S3" s="365" t="s">
        <v>324</v>
      </c>
      <c r="T3" s="366"/>
      <c r="U3" s="365" t="s">
        <v>325</v>
      </c>
      <c r="V3" s="366"/>
      <c r="W3" s="365" t="s">
        <v>326</v>
      </c>
      <c r="X3" s="366"/>
      <c r="Y3" s="365" t="s">
        <v>327</v>
      </c>
      <c r="Z3" s="366"/>
      <c r="AA3" s="363"/>
      <c r="AB3" s="363"/>
      <c r="AC3" s="363"/>
      <c r="AD3" s="365" t="s">
        <v>14</v>
      </c>
      <c r="AE3" s="367"/>
      <c r="AF3" s="365" t="s">
        <v>15</v>
      </c>
      <c r="AG3" s="367"/>
      <c r="AH3" s="365" t="s">
        <v>16</v>
      </c>
      <c r="AI3" s="367"/>
      <c r="AJ3" s="365" t="s">
        <v>17</v>
      </c>
      <c r="AK3" s="367"/>
      <c r="AL3" s="365" t="s">
        <v>18</v>
      </c>
      <c r="AM3" s="367"/>
      <c r="AN3" s="365" t="s">
        <v>19</v>
      </c>
      <c r="AO3" s="367"/>
      <c r="AP3" s="365" t="s">
        <v>20</v>
      </c>
      <c r="AQ3" s="367"/>
      <c r="AR3" s="365" t="s">
        <v>21</v>
      </c>
      <c r="AS3" s="367"/>
      <c r="AT3" s="365" t="s">
        <v>22</v>
      </c>
      <c r="AU3" s="367"/>
      <c r="AV3" s="365" t="s">
        <v>332</v>
      </c>
      <c r="AW3" s="367"/>
      <c r="AX3" s="367"/>
      <c r="AY3" s="368"/>
      <c r="AZ3" s="363"/>
      <c r="BA3"/>
      <c r="BB3"/>
      <c r="BC3"/>
      <c r="BD3"/>
      <c r="BE3"/>
      <c r="BF3"/>
      <c r="BG3" s="369"/>
      <c r="BH3" s="363"/>
      <c r="BI3" s="363"/>
      <c r="BJ3" s="363"/>
      <c r="BK3" s="363"/>
      <c r="BL3" s="363"/>
      <c r="BM3" s="363"/>
      <c r="BN3" s="24"/>
    </row>
    <row r="4" spans="1:66" s="434" customFormat="1" ht="12.75" customHeight="1" collapsed="1">
      <c r="A4" s="10"/>
      <c r="B4" s="490" t="s">
        <v>124</v>
      </c>
      <c r="C4" s="13"/>
      <c r="D4" s="12"/>
      <c r="E4" s="13"/>
      <c r="F4" s="12"/>
      <c r="G4" s="13"/>
      <c r="H4" s="15"/>
      <c r="I4" s="13"/>
      <c r="J4" s="16" t="str">
        <f>I6&amp;"/"</f>
        <v>4Q16/</v>
      </c>
      <c r="K4" s="13"/>
      <c r="L4" s="16" t="str">
        <f>K6&amp;"/"</f>
        <v>1Q17/</v>
      </c>
      <c r="M4" s="13"/>
      <c r="N4" s="16" t="str">
        <f>M6&amp;"/"</f>
        <v>2Q17/</v>
      </c>
      <c r="O4" s="14"/>
      <c r="P4" s="16" t="str">
        <f>O6&amp;"/"</f>
        <v>3Q17/</v>
      </c>
      <c r="Q4" s="14"/>
      <c r="R4" s="16" t="str">
        <f>Q6&amp;"/"</f>
        <v>4Q17/</v>
      </c>
      <c r="S4" s="14"/>
      <c r="T4" s="16" t="str">
        <f>S6&amp;"/"</f>
        <v>1Q18E/</v>
      </c>
      <c r="U4" s="14"/>
      <c r="V4" s="16" t="str">
        <f>U6&amp;"/"</f>
        <v>2Q18E/</v>
      </c>
      <c r="W4" s="14"/>
      <c r="X4" s="16" t="str">
        <f>W6&amp;"/"</f>
        <v>3Q18E/</v>
      </c>
      <c r="Y4" s="14"/>
      <c r="Z4" s="16" t="str">
        <f>Y6&amp;"/"</f>
        <v>4Q18E/</v>
      </c>
      <c r="AA4" s="17"/>
      <c r="AB4" s="177"/>
      <c r="AC4" s="18"/>
      <c r="AD4" s="20"/>
      <c r="AE4" s="19" t="str">
        <f>AD6&amp;"/"</f>
        <v>2013/</v>
      </c>
      <c r="AF4" s="21"/>
      <c r="AG4" s="19" t="str">
        <f>AF6&amp;"/"</f>
        <v>2014/</v>
      </c>
      <c r="AH4" s="14"/>
      <c r="AI4" s="19" t="str">
        <f>AH6&amp;"/"</f>
        <v>2015/</v>
      </c>
      <c r="AJ4" s="14"/>
      <c r="AK4" s="16" t="str">
        <f>AJ6&amp;"/"</f>
        <v>2016/</v>
      </c>
      <c r="AL4" s="14"/>
      <c r="AM4" s="16" t="str">
        <f>AL6&amp;"/"</f>
        <v>2017/</v>
      </c>
      <c r="AN4" s="14"/>
      <c r="AO4" s="16" t="str">
        <f>AN6&amp;"/"</f>
        <v>2018E/</v>
      </c>
      <c r="AP4" s="21"/>
      <c r="AQ4" s="16" t="str">
        <f>AP6&amp;"/"</f>
        <v>2019E/</v>
      </c>
      <c r="AR4" s="21"/>
      <c r="AS4" s="16" t="str">
        <f>AR6&amp;"/"</f>
        <v>2020E/</v>
      </c>
      <c r="AT4" s="11"/>
      <c r="AU4" s="19" t="str">
        <f>AT6&amp;"/"</f>
        <v>2021E/</v>
      </c>
      <c r="AV4" s="11"/>
      <c r="AW4" s="19" t="str">
        <f>AV6&amp;"/"</f>
        <v>2022E/</v>
      </c>
      <c r="AX4" s="22" t="s">
        <v>23</v>
      </c>
      <c r="AY4" s="23"/>
      <c r="AZ4" s="10"/>
      <c r="BA4"/>
      <c r="BB4"/>
      <c r="BC4"/>
      <c r="BD4"/>
      <c r="BE4"/>
      <c r="BF4"/>
      <c r="BG4" s="9"/>
      <c r="BH4" s="10"/>
      <c r="BI4" s="10"/>
      <c r="BJ4" s="10"/>
      <c r="BK4" s="10"/>
      <c r="BL4" s="10"/>
      <c r="BM4" s="10"/>
      <c r="BN4" s="24"/>
    </row>
    <row r="5" spans="1:66" s="439" customFormat="1" ht="12.75" customHeight="1">
      <c r="A5" s="24"/>
      <c r="B5" s="490"/>
      <c r="C5" s="27"/>
      <c r="D5" s="25"/>
      <c r="E5" s="27"/>
      <c r="F5" s="25"/>
      <c r="G5" s="27"/>
      <c r="H5" s="25"/>
      <c r="I5" s="27"/>
      <c r="J5" s="25"/>
      <c r="K5" s="27"/>
      <c r="L5" s="25" t="str">
        <f>C6</f>
        <v>1Q16</v>
      </c>
      <c r="M5" s="27"/>
      <c r="N5" s="25" t="str">
        <f>E6</f>
        <v>2Q16</v>
      </c>
      <c r="O5" s="27"/>
      <c r="P5" s="25" t="str">
        <f>G6</f>
        <v>3Q16</v>
      </c>
      <c r="Q5" s="27"/>
      <c r="R5" s="25" t="str">
        <f>I6</f>
        <v>4Q16</v>
      </c>
      <c r="S5" s="27"/>
      <c r="T5" s="25" t="str">
        <f>K6</f>
        <v>1Q17</v>
      </c>
      <c r="U5" s="27"/>
      <c r="V5" s="25" t="str">
        <f>M6</f>
        <v>2Q17</v>
      </c>
      <c r="W5" s="27"/>
      <c r="X5" s="25" t="str">
        <f>O6</f>
        <v>3Q17</v>
      </c>
      <c r="Y5" s="27"/>
      <c r="Z5" s="25" t="str">
        <f>Q6</f>
        <v>4Q17</v>
      </c>
      <c r="AA5" s="28"/>
      <c r="AB5" s="178"/>
      <c r="AC5" s="29"/>
      <c r="AD5" s="26"/>
      <c r="AE5" s="25"/>
      <c r="AF5" s="27"/>
      <c r="AG5" s="25" t="str">
        <f>+AD6</f>
        <v>2013</v>
      </c>
      <c r="AH5" s="27"/>
      <c r="AI5" s="25" t="str">
        <f>+AF6</f>
        <v>2014</v>
      </c>
      <c r="AJ5" s="27"/>
      <c r="AK5" s="25" t="str">
        <f>+AH6</f>
        <v>2015</v>
      </c>
      <c r="AL5" s="27"/>
      <c r="AM5" s="25" t="str">
        <f>+AJ6</f>
        <v>2016</v>
      </c>
      <c r="AN5" s="27"/>
      <c r="AO5" s="25" t="str">
        <f>+AL6</f>
        <v>2017</v>
      </c>
      <c r="AP5" s="446"/>
      <c r="AQ5" s="25" t="str">
        <f>+AN6</f>
        <v>2018E</v>
      </c>
      <c r="AR5" s="446"/>
      <c r="AS5" s="25" t="str">
        <f>+AP6</f>
        <v>2019E</v>
      </c>
      <c r="AT5" s="27"/>
      <c r="AU5" s="25" t="str">
        <f>+AR6</f>
        <v>2020E</v>
      </c>
      <c r="AV5" s="27"/>
      <c r="AW5" s="25" t="str">
        <f>+AT6</f>
        <v>2021E</v>
      </c>
      <c r="AX5" s="22" t="s">
        <v>24</v>
      </c>
      <c r="AY5" s="30"/>
      <c r="AZ5" s="24"/>
      <c r="BA5"/>
      <c r="BB5"/>
      <c r="BC5"/>
      <c r="BD5"/>
      <c r="BE5"/>
      <c r="BF5"/>
      <c r="BG5" s="31"/>
      <c r="BH5" s="24"/>
      <c r="BI5" s="24"/>
      <c r="BJ5" s="24"/>
      <c r="BK5" s="24"/>
      <c r="BL5" s="24"/>
      <c r="BM5" s="24"/>
      <c r="BN5" s="24"/>
    </row>
    <row r="6" spans="1:66" s="442" customFormat="1" ht="12.75" customHeight="1">
      <c r="A6" s="32"/>
      <c r="B6" s="201">
        <v>1</v>
      </c>
      <c r="C6" s="33" t="s">
        <v>6</v>
      </c>
      <c r="D6" s="34" t="s">
        <v>25</v>
      </c>
      <c r="E6" s="33" t="s">
        <v>7</v>
      </c>
      <c r="F6" s="34" t="s">
        <v>25</v>
      </c>
      <c r="G6" s="33" t="s">
        <v>8</v>
      </c>
      <c r="H6" s="34" t="s">
        <v>25</v>
      </c>
      <c r="I6" s="33" t="s">
        <v>9</v>
      </c>
      <c r="J6" s="34" t="s">
        <v>25</v>
      </c>
      <c r="K6" s="33" t="s">
        <v>10</v>
      </c>
      <c r="L6" s="34" t="s">
        <v>25</v>
      </c>
      <c r="M6" s="33" t="s">
        <v>11</v>
      </c>
      <c r="N6" s="34" t="s">
        <v>25</v>
      </c>
      <c r="O6" s="33" t="s">
        <v>12</v>
      </c>
      <c r="P6" s="34" t="s">
        <v>25</v>
      </c>
      <c r="Q6" s="33" t="s">
        <v>13</v>
      </c>
      <c r="R6" s="34" t="s">
        <v>25</v>
      </c>
      <c r="S6" s="33" t="s">
        <v>328</v>
      </c>
      <c r="T6" s="34" t="s">
        <v>25</v>
      </c>
      <c r="U6" s="33" t="s">
        <v>329</v>
      </c>
      <c r="V6" s="34" t="s">
        <v>25</v>
      </c>
      <c r="W6" s="33" t="s">
        <v>330</v>
      </c>
      <c r="X6" s="34" t="s">
        <v>25</v>
      </c>
      <c r="Y6" s="33" t="s">
        <v>331</v>
      </c>
      <c r="Z6" s="34" t="s">
        <v>25</v>
      </c>
      <c r="AA6" s="36"/>
      <c r="AB6" s="179"/>
      <c r="AC6" s="35"/>
      <c r="AD6" s="38" t="s">
        <v>26</v>
      </c>
      <c r="AE6" s="34" t="s">
        <v>25</v>
      </c>
      <c r="AF6" s="37" t="s">
        <v>27</v>
      </c>
      <c r="AG6" s="34" t="s">
        <v>25</v>
      </c>
      <c r="AH6" s="37" t="s">
        <v>28</v>
      </c>
      <c r="AI6" s="34" t="s">
        <v>25</v>
      </c>
      <c r="AJ6" s="37" t="s">
        <v>301</v>
      </c>
      <c r="AK6" s="34" t="s">
        <v>25</v>
      </c>
      <c r="AL6" s="37" t="s">
        <v>340</v>
      </c>
      <c r="AM6" s="34" t="s">
        <v>25</v>
      </c>
      <c r="AN6" s="37" t="s">
        <v>29</v>
      </c>
      <c r="AO6" s="34" t="s">
        <v>25</v>
      </c>
      <c r="AP6" s="33" t="s">
        <v>30</v>
      </c>
      <c r="AQ6" s="34" t="s">
        <v>25</v>
      </c>
      <c r="AR6" s="33" t="s">
        <v>31</v>
      </c>
      <c r="AS6" s="34" t="s">
        <v>25</v>
      </c>
      <c r="AT6" s="33" t="s">
        <v>32</v>
      </c>
      <c r="AU6" s="34" t="s">
        <v>25</v>
      </c>
      <c r="AV6" s="33" t="s">
        <v>333</v>
      </c>
      <c r="AW6" s="34" t="s">
        <v>25</v>
      </c>
      <c r="AX6" s="39" t="s">
        <v>33</v>
      </c>
      <c r="AY6" s="40"/>
      <c r="AZ6" s="35"/>
      <c r="BA6"/>
      <c r="BB6"/>
      <c r="BC6"/>
      <c r="BD6"/>
      <c r="BE6"/>
      <c r="BF6"/>
      <c r="BG6" s="41"/>
      <c r="BH6" s="36"/>
      <c r="BI6" s="36"/>
      <c r="BJ6" s="36"/>
      <c r="BK6" s="36"/>
      <c r="BL6" s="36"/>
      <c r="BM6" s="36"/>
      <c r="BN6" s="24"/>
    </row>
    <row r="7" spans="1:66" s="443" customFormat="1" ht="12.75" customHeight="1">
      <c r="A7" s="43"/>
      <c r="B7" s="163" t="s">
        <v>125</v>
      </c>
      <c r="C7" s="371">
        <f>C61</f>
        <v>195</v>
      </c>
      <c r="D7" s="42"/>
      <c r="E7" s="371">
        <f>E61</f>
        <v>196</v>
      </c>
      <c r="F7" s="42"/>
      <c r="G7" s="371">
        <f>G61</f>
        <v>142.10000000000002</v>
      </c>
      <c r="H7" s="42"/>
      <c r="I7" s="371">
        <f>I61</f>
        <v>242</v>
      </c>
      <c r="J7" s="42"/>
      <c r="K7" s="371">
        <f>K61</f>
        <v>275</v>
      </c>
      <c r="L7" s="42">
        <f>IF(ISERROR(K7/C7),"NA",IF(OR(K7/C7&gt;2,K7/C7&lt;0.5),"NM",(K7/C7-1)*100))</f>
        <v>41.025641025641036</v>
      </c>
      <c r="M7" s="371">
        <f>M61</f>
        <v>267</v>
      </c>
      <c r="N7" s="42">
        <f>IF(ISERROR(M7/E7),"NA",IF(OR(M7/E7&gt;2,M7/E7&lt;0.5),"NM",(M7/E7-1)*100))</f>
        <v>36.224489795918366</v>
      </c>
      <c r="O7" s="371">
        <f>O61</f>
        <v>244</v>
      </c>
      <c r="P7" s="42">
        <f>IF(ISERROR(O7/G7),"NA",IF(OR(O7/G7&gt;2,O7/G7&lt;0.5),"NM",(O7/G7-1)*100))</f>
        <v>71.710063335679067</v>
      </c>
      <c r="Q7" s="371">
        <f>Q61</f>
        <v>306</v>
      </c>
      <c r="R7" s="42">
        <f>IF(ISERROR(Q7/I7),"NA",IF(OR(Q7/I7&gt;2,Q7/I7&lt;0.5),"NM",(Q7/I7-1)*100))</f>
        <v>26.446280991735538</v>
      </c>
      <c r="S7" s="371">
        <f>S61</f>
        <v>244.78720656558761</v>
      </c>
      <c r="T7" s="42">
        <f>IF(ISERROR(S7/K7),"NA",IF(OR(S7/K7&gt;2,S7/K7&lt;0.5),"NM",(S7/K7-1)*100))</f>
        <v>-10.986470339786326</v>
      </c>
      <c r="U7" s="371">
        <f>U61</f>
        <v>251.0738140625586</v>
      </c>
      <c r="V7" s="42">
        <f>IF(ISERROR(U7/M7),"NA",IF(OR(U7/M7&gt;2,U7/M7&lt;0.5),"NM",(U7/M7-1)*100))</f>
        <v>-5.9648636469817991</v>
      </c>
      <c r="W7" s="371">
        <f>W61</f>
        <v>271.56865950013935</v>
      </c>
      <c r="X7" s="42">
        <f>IF(ISERROR(W7/O7),"NA",IF(OR(W7/O7&gt;2,W7/O7&lt;0.5),"NM",(W7/O7-1)*100))</f>
        <v>11.298630942680067</v>
      </c>
      <c r="Y7" s="371">
        <f>Y61</f>
        <v>276.81832708644913</v>
      </c>
      <c r="Z7" s="42">
        <f>IF(ISERROR(Y7/Q7),"NA",IF(OR(Y7/Q7&gt;2,Y7/Q7&lt;0.5),"NM",(Y7/Q7-1)*100))</f>
        <v>-9.5364944161930971</v>
      </c>
      <c r="AA7" s="172"/>
      <c r="AB7" s="180"/>
      <c r="AC7" s="43"/>
      <c r="AD7" s="371">
        <f>AD61</f>
        <v>416</v>
      </c>
      <c r="AE7" s="42" t="str">
        <f>IF(ISERROR(AD7/#REF!),"NA",IF(OR(AD7/#REF!&gt;2,AD7/#REF!&lt;0.5),"NM",(AD7/#REF!-1)*100))</f>
        <v>NA</v>
      </c>
      <c r="AF7" s="371">
        <f>AF61</f>
        <v>756</v>
      </c>
      <c r="AG7" s="42">
        <f>IF(ISERROR(AF7/AD7),"NA",IF(OR(AF7/AD7&gt;2,AF7/AD7&lt;0.5),"NM",(AF7/AD7-1)*100))</f>
        <v>81.730769230769226</v>
      </c>
      <c r="AH7" s="371">
        <f>AH61</f>
        <v>769</v>
      </c>
      <c r="AI7" s="42">
        <f>IF(ISERROR(AH7/AF7),"NA",IF(OR(AH7/AF7&gt;2,AH7/AF7&lt;0.5),"NM",(AH7/AF7-1)*100))</f>
        <v>1.7195767195767209</v>
      </c>
      <c r="AJ7" s="371">
        <f>AJ61</f>
        <v>775.09999999999991</v>
      </c>
      <c r="AK7" s="42">
        <f>IF(ISERROR(AJ7/AH7),"NA",IF(OR(AJ7/AH7&gt;2,AJ7/AH7&lt;0.5),"NM",(AJ7/AH7-1)*100))</f>
        <v>0.79323797139141394</v>
      </c>
      <c r="AL7" s="371">
        <f>AL61</f>
        <v>1092</v>
      </c>
      <c r="AM7" s="42">
        <f>IF(ISERROR(AL7/AJ7),"NA",IF(OR(AL7/AJ7&gt;2,AL7/AJ7&lt;0.5),"NM",(AL7/AJ7-1)*100))</f>
        <v>40.885047090698002</v>
      </c>
      <c r="AN7" s="371">
        <f>AN61</f>
        <v>1044.2480072147341</v>
      </c>
      <c r="AO7" s="42">
        <f>IF(ISERROR(AN7/AL7),"NA",IF(OR(AN7/AL7&gt;2,AN7/AL7&lt;0.5),"NM",(AN7/AL7-1)*100))</f>
        <v>-4.372893112203835</v>
      </c>
      <c r="AP7" s="371">
        <f>AP61</f>
        <v>1174.6051409272652</v>
      </c>
      <c r="AQ7" s="42">
        <f>IF(ISERROR(AP7/AN7),"NA",IF(OR(AP7/AN7&gt;2,AP7/AN7&lt;0.5),"NM",(AP7/AN7-1)*100))</f>
        <v>12.483350009948847</v>
      </c>
      <c r="AR7" s="371">
        <f>AR61</f>
        <v>1302.3296543626054</v>
      </c>
      <c r="AS7" s="42">
        <f>IF(ISERROR(AR7/AP7),"NA",IF(OR(AR7/AP7&gt;2,AR7/AP7&lt;0.5),"NM",(AR7/AP7-1)*100))</f>
        <v>10.873825508247915</v>
      </c>
      <c r="AT7" s="371">
        <f>AT61</f>
        <v>1375.0795881641639</v>
      </c>
      <c r="AU7" s="42">
        <f>IF(ISERROR(AT7/AR7),"NA",IF(OR(AT7/AR7&gt;2,AT7/AR7&lt;0.5),"NM",(AT7/AR7-1)*100))</f>
        <v>5.5861381607841931</v>
      </c>
      <c r="AV7" s="371">
        <f>AV61</f>
        <v>1459.7953326064794</v>
      </c>
      <c r="AW7" s="42">
        <f>IF(ISERROR(AV7/AT7),"NA",IF(OR(AV7/AT7&gt;2,AV7/AT7&lt;0.5),"NM",(AV7/AT7-1)*100))</f>
        <v>6.1607884497374865</v>
      </c>
      <c r="AX7" s="42">
        <f>IF(ISERROR(((AV7/AL7)^0.2-1)*100),"NA",IF((((AV7/AL7)^0.2-1)*100)&gt;100,"NM",IF((((AV7/AL7)^0.2-1)*100)&lt;-50,"NM",((AV7/AL7)^0.2-1)*100)))</f>
        <v>5.9775478640209156</v>
      </c>
      <c r="AY7" s="173"/>
      <c r="AZ7" s="43"/>
      <c r="BA7"/>
      <c r="BB7"/>
      <c r="BC7"/>
      <c r="BD7"/>
      <c r="BE7"/>
      <c r="BF7"/>
      <c r="BG7" s="43"/>
      <c r="BH7" s="43"/>
      <c r="BI7" s="262"/>
      <c r="BJ7" s="262"/>
      <c r="BK7" s="262"/>
      <c r="BL7" s="262"/>
      <c r="BM7" s="262"/>
      <c r="BN7" s="24"/>
    </row>
    <row r="8" spans="1:66" s="443" customFormat="1" ht="12.75" customHeight="1">
      <c r="A8" s="43"/>
      <c r="B8" s="163" t="s">
        <v>34</v>
      </c>
      <c r="C8" s="371">
        <f>C106</f>
        <v>-45</v>
      </c>
      <c r="D8" s="42"/>
      <c r="E8" s="371">
        <f>E106</f>
        <v>-17</v>
      </c>
      <c r="F8" s="42"/>
      <c r="G8" s="371">
        <f>G106</f>
        <v>-25</v>
      </c>
      <c r="H8" s="42"/>
      <c r="I8" s="371">
        <f>I106</f>
        <v>38</v>
      </c>
      <c r="J8" s="42"/>
      <c r="K8" s="371">
        <f>K106</f>
        <v>-9</v>
      </c>
      <c r="L8" s="42" t="str">
        <f>IF(ISERROR(K8/C8),"NA",IF(OR(K8/C8&gt;2,K8/C8&lt;0.5),"NM",(K8/C8-1)*100))</f>
        <v>NM</v>
      </c>
      <c r="M8" s="371">
        <f>M106</f>
        <v>13</v>
      </c>
      <c r="N8" s="42" t="str">
        <f>IF(ISERROR(M8/E8),"NA",IF(OR(M8/E8&gt;2,M8/E8&lt;0.5),"NM",(M8/E8-1)*100))</f>
        <v>NM</v>
      </c>
      <c r="O8" s="371">
        <f>O106</f>
        <v>-13</v>
      </c>
      <c r="P8" s="42">
        <f>IF(ISERROR(O8/G8),"NA",IF(OR(O8/G8&gt;2,O8/G8&lt;0.5),"NM",(O8/G8-1)*100))</f>
        <v>-48</v>
      </c>
      <c r="Q8" s="371">
        <f>Q106</f>
        <v>26</v>
      </c>
      <c r="R8" s="42">
        <f>IF(ISERROR(Q8/I8),"NA",IF(OR(Q8/I8&gt;2,Q8/I8&lt;0.5),"NM",(Q8/I8-1)*100))</f>
        <v>-31.578947368421051</v>
      </c>
      <c r="S8" s="371">
        <f>S106</f>
        <v>-0.33299999999999769</v>
      </c>
      <c r="T8" s="42" t="str">
        <f>IF(ISERROR(S8/K8),"NA",IF(OR(S8/K8&gt;2,S8/K8&lt;0.5),"NM",(S8/K8-1)*100))</f>
        <v>NM</v>
      </c>
      <c r="U8" s="371">
        <f>U106</f>
        <v>1.2420000000003029E-2</v>
      </c>
      <c r="V8" s="42" t="str">
        <f>IF(ISERROR(U8/M8),"NA",IF(OR(U8/M8&gt;2,U8/M8&lt;0.5),"NM",(U8/M8-1)*100))</f>
        <v>NM</v>
      </c>
      <c r="W8" s="371">
        <f>W106</f>
        <v>0.36129420000000534</v>
      </c>
      <c r="X8" s="42" t="str">
        <f>IF(ISERROR(W8/O8),"NA",IF(OR(W8/O8&gt;2,W8/O8&lt;0.5),"NM",(W8/O8-1)*100))</f>
        <v>NM</v>
      </c>
      <c r="Y8" s="371">
        <f>Y106</f>
        <v>-0.1863428579999912</v>
      </c>
      <c r="Z8" s="42" t="str">
        <f>IF(ISERROR(Y8/Q8),"NA",IF(OR(Y8/Q8&gt;2,Y8/Q8&lt;0.5),"NM",(Y8/Q8-1)*100))</f>
        <v>NM</v>
      </c>
      <c r="AA8" s="172"/>
      <c r="AB8" s="180"/>
      <c r="AC8" s="43"/>
      <c r="AD8" s="371">
        <f>AD106</f>
        <v>360.6</v>
      </c>
      <c r="AE8" s="42" t="str">
        <f>IF(ISERROR(AD8/#REF!),"NA",IF(OR(AD8/#REF!&gt;2,AD8/#REF!&lt;0.5),"NM",(AD8/#REF!-1)*100))</f>
        <v>NA</v>
      </c>
      <c r="AF8" s="371">
        <f>AF106</f>
        <v>25.4</v>
      </c>
      <c r="AG8" s="42" t="str">
        <f>IF(ISERROR(AF8/AD8),"NA",IF(OR(AF8/AD8&gt;2,AF8/AD8&lt;0.5),"NM",(AF8/AD8-1)*100))</f>
        <v>NM</v>
      </c>
      <c r="AH8" s="371">
        <f>AH106</f>
        <v>-29</v>
      </c>
      <c r="AI8" s="42" t="str">
        <f>IF(ISERROR(AH8/AF8),"NA",IF(OR(AH8/AF8&gt;2,AH8/AF8&lt;0.5),"NM",(AH8/AF8-1)*100))</f>
        <v>NM</v>
      </c>
      <c r="AJ8" s="371">
        <f>AJ106</f>
        <v>-49</v>
      </c>
      <c r="AK8" s="42">
        <f>IF(ISERROR(AJ8/AH8),"NA",IF(OR(AJ8/AH8&gt;2,AJ8/AH8&lt;0.5),"NM",(AJ8/AH8-1)*100))</f>
        <v>68.965517241379317</v>
      </c>
      <c r="AL8" s="371">
        <f>AL106</f>
        <v>17</v>
      </c>
      <c r="AM8" s="42" t="str">
        <f>IF(ISERROR(AL8/AJ8),"NA",IF(OR(AL8/AJ8&gt;2,AL8/AJ8&lt;0.5),"NM",(AL8/AJ8-1)*100))</f>
        <v>NM</v>
      </c>
      <c r="AN8" s="371">
        <f>AN106</f>
        <v>-0.14562865799998762</v>
      </c>
      <c r="AO8" s="42" t="str">
        <f>IF(ISERROR(AN8/AL8),"NA",IF(OR(AN8/AL8&gt;2,AN8/AL8&lt;0.5),"NM",(AN8/AL8-1)*100))</f>
        <v>NM</v>
      </c>
      <c r="AP8" s="371">
        <f>AP106</f>
        <v>-3.0922660020980297</v>
      </c>
      <c r="AQ8" s="42" t="str">
        <f>IF(ISERROR(AP8/AN8),"NA",IF(OR(AP8/AN8&gt;2,AP8/AN8&lt;0.5),"NM",(AP8/AN8-1)*100))</f>
        <v>NM</v>
      </c>
      <c r="AR8" s="371">
        <f>AR106</f>
        <v>-8.0927225884967875</v>
      </c>
      <c r="AS8" s="42" t="str">
        <f>IF(ISERROR(AR8/AP8),"NA",IF(OR(AR8/AP8&gt;2,AR8/AP8&lt;0.5),"NM",(AR8/AP8-1)*100))</f>
        <v>NM</v>
      </c>
      <c r="AT8" s="371">
        <f>AT106</f>
        <v>-9.6285926119506158</v>
      </c>
      <c r="AU8" s="42">
        <f>IF(ISERROR(AT8/AR8),"NA",IF(OR(AT8/AR8&gt;2,AT8/AR8&lt;0.5),"NM",(AT8/AR8-1)*100))</f>
        <v>18.978409387675722</v>
      </c>
      <c r="AV8" s="371">
        <f>AV106</f>
        <v>-11.137475163307242</v>
      </c>
      <c r="AW8" s="42">
        <f>IF(ISERROR(AV8/AT8),"NA",IF(OR(AV8/AT8&gt;2,AV8/AT8&lt;0.5),"NM",(AV8/AT8-1)*100))</f>
        <v>15.670852555168469</v>
      </c>
      <c r="AX8" s="42" t="str">
        <f>IF(ISERROR(((AV8/AL8)^0.2-1)*100),"NA",IF((((AV8/AL8)^0.2-1)*100)&gt;100,"NM",IF((((AV8/AL8)^0.2-1)*100)&lt;-50,"NM",((AV8/AL8)^0.2-1)*100)))</f>
        <v>NM</v>
      </c>
      <c r="AY8" s="173"/>
      <c r="AZ8" s="43"/>
      <c r="BA8"/>
      <c r="BB8"/>
      <c r="BC8"/>
      <c r="BD8"/>
      <c r="BE8"/>
      <c r="BF8"/>
      <c r="BG8" s="43"/>
      <c r="BH8" s="43"/>
      <c r="BI8" s="262"/>
      <c r="BJ8" s="262"/>
      <c r="BK8" s="262"/>
      <c r="BL8" s="262"/>
      <c r="BM8" s="262"/>
      <c r="BN8" s="24"/>
    </row>
    <row r="9" spans="1:66" s="439" customFormat="1" ht="12.75" customHeight="1">
      <c r="A9" s="165"/>
      <c r="B9" s="164" t="s">
        <v>36</v>
      </c>
      <c r="C9" s="372">
        <f>C7+C8</f>
        <v>150</v>
      </c>
      <c r="D9" s="42"/>
      <c r="E9" s="372">
        <f>E7+E8</f>
        <v>179</v>
      </c>
      <c r="F9" s="42"/>
      <c r="G9" s="372">
        <f>G7+G8</f>
        <v>117.10000000000002</v>
      </c>
      <c r="H9" s="42"/>
      <c r="I9" s="372">
        <f>I7+I8</f>
        <v>280</v>
      </c>
      <c r="J9" s="42"/>
      <c r="K9" s="372">
        <f>K7+K8</f>
        <v>266</v>
      </c>
      <c r="L9" s="42">
        <f>IF(ISERROR(K9/C9),"NA",IF(OR(K9/C9&gt;2,K9/C9&lt;0.5),"NM",(K9/C9-1)*100))</f>
        <v>77.333333333333343</v>
      </c>
      <c r="M9" s="372">
        <f>M7+M8</f>
        <v>280</v>
      </c>
      <c r="N9" s="42">
        <f>IF(ISERROR(M9/E9),"NA",IF(OR(M9/E9&gt;2,M9/E9&lt;0.5),"NM",(M9/E9-1)*100))</f>
        <v>56.424581005586582</v>
      </c>
      <c r="O9" s="372">
        <f>O7+O8</f>
        <v>231</v>
      </c>
      <c r="P9" s="42">
        <f>IF(ISERROR(O9/G9),"NA",IF(OR(O9/G9&gt;2,O9/G9&lt;0.5),"NM",(O9/G9-1)*100))</f>
        <v>97.267292912040944</v>
      </c>
      <c r="Q9" s="372">
        <f>Q7+Q8</f>
        <v>332</v>
      </c>
      <c r="R9" s="42">
        <f>IF(ISERROR(Q9/I9),"NA",IF(OR(Q9/I9&gt;2,Q9/I9&lt;0.5),"NM",(Q9/I9-1)*100))</f>
        <v>18.571428571428573</v>
      </c>
      <c r="S9" s="372">
        <f>S7+S8</f>
        <v>244.45420656558761</v>
      </c>
      <c r="T9" s="42">
        <f>IF(ISERROR(S9/K9),"NA",IF(OR(S9/K9&gt;2,S9/K9&lt;0.5),"NM",(S9/K9-1)*100))</f>
        <v>-8.0999223437640548</v>
      </c>
      <c r="U9" s="372">
        <f>U7+U8</f>
        <v>251.08623406255859</v>
      </c>
      <c r="V9" s="42">
        <f>IF(ISERROR(U9/M9),"NA",IF(OR(U9/M9&gt;2,U9/M9&lt;0.5),"NM",(U9/M9-1)*100))</f>
        <v>-10.326344977657643</v>
      </c>
      <c r="W9" s="372">
        <f>W7+W8</f>
        <v>271.92995370013938</v>
      </c>
      <c r="X9" s="42">
        <f>IF(ISERROR(W9/O9),"NA",IF(OR(W9/O9&gt;2,W9/O9&lt;0.5),"NM",(W9/O9-1)*100))</f>
        <v>17.718594675385013</v>
      </c>
      <c r="Y9" s="372">
        <f>Y7+Y8</f>
        <v>276.63198422844914</v>
      </c>
      <c r="Z9" s="42">
        <f>IF(ISERROR(Y9/Q9),"NA",IF(OR(Y9/Q9&gt;2,Y9/Q9&lt;0.5),"NM",(Y9/Q9-1)*100))</f>
        <v>-16.677113184202064</v>
      </c>
      <c r="AA9" s="174"/>
      <c r="AB9" s="180"/>
      <c r="AC9" s="165"/>
      <c r="AD9" s="372">
        <f>AD7+AD8</f>
        <v>776.6</v>
      </c>
      <c r="AE9" s="42" t="str">
        <f>IF(ISERROR(AD9/#REF!),"NA",IF(OR(AD9/#REF!&gt;2,AD9/#REF!&lt;0.5),"NM",(AD9/#REF!-1)*100))</f>
        <v>NA</v>
      </c>
      <c r="AF9" s="372">
        <f>AF7+AF8</f>
        <v>781.4</v>
      </c>
      <c r="AG9" s="42">
        <f>IF(ISERROR(AF9/AD9),"NA",IF(OR(AF9/AD9&gt;2,AF9/AD9&lt;0.5),"NM",(AF9/AD9-1)*100))</f>
        <v>0.61807880504762824</v>
      </c>
      <c r="AH9" s="372">
        <f>AH7+AH8</f>
        <v>740</v>
      </c>
      <c r="AI9" s="42">
        <f>IF(ISERROR(AH9/AF9),"NA",IF(OR(AH9/AF9&gt;2,AH9/AF9&lt;0.5),"NM",(AH9/AF9-1)*100))</f>
        <v>-5.2981827489122058</v>
      </c>
      <c r="AJ9" s="372">
        <f>AJ7+AJ8</f>
        <v>726.09999999999991</v>
      </c>
      <c r="AK9" s="42">
        <f>IF(ISERROR(AJ9/AH9),"NA",IF(OR(AJ9/AH9&gt;2,AJ9/AH9&lt;0.5),"NM",(AJ9/AH9-1)*100))</f>
        <v>-1.8783783783783869</v>
      </c>
      <c r="AL9" s="372">
        <f>AL7+AL8</f>
        <v>1109</v>
      </c>
      <c r="AM9" s="42">
        <f>IF(ISERROR(AL9/AJ9),"NA",IF(OR(AL9/AJ9&gt;2,AL9/AJ9&lt;0.5),"NM",(AL9/AJ9-1)*100))</f>
        <v>52.733783225451056</v>
      </c>
      <c r="AN9" s="372">
        <f>AN7+AN8</f>
        <v>1044.102378556734</v>
      </c>
      <c r="AO9" s="42">
        <f>IF(ISERROR(AN9/AL9),"NA",IF(OR(AN9/AL9&gt;2,AN9/AL9&lt;0.5),"NM",(AN9/AL9-1)*100))</f>
        <v>-5.851904548536158</v>
      </c>
      <c r="AP9" s="372">
        <f>AP7+AP8</f>
        <v>1171.5128749251671</v>
      </c>
      <c r="AQ9" s="42">
        <f>IF(ISERROR(AP9/AN9),"NA",IF(OR(AP9/AN9&gt;2,AP9/AN9&lt;0.5),"NM",(AP9/AN9-1)*100))</f>
        <v>12.202873873781716</v>
      </c>
      <c r="AR9" s="372">
        <f>AR7+AR8</f>
        <v>1294.2369317741086</v>
      </c>
      <c r="AS9" s="42">
        <f>IF(ISERROR(AR9/AP9),"NA",IF(OR(AR9/AP9&gt;2,AR9/AP9&lt;0.5),"NM",(AR9/AP9-1)*100))</f>
        <v>10.475689979658199</v>
      </c>
      <c r="AT9" s="372">
        <f>AT7+AT8</f>
        <v>1365.4509955522133</v>
      </c>
      <c r="AU9" s="42">
        <f>IF(ISERROR(AT9/AR9),"NA",IF(OR(AT9/AR9&gt;2,AT9/AR9&lt;0.5),"NM",(AT9/AR9-1)*100))</f>
        <v>5.5023977472568486</v>
      </c>
      <c r="AV9" s="372">
        <f>AV7+AV8</f>
        <v>1448.6578574431721</v>
      </c>
      <c r="AW9" s="42">
        <f>IF(ISERROR(AV9/AT9),"NA",IF(OR(AV9/AT9&gt;2,AV9/AT9&lt;0.5),"NM",(AV9/AT9-1)*100))</f>
        <v>6.0937274323278334</v>
      </c>
      <c r="AX9" s="42">
        <f>IF(ISERROR(((AV9/AL9)^0.2-1)*100),"NA",IF((((AV9/AL9)^0.2-1)*100)&gt;100,"NM",IF((((AV9/AL9)^0.2-1)*100)&lt;-50,"NM",((AV9/AL9)^0.2-1)*100)))</f>
        <v>5.4889224321810204</v>
      </c>
      <c r="AY9" s="175"/>
      <c r="AZ9" s="165"/>
      <c r="BA9"/>
      <c r="BB9"/>
      <c r="BC9"/>
      <c r="BD9"/>
      <c r="BE9"/>
      <c r="BF9"/>
      <c r="BG9" s="165"/>
      <c r="BH9" s="165"/>
      <c r="BI9" s="24"/>
      <c r="BJ9" s="24"/>
      <c r="BK9" s="24"/>
      <c r="BL9" s="24"/>
      <c r="BM9" s="24"/>
      <c r="BN9" s="24"/>
    </row>
    <row r="10" spans="1:66" s="444" customFormat="1" ht="12.75" hidden="1" customHeight="1" outlineLevel="1">
      <c r="A10" s="241"/>
      <c r="B10" s="242" t="s">
        <v>37</v>
      </c>
      <c r="C10" s="243">
        <f>C9-C127</f>
        <v>0</v>
      </c>
      <c r="D10" s="244"/>
      <c r="E10" s="243">
        <f>E9-E127</f>
        <v>0</v>
      </c>
      <c r="F10" s="244"/>
      <c r="G10" s="243">
        <f>G9-G127</f>
        <v>0</v>
      </c>
      <c r="H10" s="244"/>
      <c r="I10" s="243">
        <f>I9-I127</f>
        <v>0</v>
      </c>
      <c r="J10" s="244"/>
      <c r="K10" s="243">
        <f>K9-K127</f>
        <v>0</v>
      </c>
      <c r="L10" s="244"/>
      <c r="M10" s="243">
        <f>M9-M127</f>
        <v>0</v>
      </c>
      <c r="N10" s="244"/>
      <c r="O10" s="243">
        <f>O9-O127</f>
        <v>0</v>
      </c>
      <c r="P10" s="244"/>
      <c r="Q10" s="243">
        <f>Q9-Q127</f>
        <v>0</v>
      </c>
      <c r="R10" s="244"/>
      <c r="S10" s="243">
        <f>S9-S127</f>
        <v>0</v>
      </c>
      <c r="T10" s="244"/>
      <c r="U10" s="243">
        <f>U9-U127</f>
        <v>0</v>
      </c>
      <c r="V10" s="244"/>
      <c r="W10" s="243">
        <f>W9-W127</f>
        <v>0</v>
      </c>
      <c r="X10" s="244"/>
      <c r="Y10" s="243">
        <f>Y9-Y127</f>
        <v>0</v>
      </c>
      <c r="Z10" s="244"/>
      <c r="AA10" s="245"/>
      <c r="AB10" s="246"/>
      <c r="AC10" s="245"/>
      <c r="AD10" s="243">
        <f>AD9-AD127</f>
        <v>0</v>
      </c>
      <c r="AE10" s="244"/>
      <c r="AF10" s="243">
        <f>AF9-AF127</f>
        <v>0</v>
      </c>
      <c r="AG10" s="244"/>
      <c r="AH10" s="243">
        <f>AH9-AH127</f>
        <v>0</v>
      </c>
      <c r="AI10" s="244"/>
      <c r="AJ10" s="243">
        <f>AJ9-AJ127</f>
        <v>0</v>
      </c>
      <c r="AK10" s="244"/>
      <c r="AL10" s="243">
        <f>AL9-AL127</f>
        <v>0</v>
      </c>
      <c r="AM10" s="244"/>
      <c r="AN10" s="243">
        <f>AN9-AN127</f>
        <v>0</v>
      </c>
      <c r="AO10" s="244"/>
      <c r="AP10" s="243">
        <f>AP9-AP127</f>
        <v>0</v>
      </c>
      <c r="AQ10" s="244"/>
      <c r="AR10" s="243">
        <f>AR9-AR127</f>
        <v>0</v>
      </c>
      <c r="AS10" s="244"/>
      <c r="AT10" s="243">
        <f>AT9-AT127</f>
        <v>0</v>
      </c>
      <c r="AU10" s="244"/>
      <c r="AV10" s="243">
        <f>AV9-AV127</f>
        <v>0</v>
      </c>
      <c r="AW10" s="244"/>
      <c r="AX10" s="244"/>
      <c r="AY10" s="241"/>
      <c r="AZ10" s="241"/>
      <c r="BA10"/>
      <c r="BB10"/>
      <c r="BC10"/>
      <c r="BD10"/>
      <c r="BE10"/>
      <c r="BF10"/>
      <c r="BG10" s="241"/>
      <c r="BH10" s="241"/>
      <c r="BI10" s="263"/>
      <c r="BJ10" s="263"/>
      <c r="BK10" s="263"/>
      <c r="BL10" s="263"/>
      <c r="BM10" s="263"/>
      <c r="BN10" s="24"/>
    </row>
    <row r="11" spans="1:66" s="439" customFormat="1" ht="12.75" customHeight="1" collapsed="1">
      <c r="A11" s="165"/>
      <c r="B11" s="164" t="s">
        <v>38</v>
      </c>
      <c r="C11" s="373">
        <f>C180</f>
        <v>0.80601826974744761</v>
      </c>
      <c r="D11" s="45"/>
      <c r="E11" s="373">
        <f>E180</f>
        <v>0.95978552278820373</v>
      </c>
      <c r="F11" s="45"/>
      <c r="G11" s="373">
        <f>G180</f>
        <v>0.6350325379609546</v>
      </c>
      <c r="H11" s="42"/>
      <c r="I11" s="373">
        <f>I180</f>
        <v>1.4344262295081969</v>
      </c>
      <c r="J11" s="42"/>
      <c r="K11" s="373">
        <f>K180</f>
        <v>1.359918200408998</v>
      </c>
      <c r="L11" s="42">
        <f>IF(ISERROR(K11/C11),"NA",IF(OR(K11/C11&gt;2,K11/C11&lt;0.5),"NM",(K11/C11-1)*100))</f>
        <v>68.720518064076359</v>
      </c>
      <c r="M11" s="373">
        <f>M180</f>
        <v>1.4293006636038794</v>
      </c>
      <c r="N11" s="42">
        <f>IF(ISERROR(M11/E11),"NA",IF(OR(M11/E11&gt;2,M11/E11&lt;0.5),"NM",(M11/E11-1)*100))</f>
        <v>48.918756291689114</v>
      </c>
      <c r="O11" s="373">
        <f>O180</f>
        <v>1.1785714285714286</v>
      </c>
      <c r="P11" s="42">
        <f>IF(ISERROR(O11/G11),"NA",IF(OR(O11/G11&gt;2,O11/G11&lt;0.5),"NM",(O11/G11-1)*100))</f>
        <v>85.592289862144639</v>
      </c>
      <c r="Q11" s="373">
        <f>Q180</f>
        <v>1.6930137684854667</v>
      </c>
      <c r="R11" s="42">
        <f>IF(ISERROR(Q11/I11),"NA",IF(OR(Q11/I11&gt;2,Q11/I11&lt;0.5),"NM",(Q11/I11-1)*100))</f>
        <v>18.027245574415375</v>
      </c>
      <c r="S11" s="373">
        <f>S180</f>
        <v>1.2415145076972454</v>
      </c>
      <c r="T11" s="42">
        <f>IF(ISERROR(S11/K11),"NA",IF(OR(S11/K11&gt;2,S11/K11&lt;0.5),"NM",(S11/K11-1)*100))</f>
        <v>-8.706677554292785</v>
      </c>
      <c r="U11" s="373">
        <f>U180</f>
        <v>1.2751967194644922</v>
      </c>
      <c r="V11" s="42">
        <f>IF(ISERROR(U11/M11),"NA",IF(OR(U11/M11&gt;2,U11/M11&lt;0.5),"NM",(U11/M11-1)*100))</f>
        <v>-10.781772377466414</v>
      </c>
      <c r="W11" s="373">
        <f>W180</f>
        <v>1.3810561386497675</v>
      </c>
      <c r="X11" s="42">
        <f>IF(ISERROR(W11/O11),"NA",IF(OR(W11/O11&gt;2,W11/O11&lt;0.5),"NM",(W11/O11-1)*100))</f>
        <v>17.180520855131775</v>
      </c>
      <c r="Y11" s="373">
        <f>Y180</f>
        <v>1.4049364358986758</v>
      </c>
      <c r="Z11" s="42">
        <f>IF(ISERROR(Y11/Q11),"NA",IF(OR(Y11/Q11&gt;2,Y11/Q11&lt;0.5),"NM",(Y11/Q11-1)*100))</f>
        <v>-17.015652084418587</v>
      </c>
      <c r="AA11" s="174"/>
      <c r="AB11" s="182"/>
      <c r="AC11" s="165"/>
      <c r="AD11" s="373">
        <f>AD180</f>
        <v>6.7460627698294813</v>
      </c>
      <c r="AE11" s="42" t="str">
        <f>IF(ISERROR(AD11/#REF!),"NA",IF(OR(AD11/#REF!&gt;2,AD11/#REF!&lt;0.5),"NM",(AD11/#REF!-1)*100))</f>
        <v>NA</v>
      </c>
      <c r="AF11" s="373">
        <f>AF180</f>
        <v>5.9368328280871303</v>
      </c>
      <c r="AG11" s="42">
        <f>IF(ISERROR(AF11/AD11),"NA",IF(OR(AF11/AD11&gt;2,AF11/AD11&lt;0.5),"NM",(AF11/AD11-1)*100))</f>
        <v>-11.995588676723889</v>
      </c>
      <c r="AH11" s="373">
        <f>AH180</f>
        <v>4.2283298097251585</v>
      </c>
      <c r="AI11" s="42">
        <f>IF(ISERROR(AH11/AF11),"NA",IF(OR(AH11/AF11&gt;2,AH11/AF11&lt;0.5),"NM",(AH11/AF11-1)*100))</f>
        <v>-28.778021342946559</v>
      </c>
      <c r="AJ11" s="373">
        <f>AJ180</f>
        <v>3.7543950361944152</v>
      </c>
      <c r="AK11" s="42">
        <f>IF(ISERROR(AJ11/AH11),"NA",IF(OR(AJ11/AH11&gt;2,AJ11/AH11&lt;0.5),"NM",(AJ11/AH11-1)*100))</f>
        <v>-11.208557394002083</v>
      </c>
      <c r="AL11" s="373">
        <f>AL180</f>
        <v>5.6610515569167941</v>
      </c>
      <c r="AM11" s="42">
        <f>IF(ISERROR(AL11/AJ11),"NA",IF(OR(AL11/AJ11&gt;2,AL11/AJ11&lt;0.5),"NM",(AL11/AJ11-1)*100))</f>
        <v>50.784653781532583</v>
      </c>
      <c r="AN11" s="373">
        <f>AN180</f>
        <v>5.3027038017101802</v>
      </c>
      <c r="AO11" s="42">
        <f>IF(ISERROR(AN11/AL11),"NA",IF(OR(AN11/AL11&gt;2,AN11/AL11&lt;0.5),"NM",(AN11/AL11-1)*100))</f>
        <v>-6.3300563791682247</v>
      </c>
      <c r="AP11" s="373">
        <f>AP180</f>
        <v>6.0499219337079184</v>
      </c>
      <c r="AQ11" s="42">
        <f>IF(ISERROR(AP11/AN11),"NA",IF(OR(AP11/AN11&gt;2,AP11/AN11&lt;0.5),"NM",(AP11/AN11-1)*100))</f>
        <v>14.091266643193467</v>
      </c>
      <c r="AR11" s="373">
        <f>AR180</f>
        <v>6.9536702210814187</v>
      </c>
      <c r="AS11" s="42">
        <f>IF(ISERROR(AR11/AP11),"NA",IF(OR(AR11/AP11&gt;2,AR11/AP11&lt;0.5),"NM",(AR11/AP11-1)*100))</f>
        <v>14.938180976156911</v>
      </c>
      <c r="AT11" s="373">
        <f>AT180</f>
        <v>7.554018532042952</v>
      </c>
      <c r="AU11" s="42">
        <f>IF(ISERROR(AT11/AR11),"NA",IF(OR(AT11/AR11&gt;2,AT11/AR11&lt;0.5),"NM",(AT11/AR11-1)*100))</f>
        <v>8.6335459099204712</v>
      </c>
      <c r="AV11" s="373">
        <f>AV180</f>
        <v>8.0977876883126356</v>
      </c>
      <c r="AW11" s="42">
        <f>IF(ISERROR(AV11/AT11),"NA",IF(OR(AV11/AT11&gt;2,AV11/AT11&lt;0.5),"NM",(AV11/AT11-1)*100))</f>
        <v>7.1984090846891835</v>
      </c>
      <c r="AX11" s="42">
        <f>IF(ISERROR(((AV11/AL11)^0.2-1)*100),"NA",IF((((AV11/AL11)^0.2-1)*100)&gt;100,"NM",IF((((AV11/AL11)^0.2-1)*100)&lt;-50,"NM",((AV11/AL11)^0.2-1)*100)))</f>
        <v>7.4221536771631236</v>
      </c>
      <c r="AY11" s="175"/>
      <c r="AZ11" s="165"/>
      <c r="BA11"/>
      <c r="BB11"/>
      <c r="BC11"/>
      <c r="BD11"/>
      <c r="BE11"/>
      <c r="BF11"/>
      <c r="BG11" s="165"/>
      <c r="BH11" s="165"/>
      <c r="BI11" s="24"/>
      <c r="BJ11" s="24"/>
      <c r="BK11" s="24"/>
      <c r="BL11" s="24"/>
      <c r="BM11" s="24"/>
      <c r="BN11" s="24"/>
    </row>
    <row r="12" spans="1:66" s="439" customFormat="1" ht="12.75" customHeight="1">
      <c r="A12" s="165"/>
      <c r="B12" s="164" t="s">
        <v>126</v>
      </c>
      <c r="C12" s="373">
        <f>C188</f>
        <v>0.74153680816765177</v>
      </c>
      <c r="D12" s="45"/>
      <c r="E12" s="373">
        <f>E188</f>
        <v>0.89544235924932969</v>
      </c>
      <c r="F12" s="45"/>
      <c r="G12" s="373">
        <f>G188</f>
        <v>1.4918655097613884</v>
      </c>
      <c r="H12" s="42"/>
      <c r="I12" s="373">
        <f>I188</f>
        <v>0.71209016393442637</v>
      </c>
      <c r="J12" s="42"/>
      <c r="K12" s="373">
        <f>K188</f>
        <v>1.1400817995910022</v>
      </c>
      <c r="L12" s="42">
        <f>IF(ISERROR(K12/C12),"NA",IF(OR(K12/C12&gt;2,K12/C12&lt;0.5),"NM",(K12/C12-1)*100))</f>
        <v>53.745813698467757</v>
      </c>
      <c r="M12" s="373">
        <f>M188</f>
        <v>1.1791730474732005</v>
      </c>
      <c r="N12" s="42">
        <f>IF(ISERROR(M12/E12),"NA",IF(OR(M12/E12&gt;2,M12/E12&lt;0.5),"NM",(M12/E12-1)*100))</f>
        <v>31.686091828593966</v>
      </c>
      <c r="O12" s="373">
        <f>O188</f>
        <v>1.2959183673469388</v>
      </c>
      <c r="P12" s="42">
        <f>IF(ISERROR(O12/G12),"NA",IF(OR(O12/G12&gt;2,O12/G12&lt;0.5),"NM",(O12/G12-1)*100))</f>
        <v>-13.134370433015086</v>
      </c>
      <c r="Q12" s="373">
        <f>Q188</f>
        <v>1.3360530341662418</v>
      </c>
      <c r="R12" s="42">
        <f>IF(ISERROR(Q12/I12),"NA",IF(OR(Q12/I12&gt;2,Q12/I12&lt;0.5),"NM",(Q12/I12-1)*100))</f>
        <v>87.624138323201677</v>
      </c>
      <c r="S12" s="373">
        <f>S188</f>
        <v>1.2415145076972454</v>
      </c>
      <c r="T12" s="42">
        <f>IF(ISERROR(S12/K12),"NA",IF(OR(S12/K12&gt;2,S12/K12&lt;0.5),"NM",(S12/K12-1)*100))</f>
        <v>8.8969675809780888</v>
      </c>
      <c r="U12" s="373">
        <f>U188</f>
        <v>1.2751967194644922</v>
      </c>
      <c r="V12" s="42">
        <f>IF(ISERROR(U12/M12),"NA",IF(OR(U12/M12&gt;2,U12/M12&lt;0.5),"NM",(U12/M12-1)*100))</f>
        <v>8.1433062091316177</v>
      </c>
      <c r="W12" s="373">
        <f>W188</f>
        <v>1.3810561386497675</v>
      </c>
      <c r="X12" s="42">
        <f>IF(ISERROR(W12/O12),"NA",IF(OR(W12/O12&gt;2,W12/O12&lt;0.5),"NM",(W12/O12-1)*100))</f>
        <v>6.5696862895096242</v>
      </c>
      <c r="Y12" s="373">
        <f>Y188</f>
        <v>1.4049364358986758</v>
      </c>
      <c r="Z12" s="42">
        <f>IF(ISERROR(Y12/Q12),"NA",IF(OR(Y12/Q12&gt;2,Y12/Q12&lt;0.5),"NM",(Y12/Q12-1)*100))</f>
        <v>5.1557385800497402</v>
      </c>
      <c r="AA12" s="174"/>
      <c r="AB12" s="180"/>
      <c r="AC12" s="165"/>
      <c r="AD12" s="373">
        <f>AD188</f>
        <v>4.0097638096230863</v>
      </c>
      <c r="AE12" s="42"/>
      <c r="AF12" s="373">
        <f>AF188</f>
        <v>5.5037646540393101</v>
      </c>
      <c r="AG12" s="42">
        <f>IF(ISERROR(AF12/AD12),"NA",IF(OR(AF12/AD12&gt;2,AF12/AD12&lt;0.5),"NM",(AF12/AD12-1)*100))</f>
        <v>37.259073485344715</v>
      </c>
      <c r="AH12" s="373">
        <f>AH188</f>
        <v>4.0569110336552194</v>
      </c>
      <c r="AI12" s="42">
        <f>IF(ISERROR(AH12/AF12),"NA",IF(OR(AH12/AF12&gt;2,AH12/AF12&lt;0.5),"NM",(AH12/AF12-1)*100))</f>
        <v>-26.288435486103488</v>
      </c>
      <c r="AJ12" s="373">
        <f>AJ188</f>
        <v>3.7182006204756974</v>
      </c>
      <c r="AK12" s="42">
        <f>IF(ISERROR(AJ12/AH12),"NA",IF(OR(AJ12/AH12&gt;2,AJ12/AH12&lt;0.5),"NM",(AJ12/AH12-1)*100))</f>
        <v>-8.3489731564152301</v>
      </c>
      <c r="AL12" s="373">
        <f>AL188</f>
        <v>4.951505870342011</v>
      </c>
      <c r="AM12" s="42">
        <f>IF(ISERROR(AL12/AJ12),"NA",IF(OR(AL12/AJ12&gt;2,AL12/AJ12&lt;0.5),"NM",(AL12/AJ12-1)*100))</f>
        <v>33.169411114468787</v>
      </c>
      <c r="AN12" s="373">
        <f>AN188</f>
        <v>5.3027038017101802</v>
      </c>
      <c r="AO12" s="42">
        <f>IF(ISERROR(AN12/AL12),"NA",IF(OR(AN12/AL12&gt;2,AN12/AL12&lt;0.5),"NM",(AN12/AL12-1)*100))</f>
        <v>7.0927499747447831</v>
      </c>
      <c r="AP12" s="373">
        <f>AP188</f>
        <v>6.0499219337079184</v>
      </c>
      <c r="AQ12" s="42">
        <f>IF(ISERROR(AP12/AN12),"NA",IF(OR(AP12/AN12&gt;2,AP12/AN12&lt;0.5),"NM",(AP12/AN12-1)*100))</f>
        <v>14.091266643193467</v>
      </c>
      <c r="AR12" s="373">
        <f>AR188</f>
        <v>6.9536702210814187</v>
      </c>
      <c r="AS12" s="42">
        <f>IF(ISERROR(AR12/AP12),"NA",IF(OR(AR12/AP12&gt;2,AR12/AP12&lt;0.5),"NM",(AR12/AP12-1)*100))</f>
        <v>14.938180976156911</v>
      </c>
      <c r="AT12" s="373">
        <f>AT188</f>
        <v>7.554018532042952</v>
      </c>
      <c r="AU12" s="42">
        <f>IF(ISERROR(AT12/AR12),"NA",IF(OR(AT12/AR12&gt;2,AT12/AR12&lt;0.5),"NM",(AT12/AR12-1)*100))</f>
        <v>8.6335459099204712</v>
      </c>
      <c r="AV12" s="373">
        <f>AV188</f>
        <v>8.0977876883126356</v>
      </c>
      <c r="AW12" s="42">
        <f>IF(ISERROR(AV12/AT12),"NA",IF(OR(AV12/AT12&gt;2,AV12/AT12&lt;0.5),"NM",(AV12/AT12-1)*100))</f>
        <v>7.1984090846891835</v>
      </c>
      <c r="AX12" s="42">
        <f>IF(ISERROR(((AV12/AL12)^0.2-1)*100),"NA",IF((((AV12/AL12)^0.2-1)*100)&gt;100,"NM",IF((((AV12/AL12)^0.2-1)*100)&lt;-50,"NM",((AV12/AL12)^0.2-1)*100)))</f>
        <v>10.338180368171201</v>
      </c>
      <c r="AY12" s="175"/>
      <c r="AZ12" s="165"/>
      <c r="BA12"/>
      <c r="BB12"/>
      <c r="BC12"/>
      <c r="BD12"/>
      <c r="BE12"/>
      <c r="BF12"/>
      <c r="BG12" s="165"/>
      <c r="BH12" s="165"/>
      <c r="BI12" s="24"/>
      <c r="BJ12" s="24"/>
      <c r="BK12" s="24"/>
      <c r="BL12" s="24"/>
      <c r="BM12" s="24"/>
      <c r="BN12" s="24"/>
    </row>
    <row r="13" spans="1:66" s="439" customFormat="1" ht="12.75" customHeight="1">
      <c r="A13" s="165"/>
      <c r="B13" s="164" t="s">
        <v>39</v>
      </c>
      <c r="C13" s="373">
        <f>C189</f>
        <v>0.80601826974744761</v>
      </c>
      <c r="D13" s="45"/>
      <c r="E13" s="373">
        <f>E189</f>
        <v>0.95978552278820373</v>
      </c>
      <c r="F13" s="45"/>
      <c r="G13" s="373">
        <f>G189</f>
        <v>0.6350325379609546</v>
      </c>
      <c r="H13" s="42"/>
      <c r="I13" s="373">
        <f>I189</f>
        <v>1.4344262295081969</v>
      </c>
      <c r="J13" s="42"/>
      <c r="K13" s="373">
        <f>K189</f>
        <v>1.359918200408998</v>
      </c>
      <c r="L13" s="42">
        <f>IF(ISERROR(K13/C13),"NA",IF(OR(K13/C13&gt;2,K13/C13&lt;0.5),"NM",(K13/C13-1)*100))</f>
        <v>68.720518064076359</v>
      </c>
      <c r="M13" s="373">
        <f>M189</f>
        <v>1.4293006636038794</v>
      </c>
      <c r="N13" s="42">
        <f>IF(ISERROR(M13/E13),"NA",IF(OR(M13/E13&gt;2,M13/E13&lt;0.5),"NM",(M13/E13-1)*100))</f>
        <v>48.918756291689114</v>
      </c>
      <c r="O13" s="373">
        <f>O189</f>
        <v>1.1785714285714286</v>
      </c>
      <c r="P13" s="42">
        <f>IF(ISERROR(O13/G13),"NA",IF(OR(O13/G13&gt;2,O13/G13&lt;0.5),"NM",(O13/G13-1)*100))</f>
        <v>85.592289862144639</v>
      </c>
      <c r="Q13" s="373">
        <f>Q189</f>
        <v>1.6930137684854667</v>
      </c>
      <c r="R13" s="42">
        <f>IF(ISERROR(Q13/I13),"NA",IF(OR(Q13/I13&gt;2,Q13/I13&lt;0.5),"NM",(Q13/I13-1)*100))</f>
        <v>18.027245574415375</v>
      </c>
      <c r="S13" s="373">
        <f>S189</f>
        <v>1.2415145076972454</v>
      </c>
      <c r="T13" s="42">
        <f>IF(ISERROR(S13/K13),"NA",IF(OR(S13/K13&gt;2,S13/K13&lt;0.5),"NM",(S13/K13-1)*100))</f>
        <v>-8.706677554292785</v>
      </c>
      <c r="U13" s="373">
        <f>U189</f>
        <v>1.2751967194644922</v>
      </c>
      <c r="V13" s="42">
        <f>IF(ISERROR(U13/M13),"NA",IF(OR(U13/M13&gt;2,U13/M13&lt;0.5),"NM",(U13/M13-1)*100))</f>
        <v>-10.781772377466414</v>
      </c>
      <c r="W13" s="373">
        <f>W189</f>
        <v>1.3810561386497675</v>
      </c>
      <c r="X13" s="42">
        <f>IF(ISERROR(W13/O13),"NA",IF(OR(W13/O13&gt;2,W13/O13&lt;0.5),"NM",(W13/O13-1)*100))</f>
        <v>17.180520855131775</v>
      </c>
      <c r="Y13" s="373">
        <f>Y189</f>
        <v>1.4049364358986758</v>
      </c>
      <c r="Z13" s="42">
        <f>IF(ISERROR(Y13/Q13),"NA",IF(OR(Y13/Q13&gt;2,Y13/Q13&lt;0.5),"NM",(Y13/Q13-1)*100))</f>
        <v>-17.015652084418587</v>
      </c>
      <c r="AA13" s="174"/>
      <c r="AB13" s="181"/>
      <c r="AC13" s="165"/>
      <c r="AD13" s="373">
        <f>AD189</f>
        <v>6.7460627698294813</v>
      </c>
      <c r="AE13" s="42" t="str">
        <f>IF(ISERROR(AD13/#REF!),"NA",IF(OR(AD13/#REF!&gt;2,AD13/#REF!&lt;0.5),"NM",(AD13/#REF!-1)*100))</f>
        <v>NA</v>
      </c>
      <c r="AF13" s="373">
        <f>AF189</f>
        <v>5.9368328280871303</v>
      </c>
      <c r="AG13" s="42">
        <f>IF(ISERROR(AF13/AD13),"NA",IF(OR(AF13/AD13&gt;2,AF13/AD13&lt;0.5),"NM",(AF13/AD13-1)*100))</f>
        <v>-11.995588676723889</v>
      </c>
      <c r="AH13" s="373">
        <f>AH189</f>
        <v>4.2283298097251585</v>
      </c>
      <c r="AI13" s="42">
        <f>IF(ISERROR(AH13/AF13),"NA",IF(OR(AH13/AF13&gt;2,AH13/AF13&lt;0.5),"NM",(AH13/AF13-1)*100))</f>
        <v>-28.778021342946559</v>
      </c>
      <c r="AJ13" s="373">
        <f>AJ189</f>
        <v>3.7543950361944152</v>
      </c>
      <c r="AK13" s="42">
        <f>IF(ISERROR(AJ13/AH13),"NA",IF(OR(AJ13/AH13&gt;2,AJ13/AH13&lt;0.5),"NM",(AJ13/AH13-1)*100))</f>
        <v>-11.208557394002083</v>
      </c>
      <c r="AL13" s="373">
        <f>AL189</f>
        <v>5.6610515569167941</v>
      </c>
      <c r="AM13" s="42">
        <f>IF(ISERROR(AL13/AJ13),"NA",IF(OR(AL13/AJ13&gt;2,AL13/AJ13&lt;0.5),"NM",(AL13/AJ13-1)*100))</f>
        <v>50.784653781532583</v>
      </c>
      <c r="AN13" s="373">
        <f>AN189</f>
        <v>5.3027038017101802</v>
      </c>
      <c r="AO13" s="42">
        <f>IF(ISERROR(AN13/AL13),"NA",IF(OR(AN13/AL13&gt;2,AN13/AL13&lt;0.5),"NM",(AN13/AL13-1)*100))</f>
        <v>-6.3300563791682247</v>
      </c>
      <c r="AP13" s="373">
        <f>AP189</f>
        <v>6.0499219337079184</v>
      </c>
      <c r="AQ13" s="42">
        <f>IF(ISERROR(AP13/AN13),"NA",IF(OR(AP13/AN13&gt;2,AP13/AN13&lt;0.5),"NM",(AP13/AN13-1)*100))</f>
        <v>14.091266643193467</v>
      </c>
      <c r="AR13" s="373">
        <f>AR189</f>
        <v>6.9536702210814187</v>
      </c>
      <c r="AS13" s="42">
        <f>IF(ISERROR(AR13/AP13),"NA",IF(OR(AR13/AP13&gt;2,AR13/AP13&lt;0.5),"NM",(AR13/AP13-1)*100))</f>
        <v>14.938180976156911</v>
      </c>
      <c r="AT13" s="373">
        <f>AT189</f>
        <v>7.554018532042952</v>
      </c>
      <c r="AU13" s="42">
        <f>IF(ISERROR(AT13/AR13),"NA",IF(OR(AT13/AR13&gt;2,AT13/AR13&lt;0.5),"NM",(AT13/AR13-1)*100))</f>
        <v>8.6335459099204712</v>
      </c>
      <c r="AV13" s="373">
        <f>AV189</f>
        <v>8.0977876883126356</v>
      </c>
      <c r="AW13" s="42">
        <f>IF(ISERROR(AV13/AT13),"NA",IF(OR(AV13/AT13&gt;2,AV13/AT13&lt;0.5),"NM",(AV13/AT13-1)*100))</f>
        <v>7.1984090846891835</v>
      </c>
      <c r="AX13" s="42">
        <f>IF(ISERROR(((AV13/AL13)^0.2-1)*100),"NA",IF((((AV13/AL13)^0.2-1)*100)&gt;100,"NM",IF((((AV13/AL13)^0.2-1)*100)&lt;-50,"NM",((AV13/AL13)^0.2-1)*100)))</f>
        <v>7.4221536771631236</v>
      </c>
      <c r="AY13" s="175"/>
      <c r="AZ13" s="165"/>
      <c r="BA13"/>
      <c r="BB13"/>
      <c r="BC13"/>
      <c r="BD13"/>
      <c r="BE13"/>
      <c r="BF13"/>
      <c r="BG13" s="165"/>
      <c r="BH13" s="165"/>
      <c r="BI13" s="24"/>
      <c r="BJ13" s="24"/>
      <c r="BK13" s="24"/>
      <c r="BL13" s="24"/>
      <c r="BM13" s="24"/>
      <c r="BN13" s="24"/>
    </row>
    <row r="14" spans="1:66" s="439" customFormat="1" ht="12.75" hidden="1" customHeight="1" outlineLevel="1">
      <c r="A14" s="165"/>
      <c r="B14" s="164"/>
      <c r="C14" s="44"/>
      <c r="D14" s="45"/>
      <c r="E14" s="44"/>
      <c r="F14" s="45"/>
      <c r="G14" s="44"/>
      <c r="H14" s="42"/>
      <c r="I14" s="44"/>
      <c r="J14" s="42"/>
      <c r="K14" s="44"/>
      <c r="L14" s="42"/>
      <c r="M14" s="44"/>
      <c r="N14" s="42"/>
      <c r="O14" s="46"/>
      <c r="P14" s="42"/>
      <c r="Q14" s="46"/>
      <c r="R14" s="42"/>
      <c r="S14" s="46"/>
      <c r="T14" s="42"/>
      <c r="U14" s="46"/>
      <c r="V14" s="42"/>
      <c r="W14" s="46"/>
      <c r="X14" s="42"/>
      <c r="Y14" s="46"/>
      <c r="Z14" s="42"/>
      <c r="AA14" s="174"/>
      <c r="AB14" s="181"/>
      <c r="AC14" s="165"/>
      <c r="AD14" s="46"/>
      <c r="AE14" s="42"/>
      <c r="AF14" s="46"/>
      <c r="AG14" s="42"/>
      <c r="AH14" s="46"/>
      <c r="AI14" s="42"/>
      <c r="AJ14" s="46"/>
      <c r="AK14" s="42"/>
      <c r="AL14" s="46"/>
      <c r="AM14" s="42"/>
      <c r="AN14" s="46"/>
      <c r="AO14" s="42"/>
      <c r="AP14" s="46"/>
      <c r="AQ14" s="42"/>
      <c r="AR14" s="46"/>
      <c r="AS14" s="42"/>
      <c r="AT14" s="46"/>
      <c r="AU14" s="42"/>
      <c r="AV14" s="46"/>
      <c r="AW14" s="42"/>
      <c r="AX14" s="42"/>
      <c r="AY14" s="175"/>
      <c r="AZ14" s="165"/>
      <c r="BA14"/>
      <c r="BB14"/>
      <c r="BC14"/>
      <c r="BD14"/>
      <c r="BE14"/>
      <c r="BF14"/>
      <c r="BG14" s="165"/>
      <c r="BH14" s="165"/>
      <c r="BI14" s="24"/>
      <c r="BJ14" s="24"/>
      <c r="BK14" s="24"/>
      <c r="BL14" s="24"/>
      <c r="BM14" s="24"/>
      <c r="BN14" s="24"/>
    </row>
    <row r="15" spans="1:66" s="439" customFormat="1" ht="12.75" hidden="1" customHeight="1" outlineLevel="1">
      <c r="A15" s="164" t="s">
        <v>127</v>
      </c>
      <c r="B15" s="164" t="s">
        <v>127</v>
      </c>
      <c r="C15" s="164"/>
      <c r="D15" s="164"/>
      <c r="E15" s="164"/>
      <c r="F15" s="164"/>
      <c r="G15" s="164"/>
      <c r="H15" s="164"/>
      <c r="I15" s="164"/>
      <c r="J15" s="164"/>
      <c r="K15" s="164"/>
      <c r="L15" s="164"/>
      <c r="M15" s="164"/>
      <c r="N15" s="164"/>
      <c r="O15" s="164"/>
      <c r="P15" s="164"/>
      <c r="Q15" s="164"/>
      <c r="R15" s="164"/>
      <c r="S15" s="164"/>
      <c r="T15" s="164"/>
      <c r="U15" s="164"/>
      <c r="V15" s="164"/>
      <c r="W15" s="164"/>
      <c r="X15" s="164"/>
      <c r="Y15" s="164"/>
      <c r="Z15" s="164"/>
      <c r="AA15" s="164"/>
      <c r="AB15" s="181"/>
      <c r="AC15" s="164"/>
      <c r="AD15" s="164"/>
      <c r="AE15" s="164"/>
      <c r="AF15" s="164"/>
      <c r="AG15" s="164"/>
      <c r="AH15" s="164"/>
      <c r="AI15" s="164"/>
      <c r="AJ15" s="164"/>
      <c r="AK15" s="164"/>
      <c r="AL15" s="164"/>
      <c r="AM15" s="164"/>
      <c r="AN15" s="164"/>
      <c r="AO15" s="164"/>
      <c r="AP15" s="164"/>
      <c r="AQ15" s="164"/>
      <c r="AR15" s="164"/>
      <c r="AS15" s="164"/>
      <c r="AT15" s="164"/>
      <c r="AU15" s="164"/>
      <c r="AV15" s="164"/>
      <c r="AW15" s="164"/>
      <c r="AX15" s="164"/>
      <c r="AY15" s="164"/>
      <c r="AZ15" s="164"/>
      <c r="BA15"/>
      <c r="BB15"/>
      <c r="BC15"/>
      <c r="BD15"/>
      <c r="BE15"/>
      <c r="BF15"/>
      <c r="BG15" s="164"/>
      <c r="BH15" s="164"/>
      <c r="BI15"/>
      <c r="BJ15"/>
      <c r="BK15"/>
      <c r="BL15"/>
      <c r="BM15"/>
      <c r="BN15" s="24"/>
    </row>
    <row r="16" spans="1:66" s="439" customFormat="1" ht="12.75" hidden="1" customHeight="1" outlineLevel="1">
      <c r="A16" s="163" t="s">
        <v>128</v>
      </c>
      <c r="B16" s="163" t="s">
        <v>128</v>
      </c>
      <c r="C16" s="167">
        <v>0.7730168204546084</v>
      </c>
      <c r="D16" s="150"/>
      <c r="E16" s="167">
        <v>1.2582185526894829</v>
      </c>
      <c r="F16" s="150"/>
      <c r="G16" s="167">
        <v>3.1061033310349817</v>
      </c>
      <c r="H16" s="208"/>
      <c r="I16" s="167">
        <v>3.2542121833731175</v>
      </c>
      <c r="J16" s="208"/>
      <c r="K16" s="167">
        <v>5.5336986521396625</v>
      </c>
      <c r="L16" s="208"/>
      <c r="M16" s="167">
        <v>2.5686496918805535</v>
      </c>
      <c r="N16" s="167"/>
      <c r="O16" s="167">
        <v>3.6</v>
      </c>
      <c r="P16" s="208"/>
      <c r="Q16" s="167">
        <v>6.1</v>
      </c>
      <c r="R16" s="208"/>
      <c r="S16" s="208">
        <v>-1.2</v>
      </c>
      <c r="T16" s="208"/>
      <c r="U16" s="208">
        <v>2</v>
      </c>
      <c r="V16" s="208"/>
      <c r="W16" s="208">
        <v>2</v>
      </c>
      <c r="X16" s="208"/>
      <c r="Y16" s="208">
        <v>2</v>
      </c>
      <c r="Z16" s="208"/>
      <c r="AA16" s="163"/>
      <c r="AB16" s="181"/>
      <c r="AC16" s="163"/>
      <c r="AD16" s="163"/>
      <c r="AE16" s="163"/>
      <c r="AF16" s="163"/>
      <c r="AG16" s="163"/>
      <c r="AH16" s="163"/>
      <c r="AI16" s="163"/>
      <c r="AJ16" s="163"/>
      <c r="AK16" s="163"/>
      <c r="AL16" s="163"/>
      <c r="AM16" s="163"/>
      <c r="AN16" s="163"/>
      <c r="AO16" s="163"/>
      <c r="AP16" s="208">
        <v>8</v>
      </c>
      <c r="AQ16" s="163"/>
      <c r="AR16" s="208">
        <f>AP16</f>
        <v>8</v>
      </c>
      <c r="AS16" s="163"/>
      <c r="AT16" s="208">
        <f>AR16</f>
        <v>8</v>
      </c>
      <c r="AU16" s="163"/>
      <c r="AV16" s="208">
        <f>AT16</f>
        <v>8</v>
      </c>
      <c r="AW16" s="163"/>
      <c r="AX16" s="163"/>
      <c r="AY16" s="163"/>
      <c r="AZ16" s="163"/>
      <c r="BA16"/>
      <c r="BB16"/>
      <c r="BC16"/>
      <c r="BD16"/>
      <c r="BE16"/>
      <c r="BF16"/>
      <c r="BG16" s="163"/>
      <c r="BH16" s="163"/>
      <c r="BI16"/>
      <c r="BJ16"/>
      <c r="BK16"/>
      <c r="BL16"/>
      <c r="BM16"/>
      <c r="BN16" s="24"/>
    </row>
    <row r="17" spans="1:66" s="439" customFormat="1" ht="12.75" hidden="1" customHeight="1" outlineLevel="1">
      <c r="A17" s="166" t="s">
        <v>129</v>
      </c>
      <c r="B17" s="166" t="s">
        <v>129</v>
      </c>
      <c r="C17" s="168"/>
      <c r="D17" s="169"/>
      <c r="E17" s="168"/>
      <c r="F17" s="169"/>
      <c r="G17" s="168">
        <f>IF($B$6=1,G16,IF($B$6=2,G16+#REF!,IF($B$6=3,G16+#REF!,NA)))</f>
        <v>3.1061033310349817</v>
      </c>
      <c r="H17" s="169"/>
      <c r="I17" s="168">
        <f>IF($B$6=1,I16,IF($B$6=2,I16+#REF!,IF($B$6=3,I16+#REF!,NA)))</f>
        <v>3.2542121833731175</v>
      </c>
      <c r="J17" s="169"/>
      <c r="K17" s="168">
        <f>IF($B$6=1,K16,IF($B$6=2,K16+#REF!,IF($B$6=3,K16+#REF!,NA)))</f>
        <v>5.5336986521396625</v>
      </c>
      <c r="L17" s="169"/>
      <c r="M17" s="168">
        <f>IF($B$6=1,M16,IF($B$6=2,M16+#REF!,IF($B$6=3,M16+#REF!,NA)))</f>
        <v>2.5686496918805535</v>
      </c>
      <c r="N17" s="169"/>
      <c r="O17" s="168">
        <f>IF($B$6=1,O16,IF($B$6=2,O16+#REF!,IF($B$6=3,O16+#REF!,NA)))</f>
        <v>3.6</v>
      </c>
      <c r="P17" s="169"/>
      <c r="Q17" s="168">
        <f>IF($B$6=1,Q16,IF($B$6=2,Q16+#REF!,IF($B$6=3,Q16+#REF!,NA)))</f>
        <v>6.1</v>
      </c>
      <c r="R17" s="169"/>
      <c r="S17" s="168">
        <f>IF($B$6=1,S16,IF($B$6=2,S16+#REF!,IF($B$6=3,S16+#REF!,NA)))</f>
        <v>-1.2</v>
      </c>
      <c r="T17" s="169"/>
      <c r="U17" s="168">
        <f>IF($B$6=1,U16,IF($B$6=2,U16+#REF!,IF($B$6=3,U16+#REF!,NA)))</f>
        <v>2</v>
      </c>
      <c r="V17" s="169"/>
      <c r="W17" s="168">
        <f>IF($B$6=1,W16,IF($B$6=2,W16+#REF!,IF($B$6=3,W16+#REF!,NA)))</f>
        <v>2</v>
      </c>
      <c r="X17" s="169"/>
      <c r="Y17" s="168">
        <f>IF($B$6=1,Y16,IF($B$6=2,Y16+#REF!,IF($B$6=3,Y16+#REF!,NA)))</f>
        <v>2</v>
      </c>
      <c r="Z17" s="169"/>
      <c r="AA17" s="166"/>
      <c r="AB17" s="181"/>
      <c r="AC17" s="166"/>
      <c r="AD17" s="166"/>
      <c r="AE17" s="166"/>
      <c r="AF17" s="166"/>
      <c r="AG17" s="166"/>
      <c r="AH17" s="166"/>
      <c r="AI17" s="166"/>
      <c r="AJ17" s="166"/>
      <c r="AK17" s="166"/>
      <c r="AL17" s="166"/>
      <c r="AM17" s="166"/>
      <c r="AN17" s="166"/>
      <c r="AO17" s="166"/>
      <c r="AP17" s="168">
        <f>IF($B$6=1,AP16,IF($B$6=2,AP16+#REF!,IF($B$6=3,AP16+#REF!,NA)))</f>
        <v>8</v>
      </c>
      <c r="AQ17" s="166"/>
      <c r="AR17" s="168">
        <f>IF($B$6=1,AR16,IF($B$6=2,AR16+#REF!,IF($B$6=3,AR16+#REF!,NA)))</f>
        <v>8</v>
      </c>
      <c r="AS17" s="166"/>
      <c r="AT17" s="168">
        <f>IF($B$6=1,AT16,IF($B$6=2,AT16+#REF!,IF($B$6=3,AT16+#REF!,NA)))</f>
        <v>8</v>
      </c>
      <c r="AU17" s="166"/>
      <c r="AV17" s="168">
        <f>IF($B$6=1,AV16,IF($B$6=2,AV16+#REF!,IF($B$6=3,AV16+#REF!,NA)))</f>
        <v>8</v>
      </c>
      <c r="AW17" s="166"/>
      <c r="AX17" s="166"/>
      <c r="AY17" s="166"/>
      <c r="AZ17" s="166"/>
      <c r="BA17"/>
      <c r="BB17"/>
      <c r="BC17"/>
      <c r="BD17"/>
      <c r="BE17"/>
      <c r="BF17"/>
      <c r="BG17" s="166"/>
      <c r="BH17" s="166"/>
      <c r="BI17"/>
      <c r="BJ17"/>
      <c r="BK17"/>
      <c r="BL17"/>
      <c r="BM17"/>
      <c r="BN17" s="24"/>
    </row>
    <row r="18" spans="1:66" s="439" customFormat="1" ht="12.75" hidden="1" customHeight="1" outlineLevel="1">
      <c r="A18" s="163" t="s">
        <v>130</v>
      </c>
      <c r="B18" s="163" t="s">
        <v>130</v>
      </c>
      <c r="C18" s="208">
        <v>0.8</v>
      </c>
      <c r="D18" s="170"/>
      <c r="E18" s="208">
        <v>1.3</v>
      </c>
      <c r="F18" s="170"/>
      <c r="G18" s="208">
        <f>G17</f>
        <v>3.1061033310349817</v>
      </c>
      <c r="H18" s="170"/>
      <c r="I18" s="208">
        <f>I17</f>
        <v>3.2542121833731175</v>
      </c>
      <c r="J18" s="170"/>
      <c r="K18" s="208">
        <f>K17</f>
        <v>5.5336986521396625</v>
      </c>
      <c r="L18" s="170"/>
      <c r="M18" s="208">
        <f>M17</f>
        <v>2.5686496918805535</v>
      </c>
      <c r="N18" s="170"/>
      <c r="O18" s="171">
        <f>O17</f>
        <v>3.6</v>
      </c>
      <c r="P18" s="170"/>
      <c r="Q18" s="171">
        <f>Q17</f>
        <v>6.1</v>
      </c>
      <c r="R18" s="170"/>
      <c r="S18" s="171">
        <f>S17</f>
        <v>-1.2</v>
      </c>
      <c r="T18" s="170"/>
      <c r="U18" s="171">
        <f>U17</f>
        <v>2</v>
      </c>
      <c r="V18" s="170"/>
      <c r="W18" s="171">
        <f>W17</f>
        <v>2</v>
      </c>
      <c r="X18" s="170"/>
      <c r="Y18" s="171">
        <f>Y17</f>
        <v>2</v>
      </c>
      <c r="Z18" s="170"/>
      <c r="AA18" s="163"/>
      <c r="AB18" s="181"/>
      <c r="AC18" s="163"/>
      <c r="AD18" s="163"/>
      <c r="AE18" s="163"/>
      <c r="AF18" s="163"/>
      <c r="AG18" s="163"/>
      <c r="AH18" s="163"/>
      <c r="AI18" s="163"/>
      <c r="AJ18" s="163"/>
      <c r="AK18" s="163"/>
      <c r="AL18" s="163"/>
      <c r="AM18" s="163"/>
      <c r="AN18" s="163"/>
      <c r="AO18" s="163"/>
      <c r="AP18" s="171">
        <f>AP17</f>
        <v>8</v>
      </c>
      <c r="AQ18" s="163"/>
      <c r="AR18" s="171">
        <f>AR17</f>
        <v>8</v>
      </c>
      <c r="AS18" s="163"/>
      <c r="AT18" s="171">
        <f>AT17</f>
        <v>8</v>
      </c>
      <c r="AU18" s="163"/>
      <c r="AV18" s="171">
        <f>AV17</f>
        <v>8</v>
      </c>
      <c r="AW18" s="163"/>
      <c r="AX18" s="163"/>
      <c r="AY18" s="163"/>
      <c r="AZ18" s="163"/>
      <c r="BA18"/>
      <c r="BB18"/>
      <c r="BC18"/>
      <c r="BD18"/>
      <c r="BE18"/>
      <c r="BF18"/>
      <c r="BG18" s="163"/>
      <c r="BH18" s="163"/>
      <c r="BI18"/>
      <c r="BJ18"/>
      <c r="BK18"/>
      <c r="BL18"/>
      <c r="BM18"/>
      <c r="BN18" s="24"/>
    </row>
    <row r="19" spans="1:66" s="435" customFormat="1" ht="12.75" customHeight="1" collapsed="1">
      <c r="A19" s="47"/>
      <c r="B19" s="48" t="s">
        <v>131</v>
      </c>
      <c r="C19" s="265"/>
      <c r="D19" s="50"/>
      <c r="E19" s="49"/>
      <c r="F19" s="50"/>
      <c r="G19" s="49"/>
      <c r="H19" s="50"/>
      <c r="I19" s="49"/>
      <c r="J19" s="50"/>
      <c r="K19" s="49"/>
      <c r="L19" s="50"/>
      <c r="M19" s="49"/>
      <c r="N19" s="50"/>
      <c r="O19" s="49"/>
      <c r="P19" s="50"/>
      <c r="Q19" s="49"/>
      <c r="R19" s="50"/>
      <c r="S19" s="49"/>
      <c r="T19" s="50"/>
      <c r="U19" s="49"/>
      <c r="V19" s="50"/>
      <c r="W19" s="49"/>
      <c r="X19" s="50"/>
      <c r="Y19" s="49"/>
      <c r="Z19" s="50"/>
      <c r="AA19" s="51"/>
      <c r="AB19" s="180"/>
      <c r="AC19" s="49"/>
      <c r="AD19" s="49"/>
      <c r="AE19" s="50"/>
      <c r="AF19" s="49"/>
      <c r="AG19" s="50"/>
      <c r="AH19" s="49"/>
      <c r="AI19" s="50"/>
      <c r="AJ19" s="49"/>
      <c r="AK19" s="50"/>
      <c r="AL19" s="49"/>
      <c r="AM19" s="50"/>
      <c r="AN19" s="49"/>
      <c r="AO19" s="50"/>
      <c r="AP19" s="49"/>
      <c r="AQ19" s="50"/>
      <c r="AR19" s="49"/>
      <c r="AS19" s="50"/>
      <c r="AT19" s="49"/>
      <c r="AU19" s="50"/>
      <c r="AV19" s="49"/>
      <c r="AW19" s="50"/>
      <c r="AX19" s="50"/>
      <c r="AY19" s="52"/>
      <c r="AZ19" s="47"/>
      <c r="BA19"/>
      <c r="BB19"/>
      <c r="BC19"/>
      <c r="BD19"/>
      <c r="BE19"/>
      <c r="BF19"/>
      <c r="BG19" s="53"/>
      <c r="BH19" s="51"/>
      <c r="BI19"/>
      <c r="BJ19"/>
      <c r="BK19"/>
      <c r="BL19"/>
      <c r="BM19"/>
      <c r="BN19" s="24"/>
    </row>
    <row r="20" spans="1:66" s="248" customFormat="1" ht="12.75" customHeight="1">
      <c r="A20" s="54"/>
      <c r="B20" s="55"/>
      <c r="C20" s="56"/>
      <c r="D20" s="57"/>
      <c r="E20" s="56"/>
      <c r="F20" s="57"/>
      <c r="G20" s="56"/>
      <c r="H20" s="57"/>
      <c r="I20" s="56"/>
      <c r="J20" s="57"/>
      <c r="K20" s="56"/>
      <c r="L20" s="57"/>
      <c r="M20" s="56"/>
      <c r="N20" s="57"/>
      <c r="O20" s="56"/>
      <c r="P20" s="57"/>
      <c r="Q20" s="56"/>
      <c r="R20" s="57"/>
      <c r="S20" s="56"/>
      <c r="T20" s="57"/>
      <c r="U20" s="56"/>
      <c r="V20" s="57"/>
      <c r="W20" s="56"/>
      <c r="X20" s="57"/>
      <c r="Y20" s="56"/>
      <c r="Z20" s="57"/>
      <c r="AA20" s="54"/>
      <c r="AB20" s="180"/>
      <c r="AC20" s="56"/>
      <c r="AD20" s="56"/>
      <c r="AE20" s="57"/>
      <c r="AF20" s="56"/>
      <c r="AG20" s="57"/>
      <c r="AH20" s="56"/>
      <c r="AI20" s="57"/>
      <c r="AJ20" s="273"/>
      <c r="AK20" s="57"/>
      <c r="AL20" s="56"/>
      <c r="AM20" s="57"/>
      <c r="AN20" s="56"/>
      <c r="AO20" s="57"/>
      <c r="AP20" s="56"/>
      <c r="AQ20" s="57"/>
      <c r="AR20" s="56"/>
      <c r="AS20" s="57"/>
      <c r="AT20" s="56"/>
      <c r="AU20" s="57"/>
      <c r="AV20" s="56"/>
      <c r="AW20" s="57"/>
      <c r="AX20" s="57"/>
      <c r="AY20" s="58"/>
      <c r="AZ20" s="59"/>
      <c r="BA20"/>
      <c r="BB20"/>
      <c r="BC20"/>
      <c r="BD20"/>
      <c r="BE20"/>
      <c r="BF20"/>
      <c r="BG20" s="31"/>
      <c r="BH20" s="54"/>
      <c r="BI20"/>
      <c r="BJ20"/>
      <c r="BK20"/>
      <c r="BL20"/>
      <c r="BM20"/>
      <c r="BN20" s="24"/>
    </row>
    <row r="21" spans="1:66" s="248" customFormat="1" ht="12.75" customHeight="1">
      <c r="A21" s="54"/>
      <c r="B21" s="202" t="s">
        <v>136</v>
      </c>
      <c r="C21" s="54"/>
      <c r="D21" s="57"/>
      <c r="E21" s="56"/>
      <c r="F21" s="57"/>
      <c r="G21" s="56"/>
      <c r="H21" s="57"/>
      <c r="I21" s="56"/>
      <c r="J21" s="57"/>
      <c r="K21" s="56"/>
      <c r="L21" s="57"/>
      <c r="M21" s="56"/>
      <c r="N21" s="57"/>
      <c r="O21" s="56"/>
      <c r="P21" s="57"/>
      <c r="Q21" s="56"/>
      <c r="R21" s="57"/>
      <c r="S21" s="56"/>
      <c r="T21" s="57"/>
      <c r="U21" s="56"/>
      <c r="V21" s="57"/>
      <c r="W21" s="56"/>
      <c r="X21" s="57"/>
      <c r="Y21" s="56"/>
      <c r="Z21" s="57"/>
      <c r="AA21" s="54"/>
      <c r="AB21" s="183"/>
      <c r="AC21" s="56"/>
      <c r="AD21" s="56"/>
      <c r="AE21" s="57"/>
      <c r="AF21" s="56"/>
      <c r="AG21" s="57"/>
      <c r="AH21" s="56"/>
      <c r="AI21" s="57"/>
      <c r="AJ21" s="56"/>
      <c r="AK21" s="57"/>
      <c r="AL21" s="56"/>
      <c r="AM21" s="57"/>
      <c r="AN21" s="56"/>
      <c r="AO21" s="57"/>
      <c r="AP21" s="56"/>
      <c r="AQ21" s="57"/>
      <c r="AR21" s="56"/>
      <c r="AS21" s="57"/>
      <c r="AT21" s="56"/>
      <c r="AU21" s="57"/>
      <c r="AV21" s="56"/>
      <c r="AW21" s="57"/>
      <c r="AX21" s="57"/>
      <c r="AY21" s="58"/>
      <c r="AZ21" s="59"/>
      <c r="BA21"/>
      <c r="BB21"/>
      <c r="BC21"/>
      <c r="BD21"/>
      <c r="BE21"/>
      <c r="BF21"/>
      <c r="BG21" s="161"/>
      <c r="BH21" s="54"/>
      <c r="BI21"/>
      <c r="BJ21"/>
      <c r="BK21"/>
      <c r="BL21"/>
      <c r="BM21"/>
      <c r="BN21" s="24"/>
    </row>
    <row r="22" spans="1:66" s="248" customFormat="1" ht="12.75" customHeight="1">
      <c r="A22" s="54"/>
      <c r="B22" s="203" t="s">
        <v>137</v>
      </c>
      <c r="C22" s="69">
        <v>59854</v>
      </c>
      <c r="D22" s="135"/>
      <c r="E22" s="209">
        <f>C32</f>
        <v>60710</v>
      </c>
      <c r="F22" s="135"/>
      <c r="G22" s="209">
        <f>E32</f>
        <v>62651</v>
      </c>
      <c r="H22" s="135"/>
      <c r="I22" s="209">
        <f>G32</f>
        <v>65097</v>
      </c>
      <c r="J22" s="135"/>
      <c r="K22" s="209">
        <f>I32</f>
        <v>65745</v>
      </c>
      <c r="L22" s="135">
        <f>IF(ISERROR(K22/C22),"NA",IF(OR(K22/C22&gt;2,K22/C22&lt;0.5),"NM",(K22/C22-1)*100))</f>
        <v>9.8422828883616873</v>
      </c>
      <c r="M22" s="209">
        <f>K32</f>
        <v>67013</v>
      </c>
      <c r="N22" s="135">
        <f>IF(ISERROR(M22/E22),"NA",IF(OR(M22/E22&gt;2,M22/E22&lt;0.5),"NM",(M22/E22-1)*100))</f>
        <v>10.38214462197331</v>
      </c>
      <c r="O22" s="209">
        <f>M32</f>
        <v>69719</v>
      </c>
      <c r="P22" s="135">
        <f>IF(ISERROR(O22/G22),"NA",IF(OR(O22/G22&gt;2,O22/G22&lt;0.5),"NM",(O22/G22-1)*100))</f>
        <v>11.281543790202875</v>
      </c>
      <c r="Q22" s="209">
        <f>O32</f>
        <v>72100</v>
      </c>
      <c r="R22" s="135">
        <f>IF(ISERROR(Q22/I22),"NA",IF(OR(Q22/I22&gt;2,Q22/I22&lt;0.5),"NM",(Q22/I22-1)*100))</f>
        <v>10.757792217767337</v>
      </c>
      <c r="S22" s="209">
        <f>Q32</f>
        <v>75378</v>
      </c>
      <c r="T22" s="135">
        <f>IF(ISERROR(S22/K22),"NA",IF(OR(S22/K22&gt;2,S22/K22&lt;0.5),"NM",(S22/K22-1)*100))</f>
        <v>14.652064795801966</v>
      </c>
      <c r="U22" s="209">
        <f>S32</f>
        <v>77205.129000000001</v>
      </c>
      <c r="V22" s="135">
        <f>IF(ISERROR(U22/M22),"NA",IF(OR(U22/M22&gt;2,U22/M22&lt;0.5),"NM",(U22/M22-1)*100))</f>
        <v>15.209181800546157</v>
      </c>
      <c r="W22" s="209">
        <f>U32</f>
        <v>79296.628984499999</v>
      </c>
      <c r="X22" s="135">
        <f>IF(ISERROR(W22/O22),"NA",IF(OR(W22/O22&gt;2,W22/O22&lt;0.5),"NM",(W22/O22-1)*100))</f>
        <v>13.73747326338588</v>
      </c>
      <c r="Y22" s="209">
        <f>W32</f>
        <v>100397.34471930224</v>
      </c>
      <c r="Z22" s="135">
        <f>IF(ISERROR(Y22/Q22),"NA",IF(OR(Y22/Q22&gt;2,Y22/Q22&lt;0.5),"NM",(Y22/Q22-1)*100))</f>
        <v>39.247357447021145</v>
      </c>
      <c r="AA22" s="54"/>
      <c r="AB22" s="184"/>
      <c r="AC22" s="64"/>
      <c r="AD22" s="209">
        <v>13733</v>
      </c>
      <c r="AE22" s="61" t="str">
        <f>IF(ISERROR(AD22/#REF!),"NA",IF(OR(AD22/#REF!&gt;2,AD22/#REF!&lt;0.5),"NM",(AD22/#REF!-1)*100))</f>
        <v>NA</v>
      </c>
      <c r="AF22" s="209">
        <f>AD32</f>
        <v>60442</v>
      </c>
      <c r="AG22" s="61" t="str">
        <f>IF(ISERROR(AF22/AD22),"NA",IF(OR(AF22/AD22&gt;2,AF22/AD22&lt;0.5),"NM",(AF22/AD22-1)*100))</f>
        <v>NM</v>
      </c>
      <c r="AH22" s="209">
        <f>AF32</f>
        <v>60024</v>
      </c>
      <c r="AI22" s="61">
        <f>IF(ISERROR(AH22/AF22),"NA",IF(OR(AH22/AF22&gt;2,AH22/AF22&lt;0.5),"NM",(AH22/AF22-1)*100))</f>
        <v>-0.69157208563581651</v>
      </c>
      <c r="AJ22" s="209">
        <f>AH32</f>
        <v>59854</v>
      </c>
      <c r="AK22" s="61">
        <f>IF(ISERROR(AJ22/AH22),"NA",IF(OR(AJ22/AH22&gt;2,AJ22/AH22&lt;0.5),"NM",(AJ22/AH22-1)*100))</f>
        <v>-0.28322004531520228</v>
      </c>
      <c r="AL22" s="209">
        <f>AJ32</f>
        <v>65745</v>
      </c>
      <c r="AM22" s="61">
        <f t="shared" ref="AM22:AM27" si="0">IF(ISERROR(AL22/AJ22),"NA",IF(OR(AL22/AJ22&gt;2,AL22/AJ22&lt;0.5),"NM",(AL22/AJ22-1)*100))</f>
        <v>9.8422828883616873</v>
      </c>
      <c r="AN22" s="209">
        <f>AL32</f>
        <v>75378</v>
      </c>
      <c r="AO22" s="61">
        <f t="shared" ref="AO22:AS27" si="1">IF(ISERROR(AN22/AL22),"NA",IF(OR(AN22/AL22&gt;2,AN22/AL22&lt;0.5),"NM",(AN22/AL22-1)*100))</f>
        <v>14.652064795801966</v>
      </c>
      <c r="AP22" s="209">
        <f>AN32</f>
        <v>102086.59649727585</v>
      </c>
      <c r="AQ22" s="61">
        <f t="shared" si="1"/>
        <v>35.432880279757818</v>
      </c>
      <c r="AR22" s="209">
        <f>AP32</f>
        <v>108066.80281252103</v>
      </c>
      <c r="AS22" s="61">
        <f t="shared" si="1"/>
        <v>5.8579740342354913</v>
      </c>
      <c r="AT22" s="209">
        <f>AR32</f>
        <v>114666.54055939414</v>
      </c>
      <c r="AU22" s="61">
        <f t="shared" ref="AU22:AU27" si="2">IF(ISERROR(AT22/AR22),"NA",IF(OR(AT22/AR22&gt;2,AT22/AR22&lt;0.5),"NM",(AT22/AR22-1)*100))</f>
        <v>6.1070907763623117</v>
      </c>
      <c r="AV22" s="209">
        <f>AT32</f>
        <v>121957.78940904867</v>
      </c>
      <c r="AW22" s="61">
        <f t="shared" ref="AW22:AW27" si="3">IF(ISERROR(AV22/AT22),"NA",IF(OR(AV22/AT22&gt;2,AV22/AT22&lt;0.5),"NM",(AV22/AT22-1)*100))</f>
        <v>6.3586542456802064</v>
      </c>
      <c r="AX22" s="63">
        <f t="shared" ref="AX22:AX27" si="4">IF(ISERROR(((AV22/AL22)^0.2-1)*100),"NA",IF((((AV22/AL22)^0.2-1)*100)&gt;100,"NM",IF((((AV22/AL22)^0.2-1)*100)&lt;-50,"NM",((AV22/AL22)^0.2-1)*100)))</f>
        <v>13.153857200311991</v>
      </c>
      <c r="AY22" s="58"/>
      <c r="AZ22" s="59"/>
      <c r="BA22"/>
      <c r="BB22"/>
      <c r="BC22"/>
      <c r="BD22"/>
      <c r="BE22"/>
      <c r="BF22"/>
      <c r="BG22" s="161"/>
      <c r="BH22" s="54"/>
      <c r="BI22" s="488"/>
      <c r="BJ22"/>
      <c r="BK22"/>
      <c r="BL22"/>
      <c r="BM22"/>
      <c r="BN22" s="24"/>
    </row>
    <row r="23" spans="1:66" s="248" customFormat="1" ht="12.75" customHeight="1">
      <c r="A23" s="54"/>
      <c r="B23" s="205" t="s">
        <v>308</v>
      </c>
      <c r="C23" s="199">
        <v>663</v>
      </c>
      <c r="D23" s="135"/>
      <c r="E23" s="199">
        <v>1143</v>
      </c>
      <c r="F23" s="135"/>
      <c r="G23" s="199">
        <v>2011</v>
      </c>
      <c r="H23" s="135"/>
      <c r="I23" s="199">
        <v>1492</v>
      </c>
      <c r="J23" s="135"/>
      <c r="K23" s="199">
        <v>1099</v>
      </c>
      <c r="L23" s="135"/>
      <c r="M23" s="199">
        <v>1635</v>
      </c>
      <c r="N23" s="135"/>
      <c r="O23" s="199">
        <v>1337</v>
      </c>
      <c r="P23" s="135"/>
      <c r="Q23" s="199">
        <v>1282</v>
      </c>
      <c r="R23" s="135"/>
      <c r="S23" s="199">
        <v>1400</v>
      </c>
      <c r="T23" s="135"/>
      <c r="U23" s="199">
        <v>1400</v>
      </c>
      <c r="V23" s="135"/>
      <c r="W23" s="199">
        <v>1400</v>
      </c>
      <c r="X23" s="135"/>
      <c r="Y23" s="199">
        <v>1400</v>
      </c>
      <c r="Z23" s="135"/>
      <c r="AA23" s="54"/>
      <c r="AB23" s="184"/>
      <c r="AC23" s="64"/>
      <c r="AD23" s="209"/>
      <c r="AE23" s="61"/>
      <c r="AF23" s="209"/>
      <c r="AG23" s="61"/>
      <c r="AH23" s="209"/>
      <c r="AI23" s="61"/>
      <c r="AJ23" s="259">
        <f t="shared" ref="AJ23:AJ28" si="5">I23+G23+E23+C23</f>
        <v>5309</v>
      </c>
      <c r="AK23" s="61"/>
      <c r="AL23" s="259">
        <f t="shared" ref="AL23:AL28" si="6">K23+M23+O23+Q23</f>
        <v>5353</v>
      </c>
      <c r="AM23" s="61">
        <f t="shared" si="0"/>
        <v>0.8287813147485501</v>
      </c>
      <c r="AN23" s="259">
        <f t="shared" ref="AN23:AN28" si="7">S23+U23+W23+Y23</f>
        <v>5600</v>
      </c>
      <c r="AO23" s="61">
        <f t="shared" si="1"/>
        <v>4.6142350084064976</v>
      </c>
      <c r="AP23" s="199">
        <f>AN23*1.1</f>
        <v>6160.0000000000009</v>
      </c>
      <c r="AQ23" s="61">
        <f t="shared" si="1"/>
        <v>10.000000000000009</v>
      </c>
      <c r="AR23" s="199">
        <f>AP23*1.1</f>
        <v>6776.0000000000018</v>
      </c>
      <c r="AS23" s="61">
        <f t="shared" si="1"/>
        <v>10.000000000000009</v>
      </c>
      <c r="AT23" s="199">
        <f>AR23*1.1</f>
        <v>7453.6000000000022</v>
      </c>
      <c r="AU23" s="61">
        <f t="shared" si="2"/>
        <v>10.000000000000009</v>
      </c>
      <c r="AV23" s="199">
        <f>AT23*1.1</f>
        <v>8198.9600000000028</v>
      </c>
      <c r="AW23" s="61">
        <f t="shared" si="3"/>
        <v>10.000000000000009</v>
      </c>
      <c r="AX23" s="63">
        <f t="shared" si="4"/>
        <v>8.9011096050254146</v>
      </c>
      <c r="AY23" s="58"/>
      <c r="AZ23" s="59"/>
      <c r="BA23"/>
      <c r="BB23"/>
      <c r="BC23"/>
      <c r="BD23"/>
      <c r="BE23"/>
      <c r="BF23"/>
      <c r="BG23" s="161"/>
      <c r="BH23" s="54"/>
      <c r="BI23" s="488"/>
      <c r="BJ23" s="266"/>
      <c r="BK23" s="266"/>
      <c r="BL23" s="266"/>
      <c r="BM23" s="266"/>
      <c r="BN23" s="24"/>
    </row>
    <row r="24" spans="1:66" s="248" customFormat="1" ht="12.75" customHeight="1">
      <c r="A24" s="54"/>
      <c r="B24" s="205" t="s">
        <v>309</v>
      </c>
      <c r="C24" s="199">
        <v>912</v>
      </c>
      <c r="D24" s="135"/>
      <c r="E24" s="199">
        <v>1318</v>
      </c>
      <c r="F24" s="135"/>
      <c r="G24" s="199">
        <v>871</v>
      </c>
      <c r="H24" s="135"/>
      <c r="I24" s="199">
        <v>348</v>
      </c>
      <c r="J24" s="135"/>
      <c r="K24" s="199">
        <v>166</v>
      </c>
      <c r="L24" s="135"/>
      <c r="M24" s="199">
        <v>214</v>
      </c>
      <c r="N24" s="135"/>
      <c r="O24" s="199">
        <v>190</v>
      </c>
      <c r="P24" s="135"/>
      <c r="Q24" s="199">
        <v>305</v>
      </c>
      <c r="R24" s="135"/>
      <c r="S24" s="199">
        <v>300</v>
      </c>
      <c r="T24" s="135"/>
      <c r="U24" s="199">
        <v>350</v>
      </c>
      <c r="V24" s="135"/>
      <c r="W24" s="199">
        <v>400</v>
      </c>
      <c r="X24" s="135"/>
      <c r="Y24" s="199">
        <v>400</v>
      </c>
      <c r="Z24" s="135"/>
      <c r="AA24" s="54"/>
      <c r="AB24" s="184"/>
      <c r="AC24" s="64"/>
      <c r="AD24" s="209"/>
      <c r="AE24" s="61"/>
      <c r="AF24" s="209"/>
      <c r="AG24" s="61"/>
      <c r="AH24" s="209"/>
      <c r="AI24" s="61"/>
      <c r="AJ24" s="259">
        <f t="shared" si="5"/>
        <v>3449</v>
      </c>
      <c r="AK24" s="61"/>
      <c r="AL24" s="259">
        <f t="shared" si="6"/>
        <v>875</v>
      </c>
      <c r="AM24" s="61" t="str">
        <f t="shared" si="0"/>
        <v>NM</v>
      </c>
      <c r="AN24" s="259">
        <f t="shared" si="7"/>
        <v>1450</v>
      </c>
      <c r="AO24" s="61">
        <f t="shared" si="1"/>
        <v>65.714285714285722</v>
      </c>
      <c r="AP24" s="199">
        <f>AN24*1.1</f>
        <v>1595.0000000000002</v>
      </c>
      <c r="AQ24" s="61">
        <f t="shared" si="1"/>
        <v>10.000000000000009</v>
      </c>
      <c r="AR24" s="199">
        <f>AP24*1.15</f>
        <v>1834.2500000000002</v>
      </c>
      <c r="AS24" s="61">
        <f t="shared" si="1"/>
        <v>14.999999999999991</v>
      </c>
      <c r="AT24" s="199">
        <f>AR24*1.15</f>
        <v>2109.3875000000003</v>
      </c>
      <c r="AU24" s="61">
        <f t="shared" si="2"/>
        <v>14.999999999999991</v>
      </c>
      <c r="AV24" s="199">
        <f>AT24*1.15</f>
        <v>2425.7956250000002</v>
      </c>
      <c r="AW24" s="61">
        <f t="shared" si="3"/>
        <v>14.999999999999991</v>
      </c>
      <c r="AX24" s="63">
        <f t="shared" si="4"/>
        <v>22.622235977804994</v>
      </c>
      <c r="AY24" s="58"/>
      <c r="AZ24" s="59"/>
      <c r="BA24"/>
      <c r="BB24"/>
      <c r="BC24"/>
      <c r="BD24"/>
      <c r="BE24"/>
      <c r="BF24"/>
      <c r="BG24" s="31"/>
      <c r="BH24" s="54"/>
      <c r="BI24" s="488"/>
      <c r="BJ24" s="266"/>
      <c r="BK24" s="266"/>
      <c r="BL24" s="266"/>
      <c r="BM24" s="266"/>
      <c r="BN24" s="24"/>
    </row>
    <row r="25" spans="1:66" s="248" customFormat="1" ht="12.75" customHeight="1">
      <c r="A25" s="54"/>
      <c r="B25" s="205" t="s">
        <v>342</v>
      </c>
      <c r="C25" s="199">
        <v>0</v>
      </c>
      <c r="D25" s="135"/>
      <c r="E25" s="199">
        <v>0</v>
      </c>
      <c r="F25" s="135"/>
      <c r="G25" s="199">
        <v>0</v>
      </c>
      <c r="H25" s="135"/>
      <c r="I25" s="199">
        <v>0</v>
      </c>
      <c r="J25" s="135"/>
      <c r="K25" s="199">
        <v>650</v>
      </c>
      <c r="L25" s="135"/>
      <c r="M25" s="199">
        <f>1050+327</f>
        <v>1377</v>
      </c>
      <c r="N25" s="135"/>
      <c r="O25" s="199">
        <v>1300</v>
      </c>
      <c r="P25" s="135"/>
      <c r="Q25" s="199">
        <f>0+1926</f>
        <v>1926</v>
      </c>
      <c r="R25" s="135"/>
      <c r="S25" s="199">
        <v>500</v>
      </c>
      <c r="T25" s="135"/>
      <c r="U25" s="199">
        <v>750</v>
      </c>
      <c r="V25" s="135"/>
      <c r="W25" s="199">
        <f>U25</f>
        <v>750</v>
      </c>
      <c r="X25" s="135"/>
      <c r="Y25" s="199">
        <f>W25</f>
        <v>750</v>
      </c>
      <c r="Z25" s="135"/>
      <c r="AA25" s="54"/>
      <c r="AB25" s="184"/>
      <c r="AC25" s="64"/>
      <c r="AD25" s="209"/>
      <c r="AE25" s="61"/>
      <c r="AF25" s="209"/>
      <c r="AG25" s="61"/>
      <c r="AH25" s="209"/>
      <c r="AI25" s="61"/>
      <c r="AJ25" s="259">
        <f t="shared" si="5"/>
        <v>0</v>
      </c>
      <c r="AK25" s="61"/>
      <c r="AL25" s="259">
        <f t="shared" si="6"/>
        <v>5253</v>
      </c>
      <c r="AM25" s="61" t="str">
        <f t="shared" si="0"/>
        <v>NA</v>
      </c>
      <c r="AN25" s="259">
        <f t="shared" si="7"/>
        <v>2750</v>
      </c>
      <c r="AO25" s="61">
        <f t="shared" si="1"/>
        <v>-47.648962497620403</v>
      </c>
      <c r="AP25" s="199">
        <f>AN25*1.1</f>
        <v>3025.0000000000005</v>
      </c>
      <c r="AQ25" s="61">
        <f t="shared" si="1"/>
        <v>10.000000000000009</v>
      </c>
      <c r="AR25" s="199">
        <f>AP25*1.1</f>
        <v>3327.5000000000009</v>
      </c>
      <c r="AS25" s="61">
        <f t="shared" si="1"/>
        <v>10.000000000000009</v>
      </c>
      <c r="AT25" s="199">
        <f>AR25*1.1</f>
        <v>3660.2500000000014</v>
      </c>
      <c r="AU25" s="61">
        <f t="shared" si="2"/>
        <v>10.000000000000009</v>
      </c>
      <c r="AV25" s="199">
        <f>AT25*1.1</f>
        <v>4026.2750000000019</v>
      </c>
      <c r="AW25" s="61">
        <f t="shared" si="3"/>
        <v>10.000000000000009</v>
      </c>
      <c r="AX25" s="63">
        <f t="shared" si="4"/>
        <v>-5.1801624929981083</v>
      </c>
      <c r="AY25" s="58"/>
      <c r="AZ25" s="59"/>
      <c r="BA25"/>
      <c r="BB25"/>
      <c r="BC25"/>
      <c r="BD25"/>
      <c r="BE25"/>
      <c r="BF25"/>
      <c r="BG25" s="31"/>
      <c r="BH25" s="54"/>
      <c r="BI25" s="266"/>
      <c r="BJ25" s="266"/>
      <c r="BK25" s="266"/>
      <c r="BL25" s="266"/>
      <c r="BM25" s="266"/>
      <c r="BN25" s="24"/>
    </row>
    <row r="26" spans="1:66" s="248" customFormat="1" ht="12.75" customHeight="1">
      <c r="A26" s="54"/>
      <c r="B26" s="203" t="s">
        <v>310</v>
      </c>
      <c r="C26" s="209">
        <f>C23+C24+C25</f>
        <v>1575</v>
      </c>
      <c r="D26" s="135"/>
      <c r="E26" s="209">
        <f>E23+E24+E25</f>
        <v>2461</v>
      </c>
      <c r="F26" s="135"/>
      <c r="G26" s="209">
        <f>G23+G24+G25</f>
        <v>2882</v>
      </c>
      <c r="H26" s="416">
        <f>G26/E26-1</f>
        <v>0.17106867127184078</v>
      </c>
      <c r="I26" s="209">
        <f>I23+I24+I25</f>
        <v>1840</v>
      </c>
      <c r="J26" s="135"/>
      <c r="K26" s="209">
        <f>K23+K24+K25</f>
        <v>1915</v>
      </c>
      <c r="L26" s="135">
        <f>IF(ISERROR(K26/C26),"NA",IF(OR(K26/C26&gt;2,K26/C26&lt;0.5),"NM",(K26/C26-1)*100))</f>
        <v>21.587301587301578</v>
      </c>
      <c r="M26" s="209">
        <f>M23+M24+M25</f>
        <v>3226</v>
      </c>
      <c r="N26" s="135">
        <f>IF(ISERROR(M26/E26),"NA",IF(OR(M26/E26&gt;2,M26/E26&lt;0.5),"NM",(M26/E26-1)*100))</f>
        <v>31.084924827305983</v>
      </c>
      <c r="O26" s="209">
        <f>O23+O24+O25</f>
        <v>2827</v>
      </c>
      <c r="P26" s="135">
        <f>IF(ISERROR(O26/G26),"NA",IF(OR(O26/G26&gt;2,O26/G26&lt;0.5),"NM",(O26/G26-1)*100))</f>
        <v>-1.9083969465648831</v>
      </c>
      <c r="Q26" s="209">
        <f>Q23+Q24+Q25</f>
        <v>3513</v>
      </c>
      <c r="R26" s="135">
        <f>IF(ISERROR(Q26/I26),"NA",IF(OR(Q26/I26&gt;2,Q26/I26&lt;0.5),"NM",(Q26/I26-1)*100))</f>
        <v>90.923913043478265</v>
      </c>
      <c r="S26" s="209">
        <f>S23+S24+S25</f>
        <v>2200</v>
      </c>
      <c r="T26" s="135">
        <f>IF(ISERROR(S26/K26),"NA",IF(OR(S26/K26&gt;2,S26/K26&lt;0.5),"NM",(S26/K26-1)*100))</f>
        <v>14.88250652741514</v>
      </c>
      <c r="U26" s="209">
        <f>U23+U24+U25</f>
        <v>2500</v>
      </c>
      <c r="V26" s="135">
        <f>IF(ISERROR(U26/M26),"NA",IF(OR(U26/M26&gt;2,U26/M26&lt;0.5),"NM",(U26/M26-1)*100))</f>
        <v>-22.504649721016733</v>
      </c>
      <c r="W26" s="209">
        <f>W23+W24+W25</f>
        <v>2550</v>
      </c>
      <c r="X26" s="135">
        <f>IF(ISERROR(W26/O26),"NA",IF(OR(W26/O26&gt;2,W26/O26&lt;0.5),"NM",(W26/O26-1)*100))</f>
        <v>-9.798372833392289</v>
      </c>
      <c r="Y26" s="209">
        <f>Y23+Y24+Y25</f>
        <v>2550</v>
      </c>
      <c r="Z26" s="135">
        <f>IF(ISERROR(Y26/Q26),"NA",IF(OR(Y26/Q26&gt;2,Y26/Q26&lt;0.5),"NM",(Y26/Q26-1)*100))</f>
        <v>-27.412467976088816</v>
      </c>
      <c r="AA26" s="54"/>
      <c r="AB26" s="184"/>
      <c r="AC26" s="64"/>
      <c r="AD26" s="209">
        <v>1467</v>
      </c>
      <c r="AE26" s="25"/>
      <c r="AF26" s="209">
        <v>2860</v>
      </c>
      <c r="AG26" s="25">
        <f>IF(ISERROR(AF26/AD26),"NA",IF(OR(AF26/AD26&gt;2,AF26/AD26&lt;0.5),"NM",(AF26/AD26-1)*100))</f>
        <v>94.955691888207227</v>
      </c>
      <c r="AH26" s="69">
        <v>3900</v>
      </c>
      <c r="AI26" s="25">
        <f>IF(ISERROR(AH26/AF26),"NA",IF(OR(AH26/AF26&gt;2,AH26/AF26&lt;0.5),"NM",(AH26/AF26-1)*100))</f>
        <v>36.363636363636353</v>
      </c>
      <c r="AJ26" s="209">
        <f t="shared" si="5"/>
        <v>8758</v>
      </c>
      <c r="AK26" s="25" t="str">
        <f>IF(ISERROR(AJ26/AH26),"NA",IF(OR(AJ26/AH26&gt;2,AJ26/AH26&lt;0.5),"NM",(AJ26/AH26-1)*100))</f>
        <v>NM</v>
      </c>
      <c r="AL26" s="209">
        <f t="shared" si="6"/>
        <v>11481</v>
      </c>
      <c r="AM26" s="25">
        <f t="shared" si="0"/>
        <v>31.091573418588723</v>
      </c>
      <c r="AN26" s="209">
        <f t="shared" si="7"/>
        <v>9800</v>
      </c>
      <c r="AO26" s="25">
        <f t="shared" si="1"/>
        <v>-14.641581743750542</v>
      </c>
      <c r="AP26" s="433">
        <f>SUM(AP23:AP25)</f>
        <v>10780.000000000002</v>
      </c>
      <c r="AQ26" s="25">
        <f t="shared" si="1"/>
        <v>10.000000000000009</v>
      </c>
      <c r="AR26" s="433">
        <f>SUM(AR23:AR25)</f>
        <v>11937.750000000004</v>
      </c>
      <c r="AS26" s="25">
        <f t="shared" si="1"/>
        <v>10.739795918367356</v>
      </c>
      <c r="AT26" s="433">
        <f>SUM(AT23:AT25)</f>
        <v>13223.237500000005</v>
      </c>
      <c r="AU26" s="25">
        <f t="shared" si="2"/>
        <v>10.768256162174627</v>
      </c>
      <c r="AV26" s="433">
        <f>SUM(AV23:AV25)</f>
        <v>14651.030625000005</v>
      </c>
      <c r="AW26" s="25">
        <f t="shared" si="3"/>
        <v>10.797606297247553</v>
      </c>
      <c r="AX26" s="63">
        <f t="shared" si="4"/>
        <v>4.9971937415434375</v>
      </c>
      <c r="AY26" s="58"/>
      <c r="AZ26" s="59"/>
      <c r="BA26"/>
      <c r="BB26"/>
      <c r="BC26"/>
      <c r="BD26"/>
      <c r="BE26"/>
      <c r="BF26"/>
      <c r="BG26" s="31"/>
      <c r="BH26" s="54"/>
      <c r="BI26"/>
      <c r="BJ26"/>
      <c r="BK26"/>
      <c r="BL26"/>
      <c r="BM26"/>
      <c r="BN26" s="24"/>
    </row>
    <row r="27" spans="1:66" s="248" customFormat="1" ht="12.75" customHeight="1">
      <c r="A27" s="54"/>
      <c r="B27" s="203" t="s">
        <v>138</v>
      </c>
      <c r="C27" s="197">
        <v>0</v>
      </c>
      <c r="D27" s="198"/>
      <c r="E27" s="199">
        <v>0</v>
      </c>
      <c r="F27" s="198"/>
      <c r="G27" s="199">
        <f>E27</f>
        <v>0</v>
      </c>
      <c r="H27" s="198"/>
      <c r="I27" s="199">
        <f>G27</f>
        <v>0</v>
      </c>
      <c r="J27" s="198"/>
      <c r="K27" s="199">
        <f>I27</f>
        <v>0</v>
      </c>
      <c r="L27" s="198" t="str">
        <f>IF(ISERROR(K27/C27),"NA",IF(OR(K27/C27&gt;2,K27/C27&lt;0.5),"NM",(K27/C27-1)*100))</f>
        <v>NA</v>
      </c>
      <c r="M27" s="199">
        <f>K27</f>
        <v>0</v>
      </c>
      <c r="N27" s="198" t="str">
        <f>IF(ISERROR(M27/E27),"NA",IF(OR(M27/E27&gt;2,M27/E27&lt;0.5),"NM",(M27/E27-1)*100))</f>
        <v>NA</v>
      </c>
      <c r="O27" s="199">
        <f>M27</f>
        <v>0</v>
      </c>
      <c r="P27" s="198" t="str">
        <f>IF(ISERROR(O27/G27),"NA",IF(OR(O27/G27&gt;2,O27/G27&lt;0.5),"NM",(O27/G27-1)*100))</f>
        <v>NA</v>
      </c>
      <c r="Q27" s="199">
        <f>O27</f>
        <v>0</v>
      </c>
      <c r="R27" s="198" t="str">
        <f>IF(ISERROR(Q27/I27),"NA",IF(OR(Q27/I27&gt;2,Q27/I27&lt;0.5),"NM",(Q27/I27-1)*100))</f>
        <v>NA</v>
      </c>
      <c r="S27" s="199">
        <f>Q27</f>
        <v>0</v>
      </c>
      <c r="T27" s="198" t="str">
        <f>IF(ISERROR(S27/K27),"NA",IF(OR(S27/K27&gt;2,S27/K27&lt;0.5),"NM",(S27/K27-1)*100))</f>
        <v>NA</v>
      </c>
      <c r="U27" s="199">
        <f>S27</f>
        <v>0</v>
      </c>
      <c r="V27" s="198" t="str">
        <f>IF(ISERROR(U27/M27),"NA",IF(OR(U27/M27&gt;2,U27/M27&lt;0.5),"NM",(U27/M27-1)*100))</f>
        <v>NA</v>
      </c>
      <c r="W27" s="199">
        <v>19000</v>
      </c>
      <c r="X27" s="198" t="str">
        <f>IF(ISERROR(W27/O27),"NA",IF(OR(W27/O27&gt;2,W27/O27&lt;0.5),"NM",(W27/O27-1)*100))</f>
        <v>NA</v>
      </c>
      <c r="Y27" s="199">
        <v>0</v>
      </c>
      <c r="Z27" s="198" t="str">
        <f>IF(ISERROR(Y27/Q27),"NA",IF(OR(Y27/Q27&gt;2,Y27/Q27&lt;0.5),"NM",(Y27/Q27-1)*100))</f>
        <v>NA</v>
      </c>
      <c r="AA27" s="54"/>
      <c r="AB27" s="184"/>
      <c r="AC27" s="64"/>
      <c r="AD27" s="209">
        <v>46883</v>
      </c>
      <c r="AE27" s="25" t="str">
        <f>IF(ISERROR(AD27/#REF!),"NA",IF(OR(AD27/#REF!&gt;2,AD27/#REF!&lt;0.5),"NM",(AD27/#REF!-1)*100))</f>
        <v>NA</v>
      </c>
      <c r="AF27" s="69">
        <f>AF29-AF26</f>
        <v>0</v>
      </c>
      <c r="AG27" s="25" t="str">
        <f>IF(ISERROR(AF27/AD27),"NA",IF(OR(AF27/AD27&gt;2,AF27/AD27&lt;0.5),"NM",(AF27/AD27-1)*100))</f>
        <v>NM</v>
      </c>
      <c r="AH27" s="69">
        <f>AH29-AH26</f>
        <v>1274</v>
      </c>
      <c r="AI27" s="25" t="str">
        <f>IF(ISERROR(AH27/AF27),"NA",IF(OR(AH27/AF27&gt;2,AH27/AF27&lt;0.5),"NM",(AH27/AF27-1)*100))</f>
        <v>NA</v>
      </c>
      <c r="AJ27" s="209">
        <f t="shared" si="5"/>
        <v>0</v>
      </c>
      <c r="AK27" s="25" t="str">
        <f>IF(ISERROR(AJ27/AH27),"NA",IF(OR(AJ27/AH27&gt;2,AJ27/AH27&lt;0.5),"NM",(AJ27/AH27-1)*100))</f>
        <v>NM</v>
      </c>
      <c r="AL27" s="209">
        <f t="shared" si="6"/>
        <v>0</v>
      </c>
      <c r="AM27" s="25" t="str">
        <f t="shared" si="0"/>
        <v>NA</v>
      </c>
      <c r="AN27" s="209">
        <f t="shared" si="7"/>
        <v>19000</v>
      </c>
      <c r="AO27" s="25" t="str">
        <f t="shared" si="1"/>
        <v>NA</v>
      </c>
      <c r="AP27" s="199">
        <v>0</v>
      </c>
      <c r="AQ27" s="25" t="str">
        <f t="shared" si="1"/>
        <v>NM</v>
      </c>
      <c r="AR27" s="199">
        <f>AP27</f>
        <v>0</v>
      </c>
      <c r="AS27" s="25" t="str">
        <f t="shared" si="1"/>
        <v>NA</v>
      </c>
      <c r="AT27" s="199">
        <f>AR27</f>
        <v>0</v>
      </c>
      <c r="AU27" s="25" t="str">
        <f t="shared" si="2"/>
        <v>NA</v>
      </c>
      <c r="AV27" s="199">
        <f>AT27</f>
        <v>0</v>
      </c>
      <c r="AW27" s="25" t="str">
        <f t="shared" si="3"/>
        <v>NA</v>
      </c>
      <c r="AX27" s="63" t="str">
        <f t="shared" si="4"/>
        <v>NA</v>
      </c>
      <c r="AY27" s="58"/>
      <c r="AZ27" s="59"/>
      <c r="BA27"/>
      <c r="BB27"/>
      <c r="BC27"/>
      <c r="BD27"/>
      <c r="BE27"/>
      <c r="BF27"/>
      <c r="BG27" s="31"/>
      <c r="BH27" s="54"/>
      <c r="BI27"/>
      <c r="BJ27"/>
      <c r="BK27"/>
      <c r="BL27"/>
      <c r="BM27"/>
      <c r="BN27" s="24"/>
    </row>
    <row r="28" spans="1:66" s="248" customFormat="1" ht="12.75" customHeight="1">
      <c r="A28" s="54"/>
      <c r="B28" s="203" t="s">
        <v>284</v>
      </c>
      <c r="C28" s="209">
        <f>C29-C26</f>
        <v>105</v>
      </c>
      <c r="D28" s="135"/>
      <c r="E28" s="209">
        <f>E29-E26</f>
        <v>76</v>
      </c>
      <c r="F28" s="135"/>
      <c r="G28" s="209">
        <f>G29-G26</f>
        <v>97</v>
      </c>
      <c r="H28" s="135"/>
      <c r="I28" s="209">
        <f>I29-I26</f>
        <v>44</v>
      </c>
      <c r="J28" s="198"/>
      <c r="K28" s="209">
        <f>K29-K26</f>
        <v>144</v>
      </c>
      <c r="L28" s="198"/>
      <c r="M28" s="209">
        <f>M29-M26</f>
        <v>81</v>
      </c>
      <c r="N28" s="198"/>
      <c r="O28" s="209">
        <f>O29-O26</f>
        <v>83</v>
      </c>
      <c r="P28" s="198"/>
      <c r="Q28" s="209">
        <f>Q29-Q26</f>
        <v>79</v>
      </c>
      <c r="R28" s="198"/>
      <c r="S28" s="427">
        <v>50</v>
      </c>
      <c r="T28" s="198"/>
      <c r="U28" s="427">
        <v>50</v>
      </c>
      <c r="V28" s="198"/>
      <c r="W28" s="427">
        <v>50</v>
      </c>
      <c r="X28" s="198"/>
      <c r="Y28" s="427">
        <v>50</v>
      </c>
      <c r="Z28" s="198"/>
      <c r="AA28" s="54"/>
      <c r="AB28" s="184"/>
      <c r="AC28" s="64"/>
      <c r="AD28" s="209"/>
      <c r="AE28" s="25"/>
      <c r="AF28" s="209"/>
      <c r="AG28" s="25"/>
      <c r="AH28" s="69"/>
      <c r="AI28" s="25"/>
      <c r="AJ28" s="209">
        <f t="shared" si="5"/>
        <v>322</v>
      </c>
      <c r="AK28" s="25"/>
      <c r="AL28" s="209">
        <f t="shared" si="6"/>
        <v>387</v>
      </c>
      <c r="AM28" s="25"/>
      <c r="AN28" s="209">
        <f t="shared" si="7"/>
        <v>200</v>
      </c>
      <c r="AO28" s="25"/>
      <c r="AP28" s="199">
        <f>AN28</f>
        <v>200</v>
      </c>
      <c r="AQ28" s="25"/>
      <c r="AR28" s="199">
        <f>AP28</f>
        <v>200</v>
      </c>
      <c r="AS28" s="25"/>
      <c r="AT28" s="199">
        <f>AR28</f>
        <v>200</v>
      </c>
      <c r="AU28" s="25"/>
      <c r="AV28" s="199">
        <f>AT28</f>
        <v>200</v>
      </c>
      <c r="AW28" s="25"/>
      <c r="AX28" s="63"/>
      <c r="AY28" s="58"/>
      <c r="AZ28" s="59"/>
      <c r="BA28"/>
      <c r="BB28"/>
      <c r="BC28"/>
      <c r="BD28"/>
      <c r="BE28"/>
      <c r="BF28"/>
      <c r="BG28" s="31"/>
      <c r="BH28" s="54"/>
      <c r="BI28" s="266"/>
      <c r="BJ28" s="266"/>
      <c r="BK28" s="266"/>
      <c r="BL28" s="266"/>
      <c r="BM28" s="266"/>
      <c r="BN28" s="24"/>
    </row>
    <row r="29" spans="1:66" s="436" customFormat="1" ht="12.75" customHeight="1">
      <c r="A29" s="220"/>
      <c r="B29" s="202" t="s">
        <v>311</v>
      </c>
      <c r="C29" s="417">
        <v>1680</v>
      </c>
      <c r="D29" s="418"/>
      <c r="E29" s="419">
        <v>2537</v>
      </c>
      <c r="F29" s="418"/>
      <c r="G29" s="419">
        <v>2979</v>
      </c>
      <c r="H29" s="418"/>
      <c r="I29" s="419">
        <v>1884</v>
      </c>
      <c r="J29" s="418"/>
      <c r="K29" s="419">
        <v>2059</v>
      </c>
      <c r="L29" s="418"/>
      <c r="M29" s="419">
        <v>3307</v>
      </c>
      <c r="N29" s="420">
        <f>IF(ISERROR(M29/E29),"NA",IF(OR(M29/E29&gt;2,M29/E29&lt;0.5),"NM",(M29/E29-1)*100))</f>
        <v>30.350808040993304</v>
      </c>
      <c r="O29" s="419">
        <v>2910</v>
      </c>
      <c r="P29" s="420">
        <f>IF(ISERROR(O29/G29),"NA",IF(OR(O29/G29&gt;2,O29/G29&lt;0.5),"NM",(O29/G29-1)*100))</f>
        <v>-2.3162134944612278</v>
      </c>
      <c r="Q29" s="419">
        <v>3592</v>
      </c>
      <c r="R29" s="418"/>
      <c r="S29" s="426">
        <f>SUM(S26:S28)</f>
        <v>2250</v>
      </c>
      <c r="T29" s="418"/>
      <c r="U29" s="426">
        <f>SUM(U26:U28)</f>
        <v>2550</v>
      </c>
      <c r="V29" s="418"/>
      <c r="W29" s="426">
        <f>SUM(W26:W28)</f>
        <v>21600</v>
      </c>
      <c r="X29" s="418"/>
      <c r="Y29" s="426">
        <f>SUM(Y26:Y28)</f>
        <v>2600</v>
      </c>
      <c r="Z29" s="418"/>
      <c r="AA29" s="220"/>
      <c r="AB29" s="421"/>
      <c r="AC29" s="422"/>
      <c r="AD29" s="212">
        <f>1467+AD27</f>
        <v>48350</v>
      </c>
      <c r="AE29" s="423"/>
      <c r="AF29" s="212">
        <v>2860</v>
      </c>
      <c r="AG29" s="423" t="str">
        <f>IF(ISERROR(AF29/AD29),"NA",IF(OR(AF29/AD29&gt;2,AF29/AD29&lt;0.5),"NM",(AF29/AD29-1)*100))</f>
        <v>NM</v>
      </c>
      <c r="AH29" s="424">
        <f>4358+816</f>
        <v>5174</v>
      </c>
      <c r="AI29" s="423"/>
      <c r="AJ29" s="212">
        <f>AJ26+AJ28+AJ27</f>
        <v>9080</v>
      </c>
      <c r="AK29" s="423"/>
      <c r="AL29" s="212">
        <f>AL26+AL28+AL27</f>
        <v>11868</v>
      </c>
      <c r="AM29" s="423"/>
      <c r="AN29" s="212">
        <f>AN26+AN28+AN27</f>
        <v>29000</v>
      </c>
      <c r="AO29" s="423"/>
      <c r="AP29" s="212">
        <f>AP26+AP28+AP27</f>
        <v>10980.000000000002</v>
      </c>
      <c r="AQ29" s="423"/>
      <c r="AR29" s="212">
        <f>AR26+AR28+AR27</f>
        <v>12137.750000000004</v>
      </c>
      <c r="AS29" s="423"/>
      <c r="AT29" s="212">
        <f>AT26+AT28+AT27</f>
        <v>13423.237500000005</v>
      </c>
      <c r="AU29" s="423"/>
      <c r="AV29" s="212">
        <f>AV26+AV28+AV27</f>
        <v>14851.030625000005</v>
      </c>
      <c r="AW29" s="423"/>
      <c r="AX29" s="425"/>
      <c r="AY29" s="118"/>
      <c r="AZ29" s="211"/>
      <c r="BA29"/>
      <c r="BB29"/>
      <c r="BC29"/>
      <c r="BD29"/>
      <c r="BE29"/>
      <c r="BF29"/>
      <c r="BG29" s="210"/>
      <c r="BH29" s="220"/>
      <c r="BI29" s="377"/>
      <c r="BJ29" s="377"/>
      <c r="BK29" s="377"/>
      <c r="BL29" s="377"/>
      <c r="BM29" s="377"/>
      <c r="BN29" s="24"/>
    </row>
    <row r="30" spans="1:66" s="248" customFormat="1" ht="12.75" customHeight="1">
      <c r="A30" s="54"/>
      <c r="B30" s="203" t="s">
        <v>196</v>
      </c>
      <c r="C30" s="197">
        <f>-1352</f>
        <v>-1352</v>
      </c>
      <c r="D30" s="198"/>
      <c r="E30" s="199">
        <f>-1282</f>
        <v>-1282</v>
      </c>
      <c r="F30" s="198"/>
      <c r="G30" s="199">
        <v>-1413</v>
      </c>
      <c r="H30" s="198"/>
      <c r="I30" s="199">
        <v>-1351</v>
      </c>
      <c r="J30" s="198"/>
      <c r="K30" s="199">
        <v>-1670</v>
      </c>
      <c r="L30" s="198">
        <f>IF(ISERROR(K30/C30),"NA",IF(OR(K30/C30&gt;2,K30/C30&lt;0.5),"NM",(K30/C30-1)*100))</f>
        <v>23.520710059171602</v>
      </c>
      <c r="M30" s="199">
        <v>-1408</v>
      </c>
      <c r="N30" s="198">
        <f>IF(ISERROR(M30/E30),"NA",IF(OR(M30/E30&gt;2,M30/E30&lt;0.5),"NM",(M30/E30-1)*100))</f>
        <v>9.8283931357254328</v>
      </c>
      <c r="O30" s="199">
        <v>-1311</v>
      </c>
      <c r="P30" s="198">
        <f>IF(ISERROR(O30/G30),"NA",IF(OR(O30/G30&gt;2,O30/G30&lt;0.5),"NM",(O30/G30-1)*100))</f>
        <v>-7.2186836518046693</v>
      </c>
      <c r="Q30" s="199">
        <v>-1361</v>
      </c>
      <c r="R30" s="198">
        <f>IF(ISERROR(Q30/I30),"NA",IF(OR(Q30/I30&gt;2,Q30/I30&lt;0.5),"NM",(Q30/I30-1)*100))</f>
        <v>0.74019245003700274</v>
      </c>
      <c r="S30" s="433">
        <f>-S39*S22/400</f>
        <v>-1469.8710000000001</v>
      </c>
      <c r="T30" s="489">
        <f>IF(ISERROR(S30/K30),"NA",IF(OR(S30/K30&gt;2,S30/K30&lt;0.5),"NM",(S30/K30-1)*100))</f>
        <v>-11.983772455089813</v>
      </c>
      <c r="U30" s="433">
        <f>-U39*U22/400</f>
        <v>-1505.5000154999998</v>
      </c>
      <c r="V30" s="489">
        <f>IF(ISERROR(U30/M30),"NA",IF(OR(U30/M30&gt;2,U30/M30&lt;0.5),"NM",(U30/M30-1)*100))</f>
        <v>6.924717009943171</v>
      </c>
      <c r="W30" s="433">
        <f>-W39*W22/400</f>
        <v>-1546.2842651977501</v>
      </c>
      <c r="X30" s="489">
        <f>IF(ISERROR(W30/O30),"NA",IF(OR(W30/O30&gt;2,W30/O30&lt;0.5),"NM",(W30/O30-1)*100))</f>
        <v>17.946930983810084</v>
      </c>
      <c r="Y30" s="433">
        <f>-Y39*Y22/400</f>
        <v>-1957.7482220263937</v>
      </c>
      <c r="Z30" s="198">
        <f>IF(ISERROR(Y30/Q30),"NA",IF(OR(Y30/Q30&gt;2,Y30/Q30&lt;0.5),"NM",(Y30/Q30-1)*100))</f>
        <v>43.846305806494755</v>
      </c>
      <c r="AA30" s="54"/>
      <c r="AB30" s="184"/>
      <c r="AC30" s="64"/>
      <c r="AD30" s="209">
        <v>-1641</v>
      </c>
      <c r="AE30" s="25" t="str">
        <f>IF(ISERROR(AD30/#REF!),"NA",IF(OR(AD30/#REF!&gt;2,AD30/#REF!&lt;0.5),"NM",(AD30/#REF!-1)*100))</f>
        <v>NA</v>
      </c>
      <c r="AF30" s="209">
        <f>-3125-153</f>
        <v>-3278</v>
      </c>
      <c r="AG30" s="25">
        <f>IF(ISERROR(AF30/AD30),"NA",IF(OR(AF30/AD30&gt;2,AF30/AD30&lt;0.5),"NM",(AF30/AD30-1)*100))</f>
        <v>99.756246191346733</v>
      </c>
      <c r="AH30" s="69">
        <v>-5344</v>
      </c>
      <c r="AI30" s="25">
        <f>IF(ISERROR(AH30/AF30),"NA",IF(OR(AH30/AF30&gt;2,AH30/AF30&lt;0.5),"NM",(AH30/AF30-1)*100))</f>
        <v>63.026235509456981</v>
      </c>
      <c r="AJ30" s="209">
        <f>I30+G30+E30+C30</f>
        <v>-5398</v>
      </c>
      <c r="AK30" s="25">
        <f>IF(ISERROR(AJ30/AH30),"NA",IF(OR(AJ30/AH30&gt;2,AJ30/AH30&lt;0.5),"NM",(AJ30/AH30-1)*100))</f>
        <v>1.0104790419161569</v>
      </c>
      <c r="AL30" s="209">
        <f>K30+M30+O30+Q30</f>
        <v>-5750</v>
      </c>
      <c r="AM30" s="25">
        <f>IF(ISERROR(AL30/AJ30),"NA",IF(OR(AL30/AJ30&gt;2,AL30/AJ30&lt;0.5),"NM",(AL30/AJ30-1)*100))</f>
        <v>6.5209336791404171</v>
      </c>
      <c r="AN30" s="209">
        <f>S30+U30+W30+Y30</f>
        <v>-6479.4035027241434</v>
      </c>
      <c r="AO30" s="25">
        <f>IF(ISERROR(AN30/AL30),"NA",IF(OR(AN30/AL30&gt;2,AN30/AL30&lt;0.5),"NM",(AN30/AL30-1)*100))</f>
        <v>12.685278308245973</v>
      </c>
      <c r="AP30" s="199">
        <f>-AP39*AP22/100</f>
        <v>-9187.7936847548262</v>
      </c>
      <c r="AQ30" s="25">
        <f>IF(ISERROR(AP30/AN30),"NA",IF(OR(AP30/AN30&gt;2,AP30/AN30&lt;0.5),"NM",(AP30/AN30-1)*100))</f>
        <v>41.799992559376655</v>
      </c>
      <c r="AR30" s="199">
        <f>-AR39*AR22/100</f>
        <v>-9726.0122531268917</v>
      </c>
      <c r="AS30" s="25">
        <f>IF(ISERROR(AR30/AP30),"NA",IF(OR(AR30/AP30&gt;2,AR30/AP30&lt;0.5),"NM",(AR30/AP30-1)*100))</f>
        <v>5.8579740342354913</v>
      </c>
      <c r="AT30" s="199">
        <f>-AT39*AT22/100</f>
        <v>-10319.988650345473</v>
      </c>
      <c r="AU30" s="25">
        <f>IF(ISERROR(AT30/AR30),"NA",IF(OR(AT30/AR30&gt;2,AT30/AR30&lt;0.5),"NM",(AT30/AR30-1)*100))</f>
        <v>6.1070907763623117</v>
      </c>
      <c r="AV30" s="199">
        <f>-AV39*AV22/100</f>
        <v>-10976.20104681438</v>
      </c>
      <c r="AW30" s="25">
        <f>IF(ISERROR(AV30/AT30),"NA",IF(OR(AV30/AT30&gt;2,AV30/AT30&lt;0.5),"NM",(AV30/AT30-1)*100))</f>
        <v>6.3586542456802064</v>
      </c>
      <c r="AX30" s="63">
        <f t="shared" ref="AX30:AX36" si="8">IF(ISERROR(((AV30/AL30)^0.2-1)*100),"NA",IF((((AV30/AL30)^0.2-1)*100)&gt;100,"NM",IF((((AV30/AL30)^0.2-1)*100)&lt;-50,"NM",((AV30/AL30)^0.2-1)*100)))</f>
        <v>13.803820431026793</v>
      </c>
      <c r="AY30" s="58"/>
      <c r="AZ30" s="59"/>
      <c r="BA30"/>
      <c r="BB30"/>
      <c r="BC30"/>
      <c r="BD30"/>
      <c r="BE30"/>
      <c r="BF30"/>
      <c r="BG30" s="31"/>
      <c r="BH30" s="54"/>
      <c r="BI30"/>
      <c r="BJ30"/>
      <c r="BK30"/>
      <c r="BL30"/>
      <c r="BM30"/>
      <c r="BN30" s="24"/>
    </row>
    <row r="31" spans="1:66" s="248" customFormat="1" ht="12.75" customHeight="1">
      <c r="A31" s="54"/>
      <c r="B31" s="203" t="s">
        <v>312</v>
      </c>
      <c r="C31" s="197">
        <v>528</v>
      </c>
      <c r="D31" s="198"/>
      <c r="E31" s="199">
        <v>686</v>
      </c>
      <c r="F31" s="198"/>
      <c r="G31" s="199">
        <v>880</v>
      </c>
      <c r="H31" s="198"/>
      <c r="I31" s="199">
        <v>115</v>
      </c>
      <c r="J31" s="198"/>
      <c r="K31" s="199">
        <v>879</v>
      </c>
      <c r="L31" s="198"/>
      <c r="M31" s="199">
        <v>807</v>
      </c>
      <c r="N31" s="198"/>
      <c r="O31" s="199">
        <v>782</v>
      </c>
      <c r="P31" s="198"/>
      <c r="Q31" s="199">
        <v>1047</v>
      </c>
      <c r="R31" s="198"/>
      <c r="S31" s="209">
        <f>Q31</f>
        <v>1047</v>
      </c>
      <c r="T31" s="198"/>
      <c r="U31" s="209">
        <f>S31</f>
        <v>1047</v>
      </c>
      <c r="V31" s="198"/>
      <c r="W31" s="209">
        <f>U31</f>
        <v>1047</v>
      </c>
      <c r="X31" s="198"/>
      <c r="Y31" s="209">
        <f>W31</f>
        <v>1047</v>
      </c>
      <c r="Z31" s="198"/>
      <c r="AA31" s="54"/>
      <c r="AB31" s="184"/>
      <c r="AC31" s="64"/>
      <c r="AD31" s="209">
        <v>0</v>
      </c>
      <c r="AE31" s="25"/>
      <c r="AF31" s="209">
        <v>0</v>
      </c>
      <c r="AG31" s="25"/>
      <c r="AH31" s="69">
        <v>0</v>
      </c>
      <c r="AI31" s="25"/>
      <c r="AJ31" s="209">
        <f>I31+G31+E31+C31</f>
        <v>2209</v>
      </c>
      <c r="AK31" s="25"/>
      <c r="AL31" s="209">
        <f>K31+M31+O31+Q31</f>
        <v>3515</v>
      </c>
      <c r="AM31" s="25"/>
      <c r="AN31" s="209">
        <f>S31+U31+W31+Y31</f>
        <v>4188</v>
      </c>
      <c r="AO31" s="25"/>
      <c r="AP31" s="199">
        <f>AN31</f>
        <v>4188</v>
      </c>
      <c r="AQ31" s="25"/>
      <c r="AR31" s="199">
        <f>AP31</f>
        <v>4188</v>
      </c>
      <c r="AS31" s="25"/>
      <c r="AT31" s="199">
        <f>AR31</f>
        <v>4188</v>
      </c>
      <c r="AU31" s="25"/>
      <c r="AV31" s="199">
        <f>AT31</f>
        <v>4188</v>
      </c>
      <c r="AW31" s="25"/>
      <c r="AX31" s="63">
        <f t="shared" si="8"/>
        <v>3.5657772198951276</v>
      </c>
      <c r="AY31" s="58"/>
      <c r="AZ31" s="59"/>
      <c r="BA31"/>
      <c r="BB31"/>
      <c r="BC31"/>
      <c r="BD31"/>
      <c r="BE31"/>
      <c r="BF31"/>
      <c r="BG31" s="31"/>
      <c r="BH31" s="54"/>
      <c r="BI31" s="266"/>
      <c r="BJ31" s="266"/>
      <c r="BK31" s="266"/>
      <c r="BL31" s="266"/>
      <c r="BM31" s="266"/>
      <c r="BN31" s="24"/>
    </row>
    <row r="32" spans="1:66" s="248" customFormat="1" ht="12.75" customHeight="1">
      <c r="A32" s="54"/>
      <c r="B32" s="203" t="s">
        <v>139</v>
      </c>
      <c r="C32" s="56">
        <f>C22+C29+C30+C31</f>
        <v>60710</v>
      </c>
      <c r="D32" s="61"/>
      <c r="E32" s="56">
        <f>E22+E29+E30+E31</f>
        <v>62651</v>
      </c>
      <c r="F32" s="61"/>
      <c r="G32" s="56">
        <f>G22+G29+G30+G31</f>
        <v>65097</v>
      </c>
      <c r="H32" s="61"/>
      <c r="I32" s="56">
        <f>I22+I29+I30+I31</f>
        <v>65745</v>
      </c>
      <c r="J32" s="61"/>
      <c r="K32" s="56">
        <f>K22+K29+K30+K31</f>
        <v>67013</v>
      </c>
      <c r="L32" s="61">
        <f>IF(ISERROR(K32/C32),"NA",IF(OR(K32/C32&gt;2,K32/C32&lt;0.5),"NM",(K32/C32-1)*100))</f>
        <v>10.38214462197331</v>
      </c>
      <c r="M32" s="56">
        <f>M22+M29+M30+M31</f>
        <v>69719</v>
      </c>
      <c r="N32" s="61">
        <f>IF(ISERROR(M32/E32),"NA",IF(OR(M32/E32&gt;2,M32/E32&lt;0.5),"NM",(M32/E32-1)*100))</f>
        <v>11.281543790202875</v>
      </c>
      <c r="O32" s="56">
        <f>O22+O29+O30+O31</f>
        <v>72100</v>
      </c>
      <c r="P32" s="61">
        <f>IF(ISERROR(O32/G32),"NA",IF(OR(O32/G32&gt;2,O32/G32&lt;0.5),"NM",(O32/G32-1)*100))</f>
        <v>10.757792217767337</v>
      </c>
      <c r="Q32" s="56">
        <f>Q22+Q29+Q30+Q31</f>
        <v>75378</v>
      </c>
      <c r="R32" s="61">
        <f>IF(ISERROR(Q32/I32),"NA",IF(OR(Q32/I32&gt;2,Q32/I32&lt;0.5),"NM",(Q32/I32-1)*100))</f>
        <v>14.652064795801966</v>
      </c>
      <c r="S32" s="56">
        <f>S22+S29+S30+S31</f>
        <v>77205.129000000001</v>
      </c>
      <c r="T32" s="61">
        <f>IF(ISERROR(S32/K32),"NA",IF(OR(S32/K32&gt;2,S32/K32&lt;0.5),"NM",(S32/K32-1)*100))</f>
        <v>15.209181800546157</v>
      </c>
      <c r="U32" s="56">
        <f>U22+U29+U30+U31</f>
        <v>79296.628984499999</v>
      </c>
      <c r="V32" s="61">
        <f>IF(ISERROR(U32/M32),"NA",IF(OR(U32/M32&gt;2,U32/M32&lt;0.5),"NM",(U32/M32-1)*100))</f>
        <v>13.73747326338588</v>
      </c>
      <c r="W32" s="56">
        <f>W22+W29+W30+W31</f>
        <v>100397.34471930224</v>
      </c>
      <c r="X32" s="61">
        <f>IF(ISERROR(W32/O32),"NA",IF(OR(W32/O32&gt;2,W32/O32&lt;0.5),"NM",(W32/O32-1)*100))</f>
        <v>39.247357447021145</v>
      </c>
      <c r="Y32" s="56">
        <f>Y22+Y29+Y30+Y31</f>
        <v>102086.59649727585</v>
      </c>
      <c r="Z32" s="61">
        <f>IF(ISERROR(Y32/Q32),"NA",IF(OR(Y32/Q32&gt;2,Y32/Q32&lt;0.5),"NM",(Y32/Q32-1)*100))</f>
        <v>35.432880279757818</v>
      </c>
      <c r="AA32" s="54"/>
      <c r="AB32" s="180"/>
      <c r="AC32" s="56"/>
      <c r="AD32" s="56">
        <f>AD22+AD29+AD30+AD31</f>
        <v>60442</v>
      </c>
      <c r="AE32" s="25" t="str">
        <f>IF(ISERROR(AD32/#REF!),"NA",IF(OR(AD32/#REF!&gt;2,AD32/#REF!&lt;0.5),"NM",(AD32/#REF!-1)*100))</f>
        <v>NA</v>
      </c>
      <c r="AF32" s="56">
        <f>AF22+AF29+AF30+AF31</f>
        <v>60024</v>
      </c>
      <c r="AG32" s="25">
        <f>IF(ISERROR(AF32/AD32),"NA",IF(OR(AF32/AD32&gt;2,AF32/AD32&lt;0.5),"NM",(AF32/AD32-1)*100))</f>
        <v>-0.69157208563581651</v>
      </c>
      <c r="AH32" s="56">
        <f>AH22+AH29+AH30+AH31</f>
        <v>59854</v>
      </c>
      <c r="AI32" s="25">
        <f>IF(ISERROR(AH32/AF32),"NA",IF(OR(AH32/AF32&gt;2,AH32/AF32&lt;0.5),"NM",(AH32/AF32-1)*100))</f>
        <v>-0.28322004531520228</v>
      </c>
      <c r="AJ32" s="56">
        <f>AJ22+AJ29+AJ30+AJ31</f>
        <v>65745</v>
      </c>
      <c r="AK32" s="25">
        <f>IF(ISERROR(AJ32/AH32),"NA",IF(OR(AJ32/AH32&gt;2,AJ32/AH32&lt;0.5),"NM",(AJ32/AH32-1)*100))</f>
        <v>9.8422828883616873</v>
      </c>
      <c r="AL32" s="56">
        <f>AL22+AL29+AL30+AL31</f>
        <v>75378</v>
      </c>
      <c r="AM32" s="25">
        <f>IF(ISERROR(AL32/AJ32),"NA",IF(OR(AL32/AJ32&gt;2,AL32/AJ32&lt;0.5),"NM",(AL32/AJ32-1)*100))</f>
        <v>14.652064795801966</v>
      </c>
      <c r="AN32" s="56">
        <f>AN22+AN29+AN30+AN31</f>
        <v>102086.59649727585</v>
      </c>
      <c r="AO32" s="25">
        <f>IF(ISERROR(AN32/AL32),"NA",IF(OR(AN32/AL32&gt;2,AN32/AL32&lt;0.5),"NM",(AN32/AL32-1)*100))</f>
        <v>35.432880279757818</v>
      </c>
      <c r="AP32" s="56">
        <f>AP22+AP29+AP30+AP31</f>
        <v>108066.80281252103</v>
      </c>
      <c r="AQ32" s="25">
        <f>IF(ISERROR(AP32/AN32),"NA",IF(OR(AP32/AN32&gt;2,AP32/AN32&lt;0.5),"NM",(AP32/AN32-1)*100))</f>
        <v>5.8579740342354913</v>
      </c>
      <c r="AR32" s="56">
        <f>AR22+AR29+AR30+AR31</f>
        <v>114666.54055939414</v>
      </c>
      <c r="AS32" s="25">
        <f>IF(ISERROR(AR32/AP32),"NA",IF(OR(AR32/AP32&gt;2,AR32/AP32&lt;0.5),"NM",(AR32/AP32-1)*100))</f>
        <v>6.1070907763623117</v>
      </c>
      <c r="AT32" s="56">
        <f>AT22+AT29+AT30+AT31</f>
        <v>121957.78940904867</v>
      </c>
      <c r="AU32" s="25">
        <f>IF(ISERROR(AT32/AR32),"NA",IF(OR(AT32/AR32&gt;2,AT32/AR32&lt;0.5),"NM",(AT32/AR32-1)*100))</f>
        <v>6.3586542456802064</v>
      </c>
      <c r="AV32" s="56">
        <f>AV22+AV29+AV30+AV31</f>
        <v>130020.61898723428</v>
      </c>
      <c r="AW32" s="25">
        <f>IF(ISERROR(AV32/AT32),"NA",IF(OR(AV32/AT32&gt;2,AV32/AT32&lt;0.5),"NM",(AV32/AT32-1)*100))</f>
        <v>6.6111640898497637</v>
      </c>
      <c r="AX32" s="63">
        <f t="shared" si="8"/>
        <v>11.520195943084687</v>
      </c>
      <c r="AY32" s="58"/>
      <c r="AZ32" s="59"/>
      <c r="BA32"/>
      <c r="BB32"/>
      <c r="BC32"/>
      <c r="BD32"/>
      <c r="BE32"/>
      <c r="BF32"/>
      <c r="BG32" s="31"/>
      <c r="BH32" s="54"/>
      <c r="BI32"/>
      <c r="BJ32"/>
      <c r="BK32"/>
      <c r="BL32"/>
      <c r="BM32"/>
      <c r="BN32" s="24"/>
    </row>
    <row r="33" spans="1:66" s="248" customFormat="1" ht="12.75" customHeight="1">
      <c r="A33" s="54"/>
      <c r="B33" s="203" t="s">
        <v>140</v>
      </c>
      <c r="C33" s="197">
        <v>5918</v>
      </c>
      <c r="D33" s="198"/>
      <c r="E33" s="199">
        <v>5846</v>
      </c>
      <c r="F33" s="198"/>
      <c r="G33" s="199">
        <v>5982</v>
      </c>
      <c r="H33" s="198"/>
      <c r="I33" s="199">
        <v>5381</v>
      </c>
      <c r="J33" s="198"/>
      <c r="K33" s="199">
        <v>5367</v>
      </c>
      <c r="L33" s="135">
        <f>IF(ISERROR(K33/C33),"NA",IF(OR(K33/C33&gt;2,K33/C33&lt;0.5),"NM",(K33/C33-1)*100))</f>
        <v>-9.3105778979384883</v>
      </c>
      <c r="M33" s="199">
        <v>5737</v>
      </c>
      <c r="N33" s="135">
        <f>IF(ISERROR(M33/E33),"NA",IF(OR(M33/E33&gt;2,M33/E33&lt;0.5),"NM",(M33/E33-1)*100))</f>
        <v>-1.8645227505986961</v>
      </c>
      <c r="O33" s="199">
        <v>5921</v>
      </c>
      <c r="P33" s="135">
        <f>IF(ISERROR(O33/G33),"NA",IF(OR(O33/G33&gt;2,O33/G33&lt;0.5),"NM",(O33/G33-1)*100))</f>
        <v>-1.0197258441992596</v>
      </c>
      <c r="Q33" s="199">
        <v>5979</v>
      </c>
      <c r="R33" s="135">
        <f>IF(ISERROR(Q33/I33),"NA",IF(OR(Q33/I33&gt;2,Q33/I33&lt;0.5),"NM",(Q33/I33-1)*100))</f>
        <v>11.113175989593005</v>
      </c>
      <c r="S33" s="199">
        <f>Q33</f>
        <v>5979</v>
      </c>
      <c r="T33" s="135">
        <f>IF(ISERROR(S33/K33),"NA",IF(OR(S33/K33&gt;2,S33/K33&lt;0.5),"NM",(S33/K33-1)*100))</f>
        <v>11.403018446059242</v>
      </c>
      <c r="U33" s="199">
        <f>S33</f>
        <v>5979</v>
      </c>
      <c r="V33" s="135">
        <f>IF(ISERROR(U33/M33),"NA",IF(OR(U33/M33&gt;2,U33/M33&lt;0.5),"NM",(U33/M33-1)*100))</f>
        <v>4.2182325257102971</v>
      </c>
      <c r="W33" s="199">
        <f>U33</f>
        <v>5979</v>
      </c>
      <c r="X33" s="135">
        <f>IF(ISERROR(W33/O33),"NA",IF(OR(W33/O33&gt;2,W33/O33&lt;0.5),"NM",(W33/O33-1)*100))</f>
        <v>0.979564262793442</v>
      </c>
      <c r="Y33" s="199">
        <f>W33</f>
        <v>5979</v>
      </c>
      <c r="Z33" s="135">
        <f>IF(ISERROR(Y33/Q33),"NA",IF(OR(Y33/Q33&gt;2,Y33/Q33&lt;0.5),"NM",(Y33/Q33-1)*100))</f>
        <v>0</v>
      </c>
      <c r="AA33" s="54"/>
      <c r="AB33" s="184"/>
      <c r="AC33" s="64"/>
      <c r="AD33" s="209">
        <f>AB33</f>
        <v>0</v>
      </c>
      <c r="AE33" s="25"/>
      <c r="AF33" s="209">
        <f>AD33</f>
        <v>0</v>
      </c>
      <c r="AG33" s="25" t="str">
        <f>IF(ISERROR(AF33/AD33),"NA",IF(OR(AF33/AD33&gt;2,AF33/AD33&lt;0.5),"NM",(AF33/AD33-1)*100))</f>
        <v>NA</v>
      </c>
      <c r="AH33" s="69">
        <v>5542</v>
      </c>
      <c r="AI33" s="25" t="str">
        <f>IF(ISERROR(AH33/AF33),"NA",IF(OR(AH33/AF33&gt;2,AH33/AF33&lt;0.5),"NM",(AH33/AF33-1)*100))</f>
        <v>NA</v>
      </c>
      <c r="AJ33" s="209">
        <f>I33</f>
        <v>5381</v>
      </c>
      <c r="AK33" s="25">
        <f>IF(ISERROR(AJ33/AH33),"NA",IF(OR(AJ33/AH33&gt;2,AJ33/AH33&lt;0.5),"NM",(AJ33/AH33-1)*100))</f>
        <v>-2.9050884157343915</v>
      </c>
      <c r="AL33" s="209">
        <f>Q33</f>
        <v>5979</v>
      </c>
      <c r="AM33" s="25">
        <f>IF(ISERROR(AL33/AJ33),"NA",IF(OR(AL33/AJ33&gt;2,AL33/AJ33&lt;0.5),"NM",(AL33/AJ33-1)*100))</f>
        <v>11.113175989593005</v>
      </c>
      <c r="AN33" s="209">
        <f>Y33</f>
        <v>5979</v>
      </c>
      <c r="AO33" s="25">
        <f>IF(ISERROR(AN33/AL33),"NA",IF(OR(AN33/AL33&gt;2,AN33/AL33&lt;0.5),"NM",(AN33/AL33-1)*100))</f>
        <v>0</v>
      </c>
      <c r="AP33" s="199">
        <f>AN33*1.05</f>
        <v>6277.95</v>
      </c>
      <c r="AQ33" s="25">
        <f>IF(ISERROR(AP33/AN33),"NA",IF(OR(AP33/AN33&gt;2,AP33/AN33&lt;0.5),"NM",(AP33/AN33-1)*100))</f>
        <v>5.0000000000000044</v>
      </c>
      <c r="AR33" s="199">
        <f>AP33*1.05</f>
        <v>6591.8474999999999</v>
      </c>
      <c r="AS33" s="25">
        <f>IF(ISERROR(AR33/AP33),"NA",IF(OR(AR33/AP33&gt;2,AR33/AP33&lt;0.5),"NM",(AR33/AP33-1)*100))</f>
        <v>5.0000000000000044</v>
      </c>
      <c r="AT33" s="199">
        <f>AR33*1.05</f>
        <v>6921.439875</v>
      </c>
      <c r="AU33" s="25">
        <f>IF(ISERROR(AT33/AR33),"NA",IF(OR(AT33/AR33&gt;2,AT33/AR33&lt;0.5),"NM",(AT33/AR33-1)*100))</f>
        <v>5.0000000000000044</v>
      </c>
      <c r="AV33" s="199">
        <f>AT33*1.05</f>
        <v>7267.5118687500008</v>
      </c>
      <c r="AW33" s="25">
        <f>IF(ISERROR(AV33/AT33),"NA",IF(OR(AV33/AT33&gt;2,AV33/AT33&lt;0.5),"NM",(AV33/AT33-1)*100))</f>
        <v>5.0000000000000044</v>
      </c>
      <c r="AX33" s="63">
        <f t="shared" si="8"/>
        <v>3.9803893401205492</v>
      </c>
      <c r="AY33" s="58"/>
      <c r="AZ33" s="59"/>
      <c r="BA33"/>
      <c r="BB33"/>
      <c r="BC33"/>
      <c r="BD33"/>
      <c r="BE33"/>
      <c r="BF33"/>
      <c r="BG33" s="31"/>
      <c r="BH33" s="54"/>
      <c r="BI33"/>
      <c r="BJ33"/>
      <c r="BK33"/>
      <c r="BL33"/>
      <c r="BM33"/>
      <c r="BN33" s="24"/>
    </row>
    <row r="34" spans="1:66" s="248" customFormat="1" ht="12.75" customHeight="1">
      <c r="A34" s="54"/>
      <c r="B34" s="203" t="s">
        <v>141</v>
      </c>
      <c r="C34" s="197">
        <v>-165</v>
      </c>
      <c r="D34" s="198"/>
      <c r="E34" s="199">
        <v>-161</v>
      </c>
      <c r="F34" s="198"/>
      <c r="G34" s="199">
        <v>-163</v>
      </c>
      <c r="H34" s="198"/>
      <c r="I34" s="199">
        <v>-152</v>
      </c>
      <c r="J34" s="198"/>
      <c r="K34" s="199">
        <v>-155</v>
      </c>
      <c r="L34" s="135">
        <f>IF(ISERROR(K34/C34),"NA",IF(OR(K34/C34&gt;2,K34/C34&lt;0.5),"NM",(K34/C34-1)*100))</f>
        <v>-6.0606060606060552</v>
      </c>
      <c r="M34" s="199">
        <v>-166</v>
      </c>
      <c r="N34" s="135">
        <f>IF(ISERROR(M34/E34),"NA",IF(OR(M34/E34&gt;2,M34/E34&lt;0.5),"NM",(M34/E34-1)*100))</f>
        <v>3.105590062111796</v>
      </c>
      <c r="O34" s="199">
        <v>-171</v>
      </c>
      <c r="P34" s="135">
        <f>IF(ISERROR(O34/G34),"NA",IF(OR(O34/G34&gt;2,O34/G34&lt;0.5),"NM",(O34/G34-1)*100))</f>
        <v>4.9079754601226933</v>
      </c>
      <c r="Q34" s="199">
        <v>-174</v>
      </c>
      <c r="R34" s="135">
        <f>IF(ISERROR(Q34/I34),"NA",IF(OR(Q34/I34&gt;2,Q34/I34&lt;0.5),"NM",(Q34/I34-1)*100))</f>
        <v>14.473684210526304</v>
      </c>
      <c r="S34" s="199">
        <f>Q34</f>
        <v>-174</v>
      </c>
      <c r="T34" s="135">
        <f>IF(ISERROR(S34/K34),"NA",IF(OR(S34/K34&gt;2,S34/K34&lt;0.5),"NM",(S34/K34-1)*100))</f>
        <v>12.25806451612903</v>
      </c>
      <c r="U34" s="199">
        <f>S34</f>
        <v>-174</v>
      </c>
      <c r="V34" s="135">
        <f>IF(ISERROR(U34/M34),"NA",IF(OR(U34/M34&gt;2,U34/M34&lt;0.5),"NM",(U34/M34-1)*100))</f>
        <v>4.8192771084337283</v>
      </c>
      <c r="W34" s="199">
        <f>U34</f>
        <v>-174</v>
      </c>
      <c r="X34" s="135">
        <f>IF(ISERROR(W34/O34),"NA",IF(OR(W34/O34&gt;2,W34/O34&lt;0.5),"NM",(W34/O34-1)*100))</f>
        <v>1.7543859649122862</v>
      </c>
      <c r="Y34" s="199">
        <f>W34</f>
        <v>-174</v>
      </c>
      <c r="Z34" s="135">
        <f>IF(ISERROR(Y34/Q34),"NA",IF(OR(Y34/Q34&gt;2,Y34/Q34&lt;0.5),"NM",(Y34/Q34-1)*100))</f>
        <v>0</v>
      </c>
      <c r="AA34" s="54"/>
      <c r="AB34" s="184"/>
      <c r="AC34" s="64"/>
      <c r="AD34" s="209">
        <f>AB34</f>
        <v>0</v>
      </c>
      <c r="AE34" s="25"/>
      <c r="AF34" s="209">
        <f>AD34</f>
        <v>0</v>
      </c>
      <c r="AG34" s="25" t="str">
        <f>IF(ISERROR(AF34/AD34),"NA",IF(OR(AF34/AD34&gt;2,AF34/AD34&lt;0.5),"NM",(AF34/AD34-1)*100))</f>
        <v>NA</v>
      </c>
      <c r="AH34" s="69">
        <v>-125</v>
      </c>
      <c r="AI34" s="25" t="str">
        <f>IF(ISERROR(AH34/AF34),"NA",IF(OR(AH34/AF34&gt;2,AH34/AF34&lt;0.5),"NM",(AH34/AF34-1)*100))</f>
        <v>NA</v>
      </c>
      <c r="AJ34" s="209">
        <f>I34</f>
        <v>-152</v>
      </c>
      <c r="AK34" s="25">
        <f>IF(ISERROR(AJ34/AH34),"NA",IF(OR(AJ34/AH34&gt;2,AJ34/AH34&lt;0.5),"NM",(AJ34/AH34-1)*100))</f>
        <v>21.599999999999998</v>
      </c>
      <c r="AL34" s="209">
        <f>Q34</f>
        <v>-174</v>
      </c>
      <c r="AM34" s="25">
        <f>IF(ISERROR(AL34/AJ34),"NA",IF(OR(AL34/AJ34&gt;2,AL34/AJ34&lt;0.5),"NM",(AL34/AJ34-1)*100))</f>
        <v>14.473684210526304</v>
      </c>
      <c r="AN34" s="209">
        <f>Y34</f>
        <v>-174</v>
      </c>
      <c r="AO34" s="25">
        <f>IF(ISERROR(AN34/AL34),"NA",IF(OR(AN34/AL34&gt;2,AN34/AL34&lt;0.5),"NM",(AN34/AL34-1)*100))</f>
        <v>0</v>
      </c>
      <c r="AP34" s="199">
        <f>AN34</f>
        <v>-174</v>
      </c>
      <c r="AQ34" s="25">
        <f>IF(ISERROR(AP34/AN34),"NA",IF(OR(AP34/AN34&gt;2,AP34/AN34&lt;0.5),"NM",(AP34/AN34-1)*100))</f>
        <v>0</v>
      </c>
      <c r="AR34" s="199">
        <f>AP34</f>
        <v>-174</v>
      </c>
      <c r="AS34" s="25">
        <f>IF(ISERROR(AR34/AP34),"NA",IF(OR(AR34/AP34&gt;2,AR34/AP34&lt;0.5),"NM",(AR34/AP34-1)*100))</f>
        <v>0</v>
      </c>
      <c r="AT34" s="199">
        <f>AR34</f>
        <v>-174</v>
      </c>
      <c r="AU34" s="25">
        <f>IF(ISERROR(AT34/AR34),"NA",IF(OR(AT34/AR34&gt;2,AT34/AR34&lt;0.5),"NM",(AT34/AR34-1)*100))</f>
        <v>0</v>
      </c>
      <c r="AV34" s="199">
        <f>AT34</f>
        <v>-174</v>
      </c>
      <c r="AW34" s="25">
        <f>IF(ISERROR(AV34/AT34),"NA",IF(OR(AV34/AT34&gt;2,AV34/AT34&lt;0.5),"NM",(AV34/AT34-1)*100))</f>
        <v>0</v>
      </c>
      <c r="AX34" s="63">
        <f t="shared" si="8"/>
        <v>0</v>
      </c>
      <c r="AY34" s="58"/>
      <c r="AZ34" s="59"/>
      <c r="BA34"/>
      <c r="BB34"/>
      <c r="BC34"/>
      <c r="BD34"/>
      <c r="BE34"/>
      <c r="BF34"/>
      <c r="BG34" s="31"/>
      <c r="BH34" s="54"/>
      <c r="BI34"/>
      <c r="BJ34"/>
      <c r="BK34"/>
      <c r="BL34"/>
      <c r="BM34"/>
      <c r="BN34" s="24"/>
    </row>
    <row r="35" spans="1:66" s="248" customFormat="1" ht="12.75" customHeight="1">
      <c r="A35" s="54"/>
      <c r="B35" s="203" t="s">
        <v>142</v>
      </c>
      <c r="C35" s="56">
        <f>C32+C33+C34</f>
        <v>66463</v>
      </c>
      <c r="D35" s="61"/>
      <c r="E35" s="56">
        <f>E32+E33+E34</f>
        <v>68336</v>
      </c>
      <c r="F35" s="61"/>
      <c r="G35" s="56">
        <f>G32+G33+G34</f>
        <v>70916</v>
      </c>
      <c r="H35" s="61"/>
      <c r="I35" s="56">
        <f>I32+I33+I34</f>
        <v>70974</v>
      </c>
      <c r="J35" s="61"/>
      <c r="K35" s="56">
        <f>K32+K33+K34</f>
        <v>72225</v>
      </c>
      <c r="L35" s="61">
        <f>IF(ISERROR(K35/C35),"NA",IF(OR(K35/C35&gt;2,K35/C35&lt;0.5),"NM",(K35/C35-1)*100))</f>
        <v>8.6694852775228259</v>
      </c>
      <c r="M35" s="56">
        <f>M32+M33+M34</f>
        <v>75290</v>
      </c>
      <c r="N35" s="61">
        <f>IF(ISERROR(M35/E35),"NA",IF(OR(M35/E35&gt;2,M35/E35&lt;0.5),"NM",(M35/E35-1)*100))</f>
        <v>10.176188246312346</v>
      </c>
      <c r="O35" s="56">
        <f>O32+O33+O34</f>
        <v>77850</v>
      </c>
      <c r="P35" s="61">
        <f>IF(ISERROR(O35/G35),"NA",IF(OR(O35/G35&gt;2,O35/G35&lt;0.5),"NM",(O35/G35-1)*100))</f>
        <v>9.7777652433865381</v>
      </c>
      <c r="Q35" s="56">
        <f>Q32+Q33+Q34</f>
        <v>81183</v>
      </c>
      <c r="R35" s="61">
        <f>IF(ISERROR(Q35/I35),"NA",IF(OR(Q35/I35&gt;2,Q35/I35&lt;0.5),"NM",(Q35/I35-1)*100))</f>
        <v>14.384140671231727</v>
      </c>
      <c r="S35" s="56">
        <f>S32+S33+S34</f>
        <v>83010.129000000001</v>
      </c>
      <c r="T35" s="61">
        <f>IF(ISERROR(S35/K35),"NA",IF(OR(S35/K35&gt;2,S35/K35&lt;0.5),"NM",(S35/K35-1)*100))</f>
        <v>14.932681204569054</v>
      </c>
      <c r="U35" s="56">
        <f>U32+U33+U34</f>
        <v>85101.628984499999</v>
      </c>
      <c r="V35" s="61">
        <f>IF(ISERROR(U35/M35),"NA",IF(OR(U35/M35&gt;2,U35/M35&lt;0.5),"NM",(U35/M35-1)*100))</f>
        <v>13.03178242064018</v>
      </c>
      <c r="W35" s="56">
        <f>W32+W33+W34</f>
        <v>106202.34471930224</v>
      </c>
      <c r="X35" s="61">
        <f>IF(ISERROR(W35/O35),"NA",IF(OR(W35/O35&gt;2,W35/O35&lt;0.5),"NM",(W35/O35-1)*100))</f>
        <v>36.419196813490352</v>
      </c>
      <c r="Y35" s="56">
        <f>Y32+Y33+Y34</f>
        <v>107891.59649727585</v>
      </c>
      <c r="Z35" s="61">
        <f>IF(ISERROR(Y35/Q35),"NA",IF(OR(Y35/Q35&gt;2,Y35/Q35&lt;0.5),"NM",(Y35/Q35-1)*100))</f>
        <v>32.899247991914372</v>
      </c>
      <c r="AA35" s="54"/>
      <c r="AB35" s="180"/>
      <c r="AC35" s="56"/>
      <c r="AD35" s="56">
        <f>AD32+AD33+AD34</f>
        <v>60442</v>
      </c>
      <c r="AE35" s="61" t="str">
        <f>IF(ISERROR(AD35/#REF!),"NA",IF(OR(AD35/#REF!&gt;2,AD35/#REF!&lt;0.5),"NM",(AD35/#REF!-1)*100))</f>
        <v>NA</v>
      </c>
      <c r="AF35" s="56">
        <f>AF32+AF33+AF34</f>
        <v>60024</v>
      </c>
      <c r="AG35" s="61">
        <f>IF(ISERROR(AF35/AD35),"NA",IF(OR(AF35/AD35&gt;2,AF35/AD35&lt;0.5),"NM",(AF35/AD35-1)*100))</f>
        <v>-0.69157208563581651</v>
      </c>
      <c r="AH35" s="56">
        <f>AH32+AH33+AH34</f>
        <v>65271</v>
      </c>
      <c r="AI35" s="61">
        <f>IF(ISERROR(AH35/AF35),"NA",IF(OR(AH35/AF35&gt;2,AH35/AF35&lt;0.5),"NM",(AH35/AF35-1)*100))</f>
        <v>8.7415033986405497</v>
      </c>
      <c r="AJ35" s="56">
        <f>AJ32+AJ33+AJ34</f>
        <v>70974</v>
      </c>
      <c r="AK35" s="61">
        <f>IF(ISERROR(AJ35/AH35),"NA",IF(OR(AJ35/AH35&gt;2,AJ35/AH35&lt;0.5),"NM",(AJ35/AH35-1)*100))</f>
        <v>8.7374178425334357</v>
      </c>
      <c r="AL35" s="56">
        <f>Q35</f>
        <v>81183</v>
      </c>
      <c r="AM35" s="61">
        <f>IF(ISERROR(AL35/AJ35),"NA",IF(OR(AL35/AJ35&gt;2,AL35/AJ35&lt;0.5),"NM",(AL35/AJ35-1)*100))</f>
        <v>14.384140671231727</v>
      </c>
      <c r="AN35" s="56">
        <f>Y35</f>
        <v>107891.59649727585</v>
      </c>
      <c r="AO35" s="61">
        <f>IF(ISERROR(AN35/AL35),"NA",IF(OR(AN35/AL35&gt;2,AN35/AL35&lt;0.5),"NM",(AN35/AL35-1)*100))</f>
        <v>32.899247991914372</v>
      </c>
      <c r="AP35" s="56">
        <f>AP32+AP33+AP34</f>
        <v>114170.75281252102</v>
      </c>
      <c r="AQ35" s="61">
        <f>IF(ISERROR(AP35/AN35),"NA",IF(OR(AP35/AN35&gt;2,AP35/AN35&lt;0.5),"NM",(AP35/AN35-1)*100))</f>
        <v>5.8198752443186841</v>
      </c>
      <c r="AR35" s="56">
        <f>AR32+AR33+AR34</f>
        <v>121084.38805939414</v>
      </c>
      <c r="AS35" s="61">
        <f>IF(ISERROR(AR35/AP35),"NA",IF(OR(AR35/AP35&gt;2,AR35/AP35&lt;0.5),"NM",(AR35/AP35-1)*100))</f>
        <v>6.0555221688219474</v>
      </c>
      <c r="AT35" s="56">
        <f>AT32+AT33+AT34</f>
        <v>128705.22928404866</v>
      </c>
      <c r="AU35" s="61">
        <f>IF(ISERROR(AT35/AR35),"NA",IF(OR(AT35/AR35&gt;2,AT35/AR35&lt;0.5),"NM",(AT35/AR35-1)*100))</f>
        <v>6.2938264352596418</v>
      </c>
      <c r="AV35" s="56">
        <f>AV32+AV33+AV34</f>
        <v>137114.13085598429</v>
      </c>
      <c r="AW35" s="61">
        <f>IF(ISERROR(AV35/AT35),"NA",IF(OR(AV35/AT35&gt;2,AV35/AT35&lt;0.5),"NM",(AV35/AT35-1)*100))</f>
        <v>6.5334575904273606</v>
      </c>
      <c r="AX35" s="63">
        <f t="shared" si="8"/>
        <v>11.051242957470841</v>
      </c>
      <c r="AY35" s="58"/>
      <c r="AZ35" s="59"/>
      <c r="BA35"/>
      <c r="BB35"/>
      <c r="BC35"/>
      <c r="BD35"/>
      <c r="BE35"/>
      <c r="BF35"/>
      <c r="BG35" s="31"/>
      <c r="BH35" s="54"/>
      <c r="BI35"/>
      <c r="BJ35"/>
      <c r="BK35"/>
      <c r="BL35"/>
      <c r="BM35"/>
      <c r="BN35" s="24"/>
    </row>
    <row r="36" spans="1:66" s="248" customFormat="1" ht="12.75" customHeight="1">
      <c r="A36" s="54"/>
      <c r="B36" s="203" t="s">
        <v>200</v>
      </c>
      <c r="C36" s="56">
        <f>AVERAGE(C22,C32)</f>
        <v>60282</v>
      </c>
      <c r="D36" s="61"/>
      <c r="E36" s="56">
        <f>AVERAGE(E22,E32)</f>
        <v>61680.5</v>
      </c>
      <c r="F36" s="61"/>
      <c r="G36" s="56">
        <f>AVERAGE(G22,G32)</f>
        <v>63874</v>
      </c>
      <c r="H36" s="61"/>
      <c r="I36" s="56">
        <f>AVERAGE(I22,I32)</f>
        <v>65421</v>
      </c>
      <c r="J36" s="61"/>
      <c r="K36" s="56">
        <f>AVERAGE(K22,K32)</f>
        <v>66379</v>
      </c>
      <c r="L36" s="61">
        <f>IF(ISERROR(K36/C36),"NA",IF(OR(K36/C36&gt;2,K36/C36&lt;0.5),"NM",(K36/C36-1)*100))</f>
        <v>10.114130254470656</v>
      </c>
      <c r="M36" s="56">
        <f>AVERAGE(M22,M32)</f>
        <v>68366</v>
      </c>
      <c r="N36" s="61">
        <f>IF(ISERROR(M36/E36),"NA",IF(OR(M36/E36&gt;2,M36/E36&lt;0.5),"NM",(M36/E36-1)*100))</f>
        <v>10.838919917964351</v>
      </c>
      <c r="O36" s="56">
        <f>AVERAGE(O22,O32)</f>
        <v>70909.5</v>
      </c>
      <c r="P36" s="61">
        <f>IF(ISERROR(O36/G36),"NA",IF(OR(O36/G36&gt;2,O36/G36&lt;0.5),"NM",(O36/G36-1)*100))</f>
        <v>11.01465384976672</v>
      </c>
      <c r="Q36" s="56">
        <f>AVERAGE(Q22,Q32)</f>
        <v>73739</v>
      </c>
      <c r="R36" s="61">
        <f>IF(ISERROR(Q36/I36),"NA",IF(OR(Q36/I36&gt;2,Q36/I36&lt;0.5),"NM",(Q36/I36-1)*100))</f>
        <v>12.714571773589523</v>
      </c>
      <c r="S36" s="56">
        <f>AVERAGE(S22,S32)</f>
        <v>76291.564500000008</v>
      </c>
      <c r="T36" s="61">
        <f>IF(ISERROR(S36/K36),"NA",IF(OR(S36/K36&gt;2,S36/K36&lt;0.5),"NM",(S36/K36-1)*100))</f>
        <v>14.933283869898627</v>
      </c>
      <c r="U36" s="56">
        <f>AVERAGE(U22,U32)</f>
        <v>78250.87899225</v>
      </c>
      <c r="V36" s="61">
        <f>IF(ISERROR(U36/M36),"NA",IF(OR(U36/M36&gt;2,U36/M36&lt;0.5),"NM",(U36/M36-1)*100))</f>
        <v>14.458764579249927</v>
      </c>
      <c r="W36" s="56">
        <f>W22+0.5*(W26+W30+W31)+W27</f>
        <v>99321.986851901122</v>
      </c>
      <c r="X36" s="61">
        <f>IF(ISERROR(W36/O36),"NA",IF(OR(W36/O36&gt;2,W36/O36&lt;0.5),"NM",(W36/O36-1)*100))</f>
        <v>40.068660548870213</v>
      </c>
      <c r="Y36" s="56">
        <f>AVERAGE(Y22,Y32)</f>
        <v>101241.97060828905</v>
      </c>
      <c r="Z36" s="61">
        <f>IF(ISERROR(Y36/Q36),"NA",IF(OR(Y36/Q36&gt;2,Y36/Q36&lt;0.5),"NM",(Y36/Q36-1)*100))</f>
        <v>37.297726587408356</v>
      </c>
      <c r="AA36" s="54"/>
      <c r="AB36" s="180"/>
      <c r="AC36" s="56"/>
      <c r="AD36" s="56">
        <f>AVERAGE(AD22,AD32)</f>
        <v>37087.5</v>
      </c>
      <c r="AE36" s="61" t="str">
        <f>IF(ISERROR(AD36/#REF!),"NA",IF(OR(AD36/#REF!&gt;2,AD36/#REF!&lt;0.5),"NM",(AD36/#REF!-1)*100))</f>
        <v>NA</v>
      </c>
      <c r="AF36" s="56">
        <f>AVERAGE(AF22,AF32)</f>
        <v>60233</v>
      </c>
      <c r="AG36" s="61">
        <f>IF(ISERROR(AF36/AD36),"NA",IF(OR(AF36/AD36&gt;2,AF36/AD36&lt;0.5),"NM",(AF36/AD36-1)*100))</f>
        <v>62.407819346140883</v>
      </c>
      <c r="AH36" s="56">
        <f>AVERAGE(AH22,AH32)</f>
        <v>59939</v>
      </c>
      <c r="AI36" s="61">
        <f>IF(ISERROR(AH36/AF36),"NA",IF(OR(AH36/AF36&gt;2,AH36/AF36&lt;0.5),"NM",(AH36/AF36-1)*100))</f>
        <v>-0.48810452741852028</v>
      </c>
      <c r="AJ36" s="56">
        <f>AVERAGE(AJ22,AJ32)</f>
        <v>62799.5</v>
      </c>
      <c r="AK36" s="61">
        <f>IF(ISERROR(AJ36/AH36),"NA",IF(OR(AJ36/AH36&gt;2,AJ36/AH36&lt;0.5),"NM",(AJ36/AH36-1)*100))</f>
        <v>4.7723518910892659</v>
      </c>
      <c r="AL36" s="56">
        <f>AVERAGE(AL22,AL32)</f>
        <v>70561.5</v>
      </c>
      <c r="AM36" s="61">
        <f>IF(ISERROR(AL36/AJ36),"NA",IF(OR(AL36/AJ36&gt;2,AL36/AJ36&lt;0.5),"NM",(AL36/AJ36-1)*100))</f>
        <v>12.359971018877536</v>
      </c>
      <c r="AN36" s="56">
        <f>AVERAGE(AN22,AN32)</f>
        <v>88732.298248637933</v>
      </c>
      <c r="AO36" s="61">
        <f>IF(ISERROR(AN36/AL36),"NA",IF(OR(AN36/AL36&gt;2,AN36/AL36&lt;0.5),"NM",(AN36/AL36-1)*100))</f>
        <v>25.751717648629825</v>
      </c>
      <c r="AP36" s="56">
        <f>AVERAGE(AP22,AP32)</f>
        <v>105076.69965489843</v>
      </c>
      <c r="AQ36" s="61">
        <f>IF(ISERROR(AP36/AN36),"NA",IF(OR(AP36/AN36&gt;2,AP36/AN36&lt;0.5),"NM",(AP36/AN36-1)*100))</f>
        <v>18.419900902895179</v>
      </c>
      <c r="AR36" s="56">
        <f>AVERAGE(AR22,AR32)</f>
        <v>111366.67168595758</v>
      </c>
      <c r="AS36" s="61">
        <f>IF(ISERROR(AR36/AP36),"NA",IF(OR(AR36/AP36&gt;2,AR36/AP36&lt;0.5),"NM",(AR36/AP36-1)*100))</f>
        <v>5.9860768864240965</v>
      </c>
      <c r="AT36" s="56">
        <f>AVERAGE(AT22,AT32)</f>
        <v>118312.1649842214</v>
      </c>
      <c r="AU36" s="61">
        <f>IF(ISERROR(AT36/AR36),"NA",IF(OR(AT36/AR36&gt;2,AT36/AR36&lt;0.5),"NM",(AT36/AR36-1)*100))</f>
        <v>6.2365995078396352</v>
      </c>
      <c r="AV36" s="56">
        <f>AVERAGE(AV22,AV32)</f>
        <v>125989.20419814147</v>
      </c>
      <c r="AW36" s="61">
        <f>IF(ISERROR(AV36/AT36),"NA",IF(OR(AV36/AT36&gt;2,AV36/AT36&lt;0.5),"NM",(AV36/AT36-1)*100))</f>
        <v>6.4887995371768481</v>
      </c>
      <c r="AX36" s="63">
        <f t="shared" si="8"/>
        <v>12.293108889507721</v>
      </c>
      <c r="AY36" s="58"/>
      <c r="AZ36" s="59"/>
      <c r="BA36"/>
      <c r="BB36"/>
      <c r="BC36"/>
      <c r="BD36"/>
      <c r="BE36"/>
      <c r="BF36"/>
      <c r="BG36" s="31"/>
      <c r="BH36" s="54"/>
      <c r="BI36"/>
      <c r="BJ36"/>
      <c r="BK36"/>
      <c r="BL36"/>
      <c r="BM36"/>
      <c r="BN36" s="24"/>
    </row>
    <row r="37" spans="1:66" s="248" customFormat="1" ht="12.75" customHeight="1">
      <c r="A37" s="54"/>
      <c r="B37" s="55"/>
      <c r="C37" s="56"/>
      <c r="D37" s="61"/>
      <c r="E37" s="56"/>
      <c r="F37" s="61"/>
      <c r="G37" s="56"/>
      <c r="H37" s="61"/>
      <c r="I37" s="56"/>
      <c r="J37" s="61"/>
      <c r="K37" s="56"/>
      <c r="L37" s="61"/>
      <c r="M37" s="56"/>
      <c r="N37" s="61"/>
      <c r="O37" s="56"/>
      <c r="P37" s="61"/>
      <c r="Q37" s="56"/>
      <c r="R37" s="61"/>
      <c r="S37" s="56"/>
      <c r="T37" s="61"/>
      <c r="U37" s="56"/>
      <c r="V37" s="61"/>
      <c r="W37" s="56"/>
      <c r="X37" s="61"/>
      <c r="Y37" s="56"/>
      <c r="Z37" s="61"/>
      <c r="AA37" s="54"/>
      <c r="AB37" s="180"/>
      <c r="AC37" s="56"/>
      <c r="AD37" s="56"/>
      <c r="AE37" s="61"/>
      <c r="AF37" s="56"/>
      <c r="AG37" s="61"/>
      <c r="AH37" s="56"/>
      <c r="AI37" s="61"/>
      <c r="AJ37" s="56"/>
      <c r="AK37" s="61"/>
      <c r="AL37" s="56"/>
      <c r="AM37" s="61"/>
      <c r="AN37" s="56"/>
      <c r="AO37" s="61"/>
      <c r="AP37" s="56"/>
      <c r="AQ37" s="61"/>
      <c r="AR37" s="56"/>
      <c r="AS37" s="61"/>
      <c r="AT37" s="56"/>
      <c r="AU37" s="61"/>
      <c r="AV37" s="56"/>
      <c r="AW37" s="61"/>
      <c r="AX37" s="63"/>
      <c r="AY37" s="58"/>
      <c r="AZ37" s="59"/>
      <c r="BA37"/>
      <c r="BB37"/>
      <c r="BC37"/>
      <c r="BD37"/>
      <c r="BE37"/>
      <c r="BF37"/>
      <c r="BG37" s="31"/>
      <c r="BH37" s="54"/>
      <c r="BI37" s="54"/>
      <c r="BJ37" s="54"/>
      <c r="BK37" s="54"/>
      <c r="BL37" s="54"/>
      <c r="BM37" s="54"/>
      <c r="BN37" s="24"/>
    </row>
    <row r="38" spans="1:66" s="248" customFormat="1" ht="12.75" customHeight="1">
      <c r="A38" s="54"/>
      <c r="B38" s="55" t="s">
        <v>198</v>
      </c>
      <c r="C38" s="56">
        <f>SUM(C29:C31)</f>
        <v>856</v>
      </c>
      <c r="D38" s="61"/>
      <c r="E38" s="56">
        <f>SUM(E29:E31)</f>
        <v>1941</v>
      </c>
      <c r="F38" s="61"/>
      <c r="G38" s="56">
        <f>SUM(G29:G31)</f>
        <v>2446</v>
      </c>
      <c r="H38" s="385">
        <f>G38/E38-1</f>
        <v>0.26017516743946412</v>
      </c>
      <c r="I38" s="56">
        <f>SUM(I29:I31)</f>
        <v>648</v>
      </c>
      <c r="J38" s="61"/>
      <c r="K38" s="56">
        <f>SUM(K29:K31)</f>
        <v>1268</v>
      </c>
      <c r="L38" s="61"/>
      <c r="M38" s="56">
        <f>SUM(M29:M31)</f>
        <v>2706</v>
      </c>
      <c r="N38" s="61"/>
      <c r="O38" s="56">
        <f>SUM(O29:O31)</f>
        <v>2381</v>
      </c>
      <c r="P38" s="61"/>
      <c r="Q38" s="56">
        <f>SUM(Q29:Q31)</f>
        <v>3278</v>
      </c>
      <c r="R38" s="61"/>
      <c r="S38" s="56">
        <f>SUM(S29:S31)</f>
        <v>1827.1289999999999</v>
      </c>
      <c r="T38" s="61"/>
      <c r="U38" s="56">
        <f>SUM(U29:U31)</f>
        <v>2091.4999845000002</v>
      </c>
      <c r="V38" s="61"/>
      <c r="W38" s="56">
        <f>SUM(W29:W31)</f>
        <v>21100.715734802248</v>
      </c>
      <c r="X38" s="61"/>
      <c r="Y38" s="56">
        <f>SUM(Y29:Y31)</f>
        <v>1689.2517779736063</v>
      </c>
      <c r="Z38" s="61"/>
      <c r="AA38" s="54"/>
      <c r="AB38" s="180"/>
      <c r="AC38" s="56"/>
      <c r="AD38" s="56">
        <f>SUM(AD29:AD31)</f>
        <v>46709</v>
      </c>
      <c r="AE38" s="61"/>
      <c r="AF38" s="56">
        <f>SUM(AF29:AF31)</f>
        <v>-418</v>
      </c>
      <c r="AG38" s="61" t="str">
        <f>IF(ISERROR(AF38/AD38),"NA",IF(OR(AF38/AD38&gt;2,AF38/AD38&lt;0.5),"NM",(AF38/AD38-1)*100))</f>
        <v>NM</v>
      </c>
      <c r="AH38" s="56">
        <f>SUM(AH29:AH31)</f>
        <v>-170</v>
      </c>
      <c r="AI38" s="61" t="str">
        <f>IF(ISERROR(AH38/AF38),"NA",IF(OR(AH38/AF38&gt;2,AH38/AF38&lt;0.5),"NM",(AH38/AF38-1)*100))</f>
        <v>NM</v>
      </c>
      <c r="AJ38" s="56">
        <f>SUM(AJ29:AJ31)</f>
        <v>5891</v>
      </c>
      <c r="AK38" s="61" t="str">
        <f>IF(ISERROR(AJ38/AH38),"NA",IF(OR(AJ38/AH38&gt;2,AJ38/AH38&lt;0.5),"NM",(AJ38/AH38-1)*100))</f>
        <v>NM</v>
      </c>
      <c r="AL38" s="56">
        <f>SUM(AL29:AL31)</f>
        <v>9633</v>
      </c>
      <c r="AM38" s="61">
        <f>IF(ISERROR(AL38/AJ38),"NA",IF(OR(AL38/AJ38&gt;2,AL38/AJ38&lt;0.5),"NM",(AL38/AJ38-1)*100))</f>
        <v>63.520624681717884</v>
      </c>
      <c r="AN38" s="56">
        <f>SUM(AN29:AN31)</f>
        <v>26708.596497275856</v>
      </c>
      <c r="AO38" s="61" t="str">
        <f>IF(ISERROR(AN38/AL38),"NA",IF(OR(AN38/AL38&gt;2,AN38/AL38&lt;0.5),"NM",(AN38/AL38-1)*100))</f>
        <v>NM</v>
      </c>
      <c r="AP38" s="56">
        <f>SUM(AP29:AP31)</f>
        <v>5980.2063152451756</v>
      </c>
      <c r="AQ38" s="61" t="str">
        <f>IF(ISERROR(AP38/AN38),"NA",IF(OR(AP38/AN38&gt;2,AP38/AN38&lt;0.5),"NM",(AP38/AN38-1)*100))</f>
        <v>NM</v>
      </c>
      <c r="AR38" s="56">
        <f>SUM(AR29:AR31)</f>
        <v>6599.737746873112</v>
      </c>
      <c r="AS38" s="61">
        <f>IF(ISERROR(AR38/AP38),"NA",IF(OR(AR38/AP38&gt;2,AR38/AP38&lt;0.5),"NM",(AR38/AP38-1)*100))</f>
        <v>10.359699966347002</v>
      </c>
      <c r="AT38" s="56">
        <f>SUM(AT29:AT31)</f>
        <v>7291.248849654532</v>
      </c>
      <c r="AU38" s="61">
        <f>IF(ISERROR(AT38/AR38),"NA",IF(OR(AT38/AR38&gt;2,AT38/AR38&lt;0.5),"NM",(AT38/AR38-1)*100))</f>
        <v>10.477857292269688</v>
      </c>
      <c r="AV38" s="56">
        <f>SUM(AV29:AV31)</f>
        <v>8062.829578185625</v>
      </c>
      <c r="AW38" s="61">
        <f>IF(ISERROR(AV38/AT38),"NA",IF(OR(AV38/AT38&gt;2,AV38/AT38&lt;0.5),"NM",(AV38/AT38-1)*100))</f>
        <v>10.582284934187246</v>
      </c>
      <c r="AX38" s="63">
        <f>IF(ISERROR(((AV38/AL38)^0.2-1)*100),"NA",IF((((AV38/AL38)^0.2-1)*100)&gt;100,"NM",IF((((AV38/AL38)^0.2-1)*100)&lt;-50,"NM",((AV38/AL38)^0.2-1)*100)))</f>
        <v>-3.4960290660264071</v>
      </c>
      <c r="AY38" s="58"/>
      <c r="AZ38" s="59"/>
      <c r="BA38"/>
      <c r="BB38"/>
      <c r="BC38"/>
      <c r="BD38"/>
      <c r="BE38"/>
      <c r="BF38"/>
      <c r="BG38" s="31"/>
      <c r="BH38" s="54"/>
      <c r="BI38" s="54"/>
      <c r="BJ38" s="54"/>
      <c r="BK38" s="54"/>
      <c r="BL38" s="54"/>
      <c r="BM38" s="54"/>
      <c r="BN38" s="24"/>
    </row>
    <row r="39" spans="1:66" s="248" customFormat="1" ht="12.75" customHeight="1">
      <c r="A39" s="54"/>
      <c r="B39" s="55" t="s">
        <v>197</v>
      </c>
      <c r="C39" s="213">
        <f>-C30/C22*400</f>
        <v>9.0353192769071402</v>
      </c>
      <c r="D39" s="78"/>
      <c r="E39" s="213">
        <f>-E30/E22*400</f>
        <v>8.446713885686048</v>
      </c>
      <c r="F39" s="78"/>
      <c r="G39" s="213">
        <f>-G30/G22*400</f>
        <v>9.0214042872420226</v>
      </c>
      <c r="H39" s="78"/>
      <c r="I39" s="213">
        <f>-I30/I22*400</f>
        <v>8.3014578244773176</v>
      </c>
      <c r="J39" s="78"/>
      <c r="K39" s="213">
        <f>-K30/K22*400</f>
        <v>10.160468476690243</v>
      </c>
      <c r="L39" s="135">
        <f>IF(ISERROR(K39/C39),"NA",IF(OR(K39/C39&gt;2,K39/C39&lt;0.5),"NM",(K39/C39-1)*100))</f>
        <v>12.452788499226664</v>
      </c>
      <c r="M39" s="213">
        <f>-M30/M22*400</f>
        <v>8.4043394565233616</v>
      </c>
      <c r="N39" s="135">
        <f>IF(ISERROR(M39/E39),"NA",IF(OR(M39/E39&gt;2,M39/E39&lt;0.5),"NM",(M39/E39-1)*100))</f>
        <v>-0.50166762762611228</v>
      </c>
      <c r="O39" s="213">
        <f>-O30/O22*400</f>
        <v>7.5216225132316881</v>
      </c>
      <c r="P39" s="135">
        <f>IF(ISERROR(O39/G39),"NA",IF(OR(O39/G39&gt;2,O39/G39&lt;0.5),"NM",(O39/G39-1)*100))</f>
        <v>-16.624704161981864</v>
      </c>
      <c r="Q39" s="213">
        <f>-Q30/Q22*400</f>
        <v>7.5506241331484052</v>
      </c>
      <c r="R39" s="135">
        <f>IF(ISERROR(Q39/I39),"NA",IF(OR(Q39/I39&gt;2,Q39/I39&lt;0.5),"NM",(Q39/I39-1)*100))</f>
        <v>-9.0446004449367567</v>
      </c>
      <c r="S39" s="221">
        <v>7.8</v>
      </c>
      <c r="T39" s="135">
        <f>IF(ISERROR(S39/K39),"NA",IF(OR(S39/K39&gt;2,S39/K39&lt;0.5),"NM",(S39/K39-1)*100))</f>
        <v>-23.231886227544919</v>
      </c>
      <c r="U39" s="221">
        <f>S39</f>
        <v>7.8</v>
      </c>
      <c r="V39" s="135">
        <f>IF(ISERROR(U39/M39),"NA",IF(OR(U39/M39&gt;2,U39/M39&lt;0.5),"NM",(U39/M39-1)*100))</f>
        <v>-7.1908025568181877</v>
      </c>
      <c r="W39" s="221">
        <f>U39</f>
        <v>7.8</v>
      </c>
      <c r="X39" s="135">
        <f>IF(ISERROR(W39/O39),"NA",IF(OR(W39/O39&gt;2,W39/O39&lt;0.5),"NM",(W39/O39-1)*100))</f>
        <v>3.7010297482837462</v>
      </c>
      <c r="Y39" s="221">
        <f>W39</f>
        <v>7.8</v>
      </c>
      <c r="Z39" s="135">
        <f>IF(ISERROR(Y39/Q39),"NA",IF(OR(Y39/Q39&gt;2,Y39/Q39&lt;0.5),"NM",(Y39/Q39-1)*100))</f>
        <v>3.3027185892725797</v>
      </c>
      <c r="AA39" s="54"/>
      <c r="AB39" s="180"/>
      <c r="AC39" s="56"/>
      <c r="AD39" s="213">
        <f>-AD30/AD22*100</f>
        <v>11.949319158231996</v>
      </c>
      <c r="AE39" s="61"/>
      <c r="AF39" s="213">
        <f>-AF30/AF22*100</f>
        <v>5.4233810926177162</v>
      </c>
      <c r="AG39" s="61" t="str">
        <f>IF(ISERROR(AF39/AD39),"NA",IF(OR(AF39/AD39&gt;2,AF39/AD39&lt;0.5),"NM",(AF39/AD39-1)*100))</f>
        <v>NM</v>
      </c>
      <c r="AH39" s="213">
        <f>-AH30/AH22*100</f>
        <v>8.9031054244968679</v>
      </c>
      <c r="AI39" s="61">
        <f>IF(ISERROR(AH39/AF39),"NA",IF(OR(AH39/AF39&gt;2,AH39/AF39&lt;0.5),"NM",(AH39/AF39-1)*100))</f>
        <v>64.161530832043837</v>
      </c>
      <c r="AJ39" s="213">
        <f>-AJ30/AJ22*100</f>
        <v>9.0186119557590132</v>
      </c>
      <c r="AK39" s="61">
        <f>IF(ISERROR(AJ39/AH39),"NA",IF(OR(AJ39/AH39&gt;2,AJ39/AH39&lt;0.5),"NM",(AJ39/AH39-1)*100))</f>
        <v>1.2973735090716643</v>
      </c>
      <c r="AL39" s="213">
        <f>-AL30/AL22*100</f>
        <v>8.745912236671991</v>
      </c>
      <c r="AM39" s="61">
        <f>IF(ISERROR(AL39/AJ39),"NA",IF(OR(AL39/AJ39&gt;2,AL39/AJ39&lt;0.5),"NM",(AL39/AJ39-1)*100))</f>
        <v>-3.0237437914476861</v>
      </c>
      <c r="AN39" s="213">
        <f>-AN30/AN22*100</f>
        <v>8.5958814279022313</v>
      </c>
      <c r="AO39" s="61">
        <f>IF(ISERROR(AN39/AL39),"NA",IF(OR(AN39/AL39&gt;2,AN39/AL39&lt;0.5),"NM",(AN39/AL39-1)*100))</f>
        <v>-1.7154392213161507</v>
      </c>
      <c r="AP39" s="221">
        <v>9</v>
      </c>
      <c r="AQ39" s="61">
        <f>IF(ISERROR(AP39/AN39),"NA",IF(OR(AP39/AN39&gt;2,AP39/AN39&lt;0.5),"NM",(AP39/AN39-1)*100))</f>
        <v>4.701304636264525</v>
      </c>
      <c r="AR39" s="221">
        <f>AP39</f>
        <v>9</v>
      </c>
      <c r="AS39" s="61">
        <f>IF(ISERROR(AR39/AP39),"NA",IF(OR(AR39/AP39&gt;2,AR39/AP39&lt;0.5),"NM",(AR39/AP39-1)*100))</f>
        <v>0</v>
      </c>
      <c r="AT39" s="221">
        <f>AR39</f>
        <v>9</v>
      </c>
      <c r="AU39" s="61">
        <f>IF(ISERROR(AT39/AR39),"NA",IF(OR(AT39/AR39&gt;2,AT39/AR39&lt;0.5),"NM",(AT39/AR39-1)*100))</f>
        <v>0</v>
      </c>
      <c r="AV39" s="221">
        <f>AT39</f>
        <v>9</v>
      </c>
      <c r="AW39" s="61">
        <f>IF(ISERROR(AV39/AT39),"NA",IF(OR(AV39/AT39&gt;2,AV39/AT39&lt;0.5),"NM",(AV39/AT39-1)*100))</f>
        <v>0</v>
      </c>
      <c r="AX39" s="63">
        <f>IF(ISERROR(((AV39/AL39)^0.2-1)*100),"NA",IF((((AV39/AL39)^0.2-1)*100)&gt;100,"NM",IF((((AV39/AL39)^0.2-1)*100)&lt;-50,"NM",((AV39/AL39)^0.2-1)*100)))</f>
        <v>0.57440660601097981</v>
      </c>
      <c r="AY39" s="58"/>
      <c r="AZ39" s="59"/>
      <c r="BA39"/>
      <c r="BB39"/>
      <c r="BC39"/>
      <c r="BD39"/>
      <c r="BE39"/>
      <c r="BF39"/>
      <c r="BG39" s="31"/>
      <c r="BH39" s="54"/>
      <c r="BI39" s="54"/>
      <c r="BJ39" s="54"/>
      <c r="BK39" s="54"/>
      <c r="BL39" s="54"/>
      <c r="BM39" s="54"/>
      <c r="BN39" s="24"/>
    </row>
    <row r="40" spans="1:66" s="248" customFormat="1" ht="12.75" customHeight="1">
      <c r="A40" s="54"/>
      <c r="B40" s="55"/>
      <c r="C40" s="64"/>
      <c r="D40" s="61"/>
      <c r="E40" s="64"/>
      <c r="F40" s="61"/>
      <c r="G40" s="64"/>
      <c r="H40" s="61"/>
      <c r="I40" s="64"/>
      <c r="J40" s="61"/>
      <c r="K40" s="64"/>
      <c r="L40" s="61"/>
      <c r="M40" s="64"/>
      <c r="N40" s="61"/>
      <c r="O40" s="64"/>
      <c r="P40" s="61"/>
      <c r="Q40" s="64"/>
      <c r="R40" s="61"/>
      <c r="S40" s="56"/>
      <c r="T40" s="61"/>
      <c r="U40" s="56"/>
      <c r="V40" s="61"/>
      <c r="W40" s="56"/>
      <c r="X40" s="61"/>
      <c r="Y40" s="56"/>
      <c r="Z40" s="61"/>
      <c r="AA40" s="54"/>
      <c r="AB40" s="180"/>
      <c r="AC40" s="56"/>
      <c r="AD40" s="56"/>
      <c r="AE40" s="61"/>
      <c r="AF40" s="56"/>
      <c r="AG40" s="61"/>
      <c r="AH40" s="56"/>
      <c r="AI40" s="61"/>
      <c r="AJ40" s="56"/>
      <c r="AK40" s="61"/>
      <c r="AL40" s="56"/>
      <c r="AM40" s="61"/>
      <c r="AN40" s="56"/>
      <c r="AO40" s="61"/>
      <c r="AP40" s="56"/>
      <c r="AQ40" s="61"/>
      <c r="AR40" s="56"/>
      <c r="AS40" s="61"/>
      <c r="AT40" s="56"/>
      <c r="AU40" s="61"/>
      <c r="AV40" s="56"/>
      <c r="AW40" s="61"/>
      <c r="AX40" s="63"/>
      <c r="AY40" s="58"/>
      <c r="AZ40" s="59"/>
      <c r="BA40"/>
      <c r="BB40"/>
      <c r="BC40"/>
      <c r="BD40"/>
      <c r="BE40"/>
      <c r="BF40"/>
      <c r="BG40" s="31"/>
      <c r="BH40" s="54"/>
      <c r="BI40" s="54"/>
      <c r="BJ40" s="54"/>
      <c r="BK40" s="54"/>
      <c r="BL40" s="54"/>
      <c r="BM40" s="54"/>
      <c r="BN40" s="24"/>
    </row>
    <row r="41" spans="1:66" s="248" customFormat="1" ht="12.75" customHeight="1">
      <c r="A41" s="54"/>
      <c r="B41" s="205" t="s">
        <v>167</v>
      </c>
      <c r="C41" s="197">
        <v>58109</v>
      </c>
      <c r="D41" s="198"/>
      <c r="E41" s="199">
        <v>59353</v>
      </c>
      <c r="F41" s="198"/>
      <c r="G41" s="199">
        <v>61120</v>
      </c>
      <c r="H41" s="56"/>
      <c r="I41" s="199">
        <v>62100</v>
      </c>
      <c r="J41" s="56"/>
      <c r="K41" s="199">
        <v>62982</v>
      </c>
      <c r="L41" s="135">
        <f>IF(ISERROR(K41/C41),"NA",IF(OR(K41/C41&gt;2,K41/C41&lt;0.5),"NM",(K41/C41-1)*100))</f>
        <v>8.3859643084547955</v>
      </c>
      <c r="M41" s="199">
        <v>64955</v>
      </c>
      <c r="N41" s="135">
        <f>IF(ISERROR(M41/E41),"NA",IF(OR(M41/E41&gt;2,M41/E41&lt;0.5),"NM",(M41/E41-1)*100))</f>
        <v>9.4384445605108382</v>
      </c>
      <c r="O41" s="199">
        <v>67190</v>
      </c>
      <c r="P41" s="135">
        <f>IF(ISERROR(O41/G41),"NA",IF(OR(O41/G41&gt;2,O41/G41&lt;0.5),"NM",(O41/G41-1)*100))</f>
        <v>9.9312827225130906</v>
      </c>
      <c r="Q41" s="199">
        <v>69690</v>
      </c>
      <c r="R41" s="135">
        <f>IF(ISERROR(Q41/I41),"NA",IF(OR(Q41/I41&gt;2,Q41/I41&lt;0.5),"NM",(Q41/I41-1)*100))</f>
        <v>12.222222222222223</v>
      </c>
      <c r="S41" s="56">
        <f>S46*S43/100</f>
        <v>73239.901920000004</v>
      </c>
      <c r="T41" s="135">
        <f>IF(ISERROR(S41/K41),"NA",IF(OR(S41/K41&gt;2,S41/K41&lt;0.5),"NM",(S41/K41-1)*100))</f>
        <v>16.28703743926836</v>
      </c>
      <c r="U41" s="56">
        <f>U46*U43/100</f>
        <v>75120.84383256</v>
      </c>
      <c r="V41" s="135">
        <f>IF(ISERROR(U41/M41),"NA",IF(OR(U41/M41&gt;2,U41/M41&lt;0.5),"NM",(U41/M41-1)*100))</f>
        <v>15.650594769548153</v>
      </c>
      <c r="W41" s="56">
        <f>W46*W43/100</f>
        <v>95349.107377825087</v>
      </c>
      <c r="X41" s="135">
        <f>IF(ISERROR(W41/O41),"NA",IF(OR(W41/O41&gt;2,W41/O41&lt;0.5),"NM",(W41/O41-1)*100))</f>
        <v>41.909670156012922</v>
      </c>
      <c r="Y41" s="56">
        <f>Y46*Y43/100</f>
        <v>97192.29178395748</v>
      </c>
      <c r="Z41" s="135">
        <f>IF(ISERROR(Y41/Q41),"NA",IF(OR(Y41/Q41&gt;2,Y41/Q41&lt;0.5),"NM",(Y41/Q41-1)*100))</f>
        <v>39.463756326528163</v>
      </c>
      <c r="AA41" s="54"/>
      <c r="AB41" s="180"/>
      <c r="AC41" s="56"/>
      <c r="AD41" s="69">
        <v>23389</v>
      </c>
      <c r="AE41" s="25"/>
      <c r="AF41" s="69">
        <v>55705</v>
      </c>
      <c r="AG41" s="25" t="str">
        <f>IF(ISERROR(AF41/AD41),"NA",IF(OR(AF41/AD41&gt;2,AF41/AD41&lt;0.5),"NM",(AF41/AD41-1)*100))</f>
        <v>NM</v>
      </c>
      <c r="AH41" s="69">
        <v>56799</v>
      </c>
      <c r="AI41" s="25">
        <f>IF(ISERROR(AH41/AF41),"NA",IF(OR(AH41/AF41&gt;2,AH41/AF41&lt;0.5),"NM",(AH41/AF41-1)*100))</f>
        <v>1.9639170631002623</v>
      </c>
      <c r="AJ41" s="56">
        <f>AVERAGE(I41,G41,E41,C41)</f>
        <v>60170.5</v>
      </c>
      <c r="AK41" s="25">
        <f>IF(ISERROR(AJ41/AH41),"NA",IF(OR(AJ41/AH41&gt;2,AJ41/AH41&lt;0.5),"NM",(AJ41/AH41-1)*100))</f>
        <v>5.9358439409144426</v>
      </c>
      <c r="AL41" s="56">
        <f>AVERAGE(K41,M41,O41,Q41)</f>
        <v>66204.25</v>
      </c>
      <c r="AM41" s="25">
        <f>IF(ISERROR(AL41/AJ41),"NA",IF(OR(AL41/AJ41&gt;2,AL41/AJ41&lt;0.5),"NM",(AL41/AJ41-1)*100))</f>
        <v>10.02775446439701</v>
      </c>
      <c r="AN41" s="56">
        <f>AVERAGE(S41,U41,W41,Y41)</f>
        <v>85225.536228585639</v>
      </c>
      <c r="AO41" s="25">
        <f>IF(ISERROR(AN41/AL41),"NA",IF(OR(AN41/AL41&gt;2,AN41/AL41&lt;0.5),"NM",(AN41/AL41-1)*100))</f>
        <v>28.731216241533808</v>
      </c>
      <c r="AP41" s="56">
        <f>AP46*AP43/100</f>
        <v>100873.6316687025</v>
      </c>
      <c r="AQ41" s="25">
        <f>IF(ISERROR(AP41/AN41),"NA",IF(OR(AP41/AN41&gt;2,AP41/AN41&lt;0.5),"NM",(AP41/AN41-1)*100))</f>
        <v>18.360806082987491</v>
      </c>
      <c r="AR41" s="56">
        <f>AR46*AR43/100</f>
        <v>106912.00481851929</v>
      </c>
      <c r="AS41" s="25">
        <f>IF(ISERROR(AR41/AP41),"NA",IF(OR(AR41/AP41&gt;2,AR41/AP41&lt;0.5),"NM",(AR41/AP41-1)*100))</f>
        <v>5.9860768864241187</v>
      </c>
      <c r="AT41" s="56">
        <f>AT46*AT43/100</f>
        <v>113579.67838485254</v>
      </c>
      <c r="AU41" s="25">
        <f>IF(ISERROR(AT41/AR41),"NA",IF(OR(AT41/AR41&gt;2,AT41/AR41&lt;0.5),"NM",(AT41/AR41-1)*100))</f>
        <v>6.2365995078396352</v>
      </c>
      <c r="AV41" s="56">
        <f>AV46*AV43/100</f>
        <v>120949.63603021581</v>
      </c>
      <c r="AW41" s="25">
        <f>IF(ISERROR(AV41/AT41),"NA",IF(OR(AV41/AT41&gt;2,AV41/AT41&lt;0.5),"NM",(AV41/AT41-1)*100))</f>
        <v>6.4887995371768481</v>
      </c>
      <c r="AX41" s="63">
        <f>IF(ISERROR(((AV41/AL41)^0.2-1)*100),"NA",IF((((AV41/AL41)^0.2-1)*100)&gt;100,"NM",IF((((AV41/AL41)^0.2-1)*100)&lt;-50,"NM",((AV41/AL41)^0.2-1)*100)))</f>
        <v>12.808997334996608</v>
      </c>
      <c r="AY41" s="58"/>
      <c r="AZ41" s="59"/>
      <c r="BA41"/>
      <c r="BB41"/>
      <c r="BC41"/>
      <c r="BD41"/>
      <c r="BE41"/>
      <c r="BF41"/>
      <c r="BG41" s="31"/>
      <c r="BH41" s="54"/>
      <c r="BI41" s="54"/>
      <c r="BJ41" s="54"/>
      <c r="BK41" s="54"/>
      <c r="BL41" s="54"/>
      <c r="BM41" s="54"/>
      <c r="BN41" s="24"/>
    </row>
    <row r="42" spans="1:66" s="248" customFormat="1" ht="12.75" customHeight="1">
      <c r="A42" s="54"/>
      <c r="B42" s="205" t="s">
        <v>168</v>
      </c>
      <c r="C42" s="197">
        <v>2357</v>
      </c>
      <c r="D42" s="198"/>
      <c r="E42" s="199">
        <v>2451</v>
      </c>
      <c r="F42" s="198"/>
      <c r="G42" s="199">
        <v>2521</v>
      </c>
      <c r="H42" s="56"/>
      <c r="I42" s="199">
        <v>2543</v>
      </c>
      <c r="J42" s="56"/>
      <c r="K42" s="199">
        <v>2594</v>
      </c>
      <c r="L42" s="135">
        <f>IF(ISERROR(K42/C42),"NA",IF(OR(K42/C42&gt;2,K42/C42&lt;0.5),"NM",(K42/C42-1)*100))</f>
        <v>10.055154857870164</v>
      </c>
      <c r="M42" s="199">
        <v>2622</v>
      </c>
      <c r="N42" s="135">
        <f>IF(ISERROR(M42/E42),"NA",IF(OR(M42/E42&gt;2,M42/E42&lt;0.5),"NM",(M42/E42-1)*100))</f>
        <v>6.9767441860465018</v>
      </c>
      <c r="O42" s="199">
        <v>2678</v>
      </c>
      <c r="P42" s="135">
        <f>IF(ISERROR(O42/G42),"NA",IF(OR(O42/G42&gt;2,O42/G42&lt;0.5),"NM",(O42/G42-1)*100))</f>
        <v>6.2276874256247616</v>
      </c>
      <c r="Q42" s="199">
        <v>2897</v>
      </c>
      <c r="R42" s="135">
        <f>IF(ISERROR(Q42/I42),"NA",IF(OR(Q42/I42&gt;2,Q42/I42&lt;0.5),"NM",(Q42/I42-1)*100))</f>
        <v>13.920566260322452</v>
      </c>
      <c r="S42" s="56">
        <f>S43-S41</f>
        <v>3051.6625800000038</v>
      </c>
      <c r="T42" s="135">
        <f>IF(ISERROR(S42/K42),"NA",IF(OR(S42/K42&gt;2,S42/K42&lt;0.5),"NM",(S42/K42-1)*100))</f>
        <v>17.643121819583808</v>
      </c>
      <c r="U42" s="56">
        <f>U43-U41</f>
        <v>3130.03515969</v>
      </c>
      <c r="V42" s="135">
        <f>IF(ISERROR(U42/M42),"NA",IF(OR(U42/M42&gt;2,U42/M42&lt;0.5),"NM",(U42/M42-1)*100))</f>
        <v>19.375864213958806</v>
      </c>
      <c r="W42" s="56">
        <f>W43-W41</f>
        <v>3972.879474076035</v>
      </c>
      <c r="X42" s="135">
        <f>IF(ISERROR(W42/O42),"NA",IF(OR(W42/O42&gt;2,W42/O42&lt;0.5),"NM",(W42/O42-1)*100))</f>
        <v>48.352482228380687</v>
      </c>
      <c r="Y42" s="56">
        <f>Y43-Y41</f>
        <v>4049.6788243315677</v>
      </c>
      <c r="Z42" s="135">
        <f>IF(ISERROR(Y42/Q42),"NA",IF(OR(Y42/Q42&gt;2,Y42/Q42&lt;0.5),"NM",(Y42/Q42-1)*100))</f>
        <v>39.788706397361672</v>
      </c>
      <c r="AA42" s="54"/>
      <c r="AB42" s="180"/>
      <c r="AC42" s="56"/>
      <c r="AD42" s="69">
        <v>1839</v>
      </c>
      <c r="AE42" s="25"/>
      <c r="AF42" s="69">
        <v>2679</v>
      </c>
      <c r="AG42" s="25">
        <f>IF(ISERROR(AF42/AD42),"NA",IF(OR(AF42/AD42&gt;2,AF42/AD42&lt;0.5),"NM",(AF42/AD42-1)*100))</f>
        <v>45.676998368678625</v>
      </c>
      <c r="AH42" s="69">
        <v>2211</v>
      </c>
      <c r="AI42" s="25">
        <f>IF(ISERROR(AH42/AF42),"NA",IF(OR(AH42/AF42&gt;2,AH42/AF42&lt;0.5),"NM",(AH42/AF42-1)*100))</f>
        <v>-17.469204927211646</v>
      </c>
      <c r="AJ42" s="56">
        <f>AVERAGE(I42,G42,E42,C42)</f>
        <v>2468</v>
      </c>
      <c r="AK42" s="25">
        <f>IF(ISERROR(AJ42/AH42),"NA",IF(OR(AJ42/AH42&gt;2,AJ42/AH42&lt;0.5),"NM",(AJ42/AH42-1)*100))</f>
        <v>11.623699683401178</v>
      </c>
      <c r="AL42" s="56">
        <f>AVERAGE(K42,M42,O42,Q42)</f>
        <v>2697.75</v>
      </c>
      <c r="AM42" s="25">
        <f>IF(ISERROR(AL42/AJ42),"NA",IF(OR(AL42/AJ42&gt;2,AL42/AJ42&lt;0.5),"NM",(AL42/AJ42-1)*100))</f>
        <v>9.3091572123176647</v>
      </c>
      <c r="AN42" s="56">
        <f>AVERAGE(S42,U42,W42,Y42)</f>
        <v>3551.0640095244016</v>
      </c>
      <c r="AO42" s="25">
        <f>IF(ISERROR(AN42/AL42),"NA",IF(OR(AN42/AL42&gt;2,AN42/AL42&lt;0.5),"NM",(AN42/AL42-1)*100))</f>
        <v>31.630581392805169</v>
      </c>
      <c r="AP42" s="56">
        <f>AP43-AP41</f>
        <v>4203.0679861959361</v>
      </c>
      <c r="AQ42" s="25">
        <f>IF(ISERROR(AP42/AN42),"NA",IF(OR(AP42/AN42&gt;2,AP42/AN42&lt;0.5),"NM",(AP42/AN42-1)*100))</f>
        <v>18.360806082987445</v>
      </c>
      <c r="AR42" s="56">
        <f>AR43-AR41</f>
        <v>4454.6668674382963</v>
      </c>
      <c r="AS42" s="25">
        <f>IF(ISERROR(AR42/AP42),"NA",IF(OR(AR42/AP42&gt;2,AR42/AP42&lt;0.5),"NM",(AR42/AP42-1)*100))</f>
        <v>5.9860768864239633</v>
      </c>
      <c r="AT42" s="56">
        <f>AT43-AT41</f>
        <v>4732.4865993688582</v>
      </c>
      <c r="AU42" s="25">
        <f>IF(ISERROR(AT42/AR42),"NA",IF(OR(AT42/AR42&gt;2,AT42/AR42&lt;0.5),"NM",(AT42/AR42-1)*100))</f>
        <v>6.2365995078398573</v>
      </c>
      <c r="AV42" s="56">
        <f>AV43-AV41</f>
        <v>5039.5681679256522</v>
      </c>
      <c r="AW42" s="25">
        <f>IF(ISERROR(AV42/AT42),"NA",IF(OR(AV42/AT42&gt;2,AV42/AT42&lt;0.5),"NM",(AV42/AT42-1)*100))</f>
        <v>6.4887995371766705</v>
      </c>
      <c r="AX42" s="63">
        <f>IF(ISERROR(((AV42/AL42)^0.2-1)*100),"NA",IF((((AV42/AL42)^0.2-1)*100)&gt;100,"NM",IF((((AV42/AL42)^0.2-1)*100)&lt;-50,"NM",((AV42/AL42)^0.2-1)*100)))</f>
        <v>13.312631273711473</v>
      </c>
      <c r="AY42" s="58"/>
      <c r="AZ42" s="59"/>
      <c r="BA42"/>
      <c r="BB42"/>
      <c r="BC42"/>
      <c r="BD42"/>
      <c r="BE42"/>
      <c r="BF42"/>
      <c r="BG42" s="31"/>
      <c r="BH42" s="54"/>
      <c r="BI42" s="54"/>
      <c r="BJ42" s="54"/>
      <c r="BK42" s="54"/>
      <c r="BL42" s="54"/>
      <c r="BM42" s="54"/>
      <c r="BN42" s="24"/>
    </row>
    <row r="43" spans="1:66" s="248" customFormat="1" ht="12.75" customHeight="1">
      <c r="A43" s="54"/>
      <c r="B43" s="202" t="s">
        <v>166</v>
      </c>
      <c r="C43" s="56">
        <f>C41+C42</f>
        <v>60466</v>
      </c>
      <c r="D43" s="61"/>
      <c r="E43" s="56">
        <f>E41+E42</f>
        <v>61804</v>
      </c>
      <c r="F43" s="61"/>
      <c r="G43" s="56">
        <f>G41+G42</f>
        <v>63641</v>
      </c>
      <c r="H43" s="61"/>
      <c r="I43" s="56">
        <f>I41+I42</f>
        <v>64643</v>
      </c>
      <c r="J43" s="61"/>
      <c r="K43" s="56">
        <f>K41+K42</f>
        <v>65576</v>
      </c>
      <c r="L43" s="135">
        <f>IF(ISERROR(K43/C43),"NA",IF(OR(K43/C43&gt;2,K43/C43&lt;0.5),"NM",(K43/C43-1)*100))</f>
        <v>8.4510303310951542</v>
      </c>
      <c r="M43" s="56">
        <f>M41+M42</f>
        <v>67577</v>
      </c>
      <c r="N43" s="135">
        <f>IF(ISERROR(M43/E43),"NA",IF(OR(M43/E43&gt;2,M43/E43&lt;0.5),"NM",(M43/E43-1)*100))</f>
        <v>9.3408193644424209</v>
      </c>
      <c r="O43" s="56">
        <f>O41+O42</f>
        <v>69868</v>
      </c>
      <c r="P43" s="135">
        <f>IF(ISERROR(O43/G43),"NA",IF(OR(O43/G43&gt;2,O43/G43&lt;0.5),"NM",(O43/G43-1)*100))</f>
        <v>9.7845728382646371</v>
      </c>
      <c r="Q43" s="56">
        <f>Q41+Q42</f>
        <v>72587</v>
      </c>
      <c r="R43" s="135">
        <f>IF(ISERROR(Q43/I43),"NA",IF(OR(Q43/I43&gt;2,Q43/I43&lt;0.5),"NM",(Q43/I43-1)*100))</f>
        <v>12.289033615395329</v>
      </c>
      <c r="S43" s="56">
        <f>S36</f>
        <v>76291.564500000008</v>
      </c>
      <c r="T43" s="135">
        <f>IF(ISERROR(S43/K43),"NA",IF(OR(S43/K43&gt;2,S43/K43&lt;0.5),"NM",(S43/K43-1)*100))</f>
        <v>16.340680279370524</v>
      </c>
      <c r="U43" s="56">
        <f>U36</f>
        <v>78250.87899225</v>
      </c>
      <c r="V43" s="135">
        <f>IF(ISERROR(U43/M43),"NA",IF(OR(U43/M43&gt;2,U43/M43&lt;0.5),"NM",(U43/M43-1)*100))</f>
        <v>15.795135907557301</v>
      </c>
      <c r="W43" s="56">
        <f>W36</f>
        <v>99321.986851901122</v>
      </c>
      <c r="X43" s="135">
        <f>IF(ISERROR(W43/O43),"NA",IF(OR(W43/O43&gt;2,W43/O43&lt;0.5),"NM",(W43/O43-1)*100))</f>
        <v>42.15661941361013</v>
      </c>
      <c r="Y43" s="56">
        <f>Y36</f>
        <v>101241.97060828905</v>
      </c>
      <c r="Z43" s="135">
        <f>IF(ISERROR(Y43/Q43),"NA",IF(OR(Y43/Q43&gt;2,Y43/Q43&lt;0.5),"NM",(Y43/Q43-1)*100))</f>
        <v>39.476725320359087</v>
      </c>
      <c r="AA43" s="54"/>
      <c r="AB43" s="180"/>
      <c r="AC43" s="56"/>
      <c r="AD43" s="56">
        <f>AD41+AD42</f>
        <v>25228</v>
      </c>
      <c r="AE43" s="25"/>
      <c r="AF43" s="56">
        <f>AF41+AF42</f>
        <v>58384</v>
      </c>
      <c r="AG43" s="25" t="str">
        <f>IF(ISERROR(AF43/AD43),"NA",IF(OR(AF43/AD43&gt;2,AF43/AD43&lt;0.5),"NM",(AF43/AD43-1)*100))</f>
        <v>NM</v>
      </c>
      <c r="AH43" s="56">
        <f>AH41+AH42</f>
        <v>59010</v>
      </c>
      <c r="AI43" s="25">
        <f>IF(ISERROR(AH43/AF43),"NA",IF(OR(AH43/AF43&gt;2,AH43/AF43&lt;0.5),"NM",(AH43/AF43-1)*100))</f>
        <v>1.0722115648122754</v>
      </c>
      <c r="AJ43" s="56">
        <f>AJ41+AJ42</f>
        <v>62638.5</v>
      </c>
      <c r="AK43" s="25">
        <f>IF(ISERROR(AJ43/AH43),"NA",IF(OR(AJ43/AH43&gt;2,AJ43/AH43&lt;0.5),"NM",(AJ43/AH43-1)*100))</f>
        <v>6.1489578037620785</v>
      </c>
      <c r="AL43" s="56">
        <f>AL41+AL42</f>
        <v>68902</v>
      </c>
      <c r="AM43" s="25">
        <f>IF(ISERROR(AL43/AJ43),"NA",IF(OR(AL43/AJ43&gt;2,AL43/AJ43&lt;0.5),"NM",(AL43/AJ43-1)*100))</f>
        <v>9.9994412382161215</v>
      </c>
      <c r="AN43" s="56">
        <f>AN41+AN42</f>
        <v>88776.600238110041</v>
      </c>
      <c r="AO43" s="25">
        <f>IF(ISERROR(AN43/AL43),"NA",IF(OR(AN43/AL43&gt;2,AN43/AL43&lt;0.5),"NM",(AN43/AL43-1)*100))</f>
        <v>28.844736347435539</v>
      </c>
      <c r="AP43" s="56">
        <f>AP36</f>
        <v>105076.69965489843</v>
      </c>
      <c r="AQ43" s="25">
        <f>IF(ISERROR(AP43/AN43),"NA",IF(OR(AP43/AN43&gt;2,AP43/AN43&lt;0.5),"NM",(AP43/AN43-1)*100))</f>
        <v>18.360806082987491</v>
      </c>
      <c r="AR43" s="56">
        <f>AR36</f>
        <v>111366.67168595758</v>
      </c>
      <c r="AS43" s="25">
        <f>IF(ISERROR(AR43/AP43),"NA",IF(OR(AR43/AP43&gt;2,AR43/AP43&lt;0.5),"NM",(AR43/AP43-1)*100))</f>
        <v>5.9860768864240965</v>
      </c>
      <c r="AT43" s="56">
        <f>AT36</f>
        <v>118312.1649842214</v>
      </c>
      <c r="AU43" s="25">
        <f>IF(ISERROR(AT43/AR43),"NA",IF(OR(AT43/AR43&gt;2,AT43/AR43&lt;0.5),"NM",(AT43/AR43-1)*100))</f>
        <v>6.2365995078396352</v>
      </c>
      <c r="AV43" s="56">
        <f>AV36</f>
        <v>125989.20419814147</v>
      </c>
      <c r="AW43" s="25">
        <f>IF(ISERROR(AV43/AT43),"NA",IF(OR(AV43/AT43&gt;2,AV43/AT43&lt;0.5),"NM",(AV43/AT43-1)*100))</f>
        <v>6.4887995371768481</v>
      </c>
      <c r="AX43" s="63">
        <f>IF(ISERROR(((AV43/AL43)^0.2-1)*100),"NA",IF((((AV43/AL43)^0.2-1)*100)&gt;100,"NM",IF((((AV43/AL43)^0.2-1)*100)&lt;-50,"NM",((AV43/AL43)^0.2-1)*100)))</f>
        <v>12.828886177698283</v>
      </c>
      <c r="AY43" s="58"/>
      <c r="AZ43" s="59"/>
      <c r="BA43"/>
      <c r="BB43"/>
      <c r="BC43"/>
      <c r="BD43"/>
      <c r="BE43"/>
      <c r="BF43"/>
      <c r="BG43" s="31"/>
      <c r="BH43" s="54"/>
      <c r="BI43" s="54"/>
      <c r="BJ43" s="54"/>
      <c r="BK43" s="54"/>
      <c r="BL43" s="54"/>
      <c r="BM43" s="54"/>
      <c r="BN43" s="24"/>
    </row>
    <row r="44" spans="1:66" s="248" customFormat="1" ht="12.75" customHeight="1">
      <c r="A44" s="54"/>
      <c r="B44" s="203" t="s">
        <v>169</v>
      </c>
      <c r="C44" s="197">
        <v>49608</v>
      </c>
      <c r="D44" s="198"/>
      <c r="E44" s="199">
        <v>50817</v>
      </c>
      <c r="F44" s="198"/>
      <c r="G44" s="199">
        <v>52739</v>
      </c>
      <c r="H44" s="198"/>
      <c r="I44" s="199">
        <v>54358</v>
      </c>
      <c r="J44" s="198"/>
      <c r="K44" s="199">
        <v>55154</v>
      </c>
      <c r="L44" s="135">
        <f>IF(ISERROR(K44/C44),"NA",IF(OR(K44/C44&gt;2,K44/C44&lt;0.5),"NM",(K44/C44-1)*100))</f>
        <v>11.179648443799394</v>
      </c>
      <c r="M44" s="199">
        <v>56001</v>
      </c>
      <c r="N44" s="135">
        <f>IF(ISERROR(M44/E44),"NA",IF(OR(M44/E44&gt;2,M44/E44&lt;0.5),"NM",(M44/E44-1)*100))</f>
        <v>10.201310585040435</v>
      </c>
      <c r="O44" s="199">
        <v>57050</v>
      </c>
      <c r="P44" s="135">
        <f>IF(ISERROR(O44/G44),"NA",IF(OR(O44/G44&gt;2,O44/G44&lt;0.5),"NM",(O44/G44-1)*100))</f>
        <v>8.1742164242780468</v>
      </c>
      <c r="Q44" s="199">
        <v>58033</v>
      </c>
      <c r="R44" s="135">
        <f>IF(ISERROR(Q44/I44),"NA",IF(OR(Q44/I44&gt;2,Q44/I44&lt;0.5),"NM",(Q44/I44-1)*100))</f>
        <v>6.760734390522094</v>
      </c>
      <c r="S44" s="56">
        <f>S47*S43/100</f>
        <v>61033.251600000003</v>
      </c>
      <c r="T44" s="135">
        <f>IF(ISERROR(S44/K44),"NA",IF(OR(S44/K44&gt;2,S44/K44&lt;0.5),"NM",(S44/K44-1)*100))</f>
        <v>10.659701200275595</v>
      </c>
      <c r="U44" s="56">
        <f>U47*U43/100</f>
        <v>62600.7031938</v>
      </c>
      <c r="V44" s="135">
        <f>IF(ISERROR(U44/M44),"NA",IF(OR(U44/M44&gt;2,U44/M44&lt;0.5),"NM",(U44/M44-1)*100))</f>
        <v>11.784973828681622</v>
      </c>
      <c r="W44" s="56">
        <f>W47*W43/100</f>
        <v>79457.589481520889</v>
      </c>
      <c r="X44" s="135">
        <f>IF(ISERROR(W44/O44),"NA",IF(OR(W44/O44&gt;2,W44/O44&lt;0.5),"NM",(W44/O44-1)*100))</f>
        <v>39.277106891360013</v>
      </c>
      <c r="Y44" s="56">
        <f>Y47*Y43/100</f>
        <v>80993.576486631238</v>
      </c>
      <c r="Z44" s="135">
        <f>IF(ISERROR(Y44/Q44),"NA",IF(OR(Y44/Q44&gt;2,Y44/Q44&lt;0.5),"NM",(Y44/Q44-1)*100))</f>
        <v>39.564689894768911</v>
      </c>
      <c r="AA44" s="54"/>
      <c r="AB44" s="184"/>
      <c r="AC44" s="64"/>
      <c r="AD44" s="69">
        <v>20302</v>
      </c>
      <c r="AE44" s="25"/>
      <c r="AF44" s="69">
        <v>48309</v>
      </c>
      <c r="AG44" s="25" t="str">
        <f>IF(ISERROR(AF44/AD44),"NA",IF(OR(AF44/AD44&gt;2,AF44/AD44&lt;0.5),"NM",(AF44/AD44-1)*100))</f>
        <v>NM</v>
      </c>
      <c r="AH44" s="69">
        <v>48920</v>
      </c>
      <c r="AI44" s="25">
        <f>IF(ISERROR(AH44/AF44),"NA",IF(OR(AH44/AF44&gt;2,AH44/AF44&lt;0.5),"NM",(AH44/AF44-1)*100))</f>
        <v>1.2647746796663251</v>
      </c>
      <c r="AJ44" s="56">
        <f>AVERAGE(I44,G44,E44,C44)</f>
        <v>51880.5</v>
      </c>
      <c r="AK44" s="25">
        <f>IF(ISERROR(AJ44/AH44),"NA",IF(OR(AJ44/AH44&gt;2,AJ44/AH44&lt;0.5),"NM",(AJ44/AH44-1)*100))</f>
        <v>6.0517170891251082</v>
      </c>
      <c r="AL44" s="56">
        <f>AVERAGE(K44,M44,O44,Q44)</f>
        <v>56559.5</v>
      </c>
      <c r="AM44" s="25">
        <f>IF(ISERROR(AL44/AJ44),"NA",IF(OR(AL44/AJ44&gt;2,AL44/AJ44&lt;0.5),"NM",(AL44/AJ44-1)*100))</f>
        <v>9.0188028257244923</v>
      </c>
      <c r="AN44" s="56">
        <f>AVERAGE(S44,U44,W44,Y44)</f>
        <v>71021.280190488033</v>
      </c>
      <c r="AO44" s="25">
        <f>IF(ISERROR(AN44/AL44),"NA",IF(OR(AN44/AL44&gt;2,AN44/AL44&lt;0.5),"NM",(AN44/AL44-1)*100))</f>
        <v>25.569144335590011</v>
      </c>
      <c r="AP44" s="56">
        <f>AP47*AP43/100</f>
        <v>84061.359723918737</v>
      </c>
      <c r="AQ44" s="25">
        <f>IF(ISERROR(AP44/AN44),"NA",IF(OR(AP44/AN44&gt;2,AP44/AN44&lt;0.5),"NM",(AP44/AN44-1)*100))</f>
        <v>18.36080608298747</v>
      </c>
      <c r="AR44" s="56">
        <f>AR47*AR43/100</f>
        <v>89093.337348766072</v>
      </c>
      <c r="AS44" s="25">
        <f>IF(ISERROR(AR44/AP44),"NA",IF(OR(AR44/AP44&gt;2,AR44/AP44&lt;0.5),"NM",(AR44/AP44-1)*100))</f>
        <v>5.9860768864241187</v>
      </c>
      <c r="AT44" s="56">
        <f>AT47*AT43/100</f>
        <v>94649.731987377105</v>
      </c>
      <c r="AU44" s="25">
        <f>IF(ISERROR(AT44/AR44),"NA",IF(OR(AT44/AR44&gt;2,AT44/AR44&lt;0.5),"NM",(AT44/AR44-1)*100))</f>
        <v>6.236599507839613</v>
      </c>
      <c r="AV44" s="56">
        <f>AV47*AV43/100</f>
        <v>100791.36335851318</v>
      </c>
      <c r="AW44" s="25">
        <f>IF(ISERROR(AV44/AT44),"NA",IF(OR(AV44/AT44&gt;2,AV44/AT44&lt;0.5),"NM",(AV44/AT44-1)*100))</f>
        <v>6.4887995371768703</v>
      </c>
      <c r="AX44" s="63">
        <f>IF(ISERROR(((AV44/AL44)^0.2-1)*100),"NA",IF((((AV44/AL44)^0.2-1)*100)&gt;100,"NM",IF((((AV44/AL44)^0.2-1)*100)&lt;-50,"NM",((AV44/AL44)^0.2-1)*100)))</f>
        <v>12.249276808097154</v>
      </c>
      <c r="AY44" s="58"/>
      <c r="AZ44" s="59"/>
      <c r="BA44"/>
      <c r="BB44"/>
      <c r="BC44"/>
      <c r="BD44"/>
      <c r="BE44"/>
      <c r="BF44"/>
      <c r="BG44" s="31"/>
      <c r="BH44" s="54"/>
      <c r="BI44" s="54"/>
      <c r="BJ44" s="54"/>
      <c r="BK44" s="54"/>
      <c r="BL44" s="54"/>
      <c r="BM44" s="54"/>
      <c r="BN44" s="24"/>
    </row>
    <row r="45" spans="1:66" s="248" customFormat="1" ht="12.75" customHeight="1">
      <c r="A45" s="54"/>
      <c r="B45" s="55"/>
      <c r="C45" s="64"/>
      <c r="D45" s="61"/>
      <c r="E45" s="218"/>
      <c r="F45" s="61"/>
      <c r="G45" s="218"/>
      <c r="H45" s="61"/>
      <c r="I45" s="218"/>
      <c r="J45" s="61"/>
      <c r="K45" s="218"/>
      <c r="L45" s="61"/>
      <c r="M45" s="218"/>
      <c r="N45" s="61"/>
      <c r="O45" s="218"/>
      <c r="P45" s="61"/>
      <c r="Q45" s="218"/>
      <c r="R45" s="61"/>
      <c r="S45" s="56"/>
      <c r="T45" s="61"/>
      <c r="U45" s="56"/>
      <c r="V45" s="61"/>
      <c r="W45" s="56"/>
      <c r="X45" s="61"/>
      <c r="Y45" s="56"/>
      <c r="Z45" s="61"/>
      <c r="AA45" s="54"/>
      <c r="AB45" s="180"/>
      <c r="AC45" s="56"/>
      <c r="AD45" s="64"/>
      <c r="AE45" s="61"/>
      <c r="AF45" s="64"/>
      <c r="AG45" s="61"/>
      <c r="AH45" s="64"/>
      <c r="AI45" s="61"/>
      <c r="AJ45" s="56"/>
      <c r="AK45" s="61"/>
      <c r="AL45" s="56"/>
      <c r="AM45" s="61"/>
      <c r="AN45" s="56"/>
      <c r="AO45" s="61"/>
      <c r="AP45" s="56"/>
      <c r="AQ45" s="61"/>
      <c r="AR45" s="56"/>
      <c r="AS45" s="61"/>
      <c r="AT45" s="56"/>
      <c r="AU45" s="61"/>
      <c r="AV45" s="56"/>
      <c r="AW45" s="61"/>
      <c r="AX45" s="63"/>
      <c r="AY45" s="58"/>
      <c r="AZ45" s="59"/>
      <c r="BA45"/>
      <c r="BB45"/>
      <c r="BC45"/>
      <c r="BD45"/>
      <c r="BE45"/>
      <c r="BF45"/>
      <c r="BG45" s="31"/>
      <c r="BH45" s="54"/>
      <c r="BI45" s="54"/>
      <c r="BJ45" s="54"/>
      <c r="BK45" s="54"/>
      <c r="BL45" s="54"/>
      <c r="BM45" s="54"/>
      <c r="BN45" s="24"/>
    </row>
    <row r="46" spans="1:66" s="248" customFormat="1" ht="12.75" customHeight="1">
      <c r="A46" s="54"/>
      <c r="B46" s="55" t="s">
        <v>170</v>
      </c>
      <c r="C46" s="213">
        <f>C41/C43*100</f>
        <v>96.101941587007573</v>
      </c>
      <c r="D46" s="61"/>
      <c r="E46" s="213">
        <f>E41/E43*100</f>
        <v>96.034237266196371</v>
      </c>
      <c r="F46" s="61"/>
      <c r="G46" s="213">
        <f>G41/G43*100</f>
        <v>96.038717179176942</v>
      </c>
      <c r="H46" s="61"/>
      <c r="I46" s="213">
        <f>I41/I43*100</f>
        <v>96.066086041798798</v>
      </c>
      <c r="J46" s="61"/>
      <c r="K46" s="213">
        <f>K41/K43*100</f>
        <v>96.044284494327187</v>
      </c>
      <c r="L46" s="135">
        <f>IF(ISERROR(K46/C46),"NA",IF(OR(K46/C46&gt;2,K46/C46&lt;0.5),"NM",(K46/C46-1)*100))</f>
        <v>-5.9995762549902576E-2</v>
      </c>
      <c r="M46" s="213">
        <f>M41/M43*100</f>
        <v>96.119981650561584</v>
      </c>
      <c r="N46" s="135">
        <f>IF(ISERROR(M46/E46),"NA",IF(OR(M46/E46&gt;2,M46/E46&lt;0.5),"NM",(M46/E46-1)*100))</f>
        <v>8.9285224526269857E-2</v>
      </c>
      <c r="O46" s="213">
        <f>O41/O43*100</f>
        <v>96.167057880574802</v>
      </c>
      <c r="P46" s="135">
        <f>IF(ISERROR(O46/G46),"NA",IF(OR(O46/G46&gt;2,O46/G46&lt;0.5),"NM",(O46/G46-1)*100))</f>
        <v>0.13363433536748293</v>
      </c>
      <c r="Q46" s="213">
        <f>Q41/Q43*100</f>
        <v>96.008927218372435</v>
      </c>
      <c r="R46" s="135">
        <f>IF(ISERROR(Q46/I46),"NA",IF(OR(Q46/I46&gt;2,Q46/I46&lt;0.5),"NM",(Q46/I46-1)*100))</f>
        <v>-5.94994818478356E-2</v>
      </c>
      <c r="S46" s="221">
        <v>96</v>
      </c>
      <c r="T46" s="135">
        <f>IF(ISERROR(S46/K46),"NA",IF(OR(S46/K46&gt;2,S46/K46&lt;0.5),"NM",(S46/K46-1)*100))</f>
        <v>-4.6108411927214821E-2</v>
      </c>
      <c r="U46" s="221">
        <f>S46</f>
        <v>96</v>
      </c>
      <c r="V46" s="135">
        <f>IF(ISERROR(U46/M46),"NA",IF(OR(U46/M46&gt;2,U46/M46&lt;0.5),"NM",(U46/M46-1)*100))</f>
        <v>-0.1248248787622197</v>
      </c>
      <c r="W46" s="221">
        <f>U46</f>
        <v>96</v>
      </c>
      <c r="X46" s="135">
        <f>IF(ISERROR(W46/O46),"NA",IF(OR(W46/O46&gt;2,W46/O46&lt;0.5),"NM",(W46/O46-1)*100))</f>
        <v>-0.17371632683435001</v>
      </c>
      <c r="Y46" s="221">
        <f>W46</f>
        <v>96</v>
      </c>
      <c r="Z46" s="135">
        <f>IF(ISERROR(Y46/Q46),"NA",IF(OR(Y46/Q46&gt;2,Y46/Q46&lt;0.5),"NM",(Y46/Q46-1)*100))</f>
        <v>-9.298321136463894E-3</v>
      </c>
      <c r="AA46" s="54"/>
      <c r="AB46" s="180"/>
      <c r="AC46" s="56"/>
      <c r="AD46" s="213">
        <f>AD41/AD43*100</f>
        <v>92.710480418582534</v>
      </c>
      <c r="AE46" s="61"/>
      <c r="AF46" s="213">
        <f>AF41/AF43*100</f>
        <v>95.411414086050968</v>
      </c>
      <c r="AG46" s="25">
        <f>IF(ISERROR(AF46/AD46),"NA",IF(OR(AF46/AD46&gt;2,AF46/AD46&lt;0.5),"NM",(AF46/AD46-1)*100))</f>
        <v>2.9132991817903076</v>
      </c>
      <c r="AH46" s="213">
        <f>AH41/AH43*100</f>
        <v>96.253177427554647</v>
      </c>
      <c r="AI46" s="25">
        <f>IF(ISERROR(AH46/AF46),"NA",IF(OR(AH46/AF46&gt;2,AH46/AF46&lt;0.5),"NM",(AH46/AF46-1)*100))</f>
        <v>0.88224595512702564</v>
      </c>
      <c r="AJ46" s="213">
        <f>AJ41/AJ43*100</f>
        <v>96.059931192477464</v>
      </c>
      <c r="AK46" s="25">
        <f>IF(ISERROR(AJ46/AH46),"NA",IF(OR(AJ46/AH46&gt;2,AJ46/AH46&lt;0.5),"NM",(AJ46/AH46-1)*100))</f>
        <v>-0.20076868134834003</v>
      </c>
      <c r="AL46" s="213">
        <f>AL41/AL43*100</f>
        <v>96.084656468607591</v>
      </c>
      <c r="AM46" s="25">
        <f>IF(ISERROR(AL46/AJ46),"NA",IF(OR(AL46/AJ46&gt;2,AL46/AJ46&lt;0.5),"NM",(AL46/AJ46-1)*100))</f>
        <v>2.5739427275439652E-2</v>
      </c>
      <c r="AN46" s="213">
        <f>AN41/AN43*100</f>
        <v>96</v>
      </c>
      <c r="AO46" s="25">
        <f>IF(ISERROR(AN46/AL46),"NA",IF(OR(AN46/AL46&gt;2,AN46/AL46&lt;0.5),"NM",(AN46/AL46-1)*100))</f>
        <v>-8.8106126117282191E-2</v>
      </c>
      <c r="AP46" s="221">
        <f>AN46</f>
        <v>96</v>
      </c>
      <c r="AQ46" s="25">
        <f>IF(ISERROR(AP46/AN46),"NA",IF(OR(AP46/AN46&gt;2,AP46/AN46&lt;0.5),"NM",(AP46/AN46-1)*100))</f>
        <v>0</v>
      </c>
      <c r="AR46" s="221">
        <f>AP46</f>
        <v>96</v>
      </c>
      <c r="AS46" s="25">
        <f>IF(ISERROR(AR46/AP46),"NA",IF(OR(AR46/AP46&gt;2,AR46/AP46&lt;0.5),"NM",(AR46/AP46-1)*100))</f>
        <v>0</v>
      </c>
      <c r="AT46" s="221">
        <f>AR46</f>
        <v>96</v>
      </c>
      <c r="AU46" s="25">
        <f>IF(ISERROR(AT46/AR46),"NA",IF(OR(AT46/AR46&gt;2,AT46/AR46&lt;0.5),"NM",(AT46/AR46-1)*100))</f>
        <v>0</v>
      </c>
      <c r="AV46" s="221">
        <f>AT46</f>
        <v>96</v>
      </c>
      <c r="AW46" s="25">
        <f>IF(ISERROR(AV46/AT46),"NA",IF(OR(AV46/AT46&gt;2,AV46/AT46&lt;0.5),"NM",(AV46/AT46-1)*100))</f>
        <v>0</v>
      </c>
      <c r="AX46" s="63">
        <f>IF(ISERROR(((AV46/AL46)^0.2-1)*100),"NA",IF((((AV46/AL46)^0.2-1)*100)&gt;100,"NM",IF((((AV46/AL46)^0.2-1)*100)&lt;-50,"NM",((AV46/AL46)^0.2-1)*100)))</f>
        <v>-1.7627438659961747E-2</v>
      </c>
      <c r="AY46" s="58"/>
      <c r="AZ46" s="59"/>
      <c r="BA46"/>
      <c r="BB46"/>
      <c r="BC46"/>
      <c r="BD46"/>
      <c r="BE46"/>
      <c r="BF46"/>
      <c r="BG46" s="31"/>
      <c r="BH46" s="54"/>
      <c r="BI46" s="54"/>
      <c r="BJ46" s="54"/>
      <c r="BK46" s="54"/>
      <c r="BL46" s="54"/>
      <c r="BM46" s="54"/>
      <c r="BN46" s="24"/>
    </row>
    <row r="47" spans="1:66" s="248" customFormat="1" ht="12.75" customHeight="1">
      <c r="A47" s="54"/>
      <c r="B47" s="55" t="s">
        <v>171</v>
      </c>
      <c r="C47" s="213">
        <f>C44/C43*100</f>
        <v>82.042800912909726</v>
      </c>
      <c r="D47" s="61"/>
      <c r="E47" s="213">
        <f>E44/E43*100</f>
        <v>82.222833473561579</v>
      </c>
      <c r="F47" s="61"/>
      <c r="G47" s="213">
        <f>G44/G43*100</f>
        <v>82.869533791109504</v>
      </c>
      <c r="H47" s="61"/>
      <c r="I47" s="213">
        <f>I44/I43*100</f>
        <v>84.089537923673092</v>
      </c>
      <c r="J47" s="61"/>
      <c r="K47" s="213">
        <f>K44/K43*100</f>
        <v>84.106990362327679</v>
      </c>
      <c r="L47" s="135">
        <f>IF(ISERROR(K47/C47),"NA",IF(OR(K47/C47&gt;2,K47/C47&lt;0.5),"NM",(K47/C47-1)*100))</f>
        <v>2.5159909540498626</v>
      </c>
      <c r="M47" s="213">
        <f>M44/M43*100</f>
        <v>82.86991136037409</v>
      </c>
      <c r="N47" s="135">
        <f>IF(ISERROR(M47/E47),"NA",IF(OR(M47/E47&gt;2,M47/E47&lt;0.5),"NM",(M47/E47-1)*100))</f>
        <v>0.78698076857273147</v>
      </c>
      <c r="O47" s="213">
        <f>O44/O43*100</f>
        <v>81.653976069158986</v>
      </c>
      <c r="P47" s="135">
        <f>IF(ISERROR(O47/G47),"NA",IF(OR(O47/G47&gt;2,O47/G47&lt;0.5),"NM",(O47/G47-1)*100))</f>
        <v>-1.4668330643859973</v>
      </c>
      <c r="Q47" s="213">
        <f>Q44/Q43*100</f>
        <v>79.949577748081609</v>
      </c>
      <c r="R47" s="135">
        <f>IF(ISERROR(Q47/I47),"NA",IF(OR(Q47/I47&gt;2,Q47/I47&lt;0.5),"NM",(Q47/I47-1)*100))</f>
        <v>-4.9232761623084098</v>
      </c>
      <c r="S47" s="221">
        <v>80</v>
      </c>
      <c r="T47" s="135">
        <f>IF(ISERROR(S47/K47),"NA",IF(OR(S47/K47&gt;2,S47/K47&lt;0.5),"NM",(S47/K47-1)*100))</f>
        <v>-4.8830547195126357</v>
      </c>
      <c r="U47" s="221">
        <f>S47</f>
        <v>80</v>
      </c>
      <c r="V47" s="135">
        <f>IF(ISERROR(U47/M47),"NA",IF(OR(U47/M47&gt;2,U47/M47&lt;0.5),"NM",(U47/M47-1)*100))</f>
        <v>-3.4631524437063632</v>
      </c>
      <c r="W47" s="221">
        <f>U47</f>
        <v>80</v>
      </c>
      <c r="X47" s="135">
        <f>IF(ISERROR(W47/O47),"NA",IF(OR(W47/O47&gt;2,W47/O47&lt;0.5),"NM",(W47/O47-1)*100))</f>
        <v>-2.0255915863277796</v>
      </c>
      <c r="Y47" s="221">
        <f>W47</f>
        <v>80</v>
      </c>
      <c r="Z47" s="135">
        <f>IF(ISERROR(Y47/Q47),"NA",IF(OR(Y47/Q47&gt;2,Y47/Q47&lt;0.5),"NM",(Y47/Q47-1)*100))</f>
        <v>6.3067565006114101E-2</v>
      </c>
      <c r="AA47" s="54"/>
      <c r="AB47" s="180"/>
      <c r="AC47" s="56"/>
      <c r="AD47" s="213">
        <f>AD44/AD43*100</f>
        <v>80.474076423022041</v>
      </c>
      <c r="AE47" s="61"/>
      <c r="AF47" s="213">
        <f>AF44/AF43*100</f>
        <v>82.74355987941901</v>
      </c>
      <c r="AG47" s="25">
        <f>IF(ISERROR(AF47/AD47),"NA",IF(OR(AF47/AD47&gt;2,AF47/AD47&lt;0.5),"NM",(AF47/AD47-1)*100))</f>
        <v>2.8201422834195133</v>
      </c>
      <c r="AH47" s="213">
        <f>AH44/AH43*100</f>
        <v>82.901203185900698</v>
      </c>
      <c r="AI47" s="25">
        <f>IF(ISERROR(AH47/AF47),"NA",IF(OR(AH47/AF47&gt;2,AH47/AF47&lt;0.5),"NM",(AH47/AF47-1)*100))</f>
        <v>0.19052033380171363</v>
      </c>
      <c r="AJ47" s="213">
        <f>AJ44/AJ43*100</f>
        <v>82.825259225556167</v>
      </c>
      <c r="AK47" s="25">
        <f>IF(ISERROR(AJ47/AH47),"NA",IF(OR(AJ47/AH47&gt;2,AJ47/AH47&lt;0.5),"NM",(AJ47/AH47-1)*100))</f>
        <v>-9.1607790268410927E-2</v>
      </c>
      <c r="AL47" s="213">
        <f>AL44/AL43*100</f>
        <v>82.086877013729648</v>
      </c>
      <c r="AM47" s="25">
        <f>IF(ISERROR(AL47/AJ47),"NA",IF(OR(AL47/AJ47&gt;2,AL47/AJ47&lt;0.5),"NM",(AL47/AJ47-1)*100))</f>
        <v>-0.89149399438123167</v>
      </c>
      <c r="AN47" s="213">
        <f>AN44/AN43*100</f>
        <v>80</v>
      </c>
      <c r="AO47" s="25">
        <f>IF(ISERROR(AN47/AL47),"NA",IF(OR(AN47/AL47&gt;2,AN47/AL47&lt;0.5),"NM",(AN47/AL47-1)*100))</f>
        <v>-2.5422784854887359</v>
      </c>
      <c r="AP47" s="221">
        <f>AN47</f>
        <v>80</v>
      </c>
      <c r="AQ47" s="25">
        <f>IF(ISERROR(AP47/AN47),"NA",IF(OR(AP47/AN47&gt;2,AP47/AN47&lt;0.5),"NM",(AP47/AN47-1)*100))</f>
        <v>0</v>
      </c>
      <c r="AR47" s="221">
        <f>AP47</f>
        <v>80</v>
      </c>
      <c r="AS47" s="25">
        <f>IF(ISERROR(AR47/AP47),"NA",IF(OR(AR47/AP47&gt;2,AR47/AP47&lt;0.5),"NM",(AR47/AP47-1)*100))</f>
        <v>0</v>
      </c>
      <c r="AT47" s="221">
        <f>AR47</f>
        <v>80</v>
      </c>
      <c r="AU47" s="25">
        <f>IF(ISERROR(AT47/AR47),"NA",IF(OR(AT47/AR47&gt;2,AT47/AR47&lt;0.5),"NM",(AT47/AR47-1)*100))</f>
        <v>0</v>
      </c>
      <c r="AV47" s="221">
        <f>AT47</f>
        <v>80</v>
      </c>
      <c r="AW47" s="25">
        <f>IF(ISERROR(AV47/AT47),"NA",IF(OR(AV47/AT47&gt;2,AV47/AT47&lt;0.5),"NM",(AV47/AT47-1)*100))</f>
        <v>0</v>
      </c>
      <c r="AX47" s="63">
        <f>IF(ISERROR(((AV47/AL47)^0.2-1)*100),"NA",IF((((AV47/AL47)^0.2-1)*100)&gt;100,"NM",IF((((AV47/AL47)^0.2-1)*100)&lt;-50,"NM",((AV47/AL47)^0.2-1)*100)))</f>
        <v>-0.51370654203596322</v>
      </c>
      <c r="AY47" s="58"/>
      <c r="AZ47" s="59"/>
      <c r="BA47"/>
      <c r="BB47"/>
      <c r="BC47"/>
      <c r="BD47"/>
      <c r="BE47"/>
      <c r="BF47"/>
      <c r="BG47" s="31"/>
      <c r="BH47" s="54"/>
      <c r="BI47" s="54"/>
      <c r="BJ47" s="54"/>
      <c r="BK47" s="54"/>
      <c r="BL47" s="54"/>
      <c r="BM47" s="54"/>
      <c r="BN47" s="24"/>
    </row>
    <row r="48" spans="1:66" s="248" customFormat="1" ht="12.75" customHeight="1">
      <c r="A48" s="54"/>
      <c r="B48" s="55"/>
      <c r="C48" s="56"/>
      <c r="D48" s="61"/>
      <c r="E48" s="56"/>
      <c r="F48" s="61"/>
      <c r="G48" s="56"/>
      <c r="H48" s="61"/>
      <c r="I48" s="56"/>
      <c r="J48" s="61"/>
      <c r="K48" s="56"/>
      <c r="L48" s="61"/>
      <c r="M48" s="56"/>
      <c r="N48" s="61"/>
      <c r="O48" s="56"/>
      <c r="P48" s="61"/>
      <c r="Q48" s="56"/>
      <c r="R48" s="61"/>
      <c r="S48" s="56"/>
      <c r="T48" s="61"/>
      <c r="U48" s="56"/>
      <c r="V48" s="61"/>
      <c r="W48" s="56"/>
      <c r="X48" s="61"/>
      <c r="Y48" s="56"/>
      <c r="Z48" s="61"/>
      <c r="AA48" s="54"/>
      <c r="AB48" s="180"/>
      <c r="AC48" s="56"/>
      <c r="AD48" s="56"/>
      <c r="AE48" s="61"/>
      <c r="AF48" s="56"/>
      <c r="AG48" s="61"/>
      <c r="AH48" s="56"/>
      <c r="AI48" s="61"/>
      <c r="AJ48" s="56"/>
      <c r="AK48" s="61"/>
      <c r="AL48" s="56"/>
      <c r="AM48" s="61"/>
      <c r="AN48" s="56"/>
      <c r="AO48" s="61"/>
      <c r="AP48" s="56"/>
      <c r="AQ48" s="61"/>
      <c r="AR48" s="56"/>
      <c r="AS48" s="61"/>
      <c r="AT48" s="56"/>
      <c r="AU48" s="61"/>
      <c r="AV48" s="56"/>
      <c r="AW48" s="61"/>
      <c r="AX48" s="63"/>
      <c r="AY48" s="58"/>
      <c r="AZ48" s="59"/>
      <c r="BA48"/>
      <c r="BB48"/>
      <c r="BC48"/>
      <c r="BD48"/>
      <c r="BE48"/>
      <c r="BF48"/>
      <c r="BG48" s="31"/>
      <c r="BH48" s="54"/>
      <c r="BI48" s="54"/>
      <c r="BJ48" s="54"/>
      <c r="BK48" s="54"/>
      <c r="BL48" s="54"/>
      <c r="BM48" s="54"/>
      <c r="BN48" s="24"/>
    </row>
    <row r="49" spans="1:66" s="248" customFormat="1" ht="12.75" customHeight="1">
      <c r="B49" s="247" t="s">
        <v>202</v>
      </c>
      <c r="D49" s="80"/>
      <c r="E49" s="249"/>
      <c r="F49" s="80"/>
      <c r="G49" s="249"/>
      <c r="H49" s="80"/>
      <c r="I49" s="249"/>
      <c r="J49" s="80"/>
      <c r="K49" s="249"/>
      <c r="L49" s="80"/>
      <c r="M49" s="249"/>
      <c r="N49" s="80"/>
      <c r="O49" s="249"/>
      <c r="P49" s="80"/>
      <c r="Q49" s="249"/>
      <c r="R49" s="80"/>
      <c r="S49" s="249"/>
      <c r="T49" s="80"/>
      <c r="U49" s="249"/>
      <c r="V49" s="80"/>
      <c r="W49" s="249"/>
      <c r="X49" s="80"/>
      <c r="Y49" s="249"/>
      <c r="Z49" s="80"/>
      <c r="AB49" s="180"/>
      <c r="AC49" s="249"/>
      <c r="AE49" s="80"/>
      <c r="AG49" s="80"/>
      <c r="AI49" s="80"/>
      <c r="AJ49" s="249"/>
      <c r="AK49" s="80"/>
      <c r="AL49" s="249"/>
      <c r="AM49" s="80"/>
      <c r="AN49" s="249"/>
      <c r="AO49" s="80"/>
      <c r="AP49" s="249"/>
      <c r="AQ49" s="80"/>
      <c r="AR49" s="249"/>
      <c r="AS49" s="80"/>
      <c r="AT49" s="249"/>
      <c r="AU49" s="80"/>
      <c r="AV49" s="249"/>
      <c r="AW49" s="80"/>
      <c r="AX49" s="80"/>
      <c r="AY49" s="250"/>
      <c r="AZ49" s="251"/>
      <c r="BA49"/>
      <c r="BB49"/>
      <c r="BC49"/>
      <c r="BD49"/>
      <c r="BE49"/>
      <c r="BF49"/>
      <c r="BG49" s="252"/>
      <c r="BI49" s="54"/>
      <c r="BJ49" s="54"/>
      <c r="BK49" s="54"/>
      <c r="BL49" s="54"/>
      <c r="BM49" s="54"/>
      <c r="BN49" s="24"/>
    </row>
    <row r="50" spans="1:66" s="257" customFormat="1" ht="12.75" customHeight="1">
      <c r="B50" s="253" t="s">
        <v>145</v>
      </c>
      <c r="C50" s="254">
        <v>657</v>
      </c>
      <c r="D50" s="255"/>
      <c r="E50" s="254">
        <v>636</v>
      </c>
      <c r="F50" s="255"/>
      <c r="G50" s="254">
        <v>664</v>
      </c>
      <c r="H50" s="256"/>
      <c r="I50" s="254">
        <v>694</v>
      </c>
      <c r="J50" s="256"/>
      <c r="K50" s="254">
        <v>712</v>
      </c>
      <c r="L50" s="256">
        <v>1.4811124577611468</v>
      </c>
      <c r="M50" s="254">
        <v>739</v>
      </c>
      <c r="N50" s="256">
        <v>1.4811124577611468</v>
      </c>
      <c r="O50" s="254">
        <v>745</v>
      </c>
      <c r="P50" s="256">
        <v>1.4811124577611468</v>
      </c>
      <c r="Q50" s="254">
        <v>772</v>
      </c>
      <c r="R50" s="256">
        <v>1.4811124577611468</v>
      </c>
      <c r="S50" s="215">
        <f>S67*S41/400</f>
        <v>814.7939088600001</v>
      </c>
      <c r="T50" s="256">
        <v>1.4811124577611468</v>
      </c>
      <c r="U50" s="215">
        <f>U67*U41/400</f>
        <v>835.71938763723006</v>
      </c>
      <c r="V50" s="256">
        <v>1.4811124577611468</v>
      </c>
      <c r="W50" s="215">
        <f>W67*W41/400</f>
        <v>1013.0842658893915</v>
      </c>
      <c r="X50" s="256">
        <v>1.4811124577611468</v>
      </c>
      <c r="Y50" s="215">
        <f>Y67*Y41/400</f>
        <v>1032.6681002045482</v>
      </c>
      <c r="Z50" s="256">
        <v>1.4811124577611468</v>
      </c>
      <c r="AB50" s="180"/>
      <c r="AC50" s="258"/>
      <c r="AD50" s="215">
        <v>1007</v>
      </c>
      <c r="AE50" s="256">
        <v>5.8163776629866382</v>
      </c>
      <c r="AF50" s="215">
        <f>2222+1</f>
        <v>2223</v>
      </c>
      <c r="AG50" s="256">
        <v>5.8163776629866382</v>
      </c>
      <c r="AH50" s="215">
        <v>2365</v>
      </c>
      <c r="AI50" s="256">
        <v>5.8163776629866382</v>
      </c>
      <c r="AJ50" s="259">
        <f>I50+G50+E50+C50</f>
        <v>2651</v>
      </c>
      <c r="AK50" s="256">
        <v>5.8163776629866382</v>
      </c>
      <c r="AL50" s="259">
        <f>K50+M50+O50+Q50</f>
        <v>2968</v>
      </c>
      <c r="AM50" s="256">
        <v>5.8163776629866382</v>
      </c>
      <c r="AN50" s="259">
        <f>S50+U50+W50+Y50</f>
        <v>3696.2656625911695</v>
      </c>
      <c r="AO50" s="256">
        <v>5.8163776629866382</v>
      </c>
      <c r="AP50" s="215">
        <f>AP67*AP41/100</f>
        <v>4337.5661617542073</v>
      </c>
      <c r="AQ50" s="256">
        <v>5.8163776629866382</v>
      </c>
      <c r="AR50" s="215">
        <f>AR67*AR41/100</f>
        <v>4650.6722096055883</v>
      </c>
      <c r="AS50" s="256">
        <v>5.8163776629866382</v>
      </c>
      <c r="AT50" s="215">
        <f>AT67*AT41/100</f>
        <v>4940.7160097410851</v>
      </c>
      <c r="AU50" s="256">
        <v>5.8163776629866382</v>
      </c>
      <c r="AV50" s="215">
        <f>AV67*AV41/100</f>
        <v>5261.3091673143872</v>
      </c>
      <c r="AW50" s="256">
        <v>5.8163776629866382</v>
      </c>
      <c r="AX50" s="260">
        <f>IF(ISERROR(((AV50/AL50)^0.2-1)*100),"NA",IF((((AV50/AL50)^0.2-1)*100)&gt;100,"NM",IF((((AV50/AL50)^0.2-1)*100)&lt;-50,"NM",((AV50/AL50)^0.2-1)*100)))</f>
        <v>12.131074864878389</v>
      </c>
      <c r="AY50" s="250"/>
      <c r="AZ50" s="261"/>
      <c r="BA50"/>
      <c r="BB50"/>
      <c r="BC50"/>
      <c r="BD50"/>
      <c r="BE50"/>
      <c r="BF50"/>
      <c r="BG50" s="252"/>
      <c r="BI50" s="87"/>
      <c r="BJ50" s="87"/>
      <c r="BK50" s="87"/>
      <c r="BL50" s="87"/>
      <c r="BM50" s="87"/>
      <c r="BN50" s="24"/>
    </row>
    <row r="51" spans="1:66" s="257" customFormat="1" ht="12.75" customHeight="1">
      <c r="B51" s="253" t="s">
        <v>146</v>
      </c>
      <c r="C51" s="254">
        <v>34</v>
      </c>
      <c r="D51" s="255"/>
      <c r="E51" s="254">
        <v>72</v>
      </c>
      <c r="F51" s="255"/>
      <c r="G51" s="254">
        <v>90</v>
      </c>
      <c r="H51" s="256"/>
      <c r="I51" s="254">
        <v>104</v>
      </c>
      <c r="J51" s="256"/>
      <c r="K51" s="254">
        <v>68</v>
      </c>
      <c r="L51" s="256">
        <v>9.3044240000000222</v>
      </c>
      <c r="M51" s="254">
        <v>82</v>
      </c>
      <c r="N51" s="256">
        <v>9.3044240000000222</v>
      </c>
      <c r="O51" s="254">
        <v>66</v>
      </c>
      <c r="P51" s="256">
        <v>9.3044240000000222</v>
      </c>
      <c r="Q51" s="254">
        <v>57</v>
      </c>
      <c r="R51" s="256">
        <v>9.3044240000000222</v>
      </c>
      <c r="S51" s="215">
        <f>S68*S42/400</f>
        <v>61.033251600000078</v>
      </c>
      <c r="T51" s="256">
        <v>9.3044240000000222</v>
      </c>
      <c r="U51" s="215">
        <f>U68*U42/400</f>
        <v>62.600703193800001</v>
      </c>
      <c r="V51" s="256">
        <v>9.3044240000000222</v>
      </c>
      <c r="W51" s="215">
        <f>W68*W42/400</f>
        <v>79.457589481520699</v>
      </c>
      <c r="X51" s="256">
        <v>9.3044240000000222</v>
      </c>
      <c r="Y51" s="215">
        <f>Y68*Y42/400</f>
        <v>80.993576486631355</v>
      </c>
      <c r="Z51" s="256">
        <v>9.3044240000000222</v>
      </c>
      <c r="AB51" s="180"/>
      <c r="AC51" s="258"/>
      <c r="AD51" s="215">
        <v>356</v>
      </c>
      <c r="AE51" s="256">
        <v>8.6472036079197068</v>
      </c>
      <c r="AF51" s="215">
        <v>262</v>
      </c>
      <c r="AG51" s="256">
        <v>8.6472036079197068</v>
      </c>
      <c r="AH51" s="215">
        <v>208</v>
      </c>
      <c r="AI51" s="256">
        <v>8.6472036079197068</v>
      </c>
      <c r="AJ51" s="259">
        <f>I51+G51+E51+C51</f>
        <v>300</v>
      </c>
      <c r="AK51" s="256">
        <v>8.6472036079197068</v>
      </c>
      <c r="AL51" s="259">
        <f>K51+M51+O51+Q51</f>
        <v>273</v>
      </c>
      <c r="AM51" s="256">
        <v>8.6472036079197068</v>
      </c>
      <c r="AN51" s="259">
        <f>S51+U51+W51+Y51</f>
        <v>284.08512076195211</v>
      </c>
      <c r="AO51" s="256">
        <v>8.6472036079197068</v>
      </c>
      <c r="AP51" s="215">
        <f>AP68*AP42/100</f>
        <v>336.24543889567491</v>
      </c>
      <c r="AQ51" s="256">
        <v>8.6472036079197068</v>
      </c>
      <c r="AR51" s="215">
        <f>AR68*AR42/100</f>
        <v>356.37334939506371</v>
      </c>
      <c r="AS51" s="256">
        <v>8.6472036079197068</v>
      </c>
      <c r="AT51" s="215">
        <f>AT68*AT42/100</f>
        <v>378.59892794950866</v>
      </c>
      <c r="AU51" s="256">
        <v>8.6472036079197068</v>
      </c>
      <c r="AV51" s="215">
        <f>AV68*AV42/100</f>
        <v>403.16545343405215</v>
      </c>
      <c r="AW51" s="256">
        <v>8.6472036079197068</v>
      </c>
      <c r="AX51" s="260">
        <f>IF(ISERROR(((AV51/AL51)^0.2-1)*100),"NA",IF((((AV51/AL51)^0.2-1)*100)&gt;100,"NM",IF((((AV51/AL51)^0.2-1)*100)&lt;-50,"NM",((AV51/AL51)^0.2-1)*100)))</f>
        <v>8.1095682171180563</v>
      </c>
      <c r="AY51" s="250"/>
      <c r="AZ51" s="261"/>
      <c r="BA51"/>
      <c r="BB51"/>
      <c r="BC51"/>
      <c r="BD51"/>
      <c r="BE51"/>
      <c r="BF51"/>
      <c r="BG51" s="252"/>
      <c r="BI51" s="87"/>
      <c r="BJ51" s="87"/>
      <c r="BK51" s="87"/>
      <c r="BL51" s="87"/>
      <c r="BM51" s="87"/>
      <c r="BN51" s="24"/>
    </row>
    <row r="52" spans="1:66" s="248" customFormat="1" ht="12.75" customHeight="1">
      <c r="A52" s="54"/>
      <c r="B52" s="203" t="s">
        <v>144</v>
      </c>
      <c r="C52" s="56">
        <f>C50+C51</f>
        <v>691</v>
      </c>
      <c r="D52" s="61"/>
      <c r="E52" s="56">
        <f>E50+E51</f>
        <v>708</v>
      </c>
      <c r="F52" s="61"/>
      <c r="G52" s="56">
        <f>G50+G51</f>
        <v>754</v>
      </c>
      <c r="H52" s="61"/>
      <c r="I52" s="56">
        <f>I50+I51</f>
        <v>798</v>
      </c>
      <c r="J52" s="61"/>
      <c r="K52" s="56">
        <f>K50+K51</f>
        <v>780</v>
      </c>
      <c r="L52" s="135">
        <f>IF(ISERROR(K52/C52),"NA",IF(OR(K52/C52&gt;2,K52/C52&lt;0.5),"NM",(K52/C52-1)*100))</f>
        <v>12.879884225759763</v>
      </c>
      <c r="M52" s="56">
        <f>M50+M51</f>
        <v>821</v>
      </c>
      <c r="N52" s="135">
        <f>IF(ISERROR(M52/E52),"NA",IF(OR(M52/E52&gt;2,M52/E52&lt;0.5),"NM",(M52/E52-1)*100))</f>
        <v>15.960451977401124</v>
      </c>
      <c r="O52" s="56">
        <f>O50+O51</f>
        <v>811</v>
      </c>
      <c r="P52" s="135">
        <f>IF(ISERROR(O52/G52),"NA",IF(OR(O52/G52&gt;2,O52/G52&lt;0.5),"NM",(O52/G52-1)*100))</f>
        <v>7.5596816976127412</v>
      </c>
      <c r="Q52" s="56">
        <f>Q50+Q51</f>
        <v>829</v>
      </c>
      <c r="R52" s="135">
        <f>IF(ISERROR(Q52/I52),"NA",IF(OR(Q52/I52&gt;2,Q52/I52&lt;0.5),"NM",(Q52/I52-1)*100))</f>
        <v>3.8847117794486241</v>
      </c>
      <c r="S52" s="56">
        <f>S50+S51</f>
        <v>875.82716046000019</v>
      </c>
      <c r="T52" s="135">
        <f>IF(ISERROR(S52/K52),"NA",IF(OR(S52/K52&gt;2,S52/K52&lt;0.5),"NM",(S52/K52-1)*100))</f>
        <v>12.285533392307713</v>
      </c>
      <c r="U52" s="56">
        <f>U50+U51</f>
        <v>898.32009083103003</v>
      </c>
      <c r="V52" s="135">
        <f>IF(ISERROR(U52/M52),"NA",IF(OR(U52/M52&gt;2,U52/M52&lt;0.5),"NM",(U52/M52-1)*100))</f>
        <v>9.4177942546930673</v>
      </c>
      <c r="W52" s="56">
        <f>W50+W51</f>
        <v>1092.5418553709123</v>
      </c>
      <c r="X52" s="135">
        <f>IF(ISERROR(W52/O52),"NA",IF(OR(W52/O52&gt;2,W52/O52&lt;0.5),"NM",(W52/O52-1)*100))</f>
        <v>34.715395236857248</v>
      </c>
      <c r="Y52" s="56">
        <f>Y50+Y51</f>
        <v>1113.6616766911795</v>
      </c>
      <c r="Z52" s="135">
        <f>IF(ISERROR(Y52/Q52),"NA",IF(OR(Y52/Q52&gt;2,Y52/Q52&lt;0.5),"NM",(Y52/Q52-1)*100))</f>
        <v>34.337958587597051</v>
      </c>
      <c r="AA52" s="54"/>
      <c r="AB52" s="180"/>
      <c r="AC52" s="56"/>
      <c r="AD52" s="56">
        <f>AD50+AD51</f>
        <v>1363</v>
      </c>
      <c r="AE52" s="61"/>
      <c r="AF52" s="56">
        <f>AF50+AF51</f>
        <v>2485</v>
      </c>
      <c r="AG52" s="25">
        <f>IF(ISERROR(AF52/AD52),"NA",IF(OR(AF52/AD52&gt;2,AF52/AD52&lt;0.5),"NM",(AF52/AD52-1)*100))</f>
        <v>82.31841526045487</v>
      </c>
      <c r="AH52" s="56">
        <f>AH50+AH51</f>
        <v>2573</v>
      </c>
      <c r="AI52" s="25">
        <f>IF(ISERROR(AH52/AF52),"NA",IF(OR(AH52/AF52&gt;2,AH52/AF52&lt;0.5),"NM",(AH52/AF52-1)*100))</f>
        <v>3.5412474849094489</v>
      </c>
      <c r="AJ52" s="56">
        <f>AJ50+AJ51</f>
        <v>2951</v>
      </c>
      <c r="AK52" s="25">
        <f>IF(ISERROR(AJ52/AH52),"NA",IF(OR(AJ52/AH52&gt;2,AJ52/AH52&lt;0.5),"NM",(AJ52/AH52-1)*100))</f>
        <v>14.691022153128653</v>
      </c>
      <c r="AL52" s="56">
        <f>AL50+AL51</f>
        <v>3241</v>
      </c>
      <c r="AM52" s="25">
        <f>IF(ISERROR(AL52/AJ52),"NA",IF(OR(AL52/AJ52&gt;2,AL52/AJ52&lt;0.5),"NM",(AL52/AJ52-1)*100))</f>
        <v>9.8271772280582823</v>
      </c>
      <c r="AN52" s="56">
        <f>AN50+AN51</f>
        <v>3980.3507833531216</v>
      </c>
      <c r="AO52" s="25">
        <f>IF(ISERROR(AN52/AL52),"NA",IF(OR(AN52/AL52&gt;2,AN52/AL52&lt;0.5),"NM",(AN52/AL52-1)*100))</f>
        <v>22.81242774924781</v>
      </c>
      <c r="AP52" s="56">
        <f>AP50+AP51</f>
        <v>4673.8116006498822</v>
      </c>
      <c r="AQ52" s="25">
        <f>IF(ISERROR(AP52/AN52),"NA",IF(OR(AP52/AN52&gt;2,AP52/AN52&lt;0.5),"NM",(AP52/AN52-1)*100))</f>
        <v>17.422103101992835</v>
      </c>
      <c r="AR52" s="56">
        <f>AR50+AR51</f>
        <v>5007.0455590006522</v>
      </c>
      <c r="AS52" s="25">
        <f>IF(ISERROR(AR52/AP52),"NA",IF(OR(AR52/AP52&gt;2,AR52/AP52&lt;0.5),"NM",(AR52/AP52-1)*100))</f>
        <v>7.1298115290833408</v>
      </c>
      <c r="AT52" s="56">
        <f>AT50+AT51</f>
        <v>5319.314937690594</v>
      </c>
      <c r="AU52" s="25">
        <f>IF(ISERROR(AT52/AR52),"NA",IF(OR(AT52/AR52&gt;2,AT52/AR52&lt;0.5),"NM",(AT52/AR52-1)*100))</f>
        <v>6.2365995078396574</v>
      </c>
      <c r="AV52" s="56">
        <f>AV50+AV51</f>
        <v>5664.4746207484395</v>
      </c>
      <c r="AW52" s="25">
        <f>IF(ISERROR(AV52/AT52),"NA",IF(OR(AV52/AT52&gt;2,AV52/AT52&lt;0.5),"NM",(AV52/AT52-1)*100))</f>
        <v>6.4887995371768259</v>
      </c>
      <c r="AX52" s="63">
        <f>IF(ISERROR(((AV52/AL52)^0.2-1)*100),"NA",IF((((AV52/AL52)^0.2-1)*100)&gt;100,"NM",IF((((AV52/AL52)^0.2-1)*100)&lt;-50,"NM",((AV52/AL52)^0.2-1)*100)))</f>
        <v>11.813983724892196</v>
      </c>
      <c r="AY52" s="58"/>
      <c r="AZ52" s="59"/>
      <c r="BA52"/>
      <c r="BB52"/>
      <c r="BC52"/>
      <c r="BD52"/>
      <c r="BE52"/>
      <c r="BF52"/>
      <c r="BG52" s="31"/>
      <c r="BH52" s="54"/>
      <c r="BI52" s="54"/>
      <c r="BJ52" s="54"/>
      <c r="BK52" s="54"/>
      <c r="BL52" s="54"/>
      <c r="BM52" s="54"/>
      <c r="BN52" s="24"/>
    </row>
    <row r="53" spans="1:66" s="248" customFormat="1" ht="12.75" customHeight="1">
      <c r="A53" s="54"/>
      <c r="B53" s="204" t="s">
        <v>203</v>
      </c>
      <c r="C53" s="56"/>
      <c r="D53" s="61"/>
      <c r="E53" s="56"/>
      <c r="F53" s="61"/>
      <c r="G53" s="56"/>
      <c r="H53" s="61"/>
      <c r="I53" s="56"/>
      <c r="J53" s="61"/>
      <c r="K53" s="56"/>
      <c r="L53" s="61"/>
      <c r="M53" s="56"/>
      <c r="N53" s="61"/>
      <c r="O53" s="56"/>
      <c r="P53" s="61"/>
      <c r="Q53" s="56"/>
      <c r="R53" s="61"/>
      <c r="S53" s="56"/>
      <c r="T53" s="61"/>
      <c r="U53" s="56"/>
      <c r="V53" s="61"/>
      <c r="W53" s="56"/>
      <c r="X53" s="61"/>
      <c r="Y53" s="56"/>
      <c r="Z53" s="61"/>
      <c r="AA53" s="54"/>
      <c r="AB53" s="180"/>
      <c r="AC53" s="56"/>
      <c r="AD53" s="56"/>
      <c r="AE53" s="61"/>
      <c r="AF53" s="56"/>
      <c r="AG53" s="61"/>
      <c r="AH53" s="56"/>
      <c r="AI53" s="61"/>
      <c r="AJ53" s="56"/>
      <c r="AK53" s="61"/>
      <c r="AL53" s="56"/>
      <c r="AM53" s="61"/>
      <c r="AN53" s="56"/>
      <c r="AO53" s="61"/>
      <c r="AP53" s="56"/>
      <c r="AQ53" s="61"/>
      <c r="AR53" s="56"/>
      <c r="AS53" s="61"/>
      <c r="AT53" s="56"/>
      <c r="AU53" s="61"/>
      <c r="AV53" s="56"/>
      <c r="AW53" s="61"/>
      <c r="AX53" s="61"/>
      <c r="AY53" s="58"/>
      <c r="AZ53" s="59"/>
      <c r="BA53"/>
      <c r="BB53"/>
      <c r="BC53"/>
      <c r="BD53"/>
      <c r="BE53"/>
      <c r="BF53"/>
      <c r="BG53" s="31"/>
      <c r="BH53" s="54"/>
      <c r="BI53" s="54"/>
      <c r="BJ53" s="54"/>
      <c r="BK53" s="54"/>
      <c r="BL53" s="54"/>
      <c r="BM53" s="54"/>
      <c r="BN53" s="24"/>
    </row>
    <row r="54" spans="1:66" s="248" customFormat="1" ht="12.75" customHeight="1">
      <c r="A54" s="54"/>
      <c r="B54" s="203" t="s">
        <v>152</v>
      </c>
      <c r="C54" s="206">
        <v>243</v>
      </c>
      <c r="D54" s="200"/>
      <c r="E54" s="206">
        <v>253</v>
      </c>
      <c r="F54" s="200"/>
      <c r="G54" s="206">
        <v>259</v>
      </c>
      <c r="H54" s="25"/>
      <c r="I54" s="206">
        <v>264</v>
      </c>
      <c r="J54" s="25"/>
      <c r="K54" s="206">
        <v>263</v>
      </c>
      <c r="L54" s="135">
        <f t="shared" ref="L54:L61" si="9">IF(ISERROR(K54/C54),"NA",IF(OR(K54/C54&gt;2,K54/C54&lt;0.5),"NM",(K54/C54-1)*100))</f>
        <v>8.2304526748971263</v>
      </c>
      <c r="M54" s="206">
        <v>264</v>
      </c>
      <c r="N54" s="135">
        <f t="shared" ref="N54:N61" si="10">IF(ISERROR(M54/E54),"NA",IF(OR(M54/E54&gt;2,M54/E54&lt;0.5),"NM",(M54/E54-1)*100))</f>
        <v>4.3478260869565188</v>
      </c>
      <c r="O54" s="206">
        <v>268</v>
      </c>
      <c r="P54" s="135">
        <f t="shared" ref="P54:P61" si="11">IF(ISERROR(O54/G54),"NA",IF(OR(O54/G54&gt;2,O54/G54&lt;0.5),"NM",(O54/G54-1)*100))</f>
        <v>3.474903474903468</v>
      </c>
      <c r="Q54" s="206">
        <v>271</v>
      </c>
      <c r="R54" s="135">
        <f t="shared" ref="R54:R61" si="12">IF(ISERROR(Q54/I54),"NA",IF(OR(Q54/I54&gt;2,Q54/I54&lt;0.5),"NM",(Q54/I54-1)*100))</f>
        <v>2.6515151515151603</v>
      </c>
      <c r="S54" s="114">
        <f>S70*S44/400</f>
        <v>289.90794510000001</v>
      </c>
      <c r="T54" s="135">
        <f t="shared" ref="T54:T61" si="13">IF(ISERROR(S54/K54),"NA",IF(OR(S54/K54&gt;2,S54/K54&lt;0.5),"NM",(S54/K54-1)*100))</f>
        <v>10.231157832699612</v>
      </c>
      <c r="U54" s="114">
        <f>U70*U44/400</f>
        <v>297.35334017054998</v>
      </c>
      <c r="V54" s="135">
        <f t="shared" ref="V54:V61" si="14">IF(ISERROR(U54/M54),"NA",IF(OR(U54/M54&gt;2,U54/M54&lt;0.5),"NM",(U54/M54-1)*100))</f>
        <v>12.633840973693179</v>
      </c>
      <c r="W54" s="114">
        <f>W70*W44/400</f>
        <v>377.42355003722417</v>
      </c>
      <c r="X54" s="135">
        <f t="shared" ref="X54:X61" si="15">IF(ISERROR(W54/O54),"NA",IF(OR(W54/O54&gt;2,W54/O54&lt;0.5),"NM",(W54/O54-1)*100))</f>
        <v>40.829682849710515</v>
      </c>
      <c r="Y54" s="114">
        <f>Y70*Y44/400</f>
        <v>384.71948831149837</v>
      </c>
      <c r="Z54" s="135">
        <f t="shared" ref="Z54:Z61" si="16">IF(ISERROR(Y54/Q54),"NA",IF(OR(Y54/Q54&gt;2,Y54/Q54&lt;0.5),"NM",(Y54/Q54-1)*100))</f>
        <v>41.962910816051057</v>
      </c>
      <c r="AA54" s="54"/>
      <c r="AB54" s="180"/>
      <c r="AC54" s="56"/>
      <c r="AD54" s="114">
        <v>491</v>
      </c>
      <c r="AE54" s="25"/>
      <c r="AF54" s="114">
        <v>936</v>
      </c>
      <c r="AG54" s="25">
        <f t="shared" ref="AG54:AG64" si="17">IF(ISERROR(AF54/AD54),"NA",IF(OR(AF54/AD54&gt;2,AF54/AD54&lt;0.5),"NM",(AF54/AD54-1)*100))</f>
        <v>90.631364562118137</v>
      </c>
      <c r="AH54" s="114">
        <v>940</v>
      </c>
      <c r="AI54" s="25">
        <f t="shared" ref="AI54:AI64" si="18">IF(ISERROR(AH54/AF54),"NA",IF(OR(AH54/AF54&gt;2,AH54/AF54&lt;0.5),"NM",(AH54/AF54-1)*100))</f>
        <v>0.42735042735042583</v>
      </c>
      <c r="AJ54" s="209">
        <f>I54+G54+E54+C54</f>
        <v>1019</v>
      </c>
      <c r="AK54" s="25">
        <f t="shared" ref="AK54:AK64" si="19">IF(ISERROR(AJ54/AH54),"NA",IF(OR(AJ54/AH54&gt;2,AJ54/AH54&lt;0.5),"NM",(AJ54/AH54-1)*100))</f>
        <v>8.4042553191489446</v>
      </c>
      <c r="AL54" s="209">
        <f>K54+M54+O54+Q54</f>
        <v>1066</v>
      </c>
      <c r="AM54" s="25">
        <f t="shared" ref="AM54:AM64" si="20">IF(ISERROR(AL54/AJ54),"NA",IF(OR(AL54/AJ54&gt;2,AL54/AJ54&lt;0.5),"NM",(AL54/AJ54-1)*100))</f>
        <v>4.6123650637880376</v>
      </c>
      <c r="AN54" s="209">
        <f>S54+U54+W54+Y54</f>
        <v>1349.4043236192724</v>
      </c>
      <c r="AO54" s="25">
        <f t="shared" ref="AO54:AS64" si="21">IF(ISERROR(AN54/AL54),"NA",IF(OR(AN54/AL54&gt;2,AN54/AL54&lt;0.5),"NM",(AN54/AL54-1)*100))</f>
        <v>26.585771446460839</v>
      </c>
      <c r="AP54" s="114">
        <f>AP70*AP44/100</f>
        <v>1613.9781066992396</v>
      </c>
      <c r="AQ54" s="25">
        <f t="shared" si="21"/>
        <v>19.606709304913661</v>
      </c>
      <c r="AR54" s="114">
        <f>AR70*AR44/100</f>
        <v>1708.8102103493331</v>
      </c>
      <c r="AS54" s="25">
        <f t="shared" si="21"/>
        <v>5.8756747230007678</v>
      </c>
      <c r="AT54" s="114">
        <f>AT70*AT44/100</f>
        <v>1824.8468327166304</v>
      </c>
      <c r="AU54" s="25">
        <f t="shared" ref="AU54:AU64" si="22">IF(ISERROR(AT54/AR54),"NA",IF(OR(AT54/AR54&gt;2,AT54/AR54&lt;0.5),"NM",(AT54/AR54-1)*100))</f>
        <v>6.7904921017282405</v>
      </c>
      <c r="AV54" s="114">
        <f>AV70*AV44/100</f>
        <v>1948.2970537200592</v>
      </c>
      <c r="AW54" s="25">
        <f t="shared" ref="AW54:AW64" si="23">IF(ISERROR(AV54/AT54),"NA",IF(OR(AV54/AT54&gt;2,AV54/AT54&lt;0.5),"NM",(AV54/AT54-1)*100))</f>
        <v>6.7649634363915245</v>
      </c>
      <c r="AX54" s="63">
        <f t="shared" ref="AX54:AX61" si="24">IF(ISERROR(((AV54/AL54)^0.2-1)*100),"NA",IF((((AV54/AL54)^0.2-1)*100)&gt;100,"NM",IF((((AV54/AL54)^0.2-1)*100)&lt;-50,"NM",((AV54/AL54)^0.2-1)*100)))</f>
        <v>12.81831104929525</v>
      </c>
      <c r="AY54" s="58"/>
      <c r="AZ54" s="59"/>
      <c r="BA54"/>
      <c r="BB54"/>
      <c r="BC54"/>
      <c r="BD54"/>
      <c r="BE54"/>
      <c r="BF54"/>
      <c r="BG54" s="31"/>
      <c r="BH54" s="54"/>
      <c r="BI54" s="54"/>
      <c r="BJ54" s="54"/>
      <c r="BK54" s="54"/>
      <c r="BL54" s="54"/>
      <c r="BM54" s="54"/>
      <c r="BN54" s="24"/>
    </row>
    <row r="55" spans="1:66" s="248" customFormat="1" ht="12.75" customHeight="1">
      <c r="A55" s="54"/>
      <c r="B55" s="203" t="s">
        <v>154</v>
      </c>
      <c r="C55" s="206">
        <f>188+2</f>
        <v>190</v>
      </c>
      <c r="D55" s="200"/>
      <c r="E55" s="206">
        <v>194</v>
      </c>
      <c r="F55" s="200"/>
      <c r="G55" s="206">
        <f>364+12+12.5</f>
        <v>388.5</v>
      </c>
      <c r="H55" s="25"/>
      <c r="I55" s="206">
        <v>223</v>
      </c>
      <c r="J55" s="25"/>
      <c r="K55" s="206">
        <v>181</v>
      </c>
      <c r="L55" s="135">
        <f t="shared" si="9"/>
        <v>-4.7368421052631611</v>
      </c>
      <c r="M55" s="206">
        <v>225</v>
      </c>
      <c r="N55" s="135">
        <f t="shared" si="10"/>
        <v>15.97938144329898</v>
      </c>
      <c r="O55" s="206">
        <v>229</v>
      </c>
      <c r="P55" s="135">
        <f t="shared" si="11"/>
        <v>-41.055341055341053</v>
      </c>
      <c r="Q55" s="206">
        <v>172</v>
      </c>
      <c r="R55" s="135">
        <f t="shared" si="12"/>
        <v>-22.869955156950674</v>
      </c>
      <c r="S55" s="114">
        <f>S74*S43/400</f>
        <v>253.66945196250003</v>
      </c>
      <c r="T55" s="135">
        <f t="shared" si="13"/>
        <v>40.148868487569089</v>
      </c>
      <c r="U55" s="114">
        <f>U74*U43/400</f>
        <v>260.18417264923124</v>
      </c>
      <c r="V55" s="135">
        <f t="shared" si="14"/>
        <v>15.637410066324996</v>
      </c>
      <c r="W55" s="114">
        <f>W74*W43/400</f>
        <v>335.2117056251663</v>
      </c>
      <c r="X55" s="135">
        <f t="shared" si="15"/>
        <v>46.380657478238561</v>
      </c>
      <c r="Y55" s="114">
        <f>Y74*Y43/400</f>
        <v>341.69165080297557</v>
      </c>
      <c r="Z55" s="135">
        <f t="shared" si="16"/>
        <v>98.657936513357896</v>
      </c>
      <c r="AA55" s="54"/>
      <c r="AB55" s="180"/>
      <c r="AC55" s="56"/>
      <c r="AD55" s="114">
        <v>286</v>
      </c>
      <c r="AE55" s="25"/>
      <c r="AF55" s="114">
        <f>597+4+5</f>
        <v>606</v>
      </c>
      <c r="AG55" s="25" t="str">
        <f t="shared" si="17"/>
        <v>NM</v>
      </c>
      <c r="AH55" s="114">
        <v>671</v>
      </c>
      <c r="AI55" s="25">
        <f t="shared" si="18"/>
        <v>10.726072607260729</v>
      </c>
      <c r="AJ55" s="209">
        <f>I55+G55+E55+C55</f>
        <v>995.5</v>
      </c>
      <c r="AK55" s="25">
        <f t="shared" si="19"/>
        <v>48.360655737704917</v>
      </c>
      <c r="AL55" s="209">
        <f>K55+M55+O55+Q55</f>
        <v>807</v>
      </c>
      <c r="AM55" s="25">
        <f t="shared" si="20"/>
        <v>-18.935208437970875</v>
      </c>
      <c r="AN55" s="209">
        <f>S55+U55+W55+Y55</f>
        <v>1190.7569810398732</v>
      </c>
      <c r="AO55" s="25">
        <f t="shared" si="21"/>
        <v>47.553529249054918</v>
      </c>
      <c r="AP55" s="114">
        <f>AP74*AP43/100</f>
        <v>1418.5354453411287</v>
      </c>
      <c r="AQ55" s="25">
        <f t="shared" si="21"/>
        <v>19.128879185939308</v>
      </c>
      <c r="AR55" s="114">
        <f>AR74*AR43/100</f>
        <v>1503.4500677604274</v>
      </c>
      <c r="AS55" s="25">
        <f t="shared" si="21"/>
        <v>5.9860768864241187</v>
      </c>
      <c r="AT55" s="114">
        <f>AT74*AT43/100</f>
        <v>1597.2142272869889</v>
      </c>
      <c r="AU55" s="25">
        <f t="shared" si="22"/>
        <v>6.2365995078396352</v>
      </c>
      <c r="AV55" s="114">
        <f>AV74*AV43/100</f>
        <v>1700.8542566749099</v>
      </c>
      <c r="AW55" s="25">
        <f t="shared" si="23"/>
        <v>6.4887995371768481</v>
      </c>
      <c r="AX55" s="63">
        <f t="shared" si="24"/>
        <v>16.080351178487049</v>
      </c>
      <c r="AY55" s="58"/>
      <c r="AZ55" s="59"/>
      <c r="BA55"/>
      <c r="BB55"/>
      <c r="BC55"/>
      <c r="BD55"/>
      <c r="BE55"/>
      <c r="BF55"/>
      <c r="BG55" s="31"/>
      <c r="BH55" s="54"/>
      <c r="BI55" s="54"/>
      <c r="BJ55" s="54"/>
      <c r="BK55" s="54"/>
      <c r="BL55" s="54"/>
      <c r="BM55" s="54"/>
      <c r="BN55" s="24"/>
    </row>
    <row r="56" spans="1:66" s="248" customFormat="1" ht="12.75" customHeight="1">
      <c r="A56" s="54"/>
      <c r="B56" s="203" t="s">
        <v>153</v>
      </c>
      <c r="C56" s="206">
        <v>49</v>
      </c>
      <c r="D56" s="200"/>
      <c r="E56" s="206">
        <v>51</v>
      </c>
      <c r="F56" s="200"/>
      <c r="G56" s="206">
        <v>50.4</v>
      </c>
      <c r="H56" s="25"/>
      <c r="I56" s="206">
        <v>56</v>
      </c>
      <c r="J56" s="25"/>
      <c r="K56" s="206">
        <v>52</v>
      </c>
      <c r="L56" s="135">
        <f t="shared" si="9"/>
        <v>6.1224489795918435</v>
      </c>
      <c r="M56" s="206">
        <v>54</v>
      </c>
      <c r="N56" s="135">
        <f t="shared" si="10"/>
        <v>5.8823529411764719</v>
      </c>
      <c r="O56" s="206">
        <v>51</v>
      </c>
      <c r="P56" s="135">
        <f t="shared" si="11"/>
        <v>1.1904761904761862</v>
      </c>
      <c r="Q56" s="206">
        <v>55</v>
      </c>
      <c r="R56" s="135">
        <f t="shared" si="12"/>
        <v>-1.7857142857142905</v>
      </c>
      <c r="S56" s="114">
        <f>S75*S43/400</f>
        <v>58.744504665000001</v>
      </c>
      <c r="T56" s="135">
        <f t="shared" si="13"/>
        <v>12.970201278846162</v>
      </c>
      <c r="U56" s="114">
        <f>U75*U43/400</f>
        <v>60.253176824032501</v>
      </c>
      <c r="V56" s="135">
        <f t="shared" si="14"/>
        <v>11.57995708154167</v>
      </c>
      <c r="W56" s="114">
        <f>W75*W43/400</f>
        <v>76.477929875963866</v>
      </c>
      <c r="X56" s="135">
        <f t="shared" si="15"/>
        <v>49.956725246987979</v>
      </c>
      <c r="Y56" s="114">
        <f>Y75*Y43/400</f>
        <v>77.956317368382571</v>
      </c>
      <c r="Z56" s="135">
        <f t="shared" si="16"/>
        <v>41.738758851604672</v>
      </c>
      <c r="AA56" s="54"/>
      <c r="AB56" s="185"/>
      <c r="AC56" s="56"/>
      <c r="AD56" s="114">
        <v>155</v>
      </c>
      <c r="AE56" s="25"/>
      <c r="AF56" s="114">
        <v>167</v>
      </c>
      <c r="AG56" s="25">
        <f t="shared" si="17"/>
        <v>7.7419354838709653</v>
      </c>
      <c r="AH56" s="114">
        <v>166</v>
      </c>
      <c r="AI56" s="25">
        <f t="shared" si="18"/>
        <v>-0.59880239520958556</v>
      </c>
      <c r="AJ56" s="209">
        <f>I56+G56+E56+C56</f>
        <v>206.4</v>
      </c>
      <c r="AK56" s="25">
        <f t="shared" si="19"/>
        <v>24.337349397590359</v>
      </c>
      <c r="AL56" s="209">
        <f>K56+M56+O56+Q56</f>
        <v>212</v>
      </c>
      <c r="AM56" s="25">
        <f t="shared" si="20"/>
        <v>2.7131782945736482</v>
      </c>
      <c r="AN56" s="209">
        <f>S56+U56+W56+Y56</f>
        <v>273.43192873337898</v>
      </c>
      <c r="AO56" s="25">
        <f t="shared" si="21"/>
        <v>28.977324874235364</v>
      </c>
      <c r="AP56" s="114">
        <f>AP75*AP43/100</f>
        <v>328.89006991983211</v>
      </c>
      <c r="AQ56" s="25">
        <f t="shared" si="21"/>
        <v>20.282247740178818</v>
      </c>
      <c r="AR56" s="114">
        <f>AR75*AR43/100</f>
        <v>339.6683486421706</v>
      </c>
      <c r="AS56" s="25">
        <f t="shared" si="21"/>
        <v>3.2771675730330463</v>
      </c>
      <c r="AT56" s="114">
        <f>AT75*AT43/100</f>
        <v>360.8521032018752</v>
      </c>
      <c r="AU56" s="25">
        <f t="shared" si="22"/>
        <v>6.2365995078396352</v>
      </c>
      <c r="AV56" s="114">
        <f>AV75*AV43/100</f>
        <v>384.26707280433146</v>
      </c>
      <c r="AW56" s="25">
        <f t="shared" si="23"/>
        <v>6.4887995371768703</v>
      </c>
      <c r="AX56" s="63">
        <f t="shared" si="24"/>
        <v>12.631394771324999</v>
      </c>
      <c r="AY56" s="58"/>
      <c r="AZ56" s="59"/>
      <c r="BA56"/>
      <c r="BB56"/>
      <c r="BC56"/>
      <c r="BD56"/>
      <c r="BE56"/>
      <c r="BF56"/>
      <c r="BG56" s="31"/>
      <c r="BH56" s="54"/>
      <c r="BI56" s="54"/>
      <c r="BJ56" s="54"/>
      <c r="BK56" s="54"/>
      <c r="BL56" s="54"/>
      <c r="BM56" s="54"/>
      <c r="BN56" s="24"/>
    </row>
    <row r="57" spans="1:66" s="248" customFormat="1" ht="12.75" customHeight="1">
      <c r="A57" s="54"/>
      <c r="B57" s="276" t="s">
        <v>155</v>
      </c>
      <c r="C57" s="56">
        <f>SUM(C54:C56)</f>
        <v>482</v>
      </c>
      <c r="D57" s="80"/>
      <c r="E57" s="56">
        <f>SUM(E54:E56)</f>
        <v>498</v>
      </c>
      <c r="F57" s="80"/>
      <c r="G57" s="56">
        <f>SUM(G54:G56)</f>
        <v>697.9</v>
      </c>
      <c r="H57" s="80"/>
      <c r="I57" s="56">
        <f>SUM(I54:I56)</f>
        <v>543</v>
      </c>
      <c r="J57" s="61"/>
      <c r="K57" s="56">
        <f>SUM(K54:K56)</f>
        <v>496</v>
      </c>
      <c r="L57" s="135">
        <f t="shared" si="9"/>
        <v>2.9045643153526868</v>
      </c>
      <c r="M57" s="56">
        <f>SUM(M54:M56)</f>
        <v>543</v>
      </c>
      <c r="N57" s="135">
        <f t="shared" si="10"/>
        <v>9.0361445783132552</v>
      </c>
      <c r="O57" s="56">
        <f>SUM(O54:O56)</f>
        <v>548</v>
      </c>
      <c r="P57" s="135">
        <f t="shared" si="11"/>
        <v>-21.478721879925487</v>
      </c>
      <c r="Q57" s="56">
        <f>SUM(Q54:Q56)</f>
        <v>498</v>
      </c>
      <c r="R57" s="135">
        <f t="shared" si="12"/>
        <v>-8.2872928176795586</v>
      </c>
      <c r="S57" s="56">
        <f>SUM(S54:S56)</f>
        <v>602.32190172750006</v>
      </c>
      <c r="T57" s="135">
        <f t="shared" si="13"/>
        <v>21.435867283770182</v>
      </c>
      <c r="U57" s="56">
        <f>SUM(U54:U56)</f>
        <v>617.79068964381372</v>
      </c>
      <c r="V57" s="135">
        <f t="shared" si="14"/>
        <v>13.77360766921063</v>
      </c>
      <c r="W57" s="56">
        <f>SUM(W54:W56)</f>
        <v>789.1131855383544</v>
      </c>
      <c r="X57" s="135">
        <f t="shared" si="15"/>
        <v>43.998756485101168</v>
      </c>
      <c r="Y57" s="56">
        <f>SUM(Y54:Y56)</f>
        <v>804.36745648285648</v>
      </c>
      <c r="Z57" s="135">
        <f t="shared" si="16"/>
        <v>61.519569574870772</v>
      </c>
      <c r="AA57" s="54"/>
      <c r="AB57" s="185"/>
      <c r="AC57" s="56"/>
      <c r="AD57" s="56">
        <f>SUM(AD54:AD56)</f>
        <v>932</v>
      </c>
      <c r="AE57" s="61"/>
      <c r="AF57" s="56">
        <f>SUM(AF54:AF56)</f>
        <v>1709</v>
      </c>
      <c r="AG57" s="25">
        <f t="shared" si="17"/>
        <v>83.369098712446359</v>
      </c>
      <c r="AH57" s="56">
        <f>SUM(AH54:AH56)</f>
        <v>1777</v>
      </c>
      <c r="AI57" s="25">
        <f t="shared" si="18"/>
        <v>3.9789350497366982</v>
      </c>
      <c r="AJ57" s="56">
        <f>SUM(AJ54:AJ56)</f>
        <v>2220.9</v>
      </c>
      <c r="AK57" s="25">
        <f t="shared" si="19"/>
        <v>24.980303882948785</v>
      </c>
      <c r="AL57" s="56">
        <f>SUM(AL54:AL56)</f>
        <v>2085</v>
      </c>
      <c r="AM57" s="25">
        <f t="shared" si="20"/>
        <v>-6.1191408888288557</v>
      </c>
      <c r="AN57" s="56">
        <f>SUM(AN54:AN56)</f>
        <v>2813.5932333925248</v>
      </c>
      <c r="AO57" s="25">
        <f t="shared" si="21"/>
        <v>34.944519587171463</v>
      </c>
      <c r="AP57" s="56">
        <f>SUM(AP54:AP56)</f>
        <v>3361.4036219602003</v>
      </c>
      <c r="AQ57" s="25">
        <f t="shared" si="21"/>
        <v>19.470134561958208</v>
      </c>
      <c r="AR57" s="56">
        <f>SUM(AR54:AR56)</f>
        <v>3551.928626751931</v>
      </c>
      <c r="AS57" s="25">
        <f t="shared" si="21"/>
        <v>5.6680192627574399</v>
      </c>
      <c r="AT57" s="56">
        <f>SUM(AT54:AT56)</f>
        <v>3782.9131632054946</v>
      </c>
      <c r="AU57" s="25">
        <f t="shared" si="22"/>
        <v>6.5030737023786367</v>
      </c>
      <c r="AV57" s="56">
        <f>SUM(AV54:AV56)</f>
        <v>4033.4183831993005</v>
      </c>
      <c r="AW57" s="25">
        <f t="shared" si="23"/>
        <v>6.6220187772308536</v>
      </c>
      <c r="AX57" s="63">
        <f t="shared" si="24"/>
        <v>14.107303564921381</v>
      </c>
      <c r="AY57" s="58"/>
      <c r="AZ57" s="59"/>
      <c r="BA57"/>
      <c r="BB57"/>
      <c r="BC57"/>
      <c r="BD57"/>
      <c r="BE57"/>
      <c r="BF57"/>
      <c r="BG57" s="31"/>
      <c r="BH57" s="54"/>
      <c r="BI57" s="54"/>
      <c r="BJ57" s="54"/>
      <c r="BK57" s="54"/>
      <c r="BL57" s="54"/>
      <c r="BM57" s="54"/>
      <c r="BN57" s="24"/>
    </row>
    <row r="58" spans="1:66" s="436" customFormat="1" ht="12.75" customHeight="1">
      <c r="A58" s="220"/>
      <c r="B58" s="202" t="s">
        <v>40</v>
      </c>
      <c r="C58" s="117">
        <f>C52-C57</f>
        <v>209</v>
      </c>
      <c r="D58" s="214"/>
      <c r="E58" s="117">
        <f>E52-E57</f>
        <v>210</v>
      </c>
      <c r="F58" s="214"/>
      <c r="G58" s="117">
        <f>G52-G57</f>
        <v>56.100000000000023</v>
      </c>
      <c r="H58" s="214"/>
      <c r="I58" s="117">
        <f>I52-I57</f>
        <v>255</v>
      </c>
      <c r="J58" s="103"/>
      <c r="K58" s="117">
        <f>K52-K57</f>
        <v>284</v>
      </c>
      <c r="L58" s="135">
        <f t="shared" si="9"/>
        <v>35.885167464114829</v>
      </c>
      <c r="M58" s="117">
        <f>M52-M57</f>
        <v>278</v>
      </c>
      <c r="N58" s="135">
        <f t="shared" si="10"/>
        <v>32.38095238095238</v>
      </c>
      <c r="O58" s="117">
        <f>O52-O57</f>
        <v>263</v>
      </c>
      <c r="P58" s="135" t="str">
        <f t="shared" si="11"/>
        <v>NM</v>
      </c>
      <c r="Q58" s="117">
        <f>Q52-Q57</f>
        <v>331</v>
      </c>
      <c r="R58" s="135">
        <f t="shared" si="12"/>
        <v>29.803921568627455</v>
      </c>
      <c r="S58" s="117">
        <f>S52-S57</f>
        <v>273.50525873250012</v>
      </c>
      <c r="T58" s="135">
        <f t="shared" si="13"/>
        <v>-3.6953314322182629</v>
      </c>
      <c r="U58" s="117">
        <f>U52-U57</f>
        <v>280.52940118721631</v>
      </c>
      <c r="V58" s="135">
        <f t="shared" si="14"/>
        <v>0.90985654216413359</v>
      </c>
      <c r="W58" s="117">
        <f>W52-W57</f>
        <v>303.42866983255794</v>
      </c>
      <c r="X58" s="135">
        <f t="shared" si="15"/>
        <v>15.372117807056252</v>
      </c>
      <c r="Y58" s="117">
        <f>Y52-Y57</f>
        <v>309.29422020832305</v>
      </c>
      <c r="Z58" s="135">
        <f t="shared" si="16"/>
        <v>-6.5576373992981658</v>
      </c>
      <c r="AA58" s="220"/>
      <c r="AB58" s="216"/>
      <c r="AC58" s="117"/>
      <c r="AD58" s="117">
        <f>AD52-AD57</f>
        <v>431</v>
      </c>
      <c r="AE58" s="103"/>
      <c r="AF58" s="117">
        <f>AF52-AF57</f>
        <v>776</v>
      </c>
      <c r="AG58" s="25">
        <f t="shared" si="17"/>
        <v>80.046403712296993</v>
      </c>
      <c r="AH58" s="117">
        <f>AH52-AH57</f>
        <v>796</v>
      </c>
      <c r="AI58" s="25">
        <f t="shared" si="18"/>
        <v>2.5773195876288568</v>
      </c>
      <c r="AJ58" s="117">
        <f>AJ52-AJ57</f>
        <v>730.09999999999991</v>
      </c>
      <c r="AK58" s="25">
        <f t="shared" si="19"/>
        <v>-8.2788944723618201</v>
      </c>
      <c r="AL58" s="117">
        <f>AL52-AL57</f>
        <v>1156</v>
      </c>
      <c r="AM58" s="25">
        <f t="shared" si="20"/>
        <v>58.334474729489138</v>
      </c>
      <c r="AN58" s="117">
        <f>AN52-AN57</f>
        <v>1166.7575499605969</v>
      </c>
      <c r="AO58" s="25">
        <f t="shared" si="21"/>
        <v>0.93058390662603685</v>
      </c>
      <c r="AP58" s="117">
        <f>AP52-AP57</f>
        <v>1312.4079786896818</v>
      </c>
      <c r="AQ58" s="25">
        <f t="shared" si="21"/>
        <v>12.483350009948847</v>
      </c>
      <c r="AR58" s="117">
        <f>AR52-AR57</f>
        <v>1455.1169322487212</v>
      </c>
      <c r="AS58" s="25">
        <f t="shared" si="21"/>
        <v>10.873825508247915</v>
      </c>
      <c r="AT58" s="117">
        <f>AT52-AT57</f>
        <v>1536.4017744850994</v>
      </c>
      <c r="AU58" s="25">
        <f t="shared" si="22"/>
        <v>5.5861381607841931</v>
      </c>
      <c r="AV58" s="117">
        <f>AV52-AV57</f>
        <v>1631.056237549139</v>
      </c>
      <c r="AW58" s="25">
        <f t="shared" si="23"/>
        <v>6.1607884497374865</v>
      </c>
      <c r="AX58" s="63">
        <f t="shared" si="24"/>
        <v>7.127808394858226</v>
      </c>
      <c r="AY58" s="118"/>
      <c r="AZ58" s="211"/>
      <c r="BA58"/>
      <c r="BB58"/>
      <c r="BC58"/>
      <c r="BD58"/>
      <c r="BE58"/>
      <c r="BF58"/>
      <c r="BG58" s="210"/>
      <c r="BH58" s="220"/>
      <c r="BI58" s="220"/>
      <c r="BJ58" s="220"/>
      <c r="BK58" s="220"/>
      <c r="BL58" s="220"/>
      <c r="BM58" s="220"/>
      <c r="BN58" s="24"/>
    </row>
    <row r="59" spans="1:66" s="248" customFormat="1" ht="12.75" customHeight="1">
      <c r="A59" s="54"/>
      <c r="B59" s="203" t="s">
        <v>35</v>
      </c>
      <c r="C59" s="206">
        <v>14</v>
      </c>
      <c r="D59" s="200"/>
      <c r="E59" s="206">
        <v>14</v>
      </c>
      <c r="F59" s="80"/>
      <c r="G59" s="206">
        <v>-86</v>
      </c>
      <c r="H59" s="80"/>
      <c r="I59" s="206">
        <v>13</v>
      </c>
      <c r="J59" s="61"/>
      <c r="K59" s="206">
        <v>9</v>
      </c>
      <c r="L59" s="135">
        <f t="shared" si="9"/>
        <v>-35.714285714285708</v>
      </c>
      <c r="M59" s="206">
        <v>11</v>
      </c>
      <c r="N59" s="135">
        <f t="shared" si="10"/>
        <v>-21.428571428571431</v>
      </c>
      <c r="O59" s="206">
        <v>19</v>
      </c>
      <c r="P59" s="135" t="str">
        <f t="shared" si="11"/>
        <v>NM</v>
      </c>
      <c r="Q59" s="206">
        <v>25</v>
      </c>
      <c r="R59" s="135">
        <f t="shared" si="12"/>
        <v>92.307692307692307</v>
      </c>
      <c r="S59" s="215">
        <f>S58*S60/100</f>
        <v>28.718052166912511</v>
      </c>
      <c r="T59" s="135" t="str">
        <f t="shared" si="13"/>
        <v>NM</v>
      </c>
      <c r="U59" s="215">
        <f>U58*U60/100</f>
        <v>29.455587124657715</v>
      </c>
      <c r="V59" s="135" t="str">
        <f t="shared" si="14"/>
        <v>NM</v>
      </c>
      <c r="W59" s="215">
        <f>W58*W60/100</f>
        <v>31.860010332418582</v>
      </c>
      <c r="X59" s="135">
        <f t="shared" si="15"/>
        <v>67.684264907466215</v>
      </c>
      <c r="Y59" s="215">
        <f>Y58*Y60/100</f>
        <v>32.475893121873916</v>
      </c>
      <c r="Z59" s="135">
        <f t="shared" si="16"/>
        <v>29.903572487495666</v>
      </c>
      <c r="AA59" s="54"/>
      <c r="AB59" s="185"/>
      <c r="AC59" s="56"/>
      <c r="AD59" s="114">
        <v>15</v>
      </c>
      <c r="AE59" s="25"/>
      <c r="AF59" s="114">
        <v>20</v>
      </c>
      <c r="AG59" s="25">
        <f t="shared" si="17"/>
        <v>33.333333333333329</v>
      </c>
      <c r="AH59" s="114">
        <v>27</v>
      </c>
      <c r="AI59" s="25">
        <f t="shared" si="18"/>
        <v>35.000000000000007</v>
      </c>
      <c r="AJ59" s="209">
        <f>I59+G59+E59+C59</f>
        <v>-45</v>
      </c>
      <c r="AK59" s="25" t="str">
        <f t="shared" si="19"/>
        <v>NM</v>
      </c>
      <c r="AL59" s="209">
        <f>K59+M59+O59+Q59</f>
        <v>64</v>
      </c>
      <c r="AM59" s="25" t="str">
        <f t="shared" si="20"/>
        <v>NM</v>
      </c>
      <c r="AN59" s="209">
        <f>S59+U59+W59+Y59</f>
        <v>122.50954274586272</v>
      </c>
      <c r="AO59" s="25">
        <f t="shared" si="21"/>
        <v>91.421160540410497</v>
      </c>
      <c r="AP59" s="215">
        <f>AP58*AP60/100</f>
        <v>137.80283776241663</v>
      </c>
      <c r="AQ59" s="25">
        <f t="shared" si="21"/>
        <v>12.483350009948824</v>
      </c>
      <c r="AR59" s="215">
        <f>AR58*AR60/100</f>
        <v>152.78727788611579</v>
      </c>
      <c r="AS59" s="25">
        <f t="shared" si="21"/>
        <v>10.873825508247915</v>
      </c>
      <c r="AT59" s="215">
        <f>AT58*AT60/100</f>
        <v>161.32218632093549</v>
      </c>
      <c r="AU59" s="25">
        <f t="shared" si="22"/>
        <v>5.5861381607841931</v>
      </c>
      <c r="AV59" s="215">
        <f>AV58*AV60/100</f>
        <v>171.26090494265966</v>
      </c>
      <c r="AW59" s="25">
        <f t="shared" si="23"/>
        <v>6.1607884497374865</v>
      </c>
      <c r="AX59" s="63">
        <f t="shared" si="24"/>
        <v>21.757480315526976</v>
      </c>
      <c r="AY59" s="58"/>
      <c r="AZ59" s="59"/>
      <c r="BA59"/>
      <c r="BB59"/>
      <c r="BC59"/>
      <c r="BD59"/>
      <c r="BE59"/>
      <c r="BF59"/>
      <c r="BG59" s="31"/>
      <c r="BH59" s="54"/>
      <c r="BI59" s="54"/>
      <c r="BJ59" s="54"/>
      <c r="BK59" s="54"/>
      <c r="BL59" s="54"/>
      <c r="BM59" s="54"/>
      <c r="BN59" s="24"/>
    </row>
    <row r="60" spans="1:66" s="248" customFormat="1" ht="12.75" customHeight="1">
      <c r="A60" s="54"/>
      <c r="B60" s="203" t="s">
        <v>160</v>
      </c>
      <c r="C60" s="64">
        <f>C59/C58*100</f>
        <v>6.6985645933014357</v>
      </c>
      <c r="D60" s="80"/>
      <c r="E60" s="64">
        <f>E59/E58*100</f>
        <v>6.666666666666667</v>
      </c>
      <c r="F60" s="80"/>
      <c r="G60" s="64">
        <v>-345</v>
      </c>
      <c r="H60" s="64"/>
      <c r="I60" s="64">
        <f>I59/I58*100</f>
        <v>5.0980392156862742</v>
      </c>
      <c r="J60" s="64"/>
      <c r="K60" s="64">
        <f>K59/K58*100</f>
        <v>3.169014084507042</v>
      </c>
      <c r="L60" s="135" t="str">
        <f t="shared" si="9"/>
        <v>NM</v>
      </c>
      <c r="M60" s="64">
        <f>M59/M58*100</f>
        <v>3.9568345323741005</v>
      </c>
      <c r="N60" s="135">
        <f t="shared" si="10"/>
        <v>-40.647482014388494</v>
      </c>
      <c r="O60" s="64">
        <f>O59/O58*100</f>
        <v>7.2243346007604554</v>
      </c>
      <c r="P60" s="135" t="str">
        <f t="shared" si="11"/>
        <v>NM</v>
      </c>
      <c r="Q60" s="64">
        <f>Q59/Q58*100</f>
        <v>7.5528700906344408</v>
      </c>
      <c r="R60" s="135">
        <f t="shared" si="12"/>
        <v>48.152451777829427</v>
      </c>
      <c r="S60" s="221">
        <v>10.5</v>
      </c>
      <c r="T60" s="135" t="str">
        <f t="shared" si="13"/>
        <v>NM</v>
      </c>
      <c r="U60" s="221">
        <f>S60</f>
        <v>10.5</v>
      </c>
      <c r="V60" s="135" t="str">
        <f t="shared" si="14"/>
        <v>NM</v>
      </c>
      <c r="W60" s="221">
        <f>U60</f>
        <v>10.5</v>
      </c>
      <c r="X60" s="135">
        <f t="shared" si="15"/>
        <v>45.342105263157919</v>
      </c>
      <c r="Y60" s="221">
        <f>W60</f>
        <v>10.5</v>
      </c>
      <c r="Z60" s="135">
        <f t="shared" si="16"/>
        <v>39.02000000000001</v>
      </c>
      <c r="AA60" s="54"/>
      <c r="AB60" s="185"/>
      <c r="AC60" s="56"/>
      <c r="AD60" s="64">
        <f>AD59/AD58*100</f>
        <v>3.4802784222737819</v>
      </c>
      <c r="AE60" s="61"/>
      <c r="AF60" s="64">
        <f>AF59/AF58*100</f>
        <v>2.5773195876288657</v>
      </c>
      <c r="AG60" s="25">
        <f t="shared" si="17"/>
        <v>-25.945017182130591</v>
      </c>
      <c r="AH60" s="64">
        <f>AH59/AH58*100</f>
        <v>3.391959798994975</v>
      </c>
      <c r="AI60" s="25">
        <f t="shared" si="18"/>
        <v>31.60804020100505</v>
      </c>
      <c r="AJ60" s="64">
        <f>AJ59/AJ58*100</f>
        <v>-6.1635392411998362</v>
      </c>
      <c r="AK60" s="25" t="str">
        <f t="shared" si="19"/>
        <v>NM</v>
      </c>
      <c r="AL60" s="64">
        <f>AL59/AL58*100</f>
        <v>5.5363321799307963</v>
      </c>
      <c r="AM60" s="25" t="str">
        <f t="shared" si="20"/>
        <v>NM</v>
      </c>
      <c r="AN60" s="64">
        <f>AN59/AN58*100</f>
        <v>10.500000000000004</v>
      </c>
      <c r="AO60" s="25">
        <f t="shared" si="21"/>
        <v>89.656250000000057</v>
      </c>
      <c r="AP60" s="221">
        <f>AN60</f>
        <v>10.500000000000004</v>
      </c>
      <c r="AQ60" s="25">
        <f t="shared" si="21"/>
        <v>0</v>
      </c>
      <c r="AR60" s="221">
        <f>AP60</f>
        <v>10.500000000000004</v>
      </c>
      <c r="AS60" s="25">
        <f t="shared" si="21"/>
        <v>0</v>
      </c>
      <c r="AT60" s="221">
        <f>AR60</f>
        <v>10.500000000000004</v>
      </c>
      <c r="AU60" s="25">
        <f t="shared" si="22"/>
        <v>0</v>
      </c>
      <c r="AV60" s="221">
        <f>AT60</f>
        <v>10.500000000000004</v>
      </c>
      <c r="AW60" s="25">
        <f t="shared" si="23"/>
        <v>0</v>
      </c>
      <c r="AX60" s="63">
        <f t="shared" si="24"/>
        <v>13.656278551639755</v>
      </c>
      <c r="AY60" s="58"/>
      <c r="AZ60" s="59"/>
      <c r="BA60"/>
      <c r="BB60"/>
      <c r="BC60"/>
      <c r="BD60"/>
      <c r="BE60"/>
      <c r="BF60"/>
      <c r="BG60" s="31"/>
      <c r="BH60" s="54"/>
      <c r="BI60" s="54"/>
      <c r="BJ60" s="54"/>
      <c r="BK60" s="54"/>
      <c r="BL60" s="54"/>
      <c r="BM60" s="54"/>
      <c r="BN60" s="24"/>
    </row>
    <row r="61" spans="1:66" s="436" customFormat="1" ht="12.75" customHeight="1">
      <c r="A61" s="220"/>
      <c r="B61" s="202" t="s">
        <v>161</v>
      </c>
      <c r="C61" s="117">
        <f>C58-C59</f>
        <v>195</v>
      </c>
      <c r="D61" s="214"/>
      <c r="E61" s="117">
        <f>E58-E59</f>
        <v>196</v>
      </c>
      <c r="F61" s="214"/>
      <c r="G61" s="117">
        <f>G58-G59</f>
        <v>142.10000000000002</v>
      </c>
      <c r="H61" s="214"/>
      <c r="I61" s="117">
        <f>I58-I59</f>
        <v>242</v>
      </c>
      <c r="J61" s="103"/>
      <c r="K61" s="117">
        <f>K58-K59</f>
        <v>275</v>
      </c>
      <c r="L61" s="135">
        <f t="shared" si="9"/>
        <v>41.025641025641036</v>
      </c>
      <c r="M61" s="117">
        <f>M58-M59</f>
        <v>267</v>
      </c>
      <c r="N61" s="135">
        <f t="shared" si="10"/>
        <v>36.224489795918366</v>
      </c>
      <c r="O61" s="117">
        <f>O58-O59</f>
        <v>244</v>
      </c>
      <c r="P61" s="135">
        <f t="shared" si="11"/>
        <v>71.710063335679067</v>
      </c>
      <c r="Q61" s="117">
        <f>Q58-Q59</f>
        <v>306</v>
      </c>
      <c r="R61" s="135">
        <f t="shared" si="12"/>
        <v>26.446280991735538</v>
      </c>
      <c r="S61" s="117">
        <f>S58-S59</f>
        <v>244.78720656558761</v>
      </c>
      <c r="T61" s="135">
        <f t="shared" si="13"/>
        <v>-10.986470339786326</v>
      </c>
      <c r="U61" s="117">
        <f>U58-U59</f>
        <v>251.0738140625586</v>
      </c>
      <c r="V61" s="135">
        <f t="shared" si="14"/>
        <v>-5.9648636469817991</v>
      </c>
      <c r="W61" s="117">
        <f>W58-W59</f>
        <v>271.56865950013935</v>
      </c>
      <c r="X61" s="135">
        <f t="shared" si="15"/>
        <v>11.298630942680067</v>
      </c>
      <c r="Y61" s="117">
        <f>Y58-Y59</f>
        <v>276.81832708644913</v>
      </c>
      <c r="Z61" s="135">
        <f t="shared" si="16"/>
        <v>-9.5364944161930971</v>
      </c>
      <c r="AA61" s="220"/>
      <c r="AB61" s="216"/>
      <c r="AC61" s="117"/>
      <c r="AD61" s="117">
        <f>AD58-AD59</f>
        <v>416</v>
      </c>
      <c r="AE61" s="103"/>
      <c r="AF61" s="117">
        <f>AF58-AF59</f>
        <v>756</v>
      </c>
      <c r="AG61" s="25">
        <f t="shared" si="17"/>
        <v>81.730769230769226</v>
      </c>
      <c r="AH61" s="117">
        <f>AH58-AH59</f>
        <v>769</v>
      </c>
      <c r="AI61" s="25">
        <f t="shared" si="18"/>
        <v>1.7195767195767209</v>
      </c>
      <c r="AJ61" s="117">
        <f>AJ58-AJ59</f>
        <v>775.09999999999991</v>
      </c>
      <c r="AK61" s="25">
        <f t="shared" si="19"/>
        <v>0.79323797139141394</v>
      </c>
      <c r="AL61" s="117">
        <f>AL58-AL59</f>
        <v>1092</v>
      </c>
      <c r="AM61" s="25">
        <f t="shared" si="20"/>
        <v>40.885047090698002</v>
      </c>
      <c r="AN61" s="117">
        <f>AN58-AN59</f>
        <v>1044.2480072147341</v>
      </c>
      <c r="AO61" s="25">
        <f t="shared" si="21"/>
        <v>-4.372893112203835</v>
      </c>
      <c r="AP61" s="117">
        <f>AP58-AP59</f>
        <v>1174.6051409272652</v>
      </c>
      <c r="AQ61" s="25">
        <f t="shared" si="21"/>
        <v>12.483350009948847</v>
      </c>
      <c r="AR61" s="117">
        <f>AR58-AR59</f>
        <v>1302.3296543626054</v>
      </c>
      <c r="AS61" s="25">
        <f t="shared" si="21"/>
        <v>10.873825508247915</v>
      </c>
      <c r="AT61" s="117">
        <f>AT58-AT59</f>
        <v>1375.0795881641639</v>
      </c>
      <c r="AU61" s="25">
        <f t="shared" si="22"/>
        <v>5.5861381607841931</v>
      </c>
      <c r="AV61" s="117">
        <f>AV58-AV59</f>
        <v>1459.7953326064794</v>
      </c>
      <c r="AW61" s="25">
        <f t="shared" si="23"/>
        <v>6.1607884497374865</v>
      </c>
      <c r="AX61" s="63">
        <f t="shared" si="24"/>
        <v>5.9775478640209156</v>
      </c>
      <c r="AY61" s="118"/>
      <c r="AZ61" s="211"/>
      <c r="BA61"/>
      <c r="BB61"/>
      <c r="BC61"/>
      <c r="BD61"/>
      <c r="BE61"/>
      <c r="BF61"/>
      <c r="BG61" s="210"/>
      <c r="BH61" s="220"/>
      <c r="BI61" s="220"/>
      <c r="BJ61" s="220"/>
      <c r="BK61" s="220"/>
      <c r="BL61" s="220"/>
      <c r="BM61" s="220"/>
      <c r="BN61" s="24"/>
    </row>
    <row r="62" spans="1:66" s="248" customFormat="1" ht="12.75" customHeight="1">
      <c r="A62" s="54"/>
      <c r="B62" s="203" t="s">
        <v>162</v>
      </c>
      <c r="C62" s="206">
        <v>12</v>
      </c>
      <c r="D62" s="206"/>
      <c r="E62" s="206">
        <v>12</v>
      </c>
      <c r="F62" s="206"/>
      <c r="G62" s="206">
        <v>-158</v>
      </c>
      <c r="H62" s="206"/>
      <c r="I62" s="206">
        <f>102+11+28</f>
        <v>141</v>
      </c>
      <c r="J62" s="225"/>
      <c r="K62" s="206">
        <f>14+40</f>
        <v>54</v>
      </c>
      <c r="L62" s="225"/>
      <c r="M62" s="206">
        <f>25+16</f>
        <v>41</v>
      </c>
      <c r="N62" s="225"/>
      <c r="O62" s="206">
        <v>-6</v>
      </c>
      <c r="P62" s="225"/>
      <c r="Q62" s="206">
        <v>53</v>
      </c>
      <c r="R62" s="225"/>
      <c r="S62" s="219"/>
      <c r="T62" s="225"/>
      <c r="U62" s="219"/>
      <c r="V62" s="225"/>
      <c r="W62" s="219"/>
      <c r="X62" s="225"/>
      <c r="Y62" s="219"/>
      <c r="Z62" s="225"/>
      <c r="AA62" s="54"/>
      <c r="AB62" s="185"/>
      <c r="AC62" s="56"/>
      <c r="AD62" s="199">
        <v>113</v>
      </c>
      <c r="AE62" s="61"/>
      <c r="AF62" s="199">
        <v>38</v>
      </c>
      <c r="AG62" s="25" t="str">
        <f t="shared" si="17"/>
        <v>NM</v>
      </c>
      <c r="AH62" s="199">
        <v>86</v>
      </c>
      <c r="AI62" s="25" t="str">
        <f t="shared" si="18"/>
        <v>NM</v>
      </c>
      <c r="AJ62" s="209">
        <f>I62+G62+E62+C62</f>
        <v>7</v>
      </c>
      <c r="AK62" s="25" t="str">
        <f t="shared" si="19"/>
        <v>NM</v>
      </c>
      <c r="AL62" s="209">
        <f>K62+M62+O62+Q62</f>
        <v>142</v>
      </c>
      <c r="AM62" s="25" t="str">
        <f t="shared" si="20"/>
        <v>NM</v>
      </c>
      <c r="AN62" s="209">
        <f>S62+U62+W62+Y62</f>
        <v>0</v>
      </c>
      <c r="AO62" s="25" t="str">
        <f t="shared" si="21"/>
        <v>NM</v>
      </c>
      <c r="AP62" s="79"/>
      <c r="AQ62" s="25" t="str">
        <f t="shared" si="21"/>
        <v>NA</v>
      </c>
      <c r="AR62" s="79"/>
      <c r="AS62" s="25" t="str">
        <f t="shared" si="21"/>
        <v>NA</v>
      </c>
      <c r="AT62" s="79"/>
      <c r="AU62" s="25" t="str">
        <f t="shared" si="22"/>
        <v>NA</v>
      </c>
      <c r="AV62" s="79"/>
      <c r="AW62" s="25" t="str">
        <f t="shared" si="23"/>
        <v>NA</v>
      </c>
      <c r="AX62" s="63"/>
      <c r="AY62" s="58"/>
      <c r="AZ62" s="59"/>
      <c r="BA62"/>
      <c r="BB62"/>
      <c r="BC62"/>
      <c r="BD62"/>
      <c r="BE62"/>
      <c r="BF62"/>
      <c r="BG62" s="31"/>
      <c r="BH62" s="54"/>
      <c r="BI62" s="54"/>
      <c r="BJ62" s="54"/>
      <c r="BK62" s="54"/>
      <c r="BL62" s="54"/>
      <c r="BM62" s="54"/>
      <c r="BN62" s="24"/>
    </row>
    <row r="63" spans="1:66" s="436" customFormat="1" ht="12.75" customHeight="1">
      <c r="A63" s="220"/>
      <c r="B63" s="202" t="s">
        <v>163</v>
      </c>
      <c r="C63" s="117">
        <f>C61-C62</f>
        <v>183</v>
      </c>
      <c r="D63" s="214"/>
      <c r="E63" s="117">
        <f>E61-E62</f>
        <v>184</v>
      </c>
      <c r="F63" s="214"/>
      <c r="G63" s="117">
        <f>G61-G62</f>
        <v>300.10000000000002</v>
      </c>
      <c r="H63" s="214"/>
      <c r="I63" s="117">
        <f>I61-I62</f>
        <v>101</v>
      </c>
      <c r="J63" s="103"/>
      <c r="K63" s="117">
        <f>K61-K62</f>
        <v>221</v>
      </c>
      <c r="L63" s="135">
        <f>IF(ISERROR(K63/C63),"NA",IF(OR(K63/C63&gt;2,K63/C63&lt;0.5),"NM",(K63/C63-1)*100))</f>
        <v>20.765027322404372</v>
      </c>
      <c r="M63" s="117">
        <f>M61-M62</f>
        <v>226</v>
      </c>
      <c r="N63" s="135">
        <f>IF(ISERROR(M63/E63),"NA",IF(OR(M63/E63&gt;2,M63/E63&lt;0.5),"NM",(M63/E63-1)*100))</f>
        <v>22.826086956521728</v>
      </c>
      <c r="O63" s="117">
        <f>O61-O62</f>
        <v>250</v>
      </c>
      <c r="P63" s="135">
        <f>IF(ISERROR(O63/G63),"NA",IF(OR(O63/G63&gt;2,O63/G63&lt;0.5),"NM",(O63/G63-1)*100))</f>
        <v>-16.694435188270585</v>
      </c>
      <c r="Q63" s="117">
        <f>Q61-Q62</f>
        <v>253</v>
      </c>
      <c r="R63" s="135" t="str">
        <f>IF(ISERROR(Q63/I63),"NA",IF(OR(Q63/I63&gt;2,Q63/I63&lt;0.5),"NM",(Q63/I63-1)*100))</f>
        <v>NM</v>
      </c>
      <c r="S63" s="117">
        <f>S61-S62</f>
        <v>244.78720656558761</v>
      </c>
      <c r="T63" s="135">
        <f>IF(ISERROR(S63/K63),"NA",IF(OR(S63/K63&gt;2,S63/K63&lt;0.5),"NM",(S63/K63-1)*100))</f>
        <v>10.763441884881274</v>
      </c>
      <c r="U63" s="117">
        <f>U61-U62</f>
        <v>251.0738140625586</v>
      </c>
      <c r="V63" s="135">
        <f>IF(ISERROR(U63/M63),"NA",IF(OR(U63/M63&gt;2,U63/M63&lt;0.5),"NM",(U63/M63-1)*100))</f>
        <v>11.094607992282569</v>
      </c>
      <c r="W63" s="117">
        <f>W61-W62</f>
        <v>271.56865950013935</v>
      </c>
      <c r="X63" s="135">
        <f>IF(ISERROR(W63/O63),"NA",IF(OR(W63/O63&gt;2,W63/O63&lt;0.5),"NM",(W63/O63-1)*100))</f>
        <v>8.6274638000557466</v>
      </c>
      <c r="Y63" s="117">
        <f>Y61-Y62</f>
        <v>276.81832708644913</v>
      </c>
      <c r="Z63" s="135">
        <f>IF(ISERROR(Y63/Q63),"NA",IF(OR(Y63/Q63&gt;2,Y63/Q63&lt;0.5),"NM",(Y63/Q63-1)*100))</f>
        <v>9.4143585321933223</v>
      </c>
      <c r="AA63" s="220"/>
      <c r="AB63" s="216"/>
      <c r="AC63" s="117"/>
      <c r="AD63" s="117">
        <f>AD61-AD62</f>
        <v>303</v>
      </c>
      <c r="AE63" s="103"/>
      <c r="AF63" s="117">
        <f>AF61-AF62</f>
        <v>718</v>
      </c>
      <c r="AG63" s="25" t="str">
        <f t="shared" si="17"/>
        <v>NM</v>
      </c>
      <c r="AH63" s="117">
        <f>AH61-AH62</f>
        <v>683</v>
      </c>
      <c r="AI63" s="25">
        <f t="shared" si="18"/>
        <v>-4.8746518105849628</v>
      </c>
      <c r="AJ63" s="117">
        <f>AJ61-AJ62</f>
        <v>768.09999999999991</v>
      </c>
      <c r="AK63" s="25">
        <f t="shared" si="19"/>
        <v>12.45973645680818</v>
      </c>
      <c r="AL63" s="117">
        <f>AL61-AL62</f>
        <v>950</v>
      </c>
      <c r="AM63" s="25">
        <f t="shared" si="20"/>
        <v>23.681812264028146</v>
      </c>
      <c r="AN63" s="117">
        <f>AN61-AN62</f>
        <v>1044.2480072147341</v>
      </c>
      <c r="AO63" s="25">
        <f t="shared" si="21"/>
        <v>9.9208428647088454</v>
      </c>
      <c r="AP63" s="117">
        <f>AP61-AP62</f>
        <v>1174.6051409272652</v>
      </c>
      <c r="AQ63" s="25">
        <f t="shared" si="21"/>
        <v>12.483350009948847</v>
      </c>
      <c r="AR63" s="117">
        <f>AR61-AR62</f>
        <v>1302.3296543626054</v>
      </c>
      <c r="AS63" s="25">
        <f t="shared" si="21"/>
        <v>10.873825508247915</v>
      </c>
      <c r="AT63" s="117">
        <f>AT61-AT62</f>
        <v>1375.0795881641639</v>
      </c>
      <c r="AU63" s="25">
        <f t="shared" si="22"/>
        <v>5.5861381607841931</v>
      </c>
      <c r="AV63" s="117">
        <f>AV61-AV62</f>
        <v>1459.7953326064794</v>
      </c>
      <c r="AW63" s="25">
        <f t="shared" si="23"/>
        <v>6.1607884497374865</v>
      </c>
      <c r="AX63" s="63">
        <f>IF(ISERROR(((AV63/AL63)^0.2-1)*100),"NA",IF((((AV63/AL63)^0.2-1)*100)&gt;100,"NM",IF((((AV63/AL63)^0.2-1)*100)&lt;-50,"NM",((AV63/AL63)^0.2-1)*100)))</f>
        <v>8.9716866971666356</v>
      </c>
      <c r="AY63" s="118"/>
      <c r="AZ63" s="211"/>
      <c r="BA63"/>
      <c r="BB63"/>
      <c r="BC63"/>
      <c r="BD63"/>
      <c r="BE63"/>
      <c r="BF63"/>
      <c r="BG63" s="210"/>
      <c r="BH63" s="220"/>
      <c r="BI63" s="220"/>
      <c r="BJ63" s="220"/>
      <c r="BK63" s="220"/>
      <c r="BL63" s="220"/>
      <c r="BM63" s="220"/>
      <c r="BN63" s="24"/>
    </row>
    <row r="64" spans="1:66" s="248" customFormat="1" ht="12.75" customHeight="1">
      <c r="A64" s="54"/>
      <c r="B64" s="203" t="s">
        <v>123</v>
      </c>
      <c r="C64" s="134">
        <f>C58-C62/0.65</f>
        <v>190.53846153846155</v>
      </c>
      <c r="D64" s="80"/>
      <c r="E64" s="134">
        <f>E58-E62/0.65</f>
        <v>191.53846153846155</v>
      </c>
      <c r="F64" s="80"/>
      <c r="G64" s="134">
        <f>G58-G62/0.65</f>
        <v>299.17692307692312</v>
      </c>
      <c r="H64" s="80"/>
      <c r="I64" s="134">
        <f>I58-I62/0.65</f>
        <v>38.076923076923094</v>
      </c>
      <c r="J64" s="61"/>
      <c r="K64" s="134">
        <f>K58-K62/0.65</f>
        <v>200.92307692307691</v>
      </c>
      <c r="L64" s="135">
        <f>IF(ISERROR(K64/C64),"NA",IF(OR(K64/C64&gt;2,K64/C64&lt;0.5),"NM",(K64/C64-1)*100))</f>
        <v>5.450141299959621</v>
      </c>
      <c r="M64" s="134">
        <f>M58-M62/0.65</f>
        <v>214.92307692307693</v>
      </c>
      <c r="N64" s="135">
        <f>IF(ISERROR(M64/E64),"NA",IF(OR(M64/E64&gt;2,M64/E64&lt;0.5),"NM",(M64/E64-1)*100))</f>
        <v>12.208835341365454</v>
      </c>
      <c r="O64" s="134">
        <f>O58-O62/0.65</f>
        <v>272.23076923076923</v>
      </c>
      <c r="P64" s="135">
        <f>IF(ISERROR(O64/G64),"NA",IF(OR(O64/G64&gt;2,O64/G64&lt;0.5),"NM",(O64/G64-1)*100))</f>
        <v>-9.0067621422878279</v>
      </c>
      <c r="Q64" s="134">
        <f>Q58-Q62/0.65</f>
        <v>249.46153846153845</v>
      </c>
      <c r="R64" s="135" t="str">
        <f>IF(ISERROR(Q64/I64),"NA",IF(OR(Q64/I64&gt;2,Q64/I64&lt;0.5),"NM",(Q64/I64-1)*100))</f>
        <v>NM</v>
      </c>
      <c r="S64" s="134">
        <f>S58-S62/0.65</f>
        <v>273.50525873250012</v>
      </c>
      <c r="T64" s="135">
        <f>IF(ISERROR(S64/K64),"NA",IF(OR(S64/K64&gt;2,S64/K64&lt;0.5),"NM",(S64/K64-1)*100))</f>
        <v>36.12436307513407</v>
      </c>
      <c r="U64" s="134">
        <f>U58-U62/0.65</f>
        <v>280.52940118721631</v>
      </c>
      <c r="V64" s="135">
        <f>IF(ISERROR(U64/M64),"NA",IF(OR(U64/M64&gt;2,U64/M64&lt;0.5),"NM",(U64/M64-1)*100))</f>
        <v>30.525490888826479</v>
      </c>
      <c r="W64" s="134">
        <f>W58-W62/0.65</f>
        <v>303.42866983255794</v>
      </c>
      <c r="X64" s="135">
        <f>IF(ISERROR(W64/O64),"NA",IF(OR(W64/O64&gt;2,W64/O64&lt;0.5),"NM",(W64/O64-1)*100))</f>
        <v>11.460093467738153</v>
      </c>
      <c r="Y64" s="134">
        <f>Y58-Y62/0.65</f>
        <v>309.29422020832305</v>
      </c>
      <c r="Z64" s="135">
        <f>IF(ISERROR(Y64/Q64),"NA",IF(OR(Y64/Q64&gt;2,Y64/Q64&lt;0.5),"NM",(Y64/Q64-1)*100))</f>
        <v>23.984732121745299</v>
      </c>
      <c r="AA64" s="54"/>
      <c r="AB64" s="185"/>
      <c r="AC64" s="56"/>
      <c r="AD64" s="134">
        <f>AD58-AD62/0.65</f>
        <v>257.15384615384619</v>
      </c>
      <c r="AE64" s="61"/>
      <c r="AF64" s="134">
        <f>AF58-AF62/0.65</f>
        <v>717.53846153846155</v>
      </c>
      <c r="AG64" s="25" t="str">
        <f t="shared" si="17"/>
        <v>NM</v>
      </c>
      <c r="AH64" s="134">
        <f>AH58-AH62/0.65</f>
        <v>663.69230769230774</v>
      </c>
      <c r="AI64" s="25">
        <f t="shared" si="18"/>
        <v>-7.5042881646655175</v>
      </c>
      <c r="AJ64" s="134">
        <f>AJ58-AJ62/0.65</f>
        <v>719.33076923076919</v>
      </c>
      <c r="AK64" s="25">
        <f t="shared" si="19"/>
        <v>8.3831710709318266</v>
      </c>
      <c r="AL64" s="134">
        <f>AL58-AL62/0.65</f>
        <v>937.53846153846155</v>
      </c>
      <c r="AM64" s="25">
        <f t="shared" si="20"/>
        <v>30.334819757680755</v>
      </c>
      <c r="AN64" s="134">
        <f>AN58-AN62/0.65</f>
        <v>1166.7575499605969</v>
      </c>
      <c r="AO64" s="25">
        <f t="shared" si="21"/>
        <v>24.449033061107308</v>
      </c>
      <c r="AP64" s="134">
        <f>AP58-AP62/0.65</f>
        <v>1312.4079786896818</v>
      </c>
      <c r="AQ64" s="25">
        <f t="shared" si="21"/>
        <v>12.483350009948847</v>
      </c>
      <c r="AR64" s="134">
        <f>AR58-AR62/0.65</f>
        <v>1455.1169322487212</v>
      </c>
      <c r="AS64" s="25">
        <f t="shared" si="21"/>
        <v>10.873825508247915</v>
      </c>
      <c r="AT64" s="134">
        <f>AT58-AT62/0.65</f>
        <v>1536.4017744850994</v>
      </c>
      <c r="AU64" s="25">
        <f t="shared" si="22"/>
        <v>5.5861381607841931</v>
      </c>
      <c r="AV64" s="134">
        <f>AV58-AV62/0.65</f>
        <v>1631.056237549139</v>
      </c>
      <c r="AW64" s="25">
        <f t="shared" si="23"/>
        <v>6.1607884497374865</v>
      </c>
      <c r="AX64" s="63">
        <f>IF(ISERROR(((AV64/AL64)^0.2-1)*100),"NA",IF((((AV64/AL64)^0.2-1)*100)&gt;100,"NM",IF((((AV64/AL64)^0.2-1)*100)&lt;-50,"NM",((AV64/AL64)^0.2-1)*100)))</f>
        <v>11.711007445972911</v>
      </c>
      <c r="AY64" s="58"/>
      <c r="AZ64" s="59"/>
      <c r="BA64"/>
      <c r="BB64"/>
      <c r="BC64"/>
      <c r="BD64"/>
      <c r="BE64"/>
      <c r="BF64"/>
      <c r="BG64" s="31"/>
      <c r="BH64" s="54"/>
      <c r="BI64" s="54"/>
      <c r="BJ64" s="54"/>
      <c r="BK64" s="54"/>
      <c r="BL64" s="54"/>
      <c r="BM64" s="54"/>
      <c r="BN64" s="24"/>
    </row>
    <row r="65" spans="1:66" s="436" customFormat="1" ht="12.75" customHeight="1">
      <c r="A65" s="220"/>
      <c r="B65" s="217"/>
      <c r="C65" s="117"/>
      <c r="D65" s="214"/>
      <c r="E65" s="117"/>
      <c r="F65" s="214"/>
      <c r="G65" s="117"/>
      <c r="H65" s="214"/>
      <c r="I65" s="117"/>
      <c r="J65" s="103"/>
      <c r="K65" s="117"/>
      <c r="L65" s="135"/>
      <c r="M65" s="117"/>
      <c r="N65" s="135"/>
      <c r="O65" s="117"/>
      <c r="P65" s="135"/>
      <c r="Q65" s="117"/>
      <c r="R65" s="135"/>
      <c r="S65" s="117"/>
      <c r="T65" s="135"/>
      <c r="U65" s="117"/>
      <c r="V65" s="135"/>
      <c r="W65" s="117"/>
      <c r="X65" s="135"/>
      <c r="Y65" s="117"/>
      <c r="Z65" s="135"/>
      <c r="AA65" s="220"/>
      <c r="AB65" s="216"/>
      <c r="AC65" s="117"/>
      <c r="AD65" s="117"/>
      <c r="AE65" s="103"/>
      <c r="AF65" s="117"/>
      <c r="AG65" s="25"/>
      <c r="AH65" s="117"/>
      <c r="AI65" s="25"/>
      <c r="AJ65" s="117"/>
      <c r="AK65" s="25"/>
      <c r="AL65" s="117"/>
      <c r="AM65" s="25"/>
      <c r="AN65" s="117"/>
      <c r="AO65" s="25"/>
      <c r="AP65" s="117"/>
      <c r="AQ65" s="25"/>
      <c r="AR65" s="117"/>
      <c r="AS65" s="25"/>
      <c r="AT65" s="117"/>
      <c r="AU65" s="25"/>
      <c r="AV65" s="117"/>
      <c r="AW65" s="25"/>
      <c r="AX65" s="63"/>
      <c r="AY65" s="118"/>
      <c r="AZ65" s="211"/>
      <c r="BA65"/>
      <c r="BB65"/>
      <c r="BC65"/>
      <c r="BD65"/>
      <c r="BE65"/>
      <c r="BF65"/>
      <c r="BG65" s="210"/>
      <c r="BH65" s="220"/>
      <c r="BI65" s="220"/>
      <c r="BJ65" s="220"/>
      <c r="BK65" s="220"/>
      <c r="BL65" s="220"/>
      <c r="BM65" s="220"/>
      <c r="BN65" s="24"/>
    </row>
    <row r="66" spans="1:66" s="248" customFormat="1" ht="12.75" customHeight="1">
      <c r="A66" s="54"/>
      <c r="B66" s="207" t="s">
        <v>147</v>
      </c>
      <c r="C66" s="90"/>
      <c r="D66" s="61"/>
      <c r="E66" s="90"/>
      <c r="F66" s="61"/>
      <c r="G66" s="90"/>
      <c r="H66" s="61"/>
      <c r="I66" s="90"/>
      <c r="J66" s="61"/>
      <c r="K66" s="431"/>
      <c r="L66" s="61"/>
      <c r="M66" s="431"/>
      <c r="N66" s="61"/>
      <c r="O66" s="431"/>
      <c r="P66" s="61"/>
      <c r="Q66" s="431"/>
      <c r="R66" s="61"/>
      <c r="S66" s="90"/>
      <c r="T66" s="61"/>
      <c r="U66" s="90"/>
      <c r="V66" s="61"/>
      <c r="W66" s="90"/>
      <c r="X66" s="61"/>
      <c r="Y66" s="90"/>
      <c r="Z66" s="61"/>
      <c r="AA66" s="54"/>
      <c r="AB66" s="180"/>
      <c r="AC66" s="64"/>
      <c r="AD66" s="90"/>
      <c r="AE66" s="61"/>
      <c r="AF66" s="90"/>
      <c r="AG66" s="61"/>
      <c r="AH66" s="90"/>
      <c r="AI66" s="61"/>
      <c r="AJ66" s="69"/>
      <c r="AK66" s="61"/>
      <c r="AL66" s="69"/>
      <c r="AM66" s="61"/>
      <c r="AN66" s="69"/>
      <c r="AO66" s="61"/>
      <c r="AP66" s="66"/>
      <c r="AQ66" s="61"/>
      <c r="AR66" s="66"/>
      <c r="AS66" s="61"/>
      <c r="AT66" s="66"/>
      <c r="AU66" s="61"/>
      <c r="AV66" s="66"/>
      <c r="AW66" s="61"/>
      <c r="AX66" s="63"/>
      <c r="AY66" s="58"/>
      <c r="AZ66" s="59"/>
      <c r="BA66"/>
      <c r="BB66"/>
      <c r="BC66"/>
      <c r="BD66"/>
      <c r="BE66"/>
      <c r="BF66"/>
      <c r="BG66" s="31"/>
      <c r="BH66" s="54"/>
      <c r="BI66" s="54"/>
      <c r="BJ66" s="54"/>
      <c r="BK66" s="54"/>
      <c r="BL66" s="54"/>
      <c r="BM66" s="54"/>
      <c r="BN66" s="24"/>
    </row>
    <row r="67" spans="1:66" s="437" customFormat="1" ht="12.75" customHeight="1">
      <c r="A67" s="70"/>
      <c r="B67" s="205" t="s">
        <v>148</v>
      </c>
      <c r="C67" s="268">
        <f>C50/C41*400</f>
        <v>4.5225352355056874</v>
      </c>
      <c r="D67" s="269"/>
      <c r="E67" s="268">
        <f>E50/E41*400</f>
        <v>4.2862197361548695</v>
      </c>
      <c r="F67" s="269"/>
      <c r="G67" s="268">
        <f>G50/G41*400</f>
        <v>4.345549738219896</v>
      </c>
      <c r="H67" s="271"/>
      <c r="I67" s="268">
        <f>I50/I41*400</f>
        <v>4.4702093397745575</v>
      </c>
      <c r="J67" s="271"/>
      <c r="K67" s="268">
        <f>K50/K41*400</f>
        <v>4.5219268997491344</v>
      </c>
      <c r="L67" s="135">
        <f>IF(ISERROR(K67/C67),"NA",IF(OR(K67/C67&gt;2,K67/C67&lt;0.5),"NM",(K67/C67-1)*100))</f>
        <v>-1.3451210988402185E-2</v>
      </c>
      <c r="M67" s="268">
        <f>M50/M41*400</f>
        <v>4.5508428912323913</v>
      </c>
      <c r="N67" s="135">
        <f>IF(ISERROR(M67/E67),"NA",IF(OR(M67/E67&gt;2,M67/E67&lt;0.5),"NM",(M67/E67-1)*100))</f>
        <v>6.173812155391567</v>
      </c>
      <c r="O67" s="268">
        <f>O50/O41*400</f>
        <v>4.4351838071141545</v>
      </c>
      <c r="P67" s="135">
        <f>IF(ISERROR(O67/G67),"NA",IF(OR(O67/G67&gt;2,O67/G67&lt;0.5),"NM",(O67/G67-1)*100))</f>
        <v>2.0626635131088422</v>
      </c>
      <c r="Q67" s="268">
        <f>Q50/Q41*400</f>
        <v>4.4310518008322575</v>
      </c>
      <c r="R67" s="135">
        <f>IF(ISERROR(Q67/I67),"NA",IF(OR(Q67/I67&gt;2,Q67/I67&lt;0.5),"NM",(Q67/I67-1)*100))</f>
        <v>-0.87596655919194299</v>
      </c>
      <c r="S67" s="270">
        <v>4.45</v>
      </c>
      <c r="T67" s="135">
        <f>IF(ISERROR(S67/K67),"NA",IF(OR(S67/K67&gt;2,S67/K67&lt;0.5),"NM",(S67/K67-1)*100))</f>
        <v>-1.59062499999999</v>
      </c>
      <c r="U67" s="270">
        <f>S67</f>
        <v>4.45</v>
      </c>
      <c r="V67" s="135">
        <f>IF(ISERROR(U67/M67),"NA",IF(OR(U67/M67&gt;2,U67/M67&lt;0.5),"NM",(U67/M67-1)*100))</f>
        <v>-2.2159167794316481</v>
      </c>
      <c r="W67" s="270">
        <v>4.25</v>
      </c>
      <c r="X67" s="135">
        <f>IF(ISERROR(W67/O67),"NA",IF(OR(W67/O67&gt;2,W67/O67&lt;0.5),"NM",(W67/O67-1)*100))</f>
        <v>-4.175335570469807</v>
      </c>
      <c r="Y67" s="270">
        <f>W67</f>
        <v>4.25</v>
      </c>
      <c r="Z67" s="135">
        <f>IF(ISERROR(Y67/Q67),"NA",IF(OR(Y67/Q67&gt;2,Y67/Q67&lt;0.5),"NM",(Y67/Q67-1)*100))</f>
        <v>-4.0859779792746131</v>
      </c>
      <c r="AA67" s="70"/>
      <c r="AB67" s="180"/>
      <c r="AC67" s="71"/>
      <c r="AD67" s="275">
        <f>AD50/AD41*100</f>
        <v>4.3054427294882212</v>
      </c>
      <c r="AE67" s="73"/>
      <c r="AF67" s="275">
        <f>AF50/AF41*100</f>
        <v>3.9906651108518085</v>
      </c>
      <c r="AG67" s="25">
        <f>IF(ISERROR(AF67/AD67),"NA",IF(OR(AF67/AD67&gt;2,AF67/AD67&lt;0.5),"NM",(AF67/AD67-1)*100))</f>
        <v>-7.3111556328570586</v>
      </c>
      <c r="AH67" s="275">
        <f>AH50/AH41*100</f>
        <v>4.1638057008045921</v>
      </c>
      <c r="AI67" s="25">
        <f>IF(ISERROR(AH67/AF67),"NA",IF(OR(AH67/AF67&gt;2,AH67/AF67&lt;0.5),"NM",(AH67/AF67-1)*100))</f>
        <v>4.3386399295185729</v>
      </c>
      <c r="AJ67" s="275">
        <f>AJ50/AJ41*100</f>
        <v>4.4058134800275885</v>
      </c>
      <c r="AK67" s="25">
        <f>IF(ISERROR(AJ67/AH67),"NA",IF(OR(AJ67/AH67&gt;2,AJ67/AH67&lt;0.5),"NM",(AJ67/AH67-1)*100))</f>
        <v>5.8121775273094922</v>
      </c>
      <c r="AL67" s="275">
        <f>AL50/AL41*100</f>
        <v>4.4830958737543289</v>
      </c>
      <c r="AM67" s="25">
        <f>IF(ISERROR(AL67/AJ67),"NA",IF(OR(AL67/AJ67&gt;2,AL67/AJ67&lt;0.5),"NM",(AL67/AJ67-1)*100))</f>
        <v>1.7541004419972861</v>
      </c>
      <c r="AN67" s="275">
        <f>AN50/AN41*100</f>
        <v>4.3370400776092728</v>
      </c>
      <c r="AO67" s="25">
        <f>IF(ISERROR(AN67/AL67),"NA",IF(OR(AN67/AL67&gt;2,AN67/AL67&lt;0.5),"NM",(AN67/AL67-1)*100))</f>
        <v>-3.2579226556389229</v>
      </c>
      <c r="AP67" s="219">
        <v>4.3</v>
      </c>
      <c r="AQ67" s="25">
        <f>IF(ISERROR(AP67/AN67),"NA",IF(OR(AP67/AN67&gt;2,AP67/AN67&lt;0.5),"NM",(AP67/AN67-1)*100))</f>
        <v>-0.85404047337489519</v>
      </c>
      <c r="AR67" s="219">
        <v>4.3499999999999996</v>
      </c>
      <c r="AS67" s="25">
        <f>IF(ISERROR(AR67/AP67),"NA",IF(OR(AR67/AP67&gt;2,AR67/AP67&lt;0.5),"NM",(AR67/AP67-1)*100))</f>
        <v>1.1627906976744207</v>
      </c>
      <c r="AT67" s="219">
        <f>AR67</f>
        <v>4.3499999999999996</v>
      </c>
      <c r="AU67" s="25">
        <f>IF(ISERROR(AT67/AR67),"NA",IF(OR(AT67/AR67&gt;2,AT67/AR67&lt;0.5),"NM",(AT67/AR67-1)*100))</f>
        <v>0</v>
      </c>
      <c r="AV67" s="219">
        <f>AT67</f>
        <v>4.3499999999999996</v>
      </c>
      <c r="AW67" s="25">
        <f>IF(ISERROR(AV67/AT67),"NA",IF(OR(AV67/AT67&gt;2,AV67/AT67&lt;0.5),"NM",(AV67/AT67-1)*100))</f>
        <v>0</v>
      </c>
      <c r="AX67" s="63">
        <f>IF(ISERROR(((AV67/AL67)^0.2-1)*100),"NA",IF((((AV67/AL67)^0.2-1)*100)&gt;100,"NM",IF((((AV67/AL67)^0.2-1)*100)&lt;-50,"NM",((AV67/AL67)^0.2-1)*100)))</f>
        <v>-0.6009471639084385</v>
      </c>
      <c r="AY67" s="58"/>
      <c r="AZ67" s="75"/>
      <c r="BA67"/>
      <c r="BB67"/>
      <c r="BC67"/>
      <c r="BD67"/>
      <c r="BE67"/>
      <c r="BF67"/>
      <c r="BG67" s="76"/>
      <c r="BH67" s="70"/>
      <c r="BI67" s="70"/>
      <c r="BJ67" s="70"/>
      <c r="BK67" s="70"/>
      <c r="BL67" s="70"/>
      <c r="BM67" s="70"/>
      <c r="BN67" s="24"/>
    </row>
    <row r="68" spans="1:66" s="248" customFormat="1" ht="12.75" customHeight="1">
      <c r="A68" s="54"/>
      <c r="B68" s="205" t="s">
        <v>149</v>
      </c>
      <c r="C68" s="268">
        <f>C51/C42*400</f>
        <v>5.7700466694951205</v>
      </c>
      <c r="D68" s="269"/>
      <c r="E68" s="268">
        <f>E51/E42*400</f>
        <v>11.750305997552021</v>
      </c>
      <c r="F68" s="269"/>
      <c r="G68" s="268">
        <f>G51/G42*400</f>
        <v>14.280047600158669</v>
      </c>
      <c r="H68" s="271"/>
      <c r="I68" s="268">
        <f>I51/I42*400</f>
        <v>16.358631537554068</v>
      </c>
      <c r="J68" s="271"/>
      <c r="K68" s="268">
        <f>K51/K42*400</f>
        <v>10.485736314572089</v>
      </c>
      <c r="L68" s="135">
        <f>IF(ISERROR(K68/C68),"NA",IF(OR(K68/C68&gt;2,K68/C68&lt;0.5),"NM",(K68/C68-1)*100))</f>
        <v>81.727062451811875</v>
      </c>
      <c r="M68" s="268">
        <f>M51/M42*400</f>
        <v>12.509534706331046</v>
      </c>
      <c r="N68" s="135">
        <f>IF(ISERROR(M68/E68),"NA",IF(OR(M68/E68&gt;2,M68/E68&lt;0.5),"NM",(M68/E68-1)*100))</f>
        <v>6.4613526570048263</v>
      </c>
      <c r="O68" s="268">
        <f>O51/O42*400</f>
        <v>9.8581030619865579</v>
      </c>
      <c r="P68" s="135">
        <f>IF(ISERROR(O68/G68),"NA",IF(OR(O68/G68&gt;2,O68/G68&lt;0.5),"NM",(O68/G68-1)*100))</f>
        <v>-30.96589494647748</v>
      </c>
      <c r="Q68" s="268">
        <f>Q51/Q42*400</f>
        <v>7.8702105626510184</v>
      </c>
      <c r="R68" s="135" t="str">
        <f>IF(ISERROR(Q68/I68),"NA",IF(OR(Q68/I68&gt;2,Q68/I68&lt;0.5),"NM",(Q68/I68-1)*100))</f>
        <v>NM</v>
      </c>
      <c r="S68" s="270">
        <v>8</v>
      </c>
      <c r="T68" s="135">
        <f>IF(ISERROR(S68/K68),"NA",IF(OR(S68/K68&gt;2,S68/K68&lt;0.5),"NM",(S68/K68-1)*100))</f>
        <v>-23.705882352941167</v>
      </c>
      <c r="U68" s="270">
        <f>S68</f>
        <v>8</v>
      </c>
      <c r="V68" s="135">
        <f>IF(ISERROR(U68/M68),"NA",IF(OR(U68/M68&gt;2,U68/M68&lt;0.5),"NM",(U68/M68-1)*100))</f>
        <v>-36.048780487804876</v>
      </c>
      <c r="W68" s="270">
        <f>U68</f>
        <v>8</v>
      </c>
      <c r="X68" s="135">
        <f>IF(ISERROR(W68/O68),"NA",IF(OR(W68/O68&gt;2,W68/O68&lt;0.5),"NM",(W68/O68-1)*100))</f>
        <v>-18.848484848484858</v>
      </c>
      <c r="Y68" s="270">
        <f>W68</f>
        <v>8</v>
      </c>
      <c r="Z68" s="135">
        <f>IF(ISERROR(Y68/Q68),"NA",IF(OR(Y68/Q68&gt;2,Y68/Q68&lt;0.5),"NM",(Y68/Q68-1)*100))</f>
        <v>1.6491228070175445</v>
      </c>
      <c r="AA68" s="54"/>
      <c r="AB68" s="180"/>
      <c r="AC68" s="77"/>
      <c r="AD68" s="275">
        <f>AD51/AD42*100</f>
        <v>19.358346927678085</v>
      </c>
      <c r="AE68" s="61"/>
      <c r="AF68" s="275">
        <f>AF51/AF42*100</f>
        <v>9.7797685703620747</v>
      </c>
      <c r="AG68" s="25">
        <f>IF(ISERROR(AF68/AD68),"NA",IF(OR(AF68/AD68&gt;2,AF68/AD68&lt;0.5),"NM",(AF68/AD68-1)*100))</f>
        <v>-49.480352806472318</v>
      </c>
      <c r="AH68" s="275">
        <f>AH51/AH42*100</f>
        <v>9.4075079149706013</v>
      </c>
      <c r="AI68" s="25">
        <f>IF(ISERROR(AH68/AF68),"NA",IF(OR(AH68/AF68&gt;2,AH68/AF68&lt;0.5),"NM",(AH68/AF68-1)*100))</f>
        <v>-3.8064362434876209</v>
      </c>
      <c r="AJ68" s="275">
        <f>AJ51/AJ42*100</f>
        <v>12.155591572123177</v>
      </c>
      <c r="AK68" s="25">
        <f>IF(ISERROR(AJ68/AH68),"NA",IF(OR(AJ68/AH68&gt;2,AJ68/AH68&lt;0.5),"NM",(AJ68/AH68-1)*100))</f>
        <v>29.211600797905501</v>
      </c>
      <c r="AL68" s="275">
        <f>AL51/AL42*100</f>
        <v>10.119544064498193</v>
      </c>
      <c r="AM68" s="25">
        <f>IF(ISERROR(AL68/AJ68),"NA",IF(OR(AL68/AJ68&gt;2,AL68/AJ68&lt;0.5),"NM",(AL68/AJ68-1)*100))</f>
        <v>-16.7498841627282</v>
      </c>
      <c r="AN68" s="275">
        <f>AN51/AN42*100</f>
        <v>8</v>
      </c>
      <c r="AO68" s="25">
        <f>IF(ISERROR(AN68/AL68),"NA",IF(OR(AN68/AL68&gt;2,AN68/AL68&lt;0.5),"NM",(AN68/AL68-1)*100))</f>
        <v>-20.945054945054942</v>
      </c>
      <c r="AP68" s="219">
        <f>AN68</f>
        <v>8</v>
      </c>
      <c r="AQ68" s="25">
        <f>IF(ISERROR(AP68/AN68),"NA",IF(OR(AP68/AN68&gt;2,AP68/AN68&lt;0.5),"NM",(AP68/AN68-1)*100))</f>
        <v>0</v>
      </c>
      <c r="AR68" s="219">
        <f>AP68</f>
        <v>8</v>
      </c>
      <c r="AS68" s="25">
        <f>IF(ISERROR(AR68/AP68),"NA",IF(OR(AR68/AP68&gt;2,AR68/AP68&lt;0.5),"NM",(AR68/AP68-1)*100))</f>
        <v>0</v>
      </c>
      <c r="AT68" s="219">
        <f>AR68</f>
        <v>8</v>
      </c>
      <c r="AU68" s="25">
        <f>IF(ISERROR(AT68/AR68),"NA",IF(OR(AT68/AR68&gt;2,AT68/AR68&lt;0.5),"NM",(AT68/AR68-1)*100))</f>
        <v>0</v>
      </c>
      <c r="AV68" s="219">
        <f>AT68</f>
        <v>8</v>
      </c>
      <c r="AW68" s="25">
        <f>IF(ISERROR(AV68/AT68),"NA",IF(OR(AV68/AT68&gt;2,AV68/AT68&lt;0.5),"NM",(AV68/AT68-1)*100))</f>
        <v>0</v>
      </c>
      <c r="AX68" s="63">
        <f>IF(ISERROR(((AV68/AL68)^0.2-1)*100),"NA",IF((((AV68/AL68)^0.2-1)*100)&gt;100,"NM",IF((((AV68/AL68)^0.2-1)*100)&lt;-50,"NM",((AV68/AL68)^0.2-1)*100)))</f>
        <v>-4.5917767490768036</v>
      </c>
      <c r="AY68" s="58"/>
      <c r="AZ68" s="59"/>
      <c r="BA68"/>
      <c r="BB68"/>
      <c r="BC68"/>
      <c r="BD68"/>
      <c r="BE68"/>
      <c r="BF68"/>
      <c r="BG68" s="31"/>
      <c r="BH68" s="54"/>
      <c r="BI68" s="54"/>
      <c r="BJ68" s="54"/>
      <c r="BK68" s="54"/>
      <c r="BL68" s="54"/>
      <c r="BM68" s="54"/>
      <c r="BN68" s="24"/>
    </row>
    <row r="69" spans="1:66" s="248" customFormat="1" ht="12.75" customHeight="1">
      <c r="A69" s="54"/>
      <c r="B69" s="203" t="s">
        <v>150</v>
      </c>
      <c r="C69" s="273">
        <f>(C67*C41+C68*C42)/C43</f>
        <v>4.5711639599113552</v>
      </c>
      <c r="D69" s="271"/>
      <c r="E69" s="273">
        <f>(E67*E41+E68*E42)/E43</f>
        <v>4.5822276875283157</v>
      </c>
      <c r="F69" s="271"/>
      <c r="G69" s="273">
        <f>(G67*G41+G68*G42)/G43</f>
        <v>4.7390832953599107</v>
      </c>
      <c r="H69" s="271"/>
      <c r="I69" s="273">
        <f>(I67*I41+I68*I42)/I43</f>
        <v>4.9378896400228953</v>
      </c>
      <c r="J69" s="271"/>
      <c r="K69" s="273">
        <f>(K67*K41+K68*K42)/K43</f>
        <v>4.7578382335000606</v>
      </c>
      <c r="L69" s="135">
        <f>IF(ISERROR(K69/C69),"NA",IF(OR(K69/C69&gt;2,K69/C69&lt;0.5),"NM",(K69/C69-1)*100))</f>
        <v>4.0837361167925801</v>
      </c>
      <c r="M69" s="273">
        <f>(M67*M41+M68*M42)/M43</f>
        <v>4.859641594033473</v>
      </c>
      <c r="N69" s="135">
        <f>IF(ISERROR(M69/E69),"NA",IF(OR(M69/E69&gt;2,M69/E69&lt;0.5),"NM",(M69/E69-1)*100))</f>
        <v>6.054127499168338</v>
      </c>
      <c r="O69" s="273">
        <f>(O67*O41+O68*O42)/O43</f>
        <v>4.6430411633365782</v>
      </c>
      <c r="P69" s="135">
        <f>IF(ISERROR(O69/G69),"NA",IF(OR(O69/G69&gt;2,O69/G69&lt;0.5),"NM",(O69/G69-1)*100))</f>
        <v>-2.0265972560002954</v>
      </c>
      <c r="Q69" s="273">
        <f>(Q67*Q41+Q68*Q42)/Q43</f>
        <v>4.5683111300921651</v>
      </c>
      <c r="R69" s="135">
        <f>IF(ISERROR(Q69/I69),"NA",IF(OR(Q69/I69&gt;2,Q69/I69&lt;0.5),"NM",(Q69/I69-1)*100))</f>
        <v>-7.4845437398033177</v>
      </c>
      <c r="S69" s="273">
        <f>(S67*S41+S68*S42)/S43</f>
        <v>4.5920000000000005</v>
      </c>
      <c r="T69" s="135">
        <f>IF(ISERROR(S69/K69),"NA",IF(OR(S69/K69&gt;2,S69/K69&lt;0.5),"NM",(S69/K69-1)*100))</f>
        <v>-3.4855794871794687</v>
      </c>
      <c r="U69" s="273">
        <f>(U67*U41+U68*U42)/U43</f>
        <v>4.5920000000000005</v>
      </c>
      <c r="V69" s="135">
        <f>IF(ISERROR(U69/M69),"NA",IF(OR(U69/M69&gt;2,U69/M69&lt;0.5),"NM",(U69/M69-1)*100))</f>
        <v>-5.5074348355663716</v>
      </c>
      <c r="W69" s="273">
        <f>(W67*W41+W68*W42)/W43</f>
        <v>4.3999999999999995</v>
      </c>
      <c r="X69" s="135">
        <f>IF(ISERROR(W69/O69),"NA",IF(OR(W69/O69&gt;2,W69/O69&lt;0.5),"NM",(W69/O69-1)*100))</f>
        <v>-5.2345252774352868</v>
      </c>
      <c r="Y69" s="273">
        <f>(Y67*Y41+Y68*Y42)/Y43</f>
        <v>4.4000000000000004</v>
      </c>
      <c r="Z69" s="135">
        <f>IF(ISERROR(Y69/Q69),"NA",IF(OR(Y69/Q69&gt;2,Y69/Q69&lt;0.5),"NM",(Y69/Q69-1)*100))</f>
        <v>-3.6843184559710362</v>
      </c>
      <c r="AA69" s="54"/>
      <c r="AB69" s="180"/>
      <c r="AC69" s="56"/>
      <c r="AD69" s="274">
        <f>(AD67*AD41+AD68*AD42)/AD43</f>
        <v>5.4027271285872835</v>
      </c>
      <c r="AE69" s="61"/>
      <c r="AF69" s="274">
        <f>(AF67*AF41+AF68*AF42)/AF43</f>
        <v>4.2563030967388329</v>
      </c>
      <c r="AG69" s="25">
        <f>IF(ISERROR(AF69/AD69),"NA",IF(OR(AF69/AD69&gt;2,AF69/AD69&lt;0.5),"NM",(AF69/AD69-1)*100))</f>
        <v>-21.219358382591867</v>
      </c>
      <c r="AH69" s="274">
        <f>(AH67*AH41+AH68*AH42)/AH43</f>
        <v>4.3602779189967809</v>
      </c>
      <c r="AI69" s="25">
        <f>IF(ISERROR(AH69/AF69),"NA",IF(OR(AH69/AF69&gt;2,AH69/AF69&lt;0.5),"NM",(AH69/AF69-1)*100))</f>
        <v>2.4428434699026225</v>
      </c>
      <c r="AJ69" s="274">
        <f>(AJ67*AJ41+AJ68*AJ42)/AJ43</f>
        <v>4.7111600692864615</v>
      </c>
      <c r="AK69" s="25">
        <f>IF(ISERROR(AJ69/AH69),"NA",IF(OR(AJ69/AH69&gt;2,AJ69/AH69&lt;0.5),"NM",(AJ69/AH69-1)*100))</f>
        <v>8.0472427860839737</v>
      </c>
      <c r="AL69" s="274">
        <f>(AL67*AL41+AL68*AL42)/AL43</f>
        <v>4.7037821833909037</v>
      </c>
      <c r="AM69" s="25">
        <f>IF(ISERROR(AL69/AJ69),"NA",IF(OR(AL69/AJ69&gt;2,AL69/AJ69&lt;0.5),"NM",(AL69/AJ69-1)*100))</f>
        <v>-0.15660444109416582</v>
      </c>
      <c r="AN69" s="274">
        <f>(AN67*AN41+AN68*AN42)/AN43</f>
        <v>4.4835584745049015</v>
      </c>
      <c r="AO69" s="25">
        <f>IF(ISERROR(AN69/AL69),"NA",IF(OR(AN69/AL69&gt;2,AN69/AL69&lt;0.5),"NM",(AN69/AL69-1)*100))</f>
        <v>-4.6818432550642779</v>
      </c>
      <c r="AP69" s="274">
        <f>(AP67*AP41+AP68*AP42)/AP43</f>
        <v>4.4479999999999995</v>
      </c>
      <c r="AQ69" s="25">
        <f>IF(ISERROR(AP69/AN69),"NA",IF(OR(AP69/AN69&gt;2,AP69/AN69&lt;0.5),"NM",(AP69/AN69-1)*100))</f>
        <v>-0.7930859987017036</v>
      </c>
      <c r="AR69" s="274">
        <f>(AR67*AR41+AR68*AR42)/AR43</f>
        <v>4.4959999999999996</v>
      </c>
      <c r="AS69" s="25">
        <f>IF(ISERROR(AR69/AP69),"NA",IF(OR(AR69/AP69&gt;2,AR69/AP69&lt;0.5),"NM",(AR69/AP69-1)*100))</f>
        <v>1.0791366906474753</v>
      </c>
      <c r="AT69" s="274">
        <f>(AT67*AT41+AT68*AT42)/AT43</f>
        <v>4.4960000000000004</v>
      </c>
      <c r="AU69" s="25">
        <f>IF(ISERROR(AT69/AR69),"NA",IF(OR(AT69/AR69&gt;2,AT69/AR69&lt;0.5),"NM",(AT69/AR69-1)*100))</f>
        <v>2.2204460492503131E-14</v>
      </c>
      <c r="AV69" s="274">
        <f>(AV67*AV41+AV68*AV42)/AV43</f>
        <v>4.4959999999999996</v>
      </c>
      <c r="AW69" s="25">
        <f>IF(ISERROR(AV69/AT69),"NA",IF(OR(AV69/AT69&gt;2,AV69/AT69&lt;0.5),"NM",(AV69/AT69-1)*100))</f>
        <v>-2.2204460492503131E-14</v>
      </c>
      <c r="AX69" s="63">
        <f>IF(ISERROR(((AV69/AL69)^0.2-1)*100),"NA",IF((((AV69/AL69)^0.2-1)*100)&gt;100,"NM",IF((((AV69/AL69)^0.2-1)*100)&lt;-50,"NM",((AV69/AL69)^0.2-1)*100)))</f>
        <v>-0.89950586874329996</v>
      </c>
      <c r="AY69" s="58"/>
      <c r="AZ69" s="59"/>
      <c r="BA69"/>
      <c r="BB69"/>
      <c r="BC69"/>
      <c r="BD69"/>
      <c r="BE69"/>
      <c r="BF69"/>
      <c r="BG69" s="31"/>
      <c r="BH69" s="54"/>
      <c r="BI69" s="54"/>
      <c r="BJ69" s="54"/>
      <c r="BK69" s="54"/>
      <c r="BL69" s="54"/>
      <c r="BM69" s="54"/>
      <c r="BN69" s="24"/>
    </row>
    <row r="70" spans="1:66" s="248" customFormat="1" ht="12.75" customHeight="1">
      <c r="A70" s="54"/>
      <c r="B70" s="203" t="s">
        <v>157</v>
      </c>
      <c r="C70" s="222">
        <f>C54/C44*400</f>
        <v>1.9593613933236573</v>
      </c>
      <c r="D70" s="224"/>
      <c r="E70" s="222">
        <f>E54/E44*400</f>
        <v>1.9914595509376785</v>
      </c>
      <c r="F70" s="224"/>
      <c r="G70" s="222">
        <f>G54/G44*400</f>
        <v>1.9643906786249266</v>
      </c>
      <c r="H70" s="225"/>
      <c r="I70" s="222">
        <f>I54/I44*400</f>
        <v>1.9426763309908386</v>
      </c>
      <c r="J70" s="225"/>
      <c r="K70" s="222">
        <f>K54/K44*400</f>
        <v>1.9073865902745042</v>
      </c>
      <c r="L70" s="135">
        <f>IF(ISERROR(K70/C70),"NA",IF(OR(K70/C70&gt;2,K70/C70&lt;0.5),"NM",(K70/C70-1)*100))</f>
        <v>-2.652639948212332</v>
      </c>
      <c r="M70" s="222">
        <f>M54/M44*400</f>
        <v>1.8856806128461991</v>
      </c>
      <c r="N70" s="135">
        <f>IF(ISERROR(M70/E70),"NA",IF(OR(M70/E70&gt;2,M70/E70&lt;0.5),"NM",(M70/E70-1)*100))</f>
        <v>-5.3116287519710532</v>
      </c>
      <c r="O70" s="222">
        <f>O54/O44*400</f>
        <v>1.8790534618755479</v>
      </c>
      <c r="P70" s="135">
        <f>IF(ISERROR(O70/G70),"NA",IF(OR(O70/G70&gt;2,O70/G70&lt;0.5),"NM",(O70/G70-1)*100))</f>
        <v>-4.3442079866269134</v>
      </c>
      <c r="Q70" s="222">
        <f>Q54/Q44*400</f>
        <v>1.8679027449899195</v>
      </c>
      <c r="R70" s="135">
        <f>IF(ISERROR(Q70/I70),"NA",IF(OR(Q70/I70&gt;2,Q70/I70&lt;0.5),"NM",(Q70/I70-1)*100))</f>
        <v>-3.8489986627253447</v>
      </c>
      <c r="S70" s="219">
        <v>1.9</v>
      </c>
      <c r="T70" s="135">
        <f>IF(ISERROR(S70/K70),"NA",IF(OR(S70/K70&gt;2,S70/K70&lt;0.5),"NM",(S70/K70-1)*100))</f>
        <v>-0.38726235741445292</v>
      </c>
      <c r="U70" s="219">
        <f>S70</f>
        <v>1.9</v>
      </c>
      <c r="V70" s="135">
        <f>IF(ISERROR(U70/M70),"NA",IF(OR(U70/M70&gt;2,U70/M70&lt;0.5),"NM",(U70/M70-1)*100))</f>
        <v>0.75937500000000657</v>
      </c>
      <c r="W70" s="219">
        <f>U70</f>
        <v>1.9</v>
      </c>
      <c r="X70" s="135">
        <f>IF(ISERROR(W70/O70),"NA",IF(OR(W70/O70&gt;2,W70/O70&lt;0.5),"NM",(W70/O70-1)*100))</f>
        <v>1.114738805970128</v>
      </c>
      <c r="Y70" s="219">
        <f>W70</f>
        <v>1.9</v>
      </c>
      <c r="Z70" s="135">
        <f>IF(ISERROR(Y70/Q70),"NA",IF(OR(Y70/Q70&gt;2,Y70/Q70&lt;0.5),"NM",(Y70/Q70-1)*100))</f>
        <v>1.7183579335793286</v>
      </c>
      <c r="AA70" s="54"/>
      <c r="AB70" s="185"/>
      <c r="AC70" s="56"/>
      <c r="AD70" s="222">
        <f>AD54/AD44*100</f>
        <v>2.4184809378386367</v>
      </c>
      <c r="AE70" s="61"/>
      <c r="AF70" s="222">
        <f>AF54/AF44*100</f>
        <v>1.9375271688505249</v>
      </c>
      <c r="AG70" s="25">
        <f>IF(ISERROR(AF70/AD70),"NA",IF(OR(AF70/AD70&gt;2,AF70/AD70&lt;0.5),"NM",(AF70/AD70-1)*100))</f>
        <v>-19.886605739300698</v>
      </c>
      <c r="AH70" s="222">
        <f>AH54/AH44*100</f>
        <v>1.9215044971381847</v>
      </c>
      <c r="AI70" s="25">
        <f>IF(ISERROR(AH70/AF70),"NA",IF(OR(AH70/AF70&gt;2,AH70/AF70&lt;0.5),"NM",(AH70/AF70-1)*100))</f>
        <v>-0.82696500828145503</v>
      </c>
      <c r="AJ70" s="222">
        <f>AJ54/AJ44*100</f>
        <v>1.9641291043841134</v>
      </c>
      <c r="AK70" s="25">
        <f>IF(ISERROR(AJ70/AH70),"NA",IF(OR(AJ70/AH70&gt;2,AJ70/AH70&lt;0.5),"NM",(AJ70/AH70-1)*100))</f>
        <v>2.2182933898625912</v>
      </c>
      <c r="AL70" s="222">
        <f>AL54/AL44*100</f>
        <v>1.8847408481333816</v>
      </c>
      <c r="AM70" s="25">
        <f>IF(ISERROR(AL70/AJ70),"NA",IF(OR(AL70/AJ70&gt;2,AL70/AJ70&lt;0.5),"NM",(AL70/AJ70-1)*100))</f>
        <v>-4.0419062104181442</v>
      </c>
      <c r="AN70" s="222">
        <f>AN54/AN44*100</f>
        <v>1.8999999999999997</v>
      </c>
      <c r="AO70" s="25">
        <f>IF(ISERROR(AN70/AL70),"NA",IF(OR(AN70/AL70&gt;2,AN70/AL70&lt;0.5),"NM",(AN70/AL70-1)*100))</f>
        <v>0.80961538461536975</v>
      </c>
      <c r="AP70" s="219">
        <f>AN70+0.02</f>
        <v>1.9199999999999997</v>
      </c>
      <c r="AQ70" s="25">
        <f>IF(ISERROR(AP70/AN70),"NA",IF(OR(AP70/AN70&gt;2,AP70/AN70&lt;0.5),"NM",(AP70/AN70-1)*100))</f>
        <v>1.0526315789473717</v>
      </c>
      <c r="AR70" s="219">
        <f>AP70-0.002</f>
        <v>1.9179999999999997</v>
      </c>
      <c r="AS70" s="25">
        <f>IF(ISERROR(AR70/AP70),"NA",IF(OR(AR70/AP70&gt;2,AR70/AP70&lt;0.5),"NM",(AR70/AP70-1)*100))</f>
        <v>-0.10416666666667185</v>
      </c>
      <c r="AT70" s="219">
        <f>AR70+0.01</f>
        <v>1.9279999999999997</v>
      </c>
      <c r="AU70" s="25">
        <f>IF(ISERROR(AT70/AR70),"NA",IF(OR(AT70/AR70&gt;2,AT70/AR70&lt;0.5),"NM",(AT70/AR70-1)*100))</f>
        <v>0.52137643378520337</v>
      </c>
      <c r="AV70" s="219">
        <f>AT70+0.005</f>
        <v>1.9329999999999996</v>
      </c>
      <c r="AW70" s="25">
        <f>IF(ISERROR(AV70/AT70),"NA",IF(OR(AV70/AT70&gt;2,AV70/AT70&lt;0.5),"NM",(AV70/AT70-1)*100))</f>
        <v>0.25933609958506132</v>
      </c>
      <c r="AX70" s="63">
        <f>IF(ISERROR(((AV70/AL70)^0.2-1)*100),"NA",IF((((AV70/AL70)^0.2-1)*100)&gt;100,"NM",IF((((AV70/AL70)^0.2-1)*100)&lt;-50,"NM",((AV70/AL70)^0.2-1)*100)))</f>
        <v>0.50693800207812778</v>
      </c>
      <c r="AY70" s="58"/>
      <c r="AZ70" s="59"/>
      <c r="BA70"/>
      <c r="BB70"/>
      <c r="BC70"/>
      <c r="BD70"/>
      <c r="BE70"/>
      <c r="BF70"/>
      <c r="BG70" s="31"/>
      <c r="BH70" s="54"/>
      <c r="BI70" s="54"/>
      <c r="BJ70" s="54"/>
      <c r="BK70" s="54"/>
      <c r="BL70" s="54"/>
      <c r="BM70" s="54"/>
      <c r="BN70" s="24"/>
    </row>
    <row r="71" spans="1:66" s="248" customFormat="1" ht="12.75" customHeight="1">
      <c r="A71" s="54"/>
      <c r="B71" s="203" t="s">
        <v>201</v>
      </c>
      <c r="C71" s="222">
        <f>C69-C70</f>
        <v>2.6118025665876976</v>
      </c>
      <c r="D71" s="224"/>
      <c r="E71" s="222">
        <f>E69-E70</f>
        <v>2.5907681365906372</v>
      </c>
      <c r="F71" s="224"/>
      <c r="G71" s="222">
        <f>G69-G70</f>
        <v>2.7746926167349839</v>
      </c>
      <c r="H71" s="225"/>
      <c r="I71" s="222">
        <f>I69-I70</f>
        <v>2.9952133090320565</v>
      </c>
      <c r="J71" s="225"/>
      <c r="K71" s="222">
        <f>K69-K70</f>
        <v>2.8504516432255564</v>
      </c>
      <c r="L71" s="135"/>
      <c r="M71" s="222">
        <f>M69-M70</f>
        <v>2.9739609811872736</v>
      </c>
      <c r="N71" s="135"/>
      <c r="O71" s="222">
        <f>O69-O70</f>
        <v>2.7639877014610303</v>
      </c>
      <c r="P71" s="135"/>
      <c r="Q71" s="222">
        <f>Q69-Q70</f>
        <v>2.7004083851022456</v>
      </c>
      <c r="R71" s="135"/>
      <c r="S71" s="222">
        <f>S69-S70</f>
        <v>2.6920000000000006</v>
      </c>
      <c r="T71" s="135"/>
      <c r="U71" s="222">
        <f>U69-U70</f>
        <v>2.6920000000000006</v>
      </c>
      <c r="V71" s="135"/>
      <c r="W71" s="222">
        <f>W69-W70</f>
        <v>2.4999999999999996</v>
      </c>
      <c r="X71" s="135"/>
      <c r="Y71" s="222">
        <f>Y69-Y70</f>
        <v>2.5000000000000004</v>
      </c>
      <c r="Z71" s="135"/>
      <c r="AA71" s="54"/>
      <c r="AB71" s="185"/>
      <c r="AC71" s="56"/>
      <c r="AD71" s="222">
        <f>AD69-AD70</f>
        <v>2.9842461907486468</v>
      </c>
      <c r="AE71" s="61"/>
      <c r="AF71" s="222">
        <f>AF69-AF70</f>
        <v>2.318775927888308</v>
      </c>
      <c r="AG71" s="25"/>
      <c r="AH71" s="222">
        <f>AH69-AH70</f>
        <v>2.4387734218585964</v>
      </c>
      <c r="AI71" s="25"/>
      <c r="AJ71" s="222">
        <f>AJ69-AJ70</f>
        <v>2.7470309649023479</v>
      </c>
      <c r="AK71" s="25"/>
      <c r="AL71" s="222">
        <f>AL69-AL70</f>
        <v>2.8190413352575221</v>
      </c>
      <c r="AM71" s="25"/>
      <c r="AN71" s="222">
        <f>AN69-AN70</f>
        <v>2.5835584745049021</v>
      </c>
      <c r="AO71" s="25"/>
      <c r="AP71" s="222">
        <f>AP69-AP70</f>
        <v>2.5279999999999996</v>
      </c>
      <c r="AQ71" s="25"/>
      <c r="AR71" s="222">
        <f>AR69-AR70</f>
        <v>2.5779999999999998</v>
      </c>
      <c r="AS71" s="25"/>
      <c r="AT71" s="222">
        <f>AT69-AT70</f>
        <v>2.5680000000000005</v>
      </c>
      <c r="AU71" s="25"/>
      <c r="AV71" s="222">
        <f>AV69-AV70</f>
        <v>2.5629999999999997</v>
      </c>
      <c r="AW71" s="25"/>
      <c r="AX71" s="63">
        <f>IF(ISERROR(((AV71/AL71)^0.2-1)*100),"NA",IF((((AV71/AL71)^0.2-1)*100)&gt;100,"NM",IF((((AV71/AL71)^0.2-1)*100)&lt;-50,"NM",((AV71/AL71)^0.2-1)*100)))</f>
        <v>-1.8863500178089132</v>
      </c>
      <c r="AY71" s="58"/>
      <c r="AZ71" s="59"/>
      <c r="BA71"/>
      <c r="BB71"/>
      <c r="BC71"/>
      <c r="BD71"/>
      <c r="BE71"/>
      <c r="BF71"/>
      <c r="BG71" s="31"/>
      <c r="BH71" s="54"/>
      <c r="BI71" s="54"/>
      <c r="BJ71" s="54"/>
      <c r="BK71" s="54"/>
      <c r="BL71" s="54"/>
      <c r="BM71" s="54"/>
      <c r="BN71" s="24"/>
    </row>
    <row r="72" spans="1:66" s="248" customFormat="1" ht="12.75" customHeight="1">
      <c r="A72" s="54"/>
      <c r="B72" s="203"/>
      <c r="C72" s="222"/>
      <c r="D72" s="224"/>
      <c r="E72" s="222"/>
      <c r="F72" s="224"/>
      <c r="G72" s="222"/>
      <c r="H72" s="225"/>
      <c r="I72" s="222"/>
      <c r="J72" s="225"/>
      <c r="K72" s="222"/>
      <c r="L72" s="135"/>
      <c r="M72" s="222"/>
      <c r="N72" s="135"/>
      <c r="O72" s="222"/>
      <c r="P72" s="135"/>
      <c r="Q72" s="222"/>
      <c r="R72" s="135"/>
      <c r="S72" s="219"/>
      <c r="T72" s="135"/>
      <c r="U72" s="219"/>
      <c r="V72" s="135"/>
      <c r="W72" s="219"/>
      <c r="X72" s="135"/>
      <c r="Y72" s="219"/>
      <c r="Z72" s="135"/>
      <c r="AA72" s="54"/>
      <c r="AB72" s="185"/>
      <c r="AC72" s="56"/>
      <c r="AD72" s="222"/>
      <c r="AE72" s="61"/>
      <c r="AF72" s="222"/>
      <c r="AG72" s="25"/>
      <c r="AH72" s="222"/>
      <c r="AI72" s="25"/>
      <c r="AJ72" s="222"/>
      <c r="AK72" s="25"/>
      <c r="AL72" s="222"/>
      <c r="AM72" s="25"/>
      <c r="AN72" s="222"/>
      <c r="AO72" s="25"/>
      <c r="AP72" s="219"/>
      <c r="AQ72" s="25"/>
      <c r="AR72" s="219"/>
      <c r="AS72" s="25"/>
      <c r="AT72" s="219"/>
      <c r="AU72" s="25"/>
      <c r="AV72" s="219"/>
      <c r="AW72" s="25"/>
      <c r="AX72" s="63"/>
      <c r="AY72" s="58"/>
      <c r="AZ72" s="59"/>
      <c r="BA72"/>
      <c r="BB72"/>
      <c r="BC72"/>
      <c r="BD72"/>
      <c r="BE72"/>
      <c r="BF72"/>
      <c r="BG72" s="31"/>
      <c r="BH72" s="54"/>
      <c r="BI72" s="54"/>
      <c r="BJ72" s="54"/>
      <c r="BK72" s="54"/>
      <c r="BL72" s="54"/>
      <c r="BM72" s="54"/>
      <c r="BN72" s="24"/>
    </row>
    <row r="73" spans="1:66" s="248" customFormat="1" ht="12.75" customHeight="1">
      <c r="A73" s="54"/>
      <c r="B73" s="204" t="s">
        <v>156</v>
      </c>
      <c r="C73" s="64"/>
      <c r="D73" s="80"/>
      <c r="E73" s="64"/>
      <c r="F73" s="80"/>
      <c r="G73" s="64"/>
      <c r="H73" s="80"/>
      <c r="I73" s="64"/>
      <c r="J73" s="61"/>
      <c r="K73" s="64"/>
      <c r="L73" s="61"/>
      <c r="M73" s="64"/>
      <c r="N73" s="61"/>
      <c r="O73" s="64"/>
      <c r="P73" s="61"/>
      <c r="Q73" s="64"/>
      <c r="R73" s="61"/>
      <c r="S73" s="81"/>
      <c r="T73" s="61"/>
      <c r="U73" s="81"/>
      <c r="V73" s="61"/>
      <c r="W73" s="81"/>
      <c r="X73" s="61"/>
      <c r="Y73" s="81"/>
      <c r="Z73" s="61"/>
      <c r="AA73" s="54"/>
      <c r="AB73" s="185"/>
      <c r="AC73" s="56"/>
      <c r="AD73" s="64"/>
      <c r="AE73" s="61"/>
      <c r="AF73" s="64"/>
      <c r="AG73" s="61"/>
      <c r="AH73" s="64"/>
      <c r="AI73" s="61"/>
      <c r="AJ73" s="64"/>
      <c r="AK73" s="61"/>
      <c r="AL73" s="64"/>
      <c r="AM73" s="61"/>
      <c r="AN73" s="64"/>
      <c r="AO73" s="61"/>
      <c r="AP73" s="64"/>
      <c r="AQ73" s="61"/>
      <c r="AR73" s="64"/>
      <c r="AS73" s="61"/>
      <c r="AT73" s="64"/>
      <c r="AU73" s="61"/>
      <c r="AV73" s="64"/>
      <c r="AW73" s="61"/>
      <c r="AX73" s="63"/>
      <c r="AY73" s="58"/>
      <c r="AZ73" s="59"/>
      <c r="BA73"/>
      <c r="BB73"/>
      <c r="BC73"/>
      <c r="BD73"/>
      <c r="BE73"/>
      <c r="BF73"/>
      <c r="BG73" s="31"/>
      <c r="BH73" s="54"/>
      <c r="BI73" s="54"/>
      <c r="BJ73" s="54"/>
      <c r="BK73" s="54"/>
      <c r="BL73" s="54"/>
      <c r="BM73" s="54"/>
      <c r="BN73" s="24"/>
    </row>
    <row r="74" spans="1:66" s="248" customFormat="1" ht="12.75" customHeight="1">
      <c r="A74" s="54"/>
      <c r="B74" s="203" t="s">
        <v>158</v>
      </c>
      <c r="C74" s="222">
        <f>C55/C43*400</f>
        <v>1.2569047067773624</v>
      </c>
      <c r="D74" s="223"/>
      <c r="E74" s="222">
        <f>E55/E43*400</f>
        <v>1.2555821629667983</v>
      </c>
      <c r="F74" s="223"/>
      <c r="G74" s="222">
        <f>G55/G43*400</f>
        <v>2.4418220958187331</v>
      </c>
      <c r="H74" s="225"/>
      <c r="I74" s="222">
        <f>I55/I43*400</f>
        <v>1.379886453289606</v>
      </c>
      <c r="J74" s="225"/>
      <c r="K74" s="222">
        <f>K55/K43*400</f>
        <v>1.1040624618762962</v>
      </c>
      <c r="L74" s="135">
        <f>IF(ISERROR(K74/C74),"NA",IF(OR(K74/C74&gt;2,K74/C74&lt;0.5),"NM",(K74/C74-1)*100))</f>
        <v>-12.160209447615621</v>
      </c>
      <c r="M74" s="222">
        <f>M55/M43*400</f>
        <v>1.3318140787546058</v>
      </c>
      <c r="N74" s="135">
        <f>IF(ISERROR(M74/E74),"NA",IF(OR(M74/E74&gt;2,M74/E74&lt;0.5),"NM",(M74/E74-1)*100))</f>
        <v>6.0714398496773958</v>
      </c>
      <c r="O74" s="222">
        <f>O55/O43*400</f>
        <v>1.3110436823724738</v>
      </c>
      <c r="P74" s="135">
        <f>IF(ISERROR(O74/G74),"NA",IF(OR(O74/G74&gt;2,O74/G74&lt;0.5),"NM",(O74/G74-1)*100))</f>
        <v>-46.308796016816856</v>
      </c>
      <c r="Q74" s="222">
        <f>Q55/Q43*400</f>
        <v>0.94782812349318746</v>
      </c>
      <c r="R74" s="135">
        <f>IF(ISERROR(Q74/I74),"NA",IF(OR(Q74/I74&gt;2,Q74/I74&lt;0.5),"NM",(Q74/I74-1)*100))</f>
        <v>-31.311150911468477</v>
      </c>
      <c r="S74" s="219">
        <v>1.33</v>
      </c>
      <c r="T74" s="135">
        <f>IF(ISERROR(S74/K74),"NA",IF(OR(S74/K74&gt;2,S74/K74&lt;0.5),"NM",(S74/K74-1)*100))</f>
        <v>20.464198895027643</v>
      </c>
      <c r="U74" s="219">
        <f>S74</f>
        <v>1.33</v>
      </c>
      <c r="V74" s="135">
        <f>IF(ISERROR(U74/M74),"NA",IF(OR(U74/M74&gt;2,U74/M74&lt;0.5),"NM",(U74/M74-1)*100))</f>
        <v>-0.1362111111110953</v>
      </c>
      <c r="W74" s="219">
        <v>1.35</v>
      </c>
      <c r="X74" s="135">
        <f>IF(ISERROR(W74/O74),"NA",IF(OR(W74/O74&gt;2,W74/O74&lt;0.5),"NM",(W74/O74-1)*100))</f>
        <v>2.9713973799126769</v>
      </c>
      <c r="Y74" s="219">
        <f>W74</f>
        <v>1.35</v>
      </c>
      <c r="Z74" s="135">
        <f>IF(ISERROR(Y74/Q74),"NA",IF(OR(Y74/Q74&gt;2,Y74/Q74&lt;0.5),"NM",(Y74/Q74-1)*100))</f>
        <v>42.430886627906993</v>
      </c>
      <c r="AA74" s="54"/>
      <c r="AB74" s="185"/>
      <c r="AC74" s="56"/>
      <c r="AD74" s="222">
        <f>AD55/AD43*100</f>
        <v>1.133661011574441</v>
      </c>
      <c r="AE74" s="61"/>
      <c r="AF74" s="222">
        <f>AF55/AF43*100</f>
        <v>1.0379556042751439</v>
      </c>
      <c r="AG74" s="25">
        <f>IF(ISERROR(AF74/AD74),"NA",IF(OR(AF74/AD74&gt;2,AF74/AD74&lt;0.5),"NM",(AF74/AD74-1)*100))</f>
        <v>-8.4421538998135208</v>
      </c>
      <c r="AH74" s="222">
        <f>AH55/AH43*100</f>
        <v>1.1370954075580411</v>
      </c>
      <c r="AI74" s="25">
        <f>IF(ISERROR(AH74/AF74),"NA",IF(OR(AH74/AF74&gt;2,AH74/AF74&lt;0.5),"NM",(AH74/AF74-1)*100))</f>
        <v>9.5514492984631438</v>
      </c>
      <c r="AJ74" s="222">
        <f>AJ55/AJ43*100</f>
        <v>1.5892781595983303</v>
      </c>
      <c r="AK74" s="25">
        <f>IF(ISERROR(AJ74/AH74),"NA",IF(OR(AJ74/AH74&gt;2,AJ74/AH74&lt;0.5),"NM",(AJ74/AH74-1)*100))</f>
        <v>39.766474214452252</v>
      </c>
      <c r="AL74" s="222">
        <f>AL55/AL43*100</f>
        <v>1.1712287016342051</v>
      </c>
      <c r="AM74" s="25">
        <f>IF(ISERROR(AL74/AJ74),"NA",IF(OR(AL74/AJ74&gt;2,AL74/AJ74&lt;0.5),"NM",(AL74/AJ74-1)*100))</f>
        <v>-26.304360595364994</v>
      </c>
      <c r="AN74" s="222">
        <f>AN55/AN43*100</f>
        <v>1.3412959922390728</v>
      </c>
      <c r="AO74" s="25">
        <f>IF(ISERROR(AN74/AL74),"NA",IF(OR(AN74/AL74&gt;2,AN74/AL74&lt;0.5),"NM",(AN74/AL74-1)*100))</f>
        <v>14.520416923490199</v>
      </c>
      <c r="AP74" s="219">
        <v>1.35</v>
      </c>
      <c r="AQ74" s="25">
        <f>IF(ISERROR(AP74/AN74),"NA",IF(OR(AP74/AN74&gt;2,AP74/AN74&lt;0.5),"NM",(AP74/AN74-1)*100))</f>
        <v>0.648925204525308</v>
      </c>
      <c r="AR74" s="219">
        <f>AP74</f>
        <v>1.35</v>
      </c>
      <c r="AS74" s="25">
        <f>IF(ISERROR(AR74/AP74),"NA",IF(OR(AR74/AP74&gt;2,AR74/AP74&lt;0.5),"NM",(AR74/AP74-1)*100))</f>
        <v>0</v>
      </c>
      <c r="AT74" s="219">
        <f>AR74</f>
        <v>1.35</v>
      </c>
      <c r="AU74" s="25">
        <f>IF(ISERROR(AT74/AR74),"NA",IF(OR(AT74/AR74&gt;2,AT74/AR74&lt;0.5),"NM",(AT74/AR74-1)*100))</f>
        <v>0</v>
      </c>
      <c r="AV74" s="219">
        <f>AT74</f>
        <v>1.35</v>
      </c>
      <c r="AW74" s="25">
        <f>IF(ISERROR(AV74/AT74),"NA",IF(OR(AV74/AT74&gt;2,AV74/AT74&lt;0.5),"NM",(AV74/AT74-1)*100))</f>
        <v>0</v>
      </c>
      <c r="AX74" s="63">
        <f>IF(ISERROR(((AV74/AL74)^0.2-1)*100),"NA",IF((((AV74/AL74)^0.2-1)*100)&gt;100,"NM",IF((((AV74/AL74)^0.2-1)*100)&lt;-50,"NM",((AV74/AL74)^0.2-1)*100)))</f>
        <v>2.8817664615317762</v>
      </c>
      <c r="AY74" s="58"/>
      <c r="AZ74" s="59"/>
      <c r="BA74"/>
      <c r="BB74"/>
      <c r="BC74"/>
      <c r="BD74"/>
      <c r="BE74"/>
      <c r="BF74"/>
      <c r="BG74" s="31"/>
      <c r="BH74" s="54"/>
      <c r="BI74" s="54"/>
      <c r="BJ74" s="54"/>
      <c r="BK74" s="54"/>
      <c r="BL74" s="54"/>
      <c r="BM74" s="54"/>
      <c r="BN74" s="24"/>
    </row>
    <row r="75" spans="1:66" s="248" customFormat="1" ht="12.75" customHeight="1">
      <c r="A75" s="54"/>
      <c r="B75" s="203" t="s">
        <v>159</v>
      </c>
      <c r="C75" s="222">
        <f>C56/C43*400</f>
        <v>0.32414910858995138</v>
      </c>
      <c r="D75" s="223"/>
      <c r="E75" s="222">
        <f>E56/E43*400</f>
        <v>0.33007572325415829</v>
      </c>
      <c r="F75" s="223"/>
      <c r="G75" s="222">
        <f>G56/G43*400</f>
        <v>0.31677692053864648</v>
      </c>
      <c r="H75" s="225"/>
      <c r="I75" s="222">
        <f>I56/I43*400</f>
        <v>0.34651857122967683</v>
      </c>
      <c r="J75" s="225"/>
      <c r="K75" s="222">
        <f>K56/K43*400</f>
        <v>0.31718921556667073</v>
      </c>
      <c r="L75" s="135">
        <f>IF(ISERROR(K75/C75),"NA",IF(OR(K75/C75&gt;2,K75/C75&lt;0.5),"NM",(K75/C75-1)*100))</f>
        <v>-2.1471269976820806</v>
      </c>
      <c r="M75" s="222">
        <f>M56/M43*400</f>
        <v>0.31963537890110538</v>
      </c>
      <c r="N75" s="135">
        <f>IF(ISERROR(M75/E75),"NA",IF(OR(M75/E75&gt;2,M75/E75&lt;0.5),"NM",(M75/E75-1)*100))</f>
        <v>-3.1630149137062857</v>
      </c>
      <c r="O75" s="222">
        <f>O56/O43*400</f>
        <v>0.29197916070304003</v>
      </c>
      <c r="P75" s="135">
        <f>IF(ISERROR(O75/G75),"NA",IF(OR(O75/G75&gt;2,O75/G75&lt;0.5),"NM",(O75/G75-1)*100))</f>
        <v>-7.8281460004852699</v>
      </c>
      <c r="Q75" s="222">
        <f>Q56/Q43*400</f>
        <v>0.30308457437282155</v>
      </c>
      <c r="R75" s="135">
        <f>IF(ISERROR(Q75/I75),"NA",IF(OR(Q75/I75&gt;2,Q75/I75&lt;0.5),"NM",(Q75/I75-1)*100))</f>
        <v>-12.534392226864711</v>
      </c>
      <c r="S75" s="219">
        <v>0.308</v>
      </c>
      <c r="T75" s="135">
        <f>IF(ISERROR(S75/K75),"NA",IF(OR(S75/K75&gt;2,S75/K75&lt;0.5),"NM",(S75/K75-1)*100))</f>
        <v>-2.8970769230769244</v>
      </c>
      <c r="U75" s="219">
        <f>S75</f>
        <v>0.308</v>
      </c>
      <c r="V75" s="135">
        <f>IF(ISERROR(U75/M75),"NA",IF(OR(U75/M75&gt;2,U75/M75&lt;0.5),"NM",(U75/M75-1)*100))</f>
        <v>-3.6402037037036927</v>
      </c>
      <c r="W75" s="219">
        <f>U75</f>
        <v>0.308</v>
      </c>
      <c r="X75" s="135">
        <f>IF(ISERROR(W75/O75),"NA",IF(OR(W75/O75&gt;2,W75/O75&lt;0.5),"NM",(W75/O75-1)*100))</f>
        <v>5.4869803921568483</v>
      </c>
      <c r="Y75" s="219">
        <f>W75</f>
        <v>0.308</v>
      </c>
      <c r="Z75" s="135">
        <f>IF(ISERROR(Y75/Q75),"NA",IF(OR(Y75/Q75&gt;2,Y75/Q75&lt;0.5),"NM",(Y75/Q75-1)*100))</f>
        <v>1.6218000000000066</v>
      </c>
      <c r="AA75" s="54"/>
      <c r="AB75" s="185"/>
      <c r="AC75" s="56"/>
      <c r="AD75" s="222">
        <f>AD56/AD43*100</f>
        <v>0.61439670207705721</v>
      </c>
      <c r="AE75" s="61"/>
      <c r="AF75" s="222">
        <f>AF56/AF43*100</f>
        <v>0.28603727048506439</v>
      </c>
      <c r="AG75" s="25" t="str">
        <f>IF(ISERROR(AF75/AD75),"NA",IF(OR(AF75/AD75&gt;2,AF75/AD75&lt;0.5),"NM",(AF75/AD75-1)*100))</f>
        <v>NM</v>
      </c>
      <c r="AH75" s="222">
        <f>AH56/AH43*100</f>
        <v>0.28130825283850197</v>
      </c>
      <c r="AI75" s="25">
        <f>IF(ISERROR(AH75/AF75),"NA",IF(OR(AH75/AF75&gt;2,AH75/AF75&lt;0.5),"NM",(AH75/AF75-1)*100))</f>
        <v>-1.653287223214972</v>
      </c>
      <c r="AJ75" s="222">
        <f>AJ56/AJ43*100</f>
        <v>0.3295098062693072</v>
      </c>
      <c r="AK75" s="25">
        <f>IF(ISERROR(AJ75/AH75),"NA",IF(OR(AJ75/AH75&gt;2,AJ75/AH75&lt;0.5),"NM",(AJ75/AH75-1)*100))</f>
        <v>17.134781132239851</v>
      </c>
      <c r="AL75" s="222">
        <f>AL56/AL43*100</f>
        <v>0.30768337638965487</v>
      </c>
      <c r="AM75" s="25">
        <f>IF(ISERROR(AL75/AJ75),"NA",IF(OR(AL75/AJ75&gt;2,AL75/AJ75&lt;0.5),"NM",(AL75/AJ75-1)*100))</f>
        <v>-6.6239090504680354</v>
      </c>
      <c r="AN75" s="222">
        <f>AN56/AN43*100</f>
        <v>0.30800000000000005</v>
      </c>
      <c r="AO75" s="25">
        <f>IF(ISERROR(AN75/AL75),"NA",IF(OR(AN75/AL75&gt;2,AN75/AL75&lt;0.5),"NM",(AN75/AL75-1)*100))</f>
        <v>0.10290566037738369</v>
      </c>
      <c r="AP75" s="219">
        <v>0.313</v>
      </c>
      <c r="AQ75" s="25">
        <f>IF(ISERROR(AP75/AN75),"NA",IF(OR(AP75/AN75&gt;2,AP75/AN75&lt;0.5),"NM",(AP75/AN75-1)*100))</f>
        <v>1.6233766233766156</v>
      </c>
      <c r="AR75" s="219">
        <f>AP75-0.008</f>
        <v>0.30499999999999999</v>
      </c>
      <c r="AS75" s="25">
        <f>IF(ISERROR(AR75/AP75),"NA",IF(OR(AR75/AP75&gt;2,AR75/AP75&lt;0.5),"NM",(AR75/AP75-1)*100))</f>
        <v>-2.5559105431309903</v>
      </c>
      <c r="AT75" s="219">
        <f>AR75</f>
        <v>0.30499999999999999</v>
      </c>
      <c r="AU75" s="25">
        <f>IF(ISERROR(AT75/AR75),"NA",IF(OR(AT75/AR75&gt;2,AT75/AR75&lt;0.5),"NM",(AT75/AR75-1)*100))</f>
        <v>0</v>
      </c>
      <c r="AV75" s="219">
        <f>AT75</f>
        <v>0.30499999999999999</v>
      </c>
      <c r="AW75" s="25">
        <f>IF(ISERROR(AV75/AT75),"NA",IF(OR(AV75/AT75&gt;2,AV75/AT75&lt;0.5),"NM",(AV75/AT75-1)*100))</f>
        <v>0</v>
      </c>
      <c r="AX75" s="63">
        <f>IF(ISERROR(((AV75/AL75)^0.2-1)*100),"NA",IF((((AV75/AL75)^0.2-1)*100)&gt;100,"NM",IF((((AV75/AL75)^0.2-1)*100)&lt;-50,"NM",((AV75/AL75)^0.2-1)*100)))</f>
        <v>-0.1750362101973324</v>
      </c>
      <c r="AY75" s="58"/>
      <c r="AZ75" s="59"/>
      <c r="BA75"/>
      <c r="BB75"/>
      <c r="BC75"/>
      <c r="BD75"/>
      <c r="BE75"/>
      <c r="BF75"/>
      <c r="BG75" s="31"/>
      <c r="BH75" s="54"/>
      <c r="BI75" s="54"/>
      <c r="BJ75" s="54"/>
      <c r="BK75" s="54"/>
      <c r="BL75" s="54"/>
      <c r="BM75" s="54"/>
      <c r="BN75" s="24"/>
    </row>
    <row r="76" spans="1:66" s="248" customFormat="1" ht="12.75" customHeight="1">
      <c r="A76" s="54"/>
      <c r="B76" s="203"/>
      <c r="C76" s="64"/>
      <c r="D76" s="80"/>
      <c r="E76" s="64"/>
      <c r="F76" s="80"/>
      <c r="G76" s="64"/>
      <c r="H76" s="80"/>
      <c r="I76" s="64"/>
      <c r="J76" s="61"/>
      <c r="K76" s="64"/>
      <c r="L76" s="61"/>
      <c r="M76" s="64"/>
      <c r="N76" s="61"/>
      <c r="O76" s="64"/>
      <c r="P76" s="61"/>
      <c r="Q76" s="64"/>
      <c r="R76" s="61"/>
      <c r="S76" s="81"/>
      <c r="T76" s="61"/>
      <c r="U76" s="81"/>
      <c r="V76" s="61"/>
      <c r="W76" s="81"/>
      <c r="X76" s="61"/>
      <c r="Y76" s="81"/>
      <c r="Z76" s="61"/>
      <c r="AA76" s="54"/>
      <c r="AB76" s="185"/>
      <c r="AC76" s="56"/>
      <c r="AD76" s="64"/>
      <c r="AE76" s="61"/>
      <c r="AF76" s="64"/>
      <c r="AG76" s="61"/>
      <c r="AH76" s="64"/>
      <c r="AI76" s="61"/>
      <c r="AJ76" s="64"/>
      <c r="AK76" s="61"/>
      <c r="AL76" s="64"/>
      <c r="AM76" s="61"/>
      <c r="AN76" s="64"/>
      <c r="AO76" s="61"/>
      <c r="AP76" s="64"/>
      <c r="AQ76" s="61"/>
      <c r="AR76" s="64"/>
      <c r="AS76" s="61"/>
      <c r="AT76" s="64"/>
      <c r="AU76" s="61"/>
      <c r="AV76" s="64"/>
      <c r="AW76" s="61"/>
      <c r="AX76" s="63"/>
      <c r="AY76" s="58"/>
      <c r="AZ76" s="59"/>
      <c r="BA76"/>
      <c r="BB76"/>
      <c r="BC76"/>
      <c r="BD76"/>
      <c r="BE76"/>
      <c r="BF76"/>
      <c r="BG76" s="31"/>
      <c r="BH76" s="54"/>
      <c r="BI76" s="54"/>
      <c r="BJ76" s="54"/>
      <c r="BK76" s="54"/>
      <c r="BL76" s="54"/>
      <c r="BM76" s="54"/>
      <c r="BN76" s="24"/>
    </row>
    <row r="77" spans="1:66" s="248" customFormat="1" ht="12.75" customHeight="1">
      <c r="A77" s="54"/>
      <c r="B77" s="203" t="s">
        <v>164</v>
      </c>
      <c r="C77" s="64">
        <f>C58/C52*100</f>
        <v>30.246020260492042</v>
      </c>
      <c r="D77" s="80"/>
      <c r="E77" s="64">
        <f>E58/E52*100</f>
        <v>29.66101694915254</v>
      </c>
      <c r="F77" s="80"/>
      <c r="G77" s="64">
        <f>G58/G52*100</f>
        <v>7.4403183023872703</v>
      </c>
      <c r="H77" s="80"/>
      <c r="I77" s="64">
        <f>I58/I52*100</f>
        <v>31.954887218045116</v>
      </c>
      <c r="J77" s="61"/>
      <c r="K77" s="64">
        <f>K58/K52*100</f>
        <v>36.410256410256409</v>
      </c>
      <c r="L77" s="135">
        <f>IF(ISERROR(K77/C77),"NA",IF(OR(K77/C77&gt;2,K77/C77&lt;0.5),"NM",(K77/C77-1)*100))</f>
        <v>20.380321432953007</v>
      </c>
      <c r="M77" s="64">
        <f>M58/M52*100</f>
        <v>33.861144945188791</v>
      </c>
      <c r="N77" s="135">
        <f>IF(ISERROR(M77/E77),"NA",IF(OR(M77/E77&gt;2,M77/E77&lt;0.5),"NM",(M77/E77-1)*100))</f>
        <v>14.160431529493644</v>
      </c>
      <c r="O77" s="64">
        <f>O58/O52*100</f>
        <v>32.429099876695439</v>
      </c>
      <c r="P77" s="135" t="str">
        <f>IF(ISERROR(O77/G77),"NA",IF(OR(O77/G77&gt;2,O77/G77&lt;0.5),"NM",(O77/G77-1)*100))</f>
        <v>NM</v>
      </c>
      <c r="Q77" s="64">
        <f>Q58/Q52*100</f>
        <v>39.927623642943303</v>
      </c>
      <c r="R77" s="135">
        <f>IF(ISERROR(Q77/I77),"NA",IF(OR(Q77/I77&gt;2,Q77/I77&lt;0.5),"NM",(Q77/I77-1)*100))</f>
        <v>24.949975164975502</v>
      </c>
      <c r="S77" s="64">
        <f>S58/S52*100</f>
        <v>31.228222996515687</v>
      </c>
      <c r="T77" s="135">
        <f>IF(ISERROR(S77/K77),"NA",IF(OR(S77/K77&gt;2,S77/K77&lt;0.5),"NM",(S77/K77-1)*100))</f>
        <v>-14.23234529125973</v>
      </c>
      <c r="U77" s="64">
        <f>U58/U52*100</f>
        <v>31.228222996515687</v>
      </c>
      <c r="V77" s="135">
        <f>IF(ISERROR(U77/M77),"NA",IF(OR(U77/M77&gt;2,U77/M77&lt;0.5),"NM",(U77/M77-1)*100))</f>
        <v>-7.7756435966209292</v>
      </c>
      <c r="W77" s="64">
        <f>W58/W52*100</f>
        <v>27.772727272727277</v>
      </c>
      <c r="X77" s="135">
        <f>IF(ISERROR(W77/O77),"NA",IF(OR(W77/O77&gt;2,W77/O77&lt;0.5),"NM",(W77/O77-1)*100))</f>
        <v>-14.358624265468368</v>
      </c>
      <c r="Y77" s="64">
        <f>Y58/Y52*100</f>
        <v>27.77272727272727</v>
      </c>
      <c r="Z77" s="135">
        <f>IF(ISERROR(Y77/Q77),"NA",IF(OR(Y77/Q77&gt;2,Y77/Q77&lt;0.5),"NM",(Y77/Q77-1)*100))</f>
        <v>-30.442323537489703</v>
      </c>
      <c r="AA77" s="54"/>
      <c r="AB77" s="185"/>
      <c r="AC77" s="56"/>
      <c r="AD77" s="64">
        <f>AD58/AD52*100</f>
        <v>31.621423330887747</v>
      </c>
      <c r="AE77" s="61"/>
      <c r="AF77" s="64">
        <f>AF58/AF52*100</f>
        <v>31.227364185110662</v>
      </c>
      <c r="AG77" s="25">
        <f>IF(ISERROR(AF77/AD77),"NA",IF(OR(AF77/AD77&gt;2,AF77/AD77&lt;0.5),"NM",(AF77/AD77-1)*100))</f>
        <v>-1.246177762631473</v>
      </c>
      <c r="AH77" s="64">
        <f>AH58/AH52*100</f>
        <v>30.936649825106876</v>
      </c>
      <c r="AI77" s="25">
        <f>IF(ISERROR(AH77/AF77),"NA",IF(OR(AH77/AF77&gt;2,AH77/AF77&lt;0.5),"NM",(AH77/AF77-1)*100))</f>
        <v>-0.93096028944511522</v>
      </c>
      <c r="AJ77" s="64">
        <f>AJ58/AJ52*100</f>
        <v>24.740765842087427</v>
      </c>
      <c r="AK77" s="25">
        <f>IF(ISERROR(AJ77/AH77),"NA",IF(OR(AJ77/AH77&gt;2,AJ77/AH77&lt;0.5),"NM",(AJ77/AH77-1)*100))</f>
        <v>-20.027650110941011</v>
      </c>
      <c r="AL77" s="64">
        <f>AL58/AL52*100</f>
        <v>35.668003702560938</v>
      </c>
      <c r="AM77" s="25">
        <f>IF(ISERROR(AL77/AJ77),"NA",IF(OR(AL77/AJ77&gt;2,AL77/AJ77&lt;0.5),"NM",(AL77/AJ77-1)*100))</f>
        <v>44.166934565480531</v>
      </c>
      <c r="AN77" s="64">
        <f>AN58/AN52*100</f>
        <v>29.312932790755152</v>
      </c>
      <c r="AO77" s="25">
        <f>IF(ISERROR(AN77/AL77),"NA",IF(OR(AN77/AL77&gt;2,AN77/AL77&lt;0.5),"NM",(AN77/AL77-1)*100))</f>
        <v>-17.817287911040268</v>
      </c>
      <c r="AP77" s="64">
        <f>AP58/AP52*100</f>
        <v>28.080035971223033</v>
      </c>
      <c r="AQ77" s="25">
        <f>IF(ISERROR(AP77/AN77),"NA",IF(OR(AP77/AN77&gt;2,AP77/AN77&lt;0.5),"NM",(AP77/AN77-1)*100))</f>
        <v>-4.205982486750548</v>
      </c>
      <c r="AR77" s="64">
        <f>AR58/AR52*100</f>
        <v>29.061387900355868</v>
      </c>
      <c r="AS77" s="25">
        <f>IF(ISERROR(AR77/AP77),"NA",IF(OR(AR77/AP77&gt;2,AR77/AP77&lt;0.5),"NM",(AR77/AP77-1)*100))</f>
        <v>3.4948385754866695</v>
      </c>
      <c r="AT77" s="64">
        <f>AT58/AT52*100</f>
        <v>28.883451957295382</v>
      </c>
      <c r="AU77" s="25">
        <f>IF(ISERROR(AT77/AR77),"NA",IF(OR(AT77/AR77&gt;2,AT77/AR77&lt;0.5),"NM",(AT77/AR77-1)*100))</f>
        <v>-0.61227613653753732</v>
      </c>
      <c r="AV77" s="64">
        <f>AV58/AV52*100</f>
        <v>28.794483985765122</v>
      </c>
      <c r="AW77" s="25">
        <f>IF(ISERROR(AV77/AT77),"NA",IF(OR(AV77/AT77&gt;2,AV77/AT77&lt;0.5),"NM",(AV77/AT77-1)*100))</f>
        <v>-0.30802402587405409</v>
      </c>
      <c r="AX77" s="63">
        <f>IF(ISERROR(((AV77/AL77)^0.2-1)*100),"NA",IF((((AV77/AL77)^0.2-1)*100)&gt;100,"NM",IF((((AV77/AL77)^0.2-1)*100)&lt;-50,"NM",((AV77/AL77)^0.2-1)*100)))</f>
        <v>-4.1910458548403584</v>
      </c>
      <c r="AY77" s="58"/>
      <c r="AZ77" s="59"/>
      <c r="BA77"/>
      <c r="BB77"/>
      <c r="BC77"/>
      <c r="BD77"/>
      <c r="BE77"/>
      <c r="BF77"/>
      <c r="BG77" s="31"/>
      <c r="BH77" s="54"/>
      <c r="BI77" s="54"/>
      <c r="BJ77" s="54"/>
      <c r="BK77" s="54"/>
      <c r="BL77" s="54"/>
      <c r="BM77" s="54"/>
      <c r="BN77" s="24"/>
    </row>
    <row r="78" spans="1:66" s="248" customFormat="1" ht="12.75" customHeight="1">
      <c r="A78" s="54"/>
      <c r="B78" s="203" t="s">
        <v>165</v>
      </c>
      <c r="C78" s="64">
        <f>C61/C52*100</f>
        <v>28.219971056439942</v>
      </c>
      <c r="D78" s="80"/>
      <c r="E78" s="64">
        <f>E61/E52*100</f>
        <v>27.683615819209038</v>
      </c>
      <c r="F78" s="80"/>
      <c r="G78" s="64">
        <f>G61/G52*100</f>
        <v>18.84615384615385</v>
      </c>
      <c r="H78" s="80"/>
      <c r="I78" s="64">
        <f>I61/I52*100</f>
        <v>30.32581453634085</v>
      </c>
      <c r="J78" s="61"/>
      <c r="K78" s="64">
        <f>K61/K52*100</f>
        <v>35.256410256410255</v>
      </c>
      <c r="L78" s="135">
        <f>IF(ISERROR(K78/C78),"NA",IF(OR(K78/C78&gt;2,K78/C78&lt;0.5),"NM",(K78/C78-1)*100))</f>
        <v>24.934253780407634</v>
      </c>
      <c r="M78" s="64">
        <f>M61/M52*100</f>
        <v>32.521315468940315</v>
      </c>
      <c r="N78" s="135">
        <f>IF(ISERROR(M78/E78),"NA",IF(OR(M78/E78&gt;2,M78/E78&lt;0.5),"NM",(M78/E78-1)*100))</f>
        <v>17.474955877600728</v>
      </c>
      <c r="O78" s="64">
        <f>O61/O52*100</f>
        <v>30.086313193588161</v>
      </c>
      <c r="P78" s="135">
        <f>IF(ISERROR(O78/G78),"NA",IF(OR(O78/G78&gt;2,O78/G78&lt;0.5),"NM",(O78/G78-1)*100))</f>
        <v>59.641661843528993</v>
      </c>
      <c r="Q78" s="64">
        <f>Q61/Q52*100</f>
        <v>36.911942098914352</v>
      </c>
      <c r="R78" s="135">
        <f>IF(ISERROR(Q78/I78),"NA",IF(OR(Q78/I78&gt;2,Q78/I78&lt;0.5),"NM",(Q78/I78-1)*100))</f>
        <v>21.717891714601876</v>
      </c>
      <c r="S78" s="64">
        <f>S61/S52*100</f>
        <v>27.949259581881542</v>
      </c>
      <c r="T78" s="135">
        <f>IF(ISERROR(S78/K78),"NA",IF(OR(S78/K78&gt;2,S78/K78&lt;0.5),"NM",(S78/K78-1)*100))</f>
        <v>-20.725736458663256</v>
      </c>
      <c r="U78" s="64">
        <f>U61/U52*100</f>
        <v>27.949259581881535</v>
      </c>
      <c r="V78" s="135">
        <f>IF(ISERROR(U78/M78),"NA",IF(OR(U78/M78&gt;2,U78/M78&lt;0.5),"NM",(U78/M78-1)*100))</f>
        <v>-14.058643757585243</v>
      </c>
      <c r="W78" s="64">
        <f>W61/W52*100</f>
        <v>24.856590909090908</v>
      </c>
      <c r="X78" s="135">
        <f>IF(ISERROR(W78/O78),"NA",IF(OR(W78/O78&gt;2,W78/O78&lt;0.5),"NM",(W78/O78-1)*100))</f>
        <v>-17.382396609537999</v>
      </c>
      <c r="Y78" s="64">
        <f>Y61/Y52*100</f>
        <v>24.856590909090908</v>
      </c>
      <c r="Z78" s="135">
        <f>IF(ISERROR(Y78/Q78),"NA",IF(OR(Y78/Q78&gt;2,Y78/Q78&lt;0.5),"NM",(Y78/Q78-1)*100))</f>
        <v>-32.659758615567434</v>
      </c>
      <c r="AA78" s="54"/>
      <c r="AB78" s="185"/>
      <c r="AC78" s="56"/>
      <c r="AD78" s="64">
        <f>AD61/AD52*100</f>
        <v>30.520909757887015</v>
      </c>
      <c r="AE78" s="61"/>
      <c r="AF78" s="64">
        <f>AF61/AF52*100</f>
        <v>30.422535211267604</v>
      </c>
      <c r="AG78" s="25">
        <f>IF(ISERROR(AF78/AD78),"NA",IF(OR(AF78/AD78&gt;2,AF78/AD78&lt;0.5),"NM",(AF78/AD78-1)*100))</f>
        <v>-0.32231852654388549</v>
      </c>
      <c r="AH78" s="64">
        <f>AH61/AH52*100</f>
        <v>29.887291099883406</v>
      </c>
      <c r="AI78" s="25">
        <f>IF(ISERROR(AH78/AF78),"NA",IF(OR(AH78/AF78&gt;2,AH78/AF78&lt;0.5),"NM",(AH78/AF78-1)*100))</f>
        <v>-1.7593672179758379</v>
      </c>
      <c r="AJ78" s="64">
        <f>AJ61/AJ52*100</f>
        <v>26.265672653337845</v>
      </c>
      <c r="AK78" s="25">
        <f>IF(ISERROR(AJ78/AH78),"NA",IF(OR(AJ78/AH78&gt;2,AJ78/AH78&lt;0.5),"NM",(AJ78/AH78-1)*100))</f>
        <v>-12.117586817895621</v>
      </c>
      <c r="AL78" s="64">
        <f>AL61/AL52*100</f>
        <v>33.693304535637147</v>
      </c>
      <c r="AM78" s="25">
        <f>IF(ISERROR(AL78/AJ78),"NA",IF(OR(AL78/AJ78&gt;2,AL78/AJ78&lt;0.5),"NM",(AL78/AJ78-1)*100))</f>
        <v>28.278856514856464</v>
      </c>
      <c r="AN78" s="64">
        <f>AN61/AN52*100</f>
        <v>26.235074847725858</v>
      </c>
      <c r="AO78" s="25">
        <f>IF(ISERROR(AN78/AL78),"NA",IF(OR(AN78/AL78&gt;2,AN78/AL78&lt;0.5),"NM",(AN78/AL78-1)*100))</f>
        <v>-22.135643240403379</v>
      </c>
      <c r="AP78" s="64">
        <f>AP61/AP52*100</f>
        <v>25.131632194244613</v>
      </c>
      <c r="AQ78" s="25">
        <f>IF(ISERROR(AP78/AN78),"NA",IF(OR(AP78/AN78&gt;2,AP78/AN78&lt;0.5),"NM",(AP78/AN78-1)*100))</f>
        <v>-4.2059824867505373</v>
      </c>
      <c r="AR78" s="64">
        <f>AR61/AR52*100</f>
        <v>26.009942170818494</v>
      </c>
      <c r="AS78" s="25">
        <f>IF(ISERROR(AR78/AP78),"NA",IF(OR(AR78/AP78&gt;2,AR78/AP78&lt;0.5),"NM",(AR78/AP78-1)*100))</f>
        <v>3.4948385754866473</v>
      </c>
      <c r="AT78" s="64">
        <f>AT61/AT52*100</f>
        <v>25.85068950177936</v>
      </c>
      <c r="AU78" s="25">
        <f>IF(ISERROR(AT78/AR78),"NA",IF(OR(AT78/AR78&gt;2,AT78/AR78&lt;0.5),"NM",(AT78/AR78-1)*100))</f>
        <v>-0.61227613653753732</v>
      </c>
      <c r="AV78" s="64">
        <f>AV61/AV52*100</f>
        <v>25.771063167259783</v>
      </c>
      <c r="AW78" s="25">
        <f>IF(ISERROR(AV78/AT78),"NA",IF(OR(AV78/AT78&gt;2,AV78/AT78&lt;0.5),"NM",(AV78/AT78-1)*100))</f>
        <v>-0.30802402587403188</v>
      </c>
      <c r="AX78" s="63">
        <f>IF(ISERROR(((AV78/AL78)^0.2-1)*100),"NA",IF((((AV78/AL78)^0.2-1)*100)&gt;100,"NM",IF((((AV78/AL78)^0.2-1)*100)&lt;-50,"NM",((AV78/AL78)^0.2-1)*100)))</f>
        <v>-5.2197727568953134</v>
      </c>
      <c r="AY78" s="58"/>
      <c r="AZ78" s="59"/>
      <c r="BA78"/>
      <c r="BB78"/>
      <c r="BC78"/>
      <c r="BD78"/>
      <c r="BE78"/>
      <c r="BF78"/>
      <c r="BG78" s="31"/>
      <c r="BH78" s="54"/>
      <c r="BI78" s="54"/>
      <c r="BJ78" s="54"/>
      <c r="BK78" s="54"/>
      <c r="BL78" s="54"/>
      <c r="BM78" s="54"/>
      <c r="BN78" s="24"/>
    </row>
    <row r="79" spans="1:66" s="439" customFormat="1" ht="12.75" customHeight="1">
      <c r="A79" s="24"/>
      <c r="B79" s="95"/>
      <c r="C79" s="68"/>
      <c r="D79" s="61"/>
      <c r="E79" s="68"/>
      <c r="F79" s="61"/>
      <c r="G79" s="68"/>
      <c r="H79" s="61"/>
      <c r="I79" s="68"/>
      <c r="J79" s="61"/>
      <c r="K79" s="68"/>
      <c r="L79" s="61"/>
      <c r="M79" s="68"/>
      <c r="N79" s="61"/>
      <c r="O79" s="68"/>
      <c r="P79" s="61"/>
      <c r="Q79" s="68"/>
      <c r="R79" s="61"/>
      <c r="S79" s="68"/>
      <c r="T79" s="61"/>
      <c r="U79" s="68"/>
      <c r="V79" s="61"/>
      <c r="W79" s="68"/>
      <c r="X79" s="61"/>
      <c r="Y79" s="68"/>
      <c r="Z79" s="61"/>
      <c r="AA79" s="28"/>
      <c r="AB79" s="180"/>
      <c r="AC79" s="85"/>
      <c r="AD79" s="68"/>
      <c r="AE79" s="61"/>
      <c r="AF79" s="68"/>
      <c r="AG79" s="61"/>
      <c r="AH79" s="68"/>
      <c r="AI79" s="61"/>
      <c r="AJ79" s="68"/>
      <c r="AK79" s="61"/>
      <c r="AL79" s="68"/>
      <c r="AM79" s="61"/>
      <c r="AN79" s="68"/>
      <c r="AO79" s="61"/>
      <c r="AP79" s="68"/>
      <c r="AQ79" s="61"/>
      <c r="AR79" s="68"/>
      <c r="AS79" s="61"/>
      <c r="AT79" s="68"/>
      <c r="AU79" s="61"/>
      <c r="AV79" s="68"/>
      <c r="AW79" s="61"/>
      <c r="AX79" s="61"/>
      <c r="AY79" s="96"/>
      <c r="AZ79" s="98"/>
      <c r="BA79"/>
      <c r="BB79"/>
      <c r="BC79"/>
      <c r="BD79"/>
      <c r="BE79"/>
      <c r="BF79"/>
      <c r="BG79" s="31"/>
      <c r="BH79" s="24"/>
      <c r="BI79" s="24"/>
      <c r="BJ79" s="24"/>
      <c r="BK79" s="24"/>
      <c r="BL79" s="24"/>
      <c r="BM79" s="24"/>
      <c r="BN79" s="24"/>
    </row>
    <row r="80" spans="1:66" s="435" customFormat="1" ht="12.75" customHeight="1" collapsed="1">
      <c r="A80" s="47"/>
      <c r="B80" s="48" t="s">
        <v>132</v>
      </c>
      <c r="C80" s="49"/>
      <c r="D80" s="50"/>
      <c r="E80" s="49"/>
      <c r="F80" s="50"/>
      <c r="G80" s="49"/>
      <c r="H80" s="50"/>
      <c r="I80" s="49"/>
      <c r="J80" s="50"/>
      <c r="K80" s="49"/>
      <c r="L80" s="50"/>
      <c r="M80" s="49"/>
      <c r="N80" s="50"/>
      <c r="O80" s="49"/>
      <c r="P80" s="50"/>
      <c r="Q80" s="49"/>
      <c r="R80" s="50"/>
      <c r="S80" s="49"/>
      <c r="T80" s="50"/>
      <c r="U80" s="49"/>
      <c r="V80" s="50"/>
      <c r="W80" s="49"/>
      <c r="X80" s="50"/>
      <c r="Y80" s="49"/>
      <c r="Z80" s="50"/>
      <c r="AA80" s="51"/>
      <c r="AB80" s="180"/>
      <c r="AC80" s="49"/>
      <c r="AD80" s="49"/>
      <c r="AE80" s="50"/>
      <c r="AF80" s="49"/>
      <c r="AG80" s="50"/>
      <c r="AH80" s="49"/>
      <c r="AI80" s="50"/>
      <c r="AJ80" s="49"/>
      <c r="AK80" s="50"/>
      <c r="AL80" s="49"/>
      <c r="AM80" s="50"/>
      <c r="AN80" s="49"/>
      <c r="AO80" s="50"/>
      <c r="AP80" s="49"/>
      <c r="AQ80" s="50"/>
      <c r="AR80" s="49"/>
      <c r="AS80" s="50"/>
      <c r="AT80" s="49"/>
      <c r="AU80" s="50"/>
      <c r="AV80" s="49"/>
      <c r="AW80" s="50"/>
      <c r="AX80" s="50"/>
      <c r="AY80" s="52"/>
      <c r="AZ80" s="47"/>
      <c r="BA80"/>
      <c r="BB80"/>
      <c r="BC80"/>
      <c r="BD80"/>
      <c r="BE80"/>
      <c r="BF80"/>
      <c r="BG80" s="53"/>
      <c r="BH80" s="51"/>
      <c r="BI80" s="264"/>
      <c r="BJ80" s="264"/>
      <c r="BK80" s="264"/>
      <c r="BL80" s="264"/>
      <c r="BM80" s="264"/>
      <c r="BN80" s="24"/>
    </row>
    <row r="81" spans="1:66" s="439" customFormat="1" ht="12.75" customHeight="1">
      <c r="A81" s="24"/>
      <c r="B81" s="95"/>
      <c r="C81" s="85"/>
      <c r="D81" s="61"/>
      <c r="E81" s="85"/>
      <c r="F81" s="61"/>
      <c r="G81" s="85"/>
      <c r="H81" s="61"/>
      <c r="I81" s="85"/>
      <c r="J81" s="61"/>
      <c r="K81" s="85"/>
      <c r="L81" s="61"/>
      <c r="M81" s="85"/>
      <c r="N81" s="61"/>
      <c r="O81" s="85"/>
      <c r="P81" s="61"/>
      <c r="Q81" s="85"/>
      <c r="R81" s="61"/>
      <c r="S81" s="85"/>
      <c r="T81" s="61"/>
      <c r="U81" s="85"/>
      <c r="V81" s="61"/>
      <c r="W81" s="85"/>
      <c r="X81" s="61"/>
      <c r="Y81" s="85"/>
      <c r="Z81" s="61"/>
      <c r="AA81" s="28"/>
      <c r="AB81" s="180"/>
      <c r="AC81" s="85"/>
      <c r="AD81" s="85"/>
      <c r="AE81" s="61"/>
      <c r="AF81" s="85"/>
      <c r="AG81" s="61"/>
      <c r="AH81" s="85"/>
      <c r="AI81" s="61"/>
      <c r="AJ81" s="85"/>
      <c r="AK81" s="61"/>
      <c r="AL81" s="85"/>
      <c r="AM81" s="61"/>
      <c r="AN81" s="85"/>
      <c r="AO81" s="61"/>
      <c r="AP81" s="85"/>
      <c r="AQ81" s="61"/>
      <c r="AR81" s="85"/>
      <c r="AS81" s="61"/>
      <c r="AT81" s="85"/>
      <c r="AU81" s="61"/>
      <c r="AV81" s="85"/>
      <c r="AW81" s="61"/>
      <c r="AX81" s="61"/>
      <c r="AY81" s="96"/>
      <c r="AZ81" s="98"/>
      <c r="BA81"/>
      <c r="BB81"/>
      <c r="BC81"/>
      <c r="BD81"/>
      <c r="BE81"/>
      <c r="BF81"/>
      <c r="BG81" s="31"/>
      <c r="BH81" s="24"/>
      <c r="BI81" s="24"/>
      <c r="BJ81" s="24"/>
      <c r="BK81" s="24"/>
      <c r="BL81" s="24"/>
      <c r="BM81" s="24"/>
      <c r="BN81" s="24"/>
    </row>
    <row r="82" spans="1:66" s="439" customFormat="1" ht="12.75" hidden="1" customHeight="1" outlineLevel="1">
      <c r="A82" s="24"/>
      <c r="B82" s="205" t="s">
        <v>167</v>
      </c>
      <c r="C82" s="197">
        <v>265</v>
      </c>
      <c r="D82" s="197"/>
      <c r="E82" s="197">
        <v>361</v>
      </c>
      <c r="F82" s="197">
        <f>(E82/C82-1)*100</f>
        <v>36.226415094339615</v>
      </c>
      <c r="G82" s="197">
        <v>570</v>
      </c>
      <c r="H82" s="197">
        <f>(G82/E82-1)*100</f>
        <v>57.894736842105267</v>
      </c>
      <c r="I82" s="387">
        <v>570</v>
      </c>
      <c r="J82" s="197">
        <f>(I82/G82-1)*100</f>
        <v>0</v>
      </c>
      <c r="K82" s="387">
        <v>570</v>
      </c>
      <c r="L82" s="135" t="str">
        <f>IF(ISERROR(K82/C82),"NA",IF(OR(K82/C82&gt;2,K82/C82&lt;0.5),"NM",(K82/C82-1)*100))</f>
        <v>NM</v>
      </c>
      <c r="M82" s="387">
        <v>570</v>
      </c>
      <c r="N82" s="135">
        <f>IF(ISERROR(M82/E82),"NA",IF(OR(M82/E82&gt;2,M82/E82&lt;0.5),"NM",(M82/E82-1)*100))</f>
        <v>57.894736842105267</v>
      </c>
      <c r="O82" s="387">
        <v>570</v>
      </c>
      <c r="P82" s="135">
        <f>IF(ISERROR(O82/G82),"NA",IF(OR(O82/G82&gt;2,O82/G82&lt;0.5),"NM",(O82/G82-1)*100))</f>
        <v>0</v>
      </c>
      <c r="Q82" s="387">
        <v>570</v>
      </c>
      <c r="R82" s="135">
        <f>IF(ISERROR(Q82/I82),"NA",IF(OR(Q82/I82&gt;2,Q82/I82&lt;0.5),"NM",(Q82/I82-1)*100))</f>
        <v>0</v>
      </c>
      <c r="S82" s="85">
        <f>Q82*1.01</f>
        <v>575.70000000000005</v>
      </c>
      <c r="T82" s="135">
        <f>IF(ISERROR(S82/K82),"NA",IF(OR(S82/K82&gt;2,S82/K82&lt;0.5),"NM",(S82/K82-1)*100))</f>
        <v>1.0000000000000009</v>
      </c>
      <c r="U82" s="85">
        <f>S82*1.01</f>
        <v>581.45700000000011</v>
      </c>
      <c r="V82" s="135">
        <f>IF(ISERROR(U82/M82),"NA",IF(OR(U82/M82&gt;2,U82/M82&lt;0.5),"NM",(U82/M82-1)*100))</f>
        <v>2.0100000000000229</v>
      </c>
      <c r="W82" s="85">
        <f>U82*1.01</f>
        <v>587.27157000000011</v>
      </c>
      <c r="X82" s="135">
        <f>IF(ISERROR(W82/O82),"NA",IF(OR(W82/O82&gt;2,W82/O82&lt;0.5),"NM",(W82/O82-1)*100))</f>
        <v>3.0301000000000133</v>
      </c>
      <c r="Y82" s="85">
        <f>W82*1.01</f>
        <v>593.14428570000007</v>
      </c>
      <c r="Z82" s="135">
        <f>IF(ISERROR(Y82/Q82),"NA",IF(OR(Y82/Q82&gt;2,Y82/Q82&lt;0.5),"NM",(Y82/Q82-1)*100))</f>
        <v>4.0604010000000024</v>
      </c>
      <c r="AA82" s="28"/>
      <c r="AB82" s="180"/>
      <c r="AC82" s="85"/>
      <c r="AD82" s="85">
        <v>0</v>
      </c>
      <c r="AE82" s="61"/>
      <c r="AF82" s="85">
        <v>0</v>
      </c>
      <c r="AG82" s="61" t="str">
        <f>IF(ISERROR(AF82/AD82),"NA",IF(OR(AF82/AD82&gt;2,AF82/AD82&lt;0.5),"NM",(AF82/AD82-1)*100))</f>
        <v>NA</v>
      </c>
      <c r="AH82" s="85">
        <v>230</v>
      </c>
      <c r="AI82" s="61" t="str">
        <f>IF(ISERROR(AH82/AF82),"NA",IF(OR(AH82/AF82&gt;2,AH82/AF82&lt;0.5),"NM",(AH82/AF82-1)*100))</f>
        <v>NA</v>
      </c>
      <c r="AJ82" s="56">
        <f>AVERAGE(I82,G82,E82,C82)</f>
        <v>441.5</v>
      </c>
      <c r="AK82" s="61">
        <f>IF(ISERROR(AJ82/AH82),"NA",IF(OR(AJ82/AH82&gt;2,AJ82/AH82&lt;0.5),"NM",(AJ82/AH82-1)*100))</f>
        <v>91.956521739130423</v>
      </c>
      <c r="AL82" s="56">
        <f>AVERAGE(K82,M82,O82,Q82)</f>
        <v>570</v>
      </c>
      <c r="AM82" s="61">
        <f>IF(ISERROR(AL82/AJ82),"NA",IF(OR(AL82/AJ82&gt;2,AL82/AJ82&lt;0.5),"NM",(AL82/AJ82-1)*100))</f>
        <v>29.105322763306908</v>
      </c>
      <c r="AN82" s="56">
        <f>AVERAGE(S82,U82,W82,Y82)</f>
        <v>584.39321392500005</v>
      </c>
      <c r="AO82" s="61">
        <f>IF(ISERROR(AN82/AL82),"NA",IF(OR(AN82/AL82&gt;2,AN82/AL82&lt;0.5),"NM",(AN82/AL82-1)*100))</f>
        <v>2.5251252500000154</v>
      </c>
      <c r="AP82" s="85">
        <f>AN82*1.01</f>
        <v>590.23714606425006</v>
      </c>
      <c r="AQ82" s="61">
        <f>IF(ISERROR(AP82/AN82),"NA",IF(OR(AP82/AN82&gt;2,AP82/AN82&lt;0.5),"NM",(AP82/AN82-1)*100))</f>
        <v>1.0000000000000009</v>
      </c>
      <c r="AR82" s="85">
        <f>AP82*1.01</f>
        <v>596.13951752489254</v>
      </c>
      <c r="AS82" s="61">
        <f>IF(ISERROR(AR82/AP82),"NA",IF(OR(AR82/AP82&gt;2,AR82/AP82&lt;0.5),"NM",(AR82/AP82-1)*100))</f>
        <v>1.0000000000000009</v>
      </c>
      <c r="AT82" s="85">
        <f>AR82*1.01</f>
        <v>602.10091270014152</v>
      </c>
      <c r="AU82" s="61">
        <f>IF(ISERROR(AT82/AR82),"NA",IF(OR(AT82/AR82&gt;2,AT82/AR82&lt;0.5),"NM",(AT82/AR82-1)*100))</f>
        <v>1.0000000000000009</v>
      </c>
      <c r="AV82" s="85">
        <f>AT82*1.01</f>
        <v>608.12192182714296</v>
      </c>
      <c r="AW82" s="61">
        <f>IF(ISERROR(AV82/AT82),"NA",IF(OR(AV82/AT82&gt;2,AV82/AT82&lt;0.5),"NM",(AV82/AT82-1)*100))</f>
        <v>1.0000000000000009</v>
      </c>
      <c r="AX82" s="63">
        <f>IF(ISERROR(((AV82/AL82)^0.2-1)*100),"NA",IF((((AV82/AL82)^0.2-1)*100)&gt;100,"NM",IF((((AV82/AL82)^0.2-1)*100)&lt;-50,"NM",((AV82/AL82)^0.2-1)*100)))</f>
        <v>1.3031991860116499</v>
      </c>
      <c r="AY82" s="96"/>
      <c r="AZ82" s="98"/>
      <c r="BA82"/>
      <c r="BB82"/>
      <c r="BC82"/>
      <c r="BD82"/>
      <c r="BE82"/>
      <c r="BF82"/>
      <c r="BG82" s="31"/>
      <c r="BH82" s="24"/>
      <c r="BI82" s="24"/>
      <c r="BJ82" s="24"/>
      <c r="BK82" s="24"/>
      <c r="BL82" s="24"/>
      <c r="BM82" s="24"/>
      <c r="BN82" s="24"/>
    </row>
    <row r="83" spans="1:66" s="439" customFormat="1" ht="12.75" hidden="1" customHeight="1" outlineLevel="1">
      <c r="A83" s="24"/>
      <c r="B83" s="205" t="s">
        <v>168</v>
      </c>
      <c r="C83" s="197">
        <v>1087</v>
      </c>
      <c r="D83" s="197"/>
      <c r="E83" s="197">
        <v>1012</v>
      </c>
      <c r="F83" s="197"/>
      <c r="G83" s="197">
        <v>846</v>
      </c>
      <c r="H83" s="61"/>
      <c r="I83" s="387">
        <v>846</v>
      </c>
      <c r="J83" s="61"/>
      <c r="K83" s="387">
        <v>846</v>
      </c>
      <c r="L83" s="135">
        <f>IF(ISERROR(K83/C83),"NA",IF(OR(K83/C83&gt;2,K83/C83&lt;0.5),"NM",(K83/C83-1)*100))</f>
        <v>-22.171113155473776</v>
      </c>
      <c r="M83" s="387">
        <v>846</v>
      </c>
      <c r="N83" s="135">
        <f>IF(ISERROR(M83/E83),"NA",IF(OR(M83/E83&gt;2,M83/E83&lt;0.5),"NM",(M83/E83-1)*100))</f>
        <v>-16.403162055335972</v>
      </c>
      <c r="O83" s="387">
        <v>846</v>
      </c>
      <c r="P83" s="135">
        <f>IF(ISERROR(O83/G83),"NA",IF(OR(O83/G83&gt;2,O83/G83&lt;0.5),"NM",(O83/G83-1)*100))</f>
        <v>0</v>
      </c>
      <c r="Q83" s="387">
        <v>846</v>
      </c>
      <c r="R83" s="135">
        <f>IF(ISERROR(Q83/I83),"NA",IF(OR(Q83/I83&gt;2,Q83/I83&lt;0.5),"NM",(Q83/I83-1)*100))</f>
        <v>0</v>
      </c>
      <c r="S83" s="85">
        <f>Q83*1.01</f>
        <v>854.46</v>
      </c>
      <c r="T83" s="135">
        <f>IF(ISERROR(S83/K83),"NA",IF(OR(S83/K83&gt;2,S83/K83&lt;0.5),"NM",(S83/K83-1)*100))</f>
        <v>1.0000000000000009</v>
      </c>
      <c r="U83" s="85">
        <f>S83*1.01</f>
        <v>863.0046000000001</v>
      </c>
      <c r="V83" s="135">
        <f>IF(ISERROR(U83/M83),"NA",IF(OR(U83/M83&gt;2,U83/M83&lt;0.5),"NM",(U83/M83-1)*100))</f>
        <v>2.0100000000000007</v>
      </c>
      <c r="W83" s="85">
        <f>U83*1.01</f>
        <v>871.63464600000009</v>
      </c>
      <c r="X83" s="135">
        <f>IF(ISERROR(W83/O83),"NA",IF(OR(W83/O83&gt;2,W83/O83&lt;0.5),"NM",(W83/O83-1)*100))</f>
        <v>3.0301000000000133</v>
      </c>
      <c r="Y83" s="85">
        <f>W83*1.01</f>
        <v>880.35099246000004</v>
      </c>
      <c r="Z83" s="135">
        <f>IF(ISERROR(Y83/Q83),"NA",IF(OR(Y83/Q83&gt;2,Y83/Q83&lt;0.5),"NM",(Y83/Q83-1)*100))</f>
        <v>4.0604010000000024</v>
      </c>
      <c r="AA83" s="28"/>
      <c r="AB83" s="180"/>
      <c r="AC83" s="85"/>
      <c r="AD83" s="85">
        <v>745</v>
      </c>
      <c r="AE83" s="61"/>
      <c r="AF83" s="85">
        <v>923</v>
      </c>
      <c r="AG83" s="61">
        <f>IF(ISERROR(AF83/AD83),"NA",IF(OR(AF83/AD83&gt;2,AF83/AD83&lt;0.5),"NM",(AF83/AD83-1)*100))</f>
        <v>23.892617449664421</v>
      </c>
      <c r="AH83" s="85">
        <v>1189</v>
      </c>
      <c r="AI83" s="61">
        <f>IF(ISERROR(AH83/AF83),"NA",IF(OR(AH83/AF83&gt;2,AH83/AF83&lt;0.5),"NM",(AH83/AF83-1)*100))</f>
        <v>28.819068255687963</v>
      </c>
      <c r="AJ83" s="56">
        <f>AVERAGE(I83,G83,E83,C83)</f>
        <v>947.75</v>
      </c>
      <c r="AK83" s="61">
        <f>IF(ISERROR(AJ83/AH83),"NA",IF(OR(AJ83/AH83&gt;2,AJ83/AH83&lt;0.5),"NM",(AJ83/AH83-1)*100))</f>
        <v>-20.290159798149709</v>
      </c>
      <c r="AL83" s="56">
        <f>AVERAGE(K83,M83,O83,Q83)</f>
        <v>846</v>
      </c>
      <c r="AM83" s="61">
        <f>IF(ISERROR(AL83/AJ83),"NA",IF(OR(AL83/AJ83&gt;2,AL83/AJ83&lt;0.5),"NM",(AL83/AJ83-1)*100))</f>
        <v>-10.73595357425482</v>
      </c>
      <c r="AN83" s="56">
        <f>AVERAGE(S83,U83,W83,Y83)</f>
        <v>867.36255961500001</v>
      </c>
      <c r="AO83" s="61">
        <f>IF(ISERROR(AN83/AL83),"NA",IF(OR(AN83/AL83&gt;2,AN83/AL83&lt;0.5),"NM",(AN83/AL83-1)*100))</f>
        <v>2.5251252499999932</v>
      </c>
      <c r="AP83" s="85">
        <f>AN83*1.01</f>
        <v>876.03618521115004</v>
      </c>
      <c r="AQ83" s="61">
        <f>IF(ISERROR(AP83/AN83),"NA",IF(OR(AP83/AN83&gt;2,AP83/AN83&lt;0.5),"NM",(AP83/AN83-1)*100))</f>
        <v>1.0000000000000009</v>
      </c>
      <c r="AR83" s="85">
        <f>AP83*1.01</f>
        <v>884.79654706326153</v>
      </c>
      <c r="AS83" s="61">
        <f>IF(ISERROR(AR83/AP83),"NA",IF(OR(AR83/AP83&gt;2,AR83/AP83&lt;0.5),"NM",(AR83/AP83-1)*100))</f>
        <v>1.0000000000000009</v>
      </c>
      <c r="AT83" s="85">
        <f>AR83*1.01</f>
        <v>893.64451253389416</v>
      </c>
      <c r="AU83" s="61">
        <f>IF(ISERROR(AT83/AR83),"NA",IF(OR(AT83/AR83&gt;2,AT83/AR83&lt;0.5),"NM",(AT83/AR83-1)*100))</f>
        <v>1.0000000000000009</v>
      </c>
      <c r="AV83" s="85">
        <f>AT83*1.01</f>
        <v>902.58095765923315</v>
      </c>
      <c r="AW83" s="61">
        <f>IF(ISERROR(AV83/AT83),"NA",IF(OR(AV83/AT83&gt;2,AV83/AT83&lt;0.5),"NM",(AV83/AT83-1)*100))</f>
        <v>1.0000000000000009</v>
      </c>
      <c r="AX83" s="63">
        <f>IF(ISERROR(((AV83/AL83)^0.2-1)*100),"NA",IF((((AV83/AL83)^0.2-1)*100)&gt;100,"NM",IF((((AV83/AL83)^0.2-1)*100)&lt;-50,"NM",((AV83/AL83)^0.2-1)*100)))</f>
        <v>1.3031991860116499</v>
      </c>
      <c r="AY83" s="96"/>
      <c r="AZ83" s="98"/>
      <c r="BA83"/>
      <c r="BB83"/>
      <c r="BC83"/>
      <c r="BD83"/>
      <c r="BE83"/>
      <c r="BF83"/>
      <c r="BG83" s="31"/>
      <c r="BH83" s="24"/>
      <c r="BI83" s="24"/>
      <c r="BJ83" s="24"/>
      <c r="BK83" s="24"/>
      <c r="BL83" s="24"/>
      <c r="BM83" s="24"/>
      <c r="BN83" s="24"/>
    </row>
    <row r="84" spans="1:66" s="439" customFormat="1" ht="12.75" hidden="1" customHeight="1" outlineLevel="1">
      <c r="A84" s="24"/>
      <c r="B84" s="202" t="s">
        <v>166</v>
      </c>
      <c r="C84" s="197">
        <f>SUM(C82:C83)</f>
        <v>1352</v>
      </c>
      <c r="D84" s="197"/>
      <c r="E84" s="197">
        <f>SUM(E82:E83)</f>
        <v>1373</v>
      </c>
      <c r="F84" s="197"/>
      <c r="G84" s="197">
        <f>SUM(G82:G83)</f>
        <v>1416</v>
      </c>
      <c r="H84" s="61"/>
      <c r="I84" s="387">
        <f>SUM(I82:I83)</f>
        <v>1416</v>
      </c>
      <c r="J84" s="61"/>
      <c r="K84" s="387">
        <f>SUM(K82:K83)</f>
        <v>1416</v>
      </c>
      <c r="L84" s="135">
        <f>IF(ISERROR(K84/C84),"NA",IF(OR(K84/C84&gt;2,K84/C84&lt;0.5),"NM",(K84/C84-1)*100))</f>
        <v>4.7337278106508895</v>
      </c>
      <c r="M84" s="387">
        <f>SUM(M82:M83)</f>
        <v>1416</v>
      </c>
      <c r="N84" s="135">
        <f>IF(ISERROR(M84/E84),"NA",IF(OR(M84/E84&gt;2,M84/E84&lt;0.5),"NM",(M84/E84-1)*100))</f>
        <v>3.1318281136198056</v>
      </c>
      <c r="O84" s="387">
        <f>SUM(O82:O83)</f>
        <v>1416</v>
      </c>
      <c r="P84" s="135">
        <f>IF(ISERROR(O84/G84),"NA",IF(OR(O84/G84&gt;2,O84/G84&lt;0.5),"NM",(O84/G84-1)*100))</f>
        <v>0</v>
      </c>
      <c r="Q84" s="387">
        <f>SUM(Q82:Q83)</f>
        <v>1416</v>
      </c>
      <c r="R84" s="135">
        <f>IF(ISERROR(Q84/I84),"NA",IF(OR(Q84/I84&gt;2,Q84/I84&lt;0.5),"NM",(Q84/I84-1)*100))</f>
        <v>0</v>
      </c>
      <c r="S84" s="85">
        <f>SUM(S82:S83)</f>
        <v>1430.16</v>
      </c>
      <c r="T84" s="135">
        <f>IF(ISERROR(S84/K84),"NA",IF(OR(S84/K84&gt;2,S84/K84&lt;0.5),"NM",(S84/K84-1)*100))</f>
        <v>1.0000000000000009</v>
      </c>
      <c r="U84" s="85">
        <f>SUM(U82:U83)</f>
        <v>1444.4616000000001</v>
      </c>
      <c r="V84" s="135">
        <f>IF(ISERROR(U84/M84),"NA",IF(OR(U84/M84&gt;2,U84/M84&lt;0.5),"NM",(U84/M84-1)*100))</f>
        <v>2.0100000000000007</v>
      </c>
      <c r="W84" s="85">
        <f>SUM(W82:W83)</f>
        <v>1458.9062160000003</v>
      </c>
      <c r="X84" s="135">
        <f>IF(ISERROR(W84/O84),"NA",IF(OR(W84/O84&gt;2,W84/O84&lt;0.5),"NM",(W84/O84-1)*100))</f>
        <v>3.0301000000000133</v>
      </c>
      <c r="Y84" s="85">
        <f>SUM(Y82:Y83)</f>
        <v>1473.49527816</v>
      </c>
      <c r="Z84" s="135">
        <f>IF(ISERROR(Y84/Q84),"NA",IF(OR(Y84/Q84&gt;2,Y84/Q84&lt;0.5),"NM",(Y84/Q84-1)*100))</f>
        <v>4.0604010000000024</v>
      </c>
      <c r="AA84" s="28"/>
      <c r="AB84" s="180"/>
      <c r="AC84" s="85"/>
      <c r="AD84" s="85">
        <v>745</v>
      </c>
      <c r="AE84" s="61"/>
      <c r="AF84" s="85">
        <v>923</v>
      </c>
      <c r="AG84" s="61">
        <f>IF(ISERROR(AF84/AD84),"NA",IF(OR(AF84/AD84&gt;2,AF84/AD84&lt;0.5),"NM",(AF84/AD84-1)*100))</f>
        <v>23.892617449664421</v>
      </c>
      <c r="AH84" s="85">
        <v>1419</v>
      </c>
      <c r="AI84" s="61">
        <f>IF(ISERROR(AH84/AF84),"NA",IF(OR(AH84/AF84&gt;2,AH84/AF84&lt;0.5),"NM",(AH84/AF84-1)*100))</f>
        <v>53.737811484290354</v>
      </c>
      <c r="AJ84" s="56">
        <f>AJ82+AJ83</f>
        <v>1389.25</v>
      </c>
      <c r="AK84" s="61">
        <f>IF(ISERROR(AJ84/AH84),"NA",IF(OR(AJ84/AH84&gt;2,AJ84/AH84&lt;0.5),"NM",(AJ84/AH84-1)*100))</f>
        <v>-2.0965468639887241</v>
      </c>
      <c r="AL84" s="56">
        <f>AL82+AL83</f>
        <v>1416</v>
      </c>
      <c r="AM84" s="61">
        <f>IF(ISERROR(AL84/AJ84),"NA",IF(OR(AL84/AJ84&gt;2,AL84/AJ84&lt;0.5),"NM",(AL84/AJ84-1)*100))</f>
        <v>1.9254993701637524</v>
      </c>
      <c r="AN84" s="56">
        <f>AN82+AN83</f>
        <v>1451.7557735400001</v>
      </c>
      <c r="AO84" s="61">
        <f>IF(ISERROR(AN84/AL84),"NA",IF(OR(AN84/AL84&gt;2,AN84/AL84&lt;0.5),"NM",(AN84/AL84-1)*100))</f>
        <v>2.5251252500000154</v>
      </c>
      <c r="AP84" s="85">
        <f>SUM(AP82:AP83)</f>
        <v>1466.2733312754001</v>
      </c>
      <c r="AQ84" s="61">
        <f>IF(ISERROR(AP84/AN84),"NA",IF(OR(AP84/AN84&gt;2,AP84/AN84&lt;0.5),"NM",(AP84/AN84-1)*100))</f>
        <v>1.0000000000000009</v>
      </c>
      <c r="AR84" s="85">
        <f>SUM(AR82:AR83)</f>
        <v>1480.9360645881541</v>
      </c>
      <c r="AS84" s="61">
        <f>IF(ISERROR(AR84/AP84),"NA",IF(OR(AR84/AP84&gt;2,AR84/AP84&lt;0.5),"NM",(AR84/AP84-1)*100))</f>
        <v>1.0000000000000009</v>
      </c>
      <c r="AT84" s="85">
        <f>SUM(AT82:AT83)</f>
        <v>1495.7454252340358</v>
      </c>
      <c r="AU84" s="61">
        <f>IF(ISERROR(AT84/AR84),"NA",IF(OR(AT84/AR84&gt;2,AT84/AR84&lt;0.5),"NM",(AT84/AR84-1)*100))</f>
        <v>1.0000000000000231</v>
      </c>
      <c r="AV84" s="85">
        <f>SUM(AV82:AV83)</f>
        <v>1510.7028794863761</v>
      </c>
      <c r="AW84" s="61">
        <f>IF(ISERROR(AV84/AT84),"NA",IF(OR(AV84/AT84&gt;2,AV84/AT84&lt;0.5),"NM",(AV84/AT84-1)*100))</f>
        <v>1.0000000000000009</v>
      </c>
      <c r="AX84" s="63">
        <f>IF(ISERROR(((AV84/AL84)^0.2-1)*100),"NA",IF((((AV84/AL84)^0.2-1)*100)&gt;100,"NM",IF((((AV84/AL84)^0.2-1)*100)&lt;-50,"NM",((AV84/AL84)^0.2-1)*100)))</f>
        <v>1.3031991860116499</v>
      </c>
      <c r="AY84" s="96"/>
      <c r="AZ84" s="98"/>
      <c r="BA84"/>
      <c r="BB84"/>
      <c r="BC84"/>
      <c r="BD84"/>
      <c r="BE84"/>
      <c r="BF84"/>
      <c r="BG84" s="31"/>
      <c r="BH84" s="24"/>
      <c r="BI84" s="24"/>
      <c r="BJ84" s="24"/>
      <c r="BK84" s="24"/>
      <c r="BL84" s="24"/>
      <c r="BM84" s="24"/>
      <c r="BN84" s="24"/>
    </row>
    <row r="85" spans="1:66" s="439" customFormat="1" ht="12.75" hidden="1" customHeight="1" outlineLevel="1">
      <c r="A85" s="24"/>
      <c r="B85" s="95" t="s">
        <v>199</v>
      </c>
      <c r="C85" s="197">
        <v>5782</v>
      </c>
      <c r="D85" s="197"/>
      <c r="E85" s="197">
        <v>5804</v>
      </c>
      <c r="F85" s="197"/>
      <c r="G85" s="197">
        <v>5741</v>
      </c>
      <c r="H85" s="61"/>
      <c r="I85" s="387">
        <v>5741</v>
      </c>
      <c r="J85" s="61"/>
      <c r="K85" s="387">
        <v>5741</v>
      </c>
      <c r="L85" s="135">
        <f>IF(ISERROR(K85/C85),"NA",IF(OR(K85/C85&gt;2,K85/C85&lt;0.5),"NM",(K85/C85-1)*100))</f>
        <v>-0.70909719820131389</v>
      </c>
      <c r="M85" s="387">
        <v>5741</v>
      </c>
      <c r="N85" s="135">
        <f>IF(ISERROR(M85/E85),"NA",IF(OR(M85/E85&gt;2,M85/E85&lt;0.5),"NM",(M85/E85-1)*100))</f>
        <v>-1.0854583046175037</v>
      </c>
      <c r="O85" s="387">
        <v>5741</v>
      </c>
      <c r="P85" s="135">
        <f>IF(ISERROR(O85/G85),"NA",IF(OR(O85/G85&gt;2,O85/G85&lt;0.5),"NM",(O85/G85-1)*100))</f>
        <v>0</v>
      </c>
      <c r="Q85" s="387">
        <v>5741</v>
      </c>
      <c r="R85" s="135">
        <f>IF(ISERROR(Q85/I85),"NA",IF(OR(Q85/I85&gt;2,Q85/I85&lt;0.5),"NM",(Q85/I85-1)*100))</f>
        <v>0</v>
      </c>
      <c r="S85" s="85">
        <f>Q85*0.99</f>
        <v>5683.59</v>
      </c>
      <c r="T85" s="135">
        <f>IF(ISERROR(S85/K85),"NA",IF(OR(S85/K85&gt;2,S85/K85&lt;0.5),"NM",(S85/K85-1)*100))</f>
        <v>-1.0000000000000009</v>
      </c>
      <c r="U85" s="85">
        <f>S85*0.99</f>
        <v>5626.7541000000001</v>
      </c>
      <c r="V85" s="135">
        <f>IF(ISERROR(U85/M85),"NA",IF(OR(U85/M85&gt;2,U85/M85&lt;0.5),"NM",(U85/M85-1)*100))</f>
        <v>-1.9900000000000029</v>
      </c>
      <c r="W85" s="85">
        <f>U85*0.99</f>
        <v>5570.4865589999999</v>
      </c>
      <c r="X85" s="135">
        <f>IF(ISERROR(W85/O85),"NA",IF(OR(W85/O85&gt;2,W85/O85&lt;0.5),"NM",(W85/O85-1)*100))</f>
        <v>-2.9700999999999977</v>
      </c>
      <c r="Y85" s="85">
        <f>W85*0.99</f>
        <v>5514.7816934100001</v>
      </c>
      <c r="Z85" s="135">
        <f>IF(ISERROR(Y85/Q85),"NA",IF(OR(Y85/Q85&gt;2,Y85/Q85&lt;0.5),"NM",(Y85/Q85-1)*100))</f>
        <v>-3.9403989999999944</v>
      </c>
      <c r="AA85" s="28"/>
      <c r="AB85" s="180"/>
      <c r="AC85" s="85"/>
      <c r="AD85" s="85">
        <v>0</v>
      </c>
      <c r="AE85" s="61"/>
      <c r="AF85" s="85">
        <v>0</v>
      </c>
      <c r="AG85" s="61" t="str">
        <f>IF(ISERROR(AF85/AD85),"NA",IF(OR(AF85/AD85&gt;2,AF85/AD85&lt;0.5),"NM",(AF85/AD85-1)*100))</f>
        <v>NA</v>
      </c>
      <c r="AH85" s="85">
        <v>1161</v>
      </c>
      <c r="AI85" s="61" t="str">
        <f>IF(ISERROR(AH85/AF85),"NA",IF(OR(AH85/AF85&gt;2,AH85/AF85&lt;0.5),"NM",(AH85/AF85-1)*100))</f>
        <v>NA</v>
      </c>
      <c r="AJ85" s="56">
        <f>AVERAGE(I85,G85,E85,C85)</f>
        <v>5767</v>
      </c>
      <c r="AK85" s="61" t="str">
        <f>IF(ISERROR(AJ85/AH85),"NA",IF(OR(AJ85/AH85&gt;2,AJ85/AH85&lt;0.5),"NM",(AJ85/AH85-1)*100))</f>
        <v>NM</v>
      </c>
      <c r="AL85" s="56">
        <f>AVERAGE(K85,M85,O85,Q85)</f>
        <v>5741</v>
      </c>
      <c r="AM85" s="61">
        <f>IF(ISERROR(AL85/AJ85),"NA",IF(OR(AL85/AJ85&gt;2,AL85/AJ85&lt;0.5),"NM",(AL85/AJ85-1)*100))</f>
        <v>-0.45084099185017656</v>
      </c>
      <c r="AN85" s="56">
        <f>AVERAGE(S85,U85,W85,Y85)</f>
        <v>5598.9030881025001</v>
      </c>
      <c r="AO85" s="61">
        <f>IF(ISERROR(AN85/AL85),"NA",IF(OR(AN85/AL85&gt;2,AN85/AL85&lt;0.5),"NM",(AN85/AL85-1)*100))</f>
        <v>-2.4751247500000018</v>
      </c>
      <c r="AP85" s="85">
        <f>AN85*0.99</f>
        <v>5542.9140572214746</v>
      </c>
      <c r="AQ85" s="61">
        <f>IF(ISERROR(AP85/AN85),"NA",IF(OR(AP85/AN85&gt;2,AP85/AN85&lt;0.5),"NM",(AP85/AN85-1)*100))</f>
        <v>-1.000000000000012</v>
      </c>
      <c r="AR85" s="85">
        <f>AP85*0.99</f>
        <v>5487.4849166492595</v>
      </c>
      <c r="AS85" s="61">
        <f>IF(ISERROR(AR85/AP85),"NA",IF(OR(AR85/AP85&gt;2,AR85/AP85&lt;0.5),"NM",(AR85/AP85-1)*100))</f>
        <v>-1.000000000000012</v>
      </c>
      <c r="AT85" s="85">
        <f>AR85*0.99</f>
        <v>5432.6100674827667</v>
      </c>
      <c r="AU85" s="61">
        <f>IF(ISERROR(AT85/AR85),"NA",IF(OR(AT85/AR85&gt;2,AT85/AR85&lt;0.5),"NM",(AT85/AR85-1)*100))</f>
        <v>-1.0000000000000009</v>
      </c>
      <c r="AV85" s="85">
        <f>AT85*0.99</f>
        <v>5378.2839668079387</v>
      </c>
      <c r="AW85" s="61">
        <f>IF(ISERROR(AV85/AT85),"NA",IF(OR(AV85/AT85&gt;2,AV85/AT85&lt;0.5),"NM",(AV85/AT85-1)*100))</f>
        <v>-1.0000000000000009</v>
      </c>
      <c r="AX85" s="63">
        <f>IF(ISERROR(((AV85/AL85)^0.2-1)*100),"NA",IF((((AV85/AL85)^0.2-1)*100)&gt;100,"NM",IF((((AV85/AL85)^0.2-1)*100)&lt;-50,"NM",((AV85/AL85)^0.2-1)*100)))</f>
        <v>-1.2967992142126517</v>
      </c>
      <c r="AY85" s="96"/>
      <c r="AZ85" s="98"/>
      <c r="BA85"/>
      <c r="BB85"/>
      <c r="BC85"/>
      <c r="BD85"/>
      <c r="BE85"/>
      <c r="BF85"/>
      <c r="BG85" s="31"/>
      <c r="BH85" s="24"/>
      <c r="BI85" s="24"/>
      <c r="BJ85" s="24"/>
      <c r="BK85" s="24"/>
      <c r="BL85" s="24"/>
      <c r="BM85" s="24"/>
      <c r="BN85" s="24"/>
    </row>
    <row r="86" spans="1:66" s="439" customFormat="1" ht="12" customHeight="1" collapsed="1">
      <c r="A86" s="24"/>
      <c r="B86" s="95"/>
      <c r="C86" s="85"/>
      <c r="D86" s="61"/>
      <c r="E86" s="85"/>
      <c r="F86" s="61"/>
      <c r="G86" s="85"/>
      <c r="H86" s="61"/>
      <c r="I86" s="85"/>
      <c r="J86" s="61"/>
      <c r="K86" s="85"/>
      <c r="L86" s="61"/>
      <c r="M86" s="85"/>
      <c r="N86" s="61"/>
      <c r="O86" s="85"/>
      <c r="P86" s="61"/>
      <c r="Q86" s="85"/>
      <c r="R86" s="61"/>
      <c r="S86" s="85"/>
      <c r="T86" s="61"/>
      <c r="U86" s="85"/>
      <c r="V86" s="61"/>
      <c r="W86" s="85"/>
      <c r="X86" s="61"/>
      <c r="Y86" s="85"/>
      <c r="Z86" s="61"/>
      <c r="AA86" s="28"/>
      <c r="AB86" s="180"/>
      <c r="AC86" s="85"/>
      <c r="AD86" s="85"/>
      <c r="AE86" s="61"/>
      <c r="AF86" s="85"/>
      <c r="AG86" s="61"/>
      <c r="AH86" s="85"/>
      <c r="AI86" s="61"/>
      <c r="AJ86" s="85"/>
      <c r="AK86" s="61"/>
      <c r="AL86" s="85"/>
      <c r="AM86" s="61"/>
      <c r="AN86" s="85"/>
      <c r="AO86" s="61"/>
      <c r="AP86" s="85"/>
      <c r="AQ86" s="61"/>
      <c r="AR86" s="85"/>
      <c r="AS86" s="61"/>
      <c r="AT86" s="85"/>
      <c r="AU86" s="61"/>
      <c r="AV86" s="85"/>
      <c r="AW86" s="61"/>
      <c r="AX86" s="61"/>
      <c r="AY86" s="96"/>
      <c r="AZ86" s="98"/>
      <c r="BA86"/>
      <c r="BB86"/>
      <c r="BC86"/>
      <c r="BD86"/>
      <c r="BE86"/>
      <c r="BF86"/>
      <c r="BG86" s="31"/>
      <c r="BH86" s="24"/>
      <c r="BI86" s="24"/>
      <c r="BJ86" s="24"/>
      <c r="BK86" s="24"/>
      <c r="BL86" s="24"/>
      <c r="BM86" s="24"/>
      <c r="BN86" s="24"/>
    </row>
    <row r="87" spans="1:66" s="439" customFormat="1" ht="12.75" customHeight="1">
      <c r="A87" s="24"/>
      <c r="B87" s="204" t="s">
        <v>143</v>
      </c>
      <c r="C87" s="85"/>
      <c r="D87" s="61"/>
      <c r="E87" s="85"/>
      <c r="F87" s="61"/>
      <c r="G87" s="85"/>
      <c r="H87" s="61"/>
      <c r="I87" s="85"/>
      <c r="J87" s="61"/>
      <c r="K87" s="85"/>
      <c r="L87" s="61"/>
      <c r="M87" s="85"/>
      <c r="N87" s="61"/>
      <c r="O87" s="85"/>
      <c r="P87" s="61"/>
      <c r="Q87" s="85"/>
      <c r="R87" s="61"/>
      <c r="S87" s="85"/>
      <c r="T87" s="61"/>
      <c r="U87" s="85"/>
      <c r="V87" s="61"/>
      <c r="W87" s="85"/>
      <c r="X87" s="61"/>
      <c r="Y87" s="85"/>
      <c r="Z87" s="61"/>
      <c r="AA87" s="28"/>
      <c r="AB87" s="180"/>
      <c r="AC87" s="85"/>
      <c r="AD87" s="85"/>
      <c r="AE87" s="61"/>
      <c r="AF87" s="85"/>
      <c r="AG87" s="61"/>
      <c r="AH87" s="85"/>
      <c r="AI87" s="61"/>
      <c r="AJ87" s="85"/>
      <c r="AK87" s="61"/>
      <c r="AL87" s="85"/>
      <c r="AM87" s="61"/>
      <c r="AN87" s="85"/>
      <c r="AO87" s="61"/>
      <c r="AP87" s="85"/>
      <c r="AQ87" s="61"/>
      <c r="AR87" s="85"/>
      <c r="AS87" s="61"/>
      <c r="AT87" s="85"/>
      <c r="AU87" s="61"/>
      <c r="AV87" s="85"/>
      <c r="AW87" s="61"/>
      <c r="AX87" s="61"/>
      <c r="AY87" s="96"/>
      <c r="AZ87" s="98"/>
      <c r="BA87"/>
      <c r="BB87"/>
      <c r="BC87"/>
      <c r="BD87"/>
      <c r="BE87"/>
      <c r="BF87"/>
      <c r="BG87" s="31"/>
      <c r="BH87" s="24"/>
      <c r="BI87" s="24"/>
      <c r="BJ87" s="24"/>
      <c r="BK87" s="24"/>
      <c r="BL87" s="24"/>
      <c r="BM87" s="24"/>
      <c r="BN87" s="24"/>
    </row>
    <row r="88" spans="1:66" s="257" customFormat="1" ht="12.75" customHeight="1">
      <c r="A88" s="24"/>
      <c r="B88" s="205" t="s">
        <v>145</v>
      </c>
      <c r="C88" s="206">
        <v>26</v>
      </c>
      <c r="D88" s="25"/>
      <c r="E88" s="206">
        <v>28</v>
      </c>
      <c r="F88" s="200"/>
      <c r="G88" s="206">
        <v>31</v>
      </c>
      <c r="H88" s="25"/>
      <c r="I88" s="206">
        <v>31</v>
      </c>
      <c r="J88" s="25"/>
      <c r="K88" s="206">
        <v>33</v>
      </c>
      <c r="L88" s="25">
        <v>1.4811124577611468</v>
      </c>
      <c r="M88" s="206">
        <v>35</v>
      </c>
      <c r="N88" s="25">
        <v>1.4811124577611468</v>
      </c>
      <c r="O88" s="206">
        <v>37</v>
      </c>
      <c r="P88" s="25">
        <v>1.4811124577611468</v>
      </c>
      <c r="Q88" s="206">
        <v>38</v>
      </c>
      <c r="R88" s="25">
        <v>1.4811124577611468</v>
      </c>
      <c r="S88" s="206">
        <f>Q88*1.01</f>
        <v>38.380000000000003</v>
      </c>
      <c r="T88" s="25">
        <v>1.4811124577611468</v>
      </c>
      <c r="U88" s="206">
        <f>S88*1.01</f>
        <v>38.763800000000003</v>
      </c>
      <c r="V88" s="25">
        <v>1.4811124577611468</v>
      </c>
      <c r="W88" s="206">
        <f>U88*1.01</f>
        <v>39.151438000000006</v>
      </c>
      <c r="X88" s="25">
        <v>1.4811124577611468</v>
      </c>
      <c r="Y88" s="206">
        <f>W88*1.01</f>
        <v>39.54295238000001</v>
      </c>
      <c r="Z88" s="25">
        <v>1.4811124577611468</v>
      </c>
      <c r="AA88" s="87"/>
      <c r="AB88" s="180"/>
      <c r="AC88" s="86"/>
      <c r="AD88" s="114">
        <f>AD114-AD50</f>
        <v>-1</v>
      </c>
      <c r="AE88" s="25">
        <v>5.8163776629866382</v>
      </c>
      <c r="AF88" s="114">
        <f>AF114-AF50</f>
        <v>0</v>
      </c>
      <c r="AG88" s="25" t="str">
        <f>IF(ISERROR(AF88/AD88),"NA",IF(OR(AF88/AD88&gt;2,AF88/AD88&lt;0.5),"NM",(AF88/AD88-1)*100))</f>
        <v>NM</v>
      </c>
      <c r="AH88" s="114">
        <f>AH114-AH50</f>
        <v>33</v>
      </c>
      <c r="AI88" s="25" t="str">
        <f>IF(ISERROR(AH88/AF88),"NA",IF(OR(AH88/AF88&gt;2,AH88/AF88&lt;0.5),"NM",(AH88/AF88-1)*100))</f>
        <v>NA</v>
      </c>
      <c r="AJ88" s="209">
        <f>I88+G88+E88+C88</f>
        <v>116</v>
      </c>
      <c r="AK88" s="25" t="str">
        <f>IF(ISERROR(AJ88/AH88),"NA",IF(OR(AJ88/AH88&gt;2,AJ88/AH88&lt;0.5),"NM",(AJ88/AH88-1)*100))</f>
        <v>NM</v>
      </c>
      <c r="AL88" s="209">
        <f>K88+M88+O88+Q88</f>
        <v>143</v>
      </c>
      <c r="AM88" s="25">
        <f>IF(ISERROR(AL88/AJ88),"NA",IF(OR(AL88/AJ88&gt;2,AL88/AJ88&lt;0.5),"NM",(AL88/AJ88-1)*100))</f>
        <v>23.275862068965523</v>
      </c>
      <c r="AN88" s="209">
        <f>S88+U88+W88+Y88</f>
        <v>155.83819038000001</v>
      </c>
      <c r="AO88" s="25">
        <f>IF(ISERROR(AN88/AL88),"NA",IF(OR(AN88/AL88&gt;2,AN88/AL88&lt;0.5),"NM",(AN88/AL88-1)*100))</f>
        <v>8.9777555104895157</v>
      </c>
      <c r="AP88" s="206">
        <f>AN88*1.02</f>
        <v>158.95495418760001</v>
      </c>
      <c r="AQ88" s="25">
        <f>IF(ISERROR(AP88/AN88),"NA",IF(OR(AP88/AN88&gt;2,AP88/AN88&lt;0.5),"NM",(AP88/AN88-1)*100))</f>
        <v>2.0000000000000018</v>
      </c>
      <c r="AR88" s="206">
        <f>AP88*1.02</f>
        <v>162.134053271352</v>
      </c>
      <c r="AS88" s="25">
        <f>IF(ISERROR(AR88/AP88),"NA",IF(OR(AR88/AP88&gt;2,AR88/AP88&lt;0.5),"NM",(AR88/AP88-1)*100))</f>
        <v>2.0000000000000018</v>
      </c>
      <c r="AT88" s="206">
        <f>AR88*1.02</f>
        <v>165.37673433677904</v>
      </c>
      <c r="AU88" s="25">
        <f>IF(ISERROR(AT88/AR88),"NA",IF(OR(AT88/AR88&gt;2,AT88/AR88&lt;0.5),"NM",(AT88/AR88-1)*100))</f>
        <v>2.0000000000000018</v>
      </c>
      <c r="AV88" s="206">
        <f>AT88*1.02</f>
        <v>168.68426902351462</v>
      </c>
      <c r="AW88" s="25">
        <f>IF(ISERROR(AV88/AT88),"NA",IF(OR(AV88/AT88&gt;2,AV88/AT88&lt;0.5),"NM",(AV88/AT88-1)*100))</f>
        <v>2.0000000000000018</v>
      </c>
      <c r="AX88" s="63">
        <f>IF(ISERROR(((AV88/AL88)^0.2-1)*100),"NA",IF((((AV88/AL88)^0.2-1)*100)&gt;100,"NM",IF((((AV88/AL88)^0.2-1)*100)&lt;-50,"NM",((AV88/AL88)^0.2-1)*100)))</f>
        <v>3.358859666059355</v>
      </c>
      <c r="AY88" s="58"/>
      <c r="AZ88" s="88"/>
      <c r="BA88"/>
      <c r="BB88"/>
      <c r="BC88"/>
      <c r="BD88"/>
      <c r="BE88"/>
      <c r="BF88"/>
      <c r="BG88" s="31"/>
      <c r="BH88" s="89"/>
      <c r="BI88" s="87"/>
      <c r="BJ88" s="87"/>
      <c r="BK88" s="87"/>
      <c r="BL88" s="87"/>
      <c r="BM88" s="87"/>
      <c r="BN88" s="24"/>
    </row>
    <row r="89" spans="1:66" s="257" customFormat="1" ht="12.75" customHeight="1">
      <c r="A89" s="24"/>
      <c r="B89" s="205" t="s">
        <v>146</v>
      </c>
      <c r="C89" s="199">
        <v>-37</v>
      </c>
      <c r="D89" s="25"/>
      <c r="E89" s="199">
        <v>-12</v>
      </c>
      <c r="F89" s="200"/>
      <c r="G89" s="199">
        <v>-8</v>
      </c>
      <c r="H89" s="209"/>
      <c r="I89" s="199">
        <v>18</v>
      </c>
      <c r="J89" s="209"/>
      <c r="K89" s="199">
        <v>1</v>
      </c>
      <c r="L89" s="209">
        <v>9.3044240000000222</v>
      </c>
      <c r="M89" s="199">
        <v>29</v>
      </c>
      <c r="N89" s="209">
        <v>9.3044240000000222</v>
      </c>
      <c r="O89" s="199">
        <v>15</v>
      </c>
      <c r="P89" s="209">
        <v>9.3044240000000222</v>
      </c>
      <c r="Q89" s="199">
        <v>-6</v>
      </c>
      <c r="R89" s="209">
        <v>9.3044240000000222</v>
      </c>
      <c r="S89" s="199">
        <v>15</v>
      </c>
      <c r="T89" s="209">
        <v>9.3044240000000222</v>
      </c>
      <c r="U89" s="199">
        <f>S89</f>
        <v>15</v>
      </c>
      <c r="V89" s="209">
        <v>9.3044240000000222</v>
      </c>
      <c r="W89" s="199">
        <f>U89</f>
        <v>15</v>
      </c>
      <c r="X89" s="209">
        <v>9.3044240000000222</v>
      </c>
      <c r="Y89" s="199">
        <f>W89</f>
        <v>15</v>
      </c>
      <c r="Z89" s="209">
        <v>9.3044240000000222</v>
      </c>
      <c r="AA89" s="87"/>
      <c r="AB89" s="180"/>
      <c r="AC89" s="86"/>
      <c r="AD89" s="209">
        <f>AD115-AD51</f>
        <v>368</v>
      </c>
      <c r="AE89" s="25">
        <v>8.6472036079197068</v>
      </c>
      <c r="AF89" s="209">
        <f>AF115-AF51</f>
        <v>55</v>
      </c>
      <c r="AG89" s="25">
        <v>8.6472036079197068</v>
      </c>
      <c r="AH89" s="209">
        <f>AH115-AH51</f>
        <v>2</v>
      </c>
      <c r="AI89" s="25">
        <v>8.6472036079197068</v>
      </c>
      <c r="AJ89" s="209">
        <f>I89+G89+E89+C89</f>
        <v>-39</v>
      </c>
      <c r="AK89" s="25">
        <v>8.6472036079197068</v>
      </c>
      <c r="AL89" s="209">
        <f>K89+M89+O89+Q89</f>
        <v>39</v>
      </c>
      <c r="AM89" s="25">
        <v>8.6472036079197068</v>
      </c>
      <c r="AN89" s="209">
        <f>S89+U89+W89+Y89</f>
        <v>60</v>
      </c>
      <c r="AO89" s="25">
        <v>8.6472036079197068</v>
      </c>
      <c r="AP89" s="199">
        <f>AN89*0.98</f>
        <v>58.8</v>
      </c>
      <c r="AQ89" s="25">
        <v>8.6472036079197068</v>
      </c>
      <c r="AR89" s="199">
        <f>AP89*0.98</f>
        <v>57.623999999999995</v>
      </c>
      <c r="AS89" s="25">
        <v>8.6472036079197068</v>
      </c>
      <c r="AT89" s="199">
        <f>AR89*0.98</f>
        <v>56.471519999999991</v>
      </c>
      <c r="AU89" s="25">
        <v>8.6472036079197068</v>
      </c>
      <c r="AV89" s="199">
        <f>AT89*0.98</f>
        <v>55.342089599999987</v>
      </c>
      <c r="AW89" s="25">
        <v>8.6472036079197068</v>
      </c>
      <c r="AX89" s="63">
        <f>IF(ISERROR(((AV89/AL89)^0.2-1)*100),"NA",IF((((AV89/AL89)^0.2-1)*100)&gt;100,"NM",IF((((AV89/AL89)^0.2-1)*100)&lt;-50,"NM",((AV89/AL89)^0.2-1)*100)))</f>
        <v>7.2502193848656082</v>
      </c>
      <c r="AY89" s="58"/>
      <c r="AZ89" s="88"/>
      <c r="BA89"/>
      <c r="BB89"/>
      <c r="BC89"/>
      <c r="BD89"/>
      <c r="BE89"/>
      <c r="BF89"/>
      <c r="BG89" s="31"/>
      <c r="BH89" s="89"/>
      <c r="BI89" s="87"/>
      <c r="BJ89" s="87"/>
      <c r="BK89" s="87"/>
      <c r="BL89" s="87"/>
      <c r="BM89" s="87"/>
      <c r="BN89" s="24"/>
    </row>
    <row r="90" spans="1:66" s="436" customFormat="1" ht="12.75" customHeight="1">
      <c r="A90" s="220"/>
      <c r="B90" s="202" t="s">
        <v>144</v>
      </c>
      <c r="C90" s="212">
        <f>C88+C89</f>
        <v>-11</v>
      </c>
      <c r="D90" s="212"/>
      <c r="E90" s="212">
        <f>E88+E89</f>
        <v>16</v>
      </c>
      <c r="F90" s="212"/>
      <c r="G90" s="212">
        <f>G88+G89</f>
        <v>23</v>
      </c>
      <c r="H90" s="212"/>
      <c r="I90" s="212">
        <f>I88+I89</f>
        <v>49</v>
      </c>
      <c r="J90" s="212"/>
      <c r="K90" s="212">
        <f>K88+K89</f>
        <v>34</v>
      </c>
      <c r="L90" s="135" t="str">
        <f>IF(ISERROR(K90/C90),"NA",IF(OR(K90/C90&gt;2,K90/C90&lt;0.5),"NM",(K90/C90-1)*100))</f>
        <v>NM</v>
      </c>
      <c r="M90" s="212">
        <f>M88+M89</f>
        <v>64</v>
      </c>
      <c r="N90" s="135" t="str">
        <f>IF(ISERROR(M90/E90),"NA",IF(OR(M90/E90&gt;2,M90/E90&lt;0.5),"NM",(M90/E90-1)*100))</f>
        <v>NM</v>
      </c>
      <c r="O90" s="212">
        <f>O88+O89</f>
        <v>52</v>
      </c>
      <c r="P90" s="135" t="str">
        <f>IF(ISERROR(O90/G90),"NA",IF(OR(O90/G90&gt;2,O90/G90&lt;0.5),"NM",(O90/G90-1)*100))</f>
        <v>NM</v>
      </c>
      <c r="Q90" s="212">
        <f>Q88+Q89</f>
        <v>32</v>
      </c>
      <c r="R90" s="135">
        <f>IF(ISERROR(Q90/I90),"NA",IF(OR(Q90/I90&gt;2,Q90/I90&lt;0.5),"NM",(Q90/I90-1)*100))</f>
        <v>-34.693877551020414</v>
      </c>
      <c r="S90" s="212">
        <f>S88+S89</f>
        <v>53.38</v>
      </c>
      <c r="T90" s="135">
        <f>IF(ISERROR(S90/K90),"NA",IF(OR(S90/K90&gt;2,S90/K90&lt;0.5),"NM",(S90/K90-1)*100))</f>
        <v>57.000000000000007</v>
      </c>
      <c r="U90" s="212">
        <f>U88+U89</f>
        <v>53.763800000000003</v>
      </c>
      <c r="V90" s="135">
        <f>IF(ISERROR(U90/M90),"NA",IF(OR(U90/M90&gt;2,U90/M90&lt;0.5),"NM",(U90/M90-1)*100))</f>
        <v>-15.994062499999995</v>
      </c>
      <c r="W90" s="212">
        <f>W88+W89</f>
        <v>54.151438000000006</v>
      </c>
      <c r="X90" s="135">
        <f>IF(ISERROR(W90/O90),"NA",IF(OR(W90/O90&gt;2,W90/O90&lt;0.5),"NM",(W90/O90-1)*100))</f>
        <v>4.1373807692307807</v>
      </c>
      <c r="Y90" s="212">
        <f>Y88+Y89</f>
        <v>54.54295238000001</v>
      </c>
      <c r="Z90" s="135">
        <f>IF(ISERROR(Y90/Q90),"NA",IF(OR(Y90/Q90&gt;2,Y90/Q90&lt;0.5),"NM",(Y90/Q90-1)*100))</f>
        <v>70.446726187500033</v>
      </c>
      <c r="AA90" s="220"/>
      <c r="AB90" s="181"/>
      <c r="AC90" s="117"/>
      <c r="AD90" s="212">
        <f>AD88+AD89</f>
        <v>367</v>
      </c>
      <c r="AE90" s="103"/>
      <c r="AF90" s="212">
        <f>AF88+AF89</f>
        <v>55</v>
      </c>
      <c r="AG90" s="25" t="str">
        <f>IF(ISERROR(AF90/AD90),"NA",IF(OR(AF90/AD90&gt;2,AF90/AD90&lt;0.5),"NM",(AF90/AD90-1)*100))</f>
        <v>NM</v>
      </c>
      <c r="AH90" s="212">
        <f>AH88+AH89</f>
        <v>35</v>
      </c>
      <c r="AI90" s="25">
        <f>IF(ISERROR(AH90/AF90),"NA",IF(OR(AH90/AF90&gt;2,AH90/AF90&lt;0.5),"NM",(AH90/AF90-1)*100))</f>
        <v>-36.363636363636367</v>
      </c>
      <c r="AJ90" s="212">
        <f>AJ88+AJ89</f>
        <v>77</v>
      </c>
      <c r="AK90" s="25" t="str">
        <f>IF(ISERROR(AJ90/AH90),"NA",IF(OR(AJ90/AH90&gt;2,AJ90/AH90&lt;0.5),"NM",(AJ90/AH90-1)*100))</f>
        <v>NM</v>
      </c>
      <c r="AL90" s="212">
        <f>AL88+AL89</f>
        <v>182</v>
      </c>
      <c r="AM90" s="25" t="str">
        <f>IF(ISERROR(AL90/AJ90),"NA",IF(OR(AL90/AJ90&gt;2,AL90/AJ90&lt;0.5),"NM",(AL90/AJ90-1)*100))</f>
        <v>NM</v>
      </c>
      <c r="AN90" s="212">
        <f>AN88+AN89</f>
        <v>215.83819038000001</v>
      </c>
      <c r="AO90" s="25">
        <f>IF(ISERROR(AN90/AL90),"NA",IF(OR(AN90/AL90&gt;2,AN90/AL90&lt;0.5),"NM",(AN90/AL90-1)*100))</f>
        <v>18.592412296703298</v>
      </c>
      <c r="AP90" s="212">
        <f>AP88+AP89</f>
        <v>217.75495418759999</v>
      </c>
      <c r="AQ90" s="25">
        <f>IF(ISERROR(AP90/AN90),"NA",IF(OR(AP90/AN90&gt;2,AP90/AN90&lt;0.5),"NM",(AP90/AN90-1)*100))</f>
        <v>0.8880559108771946</v>
      </c>
      <c r="AR90" s="212">
        <f>AR88+AR89</f>
        <v>219.758053271352</v>
      </c>
      <c r="AS90" s="25">
        <f>IF(ISERROR(AR90/AP90),"NA",IF(OR(AR90/AP90&gt;2,AR90/AP90&lt;0.5),"NM",(AR90/AP90-1)*100))</f>
        <v>0.91988680176080528</v>
      </c>
      <c r="AT90" s="212">
        <f>AT88+AT89</f>
        <v>221.84825433677904</v>
      </c>
      <c r="AU90" s="25">
        <f>IF(ISERROR(AT90/AR90),"NA",IF(OR(AT90/AR90&gt;2,AT90/AR90&lt;0.5),"NM",(AT90/AR90-1)*100))</f>
        <v>0.95113741422077069</v>
      </c>
      <c r="AV90" s="212">
        <f>AV88+AV89</f>
        <v>224.0263586235146</v>
      </c>
      <c r="AW90" s="25">
        <f>IF(ISERROR(AV90/AT90),"NA",IF(OR(AV90/AT90&gt;2,AV90/AT90&lt;0.5),"NM",(AV90/AT90-1)*100))</f>
        <v>0.98179915512386362</v>
      </c>
      <c r="AX90" s="63">
        <f>IF(ISERROR(((AV90/AL90)^0.2-1)*100),"NA",IF((((AV90/AL90)^0.2-1)*100)&gt;100,"NM",IF((((AV90/AL90)^0.2-1)*100)&lt;-50,"NM",((AV90/AL90)^0.2-1)*100)))</f>
        <v>4.2426747522280372</v>
      </c>
      <c r="AY90" s="118"/>
      <c r="AZ90" s="211"/>
      <c r="BA90"/>
      <c r="BB90"/>
      <c r="BC90"/>
      <c r="BD90"/>
      <c r="BE90"/>
      <c r="BF90"/>
      <c r="BG90" s="210"/>
      <c r="BH90" s="220"/>
      <c r="BI90" s="220"/>
      <c r="BJ90" s="220"/>
      <c r="BK90" s="220"/>
      <c r="BL90" s="220"/>
      <c r="BM90" s="220"/>
      <c r="BN90" s="24"/>
    </row>
    <row r="91" spans="1:66" s="436" customFormat="1" ht="12.75" customHeight="1">
      <c r="A91" s="220"/>
      <c r="B91" s="202"/>
      <c r="C91" s="212"/>
      <c r="D91" s="212"/>
      <c r="E91" s="212"/>
      <c r="F91" s="212"/>
      <c r="G91" s="212"/>
      <c r="H91" s="212"/>
      <c r="I91" s="212"/>
      <c r="J91" s="212"/>
      <c r="K91" s="212"/>
      <c r="L91" s="212"/>
      <c r="M91" s="212"/>
      <c r="N91" s="212"/>
      <c r="O91" s="212"/>
      <c r="P91" s="212"/>
      <c r="Q91" s="212"/>
      <c r="R91" s="212"/>
      <c r="S91" s="212"/>
      <c r="T91" s="212"/>
      <c r="U91" s="212"/>
      <c r="V91" s="212"/>
      <c r="W91" s="212"/>
      <c r="X91" s="212"/>
      <c r="Y91" s="212"/>
      <c r="Z91" s="212"/>
      <c r="AA91" s="220"/>
      <c r="AB91" s="181"/>
      <c r="AC91" s="117"/>
      <c r="AD91" s="212"/>
      <c r="AE91" s="103"/>
      <c r="AF91" s="212"/>
      <c r="AG91" s="103"/>
      <c r="AH91" s="212"/>
      <c r="AI91" s="103"/>
      <c r="AJ91" s="212"/>
      <c r="AK91" s="103"/>
      <c r="AL91" s="212"/>
      <c r="AM91" s="103"/>
      <c r="AN91" s="212"/>
      <c r="AO91" s="103"/>
      <c r="AP91" s="212"/>
      <c r="AQ91" s="103"/>
      <c r="AR91" s="212"/>
      <c r="AS91" s="103"/>
      <c r="AT91" s="212"/>
      <c r="AU91" s="103"/>
      <c r="AV91" s="212"/>
      <c r="AW91" s="103"/>
      <c r="AX91" s="63"/>
      <c r="AY91" s="118"/>
      <c r="AZ91" s="211"/>
      <c r="BA91"/>
      <c r="BB91"/>
      <c r="BC91"/>
      <c r="BD91"/>
      <c r="BE91"/>
      <c r="BF91"/>
      <c r="BG91" s="210"/>
      <c r="BH91" s="220"/>
      <c r="BI91" s="220"/>
      <c r="BJ91" s="220"/>
      <c r="BK91" s="220"/>
      <c r="BL91" s="220"/>
      <c r="BM91" s="220"/>
      <c r="BN91" s="24"/>
    </row>
    <row r="92" spans="1:66" s="248" customFormat="1" ht="12.75" hidden="1" customHeight="1" outlineLevel="1">
      <c r="A92" s="54"/>
      <c r="B92" s="207" t="s">
        <v>147</v>
      </c>
      <c r="C92" s="90"/>
      <c r="D92" s="61"/>
      <c r="E92" s="90"/>
      <c r="F92" s="61"/>
      <c r="G92" s="90"/>
      <c r="H92" s="61"/>
      <c r="I92" s="90"/>
      <c r="J92" s="61"/>
      <c r="K92" s="90"/>
      <c r="L92" s="61"/>
      <c r="M92" s="90"/>
      <c r="N92" s="61"/>
      <c r="O92" s="90"/>
      <c r="P92" s="61"/>
      <c r="Q92" s="90"/>
      <c r="R92" s="61"/>
      <c r="S92" s="90"/>
      <c r="T92" s="61"/>
      <c r="U92" s="90"/>
      <c r="V92" s="61"/>
      <c r="W92" s="90"/>
      <c r="X92" s="61"/>
      <c r="Y92" s="90"/>
      <c r="Z92" s="61"/>
      <c r="AA92" s="54"/>
      <c r="AB92" s="180"/>
      <c r="AC92" s="64"/>
      <c r="AD92" s="90"/>
      <c r="AE92" s="61"/>
      <c r="AF92" s="90"/>
      <c r="AG92" s="61"/>
      <c r="AH92" s="90"/>
      <c r="AI92" s="61"/>
      <c r="AJ92" s="69"/>
      <c r="AK92" s="61"/>
      <c r="AL92" s="69"/>
      <c r="AM92" s="61"/>
      <c r="AN92" s="69"/>
      <c r="AO92" s="61"/>
      <c r="AP92" s="66"/>
      <c r="AQ92" s="61"/>
      <c r="AR92" s="66"/>
      <c r="AS92" s="61"/>
      <c r="AT92" s="66"/>
      <c r="AU92" s="61"/>
      <c r="AV92" s="66"/>
      <c r="AW92" s="61"/>
      <c r="AX92" s="63"/>
      <c r="AY92" s="58"/>
      <c r="AZ92" s="59"/>
      <c r="BA92"/>
      <c r="BB92"/>
      <c r="BC92"/>
      <c r="BD92"/>
      <c r="BE92"/>
      <c r="BF92"/>
      <c r="BG92" s="31"/>
      <c r="BH92" s="54"/>
      <c r="BI92" s="54"/>
      <c r="BJ92" s="54"/>
      <c r="BK92" s="54"/>
      <c r="BL92" s="54"/>
      <c r="BM92" s="54"/>
      <c r="BN92" s="24"/>
    </row>
    <row r="93" spans="1:66" s="437" customFormat="1" ht="12.75" hidden="1" customHeight="1" outlineLevel="1">
      <c r="A93" s="70"/>
      <c r="B93" s="205" t="s">
        <v>148</v>
      </c>
      <c r="C93" s="388">
        <v>7.08</v>
      </c>
      <c r="D93" s="388"/>
      <c r="E93" s="388">
        <v>5.17</v>
      </c>
      <c r="F93" s="388"/>
      <c r="G93" s="388">
        <v>5.09</v>
      </c>
      <c r="H93" s="388"/>
      <c r="I93" s="388"/>
      <c r="J93" s="219"/>
      <c r="K93" s="388"/>
      <c r="L93" s="135"/>
      <c r="M93" s="388"/>
      <c r="N93" s="135"/>
      <c r="O93" s="388"/>
      <c r="P93" s="135"/>
      <c r="Q93" s="388"/>
      <c r="R93" s="135" t="str">
        <f>IF(ISERROR(Q93/I93),"NA",IF(OR(Q93/I93&gt;2,Q93/I93&lt;0.5),"NM",(Q93/I93-1)*100))</f>
        <v>NA</v>
      </c>
      <c r="S93" s="219"/>
      <c r="T93" s="135" t="str">
        <f>IF(ISERROR(S93/K93),"NA",IF(OR(S93/K93&gt;2,S93/K93&lt;0.5),"NM",(S93/K93-1)*100))</f>
        <v>NA</v>
      </c>
      <c r="U93" s="219"/>
      <c r="V93" s="135" t="str">
        <f>IF(ISERROR(U93/M93),"NA",IF(OR(U93/M93&gt;2,U93/M93&lt;0.5),"NM",(U93/M93-1)*100))</f>
        <v>NA</v>
      </c>
      <c r="W93" s="219"/>
      <c r="X93" s="135" t="str">
        <f>IF(ISERROR(W93/O93),"NA",IF(OR(W93/O93&gt;2,W93/O93&lt;0.5),"NM",(W93/O93-1)*100))</f>
        <v>NA</v>
      </c>
      <c r="Y93" s="219"/>
      <c r="Z93" s="135" t="str">
        <f>IF(ISERROR(Y93/Q93),"NA",IF(OR(Y93/Q93&gt;2,Y93/Q93&lt;0.5),"NM",(Y93/Q93-1)*100))</f>
        <v>NA</v>
      </c>
      <c r="AA93" s="70"/>
      <c r="AB93" s="180"/>
      <c r="AC93" s="71"/>
      <c r="AD93" s="219">
        <v>0</v>
      </c>
      <c r="AE93" s="73"/>
      <c r="AF93" s="219">
        <v>0</v>
      </c>
      <c r="AG93" s="25" t="str">
        <f>IF(ISERROR(AF93/AD93),"NA",IF(OR(AF93/AD93&gt;2,AF93/AD93&lt;0.5),"NM",(AF93/AD93-1)*100))</f>
        <v>NA</v>
      </c>
      <c r="AH93" s="219">
        <v>4.5211517679569022</v>
      </c>
      <c r="AI93" s="25" t="str">
        <f>IF(ISERROR(AH93/AF93),"NA",IF(OR(AH93/AF93&gt;2,AH93/AF93&lt;0.5),"NM",(AH93/AF93-1)*100))</f>
        <v>NA</v>
      </c>
      <c r="AJ93" s="219">
        <v>5.01</v>
      </c>
      <c r="AK93" s="25">
        <f>IF(ISERROR(AJ93/AH93),"NA",IF(OR(AJ93/AH93&gt;2,AJ93/AH93&lt;0.5),"NM",(AJ93/AH93-1)*100))</f>
        <v>10.812471182846561</v>
      </c>
      <c r="AL93" s="219">
        <v>4.46</v>
      </c>
      <c r="AM93" s="25">
        <f>IF(ISERROR(AL93/AJ93),"NA",IF(OR(AL93/AJ93&gt;2,AL93/AJ93&lt;0.5),"NM",(AL93/AJ93-1)*100))</f>
        <v>-10.97804391217565</v>
      </c>
      <c r="AN93" s="219">
        <v>4.46</v>
      </c>
      <c r="AO93" s="25">
        <f>IF(ISERROR(AN93/AL93),"NA",IF(OR(AN93/AL93&gt;2,AN93/AL93&lt;0.5),"NM",(AN93/AL93-1)*100))</f>
        <v>0</v>
      </c>
      <c r="AP93" s="219">
        <v>4.5</v>
      </c>
      <c r="AQ93" s="25">
        <f>IF(ISERROR(AP93/AN93),"NA",IF(OR(AP93/AN93&gt;2,AP93/AN93&lt;0.5),"NM",(AP93/AN93-1)*100))</f>
        <v>0.89686098654708779</v>
      </c>
      <c r="AR93" s="219">
        <v>4.26</v>
      </c>
      <c r="AS93" s="25">
        <f>IF(ISERROR(AR93/AP93),"NA",IF(OR(AR93/AP93&gt;2,AR93/AP93&lt;0.5),"NM",(AR93/AP93-1)*100))</f>
        <v>-5.3333333333333339</v>
      </c>
      <c r="AT93" s="219">
        <v>4.21</v>
      </c>
      <c r="AU93" s="25">
        <f>IF(ISERROR(AT93/AR93),"NA",IF(OR(AT93/AR93&gt;2,AT93/AR93&lt;0.5),"NM",(AT93/AR93-1)*100))</f>
        <v>-1.1737089201877882</v>
      </c>
      <c r="AV93" s="219">
        <v>4.21</v>
      </c>
      <c r="AW93" s="25">
        <f>IF(ISERROR(AV93/AT93),"NA",IF(OR(AV93/AT93&gt;2,AV93/AT93&lt;0.5),"NM",(AV93/AT93-1)*100))</f>
        <v>0</v>
      </c>
      <c r="AX93" s="63">
        <f>IF(ISERROR(((AV93/AL93)^0.2-1)*100),"NA",IF((((AV93/AL93)^0.2-1)*100)&gt;100,"NM",IF((((AV93/AL93)^0.2-1)*100)&lt;-50,"NM",((AV93/AL93)^0.2-1)*100)))</f>
        <v>-1.1470925114582919</v>
      </c>
      <c r="AY93" s="58"/>
      <c r="AZ93" s="75"/>
      <c r="BA93"/>
      <c r="BB93"/>
      <c r="BC93"/>
      <c r="BD93"/>
      <c r="BE93"/>
      <c r="BF93"/>
      <c r="BG93" s="76"/>
      <c r="BH93" s="70"/>
      <c r="BI93" s="70"/>
      <c r="BJ93" s="70"/>
      <c r="BK93" s="70"/>
      <c r="BL93" s="70"/>
      <c r="BM93" s="70"/>
      <c r="BN93" s="24"/>
    </row>
    <row r="94" spans="1:66" s="248" customFormat="1" ht="12.75" hidden="1" customHeight="1" outlineLevel="1">
      <c r="A94" s="54"/>
      <c r="B94" s="205" t="s">
        <v>149</v>
      </c>
      <c r="C94" s="388">
        <v>-14.07</v>
      </c>
      <c r="D94" s="388"/>
      <c r="E94" s="388">
        <v>-2.5299999999999998</v>
      </c>
      <c r="F94" s="388"/>
      <c r="G94" s="388">
        <v>-7.93</v>
      </c>
      <c r="H94" s="388"/>
      <c r="I94" s="388"/>
      <c r="J94" s="219"/>
      <c r="K94" s="388"/>
      <c r="L94" s="135"/>
      <c r="M94" s="388"/>
      <c r="N94" s="135"/>
      <c r="O94" s="388"/>
      <c r="P94" s="135"/>
      <c r="Q94" s="388"/>
      <c r="R94" s="135" t="str">
        <f>IF(ISERROR(Q94/I94),"NA",IF(OR(Q94/I94&gt;2,Q94/I94&lt;0.5),"NM",(Q94/I94-1)*100))</f>
        <v>NA</v>
      </c>
      <c r="S94" s="219"/>
      <c r="T94" s="135" t="str">
        <f>IF(ISERROR(S94/K94),"NA",IF(OR(S94/K94&gt;2,S94/K94&lt;0.5),"NM",(S94/K94-1)*100))</f>
        <v>NA</v>
      </c>
      <c r="U94" s="219"/>
      <c r="V94" s="135" t="str">
        <f>IF(ISERROR(U94/M94),"NA",IF(OR(U94/M94&gt;2,U94/M94&lt;0.5),"NM",(U94/M94-1)*100))</f>
        <v>NA</v>
      </c>
      <c r="W94" s="219"/>
      <c r="X94" s="135" t="str">
        <f>IF(ISERROR(W94/O94),"NA",IF(OR(W94/O94&gt;2,W94/O94&lt;0.5),"NM",(W94/O94-1)*100))</f>
        <v>NA</v>
      </c>
      <c r="Y94" s="219"/>
      <c r="Z94" s="135" t="str">
        <f>IF(ISERROR(Y94/Q94),"NA",IF(OR(Y94/Q94&gt;2,Y94/Q94&lt;0.5),"NM",(Y94/Q94-1)*100))</f>
        <v>NA</v>
      </c>
      <c r="AA94" s="54"/>
      <c r="AB94" s="180"/>
      <c r="AC94" s="77"/>
      <c r="AD94" s="219">
        <v>48.659882267727276</v>
      </c>
      <c r="AE94" s="61"/>
      <c r="AF94" s="219">
        <v>5.9582998182216294</v>
      </c>
      <c r="AG94" s="25" t="str">
        <f>IF(ISERROR(AF94/AD94),"NA",IF(OR(AF94/AD94&gt;2,AF94/AD94&lt;0.5),"NM",(AF94/AD94-1)*100))</f>
        <v>NM</v>
      </c>
      <c r="AH94" s="219">
        <v>0.14412684831512432</v>
      </c>
      <c r="AI94" s="25" t="str">
        <f>IF(ISERROR(AH94/AF94),"NA",IF(OR(AH94/AF94&gt;2,AH94/AF94&lt;0.5),"NM",(AH94/AF94-1)*100))</f>
        <v>NM</v>
      </c>
      <c r="AJ94" s="219">
        <v>-5.04</v>
      </c>
      <c r="AK94" s="25" t="str">
        <f>IF(ISERROR(AJ94/AH94),"NA",IF(OR(AJ94/AH94&gt;2,AJ94/AH94&lt;0.5),"NM",(AJ94/AH94-1)*100))</f>
        <v>NM</v>
      </c>
      <c r="AL94" s="219">
        <v>5.21</v>
      </c>
      <c r="AM94" s="25" t="str">
        <f>IF(ISERROR(AL94/AJ94),"NA",IF(OR(AL94/AJ94&gt;2,AL94/AJ94&lt;0.5),"NM",(AL94/AJ94-1)*100))</f>
        <v>NM</v>
      </c>
      <c r="AN94" s="219">
        <v>5.21</v>
      </c>
      <c r="AO94" s="25">
        <f>IF(ISERROR(AN94/AL94),"NA",IF(OR(AN94/AL94&gt;2,AN94/AL94&lt;0.5),"NM",(AN94/AL94-1)*100))</f>
        <v>0</v>
      </c>
      <c r="AP94" s="219">
        <v>8.43</v>
      </c>
      <c r="AQ94" s="25">
        <f>IF(ISERROR(AP94/AN94),"NA",IF(OR(AP94/AN94&gt;2,AP94/AN94&lt;0.5),"NM",(AP94/AN94-1)*100))</f>
        <v>61.804222648752408</v>
      </c>
      <c r="AR94" s="219">
        <v>7.82</v>
      </c>
      <c r="AS94" s="25">
        <f>IF(ISERROR(AR94/AP94),"NA",IF(OR(AR94/AP94&gt;2,AR94/AP94&lt;0.5),"NM",(AR94/AP94-1)*100))</f>
        <v>-7.2360616844602603</v>
      </c>
      <c r="AT94" s="219">
        <v>5.71</v>
      </c>
      <c r="AU94" s="25">
        <f>IF(ISERROR(AT94/AR94),"NA",IF(OR(AT94/AR94&gt;2,AT94/AR94&lt;0.5),"NM",(AT94/AR94-1)*100))</f>
        <v>-26.98209718670077</v>
      </c>
      <c r="AV94" s="219">
        <v>5.71</v>
      </c>
      <c r="AW94" s="25">
        <f>IF(ISERROR(AV94/AT94),"NA",IF(OR(AV94/AT94&gt;2,AV94/AT94&lt;0.5),"NM",(AV94/AT94-1)*100))</f>
        <v>0</v>
      </c>
      <c r="AX94" s="63">
        <f>IF(ISERROR(((AV94/AL94)^0.2-1)*100),"NA",IF((((AV94/AL94)^0.2-1)*100)&gt;100,"NM",IF((((AV94/AL94)^0.2-1)*100)&lt;-50,"NM",((AV94/AL94)^0.2-1)*100)))</f>
        <v>1.8496819123344777</v>
      </c>
      <c r="AY94" s="58"/>
      <c r="AZ94" s="59"/>
      <c r="BA94"/>
      <c r="BB94"/>
      <c r="BC94"/>
      <c r="BD94"/>
      <c r="BE94"/>
      <c r="BF94"/>
      <c r="BG94" s="31"/>
      <c r="BH94" s="54"/>
      <c r="BI94" s="54"/>
      <c r="BJ94" s="54"/>
      <c r="BK94" s="54"/>
      <c r="BL94" s="54"/>
      <c r="BM94" s="54"/>
      <c r="BN94" s="24"/>
    </row>
    <row r="95" spans="1:66" s="248" customFormat="1" ht="12.75" hidden="1" customHeight="1" outlineLevel="1">
      <c r="A95" s="54"/>
      <c r="B95" s="203" t="s">
        <v>150</v>
      </c>
      <c r="C95" s="297">
        <f>(C93*C82+C94*C83)/C84</f>
        <v>-9.9244748520710058</v>
      </c>
      <c r="D95" s="297"/>
      <c r="E95" s="297">
        <f>(E93*E82+E94*E83)/E84</f>
        <v>-0.5054552075746539</v>
      </c>
      <c r="F95" s="297"/>
      <c r="G95" s="297">
        <f>(G93*G82+G94*G83)/G84</f>
        <v>-2.6888983050847459</v>
      </c>
      <c r="H95" s="297"/>
      <c r="I95" s="297">
        <f>(I93*I82+I94*I83)/I84</f>
        <v>0</v>
      </c>
      <c r="J95" s="297"/>
      <c r="K95" s="297">
        <f>(K93*K82+K94*K83)/K84</f>
        <v>0</v>
      </c>
      <c r="L95" s="135" t="str">
        <f>IF(ISERROR(K95/C95),"NA",IF(OR(K95/C95&gt;2,K95/C95&lt;0.5),"NM",(K95/C95-1)*100))</f>
        <v>NM</v>
      </c>
      <c r="M95" s="297">
        <f>(M93*M82+M94*M83)/M84</f>
        <v>0</v>
      </c>
      <c r="N95" s="135" t="str">
        <f>IF(ISERROR(M95/E95),"NA",IF(OR(M95/E95&gt;2,M95/E95&lt;0.5),"NM",(M95/E95-1)*100))</f>
        <v>NM</v>
      </c>
      <c r="O95" s="297">
        <f>(O93*O82+O94*O83)/O84</f>
        <v>0</v>
      </c>
      <c r="P95" s="135" t="str">
        <f>IF(ISERROR(O95/G95),"NA",IF(OR(O95/G95&gt;2,O95/G95&lt;0.5),"NM",(O95/G95-1)*100))</f>
        <v>NM</v>
      </c>
      <c r="Q95" s="297">
        <f>(Q93*Q82+Q94*Q83)/Q84</f>
        <v>0</v>
      </c>
      <c r="R95" s="135" t="str">
        <f>IF(ISERROR(Q95/I95),"NA",IF(OR(Q95/I95&gt;2,Q95/I95&lt;0.5),"NM",(Q95/I95-1)*100))</f>
        <v>NA</v>
      </c>
      <c r="S95" s="297">
        <f>(S93*S82+S94*S83)/S84</f>
        <v>0</v>
      </c>
      <c r="T95" s="135" t="str">
        <f>IF(ISERROR(S95/K95),"NA",IF(OR(S95/K95&gt;2,S95/K95&lt;0.5),"NM",(S95/K95-1)*100))</f>
        <v>NA</v>
      </c>
      <c r="U95" s="297">
        <f>(U93*U82+U94*U83)/U84</f>
        <v>0</v>
      </c>
      <c r="V95" s="135" t="str">
        <f>IF(ISERROR(U95/M95),"NA",IF(OR(U95/M95&gt;2,U95/M95&lt;0.5),"NM",(U95/M95-1)*100))</f>
        <v>NA</v>
      </c>
      <c r="W95" s="297">
        <f>(W93*W82+W94*W83)/W84</f>
        <v>0</v>
      </c>
      <c r="X95" s="135" t="str">
        <f>IF(ISERROR(W95/O95),"NA",IF(OR(W95/O95&gt;2,W95/O95&lt;0.5),"NM",(W95/O95-1)*100))</f>
        <v>NA</v>
      </c>
      <c r="Y95" s="297">
        <f>(Y93*Y82+Y94*Y83)/Y84</f>
        <v>0</v>
      </c>
      <c r="Z95" s="135" t="str">
        <f>IF(ISERROR(Y95/Q95),"NA",IF(OR(Y95/Q95&gt;2,Y95/Q95&lt;0.5),"NM",(Y95/Q95-1)*100))</f>
        <v>NA</v>
      </c>
      <c r="AA95" s="54"/>
      <c r="AB95" s="180"/>
      <c r="AC95" s="56"/>
      <c r="AD95" s="297">
        <f>(AD93*AD82+AD94*AD83)/AD84</f>
        <v>48.659882267727269</v>
      </c>
      <c r="AE95" s="61"/>
      <c r="AF95" s="297">
        <f>(AF93*AF82+AF94*AF83)/AF84</f>
        <v>5.9582998182216294</v>
      </c>
      <c r="AG95" s="25" t="str">
        <f>IF(ISERROR(AF95/AD95),"NA",IF(OR(AF95/AD95&gt;2,AF95/AD95&lt;0.5),"NM",(AF95/AD95-1)*100))</f>
        <v>NM</v>
      </c>
      <c r="AH95" s="297">
        <f>(AH93*AH82+AH94*AH83)/AH84</f>
        <v>0.85358120456432007</v>
      </c>
      <c r="AI95" s="25" t="str">
        <f>IF(ISERROR(AH95/AF95),"NA",IF(OR(AH95/AF95&gt;2,AH95/AF95&lt;0.5),"NM",(AH95/AF95-1)*100))</f>
        <v>NM</v>
      </c>
      <c r="AJ95" s="297">
        <f>(AJ93*AJ82+AJ94*AJ83)/AJ84</f>
        <v>-1.846136404534821</v>
      </c>
      <c r="AK95" s="25" t="str">
        <f>IF(ISERROR(AJ95/AH95),"NA",IF(OR(AJ95/AH95&gt;2,AJ95/AH95&lt;0.5),"NM",(AJ95/AH95-1)*100))</f>
        <v>NM</v>
      </c>
      <c r="AL95" s="297">
        <f>(AL93*AL82+AL94*AL83)/AL84</f>
        <v>4.9080932203389827</v>
      </c>
      <c r="AM95" s="25" t="str">
        <f>IF(ISERROR(AL95/AJ95),"NA",IF(OR(AL95/AJ95&gt;2,AL95/AJ95&lt;0.5),"NM",(AL95/AJ95-1)*100))</f>
        <v>NM</v>
      </c>
      <c r="AN95" s="297">
        <f>(AN93*AN82+AN94*AN83)/AN84</f>
        <v>4.9080932203389835</v>
      </c>
      <c r="AO95" s="25">
        <f>IF(ISERROR(AN95/AL95),"NA",IF(OR(AN95/AL95&gt;2,AN95/AL95&lt;0.5),"NM",(AN95/AL95-1)*100))</f>
        <v>2.2204460492503131E-14</v>
      </c>
      <c r="AP95" s="297">
        <f>(AP93*AP82+AP94*AP83)/AP84</f>
        <v>6.8480084745762708</v>
      </c>
      <c r="AQ95" s="25">
        <f>IF(ISERROR(AP95/AN95),"NA",IF(OR(AP95/AN95&gt;2,AP95/AN95&lt;0.5),"NM",(AP95/AN95-1)*100))</f>
        <v>39.524824960502784</v>
      </c>
      <c r="AR95" s="297">
        <f>(AR93*AR82+AR94*AR83)/AR84</f>
        <v>6.3869491525423721</v>
      </c>
      <c r="AS95" s="25">
        <f>IF(ISERROR(AR95/AP95),"NA",IF(OR(AR95/AP95&gt;2,AR95/AP95&lt;0.5),"NM",(AR95/AP95-1)*100))</f>
        <v>-6.7327504594308696</v>
      </c>
      <c r="AT95" s="297">
        <f>(AT93*AT82+AT94*AT83)/AT84</f>
        <v>5.1061864406779662</v>
      </c>
      <c r="AU95" s="25">
        <f>IF(ISERROR(AT95/AR95),"NA",IF(OR(AT95/AR95&gt;2,AT95/AR95&lt;0.5),"NM",(AT95/AR95-1)*100))</f>
        <v>-20.05280895894699</v>
      </c>
      <c r="AV95" s="297">
        <f>(AV93*AV82+AV94*AV83)/AV84</f>
        <v>5.1061864406779662</v>
      </c>
      <c r="AW95" s="25">
        <f>IF(ISERROR(AV95/AT95),"NA",IF(OR(AV95/AT95&gt;2,AV95/AT95&lt;0.5),"NM",(AV95/AT95-1)*100))</f>
        <v>0</v>
      </c>
      <c r="AX95" s="63">
        <f>IF(ISERROR(((AV95/AL95)^0.2-1)*100),"NA",IF((((AV95/AL95)^0.2-1)*100)&gt;100,"NM",IF((((AV95/AL95)^0.2-1)*100)&lt;-50,"NM",((AV95/AL95)^0.2-1)*100)))</f>
        <v>0.79448565958266659</v>
      </c>
      <c r="AY95" s="58"/>
      <c r="AZ95" s="59"/>
      <c r="BA95"/>
      <c r="BB95"/>
      <c r="BC95"/>
      <c r="BD95"/>
      <c r="BE95"/>
      <c r="BF95"/>
      <c r="BG95" s="31"/>
      <c r="BH95" s="54"/>
      <c r="BI95" s="54"/>
      <c r="BJ95" s="54"/>
      <c r="BK95" s="54"/>
      <c r="BL95" s="54"/>
      <c r="BM95" s="54"/>
      <c r="BN95" s="24"/>
    </row>
    <row r="96" spans="1:66" s="248" customFormat="1" ht="12.75" customHeight="1" collapsed="1">
      <c r="A96" s="54"/>
      <c r="B96" s="203"/>
      <c r="C96" s="222"/>
      <c r="D96" s="271"/>
      <c r="E96" s="222"/>
      <c r="F96" s="271"/>
      <c r="G96" s="222"/>
      <c r="H96" s="271"/>
      <c r="I96" s="222"/>
      <c r="J96" s="271"/>
      <c r="K96" s="222"/>
      <c r="L96" s="272"/>
      <c r="M96" s="222"/>
      <c r="N96" s="272"/>
      <c r="O96" s="222"/>
      <c r="P96" s="272"/>
      <c r="Q96" s="222"/>
      <c r="R96" s="272"/>
      <c r="S96" s="273"/>
      <c r="T96" s="272"/>
      <c r="U96" s="273"/>
      <c r="V96" s="272"/>
      <c r="W96" s="273"/>
      <c r="X96" s="272"/>
      <c r="Y96" s="273"/>
      <c r="Z96" s="272"/>
      <c r="AA96" s="54"/>
      <c r="AB96" s="180"/>
      <c r="AC96" s="56"/>
      <c r="AD96" s="274"/>
      <c r="AE96" s="61"/>
      <c r="AF96" s="274"/>
      <c r="AG96" s="25"/>
      <c r="AH96" s="274"/>
      <c r="AI96" s="25"/>
      <c r="AJ96" s="274"/>
      <c r="AK96" s="25"/>
      <c r="AL96" s="274"/>
      <c r="AM96" s="25"/>
      <c r="AN96" s="274"/>
      <c r="AO96" s="25"/>
      <c r="AP96" s="274"/>
      <c r="AQ96" s="25"/>
      <c r="AR96" s="274"/>
      <c r="AS96" s="25"/>
      <c r="AT96" s="274"/>
      <c r="AU96" s="25"/>
      <c r="AV96" s="274"/>
      <c r="AW96" s="25"/>
      <c r="AX96" s="63"/>
      <c r="AY96" s="58"/>
      <c r="AZ96" s="59"/>
      <c r="BA96"/>
      <c r="BB96"/>
      <c r="BC96"/>
      <c r="BD96"/>
      <c r="BE96"/>
      <c r="BF96"/>
      <c r="BG96" s="31"/>
      <c r="BH96" s="54"/>
      <c r="BI96" s="54"/>
      <c r="BJ96" s="54"/>
      <c r="BK96" s="54"/>
      <c r="BL96" s="54"/>
      <c r="BM96" s="54"/>
      <c r="BN96" s="24"/>
    </row>
    <row r="97" spans="1:66" s="436" customFormat="1" ht="12.75" customHeight="1">
      <c r="A97" s="220"/>
      <c r="B97" s="204" t="s">
        <v>151</v>
      </c>
      <c r="C97" s="296"/>
      <c r="D97" s="212"/>
      <c r="E97" s="212"/>
      <c r="F97" s="212"/>
      <c r="G97" s="212"/>
      <c r="H97" s="212"/>
      <c r="I97" s="212"/>
      <c r="J97" s="212"/>
      <c r="K97" s="212"/>
      <c r="L97" s="212"/>
      <c r="M97" s="212"/>
      <c r="N97" s="212"/>
      <c r="O97" s="212"/>
      <c r="P97" s="212"/>
      <c r="Q97" s="212"/>
      <c r="R97" s="212"/>
      <c r="S97" s="212"/>
      <c r="T97" s="212"/>
      <c r="U97" s="212"/>
      <c r="V97" s="212"/>
      <c r="W97" s="212"/>
      <c r="X97" s="212"/>
      <c r="Y97" s="212"/>
      <c r="Z97" s="212"/>
      <c r="AA97" s="220"/>
      <c r="AB97" s="181"/>
      <c r="AC97" s="117"/>
      <c r="AD97" s="212"/>
      <c r="AE97" s="103"/>
      <c r="AF97" s="212"/>
      <c r="AG97" s="103"/>
      <c r="AH97" s="212"/>
      <c r="AI97" s="103"/>
      <c r="AJ97" s="212"/>
      <c r="AK97" s="103"/>
      <c r="AL97" s="212"/>
      <c r="AM97" s="103"/>
      <c r="AN97" s="212"/>
      <c r="AO97" s="103"/>
      <c r="AP97" s="212"/>
      <c r="AQ97" s="103"/>
      <c r="AR97" s="212"/>
      <c r="AS97" s="103"/>
      <c r="AT97" s="212"/>
      <c r="AU97" s="103"/>
      <c r="AV97" s="212"/>
      <c r="AW97" s="103"/>
      <c r="AX97" s="63"/>
      <c r="AY97" s="118"/>
      <c r="AZ97" s="211"/>
      <c r="BA97"/>
      <c r="BB97"/>
      <c r="BC97"/>
      <c r="BD97"/>
      <c r="BE97"/>
      <c r="BF97"/>
      <c r="BG97" s="210"/>
      <c r="BH97" s="220"/>
      <c r="BI97" s="220"/>
      <c r="BJ97" s="220"/>
      <c r="BK97" s="220"/>
      <c r="BL97" s="220"/>
      <c r="BM97" s="220"/>
      <c r="BN97" s="24"/>
    </row>
    <row r="98" spans="1:66" s="248" customFormat="1" ht="12.75" customHeight="1">
      <c r="A98" s="54"/>
      <c r="B98" s="203" t="s">
        <v>153</v>
      </c>
      <c r="C98" s="206">
        <v>20</v>
      </c>
      <c r="D98" s="25"/>
      <c r="E98" s="206">
        <v>20</v>
      </c>
      <c r="F98" s="200"/>
      <c r="G98" s="206">
        <v>18</v>
      </c>
      <c r="H98" s="25"/>
      <c r="I98" s="206">
        <v>18</v>
      </c>
      <c r="J98" s="25"/>
      <c r="K98" s="206">
        <v>22</v>
      </c>
      <c r="L98" s="135">
        <f>IF(ISERROR(K98/C98),"NA",IF(OR(K98/C98&gt;2,K98/C98&lt;0.5),"NM",(K98/C98-1)*100))</f>
        <v>10.000000000000009</v>
      </c>
      <c r="M98" s="206">
        <v>26</v>
      </c>
      <c r="N98" s="135">
        <f>IF(ISERROR(M98/E98),"NA",IF(OR(M98/E98&gt;2,M98/E98&lt;0.5),"NM",(M98/E98-1)*100))</f>
        <v>30.000000000000004</v>
      </c>
      <c r="O98" s="206">
        <v>26</v>
      </c>
      <c r="P98" s="135">
        <f>IF(ISERROR(O98/G98),"NA",IF(OR(O98/G98&gt;2,O98/G98&lt;0.5),"NM",(O98/G98-1)*100))</f>
        <v>44.444444444444443</v>
      </c>
      <c r="Q98" s="206">
        <v>32</v>
      </c>
      <c r="R98" s="135">
        <f>IF(ISERROR(Q98/I98),"NA",IF(OR(Q98/I98&gt;2,Q98/I98&lt;0.5),"NM",(Q98/I98-1)*100))</f>
        <v>77.777777777777771</v>
      </c>
      <c r="S98" s="206">
        <f>Q98</f>
        <v>32</v>
      </c>
      <c r="T98" s="135">
        <f>IF(ISERROR(S98/K98),"NA",IF(OR(S98/K98&gt;2,S98/K98&lt;0.5),"NM",(S98/K98-1)*100))</f>
        <v>45.45454545454546</v>
      </c>
      <c r="U98" s="206">
        <f>S98</f>
        <v>32</v>
      </c>
      <c r="V98" s="135">
        <f>IF(ISERROR(U98/M98),"NA",IF(OR(U98/M98&gt;2,U98/M98&lt;0.5),"NM",(U98/M98-1)*100))</f>
        <v>23.076923076923084</v>
      </c>
      <c r="W98" s="206">
        <f>U98</f>
        <v>32</v>
      </c>
      <c r="X98" s="135">
        <f>IF(ISERROR(W98/O98),"NA",IF(OR(W98/O98&gt;2,W98/O98&lt;0.5),"NM",(W98/O98-1)*100))</f>
        <v>23.076923076923084</v>
      </c>
      <c r="Y98" s="206">
        <f>W98</f>
        <v>32</v>
      </c>
      <c r="Z98" s="135">
        <f>IF(ISERROR(Y98/Q98),"NA",IF(OR(Y98/Q98&gt;2,Y98/Q98&lt;0.5),"NM",(Y98/Q98-1)*100))</f>
        <v>0</v>
      </c>
      <c r="AA98" s="54"/>
      <c r="AB98" s="180"/>
      <c r="AC98" s="56"/>
      <c r="AD98" s="209">
        <f>AD121-AD56</f>
        <v>5</v>
      </c>
      <c r="AE98" s="25"/>
      <c r="AF98" s="209">
        <f>AF121-AF56</f>
        <v>25</v>
      </c>
      <c r="AG98" s="25" t="str">
        <f>IF(ISERROR(AF98/AD98),"NA",IF(OR(AF98/AD98&gt;2,AF98/AD98&lt;0.5),"NM",(AF98/AD98-1)*100))</f>
        <v>NM</v>
      </c>
      <c r="AH98" s="209">
        <f>AH121-AH56</f>
        <v>53</v>
      </c>
      <c r="AI98" s="25" t="str">
        <f>IF(ISERROR(AH98/AF98),"NA",IF(OR(AH98/AF98&gt;2,AH98/AF98&lt;0.5),"NM",(AH98/AF98-1)*100))</f>
        <v>NM</v>
      </c>
      <c r="AJ98" s="209">
        <f>I98+G98+E98+C98</f>
        <v>76</v>
      </c>
      <c r="AK98" s="25">
        <f>IF(ISERROR(AJ98/AH98),"NA",IF(OR(AJ98/AH98&gt;2,AJ98/AH98&lt;0.5),"NM",(AJ98/AH98-1)*100))</f>
        <v>43.396226415094333</v>
      </c>
      <c r="AL98" s="209">
        <f>K98+M98+O98+Q98</f>
        <v>106</v>
      </c>
      <c r="AM98" s="25">
        <f>IF(ISERROR(AL98/AJ98),"NA",IF(OR(AL98/AJ98&gt;2,AL98/AJ98&lt;0.5),"NM",(AL98/AJ98-1)*100))</f>
        <v>39.473684210526308</v>
      </c>
      <c r="AN98" s="209">
        <f>S98+U98+W98+Y98</f>
        <v>128</v>
      </c>
      <c r="AO98" s="25">
        <f>IF(ISERROR(AN98/AL98),"NA",IF(OR(AN98/AL98&gt;2,AN98/AL98&lt;0.5),"NM",(AN98/AL98-1)*100))</f>
        <v>20.75471698113207</v>
      </c>
      <c r="AP98" s="206">
        <f>AN98*1.02</f>
        <v>130.56</v>
      </c>
      <c r="AQ98" s="25">
        <f>IF(ISERROR(AP98/AN98),"NA",IF(OR(AP98/AN98&gt;2,AP98/AN98&lt;0.5),"NM",(AP98/AN98-1)*100))</f>
        <v>2.0000000000000018</v>
      </c>
      <c r="AR98" s="206">
        <f>AP98*1.05</f>
        <v>137.08800000000002</v>
      </c>
      <c r="AS98" s="25">
        <f>IF(ISERROR(AR98/AP98),"NA",IF(OR(AR98/AP98&gt;2,AR98/AP98&lt;0.5),"NM",(AR98/AP98-1)*100))</f>
        <v>5.0000000000000044</v>
      </c>
      <c r="AT98" s="206">
        <f>AR98*1.02</f>
        <v>139.82976000000002</v>
      </c>
      <c r="AU98" s="25">
        <f>IF(ISERROR(AT98/AR98),"NA",IF(OR(AT98/AR98&gt;2,AT98/AR98&lt;0.5),"NM",(AT98/AR98-1)*100))</f>
        <v>2.0000000000000018</v>
      </c>
      <c r="AV98" s="206">
        <f>AT98*1.02</f>
        <v>142.62635520000003</v>
      </c>
      <c r="AW98" s="25">
        <f>IF(ISERROR(AV98/AT98),"NA",IF(OR(AV98/AT98&gt;2,AV98/AT98&lt;0.5),"NM",(AV98/AT98-1)*100))</f>
        <v>2.0000000000000018</v>
      </c>
      <c r="AX98" s="63">
        <f>IF(ISERROR(((AV98/AL98)^0.2-1)*100),"NA",IF((((AV98/AL98)^0.2-1)*100)&gt;100,"NM",IF((((AV98/AL98)^0.2-1)*100)&lt;-50,"NM",((AV98/AL98)^0.2-1)*100)))</f>
        <v>6.1154899843413713</v>
      </c>
      <c r="AY98" s="58"/>
      <c r="AZ98" s="59"/>
      <c r="BA98"/>
      <c r="BB98"/>
      <c r="BC98"/>
      <c r="BD98"/>
      <c r="BE98"/>
      <c r="BF98"/>
      <c r="BG98" s="31"/>
      <c r="BH98" s="54"/>
      <c r="BI98" s="54"/>
      <c r="BJ98" s="54"/>
      <c r="BK98" s="54"/>
      <c r="BL98" s="54"/>
      <c r="BM98" s="54"/>
      <c r="BN98" s="24"/>
    </row>
    <row r="99" spans="1:66" s="248" customFormat="1" ht="12.75" customHeight="1">
      <c r="A99" s="54"/>
      <c r="B99" s="203" t="s">
        <v>172</v>
      </c>
      <c r="C99" s="199">
        <v>0</v>
      </c>
      <c r="D99" s="25"/>
      <c r="E99" s="199">
        <v>0</v>
      </c>
      <c r="F99" s="200"/>
      <c r="G99" s="199">
        <f>E99</f>
        <v>0</v>
      </c>
      <c r="H99" s="25"/>
      <c r="I99" s="199">
        <f>G99</f>
        <v>0</v>
      </c>
      <c r="J99" s="25"/>
      <c r="K99" s="199">
        <f>I99</f>
        <v>0</v>
      </c>
      <c r="L99" s="135" t="str">
        <f>IF(ISERROR(K99/C99),"NA",IF(OR(K99/C99&gt;2,K99/C99&lt;0.5),"NM",(K99/C99-1)*100))</f>
        <v>NA</v>
      </c>
      <c r="M99" s="199">
        <f>K99</f>
        <v>0</v>
      </c>
      <c r="N99" s="135" t="str">
        <f>IF(ISERROR(M99/E99),"NA",IF(OR(M99/E99&gt;2,M99/E99&lt;0.5),"NM",(M99/E99-1)*100))</f>
        <v>NA</v>
      </c>
      <c r="O99" s="199">
        <v>0</v>
      </c>
      <c r="P99" s="135" t="str">
        <f>IF(ISERROR(O99/G99),"NA",IF(OR(O99/G99&gt;2,O99/G99&lt;0.5),"NM",(O99/G99-1)*100))</f>
        <v>NA</v>
      </c>
      <c r="Q99" s="199">
        <v>0</v>
      </c>
      <c r="R99" s="135" t="str">
        <f>IF(ISERROR(Q99/I99),"NA",IF(OR(Q99/I99&gt;2,Q99/I99&lt;0.5),"NM",(Q99/I99-1)*100))</f>
        <v>NA</v>
      </c>
      <c r="S99" s="199">
        <f>1000*3.5%/4</f>
        <v>8.75</v>
      </c>
      <c r="T99" s="135" t="str">
        <f>IF(ISERROR(S99/K99),"NA",IF(OR(S99/K99&gt;2,S99/K99&lt;0.5),"NM",(S99/K99-1)*100))</f>
        <v>NA</v>
      </c>
      <c r="U99" s="199">
        <f>1000*3.5%/4</f>
        <v>8.75</v>
      </c>
      <c r="V99" s="135" t="str">
        <f>IF(ISERROR(U99/M99),"NA",IF(OR(U99/M99&gt;2,U99/M99&lt;0.5),"NM",(U99/M99-1)*100))</f>
        <v>NA</v>
      </c>
      <c r="W99" s="199">
        <f>U99</f>
        <v>8.75</v>
      </c>
      <c r="X99" s="135" t="str">
        <f>IF(ISERROR(W99/O99),"NA",IF(OR(W99/O99&gt;2,W99/O99&lt;0.5),"NM",(W99/O99-1)*100))</f>
        <v>NA</v>
      </c>
      <c r="Y99" s="199">
        <f>W99</f>
        <v>8.75</v>
      </c>
      <c r="Z99" s="135" t="str">
        <f>IF(ISERROR(Y99/Q99),"NA",IF(OR(Y99/Q99&gt;2,Y99/Q99&lt;0.5),"NM",(Y99/Q99-1)*100))</f>
        <v>NA</v>
      </c>
      <c r="AA99" s="54"/>
      <c r="AB99" s="185"/>
      <c r="AC99" s="56"/>
      <c r="AD99" s="199">
        <v>0</v>
      </c>
      <c r="AE99" s="25"/>
      <c r="AF99" s="199">
        <v>0</v>
      </c>
      <c r="AG99" s="25" t="str">
        <f>IF(ISERROR(AF99/AD99),"NA",IF(OR(AF99/AD99&gt;2,AF99/AD99&lt;0.5),"NM",(AF99/AD99-1)*100))</f>
        <v>NA</v>
      </c>
      <c r="AH99" s="199">
        <v>0</v>
      </c>
      <c r="AI99" s="25" t="str">
        <f>IF(ISERROR(AH99/AF99),"NA",IF(OR(AH99/AF99&gt;2,AH99/AF99&lt;0.5),"NM",(AH99/AF99-1)*100))</f>
        <v>NA</v>
      </c>
      <c r="AJ99" s="209">
        <f>I99+G99+E99+C99</f>
        <v>0</v>
      </c>
      <c r="AK99" s="25" t="str">
        <f>IF(ISERROR(AJ99/AH99),"NA",IF(OR(AJ99/AH99&gt;2,AJ99/AH99&lt;0.5),"NM",(AJ99/AH99-1)*100))</f>
        <v>NA</v>
      </c>
      <c r="AL99" s="209">
        <f>K99+M99+O99+Q99</f>
        <v>0</v>
      </c>
      <c r="AM99" s="25" t="str">
        <f>IF(ISERROR(AL99/AJ99),"NA",IF(OR(AL99/AJ99&gt;2,AL99/AJ99&lt;0.5),"NM",(AL99/AJ99-1)*100))</f>
        <v>NA</v>
      </c>
      <c r="AN99" s="209">
        <f>S99+U99+W99+Y99</f>
        <v>35</v>
      </c>
      <c r="AO99" s="25" t="str">
        <f>IF(ISERROR(AN99/AL99),"NA",IF(OR(AN99/AL99&gt;2,AN99/AL99&lt;0.5),"NM",(AN99/AL99-1)*100))</f>
        <v>NA</v>
      </c>
      <c r="AP99" s="199">
        <f>Y99*4</f>
        <v>35</v>
      </c>
      <c r="AQ99" s="25">
        <f>IF(ISERROR(AP99/AN99),"NA",IF(OR(AP99/AN99&gt;2,AP99/AN99&lt;0.5),"NM",(AP99/AN99-1)*100))</f>
        <v>0</v>
      </c>
      <c r="AR99" s="199">
        <f>AP99</f>
        <v>35</v>
      </c>
      <c r="AS99" s="25">
        <f>IF(ISERROR(AR99/AP99),"NA",IF(OR(AR99/AP99&gt;2,AR99/AP99&lt;0.5),"NM",(AR99/AP99-1)*100))</f>
        <v>0</v>
      </c>
      <c r="AT99" s="199">
        <f>AR99</f>
        <v>35</v>
      </c>
      <c r="AU99" s="25">
        <f>IF(ISERROR(AT99/AR99),"NA",IF(OR(AT99/AR99&gt;2,AT99/AR99&lt;0.5),"NM",(AT99/AR99-1)*100))</f>
        <v>0</v>
      </c>
      <c r="AV99" s="199">
        <f>AT99</f>
        <v>35</v>
      </c>
      <c r="AW99" s="25">
        <f>IF(ISERROR(AV99/AT99),"NA",IF(OR(AV99/AT99&gt;2,AV99/AT99&lt;0.5),"NM",(AV99/AT99-1)*100))</f>
        <v>0</v>
      </c>
      <c r="AX99" s="63" t="str">
        <f>IF(ISERROR(((AV99/AL99)^0.2-1)*100),"NA",IF((((AV99/AL99)^0.2-1)*100)&gt;100,"NM",IF((((AV99/AL99)^0.2-1)*100)&lt;-50,"NM",((AV99/AL99)^0.2-1)*100)))</f>
        <v>NA</v>
      </c>
      <c r="AY99" s="58"/>
      <c r="AZ99" s="59"/>
      <c r="BA99"/>
      <c r="BB99"/>
      <c r="BC99"/>
      <c r="BD99"/>
      <c r="BE99"/>
      <c r="BF99"/>
      <c r="BG99" s="31"/>
      <c r="BH99" s="54"/>
      <c r="BI99" s="54"/>
      <c r="BJ99" s="54"/>
      <c r="BK99" s="54"/>
      <c r="BL99" s="54"/>
      <c r="BM99" s="54"/>
      <c r="BN99" s="24"/>
    </row>
    <row r="100" spans="1:66" s="248" customFormat="1" ht="12.75" customHeight="1">
      <c r="A100" s="54"/>
      <c r="B100" s="203" t="s">
        <v>173</v>
      </c>
      <c r="C100" s="206">
        <v>18</v>
      </c>
      <c r="D100" s="25"/>
      <c r="E100" s="206">
        <v>8</v>
      </c>
      <c r="F100" s="200"/>
      <c r="G100" s="206">
        <v>32</v>
      </c>
      <c r="H100" s="25"/>
      <c r="I100" s="206">
        <v>-4</v>
      </c>
      <c r="J100" s="25"/>
      <c r="K100" s="206">
        <v>22</v>
      </c>
      <c r="L100" s="135">
        <f>IF(ISERROR(K100/C100),"NA",IF(OR(K100/C100&gt;2,K100/C100&lt;0.5),"NM",(K100/C100-1)*100))</f>
        <v>22.222222222222232</v>
      </c>
      <c r="M100" s="206">
        <v>28</v>
      </c>
      <c r="N100" s="135" t="str">
        <f>IF(ISERROR(M100/E100),"NA",IF(OR(M100/E100&gt;2,M100/E100&lt;0.5),"NM",(M100/E100-1)*100))</f>
        <v>NM</v>
      </c>
      <c r="O100" s="206">
        <v>45</v>
      </c>
      <c r="P100" s="135">
        <f>IF(ISERROR(O100/G100),"NA",IF(OR(O100/G100&gt;2,O100/G100&lt;0.5),"NM",(O100/G100-1)*100))</f>
        <v>40.625</v>
      </c>
      <c r="Q100" s="206">
        <v>-34</v>
      </c>
      <c r="R100" s="135" t="str">
        <f>IF(ISERROR(Q100/I100),"NA",IF(OR(Q100/I100&gt;2,Q100/I100&lt;0.5),"NM",(Q100/I100-1)*100))</f>
        <v>NM</v>
      </c>
      <c r="S100" s="206">
        <v>13</v>
      </c>
      <c r="T100" s="135">
        <f>IF(ISERROR(S100/K100),"NA",IF(OR(S100/K100&gt;2,S100/K100&lt;0.5),"NM",(S100/K100-1)*100))</f>
        <v>-40.909090909090907</v>
      </c>
      <c r="U100" s="206">
        <f>S100</f>
        <v>13</v>
      </c>
      <c r="V100" s="135" t="str">
        <f>IF(ISERROR(U100/M100),"NA",IF(OR(U100/M100&gt;2,U100/M100&lt;0.5),"NM",(U100/M100-1)*100))</f>
        <v>NM</v>
      </c>
      <c r="W100" s="206">
        <f>U100</f>
        <v>13</v>
      </c>
      <c r="X100" s="135" t="str">
        <f>IF(ISERROR(W100/O100),"NA",IF(OR(W100/O100&gt;2,W100/O100&lt;0.5),"NM",(W100/O100-1)*100))</f>
        <v>NM</v>
      </c>
      <c r="Y100" s="206">
        <f>W100+1</f>
        <v>14</v>
      </c>
      <c r="Z100" s="135" t="str">
        <f>IF(ISERROR(Y100/Q100),"NA",IF(OR(Y100/Q100&gt;2,Y100/Q100&lt;0.5),"NM",(Y100/Q100-1)*100))</f>
        <v>NM</v>
      </c>
      <c r="AA100" s="54"/>
      <c r="AB100" s="185"/>
      <c r="AC100" s="56"/>
      <c r="AD100" s="209">
        <f>AD120-AD55</f>
        <v>1</v>
      </c>
      <c r="AE100" s="25"/>
      <c r="AF100" s="209">
        <f>AF120-AF55</f>
        <v>6</v>
      </c>
      <c r="AG100" s="25" t="str">
        <f>IF(ISERROR(AF100/AD100),"NA",IF(OR(AF100/AD100&gt;2,AF100/AD100&lt;0.5),"NM",(AF100/AD100-1)*100))</f>
        <v>NM</v>
      </c>
      <c r="AH100" s="209">
        <f>AH120-AH55</f>
        <v>-6</v>
      </c>
      <c r="AI100" s="25" t="str">
        <f>IF(ISERROR(AH100/AF100),"NA",IF(OR(AH100/AF100&gt;2,AH100/AF100&lt;0.5),"NM",(AH100/AF100-1)*100))</f>
        <v>NM</v>
      </c>
      <c r="AJ100" s="209">
        <f>I100+G100+E100+C100</f>
        <v>54</v>
      </c>
      <c r="AK100" s="25" t="str">
        <f>IF(ISERROR(AJ100/AH100),"NA",IF(OR(AJ100/AH100&gt;2,AJ100/AH100&lt;0.5),"NM",(AJ100/AH100-1)*100))</f>
        <v>NM</v>
      </c>
      <c r="AL100" s="209">
        <f>K100+M100+O100+Q100</f>
        <v>61</v>
      </c>
      <c r="AM100" s="25">
        <f>IF(ISERROR(AL100/AJ100),"NA",IF(OR(AL100/AJ100&gt;2,AL100/AJ100&lt;0.5),"NM",(AL100/AJ100-1)*100))</f>
        <v>12.962962962962955</v>
      </c>
      <c r="AN100" s="209">
        <f>S100+U100+W100+Y100</f>
        <v>53</v>
      </c>
      <c r="AO100" s="25">
        <f>IF(ISERROR(AN100/AL100),"NA",IF(OR(AN100/AL100&gt;2,AN100/AL100&lt;0.5),"NM",(AN100/AL100-1)*100))</f>
        <v>-13.11475409836066</v>
      </c>
      <c r="AP100" s="206">
        <f>AN100*1.05</f>
        <v>55.650000000000006</v>
      </c>
      <c r="AQ100" s="25">
        <f>IF(ISERROR(AP100/AN100),"NA",IF(OR(AP100/AN100&gt;2,AP100/AN100&lt;0.5),"NM",(AP100/AN100-1)*100))</f>
        <v>5.0000000000000044</v>
      </c>
      <c r="AR100" s="206">
        <f>AP100*1.02</f>
        <v>56.763000000000005</v>
      </c>
      <c r="AS100" s="25">
        <f>IF(ISERROR(AR100/AP100),"NA",IF(OR(AR100/AP100&gt;2,AR100/AP100&lt;0.5),"NM",(AR100/AP100-1)*100))</f>
        <v>2.0000000000000018</v>
      </c>
      <c r="AT100" s="206">
        <f>AR100*1.02</f>
        <v>57.898260000000008</v>
      </c>
      <c r="AU100" s="25">
        <f>IF(ISERROR(AT100/AR100),"NA",IF(OR(AT100/AR100&gt;2,AT100/AR100&lt;0.5),"NM",(AT100/AR100-1)*100))</f>
        <v>2.0000000000000018</v>
      </c>
      <c r="AV100" s="206">
        <f>AT100*1.02</f>
        <v>59.056225200000007</v>
      </c>
      <c r="AW100" s="25">
        <f>IF(ISERROR(AV100/AT100),"NA",IF(OR(AV100/AT100&gt;2,AV100/AT100&lt;0.5),"NM",(AV100/AT100-1)*100))</f>
        <v>2.0000000000000018</v>
      </c>
      <c r="AX100" s="63">
        <f>IF(ISERROR(((AV100/AL100)^0.2-1)*100),"NA",IF((((AV100/AL100)^0.2-1)*100)&gt;100,"NM",IF((((AV100/AL100)^0.2-1)*100)&lt;-50,"NM",((AV100/AL100)^0.2-1)*100)))</f>
        <v>-0.6455851776002941</v>
      </c>
      <c r="AY100" s="58"/>
      <c r="AZ100" s="59"/>
      <c r="BA100"/>
      <c r="BB100"/>
      <c r="BC100"/>
      <c r="BD100"/>
      <c r="BE100"/>
      <c r="BF100"/>
      <c r="BG100" s="31"/>
      <c r="BH100" s="54"/>
      <c r="BI100" s="54"/>
      <c r="BJ100" s="54"/>
      <c r="BK100" s="54"/>
      <c r="BL100" s="54"/>
      <c r="BM100" s="54"/>
      <c r="BN100" s="24"/>
    </row>
    <row r="101" spans="1:66" s="436" customFormat="1" ht="12.75" customHeight="1">
      <c r="A101" s="220"/>
      <c r="B101" s="217" t="s">
        <v>155</v>
      </c>
      <c r="C101" s="117">
        <f>SUM(C98:C100)</f>
        <v>38</v>
      </c>
      <c r="D101" s="214"/>
      <c r="E101" s="117">
        <f>SUM(E98:E100)</f>
        <v>28</v>
      </c>
      <c r="F101" s="214"/>
      <c r="G101" s="117">
        <f>SUM(G98:G100)</f>
        <v>50</v>
      </c>
      <c r="H101" s="214"/>
      <c r="I101" s="117">
        <f>SUM(I98:I100)</f>
        <v>14</v>
      </c>
      <c r="J101" s="103"/>
      <c r="K101" s="117">
        <f>SUM(K98:K100)</f>
        <v>44</v>
      </c>
      <c r="L101" s="135">
        <f>IF(ISERROR(K101/C101),"NA",IF(OR(K101/C101&gt;2,K101/C101&lt;0.5),"NM",(K101/C101-1)*100))</f>
        <v>15.789473684210531</v>
      </c>
      <c r="M101" s="117">
        <f>SUM(M98:M100)</f>
        <v>54</v>
      </c>
      <c r="N101" s="135">
        <f>IF(ISERROR(M101/E101),"NA",IF(OR(M101/E101&gt;2,M101/E101&lt;0.5),"NM",(M101/E101-1)*100))</f>
        <v>92.857142857142861</v>
      </c>
      <c r="O101" s="117">
        <f>SUM(O98:O100)</f>
        <v>71</v>
      </c>
      <c r="P101" s="135">
        <f>IF(ISERROR(O101/G101),"NA",IF(OR(O101/G101&gt;2,O101/G101&lt;0.5),"NM",(O101/G101-1)*100))</f>
        <v>41.999999999999993</v>
      </c>
      <c r="Q101" s="117">
        <f>SUM(Q98:Q100)</f>
        <v>-2</v>
      </c>
      <c r="R101" s="135" t="str">
        <f>IF(ISERROR(Q101/I101),"NA",IF(OR(Q101/I101&gt;2,Q101/I101&lt;0.5),"NM",(Q101/I101-1)*100))</f>
        <v>NM</v>
      </c>
      <c r="S101" s="117">
        <f>SUM(S98:S100)</f>
        <v>53.75</v>
      </c>
      <c r="T101" s="135">
        <f>IF(ISERROR(S101/K101),"NA",IF(OR(S101/K101&gt;2,S101/K101&lt;0.5),"NM",(S101/K101-1)*100))</f>
        <v>22.159090909090917</v>
      </c>
      <c r="U101" s="117">
        <f>SUM(U98:U100)</f>
        <v>53.75</v>
      </c>
      <c r="V101" s="135">
        <f>IF(ISERROR(U101/M101),"NA",IF(OR(U101/M101&gt;2,U101/M101&lt;0.5),"NM",(U101/M101-1)*100))</f>
        <v>-0.46296296296296502</v>
      </c>
      <c r="W101" s="117">
        <f>SUM(W98:W100)</f>
        <v>53.75</v>
      </c>
      <c r="X101" s="135">
        <f>IF(ISERROR(W101/O101),"NA",IF(OR(W101/O101&gt;2,W101/O101&lt;0.5),"NM",(W101/O101-1)*100))</f>
        <v>-24.295774647887324</v>
      </c>
      <c r="Y101" s="117">
        <f>SUM(Y98:Y100)</f>
        <v>54.75</v>
      </c>
      <c r="Z101" s="135" t="str">
        <f>IF(ISERROR(Y101/Q101),"NA",IF(OR(Y101/Q101&gt;2,Y101/Q101&lt;0.5),"NM",(Y101/Q101-1)*100))</f>
        <v>NM</v>
      </c>
      <c r="AA101" s="220"/>
      <c r="AB101" s="216"/>
      <c r="AC101" s="117"/>
      <c r="AD101" s="117">
        <f>SUM(AD98:AD100)</f>
        <v>6</v>
      </c>
      <c r="AE101" s="103"/>
      <c r="AF101" s="117">
        <f>SUM(AF98:AF100)</f>
        <v>31</v>
      </c>
      <c r="AG101" s="25" t="str">
        <f>IF(ISERROR(AF101/AD101),"NA",IF(OR(AF101/AD101&gt;2,AF101/AD101&lt;0.5),"NM",(AF101/AD101-1)*100))</f>
        <v>NM</v>
      </c>
      <c r="AH101" s="212">
        <f>SUM(AH98:AH100)</f>
        <v>47</v>
      </c>
      <c r="AI101" s="25">
        <f>IF(ISERROR(AH101/AF101),"NA",IF(OR(AH101/AF101&gt;2,AH101/AF101&lt;0.5),"NM",(AH101/AF101-1)*100))</f>
        <v>51.612903225806448</v>
      </c>
      <c r="AJ101" s="117">
        <f>SUM(AJ98:AJ100)</f>
        <v>130</v>
      </c>
      <c r="AK101" s="25" t="str">
        <f>IF(ISERROR(AJ101/AH101),"NA",IF(OR(AJ101/AH101&gt;2,AJ101/AH101&lt;0.5),"NM",(AJ101/AH101-1)*100))</f>
        <v>NM</v>
      </c>
      <c r="AL101" s="117">
        <f>SUM(AL98:AL100)</f>
        <v>167</v>
      </c>
      <c r="AM101" s="25">
        <f>IF(ISERROR(AL101/AJ101),"NA",IF(OR(AL101/AJ101&gt;2,AL101/AJ101&lt;0.5),"NM",(AL101/AJ101-1)*100))</f>
        <v>28.461538461538471</v>
      </c>
      <c r="AN101" s="117">
        <f>SUM(AN98:AN100)</f>
        <v>216</v>
      </c>
      <c r="AO101" s="25">
        <f>IF(ISERROR(AN101/AL101),"NA",IF(OR(AN101/AL101&gt;2,AN101/AL101&lt;0.5),"NM",(AN101/AL101-1)*100))</f>
        <v>29.341317365269461</v>
      </c>
      <c r="AP101" s="117">
        <f>SUM(AP98:AP100)</f>
        <v>221.21</v>
      </c>
      <c r="AQ101" s="25">
        <f>IF(ISERROR(AP101/AN101),"NA",IF(OR(AP101/AN101&gt;2,AP101/AN101&lt;0.5),"NM",(AP101/AN101-1)*100))</f>
        <v>2.4120370370370514</v>
      </c>
      <c r="AR101" s="117">
        <f>SUM(AR98:AR100)</f>
        <v>228.85100000000003</v>
      </c>
      <c r="AS101" s="25">
        <f>IF(ISERROR(AR101/AP101),"NA",IF(OR(AR101/AP101&gt;2,AR101/AP101&lt;0.5),"NM",(AR101/AP101-1)*100))</f>
        <v>3.4541838072420061</v>
      </c>
      <c r="AT101" s="117">
        <f>SUM(AT98:AT100)</f>
        <v>232.72802000000001</v>
      </c>
      <c r="AU101" s="25">
        <f>IF(ISERROR(AT101/AR101),"NA",IF(OR(AT101/AR101&gt;2,AT101/AR101&lt;0.5),"NM",(AT101/AR101-1)*100))</f>
        <v>1.6941241244303074</v>
      </c>
      <c r="AV101" s="117">
        <f>SUM(AV98:AV100)</f>
        <v>236.68258040000003</v>
      </c>
      <c r="AW101" s="25">
        <f>IF(ISERROR(AV101/AT101),"NA",IF(OR(AV101/AT101&gt;2,AV101/AT101&lt;0.5),"NM",(AV101/AT101-1)*100))</f>
        <v>1.6992197157867039</v>
      </c>
      <c r="AX101" s="63">
        <f>IF(ISERROR(((AV101/AL101)^0.2-1)*100),"NA",IF((((AV101/AL101)^0.2-1)*100)&gt;100,"NM",IF((((AV101/AL101)^0.2-1)*100)&lt;-50,"NM",((AV101/AL101)^0.2-1)*100)))</f>
        <v>7.2234964102883215</v>
      </c>
      <c r="AY101" s="118"/>
      <c r="AZ101" s="211"/>
      <c r="BA101"/>
      <c r="BB101"/>
      <c r="BC101"/>
      <c r="BD101"/>
      <c r="BE101"/>
      <c r="BF101"/>
      <c r="BG101" s="210"/>
      <c r="BH101" s="220"/>
      <c r="BI101" s="220"/>
      <c r="BJ101" s="220"/>
      <c r="BK101" s="220"/>
      <c r="BL101" s="220"/>
      <c r="BM101" s="220"/>
      <c r="BN101" s="24"/>
    </row>
    <row r="102" spans="1:66" s="436" customFormat="1" ht="12.75" customHeight="1">
      <c r="A102" s="220"/>
      <c r="B102" s="217"/>
      <c r="C102" s="117"/>
      <c r="D102" s="214"/>
      <c r="E102" s="117"/>
      <c r="F102" s="214"/>
      <c r="G102" s="117"/>
      <c r="H102" s="214"/>
      <c r="I102" s="117"/>
      <c r="J102" s="103"/>
      <c r="K102" s="117"/>
      <c r="L102" s="103"/>
      <c r="M102" s="117"/>
      <c r="N102" s="103"/>
      <c r="O102" s="117"/>
      <c r="P102" s="103"/>
      <c r="Q102" s="117"/>
      <c r="R102" s="103"/>
      <c r="S102" s="117"/>
      <c r="T102" s="103"/>
      <c r="U102" s="117"/>
      <c r="V102" s="103"/>
      <c r="W102" s="117"/>
      <c r="X102" s="103"/>
      <c r="Y102" s="117"/>
      <c r="Z102" s="103"/>
      <c r="AA102" s="220"/>
      <c r="AB102" s="216"/>
      <c r="AC102" s="117"/>
      <c r="AD102" s="117"/>
      <c r="AE102" s="103"/>
      <c r="AF102" s="117"/>
      <c r="AG102" s="103"/>
      <c r="AH102" s="117"/>
      <c r="AI102" s="103"/>
      <c r="AJ102" s="117"/>
      <c r="AK102" s="103"/>
      <c r="AL102" s="117"/>
      <c r="AM102" s="103"/>
      <c r="AN102" s="117"/>
      <c r="AO102" s="103"/>
      <c r="AP102" s="117"/>
      <c r="AQ102" s="103"/>
      <c r="AR102" s="117"/>
      <c r="AS102" s="103"/>
      <c r="AT102" s="117"/>
      <c r="AU102" s="103"/>
      <c r="AV102" s="117"/>
      <c r="AW102" s="103"/>
      <c r="AX102" s="63"/>
      <c r="AY102" s="118"/>
      <c r="AZ102" s="211"/>
      <c r="BA102"/>
      <c r="BB102"/>
      <c r="BC102"/>
      <c r="BD102"/>
      <c r="BE102"/>
      <c r="BF102"/>
      <c r="BG102" s="210"/>
      <c r="BH102" s="220"/>
      <c r="BI102" s="220"/>
      <c r="BJ102" s="220"/>
      <c r="BK102" s="220"/>
      <c r="BL102" s="220"/>
      <c r="BM102" s="220"/>
      <c r="BN102" s="24"/>
    </row>
    <row r="103" spans="1:66" s="436" customFormat="1" ht="12.75" customHeight="1">
      <c r="A103" s="220"/>
      <c r="B103" s="202" t="s">
        <v>40</v>
      </c>
      <c r="C103" s="212">
        <f>C90-C101</f>
        <v>-49</v>
      </c>
      <c r="D103" s="214"/>
      <c r="E103" s="212">
        <f>E90-E101</f>
        <v>-12</v>
      </c>
      <c r="F103" s="214"/>
      <c r="G103" s="212">
        <f>G90-G101</f>
        <v>-27</v>
      </c>
      <c r="H103" s="214"/>
      <c r="I103" s="212">
        <f>I90-I101</f>
        <v>35</v>
      </c>
      <c r="J103" s="103"/>
      <c r="K103" s="212">
        <f>K90-K101</f>
        <v>-10</v>
      </c>
      <c r="L103" s="135" t="str">
        <f>IF(ISERROR(K103/C103),"NA",IF(OR(K103/C103&gt;2,K103/C103&lt;0.5),"NM",(K103/C103-1)*100))</f>
        <v>NM</v>
      </c>
      <c r="M103" s="212">
        <f>M90-M101</f>
        <v>10</v>
      </c>
      <c r="N103" s="135" t="str">
        <f>IF(ISERROR(M103/E103),"NA",IF(OR(M103/E103&gt;2,M103/E103&lt;0.5),"NM",(M103/E103-1)*100))</f>
        <v>NM</v>
      </c>
      <c r="O103" s="212">
        <f>O90-O101</f>
        <v>-19</v>
      </c>
      <c r="P103" s="135">
        <f>IF(ISERROR(O103/G103),"NA",IF(OR(O103/G103&gt;2,O103/G103&lt;0.5),"NM",(O103/G103-1)*100))</f>
        <v>-29.629629629629626</v>
      </c>
      <c r="Q103" s="212">
        <f>Q90-Q101</f>
        <v>34</v>
      </c>
      <c r="R103" s="135">
        <f>IF(ISERROR(Q103/I103),"NA",IF(OR(Q103/I103&gt;2,Q103/I103&lt;0.5),"NM",(Q103/I103-1)*100))</f>
        <v>-2.8571428571428581</v>
      </c>
      <c r="S103" s="212">
        <f>S90-S101</f>
        <v>-0.36999999999999744</v>
      </c>
      <c r="T103" s="135" t="str">
        <f>IF(ISERROR(S103/K103),"NA",IF(OR(S103/K103&gt;2,S103/K103&lt;0.5),"NM",(S103/K103-1)*100))</f>
        <v>NM</v>
      </c>
      <c r="U103" s="212">
        <f>U90-U101</f>
        <v>1.3800000000003365E-2</v>
      </c>
      <c r="V103" s="135" t="str">
        <f>IF(ISERROR(U103/M103),"NA",IF(OR(U103/M103&gt;2,U103/M103&lt;0.5),"NM",(U103/M103-1)*100))</f>
        <v>NM</v>
      </c>
      <c r="W103" s="212">
        <f>W90-W101</f>
        <v>0.40143800000000596</v>
      </c>
      <c r="X103" s="135" t="str">
        <f>IF(ISERROR(W103/O103),"NA",IF(OR(W103/O103&gt;2,W103/O103&lt;0.5),"NM",(W103/O103-1)*100))</f>
        <v>NM</v>
      </c>
      <c r="Y103" s="212">
        <f>Y90-Y101</f>
        <v>-0.20704761999999022</v>
      </c>
      <c r="Z103" s="135" t="str">
        <f>IF(ISERROR(Y103/Q103),"NA",IF(OR(Y103/Q103&gt;2,Y103/Q103&lt;0.5),"NM",(Y103/Q103-1)*100))</f>
        <v>NM</v>
      </c>
      <c r="AA103" s="220"/>
      <c r="AB103" s="216"/>
      <c r="AC103" s="117"/>
      <c r="AD103" s="212">
        <f>AD90-AD101</f>
        <v>361</v>
      </c>
      <c r="AE103" s="103"/>
      <c r="AF103" s="212">
        <f>AF90-AF101</f>
        <v>24</v>
      </c>
      <c r="AG103" s="25" t="str">
        <f t="shared" ref="AG103:AG109" si="25">IF(ISERROR(AF103/AD103),"NA",IF(OR(AF103/AD103&gt;2,AF103/AD103&lt;0.5),"NM",(AF103/AD103-1)*100))</f>
        <v>NM</v>
      </c>
      <c r="AH103" s="212">
        <f>AH90-AH101</f>
        <v>-12</v>
      </c>
      <c r="AI103" s="25" t="str">
        <f t="shared" ref="AI103:AI109" si="26">IF(ISERROR(AH103/AF103),"NA",IF(OR(AH103/AF103&gt;2,AH103/AF103&lt;0.5),"NM",(AH103/AF103-1)*100))</f>
        <v>NM</v>
      </c>
      <c r="AJ103" s="212">
        <f>AJ90-AJ101</f>
        <v>-53</v>
      </c>
      <c r="AK103" s="25" t="str">
        <f t="shared" ref="AK103:AK109" si="27">IF(ISERROR(AJ103/AH103),"NA",IF(OR(AJ103/AH103&gt;2,AJ103/AH103&lt;0.5),"NM",(AJ103/AH103-1)*100))</f>
        <v>NM</v>
      </c>
      <c r="AL103" s="212">
        <f>AL90-AL101</f>
        <v>15</v>
      </c>
      <c r="AM103" s="25" t="str">
        <f t="shared" ref="AM103:AM109" si="28">IF(ISERROR(AL103/AJ103),"NA",IF(OR(AL103/AJ103&gt;2,AL103/AJ103&lt;0.5),"NM",(AL103/AJ103-1)*100))</f>
        <v>NM</v>
      </c>
      <c r="AN103" s="212">
        <f>AN90-AN101</f>
        <v>-0.16180961999998544</v>
      </c>
      <c r="AO103" s="25" t="str">
        <f t="shared" ref="AO103:AS109" si="29">IF(ISERROR(AN103/AL103),"NA",IF(OR(AN103/AL103&gt;2,AN103/AL103&lt;0.5),"NM",(AN103/AL103-1)*100))</f>
        <v>NM</v>
      </c>
      <c r="AP103" s="212">
        <f>AP90-AP101</f>
        <v>-3.4550458124000158</v>
      </c>
      <c r="AQ103" s="25" t="str">
        <f t="shared" si="29"/>
        <v>NM</v>
      </c>
      <c r="AR103" s="212">
        <f>AR90-AR101</f>
        <v>-9.0929467286480303</v>
      </c>
      <c r="AS103" s="25" t="str">
        <f t="shared" si="29"/>
        <v>NM</v>
      </c>
      <c r="AT103" s="212">
        <f>AT90-AT101</f>
        <v>-10.879765663220979</v>
      </c>
      <c r="AU103" s="25">
        <f t="shared" ref="AU103:AU109" si="30">IF(ISERROR(AT103/AR103),"NA",IF(OR(AT103/AR103&gt;2,AT103/AR103&lt;0.5),"NM",(AT103/AR103-1)*100))</f>
        <v>19.650603790995923</v>
      </c>
      <c r="AV103" s="212">
        <f>AV90-AV101</f>
        <v>-12.656221776485438</v>
      </c>
      <c r="AW103" s="25">
        <f t="shared" ref="AW103:AW109" si="31">IF(ISERROR(AV103/AT103),"NA",IF(OR(AV103/AT103&gt;2,AV103/AT103&lt;0.5),"NM",(AV103/AT103-1)*100))</f>
        <v>16.328073308322843</v>
      </c>
      <c r="AX103" s="63" t="str">
        <f>IF(ISERROR(((AV103/AL103)^0.2-1)*100),"NA",IF((((AV103/AL103)^0.2-1)*100)&gt;100,"NM",IF((((AV103/AL103)^0.2-1)*100)&lt;-50,"NM",((AV103/AL103)^0.2-1)*100)))</f>
        <v>NM</v>
      </c>
      <c r="AY103" s="118"/>
      <c r="AZ103" s="211"/>
      <c r="BA103"/>
      <c r="BB103"/>
      <c r="BC103"/>
      <c r="BD103"/>
      <c r="BE103"/>
      <c r="BF103"/>
      <c r="BG103" s="210"/>
      <c r="BH103" s="220"/>
      <c r="BI103" s="220"/>
      <c r="BJ103" s="220"/>
      <c r="BK103" s="220"/>
      <c r="BL103" s="220"/>
      <c r="BM103" s="220"/>
      <c r="BN103" s="24"/>
    </row>
    <row r="104" spans="1:66" s="248" customFormat="1" ht="12.75" customHeight="1">
      <c r="A104" s="54"/>
      <c r="B104" s="203" t="s">
        <v>35</v>
      </c>
      <c r="C104" s="206">
        <v>-4</v>
      </c>
      <c r="D104" s="206"/>
      <c r="E104" s="206">
        <v>5</v>
      </c>
      <c r="F104" s="206"/>
      <c r="G104" s="206">
        <v>-2</v>
      </c>
      <c r="H104" s="206"/>
      <c r="I104" s="206">
        <v>-3</v>
      </c>
      <c r="J104" s="209"/>
      <c r="K104" s="206">
        <v>-1</v>
      </c>
      <c r="L104" s="135" t="str">
        <f>IF(ISERROR(K104/C104),"NA",IF(OR(K104/C104&gt;2,K104/C104&lt;0.5),"NM",(K104/C104-1)*100))</f>
        <v>NM</v>
      </c>
      <c r="M104" s="206">
        <v>-3</v>
      </c>
      <c r="N104" s="135" t="str">
        <f>IF(ISERROR(M104/E104),"NA",IF(OR(M104/E104&gt;2,M104/E104&lt;0.5),"NM",(M104/E104-1)*100))</f>
        <v>NM</v>
      </c>
      <c r="O104" s="206">
        <v>-6</v>
      </c>
      <c r="P104" s="135" t="str">
        <f>IF(ISERROR(O104/G104),"NA",IF(OR(O104/G104&gt;2,O104/G104&lt;0.5),"NM",(O104/G104-1)*100))</f>
        <v>NM</v>
      </c>
      <c r="Q104" s="206">
        <v>8</v>
      </c>
      <c r="R104" s="135" t="str">
        <f>IF(ISERROR(Q104/I104),"NA",IF(OR(Q104/I104&gt;2,Q104/I104&lt;0.5),"NM",(Q104/I104-1)*100))</f>
        <v>NM</v>
      </c>
      <c r="S104" s="209">
        <f>S103*S105/100</f>
        <v>-3.6999999999999741E-2</v>
      </c>
      <c r="T104" s="135" t="str">
        <f>IF(ISERROR(S104/K104),"NA",IF(OR(S104/K104&gt;2,S104/K104&lt;0.5),"NM",(S104/K104-1)*100))</f>
        <v>NM</v>
      </c>
      <c r="U104" s="209">
        <f>U103*U105/100</f>
        <v>1.3800000000003365E-3</v>
      </c>
      <c r="V104" s="135" t="str">
        <f>IF(ISERROR(U104/M104),"NA",IF(OR(U104/M104&gt;2,U104/M104&lt;0.5),"NM",(U104/M104-1)*100))</f>
        <v>NM</v>
      </c>
      <c r="W104" s="209">
        <f>W103*W105/100</f>
        <v>4.0143800000000597E-2</v>
      </c>
      <c r="X104" s="135" t="str">
        <f>IF(ISERROR(W104/O104),"NA",IF(OR(W104/O104&gt;2,W104/O104&lt;0.5),"NM",(W104/O104-1)*100))</f>
        <v>NM</v>
      </c>
      <c r="Y104" s="209">
        <f>Y103*Y105/100</f>
        <v>-2.0704761999999023E-2</v>
      </c>
      <c r="Z104" s="135" t="str">
        <f>IF(ISERROR(Y104/Q104),"NA",IF(OR(Y104/Q104&gt;2,Y104/Q104&lt;0.5),"NM",(Y104/Q104-1)*100))</f>
        <v>NM</v>
      </c>
      <c r="AA104" s="54"/>
      <c r="AB104" s="185"/>
      <c r="AC104" s="56"/>
      <c r="AD104" s="209">
        <f>AD125-AD59</f>
        <v>0.40000000000000036</v>
      </c>
      <c r="AE104" s="25"/>
      <c r="AF104" s="209">
        <f>AF125-AF59</f>
        <v>-1.3999999999999986</v>
      </c>
      <c r="AG104" s="25" t="str">
        <f t="shared" si="25"/>
        <v>NM</v>
      </c>
      <c r="AH104" s="209">
        <f>AH125-AH59</f>
        <v>17</v>
      </c>
      <c r="AI104" s="25" t="str">
        <f t="shared" si="26"/>
        <v>NM</v>
      </c>
      <c r="AJ104" s="209">
        <f>I104+G104+E104+C104</f>
        <v>-4</v>
      </c>
      <c r="AK104" s="25" t="str">
        <f t="shared" si="27"/>
        <v>NM</v>
      </c>
      <c r="AL104" s="209">
        <f>K104+M104+O104+Q104</f>
        <v>-2</v>
      </c>
      <c r="AM104" s="25">
        <f t="shared" si="28"/>
        <v>-50</v>
      </c>
      <c r="AN104" s="209">
        <f>S104+U104+W104+Y104</f>
        <v>-1.6180961999997828E-2</v>
      </c>
      <c r="AO104" s="25" t="str">
        <f t="shared" si="29"/>
        <v>NM</v>
      </c>
      <c r="AP104" s="209">
        <f>AP103*AP105/100</f>
        <v>-0.36277981030198636</v>
      </c>
      <c r="AQ104" s="25" t="str">
        <f t="shared" si="29"/>
        <v>NM</v>
      </c>
      <c r="AR104" s="209">
        <f>AR103*AR105/100</f>
        <v>-1.0002241401512431</v>
      </c>
      <c r="AS104" s="25" t="str">
        <f t="shared" si="29"/>
        <v>NM</v>
      </c>
      <c r="AT104" s="209">
        <f>AT103*AT105/100</f>
        <v>-1.2511730512703645</v>
      </c>
      <c r="AU104" s="25">
        <f t="shared" si="30"/>
        <v>25.089267599677779</v>
      </c>
      <c r="AV104" s="209">
        <f>AV103*AV105/100</f>
        <v>-1.5187466131781966</v>
      </c>
      <c r="AW104" s="25">
        <f t="shared" si="31"/>
        <v>21.385815626076198</v>
      </c>
      <c r="AX104" s="63">
        <f>IF(ISERROR(((AV104/AL104)^0.2-1)*100),"NA",IF((((AV104/AL104)^0.2-1)*100)&gt;100,"NM",IF((((AV104/AL104)^0.2-1)*100)&lt;-50,"NM",((AV104/AL104)^0.2-1)*100)))</f>
        <v>-5.3564405391709595</v>
      </c>
      <c r="AY104" s="58"/>
      <c r="AZ104" s="59"/>
      <c r="BA104"/>
      <c r="BB104"/>
      <c r="BC104"/>
      <c r="BD104"/>
      <c r="BE104"/>
      <c r="BF104"/>
      <c r="BG104" s="31"/>
      <c r="BH104" s="54"/>
      <c r="BI104" s="54"/>
      <c r="BJ104" s="54"/>
      <c r="BK104" s="54"/>
      <c r="BL104" s="54"/>
      <c r="BM104" s="54"/>
      <c r="BN104" s="24"/>
    </row>
    <row r="105" spans="1:66" s="248" customFormat="1" ht="12.75" customHeight="1">
      <c r="A105" s="54"/>
      <c r="B105" s="203" t="s">
        <v>160</v>
      </c>
      <c r="C105" s="64">
        <f>C104/C103*100</f>
        <v>8.1632653061224492</v>
      </c>
      <c r="D105" s="80"/>
      <c r="E105" s="64">
        <f>E104/E103*100</f>
        <v>-41.666666666666671</v>
      </c>
      <c r="F105" s="80"/>
      <c r="G105" s="64">
        <f>G104/G103*100</f>
        <v>7.4074074074074066</v>
      </c>
      <c r="H105" s="64"/>
      <c r="I105" s="64">
        <f>I104/I103*100</f>
        <v>-8.5714285714285712</v>
      </c>
      <c r="J105" s="64"/>
      <c r="K105" s="64">
        <f>K104/K103*100</f>
        <v>10</v>
      </c>
      <c r="L105" s="135">
        <f>IF(ISERROR(K105/C105),"NA",IF(OR(K105/C105&gt;2,K105/C105&lt;0.5),"NM",(K105/C105-1)*100))</f>
        <v>22.499999999999986</v>
      </c>
      <c r="M105" s="64">
        <f>M104/M103*100</f>
        <v>-30</v>
      </c>
      <c r="N105" s="135">
        <f>IF(ISERROR(M105/E105),"NA",IF(OR(M105/E105&gt;2,M105/E105&lt;0.5),"NM",(M105/E105-1)*100))</f>
        <v>-28.000000000000004</v>
      </c>
      <c r="O105" s="64">
        <f>O104/O103*100</f>
        <v>31.578947368421051</v>
      </c>
      <c r="P105" s="135" t="str">
        <f>IF(ISERROR(O105/G105),"NA",IF(OR(O105/G105&gt;2,O105/G105&lt;0.5),"NM",(O105/G105-1)*100))</f>
        <v>NM</v>
      </c>
      <c r="Q105" s="64">
        <f>Q104/Q103*100</f>
        <v>23.52941176470588</v>
      </c>
      <c r="R105" s="135" t="str">
        <f>IF(ISERROR(Q105/I105),"NA",IF(OR(Q105/I105&gt;2,Q105/I105&lt;0.5),"NM",(Q105/I105-1)*100))</f>
        <v>NM</v>
      </c>
      <c r="S105" s="221">
        <v>10</v>
      </c>
      <c r="T105" s="135">
        <f>IF(ISERROR(S105/K105),"NA",IF(OR(S105/K105&gt;2,S105/K105&lt;0.5),"NM",(S105/K105-1)*100))</f>
        <v>0</v>
      </c>
      <c r="U105" s="221">
        <f>S105</f>
        <v>10</v>
      </c>
      <c r="V105" s="135" t="str">
        <f>IF(ISERROR(U105/M105),"NA",IF(OR(U105/M105&gt;2,U105/M105&lt;0.5),"NM",(U105/M105-1)*100))</f>
        <v>NM</v>
      </c>
      <c r="W105" s="221">
        <f>U105</f>
        <v>10</v>
      </c>
      <c r="X105" s="135" t="str">
        <f>IF(ISERROR(W105/O105),"NA",IF(OR(W105/O105&gt;2,W105/O105&lt;0.5),"NM",(W105/O105-1)*100))</f>
        <v>NM</v>
      </c>
      <c r="Y105" s="221">
        <f>W105</f>
        <v>10</v>
      </c>
      <c r="Z105" s="135" t="str">
        <f>IF(ISERROR(Y105/Q105),"NA",IF(OR(Y105/Q105&gt;2,Y105/Q105&lt;0.5),"NM",(Y105/Q105-1)*100))</f>
        <v>NM</v>
      </c>
      <c r="AA105" s="54"/>
      <c r="AB105" s="185"/>
      <c r="AC105" s="56"/>
      <c r="AD105" s="64">
        <f>AD104/AD103*100</f>
        <v>0.11080332409972309</v>
      </c>
      <c r="AE105" s="61"/>
      <c r="AF105" s="64">
        <f>AF104/AF103*100</f>
        <v>-5.8333333333333268</v>
      </c>
      <c r="AG105" s="25" t="str">
        <f t="shared" si="25"/>
        <v>NM</v>
      </c>
      <c r="AH105" s="229">
        <f>AH104/AH103*100</f>
        <v>-141.66666666666669</v>
      </c>
      <c r="AI105" s="25" t="str">
        <f t="shared" si="26"/>
        <v>NM</v>
      </c>
      <c r="AJ105" s="64">
        <f>AJ104/AJ103*100</f>
        <v>7.5471698113207548</v>
      </c>
      <c r="AK105" s="25" t="str">
        <f t="shared" si="27"/>
        <v>NM</v>
      </c>
      <c r="AL105" s="64">
        <f>AL104/AL103*100</f>
        <v>-13.333333333333334</v>
      </c>
      <c r="AM105" s="25" t="str">
        <f t="shared" si="28"/>
        <v>NM</v>
      </c>
      <c r="AN105" s="64">
        <f>AN104/AN103*100</f>
        <v>9.9999999999995577</v>
      </c>
      <c r="AO105" s="25" t="str">
        <f t="shared" si="29"/>
        <v>NM</v>
      </c>
      <c r="AP105" s="221">
        <f>AN105+0.5</f>
        <v>10.499999999999558</v>
      </c>
      <c r="AQ105" s="25">
        <f t="shared" si="29"/>
        <v>5.0000000000002265</v>
      </c>
      <c r="AR105" s="221">
        <f>AP105+0.5</f>
        <v>10.999999999999558</v>
      </c>
      <c r="AS105" s="25">
        <f t="shared" si="29"/>
        <v>4.761904761904967</v>
      </c>
      <c r="AT105" s="221">
        <f>AR105+0.5</f>
        <v>11.499999999999558</v>
      </c>
      <c r="AU105" s="25">
        <f t="shared" si="30"/>
        <v>4.5454545454547191</v>
      </c>
      <c r="AV105" s="221">
        <f>AT105+0.5</f>
        <v>11.999999999999558</v>
      </c>
      <c r="AW105" s="25">
        <f t="shared" si="31"/>
        <v>4.3478260869566965</v>
      </c>
      <c r="AX105" s="63" t="str">
        <f>IF(ISERROR(((AV105/AL105)^0.2-1)*100),"NA",IF((((AV105/AL105)^0.2-1)*100)&gt;100,"NM",IF((((AV105/AL105)^0.2-1)*100)&lt;-50,"NM",((AV105/AL105)^0.2-1)*100)))</f>
        <v>NM</v>
      </c>
      <c r="AY105" s="58"/>
      <c r="AZ105" s="59"/>
      <c r="BA105"/>
      <c r="BB105"/>
      <c r="BC105"/>
      <c r="BD105"/>
      <c r="BE105"/>
      <c r="BF105"/>
      <c r="BG105" s="31"/>
      <c r="BH105" s="54"/>
      <c r="BI105" s="54"/>
      <c r="BJ105" s="54"/>
      <c r="BK105" s="54"/>
      <c r="BL105" s="54"/>
      <c r="BM105" s="54"/>
      <c r="BN105" s="24"/>
    </row>
    <row r="106" spans="1:66" s="436" customFormat="1" ht="12.75" customHeight="1">
      <c r="A106" s="220"/>
      <c r="B106" s="202" t="s">
        <v>161</v>
      </c>
      <c r="C106" s="212">
        <f>C103-C104</f>
        <v>-45</v>
      </c>
      <c r="D106" s="214"/>
      <c r="E106" s="212">
        <f>E103-E104</f>
        <v>-17</v>
      </c>
      <c r="F106" s="214"/>
      <c r="G106" s="212">
        <f>G103-G104</f>
        <v>-25</v>
      </c>
      <c r="H106" s="212"/>
      <c r="I106" s="212">
        <f>I103-I104</f>
        <v>38</v>
      </c>
      <c r="J106" s="212"/>
      <c r="K106" s="212">
        <f>K103-K104</f>
        <v>-9</v>
      </c>
      <c r="L106" s="135" t="str">
        <f>IF(ISERROR(K106/C106),"NA",IF(OR(K106/C106&gt;2,K106/C106&lt;0.5),"NM",(K106/C106-1)*100))</f>
        <v>NM</v>
      </c>
      <c r="M106" s="212">
        <f>M103-M104</f>
        <v>13</v>
      </c>
      <c r="N106" s="135" t="str">
        <f>IF(ISERROR(M106/E106),"NA",IF(OR(M106/E106&gt;2,M106/E106&lt;0.5),"NM",(M106/E106-1)*100))</f>
        <v>NM</v>
      </c>
      <c r="O106" s="212">
        <f>O103-O104</f>
        <v>-13</v>
      </c>
      <c r="P106" s="135">
        <f>IF(ISERROR(O106/G106),"NA",IF(OR(O106/G106&gt;2,O106/G106&lt;0.5),"NM",(O106/G106-1)*100))</f>
        <v>-48</v>
      </c>
      <c r="Q106" s="212">
        <f>Q103-Q104</f>
        <v>26</v>
      </c>
      <c r="R106" s="135">
        <f>IF(ISERROR(Q106/I106),"NA",IF(OR(Q106/I106&gt;2,Q106/I106&lt;0.5),"NM",(Q106/I106-1)*100))</f>
        <v>-31.578947368421051</v>
      </c>
      <c r="S106" s="212">
        <f>S103-S104</f>
        <v>-0.33299999999999769</v>
      </c>
      <c r="T106" s="135" t="str">
        <f>IF(ISERROR(S106/K106),"NA",IF(OR(S106/K106&gt;2,S106/K106&lt;0.5),"NM",(S106/K106-1)*100))</f>
        <v>NM</v>
      </c>
      <c r="U106" s="212">
        <f>U103-U104</f>
        <v>1.2420000000003029E-2</v>
      </c>
      <c r="V106" s="135" t="str">
        <f>IF(ISERROR(U106/M106),"NA",IF(OR(U106/M106&gt;2,U106/M106&lt;0.5),"NM",(U106/M106-1)*100))</f>
        <v>NM</v>
      </c>
      <c r="W106" s="212">
        <f>W103-W104</f>
        <v>0.36129420000000534</v>
      </c>
      <c r="X106" s="135" t="str">
        <f>IF(ISERROR(W106/O106),"NA",IF(OR(W106/O106&gt;2,W106/O106&lt;0.5),"NM",(W106/O106-1)*100))</f>
        <v>NM</v>
      </c>
      <c r="Y106" s="212">
        <f>Y103-Y104</f>
        <v>-0.1863428579999912</v>
      </c>
      <c r="Z106" s="135" t="str">
        <f>IF(ISERROR(Y106/Q106),"NA",IF(OR(Y106/Q106&gt;2,Y106/Q106&lt;0.5),"NM",(Y106/Q106-1)*100))</f>
        <v>NM</v>
      </c>
      <c r="AA106" s="220"/>
      <c r="AB106" s="216"/>
      <c r="AC106" s="117"/>
      <c r="AD106" s="212">
        <f>AD103-AD104</f>
        <v>360.6</v>
      </c>
      <c r="AE106" s="103"/>
      <c r="AF106" s="212">
        <f>AF103-AF104</f>
        <v>25.4</v>
      </c>
      <c r="AG106" s="25" t="str">
        <f t="shared" si="25"/>
        <v>NM</v>
      </c>
      <c r="AH106" s="212">
        <f>AH103-AH104</f>
        <v>-29</v>
      </c>
      <c r="AI106" s="25" t="str">
        <f t="shared" si="26"/>
        <v>NM</v>
      </c>
      <c r="AJ106" s="212">
        <f>AJ103-AJ104</f>
        <v>-49</v>
      </c>
      <c r="AK106" s="25">
        <f t="shared" si="27"/>
        <v>68.965517241379317</v>
      </c>
      <c r="AL106" s="212">
        <f>AL103-AL104</f>
        <v>17</v>
      </c>
      <c r="AM106" s="25" t="str">
        <f t="shared" si="28"/>
        <v>NM</v>
      </c>
      <c r="AN106" s="212">
        <f>AN103-AN104</f>
        <v>-0.14562865799998762</v>
      </c>
      <c r="AO106" s="25" t="str">
        <f t="shared" si="29"/>
        <v>NM</v>
      </c>
      <c r="AP106" s="212">
        <f>AP103-AP104</f>
        <v>-3.0922660020980297</v>
      </c>
      <c r="AQ106" s="25" t="str">
        <f t="shared" si="29"/>
        <v>NM</v>
      </c>
      <c r="AR106" s="212">
        <f>AR103-AR104</f>
        <v>-8.0927225884967875</v>
      </c>
      <c r="AS106" s="25" t="str">
        <f t="shared" si="29"/>
        <v>NM</v>
      </c>
      <c r="AT106" s="212">
        <f>AT103-AT104</f>
        <v>-9.6285926119506158</v>
      </c>
      <c r="AU106" s="25">
        <f t="shared" si="30"/>
        <v>18.978409387675722</v>
      </c>
      <c r="AV106" s="212">
        <f>AV103-AV104</f>
        <v>-11.137475163307242</v>
      </c>
      <c r="AW106" s="25">
        <f t="shared" si="31"/>
        <v>15.670852555168469</v>
      </c>
      <c r="AX106" s="63" t="str">
        <f>IF(ISERROR(((AV106/AL106)^0.2-1)*100),"NA",IF((((AV106/AL106)^0.2-1)*100)&gt;100,"NM",IF((((AV106/AL106)^0.2-1)*100)&lt;-50,"NM",((AV106/AL106)^0.2-1)*100)))</f>
        <v>NM</v>
      </c>
      <c r="AY106" s="118"/>
      <c r="AZ106" s="211"/>
      <c r="BA106"/>
      <c r="BB106"/>
      <c r="BC106"/>
      <c r="BD106"/>
      <c r="BE106"/>
      <c r="BF106"/>
      <c r="BG106" s="210"/>
      <c r="BH106" s="220"/>
      <c r="BI106" s="220"/>
      <c r="BJ106" s="220"/>
      <c r="BK106" s="220"/>
      <c r="BL106" s="220"/>
      <c r="BM106" s="220"/>
      <c r="BN106" s="24"/>
    </row>
    <row r="107" spans="1:66" s="248" customFormat="1" ht="12.75" customHeight="1">
      <c r="A107" s="54"/>
      <c r="B107" s="203" t="s">
        <v>162</v>
      </c>
      <c r="C107" s="199"/>
      <c r="D107" s="224"/>
      <c r="E107" s="199"/>
      <c r="F107" s="224"/>
      <c r="G107" s="199"/>
      <c r="H107" s="225"/>
      <c r="I107" s="199"/>
      <c r="J107" s="225"/>
      <c r="K107" s="199">
        <v>-11</v>
      </c>
      <c r="L107" s="135"/>
      <c r="M107" s="199">
        <v>8</v>
      </c>
      <c r="N107" s="135"/>
      <c r="O107" s="199">
        <v>-17</v>
      </c>
      <c r="P107" s="135"/>
      <c r="Q107" s="199">
        <v>17</v>
      </c>
      <c r="R107" s="135"/>
      <c r="S107" s="219"/>
      <c r="T107" s="135"/>
      <c r="U107" s="219"/>
      <c r="V107" s="135"/>
      <c r="W107" s="219"/>
      <c r="X107" s="135"/>
      <c r="Y107" s="219"/>
      <c r="Z107" s="135"/>
      <c r="AA107" s="54"/>
      <c r="AB107" s="185"/>
      <c r="AC107" s="56"/>
      <c r="AD107" s="199">
        <v>202</v>
      </c>
      <c r="AE107" s="61"/>
      <c r="AF107" s="199">
        <v>19</v>
      </c>
      <c r="AG107" s="25" t="str">
        <f t="shared" si="25"/>
        <v>NM</v>
      </c>
      <c r="AH107" s="199">
        <v>-56</v>
      </c>
      <c r="AI107" s="25" t="str">
        <f t="shared" si="26"/>
        <v>NM</v>
      </c>
      <c r="AJ107" s="209">
        <f>I107+G107+E107+C107</f>
        <v>0</v>
      </c>
      <c r="AK107" s="25" t="str">
        <f t="shared" si="27"/>
        <v>NM</v>
      </c>
      <c r="AL107" s="209">
        <f>K107+M107+O107+Q107</f>
        <v>-3</v>
      </c>
      <c r="AM107" s="25" t="str">
        <f t="shared" si="28"/>
        <v>NA</v>
      </c>
      <c r="AN107" s="209">
        <f>S107+U107+W107+Y107</f>
        <v>0</v>
      </c>
      <c r="AO107" s="25" t="str">
        <f t="shared" si="29"/>
        <v>NM</v>
      </c>
      <c r="AP107" s="219"/>
      <c r="AQ107" s="25" t="str">
        <f t="shared" si="29"/>
        <v>NA</v>
      </c>
      <c r="AR107" s="219"/>
      <c r="AS107" s="25" t="str">
        <f t="shared" si="29"/>
        <v>NA</v>
      </c>
      <c r="AT107" s="219"/>
      <c r="AU107" s="25" t="str">
        <f t="shared" si="30"/>
        <v>NA</v>
      </c>
      <c r="AV107" s="219"/>
      <c r="AW107" s="25" t="str">
        <f t="shared" si="31"/>
        <v>NA</v>
      </c>
      <c r="AX107" s="63"/>
      <c r="AY107" s="58"/>
      <c r="AZ107" s="59"/>
      <c r="BA107"/>
      <c r="BB107"/>
      <c r="BC107"/>
      <c r="BD107"/>
      <c r="BE107"/>
      <c r="BF107"/>
      <c r="BG107" s="31"/>
      <c r="BH107" s="54"/>
      <c r="BI107" s="54"/>
      <c r="BJ107" s="54"/>
      <c r="BK107" s="54"/>
      <c r="BL107" s="54"/>
      <c r="BM107" s="54"/>
      <c r="BN107" s="24"/>
    </row>
    <row r="108" spans="1:66" s="436" customFormat="1" ht="12.75" customHeight="1">
      <c r="A108" s="220"/>
      <c r="B108" s="202" t="s">
        <v>163</v>
      </c>
      <c r="C108" s="212">
        <f>C106-C107</f>
        <v>-45</v>
      </c>
      <c r="D108" s="214"/>
      <c r="E108" s="212">
        <f>E106-E107</f>
        <v>-17</v>
      </c>
      <c r="F108" s="212"/>
      <c r="G108" s="212">
        <f>G106-G107</f>
        <v>-25</v>
      </c>
      <c r="H108" s="212"/>
      <c r="I108" s="212">
        <f>I106-I107</f>
        <v>38</v>
      </c>
      <c r="J108" s="212"/>
      <c r="K108" s="212">
        <f>K106-K107</f>
        <v>2</v>
      </c>
      <c r="L108" s="135" t="str">
        <f>IF(ISERROR(K108/C108),"NA",IF(OR(K108/C108&gt;2,K108/C108&lt;0.5),"NM",(K108/C108-1)*100))</f>
        <v>NM</v>
      </c>
      <c r="M108" s="212">
        <f>M106-M107</f>
        <v>5</v>
      </c>
      <c r="N108" s="135" t="str">
        <f>IF(ISERROR(M108/E108),"NA",IF(OR(M108/E108&gt;2,M108/E108&lt;0.5),"NM",(M108/E108-1)*100))</f>
        <v>NM</v>
      </c>
      <c r="O108" s="212">
        <f>O106-O107</f>
        <v>4</v>
      </c>
      <c r="P108" s="135" t="str">
        <f>IF(ISERROR(O108/G108),"NA",IF(OR(O108/G108&gt;2,O108/G108&lt;0.5),"NM",(O108/G108-1)*100))</f>
        <v>NM</v>
      </c>
      <c r="Q108" s="212">
        <f>Q106-Q107</f>
        <v>9</v>
      </c>
      <c r="R108" s="135" t="str">
        <f>IF(ISERROR(Q108/I108),"NA",IF(OR(Q108/I108&gt;2,Q108/I108&lt;0.5),"NM",(Q108/I108-1)*100))</f>
        <v>NM</v>
      </c>
      <c r="S108" s="212">
        <f>S106-S107</f>
        <v>-0.33299999999999769</v>
      </c>
      <c r="T108" s="135" t="str">
        <f>IF(ISERROR(S108/K108),"NA",IF(OR(S108/K108&gt;2,S108/K108&lt;0.5),"NM",(S108/K108-1)*100))</f>
        <v>NM</v>
      </c>
      <c r="U108" s="212">
        <f>U106-U107</f>
        <v>1.2420000000003029E-2</v>
      </c>
      <c r="V108" s="135" t="str">
        <f>IF(ISERROR(U108/M108),"NA",IF(OR(U108/M108&gt;2,U108/M108&lt;0.5),"NM",(U108/M108-1)*100))</f>
        <v>NM</v>
      </c>
      <c r="W108" s="212">
        <f>W106-W107</f>
        <v>0.36129420000000534</v>
      </c>
      <c r="X108" s="135" t="str">
        <f>IF(ISERROR(W108/O108),"NA",IF(OR(W108/O108&gt;2,W108/O108&lt;0.5),"NM",(W108/O108-1)*100))</f>
        <v>NM</v>
      </c>
      <c r="Y108" s="212">
        <f>Y106-Y107</f>
        <v>-0.1863428579999912</v>
      </c>
      <c r="Z108" s="135" t="str">
        <f>IF(ISERROR(Y108/Q108),"NA",IF(OR(Y108/Q108&gt;2,Y108/Q108&lt;0.5),"NM",(Y108/Q108-1)*100))</f>
        <v>NM</v>
      </c>
      <c r="AA108" s="220"/>
      <c r="AB108" s="216"/>
      <c r="AC108" s="117"/>
      <c r="AD108" s="212">
        <f>AD106-AD107</f>
        <v>158.60000000000002</v>
      </c>
      <c r="AE108" s="103"/>
      <c r="AF108" s="212">
        <f>AF106-AF107</f>
        <v>6.3999999999999986</v>
      </c>
      <c r="AG108" s="25" t="str">
        <f t="shared" si="25"/>
        <v>NM</v>
      </c>
      <c r="AH108" s="212">
        <f>AH106-AH107</f>
        <v>27</v>
      </c>
      <c r="AI108" s="25" t="str">
        <f t="shared" si="26"/>
        <v>NM</v>
      </c>
      <c r="AJ108" s="212">
        <f>AJ106-AJ107</f>
        <v>-49</v>
      </c>
      <c r="AK108" s="25" t="str">
        <f t="shared" si="27"/>
        <v>NM</v>
      </c>
      <c r="AL108" s="212">
        <f>AL106-AL107</f>
        <v>20</v>
      </c>
      <c r="AM108" s="25" t="str">
        <f t="shared" si="28"/>
        <v>NM</v>
      </c>
      <c r="AN108" s="212">
        <f>AN106-AN107</f>
        <v>-0.14562865799998762</v>
      </c>
      <c r="AO108" s="25" t="str">
        <f t="shared" si="29"/>
        <v>NM</v>
      </c>
      <c r="AP108" s="212">
        <f>AP106-AP107</f>
        <v>-3.0922660020980297</v>
      </c>
      <c r="AQ108" s="25" t="str">
        <f t="shared" si="29"/>
        <v>NM</v>
      </c>
      <c r="AR108" s="212">
        <f>AR106-AR107</f>
        <v>-8.0927225884967875</v>
      </c>
      <c r="AS108" s="25" t="str">
        <f t="shared" si="29"/>
        <v>NM</v>
      </c>
      <c r="AT108" s="212">
        <f>AT106-AT107</f>
        <v>-9.6285926119506158</v>
      </c>
      <c r="AU108" s="25">
        <f t="shared" si="30"/>
        <v>18.978409387675722</v>
      </c>
      <c r="AV108" s="212">
        <f>AV106-AV107</f>
        <v>-11.137475163307242</v>
      </c>
      <c r="AW108" s="25">
        <f t="shared" si="31"/>
        <v>15.670852555168469</v>
      </c>
      <c r="AX108" s="63" t="str">
        <f>IF(ISERROR(((AV108/AL108)^0.2-1)*100),"NA",IF((((AV108/AL108)^0.2-1)*100)&gt;100,"NM",IF((((AV108/AL108)^0.2-1)*100)&lt;-50,"NM",((AV108/AL108)^0.2-1)*100)))</f>
        <v>NM</v>
      </c>
      <c r="AY108" s="118"/>
      <c r="AZ108" s="211"/>
      <c r="BA108"/>
      <c r="BB108"/>
      <c r="BC108"/>
      <c r="BD108"/>
      <c r="BE108"/>
      <c r="BF108"/>
      <c r="BG108" s="210"/>
      <c r="BH108" s="220"/>
      <c r="BI108" s="220"/>
      <c r="BJ108" s="220"/>
      <c r="BK108" s="220"/>
      <c r="BL108" s="220"/>
      <c r="BM108" s="220"/>
      <c r="BN108" s="24"/>
    </row>
    <row r="109" spans="1:66" s="248" customFormat="1" ht="12.75" customHeight="1">
      <c r="A109" s="54"/>
      <c r="B109" s="203" t="s">
        <v>123</v>
      </c>
      <c r="C109" s="209">
        <f>C103-C107/0.65</f>
        <v>-49</v>
      </c>
      <c r="D109" s="80"/>
      <c r="E109" s="209">
        <f>E103-E107/0.65</f>
        <v>-12</v>
      </c>
      <c r="F109" s="209"/>
      <c r="G109" s="209">
        <f>G103-G107/0.65</f>
        <v>-27</v>
      </c>
      <c r="H109" s="209"/>
      <c r="I109" s="209">
        <f>I103-I107/0.65</f>
        <v>35</v>
      </c>
      <c r="J109" s="209"/>
      <c r="K109" s="209">
        <f>K103-K107/0.65</f>
        <v>6.9230769230769234</v>
      </c>
      <c r="L109" s="135" t="str">
        <f>IF(ISERROR(K109/C109),"NA",IF(OR(K109/C109&gt;2,K109/C109&lt;0.5),"NM",(K109/C109-1)*100))</f>
        <v>NM</v>
      </c>
      <c r="M109" s="209">
        <f>M103-M107/0.65</f>
        <v>-2.3076923076923066</v>
      </c>
      <c r="N109" s="135" t="str">
        <f>IF(ISERROR(M109/E109),"NA",IF(OR(M109/E109&gt;2,M109/E109&lt;0.5),"NM",(M109/E109-1)*100))</f>
        <v>NM</v>
      </c>
      <c r="O109" s="209">
        <f>O103-O107/0.65</f>
        <v>7.1538461538461533</v>
      </c>
      <c r="P109" s="135" t="str">
        <f>IF(ISERROR(O109/G109),"NA",IF(OR(O109/G109&gt;2,O109/G109&lt;0.5),"NM",(O109/G109-1)*100))</f>
        <v>NM</v>
      </c>
      <c r="Q109" s="209">
        <f>Q103-Q107/0.65</f>
        <v>7.8461538461538467</v>
      </c>
      <c r="R109" s="135" t="str">
        <f>IF(ISERROR(Q109/I109),"NA",IF(OR(Q109/I109&gt;2,Q109/I109&lt;0.5),"NM",(Q109/I109-1)*100))</f>
        <v>NM</v>
      </c>
      <c r="S109" s="209">
        <f>S103-S107/0.65</f>
        <v>-0.36999999999999744</v>
      </c>
      <c r="T109" s="135" t="str">
        <f>IF(ISERROR(S109/K109),"NA",IF(OR(S109/K109&gt;2,S109/K109&lt;0.5),"NM",(S109/K109-1)*100))</f>
        <v>NM</v>
      </c>
      <c r="U109" s="209">
        <f>U103-U107/0.65</f>
        <v>1.3800000000003365E-2</v>
      </c>
      <c r="V109" s="135" t="str">
        <f>IF(ISERROR(U109/M109),"NA",IF(OR(U109/M109&gt;2,U109/M109&lt;0.5),"NM",(U109/M109-1)*100))</f>
        <v>NM</v>
      </c>
      <c r="W109" s="209">
        <f>W103-W107/0.65</f>
        <v>0.40143800000000596</v>
      </c>
      <c r="X109" s="135" t="str">
        <f>IF(ISERROR(W109/O109),"NA",IF(OR(W109/O109&gt;2,W109/O109&lt;0.5),"NM",(W109/O109-1)*100))</f>
        <v>NM</v>
      </c>
      <c r="Y109" s="209">
        <f>Y103-Y107/0.65</f>
        <v>-0.20704761999999022</v>
      </c>
      <c r="Z109" s="135" t="str">
        <f>IF(ISERROR(Y109/Q109),"NA",IF(OR(Y109/Q109&gt;2,Y109/Q109&lt;0.5),"NM",(Y109/Q109-1)*100))</f>
        <v>NM</v>
      </c>
      <c r="AA109" s="54"/>
      <c r="AB109" s="185"/>
      <c r="AC109" s="56"/>
      <c r="AD109" s="209">
        <f>AD103-AD107/0.65</f>
        <v>50.230769230769226</v>
      </c>
      <c r="AE109" s="61"/>
      <c r="AF109" s="209">
        <f>AF103-AF107/0.65</f>
        <v>-5.2307692307692299</v>
      </c>
      <c r="AG109" s="25" t="str">
        <f t="shared" si="25"/>
        <v>NM</v>
      </c>
      <c r="AH109" s="209">
        <f>AH103-AH107/0.65</f>
        <v>74.153846153846146</v>
      </c>
      <c r="AI109" s="25" t="str">
        <f t="shared" si="26"/>
        <v>NM</v>
      </c>
      <c r="AJ109" s="209">
        <f>AJ103-AJ107/0.65</f>
        <v>-53</v>
      </c>
      <c r="AK109" s="25" t="str">
        <f t="shared" si="27"/>
        <v>NM</v>
      </c>
      <c r="AL109" s="209">
        <f>AL103-AL107/0.65</f>
        <v>19.615384615384613</v>
      </c>
      <c r="AM109" s="25" t="str">
        <f t="shared" si="28"/>
        <v>NM</v>
      </c>
      <c r="AN109" s="209">
        <f>AN103-AN107/0.65</f>
        <v>-0.16180961999998544</v>
      </c>
      <c r="AO109" s="25" t="str">
        <f t="shared" si="29"/>
        <v>NM</v>
      </c>
      <c r="AP109" s="209">
        <f>AP103-AP107/0.65</f>
        <v>-3.4550458124000158</v>
      </c>
      <c r="AQ109" s="25" t="str">
        <f t="shared" si="29"/>
        <v>NM</v>
      </c>
      <c r="AR109" s="209">
        <f>AR103-AR107/0.65</f>
        <v>-9.0929467286480303</v>
      </c>
      <c r="AS109" s="25" t="str">
        <f t="shared" si="29"/>
        <v>NM</v>
      </c>
      <c r="AT109" s="209">
        <f>AT103-AT107/0.65</f>
        <v>-10.879765663220979</v>
      </c>
      <c r="AU109" s="25">
        <f t="shared" si="30"/>
        <v>19.650603790995923</v>
      </c>
      <c r="AV109" s="209">
        <f>AV103-AV107/0.65</f>
        <v>-12.656221776485438</v>
      </c>
      <c r="AW109" s="25">
        <f t="shared" si="31"/>
        <v>16.328073308322843</v>
      </c>
      <c r="AX109" s="63" t="str">
        <f>IF(ISERROR(((AV109/AL109)^0.2-1)*100),"NA",IF((((AV109/AL109)^0.2-1)*100)&gt;100,"NM",IF((((AV109/AL109)^0.2-1)*100)&lt;-50,"NM",((AV109/AL109)^0.2-1)*100)))</f>
        <v>NM</v>
      </c>
      <c r="AY109" s="58"/>
      <c r="AZ109" s="59"/>
      <c r="BA109"/>
      <c r="BB109"/>
      <c r="BC109"/>
      <c r="BD109"/>
      <c r="BE109"/>
      <c r="BF109"/>
      <c r="BG109" s="31"/>
      <c r="BH109" s="54"/>
      <c r="BI109" s="54"/>
      <c r="BJ109" s="54"/>
      <c r="BK109" s="54"/>
      <c r="BL109" s="54"/>
      <c r="BM109" s="54"/>
      <c r="BN109" s="24"/>
    </row>
    <row r="110" spans="1:66" s="439" customFormat="1" ht="12.75" customHeight="1">
      <c r="A110" s="24"/>
      <c r="B110" s="95"/>
      <c r="C110" s="85"/>
      <c r="D110" s="61"/>
      <c r="E110" s="85"/>
      <c r="F110" s="61"/>
      <c r="G110" s="85"/>
      <c r="H110" s="61"/>
      <c r="I110" s="85"/>
      <c r="J110" s="61"/>
      <c r="K110" s="85"/>
      <c r="L110" s="61"/>
      <c r="M110" s="85"/>
      <c r="N110" s="61"/>
      <c r="O110" s="85"/>
      <c r="P110" s="61"/>
      <c r="Q110" s="85"/>
      <c r="R110" s="61"/>
      <c r="S110" s="85"/>
      <c r="T110" s="61"/>
      <c r="U110" s="85"/>
      <c r="V110" s="61"/>
      <c r="W110" s="85"/>
      <c r="X110" s="61"/>
      <c r="Y110" s="85"/>
      <c r="Z110" s="61"/>
      <c r="AA110" s="28"/>
      <c r="AB110" s="180"/>
      <c r="AC110" s="85"/>
      <c r="AD110" s="85"/>
      <c r="AE110" s="61"/>
      <c r="AF110" s="85"/>
      <c r="AG110" s="61"/>
      <c r="AH110" s="85"/>
      <c r="AI110" s="61"/>
      <c r="AJ110" s="85"/>
      <c r="AK110" s="61"/>
      <c r="AL110" s="85"/>
      <c r="AM110" s="61"/>
      <c r="AN110" s="85"/>
      <c r="AO110" s="61"/>
      <c r="AP110" s="85"/>
      <c r="AQ110" s="61"/>
      <c r="AR110" s="85"/>
      <c r="AS110" s="61"/>
      <c r="AT110" s="85"/>
      <c r="AU110" s="61"/>
      <c r="AV110" s="85"/>
      <c r="AW110" s="61"/>
      <c r="AX110" s="61"/>
      <c r="AY110" s="96"/>
      <c r="AZ110" s="98"/>
      <c r="BA110"/>
      <c r="BB110"/>
      <c r="BC110"/>
      <c r="BD110"/>
      <c r="BE110"/>
      <c r="BF110"/>
      <c r="BG110" s="31"/>
      <c r="BH110" s="24"/>
      <c r="BI110" s="24"/>
      <c r="BJ110" s="24"/>
      <c r="BK110" s="24"/>
      <c r="BL110" s="24"/>
      <c r="BM110" s="24"/>
      <c r="BN110" s="24"/>
    </row>
    <row r="111" spans="1:66" s="435" customFormat="1" ht="12.75" customHeight="1">
      <c r="A111" s="47"/>
      <c r="B111" s="48" t="s">
        <v>133</v>
      </c>
      <c r="C111" s="49"/>
      <c r="D111" s="50"/>
      <c r="E111" s="49"/>
      <c r="F111" s="50"/>
      <c r="G111" s="49"/>
      <c r="H111" s="50"/>
      <c r="I111" s="49"/>
      <c r="J111" s="50"/>
      <c r="K111" s="49"/>
      <c r="L111" s="50"/>
      <c r="M111" s="49"/>
      <c r="N111" s="50"/>
      <c r="O111" s="49"/>
      <c r="P111" s="50"/>
      <c r="Q111" s="49"/>
      <c r="R111" s="50"/>
      <c r="S111" s="49"/>
      <c r="T111" s="50"/>
      <c r="U111" s="49"/>
      <c r="V111" s="50"/>
      <c r="W111" s="49"/>
      <c r="X111" s="50"/>
      <c r="Y111" s="49"/>
      <c r="Z111" s="50"/>
      <c r="AA111" s="51"/>
      <c r="AB111" s="180"/>
      <c r="AC111" s="49"/>
      <c r="AD111" s="49"/>
      <c r="AE111" s="50"/>
      <c r="AF111" s="49"/>
      <c r="AG111" s="50"/>
      <c r="AH111" s="49"/>
      <c r="AI111" s="50"/>
      <c r="AJ111" s="49"/>
      <c r="AK111" s="50"/>
      <c r="AL111" s="49"/>
      <c r="AM111" s="50"/>
      <c r="AN111" s="49"/>
      <c r="AO111" s="50"/>
      <c r="AP111" s="49"/>
      <c r="AQ111" s="50"/>
      <c r="AR111" s="49"/>
      <c r="AS111" s="50"/>
      <c r="AT111" s="49"/>
      <c r="AU111" s="50"/>
      <c r="AV111" s="49"/>
      <c r="AW111" s="50"/>
      <c r="AX111" s="50"/>
      <c r="AY111" s="52"/>
      <c r="AZ111" s="47"/>
      <c r="BA111"/>
      <c r="BB111"/>
      <c r="BC111"/>
      <c r="BD111"/>
      <c r="BE111"/>
      <c r="BF111"/>
      <c r="BG111" s="53"/>
      <c r="BH111" s="51"/>
      <c r="BI111" s="264"/>
      <c r="BJ111" s="264"/>
      <c r="BK111" s="264"/>
      <c r="BL111" s="264"/>
      <c r="BM111" s="264"/>
      <c r="BN111" s="24"/>
    </row>
    <row r="112" spans="1:66" s="438" customFormat="1" ht="12.75" customHeight="1">
      <c r="A112" s="101"/>
      <c r="B112" s="94"/>
      <c r="C112" s="93"/>
      <c r="D112" s="61"/>
      <c r="E112" s="93"/>
      <c r="F112" s="61"/>
      <c r="G112" s="93"/>
      <c r="H112" s="61"/>
      <c r="I112" s="93"/>
      <c r="J112" s="61"/>
      <c r="K112" s="93"/>
      <c r="L112" s="61"/>
      <c r="M112" s="93"/>
      <c r="N112" s="61"/>
      <c r="O112" s="93"/>
      <c r="P112" s="61"/>
      <c r="Q112" s="93"/>
      <c r="R112" s="61"/>
      <c r="S112" s="93"/>
      <c r="T112" s="61"/>
      <c r="U112" s="93"/>
      <c r="V112" s="61"/>
      <c r="W112" s="93"/>
      <c r="X112" s="61"/>
      <c r="Y112" s="93"/>
      <c r="Z112" s="61"/>
      <c r="AA112" s="102"/>
      <c r="AB112" s="180"/>
      <c r="AC112" s="93"/>
      <c r="AD112" s="93"/>
      <c r="AE112" s="61"/>
      <c r="AF112" s="93"/>
      <c r="AG112" s="61"/>
      <c r="AH112" s="93"/>
      <c r="AI112" s="61"/>
      <c r="AJ112" s="93"/>
      <c r="AK112" s="61"/>
      <c r="AL112" s="93"/>
      <c r="AM112" s="61"/>
      <c r="AN112" s="93"/>
      <c r="AO112" s="61"/>
      <c r="AP112" s="93"/>
      <c r="AQ112" s="61"/>
      <c r="AR112" s="93"/>
      <c r="AS112" s="61"/>
      <c r="AT112" s="93"/>
      <c r="AU112" s="61"/>
      <c r="AV112" s="93"/>
      <c r="AW112" s="61"/>
      <c r="AX112" s="61"/>
      <c r="AY112" s="96"/>
      <c r="AZ112" s="126"/>
      <c r="BA112"/>
      <c r="BB112"/>
      <c r="BC112"/>
      <c r="BD112"/>
      <c r="BE112"/>
      <c r="BF112"/>
      <c r="BG112" s="31"/>
      <c r="BH112" s="101"/>
      <c r="BI112" s="101"/>
      <c r="BJ112" s="101"/>
      <c r="BK112" s="101"/>
      <c r="BL112" s="101"/>
      <c r="BM112" s="101"/>
      <c r="BN112" s="24"/>
    </row>
    <row r="113" spans="1:66" s="438" customFormat="1" ht="12.75" customHeight="1">
      <c r="A113" s="101"/>
      <c r="B113" s="204" t="s">
        <v>143</v>
      </c>
      <c r="C113" s="93"/>
      <c r="D113" s="61"/>
      <c r="E113" s="93"/>
      <c r="F113" s="61"/>
      <c r="G113" s="93"/>
      <c r="H113" s="61"/>
      <c r="I113" s="93"/>
      <c r="J113" s="61"/>
      <c r="K113" s="93"/>
      <c r="L113" s="61"/>
      <c r="M113" s="93"/>
      <c r="N113" s="61"/>
      <c r="O113" s="93"/>
      <c r="P113" s="61"/>
      <c r="Q113" s="93"/>
      <c r="R113" s="61"/>
      <c r="S113" s="93"/>
      <c r="T113" s="61"/>
      <c r="U113" s="93"/>
      <c r="V113" s="61"/>
      <c r="W113" s="93"/>
      <c r="X113" s="61"/>
      <c r="Y113" s="93"/>
      <c r="Z113" s="61"/>
      <c r="AA113" s="102"/>
      <c r="AB113" s="180"/>
      <c r="AC113" s="93"/>
      <c r="AD113" s="93"/>
      <c r="AE113" s="61"/>
      <c r="AF113" s="93"/>
      <c r="AG113" s="61"/>
      <c r="AH113" s="93"/>
      <c r="AI113" s="61"/>
      <c r="AJ113" s="93"/>
      <c r="AK113" s="61"/>
      <c r="AL113" s="93"/>
      <c r="AM113" s="61"/>
      <c r="AN113" s="93"/>
      <c r="AO113" s="61"/>
      <c r="AP113" s="93"/>
      <c r="AQ113" s="61"/>
      <c r="AR113" s="93"/>
      <c r="AS113" s="61"/>
      <c r="AT113" s="93"/>
      <c r="AU113" s="61"/>
      <c r="AV113" s="93"/>
      <c r="AW113" s="61"/>
      <c r="AX113" s="61"/>
      <c r="AY113" s="96"/>
      <c r="AZ113" s="126"/>
      <c r="BA113"/>
      <c r="BB113"/>
      <c r="BC113"/>
      <c r="BD113"/>
      <c r="BE113"/>
      <c r="BF113"/>
      <c r="BG113" s="31"/>
      <c r="BH113" s="101"/>
      <c r="BI113" s="101"/>
      <c r="BJ113" s="101"/>
      <c r="BK113" s="101"/>
      <c r="BL113" s="101"/>
      <c r="BM113" s="101"/>
      <c r="BN113" s="24"/>
    </row>
    <row r="114" spans="1:66" s="438" customFormat="1" ht="12.75" customHeight="1">
      <c r="A114" s="101"/>
      <c r="B114" s="205" t="s">
        <v>145</v>
      </c>
      <c r="C114" s="209">
        <f>C88+C50</f>
        <v>683</v>
      </c>
      <c r="D114" s="200"/>
      <c r="E114" s="209">
        <f>E88+E50</f>
        <v>664</v>
      </c>
      <c r="F114" s="199"/>
      <c r="G114" s="209">
        <f>G88+G50</f>
        <v>695</v>
      </c>
      <c r="H114" s="199"/>
      <c r="I114" s="209">
        <f>I88+I50</f>
        <v>725</v>
      </c>
      <c r="J114" s="199"/>
      <c r="K114" s="209">
        <f>K88+K50</f>
        <v>745</v>
      </c>
      <c r="L114" s="135">
        <f>IF(ISERROR(K114/C114),"NA",IF(OR(K114/C114&gt;2,K114/C114&lt;0.5),"NM",(K114/C114-1)*100))</f>
        <v>9.0775988286969209</v>
      </c>
      <c r="M114" s="209">
        <f>M88+M50</f>
        <v>774</v>
      </c>
      <c r="N114" s="135">
        <f>IF(ISERROR(M114/E114),"NA",IF(OR(M114/E114&gt;2,M114/E114&lt;0.5),"NM",(M114/E114-1)*100))</f>
        <v>16.566265060240969</v>
      </c>
      <c r="O114" s="209">
        <f>O88+O50</f>
        <v>782</v>
      </c>
      <c r="P114" s="135">
        <f>IF(ISERROR(O114/G114),"NA",IF(OR(O114/G114&gt;2,O114/G114&lt;0.5),"NM",(O114/G114-1)*100))</f>
        <v>12.517985611510785</v>
      </c>
      <c r="Q114" s="209">
        <f>Q88+Q50</f>
        <v>810</v>
      </c>
      <c r="R114" s="135">
        <f>IF(ISERROR(Q114/I114),"NA",IF(OR(Q114/I114&gt;2,Q114/I114&lt;0.5),"NM",(Q114/I114-1)*100))</f>
        <v>11.724137931034484</v>
      </c>
      <c r="S114" s="209">
        <f>S88+S50</f>
        <v>853.1739088600001</v>
      </c>
      <c r="T114" s="135">
        <f>IF(ISERROR(S114/K114),"NA",IF(OR(S114/K114&gt;2,S114/K114&lt;0.5),"NM",(S114/K114-1)*100))</f>
        <v>14.519987766442966</v>
      </c>
      <c r="U114" s="209">
        <f>U88+U50</f>
        <v>874.48318763723</v>
      </c>
      <c r="V114" s="135">
        <f>IF(ISERROR(U114/M114),"NA",IF(OR(U114/M114&gt;2,U114/M114&lt;0.5),"NM",(U114/M114-1)*100))</f>
        <v>12.982323984138233</v>
      </c>
      <c r="W114" s="209">
        <f>W88+W50</f>
        <v>1052.2357038893915</v>
      </c>
      <c r="X114" s="135">
        <f>IF(ISERROR(W114/O114),"NA",IF(OR(W114/O114&gt;2,W114/O114&lt;0.5),"NM",(W114/O114-1)*100))</f>
        <v>34.556995382275126</v>
      </c>
      <c r="Y114" s="209">
        <f>Y88+Y50</f>
        <v>1072.2110525845483</v>
      </c>
      <c r="Z114" s="135">
        <f>IF(ISERROR(Y114/Q114),"NA",IF(OR(Y114/Q114&gt;2,Y114/Q114&lt;0.5),"NM",(Y114/Q114-1)*100))</f>
        <v>32.371734886981265</v>
      </c>
      <c r="AA114" s="102"/>
      <c r="AB114" s="180"/>
      <c r="AC114" s="93"/>
      <c r="AD114" s="199">
        <v>1006</v>
      </c>
      <c r="AE114" s="200"/>
      <c r="AF114" s="199">
        <f>2222+1</f>
        <v>2223</v>
      </c>
      <c r="AG114" s="25" t="str">
        <f>IF(ISERROR(AF114/AD114),"NA",IF(OR(AF114/AD114&gt;2,AF114/AD114&lt;0.5),"NM",(AF114/AD114-1)*100))</f>
        <v>NM</v>
      </c>
      <c r="AH114" s="199">
        <v>2398</v>
      </c>
      <c r="AI114" s="25">
        <f>IF(ISERROR(AH114/AF114),"NA",IF(OR(AH114/AF114&gt;2,AH114/AF114&lt;0.5),"NM",(AH114/AF114-1)*100))</f>
        <v>7.8722447143499741</v>
      </c>
      <c r="AJ114" s="209">
        <f>AJ88+AJ50</f>
        <v>2767</v>
      </c>
      <c r="AK114" s="25">
        <f>IF(ISERROR(AJ114/AH114),"NA",IF(OR(AJ114/AH114&gt;2,AJ114/AH114&lt;0.5),"NM",(AJ114/AH114-1)*100))</f>
        <v>15.387823185988324</v>
      </c>
      <c r="AL114" s="209">
        <f>AL88+AL50</f>
        <v>3111</v>
      </c>
      <c r="AM114" s="25">
        <f>IF(ISERROR(AL114/AJ114),"NA",IF(OR(AL114/AJ114&gt;2,AL114/AJ114&lt;0.5),"NM",(AL114/AJ114-1)*100))</f>
        <v>12.432237079869889</v>
      </c>
      <c r="AN114" s="209">
        <f>AN88+AN50</f>
        <v>3852.1038529711695</v>
      </c>
      <c r="AO114" s="25">
        <f>IF(ISERROR(AN114/AL114),"NA",IF(OR(AN114/AL114&gt;2,AN114/AL114&lt;0.5),"NM",(AN114/AL114-1)*100))</f>
        <v>23.822046061432633</v>
      </c>
      <c r="AP114" s="209">
        <f>AP88+AP50</f>
        <v>4496.5211159418077</v>
      </c>
      <c r="AQ114" s="25">
        <f>IF(ISERROR(AP114/AN114),"NA",IF(OR(AP114/AN114&gt;2,AP114/AN114&lt;0.5),"NM",(AP114/AN114-1)*100))</f>
        <v>16.728969092398494</v>
      </c>
      <c r="AR114" s="209">
        <f>AR88+AR50</f>
        <v>4812.8062628769403</v>
      </c>
      <c r="AS114" s="25">
        <f>IF(ISERROR(AR114/AP114),"NA",IF(OR(AR114/AP114&gt;2,AR114/AP114&lt;0.5),"NM",(AR114/AP114-1)*100))</f>
        <v>7.0339967005556003</v>
      </c>
      <c r="AT114" s="209">
        <f>AT88+AT50</f>
        <v>5106.0927440778642</v>
      </c>
      <c r="AU114" s="25">
        <f>IF(ISERROR(AT114/AR114),"NA",IF(OR(AT114/AR114&gt;2,AT114/AR114&lt;0.5),"NM",(AT114/AR114-1)*100))</f>
        <v>6.0938767359733026</v>
      </c>
      <c r="AV114" s="209">
        <f>AV88+AV50</f>
        <v>5429.9934363379016</v>
      </c>
      <c r="AW114" s="25">
        <f>IF(ISERROR(AV114/AT114),"NA",IF(OR(AV114/AT114&gt;2,AV114/AT114&lt;0.5),"NM",(AV114/AT114-1)*100))</f>
        <v>6.3434157680685166</v>
      </c>
      <c r="AX114" s="63">
        <f>IF(ISERROR(((AV114/AL114)^0.2-1)*100),"NA",IF((((AV114/AL114)^0.2-1)*100)&gt;100,"NM",IF((((AV114/AL114)^0.2-1)*100)&lt;-50,"NM",((AV114/AL114)^0.2-1)*100)))</f>
        <v>11.784054736206784</v>
      </c>
      <c r="AY114" s="96"/>
      <c r="AZ114" s="126"/>
      <c r="BA114"/>
      <c r="BB114"/>
      <c r="BC114"/>
      <c r="BD114"/>
      <c r="BE114"/>
      <c r="BF114"/>
      <c r="BG114" s="31"/>
      <c r="BH114" s="101"/>
      <c r="BI114" s="101"/>
      <c r="BJ114" s="101"/>
      <c r="BK114" s="101"/>
      <c r="BL114" s="101"/>
      <c r="BM114" s="101"/>
      <c r="BN114" s="24"/>
    </row>
    <row r="115" spans="1:66" s="438" customFormat="1" ht="12.75" customHeight="1">
      <c r="A115" s="101"/>
      <c r="B115" s="205" t="s">
        <v>146</v>
      </c>
      <c r="C115" s="209">
        <f>C89+C51</f>
        <v>-3</v>
      </c>
      <c r="D115" s="200"/>
      <c r="E115" s="209">
        <f>E89+E51</f>
        <v>60</v>
      </c>
      <c r="F115" s="199"/>
      <c r="G115" s="209">
        <f>G89+G51</f>
        <v>82</v>
      </c>
      <c r="H115" s="199"/>
      <c r="I115" s="209">
        <f>I89+I51</f>
        <v>122</v>
      </c>
      <c r="J115" s="199"/>
      <c r="K115" s="209">
        <f>K89+K51</f>
        <v>69</v>
      </c>
      <c r="L115" s="135" t="str">
        <f>IF(ISERROR(K115/C115),"NA",IF(OR(K115/C115&gt;2,K115/C115&lt;0.5),"NM",(K115/C115-1)*100))</f>
        <v>NM</v>
      </c>
      <c r="M115" s="209">
        <f>M89+M51</f>
        <v>111</v>
      </c>
      <c r="N115" s="135">
        <f>IF(ISERROR(M115/E115),"NA",IF(OR(M115/E115&gt;2,M115/E115&lt;0.5),"NM",(M115/E115-1)*100))</f>
        <v>85.000000000000014</v>
      </c>
      <c r="O115" s="209">
        <f>O89+O51</f>
        <v>81</v>
      </c>
      <c r="P115" s="135">
        <f>IF(ISERROR(O115/G115),"NA",IF(OR(O115/G115&gt;2,O115/G115&lt;0.5),"NM",(O115/G115-1)*100))</f>
        <v>-1.2195121951219523</v>
      </c>
      <c r="Q115" s="209">
        <f>Q89+Q51</f>
        <v>51</v>
      </c>
      <c r="R115" s="135" t="str">
        <f>IF(ISERROR(Q115/I115),"NA",IF(OR(Q115/I115&gt;2,Q115/I115&lt;0.5),"NM",(Q115/I115-1)*100))</f>
        <v>NM</v>
      </c>
      <c r="S115" s="209">
        <f>S89+S51</f>
        <v>76.033251600000085</v>
      </c>
      <c r="T115" s="135">
        <f>IF(ISERROR(S115/K115),"NA",IF(OR(S115/K115&gt;2,S115/K115&lt;0.5),"NM",(S115/K115-1)*100))</f>
        <v>10.193118260869682</v>
      </c>
      <c r="U115" s="209">
        <f>U89+U51</f>
        <v>77.600703193800001</v>
      </c>
      <c r="V115" s="135">
        <f>IF(ISERROR(U115/M115),"NA",IF(OR(U115/M115&gt;2,U115/M115&lt;0.5),"NM",(U115/M115-1)*100))</f>
        <v>-30.089456582162168</v>
      </c>
      <c r="W115" s="209">
        <f>W89+W51</f>
        <v>94.457589481520699</v>
      </c>
      <c r="X115" s="135">
        <f>IF(ISERROR(W115/O115),"NA",IF(OR(W115/O115&gt;2,W115/O115&lt;0.5),"NM",(W115/O115-1)*100))</f>
        <v>16.614308001877397</v>
      </c>
      <c r="Y115" s="209">
        <f>Y89+Y51</f>
        <v>95.993576486631355</v>
      </c>
      <c r="Z115" s="135">
        <f>IF(ISERROR(Y115/Q115),"NA",IF(OR(Y115/Q115&gt;2,Y115/Q115&lt;0.5),"NM",(Y115/Q115-1)*100))</f>
        <v>88.222698993394815</v>
      </c>
      <c r="AA115" s="102"/>
      <c r="AB115" s="180"/>
      <c r="AC115" s="93"/>
      <c r="AD115" s="199">
        <v>724</v>
      </c>
      <c r="AE115" s="200"/>
      <c r="AF115" s="199">
        <v>317</v>
      </c>
      <c r="AG115" s="25" t="str">
        <f>IF(ISERROR(AF115/AD115),"NA",IF(OR(AF115/AD115&gt;2,AF115/AD115&lt;0.5),"NM",(AF115/AD115-1)*100))</f>
        <v>NM</v>
      </c>
      <c r="AH115" s="199">
        <v>210</v>
      </c>
      <c r="AI115" s="25">
        <f>IF(ISERROR(AH115/AF115),"NA",IF(OR(AH115/AF115&gt;2,AH115/AF115&lt;0.5),"NM",(AH115/AF115-1)*100))</f>
        <v>-33.753943217665615</v>
      </c>
      <c r="AJ115" s="209">
        <f>AJ89+AJ51</f>
        <v>261</v>
      </c>
      <c r="AK115" s="25">
        <f>IF(ISERROR(AJ115/AH115),"NA",IF(OR(AJ115/AH115&gt;2,AJ115/AH115&lt;0.5),"NM",(AJ115/AH115-1)*100))</f>
        <v>24.285714285714288</v>
      </c>
      <c r="AL115" s="209">
        <f>AL89+AL51</f>
        <v>312</v>
      </c>
      <c r="AM115" s="25">
        <f>IF(ISERROR(AL115/AJ115),"NA",IF(OR(AL115/AJ115&gt;2,AL115/AJ115&lt;0.5),"NM",(AL115/AJ115-1)*100))</f>
        <v>19.540229885057482</v>
      </c>
      <c r="AN115" s="209">
        <f>AN89+AN51</f>
        <v>344.08512076195211</v>
      </c>
      <c r="AO115" s="25">
        <f>IF(ISERROR(AN115/AL115),"NA",IF(OR(AN115/AL115&gt;2,AN115/AL115&lt;0.5),"NM",(AN115/AL115-1)*100))</f>
        <v>10.28369255190773</v>
      </c>
      <c r="AP115" s="209">
        <f>AP89+AP51</f>
        <v>395.04543889567492</v>
      </c>
      <c r="AQ115" s="25">
        <f>IF(ISERROR(AP115/AN115),"NA",IF(OR(AP115/AN115&gt;2,AP115/AN115&lt;0.5),"NM",(AP115/AN115-1)*100))</f>
        <v>14.810381228015546</v>
      </c>
      <c r="AR115" s="209">
        <f>AR89+AR51</f>
        <v>413.99734939506368</v>
      </c>
      <c r="AS115" s="25">
        <f>IF(ISERROR(AR115/AP115),"NA",IF(OR(AR115/AP115&gt;2,AR115/AP115&lt;0.5),"NM",(AR115/AP115-1)*100))</f>
        <v>4.7974001553764634</v>
      </c>
      <c r="AT115" s="209">
        <f>AT89+AT51</f>
        <v>435.07044794950866</v>
      </c>
      <c r="AU115" s="25">
        <f>IF(ISERROR(AT115/AR115),"NA",IF(OR(AT115/AR115&gt;2,AT115/AR115&lt;0.5),"NM",(AT115/AR115-1)*100))</f>
        <v>5.0901530131140182</v>
      </c>
      <c r="AV115" s="209">
        <f>AV89+AV51</f>
        <v>458.50754303405216</v>
      </c>
      <c r="AW115" s="25">
        <f>IF(ISERROR(AV115/AT115),"NA",IF(OR(AV115/AT115&gt;2,AV115/AT115&lt;0.5),"NM",(AV115/AT115-1)*100))</f>
        <v>5.3869655351225898</v>
      </c>
      <c r="AX115" s="63">
        <f>IF(ISERROR(((AV115/AL115)^0.2-1)*100),"NA",IF((((AV115/AL115)^0.2-1)*100)&gt;100,"NM",IF((((AV115/AL115)^0.2-1)*100)&lt;-50,"NM",((AV115/AL115)^0.2-1)*100)))</f>
        <v>8.0036364129572046</v>
      </c>
      <c r="AY115" s="96"/>
      <c r="AZ115" s="126"/>
      <c r="BA115"/>
      <c r="BB115"/>
      <c r="BC115"/>
      <c r="BD115"/>
      <c r="BE115"/>
      <c r="BF115"/>
      <c r="BG115" s="31"/>
      <c r="BH115" s="101"/>
      <c r="BI115" s="101"/>
      <c r="BJ115" s="101"/>
      <c r="BK115" s="101"/>
      <c r="BL115" s="101"/>
      <c r="BM115" s="101"/>
      <c r="BN115" s="24"/>
    </row>
    <row r="116" spans="1:66" s="438" customFormat="1" ht="12.75" customHeight="1">
      <c r="A116" s="101"/>
      <c r="B116" s="202" t="s">
        <v>144</v>
      </c>
      <c r="C116" s="117">
        <f>C114+C115</f>
        <v>680</v>
      </c>
      <c r="D116" s="103"/>
      <c r="E116" s="117">
        <f>E114+E115</f>
        <v>724</v>
      </c>
      <c r="F116" s="103"/>
      <c r="G116" s="117">
        <f>G114+G115</f>
        <v>777</v>
      </c>
      <c r="H116" s="103"/>
      <c r="I116" s="117">
        <f>I114+I115</f>
        <v>847</v>
      </c>
      <c r="J116" s="103"/>
      <c r="K116" s="117">
        <f>K114+K115</f>
        <v>814</v>
      </c>
      <c r="L116" s="135">
        <f>IF(ISERROR(K116/C116),"NA",IF(OR(K116/C116&gt;2,K116/C116&lt;0.5),"NM",(K116/C116-1)*100))</f>
        <v>19.705882352941174</v>
      </c>
      <c r="M116" s="117">
        <f>M114+M115</f>
        <v>885</v>
      </c>
      <c r="N116" s="135">
        <f>IF(ISERROR(M116/E116),"NA",IF(OR(M116/E116&gt;2,M116/E116&lt;0.5),"NM",(M116/E116-1)*100))</f>
        <v>22.237569060773478</v>
      </c>
      <c r="O116" s="117">
        <f>O114+O115</f>
        <v>863</v>
      </c>
      <c r="P116" s="135">
        <f>IF(ISERROR(O116/G116),"NA",IF(OR(O116/G116&gt;2,O116/G116&lt;0.5),"NM",(O116/G116-1)*100))</f>
        <v>11.068211068211076</v>
      </c>
      <c r="Q116" s="117">
        <f>Q114+Q115</f>
        <v>861</v>
      </c>
      <c r="R116" s="135">
        <f>IF(ISERROR(Q116/I116),"NA",IF(OR(Q116/I116&gt;2,Q116/I116&lt;0.5),"NM",(Q116/I116-1)*100))</f>
        <v>1.6528925619834656</v>
      </c>
      <c r="S116" s="117">
        <f>S114+S115</f>
        <v>929.20716046000018</v>
      </c>
      <c r="T116" s="135">
        <f>IF(ISERROR(S116/K116),"NA",IF(OR(S116/K116&gt;2,S116/K116&lt;0.5),"NM",(S116/K116-1)*100))</f>
        <v>14.153213815724829</v>
      </c>
      <c r="U116" s="117">
        <f>U114+U115</f>
        <v>952.08389083102998</v>
      </c>
      <c r="V116" s="135">
        <f>IF(ISERROR(U116/M116),"NA",IF(OR(U116/M116&gt;2,U116/M116&lt;0.5),"NM",(U116/M116-1)*100))</f>
        <v>7.5801006588734454</v>
      </c>
      <c r="W116" s="117">
        <f>W114+W115</f>
        <v>1146.6932933709122</v>
      </c>
      <c r="X116" s="135">
        <f>IF(ISERROR(W116/O116),"NA",IF(OR(W116/O116&gt;2,W116/O116&lt;0.5),"NM",(W116/O116-1)*100))</f>
        <v>32.872919278205345</v>
      </c>
      <c r="Y116" s="117">
        <f>Y114+Y115</f>
        <v>1168.2046290711796</v>
      </c>
      <c r="Z116" s="135">
        <f>IF(ISERROR(Y116/Q116),"NA",IF(OR(Y116/Q116&gt;2,Y116/Q116&lt;0.5),"NM",(Y116/Q116-1)*100))</f>
        <v>35.67998014763991</v>
      </c>
      <c r="AA116" s="102"/>
      <c r="AB116" s="180"/>
      <c r="AC116" s="93"/>
      <c r="AD116" s="117">
        <f>AD114+AD115</f>
        <v>1730</v>
      </c>
      <c r="AE116" s="103"/>
      <c r="AF116" s="117">
        <f>AF114+AF115</f>
        <v>2540</v>
      </c>
      <c r="AG116" s="25">
        <f>IF(ISERROR(AF116/AD116),"NA",IF(OR(AF116/AD116&gt;2,AF116/AD116&lt;0.5),"NM",(AF116/AD116-1)*100))</f>
        <v>46.820809248554916</v>
      </c>
      <c r="AH116" s="117">
        <f>AH114+AH115</f>
        <v>2608</v>
      </c>
      <c r="AI116" s="25">
        <f>IF(ISERROR(AH116/AF116),"NA",IF(OR(AH116/AF116&gt;2,AH116/AF116&lt;0.5),"NM",(AH116/AF116-1)*100))</f>
        <v>2.6771653543307128</v>
      </c>
      <c r="AJ116" s="117">
        <f>AJ114+AJ115</f>
        <v>3028</v>
      </c>
      <c r="AK116" s="25">
        <f>IF(ISERROR(AJ116/AH116),"NA",IF(OR(AJ116/AH116&gt;2,AJ116/AH116&lt;0.5),"NM",(AJ116/AH116-1)*100))</f>
        <v>16.104294478527613</v>
      </c>
      <c r="AL116" s="117">
        <f>AL114+AL115</f>
        <v>3423</v>
      </c>
      <c r="AM116" s="25">
        <f>IF(ISERROR(AL116/AJ116),"NA",IF(OR(AL116/AJ116&gt;2,AL116/AJ116&lt;0.5),"NM",(AL116/AJ116-1)*100))</f>
        <v>13.044914134742402</v>
      </c>
      <c r="AN116" s="117">
        <f>AN114+AN115</f>
        <v>4196.1889737331221</v>
      </c>
      <c r="AO116" s="25">
        <f>IF(ISERROR(AN116/AL116),"NA",IF(OR(AN116/AL116&gt;2,AN116/AL116&lt;0.5),"NM",(AN116/AL116-1)*100))</f>
        <v>22.588050649521541</v>
      </c>
      <c r="AP116" s="117">
        <f>AP114+AP115</f>
        <v>4891.5665548374827</v>
      </c>
      <c r="AQ116" s="25">
        <f>IF(ISERROR(AP116/AN116),"NA",IF(OR(AP116/AN116&gt;2,AP116/AN116&lt;0.5),"NM",(AP116/AN116-1)*100))</f>
        <v>16.571645973458637</v>
      </c>
      <c r="AR116" s="117">
        <f>AR114+AR115</f>
        <v>5226.8036122720041</v>
      </c>
      <c r="AS116" s="25">
        <f>IF(ISERROR(AR116/AP116),"NA",IF(OR(AR116/AP116&gt;2,AR116/AP116&lt;0.5),"NM",(AR116/AP116-1)*100))</f>
        <v>6.8533680095385963</v>
      </c>
      <c r="AT116" s="117">
        <f>AT114+AT115</f>
        <v>5541.163192027373</v>
      </c>
      <c r="AU116" s="25">
        <f>IF(ISERROR(AT116/AR116),"NA",IF(OR(AT116/AR116&gt;2,AT116/AR116&lt;0.5),"NM",(AT116/AR116-1)*100))</f>
        <v>6.0143751913174004</v>
      </c>
      <c r="AV116" s="117">
        <f>AV114+AV115</f>
        <v>5888.5009793719537</v>
      </c>
      <c r="AW116" s="25">
        <f>IF(ISERROR(AV116/AT116),"NA",IF(OR(AV116/AT116&gt;2,AV116/AT116&lt;0.5),"NM",(AV116/AT116-1)*100))</f>
        <v>6.2683190389398735</v>
      </c>
      <c r="AX116" s="63">
        <f>IF(ISERROR(((AV116/AL116)^0.2-1)*100),"NA",IF((((AV116/AL116)^0.2-1)*100)&gt;100,"NM",IF((((AV116/AL116)^0.2-1)*100)&lt;-50,"NM",((AV116/AL116)^0.2-1)*100)))</f>
        <v>11.460136478491844</v>
      </c>
      <c r="AY116" s="96"/>
      <c r="AZ116" s="126"/>
      <c r="BA116"/>
      <c r="BB116"/>
      <c r="BC116"/>
      <c r="BD116"/>
      <c r="BE116"/>
      <c r="BF116"/>
      <c r="BG116" s="31"/>
      <c r="BH116" s="101"/>
      <c r="BI116" s="101"/>
      <c r="BJ116" s="101"/>
      <c r="BK116" s="101"/>
      <c r="BL116" s="101"/>
      <c r="BM116" s="101"/>
      <c r="BN116" s="24"/>
    </row>
    <row r="117" spans="1:66" s="438" customFormat="1" ht="12.75" customHeight="1">
      <c r="A117" s="101"/>
      <c r="B117" s="94"/>
      <c r="C117" s="93"/>
      <c r="D117" s="61"/>
      <c r="E117" s="93"/>
      <c r="F117" s="61"/>
      <c r="G117" s="93"/>
      <c r="H117" s="61"/>
      <c r="I117" s="93"/>
      <c r="J117" s="61"/>
      <c r="K117" s="93"/>
      <c r="L117" s="135"/>
      <c r="M117" s="93"/>
      <c r="N117" s="135"/>
      <c r="O117" s="93"/>
      <c r="P117" s="135"/>
      <c r="Q117" s="93"/>
      <c r="R117" s="135"/>
      <c r="S117" s="93"/>
      <c r="T117" s="135"/>
      <c r="U117" s="93"/>
      <c r="V117" s="135"/>
      <c r="W117" s="93"/>
      <c r="X117" s="135"/>
      <c r="Y117" s="93"/>
      <c r="Z117" s="135"/>
      <c r="AA117" s="102"/>
      <c r="AB117" s="180"/>
      <c r="AC117" s="93"/>
      <c r="AD117" s="93"/>
      <c r="AE117" s="61"/>
      <c r="AF117" s="93"/>
      <c r="AG117" s="25"/>
      <c r="AH117" s="93"/>
      <c r="AI117" s="25"/>
      <c r="AJ117" s="93"/>
      <c r="AK117" s="25"/>
      <c r="AL117" s="93"/>
      <c r="AM117" s="25"/>
      <c r="AN117" s="93"/>
      <c r="AO117" s="25"/>
      <c r="AP117" s="93"/>
      <c r="AQ117" s="25"/>
      <c r="AR117" s="93"/>
      <c r="AS117" s="25"/>
      <c r="AT117" s="93"/>
      <c r="AU117" s="25"/>
      <c r="AV117" s="93"/>
      <c r="AW117" s="25"/>
      <c r="AX117" s="63"/>
      <c r="AY117" s="96"/>
      <c r="AZ117" s="126"/>
      <c r="BA117"/>
      <c r="BB117"/>
      <c r="BC117"/>
      <c r="BD117"/>
      <c r="BE117"/>
      <c r="BF117"/>
      <c r="BG117" s="31"/>
      <c r="BH117" s="101"/>
      <c r="BI117" s="101"/>
      <c r="BJ117" s="101"/>
      <c r="BK117" s="101"/>
      <c r="BL117" s="101"/>
      <c r="BM117" s="101"/>
      <c r="BN117" s="24"/>
    </row>
    <row r="118" spans="1:66" s="438" customFormat="1" ht="12.75" customHeight="1">
      <c r="A118" s="101"/>
      <c r="B118" s="204" t="s">
        <v>151</v>
      </c>
      <c r="C118" s="93"/>
      <c r="D118" s="61"/>
      <c r="E118" s="93"/>
      <c r="F118" s="61"/>
      <c r="G118" s="93"/>
      <c r="H118" s="61"/>
      <c r="I118" s="93"/>
      <c r="J118" s="61"/>
      <c r="K118" s="93"/>
      <c r="L118" s="61"/>
      <c r="M118" s="93"/>
      <c r="N118" s="61"/>
      <c r="O118" s="93"/>
      <c r="P118" s="61"/>
      <c r="Q118" s="93"/>
      <c r="R118" s="61"/>
      <c r="S118" s="93"/>
      <c r="T118" s="61"/>
      <c r="U118" s="93"/>
      <c r="V118" s="61"/>
      <c r="W118" s="93"/>
      <c r="X118" s="61"/>
      <c r="Y118" s="93"/>
      <c r="Z118" s="61"/>
      <c r="AA118" s="102"/>
      <c r="AB118" s="180"/>
      <c r="AC118" s="93"/>
      <c r="AD118" s="93"/>
      <c r="AE118" s="61"/>
      <c r="AF118" s="93"/>
      <c r="AG118" s="61"/>
      <c r="AH118" s="93"/>
      <c r="AI118" s="61"/>
      <c r="AJ118" s="93"/>
      <c r="AK118" s="61"/>
      <c r="AL118" s="93"/>
      <c r="AM118" s="61"/>
      <c r="AN118" s="93"/>
      <c r="AO118" s="61"/>
      <c r="AP118" s="93"/>
      <c r="AQ118" s="61"/>
      <c r="AR118" s="93"/>
      <c r="AS118" s="61"/>
      <c r="AT118" s="93"/>
      <c r="AU118" s="61"/>
      <c r="AV118" s="93"/>
      <c r="AW118" s="61"/>
      <c r="AX118" s="63"/>
      <c r="AY118" s="96"/>
      <c r="AZ118" s="126"/>
      <c r="BA118"/>
      <c r="BB118"/>
      <c r="BC118"/>
      <c r="BD118"/>
      <c r="BE118"/>
      <c r="BF118"/>
      <c r="BG118" s="31"/>
      <c r="BH118" s="101"/>
      <c r="BI118" s="101"/>
      <c r="BJ118" s="101"/>
      <c r="BK118" s="101"/>
      <c r="BL118" s="101"/>
      <c r="BM118" s="101"/>
      <c r="BN118" s="24"/>
    </row>
    <row r="119" spans="1:66" s="438" customFormat="1" ht="12.75" customHeight="1">
      <c r="A119" s="101"/>
      <c r="B119" s="203" t="s">
        <v>152</v>
      </c>
      <c r="C119" s="209">
        <f>C54</f>
        <v>243</v>
      </c>
      <c r="D119" s="200"/>
      <c r="E119" s="209">
        <f>E54</f>
        <v>253</v>
      </c>
      <c r="F119" s="61"/>
      <c r="G119" s="209">
        <f>G54</f>
        <v>259</v>
      </c>
      <c r="H119" s="61"/>
      <c r="I119" s="209">
        <f>I54</f>
        <v>264</v>
      </c>
      <c r="J119" s="61"/>
      <c r="K119" s="209">
        <f>K54</f>
        <v>263</v>
      </c>
      <c r="L119" s="135">
        <f>IF(ISERROR(K119/C119),"NA",IF(OR(K119/C119&gt;2,K119/C119&lt;0.5),"NM",(K119/C119-1)*100))</f>
        <v>8.2304526748971263</v>
      </c>
      <c r="M119" s="209">
        <f>M54</f>
        <v>264</v>
      </c>
      <c r="N119" s="135">
        <f>IF(ISERROR(M119/E119),"NA",IF(OR(M119/E119&gt;2,M119/E119&lt;0.5),"NM",(M119/E119-1)*100))</f>
        <v>4.3478260869565188</v>
      </c>
      <c r="O119" s="209">
        <f>O54</f>
        <v>268</v>
      </c>
      <c r="P119" s="135">
        <f>IF(ISERROR(O119/G119),"NA",IF(OR(O119/G119&gt;2,O119/G119&lt;0.5),"NM",(O119/G119-1)*100))</f>
        <v>3.474903474903468</v>
      </c>
      <c r="Q119" s="209">
        <f>Q54</f>
        <v>271</v>
      </c>
      <c r="R119" s="135">
        <f>IF(ISERROR(Q119/I119),"NA",IF(OR(Q119/I119&gt;2,Q119/I119&lt;0.5),"NM",(Q119/I119-1)*100))</f>
        <v>2.6515151515151603</v>
      </c>
      <c r="S119" s="209">
        <f>S54</f>
        <v>289.90794510000001</v>
      </c>
      <c r="T119" s="135">
        <f>IF(ISERROR(S119/K119),"NA",IF(OR(S119/K119&gt;2,S119/K119&lt;0.5),"NM",(S119/K119-1)*100))</f>
        <v>10.231157832699612</v>
      </c>
      <c r="U119" s="209">
        <f>U54</f>
        <v>297.35334017054998</v>
      </c>
      <c r="V119" s="135">
        <f>IF(ISERROR(U119/M119),"NA",IF(OR(U119/M119&gt;2,U119/M119&lt;0.5),"NM",(U119/M119-1)*100))</f>
        <v>12.633840973693179</v>
      </c>
      <c r="W119" s="209">
        <f>W54</f>
        <v>377.42355003722417</v>
      </c>
      <c r="X119" s="135">
        <f>IF(ISERROR(W119/O119),"NA",IF(OR(W119/O119&gt;2,W119/O119&lt;0.5),"NM",(W119/O119-1)*100))</f>
        <v>40.829682849710515</v>
      </c>
      <c r="Y119" s="209">
        <f>Y54</f>
        <v>384.71948831149837</v>
      </c>
      <c r="Z119" s="135">
        <f>IF(ISERROR(Y119/Q119),"NA",IF(OR(Y119/Q119&gt;2,Y119/Q119&lt;0.5),"NM",(Y119/Q119-1)*100))</f>
        <v>41.962910816051057</v>
      </c>
      <c r="AA119" s="102"/>
      <c r="AB119" s="180"/>
      <c r="AC119" s="93"/>
      <c r="AD119" s="199">
        <v>491</v>
      </c>
      <c r="AE119" s="200"/>
      <c r="AF119" s="199">
        <v>936</v>
      </c>
      <c r="AG119" s="25">
        <f>IF(ISERROR(AF119/AD119),"NA",IF(OR(AF119/AD119&gt;2,AF119/AD119&lt;0.5),"NM",(AF119/AD119-1)*100))</f>
        <v>90.631364562118137</v>
      </c>
      <c r="AH119" s="199">
        <v>940</v>
      </c>
      <c r="AI119" s="25">
        <f>IF(ISERROR(AH119/AF119),"NA",IF(OR(AH119/AF119&gt;2,AH119/AF119&lt;0.5),"NM",(AH119/AF119-1)*100))</f>
        <v>0.42735042735042583</v>
      </c>
      <c r="AJ119" s="209">
        <f>AJ54</f>
        <v>1019</v>
      </c>
      <c r="AK119" s="25">
        <f>IF(ISERROR(AJ119/AH119),"NA",IF(OR(AJ119/AH119&gt;2,AJ119/AH119&lt;0.5),"NM",(AJ119/AH119-1)*100))</f>
        <v>8.4042553191489446</v>
      </c>
      <c r="AL119" s="209">
        <f>AL54</f>
        <v>1066</v>
      </c>
      <c r="AM119" s="25">
        <f>IF(ISERROR(AL119/AJ119),"NA",IF(OR(AL119/AJ119&gt;2,AL119/AJ119&lt;0.5),"NM",(AL119/AJ119-1)*100))</f>
        <v>4.6123650637880376</v>
      </c>
      <c r="AN119" s="209">
        <f>AN54</f>
        <v>1349.4043236192724</v>
      </c>
      <c r="AO119" s="25">
        <f>IF(ISERROR(AN119/AL119),"NA",IF(OR(AN119/AL119&gt;2,AN119/AL119&lt;0.5),"NM",(AN119/AL119-1)*100))</f>
        <v>26.585771446460839</v>
      </c>
      <c r="AP119" s="209">
        <f>AP54</f>
        <v>1613.9781066992396</v>
      </c>
      <c r="AQ119" s="25">
        <f>IF(ISERROR(AP119/AN119),"NA",IF(OR(AP119/AN119&gt;2,AP119/AN119&lt;0.5),"NM",(AP119/AN119-1)*100))</f>
        <v>19.606709304913661</v>
      </c>
      <c r="AR119" s="209">
        <f>AR54</f>
        <v>1708.8102103493331</v>
      </c>
      <c r="AS119" s="25">
        <f>IF(ISERROR(AR119/AP119),"NA",IF(OR(AR119/AP119&gt;2,AR119/AP119&lt;0.5),"NM",(AR119/AP119-1)*100))</f>
        <v>5.8756747230007678</v>
      </c>
      <c r="AT119" s="209">
        <f>AT54</f>
        <v>1824.8468327166304</v>
      </c>
      <c r="AU119" s="25">
        <f>IF(ISERROR(AT119/AR119),"NA",IF(OR(AT119/AR119&gt;2,AT119/AR119&lt;0.5),"NM",(AT119/AR119-1)*100))</f>
        <v>6.7904921017282405</v>
      </c>
      <c r="AV119" s="209">
        <f>AV54</f>
        <v>1948.2970537200592</v>
      </c>
      <c r="AW119" s="25">
        <f>IF(ISERROR(AV119/AT119),"NA",IF(OR(AV119/AT119&gt;2,AV119/AT119&lt;0.5),"NM",(AV119/AT119-1)*100))</f>
        <v>6.7649634363915245</v>
      </c>
      <c r="AX119" s="63">
        <f>IF(ISERROR(((AV119/AL119)^0.2-1)*100),"NA",IF((((AV119/AL119)^0.2-1)*100)&gt;100,"NM",IF((((AV119/AL119)^0.2-1)*100)&lt;-50,"NM",((AV119/AL119)^0.2-1)*100)))</f>
        <v>12.81831104929525</v>
      </c>
      <c r="AY119" s="96"/>
      <c r="AZ119" s="126"/>
      <c r="BA119"/>
      <c r="BB119"/>
      <c r="BC119"/>
      <c r="BD119"/>
      <c r="BE119"/>
      <c r="BF119"/>
      <c r="BG119" s="31"/>
      <c r="BH119" s="101"/>
      <c r="BI119" s="101"/>
      <c r="BJ119" s="101"/>
      <c r="BK119" s="101"/>
      <c r="BL119" s="101"/>
      <c r="BM119" s="101"/>
      <c r="BN119" s="24"/>
    </row>
    <row r="120" spans="1:66" s="438" customFormat="1" ht="12.75" customHeight="1">
      <c r="A120" s="101"/>
      <c r="B120" s="203" t="s">
        <v>154</v>
      </c>
      <c r="C120" s="209">
        <f>C55+C100+C99</f>
        <v>208</v>
      </c>
      <c r="D120" s="200"/>
      <c r="E120" s="209">
        <f>E55+E100+E99</f>
        <v>202</v>
      </c>
      <c r="F120" s="61"/>
      <c r="G120" s="209">
        <f>G55+G100+G99</f>
        <v>420.5</v>
      </c>
      <c r="H120" s="61"/>
      <c r="I120" s="209">
        <f>I55+I100+I99</f>
        <v>219</v>
      </c>
      <c r="J120" s="61"/>
      <c r="K120" s="209">
        <f>K55+K100+K99</f>
        <v>203</v>
      </c>
      <c r="L120" s="135">
        <f>IF(ISERROR(K120/C120),"NA",IF(OR(K120/C120&gt;2,K120/C120&lt;0.5),"NM",(K120/C120-1)*100))</f>
        <v>-2.4038461538461564</v>
      </c>
      <c r="M120" s="209">
        <f>M55+M100+M99</f>
        <v>253</v>
      </c>
      <c r="N120" s="135">
        <f>IF(ISERROR(M120/E120),"NA",IF(OR(M120/E120&gt;2,M120/E120&lt;0.5),"NM",(M120/E120-1)*100))</f>
        <v>25.247524752475247</v>
      </c>
      <c r="O120" s="209">
        <f>O55+O100+O99</f>
        <v>274</v>
      </c>
      <c r="P120" s="135">
        <f>IF(ISERROR(O120/G120),"NA",IF(OR(O120/G120&gt;2,O120/G120&lt;0.5),"NM",(O120/G120-1)*100))</f>
        <v>-34.839476813317482</v>
      </c>
      <c r="Q120" s="209">
        <f>Q55+Q100+Q99</f>
        <v>138</v>
      </c>
      <c r="R120" s="135">
        <f>IF(ISERROR(Q120/I120),"NA",IF(OR(Q120/I120&gt;2,Q120/I120&lt;0.5),"NM",(Q120/I120-1)*100))</f>
        <v>-36.986301369863014</v>
      </c>
      <c r="S120" s="209">
        <f>S55+S100+S99</f>
        <v>275.41945196250003</v>
      </c>
      <c r="T120" s="135">
        <f>IF(ISERROR(S120/K120),"NA",IF(OR(S120/K120&gt;2,S120/K120&lt;0.5),"NM",(S120/K120-1)*100))</f>
        <v>35.674606878078841</v>
      </c>
      <c r="U120" s="209">
        <f>U55+U100+U99</f>
        <v>281.93417264923124</v>
      </c>
      <c r="V120" s="135">
        <f>IF(ISERROR(U120/M120),"NA",IF(OR(U120/M120&gt;2,U120/M120&lt;0.5),"NM",(U120/M120-1)*100))</f>
        <v>11.436431877166498</v>
      </c>
      <c r="W120" s="209">
        <f>W55+W100+W99</f>
        <v>356.9617056251663</v>
      </c>
      <c r="X120" s="135">
        <f>IF(ISERROR(W120/O120),"NA",IF(OR(W120/O120&gt;2,W120/O120&lt;0.5),"NM",(W120/O120-1)*100))</f>
        <v>30.277994753710335</v>
      </c>
      <c r="Y120" s="209">
        <f>Y55+Y100+Y99</f>
        <v>364.44165080297557</v>
      </c>
      <c r="Z120" s="135" t="str">
        <f>IF(ISERROR(Y120/Q120),"NA",IF(OR(Y120/Q120&gt;2,Y120/Q120&lt;0.5),"NM",(Y120/Q120-1)*100))</f>
        <v>NM</v>
      </c>
      <c r="AA120" s="102"/>
      <c r="AB120" s="180"/>
      <c r="AC120" s="93"/>
      <c r="AD120" s="199">
        <v>287</v>
      </c>
      <c r="AE120" s="200"/>
      <c r="AF120" s="199">
        <f>598+4+10</f>
        <v>612</v>
      </c>
      <c r="AG120" s="25" t="str">
        <f>IF(ISERROR(AF120/AD120),"NA",IF(OR(AF120/AD120&gt;2,AF120/AD120&lt;0.5),"NM",(AF120/AD120-1)*100))</f>
        <v>NM</v>
      </c>
      <c r="AH120" s="199">
        <v>665</v>
      </c>
      <c r="AI120" s="25">
        <f>IF(ISERROR(AH120/AF120),"NA",IF(OR(AH120/AF120&gt;2,AH120/AF120&lt;0.5),"NM",(AH120/AF120-1)*100))</f>
        <v>8.6601307189542389</v>
      </c>
      <c r="AJ120" s="209">
        <f>AJ55+AJ100+AJ99</f>
        <v>1049.5</v>
      </c>
      <c r="AK120" s="25">
        <f>IF(ISERROR(AJ120/AH120),"NA",IF(OR(AJ120/AH120&gt;2,AJ120/AH120&lt;0.5),"NM",(AJ120/AH120-1)*100))</f>
        <v>57.819548872180462</v>
      </c>
      <c r="AL120" s="209">
        <f>AL55+AL100+AL99</f>
        <v>868</v>
      </c>
      <c r="AM120" s="25">
        <f>IF(ISERROR(AL120/AJ120),"NA",IF(OR(AL120/AJ120&gt;2,AL120/AJ120&lt;0.5),"NM",(AL120/AJ120-1)*100))</f>
        <v>-17.293949499761794</v>
      </c>
      <c r="AN120" s="209">
        <f>AN55+AN100+AN99</f>
        <v>1278.7569810398732</v>
      </c>
      <c r="AO120" s="25">
        <f>IF(ISERROR(AN120/AL120),"NA",IF(OR(AN120/AL120&gt;2,AN120/AL120&lt;0.5),"NM",(AN120/AL120-1)*100))</f>
        <v>47.322232838695058</v>
      </c>
      <c r="AP120" s="209">
        <f>AP55+AP100+AP99</f>
        <v>1509.1854453411288</v>
      </c>
      <c r="AQ120" s="25">
        <f>IF(ISERROR(AP120/AN120),"NA",IF(OR(AP120/AN120&gt;2,AP120/AN120&lt;0.5),"NM",(AP120/AN120-1)*100))</f>
        <v>18.019722880720735</v>
      </c>
      <c r="AR120" s="209">
        <f>AR55+AR100+AR99</f>
        <v>1595.2130677604273</v>
      </c>
      <c r="AS120" s="25">
        <f>IF(ISERROR(AR120/AP120),"NA",IF(OR(AR120/AP120&gt;2,AR120/AP120&lt;0.5),"NM",(AR120/AP120-1)*100))</f>
        <v>5.7002684915141932</v>
      </c>
      <c r="AT120" s="209">
        <f>AT55+AT100+AT99</f>
        <v>1690.1124872869889</v>
      </c>
      <c r="AU120" s="25">
        <f>IF(ISERROR(AT120/AR120),"NA",IF(OR(AT120/AR120&gt;2,AT120/AR120&lt;0.5),"NM",(AT120/AR120-1)*100))</f>
        <v>5.9490121692517217</v>
      </c>
      <c r="AV120" s="209">
        <f>AV55+AV100+AV99</f>
        <v>1794.9104818749099</v>
      </c>
      <c r="AW120" s="25">
        <f>IF(ISERROR(AV120/AT120),"NA",IF(OR(AV120/AT120&gt;2,AV120/AT120&lt;0.5),"NM",(AV120/AT120-1)*100))</f>
        <v>6.2006520498612216</v>
      </c>
      <c r="AX120" s="63">
        <f>IF(ISERROR(((AV120/AL120)^0.2-1)*100),"NA",IF((((AV120/AL120)^0.2-1)*100)&gt;100,"NM",IF((((AV120/AL120)^0.2-1)*100)&lt;-50,"NM",((AV120/AL120)^0.2-1)*100)))</f>
        <v>15.639076234281424</v>
      </c>
      <c r="AY120" s="96"/>
      <c r="AZ120" s="126"/>
      <c r="BA120"/>
      <c r="BB120"/>
      <c r="BC120"/>
      <c r="BD120"/>
      <c r="BE120"/>
      <c r="BF120"/>
      <c r="BG120" s="31"/>
      <c r="BH120" s="101"/>
      <c r="BI120" s="101"/>
      <c r="BJ120" s="101"/>
      <c r="BK120" s="101"/>
      <c r="BL120" s="101"/>
      <c r="BM120" s="101"/>
      <c r="BN120" s="24"/>
    </row>
    <row r="121" spans="1:66" s="438" customFormat="1" ht="12.75" customHeight="1">
      <c r="A121" s="101"/>
      <c r="B121" s="203" t="s">
        <v>153</v>
      </c>
      <c r="C121" s="209">
        <f>C56+C98</f>
        <v>69</v>
      </c>
      <c r="D121" s="200"/>
      <c r="E121" s="209">
        <f>E56+E98</f>
        <v>71</v>
      </c>
      <c r="F121" s="61"/>
      <c r="G121" s="209">
        <f>G56+G98</f>
        <v>68.400000000000006</v>
      </c>
      <c r="H121" s="61"/>
      <c r="I121" s="209">
        <f>I56+I98</f>
        <v>74</v>
      </c>
      <c r="J121" s="61"/>
      <c r="K121" s="209">
        <f>K56+K98</f>
        <v>74</v>
      </c>
      <c r="L121" s="135">
        <f>IF(ISERROR(K121/C121),"NA",IF(OR(K121/C121&gt;2,K121/C121&lt;0.5),"NM",(K121/C121-1)*100))</f>
        <v>7.2463768115942129</v>
      </c>
      <c r="M121" s="209">
        <f>M56+M98</f>
        <v>80</v>
      </c>
      <c r="N121" s="135">
        <f>IF(ISERROR(M121/E121),"NA",IF(OR(M121/E121&gt;2,M121/E121&lt;0.5),"NM",(M121/E121-1)*100))</f>
        <v>12.676056338028175</v>
      </c>
      <c r="O121" s="209">
        <f>O56+O98</f>
        <v>77</v>
      </c>
      <c r="P121" s="135">
        <f>IF(ISERROR(O121/G121),"NA",IF(OR(O121/G121&gt;2,O121/G121&lt;0.5),"NM",(O121/G121-1)*100))</f>
        <v>12.573099415204659</v>
      </c>
      <c r="Q121" s="209">
        <f>Q56+Q98</f>
        <v>87</v>
      </c>
      <c r="R121" s="135">
        <f>IF(ISERROR(Q121/I121),"NA",IF(OR(Q121/I121&gt;2,Q121/I121&lt;0.5),"NM",(Q121/I121-1)*100))</f>
        <v>17.567567567567565</v>
      </c>
      <c r="S121" s="209">
        <f>S56+S98</f>
        <v>90.744504664999994</v>
      </c>
      <c r="T121" s="135">
        <f>IF(ISERROR(S121/K121),"NA",IF(OR(S121/K121&gt;2,S121/K121&lt;0.5),"NM",(S121/K121-1)*100))</f>
        <v>22.627709006756746</v>
      </c>
      <c r="U121" s="209">
        <f>U56+U98</f>
        <v>92.253176824032494</v>
      </c>
      <c r="V121" s="135">
        <f>IF(ISERROR(U121/M121),"NA",IF(OR(U121/M121&gt;2,U121/M121&lt;0.5),"NM",(U121/M121-1)*100))</f>
        <v>15.316471030040613</v>
      </c>
      <c r="W121" s="209">
        <f>W56+W98</f>
        <v>108.47792987596387</v>
      </c>
      <c r="X121" s="135">
        <f>IF(ISERROR(W121/O121),"NA",IF(OR(W121/O121&gt;2,W121/O121&lt;0.5),"NM",(W121/O121-1)*100))</f>
        <v>40.880428410342674</v>
      </c>
      <c r="Y121" s="209">
        <f>Y56+Y98</f>
        <v>109.95631736838257</v>
      </c>
      <c r="Z121" s="135">
        <f>IF(ISERROR(Y121/Q121),"NA",IF(OR(Y121/Q121&gt;2,Y121/Q121&lt;0.5),"NM",(Y121/Q121-1)*100))</f>
        <v>26.386571687796057</v>
      </c>
      <c r="AA121" s="102"/>
      <c r="AB121" s="180"/>
      <c r="AC121" s="93"/>
      <c r="AD121" s="199">
        <v>160</v>
      </c>
      <c r="AE121" s="200"/>
      <c r="AF121" s="199">
        <v>192</v>
      </c>
      <c r="AG121" s="25">
        <f>IF(ISERROR(AF121/AD121),"NA",IF(OR(AF121/AD121&gt;2,AF121/AD121&lt;0.5),"NM",(AF121/AD121-1)*100))</f>
        <v>19.999999999999996</v>
      </c>
      <c r="AH121" s="199">
        <v>219</v>
      </c>
      <c r="AI121" s="25">
        <f>IF(ISERROR(AH121/AF121),"NA",IF(OR(AH121/AF121&gt;2,AH121/AF121&lt;0.5),"NM",(AH121/AF121-1)*100))</f>
        <v>14.0625</v>
      </c>
      <c r="AJ121" s="209">
        <f>AJ56+AJ98</f>
        <v>282.39999999999998</v>
      </c>
      <c r="AK121" s="25">
        <f>IF(ISERROR(AJ121/AH121),"NA",IF(OR(AJ121/AH121&gt;2,AJ121/AH121&lt;0.5),"NM",(AJ121/AH121-1)*100))</f>
        <v>28.949771689497705</v>
      </c>
      <c r="AL121" s="209">
        <f>AL56+AL98</f>
        <v>318</v>
      </c>
      <c r="AM121" s="25">
        <f>IF(ISERROR(AL121/AJ121),"NA",IF(OR(AL121/AJ121&gt;2,AL121/AJ121&lt;0.5),"NM",(AL121/AJ121-1)*100))</f>
        <v>12.60623229461757</v>
      </c>
      <c r="AN121" s="209">
        <f>AN56+AN98</f>
        <v>401.43192873337898</v>
      </c>
      <c r="AO121" s="25">
        <f>IF(ISERROR(AN121/AL121),"NA",IF(OR(AN121/AL121&gt;2,AN121/AL121&lt;0.5),"NM",(AN121/AL121-1)*100))</f>
        <v>26.236455576534269</v>
      </c>
      <c r="AP121" s="209">
        <f>AP56+AP98</f>
        <v>459.45006991983212</v>
      </c>
      <c r="AQ121" s="25">
        <f>IF(ISERROR(AP121/AN121),"NA",IF(OR(AP121/AN121&gt;2,AP121/AN121&lt;0.5),"NM",(AP121/AN121-1)*100))</f>
        <v>14.452796858863536</v>
      </c>
      <c r="AR121" s="209">
        <f>AR56+AR98</f>
        <v>476.75634864217062</v>
      </c>
      <c r="AS121" s="25">
        <f>IF(ISERROR(AR121/AP121),"NA",IF(OR(AR121/AP121&gt;2,AR121/AP121&lt;0.5),"NM",(AR121/AP121-1)*100))</f>
        <v>3.7667376403617059</v>
      </c>
      <c r="AT121" s="209">
        <f>AT56+AT98</f>
        <v>500.68186320187522</v>
      </c>
      <c r="AU121" s="25">
        <f>IF(ISERROR(AT121/AR121),"NA",IF(OR(AT121/AR121&gt;2,AT121/AR121&lt;0.5),"NM",(AT121/AR121-1)*100))</f>
        <v>5.0183945379743466</v>
      </c>
      <c r="AV121" s="209">
        <f>AV56+AV98</f>
        <v>526.89342800433155</v>
      </c>
      <c r="AW121" s="25">
        <f>IF(ISERROR(AV121/AT121),"NA",IF(OR(AV121/AT121&gt;2,AV121/AT121&lt;0.5),"NM",(AV121/AT121-1)*100))</f>
        <v>5.2351736160028972</v>
      </c>
      <c r="AX121" s="63">
        <f>IF(ISERROR(((AV121/AL121)^0.2-1)*100),"NA",IF((((AV121/AL121)^0.2-1)*100)&gt;100,"NM",IF((((AV121/AL121)^0.2-1)*100)&lt;-50,"NM",((AV121/AL121)^0.2-1)*100)))</f>
        <v>10.626489790500493</v>
      </c>
      <c r="AY121" s="96"/>
      <c r="AZ121" s="126"/>
      <c r="BA121"/>
      <c r="BB121"/>
      <c r="BC121"/>
      <c r="BD121"/>
      <c r="BE121"/>
      <c r="BF121"/>
      <c r="BG121" s="31"/>
      <c r="BH121" s="101"/>
      <c r="BI121" s="101"/>
      <c r="BJ121" s="101"/>
      <c r="BK121" s="101"/>
      <c r="BL121" s="101"/>
      <c r="BM121" s="101"/>
      <c r="BN121" s="24"/>
    </row>
    <row r="122" spans="1:66" s="438" customFormat="1" ht="12.75" customHeight="1">
      <c r="A122" s="101"/>
      <c r="B122" s="217" t="s">
        <v>155</v>
      </c>
      <c r="C122" s="117">
        <f>C120+C121+C119</f>
        <v>520</v>
      </c>
      <c r="D122" s="61"/>
      <c r="E122" s="117">
        <f>E120+E121+E119</f>
        <v>526</v>
      </c>
      <c r="F122" s="61"/>
      <c r="G122" s="117">
        <f>G120+G121+G119</f>
        <v>747.9</v>
      </c>
      <c r="H122" s="61"/>
      <c r="I122" s="117">
        <f>I120+I121+I119</f>
        <v>557</v>
      </c>
      <c r="J122" s="61"/>
      <c r="K122" s="117">
        <f>K120+K121+K119</f>
        <v>540</v>
      </c>
      <c r="L122" s="135">
        <f>IF(ISERROR(K122/C122),"NA",IF(OR(K122/C122&gt;2,K122/C122&lt;0.5),"NM",(K122/C122-1)*100))</f>
        <v>3.8461538461538547</v>
      </c>
      <c r="M122" s="117">
        <f>M120+M121+M119</f>
        <v>597</v>
      </c>
      <c r="N122" s="135">
        <f>IF(ISERROR(M122/E122),"NA",IF(OR(M122/E122&gt;2,M122/E122&lt;0.5),"NM",(M122/E122-1)*100))</f>
        <v>13.498098859315588</v>
      </c>
      <c r="O122" s="117">
        <f>O120+O121+O119</f>
        <v>619</v>
      </c>
      <c r="P122" s="135">
        <f>IF(ISERROR(O122/G122),"NA",IF(OR(O122/G122&gt;2,O122/G122&lt;0.5),"NM",(O122/G122-1)*100))</f>
        <v>-17.234924455141055</v>
      </c>
      <c r="Q122" s="117">
        <f>Q120+Q121+Q119</f>
        <v>496</v>
      </c>
      <c r="R122" s="135">
        <f>IF(ISERROR(Q122/I122),"NA",IF(OR(Q122/I122&gt;2,Q122/I122&lt;0.5),"NM",(Q122/I122-1)*100))</f>
        <v>-10.951526032315984</v>
      </c>
      <c r="S122" s="117">
        <f>S120+S121+S119</f>
        <v>656.07190172750006</v>
      </c>
      <c r="T122" s="135">
        <f>IF(ISERROR(S122/K122),"NA",IF(OR(S122/K122&gt;2,S122/K122&lt;0.5),"NM",(S122/K122-1)*100))</f>
        <v>21.494796616203725</v>
      </c>
      <c r="U122" s="117">
        <f>U120+U121+U119</f>
        <v>671.54068964381372</v>
      </c>
      <c r="V122" s="135">
        <f>IF(ISERROR(U122/M122),"NA",IF(OR(U122/M122&gt;2,U122/M122&lt;0.5),"NM",(U122/M122-1)*100))</f>
        <v>12.485877662280354</v>
      </c>
      <c r="W122" s="117">
        <f>W120+W121+W119</f>
        <v>842.8631855383544</v>
      </c>
      <c r="X122" s="135">
        <f>IF(ISERROR(W122/O122),"NA",IF(OR(W122/O122&gt;2,W122/O122&lt;0.5),"NM",(W122/O122-1)*100))</f>
        <v>36.165296532852075</v>
      </c>
      <c r="Y122" s="117">
        <f>Y120+Y121+Y119</f>
        <v>859.11745648285648</v>
      </c>
      <c r="Z122" s="135">
        <f>IF(ISERROR(Y122/Q122),"NA",IF(OR(Y122/Q122&gt;2,Y122/Q122&lt;0.5),"NM",(Y122/Q122-1)*100))</f>
        <v>73.209164613479132</v>
      </c>
      <c r="AA122" s="102"/>
      <c r="AB122" s="180"/>
      <c r="AC122" s="93"/>
      <c r="AD122" s="117">
        <f>AD120+AD121+AD119</f>
        <v>938</v>
      </c>
      <c r="AE122" s="61"/>
      <c r="AF122" s="117">
        <f>AF120+AF121+AF119</f>
        <v>1740</v>
      </c>
      <c r="AG122" s="25">
        <f>IF(ISERROR(AF122/AD122),"NA",IF(OR(AF122/AD122&gt;2,AF122/AD122&lt;0.5),"NM",(AF122/AD122-1)*100))</f>
        <v>85.501066098081012</v>
      </c>
      <c r="AH122" s="117">
        <f>AH120+AH121+AH119</f>
        <v>1824</v>
      </c>
      <c r="AI122" s="25">
        <f>IF(ISERROR(AH122/AF122),"NA",IF(OR(AH122/AF122&gt;2,AH122/AF122&lt;0.5),"NM",(AH122/AF122-1)*100))</f>
        <v>4.8275862068965614</v>
      </c>
      <c r="AJ122" s="117">
        <f>AJ120+AJ121+AJ119</f>
        <v>2350.9</v>
      </c>
      <c r="AK122" s="25">
        <f>IF(ISERROR(AJ122/AH122),"NA",IF(OR(AJ122/AH122&gt;2,AJ122/AH122&lt;0.5),"NM",(AJ122/AH122-1)*100))</f>
        <v>28.887061403508785</v>
      </c>
      <c r="AL122" s="117">
        <f>AL120+AL121+AL119</f>
        <v>2252</v>
      </c>
      <c r="AM122" s="25">
        <f>IF(ISERROR(AL122/AJ122),"NA",IF(OR(AL122/AJ122&gt;2,AL122/AJ122&lt;0.5),"NM",(AL122/AJ122-1)*100))</f>
        <v>-4.2068994853035058</v>
      </c>
      <c r="AN122" s="117">
        <f>AN120+AN121+AN119</f>
        <v>3029.5932333925248</v>
      </c>
      <c r="AO122" s="25">
        <f>IF(ISERROR(AN122/AL122),"NA",IF(OR(AN122/AL122&gt;2,AN122/AL122&lt;0.5),"NM",(AN122/AL122-1)*100))</f>
        <v>34.529006811390971</v>
      </c>
      <c r="AP122" s="117">
        <f>AP120+AP121+AP119</f>
        <v>3582.6136219602004</v>
      </c>
      <c r="AQ122" s="25">
        <f>IF(ISERROR(AP122/AN122),"NA",IF(OR(AP122/AN122&gt;2,AP122/AN122&lt;0.5),"NM",(AP122/AN122-1)*100))</f>
        <v>18.253948499495621</v>
      </c>
      <c r="AR122" s="117">
        <f>AR120+AR121+AR119</f>
        <v>3780.7796267519307</v>
      </c>
      <c r="AS122" s="25">
        <f>IF(ISERROR(AR122/AP122),"NA",IF(OR(AR122/AP122&gt;2,AR122/AP122&lt;0.5),"NM",(AR122/AP122-1)*100))</f>
        <v>5.5313250521083379</v>
      </c>
      <c r="AT122" s="117">
        <f>AT120+AT121+AT119</f>
        <v>4015.6411832054946</v>
      </c>
      <c r="AU122" s="25">
        <f>IF(ISERROR(AT122/AR122),"NA",IF(OR(AT122/AR122&gt;2,AT122/AR122&lt;0.5),"NM",(AT122/AR122-1)*100))</f>
        <v>6.2119874639541939</v>
      </c>
      <c r="AV122" s="117">
        <f>AV120+AV121+AV119</f>
        <v>4270.1009635993005</v>
      </c>
      <c r="AW122" s="25">
        <f>IF(ISERROR(AV122/AT122),"NA",IF(OR(AV122/AT122&gt;2,AV122/AT122&lt;0.5),"NM",(AV122/AT122-1)*100))</f>
        <v>6.3367160755803065</v>
      </c>
      <c r="AX122" s="63">
        <f>IF(ISERROR(((AV122/AL122)^0.2-1)*100),"NA",IF((((AV122/AL122)^0.2-1)*100)&gt;100,"NM",IF((((AV122/AL122)^0.2-1)*100)&lt;-50,"NM",((AV122/AL122)^0.2-1)*100)))</f>
        <v>13.65118060238386</v>
      </c>
      <c r="AY122" s="96"/>
      <c r="AZ122" s="126"/>
      <c r="BA122"/>
      <c r="BB122"/>
      <c r="BC122"/>
      <c r="BD122"/>
      <c r="BE122"/>
      <c r="BF122"/>
      <c r="BG122" s="31"/>
      <c r="BH122" s="101"/>
      <c r="BI122" s="101"/>
      <c r="BJ122" s="101"/>
      <c r="BK122" s="101"/>
      <c r="BL122" s="101"/>
      <c r="BM122" s="101"/>
      <c r="BN122" s="24"/>
    </row>
    <row r="123" spans="1:66" s="438" customFormat="1" ht="12.75" customHeight="1">
      <c r="A123" s="101"/>
      <c r="B123" s="217"/>
      <c r="C123" s="93"/>
      <c r="D123" s="61"/>
      <c r="E123" s="93"/>
      <c r="F123" s="61"/>
      <c r="G123" s="93"/>
      <c r="H123" s="61"/>
      <c r="I123" s="93"/>
      <c r="J123" s="61"/>
      <c r="K123" s="93"/>
      <c r="L123" s="61"/>
      <c r="M123" s="93"/>
      <c r="N123" s="61"/>
      <c r="O123" s="93"/>
      <c r="P123" s="61"/>
      <c r="Q123" s="93"/>
      <c r="R123" s="61"/>
      <c r="S123" s="93"/>
      <c r="T123" s="61"/>
      <c r="U123" s="93"/>
      <c r="V123" s="61"/>
      <c r="W123" s="93"/>
      <c r="X123" s="61"/>
      <c r="Y123" s="93"/>
      <c r="Z123" s="61"/>
      <c r="AA123" s="102"/>
      <c r="AB123" s="180"/>
      <c r="AC123" s="93"/>
      <c r="AD123" s="93"/>
      <c r="AE123" s="61"/>
      <c r="AF123" s="93"/>
      <c r="AG123" s="25"/>
      <c r="AH123" s="93"/>
      <c r="AI123" s="25"/>
      <c r="AJ123" s="93"/>
      <c r="AK123" s="25"/>
      <c r="AL123" s="93"/>
      <c r="AM123" s="25"/>
      <c r="AN123" s="93"/>
      <c r="AO123" s="25"/>
      <c r="AP123" s="93"/>
      <c r="AQ123" s="25"/>
      <c r="AR123" s="93"/>
      <c r="AS123" s="25"/>
      <c r="AT123" s="93"/>
      <c r="AU123" s="25"/>
      <c r="AV123" s="93"/>
      <c r="AW123" s="25"/>
      <c r="AX123" s="63"/>
      <c r="AY123" s="96"/>
      <c r="AZ123" s="126"/>
      <c r="BA123"/>
      <c r="BB123"/>
      <c r="BC123"/>
      <c r="BD123"/>
      <c r="BE123"/>
      <c r="BF123"/>
      <c r="BG123" s="31"/>
      <c r="BH123" s="101"/>
      <c r="BI123" s="101"/>
      <c r="BJ123" s="101"/>
      <c r="BK123" s="101"/>
      <c r="BL123" s="101"/>
      <c r="BM123" s="101"/>
      <c r="BN123" s="24"/>
    </row>
    <row r="124" spans="1:66" s="438" customFormat="1" ht="12.75" customHeight="1">
      <c r="A124" s="101"/>
      <c r="B124" s="202" t="s">
        <v>40</v>
      </c>
      <c r="C124" s="117">
        <f>C116-C122</f>
        <v>160</v>
      </c>
      <c r="D124" s="61"/>
      <c r="E124" s="117">
        <f>E116-E122</f>
        <v>198</v>
      </c>
      <c r="F124" s="61"/>
      <c r="G124" s="117">
        <f>G116-G122</f>
        <v>29.100000000000023</v>
      </c>
      <c r="H124" s="61"/>
      <c r="I124" s="117">
        <f>I116-I122</f>
        <v>290</v>
      </c>
      <c r="J124" s="61"/>
      <c r="K124" s="117">
        <f>K116-K122</f>
        <v>274</v>
      </c>
      <c r="L124" s="135">
        <f>IF(ISERROR(K124/C124),"NA",IF(OR(K124/C124&gt;2,K124/C124&lt;0.5),"NM",(K124/C124-1)*100))</f>
        <v>71.249999999999986</v>
      </c>
      <c r="M124" s="117">
        <f>M116-M122</f>
        <v>288</v>
      </c>
      <c r="N124" s="135">
        <f>IF(ISERROR(M124/E124),"NA",IF(OR(M124/E124&gt;2,M124/E124&lt;0.5),"NM",(M124/E124-1)*100))</f>
        <v>45.45454545454546</v>
      </c>
      <c r="O124" s="117">
        <f>O116-O122</f>
        <v>244</v>
      </c>
      <c r="P124" s="135" t="str">
        <f>IF(ISERROR(O124/G124),"NA",IF(OR(O124/G124&gt;2,O124/G124&lt;0.5),"NM",(O124/G124-1)*100))</f>
        <v>NM</v>
      </c>
      <c r="Q124" s="117">
        <f>Q116-Q122</f>
        <v>365</v>
      </c>
      <c r="R124" s="135">
        <f>IF(ISERROR(Q124/I124),"NA",IF(OR(Q124/I124&gt;2,Q124/I124&lt;0.5),"NM",(Q124/I124-1)*100))</f>
        <v>25.862068965517238</v>
      </c>
      <c r="S124" s="117">
        <f>S116-S122</f>
        <v>273.13525873250012</v>
      </c>
      <c r="T124" s="135">
        <f>IF(ISERROR(S124/K124),"NA",IF(OR(S124/K124&gt;2,S124/K124&lt;0.5),"NM",(S124/K124-1)*100))</f>
        <v>-0.31559900273718799</v>
      </c>
      <c r="U124" s="117">
        <f>U116-U122</f>
        <v>280.54320118721625</v>
      </c>
      <c r="V124" s="135">
        <f>IF(ISERROR(U124/M124),"NA",IF(OR(U124/M124&gt;2,U124/M124&lt;0.5),"NM",(U124/M124-1)*100))</f>
        <v>-2.5891662544388017</v>
      </c>
      <c r="W124" s="117">
        <f>W116-W122</f>
        <v>303.83010783255781</v>
      </c>
      <c r="X124" s="135">
        <f>IF(ISERROR(W124/O124),"NA",IF(OR(W124/O124&gt;2,W124/O124&lt;0.5),"NM",(W124/O124-1)*100))</f>
        <v>24.520535996949921</v>
      </c>
      <c r="Y124" s="117">
        <f>Y116-Y122</f>
        <v>309.08717258832314</v>
      </c>
      <c r="Z124" s="135">
        <f>IF(ISERROR(Y124/Q124),"NA",IF(OR(Y124/Q124&gt;2,Y124/Q124&lt;0.5),"NM",(Y124/Q124-1)*100))</f>
        <v>-15.318582852514206</v>
      </c>
      <c r="AA124" s="102"/>
      <c r="AB124" s="180"/>
      <c r="AC124" s="93"/>
      <c r="AD124" s="117">
        <f>AD116-AD122</f>
        <v>792</v>
      </c>
      <c r="AE124" s="61"/>
      <c r="AF124" s="117">
        <f>AF116-AF122</f>
        <v>800</v>
      </c>
      <c r="AG124" s="25">
        <f t="shared" ref="AG124:AG130" si="32">IF(ISERROR(AF124/AD124),"NA",IF(OR(AF124/AD124&gt;2,AF124/AD124&lt;0.5),"NM",(AF124/AD124-1)*100))</f>
        <v>1.0101010101010166</v>
      </c>
      <c r="AH124" s="117">
        <f>AH116-AH122</f>
        <v>784</v>
      </c>
      <c r="AI124" s="25">
        <f t="shared" ref="AI124:AI130" si="33">IF(ISERROR(AH124/AF124),"NA",IF(OR(AH124/AF124&gt;2,AH124/AF124&lt;0.5),"NM",(AH124/AF124-1)*100))</f>
        <v>-2.0000000000000018</v>
      </c>
      <c r="AJ124" s="117">
        <f>AJ116-AJ122</f>
        <v>677.09999999999991</v>
      </c>
      <c r="AK124" s="25">
        <f t="shared" ref="AK124:AK130" si="34">IF(ISERROR(AJ124/AH124),"NA",IF(OR(AJ124/AH124&gt;2,AJ124/AH124&lt;0.5),"NM",(AJ124/AH124-1)*100))</f>
        <v>-13.635204081632669</v>
      </c>
      <c r="AL124" s="117">
        <f>AL116-AL122</f>
        <v>1171</v>
      </c>
      <c r="AM124" s="25">
        <f t="shared" ref="AM124:AM130" si="35">IF(ISERROR(AL124/AJ124),"NA",IF(OR(AL124/AJ124&gt;2,AL124/AJ124&lt;0.5),"NM",(AL124/AJ124-1)*100))</f>
        <v>72.943435238517225</v>
      </c>
      <c r="AN124" s="117">
        <f>AN116-AN122</f>
        <v>1166.5957403405973</v>
      </c>
      <c r="AO124" s="25">
        <f t="shared" ref="AO124:AS130" si="36">IF(ISERROR(AN124/AL124),"NA",IF(OR(AN124/AL124&gt;2,AN124/AL124&lt;0.5),"NM",(AN124/AL124-1)*100))</f>
        <v>-0.37611098713942193</v>
      </c>
      <c r="AP124" s="117">
        <f>AP116-AP122</f>
        <v>1308.9529328772824</v>
      </c>
      <c r="AQ124" s="25">
        <f t="shared" si="36"/>
        <v>12.202786930725695</v>
      </c>
      <c r="AR124" s="117">
        <f>AR116-AR122</f>
        <v>1446.0239855200734</v>
      </c>
      <c r="AS124" s="25">
        <f t="shared" si="36"/>
        <v>10.471809123150644</v>
      </c>
      <c r="AT124" s="117">
        <f>AT116-AT122</f>
        <v>1525.5220088218784</v>
      </c>
      <c r="AU124" s="25">
        <f t="shared" ref="AU124:AU130" si="37">IF(ISERROR(AT124/AR124),"NA",IF(OR(AT124/AR124&gt;2,AT124/AR124&lt;0.5),"NM",(AT124/AR124-1)*100))</f>
        <v>5.4976974170461546</v>
      </c>
      <c r="AV124" s="117">
        <f>AV116-AV122</f>
        <v>1618.4000157726532</v>
      </c>
      <c r="AW124" s="25">
        <f t="shared" ref="AW124:AW130" si="38">IF(ISERROR(AV124/AT124),"NA",IF(OR(AV124/AT124&gt;2,AV124/AT124&lt;0.5),"NM",(AV124/AT124-1)*100))</f>
        <v>6.0882770890013038</v>
      </c>
      <c r="AX124" s="63">
        <f>IF(ISERROR(((AV124/AL124)^0.2-1)*100),"NA",IF((((AV124/AL124)^0.2-1)*100)&gt;100,"NM",IF((((AV124/AL124)^0.2-1)*100)&lt;-50,"NM",((AV124/AL124)^0.2-1)*100)))</f>
        <v>6.6855979744693261</v>
      </c>
      <c r="AY124" s="96"/>
      <c r="AZ124" s="126"/>
      <c r="BA124"/>
      <c r="BB124"/>
      <c r="BC124"/>
      <c r="BD124"/>
      <c r="BE124"/>
      <c r="BF124"/>
      <c r="BG124" s="31"/>
      <c r="BH124" s="101"/>
      <c r="BI124" s="101"/>
      <c r="BJ124" s="101"/>
      <c r="BK124" s="101"/>
      <c r="BL124" s="101"/>
      <c r="BM124" s="101"/>
      <c r="BN124" s="24"/>
    </row>
    <row r="125" spans="1:66" s="438" customFormat="1" ht="12.75" customHeight="1">
      <c r="A125" s="101"/>
      <c r="B125" s="203" t="s">
        <v>35</v>
      </c>
      <c r="C125" s="209">
        <f>C104+C59</f>
        <v>10</v>
      </c>
      <c r="D125" s="61"/>
      <c r="E125" s="209">
        <f>E104+E59</f>
        <v>19</v>
      </c>
      <c r="F125" s="61"/>
      <c r="G125" s="209">
        <f>G104+G59</f>
        <v>-88</v>
      </c>
      <c r="H125" s="61"/>
      <c r="I125" s="209">
        <f>I104+I59</f>
        <v>10</v>
      </c>
      <c r="J125" s="61"/>
      <c r="K125" s="209">
        <f>K104+K59</f>
        <v>8</v>
      </c>
      <c r="L125" s="135">
        <f>IF(ISERROR(K125/C125),"NA",IF(OR(K125/C125&gt;2,K125/C125&lt;0.5),"NM",(K125/C125-1)*100))</f>
        <v>-19.999999999999996</v>
      </c>
      <c r="M125" s="209">
        <f>M104+M59</f>
        <v>8</v>
      </c>
      <c r="N125" s="135" t="str">
        <f>IF(ISERROR(M125/E125),"NA",IF(OR(M125/E125&gt;2,M125/E125&lt;0.5),"NM",(M125/E125-1)*100))</f>
        <v>NM</v>
      </c>
      <c r="O125" s="209">
        <f>O104+O59</f>
        <v>13</v>
      </c>
      <c r="P125" s="135" t="str">
        <f>IF(ISERROR(O125/G125),"NA",IF(OR(O125/G125&gt;2,O125/G125&lt;0.5),"NM",(O125/G125-1)*100))</f>
        <v>NM</v>
      </c>
      <c r="Q125" s="209">
        <f>Q104+Q59</f>
        <v>33</v>
      </c>
      <c r="R125" s="135" t="str">
        <f>IF(ISERROR(Q125/I125),"NA",IF(OR(Q125/I125&gt;2,Q125/I125&lt;0.5),"NM",(Q125/I125-1)*100))</f>
        <v>NM</v>
      </c>
      <c r="S125" s="209">
        <f>S104+S59</f>
        <v>28.681052166912512</v>
      </c>
      <c r="T125" s="135" t="str">
        <f>IF(ISERROR(S125/K125),"NA",IF(OR(S125/K125&gt;2,S125/K125&lt;0.5),"NM",(S125/K125-1)*100))</f>
        <v>NM</v>
      </c>
      <c r="U125" s="209">
        <f>U104+U59</f>
        <v>29.456967124657716</v>
      </c>
      <c r="V125" s="135" t="str">
        <f>IF(ISERROR(U125/M125),"NA",IF(OR(U125/M125&gt;2,U125/M125&lt;0.5),"NM",(U125/M125-1)*100))</f>
        <v>NM</v>
      </c>
      <c r="W125" s="209">
        <f>W104+W59</f>
        <v>31.900154132418582</v>
      </c>
      <c r="X125" s="135" t="str">
        <f>IF(ISERROR(W125/O125),"NA",IF(OR(W125/O125&gt;2,W125/O125&lt;0.5),"NM",(W125/O125-1)*100))</f>
        <v>NM</v>
      </c>
      <c r="Y125" s="209">
        <f>Y104+Y59</f>
        <v>32.455188359873915</v>
      </c>
      <c r="Z125" s="135">
        <f>IF(ISERROR(Y125/Q125),"NA",IF(OR(Y125/Q125&gt;2,Y125/Q125&lt;0.5),"NM",(Y125/Q125-1)*100))</f>
        <v>-1.6509443640184363</v>
      </c>
      <c r="AA125" s="102"/>
      <c r="AB125" s="180"/>
      <c r="AC125" s="93"/>
      <c r="AD125" s="199">
        <v>15.4</v>
      </c>
      <c r="AE125" s="61"/>
      <c r="AF125" s="199">
        <f>19.6-1</f>
        <v>18.600000000000001</v>
      </c>
      <c r="AG125" s="25">
        <f t="shared" si="32"/>
        <v>20.779220779220786</v>
      </c>
      <c r="AH125" s="199">
        <v>44</v>
      </c>
      <c r="AI125" s="25" t="str">
        <f t="shared" si="33"/>
        <v>NM</v>
      </c>
      <c r="AJ125" s="209">
        <f>AJ104+AJ59</f>
        <v>-49</v>
      </c>
      <c r="AK125" s="25" t="str">
        <f t="shared" si="34"/>
        <v>NM</v>
      </c>
      <c r="AL125" s="209">
        <f>AL104+AL59</f>
        <v>62</v>
      </c>
      <c r="AM125" s="25" t="str">
        <f t="shared" si="35"/>
        <v>NM</v>
      </c>
      <c r="AN125" s="209">
        <f>AN104+AN59</f>
        <v>122.49336178386272</v>
      </c>
      <c r="AO125" s="25">
        <f t="shared" si="36"/>
        <v>97.569938361068907</v>
      </c>
      <c r="AP125" s="209">
        <f>AP104+AP59</f>
        <v>137.44005795211464</v>
      </c>
      <c r="AQ125" s="25">
        <f t="shared" si="36"/>
        <v>12.202045850145815</v>
      </c>
      <c r="AR125" s="209">
        <f>AR104+AR59</f>
        <v>151.78705374596456</v>
      </c>
      <c r="AS125" s="25">
        <f t="shared" si="36"/>
        <v>10.438729441491157</v>
      </c>
      <c r="AT125" s="209">
        <f>AT104+AT59</f>
        <v>160.07101326966512</v>
      </c>
      <c r="AU125" s="25">
        <f t="shared" si="37"/>
        <v>5.4576192891686581</v>
      </c>
      <c r="AV125" s="209">
        <f>AV104+AV59</f>
        <v>169.74215832948147</v>
      </c>
      <c r="AW125" s="25">
        <f t="shared" si="38"/>
        <v>6.0417841196043209</v>
      </c>
      <c r="AX125" s="63">
        <f>IF(ISERROR(((AV125/AL125)^0.2-1)*100),"NA",IF((((AV125/AL125)^0.2-1)*100)&gt;100,"NM",IF((((AV125/AL125)^0.2-1)*100)&lt;-50,"NM",((AV125/AL125)^0.2-1)*100)))</f>
        <v>22.314968023960201</v>
      </c>
      <c r="AY125" s="96"/>
      <c r="AZ125" s="126"/>
      <c r="BA125"/>
      <c r="BB125"/>
      <c r="BC125"/>
      <c r="BD125"/>
      <c r="BE125"/>
      <c r="BF125"/>
      <c r="BG125" s="31"/>
      <c r="BH125" s="101"/>
      <c r="BI125" s="101"/>
      <c r="BJ125" s="101"/>
      <c r="BK125" s="101"/>
      <c r="BL125" s="101"/>
      <c r="BM125" s="101"/>
      <c r="BN125" s="24"/>
    </row>
    <row r="126" spans="1:66" s="438" customFormat="1" ht="12.75" customHeight="1">
      <c r="A126" s="101"/>
      <c r="B126" s="203" t="s">
        <v>160</v>
      </c>
      <c r="C126" s="64">
        <f>C125/C124*100</f>
        <v>6.25</v>
      </c>
      <c r="D126" s="61"/>
      <c r="E126" s="64">
        <f>E125/E124*100</f>
        <v>9.5959595959595951</v>
      </c>
      <c r="F126" s="61"/>
      <c r="G126" s="64">
        <f>G125/G124*100</f>
        <v>-302.40549828178672</v>
      </c>
      <c r="H126" s="61"/>
      <c r="I126" s="64">
        <f>I125/I124*100</f>
        <v>3.4482758620689653</v>
      </c>
      <c r="J126" s="61"/>
      <c r="K126" s="64">
        <f>K125/K124*100</f>
        <v>2.9197080291970803</v>
      </c>
      <c r="L126" s="135" t="str">
        <f>IF(ISERROR(K126/C126),"NA",IF(OR(K126/C126&gt;2,K126/C126&lt;0.5),"NM",(K126/C126-1)*100))</f>
        <v>NM</v>
      </c>
      <c r="M126" s="64">
        <f>M125/M124*100</f>
        <v>2.7777777777777777</v>
      </c>
      <c r="N126" s="135" t="str">
        <f>IF(ISERROR(M126/E126),"NA",IF(OR(M126/E126&gt;2,M126/E126&lt;0.5),"NM",(M126/E126-1)*100))</f>
        <v>NM</v>
      </c>
      <c r="O126" s="64">
        <f>O125/O124*100</f>
        <v>5.3278688524590159</v>
      </c>
      <c r="P126" s="135" t="str">
        <f>IF(ISERROR(O126/G126),"NA",IF(OR(O126/G126&gt;2,O126/G126&lt;0.5),"NM",(O126/G126-1)*100))</f>
        <v>NM</v>
      </c>
      <c r="Q126" s="64">
        <f>Q125/Q124*100</f>
        <v>9.0410958904109595</v>
      </c>
      <c r="R126" s="135" t="str">
        <f>IF(ISERROR(Q126/I126),"NA",IF(OR(Q126/I126&gt;2,Q126/I126&lt;0.5),"NM",(Q126/I126-1)*100))</f>
        <v>NM</v>
      </c>
      <c r="S126" s="64">
        <f>S125/S124*100</f>
        <v>10.500677320097223</v>
      </c>
      <c r="T126" s="135" t="str">
        <f>IF(ISERROR(S126/K126),"NA",IF(OR(S126/K126&gt;2,S126/K126&lt;0.5),"NM",(S126/K126-1)*100))</f>
        <v>NM</v>
      </c>
      <c r="U126" s="64">
        <f>U125/U124*100</f>
        <v>10.49997540485754</v>
      </c>
      <c r="V126" s="135" t="str">
        <f>IF(ISERROR(U126/M126),"NA",IF(OR(U126/M126&gt;2,U126/M126&lt;0.5),"NM",(U126/M126-1)*100))</f>
        <v>NM</v>
      </c>
      <c r="W126" s="64">
        <f>W125/W124*100</f>
        <v>10.499339370935189</v>
      </c>
      <c r="X126" s="135">
        <f>IF(ISERROR(W126/O126),"NA",IF(OR(W126/O126&gt;2,W126/O126&lt;0.5),"NM",(W126/O126-1)*100))</f>
        <v>97.064523577552791</v>
      </c>
      <c r="Y126" s="64">
        <f>Y125/Y124*100</f>
        <v>10.500334934022435</v>
      </c>
      <c r="Z126" s="135">
        <f>IF(ISERROR(Y126/Q126),"NA",IF(OR(Y126/Q126&gt;2,Y126/Q126&lt;0.5),"NM",(Y126/Q126-1)*100))</f>
        <v>16.140068209642067</v>
      </c>
      <c r="AA126" s="102"/>
      <c r="AB126" s="180"/>
      <c r="AC126" s="93"/>
      <c r="AD126" s="64">
        <f>AD125/AD124*100</f>
        <v>1.9444444444444444</v>
      </c>
      <c r="AE126" s="61"/>
      <c r="AF126" s="64">
        <f>AF125/AF124*100</f>
        <v>2.3250000000000002</v>
      </c>
      <c r="AG126" s="25">
        <f t="shared" si="32"/>
        <v>19.571428571428573</v>
      </c>
      <c r="AH126" s="64">
        <f>AH125/AH124*100</f>
        <v>5.6122448979591839</v>
      </c>
      <c r="AI126" s="25" t="str">
        <f t="shared" si="33"/>
        <v>NM</v>
      </c>
      <c r="AJ126" s="64">
        <f>AJ125/AJ124*100</f>
        <v>-7.2367449416629759</v>
      </c>
      <c r="AK126" s="25" t="str">
        <f t="shared" si="34"/>
        <v>NM</v>
      </c>
      <c r="AL126" s="64">
        <f>AL125/AL124*100</f>
        <v>5.2946199829205804</v>
      </c>
      <c r="AM126" s="25" t="str">
        <f t="shared" si="35"/>
        <v>NM</v>
      </c>
      <c r="AN126" s="64">
        <f>AN125/AN124*100</f>
        <v>10.500069351196137</v>
      </c>
      <c r="AO126" s="25">
        <f t="shared" si="36"/>
        <v>98.315825971785117</v>
      </c>
      <c r="AP126" s="64">
        <f>AP125/AP124*100</f>
        <v>10.5</v>
      </c>
      <c r="AQ126" s="25">
        <f t="shared" si="36"/>
        <v>-6.6048321984979452E-4</v>
      </c>
      <c r="AR126" s="64">
        <f>AR125/AR124*100</f>
        <v>10.496855879701968</v>
      </c>
      <c r="AS126" s="25">
        <f t="shared" si="36"/>
        <v>-2.9944002838400152E-2</v>
      </c>
      <c r="AT126" s="64">
        <f>AT125/AT124*100</f>
        <v>10.492868168666007</v>
      </c>
      <c r="AU126" s="25">
        <f t="shared" si="37"/>
        <v>-3.798957594218777E-2</v>
      </c>
      <c r="AV126" s="64">
        <f>AV125/AV124*100</f>
        <v>10.488269690756493</v>
      </c>
      <c r="AW126" s="25">
        <f t="shared" si="38"/>
        <v>-4.382479447561094E-2</v>
      </c>
      <c r="AX126" s="63">
        <f>IF(ISERROR(((AV126/AL126)^0.2-1)*100),"NA",IF((((AV126/AL126)^0.2-1)*100)&gt;100,"NM",IF((((AV126/AL126)^0.2-1)*100)&lt;-50,"NM",((AV126/AL126)^0.2-1)*100)))</f>
        <v>14.649934336245728</v>
      </c>
      <c r="AY126" s="96"/>
      <c r="AZ126" s="126"/>
      <c r="BA126"/>
      <c r="BB126"/>
      <c r="BC126"/>
      <c r="BD126"/>
      <c r="BE126"/>
      <c r="BF126"/>
      <c r="BG126" s="31"/>
      <c r="BH126" s="101"/>
      <c r="BI126" s="101"/>
      <c r="BJ126" s="101"/>
      <c r="BK126" s="101"/>
      <c r="BL126" s="101"/>
      <c r="BM126" s="101"/>
      <c r="BN126" s="24"/>
    </row>
    <row r="127" spans="1:66" s="438" customFormat="1" ht="12.75" customHeight="1">
      <c r="A127" s="101"/>
      <c r="B127" s="202" t="s">
        <v>161</v>
      </c>
      <c r="C127" s="117">
        <f>C124-C125</f>
        <v>150</v>
      </c>
      <c r="D127" s="61"/>
      <c r="E127" s="117">
        <f>E124-E125</f>
        <v>179</v>
      </c>
      <c r="F127" s="61"/>
      <c r="G127" s="117">
        <f>G124-G125</f>
        <v>117.10000000000002</v>
      </c>
      <c r="H127" s="61"/>
      <c r="I127" s="117">
        <f>I124-I125</f>
        <v>280</v>
      </c>
      <c r="J127" s="61"/>
      <c r="K127" s="117">
        <f>K124-K125</f>
        <v>266</v>
      </c>
      <c r="L127" s="135">
        <f>IF(ISERROR(K127/C127),"NA",IF(OR(K127/C127&gt;2,K127/C127&lt;0.5),"NM",(K127/C127-1)*100))</f>
        <v>77.333333333333343</v>
      </c>
      <c r="M127" s="117">
        <f>M124-M125</f>
        <v>280</v>
      </c>
      <c r="N127" s="135">
        <f>IF(ISERROR(M127/E127),"NA",IF(OR(M127/E127&gt;2,M127/E127&lt;0.5),"NM",(M127/E127-1)*100))</f>
        <v>56.424581005586582</v>
      </c>
      <c r="O127" s="117">
        <f>O124-O125</f>
        <v>231</v>
      </c>
      <c r="P127" s="135">
        <f>IF(ISERROR(O127/G127),"NA",IF(OR(O127/G127&gt;2,O127/G127&lt;0.5),"NM",(O127/G127-1)*100))</f>
        <v>97.267292912040944</v>
      </c>
      <c r="Q127" s="117">
        <f>Q124-Q125</f>
        <v>332</v>
      </c>
      <c r="R127" s="135">
        <f>IF(ISERROR(Q127/I127),"NA",IF(OR(Q127/I127&gt;2,Q127/I127&lt;0.5),"NM",(Q127/I127-1)*100))</f>
        <v>18.571428571428573</v>
      </c>
      <c r="S127" s="117">
        <f>S124-S125</f>
        <v>244.45420656558761</v>
      </c>
      <c r="T127" s="135">
        <f>IF(ISERROR(S127/K127),"NA",IF(OR(S127/K127&gt;2,S127/K127&lt;0.5),"NM",(S127/K127-1)*100))</f>
        <v>-8.0999223437640548</v>
      </c>
      <c r="U127" s="117">
        <f>U124-U125</f>
        <v>251.08623406255853</v>
      </c>
      <c r="V127" s="135">
        <f>IF(ISERROR(U127/M127),"NA",IF(OR(U127/M127&gt;2,U127/M127&lt;0.5),"NM",(U127/M127-1)*100))</f>
        <v>-10.326344977657664</v>
      </c>
      <c r="W127" s="117">
        <f>W124-W125</f>
        <v>271.92995370013921</v>
      </c>
      <c r="X127" s="135">
        <f>IF(ISERROR(W127/O127),"NA",IF(OR(W127/O127&gt;2,W127/O127&lt;0.5),"NM",(W127/O127-1)*100))</f>
        <v>17.718594675384946</v>
      </c>
      <c r="Y127" s="117">
        <f>Y124-Y125</f>
        <v>276.63198422844926</v>
      </c>
      <c r="Z127" s="135">
        <f>IF(ISERROR(Y127/Q127),"NA",IF(OR(Y127/Q127&gt;2,Y127/Q127&lt;0.5),"NM",(Y127/Q127-1)*100))</f>
        <v>-16.677113184202032</v>
      </c>
      <c r="AA127" s="102"/>
      <c r="AB127" s="180"/>
      <c r="AC127" s="93"/>
      <c r="AD127" s="117">
        <f>AD124-AD125</f>
        <v>776.6</v>
      </c>
      <c r="AE127" s="61"/>
      <c r="AF127" s="117">
        <f>AF124-AF125</f>
        <v>781.4</v>
      </c>
      <c r="AG127" s="25">
        <f t="shared" si="32"/>
        <v>0.61807880504762824</v>
      </c>
      <c r="AH127" s="117">
        <f>AH124-AH125</f>
        <v>740</v>
      </c>
      <c r="AI127" s="25">
        <f t="shared" si="33"/>
        <v>-5.2981827489122058</v>
      </c>
      <c r="AJ127" s="117">
        <f>AJ124-AJ125</f>
        <v>726.09999999999991</v>
      </c>
      <c r="AK127" s="25">
        <f t="shared" si="34"/>
        <v>-1.8783783783783869</v>
      </c>
      <c r="AL127" s="117">
        <f>AL124-AL125</f>
        <v>1109</v>
      </c>
      <c r="AM127" s="25">
        <f t="shared" si="35"/>
        <v>52.733783225451056</v>
      </c>
      <c r="AN127" s="117">
        <f>AN124-AN125</f>
        <v>1044.1023785567345</v>
      </c>
      <c r="AO127" s="25">
        <f t="shared" si="36"/>
        <v>-5.8519045485361136</v>
      </c>
      <c r="AP127" s="117">
        <f>AP124-AP125</f>
        <v>1171.5128749251678</v>
      </c>
      <c r="AQ127" s="25">
        <f t="shared" si="36"/>
        <v>12.202873873781716</v>
      </c>
      <c r="AR127" s="117">
        <f>AR124-AR125</f>
        <v>1294.2369317741088</v>
      </c>
      <c r="AS127" s="25">
        <f t="shared" si="36"/>
        <v>10.475689979658153</v>
      </c>
      <c r="AT127" s="117">
        <f>AT124-AT125</f>
        <v>1365.4509955522133</v>
      </c>
      <c r="AU127" s="25">
        <f t="shared" si="37"/>
        <v>5.5023977472568264</v>
      </c>
      <c r="AV127" s="117">
        <f>AV124-AV125</f>
        <v>1448.6578574431717</v>
      </c>
      <c r="AW127" s="25">
        <f t="shared" si="38"/>
        <v>6.0937274323278112</v>
      </c>
      <c r="AX127" s="63">
        <f>IF(ISERROR(((AV127/AL127)^0.2-1)*100),"NA",IF((((AV127/AL127)^0.2-1)*100)&gt;100,"NM",IF((((AV127/AL127)^0.2-1)*100)&lt;-50,"NM",((AV127/AL127)^0.2-1)*100)))</f>
        <v>5.4889224321810204</v>
      </c>
      <c r="AY127" s="96"/>
      <c r="AZ127" s="126"/>
      <c r="BA127"/>
      <c r="BB127"/>
      <c r="BC127"/>
      <c r="BD127"/>
      <c r="BE127"/>
      <c r="BF127"/>
      <c r="BG127" s="31"/>
      <c r="BH127" s="101"/>
      <c r="BI127" s="101"/>
      <c r="BJ127" s="101"/>
      <c r="BK127" s="101"/>
      <c r="BL127" s="101"/>
      <c r="BM127" s="101"/>
      <c r="BN127" s="24"/>
    </row>
    <row r="128" spans="1:66" s="438" customFormat="1" ht="12.75" customHeight="1">
      <c r="A128" s="101"/>
      <c r="B128" s="203" t="s">
        <v>162</v>
      </c>
      <c r="C128" s="209">
        <f>C107+C62</f>
        <v>12</v>
      </c>
      <c r="D128" s="61"/>
      <c r="E128" s="209">
        <f>E107+E62</f>
        <v>12</v>
      </c>
      <c r="F128" s="61"/>
      <c r="G128" s="209">
        <f>G107+G62</f>
        <v>-158</v>
      </c>
      <c r="H128" s="61"/>
      <c r="I128" s="209">
        <f>I107+I62</f>
        <v>141</v>
      </c>
      <c r="J128" s="61"/>
      <c r="K128" s="209">
        <f>K107+K62</f>
        <v>43</v>
      </c>
      <c r="L128" s="61"/>
      <c r="M128" s="209">
        <f>M107+M62</f>
        <v>49</v>
      </c>
      <c r="N128" s="61"/>
      <c r="O128" s="209">
        <f>O107+O62</f>
        <v>-23</v>
      </c>
      <c r="P128" s="61"/>
      <c r="Q128" s="209">
        <f>Q107+Q62</f>
        <v>70</v>
      </c>
      <c r="R128" s="61"/>
      <c r="S128" s="209">
        <f>S107+S62</f>
        <v>0</v>
      </c>
      <c r="T128" s="61"/>
      <c r="U128" s="209">
        <f>U107+U62</f>
        <v>0</v>
      </c>
      <c r="V128" s="61"/>
      <c r="W128" s="209">
        <f>W107+W62</f>
        <v>0</v>
      </c>
      <c r="X128" s="61"/>
      <c r="Y128" s="209">
        <f>Y107+Y62</f>
        <v>0</v>
      </c>
      <c r="Z128" s="61"/>
      <c r="AA128" s="102"/>
      <c r="AB128" s="180"/>
      <c r="AC128" s="93"/>
      <c r="AD128" s="209">
        <f>AD107+AD62</f>
        <v>315</v>
      </c>
      <c r="AE128" s="61"/>
      <c r="AF128" s="209">
        <f>AF107+AF62</f>
        <v>57</v>
      </c>
      <c r="AG128" s="25" t="str">
        <f t="shared" si="32"/>
        <v>NM</v>
      </c>
      <c r="AH128" s="209">
        <f>AH107+AH62</f>
        <v>30</v>
      </c>
      <c r="AI128" s="25">
        <f t="shared" si="33"/>
        <v>-47.368421052631582</v>
      </c>
      <c r="AJ128" s="209">
        <f>AJ107+AJ62</f>
        <v>7</v>
      </c>
      <c r="AK128" s="25" t="str">
        <f t="shared" si="34"/>
        <v>NM</v>
      </c>
      <c r="AL128" s="209">
        <f>AL107+AL62</f>
        <v>139</v>
      </c>
      <c r="AM128" s="25" t="str">
        <f t="shared" si="35"/>
        <v>NM</v>
      </c>
      <c r="AN128" s="209">
        <f>AN107+AN62</f>
        <v>0</v>
      </c>
      <c r="AO128" s="25" t="str">
        <f t="shared" si="36"/>
        <v>NM</v>
      </c>
      <c r="AP128" s="209">
        <f>AP107+AP62</f>
        <v>0</v>
      </c>
      <c r="AQ128" s="25" t="str">
        <f t="shared" si="36"/>
        <v>NA</v>
      </c>
      <c r="AR128" s="209">
        <f>AR107+AR62</f>
        <v>0</v>
      </c>
      <c r="AS128" s="25" t="str">
        <f t="shared" si="36"/>
        <v>NA</v>
      </c>
      <c r="AT128" s="209">
        <f>AT107+AT62</f>
        <v>0</v>
      </c>
      <c r="AU128" s="25" t="str">
        <f t="shared" si="37"/>
        <v>NA</v>
      </c>
      <c r="AV128" s="209">
        <f>AV107+AV62</f>
        <v>0</v>
      </c>
      <c r="AW128" s="25" t="str">
        <f t="shared" si="38"/>
        <v>NA</v>
      </c>
      <c r="AX128" s="63"/>
      <c r="AY128" s="96"/>
      <c r="AZ128" s="126"/>
      <c r="BA128"/>
      <c r="BB128"/>
      <c r="BC128"/>
      <c r="BD128"/>
      <c r="BE128"/>
      <c r="BF128"/>
      <c r="BG128" s="31"/>
      <c r="BH128" s="101"/>
      <c r="BI128" s="101"/>
      <c r="BJ128" s="101"/>
      <c r="BK128" s="101"/>
      <c r="BL128" s="101"/>
      <c r="BM128" s="101"/>
      <c r="BN128" s="24"/>
    </row>
    <row r="129" spans="1:66" s="438" customFormat="1" ht="12.75" customHeight="1">
      <c r="A129" s="101"/>
      <c r="B129" s="202" t="s">
        <v>163</v>
      </c>
      <c r="C129" s="117">
        <f>C127-C128</f>
        <v>138</v>
      </c>
      <c r="D129" s="61"/>
      <c r="E129" s="117">
        <f>E127-E128</f>
        <v>167</v>
      </c>
      <c r="F129" s="61"/>
      <c r="G129" s="117">
        <f>G127-G128</f>
        <v>275.10000000000002</v>
      </c>
      <c r="H129" s="385">
        <f>G129/E129-1</f>
        <v>0.647305389221557</v>
      </c>
      <c r="I129" s="117">
        <f>I127-I128</f>
        <v>139</v>
      </c>
      <c r="J129" s="61"/>
      <c r="K129" s="117">
        <f>K127-K128</f>
        <v>223</v>
      </c>
      <c r="L129" s="135">
        <f>IF(ISERROR(K129/C129),"NA",IF(OR(K129/C129&gt;2,K129/C129&lt;0.5),"NM",(K129/C129-1)*100))</f>
        <v>61.594202898550733</v>
      </c>
      <c r="M129" s="117">
        <f>M127-M128</f>
        <v>231</v>
      </c>
      <c r="N129" s="135">
        <f>IF(ISERROR(M129/E129),"NA",IF(OR(M129/E129&gt;2,M129/E129&lt;0.5),"NM",(M129/E129-1)*100))</f>
        <v>38.323353293413163</v>
      </c>
      <c r="O129" s="117">
        <f>O127-O128</f>
        <v>254</v>
      </c>
      <c r="P129" s="135">
        <f>IF(ISERROR(O129/G129),"NA",IF(OR(O129/G129&gt;2,O129/G129&lt;0.5),"NM",(O129/G129-1)*100))</f>
        <v>-7.6699382042893616</v>
      </c>
      <c r="Q129" s="117">
        <f>Q127-Q128</f>
        <v>262</v>
      </c>
      <c r="R129" s="135">
        <f>IF(ISERROR(Q129/I129),"NA",IF(OR(Q129/I129&gt;2,Q129/I129&lt;0.5),"NM",(Q129/I129-1)*100))</f>
        <v>88.489208633093526</v>
      </c>
      <c r="S129" s="117">
        <f>S127-S128</f>
        <v>244.45420656558761</v>
      </c>
      <c r="T129" s="135">
        <f>IF(ISERROR(S129/K129),"NA",IF(OR(S129/K129&gt;2,S129/K129&lt;0.5),"NM",(S129/K129-1)*100))</f>
        <v>9.6207204329989295</v>
      </c>
      <c r="U129" s="117">
        <f>U127-U128</f>
        <v>251.08623406255853</v>
      </c>
      <c r="V129" s="135">
        <f>IF(ISERROR(U129/M129),"NA",IF(OR(U129/M129&gt;2,U129/M129&lt;0.5),"NM",(U129/M129-1)*100))</f>
        <v>8.6953394210210089</v>
      </c>
      <c r="W129" s="117">
        <f>W127-W128</f>
        <v>271.92995370013921</v>
      </c>
      <c r="X129" s="135">
        <f>IF(ISERROR(W129/O129),"NA",IF(OR(W129/O129&gt;2,W129/O129&lt;0.5),"NM",(W129/O129-1)*100))</f>
        <v>7.0590368898185929</v>
      </c>
      <c r="Y129" s="117">
        <f>Y127-Y128</f>
        <v>276.63198422844926</v>
      </c>
      <c r="Z129" s="135">
        <f>IF(ISERROR(Y129/Q129),"NA",IF(OR(Y129/Q129&gt;2,Y129/Q129&lt;0.5),"NM",(Y129/Q129-1)*100))</f>
        <v>5.5847268047516163</v>
      </c>
      <c r="AA129" s="102"/>
      <c r="AB129" s="180"/>
      <c r="AC129" s="93"/>
      <c r="AD129" s="117">
        <f>AD127-AD128</f>
        <v>461.6</v>
      </c>
      <c r="AE129" s="61"/>
      <c r="AF129" s="117">
        <f>AF127-AF128</f>
        <v>724.4</v>
      </c>
      <c r="AG129" s="25">
        <f t="shared" si="32"/>
        <v>56.9324090121317</v>
      </c>
      <c r="AH129" s="117">
        <f>AH127-AH128</f>
        <v>710</v>
      </c>
      <c r="AI129" s="25">
        <f t="shared" si="33"/>
        <v>-1.9878520154610668</v>
      </c>
      <c r="AJ129" s="117">
        <f>AJ127-AJ128</f>
        <v>719.09999999999991</v>
      </c>
      <c r="AK129" s="25">
        <f t="shared" si="34"/>
        <v>1.2816901408450487</v>
      </c>
      <c r="AL129" s="117">
        <f>AL127-AL128</f>
        <v>970</v>
      </c>
      <c r="AM129" s="25">
        <f t="shared" si="35"/>
        <v>34.890835766930905</v>
      </c>
      <c r="AN129" s="117">
        <f>AN127-AN128</f>
        <v>1044.1023785567345</v>
      </c>
      <c r="AO129" s="25">
        <f t="shared" si="36"/>
        <v>7.6394204697664447</v>
      </c>
      <c r="AP129" s="117">
        <f>AP127-AP128</f>
        <v>1171.5128749251678</v>
      </c>
      <c r="AQ129" s="25">
        <f t="shared" si="36"/>
        <v>12.202873873781716</v>
      </c>
      <c r="AR129" s="117">
        <f>AR127-AR128</f>
        <v>1294.2369317741088</v>
      </c>
      <c r="AS129" s="25">
        <f t="shared" si="36"/>
        <v>10.475689979658153</v>
      </c>
      <c r="AT129" s="117">
        <f>AT127-AT128</f>
        <v>1365.4509955522133</v>
      </c>
      <c r="AU129" s="25">
        <f t="shared" si="37"/>
        <v>5.5023977472568264</v>
      </c>
      <c r="AV129" s="117">
        <f>AV127-AV128</f>
        <v>1448.6578574431717</v>
      </c>
      <c r="AW129" s="25">
        <f t="shared" si="38"/>
        <v>6.0937274323278112</v>
      </c>
      <c r="AX129" s="63">
        <f>IF(ISERROR(((AV129/AL129)^0.2-1)*100),"NA",IF((((AV129/AL129)^0.2-1)*100)&gt;100,"NM",IF((((AV129/AL129)^0.2-1)*100)&lt;-50,"NM",((AV129/AL129)^0.2-1)*100)))</f>
        <v>8.3524706192931184</v>
      </c>
      <c r="AY129" s="96"/>
      <c r="AZ129" s="126"/>
      <c r="BA129"/>
      <c r="BB129"/>
      <c r="BC129"/>
      <c r="BD129"/>
      <c r="BE129"/>
      <c r="BF129"/>
      <c r="BG129" s="31"/>
      <c r="BH129" s="101"/>
      <c r="BI129" s="101"/>
      <c r="BJ129" s="101"/>
      <c r="BK129" s="101"/>
      <c r="BL129" s="101"/>
      <c r="BM129" s="101"/>
      <c r="BN129" s="24"/>
    </row>
    <row r="130" spans="1:66" s="438" customFormat="1" ht="12.75" customHeight="1">
      <c r="A130" s="101"/>
      <c r="B130" s="203" t="s">
        <v>123</v>
      </c>
      <c r="C130" s="114">
        <f>C124-(C128/0.65)</f>
        <v>141.53846153846155</v>
      </c>
      <c r="D130" s="61"/>
      <c r="E130" s="114">
        <f>E124-(E128/0.65)</f>
        <v>179.53846153846155</v>
      </c>
      <c r="F130" s="61"/>
      <c r="G130" s="114">
        <f>G124-(G128/0.65)</f>
        <v>272.17692307692312</v>
      </c>
      <c r="H130" s="61"/>
      <c r="I130" s="114">
        <f>I124-(I128/0.65)</f>
        <v>73.076923076923094</v>
      </c>
      <c r="J130" s="61"/>
      <c r="K130" s="114">
        <f>K124-(K128/0.65)</f>
        <v>207.84615384615387</v>
      </c>
      <c r="L130" s="135">
        <f>IF(ISERROR(K130/C130),"NA",IF(OR(K130/C130&gt;2,K130/C130&lt;0.5),"NM",(K130/C130-1)*100))</f>
        <v>46.847826086956523</v>
      </c>
      <c r="M130" s="114">
        <f>M124-(M128/0.65)</f>
        <v>212.61538461538461</v>
      </c>
      <c r="N130" s="135">
        <f>IF(ISERROR(M130/E130),"NA",IF(OR(M130/E130&gt;2,M130/E130&lt;0.5),"NM",(M130/E130-1)*100))</f>
        <v>18.423307626392461</v>
      </c>
      <c r="O130" s="114">
        <f>O124-(O128/0.65)</f>
        <v>279.38461538461536</v>
      </c>
      <c r="P130" s="135">
        <f>IF(ISERROR(O130/G130),"NA",IF(OR(O130/G130&gt;2,O130/G130&lt;0.5),"NM",(O130/G130-1)*100))</f>
        <v>2.6481643727213289</v>
      </c>
      <c r="Q130" s="114">
        <f>Q124-(Q128/0.65)</f>
        <v>257.30769230769232</v>
      </c>
      <c r="R130" s="135" t="str">
        <f>IF(ISERROR(Q130/I130),"NA",IF(OR(Q130/I130&gt;2,Q130/I130&lt;0.5),"NM",(Q130/I130-1)*100))</f>
        <v>NM</v>
      </c>
      <c r="S130" s="114">
        <f>S124-(S128/0.65)</f>
        <v>273.13525873250012</v>
      </c>
      <c r="T130" s="135">
        <f>IF(ISERROR(S130/K130),"NA",IF(OR(S130/K130&gt;2,S130/K130&lt;0.5),"NM",(S130/K130-1)*100))</f>
        <v>31.412226629256157</v>
      </c>
      <c r="U130" s="114">
        <f>U124-(U128/0.65)</f>
        <v>280.54320118721625</v>
      </c>
      <c r="V130" s="135">
        <f>IF(ISERROR(U130/M130),"NA",IF(OR(U130/M130&gt;2,U130/M130&lt;0.5),"NM",(U130/M130-1)*100))</f>
        <v>31.948683626404172</v>
      </c>
      <c r="W130" s="114">
        <f>W124-(W128/0.65)</f>
        <v>303.83010783255781</v>
      </c>
      <c r="X130" s="135">
        <f>IF(ISERROR(W130/O130),"NA",IF(OR(W130/O130&gt;2,W130/O130&lt;0.5),"NM",(W130/O130-1)*100))</f>
        <v>8.7497632660586966</v>
      </c>
      <c r="Y130" s="114">
        <f>Y124-(Y128/0.65)</f>
        <v>309.08717258832314</v>
      </c>
      <c r="Z130" s="135">
        <f>IF(ISERROR(Y130/Q130),"NA",IF(OR(Y130/Q130&gt;2,Y130/Q130&lt;0.5),"NM",(Y130/Q130-1)*100))</f>
        <v>20.123564832532146</v>
      </c>
      <c r="AA130" s="102"/>
      <c r="AB130" s="180"/>
      <c r="AC130" s="93"/>
      <c r="AD130" s="114">
        <f>AD124-(AD128/0.65)</f>
        <v>307.38461538461542</v>
      </c>
      <c r="AE130" s="61"/>
      <c r="AF130" s="114">
        <f>AF124-(AF128/0.65)</f>
        <v>712.30769230769226</v>
      </c>
      <c r="AG130" s="25" t="str">
        <f t="shared" si="32"/>
        <v>NM</v>
      </c>
      <c r="AH130" s="114">
        <f>AH124-(AH128/0.65)</f>
        <v>737.84615384615381</v>
      </c>
      <c r="AI130" s="25">
        <f t="shared" si="33"/>
        <v>3.5853131749460143</v>
      </c>
      <c r="AJ130" s="114">
        <f>AJ124-(AJ128/0.65)</f>
        <v>666.33076923076919</v>
      </c>
      <c r="AK130" s="25">
        <f t="shared" si="34"/>
        <v>-9.692452043369471</v>
      </c>
      <c r="AL130" s="114">
        <f>AL124-(AL128/0.65)</f>
        <v>957.15384615384619</v>
      </c>
      <c r="AM130" s="25">
        <f t="shared" si="35"/>
        <v>43.645452131650963</v>
      </c>
      <c r="AN130" s="114">
        <f>AN124-(AN128/0.65)</f>
        <v>1166.5957403405973</v>
      </c>
      <c r="AO130" s="25">
        <f t="shared" si="36"/>
        <v>21.881737719422677</v>
      </c>
      <c r="AP130" s="114">
        <f>AP124-(AP128/0.65)</f>
        <v>1308.9529328772824</v>
      </c>
      <c r="AQ130" s="25">
        <f t="shared" si="36"/>
        <v>12.202786930725695</v>
      </c>
      <c r="AR130" s="114">
        <f>AR124-(AR128/0.65)</f>
        <v>1446.0239855200734</v>
      </c>
      <c r="AS130" s="25">
        <f t="shared" si="36"/>
        <v>10.471809123150644</v>
      </c>
      <c r="AT130" s="114">
        <f>AT124-(AT128/0.65)</f>
        <v>1525.5220088218784</v>
      </c>
      <c r="AU130" s="25">
        <f t="shared" si="37"/>
        <v>5.4976974170461546</v>
      </c>
      <c r="AV130" s="114">
        <f>AV124-(AV128/0.65)</f>
        <v>1618.4000157726532</v>
      </c>
      <c r="AW130" s="25">
        <f t="shared" si="38"/>
        <v>6.0882770890013038</v>
      </c>
      <c r="AX130" s="63">
        <f>IF(ISERROR(((AV130/AL130)^0.2-1)*100),"NA",IF((((AV130/AL130)^0.2-1)*100)&gt;100,"NM",IF((((AV130/AL130)^0.2-1)*100)&lt;-50,"NM",((AV130/AL130)^0.2-1)*100)))</f>
        <v>11.076151723005001</v>
      </c>
      <c r="AY130" s="96"/>
      <c r="AZ130" s="126"/>
      <c r="BA130"/>
      <c r="BB130"/>
      <c r="BC130"/>
      <c r="BD130"/>
      <c r="BE130"/>
      <c r="BF130"/>
      <c r="BG130" s="31"/>
      <c r="BH130" s="101"/>
      <c r="BI130" s="101"/>
      <c r="BJ130" s="101"/>
      <c r="BK130" s="101"/>
      <c r="BL130" s="101"/>
      <c r="BM130" s="101"/>
      <c r="BN130" s="24"/>
    </row>
    <row r="131" spans="1:66" s="438" customFormat="1" ht="12.75" customHeight="1">
      <c r="A131" s="28"/>
      <c r="B131" s="92"/>
      <c r="C131" s="111"/>
      <c r="D131" s="61"/>
      <c r="E131" s="111"/>
      <c r="F131" s="61"/>
      <c r="G131" s="111"/>
      <c r="H131" s="61"/>
      <c r="I131" s="111"/>
      <c r="J131" s="61"/>
      <c r="K131" s="111"/>
      <c r="L131" s="61"/>
      <c r="M131" s="111"/>
      <c r="N131" s="61"/>
      <c r="O131" s="111"/>
      <c r="P131" s="61"/>
      <c r="Q131" s="111"/>
      <c r="R131" s="61"/>
      <c r="S131" s="111"/>
      <c r="T131" s="61"/>
      <c r="U131" s="111"/>
      <c r="V131" s="61"/>
      <c r="W131" s="111"/>
      <c r="X131" s="61"/>
      <c r="Y131" s="111"/>
      <c r="Z131" s="61"/>
      <c r="AA131" s="102"/>
      <c r="AB131" s="180"/>
      <c r="AC131" s="111"/>
      <c r="AD131" s="111"/>
      <c r="AE131" s="61"/>
      <c r="AF131" s="111"/>
      <c r="AG131" s="61"/>
      <c r="AH131" s="133"/>
      <c r="AI131" s="61"/>
      <c r="AJ131" s="111"/>
      <c r="AK131" s="61"/>
      <c r="AL131" s="111"/>
      <c r="AM131" s="61"/>
      <c r="AN131" s="111"/>
      <c r="AO131" s="61"/>
      <c r="AP131" s="111"/>
      <c r="AQ131" s="61"/>
      <c r="AR131" s="111"/>
      <c r="AS131" s="61"/>
      <c r="AT131" s="111"/>
      <c r="AU131" s="61"/>
      <c r="AV131" s="111"/>
      <c r="AW131" s="61"/>
      <c r="AX131" s="63"/>
      <c r="AY131" s="123"/>
      <c r="AZ131" s="127"/>
      <c r="BA131"/>
      <c r="BB131"/>
      <c r="BC131"/>
      <c r="BD131"/>
      <c r="BE131"/>
      <c r="BF131"/>
      <c r="BG131" s="31"/>
      <c r="BH131" s="102"/>
      <c r="BI131" s="102"/>
      <c r="BJ131" s="102"/>
      <c r="BK131" s="102"/>
      <c r="BL131" s="102"/>
      <c r="BM131" s="102"/>
      <c r="BN131" s="24"/>
    </row>
    <row r="132" spans="1:66" s="439" customFormat="1" ht="12.75" customHeight="1">
      <c r="A132" s="28"/>
      <c r="B132" s="94" t="s">
        <v>41</v>
      </c>
      <c r="C132" s="84">
        <f>(C177*C189)-C127</f>
        <v>0</v>
      </c>
      <c r="D132" s="61"/>
      <c r="E132" s="84">
        <f>(E177*E189)-E127</f>
        <v>0</v>
      </c>
      <c r="F132" s="61"/>
      <c r="G132" s="84">
        <f>(G177*G189)-G127</f>
        <v>0</v>
      </c>
      <c r="H132" s="61"/>
      <c r="I132" s="84">
        <f>(I177*I189)-I127</f>
        <v>0</v>
      </c>
      <c r="J132" s="61"/>
      <c r="K132" s="84">
        <f>(K177*K189)-K127</f>
        <v>0</v>
      </c>
      <c r="L132" s="61" t="str">
        <f>IF(ISERROR(K132/C132),"NA",IF(OR(K132/C132&gt;2,K132/C132&lt;0.5),"NM",(K132/C132-1)*100))</f>
        <v>NA</v>
      </c>
      <c r="M132" s="84">
        <f>(M177*M189)-M127</f>
        <v>0</v>
      </c>
      <c r="N132" s="61" t="str">
        <f>IF(ISERROR(M132/E132),"NA",IF(OR(M132/E132&gt;2,M132/E132&lt;0.5),"NM",(M132/E132-1)*100))</f>
        <v>NA</v>
      </c>
      <c r="O132" s="84">
        <f>(O177*O189)-O127</f>
        <v>0</v>
      </c>
      <c r="P132" s="61" t="str">
        <f>IF(ISERROR(O132/G132),"NA",IF(OR(O132/G132&gt;2,O132/G132&lt;0.5),"NM",(O132/G132-1)*100))</f>
        <v>NA</v>
      </c>
      <c r="Q132" s="84">
        <f>(Q177*Q189)-Q127</f>
        <v>0</v>
      </c>
      <c r="R132" s="61" t="str">
        <f>IF(ISERROR(Q132/I132),"NA",IF(OR(Q132/I132&gt;2,Q132/I132&lt;0.5),"NM",(Q132/I132-1)*100))</f>
        <v>NA</v>
      </c>
      <c r="S132" s="84">
        <f>(S177*S189)-S127</f>
        <v>0</v>
      </c>
      <c r="T132" s="61" t="str">
        <f>IF(ISERROR(S132/K132),"NA",IF(OR(S132/K132&gt;2,S132/K132&lt;0.5),"NM",(S132/K132-1)*100))</f>
        <v>NA</v>
      </c>
      <c r="U132" s="84">
        <f>(U177*U189)-U127</f>
        <v>0</v>
      </c>
      <c r="V132" s="61" t="str">
        <f>IF(ISERROR(U132/M132),"NA",IF(OR(U132/M132&gt;2,U132/M132&lt;0.5),"NM",(U132/M132-1)*100))</f>
        <v>NA</v>
      </c>
      <c r="W132" s="84">
        <f>(W177*W189)-W127</f>
        <v>0</v>
      </c>
      <c r="X132" s="61" t="str">
        <f>IF(ISERROR(W132/O132),"NA",IF(OR(W132/O132&gt;2,W132/O132&lt;0.5),"NM",(W132/O132-1)*100))</f>
        <v>NA</v>
      </c>
      <c r="Y132" s="84">
        <f>(Y177*Y189)-Y127</f>
        <v>0</v>
      </c>
      <c r="Z132" s="61" t="str">
        <f>IF(ISERROR(Y132/Q132),"NA",IF(OR(Y132/Q132&gt;2,Y132/Q132&lt;0.5),"NM",(Y132/Q132-1)*100))</f>
        <v>NA</v>
      </c>
      <c r="AA132" s="28"/>
      <c r="AB132" s="181"/>
      <c r="AC132" s="84"/>
      <c r="AD132" s="84">
        <f>(AD177*AD189)-AD127</f>
        <v>0</v>
      </c>
      <c r="AE132" s="84"/>
      <c r="AF132" s="84">
        <f>(AF177*AF189)-AF127</f>
        <v>0</v>
      </c>
      <c r="AG132" s="61" t="str">
        <f>IF(ISERROR(AF132/AD132),"NA",IF(OR(AF132/AD132&gt;2,AF132/AD132&lt;0.5),"NM",(AF132/AD132-1)*100))</f>
        <v>NA</v>
      </c>
      <c r="AH132" s="84">
        <f>(AH177*AH189)-AH127</f>
        <v>0</v>
      </c>
      <c r="AI132" s="61" t="str">
        <f>IF(ISERROR(AH132/AF132),"NA",IF(OR(AH132/AF132&gt;2,AH132/AF132&lt;0.5),"NM",(AH132/AF132-1)*100))</f>
        <v>NA</v>
      </c>
      <c r="AJ132" s="84">
        <f>(AJ177*AJ189)-AJ127</f>
        <v>0</v>
      </c>
      <c r="AK132" s="61" t="str">
        <f>IF(ISERROR(AJ132/AH132),"NA",IF(OR(AJ132/AH132&gt;2,AJ132/AH132&lt;0.5),"NM",(AJ132/AH132-1)*100))</f>
        <v>NA</v>
      </c>
      <c r="AL132" s="84">
        <f>(AL177*AL189)-AL127</f>
        <v>0</v>
      </c>
      <c r="AM132" s="61" t="str">
        <f>IF(ISERROR(AL132/AJ132),"NA",IF(OR(AL132/AJ132&gt;2,AL132/AJ132&lt;0.5),"NM",(AL132/AJ132-1)*100))</f>
        <v>NA</v>
      </c>
      <c r="AN132" s="84">
        <f>(AN177*AN189)-AN127</f>
        <v>0</v>
      </c>
      <c r="AO132" s="61" t="str">
        <f>IF(ISERROR(AN132/AL132),"NA",IF(OR(AN132/AL132&gt;2,AN132/AL132&lt;0.5),"NM",(AN132/AL132-1)*100))</f>
        <v>NA</v>
      </c>
      <c r="AP132" s="84">
        <f>(AP177*AP189)-AP127</f>
        <v>0</v>
      </c>
      <c r="AQ132" s="61" t="str">
        <f>IF(ISERROR(AP132/AN132),"NA",IF(OR(AP132/AN132&gt;2,AP132/AN132&lt;0.5),"NM",(AP132/AN132-1)*100))</f>
        <v>NA</v>
      </c>
      <c r="AR132" s="84">
        <f>(AR177*AR189)-AR127</f>
        <v>0</v>
      </c>
      <c r="AS132" s="61" t="str">
        <f>IF(ISERROR(AR132/AP132),"NA",IF(OR(AR132/AP132&gt;2,AR132/AP132&lt;0.5),"NM",(AR132/AP132-1)*100))</f>
        <v>NA</v>
      </c>
      <c r="AT132" s="84">
        <f>(AT177*AT189)-AT127</f>
        <v>0</v>
      </c>
      <c r="AU132" s="61" t="str">
        <f>IF(ISERROR(AT132/AR132),"NA",IF(OR(AT132/AR132&gt;2,AT132/AR132&lt;0.5),"NM",(AT132/AR132-1)*100))</f>
        <v>NA</v>
      </c>
      <c r="AV132" s="84">
        <f>(AV177*AV189)-AV127</f>
        <v>0</v>
      </c>
      <c r="AW132" s="61" t="str">
        <f>IF(ISERROR(AV132/AT132),"NA",IF(OR(AV132/AT132&gt;2,AV132/AT132&lt;0.5),"NM",(AV132/AT132-1)*100))</f>
        <v>NA</v>
      </c>
      <c r="AX132" s="63"/>
      <c r="AY132" s="123"/>
      <c r="AZ132" s="127"/>
      <c r="BA132"/>
      <c r="BB132"/>
      <c r="BC132"/>
      <c r="BD132"/>
      <c r="BE132"/>
      <c r="BF132"/>
      <c r="BG132" s="24"/>
      <c r="BH132" s="28"/>
      <c r="BI132" s="28"/>
      <c r="BJ132" s="28"/>
      <c r="BK132" s="28"/>
      <c r="BL132" s="28"/>
      <c r="BM132" s="28"/>
      <c r="BN132" s="24"/>
    </row>
    <row r="133" spans="1:66" s="439" customFormat="1" ht="12.75" customHeight="1">
      <c r="A133" s="28"/>
      <c r="B133" s="94" t="s">
        <v>42</v>
      </c>
      <c r="C133" s="114">
        <f>C132+C129</f>
        <v>138</v>
      </c>
      <c r="D133" s="61"/>
      <c r="E133" s="114">
        <f>E132+E129</f>
        <v>167</v>
      </c>
      <c r="F133" s="61"/>
      <c r="G133" s="114">
        <f>G132+G129</f>
        <v>275.10000000000002</v>
      </c>
      <c r="H133" s="61"/>
      <c r="I133" s="114">
        <f>I132+I129</f>
        <v>139</v>
      </c>
      <c r="J133" s="61"/>
      <c r="K133" s="114">
        <f>K132+K129</f>
        <v>223</v>
      </c>
      <c r="L133" s="61">
        <f>IF(ISERROR(K133/C133),"NA",IF(OR(K133/C133&gt;2,K133/C133&lt;0.5),"NM",(K133/C133-1)*100))</f>
        <v>61.594202898550733</v>
      </c>
      <c r="M133" s="114">
        <f>M132+M129</f>
        <v>231</v>
      </c>
      <c r="N133" s="61">
        <f>IF(ISERROR(M133/E133),"NA",IF(OR(M133/E133&gt;2,M133/E133&lt;0.5),"NM",(M133/E133-1)*100))</f>
        <v>38.323353293413163</v>
      </c>
      <c r="O133" s="114">
        <f>O132+O129</f>
        <v>254</v>
      </c>
      <c r="P133" s="61">
        <f>IF(ISERROR(O133/G133),"NA",IF(OR(O133/G133&gt;2,O133/G133&lt;0.5),"NM",(O133/G133-1)*100))</f>
        <v>-7.6699382042893616</v>
      </c>
      <c r="Q133" s="114">
        <f>Q132+Q129</f>
        <v>262</v>
      </c>
      <c r="R133" s="61">
        <f>IF(ISERROR(Q133/I133),"NA",IF(OR(Q133/I133&gt;2,Q133/I133&lt;0.5),"NM",(Q133/I133-1)*100))</f>
        <v>88.489208633093526</v>
      </c>
      <c r="S133" s="114">
        <f>S132+S129</f>
        <v>244.45420656558761</v>
      </c>
      <c r="T133" s="61">
        <f>IF(ISERROR(S133/K133),"NA",IF(OR(S133/K133&gt;2,S133/K133&lt;0.5),"NM",(S133/K133-1)*100))</f>
        <v>9.6207204329989295</v>
      </c>
      <c r="U133" s="114">
        <f>U132+U129</f>
        <v>251.08623406255853</v>
      </c>
      <c r="V133" s="61">
        <f>IF(ISERROR(U133/M133),"NA",IF(OR(U133/M133&gt;2,U133/M133&lt;0.5),"NM",(U133/M133-1)*100))</f>
        <v>8.6953394210210089</v>
      </c>
      <c r="W133" s="114">
        <f>W132+W129</f>
        <v>271.92995370013921</v>
      </c>
      <c r="X133" s="61">
        <f>IF(ISERROR(W133/O133),"NA",IF(OR(W133/O133&gt;2,W133/O133&lt;0.5),"NM",(W133/O133-1)*100))</f>
        <v>7.0590368898185929</v>
      </c>
      <c r="Y133" s="114">
        <f>Y132+Y129</f>
        <v>276.63198422844926</v>
      </c>
      <c r="Z133" s="61">
        <f>IF(ISERROR(Y133/Q133),"NA",IF(OR(Y133/Q133&gt;2,Y133/Q133&lt;0.5),"NM",(Y133/Q133-1)*100))</f>
        <v>5.5847268047516163</v>
      </c>
      <c r="AA133" s="108"/>
      <c r="AB133" s="180"/>
      <c r="AC133" s="114"/>
      <c r="AD133" s="114">
        <f>AD132+AD129</f>
        <v>461.6</v>
      </c>
      <c r="AE133" s="114"/>
      <c r="AF133" s="114">
        <f>AF132+AF129</f>
        <v>724.4</v>
      </c>
      <c r="AG133" s="61">
        <f>IF(ISERROR(AF133/AD133),"NA",IF(OR(AF133/AD133&gt;2,AF133/AD133&lt;0.5),"NM",(AF133/AD133-1)*100))</f>
        <v>56.9324090121317</v>
      </c>
      <c r="AH133" s="114">
        <f>AH132+AH129</f>
        <v>710</v>
      </c>
      <c r="AI133" s="61">
        <f>IF(ISERROR(AH133/AF133),"NA",IF(OR(AH133/AF133&gt;2,AH133/AF133&lt;0.5),"NM",(AH133/AF133-1)*100))</f>
        <v>-1.9878520154610668</v>
      </c>
      <c r="AJ133" s="114">
        <f>AJ132+AJ129</f>
        <v>719.09999999999991</v>
      </c>
      <c r="AK133" s="61">
        <f>IF(ISERROR(AJ133/AH133),"NA",IF(OR(AJ133/AH133&gt;2,AJ133/AH133&lt;0.5),"NM",(AJ133/AH133-1)*100))</f>
        <v>1.2816901408450487</v>
      </c>
      <c r="AL133" s="114">
        <f>AL132+AL129</f>
        <v>970</v>
      </c>
      <c r="AM133" s="61">
        <f>IF(ISERROR(AL133/AJ133),"NA",IF(OR(AL133/AJ133&gt;2,AL133/AJ133&lt;0.5),"NM",(AL133/AJ133-1)*100))</f>
        <v>34.890835766930905</v>
      </c>
      <c r="AN133" s="114">
        <f>AN132+AN129</f>
        <v>1044.1023785567345</v>
      </c>
      <c r="AO133" s="61">
        <f>IF(ISERROR(AN133/AL133),"NA",IF(OR(AN133/AL133&gt;2,AN133/AL133&lt;0.5),"NM",(AN133/AL133-1)*100))</f>
        <v>7.6394204697664447</v>
      </c>
      <c r="AP133" s="114">
        <f>AP132+AP129</f>
        <v>1171.5128749251678</v>
      </c>
      <c r="AQ133" s="61">
        <f>IF(ISERROR(AP133/AN133),"NA",IF(OR(AP133/AN133&gt;2,AP133/AN133&lt;0.5),"NM",(AP133/AN133-1)*100))</f>
        <v>12.202873873781716</v>
      </c>
      <c r="AR133" s="114">
        <f>AR132+AR129</f>
        <v>1294.2369317741088</v>
      </c>
      <c r="AS133" s="61">
        <f>IF(ISERROR(AR133/AP133),"NA",IF(OR(AR133/AP133&gt;2,AR133/AP133&lt;0.5),"NM",(AR133/AP133-1)*100))</f>
        <v>10.475689979658153</v>
      </c>
      <c r="AT133" s="114">
        <f>AT132+AT129</f>
        <v>1365.4509955522133</v>
      </c>
      <c r="AU133" s="61">
        <f>IF(ISERROR(AT133/AR133),"NA",IF(OR(AT133/AR133&gt;2,AT133/AR133&lt;0.5),"NM",(AT133/AR133-1)*100))</f>
        <v>5.5023977472568264</v>
      </c>
      <c r="AV133" s="114">
        <f>AV132+AV129</f>
        <v>1448.6578574431717</v>
      </c>
      <c r="AW133" s="61">
        <f>IF(ISERROR(AV133/AT133),"NA",IF(OR(AV133/AT133&gt;2,AV133/AT133&lt;0.5),"NM",(AV133/AT133-1)*100))</f>
        <v>6.0937274323278112</v>
      </c>
      <c r="AX133" s="63">
        <f>IF(ISERROR(((AV133/AL133)^0.2-1)*100),"NA",IF((((AV133/AL133)^0.2-1)*100)&gt;100,"NM",IF((((AV133/AL133)^0.2-1)*100)&lt;-50,"NM",((AV133/AL133)^0.2-1)*100)))</f>
        <v>8.3524706192931184</v>
      </c>
      <c r="AY133" s="58"/>
      <c r="AZ133" s="134"/>
      <c r="BA133"/>
      <c r="BB133"/>
      <c r="BC133"/>
      <c r="BD133"/>
      <c r="BE133"/>
      <c r="BF133"/>
      <c r="BG133" s="31"/>
      <c r="BH133" s="28"/>
      <c r="BI133" s="28"/>
      <c r="BJ133" s="28"/>
      <c r="BK133" s="28"/>
      <c r="BL133" s="28"/>
      <c r="BM133" s="28"/>
      <c r="BN133" s="24"/>
    </row>
    <row r="134" spans="1:66" s="439" customFormat="1" ht="12.75" customHeight="1">
      <c r="A134" s="28"/>
      <c r="B134" s="94"/>
      <c r="C134" s="119"/>
      <c r="D134" s="67"/>
      <c r="E134" s="93"/>
      <c r="F134" s="67"/>
      <c r="G134" s="93"/>
      <c r="H134" s="67"/>
      <c r="I134" s="93"/>
      <c r="J134" s="67"/>
      <c r="K134" s="93"/>
      <c r="L134" s="67"/>
      <c r="M134" s="93"/>
      <c r="N134" s="67"/>
      <c r="O134" s="93"/>
      <c r="P134" s="67"/>
      <c r="Q134" s="93"/>
      <c r="R134" s="67"/>
      <c r="S134" s="93"/>
      <c r="T134" s="67"/>
      <c r="U134" s="93"/>
      <c r="V134" s="67"/>
      <c r="W134" s="93"/>
      <c r="X134" s="67"/>
      <c r="Y134" s="93"/>
      <c r="Z134" s="67"/>
      <c r="AA134" s="108"/>
      <c r="AB134" s="180"/>
      <c r="AC134" s="93"/>
      <c r="AD134" s="93"/>
      <c r="AE134" s="61"/>
      <c r="AF134" s="93"/>
      <c r="AG134" s="61"/>
      <c r="AH134" s="93"/>
      <c r="AI134" s="61"/>
      <c r="AJ134" s="93"/>
      <c r="AK134" s="61"/>
      <c r="AL134" s="93"/>
      <c r="AM134" s="61"/>
      <c r="AN134" s="93"/>
      <c r="AO134" s="61"/>
      <c r="AP134" s="93"/>
      <c r="AQ134" s="61"/>
      <c r="AR134" s="93"/>
      <c r="AS134" s="61"/>
      <c r="AT134" s="93"/>
      <c r="AU134" s="61"/>
      <c r="AV134" s="93"/>
      <c r="AW134" s="61"/>
      <c r="AX134" s="61"/>
      <c r="AY134" s="58"/>
      <c r="AZ134" s="106"/>
      <c r="BA134"/>
      <c r="BB134"/>
      <c r="BC134"/>
      <c r="BD134"/>
      <c r="BE134"/>
      <c r="BF134"/>
      <c r="BG134" s="31"/>
      <c r="BH134" s="28"/>
      <c r="BI134" s="28"/>
      <c r="BJ134" s="28"/>
      <c r="BK134" s="28"/>
      <c r="BL134" s="28"/>
      <c r="BM134" s="28"/>
      <c r="BN134" s="24"/>
    </row>
    <row r="135" spans="1:66" s="439" customFormat="1" ht="12.75" customHeight="1">
      <c r="A135" s="28"/>
      <c r="B135" s="92" t="s">
        <v>43</v>
      </c>
      <c r="C135" s="93"/>
      <c r="D135" s="61"/>
      <c r="E135" s="93"/>
      <c r="F135" s="61"/>
      <c r="G135" s="93"/>
      <c r="H135" s="61"/>
      <c r="I135" s="93"/>
      <c r="J135" s="61"/>
      <c r="K135" s="93"/>
      <c r="L135" s="61"/>
      <c r="M135" s="93"/>
      <c r="N135" s="61"/>
      <c r="O135" s="93"/>
      <c r="P135" s="61"/>
      <c r="Q135" s="93"/>
      <c r="R135" s="61"/>
      <c r="S135" s="93"/>
      <c r="T135" s="61"/>
      <c r="U135" s="93"/>
      <c r="V135" s="61"/>
      <c r="W135" s="93"/>
      <c r="X135" s="61"/>
      <c r="Y135" s="93"/>
      <c r="Z135" s="61"/>
      <c r="AA135" s="108"/>
      <c r="AB135" s="180"/>
      <c r="AC135" s="93"/>
      <c r="AD135" s="93"/>
      <c r="AE135" s="61"/>
      <c r="AF135" s="93"/>
      <c r="AG135" s="61"/>
      <c r="AH135" s="93"/>
      <c r="AI135" s="61"/>
      <c r="AJ135" s="93"/>
      <c r="AK135" s="61"/>
      <c r="AL135" s="93"/>
      <c r="AM135" s="61"/>
      <c r="AN135" s="93"/>
      <c r="AO135" s="61"/>
      <c r="AP135" s="93"/>
      <c r="AQ135" s="61"/>
      <c r="AR135" s="93"/>
      <c r="AS135" s="61"/>
      <c r="AT135" s="93"/>
      <c r="AU135" s="61"/>
      <c r="AV135" s="93"/>
      <c r="AW135" s="61"/>
      <c r="AX135" s="61"/>
      <c r="AY135" s="58"/>
      <c r="AZ135" s="106"/>
      <c r="BA135"/>
      <c r="BB135"/>
      <c r="BC135"/>
      <c r="BD135"/>
      <c r="BE135"/>
      <c r="BF135"/>
      <c r="BG135" s="31"/>
      <c r="BH135" s="28"/>
      <c r="BI135" s="28"/>
      <c r="BJ135" s="28"/>
      <c r="BK135" s="28"/>
      <c r="BL135" s="28"/>
      <c r="BM135" s="28"/>
      <c r="BN135" s="24"/>
    </row>
    <row r="136" spans="1:66" s="440" customFormat="1" ht="12.75" customHeight="1">
      <c r="A136" s="28" t="s">
        <v>44</v>
      </c>
      <c r="B136" s="94" t="s">
        <v>45</v>
      </c>
      <c r="C136" s="199">
        <v>-19</v>
      </c>
      <c r="D136" s="199"/>
      <c r="E136" s="199">
        <v>61</v>
      </c>
      <c r="F136" s="61"/>
      <c r="G136" s="199">
        <v>58</v>
      </c>
      <c r="H136" s="61"/>
      <c r="I136" s="199">
        <v>-51</v>
      </c>
      <c r="J136" s="61"/>
      <c r="K136" s="199">
        <v>57</v>
      </c>
      <c r="L136" s="61" t="str">
        <f>IF(ISERROR(K136/C136),"NA",IF(OR(K136/C136&gt;2,K136/C136&lt;0.5),"NM",(K136/C136-1)*100))</f>
        <v>NM</v>
      </c>
      <c r="M136" s="199">
        <v>58</v>
      </c>
      <c r="N136" s="61">
        <f>IF(ISERROR(M136/E136),"NA",IF(OR(M136/E136&gt;2,M136/E136&lt;0.5),"NM",(M136/E136-1)*100))</f>
        <v>-4.9180327868852514</v>
      </c>
      <c r="O136" s="199">
        <v>25</v>
      </c>
      <c r="P136" s="61" t="str">
        <f>IF(ISERROR(O136/G136),"NA",IF(OR(O136/G136&gt;2,O136/G136&lt;0.5),"NM",(O136/G136-1)*100))</f>
        <v>NM</v>
      </c>
      <c r="Q136" s="199">
        <v>59</v>
      </c>
      <c r="R136" s="61" t="str">
        <f>IF(ISERROR(Q136/I136),"NA",IF(OR(Q136/I136&gt;2,Q136/I136&lt;0.5),"NM",(Q136/I136-1)*100))</f>
        <v>NM</v>
      </c>
      <c r="S136" s="62">
        <f>S142*S35/400</f>
        <v>-8.3010128999999999</v>
      </c>
      <c r="T136" s="61" t="str">
        <f>IF(ISERROR(S136/K136),"NA",IF(OR(S136/K136&gt;2,S136/K136&lt;0.5),"NM",(S136/K136-1)*100))</f>
        <v>NM</v>
      </c>
      <c r="U136" s="62">
        <f>U142*U35/400</f>
        <v>-8.51016289845</v>
      </c>
      <c r="V136" s="61" t="str">
        <f>IF(ISERROR(U136/M136),"NA",IF(OR(U136/M136&gt;2,U136/M136&lt;0.5),"NM",(U136/M136-1)*100))</f>
        <v>NM</v>
      </c>
      <c r="W136" s="62">
        <f>W142*W35/400</f>
        <v>-10.620234471930225</v>
      </c>
      <c r="X136" s="61" t="str">
        <f>IF(ISERROR(W136/O136),"NA",IF(OR(W136/O136&gt;2,W136/O136&lt;0.5),"NM",(W136/O136-1)*100))</f>
        <v>NM</v>
      </c>
      <c r="Y136" s="62">
        <f>Y142*Y35/400</f>
        <v>-10.789159649727585</v>
      </c>
      <c r="Z136" s="61" t="str">
        <f>IF(ISERROR(Y136/Q136),"NA",IF(OR(Y136/Q136&gt;2,Y136/Q136&lt;0.5),"NM",(Y136/Q136-1)*100))</f>
        <v>NM</v>
      </c>
      <c r="AA136" s="127"/>
      <c r="AB136" s="180"/>
      <c r="AC136" s="120"/>
      <c r="AD136" s="199">
        <v>-1</v>
      </c>
      <c r="AE136" s="199" t="str">
        <f>IF(ISERROR(AD136/#REF!),"NA",IF(OR(AD136/#REF!&gt;2,AD136/#REF!&lt;0.5),"NM",(AD136/#REF!-1)*100))</f>
        <v>NA</v>
      </c>
      <c r="AF136" s="199">
        <v>151</v>
      </c>
      <c r="AG136" s="25" t="str">
        <f t="shared" ref="AG136:AG143" si="39">IF(ISERROR(AF136/AD136),"NA",IF(OR(AF136/AD136&gt;2,AF136/AD136&lt;0.5),"NM",(AF136/AD136-1)*100))</f>
        <v>NM</v>
      </c>
      <c r="AH136" s="199">
        <v>-56</v>
      </c>
      <c r="AI136" s="25" t="str">
        <f t="shared" ref="AI136:AI143" si="40">IF(ISERROR(AH136/AF136),"NA",IF(OR(AH136/AF136&gt;2,AH136/AF136&lt;0.5),"NM",(AH136/AF136-1)*100))</f>
        <v>NM</v>
      </c>
      <c r="AJ136" s="84">
        <f>E136+G136+I136+C136</f>
        <v>49</v>
      </c>
      <c r="AK136" s="25" t="str">
        <f t="shared" ref="AK136:AK143" si="41">IF(ISERROR(AJ136/AH136),"NA",IF(OR(AJ136/AH136&gt;2,AJ136/AH136&lt;0.5),"NM",(AJ136/AH136-1)*100))</f>
        <v>NM</v>
      </c>
      <c r="AL136" s="84">
        <f>M136+O136+Q136+K136</f>
        <v>199</v>
      </c>
      <c r="AM136" s="25" t="str">
        <f t="shared" ref="AM136:AM143" si="42">IF(ISERROR(AL136/AJ136),"NA",IF(OR(AL136/AJ136&gt;2,AL136/AJ136&lt;0.5),"NM",(AL136/AJ136-1)*100))</f>
        <v>NM</v>
      </c>
      <c r="AN136" s="84">
        <f>U136+W136+Y136+S136</f>
        <v>-38.220569920107806</v>
      </c>
      <c r="AO136" s="25" t="str">
        <f t="shared" ref="AO136:AS143" si="43">IF(ISERROR(AN136/AL136),"NA",IF(OR(AN136/AL136&gt;2,AN136/AL136&lt;0.5),"NM",(AN136/AL136-1)*100))</f>
        <v>NM</v>
      </c>
      <c r="AP136" s="62">
        <f>AP142*AP35/100</f>
        <v>-40.44495940712568</v>
      </c>
      <c r="AQ136" s="25">
        <f t="shared" si="43"/>
        <v>5.8198752443187063</v>
      </c>
      <c r="AR136" s="62">
        <f>AR142*AR35/100</f>
        <v>-42.89411289019521</v>
      </c>
      <c r="AS136" s="25">
        <f t="shared" si="43"/>
        <v>6.0555221688219474</v>
      </c>
      <c r="AT136" s="62">
        <f>AT142*AT35/100</f>
        <v>-45.59379390644844</v>
      </c>
      <c r="AU136" s="25">
        <f t="shared" ref="AU136:AU143" si="44">IF(ISERROR(AT136/AR136),"NA",IF(OR(AT136/AR136&gt;2,AT136/AR136&lt;0.5),"NM",(AT136/AR136-1)*100))</f>
        <v>6.293826435259664</v>
      </c>
      <c r="AV136" s="62">
        <f>AV142*AV35/100</f>
        <v>-48.572645095193103</v>
      </c>
      <c r="AW136" s="25">
        <f t="shared" ref="AW136:AW143" si="45">IF(ISERROR(AV136/AT136),"NA",IF(OR(AV136/AT136&gt;2,AV136/AT136&lt;0.5),"NM",(AV136/AT136-1)*100))</f>
        <v>6.5334575904273606</v>
      </c>
      <c r="AX136" s="63" t="str">
        <f>IF(ISERROR(((AV136/AL136)^0.2-1)*100),"NA",IF((((AV136/AL136)^0.2-1)*100)&gt;100,"NM",IF((((AV136/AL136)^0.2-1)*100)&lt;-50,"NM",((AV136/AL136)^0.2-1)*100)))</f>
        <v>NM</v>
      </c>
      <c r="AY136" s="58"/>
      <c r="AZ136" s="106"/>
      <c r="BA136"/>
      <c r="BB136"/>
      <c r="BC136"/>
      <c r="BD136"/>
      <c r="BE136"/>
      <c r="BF136"/>
      <c r="BG136" s="31"/>
      <c r="BH136" s="127"/>
      <c r="BI136" s="127"/>
      <c r="BJ136" s="127"/>
      <c r="BK136" s="127"/>
      <c r="BL136" s="127"/>
      <c r="BM136" s="127"/>
      <c r="BN136" s="24"/>
    </row>
    <row r="137" spans="1:66" s="440" customFormat="1" ht="12.75" customHeight="1">
      <c r="A137" s="127"/>
      <c r="B137" s="94" t="s">
        <v>174</v>
      </c>
      <c r="C137" s="199">
        <v>-69</v>
      </c>
      <c r="D137" s="199"/>
      <c r="E137" s="199">
        <v>-18</v>
      </c>
      <c r="F137" s="61"/>
      <c r="G137" s="199">
        <v>-1</v>
      </c>
      <c r="H137" s="199"/>
      <c r="I137" s="199">
        <v>183</v>
      </c>
      <c r="J137" s="199"/>
      <c r="K137" s="199">
        <v>94</v>
      </c>
      <c r="L137" s="199"/>
      <c r="M137" s="199">
        <v>15</v>
      </c>
      <c r="N137" s="199"/>
      <c r="O137" s="199">
        <v>46</v>
      </c>
      <c r="P137" s="199"/>
      <c r="Q137" s="199">
        <v>111</v>
      </c>
      <c r="R137" s="199"/>
      <c r="S137" s="199"/>
      <c r="T137" s="199"/>
      <c r="U137" s="199"/>
      <c r="V137" s="199"/>
      <c r="W137" s="199"/>
      <c r="X137" s="199"/>
      <c r="Y137" s="199"/>
      <c r="Z137" s="199"/>
      <c r="AA137" s="127"/>
      <c r="AB137" s="180"/>
      <c r="AC137" s="120"/>
      <c r="AD137" s="199">
        <v>144</v>
      </c>
      <c r="AE137" s="199" t="str">
        <f>IF(ISERROR(AD137/#REF!),"NA",IF(OR(AD137/#REF!&gt;2,AD137/#REF!&lt;0.5),"NM",(AD137/#REF!-1)*100))</f>
        <v>NA</v>
      </c>
      <c r="AF137" s="199">
        <v>-30</v>
      </c>
      <c r="AG137" s="25" t="str">
        <f t="shared" si="39"/>
        <v>NM</v>
      </c>
      <c r="AH137" s="199">
        <v>-13</v>
      </c>
      <c r="AI137" s="25" t="str">
        <f t="shared" si="40"/>
        <v>NM</v>
      </c>
      <c r="AJ137" s="84">
        <f>E137+G137+I137+C137</f>
        <v>95</v>
      </c>
      <c r="AK137" s="25" t="str">
        <f t="shared" si="41"/>
        <v>NM</v>
      </c>
      <c r="AL137" s="84">
        <f>M137+O137+Q137+K137</f>
        <v>266</v>
      </c>
      <c r="AM137" s="25" t="str">
        <f t="shared" si="42"/>
        <v>NM</v>
      </c>
      <c r="AN137" s="84">
        <f>U137+W137+Y137+S137</f>
        <v>0</v>
      </c>
      <c r="AO137" s="25" t="str">
        <f t="shared" si="43"/>
        <v>NM</v>
      </c>
      <c r="AP137" s="82">
        <v>0</v>
      </c>
      <c r="AQ137" s="25" t="str">
        <f t="shared" si="43"/>
        <v>NA</v>
      </c>
      <c r="AR137" s="82">
        <v>0</v>
      </c>
      <c r="AS137" s="25" t="str">
        <f t="shared" si="43"/>
        <v>NA</v>
      </c>
      <c r="AT137" s="82">
        <v>0</v>
      </c>
      <c r="AU137" s="25" t="str">
        <f t="shared" si="44"/>
        <v>NA</v>
      </c>
      <c r="AV137" s="82">
        <v>0</v>
      </c>
      <c r="AW137" s="25" t="str">
        <f t="shared" si="45"/>
        <v>NA</v>
      </c>
      <c r="AX137" s="63" t="str">
        <f>IF(ISERROR(((AV137/AL137)^0.2-1)*100),"NA",IF((((AV137/AL137)^0.2-1)*100)&gt;100,"NM",IF((((AV137/AL137)^0.2-1)*100)&lt;-50,"NM",((AV137/AL137)^0.2-1)*100)))</f>
        <v>NM</v>
      </c>
      <c r="AY137" s="58"/>
      <c r="AZ137" s="106"/>
      <c r="BA137"/>
      <c r="BB137"/>
      <c r="BC137"/>
      <c r="BD137"/>
      <c r="BE137"/>
      <c r="BF137"/>
      <c r="BG137" s="31"/>
      <c r="BH137" s="127"/>
      <c r="BI137" s="127"/>
      <c r="BJ137" s="127"/>
      <c r="BK137" s="127"/>
      <c r="BL137" s="127"/>
      <c r="BM137" s="127"/>
      <c r="BN137" s="24"/>
    </row>
    <row r="138" spans="1:66" s="440" customFormat="1" ht="12.75" customHeight="1">
      <c r="A138" s="127"/>
      <c r="B138" s="94" t="s">
        <v>175</v>
      </c>
      <c r="C138" s="199">
        <v>-1</v>
      </c>
      <c r="D138" s="199"/>
      <c r="E138" s="199">
        <v>-5</v>
      </c>
      <c r="F138" s="61"/>
      <c r="G138" s="199">
        <v>-2</v>
      </c>
      <c r="H138" s="61"/>
      <c r="I138" s="199">
        <v>-14</v>
      </c>
      <c r="J138" s="61"/>
      <c r="K138" s="199">
        <v>-9</v>
      </c>
      <c r="L138" s="61" t="str">
        <f>IF(ISERROR(K138/C138),"NA",IF(OR(K138/C138&gt;2,K138/C138&lt;0.5),"NM",(K138/C138-1)*100))</f>
        <v>NM</v>
      </c>
      <c r="M138" s="199">
        <v>-11</v>
      </c>
      <c r="N138" s="61" t="str">
        <f>IF(ISERROR(M138/E138),"NA",IF(OR(M138/E138&gt;2,M138/E138&lt;0.5),"NM",(M138/E138-1)*100))</f>
        <v>NM</v>
      </c>
      <c r="O138" s="199">
        <v>-14</v>
      </c>
      <c r="P138" s="61" t="str">
        <f>IF(ISERROR(O138/G138),"NA",IF(OR(O138/G138&gt;2,O138/G138&lt;0.5),"NM",(O138/G138-1)*100))</f>
        <v>NM</v>
      </c>
      <c r="Q138" s="199">
        <v>-34</v>
      </c>
      <c r="R138" s="61" t="str">
        <f>IF(ISERROR(Q138/I138),"NA",IF(OR(Q138/I138&gt;2,Q138/I138&lt;0.5),"NM",(Q138/I138-1)*100))</f>
        <v>NM</v>
      </c>
      <c r="S138" s="83">
        <v>0</v>
      </c>
      <c r="T138" s="61" t="str">
        <f>IF(ISERROR(S138/K138),"NA",IF(OR(S138/K138&gt;2,S138/K138&lt;0.5),"NM",(S138/K138-1)*100))</f>
        <v>NM</v>
      </c>
      <c r="U138" s="83">
        <v>0</v>
      </c>
      <c r="V138" s="61" t="str">
        <f>IF(ISERROR(U138/M138),"NA",IF(OR(U138/M138&gt;2,U138/M138&lt;0.5),"NM",(U138/M138-1)*100))</f>
        <v>NM</v>
      </c>
      <c r="W138" s="83">
        <v>0</v>
      </c>
      <c r="X138" s="61" t="str">
        <f>IF(ISERROR(W138/O138),"NA",IF(OR(W138/O138&gt;2,W138/O138&lt;0.5),"NM",(W138/O138-1)*100))</f>
        <v>NM</v>
      </c>
      <c r="Y138" s="83">
        <v>0</v>
      </c>
      <c r="Z138" s="61" t="str">
        <f>IF(ISERROR(Y138/Q138),"NA",IF(OR(Y138/Q138&gt;2,Y138/Q138&lt;0.5),"NM",(Y138/Q138-1)*100))</f>
        <v>NM</v>
      </c>
      <c r="AA138" s="127"/>
      <c r="AB138" s="180"/>
      <c r="AC138" s="91"/>
      <c r="AD138" s="199">
        <f>184-221.6</f>
        <v>-37.599999999999994</v>
      </c>
      <c r="AE138" s="199" t="str">
        <f>IF(ISERROR(AD138/#REF!),"NA",IF(OR(AD138/#REF!&gt;2,AD138/#REF!&lt;0.5),"NM",(AD138/#REF!-1)*100))</f>
        <v>NA</v>
      </c>
      <c r="AF138" s="199">
        <f>-279+5</f>
        <v>-274</v>
      </c>
      <c r="AG138" s="25" t="str">
        <f t="shared" si="39"/>
        <v>NM</v>
      </c>
      <c r="AH138" s="199">
        <f>-58-14</f>
        <v>-72</v>
      </c>
      <c r="AI138" s="25" t="str">
        <f t="shared" si="40"/>
        <v>NM</v>
      </c>
      <c r="AJ138" s="84">
        <f>E138+G138+I138+C138</f>
        <v>-22</v>
      </c>
      <c r="AK138" s="25" t="str">
        <f t="shared" si="41"/>
        <v>NM</v>
      </c>
      <c r="AL138" s="84">
        <f>M138+O138+Q138+K138</f>
        <v>-68</v>
      </c>
      <c r="AM138" s="25" t="str">
        <f t="shared" si="42"/>
        <v>NM</v>
      </c>
      <c r="AN138" s="84">
        <f>U138+W138+Y138+S138</f>
        <v>0</v>
      </c>
      <c r="AO138" s="25" t="str">
        <f t="shared" si="43"/>
        <v>NM</v>
      </c>
      <c r="AP138" s="82">
        <v>0</v>
      </c>
      <c r="AQ138" s="25" t="str">
        <f t="shared" si="43"/>
        <v>NA</v>
      </c>
      <c r="AR138" s="82">
        <v>0</v>
      </c>
      <c r="AS138" s="25" t="str">
        <f t="shared" si="43"/>
        <v>NA</v>
      </c>
      <c r="AT138" s="82">
        <v>0</v>
      </c>
      <c r="AU138" s="25" t="str">
        <f t="shared" si="44"/>
        <v>NA</v>
      </c>
      <c r="AV138" s="82">
        <v>0</v>
      </c>
      <c r="AW138" s="25" t="str">
        <f t="shared" si="45"/>
        <v>NA</v>
      </c>
      <c r="AX138" s="63" t="str">
        <f>IF(ISERROR(((AV138/AL138)^0.2-1)*100),"NA",IF((((AV138/AL138)^0.2-1)*100)&gt;100,"NM",IF((((AV138/AL138)^0.2-1)*100)&lt;-50,"NM",((AV138/AL138)^0.2-1)*100)))</f>
        <v>NM</v>
      </c>
      <c r="AY138" s="58"/>
      <c r="AZ138" s="106"/>
      <c r="BA138"/>
      <c r="BB138"/>
      <c r="BC138"/>
      <c r="BD138"/>
      <c r="BE138"/>
      <c r="BF138"/>
      <c r="BG138" s="31"/>
      <c r="BH138" s="127"/>
      <c r="BI138" s="127"/>
      <c r="BJ138" s="127"/>
      <c r="BK138" s="127"/>
      <c r="BL138" s="127"/>
      <c r="BM138" s="127"/>
      <c r="BN138" s="24"/>
    </row>
    <row r="139" spans="1:66" s="440" customFormat="1" ht="12.75" customHeight="1">
      <c r="A139" s="127"/>
      <c r="B139" s="94" t="s">
        <v>176</v>
      </c>
      <c r="C139" s="199">
        <v>15</v>
      </c>
      <c r="D139" s="199"/>
      <c r="E139" s="199">
        <v>-28</v>
      </c>
      <c r="F139" s="61"/>
      <c r="G139" s="199">
        <v>-46</v>
      </c>
      <c r="H139" s="61"/>
      <c r="I139" s="199">
        <v>-23</v>
      </c>
      <c r="J139" s="61"/>
      <c r="K139" s="199">
        <v>-10</v>
      </c>
      <c r="L139" s="61"/>
      <c r="M139" s="199">
        <v>-13</v>
      </c>
      <c r="N139" s="61"/>
      <c r="O139" s="199">
        <v>-7</v>
      </c>
      <c r="P139" s="61"/>
      <c r="Q139" s="199">
        <v>-3</v>
      </c>
      <c r="R139" s="61"/>
      <c r="S139" s="82"/>
      <c r="T139" s="61"/>
      <c r="U139" s="82"/>
      <c r="V139" s="61"/>
      <c r="W139" s="82"/>
      <c r="X139" s="61"/>
      <c r="Y139" s="82"/>
      <c r="Z139" s="61"/>
      <c r="AA139" s="127"/>
      <c r="AB139" s="180"/>
      <c r="AC139" s="91"/>
      <c r="AD139" s="199">
        <v>0</v>
      </c>
      <c r="AE139" s="199"/>
      <c r="AF139" s="199">
        <f>-148</f>
        <v>-148</v>
      </c>
      <c r="AG139" s="25" t="str">
        <f t="shared" si="39"/>
        <v>NA</v>
      </c>
      <c r="AH139" s="199">
        <v>-67</v>
      </c>
      <c r="AI139" s="25" t="str">
        <f t="shared" si="40"/>
        <v>NM</v>
      </c>
      <c r="AJ139" s="84">
        <f>E139+G139+I139+C139</f>
        <v>-82</v>
      </c>
      <c r="AK139" s="25">
        <f t="shared" si="41"/>
        <v>22.388059701492537</v>
      </c>
      <c r="AL139" s="84">
        <f>M139+O139+Q139+K139</f>
        <v>-33</v>
      </c>
      <c r="AM139" s="25" t="str">
        <f t="shared" si="42"/>
        <v>NM</v>
      </c>
      <c r="AN139" s="121"/>
      <c r="AO139" s="25" t="str">
        <f t="shared" si="43"/>
        <v>NM</v>
      </c>
      <c r="AP139" s="82"/>
      <c r="AQ139" s="25" t="str">
        <f t="shared" si="43"/>
        <v>NA</v>
      </c>
      <c r="AR139" s="82"/>
      <c r="AS139" s="25" t="str">
        <f t="shared" si="43"/>
        <v>NA</v>
      </c>
      <c r="AT139" s="82"/>
      <c r="AU139" s="25" t="str">
        <f t="shared" si="44"/>
        <v>NA</v>
      </c>
      <c r="AV139" s="82"/>
      <c r="AW139" s="25" t="str">
        <f t="shared" si="45"/>
        <v>NA</v>
      </c>
      <c r="AX139" s="63"/>
      <c r="AY139" s="58"/>
      <c r="AZ139" s="106"/>
      <c r="BA139"/>
      <c r="BB139"/>
      <c r="BC139"/>
      <c r="BD139"/>
      <c r="BE139"/>
      <c r="BF139"/>
      <c r="BG139" s="31"/>
      <c r="BH139" s="127"/>
      <c r="BI139" s="127"/>
      <c r="BJ139" s="127"/>
      <c r="BK139" s="127"/>
      <c r="BL139" s="127"/>
      <c r="BM139" s="127"/>
      <c r="BN139" s="24"/>
    </row>
    <row r="140" spans="1:66" s="440" customFormat="1" ht="12.75" customHeight="1">
      <c r="A140" s="127"/>
      <c r="B140" s="94" t="s">
        <v>177</v>
      </c>
      <c r="C140" s="199">
        <v>9</v>
      </c>
      <c r="D140" s="199"/>
      <c r="E140" s="199">
        <v>4</v>
      </c>
      <c r="F140" s="61"/>
      <c r="G140" s="199">
        <v>0</v>
      </c>
      <c r="H140" s="61"/>
      <c r="I140" s="199">
        <v>-11</v>
      </c>
      <c r="J140" s="61"/>
      <c r="K140" s="199">
        <v>-14</v>
      </c>
      <c r="L140" s="61"/>
      <c r="M140" s="199">
        <v>-3</v>
      </c>
      <c r="N140" s="61"/>
      <c r="O140" s="199">
        <v>-7</v>
      </c>
      <c r="P140" s="61"/>
      <c r="Q140" s="199">
        <v>-1</v>
      </c>
      <c r="R140" s="61"/>
      <c r="S140" s="82"/>
      <c r="T140" s="61"/>
      <c r="U140" s="82"/>
      <c r="V140" s="61"/>
      <c r="W140" s="82"/>
      <c r="X140" s="61"/>
      <c r="Y140" s="82"/>
      <c r="Z140" s="61"/>
      <c r="AA140" s="127"/>
      <c r="AB140" s="180"/>
      <c r="AC140" s="91"/>
      <c r="AD140" s="199">
        <v>15</v>
      </c>
      <c r="AE140" s="199"/>
      <c r="AF140" s="199">
        <v>-24</v>
      </c>
      <c r="AG140" s="25" t="str">
        <f t="shared" si="39"/>
        <v>NM</v>
      </c>
      <c r="AH140" s="199">
        <v>30</v>
      </c>
      <c r="AI140" s="25" t="str">
        <f t="shared" si="40"/>
        <v>NM</v>
      </c>
      <c r="AJ140" s="84">
        <f>E140+G140+I140+C140</f>
        <v>2</v>
      </c>
      <c r="AK140" s="25" t="str">
        <f t="shared" si="41"/>
        <v>NM</v>
      </c>
      <c r="AL140" s="84">
        <f>M140+O140+Q140+K140</f>
        <v>-25</v>
      </c>
      <c r="AM140" s="25" t="str">
        <f t="shared" si="42"/>
        <v>NM</v>
      </c>
      <c r="AN140" s="121"/>
      <c r="AO140" s="25" t="str">
        <f t="shared" si="43"/>
        <v>NM</v>
      </c>
      <c r="AP140" s="82"/>
      <c r="AQ140" s="25" t="str">
        <f t="shared" si="43"/>
        <v>NA</v>
      </c>
      <c r="AR140" s="82"/>
      <c r="AS140" s="25" t="str">
        <f t="shared" si="43"/>
        <v>NA</v>
      </c>
      <c r="AT140" s="82"/>
      <c r="AU140" s="25" t="str">
        <f t="shared" si="44"/>
        <v>NA</v>
      </c>
      <c r="AV140" s="82"/>
      <c r="AW140" s="25" t="str">
        <f t="shared" si="45"/>
        <v>NA</v>
      </c>
      <c r="AX140" s="63"/>
      <c r="AY140" s="58"/>
      <c r="AZ140" s="106"/>
      <c r="BA140"/>
      <c r="BB140"/>
      <c r="BC140"/>
      <c r="BD140"/>
      <c r="BE140"/>
      <c r="BF140"/>
      <c r="BG140" s="31"/>
      <c r="BH140" s="127"/>
      <c r="BI140" s="127"/>
      <c r="BJ140" s="127"/>
      <c r="BK140" s="127"/>
      <c r="BL140" s="127"/>
      <c r="BM140" s="127"/>
      <c r="BN140" s="24"/>
    </row>
    <row r="141" spans="1:66" s="439" customFormat="1" ht="12.75" customHeight="1">
      <c r="A141" s="28" t="s">
        <v>46</v>
      </c>
      <c r="B141" s="94" t="s">
        <v>246</v>
      </c>
      <c r="C141" s="128">
        <f>SUM(C136:C140)</f>
        <v>-65</v>
      </c>
      <c r="D141" s="61"/>
      <c r="E141" s="128">
        <f>SUM(E136:E140)</f>
        <v>14</v>
      </c>
      <c r="F141" s="61"/>
      <c r="G141" s="128">
        <f>SUM(G136:G140)</f>
        <v>9</v>
      </c>
      <c r="H141" s="61"/>
      <c r="I141" s="128">
        <f>SUM(I136:I140)</f>
        <v>84</v>
      </c>
      <c r="J141" s="61"/>
      <c r="K141" s="128">
        <f>SUM(K136:K140)</f>
        <v>118</v>
      </c>
      <c r="L141" s="61" t="str">
        <f>IF(ISERROR(K141/C141),"NA",IF(OR(K141/C141&gt;2,K141/C141&lt;0.5),"NM",(K141/C141-1)*100))</f>
        <v>NM</v>
      </c>
      <c r="M141" s="128">
        <f>SUM(M136:M140)</f>
        <v>46</v>
      </c>
      <c r="N141" s="61" t="str">
        <f>IF(ISERROR(M141/E141),"NA",IF(OR(M141/E141&gt;2,M141/E141&lt;0.5),"NM",(M141/E141-1)*100))</f>
        <v>NM</v>
      </c>
      <c r="O141" s="128">
        <f>SUM(O136:O140)</f>
        <v>43</v>
      </c>
      <c r="P141" s="61" t="str">
        <f>IF(ISERROR(O141/G141),"NA",IF(OR(O141/G141&gt;2,O141/G141&lt;0.5),"NM",(O141/G141-1)*100))</f>
        <v>NM</v>
      </c>
      <c r="Q141" s="128">
        <f>SUM(Q136:Q140)</f>
        <v>132</v>
      </c>
      <c r="R141" s="61">
        <f>IF(ISERROR(Q141/I141),"NA",IF(OR(Q141/I141&gt;2,Q141/I141&lt;0.5),"NM",(Q141/I141-1)*100))</f>
        <v>57.142857142857139</v>
      </c>
      <c r="S141" s="128">
        <f>SUM(S136:S140)</f>
        <v>-8.3010128999999999</v>
      </c>
      <c r="T141" s="61" t="str">
        <f>IF(ISERROR(S141/K141),"NA",IF(OR(S141/K141&gt;2,S141/K141&lt;0.5),"NM",(S141/K141-1)*100))</f>
        <v>NM</v>
      </c>
      <c r="U141" s="128">
        <f>SUM(U136:U140)</f>
        <v>-8.51016289845</v>
      </c>
      <c r="V141" s="61" t="str">
        <f>IF(ISERROR(U141/M141),"NA",IF(OR(U141/M141&gt;2,U141/M141&lt;0.5),"NM",(U141/M141-1)*100))</f>
        <v>NM</v>
      </c>
      <c r="W141" s="128">
        <f>SUM(W136:W140)</f>
        <v>-10.620234471930225</v>
      </c>
      <c r="X141" s="61" t="str">
        <f>IF(ISERROR(W141/O141),"NA",IF(OR(W141/O141&gt;2,W141/O141&lt;0.5),"NM",(W141/O141-1)*100))</f>
        <v>NM</v>
      </c>
      <c r="Y141" s="128">
        <f>SUM(Y136:Y140)</f>
        <v>-10.789159649727585</v>
      </c>
      <c r="Z141" s="61" t="str">
        <f>IF(ISERROR(Y141/Q141),"NA",IF(OR(Y141/Q141&gt;2,Y141/Q141&lt;0.5),"NM",(Y141/Q141-1)*100))</f>
        <v>NM</v>
      </c>
      <c r="AA141" s="108"/>
      <c r="AB141" s="180"/>
      <c r="AC141" s="120"/>
      <c r="AD141" s="84">
        <f>SUM(AD136:AD140)</f>
        <v>120.4</v>
      </c>
      <c r="AE141" s="61" t="str">
        <f>IF(ISERROR(AD141/#REF!),"NA",IF(OR(AD141/#REF!&gt;2,AD141/#REF!&lt;0.5),"NM",(AD141/#REF!-1)*100))</f>
        <v>NA</v>
      </c>
      <c r="AF141" s="84">
        <f>SUM(AF136:AF140)</f>
        <v>-325</v>
      </c>
      <c r="AG141" s="25" t="str">
        <f t="shared" si="39"/>
        <v>NM</v>
      </c>
      <c r="AH141" s="84">
        <f>SUM(AH136:AH140)</f>
        <v>-178</v>
      </c>
      <c r="AI141" s="25">
        <f t="shared" si="40"/>
        <v>-45.230769230769226</v>
      </c>
      <c r="AJ141" s="84">
        <f>SUM(AJ136:AJ140)</f>
        <v>42</v>
      </c>
      <c r="AK141" s="25" t="str">
        <f t="shared" si="41"/>
        <v>NM</v>
      </c>
      <c r="AL141" s="84">
        <f>SUM(AL136:AL140)</f>
        <v>339</v>
      </c>
      <c r="AM141" s="25" t="str">
        <f t="shared" si="42"/>
        <v>NM</v>
      </c>
      <c r="AN141" s="84">
        <f>SUM(AN136:AN140)</f>
        <v>-38.220569920107806</v>
      </c>
      <c r="AO141" s="25" t="str">
        <f t="shared" si="43"/>
        <v>NM</v>
      </c>
      <c r="AP141" s="84">
        <f>SUM(AP136:AP140)</f>
        <v>-40.44495940712568</v>
      </c>
      <c r="AQ141" s="25">
        <f t="shared" si="43"/>
        <v>5.8198752443187063</v>
      </c>
      <c r="AR141" s="84">
        <f>SUM(AR136:AR140)</f>
        <v>-42.89411289019521</v>
      </c>
      <c r="AS141" s="25">
        <f t="shared" si="43"/>
        <v>6.0555221688219474</v>
      </c>
      <c r="AT141" s="84">
        <f>SUM(AT136:AT140)</f>
        <v>-45.59379390644844</v>
      </c>
      <c r="AU141" s="25">
        <f t="shared" si="44"/>
        <v>6.293826435259664</v>
      </c>
      <c r="AV141" s="84">
        <f>SUM(AV136:AV140)</f>
        <v>-48.572645095193103</v>
      </c>
      <c r="AW141" s="25">
        <f t="shared" si="45"/>
        <v>6.5334575904273606</v>
      </c>
      <c r="AX141" s="63" t="str">
        <f>IF(ISERROR(((AV141/AL141)^0.2-1)*100),"NA",IF((((AV141/AL141)^0.2-1)*100)&gt;100,"NM",IF((((AV141/AL141)^0.2-1)*100)&lt;-50,"NM",((AV141/AL141)^0.2-1)*100)))</f>
        <v>NM</v>
      </c>
      <c r="AY141" s="58"/>
      <c r="AZ141" s="106"/>
      <c r="BA141"/>
      <c r="BB141"/>
      <c r="BC141"/>
      <c r="BD141"/>
      <c r="BE141"/>
      <c r="BF141"/>
      <c r="BG141" s="31"/>
      <c r="BH141" s="28"/>
      <c r="BI141" s="28"/>
      <c r="BJ141" s="28"/>
      <c r="BK141" s="28"/>
      <c r="BL141" s="28"/>
      <c r="BM141" s="28"/>
      <c r="BN141" s="24"/>
    </row>
    <row r="142" spans="1:66" s="439" customFormat="1" ht="12.75" customHeight="1">
      <c r="A142" s="28"/>
      <c r="B142" s="24" t="s">
        <v>47</v>
      </c>
      <c r="C142" s="136">
        <f>C136/C35*400</f>
        <v>-0.11434933722522306</v>
      </c>
      <c r="D142" s="61"/>
      <c r="E142" s="136">
        <f>E136/E35*400</f>
        <v>0.35705923671271367</v>
      </c>
      <c r="F142" s="61"/>
      <c r="G142" s="136">
        <v>0.32500000000000001</v>
      </c>
      <c r="H142" s="219"/>
      <c r="I142" s="136">
        <v>0.32500000000000001</v>
      </c>
      <c r="J142" s="219"/>
      <c r="K142" s="136">
        <v>0.32500000000000001</v>
      </c>
      <c r="L142" s="219" t="str">
        <f>IF(ISERROR(K142/C142),"NA",IF(OR(K142/C142&gt;2,K142/C142&lt;0.5),"NM",(K142/C142-1)*100))</f>
        <v>NM</v>
      </c>
      <c r="M142" s="136">
        <v>0.32500000000000001</v>
      </c>
      <c r="N142" s="219">
        <f>IF(ISERROR(M142/E142),"NA",IF(OR(M142/E142&gt;2,M142/E142&lt;0.5),"NM",(M142/E142-1)*100))</f>
        <v>-8.9786885245901615</v>
      </c>
      <c r="O142" s="136">
        <v>0.32500000000000001</v>
      </c>
      <c r="P142" s="219">
        <f>IF(ISERROR(O142/G142),"NA",IF(OR(O142/G142&gt;2,O142/G142&lt;0.5),"NM",(O142/G142-1)*100))</f>
        <v>0</v>
      </c>
      <c r="Q142" s="136">
        <v>0.32500000000000001</v>
      </c>
      <c r="R142" s="219">
        <f>IF(ISERROR(Q142/I142),"NA",IF(OR(Q142/I142&gt;2,Q142/I142&lt;0.5),"NM",(Q142/I142-1)*100))</f>
        <v>0</v>
      </c>
      <c r="S142" s="219">
        <v>-0.04</v>
      </c>
      <c r="T142" s="219" t="str">
        <f>IF(ISERROR(S142/K142),"NA",IF(OR(S142/K142&gt;2,S142/K142&lt;0.5),"NM",(S142/K142-1)*100))</f>
        <v>NM</v>
      </c>
      <c r="U142" s="219">
        <v>-0.04</v>
      </c>
      <c r="V142" s="219" t="str">
        <f>IF(ISERROR(U142/M142),"NA",IF(OR(U142/M142&gt;2,U142/M142&lt;0.5),"NM",(U142/M142-1)*100))</f>
        <v>NM</v>
      </c>
      <c r="W142" s="219">
        <v>-0.04</v>
      </c>
      <c r="X142" s="219" t="str">
        <f>IF(ISERROR(W142/O142),"NA",IF(OR(W142/O142&gt;2,W142/O142&lt;0.5),"NM",(W142/O142-1)*100))</f>
        <v>NM</v>
      </c>
      <c r="Y142" s="219">
        <v>-0.04</v>
      </c>
      <c r="Z142" s="219" t="str">
        <f>IF(ISERROR(Y142/Q142),"NA",IF(OR(Y142/Q142&gt;2,Y142/Q142&lt;0.5),"NM",(Y142/Q142-1)*100))</f>
        <v>NM</v>
      </c>
      <c r="AA142" s="108"/>
      <c r="AB142" s="180"/>
      <c r="AC142" s="91"/>
      <c r="AD142" s="136">
        <f>AD136/AD35*100</f>
        <v>-1.6544786737698949E-3</v>
      </c>
      <c r="AE142" s="61" t="str">
        <f>IF(ISERROR(AD142/#REF!),"NA",IF(OR(AD142/#REF!&gt;2,AD142/#REF!&lt;0.5),"NM",(AD142/#REF!-1)*100))</f>
        <v>NA</v>
      </c>
      <c r="AF142" s="136">
        <f>AF136/AF35*100</f>
        <v>0.25156604025056645</v>
      </c>
      <c r="AG142" s="25" t="str">
        <f t="shared" si="39"/>
        <v>NM</v>
      </c>
      <c r="AH142" s="136">
        <f>AH136/AH35*100</f>
        <v>-8.579614223774723E-2</v>
      </c>
      <c r="AI142" s="25" t="str">
        <f t="shared" si="40"/>
        <v>NM</v>
      </c>
      <c r="AJ142" s="136">
        <f>AJ136/AJ35*100</f>
        <v>6.9039366528587928E-2</v>
      </c>
      <c r="AK142" s="25" t="str">
        <f t="shared" si="41"/>
        <v>NM</v>
      </c>
      <c r="AL142" s="136">
        <f>AL136/AL35*100</f>
        <v>0.24512521094317777</v>
      </c>
      <c r="AM142" s="25" t="str">
        <f t="shared" si="42"/>
        <v>NM</v>
      </c>
      <c r="AN142" s="136">
        <f>AN136/AN35*100</f>
        <v>-3.5424973919143773E-2</v>
      </c>
      <c r="AO142" s="25" t="str">
        <f t="shared" si="43"/>
        <v>NM</v>
      </c>
      <c r="AP142" s="219">
        <f>AN142</f>
        <v>-3.5424973919143773E-2</v>
      </c>
      <c r="AQ142" s="25">
        <f t="shared" si="43"/>
        <v>0</v>
      </c>
      <c r="AR142" s="219">
        <f>AP142</f>
        <v>-3.5424973919143773E-2</v>
      </c>
      <c r="AS142" s="25">
        <f t="shared" si="43"/>
        <v>0</v>
      </c>
      <c r="AT142" s="219">
        <f>AR142</f>
        <v>-3.5424973919143773E-2</v>
      </c>
      <c r="AU142" s="25">
        <f t="shared" si="44"/>
        <v>0</v>
      </c>
      <c r="AV142" s="219">
        <f>AT142</f>
        <v>-3.5424973919143773E-2</v>
      </c>
      <c r="AW142" s="25">
        <f t="shared" si="45"/>
        <v>0</v>
      </c>
      <c r="AX142" s="61"/>
      <c r="AY142" s="58"/>
      <c r="AZ142" s="106"/>
      <c r="BA142"/>
      <c r="BB142"/>
      <c r="BC142"/>
      <c r="BD142"/>
      <c r="BE142"/>
      <c r="BF142"/>
      <c r="BG142" s="31"/>
      <c r="BH142" s="28"/>
      <c r="BI142" s="28"/>
      <c r="BJ142" s="28"/>
      <c r="BK142" s="28"/>
      <c r="BL142" s="28"/>
      <c r="BM142" s="28"/>
      <c r="BN142" s="24"/>
    </row>
    <row r="143" spans="1:66" s="439" customFormat="1" ht="12.75" customHeight="1">
      <c r="A143" s="28"/>
      <c r="B143" s="24" t="s">
        <v>48</v>
      </c>
      <c r="C143" s="131">
        <f>C136/C127*100</f>
        <v>-12.666666666666668</v>
      </c>
      <c r="D143" s="61"/>
      <c r="E143" s="131">
        <f>E136/E127*100</f>
        <v>34.07821229050279</v>
      </c>
      <c r="F143" s="61"/>
      <c r="G143" s="131">
        <f>G136/G127*100</f>
        <v>49.530315969257039</v>
      </c>
      <c r="H143" s="61"/>
      <c r="I143" s="131">
        <f>I136/I127*100</f>
        <v>-18.214285714285712</v>
      </c>
      <c r="J143" s="61"/>
      <c r="K143" s="131">
        <f>K136/K127*100</f>
        <v>21.428571428571427</v>
      </c>
      <c r="L143" s="61" t="str">
        <f>IF(ISERROR(K143/C143),"NA",IF(OR(K143/C143&gt;2,K143/C143&lt;0.5),"NM",(K143/C143-1)*100))</f>
        <v>NM</v>
      </c>
      <c r="M143" s="131">
        <f>M136/M127*100</f>
        <v>20.714285714285715</v>
      </c>
      <c r="N143" s="61">
        <f>IF(ISERROR(M143/E143),"NA",IF(OR(M143/E143&gt;2,M143/E143&lt;0.5),"NM",(M143/E143-1)*100))</f>
        <v>-39.21545667447306</v>
      </c>
      <c r="O143" s="131">
        <f>O136/O127*100</f>
        <v>10.822510822510822</v>
      </c>
      <c r="P143" s="61" t="str">
        <f>IF(ISERROR(O143/G143),"NA",IF(OR(O143/G143&gt;2,O143/G143&lt;0.5),"NM",(O143/G143-1)*100))</f>
        <v>NM</v>
      </c>
      <c r="Q143" s="131">
        <f>Q136/Q127*100</f>
        <v>17.771084337349397</v>
      </c>
      <c r="R143" s="61" t="str">
        <f>IF(ISERROR(Q143/I143),"NA",IF(OR(Q143/I143&gt;2,Q143/I143&lt;0.5),"NM",(Q143/I143-1)*100))</f>
        <v>NM</v>
      </c>
      <c r="S143" s="131">
        <f>S136/S127*100</f>
        <v>-3.3957333018005644</v>
      </c>
      <c r="T143" s="61" t="str">
        <f>IF(ISERROR(S143/K143),"NA",IF(OR(S143/K143&gt;2,S143/K143&lt;0.5),"NM",(S143/K143-1)*100))</f>
        <v>NM</v>
      </c>
      <c r="U143" s="131">
        <f>U136/U127*100</f>
        <v>-3.3893386988032486</v>
      </c>
      <c r="V143" s="61" t="str">
        <f>IF(ISERROR(U143/M143),"NA",IF(OR(U143/M143&gt;2,U143/M143&lt;0.5),"NM",(U143/M143-1)*100))</f>
        <v>NM</v>
      </c>
      <c r="W143" s="131">
        <f>W136/W127*100</f>
        <v>-3.9055037252870268</v>
      </c>
      <c r="X143" s="61" t="str">
        <f>IF(ISERROR(W143/O143),"NA",IF(OR(W143/O143&gt;2,W143/O143&lt;0.5),"NM",(W143/O143-1)*100))</f>
        <v>NM</v>
      </c>
      <c r="Y143" s="131">
        <f>Y136/Y127*100</f>
        <v>-3.9001851791720656</v>
      </c>
      <c r="Z143" s="61" t="str">
        <f>IF(ISERROR(Y143/Q143),"NA",IF(OR(Y143/Q143&gt;2,Y143/Q143&lt;0.5),"NM",(Y143/Q143-1)*100))</f>
        <v>NM</v>
      </c>
      <c r="AA143" s="108"/>
      <c r="AB143" s="180"/>
      <c r="AC143" s="91"/>
      <c r="AD143" s="131">
        <f>AD136/AD127*100</f>
        <v>-0.12876641771825906</v>
      </c>
      <c r="AE143" s="61" t="str">
        <f>IF(ISERROR(AD143/#REF!),"NA",IF(OR(AD143/#REF!&gt;2,AD143/#REF!&lt;0.5),"NM",(AD143/#REF!-1)*100))</f>
        <v>NA</v>
      </c>
      <c r="AF143" s="131">
        <f>AF136/AF127*100</f>
        <v>19.324289736370616</v>
      </c>
      <c r="AG143" s="25" t="str">
        <f t="shared" si="39"/>
        <v>NM</v>
      </c>
      <c r="AH143" s="131">
        <f>AH136/AH127*100</f>
        <v>-7.5675675675675684</v>
      </c>
      <c r="AI143" s="25" t="str">
        <f t="shared" si="40"/>
        <v>NM</v>
      </c>
      <c r="AJ143" s="131">
        <f>AJ136/AJ127*100</f>
        <v>6.7483817655970268</v>
      </c>
      <c r="AK143" s="25" t="str">
        <f t="shared" si="41"/>
        <v>NM</v>
      </c>
      <c r="AL143" s="131">
        <f>AL136/AL127*100</f>
        <v>17.944093778178537</v>
      </c>
      <c r="AM143" s="25" t="str">
        <f t="shared" si="42"/>
        <v>NM</v>
      </c>
      <c r="AN143" s="131">
        <f>AN136/AN127*100</f>
        <v>-3.6606151566228782</v>
      </c>
      <c r="AO143" s="25" t="str">
        <f t="shared" si="43"/>
        <v>NM</v>
      </c>
      <c r="AP143" s="131">
        <f>AP136/AP127*100</f>
        <v>-3.4523700313331309</v>
      </c>
      <c r="AQ143" s="25">
        <f t="shared" si="43"/>
        <v>-5.6888013729874061</v>
      </c>
      <c r="AR143" s="131">
        <f>AR136/AR127*100</f>
        <v>-3.3142395984170374</v>
      </c>
      <c r="AS143" s="25">
        <f t="shared" si="43"/>
        <v>-4.0010320928071108</v>
      </c>
      <c r="AT143" s="131">
        <f>AT136/AT127*100</f>
        <v>-3.3391014437694615</v>
      </c>
      <c r="AU143" s="25">
        <f t="shared" si="44"/>
        <v>0.75015232345598815</v>
      </c>
      <c r="AV143" s="131">
        <f>AV136/AV127*100</f>
        <v>-3.3529411272391161</v>
      </c>
      <c r="AW143" s="25">
        <f t="shared" si="45"/>
        <v>0.41447328578407827</v>
      </c>
      <c r="AX143" s="63" t="str">
        <f>IF(ISERROR(((AV143/AL143)^0.2-1)*100),"NA",IF((((AV143/AL143)^0.2-1)*100)&gt;100,"NM",IF((((AV143/AL143)^0.2-1)*100)&lt;-50,"NM",((AV143/AL143)^0.2-1)*100)))</f>
        <v>NM</v>
      </c>
      <c r="AY143" s="58"/>
      <c r="AZ143" s="106"/>
      <c r="BA143"/>
      <c r="BB143"/>
      <c r="BC143"/>
      <c r="BD143"/>
      <c r="BE143"/>
      <c r="BF143"/>
      <c r="BG143" s="31"/>
      <c r="BH143" s="28"/>
      <c r="BI143" s="28"/>
      <c r="BJ143" s="28"/>
      <c r="BK143" s="28"/>
      <c r="BL143" s="28"/>
      <c r="BM143" s="28"/>
      <c r="BN143" s="24"/>
    </row>
    <row r="144" spans="1:66" s="439" customFormat="1" ht="12.75" customHeight="1">
      <c r="A144" s="28"/>
      <c r="B144" s="94"/>
      <c r="C144" s="93"/>
      <c r="D144" s="61"/>
      <c r="E144" s="93"/>
      <c r="F144" s="61"/>
      <c r="G144" s="93"/>
      <c r="H144" s="61"/>
      <c r="I144" s="93"/>
      <c r="J144" s="61"/>
      <c r="K144" s="93"/>
      <c r="L144" s="61"/>
      <c r="M144" s="93"/>
      <c r="N144" s="61"/>
      <c r="O144" s="93"/>
      <c r="P144" s="61"/>
      <c r="Q144" s="93"/>
      <c r="R144" s="61"/>
      <c r="S144" s="93"/>
      <c r="T144" s="61"/>
      <c r="U144" s="93"/>
      <c r="V144" s="61"/>
      <c r="W144" s="93"/>
      <c r="X144" s="61"/>
      <c r="Y144" s="93"/>
      <c r="Z144" s="61"/>
      <c r="AA144" s="108"/>
      <c r="AB144" s="180"/>
      <c r="AC144" s="93"/>
      <c r="AD144" s="93"/>
      <c r="AE144" s="61"/>
      <c r="AF144" s="93"/>
      <c r="AG144" s="61"/>
      <c r="AH144" s="93"/>
      <c r="AI144" s="61"/>
      <c r="AJ144" s="93"/>
      <c r="AK144" s="61"/>
      <c r="AL144" s="93"/>
      <c r="AM144" s="61"/>
      <c r="AN144" s="93"/>
      <c r="AO144" s="61"/>
      <c r="AP144" s="93"/>
      <c r="AQ144" s="61"/>
      <c r="AR144" s="93"/>
      <c r="AS144" s="61"/>
      <c r="AT144" s="93"/>
      <c r="AU144" s="61"/>
      <c r="AV144" s="93"/>
      <c r="AW144" s="61"/>
      <c r="AX144" s="61"/>
      <c r="AY144" s="58"/>
      <c r="AZ144" s="106"/>
      <c r="BA144"/>
      <c r="BB144"/>
      <c r="BC144"/>
      <c r="BD144"/>
      <c r="BE144"/>
      <c r="BF144"/>
      <c r="BG144" s="31"/>
      <c r="BH144" s="28"/>
      <c r="BI144" s="28"/>
      <c r="BJ144" s="28"/>
      <c r="BK144" s="28"/>
      <c r="BL144" s="28"/>
      <c r="BM144" s="28"/>
      <c r="BN144" s="24"/>
    </row>
    <row r="145" spans="1:66" s="438" customFormat="1" ht="12.75" customHeight="1">
      <c r="A145" s="28" t="s">
        <v>49</v>
      </c>
      <c r="B145" s="92" t="s">
        <v>50</v>
      </c>
      <c r="C145" s="111">
        <f>C141+C127</f>
        <v>85</v>
      </c>
      <c r="D145" s="61"/>
      <c r="E145" s="111">
        <f>E127+E141</f>
        <v>193</v>
      </c>
      <c r="F145" s="61"/>
      <c r="G145" s="111">
        <f>G127+G141</f>
        <v>126.10000000000002</v>
      </c>
      <c r="H145" s="61"/>
      <c r="I145" s="111">
        <f>I127+I141</f>
        <v>364</v>
      </c>
      <c r="J145" s="61"/>
      <c r="K145" s="111">
        <f>K127+K141</f>
        <v>384</v>
      </c>
      <c r="L145" s="61" t="str">
        <f>IF(ISERROR(K145/C145),"NA",IF(OR(K145/C145&gt;2,K145/C145&lt;0.5),"NM",(K145/C145-1)*100))</f>
        <v>NM</v>
      </c>
      <c r="M145" s="111">
        <f>M127+M141</f>
        <v>326</v>
      </c>
      <c r="N145" s="61">
        <f>IF(ISERROR(M145/E145),"NA",IF(OR(M145/E145&gt;2,M145/E145&lt;0.5),"NM",(M145/E145-1)*100))</f>
        <v>68.911917098445599</v>
      </c>
      <c r="O145" s="111">
        <f>O127+O141</f>
        <v>274</v>
      </c>
      <c r="P145" s="61" t="str">
        <f>IF(ISERROR(O145/G145),"NA",IF(OR(O145/G145&gt;2,O145/G145&lt;0.5),"NM",(O145/G145-1)*100))</f>
        <v>NM</v>
      </c>
      <c r="Q145" s="111">
        <f>Q127+Q141</f>
        <v>464</v>
      </c>
      <c r="R145" s="61">
        <f>IF(ISERROR(Q145/I145),"NA",IF(OR(Q145/I145&gt;2,Q145/I145&lt;0.5),"NM",(Q145/I145-1)*100))</f>
        <v>27.472527472527464</v>
      </c>
      <c r="S145" s="111">
        <f>S127+S141</f>
        <v>236.15319366558762</v>
      </c>
      <c r="T145" s="61">
        <f>IF(ISERROR(S145/K145),"NA",IF(OR(S145/K145&gt;2,S145/K145&lt;0.5),"NM",(S145/K145-1)*100))</f>
        <v>-38.501772482919897</v>
      </c>
      <c r="U145" s="111">
        <f>U127+U141</f>
        <v>242.57607116410853</v>
      </c>
      <c r="V145" s="61">
        <f>IF(ISERROR(U145/M145),"NA",IF(OR(U145/M145&gt;2,U145/M145&lt;0.5),"NM",(U145/M145-1)*100))</f>
        <v>-25.590162219598611</v>
      </c>
      <c r="W145" s="111">
        <f>W127+W141</f>
        <v>261.30971922820896</v>
      </c>
      <c r="X145" s="61">
        <f>IF(ISERROR(W145/O145),"NA",IF(OR(W145/O145&gt;2,W145/O145&lt;0.5),"NM",(W145/O145-1)*100))</f>
        <v>-4.6314893327704549</v>
      </c>
      <c r="Y145" s="111">
        <f>Y127+Y141</f>
        <v>265.84282457872166</v>
      </c>
      <c r="Z145" s="61">
        <f>IF(ISERROR(Y145/Q145),"NA",IF(OR(Y145/Q145&gt;2,Y145/Q145&lt;0.5),"NM",(Y145/Q145-1)*100))</f>
        <v>-42.706287806309987</v>
      </c>
      <c r="AA145" s="102"/>
      <c r="AB145" s="180"/>
      <c r="AC145" s="111"/>
      <c r="AD145" s="111">
        <f>AD141+AD127</f>
        <v>897</v>
      </c>
      <c r="AE145" s="61" t="str">
        <f>IF(ISERROR(AD145/#REF!),"NA",IF(OR(AD145/#REF!&gt;2,AD145/#REF!&lt;0.5),"NM",(AD145/#REF!-1)*100))</f>
        <v>NA</v>
      </c>
      <c r="AF145" s="111">
        <f>AF141+AF127</f>
        <v>456.4</v>
      </c>
      <c r="AG145" s="25">
        <f>IF(ISERROR(AF145/AD145),"NA",IF(OR(AF145/AD145&gt;2,AF145/AD145&lt;0.5),"NM",(AF145/AD145-1)*100))</f>
        <v>-49.119286510590868</v>
      </c>
      <c r="AH145" s="111">
        <f>AH141+AH127</f>
        <v>562</v>
      </c>
      <c r="AI145" s="25">
        <f>IF(ISERROR(AH145/AF145),"NA",IF(OR(AH145/AF145&gt;2,AH145/AF145&lt;0.5),"NM",(AH145/AF145-1)*100))</f>
        <v>23.137598597721308</v>
      </c>
      <c r="AJ145" s="111">
        <f>AJ141+AJ127</f>
        <v>768.09999999999991</v>
      </c>
      <c r="AK145" s="25">
        <f>IF(ISERROR(AJ145/AH145),"NA",IF(OR(AJ145/AH145&gt;2,AJ145/AH145&lt;0.5),"NM",(AJ145/AH145-1)*100))</f>
        <v>36.672597864768662</v>
      </c>
      <c r="AL145" s="111">
        <f>AL141+AL127</f>
        <v>1448</v>
      </c>
      <c r="AM145" s="25">
        <f>IF(ISERROR(AL145/AJ145),"NA",IF(OR(AL145/AJ145&gt;2,AL145/AJ145&lt;0.5),"NM",(AL145/AJ145-1)*100))</f>
        <v>88.517120166644986</v>
      </c>
      <c r="AN145" s="111">
        <f>AN141+AN127</f>
        <v>1005.8818086366267</v>
      </c>
      <c r="AO145" s="25">
        <f>IF(ISERROR(AN145/AL145),"NA",IF(OR(AN145/AL145&gt;2,AN145/AL145&lt;0.5),"NM",(AN145/AL145-1)*100))</f>
        <v>-30.533024265426334</v>
      </c>
      <c r="AP145" s="111">
        <f>AP141+AP127</f>
        <v>1131.0679155180421</v>
      </c>
      <c r="AQ145" s="25">
        <f>IF(ISERROR(AP145/AN145),"NA",IF(OR(AP145/AN145&gt;2,AP145/AN145&lt;0.5),"NM",(AP145/AN145-1)*100))</f>
        <v>12.445409172981536</v>
      </c>
      <c r="AR145" s="111">
        <f>AR141+AR127</f>
        <v>1251.3428188839137</v>
      </c>
      <c r="AS145" s="25">
        <f>IF(ISERROR(AR145/AP145),"NA",IF(OR(AR145/AP145&gt;2,AR145/AP145&lt;0.5),"NM",(AR145/AP145-1)*100))</f>
        <v>10.633747250339454</v>
      </c>
      <c r="AT145" s="111">
        <f>AT141+AT127</f>
        <v>1319.8572016457649</v>
      </c>
      <c r="AU145" s="25">
        <f>IF(ISERROR(AT145/AR145),"NA",IF(OR(AT145/AR145&gt;2,AT145/AR145&lt;0.5),"NM",(AT145/AR145-1)*100))</f>
        <v>5.4752687854923821</v>
      </c>
      <c r="AV145" s="111">
        <f>AV141+AV127</f>
        <v>1400.0852123479785</v>
      </c>
      <c r="AW145" s="25">
        <f>IF(ISERROR(AV145/AT145),"NA",IF(OR(AV145/AT145&gt;2,AV145/AT145&lt;0.5),"NM",(AV145/AT145-1)*100))</f>
        <v>6.0785371782777098</v>
      </c>
      <c r="AX145" s="63">
        <f>IF(ISERROR(((AV145/AL145)^0.2-1)*100),"NA",IF((((AV145/AL145)^0.2-1)*100)&gt;100,"NM",IF((((AV145/AL145)^0.2-1)*100)&lt;-50,"NM",((AV145/AL145)^0.2-1)*100)))</f>
        <v>-0.67074426553022093</v>
      </c>
      <c r="AY145" s="123"/>
      <c r="AZ145" s="127"/>
      <c r="BA145"/>
      <c r="BB145"/>
      <c r="BC145"/>
      <c r="BD145"/>
      <c r="BE145"/>
      <c r="BF145"/>
      <c r="BG145" s="31"/>
      <c r="BH145" s="102"/>
      <c r="BI145" s="102"/>
      <c r="BJ145" s="102"/>
      <c r="BK145" s="102"/>
      <c r="BL145" s="102"/>
      <c r="BM145" s="102"/>
      <c r="BN145" s="24"/>
    </row>
    <row r="146" spans="1:66" s="438" customFormat="1" ht="12.75" customHeight="1">
      <c r="A146" s="28"/>
      <c r="B146" s="92"/>
      <c r="C146" s="111"/>
      <c r="D146" s="61"/>
      <c r="E146" s="111"/>
      <c r="F146" s="61"/>
      <c r="G146" s="111"/>
      <c r="H146" s="61"/>
      <c r="I146" s="111"/>
      <c r="J146" s="61"/>
      <c r="K146" s="111"/>
      <c r="L146" s="61"/>
      <c r="M146" s="111"/>
      <c r="N146" s="61"/>
      <c r="O146" s="111"/>
      <c r="P146" s="61"/>
      <c r="Q146" s="111"/>
      <c r="R146" s="61"/>
      <c r="S146" s="111"/>
      <c r="T146" s="61"/>
      <c r="U146" s="111"/>
      <c r="V146" s="61"/>
      <c r="W146" s="111"/>
      <c r="X146" s="61"/>
      <c r="Y146" s="111"/>
      <c r="Z146" s="61"/>
      <c r="AA146" s="102"/>
      <c r="AB146" s="181"/>
      <c r="AC146" s="111"/>
      <c r="AD146" s="111"/>
      <c r="AE146" s="61"/>
      <c r="AF146" s="111"/>
      <c r="AG146" s="61"/>
      <c r="AH146" s="111"/>
      <c r="AI146" s="61"/>
      <c r="AJ146" s="111"/>
      <c r="AK146" s="61"/>
      <c r="AL146" s="111"/>
      <c r="AM146" s="61"/>
      <c r="AN146" s="111"/>
      <c r="AO146" s="61"/>
      <c r="AP146" s="111"/>
      <c r="AQ146" s="61"/>
      <c r="AR146" s="111"/>
      <c r="AS146" s="61"/>
      <c r="AT146" s="111"/>
      <c r="AU146" s="61"/>
      <c r="AV146" s="111"/>
      <c r="AW146" s="61"/>
      <c r="AX146" s="63"/>
      <c r="AY146" s="123"/>
      <c r="AZ146" s="127"/>
      <c r="BA146"/>
      <c r="BB146"/>
      <c r="BC146"/>
      <c r="BD146"/>
      <c r="BE146"/>
      <c r="BF146"/>
      <c r="BG146" s="31"/>
      <c r="BH146" s="102"/>
      <c r="BI146" s="102"/>
      <c r="BJ146" s="102"/>
      <c r="BK146" s="102"/>
      <c r="BL146" s="102"/>
      <c r="BM146" s="102"/>
      <c r="BN146" s="24"/>
    </row>
    <row r="147" spans="1:66" s="439" customFormat="1" ht="12.75" customHeight="1">
      <c r="A147" s="28"/>
      <c r="B147" s="94" t="s">
        <v>51</v>
      </c>
      <c r="C147" s="84">
        <f>C145+C132</f>
        <v>85</v>
      </c>
      <c r="D147" s="61"/>
      <c r="E147" s="84">
        <f>E145+E132</f>
        <v>193</v>
      </c>
      <c r="F147" s="61"/>
      <c r="G147" s="84">
        <f>G145+G132</f>
        <v>126.10000000000002</v>
      </c>
      <c r="H147" s="61"/>
      <c r="I147" s="84">
        <f>I145+I132</f>
        <v>364</v>
      </c>
      <c r="J147" s="61"/>
      <c r="K147" s="84">
        <f>K145+K132</f>
        <v>384</v>
      </c>
      <c r="L147" s="61" t="str">
        <f>IF(ISERROR(K147/C147),"NA",IF(OR(K147/C147&gt;2,K147/C147&lt;0.5),"NM",(K147/C147-1)*100))</f>
        <v>NM</v>
      </c>
      <c r="M147" s="84">
        <f>M145+M132</f>
        <v>326</v>
      </c>
      <c r="N147" s="61">
        <f>IF(ISERROR(M147/E147),"NA",IF(OR(M147/E147&gt;2,M147/E147&lt;0.5),"NM",(M147/E147-1)*100))</f>
        <v>68.911917098445599</v>
      </c>
      <c r="O147" s="84">
        <f>O145+O132</f>
        <v>274</v>
      </c>
      <c r="P147" s="61" t="str">
        <f>IF(ISERROR(O147/G147),"NA",IF(OR(O147/G147&gt;2,O147/G147&lt;0.5),"NM",(O147/G147-1)*100))</f>
        <v>NM</v>
      </c>
      <c r="Q147" s="84">
        <f>Q145+Q132</f>
        <v>464</v>
      </c>
      <c r="R147" s="61">
        <f>IF(ISERROR(Q147/I147),"NA",IF(OR(Q147/I147&gt;2,Q147/I147&lt;0.5),"NM",(Q147/I147-1)*100))</f>
        <v>27.472527472527464</v>
      </c>
      <c r="S147" s="84">
        <f>S145+S132</f>
        <v>236.15319366558762</v>
      </c>
      <c r="T147" s="61">
        <f>IF(ISERROR(S147/K147),"NA",IF(OR(S147/K147&gt;2,S147/K147&lt;0.5),"NM",(S147/K147-1)*100))</f>
        <v>-38.501772482919897</v>
      </c>
      <c r="U147" s="84">
        <f>U145+U132</f>
        <v>242.57607116410853</v>
      </c>
      <c r="V147" s="61">
        <f>IF(ISERROR(U147/M147),"NA",IF(OR(U147/M147&gt;2,U147/M147&lt;0.5),"NM",(U147/M147-1)*100))</f>
        <v>-25.590162219598611</v>
      </c>
      <c r="W147" s="84">
        <f>W145+W132</f>
        <v>261.30971922820896</v>
      </c>
      <c r="X147" s="61">
        <f>IF(ISERROR(W147/O147),"NA",IF(OR(W147/O147&gt;2,W147/O147&lt;0.5),"NM",(W147/O147-1)*100))</f>
        <v>-4.6314893327704549</v>
      </c>
      <c r="Y147" s="84">
        <f>Y145+Y132</f>
        <v>265.84282457872166</v>
      </c>
      <c r="Z147" s="61">
        <f>IF(ISERROR(Y147/Q147),"NA",IF(OR(Y147/Q147&gt;2,Y147/Q147&lt;0.5),"NM",(Y147/Q147-1)*100))</f>
        <v>-42.706287806309987</v>
      </c>
      <c r="AA147" s="28"/>
      <c r="AB147" s="180"/>
      <c r="AC147" s="84"/>
      <c r="AD147" s="84">
        <f>AD145+AD132</f>
        <v>897</v>
      </c>
      <c r="AE147" s="84"/>
      <c r="AF147" s="84">
        <f>AF145+AF132</f>
        <v>456.4</v>
      </c>
      <c r="AG147" s="25">
        <f>IF(ISERROR(AF147/AD147),"NA",IF(OR(AF147/AD147&gt;2,AF147/AD147&lt;0.5),"NM",(AF147/AD147-1)*100))</f>
        <v>-49.119286510590868</v>
      </c>
      <c r="AH147" s="84">
        <f>AH145+AH132</f>
        <v>562</v>
      </c>
      <c r="AI147" s="25">
        <f>IF(ISERROR(AH147/AF147),"NA",IF(OR(AH147/AF147&gt;2,AH147/AF147&lt;0.5),"NM",(AH147/AF147-1)*100))</f>
        <v>23.137598597721308</v>
      </c>
      <c r="AJ147" s="84">
        <f>AJ145+AJ132</f>
        <v>768.09999999999991</v>
      </c>
      <c r="AK147" s="25">
        <f>IF(ISERROR(AJ147/AH147),"NA",IF(OR(AJ147/AH147&gt;2,AJ147/AH147&lt;0.5),"NM",(AJ147/AH147-1)*100))</f>
        <v>36.672597864768662</v>
      </c>
      <c r="AL147" s="84">
        <f>AL145+AL132</f>
        <v>1448</v>
      </c>
      <c r="AM147" s="25">
        <f>IF(ISERROR(AL147/AJ147),"NA",IF(OR(AL147/AJ147&gt;2,AL147/AJ147&lt;0.5),"NM",(AL147/AJ147-1)*100))</f>
        <v>88.517120166644986</v>
      </c>
      <c r="AN147" s="84">
        <f>AN145+AN132</f>
        <v>1005.8818086366267</v>
      </c>
      <c r="AO147" s="25">
        <f>IF(ISERROR(AN147/AL147),"NA",IF(OR(AN147/AL147&gt;2,AN147/AL147&lt;0.5),"NM",(AN147/AL147-1)*100))</f>
        <v>-30.533024265426334</v>
      </c>
      <c r="AP147" s="84">
        <f>AP145+AP132</f>
        <v>1131.0679155180421</v>
      </c>
      <c r="AQ147" s="25">
        <f>IF(ISERROR(AP147/AN147),"NA",IF(OR(AP147/AN147&gt;2,AP147/AN147&lt;0.5),"NM",(AP147/AN147-1)*100))</f>
        <v>12.445409172981536</v>
      </c>
      <c r="AR147" s="84">
        <f>AR145+AR132</f>
        <v>1251.3428188839137</v>
      </c>
      <c r="AS147" s="25">
        <f>IF(ISERROR(AR147/AP147),"NA",IF(OR(AR147/AP147&gt;2,AR147/AP147&lt;0.5),"NM",(AR147/AP147-1)*100))</f>
        <v>10.633747250339454</v>
      </c>
      <c r="AT147" s="84">
        <f>AT145+AT132</f>
        <v>1319.8572016457649</v>
      </c>
      <c r="AU147" s="25">
        <f>IF(ISERROR(AT147/AR147),"NA",IF(OR(AT147/AR147&gt;2,AT147/AR147&lt;0.5),"NM",(AT147/AR147-1)*100))</f>
        <v>5.4752687854923821</v>
      </c>
      <c r="AV147" s="84">
        <f>AV145+AV132</f>
        <v>1400.0852123479785</v>
      </c>
      <c r="AW147" s="25">
        <f>IF(ISERROR(AV147/AT147),"NA",IF(OR(AV147/AT147&gt;2,AV147/AT147&lt;0.5),"NM",(AV147/AT147-1)*100))</f>
        <v>6.0785371782777098</v>
      </c>
      <c r="AX147" s="63"/>
      <c r="AY147" s="123"/>
      <c r="AZ147" s="127"/>
      <c r="BA147"/>
      <c r="BB147"/>
      <c r="BC147"/>
      <c r="BD147"/>
      <c r="BE147"/>
      <c r="BF147"/>
      <c r="BG147" s="31"/>
      <c r="BH147" s="28"/>
      <c r="BI147" s="28"/>
      <c r="BJ147" s="28"/>
      <c r="BK147" s="28"/>
      <c r="BL147" s="28"/>
      <c r="BM147" s="28"/>
      <c r="BN147" s="24"/>
    </row>
    <row r="148" spans="1:66" s="439" customFormat="1" ht="12.75" customHeight="1">
      <c r="A148" s="28"/>
      <c r="B148" s="94"/>
      <c r="C148" s="84"/>
      <c r="D148" s="61"/>
      <c r="E148" s="84"/>
      <c r="F148" s="61"/>
      <c r="G148" s="84"/>
      <c r="H148" s="61"/>
      <c r="I148" s="84"/>
      <c r="J148" s="61"/>
      <c r="K148" s="84"/>
      <c r="L148" s="61"/>
      <c r="M148" s="84"/>
      <c r="N148" s="61"/>
      <c r="O148" s="84"/>
      <c r="P148" s="61"/>
      <c r="Q148" s="84"/>
      <c r="R148" s="61"/>
      <c r="S148" s="84"/>
      <c r="T148" s="61"/>
      <c r="U148" s="84"/>
      <c r="V148" s="61"/>
      <c r="W148" s="84"/>
      <c r="X148" s="61"/>
      <c r="Y148" s="84"/>
      <c r="Z148" s="61"/>
      <c r="AA148" s="108"/>
      <c r="AB148" s="181"/>
      <c r="AC148" s="91"/>
      <c r="AD148" s="84"/>
      <c r="AE148" s="61"/>
      <c r="AF148" s="84"/>
      <c r="AG148" s="61"/>
      <c r="AH148" s="84"/>
      <c r="AI148" s="61"/>
      <c r="AJ148" s="84"/>
      <c r="AK148" s="61"/>
      <c r="AL148" s="84"/>
      <c r="AM148" s="61"/>
      <c r="AN148" s="84"/>
      <c r="AO148" s="61"/>
      <c r="AP148" s="84"/>
      <c r="AQ148" s="61"/>
      <c r="AR148" s="84"/>
      <c r="AS148" s="61"/>
      <c r="AT148" s="84"/>
      <c r="AU148" s="61"/>
      <c r="AV148" s="84"/>
      <c r="AW148" s="61"/>
      <c r="AX148" s="61"/>
      <c r="AY148" s="58"/>
      <c r="AZ148" s="106"/>
      <c r="BA148"/>
      <c r="BB148"/>
      <c r="BC148"/>
      <c r="BD148"/>
      <c r="BE148"/>
      <c r="BF148"/>
      <c r="BG148" s="31"/>
      <c r="BH148" s="28"/>
      <c r="BI148" s="28"/>
      <c r="BJ148" s="28"/>
      <c r="BK148" s="28"/>
      <c r="BL148" s="28"/>
      <c r="BM148" s="28"/>
      <c r="BN148" s="24"/>
    </row>
    <row r="149" spans="1:66" s="435" customFormat="1" ht="12.75" customHeight="1" collapsed="1">
      <c r="A149" s="47"/>
      <c r="B149" s="48" t="s">
        <v>134</v>
      </c>
      <c r="C149" s="49"/>
      <c r="D149" s="50"/>
      <c r="E149" s="49"/>
      <c r="F149" s="50"/>
      <c r="G149" s="49"/>
      <c r="H149" s="50"/>
      <c r="I149" s="49"/>
      <c r="J149" s="50"/>
      <c r="K149" s="49"/>
      <c r="L149" s="50"/>
      <c r="M149" s="49"/>
      <c r="N149" s="50"/>
      <c r="O149" s="49"/>
      <c r="P149" s="50"/>
      <c r="Q149" s="49"/>
      <c r="R149" s="50"/>
      <c r="S149" s="49"/>
      <c r="T149" s="50"/>
      <c r="U149" s="49"/>
      <c r="V149" s="50"/>
      <c r="W149" s="49"/>
      <c r="X149" s="50"/>
      <c r="Y149" s="49"/>
      <c r="Z149" s="50"/>
      <c r="AA149" s="51"/>
      <c r="AB149" s="181"/>
      <c r="AC149" s="49"/>
      <c r="AD149" s="49"/>
      <c r="AE149" s="50"/>
      <c r="AF149" s="49"/>
      <c r="AG149" s="50"/>
      <c r="AH149" s="49"/>
      <c r="AI149" s="50"/>
      <c r="AJ149" s="49"/>
      <c r="AK149" s="50"/>
      <c r="AL149" s="49"/>
      <c r="AM149" s="50"/>
      <c r="AN149" s="49"/>
      <c r="AO149" s="50"/>
      <c r="AP149" s="49"/>
      <c r="AQ149" s="50"/>
      <c r="AR149" s="49"/>
      <c r="AS149" s="50"/>
      <c r="AT149" s="49"/>
      <c r="AU149" s="50"/>
      <c r="AV149" s="49"/>
      <c r="AW149" s="50"/>
      <c r="AX149" s="50"/>
      <c r="AY149" s="52"/>
      <c r="AZ149" s="47"/>
      <c r="BA149"/>
      <c r="BB149"/>
      <c r="BC149"/>
      <c r="BD149"/>
      <c r="BE149"/>
      <c r="BF149"/>
      <c r="BG149" s="53"/>
      <c r="BH149" s="51"/>
      <c r="BI149" s="264"/>
      <c r="BJ149" s="264"/>
      <c r="BK149" s="264"/>
      <c r="BL149" s="264"/>
      <c r="BM149" s="264"/>
      <c r="BN149" s="24"/>
    </row>
    <row r="150" spans="1:66" s="439" customFormat="1" ht="12.75" customHeight="1">
      <c r="A150" s="28"/>
      <c r="B150" s="137"/>
      <c r="C150" s="91"/>
      <c r="D150" s="61"/>
      <c r="E150" s="91"/>
      <c r="F150" s="61"/>
      <c r="G150" s="91"/>
      <c r="H150" s="61"/>
      <c r="I150" s="91"/>
      <c r="J150" s="61"/>
      <c r="K150" s="91"/>
      <c r="L150" s="61"/>
      <c r="M150" s="91"/>
      <c r="N150" s="61"/>
      <c r="O150" s="91"/>
      <c r="P150" s="61"/>
      <c r="Q150" s="91"/>
      <c r="R150" s="61"/>
      <c r="S150" s="91"/>
      <c r="T150" s="61"/>
      <c r="U150" s="91"/>
      <c r="V150" s="61"/>
      <c r="W150" s="91"/>
      <c r="X150" s="61"/>
      <c r="Y150" s="91"/>
      <c r="Z150" s="61"/>
      <c r="AA150" s="108"/>
      <c r="AB150" s="180"/>
      <c r="AC150" s="91"/>
      <c r="AD150" s="91"/>
      <c r="AE150" s="61"/>
      <c r="AF150" s="91"/>
      <c r="AG150" s="61"/>
      <c r="AH150" s="91"/>
      <c r="AI150" s="61"/>
      <c r="AJ150" s="91"/>
      <c r="AK150" s="61"/>
      <c r="AL150" s="91"/>
      <c r="AM150" s="61"/>
      <c r="AN150" s="91"/>
      <c r="AO150" s="61"/>
      <c r="AP150" s="91"/>
      <c r="AQ150" s="61"/>
      <c r="AR150" s="91"/>
      <c r="AS150" s="61"/>
      <c r="AT150" s="91"/>
      <c r="AU150" s="61"/>
      <c r="AV150" s="91"/>
      <c r="AW150" s="61"/>
      <c r="AX150" s="61"/>
      <c r="AY150" s="58"/>
      <c r="AZ150" s="106"/>
      <c r="BA150"/>
      <c r="BB150"/>
      <c r="BC150"/>
      <c r="BD150"/>
      <c r="BE150"/>
      <c r="BF150"/>
      <c r="BG150" s="31"/>
      <c r="BH150" s="28"/>
      <c r="BI150" s="28"/>
      <c r="BJ150" s="28"/>
      <c r="BK150" s="28"/>
      <c r="BL150" s="28"/>
      <c r="BM150" s="28"/>
      <c r="BN150" s="24"/>
    </row>
    <row r="151" spans="1:66" s="439" customFormat="1" ht="12.75" customHeight="1">
      <c r="A151" s="28"/>
      <c r="B151" s="97" t="s">
        <v>52</v>
      </c>
      <c r="C151" s="91"/>
      <c r="D151" s="61"/>
      <c r="E151" s="91"/>
      <c r="F151" s="61"/>
      <c r="G151" s="91"/>
      <c r="H151" s="61"/>
      <c r="I151" s="91"/>
      <c r="J151" s="61"/>
      <c r="K151" s="91"/>
      <c r="L151" s="61"/>
      <c r="M151" s="91"/>
      <c r="N151" s="61"/>
      <c r="O151" s="91"/>
      <c r="P151" s="61"/>
      <c r="Q151" s="91"/>
      <c r="R151" s="61"/>
      <c r="S151" s="91"/>
      <c r="T151" s="61"/>
      <c r="U151" s="91"/>
      <c r="V151" s="61"/>
      <c r="W151" s="91"/>
      <c r="X151" s="61"/>
      <c r="Y151" s="91"/>
      <c r="Z151" s="61"/>
      <c r="AA151" s="108"/>
      <c r="AB151" s="181"/>
      <c r="AC151" s="91"/>
      <c r="AD151" s="91"/>
      <c r="AE151" s="61"/>
      <c r="AF151" s="91"/>
      <c r="AG151" s="61"/>
      <c r="AH151" s="91"/>
      <c r="AI151" s="61"/>
      <c r="AJ151" s="91"/>
      <c r="AK151" s="61"/>
      <c r="AL151" s="91"/>
      <c r="AM151" s="61"/>
      <c r="AN151" s="91"/>
      <c r="AO151" s="61"/>
      <c r="AP151" s="91"/>
      <c r="AQ151" s="61"/>
      <c r="AR151" s="91"/>
      <c r="AS151" s="61"/>
      <c r="AT151" s="91"/>
      <c r="AU151" s="61"/>
      <c r="AV151" s="91"/>
      <c r="AW151" s="61"/>
      <c r="AX151" s="61"/>
      <c r="AY151" s="58"/>
      <c r="AZ151" s="106"/>
      <c r="BA151"/>
      <c r="BB151"/>
      <c r="BC151"/>
      <c r="BD151"/>
      <c r="BE151"/>
      <c r="BF151"/>
      <c r="BG151" s="31"/>
      <c r="BH151" s="28"/>
      <c r="BI151" s="28"/>
      <c r="BJ151" s="28"/>
      <c r="BK151" s="28"/>
      <c r="BL151" s="28"/>
      <c r="BM151" s="28"/>
      <c r="BN151" s="24"/>
    </row>
    <row r="152" spans="1:66" s="439" customFormat="1" ht="12.75" customHeight="1">
      <c r="A152" s="24" t="s">
        <v>53</v>
      </c>
      <c r="B152" s="95" t="s">
        <v>178</v>
      </c>
      <c r="C152" s="219">
        <v>0</v>
      </c>
      <c r="D152" s="219"/>
      <c r="E152" s="219">
        <f>C152</f>
        <v>0</v>
      </c>
      <c r="F152" s="219"/>
      <c r="G152" s="219">
        <f>E152</f>
        <v>0</v>
      </c>
      <c r="H152" s="219"/>
      <c r="I152" s="219">
        <f>G152</f>
        <v>0</v>
      </c>
      <c r="J152" s="219"/>
      <c r="K152" s="219">
        <f>I152</f>
        <v>0</v>
      </c>
      <c r="L152" s="219" t="str">
        <f>IF(ISERROR(K152/C152),"NA",IF(OR(K152/C152&gt;2,K152/C152&lt;0.5),"NM",(K152/C152-1)*100))</f>
        <v>NA</v>
      </c>
      <c r="M152" s="219">
        <f>K152</f>
        <v>0</v>
      </c>
      <c r="N152" s="219" t="str">
        <f>IF(ISERROR(M152/E152),"NA",IF(OR(M152/E152&gt;2,M152/E152&lt;0.5),"NM",(M152/E152-1)*100))</f>
        <v>NA</v>
      </c>
      <c r="O152" s="219">
        <f>M152</f>
        <v>0</v>
      </c>
      <c r="P152" s="219" t="str">
        <f>IF(ISERROR(O152/G152),"NA",IF(OR(O152/G152&gt;2,O152/G152&lt;0.5),"NM",(O152/G152-1)*100))</f>
        <v>NA</v>
      </c>
      <c r="Q152" s="219">
        <f>O152</f>
        <v>0</v>
      </c>
      <c r="R152" s="219" t="str">
        <f>IF(ISERROR(Q152/I152),"NA",IF(OR(Q152/I152&gt;2,Q152/I152&lt;0.5),"NM",(Q152/I152-1)*100))</f>
        <v>NA</v>
      </c>
      <c r="S152" s="219">
        <f>Q152</f>
        <v>0</v>
      </c>
      <c r="T152" s="219" t="str">
        <f>IF(ISERROR(S152/K152),"NA",IF(OR(S152/K152&gt;2,S152/K152&lt;0.5),"NM",(S152/K152-1)*100))</f>
        <v>NA</v>
      </c>
      <c r="U152" s="219">
        <f>S152</f>
        <v>0</v>
      </c>
      <c r="V152" s="219" t="str">
        <f>IF(ISERROR(U152/M152),"NA",IF(OR(U152/M152&gt;2,U152/M152&lt;0.5),"NM",(U152/M152-1)*100))</f>
        <v>NA</v>
      </c>
      <c r="W152" s="219">
        <f>U152</f>
        <v>0</v>
      </c>
      <c r="X152" s="219" t="str">
        <f>IF(ISERROR(W152/O152),"NA",IF(OR(W152/O152&gt;2,W152/O152&lt;0.5),"NM",(W152/O152-1)*100))</f>
        <v>NA</v>
      </c>
      <c r="Y152" s="219">
        <f>W152</f>
        <v>0</v>
      </c>
      <c r="Z152" s="219" t="str">
        <f>IF(ISERROR(Y152/Q152),"NA",IF(OR(Y152/Q152&gt;2,Y152/Q152&lt;0.5),"NM",(Y152/Q152-1)*100))</f>
        <v>NA</v>
      </c>
      <c r="AA152" s="108"/>
      <c r="AB152" s="180"/>
      <c r="AC152" s="91"/>
      <c r="AD152" s="219">
        <v>0</v>
      </c>
      <c r="AE152" s="61" t="str">
        <f>IF(ISERROR(AD152/#REF!),"NA",IF(OR(AD152/#REF!&gt;2,AD152/#REF!&lt;0.5),"NM",(AD152/#REF!-1)*100))</f>
        <v>NA</v>
      </c>
      <c r="AF152" s="219">
        <f>AD152</f>
        <v>0</v>
      </c>
      <c r="AG152" s="61" t="str">
        <f>IF(ISERROR(AF152/AD152),"NA",IF(OR(AF152/AD152&gt;2,AF152/AD152&lt;0.5),"NM",(AF152/AD152-1)*100))</f>
        <v>NA</v>
      </c>
      <c r="AH152" s="219">
        <f>AF152</f>
        <v>0</v>
      </c>
      <c r="AI152" s="61" t="str">
        <f>IF(ISERROR(AH152/AF152),"NA",IF(OR(AH152/AF152&gt;2,AH152/AF152&lt;0.5),"NM",(AH152/AF152-1)*100))</f>
        <v>NA</v>
      </c>
      <c r="AJ152" s="219">
        <f>E152+G152+I152+C152</f>
        <v>0</v>
      </c>
      <c r="AK152" s="61" t="str">
        <f>IF(ISERROR(AJ152/AH152),"NA",IF(OR(AJ152/AH152&gt;2,AJ152/AH152&lt;0.5),"NM",(AJ152/AH152-1)*100))</f>
        <v>NA</v>
      </c>
      <c r="AL152" s="219">
        <f>M152+O152+Q152+K152</f>
        <v>0</v>
      </c>
      <c r="AM152" s="61" t="str">
        <f>IF(ISERROR(AL152/AJ152),"NA",IF(OR(AL152/AJ152&gt;2,AL152/AJ152&lt;0.5),"NM",(AL152/AJ152-1)*100))</f>
        <v>NA</v>
      </c>
      <c r="AN152" s="219">
        <f>U152+W152+Y152+S152</f>
        <v>0</v>
      </c>
      <c r="AO152" s="61" t="str">
        <f>IF(ISERROR(AN152/AL152),"NA",IF(OR(AN152/AL152&gt;2,AN152/AL152&lt;0.5),"NM",(AN152/AL152-1)*100))</f>
        <v>NA</v>
      </c>
      <c r="AP152" s="219">
        <f>AN152</f>
        <v>0</v>
      </c>
      <c r="AQ152" s="61" t="str">
        <f>IF(ISERROR(AP152/AN152),"NA",IF(OR(AP152/AN152&gt;2,AP152/AN152&lt;0.5),"NM",(AP152/AN152-1)*100))</f>
        <v>NA</v>
      </c>
      <c r="AR152" s="219">
        <f>AP152</f>
        <v>0</v>
      </c>
      <c r="AS152" s="61" t="str">
        <f>IF(ISERROR(AR152/AP152),"NA",IF(OR(AR152/AP152&gt;2,AR152/AP152&lt;0.5),"NM",(AR152/AP152-1)*100))</f>
        <v>NA</v>
      </c>
      <c r="AT152" s="219">
        <f>AR152</f>
        <v>0</v>
      </c>
      <c r="AU152" s="61" t="str">
        <f>IF(ISERROR(AT152/AR152),"NA",IF(OR(AT152/AR152&gt;2,AT152/AR152&lt;0.5),"NM",(AT152/AR152-1)*100))</f>
        <v>NA</v>
      </c>
      <c r="AV152" s="219">
        <f>AT152</f>
        <v>0</v>
      </c>
      <c r="AW152" s="61" t="str">
        <f>IF(ISERROR(AV152/AT152),"NA",IF(OR(AV152/AT152&gt;2,AV152/AT152&lt;0.5),"NM",(AV152/AT152-1)*100))</f>
        <v>NA</v>
      </c>
      <c r="AX152" s="63" t="str">
        <f>IF(ISERROR(((AV152/AL152)^0.2-1)*100),"NA",IF((((AV152/AL152)^0.2-1)*100)&gt;100,"NM",IF((((AV152/AL152)^0.2-1)*100)&lt;-50,"NM",((AV152/AL152)^0.2-1)*100)))</f>
        <v>NA</v>
      </c>
      <c r="AY152" s="58"/>
      <c r="AZ152" s="106"/>
      <c r="BA152"/>
      <c r="BB152"/>
      <c r="BC152"/>
      <c r="BD152"/>
      <c r="BE152"/>
      <c r="BF152"/>
      <c r="BG152" s="31"/>
      <c r="BH152" s="28"/>
      <c r="BI152" s="28"/>
      <c r="BJ152" s="28"/>
      <c r="BK152" s="28"/>
      <c r="BL152" s="28"/>
      <c r="BM152" s="28"/>
      <c r="BN152" s="24"/>
    </row>
    <row r="153" spans="1:66" s="439" customFormat="1" ht="12.75" customHeight="1">
      <c r="A153" s="31" t="s">
        <v>54</v>
      </c>
      <c r="B153" s="95" t="s">
        <v>55</v>
      </c>
      <c r="C153" s="138">
        <f>+C152/C180*100</f>
        <v>0</v>
      </c>
      <c r="D153" s="61"/>
      <c r="E153" s="138">
        <f>+E152/E180*100</f>
        <v>0</v>
      </c>
      <c r="F153" s="61"/>
      <c r="G153" s="138">
        <f>+G152/G180*100</f>
        <v>0</v>
      </c>
      <c r="H153" s="61"/>
      <c r="I153" s="138">
        <f>+I152/I180*100</f>
        <v>0</v>
      </c>
      <c r="J153" s="61"/>
      <c r="K153" s="138">
        <f>+K152/K180*100</f>
        <v>0</v>
      </c>
      <c r="L153" s="61" t="str">
        <f>IF(ISERROR(K153/C153),"NA",IF(OR(K153/C153&gt;2,K153/C153&lt;0.5),"NM",(K153/C153-1)*100))</f>
        <v>NA</v>
      </c>
      <c r="M153" s="138">
        <f>+M152/M180*100</f>
        <v>0</v>
      </c>
      <c r="N153" s="61" t="str">
        <f>IF(ISERROR(M153/E153),"NA",IF(OR(M153/E153&gt;2,M153/E153&lt;0.5),"NM",(M153/E153-1)*100))</f>
        <v>NA</v>
      </c>
      <c r="O153" s="138">
        <f>+O152/O180*100</f>
        <v>0</v>
      </c>
      <c r="P153" s="61" t="str">
        <f>IF(ISERROR(O153/G153),"NA",IF(OR(O153/G153&gt;2,O153/G153&lt;0.5),"NM",(O153/G153-1)*100))</f>
        <v>NA</v>
      </c>
      <c r="Q153" s="138">
        <f>+Q152/Q180*100</f>
        <v>0</v>
      </c>
      <c r="R153" s="61" t="str">
        <f>IF(ISERROR(Q153/I153),"NA",IF(OR(Q153/I153&gt;2,Q153/I153&lt;0.5),"NM",(Q153/I153-1)*100))</f>
        <v>NA</v>
      </c>
      <c r="S153" s="138">
        <f>+S152/S180*100</f>
        <v>0</v>
      </c>
      <c r="T153" s="61" t="str">
        <f>IF(ISERROR(S153/K153),"NA",IF(OR(S153/K153&gt;2,S153/K153&lt;0.5),"NM",(S153/K153-1)*100))</f>
        <v>NA</v>
      </c>
      <c r="U153" s="138">
        <f>+U152/U180*100</f>
        <v>0</v>
      </c>
      <c r="V153" s="61" t="str">
        <f>IF(ISERROR(U153/M153),"NA",IF(OR(U153/M153&gt;2,U153/M153&lt;0.5),"NM",(U153/M153-1)*100))</f>
        <v>NA</v>
      </c>
      <c r="W153" s="138">
        <f>+W152/W180*100</f>
        <v>0</v>
      </c>
      <c r="X153" s="61" t="str">
        <f>IF(ISERROR(W153/O153),"NA",IF(OR(W153/O153&gt;2,W153/O153&lt;0.5),"NM",(W153/O153-1)*100))</f>
        <v>NA</v>
      </c>
      <c r="Y153" s="138">
        <f>+Y152/Y180*100</f>
        <v>0</v>
      </c>
      <c r="Z153" s="61" t="str">
        <f>IF(ISERROR(Y153/Q153),"NA",IF(OR(Y153/Q153&gt;2,Y153/Q153&lt;0.5),"NM",(Y153/Q153-1)*100))</f>
        <v>NA</v>
      </c>
      <c r="AA153" s="108"/>
      <c r="AB153" s="180"/>
      <c r="AC153" s="91"/>
      <c r="AD153" s="138">
        <f>+AD152/AD180*100</f>
        <v>0</v>
      </c>
      <c r="AE153" s="61" t="str">
        <f>IF(ISERROR(AD153/#REF!),"NA",IF(OR(AD153/#REF!&gt;2,AD153/#REF!&lt;0.5),"NM",(AD153/#REF!-1)*100))</f>
        <v>NA</v>
      </c>
      <c r="AF153" s="138">
        <f>+AF152/AF180*100</f>
        <v>0</v>
      </c>
      <c r="AG153" s="61" t="str">
        <f>IF(ISERROR(AF153/AD153),"NA",IF(OR(AF153/AD153&gt;2,AF153/AD153&lt;0.5),"NM",(AF153/AD153-1)*100))</f>
        <v>NA</v>
      </c>
      <c r="AH153" s="138">
        <f>+AH152/AH180*100</f>
        <v>0</v>
      </c>
      <c r="AI153" s="61" t="str">
        <f>IF(ISERROR(AH153/AF153),"NA",IF(OR(AH153/AF153&gt;2,AH153/AF153&lt;0.5),"NM",(AH153/AF153-1)*100))</f>
        <v>NA</v>
      </c>
      <c r="AJ153" s="138">
        <f>+AJ152/AJ180*100</f>
        <v>0</v>
      </c>
      <c r="AK153" s="61" t="str">
        <f>IF(ISERROR(AJ153/AH153),"NA",IF(OR(AJ153/AH153&gt;2,AJ153/AH153&lt;0.5),"NM",(AJ153/AH153-1)*100))</f>
        <v>NA</v>
      </c>
      <c r="AL153" s="138">
        <f>+AL152/AL180*100</f>
        <v>0</v>
      </c>
      <c r="AM153" s="61" t="str">
        <f>IF(ISERROR(AL153/AJ153),"NA",IF(OR(AL153/AJ153&gt;2,AL153/AJ153&lt;0.5),"NM",(AL153/AJ153-1)*100))</f>
        <v>NA</v>
      </c>
      <c r="AN153" s="138">
        <f>+AN152/AN180*100</f>
        <v>0</v>
      </c>
      <c r="AO153" s="61" t="str">
        <f>IF(ISERROR(AN153/AL153),"NA",IF(OR(AN153/AL153&gt;2,AN153/AL153&lt;0.5),"NM",(AN153/AL153-1)*100))</f>
        <v>NA</v>
      </c>
      <c r="AP153" s="138">
        <f>+AP152/AP180*100</f>
        <v>0</v>
      </c>
      <c r="AQ153" s="61" t="str">
        <f>IF(ISERROR(AP153/AN153),"NA",IF(OR(AP153/AN153&gt;2,AP153/AN153&lt;0.5),"NM",(AP153/AN153-1)*100))</f>
        <v>NA</v>
      </c>
      <c r="AR153" s="138">
        <f>+AR152/AR180*100</f>
        <v>0</v>
      </c>
      <c r="AS153" s="61" t="str">
        <f>IF(ISERROR(AR153/AP153),"NA",IF(OR(AR153/AP153&gt;2,AR153/AP153&lt;0.5),"NM",(AR153/AP153-1)*100))</f>
        <v>NA</v>
      </c>
      <c r="AT153" s="138">
        <f>+AT152/AT180*100</f>
        <v>0</v>
      </c>
      <c r="AU153" s="61" t="str">
        <f>IF(ISERROR(AT153/AR153),"NA",IF(OR(AT153/AR153&gt;2,AT153/AR153&lt;0.5),"NM",(AT153/AR153-1)*100))</f>
        <v>NA</v>
      </c>
      <c r="AV153" s="138">
        <f>+AV152/AV180*100</f>
        <v>0</v>
      </c>
      <c r="AW153" s="61" t="str">
        <f>IF(ISERROR(AV153/AT153),"NA",IF(OR(AV153/AT153&gt;2,AV153/AT153&lt;0.5),"NM",(AV153/AT153-1)*100))</f>
        <v>NA</v>
      </c>
      <c r="AX153" s="63" t="str">
        <f>IF(ISERROR(((AV153/AL153)^0.2-1)*100),"NA",IF((((AV153/AL153)^0.2-1)*100)&gt;100,"NM",IF((((AV153/AL153)^0.2-1)*100)&lt;-50,"NM",((AV153/AL153)^0.2-1)*100)))</f>
        <v>NA</v>
      </c>
      <c r="AY153" s="58"/>
      <c r="AZ153" s="106"/>
      <c r="BA153"/>
      <c r="BB153"/>
      <c r="BC153"/>
      <c r="BD153"/>
      <c r="BE153"/>
      <c r="BF153"/>
      <c r="BG153" s="31"/>
      <c r="BH153" s="28"/>
      <c r="BI153" s="28"/>
      <c r="BJ153" s="28"/>
      <c r="BK153" s="28"/>
      <c r="BL153" s="28"/>
      <c r="BM153" s="28"/>
      <c r="BN153" s="24"/>
    </row>
    <row r="154" spans="1:66" s="439" customFormat="1" ht="12.75" customHeight="1">
      <c r="A154" s="24" t="s">
        <v>56</v>
      </c>
      <c r="B154" s="95" t="s">
        <v>57</v>
      </c>
      <c r="C154" s="139">
        <f>C152*C174</f>
        <v>0</v>
      </c>
      <c r="D154" s="61"/>
      <c r="E154" s="139">
        <f>E152*E174</f>
        <v>0</v>
      </c>
      <c r="F154" s="61"/>
      <c r="G154" s="139">
        <f>G152*G174</f>
        <v>0</v>
      </c>
      <c r="H154" s="61"/>
      <c r="I154" s="139">
        <f>I152*I174</f>
        <v>0</v>
      </c>
      <c r="J154" s="61"/>
      <c r="K154" s="139">
        <f>K152*K174</f>
        <v>0</v>
      </c>
      <c r="L154" s="61" t="str">
        <f>IF(ISERROR(K154/C154),"NA",IF(OR(K154/C154&gt;2,K154/C154&lt;0.5),"NM",(K154/C154-1)*100))</f>
        <v>NA</v>
      </c>
      <c r="M154" s="139">
        <f>M152*M174</f>
        <v>0</v>
      </c>
      <c r="N154" s="61" t="str">
        <f>IF(ISERROR(M154/E154),"NA",IF(OR(M154/E154&gt;2,M154/E154&lt;0.5),"NM",(M154/E154-1)*100))</f>
        <v>NA</v>
      </c>
      <c r="O154" s="139">
        <f>O152*O174</f>
        <v>0</v>
      </c>
      <c r="P154" s="61" t="str">
        <f>IF(ISERROR(O154/G154),"NA",IF(OR(O154/G154&gt;2,O154/G154&lt;0.5),"NM",(O154/G154-1)*100))</f>
        <v>NA</v>
      </c>
      <c r="Q154" s="139">
        <f>Q152*Q174</f>
        <v>0</v>
      </c>
      <c r="R154" s="61" t="str">
        <f>IF(ISERROR(Q154/I154),"NA",IF(OR(Q154/I154&gt;2,Q154/I154&lt;0.5),"NM",(Q154/I154-1)*100))</f>
        <v>NA</v>
      </c>
      <c r="S154" s="139">
        <f>S152*S174</f>
        <v>0</v>
      </c>
      <c r="T154" s="61" t="str">
        <f>IF(ISERROR(S154/K154),"NA",IF(OR(S154/K154&gt;2,S154/K154&lt;0.5),"NM",(S154/K154-1)*100))</f>
        <v>NA</v>
      </c>
      <c r="U154" s="139">
        <f>U152*U174</f>
        <v>0</v>
      </c>
      <c r="V154" s="61" t="str">
        <f>IF(ISERROR(U154/M154),"NA",IF(OR(U154/M154&gt;2,U154/M154&lt;0.5),"NM",(U154/M154-1)*100))</f>
        <v>NA</v>
      </c>
      <c r="W154" s="139">
        <f>W152*W174</f>
        <v>0</v>
      </c>
      <c r="X154" s="61" t="str">
        <f>IF(ISERROR(W154/O154),"NA",IF(OR(W154/O154&gt;2,W154/O154&lt;0.5),"NM",(W154/O154-1)*100))</f>
        <v>NA</v>
      </c>
      <c r="Y154" s="139">
        <f>Y152*Y174</f>
        <v>0</v>
      </c>
      <c r="Z154" s="61" t="str">
        <f>IF(ISERROR(Y154/Q154),"NA",IF(OR(Y154/Q154&gt;2,Y154/Q154&lt;0.5),"NM",(Y154/Q154-1)*100))</f>
        <v>NA</v>
      </c>
      <c r="AA154" s="28"/>
      <c r="AB154" s="180"/>
      <c r="AC154" s="91"/>
      <c r="AD154" s="139">
        <f>AD152*AD174</f>
        <v>0</v>
      </c>
      <c r="AE154" s="61" t="str">
        <f>IF(ISERROR(AD154/#REF!),"NA",IF(OR(AD154/#REF!&gt;2,AD154/#REF!&lt;0.5),"NM",(AD154/#REF!-1)*100))</f>
        <v>NA</v>
      </c>
      <c r="AF154" s="139">
        <f>AF152*AF174</f>
        <v>0</v>
      </c>
      <c r="AG154" s="61" t="str">
        <f>IF(ISERROR(AF154/AD154),"NA",IF(OR(AF154/AD154&gt;2,AF154/AD154&lt;0.5),"NM",(AF154/AD154-1)*100))</f>
        <v>NA</v>
      </c>
      <c r="AH154" s="139">
        <f>AH152*AH174</f>
        <v>0</v>
      </c>
      <c r="AI154" s="61" t="str">
        <f>IF(ISERROR(AH154/AF154),"NA",IF(OR(AH154/AF154&gt;2,AH154/AF154&lt;0.5),"NM",(AH154/AF154-1)*100))</f>
        <v>NA</v>
      </c>
      <c r="AJ154" s="139">
        <f>AJ152*AJ174</f>
        <v>0</v>
      </c>
      <c r="AK154" s="61" t="str">
        <f>IF(ISERROR(AJ154/AH154),"NA",IF(OR(AJ154/AH154&gt;2,AJ154/AH154&lt;0.5),"NM",(AJ154/AH154-1)*100))</f>
        <v>NA</v>
      </c>
      <c r="AL154" s="139">
        <f>AL152*AL174</f>
        <v>0</v>
      </c>
      <c r="AM154" s="61" t="str">
        <f>IF(ISERROR(AL154/AJ154),"NA",IF(OR(AL154/AJ154&gt;2,AL154/AJ154&lt;0.5),"NM",(AL154/AJ154-1)*100))</f>
        <v>NA</v>
      </c>
      <c r="AN154" s="139">
        <f>AN152*AN174</f>
        <v>0</v>
      </c>
      <c r="AO154" s="61" t="str">
        <f>IF(ISERROR(AN154/AL154),"NA",IF(OR(AN154/AL154&gt;2,AN154/AL154&lt;0.5),"NM",(AN154/AL154-1)*100))</f>
        <v>NA</v>
      </c>
      <c r="AP154" s="139">
        <f>AP152*AP174</f>
        <v>0</v>
      </c>
      <c r="AQ154" s="61" t="str">
        <f>IF(ISERROR(AP154/AN154),"NA",IF(OR(AP154/AN154&gt;2,AP154/AN154&lt;0.5),"NM",(AP154/AN154-1)*100))</f>
        <v>NA</v>
      </c>
      <c r="AR154" s="139">
        <f>AR152*AR174</f>
        <v>0</v>
      </c>
      <c r="AS154" s="61" t="str">
        <f>IF(ISERROR(AR154/AP154),"NA",IF(OR(AR154/AP154&gt;2,AR154/AP154&lt;0.5),"NM",(AR154/AP154-1)*100))</f>
        <v>NA</v>
      </c>
      <c r="AT154" s="139">
        <f>AT152*AT174</f>
        <v>0</v>
      </c>
      <c r="AU154" s="61" t="str">
        <f>IF(ISERROR(AT154/AR154),"NA",IF(OR(AT154/AR154&gt;2,AT154/AR154&lt;0.5),"NM",(AT154/AR154-1)*100))</f>
        <v>NA</v>
      </c>
      <c r="AV154" s="139">
        <f>AV152*AV174</f>
        <v>0</v>
      </c>
      <c r="AW154" s="61" t="str">
        <f>IF(ISERROR(AV154/AT154),"NA",IF(OR(AV154/AT154&gt;2,AV154/AT154&lt;0.5),"NM",(AV154/AT154-1)*100))</f>
        <v>NA</v>
      </c>
      <c r="AX154" s="63" t="str">
        <f>IF(ISERROR(((AV154/AL154)^0.2-1)*100),"NA",IF((((AV154/AL154)^0.2-1)*100)&gt;100,"NM",IF((((AV154/AL154)^0.2-1)*100)&lt;-50,"NM",((AV154/AL154)^0.2-1)*100)))</f>
        <v>NA</v>
      </c>
      <c r="AY154" s="58"/>
      <c r="AZ154" s="106"/>
      <c r="BA154"/>
      <c r="BB154"/>
      <c r="BC154"/>
      <c r="BD154"/>
      <c r="BE154"/>
      <c r="BF154"/>
      <c r="BG154" s="24"/>
      <c r="BH154" s="28"/>
      <c r="BI154" s="28"/>
      <c r="BJ154" s="28"/>
      <c r="BK154" s="28"/>
      <c r="BL154" s="28"/>
      <c r="BM154" s="28"/>
      <c r="BN154" s="24"/>
    </row>
    <row r="155" spans="1:66" s="439" customFormat="1" ht="12.75" customHeight="1">
      <c r="A155" s="109"/>
      <c r="B155" s="97"/>
      <c r="C155" s="91"/>
      <c r="D155" s="61"/>
      <c r="E155" s="91"/>
      <c r="F155" s="61"/>
      <c r="G155" s="91"/>
      <c r="H155" s="61"/>
      <c r="I155" s="91"/>
      <c r="J155" s="61"/>
      <c r="K155" s="91"/>
      <c r="L155" s="61"/>
      <c r="M155" s="91"/>
      <c r="N155" s="61"/>
      <c r="O155" s="91"/>
      <c r="P155" s="61"/>
      <c r="Q155" s="91"/>
      <c r="R155" s="61"/>
      <c r="S155" s="91"/>
      <c r="T155" s="61"/>
      <c r="U155" s="91"/>
      <c r="V155" s="61"/>
      <c r="W155" s="91"/>
      <c r="X155" s="61"/>
      <c r="Y155" s="91"/>
      <c r="Z155" s="61"/>
      <c r="AA155" s="108"/>
      <c r="AB155" s="180"/>
      <c r="AC155" s="91"/>
      <c r="AD155" s="91"/>
      <c r="AE155" s="61"/>
      <c r="AF155" s="91"/>
      <c r="AG155" s="61"/>
      <c r="AH155" s="91"/>
      <c r="AI155" s="61"/>
      <c r="AJ155" s="91"/>
      <c r="AK155" s="61"/>
      <c r="AL155" s="91"/>
      <c r="AM155" s="61"/>
      <c r="AN155" s="91"/>
      <c r="AO155" s="61"/>
      <c r="AP155" s="91"/>
      <c r="AQ155" s="61"/>
      <c r="AR155" s="91"/>
      <c r="AS155" s="61"/>
      <c r="AT155" s="91"/>
      <c r="AU155" s="61"/>
      <c r="AV155" s="91"/>
      <c r="AW155" s="61"/>
      <c r="AX155" s="61"/>
      <c r="AY155" s="58"/>
      <c r="AZ155" s="106"/>
      <c r="BA155"/>
      <c r="BB155"/>
      <c r="BC155"/>
      <c r="BD155"/>
      <c r="BE155"/>
      <c r="BF155"/>
      <c r="BG155" s="31"/>
      <c r="BH155" s="28"/>
      <c r="BI155" s="28"/>
      <c r="BJ155" s="28"/>
      <c r="BK155" s="28"/>
      <c r="BL155" s="28"/>
      <c r="BM155" s="28"/>
      <c r="BN155" s="24"/>
    </row>
    <row r="156" spans="1:66" s="439" customFormat="1" ht="12.75" customHeight="1">
      <c r="A156" s="109"/>
      <c r="B156" s="97" t="s">
        <v>58</v>
      </c>
      <c r="C156" s="91"/>
      <c r="D156" s="61"/>
      <c r="E156" s="91"/>
      <c r="F156" s="61"/>
      <c r="G156" s="91"/>
      <c r="H156" s="61"/>
      <c r="I156" s="91"/>
      <c r="J156" s="61"/>
      <c r="K156" s="91"/>
      <c r="L156" s="61"/>
      <c r="M156" s="91"/>
      <c r="N156" s="61"/>
      <c r="O156" s="91"/>
      <c r="P156" s="61"/>
      <c r="Q156" s="91"/>
      <c r="R156" s="61"/>
      <c r="S156" s="91"/>
      <c r="T156" s="61"/>
      <c r="U156" s="91"/>
      <c r="V156" s="61"/>
      <c r="W156" s="91"/>
      <c r="X156" s="61"/>
      <c r="Y156" s="91"/>
      <c r="Z156" s="61"/>
      <c r="AA156" s="108"/>
      <c r="AB156" s="180"/>
      <c r="AC156" s="91"/>
      <c r="AD156" s="91"/>
      <c r="AE156" s="61"/>
      <c r="AF156" s="91"/>
      <c r="AG156" s="61"/>
      <c r="AH156" s="91"/>
      <c r="AI156" s="61"/>
      <c r="AJ156" s="91"/>
      <c r="AK156" s="61"/>
      <c r="AL156" s="91"/>
      <c r="AM156" s="61"/>
      <c r="AN156" s="91"/>
      <c r="AO156" s="61"/>
      <c r="AP156" s="91"/>
      <c r="AQ156" s="61"/>
      <c r="AR156" s="91"/>
      <c r="AS156" s="61"/>
      <c r="AT156" s="91"/>
      <c r="AU156" s="61"/>
      <c r="AV156" s="91"/>
      <c r="AW156" s="61"/>
      <c r="AX156" s="61"/>
      <c r="AY156" s="58"/>
      <c r="AZ156" s="106"/>
      <c r="BA156"/>
      <c r="BB156"/>
      <c r="BC156"/>
      <c r="BD156"/>
      <c r="BE156"/>
      <c r="BF156"/>
      <c r="BG156" s="31"/>
      <c r="BH156" s="28"/>
      <c r="BI156" s="28"/>
      <c r="BJ156" s="28"/>
      <c r="BK156" s="28"/>
      <c r="BL156" s="28"/>
      <c r="BM156" s="28"/>
      <c r="BN156" s="24"/>
    </row>
    <row r="157" spans="1:66" s="439" customFormat="1" ht="12.75" customHeight="1">
      <c r="A157" s="109" t="s">
        <v>59</v>
      </c>
      <c r="B157" s="97" t="s">
        <v>60</v>
      </c>
      <c r="C157" s="221">
        <v>0</v>
      </c>
      <c r="D157" s="61"/>
      <c r="E157" s="221">
        <v>0</v>
      </c>
      <c r="F157" s="61"/>
      <c r="G157" s="221">
        <v>0</v>
      </c>
      <c r="H157" s="61"/>
      <c r="I157" s="221">
        <v>0</v>
      </c>
      <c r="J157" s="61"/>
      <c r="K157" s="221">
        <v>0</v>
      </c>
      <c r="L157" s="61" t="str">
        <f>IF(ISERROR(K157/C157),"NA",IF(OR(K157/C157&gt;2,K157/C157&lt;0.5),"NM",(K157/C157-1)*100))</f>
        <v>NA</v>
      </c>
      <c r="M157" s="221">
        <v>0</v>
      </c>
      <c r="N157" s="61" t="str">
        <f>IF(ISERROR(M157/E157),"NA",IF(OR(M157/E157&gt;2,M157/E157&lt;0.5),"NM",(M157/E157-1)*100))</f>
        <v>NA</v>
      </c>
      <c r="O157" s="221">
        <v>0</v>
      </c>
      <c r="P157" s="61" t="str">
        <f>IF(ISERROR(O157/G157),"NA",IF(OR(O157/G157&gt;2,O157/G157&lt;0.5),"NM",(O157/G157-1)*100))</f>
        <v>NA</v>
      </c>
      <c r="Q157" s="221">
        <v>0</v>
      </c>
      <c r="R157" s="61" t="str">
        <f>IF(ISERROR(Q157/I157),"NA",IF(OR(Q157/I157&gt;2,Q157/I157&lt;0.5),"NM",(Q157/I157-1)*100))</f>
        <v>NA</v>
      </c>
      <c r="S157" s="221">
        <v>0</v>
      </c>
      <c r="T157" s="61" t="str">
        <f>IF(ISERROR(S157/K157),"NA",IF(OR(S157/K157&gt;2,S157/K157&lt;0.5),"NM",(S157/K157-1)*100))</f>
        <v>NA</v>
      </c>
      <c r="U157" s="221">
        <v>0</v>
      </c>
      <c r="V157" s="61" t="str">
        <f>IF(ISERROR(U157/M157),"NA",IF(OR(U157/M157&gt;2,U157/M157&lt;0.5),"NM",(U157/M157-1)*100))</f>
        <v>NA</v>
      </c>
      <c r="W157" s="221">
        <v>0</v>
      </c>
      <c r="X157" s="61" t="str">
        <f>IF(ISERROR(W157/O157),"NA",IF(OR(W157/O157&gt;2,W157/O157&lt;0.5),"NM",(W157/O157-1)*100))</f>
        <v>NA</v>
      </c>
      <c r="Y157" s="221">
        <v>0</v>
      </c>
      <c r="Z157" s="61" t="str">
        <f>IF(ISERROR(Y157/Q157),"NA",IF(OR(Y157/Q157&gt;2,Y157/Q157&lt;0.5),"NM",(Y157/Q157-1)*100))</f>
        <v>NA</v>
      </c>
      <c r="AA157" s="28"/>
      <c r="AB157" s="180"/>
      <c r="AC157" s="91"/>
      <c r="AD157" s="221">
        <v>0</v>
      </c>
      <c r="AE157" s="61"/>
      <c r="AF157" s="221">
        <v>0</v>
      </c>
      <c r="AG157" s="61" t="str">
        <f>IF(ISERROR(AF157/AD157),"NA",IF(OR(AF157/AD157&gt;2,AF157/AD157&lt;0.5),"NM",(AF157/AD157-1)*100))</f>
        <v>NA</v>
      </c>
      <c r="AH157" s="221">
        <v>0</v>
      </c>
      <c r="AI157" s="61" t="str">
        <f>IF(ISERROR(AH157/AF157),"NA",IF(OR(AH157/AF157&gt;2,AH157/AF157&lt;0.5),"NM",(AH157/AF157-1)*100))</f>
        <v>NA</v>
      </c>
      <c r="AJ157" s="221">
        <f>E157+G157+I157+C157</f>
        <v>0</v>
      </c>
      <c r="AK157" s="61" t="str">
        <f>IF(ISERROR(AJ157/AH157),"NA",IF(OR(AJ157/AH157&gt;2,AJ157/AH157&lt;0.5),"NM",(AJ157/AH157-1)*100))</f>
        <v>NA</v>
      </c>
      <c r="AL157" s="221">
        <f>M157+O157+Q157+K157</f>
        <v>0</v>
      </c>
      <c r="AM157" s="61" t="str">
        <f>IF(ISERROR(AL157/AJ157),"NA",IF(OR(AL157/AJ157&gt;2,AL157/AJ157&lt;0.5),"NM",(AL157/AJ157-1)*100))</f>
        <v>NA</v>
      </c>
      <c r="AN157" s="221">
        <f>U157+W157+Y157+S157</f>
        <v>0</v>
      </c>
      <c r="AO157" s="61" t="str">
        <f>IF(ISERROR(AN157/AL157),"NA",IF(OR(AN157/AL157&gt;2,AN157/AL157&lt;0.5),"NM",(AN157/AL157-1)*100))</f>
        <v>NA</v>
      </c>
      <c r="AP157" s="221">
        <f>AN157</f>
        <v>0</v>
      </c>
      <c r="AQ157" s="61" t="str">
        <f>IF(ISERROR(AP157/AN157),"NA",IF(OR(AP157/AN157&gt;2,AP157/AN157&lt;0.5),"NM",(AP157/AN157-1)*100))</f>
        <v>NA</v>
      </c>
      <c r="AR157" s="221">
        <f>AP157</f>
        <v>0</v>
      </c>
      <c r="AS157" s="61" t="str">
        <f>IF(ISERROR(AR157/AP157),"NA",IF(OR(AR157/AP157&gt;2,AR157/AP157&lt;0.5),"NM",(AR157/AP157-1)*100))</f>
        <v>NA</v>
      </c>
      <c r="AT157" s="221">
        <f>AR157</f>
        <v>0</v>
      </c>
      <c r="AU157" s="61" t="str">
        <f>IF(ISERROR(AT157/AR157),"NA",IF(OR(AT157/AR157&gt;2,AT157/AR157&lt;0.5),"NM",(AT157/AR157-1)*100))</f>
        <v>NA</v>
      </c>
      <c r="AV157" s="221">
        <f>AT157</f>
        <v>0</v>
      </c>
      <c r="AW157" s="61" t="str">
        <f>IF(ISERROR(AV157/AT157),"NA",IF(OR(AV157/AT157&gt;2,AV157/AT157&lt;0.5),"NM",(AV157/AT157-1)*100))</f>
        <v>NA</v>
      </c>
      <c r="AX157" s="63" t="str">
        <f>IF(ISERROR(((AV157/AL157)^0.2-1)*100),"NA",IF((((AV157/AL157)^0.2-1)*100)&gt;100,"NM",IF((((AV157/AL157)^0.2-1)*100)&lt;-50,"NM",((AV157/AL157)^0.2-1)*100)))</f>
        <v>NA</v>
      </c>
      <c r="AY157" s="58"/>
      <c r="AZ157" s="106"/>
      <c r="BA157"/>
      <c r="BB157"/>
      <c r="BC157"/>
      <c r="BD157"/>
      <c r="BE157"/>
      <c r="BF157"/>
      <c r="BG157" s="31"/>
      <c r="BH157" s="28"/>
      <c r="BI157" s="28"/>
      <c r="BJ157" s="28"/>
      <c r="BK157" s="28"/>
      <c r="BL157" s="28"/>
      <c r="BM157" s="28"/>
      <c r="BN157" s="24"/>
    </row>
    <row r="158" spans="1:66" s="439" customFormat="1" ht="12.75" customHeight="1">
      <c r="A158" s="109"/>
      <c r="B158" s="95" t="s">
        <v>61</v>
      </c>
      <c r="C158" s="140">
        <f>C163*0.75</f>
        <v>37.5</v>
      </c>
      <c r="D158" s="25"/>
      <c r="E158" s="140">
        <f>E163*0.75</f>
        <v>37.5</v>
      </c>
      <c r="F158" s="25"/>
      <c r="G158" s="140">
        <f>G163*0.75</f>
        <v>37.5</v>
      </c>
      <c r="H158" s="25"/>
      <c r="I158" s="140">
        <f>I163*0.75</f>
        <v>37.5</v>
      </c>
      <c r="J158" s="25"/>
      <c r="K158" s="140">
        <f>K163*0.75</f>
        <v>39.75</v>
      </c>
      <c r="L158" s="25">
        <f>IF(ISERROR(K158/C158),"NA",IF(OR(K158/C158&gt;2,K158/C158&lt;0.5),"NM",(K158/C158-1)*100))</f>
        <v>6.0000000000000053</v>
      </c>
      <c r="M158" s="140">
        <f>M163*0.75</f>
        <v>39.75</v>
      </c>
      <c r="N158" s="25">
        <f>IF(ISERROR(M158/E158),"NA",IF(OR(M158/E158&gt;2,M158/E158&lt;0.5),"NM",(M158/E158-1)*100))</f>
        <v>6.0000000000000053</v>
      </c>
      <c r="O158" s="140">
        <f>O163*0.75</f>
        <v>39.75</v>
      </c>
      <c r="P158" s="25">
        <f>IF(ISERROR(O158/G158),"NA",IF(OR(O158/G158&gt;2,O158/G158&lt;0.5),"NM",(O158/G158-1)*100))</f>
        <v>6.0000000000000053</v>
      </c>
      <c r="Q158" s="140">
        <f>Q163*0.75</f>
        <v>39.75</v>
      </c>
      <c r="R158" s="25">
        <f>IF(ISERROR(Q158/I158),"NA",IF(OR(Q158/I158&gt;2,Q158/I158&lt;0.5),"NM",(Q158/I158-1)*100))</f>
        <v>6.0000000000000053</v>
      </c>
      <c r="S158" s="140">
        <f>S163*0.75</f>
        <v>40.545000000000002</v>
      </c>
      <c r="T158" s="25">
        <f>IF(ISERROR(S158/K158),"NA",IF(OR(S158/K158&gt;2,S158/K158&lt;0.5),"NM",(S158/K158-1)*100))</f>
        <v>2.0000000000000018</v>
      </c>
      <c r="U158" s="140">
        <f>U163*0.75</f>
        <v>41.355900000000005</v>
      </c>
      <c r="V158" s="25">
        <f>IF(ISERROR(U158/M158),"NA",IF(OR(U158/M158&gt;2,U158/M158&lt;0.5),"NM",(U158/M158-1)*100))</f>
        <v>4.0400000000000214</v>
      </c>
      <c r="W158" s="140">
        <f>W163*0.75</f>
        <v>42.183018000000004</v>
      </c>
      <c r="X158" s="25">
        <f>IF(ISERROR(W158/O158),"NA",IF(OR(W158/O158&gt;2,W158/O158&lt;0.5),"NM",(W158/O158-1)*100))</f>
        <v>6.1208000000000151</v>
      </c>
      <c r="Y158" s="140">
        <f>Y163*0.75</f>
        <v>43.026678360000005</v>
      </c>
      <c r="Z158" s="25">
        <f>IF(ISERROR(Y158/Q158),"NA",IF(OR(Y158/Q158&gt;2,Y158/Q158&lt;0.5),"NM",(Y158/Q158-1)*100))</f>
        <v>8.2432160000000199</v>
      </c>
      <c r="AA158" s="108"/>
      <c r="AB158" s="180"/>
      <c r="AC158" s="91"/>
      <c r="AD158" s="140">
        <f>AD163*0.75</f>
        <v>37.5</v>
      </c>
      <c r="AE158" s="132"/>
      <c r="AF158" s="140">
        <f>AF163*0.75</f>
        <v>37.5</v>
      </c>
      <c r="AG158" s="61">
        <f>IF(ISERROR(AF158/AD158),"NA",IF(OR(AF158/AD158&gt;2,AF158/AD158&lt;0.5),"NM",(AF158/AD158-1)*100))</f>
        <v>0</v>
      </c>
      <c r="AH158" s="140">
        <f>AH163*0.75</f>
        <v>37.5</v>
      </c>
      <c r="AI158" s="61">
        <f>IF(ISERROR(AH158/AF158),"NA",IF(OR(AH158/AF158&gt;2,AH158/AF158&lt;0.5),"NM",(AH158/AF158-1)*100))</f>
        <v>0</v>
      </c>
      <c r="AJ158" s="140">
        <f>AJ163*0.75</f>
        <v>37.5</v>
      </c>
      <c r="AK158" s="61">
        <f>IF(ISERROR(AJ158/AH158),"NA",IF(OR(AJ158/AH158&gt;2,AJ158/AH158&lt;0.5),"NM",(AJ158/AH158-1)*100))</f>
        <v>0</v>
      </c>
      <c r="AL158" s="140">
        <f>AL163*0.75</f>
        <v>41.34</v>
      </c>
      <c r="AM158" s="61">
        <f>IF(ISERROR(AL158/AJ158),"NA",IF(OR(AL158/AJ158&gt;2,AL158/AJ158&lt;0.5),"NM",(AL158/AJ158-1)*100))</f>
        <v>10.240000000000006</v>
      </c>
      <c r="AN158" s="140">
        <f>AN163*0.75</f>
        <v>44.747745494400007</v>
      </c>
      <c r="AO158" s="61">
        <f>IF(ISERROR(AN158/AL158),"NA",IF(OR(AN158/AL158&gt;2,AN158/AL158&lt;0.5),"NM",(AN158/AL158-1)*100))</f>
        <v>8.2432159999999968</v>
      </c>
      <c r="AP158" s="140">
        <f>AP163*0.75</f>
        <v>48.327565133952007</v>
      </c>
      <c r="AQ158" s="61">
        <f>IF(ISERROR(AP158/AN158),"NA",IF(OR(AP158/AN158&gt;2,AP158/AN158&lt;0.5),"NM",(AP158/AN158-1)*100))</f>
        <v>8.0000000000000071</v>
      </c>
      <c r="AR158" s="140">
        <f>AR163*0.75</f>
        <v>52.193770344668167</v>
      </c>
      <c r="AS158" s="61">
        <f>IF(ISERROR(AR158/AP158),"NA",IF(OR(AR158/AP158&gt;2,AR158/AP158&lt;0.5),"NM",(AR158/AP158-1)*100))</f>
        <v>8.0000000000000071</v>
      </c>
      <c r="AT158" s="140">
        <f>AT163*0.75</f>
        <v>56.369271972241634</v>
      </c>
      <c r="AU158" s="61">
        <f>IF(ISERROR(AT158/AR158),"NA",IF(OR(AT158/AR158&gt;2,AT158/AR158&lt;0.5),"NM",(AT158/AR158-1)*100))</f>
        <v>8.0000000000000284</v>
      </c>
      <c r="AV158" s="140">
        <f>AV163*0.75</f>
        <v>60.878813730020966</v>
      </c>
      <c r="AW158" s="61">
        <f>IF(ISERROR(AV158/AT158),"NA",IF(OR(AV158/AT158&gt;2,AV158/AT158&lt;0.5),"NM",(AV158/AT158-1)*100))</f>
        <v>8.0000000000000071</v>
      </c>
      <c r="AX158" s="63">
        <f>IF(ISERROR(((AV158/AL158)^0.2-1)*100),"NA",IF((((AV158/AL158)^0.2-1)*100)&gt;100,"NM",IF((((AV158/AL158)^0.2-1)*100)&lt;-50,"NM",((AV158/AL158)^0.2-1)*100)))</f>
        <v>8.0485994413188813</v>
      </c>
      <c r="AY158" s="58"/>
      <c r="AZ158" s="106"/>
      <c r="BA158"/>
      <c r="BB158"/>
      <c r="BC158"/>
      <c r="BD158"/>
      <c r="BE158"/>
      <c r="BF158"/>
      <c r="BG158" s="31"/>
      <c r="BH158" s="28"/>
      <c r="BI158" s="28"/>
      <c r="BJ158" s="28"/>
      <c r="BK158" s="28"/>
      <c r="BL158" s="28"/>
      <c r="BM158" s="28"/>
      <c r="BN158" s="24"/>
    </row>
    <row r="159" spans="1:66" s="439" customFormat="1" ht="12.75" customHeight="1">
      <c r="A159" s="109"/>
      <c r="B159" s="95" t="s">
        <v>62</v>
      </c>
      <c r="C159" s="199">
        <v>50</v>
      </c>
      <c r="D159" s="61"/>
      <c r="E159" s="199">
        <v>50</v>
      </c>
      <c r="F159" s="61"/>
      <c r="G159" s="199">
        <v>50</v>
      </c>
      <c r="H159" s="61"/>
      <c r="I159" s="199">
        <v>50</v>
      </c>
      <c r="J159" s="61"/>
      <c r="K159" s="199">
        <v>50</v>
      </c>
      <c r="L159" s="61">
        <f>IF(ISERROR(K159/C159),"NA",IF(OR(K159/C159&gt;2,K159/C159&lt;0.5),"NM",(K159/C159-1)*100))</f>
        <v>0</v>
      </c>
      <c r="M159" s="199">
        <v>50</v>
      </c>
      <c r="N159" s="61">
        <f>IF(ISERROR(M159/E159),"NA",IF(OR(M159/E159&gt;2,M159/E159&lt;0.5),"NM",(M159/E159-1)*100))</f>
        <v>0</v>
      </c>
      <c r="O159" s="199">
        <v>50</v>
      </c>
      <c r="P159" s="61">
        <f>IF(ISERROR(O159/G159),"NA",IF(OR(O159/G159&gt;2,O159/G159&lt;0.5),"NM",(O159/G159-1)*100))</f>
        <v>0</v>
      </c>
      <c r="Q159" s="199">
        <v>50</v>
      </c>
      <c r="R159" s="61">
        <f>IF(ISERROR(Q159/I159),"NA",IF(OR(Q159/I159&gt;2,Q159/I159&lt;0.5),"NM",(Q159/I159-1)*100))</f>
        <v>0</v>
      </c>
      <c r="S159" s="199">
        <v>50</v>
      </c>
      <c r="T159" s="61">
        <f>IF(ISERROR(S159/K159),"NA",IF(OR(S159/K159&gt;2,S159/K159&lt;0.5),"NM",(S159/K159-1)*100))</f>
        <v>0</v>
      </c>
      <c r="U159" s="199">
        <v>50</v>
      </c>
      <c r="V159" s="61">
        <f>IF(ISERROR(U159/M159),"NA",IF(OR(U159/M159&gt;2,U159/M159&lt;0.5),"NM",(U159/M159-1)*100))</f>
        <v>0</v>
      </c>
      <c r="W159" s="199">
        <v>50</v>
      </c>
      <c r="X159" s="61">
        <f>IF(ISERROR(W159/O159),"NA",IF(OR(W159/O159&gt;2,W159/O159&lt;0.5),"NM",(W159/O159-1)*100))</f>
        <v>0</v>
      </c>
      <c r="Y159" s="199">
        <v>50</v>
      </c>
      <c r="Z159" s="61">
        <f>IF(ISERROR(Y159/Q159),"NA",IF(OR(Y159/Q159&gt;2,Y159/Q159&lt;0.5),"NM",(Y159/Q159-1)*100))</f>
        <v>0</v>
      </c>
      <c r="AA159" s="108"/>
      <c r="AB159" s="180"/>
      <c r="AC159" s="91"/>
      <c r="AD159" s="199">
        <v>50</v>
      </c>
      <c r="AE159" s="61"/>
      <c r="AF159" s="199">
        <v>50</v>
      </c>
      <c r="AG159" s="61">
        <f>IF(ISERROR(AF159/AD159),"NA",IF(OR(AF159/AD159&gt;2,AF159/AD159&lt;0.5),"NM",(AF159/AD159-1)*100))</f>
        <v>0</v>
      </c>
      <c r="AH159" s="199">
        <v>50</v>
      </c>
      <c r="AI159" s="61">
        <f>IF(ISERROR(AH159/AF159),"NA",IF(OR(AH159/AF159&gt;2,AH159/AF159&lt;0.5),"NM",(AH159/AF159-1)*100))</f>
        <v>0</v>
      </c>
      <c r="AJ159" s="199">
        <v>50</v>
      </c>
      <c r="AK159" s="61">
        <f>IF(ISERROR(AJ159/AH159),"NA",IF(OR(AJ159/AH159&gt;2,AJ159/AH159&lt;0.5),"NM",(AJ159/AH159-1)*100))</f>
        <v>0</v>
      </c>
      <c r="AL159" s="199">
        <v>50</v>
      </c>
      <c r="AM159" s="61">
        <f>IF(ISERROR(AL159/AJ159),"NA",IF(OR(AL159/AJ159&gt;2,AL159/AJ159&lt;0.5),"NM",(AL159/AJ159-1)*100))</f>
        <v>0</v>
      </c>
      <c r="AN159" s="199">
        <v>50</v>
      </c>
      <c r="AO159" s="61">
        <f>IF(ISERROR(AN159/AL159),"NA",IF(OR(AN159/AL159&gt;2,AN159/AL159&lt;0.5),"NM",(AN159/AL159-1)*100))</f>
        <v>0</v>
      </c>
      <c r="AP159" s="199">
        <v>50</v>
      </c>
      <c r="AQ159" s="61">
        <f>IF(ISERROR(AP159/AN159),"NA",IF(OR(AP159/AN159&gt;2,AP159/AN159&lt;0.5),"NM",(AP159/AN159-1)*100))</f>
        <v>0</v>
      </c>
      <c r="AR159" s="199">
        <v>50</v>
      </c>
      <c r="AS159" s="61">
        <f>IF(ISERROR(AR159/AP159),"NA",IF(OR(AR159/AP159&gt;2,AR159/AP159&lt;0.5),"NM",(AR159/AP159-1)*100))</f>
        <v>0</v>
      </c>
      <c r="AT159" s="199">
        <v>50</v>
      </c>
      <c r="AU159" s="61">
        <f>IF(ISERROR(AT159/AR159),"NA",IF(OR(AT159/AR159&gt;2,AT159/AR159&lt;0.5),"NM",(AT159/AR159-1)*100))</f>
        <v>0</v>
      </c>
      <c r="AV159" s="199">
        <v>50</v>
      </c>
      <c r="AW159" s="61">
        <f>IF(ISERROR(AV159/AT159),"NA",IF(OR(AV159/AT159&gt;2,AV159/AT159&lt;0.5),"NM",(AV159/AT159-1)*100))</f>
        <v>0</v>
      </c>
      <c r="AX159" s="63">
        <f>IF(ISERROR(((AV159/AL159)^0.2-1)*100),"NA",IF((((AV159/AL159)^0.2-1)*100)&gt;100,"NM",IF((((AV159/AL159)^0.2-1)*100)&lt;-50,"NM",((AV159/AL159)^0.2-1)*100)))</f>
        <v>0</v>
      </c>
      <c r="AY159" s="58"/>
      <c r="AZ159" s="106"/>
      <c r="BA159"/>
      <c r="BB159"/>
      <c r="BC159"/>
      <c r="BD159"/>
      <c r="BE159"/>
      <c r="BF159"/>
      <c r="BG159" s="31"/>
      <c r="BH159" s="28"/>
      <c r="BI159" s="28"/>
      <c r="BJ159" s="28"/>
      <c r="BK159" s="28"/>
      <c r="BL159" s="28"/>
      <c r="BM159" s="28"/>
      <c r="BN159" s="24"/>
    </row>
    <row r="160" spans="1:66" s="439" customFormat="1" ht="12.75" customHeight="1">
      <c r="A160" s="109" t="s">
        <v>63</v>
      </c>
      <c r="B160" s="95" t="s">
        <v>64</v>
      </c>
      <c r="C160" s="122">
        <f>C157*C158</f>
        <v>0</v>
      </c>
      <c r="D160" s="61"/>
      <c r="E160" s="122">
        <f>E157*E158</f>
        <v>0</v>
      </c>
      <c r="F160" s="61"/>
      <c r="G160" s="122">
        <f>G157*G158</f>
        <v>0</v>
      </c>
      <c r="H160" s="61"/>
      <c r="I160" s="122">
        <f>I157*I158</f>
        <v>0</v>
      </c>
      <c r="J160" s="61"/>
      <c r="K160" s="122">
        <f>K157*K158</f>
        <v>0</v>
      </c>
      <c r="L160" s="61" t="str">
        <f>IF(ISERROR(K160/C160),"NA",IF(OR(K160/C160&gt;2,K160/C160&lt;0.5),"NM",(K160/C160-1)*100))</f>
        <v>NA</v>
      </c>
      <c r="M160" s="122">
        <f>M157*M158</f>
        <v>0</v>
      </c>
      <c r="N160" s="61" t="str">
        <f>IF(ISERROR(M160/E160),"NA",IF(OR(M160/E160&gt;2,M160/E160&lt;0.5),"NM",(M160/E160-1)*100))</f>
        <v>NA</v>
      </c>
      <c r="O160" s="122">
        <f>O157*O158</f>
        <v>0</v>
      </c>
      <c r="P160" s="61" t="str">
        <f>IF(ISERROR(O160/G160),"NA",IF(OR(O160/G160&gt;2,O160/G160&lt;0.5),"NM",(O160/G160-1)*100))</f>
        <v>NA</v>
      </c>
      <c r="Q160" s="122">
        <f>Q157*Q158</f>
        <v>0</v>
      </c>
      <c r="R160" s="61" t="str">
        <f>IF(ISERROR(Q160/I160),"NA",IF(OR(Q160/I160&gt;2,Q160/I160&lt;0.5),"NM",(Q160/I160-1)*100))</f>
        <v>NA</v>
      </c>
      <c r="S160" s="122">
        <f>S157*S158</f>
        <v>0</v>
      </c>
      <c r="T160" s="61" t="str">
        <f>IF(ISERROR(S160/K160),"NA",IF(OR(S160/K160&gt;2,S160/K160&lt;0.5),"NM",(S160/K160-1)*100))</f>
        <v>NA</v>
      </c>
      <c r="U160" s="122">
        <f>U157*U158</f>
        <v>0</v>
      </c>
      <c r="V160" s="61" t="str">
        <f>IF(ISERROR(U160/M160),"NA",IF(OR(U160/M160&gt;2,U160/M160&lt;0.5),"NM",(U160/M160-1)*100))</f>
        <v>NA</v>
      </c>
      <c r="W160" s="122">
        <f>W157*W158</f>
        <v>0</v>
      </c>
      <c r="X160" s="61" t="str">
        <f>IF(ISERROR(W160/O160),"NA",IF(OR(W160/O160&gt;2,W160/O160&lt;0.5),"NM",(W160/O160-1)*100))</f>
        <v>NA</v>
      </c>
      <c r="Y160" s="122">
        <f>Y157*Y158</f>
        <v>0</v>
      </c>
      <c r="Z160" s="61" t="str">
        <f>IF(ISERROR(Y160/Q160),"NA",IF(OR(Y160/Q160&gt;2,Y160/Q160&lt;0.5),"NM",(Y160/Q160-1)*100))</f>
        <v>NA</v>
      </c>
      <c r="AA160" s="108"/>
      <c r="AB160" s="180"/>
      <c r="AC160" s="91"/>
      <c r="AD160" s="122">
        <f>AD157*AD158</f>
        <v>0</v>
      </c>
      <c r="AE160" s="61"/>
      <c r="AF160" s="122">
        <f>AF157*AF158</f>
        <v>0</v>
      </c>
      <c r="AG160" s="61" t="str">
        <f>IF(ISERROR(AF160/AD160),"NA",IF(OR(AF160/AD160&gt;2,AF160/AD160&lt;0.5),"NM",(AF160/AD160-1)*100))</f>
        <v>NA</v>
      </c>
      <c r="AH160" s="122">
        <f>AH157*AH158</f>
        <v>0</v>
      </c>
      <c r="AI160" s="61" t="str">
        <f>IF(ISERROR(AH160/AF160),"NA",IF(OR(AH160/AF160&gt;2,AH160/AF160&lt;0.5),"NM",(AH160/AF160-1)*100))</f>
        <v>NA</v>
      </c>
      <c r="AJ160" s="122">
        <f>AJ157*AJ158</f>
        <v>0</v>
      </c>
      <c r="AK160" s="61" t="str">
        <f>IF(ISERROR(AJ160/AH160),"NA",IF(OR(AJ160/AH160&gt;2,AJ160/AH160&lt;0.5),"NM",(AJ160/AH160-1)*100))</f>
        <v>NA</v>
      </c>
      <c r="AL160" s="122">
        <f>AL157*AL158</f>
        <v>0</v>
      </c>
      <c r="AM160" s="61" t="str">
        <f>IF(ISERROR(AL160/AJ160),"NA",IF(OR(AL160/AJ160&gt;2,AL160/AJ160&lt;0.5),"NM",(AL160/AJ160-1)*100))</f>
        <v>NA</v>
      </c>
      <c r="AN160" s="122">
        <f>AN157*AN158</f>
        <v>0</v>
      </c>
      <c r="AO160" s="61" t="str">
        <f>IF(ISERROR(AN160/AL160),"NA",IF(OR(AN160/AL160&gt;2,AN160/AL160&lt;0.5),"NM",(AN160/AL160-1)*100))</f>
        <v>NA</v>
      </c>
      <c r="AP160" s="122">
        <f>AP157*AP158</f>
        <v>0</v>
      </c>
      <c r="AQ160" s="61" t="str">
        <f>IF(ISERROR(AP160/AN160),"NA",IF(OR(AP160/AN160&gt;2,AP160/AN160&lt;0.5),"NM",(AP160/AN160-1)*100))</f>
        <v>NA</v>
      </c>
      <c r="AR160" s="122">
        <f>AR157*AR158</f>
        <v>0</v>
      </c>
      <c r="AS160" s="61" t="str">
        <f>IF(ISERROR(AR160/AP160),"NA",IF(OR(AR160/AP160&gt;2,AR160/AP160&lt;0.5),"NM",(AR160/AP160-1)*100))</f>
        <v>NA</v>
      </c>
      <c r="AT160" s="122">
        <f>AT157*AT158</f>
        <v>0</v>
      </c>
      <c r="AU160" s="61" t="str">
        <f>IF(ISERROR(AT160/AR160),"NA",IF(OR(AT160/AR160&gt;2,AT160/AR160&lt;0.5),"NM",(AT160/AR160-1)*100))</f>
        <v>NA</v>
      </c>
      <c r="AV160" s="122">
        <f>AV157*AV158</f>
        <v>0</v>
      </c>
      <c r="AW160" s="61" t="str">
        <f>IF(ISERROR(AV160/AT160),"NA",IF(OR(AV160/AT160&gt;2,AV160/AT160&lt;0.5),"NM",(AV160/AT160-1)*100))</f>
        <v>NA</v>
      </c>
      <c r="AX160" s="63" t="str">
        <f>IF(ISERROR(((AV160/AL160)^0.2-1)*100),"NA",IF((((AV160/AL160)^0.2-1)*100)&gt;100,"NM",IF((((AV160/AL160)^0.2-1)*100)&lt;-50,"NM",((AV160/AL160)^0.2-1)*100)))</f>
        <v>NA</v>
      </c>
      <c r="AY160" s="58"/>
      <c r="AZ160" s="106"/>
      <c r="BA160"/>
      <c r="BB160"/>
      <c r="BC160"/>
      <c r="BD160"/>
      <c r="BE160"/>
      <c r="BF160"/>
      <c r="BG160" s="31"/>
      <c r="BH160" s="28"/>
      <c r="BI160" s="28"/>
      <c r="BJ160" s="28"/>
      <c r="BK160" s="28"/>
      <c r="BL160" s="28"/>
      <c r="BM160" s="28"/>
      <c r="BN160" s="24"/>
    </row>
    <row r="161" spans="1:66" s="439" customFormat="1" ht="12.75" customHeight="1">
      <c r="A161" s="109"/>
      <c r="B161" s="95"/>
      <c r="C161" s="91"/>
      <c r="D161" s="61"/>
      <c r="E161" s="91"/>
      <c r="F161" s="61"/>
      <c r="G161" s="91"/>
      <c r="H161" s="61"/>
      <c r="I161" s="91"/>
      <c r="J161" s="61"/>
      <c r="K161" s="91"/>
      <c r="L161" s="61"/>
      <c r="M161" s="91"/>
      <c r="N161" s="61"/>
      <c r="O161" s="91"/>
      <c r="P161" s="61"/>
      <c r="Q161" s="91"/>
      <c r="R161" s="61"/>
      <c r="S161" s="91"/>
      <c r="T161" s="61"/>
      <c r="U161" s="91"/>
      <c r="V161" s="61"/>
      <c r="W161" s="91"/>
      <c r="X161" s="61"/>
      <c r="Y161" s="91"/>
      <c r="Z161" s="61"/>
      <c r="AA161" s="108"/>
      <c r="AB161" s="181"/>
      <c r="AC161" s="91"/>
      <c r="AD161" s="91"/>
      <c r="AE161" s="61"/>
      <c r="AF161" s="91"/>
      <c r="AG161" s="61"/>
      <c r="AH161" s="91"/>
      <c r="AI161" s="61"/>
      <c r="AJ161" s="91"/>
      <c r="AK161" s="61"/>
      <c r="AL161" s="91"/>
      <c r="AM161" s="61"/>
      <c r="AN161" s="91"/>
      <c r="AO161" s="61"/>
      <c r="AP161" s="91"/>
      <c r="AQ161" s="61"/>
      <c r="AR161" s="91"/>
      <c r="AS161" s="61"/>
      <c r="AT161" s="91"/>
      <c r="AU161" s="61"/>
      <c r="AV161" s="91"/>
      <c r="AW161" s="61"/>
      <c r="AX161" s="61"/>
      <c r="AY161" s="58"/>
      <c r="AZ161" s="106"/>
      <c r="BA161"/>
      <c r="BB161"/>
      <c r="BC161"/>
      <c r="BD161"/>
      <c r="BE161"/>
      <c r="BF161"/>
      <c r="BG161" s="31"/>
      <c r="BH161" s="28"/>
      <c r="BI161" s="28"/>
      <c r="BJ161" s="28"/>
      <c r="BK161" s="28"/>
      <c r="BL161" s="28"/>
      <c r="BM161" s="28"/>
      <c r="BN161" s="24"/>
    </row>
    <row r="162" spans="1:66" s="439" customFormat="1" ht="12.75" customHeight="1">
      <c r="A162" s="31" t="s">
        <v>65</v>
      </c>
      <c r="B162" s="97" t="s">
        <v>66</v>
      </c>
      <c r="C162" s="142">
        <f>C166/C163</f>
        <v>0</v>
      </c>
      <c r="D162" s="61"/>
      <c r="E162" s="142">
        <f>E166/E163</f>
        <v>0</v>
      </c>
      <c r="F162" s="61"/>
      <c r="G162" s="142"/>
      <c r="H162" s="61"/>
      <c r="I162" s="142"/>
      <c r="J162" s="61"/>
      <c r="K162" s="142"/>
      <c r="L162" s="61" t="str">
        <f>IF(ISERROR(K162/C162),"NA",IF(OR(K162/C162&gt;2,K162/C162&lt;0.5),"NM",(K162/C162-1)*100))</f>
        <v>NA</v>
      </c>
      <c r="M162" s="142"/>
      <c r="N162" s="61" t="str">
        <f>IF(ISERROR(M162/E162),"NA",IF(OR(M162/E162&gt;2,M162/E162&lt;0.5),"NM",(M162/E162-1)*100))</f>
        <v>NA</v>
      </c>
      <c r="O162" s="142"/>
      <c r="P162" s="61" t="str">
        <f>IF(ISERROR(O162/G162),"NA",IF(OR(O162/G162&gt;2,O162/G162&lt;0.5),"NM",(O162/G162-1)*100))</f>
        <v>NA</v>
      </c>
      <c r="Q162" s="142"/>
      <c r="R162" s="61" t="str">
        <f>IF(ISERROR(Q162/I162),"NA",IF(OR(Q162/I162&gt;2,Q162/I162&lt;0.5),"NM",(Q162/I162-1)*100))</f>
        <v>NA</v>
      </c>
      <c r="S162" s="142">
        <f>S166/S163</f>
        <v>0</v>
      </c>
      <c r="T162" s="61" t="str">
        <f>IF(ISERROR(S162/K162),"NA",IF(OR(S162/K162&gt;2,S162/K162&lt;0.5),"NM",(S162/K162-1)*100))</f>
        <v>NA</v>
      </c>
      <c r="U162" s="142">
        <f>U166/U163</f>
        <v>0</v>
      </c>
      <c r="V162" s="61" t="str">
        <f>IF(ISERROR(U162/M162),"NA",IF(OR(U162/M162&gt;2,U162/M162&lt;0.5),"NM",(U162/M162-1)*100))</f>
        <v>NA</v>
      </c>
      <c r="W162" s="142">
        <f>W166/W163</f>
        <v>0</v>
      </c>
      <c r="X162" s="61" t="str">
        <f>IF(ISERROR(W162/O162),"NA",IF(OR(W162/O162&gt;2,W162/O162&lt;0.5),"NM",(W162/O162-1)*100))</f>
        <v>NA</v>
      </c>
      <c r="Y162" s="142">
        <f>Y166/Y163</f>
        <v>0</v>
      </c>
      <c r="Z162" s="61" t="str">
        <f>IF(ISERROR(Y162/Q162),"NA",IF(OR(Y162/Q162&gt;2,Y162/Q162&lt;0.5),"NM",(Y162/Q162-1)*100))</f>
        <v>NA</v>
      </c>
      <c r="AA162" s="108"/>
      <c r="AB162" s="180"/>
      <c r="AC162" s="91"/>
      <c r="AD162" s="221">
        <v>0</v>
      </c>
      <c r="AE162" s="61" t="str">
        <f>IF(ISERROR(AD162/#REF!),"NA",IF(OR(AD162/#REF!&gt;2,AD162/#REF!&lt;0.5),"NM",(AD162/#REF!-1)*100))</f>
        <v>NA</v>
      </c>
      <c r="AF162" s="221">
        <v>0</v>
      </c>
      <c r="AG162" s="61" t="str">
        <f t="shared" ref="AG162:AG167" si="46">IF(ISERROR(AF162/AD162),"NA",IF(OR(AF162/AD162&gt;2,AF162/AD162&lt;0.5),"NM",(AF162/AD162-1)*100))</f>
        <v>NA</v>
      </c>
      <c r="AH162" s="221">
        <v>0</v>
      </c>
      <c r="AI162" s="61" t="str">
        <f t="shared" ref="AI162:AI167" si="47">IF(ISERROR(AH162/AF162),"NA",IF(OR(AH162/AF162&gt;2,AH162/AF162&lt;0.5),"NM",(AH162/AF162-1)*100))</f>
        <v>NA</v>
      </c>
      <c r="AJ162" s="142">
        <f>E162+G162+I162+C162</f>
        <v>0</v>
      </c>
      <c r="AK162" s="61" t="str">
        <f t="shared" ref="AK162:AK167" si="48">IF(ISERROR(AJ162/AH162),"NA",IF(OR(AJ162/AH162&gt;2,AJ162/AH162&lt;0.5),"NM",(AJ162/AH162-1)*100))</f>
        <v>NA</v>
      </c>
      <c r="AL162" s="142">
        <f>M162+O162+Q162+K162</f>
        <v>0</v>
      </c>
      <c r="AM162" s="61" t="str">
        <f t="shared" ref="AM162:AM167" si="49">IF(ISERROR(AL162/AJ162),"NA",IF(OR(AL162/AJ162&gt;2,AL162/AJ162&lt;0.5),"NM",(AL162/AJ162-1)*100))</f>
        <v>NA</v>
      </c>
      <c r="AN162" s="142">
        <f>U162+W162+Y162+S162</f>
        <v>0</v>
      </c>
      <c r="AO162" s="61" t="str">
        <f t="shared" ref="AO162:AS167" si="50">IF(ISERROR(AN162/AL162),"NA",IF(OR(AN162/AL162&gt;2,AN162/AL162&lt;0.5),"NM",(AN162/AL162-1)*100))</f>
        <v>NA</v>
      </c>
      <c r="AP162" s="142">
        <f>AP166/AP163</f>
        <v>7.759546729916833</v>
      </c>
      <c r="AQ162" s="61" t="str">
        <f t="shared" si="50"/>
        <v>NA</v>
      </c>
      <c r="AR162" s="142">
        <f>AR166/AR163</f>
        <v>7.1847654906637333</v>
      </c>
      <c r="AS162" s="61">
        <f t="shared" si="50"/>
        <v>-7.4074074074074181</v>
      </c>
      <c r="AT162" s="142">
        <f>AT166/AT163</f>
        <v>2.3949218302212438</v>
      </c>
      <c r="AU162" s="61" t="str">
        <f t="shared" ref="AU162:AU167" si="51">IF(ISERROR(AT162/AR162),"NA",IF(OR(AT162/AR162&gt;2,AT162/AR162&lt;0.5),"NM",(AT162/AR162-1)*100))</f>
        <v>NM</v>
      </c>
      <c r="AV162" s="142">
        <f>AV166/AV163</f>
        <v>2.2175202131678184</v>
      </c>
      <c r="AW162" s="61">
        <f t="shared" ref="AW162:AW167" si="52">IF(ISERROR(AV162/AT162),"NA",IF(OR(AV162/AT162&gt;2,AV162/AT162&lt;0.5),"NM",(AV162/AT162-1)*100))</f>
        <v>-7.4074074074074066</v>
      </c>
      <c r="AX162" s="63" t="str">
        <f>IF(ISERROR(((AV162/AL162)^0.2-1)*100),"NA",IF((((AV162/AL162)^0.2-1)*100)&gt;100,"NM",IF((((AV162/AL162)^0.2-1)*100)&lt;-50,"NM",((AV162/AL162)^0.2-1)*100)))</f>
        <v>NA</v>
      </c>
      <c r="AY162" s="58"/>
      <c r="AZ162" s="106"/>
      <c r="BA162"/>
      <c r="BB162"/>
      <c r="BC162"/>
      <c r="BD162"/>
      <c r="BE162"/>
      <c r="BF162"/>
      <c r="BG162" s="31"/>
      <c r="BH162" s="28"/>
      <c r="BI162" s="28"/>
      <c r="BJ162" s="28"/>
      <c r="BK162" s="28"/>
      <c r="BL162" s="28"/>
      <c r="BM162" s="28"/>
      <c r="BN162" s="24"/>
    </row>
    <row r="163" spans="1:66" s="439" customFormat="1" ht="12.75" customHeight="1">
      <c r="A163" s="28"/>
      <c r="B163" s="95" t="s">
        <v>67</v>
      </c>
      <c r="C163" s="219">
        <v>50</v>
      </c>
      <c r="D163" s="219"/>
      <c r="E163" s="219">
        <v>50</v>
      </c>
      <c r="F163" s="219"/>
      <c r="G163" s="219">
        <v>50</v>
      </c>
      <c r="H163" s="219"/>
      <c r="I163" s="219">
        <v>50</v>
      </c>
      <c r="J163" s="219"/>
      <c r="K163" s="219">
        <v>53</v>
      </c>
      <c r="L163" s="219">
        <f>IF(ISERROR(K163/C163),"NA",IF(OR(K163/C163&gt;2,K163/C163&lt;0.5),"NM",(K163/C163-1)*100))</f>
        <v>6.0000000000000053</v>
      </c>
      <c r="M163" s="219">
        <v>53</v>
      </c>
      <c r="N163" s="219">
        <f>IF(ISERROR(M163/E163),"NA",IF(OR(M163/E163&gt;2,M163/E163&lt;0.5),"NM",(M163/E163-1)*100))</f>
        <v>6.0000000000000053</v>
      </c>
      <c r="O163" s="219">
        <v>53</v>
      </c>
      <c r="P163" s="219">
        <f>IF(ISERROR(O163/G163),"NA",IF(OR(O163/G163&gt;2,O163/G163&lt;0.5),"NM",(O163/G163-1)*100))</f>
        <v>6.0000000000000053</v>
      </c>
      <c r="Q163" s="219">
        <v>53</v>
      </c>
      <c r="R163" s="219">
        <f>IF(ISERROR(Q163/I163),"NA",IF(OR(Q163/I163&gt;2,Q163/I163&lt;0.5),"NM",(Q163/I163-1)*100))</f>
        <v>6.0000000000000053</v>
      </c>
      <c r="S163" s="219">
        <f>Q163*1.02</f>
        <v>54.06</v>
      </c>
      <c r="T163" s="219">
        <f>IF(ISERROR(S163/K163),"NA",IF(OR(S163/K163&gt;2,S163/K163&lt;0.5),"NM",(S163/K163-1)*100))</f>
        <v>2.0000000000000018</v>
      </c>
      <c r="U163" s="219">
        <f>S163*1.02</f>
        <v>55.141200000000005</v>
      </c>
      <c r="V163" s="219">
        <f>IF(ISERROR(U163/M163),"NA",IF(OR(U163/M163&gt;2,U163/M163&lt;0.5),"NM",(U163/M163-1)*100))</f>
        <v>4.0399999999999991</v>
      </c>
      <c r="W163" s="219">
        <f>U163*1.02</f>
        <v>56.244024000000003</v>
      </c>
      <c r="X163" s="219">
        <f>IF(ISERROR(W163/O163),"NA",IF(OR(W163/O163&gt;2,W163/O163&lt;0.5),"NM",(W163/O163-1)*100))</f>
        <v>6.1208000000000151</v>
      </c>
      <c r="Y163" s="219">
        <f>W163*1.02</f>
        <v>57.368904480000005</v>
      </c>
      <c r="Z163" s="219">
        <f>IF(ISERROR(Y163/Q163),"NA",IF(OR(Y163/Q163&gt;2,Y163/Q163&lt;0.5),"NM",(Y163/Q163-1)*100))</f>
        <v>8.2432160000000199</v>
      </c>
      <c r="AA163" s="108"/>
      <c r="AB163" s="181"/>
      <c r="AC163" s="91"/>
      <c r="AD163" s="140">
        <v>50</v>
      </c>
      <c r="AE163" s="61" t="str">
        <f>IF(ISERROR(AD163/#REF!),"NA",IF(OR(AD163/#REF!&gt;2,AD163/#REF!&lt;0.5),"NM",(AD163/#REF!-1)*100))</f>
        <v>NA</v>
      </c>
      <c r="AF163" s="140">
        <v>50</v>
      </c>
      <c r="AG163" s="61">
        <f t="shared" si="46"/>
        <v>0</v>
      </c>
      <c r="AH163" s="140">
        <v>50</v>
      </c>
      <c r="AI163" s="61">
        <f t="shared" si="47"/>
        <v>0</v>
      </c>
      <c r="AJ163" s="140">
        <f>AH163</f>
        <v>50</v>
      </c>
      <c r="AK163" s="61">
        <f t="shared" si="48"/>
        <v>0</v>
      </c>
      <c r="AL163" s="140">
        <f>Q163*1.04-AL152</f>
        <v>55.120000000000005</v>
      </c>
      <c r="AM163" s="61">
        <f t="shared" si="49"/>
        <v>10.240000000000006</v>
      </c>
      <c r="AN163" s="140">
        <f>Y163*1.04-AN152</f>
        <v>59.663660659200005</v>
      </c>
      <c r="AO163" s="61">
        <f t="shared" si="50"/>
        <v>8.2432159999999968</v>
      </c>
      <c r="AP163" s="140">
        <f>AN163*1.08-AP152</f>
        <v>64.436753511936004</v>
      </c>
      <c r="AQ163" s="61">
        <f t="shared" si="50"/>
        <v>8.0000000000000071</v>
      </c>
      <c r="AR163" s="140">
        <f>AP163*1.08-AR152</f>
        <v>69.591693792890894</v>
      </c>
      <c r="AS163" s="61">
        <f t="shared" si="50"/>
        <v>8.0000000000000071</v>
      </c>
      <c r="AT163" s="140">
        <f>AR163*1.08-AT152</f>
        <v>75.159029296322174</v>
      </c>
      <c r="AU163" s="61">
        <f t="shared" si="51"/>
        <v>8.0000000000000071</v>
      </c>
      <c r="AV163" s="140">
        <f>AT163*1.08-AV152</f>
        <v>81.171751640027949</v>
      </c>
      <c r="AW163" s="61">
        <f t="shared" si="52"/>
        <v>8.0000000000000071</v>
      </c>
      <c r="AX163" s="63">
        <f>IF(ISERROR(((AV163/AL163)^0.2-1)*100),"NA",IF((((AV163/AL163)^0.2-1)*100)&gt;100,"NM",IF((((AV163/AL163)^0.2-1)*100)&lt;-50,"NM",((AV163/AL163)^0.2-1)*100)))</f>
        <v>8.0485994413188813</v>
      </c>
      <c r="AY163" s="58"/>
      <c r="AZ163" s="106"/>
      <c r="BA163"/>
      <c r="BB163"/>
      <c r="BC163"/>
      <c r="BD163"/>
      <c r="BE163"/>
      <c r="BF163"/>
      <c r="BG163" s="31"/>
      <c r="BH163" s="28"/>
      <c r="BI163" s="28"/>
      <c r="BJ163" s="28"/>
      <c r="BK163" s="28"/>
      <c r="BL163" s="28"/>
      <c r="BM163" s="28"/>
      <c r="BN163" s="24"/>
    </row>
    <row r="164" spans="1:66" s="439" customFormat="1" ht="12.75" customHeight="1">
      <c r="A164" s="31"/>
      <c r="B164" s="95" t="s">
        <v>62</v>
      </c>
      <c r="C164" s="199">
        <v>50</v>
      </c>
      <c r="D164" s="199"/>
      <c r="E164" s="199">
        <v>50</v>
      </c>
      <c r="F164" s="199"/>
      <c r="G164" s="199">
        <v>50</v>
      </c>
      <c r="H164" s="199"/>
      <c r="I164" s="199">
        <v>50</v>
      </c>
      <c r="J164" s="199"/>
      <c r="K164" s="199">
        <v>50</v>
      </c>
      <c r="L164" s="199">
        <f>IF(ISERROR(K164/C164),"NA",IF(OR(K164/C164&gt;2,K164/C164&lt;0.5),"NM",(K164/C164-1)*100))</f>
        <v>0</v>
      </c>
      <c r="M164" s="199">
        <v>50</v>
      </c>
      <c r="N164" s="199">
        <f>IF(ISERROR(M164/E164),"NA",IF(OR(M164/E164&gt;2,M164/E164&lt;0.5),"NM",(M164/E164-1)*100))</f>
        <v>0</v>
      </c>
      <c r="O164" s="199">
        <v>50</v>
      </c>
      <c r="P164" s="199">
        <f>IF(ISERROR(O164/G164),"NA",IF(OR(O164/G164&gt;2,O164/G164&lt;0.5),"NM",(O164/G164-1)*100))</f>
        <v>0</v>
      </c>
      <c r="Q164" s="199">
        <v>50</v>
      </c>
      <c r="R164" s="199">
        <f>IF(ISERROR(Q164/I164),"NA",IF(OR(Q164/I164&gt;2,Q164/I164&lt;0.5),"NM",(Q164/I164-1)*100))</f>
        <v>0</v>
      </c>
      <c r="S164" s="199">
        <v>50</v>
      </c>
      <c r="T164" s="199">
        <f>IF(ISERROR(S164/K164),"NA",IF(OR(S164/K164&gt;2,S164/K164&lt;0.5),"NM",(S164/K164-1)*100))</f>
        <v>0</v>
      </c>
      <c r="U164" s="199">
        <v>50</v>
      </c>
      <c r="V164" s="199">
        <f>IF(ISERROR(U164/M164),"NA",IF(OR(U164/M164&gt;2,U164/M164&lt;0.5),"NM",(U164/M164-1)*100))</f>
        <v>0</v>
      </c>
      <c r="W164" s="199">
        <v>50</v>
      </c>
      <c r="X164" s="199">
        <f>IF(ISERROR(W164/O164),"NA",IF(OR(W164/O164&gt;2,W164/O164&lt;0.5),"NM",(W164/O164-1)*100))</f>
        <v>0</v>
      </c>
      <c r="Y164" s="199">
        <v>50</v>
      </c>
      <c r="Z164" s="199">
        <f>IF(ISERROR(Y164/Q164),"NA",IF(OR(Y164/Q164&gt;2,Y164/Q164&lt;0.5),"NM",(Y164/Q164-1)*100))</f>
        <v>0</v>
      </c>
      <c r="AA164" s="108"/>
      <c r="AB164" s="180"/>
      <c r="AC164" s="130"/>
      <c r="AD164" s="199">
        <v>50</v>
      </c>
      <c r="AE164" s="61" t="str">
        <f>IF(ISERROR(AD164/#REF!),"NA",IF(OR(AD164/#REF!&gt;2,AD164/#REF!&lt;0.5),"NM",(AD164/#REF!-1)*100))</f>
        <v>NA</v>
      </c>
      <c r="AF164" s="199">
        <v>50</v>
      </c>
      <c r="AG164" s="61">
        <f t="shared" si="46"/>
        <v>0</v>
      </c>
      <c r="AH164" s="199">
        <v>50</v>
      </c>
      <c r="AI164" s="61">
        <f t="shared" si="47"/>
        <v>0</v>
      </c>
      <c r="AJ164" s="199">
        <v>50</v>
      </c>
      <c r="AK164" s="61">
        <f t="shared" si="48"/>
        <v>0</v>
      </c>
      <c r="AL164" s="199">
        <v>50</v>
      </c>
      <c r="AM164" s="61">
        <f t="shared" si="49"/>
        <v>0</v>
      </c>
      <c r="AN164" s="199">
        <v>50</v>
      </c>
      <c r="AO164" s="61">
        <f t="shared" si="50"/>
        <v>0</v>
      </c>
      <c r="AP164" s="199">
        <v>58</v>
      </c>
      <c r="AQ164" s="61">
        <f t="shared" si="50"/>
        <v>15.999999999999993</v>
      </c>
      <c r="AR164" s="199">
        <v>58</v>
      </c>
      <c r="AS164" s="61">
        <f t="shared" si="50"/>
        <v>0</v>
      </c>
      <c r="AT164" s="199">
        <v>50</v>
      </c>
      <c r="AU164" s="61">
        <f t="shared" si="51"/>
        <v>-13.793103448275868</v>
      </c>
      <c r="AV164" s="199">
        <v>70</v>
      </c>
      <c r="AW164" s="61">
        <f t="shared" si="52"/>
        <v>39.999999999999993</v>
      </c>
      <c r="AX164" s="63">
        <v>0</v>
      </c>
      <c r="AY164" s="58"/>
      <c r="AZ164" s="106"/>
      <c r="BA164"/>
      <c r="BB164"/>
      <c r="BC164"/>
      <c r="BD164"/>
      <c r="BE164"/>
      <c r="BF164"/>
      <c r="BG164" s="31"/>
      <c r="BH164" s="28"/>
      <c r="BI164" s="28"/>
      <c r="BJ164" s="28"/>
      <c r="BK164" s="28"/>
      <c r="BL164" s="28"/>
      <c r="BM164" s="28"/>
      <c r="BN164" s="24"/>
    </row>
    <row r="165" spans="1:66" s="439" customFormat="1" ht="12.75" customHeight="1">
      <c r="A165" s="31" t="s">
        <v>68</v>
      </c>
      <c r="B165" s="95" t="s">
        <v>69</v>
      </c>
      <c r="C165" s="130">
        <v>0</v>
      </c>
      <c r="D165" s="61"/>
      <c r="E165" s="130">
        <v>0</v>
      </c>
      <c r="F165" s="61"/>
      <c r="G165" s="130">
        <v>0</v>
      </c>
      <c r="H165" s="61"/>
      <c r="I165" s="130">
        <v>0</v>
      </c>
      <c r="J165" s="61"/>
      <c r="K165" s="130">
        <v>0</v>
      </c>
      <c r="L165" s="61" t="str">
        <f>IF(ISERROR(K165/C165),"NA",IF(OR(K165/C165&gt;2,K165/C165&lt;0.5),"NM",(K165/C165-1)*100))</f>
        <v>NA</v>
      </c>
      <c r="M165" s="130">
        <v>0</v>
      </c>
      <c r="N165" s="61" t="str">
        <f>IF(ISERROR(M165/E165),"NA",IF(OR(M165/E165&gt;2,M165/E165&lt;0.5),"NM",(M165/E165-1)*100))</f>
        <v>NA</v>
      </c>
      <c r="O165" s="130">
        <v>0</v>
      </c>
      <c r="P165" s="61" t="str">
        <f>IF(ISERROR(O165/G165),"NA",IF(OR(O165/G165&gt;2,O165/G165&lt;0.5),"NM",(O165/G165-1)*100))</f>
        <v>NA</v>
      </c>
      <c r="Q165" s="130">
        <v>0</v>
      </c>
      <c r="R165" s="61" t="str">
        <f>IF(ISERROR(Q165/I165),"NA",IF(OR(Q165/I165&gt;2,Q165/I165&lt;0.5),"NM",(Q165/I165-1)*100))</f>
        <v>NA</v>
      </c>
      <c r="S165" s="130">
        <v>0</v>
      </c>
      <c r="T165" s="61" t="str">
        <f>IF(ISERROR(S165/K165),"NA",IF(OR(S165/K165&gt;2,S165/K165&lt;0.5),"NM",(S165/K165-1)*100))</f>
        <v>NA</v>
      </c>
      <c r="U165" s="130">
        <v>0</v>
      </c>
      <c r="V165" s="61" t="str">
        <f>IF(ISERROR(U165/M165),"NA",IF(OR(U165/M165&gt;2,U165/M165&lt;0.5),"NM",(U165/M165-1)*100))</f>
        <v>NA</v>
      </c>
      <c r="W165" s="130">
        <v>0</v>
      </c>
      <c r="X165" s="61" t="str">
        <f>IF(ISERROR(W165/O165),"NA",IF(OR(W165/O165&gt;2,W165/O165&lt;0.5),"NM",(W165/O165-1)*100))</f>
        <v>NA</v>
      </c>
      <c r="Y165" s="130">
        <v>0</v>
      </c>
      <c r="Z165" s="61" t="str">
        <f>IF(ISERROR(Y165/Q165),"NA",IF(OR(Y165/Q165&gt;2,Y165/Q165&lt;0.5),"NM",(Y165/Q165-1)*100))</f>
        <v>NA</v>
      </c>
      <c r="AA165" s="108"/>
      <c r="AB165" s="180"/>
      <c r="AC165" s="91"/>
      <c r="AD165" s="100">
        <v>0</v>
      </c>
      <c r="AE165" s="61" t="str">
        <f>IF(ISERROR(AD165/#REF!),"NA",IF(OR(AD165/#REF!&gt;2,AD165/#REF!&lt;0.5),"NM",(AD165/#REF!-1)*100))</f>
        <v>NA</v>
      </c>
      <c r="AF165" s="100">
        <v>0</v>
      </c>
      <c r="AG165" s="61" t="str">
        <f t="shared" si="46"/>
        <v>NA</v>
      </c>
      <c r="AH165" s="100">
        <v>0</v>
      </c>
      <c r="AI165" s="61" t="str">
        <f t="shared" si="47"/>
        <v>NA</v>
      </c>
      <c r="AJ165" s="100">
        <f>E165+G165+I165+C165</f>
        <v>0</v>
      </c>
      <c r="AK165" s="61" t="str">
        <f t="shared" si="48"/>
        <v>NA</v>
      </c>
      <c r="AL165" s="100">
        <f>M165+O165+Q165+K165</f>
        <v>0</v>
      </c>
      <c r="AM165" s="61" t="str">
        <f t="shared" si="49"/>
        <v>NA</v>
      </c>
      <c r="AN165" s="100">
        <f>U165+W165+Y165+S165</f>
        <v>0</v>
      </c>
      <c r="AO165" s="61" t="str">
        <f t="shared" si="50"/>
        <v>NA</v>
      </c>
      <c r="AP165" s="199">
        <v>500</v>
      </c>
      <c r="AQ165" s="61" t="str">
        <f t="shared" si="50"/>
        <v>NA</v>
      </c>
      <c r="AR165" s="199">
        <v>500</v>
      </c>
      <c r="AS165" s="61">
        <f t="shared" si="50"/>
        <v>0</v>
      </c>
      <c r="AT165" s="199">
        <v>180</v>
      </c>
      <c r="AU165" s="61" t="str">
        <f t="shared" si="51"/>
        <v>NM</v>
      </c>
      <c r="AV165" s="199">
        <v>180</v>
      </c>
      <c r="AW165" s="61">
        <f t="shared" si="52"/>
        <v>0</v>
      </c>
      <c r="AX165" s="63" t="str">
        <f>IF(ISERROR(((AV165/AL165)^0.2-1)*100),"NA",IF((((AV165/AL165)^0.2-1)*100)&gt;100,"NM",IF((((AV165/AL165)^0.2-1)*100)&lt;-50,"NM",((AV165/AL165)^0.2-1)*100)))</f>
        <v>NA</v>
      </c>
      <c r="AY165" s="58"/>
      <c r="AZ165" s="106"/>
      <c r="BA165"/>
      <c r="BB165"/>
      <c r="BC165"/>
      <c r="BD165"/>
      <c r="BE165"/>
      <c r="BF165"/>
      <c r="BG165" s="31"/>
      <c r="BH165" s="28"/>
      <c r="BI165" s="28"/>
      <c r="BJ165" s="28"/>
      <c r="BK165" s="28"/>
      <c r="BL165" s="28"/>
      <c r="BM165" s="28"/>
      <c r="BN165" s="24"/>
    </row>
    <row r="166" spans="1:66" s="437" customFormat="1" ht="12.75" hidden="1" customHeight="1" outlineLevel="1">
      <c r="A166" s="76"/>
      <c r="B166" s="112" t="s">
        <v>70</v>
      </c>
      <c r="C166" s="231">
        <f>IF($B$6=1,C165,IF($B$6=2,C165+#REF!,IF($B$6=3,C165+#REF!)))</f>
        <v>0</v>
      </c>
      <c r="D166" s="232"/>
      <c r="E166" s="231">
        <f>IF($B$6=1,E165,IF($B$6=2,E165+#REF!,IF($B$6=3,E165+#REF!)))</f>
        <v>0</v>
      </c>
      <c r="F166" s="232"/>
      <c r="G166" s="231">
        <f>IF($B$6=1,G165,IF($B$6=2,G165+#REF!,IF($B$6=3,G165+#REF!)))</f>
        <v>0</v>
      </c>
      <c r="H166" s="232"/>
      <c r="I166" s="231">
        <f>IF($B$6=1,I165,IF($B$6=2,I165+#REF!,IF($B$6=3,I165+#REF!)))</f>
        <v>0</v>
      </c>
      <c r="J166" s="232"/>
      <c r="K166" s="231">
        <f>IF($B$6=1,K165,IF($B$6=2,K165+#REF!,IF($B$6=3,K165+#REF!)))</f>
        <v>0</v>
      </c>
      <c r="L166" s="232"/>
      <c r="M166" s="231">
        <f>IF($B$6=1,M165,IF($B$6=2,M165+#REF!,IF($B$6=3,M165+#REF!)))</f>
        <v>0</v>
      </c>
      <c r="N166" s="232"/>
      <c r="O166" s="231">
        <f>IF($B$6=1,O165,IF($B$6=2,O165+#REF!,IF($B$6=3,O165+#REF!)))</f>
        <v>0</v>
      </c>
      <c r="P166" s="232"/>
      <c r="Q166" s="231">
        <f>IF($B$6=1,Q165,IF($B$6=2,Q165+#REF!,IF($B$6=3,Q165+#REF!)))</f>
        <v>0</v>
      </c>
      <c r="R166" s="232"/>
      <c r="S166" s="231">
        <f>IF($B$6=1,S165,IF($B$6=2,S165+#REF!,IF($B$6=3,S165+#REF!)))</f>
        <v>0</v>
      </c>
      <c r="T166" s="232"/>
      <c r="U166" s="231">
        <f>IF($B$6=1,U165,IF($B$6=2,U165+#REF!,IF($B$6=3,U165+#REF!)))</f>
        <v>0</v>
      </c>
      <c r="V166" s="232"/>
      <c r="W166" s="231">
        <f>IF($B$6=1,W165,IF($B$6=2,W165+#REF!,IF($B$6=3,W165+#REF!)))</f>
        <v>0</v>
      </c>
      <c r="X166" s="232"/>
      <c r="Y166" s="231">
        <f>IF($B$6=1,Y165,IF($B$6=2,Y165+#REF!,IF($B$6=3,Y165+#REF!)))</f>
        <v>0</v>
      </c>
      <c r="Z166" s="232"/>
      <c r="AA166" s="143"/>
      <c r="AB166" s="180"/>
      <c r="AC166" s="72"/>
      <c r="AD166" s="144"/>
      <c r="AE166" s="61" t="str">
        <f>IF(ISERROR(AD166/#REF!),"NA",IF(OR(AD166/#REF!&gt;2,AD166/#REF!&lt;0.5),"NM",(AD166/#REF!-1)*100))</f>
        <v>NA</v>
      </c>
      <c r="AF166" s="144"/>
      <c r="AG166" s="61" t="str">
        <f t="shared" si="46"/>
        <v>NA</v>
      </c>
      <c r="AH166" s="144"/>
      <c r="AI166" s="61" t="str">
        <f t="shared" si="47"/>
        <v>NA</v>
      </c>
      <c r="AJ166" s="144"/>
      <c r="AK166" s="61" t="str">
        <f t="shared" si="48"/>
        <v>NA</v>
      </c>
      <c r="AL166" s="144"/>
      <c r="AM166" s="61" t="str">
        <f t="shared" si="49"/>
        <v>NA</v>
      </c>
      <c r="AN166" s="144"/>
      <c r="AO166" s="61" t="str">
        <f t="shared" si="50"/>
        <v>NA</v>
      </c>
      <c r="AP166" s="74">
        <f>IF($B$6=1,AP165,IF($B$6=2,AP165+#REF!,IF($B$6=3,AP165+#REF!)))</f>
        <v>500</v>
      </c>
      <c r="AQ166" s="61" t="str">
        <f t="shared" si="50"/>
        <v>NA</v>
      </c>
      <c r="AR166" s="74">
        <f>IF($B$6=1,AR165,IF($B$6=2,AR165+#REF!,IF($B$6=3,AR165+#REF!)))</f>
        <v>500</v>
      </c>
      <c r="AS166" s="61">
        <f t="shared" si="50"/>
        <v>0</v>
      </c>
      <c r="AT166" s="74">
        <f>IF($B$6=1,AT165,IF($B$6=2,AT165+#REF!,IF($B$6=3,AT165+#REF!)))</f>
        <v>180</v>
      </c>
      <c r="AU166" s="61" t="str">
        <f t="shared" si="51"/>
        <v>NM</v>
      </c>
      <c r="AV166" s="74">
        <f>IF($B$6=1,AV165,IF($B$6=2,AV165+#REF!,IF($B$6=3,AV165+#REF!)))</f>
        <v>180</v>
      </c>
      <c r="AW166" s="61">
        <f t="shared" si="52"/>
        <v>0</v>
      </c>
      <c r="AX166" s="73"/>
      <c r="AY166" s="145"/>
      <c r="AZ166" s="75"/>
      <c r="BA166"/>
      <c r="BB166"/>
      <c r="BC166"/>
      <c r="BD166"/>
      <c r="BE166"/>
      <c r="BF166"/>
      <c r="BG166" s="76"/>
      <c r="BH166" s="70"/>
      <c r="BI166" s="70"/>
      <c r="BJ166" s="70"/>
      <c r="BK166" s="70"/>
      <c r="BL166" s="70"/>
      <c r="BM166" s="70"/>
      <c r="BN166" s="24"/>
    </row>
    <row r="167" spans="1:66" s="439" customFormat="1" ht="12.75" hidden="1" customHeight="1" outlineLevel="1">
      <c r="A167" s="226"/>
      <c r="B167" s="235" t="s">
        <v>71</v>
      </c>
      <c r="C167" s="236">
        <f>+C224+C154-C147-A224</f>
        <v>5605</v>
      </c>
      <c r="D167" s="237"/>
      <c r="E167" s="236">
        <f>+E224+E154-E147-C224</f>
        <v>-15</v>
      </c>
      <c r="F167" s="237"/>
      <c r="G167" s="236">
        <f>+G224+G154-G147-E224</f>
        <v>116.89999999999964</v>
      </c>
      <c r="H167" s="237"/>
      <c r="I167" s="236">
        <f>+I224+I154-I147-G224</f>
        <v>16</v>
      </c>
      <c r="J167" s="237"/>
      <c r="K167" s="236">
        <f>+K224+K154-K147-I224</f>
        <v>49</v>
      </c>
      <c r="L167" s="237"/>
      <c r="M167" s="236">
        <f>+M224+M154-M147-K224</f>
        <v>-26</v>
      </c>
      <c r="N167" s="237"/>
      <c r="O167" s="236">
        <f>+O224+O154-O147-M224</f>
        <v>9</v>
      </c>
      <c r="P167" s="237"/>
      <c r="Q167" s="236">
        <f>+Q224+Q154-Q147-O224</f>
        <v>-178</v>
      </c>
      <c r="R167" s="237"/>
      <c r="S167" s="236">
        <f>+S224+S154-S147-Q224</f>
        <v>0</v>
      </c>
      <c r="T167" s="237"/>
      <c r="U167" s="236">
        <f>+U224+U154-U147-S224</f>
        <v>0</v>
      </c>
      <c r="V167" s="237"/>
      <c r="W167" s="236">
        <f>+W224+W154-W147-U224</f>
        <v>0</v>
      </c>
      <c r="X167" s="237"/>
      <c r="Y167" s="236">
        <f>+Y224+Y154-Y147-W224</f>
        <v>0</v>
      </c>
      <c r="Z167" s="237"/>
      <c r="AA167" s="238"/>
      <c r="AB167" s="239"/>
      <c r="AC167" s="240"/>
      <c r="AD167" s="383">
        <f>+AD224+AD154-AD147-AB224</f>
        <v>1776</v>
      </c>
      <c r="AE167" s="113" t="str">
        <f>IF(ISERROR(AD167/#REF!),"NA",IF(OR(AD167/#REF!&gt;2,AD167/#REF!&lt;0.5),"NM",(AD167/#REF!-1)*100))</f>
        <v>NA</v>
      </c>
      <c r="AF167" s="383">
        <f>+AF224+AF154-AF147-AD224</f>
        <v>768.59999999999991</v>
      </c>
      <c r="AG167" s="113" t="str">
        <f t="shared" si="46"/>
        <v>NM</v>
      </c>
      <c r="AH167" s="383">
        <f>+AH224+AH154-AH147-AF224</f>
        <v>1127</v>
      </c>
      <c r="AI167" s="113">
        <f t="shared" si="47"/>
        <v>46.630236794171239</v>
      </c>
      <c r="AJ167" s="383">
        <f>+AJ224+AJ154-AJ147-AH224</f>
        <v>135.89999999999964</v>
      </c>
      <c r="AK167" s="113" t="str">
        <f t="shared" si="48"/>
        <v>NM</v>
      </c>
      <c r="AL167" s="383">
        <f>+AL224+AL154-AL147-AJ224</f>
        <v>-146</v>
      </c>
      <c r="AM167" s="113" t="str">
        <f t="shared" si="49"/>
        <v>NM</v>
      </c>
      <c r="AN167" s="383" t="e">
        <f>+AN224+AN154-AN147-#REF!</f>
        <v>#REF!</v>
      </c>
      <c r="AO167" s="113" t="str">
        <f t="shared" si="50"/>
        <v>NA</v>
      </c>
      <c r="AP167" s="383">
        <f>+AP224+AP154-AP147-AN224</f>
        <v>-500</v>
      </c>
      <c r="AQ167" s="113" t="str">
        <f t="shared" si="50"/>
        <v>NA</v>
      </c>
      <c r="AR167" s="383">
        <f>+AR224+AR154-AR147-AP224</f>
        <v>-500</v>
      </c>
      <c r="AS167" s="113">
        <f t="shared" si="50"/>
        <v>0</v>
      </c>
      <c r="AT167" s="383">
        <f>+AT224+AT154-AT147-AR224</f>
        <v>-180</v>
      </c>
      <c r="AU167" s="113" t="str">
        <f t="shared" si="51"/>
        <v>NM</v>
      </c>
      <c r="AV167" s="383">
        <f>+AV224+AV154-AV147-AT224</f>
        <v>-180</v>
      </c>
      <c r="AW167" s="113">
        <f t="shared" si="52"/>
        <v>0</v>
      </c>
      <c r="AX167" s="237"/>
      <c r="AY167" s="228"/>
      <c r="AZ167" s="227"/>
      <c r="BA167"/>
      <c r="BB167"/>
      <c r="BC167"/>
      <c r="BD167"/>
      <c r="BE167"/>
      <c r="BF167"/>
      <c r="BG167" s="226"/>
      <c r="BH167" s="238"/>
      <c r="BI167" s="28"/>
      <c r="BJ167" s="28"/>
      <c r="BK167" s="28"/>
      <c r="BL167" s="28"/>
      <c r="BM167" s="28"/>
      <c r="BN167" s="24"/>
    </row>
    <row r="168" spans="1:66" s="439" customFormat="1" ht="12.75" customHeight="1" collapsed="1">
      <c r="A168" s="31"/>
      <c r="B168" s="95"/>
      <c r="C168" s="130"/>
      <c r="D168" s="61"/>
      <c r="E168" s="130"/>
      <c r="F168" s="61"/>
      <c r="G168" s="130"/>
      <c r="H168" s="61"/>
      <c r="I168" s="130"/>
      <c r="J168" s="61"/>
      <c r="K168" s="130"/>
      <c r="L168" s="61"/>
      <c r="M168" s="130"/>
      <c r="N168" s="61"/>
      <c r="O168" s="130"/>
      <c r="P168" s="61"/>
      <c r="Q168" s="130"/>
      <c r="R168" s="61"/>
      <c r="S168" s="130"/>
      <c r="T168" s="61"/>
      <c r="U168" s="130"/>
      <c r="V168" s="61"/>
      <c r="W168" s="130"/>
      <c r="X168" s="61"/>
      <c r="Y168" s="130"/>
      <c r="Z168" s="61"/>
      <c r="AA168" s="146">
        <f>+AA165+AA154</f>
        <v>0</v>
      </c>
      <c r="AB168" s="180">
        <f>+AB165+AB154</f>
        <v>0</v>
      </c>
      <c r="AC168" s="146">
        <f>+AC165+AC154</f>
        <v>0</v>
      </c>
      <c r="AD168" s="146"/>
      <c r="AE168" s="61"/>
      <c r="AF168" s="146"/>
      <c r="AG168" s="61"/>
      <c r="AH168" s="146"/>
      <c r="AI168" s="61"/>
      <c r="AJ168" s="146"/>
      <c r="AK168" s="61"/>
      <c r="AL168" s="146"/>
      <c r="AM168" s="61"/>
      <c r="AN168" s="146"/>
      <c r="AO168" s="61"/>
      <c r="AP168" s="28"/>
      <c r="AQ168" s="61"/>
      <c r="AR168" s="28"/>
      <c r="AS168" s="61"/>
      <c r="AT168" s="28"/>
      <c r="AU168" s="61"/>
      <c r="AV168" s="28"/>
      <c r="AW168" s="61"/>
      <c r="AX168" s="61"/>
      <c r="AY168" s="58"/>
      <c r="AZ168" s="106"/>
      <c r="BA168"/>
      <c r="BB168"/>
      <c r="BC168"/>
      <c r="BD168"/>
      <c r="BE168"/>
      <c r="BF168"/>
      <c r="BG168" s="31"/>
      <c r="BH168" s="28"/>
      <c r="BI168" s="28"/>
      <c r="BJ168" s="28"/>
      <c r="BK168" s="28"/>
      <c r="BL168" s="28"/>
      <c r="BM168" s="28"/>
      <c r="BN168" s="24"/>
    </row>
    <row r="169" spans="1:66" s="439" customFormat="1" ht="12.75" customHeight="1">
      <c r="A169" s="31"/>
      <c r="B169" s="147" t="s">
        <v>72</v>
      </c>
      <c r="C169" s="130"/>
      <c r="D169" s="61"/>
      <c r="E169" s="130"/>
      <c r="F169" s="61"/>
      <c r="G169" s="130"/>
      <c r="H169" s="61"/>
      <c r="I169" s="130"/>
      <c r="J169" s="61"/>
      <c r="K169" s="130"/>
      <c r="L169" s="61"/>
      <c r="M169" s="130"/>
      <c r="N169" s="61"/>
      <c r="O169" s="130"/>
      <c r="P169" s="61"/>
      <c r="Q169" s="130"/>
      <c r="R169" s="61"/>
      <c r="S169" s="130"/>
      <c r="T169" s="61"/>
      <c r="U169" s="130"/>
      <c r="V169" s="61"/>
      <c r="W169" s="130"/>
      <c r="X169" s="61"/>
      <c r="Y169" s="130"/>
      <c r="Z169" s="61"/>
      <c r="AA169" s="108"/>
      <c r="AB169" s="180"/>
      <c r="AC169" s="91"/>
      <c r="AD169" s="124"/>
      <c r="AE169" s="125"/>
      <c r="AF169" s="124"/>
      <c r="AG169" s="61"/>
      <c r="AH169" s="124"/>
      <c r="AI169" s="61"/>
      <c r="AJ169" s="124"/>
      <c r="AK169" s="61"/>
      <c r="AL169" s="124"/>
      <c r="AM169" s="61"/>
      <c r="AN169" s="124"/>
      <c r="AO169" s="61"/>
      <c r="AP169" s="124"/>
      <c r="AQ169" s="61"/>
      <c r="AR169" s="124"/>
      <c r="AS169" s="61"/>
      <c r="AT169" s="124"/>
      <c r="AU169" s="61"/>
      <c r="AV169" s="124"/>
      <c r="AW169" s="61"/>
      <c r="AX169" s="61"/>
      <c r="AY169" s="58"/>
      <c r="AZ169" s="106"/>
      <c r="BA169"/>
      <c r="BB169"/>
      <c r="BC169"/>
      <c r="BD169"/>
      <c r="BE169"/>
      <c r="BF169"/>
      <c r="BG169" s="31"/>
      <c r="BH169" s="28"/>
      <c r="BI169" s="28"/>
      <c r="BJ169" s="28"/>
      <c r="BK169" s="28"/>
      <c r="BL169" s="28"/>
      <c r="BM169" s="28"/>
      <c r="BN169" s="24"/>
    </row>
    <row r="170" spans="1:66" s="439" customFormat="1" ht="12.75" customHeight="1">
      <c r="A170" s="31"/>
      <c r="B170" s="147" t="s">
        <v>73</v>
      </c>
      <c r="C170" s="130"/>
      <c r="D170" s="61"/>
      <c r="E170" s="130"/>
      <c r="F170" s="61"/>
      <c r="G170" s="130"/>
      <c r="H170" s="61"/>
      <c r="I170" s="130"/>
      <c r="J170" s="61"/>
      <c r="K170" s="130"/>
      <c r="L170" s="61"/>
      <c r="M170" s="130"/>
      <c r="N170" s="61"/>
      <c r="O170" s="130"/>
      <c r="P170" s="61"/>
      <c r="Q170" s="130"/>
      <c r="R170" s="61"/>
      <c r="S170" s="130"/>
      <c r="T170" s="61"/>
      <c r="U170" s="130"/>
      <c r="V170" s="61"/>
      <c r="W170" s="130"/>
      <c r="X170" s="61"/>
      <c r="Y170" s="130"/>
      <c r="Z170" s="61"/>
      <c r="AA170" s="108"/>
      <c r="AB170" s="180"/>
      <c r="AC170" s="91"/>
      <c r="AD170" s="99"/>
      <c r="AE170" s="61"/>
      <c r="AF170" s="99"/>
      <c r="AG170" s="61"/>
      <c r="AH170" s="99"/>
      <c r="AI170" s="61"/>
      <c r="AJ170" s="99"/>
      <c r="AK170" s="61"/>
      <c r="AL170" s="99"/>
      <c r="AM170" s="61"/>
      <c r="AN170" s="99"/>
      <c r="AO170" s="61"/>
      <c r="AP170" s="104"/>
      <c r="AQ170" s="61"/>
      <c r="AR170" s="104"/>
      <c r="AS170" s="61"/>
      <c r="AT170" s="104"/>
      <c r="AU170" s="61"/>
      <c r="AV170" s="104"/>
      <c r="AW170" s="61"/>
      <c r="AX170" s="61"/>
      <c r="AY170" s="58"/>
      <c r="AZ170" s="106"/>
      <c r="BA170"/>
      <c r="BB170"/>
      <c r="BC170"/>
      <c r="BD170"/>
      <c r="BE170"/>
      <c r="BF170"/>
      <c r="BG170" s="31"/>
      <c r="BH170" s="28"/>
      <c r="BI170" s="28"/>
      <c r="BJ170" s="28"/>
      <c r="BK170" s="28"/>
      <c r="BL170" s="28"/>
      <c r="BM170" s="28"/>
      <c r="BN170" s="24"/>
    </row>
    <row r="171" spans="1:66" s="439" customFormat="1" ht="12.75" customHeight="1">
      <c r="A171" s="31"/>
      <c r="B171" s="148" t="s">
        <v>74</v>
      </c>
      <c r="C171" s="149">
        <f>(C154+C165)/C127*100</f>
        <v>0</v>
      </c>
      <c r="D171" s="61"/>
      <c r="E171" s="149">
        <f>(E154+E165)/E127*100</f>
        <v>0</v>
      </c>
      <c r="F171" s="61"/>
      <c r="G171" s="149">
        <f>(G154+G165)/G127*100</f>
        <v>0</v>
      </c>
      <c r="H171" s="61"/>
      <c r="I171" s="149">
        <f>(I154+I165)/I127*100</f>
        <v>0</v>
      </c>
      <c r="J171" s="61"/>
      <c r="K171" s="149">
        <f>(K154+K165)/K127*100</f>
        <v>0</v>
      </c>
      <c r="L171" s="61" t="str">
        <f>IF(ISERROR(K171/C171),"NA",IF(OR(K171/C171&gt;2,K171/C171&lt;0.5),"NM",(K171/C171-1)*100))</f>
        <v>NA</v>
      </c>
      <c r="M171" s="149">
        <f>(M154+M165)/M127*100</f>
        <v>0</v>
      </c>
      <c r="N171" s="61" t="str">
        <f>IF(ISERROR(M171/E171),"NA",IF(OR(M171/E171&gt;2,M171/E171&lt;0.5),"NM",(M171/E171-1)*100))</f>
        <v>NA</v>
      </c>
      <c r="O171" s="149">
        <f>(O154+O165)/O127*100</f>
        <v>0</v>
      </c>
      <c r="P171" s="61" t="str">
        <f>IF(ISERROR(O171/G171),"NA",IF(OR(O171/G171&gt;2,O171/G171&lt;0.5),"NM",(O171/G171-1)*100))</f>
        <v>NA</v>
      </c>
      <c r="Q171" s="149">
        <f>(Q154+Q165)/Q127*100</f>
        <v>0</v>
      </c>
      <c r="R171" s="61" t="str">
        <f>IF(ISERROR(Q171/I171),"NA",IF(OR(Q171/I171&gt;2,Q171/I171&lt;0.5),"NM",(Q171/I171-1)*100))</f>
        <v>NA</v>
      </c>
      <c r="S171" s="149">
        <f>(S154+S165)/S127*100</f>
        <v>0</v>
      </c>
      <c r="T171" s="61" t="str">
        <f>IF(ISERROR(S171/K171),"NA",IF(OR(S171/K171&gt;2,S171/K171&lt;0.5),"NM",(S171/K171-1)*100))</f>
        <v>NA</v>
      </c>
      <c r="U171" s="149">
        <f>(U154+U165)/U127*100</f>
        <v>0</v>
      </c>
      <c r="V171" s="61" t="str">
        <f>IF(ISERROR(U171/M171),"NA",IF(OR(U171/M171&gt;2,U171/M171&lt;0.5),"NM",(U171/M171-1)*100))</f>
        <v>NA</v>
      </c>
      <c r="W171" s="149">
        <f>(W154+W165)/W127*100</f>
        <v>0</v>
      </c>
      <c r="X171" s="61" t="str">
        <f>IF(ISERROR(W171/O171),"NA",IF(OR(W171/O171&gt;2,W171/O171&lt;0.5),"NM",(W171/O171-1)*100))</f>
        <v>NA</v>
      </c>
      <c r="Y171" s="149">
        <f>(Y154+Y165)/Y127*100</f>
        <v>0</v>
      </c>
      <c r="Z171" s="61" t="str">
        <f>IF(ISERROR(Y171/Q171),"NA",IF(OR(Y171/Q171&gt;2,Y171/Q171&lt;0.5),"NM",(Y171/Q171-1)*100))</f>
        <v>NA</v>
      </c>
      <c r="AA171" s="108"/>
      <c r="AB171" s="180"/>
      <c r="AC171" s="91"/>
      <c r="AD171" s="149">
        <f>(AD154+AD165)/AD127*100</f>
        <v>0</v>
      </c>
      <c r="AE171" s="149" t="str">
        <f>IF(ISERROR(AD171/#REF!),"NA",IF(OR(AD171/#REF!&gt;2,AD171/#REF!&lt;0.5),"NM",(AD171/#REF!-1)*100))</f>
        <v>NA</v>
      </c>
      <c r="AF171" s="149">
        <f>(AF154+AF165)/AF127*100</f>
        <v>0</v>
      </c>
      <c r="AG171" s="149" t="str">
        <f>IF(ISERROR(AF171/AD171),"NA",IF(OR(AF171/AD171&gt;2,AF171/AD171&lt;0.5),"NM",(AF171/AD171-1)*100))</f>
        <v>NA</v>
      </c>
      <c r="AH171" s="149">
        <f>(AH154+AH165)/AH127*100</f>
        <v>0</v>
      </c>
      <c r="AI171" s="149" t="str">
        <f>IF(ISERROR(AH171/AF171),"NA",IF(OR(AH171/AF171&gt;2,AH171/AF171&lt;0.5),"NM",(AH171/AF171-1)*100))</f>
        <v>NA</v>
      </c>
      <c r="AJ171" s="149">
        <f>(AJ154+AJ165)/AJ127*100</f>
        <v>0</v>
      </c>
      <c r="AK171" s="149" t="str">
        <f>IF(ISERROR(AJ171/AH171),"NA",IF(OR(AJ171/AH171&gt;2,AJ171/AH171&lt;0.5),"NM",(AJ171/AH171-1)*100))</f>
        <v>NA</v>
      </c>
      <c r="AL171" s="149">
        <f>(AL154+AL165)/AL127*100</f>
        <v>0</v>
      </c>
      <c r="AM171" s="149" t="str">
        <f>IF(ISERROR(AL171/AJ171),"NA",IF(OR(AL171/AJ171&gt;2,AL171/AJ171&lt;0.5),"NM",(AL171/AJ171-1)*100))</f>
        <v>NA</v>
      </c>
      <c r="AN171" s="149">
        <f>(AN154+AN165)/AN127*100</f>
        <v>0</v>
      </c>
      <c r="AO171" s="149" t="str">
        <f>IF(ISERROR(AN171/AL171),"NA",IF(OR(AN171/AL171&gt;2,AN171/AL171&lt;0.5),"NM",(AN171/AL171-1)*100))</f>
        <v>NA</v>
      </c>
      <c r="AP171" s="149">
        <f>(AP154+AP165)/AP127*100</f>
        <v>42.679855313748746</v>
      </c>
      <c r="AQ171" s="149" t="str">
        <f>IF(ISERROR(AP171/AN171),"NA",IF(OR(AP171/AN171&gt;2,AP171/AN171&lt;0.5),"NM",(AP171/AN171-1)*100))</f>
        <v>NA</v>
      </c>
      <c r="AR171" s="149">
        <f>(AR154+AR165)/AR127*100</f>
        <v>38.632802675056723</v>
      </c>
      <c r="AS171" s="149">
        <f>IF(ISERROR(AR171/AP171),"NA",IF(OR(AR171/AP171&gt;2,AR171/AP171&lt;0.5),"NM",(AR171/AP171-1)*100))</f>
        <v>-9.4823485434551547</v>
      </c>
      <c r="AT171" s="149">
        <f>(AT154+AT165)/AT127*100</f>
        <v>13.182457707111247</v>
      </c>
      <c r="AU171" s="149" t="str">
        <f>IF(ISERROR(AT171/AR171),"NA",IF(OR(AT171/AR171&gt;2,AT171/AR171&lt;0.5),"NM",(AT171/AR171-1)*100))</f>
        <v>NM</v>
      </c>
      <c r="AV171" s="149">
        <f>(AV154+AV165)/AV127*100</f>
        <v>12.425294149005856</v>
      </c>
      <c r="AW171" s="149">
        <f>IF(ISERROR(AV171/AT171),"NA",IF(OR(AV171/AT171&gt;2,AV171/AT171&lt;0.5),"NM",(AV171/AT171-1)*100))</f>
        <v>-5.7437207456159101</v>
      </c>
      <c r="AX171" s="63" t="str">
        <f>IF(ISERROR(((AV171/AL171)^0.2-1)*100),"NA",IF((((AV171/AL171)^0.2-1)*100)&gt;100,"NM",IF((((AV171/AL171)^0.2-1)*100)&lt;-50,"NM",((AV171/AL171)^0.2-1)*100)))</f>
        <v>NA</v>
      </c>
      <c r="AY171" s="58"/>
      <c r="AZ171" s="106"/>
      <c r="BA171"/>
      <c r="BB171"/>
      <c r="BC171"/>
      <c r="BD171"/>
      <c r="BE171"/>
      <c r="BF171"/>
      <c r="BG171" s="31"/>
      <c r="BH171" s="28"/>
      <c r="BI171" s="28"/>
      <c r="BJ171" s="28"/>
      <c r="BK171" s="28"/>
      <c r="BL171" s="28"/>
      <c r="BM171" s="28"/>
      <c r="BN171" s="24"/>
    </row>
    <row r="172" spans="1:66" s="439" customFormat="1" ht="12.75" customHeight="1">
      <c r="A172" s="31"/>
      <c r="B172" s="148" t="s">
        <v>75</v>
      </c>
      <c r="C172" s="149">
        <f>(C154+C165)/C145*100</f>
        <v>0</v>
      </c>
      <c r="D172" s="61"/>
      <c r="E172" s="149">
        <f>(E154+E165)/E145*100</f>
        <v>0</v>
      </c>
      <c r="F172" s="61"/>
      <c r="G172" s="149">
        <f>(G154+G166)/G145*100</f>
        <v>0</v>
      </c>
      <c r="H172" s="61"/>
      <c r="I172" s="149">
        <f>(I154+I166)/I145*100</f>
        <v>0</v>
      </c>
      <c r="J172" s="61"/>
      <c r="K172" s="149">
        <f>(K154+K166)/K145*100</f>
        <v>0</v>
      </c>
      <c r="L172" s="61" t="str">
        <f>IF(ISERROR(K172/C172),"NA",IF(OR(K172/C172&gt;2,K172/C172&lt;0.5),"NM",(K172/C172-1)*100))</f>
        <v>NA</v>
      </c>
      <c r="M172" s="149">
        <f>(M154+M166)/M145*100</f>
        <v>0</v>
      </c>
      <c r="N172" s="61" t="str">
        <f>IF(ISERROR(M172/E172),"NA",IF(OR(M172/E172&gt;2,M172/E172&lt;0.5),"NM",(M172/E172-1)*100))</f>
        <v>NA</v>
      </c>
      <c r="O172" s="149">
        <f>(O154+O166)/O145*100</f>
        <v>0</v>
      </c>
      <c r="P172" s="61" t="str">
        <f>IF(ISERROR(O172/G172),"NA",IF(OR(O172/G172&gt;2,O172/G172&lt;0.5),"NM",(O172/G172-1)*100))</f>
        <v>NA</v>
      </c>
      <c r="Q172" s="149">
        <f>(Q154+Q166)/Q145*100</f>
        <v>0</v>
      </c>
      <c r="R172" s="61" t="str">
        <f>IF(ISERROR(Q172/I172),"NA",IF(OR(Q172/I172&gt;2,Q172/I172&lt;0.5),"NM",(Q172/I172-1)*100))</f>
        <v>NA</v>
      </c>
      <c r="S172" s="149">
        <f>(S154+S166)/S145*100</f>
        <v>0</v>
      </c>
      <c r="T172" s="61" t="str">
        <f>IF(ISERROR(S172/K172),"NA",IF(OR(S172/K172&gt;2,S172/K172&lt;0.5),"NM",(S172/K172-1)*100))</f>
        <v>NA</v>
      </c>
      <c r="U172" s="149">
        <f>(U154+U166)/U145*100</f>
        <v>0</v>
      </c>
      <c r="V172" s="61" t="str">
        <f>IF(ISERROR(U172/M172),"NA",IF(OR(U172/M172&gt;2,U172/M172&lt;0.5),"NM",(U172/M172-1)*100))</f>
        <v>NA</v>
      </c>
      <c r="W172" s="149">
        <f>(W154+W166)/W145*100</f>
        <v>0</v>
      </c>
      <c r="X172" s="61" t="str">
        <f>IF(ISERROR(W172/O172),"NA",IF(OR(W172/O172&gt;2,W172/O172&lt;0.5),"NM",(W172/O172-1)*100))</f>
        <v>NA</v>
      </c>
      <c r="Y172" s="149">
        <f>(Y154+Y166)/Y145*100</f>
        <v>0</v>
      </c>
      <c r="Z172" s="61" t="str">
        <f>IF(ISERROR(Y172/Q172),"NA",IF(OR(Y172/Q172&gt;2,Y172/Q172&lt;0.5),"NM",(Y172/Q172-1)*100))</f>
        <v>NA</v>
      </c>
      <c r="AA172" s="108"/>
      <c r="AB172" s="180"/>
      <c r="AC172" s="91"/>
      <c r="AD172" s="139">
        <f>(AD154+AD165)/AD145*100</f>
        <v>0</v>
      </c>
      <c r="AE172" s="61" t="str">
        <f>IF(ISERROR(AD172/#REF!),"NA",IF(OR(AD172/#REF!&gt;2,AD172/#REF!&lt;0.5),"NM",(AD172/#REF!-1)*100))</f>
        <v>NA</v>
      </c>
      <c r="AF172" s="139">
        <f>(AF154+AF165)/AF145*100</f>
        <v>0</v>
      </c>
      <c r="AG172" s="61" t="str">
        <f>IF(ISERROR(AF172/AD172),"NA",IF(OR(AF172/AD172&gt;2,AF172/AD172&lt;0.5),"NM",(AF172/AD172-1)*100))</f>
        <v>NA</v>
      </c>
      <c r="AH172" s="139">
        <f>(AH154+AH165)/AH145*100</f>
        <v>0</v>
      </c>
      <c r="AI172" s="61" t="str">
        <f>IF(ISERROR(AH172/AF172),"NA",IF(OR(AH172/AF172&gt;2,AH172/AF172&lt;0.5),"NM",(AH172/AF172-1)*100))</f>
        <v>NA</v>
      </c>
      <c r="AJ172" s="139">
        <f>(AJ154+AJ165)/AJ145*100</f>
        <v>0</v>
      </c>
      <c r="AK172" s="61" t="str">
        <f>IF(ISERROR(AJ172/AH172),"NA",IF(OR(AJ172/AH172&gt;2,AJ172/AH172&lt;0.5),"NM",(AJ172/AH172-1)*100))</f>
        <v>NA</v>
      </c>
      <c r="AL172" s="139">
        <f>(AL154+AL165)/AL145*100</f>
        <v>0</v>
      </c>
      <c r="AM172" s="61" t="str">
        <f>IF(ISERROR(AL172/AJ172),"NA",IF(OR(AL172/AJ172&gt;2,AL172/AJ172&lt;0.5),"NM",(AL172/AJ172-1)*100))</f>
        <v>NA</v>
      </c>
      <c r="AN172" s="139">
        <f>(AN154+AN165)/AN145*100</f>
        <v>0</v>
      </c>
      <c r="AO172" s="61" t="str">
        <f>IF(ISERROR(AN172/AL172),"NA",IF(OR(AN172/AL172&gt;2,AN172/AL172&lt;0.5),"NM",(AN172/AL172-1)*100))</f>
        <v>NA</v>
      </c>
      <c r="AP172" s="139">
        <f>(AP154+AP166)/AP145*100</f>
        <v>44.206010367732361</v>
      </c>
      <c r="AQ172" s="61" t="str">
        <f>IF(ISERROR(AP172/AN172),"NA",IF(OR(AP172/AN172&gt;2,AP172/AN172&lt;0.5),"NM",(AP172/AN172-1)*100))</f>
        <v>NA</v>
      </c>
      <c r="AR172" s="139">
        <f>(AR154+AR166)/AR145*100</f>
        <v>39.957075907140741</v>
      </c>
      <c r="AS172" s="61">
        <f>IF(ISERROR(AR172/AP172),"NA",IF(OR(AR172/AP172&gt;2,AR172/AP172&lt;0.5),"NM",(AR172/AP172-1)*100))</f>
        <v>-9.6116668870282815</v>
      </c>
      <c r="AT172" s="139">
        <f>(AT154+AT166)/AT145*100</f>
        <v>13.637838985577625</v>
      </c>
      <c r="AU172" s="61" t="str">
        <f>IF(ISERROR(AT172/AR172),"NA",IF(OR(AT172/AR172&gt;2,AT172/AR172&lt;0.5),"NM",(AT172/AR172-1)*100))</f>
        <v>NM</v>
      </c>
      <c r="AV172" s="139">
        <f>(AV154+AV166)/AV145*100</f>
        <v>12.856360342391977</v>
      </c>
      <c r="AW172" s="61">
        <f>IF(ISERROR(AV172/AT172),"NA",IF(OR(AV172/AT172&gt;2,AV172/AT172&lt;0.5),"NM",(AV172/AT172-1)*100))</f>
        <v>-5.7302234174496647</v>
      </c>
      <c r="AX172" s="63" t="str">
        <f>IF(ISERROR(((AV172/AL172)^0.2-1)*100),"NA",IF((((AV172/AL172)^0.2-1)*100)&gt;100,"NM",IF((((AV172/AL172)^0.2-1)*100)&lt;-50,"NM",((AV172/AL172)^0.2-1)*100)))</f>
        <v>NA</v>
      </c>
      <c r="AY172" s="58"/>
      <c r="AZ172" s="106"/>
      <c r="BA172"/>
      <c r="BB172"/>
      <c r="BC172"/>
      <c r="BD172"/>
      <c r="BE172"/>
      <c r="BF172"/>
      <c r="BG172" s="31"/>
      <c r="BH172" s="28"/>
      <c r="BI172" s="28"/>
      <c r="BJ172" s="28"/>
      <c r="BK172" s="28"/>
      <c r="BL172" s="28"/>
      <c r="BM172" s="28"/>
      <c r="BN172" s="24"/>
    </row>
    <row r="173" spans="1:66" s="439" customFormat="1" ht="12.75" customHeight="1">
      <c r="A173" s="31"/>
      <c r="B173" s="95"/>
      <c r="C173" s="130"/>
      <c r="D173" s="61"/>
      <c r="E173" s="130"/>
      <c r="F173" s="61"/>
      <c r="G173" s="130"/>
      <c r="H173" s="61"/>
      <c r="I173" s="130"/>
      <c r="J173" s="61"/>
      <c r="K173" s="130"/>
      <c r="L173" s="61"/>
      <c r="M173" s="130"/>
      <c r="N173" s="61"/>
      <c r="O173" s="130"/>
      <c r="P173" s="61"/>
      <c r="Q173" s="130"/>
      <c r="R173" s="61"/>
      <c r="S173" s="130"/>
      <c r="T173" s="61"/>
      <c r="U173" s="130"/>
      <c r="V173" s="61"/>
      <c r="W173" s="130"/>
      <c r="X173" s="61"/>
      <c r="Y173" s="130"/>
      <c r="Z173" s="61"/>
      <c r="AA173" s="108"/>
      <c r="AB173" s="181"/>
      <c r="AC173" s="91"/>
      <c r="AD173" s="99"/>
      <c r="AE173" s="61"/>
      <c r="AF173" s="99"/>
      <c r="AG173" s="61"/>
      <c r="AH173" s="99"/>
      <c r="AI173" s="61"/>
      <c r="AJ173" s="99"/>
      <c r="AK173" s="61"/>
      <c r="AL173" s="99"/>
      <c r="AM173" s="61"/>
      <c r="AN173" s="99"/>
      <c r="AO173" s="61"/>
      <c r="AP173" s="104"/>
      <c r="AQ173" s="61"/>
      <c r="AR173" s="104"/>
      <c r="AS173" s="61"/>
      <c r="AT173" s="104"/>
      <c r="AU173" s="61"/>
      <c r="AV173" s="104"/>
      <c r="AW173" s="61"/>
      <c r="AX173" s="61"/>
      <c r="AY173" s="58"/>
      <c r="AZ173" s="106"/>
      <c r="BA173"/>
      <c r="BB173"/>
      <c r="BC173"/>
      <c r="BD173"/>
      <c r="BE173"/>
      <c r="BF173"/>
      <c r="BG173" s="31"/>
      <c r="BH173" s="28"/>
      <c r="BI173" s="28"/>
      <c r="BJ173" s="28"/>
      <c r="BK173" s="28"/>
      <c r="BL173" s="28"/>
      <c r="BM173" s="28"/>
      <c r="BN173" s="24"/>
    </row>
    <row r="174" spans="1:66" s="439" customFormat="1" ht="12.75" customHeight="1">
      <c r="A174" s="28"/>
      <c r="B174" s="95" t="s">
        <v>76</v>
      </c>
      <c r="C174" s="153">
        <v>186.2</v>
      </c>
      <c r="D174" s="129"/>
      <c r="E174" s="153">
        <v>186.5</v>
      </c>
      <c r="F174" s="129"/>
      <c r="G174" s="153">
        <v>193.8</v>
      </c>
      <c r="H174" s="129"/>
      <c r="I174" s="153">
        <v>196.4</v>
      </c>
      <c r="J174" s="129"/>
      <c r="K174" s="153">
        <f>196.8+0.1</f>
        <v>196.9</v>
      </c>
      <c r="L174" s="135">
        <f>IF(ISERROR(K174/C174),"NA",IF(OR(K174/C174&gt;2,K174/C174&lt;0.5),"NM",(K174/C174-1)*100))</f>
        <v>5.7465091299677917</v>
      </c>
      <c r="M174" s="153">
        <v>196.7</v>
      </c>
      <c r="N174" s="135">
        <f>IF(ISERROR(M174/E174),"NA",IF(OR(M174/E174&gt;2,M174/E174&lt;0.5),"NM",(M174/E174-1)*100))</f>
        <v>5.4691689008042887</v>
      </c>
      <c r="O174" s="153">
        <v>197.05</v>
      </c>
      <c r="P174" s="135">
        <f>IF(ISERROR(O174/G174),"NA",IF(OR(O174/G174&gt;2,O174/G174&lt;0.5),"NM",(O174/G174-1)*100))</f>
        <v>1.6769865841073317</v>
      </c>
      <c r="Q174" s="153">
        <v>196.9</v>
      </c>
      <c r="R174" s="135">
        <f>IF(ISERROR(Q174/I174),"NA",IF(OR(Q174/I174&gt;2,Q174/I174&lt;0.5),"NM",(Q174/I174-1)*100))</f>
        <v>0.25458248472505218</v>
      </c>
      <c r="S174" s="114">
        <f>Q174+S157-S162</f>
        <v>196.9</v>
      </c>
      <c r="T174" s="135">
        <f>IF(ISERROR(S174/K174),"NA",IF(OR(S174/K174&gt;2,S174/K174&lt;0.5),"NM",(S174/K174-1)*100))</f>
        <v>0</v>
      </c>
      <c r="U174" s="114">
        <f>S174+U157-U162</f>
        <v>196.9</v>
      </c>
      <c r="V174" s="135">
        <f>IF(ISERROR(U174/M174),"NA",IF(OR(U174/M174&gt;2,U174/M174&lt;0.5),"NM",(U174/M174-1)*100))</f>
        <v>0.10167768174886849</v>
      </c>
      <c r="W174" s="114">
        <f>U174+W157-W162</f>
        <v>196.9</v>
      </c>
      <c r="X174" s="135">
        <f>IF(ISERROR(W174/O174),"NA",IF(OR(W174/O174&gt;2,W174/O174&lt;0.5),"NM",(W174/O174-1)*100))</f>
        <v>-7.6122811469170326E-2</v>
      </c>
      <c r="Y174" s="114">
        <f>W174+Y157-Y162</f>
        <v>196.9</v>
      </c>
      <c r="Z174" s="135">
        <f>IF(ISERROR(Y174/Q174),"NA",IF(OR(Y174/Q174&gt;2,Y174/Q174&lt;0.5),"NM",(Y174/Q174-1)*100))</f>
        <v>0</v>
      </c>
      <c r="AA174" s="108"/>
      <c r="AB174" s="181"/>
      <c r="AC174" s="91"/>
      <c r="AD174" s="153">
        <f>AD175</f>
        <v>111.2</v>
      </c>
      <c r="AE174" s="61" t="str">
        <f>IF(ISERROR(AD174/#REF!),"NA",IF(OR(AD174/#REF!&gt;2,AD174/#REF!&lt;0.5),"NM",(AD174/#REF!-1)*100))</f>
        <v>NA</v>
      </c>
      <c r="AF174" s="153">
        <f>AF175</f>
        <v>131.4</v>
      </c>
      <c r="AG174" s="61">
        <f>IF(ISERROR(AF174/AD174),"NA",IF(OR(AF174/AD174&gt;2,AF174/AD174&lt;0.5),"NM",(AF174/AD174-1)*100))</f>
        <v>18.165467625899279</v>
      </c>
      <c r="AH174" s="153">
        <f>AH175</f>
        <v>175</v>
      </c>
      <c r="AI174" s="61">
        <f>IF(ISERROR(AH174/AF174),"NA",IF(OR(AH174/AF174&gt;2,AH174/AF174&lt;0.5),"NM",(AH174/AF174-1)*100))</f>
        <v>33.181126331811249</v>
      </c>
      <c r="AJ174" s="114">
        <f>I174</f>
        <v>196.4</v>
      </c>
      <c r="AK174" s="61">
        <f>IF(ISERROR(AJ174/AH174),"NA",IF(OR(AJ174/AH174&gt;2,AJ174/AH174&lt;0.5),"NM",(AJ174/AH174-1)*100))</f>
        <v>12.228571428571433</v>
      </c>
      <c r="AL174" s="114">
        <f>Q174</f>
        <v>196.9</v>
      </c>
      <c r="AM174" s="61">
        <f>IF(ISERROR(AL174/AJ174),"NA",IF(OR(AL174/AJ174&gt;2,AL174/AJ174&lt;0.5),"NM",(AL174/AJ174-1)*100))</f>
        <v>0.25458248472505218</v>
      </c>
      <c r="AN174" s="114">
        <f>Y174</f>
        <v>196.9</v>
      </c>
      <c r="AO174" s="61">
        <f>IF(ISERROR(AN174/AL174),"NA",IF(OR(AN174/AL174&gt;2,AN174/AL174&lt;0.5),"NM",(AN174/AL174-1)*100))</f>
        <v>0</v>
      </c>
      <c r="AP174" s="114">
        <f>AN174+AP157-AP162</f>
        <v>189.14045327008319</v>
      </c>
      <c r="AQ174" s="61">
        <f>IF(ISERROR(AP174/AN174),"NA",IF(OR(AP174/AN174&gt;2,AP174/AN174&lt;0.5),"NM",(AP174/AN174-1)*100))</f>
        <v>-3.9408566429237291</v>
      </c>
      <c r="AR174" s="114">
        <f>AP174+AR157-AR162</f>
        <v>181.95568777941946</v>
      </c>
      <c r="AS174" s="61">
        <f>IF(ISERROR(AR174/AP174),"NA",IF(OR(AR174/AP174&gt;2,AR174/AP174&lt;0.5),"NM",(AR174/AP174-1)*100))</f>
        <v>-3.7986403048343331</v>
      </c>
      <c r="AT174" s="114">
        <f>AR174+AT157-AT162</f>
        <v>179.56076594919821</v>
      </c>
      <c r="AU174" s="61">
        <f>IF(ISERROR(AT174/AR174),"NA",IF(OR(AT174/AR174&gt;2,AT174/AR174&lt;0.5),"NM",(AT174/AR174-1)*100))</f>
        <v>-1.3162115784611017</v>
      </c>
      <c r="AV174" s="114">
        <f>AT174+AV157-AV162</f>
        <v>177.34324573603038</v>
      </c>
      <c r="AW174" s="61">
        <f>IF(ISERROR(AV174/AT174),"NA",IF(OR(AV174/AT174&gt;2,AV174/AT174&lt;0.5),"NM",(AV174/AT174-1)*100))</f>
        <v>-1.2349692325300143</v>
      </c>
      <c r="AX174" s="63">
        <f>IF(ISERROR(((AV174/AL174)^0.2-1)*100),"NA",IF((((AV174/AL174)^0.2-1)*100)&gt;100,"NM",IF((((AV174/AL174)^0.2-1)*100)&lt;-50,"NM",((AV174/AL174)^0.2-1)*100)))</f>
        <v>-2.0704435876020888</v>
      </c>
      <c r="AY174" s="58"/>
      <c r="AZ174" s="106"/>
      <c r="BA174"/>
      <c r="BB174"/>
      <c r="BC174"/>
      <c r="BD174"/>
      <c r="BE174"/>
      <c r="BF174"/>
      <c r="BG174" s="31"/>
      <c r="BH174" s="28"/>
      <c r="BI174" s="28"/>
      <c r="BJ174" s="28"/>
      <c r="BK174" s="28"/>
      <c r="BL174" s="28"/>
      <c r="BM174" s="28"/>
      <c r="BN174" s="24"/>
    </row>
    <row r="175" spans="1:66" s="439" customFormat="1" ht="12.75" customHeight="1">
      <c r="A175" s="28"/>
      <c r="B175" s="95" t="s">
        <v>77</v>
      </c>
      <c r="C175" s="153">
        <v>186</v>
      </c>
      <c r="D175" s="129"/>
      <c r="E175" s="153">
        <v>186</v>
      </c>
      <c r="F175" s="129"/>
      <c r="G175" s="153">
        <v>185.9</v>
      </c>
      <c r="H175" s="129"/>
      <c r="I175" s="153">
        <f>189.2+0.4</f>
        <v>189.6</v>
      </c>
      <c r="J175" s="230"/>
      <c r="K175" s="153">
        <f>192.5-0.1</f>
        <v>192.4</v>
      </c>
      <c r="L175" s="356">
        <f>IF(ISERROR(K175/C175),"NA",IF(OR(K175/C175&gt;2,K175/C175&lt;0.5),"NM",(K175/C175-1)*100))</f>
        <v>3.4408602150537648</v>
      </c>
      <c r="M175" s="153">
        <f>195.7+0.1</f>
        <v>195.79999999999998</v>
      </c>
      <c r="N175" s="356">
        <f>IF(ISERROR(M175/E175),"NA",IF(OR(M175/E175&gt;2,M175/E175&lt;0.5),"NM",(M175/E175-1)*100))</f>
        <v>5.2688172043010573</v>
      </c>
      <c r="O175" s="153">
        <v>196.3</v>
      </c>
      <c r="P175" s="356">
        <f>IF(ISERROR(O175/G175),"NA",IF(OR(O175/G175&gt;2,O175/G175&lt;0.5),"NM",(O175/G175-1)*100))</f>
        <v>5.5944055944056048</v>
      </c>
      <c r="Q175" s="153">
        <v>196.7</v>
      </c>
      <c r="R175" s="135">
        <f>IF(ISERROR(Q175/I175),"NA",IF(OR(Q175/I175&gt;2,Q175/I175&lt;0.5),"NM",(Q175/I175-1)*100))</f>
        <v>3.7447257383966148</v>
      </c>
      <c r="S175" s="114">
        <f>Q174+S157*(1-S159/100)-S162*(1-S164/100)</f>
        <v>196.9</v>
      </c>
      <c r="T175" s="135">
        <f>IF(ISERROR(S175/K175),"NA",IF(OR(S175/K175&gt;2,S175/K175&lt;0.5),"NM",(S175/K175-1)*100))</f>
        <v>2.3388773388773432</v>
      </c>
      <c r="U175" s="114">
        <f>S174+U157*(1-U159/100)-U162*(1-U164/100)</f>
        <v>196.9</v>
      </c>
      <c r="V175" s="135">
        <f>IF(ISERROR(U175/M175),"NA",IF(OR(U175/M175&gt;2,U175/M175&lt;0.5),"NM",(U175/M175-1)*100))</f>
        <v>0.56179775280900124</v>
      </c>
      <c r="W175" s="114">
        <f>U174+W157*(1-W159/100)-W162*(1-W164/100)</f>
        <v>196.9</v>
      </c>
      <c r="X175" s="135">
        <f>IF(ISERROR(W175/O175),"NA",IF(OR(W175/O175&gt;2,W175/O175&lt;0.5),"NM",(W175/O175-1)*100))</f>
        <v>0.30565461029037344</v>
      </c>
      <c r="Y175" s="114">
        <f>W174+Y157*(1-Y159/100)-Y162*(1-Y164/100)</f>
        <v>196.9</v>
      </c>
      <c r="Z175" s="135">
        <f>IF(ISERROR(Y175/Q175),"NA",IF(OR(Y175/Q175&gt;2,Y175/Q175&lt;0.5),"NM",(Y175/Q175-1)*100))</f>
        <v>0.10167768174886849</v>
      </c>
      <c r="AA175" s="108"/>
      <c r="AB175" s="180"/>
      <c r="AC175" s="91"/>
      <c r="AD175" s="153">
        <v>111.2</v>
      </c>
      <c r="AE175" s="61" t="str">
        <f>IF(ISERROR(AD175/#REF!),"NA",IF(OR(AD175/#REF!&gt;2,AD175/#REF!&lt;0.5),"NM",(AD175/#REF!-1)*100))</f>
        <v>NA</v>
      </c>
      <c r="AF175" s="153">
        <v>131.4</v>
      </c>
      <c r="AG175" s="61">
        <f>IF(ISERROR(AF175/AD175),"NA",IF(OR(AF175/AD175&gt;2,AF175/AD175&lt;0.5),"NM",(AF175/AD175-1)*100))</f>
        <v>18.165467625899279</v>
      </c>
      <c r="AH175" s="153">
        <v>175</v>
      </c>
      <c r="AI175" s="61">
        <f>IF(ISERROR(AH175/AF175),"NA",IF(OR(AH175/AF175&gt;2,AH175/AF175&lt;0.5),"NM",(AH175/AF175-1)*100))</f>
        <v>33.181126331811249</v>
      </c>
      <c r="AJ175" s="114">
        <f>AVERAGE(E175,G175,I175,C175)</f>
        <v>186.875</v>
      </c>
      <c r="AK175" s="61">
        <f>IF(ISERROR(AJ175/AH175),"NA",IF(OR(AJ175/AH175&gt;2,AJ175/AH175&lt;0.5),"NM",(AJ175/AH175-1)*100))</f>
        <v>6.7857142857142838</v>
      </c>
      <c r="AL175" s="114">
        <f>AVERAGE(M175,O175,Q175,K175)</f>
        <v>195.29999999999998</v>
      </c>
      <c r="AM175" s="61">
        <f>IF(ISERROR(AL175/AJ175),"NA",IF(OR(AL175/AJ175&gt;2,AL175/AJ175&lt;0.5),"NM",(AL175/AJ175-1)*100))</f>
        <v>4.5083612040133669</v>
      </c>
      <c r="AN175" s="114">
        <f>AVERAGE(U175,W175,Y175,S175)</f>
        <v>196.9</v>
      </c>
      <c r="AO175" s="61">
        <f>IF(ISERROR(AN175/AL175),"NA",IF(OR(AN175/AL175&gt;2,AN175/AL175&lt;0.5),"NM",(AN175/AL175-1)*100))</f>
        <v>0.81925243215565935</v>
      </c>
      <c r="AP175" s="114">
        <f>AN174+AP157*(1-AP159/100)-AP162*(1-AP164/100)</f>
        <v>193.64099037343493</v>
      </c>
      <c r="AQ175" s="61">
        <f>IF(ISERROR(AP175/AN175),"NA",IF(OR(AP175/AN175&gt;2,AP175/AN175&lt;0.5),"NM",(AP175/AN175-1)*100))</f>
        <v>-1.6551597900279713</v>
      </c>
      <c r="AR175" s="114">
        <f>AP174+AR157*(1-AR159/100)-AR162*(1-AR164/100)</f>
        <v>186.12285176400442</v>
      </c>
      <c r="AS175" s="61">
        <f>IF(ISERROR(AR175/AP175),"NA",IF(OR(AR175/AP175&gt;2,AR175/AP175&lt;0.5),"NM",(AR175/AP175-1)*100))</f>
        <v>-3.8825140250170365</v>
      </c>
      <c r="AT175" s="114">
        <f>AR174+AT157*(1-AT159/100)-AT162*(1-AT164/100)</f>
        <v>180.75822686430885</v>
      </c>
      <c r="AU175" s="61">
        <f>IF(ISERROR(AT175/AR175),"NA",IF(OR(AT175/AR175&gt;2,AT175/AR175&lt;0.5),"NM",(AT175/AR175-1)*100))</f>
        <v>-2.8823031932143861</v>
      </c>
      <c r="AV175" s="114">
        <f>AT174+AV157*(1-AV159/100)-AV162*(1-AV164/100)</f>
        <v>178.89550988524786</v>
      </c>
      <c r="AW175" s="61">
        <f>IF(ISERROR(AV175/AT175),"NA",IF(OR(AV175/AT175&gt;2,AV175/AT175&lt;0.5),"NM",(AV175/AT175-1)*100))</f>
        <v>-1.0305019093041268</v>
      </c>
      <c r="AX175" s="63">
        <f>IF(ISERROR(((AV175/AL175)^0.2-1)*100),"NA",IF((((AV175/AL175)^0.2-1)*100)&gt;100,"NM",IF((((AV175/AL175)^0.2-1)*100)&lt;-50,"NM",((AV175/AL175)^0.2-1)*100)))</f>
        <v>-1.7393937320907882</v>
      </c>
      <c r="AY175" s="58"/>
      <c r="AZ175" s="106"/>
      <c r="BA175"/>
      <c r="BB175"/>
      <c r="BC175"/>
      <c r="BD175"/>
      <c r="BE175"/>
      <c r="BF175"/>
      <c r="BG175" s="31"/>
      <c r="BH175" s="28"/>
      <c r="BI175" s="28"/>
      <c r="BJ175" s="28"/>
      <c r="BK175" s="28"/>
      <c r="BL175" s="28"/>
      <c r="BM175" s="28"/>
      <c r="BN175" s="24"/>
    </row>
    <row r="176" spans="1:66" s="439" customFormat="1" ht="12.75" customHeight="1">
      <c r="A176" s="28"/>
      <c r="B176" s="95" t="s">
        <v>195</v>
      </c>
      <c r="C176" s="153">
        <f>C177-C175</f>
        <v>9.9999999999994316E-2</v>
      </c>
      <c r="D176" s="129"/>
      <c r="E176" s="153">
        <f>E177-E175</f>
        <v>0.5</v>
      </c>
      <c r="F176" s="129"/>
      <c r="G176" s="153">
        <f>G177-G175</f>
        <v>-1.5</v>
      </c>
      <c r="H176" s="153"/>
      <c r="I176" s="153">
        <f>I177-I175</f>
        <v>5.5999999999999943</v>
      </c>
      <c r="J176" s="153"/>
      <c r="K176" s="153">
        <f>K177-K175</f>
        <v>3.1999999999999886</v>
      </c>
      <c r="L176" s="135" t="str">
        <f>IF(ISERROR(K176/C176),"NA",IF(OR(K176/C176&gt;2,K176/C176&lt;0.5),"NM",(K176/C176-1)*100))</f>
        <v>NM</v>
      </c>
      <c r="M176" s="153">
        <f>M177-M175</f>
        <v>0.10000000000002274</v>
      </c>
      <c r="N176" s="135" t="str">
        <f>IF(ISERROR(M176/E176),"NA",IF(OR(M176/E176&gt;2,M176/E176&lt;0.5),"NM",(M176/E176-1)*100))</f>
        <v>NM</v>
      </c>
      <c r="O176" s="153">
        <f>O177-O175</f>
        <v>-0.30000000000001137</v>
      </c>
      <c r="P176" s="135" t="str">
        <f>IF(ISERROR(O176/G176),"NA",IF(OR(O176/G176&gt;2,O176/G176&lt;0.5),"NM",(O176/G176-1)*100))</f>
        <v>NM</v>
      </c>
      <c r="Q176" s="153">
        <v>0</v>
      </c>
      <c r="R176" s="135" t="str">
        <f>IF(ISERROR(Q176/I176),"NA",IF(OR(Q176/I176&gt;2,Q176/I176&lt;0.5),"NM",(Q176/I176-1)*100))</f>
        <v>NM</v>
      </c>
      <c r="S176" s="153">
        <f>Q176</f>
        <v>0</v>
      </c>
      <c r="T176" s="135" t="str">
        <f>IF(ISERROR(S176/K176),"NA",IF(OR(S176/K176&gt;2,S176/K176&lt;0.5),"NM",(S176/K176-1)*100))</f>
        <v>NM</v>
      </c>
      <c r="U176" s="153">
        <f>S176</f>
        <v>0</v>
      </c>
      <c r="V176" s="135" t="str">
        <f>IF(ISERROR(U176/M176),"NA",IF(OR(U176/M176&gt;2,U176/M176&lt;0.5),"NM",(U176/M176-1)*100))</f>
        <v>NM</v>
      </c>
      <c r="W176" s="153">
        <f>U176</f>
        <v>0</v>
      </c>
      <c r="X176" s="135" t="str">
        <f>IF(ISERROR(W176/O176),"NA",IF(OR(W176/O176&gt;2,W176/O176&lt;0.5),"NM",(W176/O176-1)*100))</f>
        <v>NM</v>
      </c>
      <c r="Y176" s="153">
        <f>W176</f>
        <v>0</v>
      </c>
      <c r="Z176" s="135" t="str">
        <f>IF(ISERROR(Y176/Q176),"NA",IF(OR(Y176/Q176&gt;2,Y176/Q176&lt;0.5),"NM",(Y176/Q176-1)*100))</f>
        <v>NA</v>
      </c>
      <c r="AA176" s="108"/>
      <c r="AB176" s="180"/>
      <c r="AC176" s="91"/>
      <c r="AD176" s="153">
        <f>AD177-AD175</f>
        <v>3.9189999999999969</v>
      </c>
      <c r="AE176" s="61"/>
      <c r="AF176" s="153">
        <f>AF177-AF175</f>
        <v>0.21899999999999409</v>
      </c>
      <c r="AG176" s="61"/>
      <c r="AH176" s="153">
        <f>AH177-AH175</f>
        <v>9.9999999999909051E-3</v>
      </c>
      <c r="AI176" s="61"/>
      <c r="AJ176" s="153">
        <f>AJ177-AJ175</f>
        <v>6.5250000000000057</v>
      </c>
      <c r="AK176" s="61"/>
      <c r="AL176" s="153">
        <f>AL177-AL175</f>
        <v>0.60000000000002274</v>
      </c>
      <c r="AM176" s="61"/>
      <c r="AN176" s="153">
        <f>AN177-AN175</f>
        <v>0</v>
      </c>
      <c r="AO176" s="61"/>
      <c r="AP176" s="153">
        <f>AN176</f>
        <v>0</v>
      </c>
      <c r="AQ176" s="61"/>
      <c r="AR176" s="153">
        <f>AP176</f>
        <v>0</v>
      </c>
      <c r="AS176" s="61"/>
      <c r="AT176" s="153">
        <f>AR176</f>
        <v>0</v>
      </c>
      <c r="AU176" s="61"/>
      <c r="AV176" s="153">
        <f>AT176</f>
        <v>0</v>
      </c>
      <c r="AW176" s="61"/>
      <c r="AX176" s="63" t="str">
        <f>IF(ISERROR(((AV176/AL176)^0.2-1)*100),"NA",IF((((AV176/AL176)^0.2-1)*100)&gt;100,"NM",IF((((AV176/AL176)^0.2-1)*100)&lt;-50,"NM",((AV176/AL176)^0.2-1)*100)))</f>
        <v>NM</v>
      </c>
      <c r="AY176" s="58"/>
      <c r="AZ176" s="106"/>
      <c r="BA176"/>
      <c r="BB176"/>
      <c r="BC176"/>
      <c r="BD176"/>
      <c r="BE176"/>
      <c r="BF176"/>
      <c r="BG176" s="31"/>
      <c r="BH176" s="28"/>
      <c r="BI176" s="28"/>
      <c r="BJ176" s="28"/>
      <c r="BK176" s="28"/>
      <c r="BL176" s="28"/>
      <c r="BM176" s="28"/>
      <c r="BN176" s="24"/>
    </row>
    <row r="177" spans="1:66" s="439" customFormat="1" ht="12.75" customHeight="1">
      <c r="A177" s="28"/>
      <c r="B177" s="97" t="s">
        <v>78</v>
      </c>
      <c r="C177" s="154">
        <v>186.1</v>
      </c>
      <c r="D177" s="129"/>
      <c r="E177" s="154">
        <v>186.5</v>
      </c>
      <c r="F177" s="129"/>
      <c r="G177" s="154">
        <f>185.9-1.5</f>
        <v>184.4</v>
      </c>
      <c r="H177" s="129"/>
      <c r="I177" s="154">
        <f>194.2+1</f>
        <v>195.2</v>
      </c>
      <c r="J177" s="230"/>
      <c r="K177" s="154">
        <v>195.6</v>
      </c>
      <c r="L177" s="135">
        <f>IF(ISERROR(K177/C177),"NA",IF(OR(K177/C177&gt;2,K177/C177&lt;0.5),"NM",(K177/C177-1)*100))</f>
        <v>5.1047823750671739</v>
      </c>
      <c r="M177" s="154">
        <v>195.9</v>
      </c>
      <c r="N177" s="135">
        <f>IF(ISERROR(M177/E177),"NA",IF(OR(M177/E177&gt;2,M177/E177&lt;0.5),"NM",(M177/E177-1)*100))</f>
        <v>5.0402144772117907</v>
      </c>
      <c r="O177" s="154">
        <v>196</v>
      </c>
      <c r="P177" s="135">
        <f>IF(ISERROR(O177/G177),"NA",IF(OR(O177/G177&gt;2,O177/G177&lt;0.5),"NM",(O177/G177-1)*100))</f>
        <v>6.2906724511930578</v>
      </c>
      <c r="Q177" s="154">
        <v>196.1</v>
      </c>
      <c r="R177" s="135">
        <f>IF(ISERROR(Q177/I177),"NA",IF(OR(Q177/I177&gt;2,Q177/I177&lt;0.5),"NM",(Q177/I177-1)*100))</f>
        <v>0.46106557377050272</v>
      </c>
      <c r="S177" s="116">
        <f>S175+S176</f>
        <v>196.9</v>
      </c>
      <c r="T177" s="135">
        <f>IF(ISERROR(S177/K177),"NA",IF(OR(S177/K177&gt;2,S177/K177&lt;0.5),"NM",(S177/K177-1)*100))</f>
        <v>0.66462167689163021</v>
      </c>
      <c r="U177" s="116">
        <f>U175+U176</f>
        <v>196.9</v>
      </c>
      <c r="V177" s="135">
        <f>IF(ISERROR(U177/M177),"NA",IF(OR(U177/M177&gt;2,U177/M177&lt;0.5),"NM",(U177/M177-1)*100))</f>
        <v>0.51046452271568121</v>
      </c>
      <c r="W177" s="116">
        <f>W175+W176</f>
        <v>196.9</v>
      </c>
      <c r="X177" s="135">
        <f>IF(ISERROR(W177/O177),"NA",IF(OR(W177/O177&gt;2,W177/O177&lt;0.5),"NM",(W177/O177-1)*100))</f>
        <v>0.45918367346939881</v>
      </c>
      <c r="Y177" s="116">
        <f>Y175+Y176</f>
        <v>196.9</v>
      </c>
      <c r="Z177" s="135">
        <f>IF(ISERROR(Y177/Q177),"NA",IF(OR(Y177/Q177&gt;2,Y177/Q177&lt;0.5),"NM",(Y177/Q177-1)*100))</f>
        <v>0.40795512493625452</v>
      </c>
      <c r="AA177" s="108"/>
      <c r="AB177" s="180"/>
      <c r="AC177" s="91"/>
      <c r="AD177" s="154">
        <v>115.119</v>
      </c>
      <c r="AE177" s="61" t="str">
        <f>IF(ISERROR(AD177/#REF!),"NA",IF(OR(AD177/#REF!&gt;2,AD177/#REF!&lt;0.5),"NM",(AD177/#REF!-1)*100))</f>
        <v>NA</v>
      </c>
      <c r="AF177" s="154">
        <v>131.619</v>
      </c>
      <c r="AG177" s="61">
        <f>IF(ISERROR(AF177/AD177),"NA",IF(OR(AF177/AD177&gt;2,AF177/AD177&lt;0.5),"NM",(AF177/AD177-1)*100))</f>
        <v>14.332994553462065</v>
      </c>
      <c r="AH177" s="154">
        <v>175.01</v>
      </c>
      <c r="AI177" s="61">
        <f>IF(ISERROR(AH177/AF177),"NA",IF(OR(AH177/AF177&gt;2,AH177/AF177&lt;0.5),"NM",(AH177/AF177-1)*100))</f>
        <v>32.96712480720867</v>
      </c>
      <c r="AJ177" s="154">
        <v>193.4</v>
      </c>
      <c r="AK177" s="61">
        <f>IF(ISERROR(AJ177/AH177),"NA",IF(OR(AJ177/AH177&gt;2,AJ177/AH177&lt;0.5),"NM",(AJ177/AH177-1)*100))</f>
        <v>10.507970973087266</v>
      </c>
      <c r="AL177" s="116">
        <f>AVERAGE(M177,O177,Q177,K177)</f>
        <v>195.9</v>
      </c>
      <c r="AM177" s="61">
        <f>IF(ISERROR(AL177/AJ177),"NA",IF(OR(AL177/AJ177&gt;2,AL177/AJ177&lt;0.5),"NM",(AL177/AJ177-1)*100))</f>
        <v>1.292657704239919</v>
      </c>
      <c r="AN177" s="116">
        <f>AVERAGE(U177,W177,Y177,S177)</f>
        <v>196.9</v>
      </c>
      <c r="AO177" s="61">
        <f>IF(ISERROR(AN177/AL177),"NA",IF(OR(AN177/AL177&gt;2,AN177/AL177&lt;0.5),"NM",(AN177/AL177-1)*100))</f>
        <v>0.51046452271568121</v>
      </c>
      <c r="AP177" s="116">
        <f>AN177-AN175+AP175</f>
        <v>193.64099037343493</v>
      </c>
      <c r="AQ177" s="61">
        <f>IF(ISERROR(AP177/AN177),"NA",IF(OR(AP177/AN177&gt;2,AP177/AN177&lt;0.5),"NM",(AP177/AN177-1)*100))</f>
        <v>-1.6551597900279713</v>
      </c>
      <c r="AR177" s="116">
        <f>AP177-AP175+AR175</f>
        <v>186.12285176400442</v>
      </c>
      <c r="AS177" s="61">
        <f>IF(ISERROR(AR177/AP177),"NA",IF(OR(AR177/AP177&gt;2,AR177/AP177&lt;0.5),"NM",(AR177/AP177-1)*100))</f>
        <v>-3.8825140250170365</v>
      </c>
      <c r="AT177" s="116">
        <f>AR177-AR175+AT175</f>
        <v>180.75822686430885</v>
      </c>
      <c r="AU177" s="61">
        <f>IF(ISERROR(AT177/AR177),"NA",IF(OR(AT177/AR177&gt;2,AT177/AR177&lt;0.5),"NM",(AT177/AR177-1)*100))</f>
        <v>-2.8823031932143861</v>
      </c>
      <c r="AV177" s="116">
        <f>AT177-AT175+AV175</f>
        <v>178.89550988524786</v>
      </c>
      <c r="AW177" s="61">
        <f>IF(ISERROR(AV177/AT177),"NA",IF(OR(AV177/AT177&gt;2,AV177/AT177&lt;0.5),"NM",(AV177/AT177-1)*100))</f>
        <v>-1.0305019093041268</v>
      </c>
      <c r="AX177" s="63">
        <f>IF(ISERROR(((AV177/AL177)^0.2-1)*100),"NA",IF((((AV177/AL177)^0.2-1)*100)&gt;100,"NM",IF((((AV177/AL177)^0.2-1)*100)&lt;-50,"NM",((AV177/AL177)^0.2-1)*100)))</f>
        <v>-1.7996578720550271</v>
      </c>
      <c r="AY177" s="58"/>
      <c r="AZ177" s="106"/>
      <c r="BA177"/>
      <c r="BB177"/>
      <c r="BC177"/>
      <c r="BD177"/>
      <c r="BE177"/>
      <c r="BF177"/>
      <c r="BG177" s="31"/>
      <c r="BH177" s="28"/>
      <c r="BI177" s="28"/>
      <c r="BJ177" s="28"/>
      <c r="BK177" s="28"/>
      <c r="BL177" s="28"/>
      <c r="BM177" s="28"/>
      <c r="BN177" s="24"/>
    </row>
    <row r="178" spans="1:66" s="439" customFormat="1" ht="12.75" customHeight="1">
      <c r="A178" s="28"/>
      <c r="B178" s="97"/>
      <c r="C178" s="152"/>
      <c r="D178" s="61"/>
      <c r="E178" s="152"/>
      <c r="F178" s="61"/>
      <c r="G178" s="152"/>
      <c r="H178" s="61"/>
      <c r="I178" s="152"/>
      <c r="J178" s="61"/>
      <c r="K178" s="152"/>
      <c r="L178" s="61"/>
      <c r="M178" s="152"/>
      <c r="N178" s="61"/>
      <c r="O178" s="152"/>
      <c r="P178" s="61"/>
      <c r="Q178" s="152"/>
      <c r="R178" s="61"/>
      <c r="S178" s="152"/>
      <c r="T178" s="61"/>
      <c r="U178" s="152"/>
      <c r="V178" s="61"/>
      <c r="W178" s="152"/>
      <c r="X178" s="61"/>
      <c r="Y178" s="152"/>
      <c r="Z178" s="61"/>
      <c r="AA178" s="108"/>
      <c r="AB178" s="180"/>
      <c r="AC178" s="91"/>
      <c r="AD178" s="65"/>
      <c r="AE178" s="61"/>
      <c r="AF178" s="65"/>
      <c r="AG178" s="61"/>
      <c r="AH178" s="65"/>
      <c r="AI178" s="61"/>
      <c r="AJ178" s="65"/>
      <c r="AK178" s="61"/>
      <c r="AL178" s="65"/>
      <c r="AM178" s="61"/>
      <c r="AN178" s="65"/>
      <c r="AO178" s="61"/>
      <c r="AP178" s="65"/>
      <c r="AQ178" s="61"/>
      <c r="AR178" s="65"/>
      <c r="AS178" s="61"/>
      <c r="AT178" s="65"/>
      <c r="AU178" s="61"/>
      <c r="AV178" s="65"/>
      <c r="AW178" s="61"/>
      <c r="AX178" s="61"/>
      <c r="AY178" s="58"/>
      <c r="AZ178" s="106"/>
      <c r="BA178"/>
      <c r="BB178"/>
      <c r="BC178"/>
      <c r="BD178"/>
      <c r="BE178"/>
      <c r="BF178"/>
      <c r="BG178" s="31"/>
      <c r="BH178" s="28"/>
      <c r="BI178" s="28"/>
      <c r="BJ178" s="28"/>
      <c r="BK178" s="28"/>
      <c r="BL178" s="28"/>
      <c r="BM178" s="28"/>
      <c r="BN178" s="24"/>
    </row>
    <row r="179" spans="1:66" s="439" customFormat="1" ht="12.75" customHeight="1">
      <c r="A179" s="109"/>
      <c r="B179" s="97" t="s">
        <v>79</v>
      </c>
      <c r="C179" s="430"/>
      <c r="D179" s="61"/>
      <c r="E179" s="430"/>
      <c r="F179" s="430"/>
      <c r="G179" s="430"/>
      <c r="H179" s="430"/>
      <c r="I179" s="430"/>
      <c r="J179" s="61"/>
      <c r="K179" s="155"/>
      <c r="L179" s="61"/>
      <c r="M179" s="155"/>
      <c r="N179" s="61"/>
      <c r="O179" s="155"/>
      <c r="P179" s="61"/>
      <c r="Q179" s="155"/>
      <c r="R179" s="61"/>
      <c r="S179" s="155"/>
      <c r="T179" s="61"/>
      <c r="U179" s="155"/>
      <c r="V179" s="61"/>
      <c r="W179" s="155"/>
      <c r="X179" s="61"/>
      <c r="Y179" s="155"/>
      <c r="Z179" s="61"/>
      <c r="AA179" s="108"/>
      <c r="AB179" s="180"/>
      <c r="AC179" s="91"/>
      <c r="AD179" s="141"/>
      <c r="AE179" s="61"/>
      <c r="AF179" s="141"/>
      <c r="AG179" s="61"/>
      <c r="AH179" s="141"/>
      <c r="AI179" s="61"/>
      <c r="AJ179" s="141"/>
      <c r="AK179" s="61"/>
      <c r="AL179" s="141"/>
      <c r="AM179" s="61"/>
      <c r="AN179" s="141"/>
      <c r="AO179" s="61"/>
      <c r="AP179" s="141"/>
      <c r="AQ179" s="61"/>
      <c r="AR179" s="141"/>
      <c r="AS179" s="61"/>
      <c r="AT179" s="141"/>
      <c r="AU179" s="61"/>
      <c r="AV179" s="141"/>
      <c r="AW179" s="61"/>
      <c r="AX179" s="61"/>
      <c r="AY179" s="58"/>
      <c r="AZ179" s="106"/>
      <c r="BA179"/>
      <c r="BB179"/>
      <c r="BC179"/>
      <c r="BD179"/>
      <c r="BE179"/>
      <c r="BF179"/>
      <c r="BG179" s="31"/>
      <c r="BH179" s="28"/>
      <c r="BI179" s="28"/>
      <c r="BJ179" s="28"/>
      <c r="BK179" s="28"/>
      <c r="BL179" s="28"/>
      <c r="BM179" s="28"/>
      <c r="BN179" s="24"/>
    </row>
    <row r="180" spans="1:66" s="439" customFormat="1" ht="12.75" customHeight="1">
      <c r="A180" s="31"/>
      <c r="B180" s="97" t="s">
        <v>80</v>
      </c>
      <c r="C180" s="156">
        <f>C127/C177</f>
        <v>0.80601826974744761</v>
      </c>
      <c r="D180" s="61"/>
      <c r="E180" s="156">
        <f>E127/E177</f>
        <v>0.95978552278820373</v>
      </c>
      <c r="F180" s="61"/>
      <c r="G180" s="156">
        <f>G127/G177</f>
        <v>0.6350325379609546</v>
      </c>
      <c r="H180" s="61"/>
      <c r="I180" s="156">
        <f>I127/I177</f>
        <v>1.4344262295081969</v>
      </c>
      <c r="J180" s="61"/>
      <c r="K180" s="156">
        <f>K127/K177</f>
        <v>1.359918200408998</v>
      </c>
      <c r="L180" s="135">
        <f>IF(ISERROR(K180/C180),"NA",IF(OR(K180/C180&gt;2,K180/C180&lt;0.5),"NM",(K180/C180-1)*100))</f>
        <v>68.720518064076359</v>
      </c>
      <c r="M180" s="156">
        <f>M127/M177</f>
        <v>1.4293006636038794</v>
      </c>
      <c r="N180" s="135">
        <f>IF(ISERROR(M180/E180),"NA",IF(OR(M180/E180&gt;2,M180/E180&lt;0.5),"NM",(M180/E180-1)*100))</f>
        <v>48.918756291689114</v>
      </c>
      <c r="O180" s="156">
        <f>O127/O177</f>
        <v>1.1785714285714286</v>
      </c>
      <c r="P180" s="135">
        <f>IF(ISERROR(O180/G180),"NA",IF(OR(O180/G180&gt;2,O180/G180&lt;0.5),"NM",(O180/G180-1)*100))</f>
        <v>85.592289862144639</v>
      </c>
      <c r="Q180" s="156">
        <f>Q127/Q177</f>
        <v>1.6930137684854667</v>
      </c>
      <c r="R180" s="135">
        <f>IF(ISERROR(Q180/I180),"NA",IF(OR(Q180/I180&gt;2,Q180/I180&lt;0.5),"NM",(Q180/I180-1)*100))</f>
        <v>18.027245574415375</v>
      </c>
      <c r="S180" s="156">
        <f>S127/S177</f>
        <v>1.2415145076972454</v>
      </c>
      <c r="T180" s="135">
        <f>IF(ISERROR(S180/K180),"NA",IF(OR(S180/K180&gt;2,S180/K180&lt;0.5),"NM",(S180/K180-1)*100))</f>
        <v>-8.706677554292785</v>
      </c>
      <c r="U180" s="156">
        <f>U127/U177</f>
        <v>1.2751967194644922</v>
      </c>
      <c r="V180" s="135">
        <f>IF(ISERROR(U180/M180),"NA",IF(OR(U180/M180&gt;2,U180/M180&lt;0.5),"NM",(U180/M180-1)*100))</f>
        <v>-10.781772377466414</v>
      </c>
      <c r="W180" s="156">
        <f>W127/W177</f>
        <v>1.3810561386497675</v>
      </c>
      <c r="X180" s="135">
        <f>IF(ISERROR(W180/O180),"NA",IF(OR(W180/O180&gt;2,W180/O180&lt;0.5),"NM",(W180/O180-1)*100))</f>
        <v>17.180520855131775</v>
      </c>
      <c r="Y180" s="156">
        <f>Y127/Y177</f>
        <v>1.4049364358986758</v>
      </c>
      <c r="Z180" s="135">
        <f>IF(ISERROR(Y180/Q180),"NA",IF(OR(Y180/Q180&gt;2,Y180/Q180&lt;0.5),"NM",(Y180/Q180-1)*100))</f>
        <v>-17.015652084418587</v>
      </c>
      <c r="AA180" s="108"/>
      <c r="AB180" s="180"/>
      <c r="AC180" s="156"/>
      <c r="AD180" s="156">
        <f>AD127/AD177</f>
        <v>6.7460627698294813</v>
      </c>
      <c r="AE180" s="61" t="str">
        <f>IF(ISERROR(AD180/#REF!),"NA",IF(OR(AD180/#REF!&gt;2,AD180/#REF!&lt;0.5),"NM",(AD180/#REF!-1)*100))</f>
        <v>NA</v>
      </c>
      <c r="AF180" s="156">
        <f>AF127/AF177</f>
        <v>5.9368328280871303</v>
      </c>
      <c r="AG180" s="61">
        <f t="shared" ref="AG180:AG185" si="53">IF(ISERROR(AF180/AD180),"NA",IF(OR(AF180/AD180&gt;2,AF180/AD180&lt;0.5),"NM",(AF180/AD180-1)*100))</f>
        <v>-11.995588676723889</v>
      </c>
      <c r="AH180" s="156">
        <f>AH127/AH177</f>
        <v>4.2283298097251585</v>
      </c>
      <c r="AI180" s="61">
        <f t="shared" ref="AI180:AI185" si="54">IF(ISERROR(AH180/AF180),"NA",IF(OR(AH180/AF180&gt;2,AH180/AF180&lt;0.5),"NM",(AH180/AF180-1)*100))</f>
        <v>-28.778021342946559</v>
      </c>
      <c r="AJ180" s="156">
        <f>AJ127/AJ177</f>
        <v>3.7543950361944152</v>
      </c>
      <c r="AK180" s="61">
        <f t="shared" ref="AK180:AK185" si="55">IF(ISERROR(AJ180/AH180),"NA",IF(OR(AJ180/AH180&gt;2,AJ180/AH180&lt;0.5),"NM",(AJ180/AH180-1)*100))</f>
        <v>-11.208557394002083</v>
      </c>
      <c r="AL180" s="156">
        <f>AL127/AL177</f>
        <v>5.6610515569167941</v>
      </c>
      <c r="AM180" s="61">
        <f t="shared" ref="AM180:AM185" si="56">IF(ISERROR(AL180/AJ180),"NA",IF(OR(AL180/AJ180&gt;2,AL180/AJ180&lt;0.5),"NM",(AL180/AJ180-1)*100))</f>
        <v>50.784653781532583</v>
      </c>
      <c r="AN180" s="156">
        <f>AN127/AN177</f>
        <v>5.3027038017101802</v>
      </c>
      <c r="AO180" s="61">
        <f t="shared" ref="AO180:AS185" si="57">IF(ISERROR(AN180/AL180),"NA",IF(OR(AN180/AL180&gt;2,AN180/AL180&lt;0.5),"NM",(AN180/AL180-1)*100))</f>
        <v>-6.3300563791682247</v>
      </c>
      <c r="AP180" s="156">
        <f>AP127/AP177</f>
        <v>6.0499219337079184</v>
      </c>
      <c r="AQ180" s="61">
        <f t="shared" si="57"/>
        <v>14.091266643193467</v>
      </c>
      <c r="AR180" s="156">
        <f>AR127/AR177</f>
        <v>6.9536702210814187</v>
      </c>
      <c r="AS180" s="61">
        <f t="shared" si="57"/>
        <v>14.938180976156911</v>
      </c>
      <c r="AT180" s="156">
        <f>AT127/AT177</f>
        <v>7.554018532042952</v>
      </c>
      <c r="AU180" s="61">
        <f t="shared" ref="AU180:AU185" si="58">IF(ISERROR(AT180/AR180),"NA",IF(OR(AT180/AR180&gt;2,AT180/AR180&lt;0.5),"NM",(AT180/AR180-1)*100))</f>
        <v>8.6335459099204712</v>
      </c>
      <c r="AV180" s="156">
        <f>AV127/AV177</f>
        <v>8.0977876883126356</v>
      </c>
      <c r="AW180" s="61">
        <f t="shared" ref="AW180:AW185" si="59">IF(ISERROR(AV180/AT180),"NA",IF(OR(AV180/AT180&gt;2,AV180/AT180&lt;0.5),"NM",(AV180/AT180-1)*100))</f>
        <v>7.1984090846891835</v>
      </c>
      <c r="AX180" s="63">
        <f>IF(ISERROR(((AV180/AL180)^0.2-1)*100),"NA",IF((((AV180/AL180)^0.2-1)*100)&gt;100,"NM",IF((((AV180/AL180)^0.2-1)*100)&lt;-50,"NM",((AV180/AL180)^0.2-1)*100)))</f>
        <v>7.4221536771631236</v>
      </c>
      <c r="AY180" s="58"/>
      <c r="AZ180" s="106"/>
      <c r="BA180"/>
      <c r="BB180"/>
      <c r="BC180"/>
      <c r="BD180"/>
      <c r="BE180"/>
      <c r="BF180"/>
      <c r="BG180" s="31"/>
      <c r="BH180" s="28"/>
      <c r="BI180" s="28"/>
      <c r="BJ180" s="28"/>
      <c r="BK180" s="28"/>
      <c r="BL180" s="28"/>
      <c r="BM180" s="28"/>
      <c r="BN180" s="24"/>
    </row>
    <row r="181" spans="1:66" s="439" customFormat="1" ht="12.75" customHeight="1">
      <c r="A181" s="28"/>
      <c r="B181" s="94" t="s">
        <v>179</v>
      </c>
      <c r="C181" s="115">
        <f>ROUND(C138/C177,2)</f>
        <v>-0.01</v>
      </c>
      <c r="D181" s="61"/>
      <c r="E181" s="115">
        <f>ROUND(E138/E177,2)</f>
        <v>-0.03</v>
      </c>
      <c r="F181" s="61"/>
      <c r="G181" s="115">
        <f>ROUND(G138/G177,2)</f>
        <v>-0.01</v>
      </c>
      <c r="H181" s="61"/>
      <c r="I181" s="115">
        <f>ROUND(I138/I177,2)</f>
        <v>-7.0000000000000007E-2</v>
      </c>
      <c r="J181" s="61"/>
      <c r="K181" s="115">
        <f>ROUND(K138/K177,2)</f>
        <v>-0.05</v>
      </c>
      <c r="L181" s="61" t="str">
        <f>IF(ISERROR(K181/C181),"NA",IF(OR(K181/C181&gt;2,K181/C181&lt;0.5),"NM",(K181/C181-1)*100))</f>
        <v>NM</v>
      </c>
      <c r="M181" s="115">
        <f>ROUND(M138/M177,2)</f>
        <v>-0.06</v>
      </c>
      <c r="N181" s="61">
        <f>IF(ISERROR(M181/E181),"NA",IF(OR(M181/E181&gt;2,M181/E181&lt;0.5),"NM",(M181/E181-1)*100))</f>
        <v>100</v>
      </c>
      <c r="O181" s="115">
        <f>ROUND(O138/O177,2)</f>
        <v>-7.0000000000000007E-2</v>
      </c>
      <c r="P181" s="61" t="str">
        <f>IF(ISERROR(O181/G181),"NA",IF(OR(O181/G181&gt;2,O181/G181&lt;0.5),"NM",(O181/G181-1)*100))</f>
        <v>NM</v>
      </c>
      <c r="Q181" s="115">
        <f>ROUND(Q138/Q177,2)</f>
        <v>-0.17</v>
      </c>
      <c r="R181" s="61" t="str">
        <f>IF(ISERROR(Q181/I181),"NA",IF(OR(Q181/I181&gt;2,Q181/I181&lt;0.5),"NM",(Q181/I181-1)*100))</f>
        <v>NM</v>
      </c>
      <c r="S181" s="115">
        <f>ROUND(S138/S177,2)</f>
        <v>0</v>
      </c>
      <c r="T181" s="61" t="str">
        <f>IF(ISERROR(S181/K181),"NA",IF(OR(S181/K181&gt;2,S181/K181&lt;0.5),"NM",(S181/K181-1)*100))</f>
        <v>NM</v>
      </c>
      <c r="U181" s="115">
        <f>ROUND(U138/U177,2)</f>
        <v>0</v>
      </c>
      <c r="V181" s="61" t="str">
        <f>IF(ISERROR(U181/M181),"NA",IF(OR(U181/M181&gt;2,U181/M181&lt;0.5),"NM",(U181/M181-1)*100))</f>
        <v>NM</v>
      </c>
      <c r="W181" s="115">
        <f>ROUND(W138/W177,2)</f>
        <v>0</v>
      </c>
      <c r="X181" s="61" t="str">
        <f>IF(ISERROR(W181/O181),"NA",IF(OR(W181/O181&gt;2,W181/O181&lt;0.5),"NM",(W181/O181-1)*100))</f>
        <v>NM</v>
      </c>
      <c r="Y181" s="115">
        <f>ROUND(Y138/Y177,2)</f>
        <v>0</v>
      </c>
      <c r="Z181" s="61" t="str">
        <f>IF(ISERROR(Y181/Q181),"NA",IF(OR(Y181/Q181&gt;2,Y181/Q181&lt;0.5),"NM",(Y181/Q181-1)*100))</f>
        <v>NM</v>
      </c>
      <c r="AA181" s="108"/>
      <c r="AB181" s="180"/>
      <c r="AC181" s="115"/>
      <c r="AD181" s="115">
        <f>ROUND(AD138/AD177,2)</f>
        <v>-0.33</v>
      </c>
      <c r="AE181" s="61" t="str">
        <f>IF(ISERROR(AD181/#REF!),"NA",IF(OR(AD181/#REF!&gt;2,AD181/#REF!&lt;0.5),"NM",(AD181/#REF!-1)*100))</f>
        <v>NA</v>
      </c>
      <c r="AF181" s="115">
        <f>ROUND(AF138/AF177,2)</f>
        <v>-2.08</v>
      </c>
      <c r="AG181" s="61" t="str">
        <f t="shared" si="53"/>
        <v>NM</v>
      </c>
      <c r="AH181" s="115">
        <f>ROUND(AH138/AH177,2)</f>
        <v>-0.41</v>
      </c>
      <c r="AI181" s="61" t="str">
        <f t="shared" si="54"/>
        <v>NM</v>
      </c>
      <c r="AJ181" s="115">
        <f>ROUND(AJ138/AJ175,2)</f>
        <v>-0.12</v>
      </c>
      <c r="AK181" s="61" t="str">
        <f t="shared" si="55"/>
        <v>NM</v>
      </c>
      <c r="AL181" s="115">
        <f>ROUND(AL138/AL175,2)</f>
        <v>-0.35</v>
      </c>
      <c r="AM181" s="61" t="str">
        <f t="shared" si="56"/>
        <v>NM</v>
      </c>
      <c r="AN181" s="115">
        <f>ROUND(AN138/AN175,2)</f>
        <v>0</v>
      </c>
      <c r="AO181" s="61" t="str">
        <f t="shared" si="57"/>
        <v>NM</v>
      </c>
      <c r="AP181" s="115">
        <f>ROUND(AP138/AP175,2)</f>
        <v>0</v>
      </c>
      <c r="AQ181" s="61" t="str">
        <f t="shared" si="57"/>
        <v>NA</v>
      </c>
      <c r="AR181" s="115">
        <f>ROUND(AR138/AR175,2)</f>
        <v>0</v>
      </c>
      <c r="AS181" s="61" t="str">
        <f t="shared" si="57"/>
        <v>NA</v>
      </c>
      <c r="AT181" s="115">
        <f>ROUND(AT138/AT175,2)</f>
        <v>0</v>
      </c>
      <c r="AU181" s="61" t="str">
        <f t="shared" si="58"/>
        <v>NA</v>
      </c>
      <c r="AV181" s="115">
        <f>ROUND(AV138/AV175,2)</f>
        <v>0</v>
      </c>
      <c r="AW181" s="61" t="str">
        <f t="shared" si="59"/>
        <v>NA</v>
      </c>
      <c r="AX181" s="63" t="str">
        <f>IF(ISERROR(((AV181/AL181)^0.2-1)*100),"NA",IF((((AV181/AL181)^0.2-1)*100)&gt;100,"NM",IF((((AV181/AL181)^0.2-1)*100)&lt;-50,"NM",((AV181/AL181)^0.2-1)*100)))</f>
        <v>NM</v>
      </c>
      <c r="AY181" s="58"/>
      <c r="AZ181" s="106"/>
      <c r="BA181"/>
      <c r="BB181"/>
      <c r="BC181"/>
      <c r="BD181"/>
      <c r="BE181"/>
      <c r="BF181"/>
      <c r="BG181" s="31"/>
      <c r="BH181" s="28"/>
      <c r="BI181" s="28"/>
      <c r="BJ181" s="28"/>
      <c r="BK181" s="28"/>
      <c r="BL181" s="28"/>
      <c r="BM181" s="28"/>
      <c r="BN181" s="24"/>
    </row>
    <row r="182" spans="1:66" s="441" customFormat="1" ht="12.75" customHeight="1">
      <c r="A182" s="146"/>
      <c r="B182" s="95" t="s">
        <v>81</v>
      </c>
      <c r="C182" s="115">
        <f>ROUND(C136/C177,2)</f>
        <v>-0.1</v>
      </c>
      <c r="D182" s="61"/>
      <c r="E182" s="115">
        <f>ROUND(E136/E177,2)</f>
        <v>0.33</v>
      </c>
      <c r="F182" s="61"/>
      <c r="G182" s="115">
        <f>ROUND(G136/G177,2)</f>
        <v>0.31</v>
      </c>
      <c r="H182" s="61"/>
      <c r="I182" s="115">
        <f>ROUND(I136/I177,2)</f>
        <v>-0.26</v>
      </c>
      <c r="J182" s="61"/>
      <c r="K182" s="115">
        <f>ROUND(K136/K177,2)</f>
        <v>0.28999999999999998</v>
      </c>
      <c r="L182" s="61" t="str">
        <f>IF(ISERROR(K182/C182),"NA",IF(OR(K182/C182&gt;2,K182/C182&lt;0.5),"NM",(K182/C182-1)*100))</f>
        <v>NM</v>
      </c>
      <c r="M182" s="115">
        <f>ROUND(M136/M177,2)</f>
        <v>0.3</v>
      </c>
      <c r="N182" s="61">
        <f>IF(ISERROR(M182/E182),"NA",IF(OR(M182/E182&gt;2,M182/E182&lt;0.5),"NM",(M182/E182-1)*100))</f>
        <v>-9.0909090909090935</v>
      </c>
      <c r="O182" s="115">
        <f>ROUND(O136/O177,2)</f>
        <v>0.13</v>
      </c>
      <c r="P182" s="61" t="str">
        <f>IF(ISERROR(O182/G182),"NA",IF(OR(O182/G182&gt;2,O182/G182&lt;0.5),"NM",(O182/G182-1)*100))</f>
        <v>NM</v>
      </c>
      <c r="Q182" s="115">
        <f>ROUND(Q136/Q177,2)</f>
        <v>0.3</v>
      </c>
      <c r="R182" s="61" t="str">
        <f>IF(ISERROR(Q182/I182),"NA",IF(OR(Q182/I182&gt;2,Q182/I182&lt;0.5),"NM",(Q182/I182-1)*100))</f>
        <v>NM</v>
      </c>
      <c r="S182" s="115">
        <f>ROUND(S136/S177,2)</f>
        <v>-0.04</v>
      </c>
      <c r="T182" s="61" t="str">
        <f>IF(ISERROR(S182/K182),"NA",IF(OR(S182/K182&gt;2,S182/K182&lt;0.5),"NM",(S182/K182-1)*100))</f>
        <v>NM</v>
      </c>
      <c r="U182" s="115">
        <f>ROUND(U136/U177,2)</f>
        <v>-0.04</v>
      </c>
      <c r="V182" s="61" t="str">
        <f>IF(ISERROR(U182/M182),"NA",IF(OR(U182/M182&gt;2,U182/M182&lt;0.5),"NM",(U182/M182-1)*100))</f>
        <v>NM</v>
      </c>
      <c r="W182" s="115">
        <f>ROUND(W136/W177,2)</f>
        <v>-0.05</v>
      </c>
      <c r="X182" s="61" t="str">
        <f>IF(ISERROR(W182/O182),"NA",IF(OR(W182/O182&gt;2,W182/O182&lt;0.5),"NM",(W182/O182-1)*100))</f>
        <v>NM</v>
      </c>
      <c r="Y182" s="115">
        <f>ROUND(Y136/Y177,2)</f>
        <v>-0.05</v>
      </c>
      <c r="Z182" s="61" t="str">
        <f>IF(ISERROR(Y182/Q182),"NA",IF(OR(Y182/Q182&gt;2,Y182/Q182&lt;0.5),"NM",(Y182/Q182-1)*100))</f>
        <v>NM</v>
      </c>
      <c r="AA182" s="146"/>
      <c r="AB182" s="180"/>
      <c r="AC182" s="115"/>
      <c r="AD182" s="115">
        <f>ROUND(AD136/AD177,2)</f>
        <v>-0.01</v>
      </c>
      <c r="AE182" s="61" t="str">
        <f>IF(ISERROR(AD182/#REF!),"NA",IF(OR(AD182/#REF!&gt;2,AD182/#REF!&lt;0.5),"NM",(AD182/#REF!-1)*100))</f>
        <v>NA</v>
      </c>
      <c r="AF182" s="115">
        <f>ROUND(AF136/AF177,2)</f>
        <v>1.1499999999999999</v>
      </c>
      <c r="AG182" s="61" t="str">
        <f t="shared" si="53"/>
        <v>NM</v>
      </c>
      <c r="AH182" s="115">
        <f>ROUND(AH136/AH177,2)</f>
        <v>-0.32</v>
      </c>
      <c r="AI182" s="61" t="str">
        <f t="shared" si="54"/>
        <v>NM</v>
      </c>
      <c r="AJ182" s="115">
        <f>ROUND(AJ136/AJ177,2)</f>
        <v>0.25</v>
      </c>
      <c r="AK182" s="61" t="str">
        <f t="shared" si="55"/>
        <v>NM</v>
      </c>
      <c r="AL182" s="115">
        <f>ROUND(AL136/AL177,2)</f>
        <v>1.02</v>
      </c>
      <c r="AM182" s="61" t="str">
        <f t="shared" si="56"/>
        <v>NM</v>
      </c>
      <c r="AN182" s="115">
        <f>ROUND(AN136/AN177,2)</f>
        <v>-0.19</v>
      </c>
      <c r="AO182" s="61" t="str">
        <f t="shared" si="57"/>
        <v>NM</v>
      </c>
      <c r="AP182" s="115">
        <f>ROUND(AP136/AP177,2)</f>
        <v>-0.21</v>
      </c>
      <c r="AQ182" s="61">
        <f t="shared" si="57"/>
        <v>10.526315789473673</v>
      </c>
      <c r="AR182" s="115">
        <f>ROUND(AR136/AR177,2)</f>
        <v>-0.23</v>
      </c>
      <c r="AS182" s="61">
        <f t="shared" si="57"/>
        <v>9.5238095238095344</v>
      </c>
      <c r="AT182" s="115">
        <f>ROUND(AT136/AT177,2)</f>
        <v>-0.25</v>
      </c>
      <c r="AU182" s="61">
        <f t="shared" si="58"/>
        <v>8.6956521739130377</v>
      </c>
      <c r="AV182" s="115">
        <f>ROUND(AV136/AV177,2)</f>
        <v>-0.27</v>
      </c>
      <c r="AW182" s="61">
        <f t="shared" si="59"/>
        <v>8.0000000000000071</v>
      </c>
      <c r="AX182" s="63" t="str">
        <f>IF(ISERROR(((AV182/AL182)^0.2-1)*100),"NA",IF((((AV182/AL182)^0.2-1)*100)&gt;100,"NM",IF((((AV182/AL182)^0.2-1)*100)&lt;-50,"NM",((AV182/AL182)^0.2-1)*100)))</f>
        <v>NM</v>
      </c>
      <c r="AY182" s="58"/>
      <c r="AZ182" s="106"/>
      <c r="BA182"/>
      <c r="BB182"/>
      <c r="BC182"/>
      <c r="BD182"/>
      <c r="BE182"/>
      <c r="BF182"/>
      <c r="BG182" s="31"/>
      <c r="BH182" s="146"/>
      <c r="BI182" s="146"/>
      <c r="BJ182" s="146"/>
      <c r="BK182" s="146"/>
      <c r="BL182" s="146"/>
      <c r="BM182" s="146"/>
      <c r="BN182" s="24"/>
    </row>
    <row r="183" spans="1:66" s="441" customFormat="1" ht="12.75" customHeight="1">
      <c r="A183" s="109"/>
      <c r="B183" s="95" t="s">
        <v>180</v>
      </c>
      <c r="C183" s="115">
        <f>ROUND(C137/C177,2)</f>
        <v>-0.37</v>
      </c>
      <c r="D183" s="61"/>
      <c r="E183" s="115">
        <f>ROUND(E137/E177,2)</f>
        <v>-0.1</v>
      </c>
      <c r="F183" s="61"/>
      <c r="G183" s="115">
        <f>ROUND(G137/G177,2)</f>
        <v>-0.01</v>
      </c>
      <c r="H183" s="61"/>
      <c r="I183" s="115">
        <f>ROUND(I137/I177,2)</f>
        <v>0.94</v>
      </c>
      <c r="J183" s="61"/>
      <c r="K183" s="115">
        <f>ROUND(K137/K177,2)</f>
        <v>0.48</v>
      </c>
      <c r="L183" s="61" t="str">
        <f>IF(ISERROR(K183/C183),"NA",IF(OR(K183/C183&gt;2,K183/C183&lt;0.5),"NM",(K183/C183-1)*100))</f>
        <v>NM</v>
      </c>
      <c r="M183" s="115">
        <f>ROUND(M137/M177,2)</f>
        <v>0.08</v>
      </c>
      <c r="N183" s="61" t="str">
        <f>IF(ISERROR(M183/E183),"NA",IF(OR(M183/E183&gt;2,M183/E183&lt;0.5),"NM",(M183/E183-1)*100))</f>
        <v>NM</v>
      </c>
      <c r="O183" s="115">
        <f>ROUND(O137/O177,2)</f>
        <v>0.23</v>
      </c>
      <c r="P183" s="61" t="str">
        <f>IF(ISERROR(O183/G183),"NA",IF(OR(O183/G183&gt;2,O183/G183&lt;0.5),"NM",(O183/G183-1)*100))</f>
        <v>NM</v>
      </c>
      <c r="Q183" s="115">
        <f>ROUND(Q137/Q177,2)</f>
        <v>0.56999999999999995</v>
      </c>
      <c r="R183" s="61">
        <f>IF(ISERROR(Q183/I183),"NA",IF(OR(Q183/I183&gt;2,Q183/I183&lt;0.5),"NM",(Q183/I183-1)*100))</f>
        <v>-39.361702127659584</v>
      </c>
      <c r="S183" s="115">
        <f>ROUND(S137/S177,2)</f>
        <v>0</v>
      </c>
      <c r="T183" s="61" t="str">
        <f>IF(ISERROR(S183/K183),"NA",IF(OR(S183/K183&gt;2,S183/K183&lt;0.5),"NM",(S183/K183-1)*100))</f>
        <v>NM</v>
      </c>
      <c r="U183" s="115">
        <f>ROUND(U137/U177,2)</f>
        <v>0</v>
      </c>
      <c r="V183" s="61" t="str">
        <f>IF(ISERROR(U183/M183),"NA",IF(OR(U183/M183&gt;2,U183/M183&lt;0.5),"NM",(U183/M183-1)*100))</f>
        <v>NM</v>
      </c>
      <c r="W183" s="115">
        <f>ROUND(W137/W177,2)</f>
        <v>0</v>
      </c>
      <c r="X183" s="61" t="str">
        <f>IF(ISERROR(W183/O183),"NA",IF(OR(W183/O183&gt;2,W183/O183&lt;0.5),"NM",(W183/O183-1)*100))</f>
        <v>NM</v>
      </c>
      <c r="Y183" s="115">
        <f>ROUND(Y137/Y177,2)</f>
        <v>0</v>
      </c>
      <c r="Z183" s="61" t="str">
        <f>IF(ISERROR(Y183/Q183),"NA",IF(OR(Y183/Q183&gt;2,Y183/Q183&lt;0.5),"NM",(Y183/Q183-1)*100))</f>
        <v>NM</v>
      </c>
      <c r="AA183" s="146"/>
      <c r="AB183" s="180"/>
      <c r="AC183" s="115"/>
      <c r="AD183" s="115">
        <f>ROUND(AD137/AD177,2)</f>
        <v>1.25</v>
      </c>
      <c r="AE183" s="61" t="str">
        <f>IF(ISERROR(AD183/#REF!),"NA",IF(OR(AD183/#REF!&gt;2,AD183/#REF!&lt;0.5),"NM",(AD183/#REF!-1)*100))</f>
        <v>NA</v>
      </c>
      <c r="AF183" s="115">
        <f>ROUND(AF137/AF177,2)</f>
        <v>-0.23</v>
      </c>
      <c r="AG183" s="61" t="str">
        <f t="shared" si="53"/>
        <v>NM</v>
      </c>
      <c r="AH183" s="115">
        <f>ROUND(AH137/AH177,2)</f>
        <v>-7.0000000000000007E-2</v>
      </c>
      <c r="AI183" s="61" t="str">
        <f t="shared" si="54"/>
        <v>NM</v>
      </c>
      <c r="AJ183" s="115">
        <f>ROUND(AJ137/AJ177,2)</f>
        <v>0.49</v>
      </c>
      <c r="AK183" s="61" t="str">
        <f t="shared" si="55"/>
        <v>NM</v>
      </c>
      <c r="AL183" s="115">
        <f>ROUND(AL137/AL177,2)</f>
        <v>1.36</v>
      </c>
      <c r="AM183" s="61" t="str">
        <f t="shared" si="56"/>
        <v>NM</v>
      </c>
      <c r="AN183" s="115">
        <f>ROUND(AN137/AN177,2)</f>
        <v>0</v>
      </c>
      <c r="AO183" s="61" t="str">
        <f t="shared" si="57"/>
        <v>NM</v>
      </c>
      <c r="AP183" s="115">
        <f>ROUND(AP137/AP177,2)</f>
        <v>0</v>
      </c>
      <c r="AQ183" s="61" t="str">
        <f t="shared" si="57"/>
        <v>NA</v>
      </c>
      <c r="AR183" s="115">
        <f>ROUND(AR137/AR177,2)</f>
        <v>0</v>
      </c>
      <c r="AS183" s="61" t="str">
        <f t="shared" si="57"/>
        <v>NA</v>
      </c>
      <c r="AT183" s="115">
        <f>ROUND(AT137/AT177,2)</f>
        <v>0</v>
      </c>
      <c r="AU183" s="61" t="str">
        <f t="shared" si="58"/>
        <v>NA</v>
      </c>
      <c r="AV183" s="115">
        <f>ROUND(AV137/AV177,2)</f>
        <v>0</v>
      </c>
      <c r="AW183" s="61" t="str">
        <f t="shared" si="59"/>
        <v>NA</v>
      </c>
      <c r="AX183" s="63" t="str">
        <f>IF(ISERROR(((AV183/AL183)^0.2-1)*100),"NA",IF((((AV183/AL183)^0.2-1)*100)&gt;100,"NM",IF((((AV183/AL183)^0.2-1)*100)&lt;-50,"NM",((AV183/AL183)^0.2-1)*100)))</f>
        <v>NM</v>
      </c>
      <c r="AY183" s="58"/>
      <c r="AZ183" s="106"/>
      <c r="BA183"/>
      <c r="BB183"/>
      <c r="BC183"/>
      <c r="BD183"/>
      <c r="BE183"/>
      <c r="BF183"/>
      <c r="BG183" s="31"/>
      <c r="BH183" s="146"/>
      <c r="BI183" s="146"/>
      <c r="BJ183" s="146"/>
      <c r="BK183" s="146"/>
      <c r="BL183" s="146"/>
      <c r="BM183" s="146"/>
      <c r="BN183" s="24"/>
    </row>
    <row r="184" spans="1:66" s="441" customFormat="1" ht="12.75" customHeight="1">
      <c r="A184" s="109"/>
      <c r="B184" s="95" t="s">
        <v>43</v>
      </c>
      <c r="C184" s="115">
        <f>ROUND((C140+C139)/C177,2)</f>
        <v>0.13</v>
      </c>
      <c r="D184" s="61"/>
      <c r="E184" s="115">
        <f>ROUND((E140+E139)/E177,2)</f>
        <v>-0.13</v>
      </c>
      <c r="F184" s="61"/>
      <c r="G184" s="115">
        <f>ROUND((G140+G139)/G177,2)</f>
        <v>-0.25</v>
      </c>
      <c r="H184" s="61"/>
      <c r="I184" s="115">
        <f>ROUND((I140+I139)/I177,2)</f>
        <v>-0.17</v>
      </c>
      <c r="J184" s="61"/>
      <c r="K184" s="115">
        <f>ROUND((K140+K139)/K177,2)</f>
        <v>-0.12</v>
      </c>
      <c r="L184" s="61"/>
      <c r="M184" s="115">
        <f>ROUND((M140+M139)/M177,2)</f>
        <v>-0.08</v>
      </c>
      <c r="N184" s="61"/>
      <c r="O184" s="115">
        <f>ROUND((O140+O139)/O177,2)</f>
        <v>-7.0000000000000007E-2</v>
      </c>
      <c r="P184" s="61"/>
      <c r="Q184" s="115">
        <f>ROUND((Q140+Q139)/Q177,2)</f>
        <v>-0.02</v>
      </c>
      <c r="R184" s="61"/>
      <c r="S184" s="115">
        <f>ROUND((S140+S139)/S177,2)</f>
        <v>0</v>
      </c>
      <c r="T184" s="61"/>
      <c r="U184" s="115">
        <f>ROUND((U140+U139)/U177,2)</f>
        <v>0</v>
      </c>
      <c r="V184" s="61"/>
      <c r="W184" s="115">
        <f>ROUND((W140+W139)/W177,2)</f>
        <v>0</v>
      </c>
      <c r="X184" s="61"/>
      <c r="Y184" s="115">
        <f>ROUND((Y140+Y139)/Y177,2)</f>
        <v>0</v>
      </c>
      <c r="Z184" s="61"/>
      <c r="AA184" s="146"/>
      <c r="AB184" s="180"/>
      <c r="AC184" s="115"/>
      <c r="AD184" s="115">
        <f>ROUND((AD140+AD139)/AD177,2)</f>
        <v>0.13</v>
      </c>
      <c r="AE184" s="61"/>
      <c r="AF184" s="115">
        <f>ROUND((AF140+AF139)/AF177,2)</f>
        <v>-1.31</v>
      </c>
      <c r="AG184" s="25" t="str">
        <f t="shared" si="53"/>
        <v>NM</v>
      </c>
      <c r="AH184" s="115">
        <f>ROUND((AH140+AH139)/AH177,2)</f>
        <v>-0.21</v>
      </c>
      <c r="AI184" s="25" t="str">
        <f t="shared" si="54"/>
        <v>NM</v>
      </c>
      <c r="AJ184" s="115">
        <f>ROUND((AJ140+AJ139)/AJ177,2)</f>
        <v>-0.41</v>
      </c>
      <c r="AK184" s="25">
        <f t="shared" si="55"/>
        <v>95.238095238095227</v>
      </c>
      <c r="AL184" s="115">
        <f>ROUND((AL140+AL139)/AL177,2)</f>
        <v>-0.3</v>
      </c>
      <c r="AM184" s="25">
        <f t="shared" si="56"/>
        <v>-26.829268292682929</v>
      </c>
      <c r="AN184" s="115">
        <f>ROUND((AN140+AN139)/AN177,2)</f>
        <v>0</v>
      </c>
      <c r="AO184" s="25" t="str">
        <f t="shared" si="57"/>
        <v>NM</v>
      </c>
      <c r="AP184" s="115">
        <f>ROUND((AP140+AP139)/AP177,2)</f>
        <v>0</v>
      </c>
      <c r="AQ184" s="25" t="str">
        <f t="shared" si="57"/>
        <v>NA</v>
      </c>
      <c r="AR184" s="115">
        <f>ROUND((AR140+AR139)/AR177,2)</f>
        <v>0</v>
      </c>
      <c r="AS184" s="25" t="str">
        <f t="shared" si="57"/>
        <v>NA</v>
      </c>
      <c r="AT184" s="115">
        <f>ROUND((AT140+AT139)/AT177,2)</f>
        <v>0</v>
      </c>
      <c r="AU184" s="25" t="str">
        <f t="shared" si="58"/>
        <v>NA</v>
      </c>
      <c r="AV184" s="115">
        <f>ROUND((AV140+AV139)/AV177,2)</f>
        <v>0</v>
      </c>
      <c r="AW184" s="25" t="str">
        <f t="shared" si="59"/>
        <v>NA</v>
      </c>
      <c r="AX184" s="63"/>
      <c r="AY184" s="58"/>
      <c r="AZ184" s="106"/>
      <c r="BA184"/>
      <c r="BB184"/>
      <c r="BC184"/>
      <c r="BD184"/>
      <c r="BE184"/>
      <c r="BF184"/>
      <c r="BG184" s="31"/>
      <c r="BH184" s="146"/>
      <c r="BI184" s="146"/>
      <c r="BJ184" s="146"/>
      <c r="BK184" s="146"/>
      <c r="BL184" s="146"/>
      <c r="BM184" s="146"/>
      <c r="BN184" s="24"/>
    </row>
    <row r="185" spans="1:66" s="438" customFormat="1" ht="12.75" customHeight="1">
      <c r="A185" s="31" t="s">
        <v>82</v>
      </c>
      <c r="B185" s="97" t="s">
        <v>83</v>
      </c>
      <c r="C185" s="156">
        <f>ROUND(C145/C175,2)</f>
        <v>0.46</v>
      </c>
      <c r="D185" s="156"/>
      <c r="E185" s="156">
        <f>ROUND(E145/E175,2)</f>
        <v>1.04</v>
      </c>
      <c r="F185" s="156"/>
      <c r="G185" s="156">
        <f>ROUND(G145/G175,2)</f>
        <v>0.68</v>
      </c>
      <c r="H185" s="156"/>
      <c r="I185" s="156">
        <f>ROUND(I145/I175,2)</f>
        <v>1.92</v>
      </c>
      <c r="J185" s="61"/>
      <c r="K185" s="156">
        <f>ROUND(K145/K175,2)</f>
        <v>2</v>
      </c>
      <c r="L185" s="61" t="str">
        <f>IF(ISERROR(K185/C185),"NA",IF(OR(K185/C185&gt;2,K185/C185&lt;0.5),"NM",(K185/C185-1)*100))</f>
        <v>NM</v>
      </c>
      <c r="M185" s="156">
        <f>ROUND(M145/M175,2)</f>
        <v>1.66</v>
      </c>
      <c r="N185" s="61">
        <f>IF(ISERROR(M185/E185),"NA",IF(OR(M185/E185&gt;2,M185/E185&lt;0.5),"NM",(M185/E185-1)*100))</f>
        <v>59.615384615384606</v>
      </c>
      <c r="O185" s="156">
        <f>ROUND(O145/O175,2)</f>
        <v>1.4</v>
      </c>
      <c r="P185" s="61" t="str">
        <f>IF(ISERROR(O185/G185),"NA",IF(OR(O185/G185&gt;2,O185/G185&lt;0.5),"NM",(O185/G185-1)*100))</f>
        <v>NM</v>
      </c>
      <c r="Q185" s="156">
        <f>ROUND(Q145/Q175,2)</f>
        <v>2.36</v>
      </c>
      <c r="R185" s="61">
        <f>IF(ISERROR(Q185/I185),"NA",IF(OR(Q185/I185&gt;2,Q185/I185&lt;0.5),"NM",(Q185/I185-1)*100))</f>
        <v>22.916666666666675</v>
      </c>
      <c r="S185" s="156">
        <f>ROUND(S145/S177,2)</f>
        <v>1.2</v>
      </c>
      <c r="T185" s="61">
        <f>IF(ISERROR(S185/K185),"NA",IF(OR(S185/K185&gt;2,S185/K185&lt;0.5),"NM",(S185/K185-1)*100))</f>
        <v>-40</v>
      </c>
      <c r="U185" s="156">
        <f>ROUND(U145/U177,2)</f>
        <v>1.23</v>
      </c>
      <c r="V185" s="61">
        <f>IF(ISERROR(U185/M185),"NA",IF(OR(U185/M185&gt;2,U185/M185&lt;0.5),"NM",(U185/M185-1)*100))</f>
        <v>-25.903614457831324</v>
      </c>
      <c r="W185" s="156">
        <f>ROUND(W145/W177,2)</f>
        <v>1.33</v>
      </c>
      <c r="X185" s="61">
        <f>IF(ISERROR(W185/O185),"NA",IF(OR(W185/O185&gt;2,W185/O185&lt;0.5),"NM",(W185/O185-1)*100))</f>
        <v>-4.9999999999999929</v>
      </c>
      <c r="Y185" s="156">
        <f>ROUND(Y145/Y177,2)</f>
        <v>1.35</v>
      </c>
      <c r="Z185" s="61">
        <f>IF(ISERROR(Y185/Q185),"NA",IF(OR(Y185/Q185&gt;2,Y185/Q185&lt;0.5),"NM",(Y185/Q185-1)*100))</f>
        <v>-42.796610169491522</v>
      </c>
      <c r="AA185" s="102"/>
      <c r="AB185" s="180"/>
      <c r="AC185" s="156"/>
      <c r="AD185" s="156">
        <f>ROUND(AD145/AD175,2)</f>
        <v>8.07</v>
      </c>
      <c r="AE185" s="61" t="str">
        <f>IF(ISERROR(AD185/#REF!),"NA",IF(OR(AD185/#REF!&gt;2,AD185/#REF!&lt;0.5),"NM",(AD185/#REF!-1)*100))</f>
        <v>NA</v>
      </c>
      <c r="AF185" s="156">
        <f>ROUND(AF145/AF175,2)</f>
        <v>3.47</v>
      </c>
      <c r="AG185" s="156" t="str">
        <f t="shared" si="53"/>
        <v>NM</v>
      </c>
      <c r="AH185" s="156">
        <f>ROUND(AH145/AH175,2)</f>
        <v>3.21</v>
      </c>
      <c r="AI185" s="156">
        <f t="shared" si="54"/>
        <v>-7.4927953890490002</v>
      </c>
      <c r="AJ185" s="156">
        <f>ROUND(AJ145/AJ175,2)</f>
        <v>4.1100000000000003</v>
      </c>
      <c r="AK185" s="61">
        <f t="shared" si="55"/>
        <v>28.037383177570096</v>
      </c>
      <c r="AL185" s="156">
        <f>ROUND(AL145/AL175,2)</f>
        <v>7.41</v>
      </c>
      <c r="AM185" s="61">
        <f t="shared" si="56"/>
        <v>80.291970802919693</v>
      </c>
      <c r="AN185" s="156">
        <f>ROUND(AN145/AN175,2)</f>
        <v>5.1100000000000003</v>
      </c>
      <c r="AO185" s="61">
        <f t="shared" si="57"/>
        <v>-31.039136302294189</v>
      </c>
      <c r="AP185" s="156">
        <f>ROUND(AP145/AP175,2)</f>
        <v>5.84</v>
      </c>
      <c r="AQ185" s="61">
        <f t="shared" si="57"/>
        <v>14.285714285714279</v>
      </c>
      <c r="AR185" s="156">
        <f>ROUND(AR145/AR175,2)</f>
        <v>6.72</v>
      </c>
      <c r="AS185" s="61">
        <f t="shared" si="57"/>
        <v>15.068493150684926</v>
      </c>
      <c r="AT185" s="156">
        <f>ROUND(AT145/AT175,2)</f>
        <v>7.3</v>
      </c>
      <c r="AU185" s="61">
        <f t="shared" si="58"/>
        <v>8.6309523809523725</v>
      </c>
      <c r="AV185" s="156">
        <f>ROUND(AV145/AV175,2)</f>
        <v>7.83</v>
      </c>
      <c r="AW185" s="61">
        <f t="shared" si="59"/>
        <v>7.2602739726027377</v>
      </c>
      <c r="AX185" s="63">
        <f>IF(ISERROR(((AV185/AL185)^0.2-1)*100),"NA",IF((((AV185/AL185)^0.2-1)*100)&gt;100,"NM",IF((((AV185/AL185)^0.2-1)*100)&lt;-50,"NM",((AV185/AL185)^0.2-1)*100)))</f>
        <v>1.1087429095837376</v>
      </c>
      <c r="AY185" s="58"/>
      <c r="AZ185" s="106"/>
      <c r="BA185"/>
      <c r="BB185"/>
      <c r="BC185"/>
      <c r="BD185"/>
      <c r="BE185"/>
      <c r="BF185"/>
      <c r="BG185" s="31"/>
      <c r="BH185" s="102"/>
      <c r="BI185" s="102"/>
      <c r="BJ185" s="102"/>
      <c r="BK185" s="102"/>
      <c r="BL185" s="102"/>
      <c r="BM185" s="102"/>
      <c r="BN185" s="24"/>
    </row>
    <row r="186" spans="1:66" s="438" customFormat="1" ht="12.75" hidden="1" customHeight="1" outlineLevel="1">
      <c r="A186" s="31"/>
      <c r="B186" s="233" t="s">
        <v>181</v>
      </c>
      <c r="C186" s="234">
        <f>SUM(C180:C184)-C185</f>
        <v>-3.9817302525523846E-3</v>
      </c>
      <c r="D186" s="61"/>
      <c r="E186" s="234">
        <f>SUM(E180:E184)-E185</f>
        <v>-1.0214477211796247E-2</v>
      </c>
      <c r="F186" s="61"/>
      <c r="G186" s="234">
        <f>SUM(G180:G184)-G185</f>
        <v>-4.9674620390455226E-3</v>
      </c>
      <c r="H186" s="61"/>
      <c r="I186" s="234">
        <f>SUM(I180:I184)-I185</f>
        <v>-4.557377049180289E-2</v>
      </c>
      <c r="J186" s="61"/>
      <c r="K186" s="234">
        <f>SUM(K180:K184)-K185</f>
        <v>-4.008179959100211E-2</v>
      </c>
      <c r="L186" s="61"/>
      <c r="M186" s="234">
        <f>SUM(M180:M184)-M185</f>
        <v>9.3006636038794888E-3</v>
      </c>
      <c r="N186" s="61"/>
      <c r="O186" s="234">
        <f>SUM(O180:O184)-O185</f>
        <v>-1.4285714285715567E-3</v>
      </c>
      <c r="P186" s="61"/>
      <c r="Q186" s="234">
        <f>SUM(Q180:Q184)-Q185</f>
        <v>1.3013768485466759E-2</v>
      </c>
      <c r="R186" s="61"/>
      <c r="S186" s="234">
        <f>SUM(S180:S184)-S185</f>
        <v>1.5145076972453708E-3</v>
      </c>
      <c r="T186" s="61"/>
      <c r="U186" s="234">
        <f>SUM(U180:U184)-U185</f>
        <v>5.1967194644921832E-3</v>
      </c>
      <c r="V186" s="61"/>
      <c r="W186" s="234">
        <f>SUM(W180:W184)-W185</f>
        <v>1.0561386497673908E-3</v>
      </c>
      <c r="X186" s="61"/>
      <c r="Y186" s="234">
        <f>SUM(Y180:Y184)-Y185</f>
        <v>4.9364358986756507E-3</v>
      </c>
      <c r="Z186" s="61"/>
      <c r="AA186" s="102"/>
      <c r="AB186" s="180"/>
      <c r="AC186" s="156"/>
      <c r="AD186" s="234">
        <f>SUM(AD180:AD184)-AD185</f>
        <v>-0.28393723017051897</v>
      </c>
      <c r="AE186" s="61"/>
      <c r="AF186" s="234">
        <f>SUM(AF180:AF184)-AF185</f>
        <v>-3.1671719128700815E-3</v>
      </c>
      <c r="AG186" s="61"/>
      <c r="AH186" s="234">
        <f>SUM(AH180:AH184)-AH185</f>
        <v>8.3298097251587322E-3</v>
      </c>
      <c r="AI186" s="61"/>
      <c r="AJ186" s="234">
        <f>SUM(AJ180:AJ184)-AJ185</f>
        <v>-0.14560496380558519</v>
      </c>
      <c r="AK186" s="61"/>
      <c r="AL186" s="234">
        <f>SUM(AL180:AL184)-AL185</f>
        <v>-1.8948443083205646E-2</v>
      </c>
      <c r="AM186" s="61"/>
      <c r="AN186" s="234">
        <f>SUM(AN180:AN184)-AN185</f>
        <v>2.7038017101794765E-3</v>
      </c>
      <c r="AO186" s="61"/>
      <c r="AP186" s="234">
        <f>SUM(AP180:AP184)-AP185</f>
        <v>-7.8066292081402366E-5</v>
      </c>
      <c r="AQ186" s="61"/>
      <c r="AR186" s="234">
        <f>SUM(AR180:AR184)-AR185</f>
        <v>3.6702210814185676E-3</v>
      </c>
      <c r="AS186" s="61"/>
      <c r="AT186" s="234">
        <f>SUM(AT180:AT184)-AT185</f>
        <v>4.0185320429522164E-3</v>
      </c>
      <c r="AU186" s="61"/>
      <c r="AV186" s="234">
        <f>SUM(AV180:AV184)-AV185</f>
        <v>-2.2123116873640214E-3</v>
      </c>
      <c r="AW186" s="61"/>
      <c r="AX186" s="63"/>
      <c r="AY186" s="58"/>
      <c r="AZ186" s="106"/>
      <c r="BA186"/>
      <c r="BB186"/>
      <c r="BC186"/>
      <c r="BD186"/>
      <c r="BE186"/>
      <c r="BF186"/>
      <c r="BG186" s="31"/>
      <c r="BH186" s="102"/>
      <c r="BI186" s="102"/>
      <c r="BJ186" s="102"/>
      <c r="BK186" s="102"/>
      <c r="BL186" s="102"/>
      <c r="BM186" s="102"/>
      <c r="BN186" s="24"/>
    </row>
    <row r="187" spans="1:66" s="439" customFormat="1" ht="12" customHeight="1" collapsed="1">
      <c r="A187" s="109"/>
      <c r="B187" s="95" t="s">
        <v>182</v>
      </c>
      <c r="C187" s="115">
        <f>C128/C177</f>
        <v>6.4481461579795812E-2</v>
      </c>
      <c r="D187" s="115"/>
      <c r="E187" s="115">
        <f>E128/E177</f>
        <v>6.4343163538873996E-2</v>
      </c>
      <c r="F187" s="115"/>
      <c r="G187" s="115">
        <f>G128/G177</f>
        <v>-0.85683297180043383</v>
      </c>
      <c r="H187" s="115"/>
      <c r="I187" s="115">
        <f>I128/I177</f>
        <v>0.7223360655737705</v>
      </c>
      <c r="J187" s="115"/>
      <c r="K187" s="115">
        <f>K128/K177</f>
        <v>0.21983640081799591</v>
      </c>
      <c r="L187" s="135" t="str">
        <f>IF(ISERROR(K187/C187),"NA",IF(OR(K187/C187&gt;2,K187/C187&lt;0.5),"NM",(K187/C187-1)*100))</f>
        <v>NM</v>
      </c>
      <c r="M187" s="115">
        <f>M128/M177</f>
        <v>0.25012761613067891</v>
      </c>
      <c r="N187" s="135" t="str">
        <f>IF(ISERROR(M187/E187),"NA",IF(OR(M187/E187&gt;2,M187/E187&lt;0.5),"NM",(M187/E187-1)*100))</f>
        <v>NM</v>
      </c>
      <c r="O187" s="115">
        <f>O128/O177</f>
        <v>-0.11734693877551021</v>
      </c>
      <c r="P187" s="135" t="str">
        <f>IF(ISERROR(O187/G187),"NA",IF(OR(O187/G187&gt;2,O187/G187&lt;0.5),"NM",(O187/G187-1)*100))</f>
        <v>NM</v>
      </c>
      <c r="Q187" s="115">
        <f>Q128/Q177</f>
        <v>0.35696073431922487</v>
      </c>
      <c r="R187" s="135" t="str">
        <f>IF(ISERROR(Q187/I187),"NA",IF(OR(Q187/I187&gt;2,Q187/I187&lt;0.5),"NM",(Q187/I187-1)*100))</f>
        <v>NM</v>
      </c>
      <c r="S187" s="115">
        <f>S128/S177</f>
        <v>0</v>
      </c>
      <c r="T187" s="135" t="str">
        <f>IF(ISERROR(S187/K187),"NA",IF(OR(S187/K187&gt;2,S187/K187&lt;0.5),"NM",(S187/K187-1)*100))</f>
        <v>NM</v>
      </c>
      <c r="U187" s="115">
        <f>U128/U177</f>
        <v>0</v>
      </c>
      <c r="V187" s="135" t="str">
        <f>IF(ISERROR(U187/M187),"NA",IF(OR(U187/M187&gt;2,U187/M187&lt;0.5),"NM",(U187/M187-1)*100))</f>
        <v>NM</v>
      </c>
      <c r="W187" s="115">
        <f>W128/W177</f>
        <v>0</v>
      </c>
      <c r="X187" s="135" t="str">
        <f>IF(ISERROR(W187/O187),"NA",IF(OR(W187/O187&gt;2,W187/O187&lt;0.5),"NM",(W187/O187-1)*100))</f>
        <v>NM</v>
      </c>
      <c r="Y187" s="115">
        <f>Y128/Y177</f>
        <v>0</v>
      </c>
      <c r="Z187" s="135" t="str">
        <f>IF(ISERROR(Y187/Q187),"NA",IF(OR(Y187/Q187&gt;2,Y187/Q187&lt;0.5),"NM",(Y187/Q187-1)*100))</f>
        <v>NM</v>
      </c>
      <c r="AA187" s="108"/>
      <c r="AB187" s="180"/>
      <c r="AC187" s="91"/>
      <c r="AD187" s="115">
        <f>AD128/AD177</f>
        <v>2.736298960206395</v>
      </c>
      <c r="AE187" s="61"/>
      <c r="AF187" s="115">
        <f>AF128/AF177</f>
        <v>0.43306817404781983</v>
      </c>
      <c r="AG187" s="25" t="str">
        <f>IF(ISERROR(AF187/AD187),"NA",IF(OR(AF187/AD187&gt;2,AF187/AD187&lt;0.5),"NM",(AF187/AD187-1)*100))</f>
        <v>NM</v>
      </c>
      <c r="AH187" s="115">
        <f>AH128/AH177</f>
        <v>0.17141877606993888</v>
      </c>
      <c r="AI187" s="25" t="str">
        <f>IF(ISERROR(AH187/AF187),"NA",IF(OR(AH187/AF187&gt;2,AH187/AF187&lt;0.5),"NM",(AH187/AF187-1)*100))</f>
        <v>NM</v>
      </c>
      <c r="AJ187" s="115">
        <f>AJ128/AJ177</f>
        <v>3.6194415718717683E-2</v>
      </c>
      <c r="AK187" s="25" t="str">
        <f>IF(ISERROR(AJ187/AH187),"NA",IF(OR(AJ187/AH187&gt;2,AJ187/AH187&lt;0.5),"NM",(AJ187/AH187-1)*100))</f>
        <v>NM</v>
      </c>
      <c r="AL187" s="115">
        <f>AL128/AL177</f>
        <v>0.70954568657478301</v>
      </c>
      <c r="AM187" s="25" t="str">
        <f>IF(ISERROR(AL187/AJ187),"NA",IF(OR(AL187/AJ187&gt;2,AL187/AJ187&lt;0.5),"NM",(AL187/AJ187-1)*100))</f>
        <v>NM</v>
      </c>
      <c r="AN187" s="115">
        <f>AN128/AN177</f>
        <v>0</v>
      </c>
      <c r="AO187" s="25" t="str">
        <f>IF(ISERROR(AN187/AL187),"NA",IF(OR(AN187/AL187&gt;2,AN187/AL187&lt;0.5),"NM",(AN187/AL187-1)*100))</f>
        <v>NM</v>
      </c>
      <c r="AP187" s="115">
        <f>AP128/AP177</f>
        <v>0</v>
      </c>
      <c r="AQ187" s="25" t="str">
        <f>IF(ISERROR(AP187/AN187),"NA",IF(OR(AP187/AN187&gt;2,AP187/AN187&lt;0.5),"NM",(AP187/AN187-1)*100))</f>
        <v>NA</v>
      </c>
      <c r="AR187" s="115">
        <f>AR128/AR177</f>
        <v>0</v>
      </c>
      <c r="AS187" s="25" t="str">
        <f>IF(ISERROR(AR187/AP187),"NA",IF(OR(AR187/AP187&gt;2,AR187/AP187&lt;0.5),"NM",(AR187/AP187-1)*100))</f>
        <v>NA</v>
      </c>
      <c r="AT187" s="115">
        <f>AT128/AT177</f>
        <v>0</v>
      </c>
      <c r="AU187" s="25" t="str">
        <f>IF(ISERROR(AT187/AR187),"NA",IF(OR(AT187/AR187&gt;2,AT187/AR187&lt;0.5),"NM",(AT187/AR187-1)*100))</f>
        <v>NA</v>
      </c>
      <c r="AV187" s="115">
        <f>AV128/AV177</f>
        <v>0</v>
      </c>
      <c r="AW187" s="25" t="str">
        <f>IF(ISERROR(AV187/AT187),"NA",IF(OR(AV187/AT187&gt;2,AV187/AT187&lt;0.5),"NM",(AV187/AT187-1)*100))</f>
        <v>NA</v>
      </c>
      <c r="AX187" s="61"/>
      <c r="AY187" s="58"/>
      <c r="AZ187" s="106"/>
      <c r="BA187"/>
      <c r="BB187"/>
      <c r="BC187"/>
      <c r="BD187"/>
      <c r="BE187"/>
      <c r="BF187"/>
      <c r="BG187" s="31"/>
      <c r="BH187" s="28"/>
      <c r="BI187" s="28"/>
      <c r="BJ187" s="28"/>
      <c r="BK187" s="28"/>
      <c r="BL187" s="28"/>
      <c r="BM187" s="28"/>
      <c r="BN187" s="24"/>
    </row>
    <row r="188" spans="1:66" s="439" customFormat="1" ht="12.75" customHeight="1">
      <c r="A188" s="109"/>
      <c r="B188" s="97" t="s">
        <v>126</v>
      </c>
      <c r="C188" s="156">
        <f>C180-C187</f>
        <v>0.74153680816765177</v>
      </c>
      <c r="D188" s="61"/>
      <c r="E188" s="156">
        <f>E180-E187</f>
        <v>0.89544235924932969</v>
      </c>
      <c r="F188" s="61"/>
      <c r="G188" s="156">
        <f>G180-G187</f>
        <v>1.4918655097613884</v>
      </c>
      <c r="H188" s="61"/>
      <c r="I188" s="156">
        <f>I180-I187</f>
        <v>0.71209016393442637</v>
      </c>
      <c r="J188" s="61"/>
      <c r="K188" s="156">
        <f>K180-K187</f>
        <v>1.1400817995910022</v>
      </c>
      <c r="L188" s="135">
        <f>IF(ISERROR(K188/C188),"NA",IF(OR(K188/C188&gt;2,K188/C188&lt;0.5),"NM",(K188/C188-1)*100))</f>
        <v>53.745813698467757</v>
      </c>
      <c r="M188" s="156">
        <f>M180-M187</f>
        <v>1.1791730474732005</v>
      </c>
      <c r="N188" s="135">
        <f>IF(ISERROR(M188/E188),"NA",IF(OR(M188/E188&gt;2,M188/E188&lt;0.5),"NM",(M188/E188-1)*100))</f>
        <v>31.686091828593966</v>
      </c>
      <c r="O188" s="156">
        <f>O180-O187</f>
        <v>1.2959183673469388</v>
      </c>
      <c r="P188" s="135">
        <f>IF(ISERROR(O188/G188),"NA",IF(OR(O188/G188&gt;2,O188/G188&lt;0.5),"NM",(O188/G188-1)*100))</f>
        <v>-13.134370433015086</v>
      </c>
      <c r="Q188" s="156">
        <f>Q180-Q187</f>
        <v>1.3360530341662418</v>
      </c>
      <c r="R188" s="135">
        <f>IF(ISERROR(Q188/I188),"NA",IF(OR(Q188/I188&gt;2,Q188/I188&lt;0.5),"NM",(Q188/I188-1)*100))</f>
        <v>87.624138323201677</v>
      </c>
      <c r="S188" s="156">
        <f>S180-S187</f>
        <v>1.2415145076972454</v>
      </c>
      <c r="T188" s="135">
        <f>IF(ISERROR(S188/K188),"NA",IF(OR(S188/K188&gt;2,S188/K188&lt;0.5),"NM",(S188/K188-1)*100))</f>
        <v>8.8969675809780888</v>
      </c>
      <c r="U188" s="156">
        <f>U180-U187</f>
        <v>1.2751967194644922</v>
      </c>
      <c r="V188" s="135">
        <f>IF(ISERROR(U188/M188),"NA",IF(OR(U188/M188&gt;2,U188/M188&lt;0.5),"NM",(U188/M188-1)*100))</f>
        <v>8.1433062091316177</v>
      </c>
      <c r="W188" s="156">
        <f>W180-W187</f>
        <v>1.3810561386497675</v>
      </c>
      <c r="X188" s="135">
        <f>IF(ISERROR(W188/O188),"NA",IF(OR(W188/O188&gt;2,W188/O188&lt;0.5),"NM",(W188/O188-1)*100))</f>
        <v>6.5696862895096242</v>
      </c>
      <c r="Y188" s="156">
        <f>Y180-Y187</f>
        <v>1.4049364358986758</v>
      </c>
      <c r="Z188" s="135">
        <f>IF(ISERROR(Y188/Q188),"NA",IF(OR(Y188/Q188&gt;2,Y188/Q188&lt;0.5),"NM",(Y188/Q188-1)*100))</f>
        <v>5.1557385800497402</v>
      </c>
      <c r="AA188" s="108"/>
      <c r="AB188" s="180"/>
      <c r="AC188" s="91"/>
      <c r="AD188" s="156">
        <f>AD180-AD187</f>
        <v>4.0097638096230863</v>
      </c>
      <c r="AE188" s="61"/>
      <c r="AF188" s="156">
        <f>AF180-AF187</f>
        <v>5.5037646540393101</v>
      </c>
      <c r="AG188" s="25">
        <f>IF(ISERROR(AF188/AD188),"NA",IF(OR(AF188/AD188&gt;2,AF188/AD188&lt;0.5),"NM",(AF188/AD188-1)*100))</f>
        <v>37.259073485344715</v>
      </c>
      <c r="AH188" s="156">
        <f>AH180-AH187</f>
        <v>4.0569110336552194</v>
      </c>
      <c r="AI188" s="25">
        <f>IF(ISERROR(AH188/AF188),"NA",IF(OR(AH188/AF188&gt;2,AH188/AF188&lt;0.5),"NM",(AH188/AF188-1)*100))</f>
        <v>-26.288435486103488</v>
      </c>
      <c r="AJ188" s="156">
        <f>AJ180-AJ187</f>
        <v>3.7182006204756974</v>
      </c>
      <c r="AK188" s="25">
        <f>IF(ISERROR(AJ188/AH188),"NA",IF(OR(AJ188/AH188&gt;2,AJ188/AH188&lt;0.5),"NM",(AJ188/AH188-1)*100))</f>
        <v>-8.3489731564152301</v>
      </c>
      <c r="AL188" s="156">
        <f>AL180-AL187</f>
        <v>4.951505870342011</v>
      </c>
      <c r="AM188" s="25">
        <f>IF(ISERROR(AL188/AJ188),"NA",IF(OR(AL188/AJ188&gt;2,AL188/AJ188&lt;0.5),"NM",(AL188/AJ188-1)*100))</f>
        <v>33.169411114468787</v>
      </c>
      <c r="AN188" s="156">
        <f>AN180-AN187</f>
        <v>5.3027038017101802</v>
      </c>
      <c r="AO188" s="25">
        <f>IF(ISERROR(AN188/AL188),"NA",IF(OR(AN188/AL188&gt;2,AN188/AL188&lt;0.5),"NM",(AN188/AL188-1)*100))</f>
        <v>7.0927499747447831</v>
      </c>
      <c r="AP188" s="156">
        <f>AP180-AP187</f>
        <v>6.0499219337079184</v>
      </c>
      <c r="AQ188" s="25">
        <f>IF(ISERROR(AP188/AN188),"NA",IF(OR(AP188/AN188&gt;2,AP188/AN188&lt;0.5),"NM",(AP188/AN188-1)*100))</f>
        <v>14.091266643193467</v>
      </c>
      <c r="AR188" s="156">
        <f>AR180-AR187</f>
        <v>6.9536702210814187</v>
      </c>
      <c r="AS188" s="25">
        <f>IF(ISERROR(AR188/AP188),"NA",IF(OR(AR188/AP188&gt;2,AR188/AP188&lt;0.5),"NM",(AR188/AP188-1)*100))</f>
        <v>14.938180976156911</v>
      </c>
      <c r="AT188" s="156">
        <f>AT180-AT187</f>
        <v>7.554018532042952</v>
      </c>
      <c r="AU188" s="25">
        <f>IF(ISERROR(AT188/AR188),"NA",IF(OR(AT188/AR188&gt;2,AT188/AR188&lt;0.5),"NM",(AT188/AR188-1)*100))</f>
        <v>8.6335459099204712</v>
      </c>
      <c r="AV188" s="156">
        <f>AV180-AV187</f>
        <v>8.0977876883126356</v>
      </c>
      <c r="AW188" s="25">
        <f>IF(ISERROR(AV188/AT188),"NA",IF(OR(AV188/AT188&gt;2,AV188/AT188&lt;0.5),"NM",(AV188/AT188-1)*100))</f>
        <v>7.1984090846891835</v>
      </c>
      <c r="AX188" s="63">
        <f>IF(ISERROR(((AV188/AL188)^0.2-1)*100),"NA",IF((((AV188/AL188)^0.2-1)*100)&gt;100,"NM",IF((((AV188/AL188)^0.2-1)*100)&lt;-50,"NM",((AV188/AL188)^0.2-1)*100)))</f>
        <v>10.338180368171201</v>
      </c>
      <c r="AY188" s="58"/>
      <c r="AZ188" s="106"/>
      <c r="BA188"/>
      <c r="BB188"/>
      <c r="BC188"/>
      <c r="BD188"/>
      <c r="BE188"/>
      <c r="BF188"/>
      <c r="BG188" s="31"/>
      <c r="BH188" s="28"/>
      <c r="BI188" s="28"/>
      <c r="BJ188" s="28"/>
      <c r="BK188" s="28"/>
      <c r="BL188" s="28"/>
      <c r="BM188" s="28"/>
      <c r="BN188" s="24"/>
    </row>
    <row r="189" spans="1:66" s="438" customFormat="1" ht="12.75" customHeight="1">
      <c r="A189" s="188"/>
      <c r="B189" s="189" t="s">
        <v>39</v>
      </c>
      <c r="C189" s="190">
        <f>C180</f>
        <v>0.80601826974744761</v>
      </c>
      <c r="D189" s="150"/>
      <c r="E189" s="190">
        <f>E180</f>
        <v>0.95978552278820373</v>
      </c>
      <c r="F189" s="150"/>
      <c r="G189" s="190">
        <f>G180</f>
        <v>0.6350325379609546</v>
      </c>
      <c r="H189" s="150"/>
      <c r="I189" s="190">
        <f>I180</f>
        <v>1.4344262295081969</v>
      </c>
      <c r="J189" s="150"/>
      <c r="K189" s="190">
        <f>K180</f>
        <v>1.359918200408998</v>
      </c>
      <c r="L189" s="135">
        <f>IF(ISERROR(K189/C189),"NA",IF(OR(K189/C189&gt;2,K189/C189&lt;0.5),"NM",(K189/C189-1)*100))</f>
        <v>68.720518064076359</v>
      </c>
      <c r="M189" s="190">
        <f>M180</f>
        <v>1.4293006636038794</v>
      </c>
      <c r="N189" s="135">
        <f>IF(ISERROR(M189/E189),"NA",IF(OR(M189/E189&gt;2,M189/E189&lt;0.5),"NM",(M189/E189-1)*100))</f>
        <v>48.918756291689114</v>
      </c>
      <c r="O189" s="190">
        <f>O180</f>
        <v>1.1785714285714286</v>
      </c>
      <c r="P189" s="135">
        <f>IF(ISERROR(O189/G189),"NA",IF(OR(O189/G189&gt;2,O189/G189&lt;0.5),"NM",(O189/G189-1)*100))</f>
        <v>85.592289862144639</v>
      </c>
      <c r="Q189" s="190">
        <f>Q180</f>
        <v>1.6930137684854667</v>
      </c>
      <c r="R189" s="135">
        <f>IF(ISERROR(Q189/I189),"NA",IF(OR(Q189/I189&gt;2,Q189/I189&lt;0.5),"NM",(Q189/I189-1)*100))</f>
        <v>18.027245574415375</v>
      </c>
      <c r="S189" s="190">
        <f>S180</f>
        <v>1.2415145076972454</v>
      </c>
      <c r="T189" s="135">
        <f>IF(ISERROR(S189/K189),"NA",IF(OR(S189/K189&gt;2,S189/K189&lt;0.5),"NM",(S189/K189-1)*100))</f>
        <v>-8.706677554292785</v>
      </c>
      <c r="U189" s="190">
        <f>U180</f>
        <v>1.2751967194644922</v>
      </c>
      <c r="V189" s="135">
        <f>IF(ISERROR(U189/M189),"NA",IF(OR(U189/M189&gt;2,U189/M189&lt;0.5),"NM",(U189/M189-1)*100))</f>
        <v>-10.781772377466414</v>
      </c>
      <c r="W189" s="190">
        <f>W180</f>
        <v>1.3810561386497675</v>
      </c>
      <c r="X189" s="135">
        <f>IF(ISERROR(W189/O189),"NA",IF(OR(W189/O189&gt;2,W189/O189&lt;0.5),"NM",(W189/O189-1)*100))</f>
        <v>17.180520855131775</v>
      </c>
      <c r="Y189" s="190">
        <f>Y180</f>
        <v>1.4049364358986758</v>
      </c>
      <c r="Z189" s="135">
        <f>IF(ISERROR(Y189/Q189),"NA",IF(OR(Y189/Q189&gt;2,Y189/Q189&lt;0.5),"NM",(Y189/Q189-1)*100))</f>
        <v>-17.015652084418587</v>
      </c>
      <c r="AA189" s="191"/>
      <c r="AB189" s="192"/>
      <c r="AC189" s="193"/>
      <c r="AD189" s="190">
        <f>AD180</f>
        <v>6.7460627698294813</v>
      </c>
      <c r="AE189" s="150" t="str">
        <f>IF(ISERROR(AD189/#REF!),"NA",IF(OR(AD189/#REF!&gt;2,AD189/#REF!&lt;0.5),"NM",(AD189/#REF!-1)*100))</f>
        <v>NA</v>
      </c>
      <c r="AF189" s="190">
        <f>AF180</f>
        <v>5.9368328280871303</v>
      </c>
      <c r="AG189" s="150">
        <f>IF(ISERROR(AF189/AD189),"NA",IF(OR(AF189/AD189&gt;2,AF189/AD189&lt;0.5),"NM",(AF189/AD189-1)*100))</f>
        <v>-11.995588676723889</v>
      </c>
      <c r="AH189" s="190">
        <f>AH180</f>
        <v>4.2283298097251585</v>
      </c>
      <c r="AI189" s="150">
        <f>IF(ISERROR(AH189/AF189),"NA",IF(OR(AH189/AF189&gt;2,AH189/AF189&lt;0.5),"NM",(AH189/AF189-1)*100))</f>
        <v>-28.778021342946559</v>
      </c>
      <c r="AJ189" s="190">
        <f>AJ180</f>
        <v>3.7543950361944152</v>
      </c>
      <c r="AK189" s="150">
        <f>IF(ISERROR(AJ189/AH189),"NA",IF(OR(AJ189/AH189&gt;2,AJ189/AH189&lt;0.5),"NM",(AJ189/AH189-1)*100))</f>
        <v>-11.208557394002083</v>
      </c>
      <c r="AL189" s="190">
        <f>AL180</f>
        <v>5.6610515569167941</v>
      </c>
      <c r="AM189" s="150">
        <f>IF(ISERROR(AL189/AJ189),"NA",IF(OR(AL189/AJ189&gt;2,AL189/AJ189&lt;0.5),"NM",(AL189/AJ189-1)*100))</f>
        <v>50.784653781532583</v>
      </c>
      <c r="AN189" s="190">
        <f>AN180</f>
        <v>5.3027038017101802</v>
      </c>
      <c r="AO189" s="150">
        <f>IF(ISERROR(AN189/AL189),"NA",IF(OR(AN189/AL189&gt;2,AN189/AL189&lt;0.5),"NM",(AN189/AL189-1)*100))</f>
        <v>-6.3300563791682247</v>
      </c>
      <c r="AP189" s="190">
        <f>AP180</f>
        <v>6.0499219337079184</v>
      </c>
      <c r="AQ189" s="150">
        <f>IF(ISERROR(AP189/AN189),"NA",IF(OR(AP189/AN189&gt;2,AP189/AN189&lt;0.5),"NM",(AP189/AN189-1)*100))</f>
        <v>14.091266643193467</v>
      </c>
      <c r="AR189" s="190">
        <f>AR180</f>
        <v>6.9536702210814187</v>
      </c>
      <c r="AS189" s="150">
        <f>IF(ISERROR(AR189/AP189),"NA",IF(OR(AR189/AP189&gt;2,AR189/AP189&lt;0.5),"NM",(AR189/AP189-1)*100))</f>
        <v>14.938180976156911</v>
      </c>
      <c r="AT189" s="190">
        <f>AT180</f>
        <v>7.554018532042952</v>
      </c>
      <c r="AU189" s="150">
        <f>IF(ISERROR(AT189/AR189),"NA",IF(OR(AT189/AR189&gt;2,AT189/AR189&lt;0.5),"NM",(AT189/AR189-1)*100))</f>
        <v>8.6335459099204712</v>
      </c>
      <c r="AV189" s="190">
        <f>AV180</f>
        <v>8.0977876883126356</v>
      </c>
      <c r="AW189" s="150">
        <f>IF(ISERROR(AV189/AT189),"NA",IF(OR(AV189/AT189&gt;2,AV189/AT189&lt;0.5),"NM",(AV189/AT189-1)*100))</f>
        <v>7.1984090846891835</v>
      </c>
      <c r="AX189" s="151">
        <f>IF(ISERROR(((AV189/AL189)^0.2-1)*100),"NA",IF((((AV189/AL189)^0.2-1)*100)&gt;100,"NM",IF((((AV189/AL189)^0.2-1)*100)&lt;-50,"NM",((AV189/AL189)^0.2-1)*100)))</f>
        <v>7.4221536771631236</v>
      </c>
      <c r="AY189" s="194"/>
      <c r="AZ189" s="195"/>
      <c r="BA189"/>
      <c r="BB189"/>
      <c r="BC189"/>
      <c r="BD189"/>
      <c r="BE189"/>
      <c r="BF189"/>
      <c r="BG189" s="196"/>
      <c r="BH189" s="191"/>
      <c r="BI189" s="102"/>
      <c r="BJ189" s="102"/>
      <c r="BK189" s="102"/>
      <c r="BL189" s="102"/>
      <c r="BM189" s="102"/>
      <c r="BN189" s="24"/>
    </row>
    <row r="190" spans="1:66" s="441" customFormat="1" ht="8.25" customHeight="1">
      <c r="A190" s="109"/>
      <c r="B190" s="95"/>
      <c r="C190" s="115"/>
      <c r="D190" s="61"/>
      <c r="E190" s="115"/>
      <c r="F190" s="61"/>
      <c r="G190" s="115"/>
      <c r="H190" s="61"/>
      <c r="I190" s="115"/>
      <c r="J190" s="61"/>
      <c r="K190" s="115"/>
      <c r="L190" s="61"/>
      <c r="M190" s="115"/>
      <c r="N190" s="61"/>
      <c r="O190" s="115"/>
      <c r="P190" s="61"/>
      <c r="Q190" s="115"/>
      <c r="R190" s="61"/>
      <c r="S190" s="115"/>
      <c r="T190" s="61"/>
      <c r="U190" s="115"/>
      <c r="V190" s="61"/>
      <c r="W190" s="115"/>
      <c r="X190" s="61"/>
      <c r="Y190" s="115"/>
      <c r="Z190" s="61"/>
      <c r="AA190" s="146"/>
      <c r="AB190" s="180"/>
      <c r="AC190" s="115"/>
      <c r="AD190" s="115"/>
      <c r="AE190" s="61"/>
      <c r="AF190" s="115"/>
      <c r="AG190" s="61"/>
      <c r="AH190" s="115"/>
      <c r="AI190" s="61"/>
      <c r="AJ190" s="115"/>
      <c r="AK190" s="61"/>
      <c r="AL190" s="115"/>
      <c r="AM190" s="61"/>
      <c r="AN190" s="115"/>
      <c r="AO190" s="61"/>
      <c r="AP190" s="115"/>
      <c r="AQ190" s="61"/>
      <c r="AR190" s="115"/>
      <c r="AS190" s="61"/>
      <c r="AT190" s="115"/>
      <c r="AU190" s="61"/>
      <c r="AV190" s="115"/>
      <c r="AW190" s="61"/>
      <c r="AX190" s="63"/>
      <c r="AY190" s="58"/>
      <c r="AZ190" s="106"/>
      <c r="BA190"/>
      <c r="BB190"/>
      <c r="BC190"/>
      <c r="BD190"/>
      <c r="BE190"/>
      <c r="BF190"/>
      <c r="BG190" s="31"/>
      <c r="BH190" s="146"/>
      <c r="BI190" s="146"/>
      <c r="BJ190" s="146"/>
      <c r="BK190" s="146"/>
      <c r="BL190" s="146"/>
      <c r="BM190" s="146"/>
      <c r="BN190" s="24"/>
    </row>
    <row r="191" spans="1:66" s="441" customFormat="1" ht="12.75" customHeight="1">
      <c r="A191" s="109"/>
      <c r="B191" s="95" t="s">
        <v>184</v>
      </c>
      <c r="C191" s="115"/>
      <c r="D191" s="61"/>
      <c r="E191" s="115"/>
      <c r="F191" s="61"/>
      <c r="G191" s="432"/>
      <c r="H191" s="61"/>
      <c r="I191" s="432"/>
      <c r="J191" s="61"/>
      <c r="K191" s="115"/>
      <c r="L191" s="61"/>
      <c r="M191" s="115"/>
      <c r="N191" s="61"/>
      <c r="O191" s="115"/>
      <c r="P191" s="61"/>
      <c r="Q191" s="115"/>
      <c r="R191" s="61"/>
      <c r="S191" s="115"/>
      <c r="T191" s="61"/>
      <c r="U191" s="115"/>
      <c r="V191" s="61"/>
      <c r="W191" s="115"/>
      <c r="X191" s="61"/>
      <c r="Y191" s="115"/>
      <c r="Z191" s="61"/>
      <c r="AA191" s="146"/>
      <c r="AB191" s="180"/>
      <c r="AC191" s="115"/>
      <c r="AD191" s="115"/>
      <c r="AE191" s="61"/>
      <c r="AF191" s="115"/>
      <c r="AG191" s="61"/>
      <c r="AH191" s="115"/>
      <c r="AI191" s="61"/>
      <c r="AJ191" s="115"/>
      <c r="AK191" s="61"/>
      <c r="AL191" s="115"/>
      <c r="AM191" s="61"/>
      <c r="AN191" s="115"/>
      <c r="AO191" s="61"/>
      <c r="AP191" s="115"/>
      <c r="AQ191" s="61"/>
      <c r="AR191" s="115"/>
      <c r="AS191" s="61"/>
      <c r="AT191" s="115"/>
      <c r="AU191" s="61"/>
      <c r="AV191" s="115"/>
      <c r="AW191" s="61"/>
      <c r="AX191" s="63"/>
      <c r="AY191" s="58"/>
      <c r="AZ191" s="106"/>
      <c r="BA191"/>
      <c r="BB191"/>
      <c r="BC191"/>
      <c r="BD191"/>
      <c r="BE191"/>
      <c r="BF191"/>
      <c r="BG191" s="31"/>
      <c r="BH191" s="146"/>
      <c r="BI191" s="146"/>
      <c r="BJ191" s="146"/>
      <c r="BK191" s="146"/>
      <c r="BL191" s="146"/>
      <c r="BM191" s="146"/>
      <c r="BN191" s="24"/>
    </row>
    <row r="192" spans="1:66" s="441" customFormat="1" ht="12.75" customHeight="1">
      <c r="A192" s="109"/>
      <c r="B192" s="95" t="s">
        <v>185</v>
      </c>
      <c r="C192" s="115">
        <f>C127/C175</f>
        <v>0.80645161290322576</v>
      </c>
      <c r="D192" s="61"/>
      <c r="E192" s="115">
        <f>E127/E175</f>
        <v>0.9623655913978495</v>
      </c>
      <c r="F192" s="61"/>
      <c r="G192" s="115">
        <f>G127/G175</f>
        <v>0.62990855298547621</v>
      </c>
      <c r="H192" s="61"/>
      <c r="I192" s="115">
        <f>I127/I175</f>
        <v>1.4767932489451476</v>
      </c>
      <c r="J192" s="61"/>
      <c r="K192" s="115">
        <f>K127/K175</f>
        <v>1.3825363825363826</v>
      </c>
      <c r="L192" s="135">
        <f>IF(ISERROR(K192/C192),"NA",IF(OR(K192/C192&gt;2,K192/C192&lt;0.5),"NM",(K192/C192-1)*100))</f>
        <v>71.43451143451145</v>
      </c>
      <c r="M192" s="115">
        <f>M127/M175</f>
        <v>1.4300306435137897</v>
      </c>
      <c r="N192" s="135">
        <f>IF(ISERROR(M192/E192),"NA",IF(OR(M192/E192&gt;2,M192/E192&lt;0.5),"NM",(M192/E192-1)*100))</f>
        <v>48.595362957298804</v>
      </c>
      <c r="O192" s="115">
        <f>O127/O175</f>
        <v>1.1767702496179318</v>
      </c>
      <c r="P192" s="135">
        <f>IF(ISERROR(O192/G192),"NA",IF(OR(O192/G192&gt;2,O192/G192&lt;0.5),"NM",(O192/G192-1)*100))</f>
        <v>86.816045605442753</v>
      </c>
      <c r="Q192" s="115">
        <f>Q127/Q175</f>
        <v>1.6878495170310117</v>
      </c>
      <c r="R192" s="135">
        <f>IF(ISERROR(Q192/I192),"NA",IF(OR(Q192/I192&gt;2,Q192/I192&lt;0.5),"NM",(Q192/I192-1)*100))</f>
        <v>14.291524438957094</v>
      </c>
      <c r="S192" s="115">
        <f>S127/S175</f>
        <v>1.2415145076972454</v>
      </c>
      <c r="T192" s="135">
        <f>IF(ISERROR(S192/K192),"NA",IF(OR(S192/K192&gt;2,S192/K192&lt;0.5),"NM",(S192/K192-1)*100))</f>
        <v>-10.200228841748116</v>
      </c>
      <c r="U192" s="115">
        <f>U127/U175</f>
        <v>1.2751967194644922</v>
      </c>
      <c r="V192" s="135">
        <f>IF(ISERROR(U192/M192),"NA",IF(OR(U192/M192&gt;2,U192/M192&lt;0.5),"NM",(U192/M192-1)*100))</f>
        <v>-10.8273151174473</v>
      </c>
      <c r="W192" s="115">
        <f>W127/W175</f>
        <v>1.3810561386497675</v>
      </c>
      <c r="X192" s="135">
        <f>IF(ISERROR(W192/O192),"NA",IF(OR(W192/O192&gt;2,W192/O192&lt;0.5),"NM",(W192/O192-1)*100))</f>
        <v>17.359878795216165</v>
      </c>
      <c r="Y192" s="115">
        <f>Y127/Y175</f>
        <v>1.4049364358986758</v>
      </c>
      <c r="Z192" s="135">
        <f>IF(ISERROR(Y192/Q192),"NA",IF(OR(Y192/Q192&gt;2,Y192/Q192&lt;0.5),"NM",(Y192/Q192-1)*100))</f>
        <v>-16.761747909256165</v>
      </c>
      <c r="AA192" s="146"/>
      <c r="AB192" s="180"/>
      <c r="AC192" s="115"/>
      <c r="AD192" s="115">
        <f>AD127/AD175</f>
        <v>6.9838129496402876</v>
      </c>
      <c r="AE192" s="61"/>
      <c r="AF192" s="115">
        <f>AF127/AF175</f>
        <v>5.9467275494672753</v>
      </c>
      <c r="AG192" s="61">
        <f>IF(ISERROR(AF192/AD192),"NA",IF(OR(AF192/AD192&gt;2,AF192/AD192&lt;0.5),"NM",(AF192/AD192-1)*100))</f>
        <v>-14.849845029518283</v>
      </c>
      <c r="AH192" s="115">
        <f>AH127/AH175</f>
        <v>4.2285714285714286</v>
      </c>
      <c r="AI192" s="61">
        <f>IF(ISERROR(AH192/AF192),"NA",IF(OR(AH192/AF192&gt;2,AH192/AF192&lt;0.5),"NM",(AH192/AF192-1)*100))</f>
        <v>-28.892464075468936</v>
      </c>
      <c r="AJ192" s="115">
        <f>AJ127/AJ175</f>
        <v>3.8854849498327755</v>
      </c>
      <c r="AK192" s="61">
        <f>IF(ISERROR(AJ192/AH192),"NA",IF(OR(AJ192/AH192&gt;2,AJ192/AH192&lt;0.5),"NM",(AJ192/AH192-1)*100))</f>
        <v>-8.1135315917924782</v>
      </c>
      <c r="AL192" s="115">
        <f>AL127/AL175</f>
        <v>5.6784434203789047</v>
      </c>
      <c r="AM192" s="61">
        <f>IF(ISERROR(AL192/AJ192),"NA",IF(OR(AL192/AJ192&gt;2,AL192/AJ192&lt;0.5),"NM",(AL192/AJ192-1)*100))</f>
        <v>46.145037072484229</v>
      </c>
      <c r="AN192" s="115">
        <f>AN127/AN175</f>
        <v>5.3027038017101802</v>
      </c>
      <c r="AO192" s="61">
        <f>IF(ISERROR(AN192/AL192),"NA",IF(OR(AN192/AL192&gt;2,AN192/AL192&lt;0.5),"NM",(AN192/AL192-1)*100))</f>
        <v>-6.6169474775475079</v>
      </c>
      <c r="AP192" s="115">
        <f>AP127/AP175</f>
        <v>6.0499219337079184</v>
      </c>
      <c r="AQ192" s="61">
        <f>IF(ISERROR(AP192/AN192),"NA",IF(OR(AP192/AN192&gt;2,AP192/AN192&lt;0.5),"NM",(AP192/AN192-1)*100))</f>
        <v>14.091266643193467</v>
      </c>
      <c r="AR192" s="115">
        <f>AR127/AR175</f>
        <v>6.9536702210814187</v>
      </c>
      <c r="AS192" s="61">
        <f>IF(ISERROR(AR192/AP192),"NA",IF(OR(AR192/AP192&gt;2,AR192/AP192&lt;0.5),"NM",(AR192/AP192-1)*100))</f>
        <v>14.938180976156911</v>
      </c>
      <c r="AT192" s="115">
        <f>AT127/AT175</f>
        <v>7.554018532042952</v>
      </c>
      <c r="AU192" s="61">
        <f>IF(ISERROR(AT192/AR192),"NA",IF(OR(AT192/AR192&gt;2,AT192/AR192&lt;0.5),"NM",(AT192/AR192-1)*100))</f>
        <v>8.6335459099204712</v>
      </c>
      <c r="AV192" s="115">
        <f>AV127/AV175</f>
        <v>8.0977876883126356</v>
      </c>
      <c r="AW192" s="61">
        <f>IF(ISERROR(AV192/AT192),"NA",IF(OR(AV192/AT192&gt;2,AV192/AT192&lt;0.5),"NM",(AV192/AT192-1)*100))</f>
        <v>7.1984090846891835</v>
      </c>
      <c r="AX192" s="63">
        <f>IF(ISERROR(((AV192/AL192)^0.2-1)*100),"NA",IF((((AV192/AL192)^0.2-1)*100)&gt;100,"NM",IF((((AV192/AL192)^0.2-1)*100)&lt;-50,"NM",((AV192/AL192)^0.2-1)*100)))</f>
        <v>7.3562706753138363</v>
      </c>
      <c r="AY192" s="58"/>
      <c r="AZ192" s="106"/>
      <c r="BA192"/>
      <c r="BB192"/>
      <c r="BC192"/>
      <c r="BD192"/>
      <c r="BE192"/>
      <c r="BF192"/>
      <c r="BG192" s="31"/>
      <c r="BH192" s="146"/>
      <c r="BI192" s="146"/>
      <c r="BJ192" s="146"/>
      <c r="BK192" s="146"/>
      <c r="BL192" s="146"/>
      <c r="BM192" s="146"/>
      <c r="BN192" s="24"/>
    </row>
    <row r="193" spans="1:66" s="441" customFormat="1" ht="12.75" customHeight="1">
      <c r="A193" s="109"/>
      <c r="B193" s="95" t="s">
        <v>186</v>
      </c>
      <c r="C193" s="115">
        <f>C180</f>
        <v>0.80601826974744761</v>
      </c>
      <c r="D193" s="61"/>
      <c r="E193" s="115">
        <f>E180</f>
        <v>0.95978552278820373</v>
      </c>
      <c r="F193" s="61"/>
      <c r="G193" s="115">
        <f>G180</f>
        <v>0.6350325379609546</v>
      </c>
      <c r="H193" s="61"/>
      <c r="I193" s="115">
        <f>I180</f>
        <v>1.4344262295081969</v>
      </c>
      <c r="J193" s="61"/>
      <c r="K193" s="115">
        <f>K180</f>
        <v>1.359918200408998</v>
      </c>
      <c r="L193" s="135">
        <f>IF(ISERROR(K193/C193),"NA",IF(OR(K193/C193&gt;2,K193/C193&lt;0.5),"NM",(K193/C193-1)*100))</f>
        <v>68.720518064076359</v>
      </c>
      <c r="M193" s="115">
        <f>M180</f>
        <v>1.4293006636038794</v>
      </c>
      <c r="N193" s="135">
        <f>IF(ISERROR(M193/E193),"NA",IF(OR(M193/E193&gt;2,M193/E193&lt;0.5),"NM",(M193/E193-1)*100))</f>
        <v>48.918756291689114</v>
      </c>
      <c r="O193" s="115">
        <f>O180</f>
        <v>1.1785714285714286</v>
      </c>
      <c r="P193" s="135">
        <f>IF(ISERROR(O193/G193),"NA",IF(OR(O193/G193&gt;2,O193/G193&lt;0.5),"NM",(O193/G193-1)*100))</f>
        <v>85.592289862144639</v>
      </c>
      <c r="Q193" s="115">
        <f>Q180</f>
        <v>1.6930137684854667</v>
      </c>
      <c r="R193" s="135">
        <f>IF(ISERROR(Q193/I193),"NA",IF(OR(Q193/I193&gt;2,Q193/I193&lt;0.5),"NM",(Q193/I193-1)*100))</f>
        <v>18.027245574415375</v>
      </c>
      <c r="S193" s="115">
        <f>S180</f>
        <v>1.2415145076972454</v>
      </c>
      <c r="T193" s="135">
        <f>IF(ISERROR(S193/K193),"NA",IF(OR(S193/K193&gt;2,S193/K193&lt;0.5),"NM",(S193/K193-1)*100))</f>
        <v>-8.706677554292785</v>
      </c>
      <c r="U193" s="115">
        <f>U180</f>
        <v>1.2751967194644922</v>
      </c>
      <c r="V193" s="135">
        <f>IF(ISERROR(U193/M193),"NA",IF(OR(U193/M193&gt;2,U193/M193&lt;0.5),"NM",(U193/M193-1)*100))</f>
        <v>-10.781772377466414</v>
      </c>
      <c r="W193" s="115">
        <f>W180</f>
        <v>1.3810561386497675</v>
      </c>
      <c r="X193" s="135">
        <f>IF(ISERROR(W193/O193),"NA",IF(OR(W193/O193&gt;2,W193/O193&lt;0.5),"NM",(W193/O193-1)*100))</f>
        <v>17.180520855131775</v>
      </c>
      <c r="Y193" s="115">
        <f>Y180</f>
        <v>1.4049364358986758</v>
      </c>
      <c r="Z193" s="135">
        <f>IF(ISERROR(Y193/Q193),"NA",IF(OR(Y193/Q193&gt;2,Y193/Q193&lt;0.5),"NM",(Y193/Q193-1)*100))</f>
        <v>-17.015652084418587</v>
      </c>
      <c r="AA193" s="146"/>
      <c r="AB193" s="180"/>
      <c r="AC193" s="115"/>
      <c r="AD193" s="115">
        <f>AD180</f>
        <v>6.7460627698294813</v>
      </c>
      <c r="AE193" s="61"/>
      <c r="AF193" s="115">
        <f>AF180</f>
        <v>5.9368328280871303</v>
      </c>
      <c r="AG193" s="61">
        <f>IF(ISERROR(AF193/AD193),"NA",IF(OR(AF193/AD193&gt;2,AF193/AD193&lt;0.5),"NM",(AF193/AD193-1)*100))</f>
        <v>-11.995588676723889</v>
      </c>
      <c r="AH193" s="115">
        <f>AH180</f>
        <v>4.2283298097251585</v>
      </c>
      <c r="AI193" s="61">
        <f>IF(ISERROR(AH193/AF193),"NA",IF(OR(AH193/AF193&gt;2,AH193/AF193&lt;0.5),"NM",(AH193/AF193-1)*100))</f>
        <v>-28.778021342946559</v>
      </c>
      <c r="AJ193" s="115">
        <f>AJ180</f>
        <v>3.7543950361944152</v>
      </c>
      <c r="AK193" s="61">
        <f>IF(ISERROR(AJ193/AH193),"NA",IF(OR(AJ193/AH193&gt;2,AJ193/AH193&lt;0.5),"NM",(AJ193/AH193-1)*100))</f>
        <v>-11.208557394002083</v>
      </c>
      <c r="AL193" s="115">
        <f>AL180</f>
        <v>5.6610515569167941</v>
      </c>
      <c r="AM193" s="61">
        <f>IF(ISERROR(AL193/AJ193),"NA",IF(OR(AL193/AJ193&gt;2,AL193/AJ193&lt;0.5),"NM",(AL193/AJ193-1)*100))</f>
        <v>50.784653781532583</v>
      </c>
      <c r="AN193" s="115">
        <f>AN180</f>
        <v>5.3027038017101802</v>
      </c>
      <c r="AO193" s="61">
        <f>IF(ISERROR(AN193/AL193),"NA",IF(OR(AN193/AL193&gt;2,AN193/AL193&lt;0.5),"NM",(AN193/AL193-1)*100))</f>
        <v>-6.3300563791682247</v>
      </c>
      <c r="AP193" s="115">
        <f>AP180</f>
        <v>6.0499219337079184</v>
      </c>
      <c r="AQ193" s="61">
        <f>IF(ISERROR(AP193/AN193),"NA",IF(OR(AP193/AN193&gt;2,AP193/AN193&lt;0.5),"NM",(AP193/AN193-1)*100))</f>
        <v>14.091266643193467</v>
      </c>
      <c r="AR193" s="115">
        <f>AR180</f>
        <v>6.9536702210814187</v>
      </c>
      <c r="AS193" s="61">
        <f>IF(ISERROR(AR193/AP193),"NA",IF(OR(AR193/AP193&gt;2,AR193/AP193&lt;0.5),"NM",(AR193/AP193-1)*100))</f>
        <v>14.938180976156911</v>
      </c>
      <c r="AT193" s="115">
        <f>AT180</f>
        <v>7.554018532042952</v>
      </c>
      <c r="AU193" s="61">
        <f>IF(ISERROR(AT193/AR193),"NA",IF(OR(AT193/AR193&gt;2,AT193/AR193&lt;0.5),"NM",(AT193/AR193-1)*100))</f>
        <v>8.6335459099204712</v>
      </c>
      <c r="AV193" s="115">
        <f>AV180</f>
        <v>8.0977876883126356</v>
      </c>
      <c r="AW193" s="61">
        <f>IF(ISERROR(AV193/AT193),"NA",IF(OR(AV193/AT193&gt;2,AV193/AT193&lt;0.5),"NM",(AV193/AT193-1)*100))</f>
        <v>7.1984090846891835</v>
      </c>
      <c r="AX193" s="63">
        <f>IF(ISERROR(((AV193/AL193)^0.2-1)*100),"NA",IF((((AV193/AL193)^0.2-1)*100)&gt;100,"NM",IF((((AV193/AL193)^0.2-1)*100)&lt;-50,"NM",((AV193/AL193)^0.2-1)*100)))</f>
        <v>7.4221536771631236</v>
      </c>
      <c r="AY193" s="58"/>
      <c r="AZ193" s="106"/>
      <c r="BA193"/>
      <c r="BB193"/>
      <c r="BC193"/>
      <c r="BD193"/>
      <c r="BE193"/>
      <c r="BF193"/>
      <c r="BG193" s="31"/>
      <c r="BH193" s="146"/>
      <c r="BI193" s="146"/>
      <c r="BJ193" s="146"/>
      <c r="BK193" s="146"/>
      <c r="BL193" s="146"/>
      <c r="BM193" s="146"/>
      <c r="BN193" s="24"/>
    </row>
    <row r="194" spans="1:66" s="441" customFormat="1" ht="12.75" customHeight="1">
      <c r="A194" s="109"/>
      <c r="B194" s="95" t="s">
        <v>187</v>
      </c>
      <c r="C194" s="115"/>
      <c r="D194" s="61"/>
      <c r="E194" s="115"/>
      <c r="F194" s="61"/>
      <c r="G194" s="115"/>
      <c r="H194" s="61"/>
      <c r="I194" s="115"/>
      <c r="J194" s="61"/>
      <c r="K194" s="115"/>
      <c r="L194" s="61"/>
      <c r="M194" s="115"/>
      <c r="N194" s="61"/>
      <c r="O194" s="115"/>
      <c r="P194" s="61"/>
      <c r="Q194" s="115"/>
      <c r="R194" s="61"/>
      <c r="S194" s="115"/>
      <c r="T194" s="61"/>
      <c r="U194" s="115"/>
      <c r="V194" s="61"/>
      <c r="W194" s="115"/>
      <c r="X194" s="61"/>
      <c r="Y194" s="115"/>
      <c r="Z194" s="61"/>
      <c r="AA194" s="146"/>
      <c r="AB194" s="180"/>
      <c r="AC194" s="115"/>
      <c r="AD194" s="115"/>
      <c r="AE194" s="61"/>
      <c r="AF194" s="115"/>
      <c r="AG194" s="61"/>
      <c r="AH194" s="115"/>
      <c r="AI194" s="61"/>
      <c r="AJ194" s="115"/>
      <c r="AK194" s="61"/>
      <c r="AL194" s="115"/>
      <c r="AM194" s="61"/>
      <c r="AN194" s="115"/>
      <c r="AO194" s="61"/>
      <c r="AP194" s="115"/>
      <c r="AQ194" s="61"/>
      <c r="AR194" s="115"/>
      <c r="AS194" s="61"/>
      <c r="AT194" s="115"/>
      <c r="AU194" s="61"/>
      <c r="AV194" s="115"/>
      <c r="AW194" s="61"/>
      <c r="AX194" s="63"/>
      <c r="AY194" s="58"/>
      <c r="AZ194" s="106"/>
      <c r="BA194"/>
      <c r="BB194"/>
      <c r="BC194"/>
      <c r="BD194"/>
      <c r="BE194"/>
      <c r="BF194"/>
      <c r="BG194" s="31"/>
      <c r="BH194" s="146"/>
      <c r="BI194" s="146"/>
      <c r="BJ194" s="146"/>
      <c r="BK194" s="146"/>
      <c r="BL194" s="146"/>
      <c r="BM194" s="146"/>
      <c r="BN194" s="24"/>
    </row>
    <row r="195" spans="1:66" s="441" customFormat="1" ht="12.75" customHeight="1">
      <c r="A195" s="109"/>
      <c r="B195" s="95" t="s">
        <v>185</v>
      </c>
      <c r="C195" s="115">
        <f>ROUND(C145/C175,2)</f>
        <v>0.46</v>
      </c>
      <c r="D195" s="61"/>
      <c r="E195" s="115">
        <f>ROUND(E145/E175,2)</f>
        <v>1.04</v>
      </c>
      <c r="F195" s="61"/>
      <c r="G195" s="115">
        <f>ROUND(G145/G175,2)</f>
        <v>0.68</v>
      </c>
      <c r="H195" s="61"/>
      <c r="I195" s="115">
        <f>ROUND(I145/I175,2)</f>
        <v>1.92</v>
      </c>
      <c r="J195" s="61"/>
      <c r="K195" s="115">
        <f>ROUND(K145/K175,2)</f>
        <v>2</v>
      </c>
      <c r="L195" s="135" t="str">
        <f>IF(ISERROR(K195/C195),"NA",IF(OR(K195/C195&gt;2,K195/C195&lt;0.5),"NM",(K195/C195-1)*100))</f>
        <v>NM</v>
      </c>
      <c r="M195" s="115">
        <f>ROUND(M145/M175,2)</f>
        <v>1.66</v>
      </c>
      <c r="N195" s="135">
        <f>IF(ISERROR(M195/E195),"NA",IF(OR(M195/E195&gt;2,M195/E195&lt;0.5),"NM",(M195/E195-1)*100))</f>
        <v>59.615384615384606</v>
      </c>
      <c r="O195" s="115">
        <f>ROUND(O145/O175,2)</f>
        <v>1.4</v>
      </c>
      <c r="P195" s="135" t="str">
        <f>IF(ISERROR(O195/G195),"NA",IF(OR(O195/G195&gt;2,O195/G195&lt;0.5),"NM",(O195/G195-1)*100))</f>
        <v>NM</v>
      </c>
      <c r="Q195" s="115">
        <f>ROUND(Q145/Q175,2)</f>
        <v>2.36</v>
      </c>
      <c r="R195" s="135">
        <f>IF(ISERROR(Q195/I195),"NA",IF(OR(Q195/I195&gt;2,Q195/I195&lt;0.5),"NM",(Q195/I195-1)*100))</f>
        <v>22.916666666666675</v>
      </c>
      <c r="S195" s="115">
        <f>ROUND(S145/S175,2)</f>
        <v>1.2</v>
      </c>
      <c r="T195" s="135">
        <f>IF(ISERROR(S195/K195),"NA",IF(OR(S195/K195&gt;2,S195/K195&lt;0.5),"NM",(S195/K195-1)*100))</f>
        <v>-40</v>
      </c>
      <c r="U195" s="115">
        <f>ROUND(U145/U175,2)</f>
        <v>1.23</v>
      </c>
      <c r="V195" s="135">
        <f>IF(ISERROR(U195/M195),"NA",IF(OR(U195/M195&gt;2,U195/M195&lt;0.5),"NM",(U195/M195-1)*100))</f>
        <v>-25.903614457831324</v>
      </c>
      <c r="W195" s="115">
        <f>ROUND(W145/W175,2)</f>
        <v>1.33</v>
      </c>
      <c r="X195" s="135">
        <f>IF(ISERROR(W195/O195),"NA",IF(OR(W195/O195&gt;2,W195/O195&lt;0.5),"NM",(W195/O195-1)*100))</f>
        <v>-4.9999999999999929</v>
      </c>
      <c r="Y195" s="115">
        <f>ROUND(Y145/Y175,2)</f>
        <v>1.35</v>
      </c>
      <c r="Z195" s="135">
        <f>IF(ISERROR(Y195/Q195),"NA",IF(OR(Y195/Q195&gt;2,Y195/Q195&lt;0.5),"NM",(Y195/Q195-1)*100))</f>
        <v>-42.796610169491522</v>
      </c>
      <c r="AA195" s="146"/>
      <c r="AB195" s="180"/>
      <c r="AC195" s="115"/>
      <c r="AD195" s="115">
        <f>ROUND(AD145/AD175,2)</f>
        <v>8.07</v>
      </c>
      <c r="AE195" s="61"/>
      <c r="AF195" s="115">
        <f>ROUND(AF145/AF175,2)</f>
        <v>3.47</v>
      </c>
      <c r="AG195" s="61" t="str">
        <f>IF(ISERROR(AF195/AD195),"NA",IF(OR(AF195/AD195&gt;2,AF195/AD195&lt;0.5),"NM",(AF195/AD195-1)*100))</f>
        <v>NM</v>
      </c>
      <c r="AH195" s="115">
        <f>ROUND(AH145/AH175,2)</f>
        <v>3.21</v>
      </c>
      <c r="AI195" s="61">
        <f>IF(ISERROR(AH195/AF195),"NA",IF(OR(AH195/AF195&gt;2,AH195/AF195&lt;0.5),"NM",(AH195/AF195-1)*100))</f>
        <v>-7.4927953890490002</v>
      </c>
      <c r="AJ195" s="115">
        <f>ROUND(AJ145/AJ175,2)</f>
        <v>4.1100000000000003</v>
      </c>
      <c r="AK195" s="61">
        <f>IF(ISERROR(AJ195/AH195),"NA",IF(OR(AJ195/AH195&gt;2,AJ195/AH195&lt;0.5),"NM",(AJ195/AH195-1)*100))</f>
        <v>28.037383177570096</v>
      </c>
      <c r="AL195" s="115">
        <f>ROUND(AL145/AL175,2)</f>
        <v>7.41</v>
      </c>
      <c r="AM195" s="61">
        <f>IF(ISERROR(AL195/AJ195),"NA",IF(OR(AL195/AJ195&gt;2,AL195/AJ195&lt;0.5),"NM",(AL195/AJ195-1)*100))</f>
        <v>80.291970802919693</v>
      </c>
      <c r="AN195" s="115">
        <f>ROUND(AN145/AN175,2)</f>
        <v>5.1100000000000003</v>
      </c>
      <c r="AO195" s="61">
        <f>IF(ISERROR(AN195/AL195),"NA",IF(OR(AN195/AL195&gt;2,AN195/AL195&lt;0.5),"NM",(AN195/AL195-1)*100))</f>
        <v>-31.039136302294189</v>
      </c>
      <c r="AP195" s="115">
        <f>ROUND(AP145/AP175,2)</f>
        <v>5.84</v>
      </c>
      <c r="AQ195" s="61">
        <f>IF(ISERROR(AP195/AN195),"NA",IF(OR(AP195/AN195&gt;2,AP195/AN195&lt;0.5),"NM",(AP195/AN195-1)*100))</f>
        <v>14.285714285714279</v>
      </c>
      <c r="AR195" s="115">
        <f>ROUND(AR145/AR175,2)</f>
        <v>6.72</v>
      </c>
      <c r="AS195" s="61">
        <f>IF(ISERROR(AR195/AP195),"NA",IF(OR(AR195/AP195&gt;2,AR195/AP195&lt;0.5),"NM",(AR195/AP195-1)*100))</f>
        <v>15.068493150684926</v>
      </c>
      <c r="AT195" s="115">
        <f>ROUND(AT145/AT175,2)</f>
        <v>7.3</v>
      </c>
      <c r="AU195" s="61">
        <f>IF(ISERROR(AT195/AR195),"NA",IF(OR(AT195/AR195&gt;2,AT195/AR195&lt;0.5),"NM",(AT195/AR195-1)*100))</f>
        <v>8.6309523809523725</v>
      </c>
      <c r="AV195" s="115">
        <f>ROUND(AV145/AV175,2)</f>
        <v>7.83</v>
      </c>
      <c r="AW195" s="61">
        <f>IF(ISERROR(AV195/AT195),"NA",IF(OR(AV195/AT195&gt;2,AV195/AT195&lt;0.5),"NM",(AV195/AT195-1)*100))</f>
        <v>7.2602739726027377</v>
      </c>
      <c r="AX195" s="63">
        <f>IF(ISERROR(((AV195/AL195)^0.2-1)*100),"NA",IF((((AV195/AL195)^0.2-1)*100)&gt;100,"NM",IF((((AV195/AL195)^0.2-1)*100)&lt;-50,"NM",((AV195/AL195)^0.2-1)*100)))</f>
        <v>1.1087429095837376</v>
      </c>
      <c r="AY195" s="58"/>
      <c r="AZ195" s="106"/>
      <c r="BA195"/>
      <c r="BB195"/>
      <c r="BC195"/>
      <c r="BD195"/>
      <c r="BE195"/>
      <c r="BF195"/>
      <c r="BG195" s="31"/>
      <c r="BH195" s="146"/>
      <c r="BI195" s="146"/>
      <c r="BJ195" s="146"/>
      <c r="BK195" s="146"/>
      <c r="BL195" s="146"/>
      <c r="BM195" s="146"/>
      <c r="BN195" s="24"/>
    </row>
    <row r="196" spans="1:66" s="441" customFormat="1" ht="12.75" customHeight="1">
      <c r="A196" s="109"/>
      <c r="B196" s="95" t="s">
        <v>186</v>
      </c>
      <c r="C196" s="115">
        <f>C185</f>
        <v>0.46</v>
      </c>
      <c r="D196" s="61"/>
      <c r="E196" s="115">
        <f>E185</f>
        <v>1.04</v>
      </c>
      <c r="F196" s="61"/>
      <c r="G196" s="115">
        <f>G185</f>
        <v>0.68</v>
      </c>
      <c r="H196" s="61"/>
      <c r="I196" s="115">
        <f>I185</f>
        <v>1.92</v>
      </c>
      <c r="J196" s="61"/>
      <c r="K196" s="115">
        <f>K185</f>
        <v>2</v>
      </c>
      <c r="L196" s="135" t="str">
        <f>IF(ISERROR(K196/C196),"NA",IF(OR(K196/C196&gt;2,K196/C196&lt;0.5),"NM",(K196/C196-1)*100))</f>
        <v>NM</v>
      </c>
      <c r="M196" s="115">
        <f>M185</f>
        <v>1.66</v>
      </c>
      <c r="N196" s="135">
        <f>IF(ISERROR(M196/E196),"NA",IF(OR(M196/E196&gt;2,M196/E196&lt;0.5),"NM",(M196/E196-1)*100))</f>
        <v>59.615384615384606</v>
      </c>
      <c r="O196" s="115">
        <f>O185</f>
        <v>1.4</v>
      </c>
      <c r="P196" s="135" t="str">
        <f>IF(ISERROR(O196/G196),"NA",IF(OR(O196/G196&gt;2,O196/G196&lt;0.5),"NM",(O196/G196-1)*100))</f>
        <v>NM</v>
      </c>
      <c r="Q196" s="115">
        <f>Q185</f>
        <v>2.36</v>
      </c>
      <c r="R196" s="135">
        <f>IF(ISERROR(Q196/I196),"NA",IF(OR(Q196/I196&gt;2,Q196/I196&lt;0.5),"NM",(Q196/I196-1)*100))</f>
        <v>22.916666666666675</v>
      </c>
      <c r="S196" s="115">
        <f>S185</f>
        <v>1.2</v>
      </c>
      <c r="T196" s="135">
        <f>IF(ISERROR(S196/K196),"NA",IF(OR(S196/K196&gt;2,S196/K196&lt;0.5),"NM",(S196/K196-1)*100))</f>
        <v>-40</v>
      </c>
      <c r="U196" s="115">
        <f>U185</f>
        <v>1.23</v>
      </c>
      <c r="V196" s="135">
        <f>IF(ISERROR(U196/M196),"NA",IF(OR(U196/M196&gt;2,U196/M196&lt;0.5),"NM",(U196/M196-1)*100))</f>
        <v>-25.903614457831324</v>
      </c>
      <c r="W196" s="115">
        <f>W185</f>
        <v>1.33</v>
      </c>
      <c r="X196" s="135">
        <f>IF(ISERROR(W196/O196),"NA",IF(OR(W196/O196&gt;2,W196/O196&lt;0.5),"NM",(W196/O196-1)*100))</f>
        <v>-4.9999999999999929</v>
      </c>
      <c r="Y196" s="115">
        <f>Y185</f>
        <v>1.35</v>
      </c>
      <c r="Z196" s="135">
        <f>IF(ISERROR(Y196/Q196),"NA",IF(OR(Y196/Q196&gt;2,Y196/Q196&lt;0.5),"NM",(Y196/Q196-1)*100))</f>
        <v>-42.796610169491522</v>
      </c>
      <c r="AA196" s="146"/>
      <c r="AB196" s="180"/>
      <c r="AC196" s="115"/>
      <c r="AD196" s="115">
        <f>AD185</f>
        <v>8.07</v>
      </c>
      <c r="AE196" s="61"/>
      <c r="AF196" s="115">
        <f>AF185</f>
        <v>3.47</v>
      </c>
      <c r="AG196" s="61" t="str">
        <f>IF(ISERROR(AF196/AD196),"NA",IF(OR(AF196/AD196&gt;2,AF196/AD196&lt;0.5),"NM",(AF196/AD196-1)*100))</f>
        <v>NM</v>
      </c>
      <c r="AH196" s="115">
        <f>AH185</f>
        <v>3.21</v>
      </c>
      <c r="AI196" s="61">
        <f>IF(ISERROR(AH196/AF196),"NA",IF(OR(AH196/AF196&gt;2,AH196/AF196&lt;0.5),"NM",(AH196/AF196-1)*100))</f>
        <v>-7.4927953890490002</v>
      </c>
      <c r="AJ196" s="115">
        <f>AJ185</f>
        <v>4.1100000000000003</v>
      </c>
      <c r="AK196" s="61">
        <f>IF(ISERROR(AJ196/AH196),"NA",IF(OR(AJ196/AH196&gt;2,AJ196/AH196&lt;0.5),"NM",(AJ196/AH196-1)*100))</f>
        <v>28.037383177570096</v>
      </c>
      <c r="AL196" s="115">
        <f>AL185</f>
        <v>7.41</v>
      </c>
      <c r="AM196" s="61">
        <f>IF(ISERROR(AL196/AJ196),"NA",IF(OR(AL196/AJ196&gt;2,AL196/AJ196&lt;0.5),"NM",(AL196/AJ196-1)*100))</f>
        <v>80.291970802919693</v>
      </c>
      <c r="AN196" s="115">
        <f>AN185</f>
        <v>5.1100000000000003</v>
      </c>
      <c r="AO196" s="61">
        <f>IF(ISERROR(AN196/AL196),"NA",IF(OR(AN196/AL196&gt;2,AN196/AL196&lt;0.5),"NM",(AN196/AL196-1)*100))</f>
        <v>-31.039136302294189</v>
      </c>
      <c r="AP196" s="115">
        <f>AP185</f>
        <v>5.84</v>
      </c>
      <c r="AQ196" s="61">
        <f>IF(ISERROR(AP196/AN196),"NA",IF(OR(AP196/AN196&gt;2,AP196/AN196&lt;0.5),"NM",(AP196/AN196-1)*100))</f>
        <v>14.285714285714279</v>
      </c>
      <c r="AR196" s="115">
        <f>AR185</f>
        <v>6.72</v>
      </c>
      <c r="AS196" s="61">
        <f>IF(ISERROR(AR196/AP196),"NA",IF(OR(AR196/AP196&gt;2,AR196/AP196&lt;0.5),"NM",(AR196/AP196-1)*100))</f>
        <v>15.068493150684926</v>
      </c>
      <c r="AT196" s="115">
        <f>AT185</f>
        <v>7.3</v>
      </c>
      <c r="AU196" s="61">
        <f>IF(ISERROR(AT196/AR196),"NA",IF(OR(AT196/AR196&gt;2,AT196/AR196&lt;0.5),"NM",(AT196/AR196-1)*100))</f>
        <v>8.6309523809523725</v>
      </c>
      <c r="AV196" s="115">
        <f>AV185</f>
        <v>7.83</v>
      </c>
      <c r="AW196" s="61">
        <f>IF(ISERROR(AV196/AT196),"NA",IF(OR(AV196/AT196&gt;2,AV196/AT196&lt;0.5),"NM",(AV196/AT196-1)*100))</f>
        <v>7.2602739726027377</v>
      </c>
      <c r="AX196" s="63">
        <f>IF(ISERROR(((AV196/AL196)^0.2-1)*100),"NA",IF((((AV196/AL196)^0.2-1)*100)&gt;100,"NM",IF((((AV196/AL196)^0.2-1)*100)&lt;-50,"NM",((AV196/AL196)^0.2-1)*100)))</f>
        <v>1.1087429095837376</v>
      </c>
      <c r="AY196" s="58"/>
      <c r="AZ196" s="106"/>
      <c r="BA196"/>
      <c r="BB196"/>
      <c r="BC196"/>
      <c r="BD196"/>
      <c r="BE196"/>
      <c r="BF196"/>
      <c r="BG196" s="31"/>
      <c r="BH196" s="146"/>
      <c r="BI196" s="146"/>
      <c r="BJ196" s="146"/>
      <c r="BK196" s="146"/>
      <c r="BL196" s="146"/>
      <c r="BM196" s="146"/>
      <c r="BN196" s="24"/>
    </row>
    <row r="197" spans="1:66" s="439" customFormat="1" ht="5.25" customHeight="1">
      <c r="A197" s="109"/>
      <c r="B197" s="95"/>
      <c r="C197" s="91"/>
      <c r="D197" s="61"/>
      <c r="E197" s="91"/>
      <c r="F197" s="61"/>
      <c r="G197" s="91"/>
      <c r="H197" s="61"/>
      <c r="I197" s="91"/>
      <c r="J197" s="61"/>
      <c r="K197" s="91"/>
      <c r="L197" s="61"/>
      <c r="M197" s="91"/>
      <c r="N197" s="61"/>
      <c r="O197" s="91"/>
      <c r="P197" s="61"/>
      <c r="Q197" s="91"/>
      <c r="R197" s="61"/>
      <c r="S197" s="91"/>
      <c r="T197" s="61"/>
      <c r="U197" s="91"/>
      <c r="V197" s="61"/>
      <c r="W197" s="91"/>
      <c r="X197" s="61"/>
      <c r="Y197" s="91"/>
      <c r="Z197" s="61"/>
      <c r="AA197" s="108"/>
      <c r="AB197" s="181"/>
      <c r="AC197" s="91"/>
      <c r="AD197" s="141"/>
      <c r="AE197" s="61"/>
      <c r="AF197" s="91"/>
      <c r="AG197" s="61"/>
      <c r="AH197" s="91"/>
      <c r="AI197" s="61"/>
      <c r="AJ197" s="91"/>
      <c r="AK197" s="61"/>
      <c r="AL197" s="91"/>
      <c r="AM197" s="61"/>
      <c r="AN197" s="91"/>
      <c r="AO197" s="61"/>
      <c r="AP197" s="91"/>
      <c r="AQ197" s="61"/>
      <c r="AR197" s="91"/>
      <c r="AS197" s="61"/>
      <c r="AT197" s="91"/>
      <c r="AU197" s="61"/>
      <c r="AV197" s="91"/>
      <c r="AW197" s="61"/>
      <c r="AX197" s="61"/>
      <c r="AY197" s="58"/>
      <c r="AZ197" s="106"/>
      <c r="BA197"/>
      <c r="BB197"/>
      <c r="BC197"/>
      <c r="BD197"/>
      <c r="BE197"/>
      <c r="BF197"/>
      <c r="BG197" s="31"/>
      <c r="BH197" s="28"/>
      <c r="BI197" s="28"/>
      <c r="BJ197" s="28"/>
      <c r="BK197" s="28"/>
      <c r="BL197" s="28"/>
      <c r="BM197" s="28"/>
      <c r="BN197" s="24"/>
    </row>
    <row r="198" spans="1:66" s="435" customFormat="1" ht="12.75" customHeight="1" collapsed="1">
      <c r="A198" s="47"/>
      <c r="B198" s="48" t="s">
        <v>135</v>
      </c>
      <c r="C198" s="49"/>
      <c r="D198" s="50"/>
      <c r="E198" s="49"/>
      <c r="F198" s="50"/>
      <c r="G198" s="49"/>
      <c r="H198" s="50"/>
      <c r="I198" s="49"/>
      <c r="J198" s="50"/>
      <c r="K198" s="49"/>
      <c r="L198" s="50"/>
      <c r="M198" s="49"/>
      <c r="N198" s="50"/>
      <c r="O198" s="49"/>
      <c r="P198" s="50"/>
      <c r="Q198" s="49"/>
      <c r="R198" s="50"/>
      <c r="S198" s="49"/>
      <c r="T198" s="50"/>
      <c r="U198" s="49"/>
      <c r="V198" s="50"/>
      <c r="W198" s="49"/>
      <c r="X198" s="50"/>
      <c r="Y198" s="49"/>
      <c r="Z198" s="50"/>
      <c r="AA198" s="51"/>
      <c r="AB198" s="181"/>
      <c r="AC198" s="49"/>
      <c r="AD198" s="49"/>
      <c r="AE198" s="50"/>
      <c r="AF198" s="49"/>
      <c r="AG198" s="50"/>
      <c r="AH198" s="49"/>
      <c r="AI198" s="50"/>
      <c r="AJ198" s="49"/>
      <c r="AK198" s="50"/>
      <c r="AL198" s="49"/>
      <c r="AM198" s="50"/>
      <c r="AN198" s="49"/>
      <c r="AO198" s="50"/>
      <c r="AP198" s="49"/>
      <c r="AQ198" s="50"/>
      <c r="AR198" s="49"/>
      <c r="AS198" s="50"/>
      <c r="AT198" s="49"/>
      <c r="AU198" s="50"/>
      <c r="AV198" s="49"/>
      <c r="AW198" s="50"/>
      <c r="AX198" s="50"/>
      <c r="AY198" s="52"/>
      <c r="AZ198" s="47"/>
      <c r="BA198"/>
      <c r="BB198"/>
      <c r="BC198"/>
      <c r="BD198"/>
      <c r="BE198"/>
      <c r="BF198"/>
      <c r="BG198" s="53"/>
      <c r="BH198" s="51"/>
      <c r="BI198" s="264"/>
      <c r="BJ198" s="264"/>
      <c r="BK198" s="264"/>
      <c r="BL198" s="264"/>
      <c r="BM198" s="264"/>
      <c r="BN198" s="24"/>
    </row>
    <row r="199" spans="1:66" s="439" customFormat="1" ht="7.5" customHeight="1">
      <c r="A199" s="109"/>
      <c r="B199" s="95"/>
      <c r="C199" s="91"/>
      <c r="D199" s="61"/>
      <c r="E199" s="91"/>
      <c r="F199" s="61"/>
      <c r="G199" s="91"/>
      <c r="H199" s="61"/>
      <c r="I199" s="91"/>
      <c r="J199" s="61"/>
      <c r="K199" s="91"/>
      <c r="L199" s="61"/>
      <c r="M199" s="91"/>
      <c r="N199" s="61"/>
      <c r="O199" s="91"/>
      <c r="P199" s="61"/>
      <c r="Q199" s="91"/>
      <c r="R199" s="61"/>
      <c r="S199" s="91"/>
      <c r="T199" s="61"/>
      <c r="U199" s="91"/>
      <c r="V199" s="61"/>
      <c r="W199" s="91"/>
      <c r="X199" s="61"/>
      <c r="Y199" s="91"/>
      <c r="Z199" s="61"/>
      <c r="AA199" s="108"/>
      <c r="AB199" s="180"/>
      <c r="AC199" s="91"/>
      <c r="AD199" s="91"/>
      <c r="AE199" s="61"/>
      <c r="AF199" s="91"/>
      <c r="AG199" s="61"/>
      <c r="AH199" s="91"/>
      <c r="AI199" s="61"/>
      <c r="AJ199" s="91"/>
      <c r="AK199" s="61"/>
      <c r="AL199" s="91"/>
      <c r="AM199" s="61"/>
      <c r="AN199" s="91"/>
      <c r="AO199" s="61"/>
      <c r="AP199" s="91"/>
      <c r="AQ199" s="61"/>
      <c r="AR199" s="91"/>
      <c r="AS199" s="61"/>
      <c r="AT199" s="91"/>
      <c r="AU199" s="61"/>
      <c r="AV199" s="91"/>
      <c r="AW199" s="61"/>
      <c r="AX199" s="61"/>
      <c r="AY199" s="58"/>
      <c r="AZ199" s="106"/>
      <c r="BA199"/>
      <c r="BB199"/>
      <c r="BC199"/>
      <c r="BD199"/>
      <c r="BE199"/>
      <c r="BF199"/>
      <c r="BG199" s="31"/>
      <c r="BH199" s="28"/>
      <c r="BI199" s="28"/>
      <c r="BJ199" s="28"/>
      <c r="BK199" s="28"/>
      <c r="BL199" s="28"/>
      <c r="BM199" s="28"/>
      <c r="BN199" s="24"/>
    </row>
    <row r="200" spans="1:66" s="439" customFormat="1" ht="12.75" customHeight="1" outlineLevel="1">
      <c r="A200" s="97" t="s">
        <v>280</v>
      </c>
      <c r="B200" s="97" t="s">
        <v>280</v>
      </c>
      <c r="C200" s="97"/>
      <c r="D200" s="97"/>
      <c r="E200" s="97"/>
      <c r="F200" s="97"/>
      <c r="G200" s="97"/>
      <c r="H200" s="97"/>
      <c r="I200" s="97"/>
      <c r="J200" s="97"/>
      <c r="K200" s="97"/>
      <c r="L200" s="97"/>
      <c r="M200" s="97"/>
      <c r="N200" s="97"/>
      <c r="O200" s="97"/>
      <c r="P200" s="97"/>
      <c r="Q200" s="97"/>
      <c r="R200" s="97"/>
      <c r="S200" s="97"/>
      <c r="T200" s="97"/>
      <c r="U200" s="97"/>
      <c r="V200" s="97"/>
      <c r="W200" s="97"/>
      <c r="X200" s="97"/>
      <c r="Y200" s="97"/>
      <c r="Z200" s="97"/>
      <c r="AA200" s="97"/>
      <c r="AB200" s="180"/>
      <c r="AC200" s="97"/>
      <c r="AD200" s="97"/>
      <c r="AE200" s="97"/>
      <c r="AF200" s="97"/>
      <c r="AG200" s="97"/>
      <c r="AH200" s="97"/>
      <c r="AI200" s="97"/>
      <c r="AJ200" s="97"/>
      <c r="AK200" s="97"/>
      <c r="AL200" s="97"/>
      <c r="AM200" s="97"/>
      <c r="AN200" s="97"/>
      <c r="AO200" s="97"/>
      <c r="AP200" s="97"/>
      <c r="AQ200" s="97"/>
      <c r="AR200" s="97"/>
      <c r="AS200" s="97"/>
      <c r="AT200" s="97"/>
      <c r="AU200" s="97"/>
      <c r="AV200" s="97"/>
      <c r="AW200" s="97"/>
      <c r="AX200" s="97"/>
      <c r="AY200" s="97"/>
      <c r="AZ200" s="97"/>
      <c r="BA200"/>
      <c r="BB200"/>
      <c r="BC200"/>
      <c r="BD200"/>
      <c r="BE200"/>
      <c r="BF200"/>
      <c r="BG200" s="97"/>
      <c r="BH200" s="97"/>
      <c r="BI200" s="97"/>
      <c r="BJ200" s="97"/>
      <c r="BK200" s="97"/>
      <c r="BL200" s="97"/>
      <c r="BM200" s="97"/>
      <c r="BN200" s="24"/>
    </row>
    <row r="201" spans="1:66" s="439" customFormat="1" ht="12.75" customHeight="1" outlineLevel="1">
      <c r="A201" s="95" t="s">
        <v>281</v>
      </c>
      <c r="B201" s="95" t="s">
        <v>281</v>
      </c>
      <c r="C201" s="98">
        <f>C35</f>
        <v>66463</v>
      </c>
      <c r="D201" s="95"/>
      <c r="E201" s="98">
        <f>E35</f>
        <v>68336</v>
      </c>
      <c r="F201" s="95"/>
      <c r="G201" s="98">
        <f>G35</f>
        <v>70916</v>
      </c>
      <c r="H201" s="95"/>
      <c r="I201" s="153">
        <v>70448</v>
      </c>
      <c r="J201" s="95"/>
      <c r="K201" s="153">
        <v>70448</v>
      </c>
      <c r="L201" s="95"/>
      <c r="M201" s="153">
        <v>70448</v>
      </c>
      <c r="N201" s="95"/>
      <c r="O201" s="153">
        <v>70448</v>
      </c>
      <c r="P201" s="95"/>
      <c r="Q201" s="153">
        <v>70448</v>
      </c>
      <c r="R201" s="95"/>
      <c r="S201" s="153">
        <f>+Q201*1.005</f>
        <v>70800.239999999991</v>
      </c>
      <c r="T201" s="95"/>
      <c r="U201" s="153">
        <f>+S201*1.005</f>
        <v>71154.241199999989</v>
      </c>
      <c r="V201" s="95"/>
      <c r="W201" s="153">
        <f>+U201*1.005</f>
        <v>71510.01240599998</v>
      </c>
      <c r="X201" s="95"/>
      <c r="Y201" s="153">
        <f>+W201*1.005</f>
        <v>71867.562468029966</v>
      </c>
      <c r="Z201" s="95"/>
      <c r="AA201" s="95"/>
      <c r="AB201" s="180"/>
      <c r="AC201" s="95"/>
      <c r="AD201" s="98">
        <f>AD35</f>
        <v>60442</v>
      </c>
      <c r="AE201" s="95"/>
      <c r="AF201" s="98">
        <f>AF35</f>
        <v>60024</v>
      </c>
      <c r="AG201" s="95"/>
      <c r="AH201" s="98">
        <f>AH35</f>
        <v>65271</v>
      </c>
      <c r="AI201" s="95"/>
      <c r="AJ201" s="98">
        <f>I201</f>
        <v>70448</v>
      </c>
      <c r="AK201" s="95"/>
      <c r="AL201" s="98">
        <f>Q201</f>
        <v>70448</v>
      </c>
      <c r="AM201" s="95"/>
      <c r="AN201" s="98">
        <f>Y201</f>
        <v>71867.562468029966</v>
      </c>
      <c r="AO201" s="95"/>
      <c r="AP201" s="153">
        <f>+AN201*1.005</f>
        <v>72226.900280370115</v>
      </c>
      <c r="AQ201" s="95"/>
      <c r="AR201" s="153">
        <f>+AP201*1.005</f>
        <v>72588.034781771959</v>
      </c>
      <c r="AS201" s="95"/>
      <c r="AT201" s="153">
        <f>+AR201*1.005</f>
        <v>72950.974955680809</v>
      </c>
      <c r="AU201" s="95"/>
      <c r="AV201" s="153">
        <f>+AT201*1.005</f>
        <v>73315.729830459211</v>
      </c>
      <c r="AW201" s="95"/>
      <c r="AX201" s="95"/>
      <c r="AY201" s="95"/>
      <c r="AZ201" s="95"/>
      <c r="BA201"/>
      <c r="BB201"/>
      <c r="BC201"/>
      <c r="BD201"/>
      <c r="BE201"/>
      <c r="BF201"/>
      <c r="BG201" s="95"/>
      <c r="BH201" s="95"/>
      <c r="BI201" s="95"/>
      <c r="BJ201" s="95"/>
      <c r="BK201" s="95"/>
      <c r="BL201" s="95"/>
      <c r="BM201" s="95"/>
      <c r="BN201" s="24"/>
    </row>
    <row r="202" spans="1:66" s="439" customFormat="1" ht="12.75" customHeight="1" outlineLevel="1">
      <c r="A202" s="95" t="s">
        <v>282</v>
      </c>
      <c r="B202" s="95" t="s">
        <v>299</v>
      </c>
      <c r="C202" s="95"/>
      <c r="D202" s="95"/>
      <c r="E202" s="95"/>
      <c r="F202" s="95"/>
      <c r="G202" s="95"/>
      <c r="H202" s="95"/>
      <c r="I202" s="153">
        <v>6001</v>
      </c>
      <c r="J202" s="95"/>
      <c r="K202" s="153">
        <v>6001</v>
      </c>
      <c r="L202" s="95"/>
      <c r="M202" s="153">
        <v>6001</v>
      </c>
      <c r="N202" s="95"/>
      <c r="O202" s="153">
        <v>6001</v>
      </c>
      <c r="P202" s="95"/>
      <c r="Q202" s="153">
        <v>6001</v>
      </c>
      <c r="R202" s="95"/>
      <c r="S202" s="153">
        <f>Q202</f>
        <v>6001</v>
      </c>
      <c r="T202" s="95"/>
      <c r="U202" s="153">
        <f>S202</f>
        <v>6001</v>
      </c>
      <c r="V202" s="95"/>
      <c r="W202" s="153">
        <f>U202</f>
        <v>6001</v>
      </c>
      <c r="X202" s="95"/>
      <c r="Y202" s="153">
        <f>W202</f>
        <v>6001</v>
      </c>
      <c r="Z202" s="95"/>
      <c r="AA202" s="95"/>
      <c r="AB202" s="180"/>
      <c r="AC202" s="95"/>
      <c r="AD202" s="95"/>
      <c r="AE202" s="95"/>
      <c r="AF202" s="95"/>
      <c r="AG202" s="95"/>
      <c r="AH202" s="95"/>
      <c r="AI202" s="95"/>
      <c r="AJ202" s="98">
        <f>I202</f>
        <v>6001</v>
      </c>
      <c r="AK202" s="95"/>
      <c r="AL202" s="98">
        <f>Q202</f>
        <v>6001</v>
      </c>
      <c r="AM202" s="95"/>
      <c r="AN202" s="98">
        <f>Y202</f>
        <v>6001</v>
      </c>
      <c r="AO202" s="95"/>
      <c r="AP202" s="153">
        <f>AN202</f>
        <v>6001</v>
      </c>
      <c r="AQ202" s="95"/>
      <c r="AR202" s="153">
        <f>AP202</f>
        <v>6001</v>
      </c>
      <c r="AS202" s="95"/>
      <c r="AT202" s="153">
        <f>AR202</f>
        <v>6001</v>
      </c>
      <c r="AU202" s="95"/>
      <c r="AV202" s="153">
        <f>AT202</f>
        <v>6001</v>
      </c>
      <c r="AW202" s="95"/>
      <c r="AX202" s="95"/>
      <c r="AY202" s="95"/>
      <c r="AZ202" s="95"/>
      <c r="BA202"/>
      <c r="BB202"/>
      <c r="BC202"/>
      <c r="BD202"/>
      <c r="BE202"/>
      <c r="BF202"/>
      <c r="BG202" s="95"/>
      <c r="BH202" s="95"/>
      <c r="BI202" s="95"/>
      <c r="BJ202" s="95"/>
      <c r="BK202" s="95"/>
      <c r="BL202" s="95"/>
      <c r="BM202" s="95"/>
      <c r="BN202" s="24"/>
    </row>
    <row r="203" spans="1:66" s="439" customFormat="1" ht="12.75" customHeight="1" outlineLevel="1">
      <c r="A203" s="95" t="s">
        <v>283</v>
      </c>
      <c r="B203" s="95" t="s">
        <v>283</v>
      </c>
      <c r="C203" s="95"/>
      <c r="D203" s="95"/>
      <c r="E203" s="95"/>
      <c r="F203" s="95"/>
      <c r="G203" s="95"/>
      <c r="H203" s="95"/>
      <c r="I203" s="153">
        <v>2964</v>
      </c>
      <c r="J203" s="95"/>
      <c r="K203" s="153">
        <v>2964</v>
      </c>
      <c r="L203" s="95"/>
      <c r="M203" s="153">
        <v>2964</v>
      </c>
      <c r="N203" s="95"/>
      <c r="O203" s="153">
        <v>2964</v>
      </c>
      <c r="P203" s="95"/>
      <c r="Q203" s="153">
        <v>2964</v>
      </c>
      <c r="R203" s="95"/>
      <c r="S203" s="153">
        <f>+Q203*1.005</f>
        <v>2978.8199999999997</v>
      </c>
      <c r="T203" s="95"/>
      <c r="U203" s="153">
        <f>+S203*1.005</f>
        <v>2993.7140999999992</v>
      </c>
      <c r="V203" s="95"/>
      <c r="W203" s="153">
        <f>+U203*1.005</f>
        <v>3008.6826704999989</v>
      </c>
      <c r="X203" s="95"/>
      <c r="Y203" s="153">
        <f>+W203*1.005</f>
        <v>3023.7260838524985</v>
      </c>
      <c r="Z203" s="95"/>
      <c r="AA203" s="95"/>
      <c r="AB203" s="180"/>
      <c r="AC203" s="95"/>
      <c r="AD203" s="95"/>
      <c r="AE203" s="95"/>
      <c r="AF203" s="95"/>
      <c r="AG203" s="95"/>
      <c r="AH203" s="95"/>
      <c r="AI203" s="95"/>
      <c r="AJ203" s="98">
        <f>I203</f>
        <v>2964</v>
      </c>
      <c r="AK203" s="95"/>
      <c r="AL203" s="98">
        <f>Q203</f>
        <v>2964</v>
      </c>
      <c r="AM203" s="95"/>
      <c r="AN203" s="98">
        <f>Y203</f>
        <v>3023.7260838524985</v>
      </c>
      <c r="AO203" s="95"/>
      <c r="AP203" s="153">
        <f>+AN203*1.005</f>
        <v>3038.8447142717605</v>
      </c>
      <c r="AQ203" s="95"/>
      <c r="AR203" s="153">
        <f>+AP203*1.005</f>
        <v>3054.0389378431191</v>
      </c>
      <c r="AS203" s="95"/>
      <c r="AT203" s="153">
        <f>+AR203*1.005</f>
        <v>3069.3091325323344</v>
      </c>
      <c r="AU203" s="95"/>
      <c r="AV203" s="153">
        <f>+AT203*1.005</f>
        <v>3084.6556781949957</v>
      </c>
      <c r="AW203" s="95"/>
      <c r="AX203" s="95"/>
      <c r="AY203" s="95"/>
      <c r="AZ203" s="95"/>
      <c r="BA203"/>
      <c r="BB203"/>
      <c r="BC203"/>
      <c r="BD203"/>
      <c r="BE203"/>
      <c r="BF203"/>
      <c r="BG203" s="95"/>
      <c r="BH203" s="95"/>
      <c r="BI203" s="95"/>
      <c r="BJ203" s="95"/>
      <c r="BK203" s="95"/>
      <c r="BL203" s="95"/>
      <c r="BM203" s="95"/>
      <c r="BN203" s="24"/>
    </row>
    <row r="204" spans="1:66" s="439" customFormat="1" ht="12.75" customHeight="1" outlineLevel="1">
      <c r="A204" s="95" t="s">
        <v>279</v>
      </c>
      <c r="B204" s="95" t="s">
        <v>298</v>
      </c>
      <c r="C204" s="95"/>
      <c r="D204" s="95"/>
      <c r="E204" s="95"/>
      <c r="F204" s="95"/>
      <c r="G204" s="95"/>
      <c r="H204" s="95"/>
      <c r="I204" s="153">
        <v>369</v>
      </c>
      <c r="J204" s="95"/>
      <c r="K204" s="153">
        <v>369</v>
      </c>
      <c r="L204" s="95"/>
      <c r="M204" s="153">
        <v>369</v>
      </c>
      <c r="N204" s="95"/>
      <c r="O204" s="153">
        <v>369</v>
      </c>
      <c r="P204" s="95"/>
      <c r="Q204" s="153">
        <v>369</v>
      </c>
      <c r="R204" s="95"/>
      <c r="S204" s="114">
        <f>Q204-S125</f>
        <v>340.31894783308746</v>
      </c>
      <c r="T204" s="95"/>
      <c r="U204" s="114">
        <f>S204-U125</f>
        <v>310.86198070842977</v>
      </c>
      <c r="V204" s="95"/>
      <c r="W204" s="114">
        <f>U204-W125</f>
        <v>278.96182657601116</v>
      </c>
      <c r="X204" s="95"/>
      <c r="Y204" s="114">
        <f>W204-Y125</f>
        <v>246.50663821613725</v>
      </c>
      <c r="Z204" s="95"/>
      <c r="AA204" s="95"/>
      <c r="AB204" s="180"/>
      <c r="AC204" s="95"/>
      <c r="AD204" s="95"/>
      <c r="AE204" s="95"/>
      <c r="AF204" s="95"/>
      <c r="AG204" s="95"/>
      <c r="AH204" s="95"/>
      <c r="AI204" s="95"/>
      <c r="AJ204" s="98">
        <f>I204</f>
        <v>369</v>
      </c>
      <c r="AK204" s="95"/>
      <c r="AL204" s="98">
        <f>Q204</f>
        <v>369</v>
      </c>
      <c r="AM204" s="95"/>
      <c r="AN204" s="98">
        <f>Y204</f>
        <v>246.50663821613725</v>
      </c>
      <c r="AO204" s="95"/>
      <c r="AP204" s="114">
        <f>AN204-AP125</f>
        <v>109.0665802640226</v>
      </c>
      <c r="AQ204" s="95"/>
      <c r="AR204" s="114">
        <f>AP204-AR125</f>
        <v>-42.720473481941951</v>
      </c>
      <c r="AS204" s="95"/>
      <c r="AT204" s="114">
        <f>AR204-AT125</f>
        <v>-202.79148675160707</v>
      </c>
      <c r="AU204" s="95"/>
      <c r="AV204" s="114">
        <f>AT204-AV125</f>
        <v>-372.53364508108854</v>
      </c>
      <c r="AW204" s="95"/>
      <c r="AX204" s="95"/>
      <c r="AY204" s="95"/>
      <c r="AZ204" s="95"/>
      <c r="BA204"/>
      <c r="BB204"/>
      <c r="BC204"/>
      <c r="BD204"/>
      <c r="BE204"/>
      <c r="BF204"/>
      <c r="BG204" s="95"/>
      <c r="BH204" s="95"/>
      <c r="BI204" s="95"/>
      <c r="BJ204" s="95"/>
      <c r="BK204" s="95"/>
      <c r="BL204" s="95"/>
      <c r="BM204" s="95"/>
      <c r="BN204" s="24"/>
    </row>
    <row r="205" spans="1:66" s="439" customFormat="1" ht="12.75" customHeight="1" outlineLevel="1">
      <c r="A205" s="95" t="s">
        <v>284</v>
      </c>
      <c r="B205" s="95" t="s">
        <v>284</v>
      </c>
      <c r="C205" s="95"/>
      <c r="D205" s="95"/>
      <c r="E205" s="95"/>
      <c r="F205" s="95"/>
      <c r="G205" s="95"/>
      <c r="H205" s="95"/>
      <c r="I205" s="98">
        <f>I206-SUM(I201:I204)</f>
        <v>6938</v>
      </c>
      <c r="J205" s="95"/>
      <c r="K205" s="98">
        <f>K206-SUM(K201:K204)</f>
        <v>6938</v>
      </c>
      <c r="L205" s="95"/>
      <c r="M205" s="98">
        <f>M206-SUM(M201:M204)</f>
        <v>6938</v>
      </c>
      <c r="N205" s="95"/>
      <c r="O205" s="98">
        <f>O206-SUM(O201:O204)</f>
        <v>6938</v>
      </c>
      <c r="P205" s="95"/>
      <c r="Q205" s="98">
        <f>Q206-SUM(Q201:Q204)</f>
        <v>6938</v>
      </c>
      <c r="R205" s="95"/>
      <c r="S205" s="153">
        <f>+Q205*1.005</f>
        <v>6972.69</v>
      </c>
      <c r="T205" s="95"/>
      <c r="U205" s="153">
        <f>+S205*1.005</f>
        <v>7007.5534499999985</v>
      </c>
      <c r="V205" s="95"/>
      <c r="W205" s="153">
        <f>+U205*1.005</f>
        <v>7042.5912172499975</v>
      </c>
      <c r="X205" s="95"/>
      <c r="Y205" s="153">
        <f>+W205*1.005</f>
        <v>7077.804173336247</v>
      </c>
      <c r="Z205" s="95"/>
      <c r="AA205" s="95"/>
      <c r="AB205" s="180"/>
      <c r="AC205" s="95"/>
      <c r="AD205" s="95"/>
      <c r="AE205" s="95"/>
      <c r="AF205" s="95"/>
      <c r="AG205" s="95"/>
      <c r="AH205" s="95"/>
      <c r="AI205" s="95"/>
      <c r="AJ205" s="98">
        <f>I205</f>
        <v>6938</v>
      </c>
      <c r="AK205" s="95"/>
      <c r="AL205" s="98">
        <f>Q205</f>
        <v>6938</v>
      </c>
      <c r="AM205" s="95"/>
      <c r="AN205" s="98">
        <f>Y205</f>
        <v>7077.804173336247</v>
      </c>
      <c r="AO205" s="95"/>
      <c r="AP205" s="153">
        <f>+AN205*1.005</f>
        <v>7113.1931942029278</v>
      </c>
      <c r="AQ205" s="95"/>
      <c r="AR205" s="153">
        <f>+AP205*1.005</f>
        <v>7148.7591601739414</v>
      </c>
      <c r="AS205" s="95"/>
      <c r="AT205" s="153">
        <f>+AR205*1.005</f>
        <v>7184.50295597481</v>
      </c>
      <c r="AU205" s="95"/>
      <c r="AV205" s="153">
        <f>+AT205*1.005</f>
        <v>7220.4254707546834</v>
      </c>
      <c r="AW205" s="95"/>
      <c r="AX205" s="95"/>
      <c r="AY205" s="95"/>
      <c r="AZ205" s="95"/>
      <c r="BA205"/>
      <c r="BB205"/>
      <c r="BC205"/>
      <c r="BD205"/>
      <c r="BE205"/>
      <c r="BF205"/>
      <c r="BG205" s="95"/>
      <c r="BH205" s="95"/>
      <c r="BI205" s="95"/>
      <c r="BJ205" s="95"/>
      <c r="BK205" s="95"/>
      <c r="BL205" s="95"/>
      <c r="BM205" s="95"/>
      <c r="BN205" s="24"/>
    </row>
    <row r="206" spans="1:66" s="439" customFormat="1" ht="12.75" customHeight="1" outlineLevel="1">
      <c r="A206" s="95" t="s">
        <v>285</v>
      </c>
      <c r="B206" s="95" t="s">
        <v>285</v>
      </c>
      <c r="C206" s="98">
        <f>SUM(C201:C205)</f>
        <v>66463</v>
      </c>
      <c r="D206" s="95"/>
      <c r="E206" s="98">
        <f>SUM(E201:E205)</f>
        <v>68336</v>
      </c>
      <c r="F206" s="95"/>
      <c r="G206" s="98">
        <f>SUM(G201:G205)</f>
        <v>70916</v>
      </c>
      <c r="H206" s="95"/>
      <c r="I206" s="153">
        <v>86720</v>
      </c>
      <c r="J206" s="95"/>
      <c r="K206" s="153">
        <v>86720</v>
      </c>
      <c r="L206" s="95"/>
      <c r="M206" s="153">
        <v>86720</v>
      </c>
      <c r="N206" s="95"/>
      <c r="O206" s="153">
        <v>86720</v>
      </c>
      <c r="P206" s="95"/>
      <c r="Q206" s="153">
        <v>86720</v>
      </c>
      <c r="R206" s="95"/>
      <c r="S206" s="98">
        <f>SUM(S201:S205)</f>
        <v>87093.06894783309</v>
      </c>
      <c r="T206" s="95"/>
      <c r="U206" s="98">
        <f>SUM(U201:U205)</f>
        <v>87467.370730708411</v>
      </c>
      <c r="V206" s="95"/>
      <c r="W206" s="98">
        <f>SUM(W201:W205)</f>
        <v>87841.248120325981</v>
      </c>
      <c r="X206" s="95"/>
      <c r="Y206" s="98">
        <f>SUM(Y201:Y205)</f>
        <v>88216.599363434842</v>
      </c>
      <c r="Z206" s="95"/>
      <c r="AA206" s="95"/>
      <c r="AB206" s="180"/>
      <c r="AC206" s="95"/>
      <c r="AD206" s="98">
        <f>SUM(AD201:AD205)</f>
        <v>60442</v>
      </c>
      <c r="AE206" s="95"/>
      <c r="AF206" s="98">
        <f>SUM(AF201:AF205)</f>
        <v>60024</v>
      </c>
      <c r="AG206" s="95"/>
      <c r="AH206" s="98">
        <f>SUM(AH201:AH205)</f>
        <v>65271</v>
      </c>
      <c r="AI206" s="95"/>
      <c r="AJ206" s="98">
        <f>SUM(AJ201:AJ205)</f>
        <v>86720</v>
      </c>
      <c r="AK206" s="95"/>
      <c r="AL206" s="98">
        <f>SUM(AL201:AL205)</f>
        <v>86720</v>
      </c>
      <c r="AM206" s="95"/>
      <c r="AN206" s="98">
        <f>SUM(AN201:AN205)</f>
        <v>88216.599363434842</v>
      </c>
      <c r="AO206" s="95"/>
      <c r="AP206" s="98">
        <f>SUM(AP201:AP205)</f>
        <v>88489.00476910884</v>
      </c>
      <c r="AQ206" s="95"/>
      <c r="AR206" s="98">
        <f>SUM(AR201:AR205)</f>
        <v>88749.112406307075</v>
      </c>
      <c r="AS206" s="95"/>
      <c r="AT206" s="98">
        <f>SUM(AT201:AT205)</f>
        <v>89002.995557436341</v>
      </c>
      <c r="AU206" s="95"/>
      <c r="AV206" s="98">
        <f>SUM(AV201:AV205)</f>
        <v>89249.277334327795</v>
      </c>
      <c r="AW206" s="95"/>
      <c r="AX206" s="95"/>
      <c r="AY206" s="95"/>
      <c r="AZ206" s="95"/>
      <c r="BA206"/>
      <c r="BB206"/>
      <c r="BC206"/>
      <c r="BD206"/>
      <c r="BE206"/>
      <c r="BF206"/>
      <c r="BG206" s="95"/>
      <c r="BH206" s="95"/>
      <c r="BI206" s="95"/>
      <c r="BJ206" s="95"/>
      <c r="BK206" s="95"/>
      <c r="BL206" s="95"/>
      <c r="BM206" s="95"/>
      <c r="BN206" s="24"/>
    </row>
    <row r="207" spans="1:66" s="439" customFormat="1" ht="12.75" customHeight="1" outlineLevel="1">
      <c r="A207" s="95" t="s">
        <v>84</v>
      </c>
      <c r="B207" s="95" t="s">
        <v>84</v>
      </c>
      <c r="C207" s="376">
        <f>C223</f>
        <v>-52</v>
      </c>
      <c r="D207" s="95"/>
      <c r="E207" s="376">
        <f>E223</f>
        <v>569</v>
      </c>
      <c r="F207" s="95"/>
      <c r="G207" s="376">
        <f>G223</f>
        <v>920</v>
      </c>
      <c r="H207" s="95"/>
      <c r="I207" s="376">
        <f>I223</f>
        <v>367</v>
      </c>
      <c r="J207" s="95"/>
      <c r="K207" s="376">
        <f>K223</f>
        <v>673</v>
      </c>
      <c r="L207" s="95"/>
      <c r="M207" s="376">
        <f>M223</f>
        <v>1060</v>
      </c>
      <c r="N207" s="95"/>
      <c r="O207" s="376">
        <f>O223</f>
        <v>1162</v>
      </c>
      <c r="P207" s="95"/>
      <c r="Q207" s="376">
        <f>Q223</f>
        <v>1415</v>
      </c>
      <c r="R207" s="95"/>
      <c r="S207" s="376">
        <f>S223</f>
        <v>1415</v>
      </c>
      <c r="T207" s="95"/>
      <c r="U207" s="376">
        <f>U223</f>
        <v>1415</v>
      </c>
      <c r="V207" s="95"/>
      <c r="W207" s="376">
        <f>W223</f>
        <v>1415</v>
      </c>
      <c r="X207" s="95"/>
      <c r="Y207" s="376">
        <f>Y223</f>
        <v>1415</v>
      </c>
      <c r="Z207" s="95"/>
      <c r="AA207" s="95"/>
      <c r="AB207" s="180"/>
      <c r="AC207" s="95"/>
      <c r="AD207" s="376">
        <f>AD223</f>
        <v>70</v>
      </c>
      <c r="AE207" s="95"/>
      <c r="AF207" s="376">
        <f>AF223</f>
        <v>644</v>
      </c>
      <c r="AG207" s="95"/>
      <c r="AH207" s="376">
        <f>AH223</f>
        <v>-235</v>
      </c>
      <c r="AI207" s="95"/>
      <c r="AJ207" s="376">
        <f>AJ223</f>
        <v>367</v>
      </c>
      <c r="AK207" s="95"/>
      <c r="AL207" s="376">
        <f>AL223</f>
        <v>1415</v>
      </c>
      <c r="AM207" s="95"/>
      <c r="AN207" s="376">
        <f>AN223</f>
        <v>1415</v>
      </c>
      <c r="AO207" s="95"/>
      <c r="AP207" s="376">
        <f>AP223</f>
        <v>1415</v>
      </c>
      <c r="AQ207" s="95"/>
      <c r="AR207" s="376">
        <f>AR223</f>
        <v>1415</v>
      </c>
      <c r="AS207" s="95"/>
      <c r="AT207" s="376">
        <f>AT223</f>
        <v>1415</v>
      </c>
      <c r="AU207" s="95"/>
      <c r="AV207" s="376">
        <f>AV223</f>
        <v>1415</v>
      </c>
      <c r="AW207" s="95"/>
      <c r="AX207" s="95"/>
      <c r="AY207" s="95"/>
      <c r="AZ207" s="95"/>
      <c r="BA207"/>
      <c r="BB207"/>
      <c r="BC207"/>
      <c r="BD207"/>
      <c r="BE207"/>
      <c r="BF207"/>
      <c r="BG207" s="95"/>
      <c r="BH207" s="95"/>
      <c r="BI207" s="95"/>
      <c r="BJ207" s="95"/>
      <c r="BK207" s="95"/>
      <c r="BL207" s="95"/>
      <c r="BM207" s="95"/>
      <c r="BN207" s="24"/>
    </row>
    <row r="208" spans="1:66" s="439" customFormat="1" ht="12.75" customHeight="1" outlineLevel="1">
      <c r="A208" s="95" t="s">
        <v>286</v>
      </c>
      <c r="B208" s="95" t="s">
        <v>286</v>
      </c>
      <c r="C208" s="376">
        <f>C206-C207</f>
        <v>66515</v>
      </c>
      <c r="D208" s="95"/>
      <c r="E208" s="376">
        <f>E206-E207</f>
        <v>67767</v>
      </c>
      <c r="F208" s="95"/>
      <c r="G208" s="376">
        <f>G206-G207</f>
        <v>69996</v>
      </c>
      <c r="H208" s="95"/>
      <c r="I208" s="376">
        <f>I206-I207</f>
        <v>86353</v>
      </c>
      <c r="J208" s="95"/>
      <c r="K208" s="376">
        <f>K206-K207</f>
        <v>86047</v>
      </c>
      <c r="L208" s="95"/>
      <c r="M208" s="376">
        <f>M206-M207</f>
        <v>85660</v>
      </c>
      <c r="N208" s="95"/>
      <c r="O208" s="376">
        <f>O206-O207</f>
        <v>85558</v>
      </c>
      <c r="P208" s="95"/>
      <c r="Q208" s="376">
        <f>Q206-Q207</f>
        <v>85305</v>
      </c>
      <c r="R208" s="95"/>
      <c r="S208" s="376">
        <f>S206-S207</f>
        <v>85678.06894783309</v>
      </c>
      <c r="T208" s="95"/>
      <c r="U208" s="376">
        <f>U206-U207</f>
        <v>86052.370730708411</v>
      </c>
      <c r="V208" s="95"/>
      <c r="W208" s="376">
        <f>W206-W207</f>
        <v>86426.248120325981</v>
      </c>
      <c r="X208" s="95"/>
      <c r="Y208" s="376">
        <f>Y206-Y207</f>
        <v>86801.599363434842</v>
      </c>
      <c r="Z208" s="95"/>
      <c r="AA208" s="95"/>
      <c r="AB208" s="180"/>
      <c r="AC208" s="95"/>
      <c r="AD208" s="376">
        <f>AD206-AD207</f>
        <v>60372</v>
      </c>
      <c r="AE208" s="95"/>
      <c r="AF208" s="376">
        <f>AF206-AF207</f>
        <v>59380</v>
      </c>
      <c r="AG208" s="95"/>
      <c r="AH208" s="376">
        <f>AH206-AH207</f>
        <v>65506</v>
      </c>
      <c r="AI208" s="95"/>
      <c r="AJ208" s="376">
        <f>AJ206-AJ207</f>
        <v>86353</v>
      </c>
      <c r="AK208" s="95"/>
      <c r="AL208" s="376">
        <f>AL206-AL207</f>
        <v>85305</v>
      </c>
      <c r="AM208" s="95"/>
      <c r="AN208" s="376">
        <f>AN206-AN207</f>
        <v>86801.599363434842</v>
      </c>
      <c r="AO208" s="95"/>
      <c r="AP208" s="376">
        <f>AP206-AP207</f>
        <v>87074.00476910884</v>
      </c>
      <c r="AQ208" s="95"/>
      <c r="AR208" s="376">
        <f>AR206-AR207</f>
        <v>87334.112406307075</v>
      </c>
      <c r="AS208" s="95"/>
      <c r="AT208" s="376">
        <f>AT206-AT207</f>
        <v>87587.995557436341</v>
      </c>
      <c r="AU208" s="95"/>
      <c r="AV208" s="376">
        <f>AV206-AV207</f>
        <v>87834.277334327795</v>
      </c>
      <c r="AW208" s="95"/>
      <c r="AX208" s="95"/>
      <c r="AY208" s="95"/>
      <c r="AZ208" s="95"/>
      <c r="BA208"/>
      <c r="BB208"/>
      <c r="BC208"/>
      <c r="BD208"/>
      <c r="BE208"/>
      <c r="BF208"/>
      <c r="BG208" s="95"/>
      <c r="BH208" s="95"/>
      <c r="BI208" s="95"/>
      <c r="BJ208" s="95"/>
      <c r="BK208" s="95"/>
      <c r="BL208" s="95"/>
      <c r="BM208" s="95"/>
      <c r="BN208" s="24"/>
    </row>
    <row r="209" spans="1:66" s="439" customFormat="1" ht="12.75" customHeight="1">
      <c r="A209" s="95"/>
      <c r="B209" s="95"/>
      <c r="C209" s="95"/>
      <c r="D209" s="95"/>
      <c r="E209" s="95"/>
      <c r="F209" s="95"/>
      <c r="G209" s="95"/>
      <c r="H209" s="95"/>
      <c r="I209" s="95"/>
      <c r="J209" s="95"/>
      <c r="K209" s="95"/>
      <c r="L209" s="95"/>
      <c r="M209" s="95"/>
      <c r="N209" s="95"/>
      <c r="O209" s="95"/>
      <c r="P209" s="95"/>
      <c r="Q209" s="95"/>
      <c r="R209" s="95"/>
      <c r="S209" s="95"/>
      <c r="T209" s="95"/>
      <c r="U209" s="95"/>
      <c r="V209" s="95"/>
      <c r="W209" s="95"/>
      <c r="X209" s="95"/>
      <c r="Y209" s="95"/>
      <c r="Z209" s="95"/>
      <c r="AA209" s="95"/>
      <c r="AB209" s="180"/>
      <c r="AC209" s="95"/>
      <c r="AD209" s="95"/>
      <c r="AE209" s="95"/>
      <c r="AF209" s="95"/>
      <c r="AG209" s="95"/>
      <c r="AH209" s="95"/>
      <c r="AI209" s="95"/>
      <c r="AJ209" s="95"/>
      <c r="AK209" s="95"/>
      <c r="AL209" s="95"/>
      <c r="AM209" s="95"/>
      <c r="AN209" s="95"/>
      <c r="AO209" s="95"/>
      <c r="AP209" s="95"/>
      <c r="AQ209" s="95"/>
      <c r="AR209" s="95"/>
      <c r="AS209" s="95"/>
      <c r="AT209" s="95"/>
      <c r="AU209" s="95"/>
      <c r="AV209" s="95"/>
      <c r="AW209" s="95"/>
      <c r="AX209" s="95"/>
      <c r="AY209" s="95"/>
      <c r="AZ209" s="95"/>
      <c r="BA209"/>
      <c r="BB209"/>
      <c r="BC209"/>
      <c r="BD209"/>
      <c r="BE209"/>
      <c r="BF209"/>
      <c r="BG209" s="95"/>
      <c r="BH209" s="95"/>
      <c r="BI209" s="95"/>
      <c r="BJ209" s="95"/>
      <c r="BK209" s="95"/>
      <c r="BL209" s="95"/>
      <c r="BM209" s="95"/>
      <c r="BN209" s="24"/>
    </row>
    <row r="210" spans="1:66" s="439" customFormat="1" ht="12.75" customHeight="1">
      <c r="A210" s="109"/>
      <c r="B210" s="97" t="s">
        <v>85</v>
      </c>
      <c r="C210" s="91"/>
      <c r="D210" s="61"/>
      <c r="E210" s="91"/>
      <c r="F210" s="61"/>
      <c r="G210" s="91"/>
      <c r="H210" s="61"/>
      <c r="I210" s="91"/>
      <c r="J210" s="61"/>
      <c r="K210" s="91"/>
      <c r="L210" s="61"/>
      <c r="M210" s="91"/>
      <c r="N210" s="61"/>
      <c r="O210" s="91"/>
      <c r="P210" s="61"/>
      <c r="Q210" s="91"/>
      <c r="R210" s="61"/>
      <c r="S210" s="91"/>
      <c r="T210" s="61"/>
      <c r="U210" s="91"/>
      <c r="V210" s="61"/>
      <c r="W210" s="91"/>
      <c r="X210" s="61"/>
      <c r="Y210" s="91"/>
      <c r="Z210" s="61"/>
      <c r="AA210" s="108"/>
      <c r="AB210" s="180"/>
      <c r="AC210" s="91"/>
      <c r="AD210" s="91"/>
      <c r="AE210" s="61"/>
      <c r="AF210" s="91"/>
      <c r="AG210" s="61"/>
      <c r="AH210" s="91"/>
      <c r="AI210" s="61"/>
      <c r="AJ210" s="91"/>
      <c r="AK210" s="61"/>
      <c r="AL210" s="91"/>
      <c r="AM210" s="61"/>
      <c r="AN210" s="91"/>
      <c r="AO210" s="61"/>
      <c r="AP210" s="91"/>
      <c r="AQ210" s="61"/>
      <c r="AR210" s="91"/>
      <c r="AS210" s="61"/>
      <c r="AT210" s="91"/>
      <c r="AU210" s="61"/>
      <c r="AV210" s="91"/>
      <c r="AW210" s="61"/>
      <c r="AX210" s="61"/>
      <c r="AY210" s="58"/>
      <c r="AZ210" s="106"/>
      <c r="BA210"/>
      <c r="BB210"/>
      <c r="BC210"/>
      <c r="BD210"/>
      <c r="BE210"/>
      <c r="BF210"/>
      <c r="BG210" s="31"/>
      <c r="BH210" s="28"/>
      <c r="BI210" s="28"/>
      <c r="BJ210" s="28"/>
      <c r="BK210" s="28"/>
      <c r="BL210" s="28"/>
      <c r="BM210" s="28"/>
      <c r="BN210" s="24"/>
    </row>
    <row r="211" spans="1:66" s="439" customFormat="1" ht="12.75" customHeight="1">
      <c r="A211" s="24" t="s">
        <v>86</v>
      </c>
      <c r="B211" s="95" t="s">
        <v>87</v>
      </c>
      <c r="C211" s="153">
        <v>0</v>
      </c>
      <c r="D211" s="153"/>
      <c r="E211" s="153">
        <v>0</v>
      </c>
      <c r="F211" s="153"/>
      <c r="G211" s="153">
        <f>E211</f>
        <v>0</v>
      </c>
      <c r="H211" s="153"/>
      <c r="I211" s="153">
        <f>G211</f>
        <v>0</v>
      </c>
      <c r="J211" s="153"/>
      <c r="K211" s="153">
        <f>I211</f>
        <v>0</v>
      </c>
      <c r="L211" s="135" t="str">
        <f>IF(ISERROR(K211/C211),"NA",IF(OR(K211/C211&gt;2,K211/C211&lt;0.5),"NM",(K211/C211-1)*100))</f>
        <v>NA</v>
      </c>
      <c r="M211" s="153">
        <f>K211</f>
        <v>0</v>
      </c>
      <c r="N211" s="135" t="str">
        <f>IF(ISERROR(M211/E211),"NA",IF(OR(M211/E211&gt;2,M211/E211&lt;0.5),"NM",(M211/E211-1)*100))</f>
        <v>NA</v>
      </c>
      <c r="O211" s="153">
        <f>M211</f>
        <v>0</v>
      </c>
      <c r="P211" s="135" t="str">
        <f>IF(ISERROR(O211/G211),"NA",IF(OR(O211/G211&gt;2,O211/G211&lt;0.5),"NM",(O211/G211-1)*100))</f>
        <v>NA</v>
      </c>
      <c r="Q211" s="153">
        <f>O211</f>
        <v>0</v>
      </c>
      <c r="R211" s="135" t="str">
        <f>IF(ISERROR(Q211/I211),"NA",IF(OR(Q211/I211&gt;2,Q211/I211&lt;0.5),"NM",(Q211/I211-1)*100))</f>
        <v>NA</v>
      </c>
      <c r="S211" s="153">
        <f>Q211</f>
        <v>0</v>
      </c>
      <c r="T211" s="135" t="str">
        <f>IF(ISERROR(S211/K211),"NA",IF(OR(S211/K211&gt;2,S211/K211&lt;0.5),"NM",(S211/K211-1)*100))</f>
        <v>NA</v>
      </c>
      <c r="U211" s="153">
        <f>S211</f>
        <v>0</v>
      </c>
      <c r="V211" s="135" t="str">
        <f>IF(ISERROR(U211/M211),"NA",IF(OR(U211/M211&gt;2,U211/M211&lt;0.5),"NM",(U211/M211-1)*100))</f>
        <v>NA</v>
      </c>
      <c r="W211" s="153">
        <f>U211</f>
        <v>0</v>
      </c>
      <c r="X211" s="135" t="str">
        <f>IF(ISERROR(W211/O211),"NA",IF(OR(W211/O211&gt;2,W211/O211&lt;0.5),"NM",(W211/O211-1)*100))</f>
        <v>NA</v>
      </c>
      <c r="Y211" s="153">
        <f>W211</f>
        <v>0</v>
      </c>
      <c r="Z211" s="135" t="str">
        <f>IF(ISERROR(Y211/Q211),"NA",IF(OR(Y211/Q211&gt;2,Y211/Q211&lt;0.5),"NM",(Y211/Q211-1)*100))</f>
        <v>NA</v>
      </c>
      <c r="AA211" s="108"/>
      <c r="AB211" s="180"/>
      <c r="AC211" s="91"/>
      <c r="AD211" s="153">
        <v>0</v>
      </c>
      <c r="AE211" s="153" t="str">
        <f>IF(ISERROR(AD211/#REF!),"NA",IF(OR(AD211/#REF!&gt;2,AD211/#REF!&lt;0.5),"NM",(AD211/#REF!-1)*100))</f>
        <v>NA</v>
      </c>
      <c r="AF211" s="153">
        <v>0</v>
      </c>
      <c r="AG211" s="61" t="str">
        <f>IF(ISERROR(AF211/AD211),"NA",IF(OR(AF211/AD211&gt;2,AF211/AD211&lt;0.5),"NM",(AF211/AD211-1)*100))</f>
        <v>NA</v>
      </c>
      <c r="AH211" s="153">
        <v>0</v>
      </c>
      <c r="AI211" s="61" t="str">
        <f>IF(ISERROR(AH211/AF211),"NA",IF(OR(AH211/AF211&gt;2,AH211/AF211&lt;0.5),"NM",(AH211/AF211-1)*100))</f>
        <v>NA</v>
      </c>
      <c r="AJ211" s="139">
        <f>C211</f>
        <v>0</v>
      </c>
      <c r="AK211" s="61" t="str">
        <f>IF(ISERROR(AJ211/AH211),"NA",IF(OR(AJ211/AH211&gt;2,AJ211/AH211&lt;0.5),"NM",(AJ211/AH211-1)*100))</f>
        <v>NA</v>
      </c>
      <c r="AL211" s="139">
        <f>K211</f>
        <v>0</v>
      </c>
      <c r="AM211" s="61" t="str">
        <f>IF(ISERROR(AL211/AJ211),"NA",IF(OR(AL211/AJ211&gt;2,AL211/AJ211&lt;0.5),"NM",(AL211/AJ211-1)*100))</f>
        <v>NA</v>
      </c>
      <c r="AN211" s="139">
        <f>S211</f>
        <v>0</v>
      </c>
      <c r="AO211" s="61" t="str">
        <f>IF(ISERROR(AN211/AL211),"NA",IF(OR(AN211/AL211&gt;2,AN211/AL211&lt;0.5),"NM",(AN211/AL211-1)*100))</f>
        <v>NA</v>
      </c>
      <c r="AP211" s="139">
        <f>AN211</f>
        <v>0</v>
      </c>
      <c r="AQ211" s="61" t="str">
        <f>IF(ISERROR(AP211/AN211),"NA",IF(OR(AP211/AN211&gt;2,AP211/AN211&lt;0.5),"NM",(AP211/AN211-1)*100))</f>
        <v>NA</v>
      </c>
      <c r="AR211" s="139">
        <f>AP211</f>
        <v>0</v>
      </c>
      <c r="AS211" s="61" t="str">
        <f>IF(ISERROR(AR211/AP211),"NA",IF(OR(AR211/AP211&gt;2,AR211/AP211&lt;0.5),"NM",(AR211/AP211-1)*100))</f>
        <v>NA</v>
      </c>
      <c r="AT211" s="139">
        <f>AR211</f>
        <v>0</v>
      </c>
      <c r="AU211" s="61" t="str">
        <f>IF(ISERROR(AT211/AR211),"NA",IF(OR(AT211/AR211&gt;2,AT211/AR211&lt;0.5),"NM",(AT211/AR211-1)*100))</f>
        <v>NA</v>
      </c>
      <c r="AV211" s="139">
        <f>AT211</f>
        <v>0</v>
      </c>
      <c r="AW211" s="61" t="str">
        <f>IF(ISERROR(AV211/AT211),"NA",IF(OR(AV211/AT211&gt;2,AV211/AT211&lt;0.5),"NM",(AV211/AT211-1)*100))</f>
        <v>NA</v>
      </c>
      <c r="AX211" s="63" t="str">
        <f>IF(ISERROR(((AV211/AL211)^0.2-1)*100),"NA",IF((((AV211/AL211)^0.2-1)*100)&gt;100,"NM",IF((((AV211/AL211)^0.2-1)*100)&lt;-50,"NM",((AV211/AL211)^0.2-1)*100)))</f>
        <v>NA</v>
      </c>
      <c r="AY211" s="58"/>
      <c r="AZ211" s="106"/>
      <c r="BA211"/>
      <c r="BB211"/>
      <c r="BC211"/>
      <c r="BD211"/>
      <c r="BE211"/>
      <c r="BF211"/>
      <c r="BG211" s="31"/>
      <c r="BH211" s="28"/>
      <c r="BI211" s="28"/>
      <c r="BJ211" s="28"/>
      <c r="BK211" s="28"/>
      <c r="BL211" s="28"/>
      <c r="BM211" s="28"/>
      <c r="BN211" s="24"/>
    </row>
    <row r="212" spans="1:66" s="439" customFormat="1" ht="12.75" customHeight="1">
      <c r="A212" s="24" t="s">
        <v>88</v>
      </c>
      <c r="B212" s="95" t="s">
        <v>89</v>
      </c>
      <c r="C212" s="153">
        <v>0</v>
      </c>
      <c r="D212" s="153"/>
      <c r="E212" s="153">
        <v>0</v>
      </c>
      <c r="F212" s="153"/>
      <c r="G212" s="153">
        <f>E212</f>
        <v>0</v>
      </c>
      <c r="H212" s="153"/>
      <c r="I212" s="153">
        <f>G212</f>
        <v>0</v>
      </c>
      <c r="J212" s="153"/>
      <c r="K212" s="153">
        <f>I212</f>
        <v>0</v>
      </c>
      <c r="L212" s="135" t="str">
        <f>IF(ISERROR(K212/C212),"NA",IF(OR(K212/C212&gt;2,K212/C212&lt;0.5),"NM",(K212/C212-1)*100))</f>
        <v>NA</v>
      </c>
      <c r="M212" s="153">
        <f>K212</f>
        <v>0</v>
      </c>
      <c r="N212" s="135" t="str">
        <f>IF(ISERROR(M212/E212),"NA",IF(OR(M212/E212&gt;2,M212/E212&lt;0.5),"NM",(M212/E212-1)*100))</f>
        <v>NA</v>
      </c>
      <c r="O212" s="153">
        <f>M212</f>
        <v>0</v>
      </c>
      <c r="P212" s="135" t="str">
        <f>IF(ISERROR(O212/G212),"NA",IF(OR(O212/G212&gt;2,O212/G212&lt;0.5),"NM",(O212/G212-1)*100))</f>
        <v>NA</v>
      </c>
      <c r="Q212" s="153">
        <f>O212</f>
        <v>0</v>
      </c>
      <c r="R212" s="135" t="str">
        <f>IF(ISERROR(Q212/I212),"NA",IF(OR(Q212/I212&gt;2,Q212/I212&lt;0.5),"NM",(Q212/I212-1)*100))</f>
        <v>NA</v>
      </c>
      <c r="S212" s="153">
        <v>1000</v>
      </c>
      <c r="T212" s="135" t="str">
        <f>IF(ISERROR(S212/K212),"NA",IF(OR(S212/K212&gt;2,S212/K212&lt;0.5),"NM",(S212/K212-1)*100))</f>
        <v>NA</v>
      </c>
      <c r="U212" s="153">
        <v>1000</v>
      </c>
      <c r="V212" s="135" t="str">
        <f>IF(ISERROR(U212/M212),"NA",IF(OR(U212/M212&gt;2,U212/M212&lt;0.5),"NM",(U212/M212-1)*100))</f>
        <v>NA</v>
      </c>
      <c r="W212" s="153">
        <v>1000</v>
      </c>
      <c r="X212" s="135" t="str">
        <f>IF(ISERROR(W212/O212),"NA",IF(OR(W212/O212&gt;2,W212/O212&lt;0.5),"NM",(W212/O212-1)*100))</f>
        <v>NA</v>
      </c>
      <c r="Y212" s="153">
        <f>W212</f>
        <v>1000</v>
      </c>
      <c r="Z212" s="135" t="str">
        <f>IF(ISERROR(Y212/Q212),"NA",IF(OR(Y212/Q212&gt;2,Y212/Q212&lt;0.5),"NM",(Y212/Q212-1)*100))</f>
        <v>NA</v>
      </c>
      <c r="AA212" s="108"/>
      <c r="AB212" s="180"/>
      <c r="AC212" s="91"/>
      <c r="AD212" s="153">
        <v>0</v>
      </c>
      <c r="AE212" s="153" t="str">
        <f>IF(ISERROR(AD212/#REF!),"NA",IF(OR(AD212/#REF!&gt;2,AD212/#REF!&lt;0.5),"NM",(AD212/#REF!-1)*100))</f>
        <v>NA</v>
      </c>
      <c r="AF212" s="153">
        <v>0</v>
      </c>
      <c r="AG212" s="61" t="str">
        <f>IF(ISERROR(AF212/AD212),"NA",IF(OR(AF212/AD212&gt;2,AF212/AD212&lt;0.5),"NM",(AF212/AD212-1)*100))</f>
        <v>NA</v>
      </c>
      <c r="AH212" s="153">
        <v>0</v>
      </c>
      <c r="AI212" s="61" t="str">
        <f>IF(ISERROR(AH212/AF212),"NA",IF(OR(AH212/AF212&gt;2,AH212/AF212&lt;0.5),"NM",(AH212/AF212-1)*100))</f>
        <v>NA</v>
      </c>
      <c r="AJ212" s="139">
        <f>C212</f>
        <v>0</v>
      </c>
      <c r="AK212" s="61" t="str">
        <f>IF(ISERROR(AJ212/AH212),"NA",IF(OR(AJ212/AH212&gt;2,AJ212/AH212&lt;0.5),"NM",(AJ212/AH212-1)*100))</f>
        <v>NA</v>
      </c>
      <c r="AL212" s="139">
        <f>K212</f>
        <v>0</v>
      </c>
      <c r="AM212" s="61" t="str">
        <f>IF(ISERROR(AL212/AJ212),"NA",IF(OR(AL212/AJ212&gt;2,AL212/AJ212&lt;0.5),"NM",(AL212/AJ212-1)*100))</f>
        <v>NA</v>
      </c>
      <c r="AN212" s="139">
        <f>Y212</f>
        <v>1000</v>
      </c>
      <c r="AO212" s="61" t="str">
        <f>IF(ISERROR(AN212/AL212),"NA",IF(OR(AN212/AL212&gt;2,AN212/AL212&lt;0.5),"NM",(AN212/AL212-1)*100))</f>
        <v>NA</v>
      </c>
      <c r="AP212" s="139">
        <f>AN212</f>
        <v>1000</v>
      </c>
      <c r="AQ212" s="61">
        <f>IF(ISERROR(AP212/AN212),"NA",IF(OR(AP212/AN212&gt;2,AP212/AN212&lt;0.5),"NM",(AP212/AN212-1)*100))</f>
        <v>0</v>
      </c>
      <c r="AR212" s="139">
        <f>AP212</f>
        <v>1000</v>
      </c>
      <c r="AS212" s="61">
        <f>IF(ISERROR(AR212/AP212),"NA",IF(OR(AR212/AP212&gt;2,AR212/AP212&lt;0.5),"NM",(AR212/AP212-1)*100))</f>
        <v>0</v>
      </c>
      <c r="AT212" s="139">
        <f>AR212</f>
        <v>1000</v>
      </c>
      <c r="AU212" s="61">
        <f>IF(ISERROR(AT212/AR212),"NA",IF(OR(AT212/AR212&gt;2,AT212/AR212&lt;0.5),"NM",(AT212/AR212-1)*100))</f>
        <v>0</v>
      </c>
      <c r="AV212" s="139">
        <f>AT212</f>
        <v>1000</v>
      </c>
      <c r="AW212" s="61">
        <f>IF(ISERROR(AV212/AT212),"NA",IF(OR(AV212/AT212&gt;2,AV212/AT212&lt;0.5),"NM",(AV212/AT212-1)*100))</f>
        <v>0</v>
      </c>
      <c r="AX212" s="63" t="str">
        <f>IF(ISERROR(((AV212/AL212)^0.2-1)*100),"NA",IF((((AV212/AL212)^0.2-1)*100)&gt;100,"NM",IF((((AV212/AL212)^0.2-1)*100)&lt;-50,"NM",((AV212/AL212)^0.2-1)*100)))</f>
        <v>NA</v>
      </c>
      <c r="AY212" s="58"/>
      <c r="AZ212" s="106"/>
      <c r="BA212"/>
      <c r="BB212"/>
      <c r="BC212"/>
      <c r="BD212"/>
      <c r="BE212"/>
      <c r="BF212"/>
      <c r="BG212" s="31"/>
      <c r="BH212" s="28"/>
      <c r="BI212" s="28"/>
      <c r="BJ212" s="28"/>
      <c r="BK212" s="28"/>
      <c r="BL212" s="28"/>
      <c r="BM212" s="28"/>
      <c r="BN212" s="24"/>
    </row>
    <row r="213" spans="1:66" s="439" customFormat="1" ht="12.75" customHeight="1">
      <c r="A213" s="109"/>
      <c r="B213" s="95" t="s">
        <v>90</v>
      </c>
      <c r="C213" s="84">
        <f>SUM(C211:C212)</f>
        <v>0</v>
      </c>
      <c r="D213" s="61"/>
      <c r="E213" s="84">
        <f>SUM(E211:E212)</f>
        <v>0</v>
      </c>
      <c r="F213" s="61"/>
      <c r="G213" s="84">
        <f>SUM(G211:G212)</f>
        <v>0</v>
      </c>
      <c r="H213" s="61"/>
      <c r="I213" s="84">
        <f>SUM(I211:I212)</f>
        <v>0</v>
      </c>
      <c r="J213" s="61"/>
      <c r="K213" s="84">
        <f>SUM(K211:K212)</f>
        <v>0</v>
      </c>
      <c r="L213" s="135" t="str">
        <f>IF(ISERROR(K213/C213),"NA",IF(OR(K213/C213&gt;2,K213/C213&lt;0.5),"NM",(K213/C213-1)*100))</f>
        <v>NA</v>
      </c>
      <c r="M213" s="84">
        <f>SUM(M211:M212)</f>
        <v>0</v>
      </c>
      <c r="N213" s="135" t="str">
        <f>IF(ISERROR(M213/E213),"NA",IF(OR(M213/E213&gt;2,M213/E213&lt;0.5),"NM",(M213/E213-1)*100))</f>
        <v>NA</v>
      </c>
      <c r="O213" s="84">
        <f>SUM(O211:O212)</f>
        <v>0</v>
      </c>
      <c r="P213" s="135" t="str">
        <f>IF(ISERROR(O213/G213),"NA",IF(OR(O213/G213&gt;2,O213/G213&lt;0.5),"NM",(O213/G213-1)*100))</f>
        <v>NA</v>
      </c>
      <c r="Q213" s="84">
        <f>SUM(Q211:Q212)</f>
        <v>0</v>
      </c>
      <c r="R213" s="135" t="str">
        <f>IF(ISERROR(Q213/I213),"NA",IF(OR(Q213/I213&gt;2,Q213/I213&lt;0.5),"NM",(Q213/I213-1)*100))</f>
        <v>NA</v>
      </c>
      <c r="S213" s="84">
        <f>SUM(S211:S212)</f>
        <v>1000</v>
      </c>
      <c r="T213" s="135" t="str">
        <f>IF(ISERROR(S213/K213),"NA",IF(OR(S213/K213&gt;2,S213/K213&lt;0.5),"NM",(S213/K213-1)*100))</f>
        <v>NA</v>
      </c>
      <c r="U213" s="84">
        <f>SUM(U211:U212)</f>
        <v>1000</v>
      </c>
      <c r="V213" s="135" t="str">
        <f>IF(ISERROR(U213/M213),"NA",IF(OR(U213/M213&gt;2,U213/M213&lt;0.5),"NM",(U213/M213-1)*100))</f>
        <v>NA</v>
      </c>
      <c r="W213" s="84">
        <f>SUM(W211:W212)</f>
        <v>1000</v>
      </c>
      <c r="X213" s="135" t="str">
        <f>IF(ISERROR(W213/O213),"NA",IF(OR(W213/O213&gt;2,W213/O213&lt;0.5),"NM",(W213/O213-1)*100))</f>
        <v>NA</v>
      </c>
      <c r="Y213" s="84">
        <f>SUM(Y211:Y212)</f>
        <v>1000</v>
      </c>
      <c r="Z213" s="135" t="str">
        <f>IF(ISERROR(Y213/Q213),"NA",IF(OR(Y213/Q213&gt;2,Y213/Q213&lt;0.5),"NM",(Y213/Q213-1)*100))</f>
        <v>NA</v>
      </c>
      <c r="AA213" s="108"/>
      <c r="AB213" s="180"/>
      <c r="AC213" s="91"/>
      <c r="AD213" s="84">
        <f>SUM(AD211:AD212)</f>
        <v>0</v>
      </c>
      <c r="AE213" s="61" t="str">
        <f>IF(ISERROR(AD213/#REF!),"NA",IF(OR(AD213/#REF!&gt;2,AD213/#REF!&lt;0.5),"NM",(AD213/#REF!-1)*100))</f>
        <v>NA</v>
      </c>
      <c r="AF213" s="84">
        <f>SUM(AF211:AF212)</f>
        <v>0</v>
      </c>
      <c r="AG213" s="61" t="str">
        <f>IF(ISERROR(AF213/AD213),"NA",IF(OR(AF213/AD213&gt;2,AF213/AD213&lt;0.5),"NM",(AF213/AD213-1)*100))</f>
        <v>NA</v>
      </c>
      <c r="AH213" s="84">
        <f>SUM(AH211:AH212)</f>
        <v>0</v>
      </c>
      <c r="AI213" s="61" t="str">
        <f>IF(ISERROR(AH213/AF213),"NA",IF(OR(AH213/AF213&gt;2,AH213/AF213&lt;0.5),"NM",(AH213/AF213-1)*100))</f>
        <v>NA</v>
      </c>
      <c r="AJ213" s="84">
        <f>SUM(AJ211:AJ212)</f>
        <v>0</v>
      </c>
      <c r="AK213" s="61" t="str">
        <f>IF(ISERROR(AJ213/AH213),"NA",IF(OR(AJ213/AH213&gt;2,AJ213/AH213&lt;0.5),"NM",(AJ213/AH213-1)*100))</f>
        <v>NA</v>
      </c>
      <c r="AL213" s="84">
        <f>SUM(AL211:AL212)</f>
        <v>0</v>
      </c>
      <c r="AM213" s="61" t="str">
        <f>IF(ISERROR(AL213/AJ213),"NA",IF(OR(AL213/AJ213&gt;2,AL213/AJ213&lt;0.5),"NM",(AL213/AJ213-1)*100))</f>
        <v>NA</v>
      </c>
      <c r="AN213" s="84">
        <f>SUM(AN211:AN212)</f>
        <v>1000</v>
      </c>
      <c r="AO213" s="61" t="str">
        <f>IF(ISERROR(AN213/AL213),"NA",IF(OR(AN213/AL213&gt;2,AN213/AL213&lt;0.5),"NM",(AN213/AL213-1)*100))</f>
        <v>NA</v>
      </c>
      <c r="AP213" s="84">
        <f>SUM(AP211:AP212)</f>
        <v>1000</v>
      </c>
      <c r="AQ213" s="61">
        <f>IF(ISERROR(AP213/AN213),"NA",IF(OR(AP213/AN213&gt;2,AP213/AN213&lt;0.5),"NM",(AP213/AN213-1)*100))</f>
        <v>0</v>
      </c>
      <c r="AR213" s="84">
        <f>SUM(AR211:AR212)</f>
        <v>1000</v>
      </c>
      <c r="AS213" s="61">
        <f>IF(ISERROR(AR213/AP213),"NA",IF(OR(AR213/AP213&gt;2,AR213/AP213&lt;0.5),"NM",(AR213/AP213-1)*100))</f>
        <v>0</v>
      </c>
      <c r="AT213" s="84">
        <f>SUM(AT211:AT212)</f>
        <v>1000</v>
      </c>
      <c r="AU213" s="61">
        <f>IF(ISERROR(AT213/AR213),"NA",IF(OR(AT213/AR213&gt;2,AT213/AR213&lt;0.5),"NM",(AT213/AR213-1)*100))</f>
        <v>0</v>
      </c>
      <c r="AV213" s="84">
        <f>SUM(AV211:AV212)</f>
        <v>1000</v>
      </c>
      <c r="AW213" s="61">
        <f>IF(ISERROR(AV213/AT213),"NA",IF(OR(AV213/AT213&gt;2,AV213/AT213&lt;0.5),"NM",(AV213/AT213-1)*100))</f>
        <v>0</v>
      </c>
      <c r="AX213" s="63" t="str">
        <f>IF(ISERROR(((AV213/AL213)^0.2-1)*100),"NA",IF((((AV213/AL213)^0.2-1)*100)&gt;100,"NM",IF((((AV213/AL213)^0.2-1)*100)&lt;-50,"NM",((AV213/AL213)^0.2-1)*100)))</f>
        <v>NA</v>
      </c>
      <c r="AY213" s="58"/>
      <c r="AZ213" s="106"/>
      <c r="BA213"/>
      <c r="BB213"/>
      <c r="BC213"/>
      <c r="BD213"/>
      <c r="BE213"/>
      <c r="BF213"/>
      <c r="BG213" s="31"/>
      <c r="BH213" s="28"/>
      <c r="BI213" s="28"/>
      <c r="BJ213" s="28"/>
      <c r="BK213" s="28"/>
      <c r="BL213" s="28"/>
      <c r="BM213" s="28"/>
      <c r="BN213" s="24"/>
    </row>
    <row r="214" spans="1:66" s="439" customFormat="1" ht="12.75" customHeight="1">
      <c r="A214" s="24" t="s">
        <v>91</v>
      </c>
      <c r="B214" s="95" t="s">
        <v>92</v>
      </c>
      <c r="C214" s="82">
        <v>0</v>
      </c>
      <c r="D214" s="61"/>
      <c r="E214" s="82">
        <v>0</v>
      </c>
      <c r="F214" s="61"/>
      <c r="G214" s="82">
        <v>0</v>
      </c>
      <c r="H214" s="61"/>
      <c r="I214" s="82">
        <v>0</v>
      </c>
      <c r="J214" s="61"/>
      <c r="K214" s="82">
        <v>0</v>
      </c>
      <c r="L214" s="135" t="str">
        <f>IF(ISERROR(K214/C214),"NA",IF(OR(K214/C214&gt;2,K214/C214&lt;0.5),"NM",(K214/C214-1)*100))</f>
        <v>NA</v>
      </c>
      <c r="M214" s="82">
        <v>0</v>
      </c>
      <c r="N214" s="135" t="str">
        <f>IF(ISERROR(M214/E214),"NA",IF(OR(M214/E214&gt;2,M214/E214&lt;0.5),"NM",(M214/E214-1)*100))</f>
        <v>NA</v>
      </c>
      <c r="O214" s="82">
        <v>0</v>
      </c>
      <c r="P214" s="135" t="str">
        <f>IF(ISERROR(O214/G214),"NA",IF(OR(O214/G214&gt;2,O214/G214&lt;0.5),"NM",(O214/G214-1)*100))</f>
        <v>NA</v>
      </c>
      <c r="Q214" s="82">
        <v>0</v>
      </c>
      <c r="R214" s="135" t="str">
        <f>IF(ISERROR(Q214/I214),"NA",IF(OR(Q214/I214&gt;2,Q214/I214&lt;0.5),"NM",(Q214/I214-1)*100))</f>
        <v>NA</v>
      </c>
      <c r="S214" s="82">
        <v>0</v>
      </c>
      <c r="T214" s="135" t="str">
        <f>IF(ISERROR(S214/K214),"NA",IF(OR(S214/K214&gt;2,S214/K214&lt;0.5),"NM",(S214/K214-1)*100))</f>
        <v>NA</v>
      </c>
      <c r="U214" s="82">
        <v>0</v>
      </c>
      <c r="V214" s="135" t="str">
        <f>IF(ISERROR(U214/M214),"NA",IF(OR(U214/M214&gt;2,U214/M214&lt;0.5),"NM",(U214/M214-1)*100))</f>
        <v>NA</v>
      </c>
      <c r="W214" s="82">
        <v>0</v>
      </c>
      <c r="X214" s="135" t="str">
        <f>IF(ISERROR(W214/O214),"NA",IF(OR(W214/O214&gt;2,W214/O214&lt;0.5),"NM",(W214/O214-1)*100))</f>
        <v>NA</v>
      </c>
      <c r="Y214" s="82">
        <v>0</v>
      </c>
      <c r="Z214" s="135" t="str">
        <f>IF(ISERROR(Y214/Q214),"NA",IF(OR(Y214/Q214&gt;2,Y214/Q214&lt;0.5),"NM",(Y214/Q214-1)*100))</f>
        <v>NA</v>
      </c>
      <c r="AA214" s="108"/>
      <c r="AB214" s="180"/>
      <c r="AC214" s="91"/>
      <c r="AD214" s="139">
        <v>0</v>
      </c>
      <c r="AE214" s="61" t="str">
        <f>IF(ISERROR(AD214/#REF!),"NA",IF(OR(AD214/#REF!&gt;2,AD214/#REF!&lt;0.5),"NM",(AD214/#REF!-1)*100))</f>
        <v>NA</v>
      </c>
      <c r="AF214" s="139">
        <v>0</v>
      </c>
      <c r="AG214" s="61" t="str">
        <f>IF(ISERROR(AF214/AD214),"NA",IF(OR(AF214/AD214&gt;2,AF214/AD214&lt;0.5),"NM",(AF214/AD214-1)*100))</f>
        <v>NA</v>
      </c>
      <c r="AH214" s="139">
        <v>0</v>
      </c>
      <c r="AI214" s="61" t="str">
        <f>IF(ISERROR(AH214/AF214),"NA",IF(OR(AH214/AF214&gt;2,AH214/AF214&lt;0.5),"NM",(AH214/AF214-1)*100))</f>
        <v>NA</v>
      </c>
      <c r="AJ214" s="139">
        <f>C214</f>
        <v>0</v>
      </c>
      <c r="AK214" s="61" t="str">
        <f>IF(ISERROR(AJ214/AH214),"NA",IF(OR(AJ214/AH214&gt;2,AJ214/AH214&lt;0.5),"NM",(AJ214/AH214-1)*100))</f>
        <v>NA</v>
      </c>
      <c r="AL214" s="139">
        <f>K214</f>
        <v>0</v>
      </c>
      <c r="AM214" s="61" t="str">
        <f>IF(ISERROR(AL214/AJ214),"NA",IF(OR(AL214/AJ214&gt;2,AL214/AJ214&lt;0.5),"NM",(AL214/AJ214-1)*100))</f>
        <v>NA</v>
      </c>
      <c r="AN214" s="139">
        <f>S214</f>
        <v>0</v>
      </c>
      <c r="AO214" s="61" t="str">
        <f>IF(ISERROR(AN214/AL214),"NA",IF(OR(AN214/AL214&gt;2,AN214/AL214&lt;0.5),"NM",(AN214/AL214-1)*100))</f>
        <v>NA</v>
      </c>
      <c r="AP214" s="84">
        <f>AN214</f>
        <v>0</v>
      </c>
      <c r="AQ214" s="61" t="str">
        <f>IF(ISERROR(AP214/AN214),"NA",IF(OR(AP214/AN214&gt;2,AP214/AN214&lt;0.5),"NM",(AP214/AN214-1)*100))</f>
        <v>NA</v>
      </c>
      <c r="AR214" s="84">
        <f>AP214</f>
        <v>0</v>
      </c>
      <c r="AS214" s="61" t="str">
        <f>IF(ISERROR(AR214/AP214),"NA",IF(OR(AR214/AP214&gt;2,AR214/AP214&lt;0.5),"NM",(AR214/AP214-1)*100))</f>
        <v>NA</v>
      </c>
      <c r="AT214" s="84">
        <f>AR214</f>
        <v>0</v>
      </c>
      <c r="AU214" s="61" t="str">
        <f>IF(ISERROR(AT214/AR214),"NA",IF(OR(AT214/AR214&gt;2,AT214/AR214&lt;0.5),"NM",(AT214/AR214-1)*100))</f>
        <v>NA</v>
      </c>
      <c r="AV214" s="84">
        <f>AT214</f>
        <v>0</v>
      </c>
      <c r="AW214" s="61" t="str">
        <f>IF(ISERROR(AV214/AT214),"NA",IF(OR(AV214/AT214&gt;2,AV214/AT214&lt;0.5),"NM",(AV214/AT214-1)*100))</f>
        <v>NA</v>
      </c>
      <c r="AX214" s="63" t="str">
        <f>IF(ISERROR(((AV214/AL214)^0.2-1)*100),"NA",IF((((AV214/AL214)^0.2-1)*100)&gt;100,"NM",IF((((AV214/AL214)^0.2-1)*100)&lt;-50,"NM",((AV214/AL214)^0.2-1)*100)))</f>
        <v>NA</v>
      </c>
      <c r="AY214" s="58"/>
      <c r="AZ214" s="106"/>
      <c r="BA214"/>
      <c r="BB214"/>
      <c r="BC214"/>
      <c r="BD214"/>
      <c r="BE214"/>
      <c r="BF214"/>
      <c r="BG214" s="31"/>
      <c r="BH214" s="28"/>
      <c r="BI214" s="28"/>
      <c r="BJ214" s="28"/>
      <c r="BK214" s="28"/>
      <c r="BL214" s="28"/>
      <c r="BM214" s="28"/>
      <c r="BN214" s="24"/>
    </row>
    <row r="215" spans="1:66" s="439" customFormat="1" ht="12.75" customHeight="1">
      <c r="A215" s="110"/>
      <c r="B215" s="95" t="s">
        <v>93</v>
      </c>
      <c r="C215" s="139">
        <f>SUM(C213:C214)</f>
        <v>0</v>
      </c>
      <c r="D215" s="61"/>
      <c r="E215" s="139">
        <f>SUM(E213:E214)</f>
        <v>0</v>
      </c>
      <c r="F215" s="61"/>
      <c r="G215" s="139">
        <f>SUM(G213:G214)</f>
        <v>0</v>
      </c>
      <c r="H215" s="61"/>
      <c r="I215" s="139">
        <f>SUM(I213:I214)</f>
        <v>0</v>
      </c>
      <c r="J215" s="61"/>
      <c r="K215" s="139">
        <f>SUM(K213:K214)</f>
        <v>0</v>
      </c>
      <c r="L215" s="135" t="str">
        <f>IF(ISERROR(K215/C215),"NA",IF(OR(K215/C215&gt;2,K215/C215&lt;0.5),"NM",(K215/C215-1)*100))</f>
        <v>NA</v>
      </c>
      <c r="M215" s="139">
        <f>SUM(M213:M214)</f>
        <v>0</v>
      </c>
      <c r="N215" s="135" t="str">
        <f>IF(ISERROR(M215/E215),"NA",IF(OR(M215/E215&gt;2,M215/E215&lt;0.5),"NM",(M215/E215-1)*100))</f>
        <v>NA</v>
      </c>
      <c r="O215" s="139">
        <f>SUM(O213:O214)</f>
        <v>0</v>
      </c>
      <c r="P215" s="135" t="str">
        <f>IF(ISERROR(O215/G215),"NA",IF(OR(O215/G215&gt;2,O215/G215&lt;0.5),"NM",(O215/G215-1)*100))</f>
        <v>NA</v>
      </c>
      <c r="Q215" s="139">
        <f>SUM(Q213:Q214)</f>
        <v>0</v>
      </c>
      <c r="R215" s="135" t="str">
        <f>IF(ISERROR(Q215/I215),"NA",IF(OR(Q215/I215&gt;2,Q215/I215&lt;0.5),"NM",(Q215/I215-1)*100))</f>
        <v>NA</v>
      </c>
      <c r="S215" s="139">
        <f>SUM(S213:S214)</f>
        <v>1000</v>
      </c>
      <c r="T215" s="135" t="str">
        <f>IF(ISERROR(S215/K215),"NA",IF(OR(S215/K215&gt;2,S215/K215&lt;0.5),"NM",(S215/K215-1)*100))</f>
        <v>NA</v>
      </c>
      <c r="U215" s="139">
        <f>SUM(U213:U214)</f>
        <v>1000</v>
      </c>
      <c r="V215" s="135" t="str">
        <f>IF(ISERROR(U215/M215),"NA",IF(OR(U215/M215&gt;2,U215/M215&lt;0.5),"NM",(U215/M215-1)*100))</f>
        <v>NA</v>
      </c>
      <c r="W215" s="139">
        <f>SUM(W213:W214)</f>
        <v>1000</v>
      </c>
      <c r="X215" s="135" t="str">
        <f>IF(ISERROR(W215/O215),"NA",IF(OR(W215/O215&gt;2,W215/O215&lt;0.5),"NM",(W215/O215-1)*100))</f>
        <v>NA</v>
      </c>
      <c r="Y215" s="139">
        <f>SUM(Y213:Y214)</f>
        <v>1000</v>
      </c>
      <c r="Z215" s="135" t="str">
        <f>IF(ISERROR(Y215/Q215),"NA",IF(OR(Y215/Q215&gt;2,Y215/Q215&lt;0.5),"NM",(Y215/Q215-1)*100))</f>
        <v>NA</v>
      </c>
      <c r="AA215" s="108"/>
      <c r="AB215" s="180"/>
      <c r="AC215" s="91"/>
      <c r="AD215" s="139">
        <f>SUM(AD213:AD214)</f>
        <v>0</v>
      </c>
      <c r="AE215" s="61" t="str">
        <f>IF(ISERROR(AD215/#REF!),"NA",IF(OR(AD215/#REF!&gt;2,AD215/#REF!&lt;0.5),"NM",(AD215/#REF!-1)*100))</f>
        <v>NA</v>
      </c>
      <c r="AF215" s="139">
        <f>SUM(AF213:AF214)</f>
        <v>0</v>
      </c>
      <c r="AG215" s="61" t="str">
        <f>IF(ISERROR(AF215/AD215),"NA",IF(OR(AF215/AD215&gt;2,AF215/AD215&lt;0.5),"NM",(AF215/AD215-1)*100))</f>
        <v>NA</v>
      </c>
      <c r="AH215" s="139">
        <f>SUM(AH213:AH214)</f>
        <v>0</v>
      </c>
      <c r="AI215" s="61" t="str">
        <f>IF(ISERROR(AH215/AF215),"NA",IF(OR(AH215/AF215&gt;2,AH215/AF215&lt;0.5),"NM",(AH215/AF215-1)*100))</f>
        <v>NA</v>
      </c>
      <c r="AJ215" s="139">
        <f>SUM(AJ213:AJ214)</f>
        <v>0</v>
      </c>
      <c r="AK215" s="61" t="str">
        <f>IF(ISERROR(AJ215/AH215),"NA",IF(OR(AJ215/AH215&gt;2,AJ215/AH215&lt;0.5),"NM",(AJ215/AH215-1)*100))</f>
        <v>NA</v>
      </c>
      <c r="AL215" s="139">
        <f>SUM(AL213:AL214)</f>
        <v>0</v>
      </c>
      <c r="AM215" s="61" t="str">
        <f>IF(ISERROR(AL215/AJ215),"NA",IF(OR(AL215/AJ215&gt;2,AL215/AJ215&lt;0.5),"NM",(AL215/AJ215-1)*100))</f>
        <v>NA</v>
      </c>
      <c r="AN215" s="139">
        <f>SUM(AN213:AN214)</f>
        <v>1000</v>
      </c>
      <c r="AO215" s="61" t="str">
        <f>IF(ISERROR(AN215/AL215),"NA",IF(OR(AN215/AL215&gt;2,AN215/AL215&lt;0.5),"NM",(AN215/AL215-1)*100))</f>
        <v>NA</v>
      </c>
      <c r="AP215" s="139">
        <f>SUM(AP213:AP214)</f>
        <v>1000</v>
      </c>
      <c r="AQ215" s="61">
        <f>IF(ISERROR(AP215/AN215),"NA",IF(OR(AP215/AN215&gt;2,AP215/AN215&lt;0.5),"NM",(AP215/AN215-1)*100))</f>
        <v>0</v>
      </c>
      <c r="AR215" s="139">
        <f>SUM(AR213:AR214)</f>
        <v>1000</v>
      </c>
      <c r="AS215" s="61">
        <f>IF(ISERROR(AR215/AP215),"NA",IF(OR(AR215/AP215&gt;2,AR215/AP215&lt;0.5),"NM",(AR215/AP215-1)*100))</f>
        <v>0</v>
      </c>
      <c r="AT215" s="139">
        <f>SUM(AT213:AT214)</f>
        <v>1000</v>
      </c>
      <c r="AU215" s="61">
        <f>IF(ISERROR(AT215/AR215),"NA",IF(OR(AT215/AR215&gt;2,AT215/AR215&lt;0.5),"NM",(AT215/AR215-1)*100))</f>
        <v>0</v>
      </c>
      <c r="AV215" s="139">
        <f>SUM(AV213:AV214)</f>
        <v>1000</v>
      </c>
      <c r="AW215" s="61">
        <f>IF(ISERROR(AV215/AT215),"NA",IF(OR(AV215/AT215&gt;2,AV215/AT215&lt;0.5),"NM",(AV215/AT215-1)*100))</f>
        <v>0</v>
      </c>
      <c r="AX215" s="63" t="str">
        <f>IF(ISERROR(((AV215/AL215)^0.2-1)*100),"NA",IF((((AV215/AL215)^0.2-1)*100)&gt;100,"NM",IF((((AV215/AL215)^0.2-1)*100)&lt;-50,"NM",((AV215/AL215)^0.2-1)*100)))</f>
        <v>NA</v>
      </c>
      <c r="AY215" s="58"/>
      <c r="AZ215" s="106"/>
      <c r="BA215"/>
      <c r="BB215"/>
      <c r="BC215"/>
      <c r="BD215"/>
      <c r="BE215"/>
      <c r="BF215"/>
      <c r="BG215" s="31"/>
      <c r="BH215" s="28"/>
      <c r="BI215" s="28"/>
      <c r="BJ215" s="28"/>
      <c r="BK215" s="28"/>
      <c r="BL215" s="28"/>
      <c r="BM215" s="28"/>
      <c r="BN215" s="24"/>
    </row>
    <row r="216" spans="1:66" s="439" customFormat="1" ht="12.75" hidden="1" customHeight="1" outlineLevel="1">
      <c r="A216" s="107"/>
      <c r="B216" s="94" t="s">
        <v>300</v>
      </c>
      <c r="C216" s="376">
        <f>C208-C224</f>
        <v>60825</v>
      </c>
      <c r="D216" s="24"/>
      <c r="E216" s="376">
        <f>E208-E224</f>
        <v>61899</v>
      </c>
      <c r="F216" s="24"/>
      <c r="G216" s="376">
        <f>G208-G224</f>
        <v>63885</v>
      </c>
      <c r="H216" s="24"/>
      <c r="I216" s="376">
        <f>I208-I224</f>
        <v>79862</v>
      </c>
      <c r="J216" s="24"/>
      <c r="K216" s="376">
        <f>K208-K224</f>
        <v>79123</v>
      </c>
      <c r="L216" s="24"/>
      <c r="M216" s="376">
        <f>M208-M224</f>
        <v>78436</v>
      </c>
      <c r="N216" s="24"/>
      <c r="O216" s="376">
        <f>O208-O224</f>
        <v>78051</v>
      </c>
      <c r="P216" s="24"/>
      <c r="Q216" s="376">
        <f>Q208-Q224</f>
        <v>77512</v>
      </c>
      <c r="R216" s="24"/>
      <c r="S216" s="376">
        <f>S208-S224</f>
        <v>77648.915754167509</v>
      </c>
      <c r="T216" s="24"/>
      <c r="U216" s="376">
        <f>U208-U224-U215</f>
        <v>76780.641465878711</v>
      </c>
      <c r="V216" s="24"/>
      <c r="W216" s="376">
        <f>W208-W224-W215</f>
        <v>76893.20913626808</v>
      </c>
      <c r="X216" s="24"/>
      <c r="Y216" s="376">
        <f>Y208-Y224-Y215</f>
        <v>77002.717554798219</v>
      </c>
      <c r="Z216" s="24"/>
      <c r="AA216" s="28"/>
      <c r="AB216" s="184"/>
      <c r="AC216" s="24"/>
      <c r="AD216" s="376">
        <f>AD208-AD224-AD215</f>
        <v>57699</v>
      </c>
      <c r="AE216" s="24"/>
      <c r="AF216" s="376">
        <f>AF208-AF224-AF215</f>
        <v>55482</v>
      </c>
      <c r="AG216" s="24"/>
      <c r="AH216" s="376">
        <f>AH208-AH224-AH215</f>
        <v>59919</v>
      </c>
      <c r="AI216" s="24"/>
      <c r="AJ216" s="376">
        <f>AJ208-AJ224-AJ215</f>
        <v>79862</v>
      </c>
      <c r="AK216" s="24"/>
      <c r="AL216" s="376">
        <f>AL208-AL224-AL215</f>
        <v>77512</v>
      </c>
      <c r="AM216" s="24"/>
      <c r="AN216" s="376">
        <f>AN208-AN224-AN215</f>
        <v>77002.717554798219</v>
      </c>
      <c r="AO216" s="24"/>
      <c r="AP216" s="376">
        <f>AP208-AP224-AP215</f>
        <v>76644.055044954177</v>
      </c>
      <c r="AQ216" s="24"/>
      <c r="AR216" s="376">
        <f>AR208-AR224-AR215</f>
        <v>76152.819863268494</v>
      </c>
      <c r="AS216" s="24"/>
      <c r="AT216" s="376">
        <f>AT208-AT224-AT215</f>
        <v>75266.845812751999</v>
      </c>
      <c r="AU216" s="61"/>
      <c r="AV216" s="376">
        <f>AV208-AV224-AV215</f>
        <v>74293.042377295467</v>
      </c>
      <c r="AW216" s="61"/>
      <c r="AX216" s="61"/>
      <c r="AY216" s="58"/>
      <c r="AZ216" s="106"/>
      <c r="BA216"/>
      <c r="BB216"/>
      <c r="BC216"/>
      <c r="BD216"/>
      <c r="BE216"/>
      <c r="BF216"/>
      <c r="BG216" s="31"/>
      <c r="BH216" s="28"/>
      <c r="BI216" s="28"/>
      <c r="BJ216" s="28"/>
      <c r="BK216" s="28"/>
      <c r="BL216" s="28"/>
      <c r="BM216" s="28"/>
      <c r="BN216" s="24"/>
    </row>
    <row r="217" spans="1:66" s="439" customFormat="1" ht="12.75" customHeight="1" collapsed="1">
      <c r="A217" s="107"/>
      <c r="B217" s="97"/>
      <c r="C217" s="91"/>
      <c r="D217" s="61"/>
      <c r="E217" s="91"/>
      <c r="F217" s="61"/>
      <c r="G217" s="91"/>
      <c r="H217" s="61"/>
      <c r="I217" s="91"/>
      <c r="J217" s="61"/>
      <c r="K217" s="91"/>
      <c r="L217" s="61"/>
      <c r="M217" s="91"/>
      <c r="N217" s="61"/>
      <c r="O217" s="91"/>
      <c r="P217" s="61"/>
      <c r="Q217" s="91"/>
      <c r="R217" s="61"/>
      <c r="S217" s="91"/>
      <c r="T217" s="61"/>
      <c r="U217" s="91"/>
      <c r="V217" s="61"/>
      <c r="W217" s="91"/>
      <c r="X217" s="61"/>
      <c r="Y217" s="91"/>
      <c r="Z217" s="61"/>
      <c r="AA217" s="108"/>
      <c r="AB217" s="180"/>
      <c r="AC217" s="91"/>
      <c r="AD217" s="91"/>
      <c r="AE217" s="61"/>
      <c r="AF217" s="91"/>
      <c r="AG217" s="61"/>
      <c r="AH217" s="91"/>
      <c r="AI217" s="61"/>
      <c r="AJ217" s="91"/>
      <c r="AK217" s="61"/>
      <c r="AL217" s="91"/>
      <c r="AM217" s="61"/>
      <c r="AN217" s="91"/>
      <c r="AO217" s="61"/>
      <c r="AP217" s="91"/>
      <c r="AQ217" s="61"/>
      <c r="AR217" s="91"/>
      <c r="AS217" s="61"/>
      <c r="AT217" s="91"/>
      <c r="AU217" s="61"/>
      <c r="AV217" s="91"/>
      <c r="AW217" s="61"/>
      <c r="AX217" s="61"/>
      <c r="AY217" s="58"/>
      <c r="AZ217" s="106"/>
      <c r="BA217"/>
      <c r="BB217"/>
      <c r="BC217"/>
      <c r="BD217"/>
      <c r="BE217"/>
      <c r="BF217"/>
      <c r="BG217" s="31"/>
      <c r="BH217" s="28"/>
      <c r="BI217" s="28"/>
      <c r="BJ217" s="28"/>
      <c r="BK217" s="28"/>
      <c r="BL217" s="28"/>
      <c r="BM217" s="28"/>
      <c r="BN217" s="24"/>
    </row>
    <row r="218" spans="1:66" s="439" customFormat="1" ht="12.75" customHeight="1">
      <c r="A218" s="109"/>
      <c r="B218" s="97" t="s">
        <v>94</v>
      </c>
      <c r="C218" s="91"/>
      <c r="D218" s="61"/>
      <c r="E218" s="91"/>
      <c r="F218" s="61"/>
      <c r="G218" s="91"/>
      <c r="H218" s="61"/>
      <c r="I218" s="91"/>
      <c r="J218" s="61"/>
      <c r="K218" s="91"/>
      <c r="L218" s="61"/>
      <c r="M218" s="91"/>
      <c r="N218" s="61"/>
      <c r="O218" s="91"/>
      <c r="P218" s="61"/>
      <c r="Q218" s="91"/>
      <c r="R218" s="61"/>
      <c r="S218" s="91"/>
      <c r="T218" s="61"/>
      <c r="U218" s="91"/>
      <c r="V218" s="61"/>
      <c r="W218" s="91"/>
      <c r="X218" s="61"/>
      <c r="Y218" s="91"/>
      <c r="Z218" s="61"/>
      <c r="AA218" s="108"/>
      <c r="AB218" s="180"/>
      <c r="AC218" s="91"/>
      <c r="AD218" s="91"/>
      <c r="AE218" s="61"/>
      <c r="AF218" s="91"/>
      <c r="AG218" s="61"/>
      <c r="AH218" s="91"/>
      <c r="AI218" s="61"/>
      <c r="AJ218" s="91"/>
      <c r="AK218" s="61"/>
      <c r="AL218" s="91"/>
      <c r="AM218" s="61"/>
      <c r="AN218" s="91"/>
      <c r="AO218" s="61"/>
      <c r="AP218" s="91"/>
      <c r="AQ218" s="61"/>
      <c r="AR218" s="91"/>
      <c r="AS218" s="61"/>
      <c r="AT218" s="91"/>
      <c r="AU218" s="61"/>
      <c r="AV218" s="91"/>
      <c r="AW218" s="61"/>
      <c r="AX218" s="61"/>
      <c r="AY218" s="58"/>
      <c r="AZ218" s="106"/>
      <c r="BA218"/>
      <c r="BB218"/>
      <c r="BC218"/>
      <c r="BD218"/>
      <c r="BE218"/>
      <c r="BF218"/>
      <c r="BG218" s="31"/>
      <c r="BH218" s="28"/>
      <c r="BI218" s="28"/>
      <c r="BJ218" s="28"/>
      <c r="BK218" s="28"/>
      <c r="BL218" s="28"/>
      <c r="BM218" s="28"/>
      <c r="BN218" s="24"/>
    </row>
    <row r="219" spans="1:66" s="439" customFormat="1" ht="12.75" customHeight="1">
      <c r="A219" s="109"/>
      <c r="B219" s="60" t="s">
        <v>95</v>
      </c>
      <c r="C219" s="85">
        <f>+C222-C220-C225-C221</f>
        <v>5553</v>
      </c>
      <c r="D219" s="61"/>
      <c r="E219" s="85">
        <f>+E222-E220-E225-E221</f>
        <v>6159</v>
      </c>
      <c r="F219" s="61"/>
      <c r="G219" s="85">
        <f>+G222-G220-G225-G221</f>
        <v>6626.9</v>
      </c>
      <c r="H219" s="61"/>
      <c r="I219" s="153">
        <v>3421</v>
      </c>
      <c r="J219" s="61"/>
      <c r="K219" s="153">
        <v>3436</v>
      </c>
      <c r="L219" s="61">
        <f t="shared" ref="L219:L224" si="60">IF(ISERROR(K219/C219),"NA",IF(OR(K219/C219&gt;2,K219/C219&lt;0.5),"NM",(K219/C219-1)*100))</f>
        <v>-38.123536826940395</v>
      </c>
      <c r="M219" s="153">
        <v>3452</v>
      </c>
      <c r="N219" s="61">
        <f t="shared" ref="N219:N224" si="61">IF(ISERROR(M219/E219),"NA",IF(OR(M219/E219&gt;2,M219/E219&lt;0.5),"NM",(M219/E219-1)*100))</f>
        <v>-43.951940250040586</v>
      </c>
      <c r="O219" s="153">
        <v>3461</v>
      </c>
      <c r="P219" s="61">
        <f t="shared" ref="P219:P224" si="62">IF(ISERROR(O219/G219),"NA",IF(OR(O219/G219&gt;2,O219/G219&lt;0.5),"NM",(O219/G219-1)*100))</f>
        <v>-47.773468741040304</v>
      </c>
      <c r="Q219" s="153">
        <v>3472</v>
      </c>
      <c r="R219" s="61">
        <f t="shared" ref="R219:R224" si="63">IF(ISERROR(Q219/I219),"NA",IF(OR(Q219/I219&gt;2,Q219/I219&lt;0.5),"NM",(Q219/I219-1)*100))</f>
        <v>1.4907921660333168</v>
      </c>
      <c r="S219" s="85">
        <f>+S222-S220-S223-S221</f>
        <v>3472.0000000000009</v>
      </c>
      <c r="T219" s="61">
        <f t="shared" ref="T219:T224" si="64">IF(ISERROR(S219/K219),"NA",IF(OR(S219/K219&gt;2,S219/K219&lt;0.5),"NM",(S219/K219-1)*100))</f>
        <v>1.0477299185099209</v>
      </c>
      <c r="U219" s="85">
        <f>+U222-U220-U223-U221</f>
        <v>3472.0000000000009</v>
      </c>
      <c r="V219" s="61">
        <f t="shared" ref="V219:V224" si="65">IF(ISERROR(U219/M219),"NA",IF(OR(U219/M219&gt;2,U219/M219&lt;0.5),"NM",(U219/M219-1)*100))</f>
        <v>0.57937427578218514</v>
      </c>
      <c r="W219" s="85">
        <f>+W222-W220-W223-W221</f>
        <v>3472.0000000000009</v>
      </c>
      <c r="X219" s="61">
        <f t="shared" ref="X219:X224" si="66">IF(ISERROR(W219/O219),"NA",IF(OR(W219/O219&gt;2,W219/O219&lt;0.5),"NM",(W219/O219-1)*100))</f>
        <v>0.31782721756721255</v>
      </c>
      <c r="Y219" s="85">
        <f>+Y222-Y220-Y223-Y221</f>
        <v>3472.0000000000009</v>
      </c>
      <c r="Z219" s="61">
        <f t="shared" ref="Z219:Z224" si="67">IF(ISERROR(Y219/Q219),"NA",IF(OR(Y219/Q219&gt;2,Y219/Q219&lt;0.5),"NM",(Y219/Q219-1)*100))</f>
        <v>2.2204460492503131E-14</v>
      </c>
      <c r="AA219" s="108"/>
      <c r="AB219" s="180"/>
      <c r="AC219" s="91"/>
      <c r="AD219" s="85">
        <f>+AD222-AD220-AD225-AD221</f>
        <v>1846</v>
      </c>
      <c r="AE219" s="61" t="str">
        <f>IF(ISERROR(AD219/#REF!),"NA",IF(OR(AD219/#REF!&gt;2,AD219/#REF!&lt;0.5),"NM",(AD219/#REF!-1)*100))</f>
        <v>NA</v>
      </c>
      <c r="AF219" s="85">
        <f>+AF222-AF220-AF225-AF221</f>
        <v>3188.6</v>
      </c>
      <c r="AG219" s="61">
        <f t="shared" ref="AG219:AG224" si="68">IF(ISERROR(AF219/AD219),"NA",IF(OR(AF219/AD219&gt;2,AF219/AD219&lt;0.5),"NM",(AF219/AD219-1)*100))</f>
        <v>72.730227518959907</v>
      </c>
      <c r="AH219" s="85">
        <f>+AH222-AH220-AH225-AH221</f>
        <v>3436.6</v>
      </c>
      <c r="AI219" s="61">
        <f t="shared" ref="AI219:AI224" si="69">IF(ISERROR(AH219/AF219),"NA",IF(OR(AH219/AF219&gt;2,AH219/AF219&lt;0.5),"NM",(AH219/AF219-1)*100))</f>
        <v>7.7777080850530034</v>
      </c>
      <c r="AJ219" s="389">
        <f>+AJ222-AJ220-AJ223</f>
        <v>3421</v>
      </c>
      <c r="AK219" s="61">
        <f t="shared" ref="AK219:AK224" si="70">IF(ISERROR(AJ219/AH219),"NA",IF(OR(AJ219/AH219&gt;2,AJ219/AH219&lt;0.5),"NM",(AJ219/AH219-1)*100))</f>
        <v>-0.45393703078624448</v>
      </c>
      <c r="AL219" s="389">
        <f>+AL222-AL220-AL223</f>
        <v>3472</v>
      </c>
      <c r="AM219" s="61">
        <f t="shared" ref="AM219:AM224" si="71">IF(ISERROR(AL219/AJ219),"NA",IF(OR(AL219/AJ219&gt;2,AL219/AJ219&lt;0.5),"NM",(AL219/AJ219-1)*100))</f>
        <v>1.4907921660333168</v>
      </c>
      <c r="AN219" s="389">
        <f>+AN222-AN220-AN223</f>
        <v>3472.0000000000009</v>
      </c>
      <c r="AO219" s="61">
        <f t="shared" ref="AO219:AS224" si="72">IF(ISERROR(AN219/AL219),"NA",IF(OR(AN219/AL219&gt;2,AN219/AL219&lt;0.5),"NM",(AN219/AL219-1)*100))</f>
        <v>2.2204460492503131E-14</v>
      </c>
      <c r="AP219" s="85">
        <f>+AP222-AP220-AP223-AP221</f>
        <v>3472.0000000000009</v>
      </c>
      <c r="AQ219" s="61">
        <f t="shared" si="72"/>
        <v>0</v>
      </c>
      <c r="AR219" s="85">
        <f>+AR222-AR220-AR223-AR221</f>
        <v>3472.0000000000009</v>
      </c>
      <c r="AS219" s="61">
        <f t="shared" si="72"/>
        <v>0</v>
      </c>
      <c r="AT219" s="85">
        <f>+AT222-AT220-AT223-AT221</f>
        <v>3472.0000000000018</v>
      </c>
      <c r="AU219" s="61">
        <f t="shared" ref="AU219:AU224" si="73">IF(ISERROR(AT219/AR219),"NA",IF(OR(AT219/AR219&gt;2,AT219/AR219&lt;0.5),"NM",(AT219/AR219-1)*100))</f>
        <v>2.2204460492503131E-14</v>
      </c>
      <c r="AV219" s="85">
        <f>+AV222-AV220-AV223-AV221</f>
        <v>3472.0000000000018</v>
      </c>
      <c r="AW219" s="61">
        <f t="shared" ref="AW219:AW224" si="74">IF(ISERROR(AV219/AT219),"NA",IF(OR(AV219/AT219&gt;2,AV219/AT219&lt;0.5),"NM",(AV219/AT219-1)*100))</f>
        <v>0</v>
      </c>
      <c r="AX219" s="63">
        <f t="shared" ref="AX219:AX224" si="75">IF(ISERROR(((AV219/AL219)^0.2-1)*100),"NA",IF((((AV219/AL219)^0.2-1)*100)&gt;100,"NM",IF((((AV219/AL219)^0.2-1)*100)&lt;-50,"NM",((AV219/AL219)^0.2-1)*100)))</f>
        <v>0</v>
      </c>
      <c r="AY219" s="58"/>
      <c r="AZ219" s="106"/>
      <c r="BA219"/>
      <c r="BB219"/>
      <c r="BC219"/>
      <c r="BD219"/>
      <c r="BE219"/>
      <c r="BF219"/>
      <c r="BG219" s="31"/>
      <c r="BH219" s="28"/>
      <c r="BI219" s="28"/>
      <c r="BJ219" s="28"/>
      <c r="BK219" s="28"/>
      <c r="BL219" s="28"/>
      <c r="BM219" s="28"/>
      <c r="BN219" s="24"/>
    </row>
    <row r="220" spans="1:66" s="439" customFormat="1" ht="12.75" customHeight="1">
      <c r="A220" s="109"/>
      <c r="B220" s="60" t="s">
        <v>96</v>
      </c>
      <c r="C220" s="139">
        <f>+A220+C145-C154</f>
        <v>85</v>
      </c>
      <c r="D220" s="61"/>
      <c r="E220" s="139">
        <f>+C220+E145-E154</f>
        <v>278</v>
      </c>
      <c r="F220" s="61"/>
      <c r="G220" s="139">
        <f>+E220+G145-G154</f>
        <v>404.1</v>
      </c>
      <c r="H220" s="61"/>
      <c r="I220" s="153">
        <v>3070</v>
      </c>
      <c r="J220" s="61"/>
      <c r="K220" s="153">
        <v>3488</v>
      </c>
      <c r="L220" s="61" t="str">
        <f t="shared" si="60"/>
        <v>NM</v>
      </c>
      <c r="M220" s="153">
        <v>3772</v>
      </c>
      <c r="N220" s="61" t="str">
        <f t="shared" si="61"/>
        <v>NM</v>
      </c>
      <c r="O220" s="153">
        <v>4046</v>
      </c>
      <c r="P220" s="61" t="str">
        <f t="shared" si="62"/>
        <v>NM</v>
      </c>
      <c r="Q220" s="153">
        <v>4321</v>
      </c>
      <c r="R220" s="61">
        <f t="shared" si="63"/>
        <v>40.74918566775245</v>
      </c>
      <c r="S220" s="139">
        <f>+Q220+S145-S154</f>
        <v>4557.1531936655874</v>
      </c>
      <c r="T220" s="61">
        <f t="shared" si="64"/>
        <v>30.652327800045519</v>
      </c>
      <c r="U220" s="139">
        <f>+S220+U145-U154</f>
        <v>4799.7292648296961</v>
      </c>
      <c r="V220" s="61">
        <f t="shared" si="65"/>
        <v>27.246268950946352</v>
      </c>
      <c r="W220" s="139">
        <f>+U220+W145-W154</f>
        <v>5061.0389840579055</v>
      </c>
      <c r="X220" s="61">
        <f t="shared" si="66"/>
        <v>25.087468711268059</v>
      </c>
      <c r="Y220" s="139">
        <f>+W220+Y145-Y154</f>
        <v>5326.8818086366273</v>
      </c>
      <c r="Z220" s="61">
        <f t="shared" si="67"/>
        <v>23.278912488697689</v>
      </c>
      <c r="AA220" s="108"/>
      <c r="AB220" s="180"/>
      <c r="AC220" s="91"/>
      <c r="AD220" s="139">
        <f>+AB220+AD145-AD154</f>
        <v>897</v>
      </c>
      <c r="AE220" s="61" t="str">
        <f>IF(ISERROR(AD220/#REF!),"NA",IF(OR(AD220/#REF!&gt;2,AD220/#REF!&lt;0.5),"NM",(AD220/#REF!-1)*100))</f>
        <v>NA</v>
      </c>
      <c r="AF220" s="139">
        <f>+AD220+AF145-AF154</f>
        <v>1353.4</v>
      </c>
      <c r="AG220" s="61">
        <f t="shared" si="68"/>
        <v>50.880713489409146</v>
      </c>
      <c r="AH220" s="139">
        <f>+AF220+AH145-AH154</f>
        <v>1915.4</v>
      </c>
      <c r="AI220" s="61">
        <f t="shared" si="69"/>
        <v>41.52504802719077</v>
      </c>
      <c r="AJ220" s="139">
        <f>I220</f>
        <v>3070</v>
      </c>
      <c r="AK220" s="61">
        <f t="shared" si="70"/>
        <v>60.279837109742076</v>
      </c>
      <c r="AL220" s="139">
        <f>Q220</f>
        <v>4321</v>
      </c>
      <c r="AM220" s="61">
        <f t="shared" si="71"/>
        <v>40.74918566775245</v>
      </c>
      <c r="AN220" s="139">
        <f>Y220</f>
        <v>5326.8818086366273</v>
      </c>
      <c r="AO220" s="61">
        <f t="shared" si="72"/>
        <v>23.278912488697689</v>
      </c>
      <c r="AP220" s="139">
        <f>+AN220+AP145-AP154</f>
        <v>6457.9497241546696</v>
      </c>
      <c r="AQ220" s="61">
        <f t="shared" si="72"/>
        <v>21.23320839753211</v>
      </c>
      <c r="AR220" s="139">
        <f>+AP220+AR145-AR154</f>
        <v>7709.2925430385831</v>
      </c>
      <c r="AS220" s="61">
        <f t="shared" si="72"/>
        <v>19.376781677372247</v>
      </c>
      <c r="AT220" s="139">
        <f>+AR220+AT145-AT154</f>
        <v>9029.1497446843478</v>
      </c>
      <c r="AU220" s="61">
        <f t="shared" si="73"/>
        <v>17.120341383822346</v>
      </c>
      <c r="AV220" s="139">
        <f>+AT220+AV145-AV154</f>
        <v>10429.234957032326</v>
      </c>
      <c r="AW220" s="61">
        <f t="shared" si="74"/>
        <v>15.506279682339287</v>
      </c>
      <c r="AX220" s="63">
        <f t="shared" si="75"/>
        <v>19.270664004740667</v>
      </c>
      <c r="AY220" s="58"/>
      <c r="AZ220" s="106"/>
      <c r="BA220"/>
      <c r="BB220"/>
      <c r="BC220"/>
      <c r="BD220"/>
      <c r="BE220"/>
      <c r="BF220"/>
      <c r="BG220" s="31"/>
      <c r="BH220" s="28"/>
      <c r="BI220" s="28"/>
      <c r="BJ220" s="28"/>
      <c r="BK220" s="28"/>
      <c r="BL220" s="28"/>
      <c r="BM220" s="28"/>
      <c r="BN220" s="24"/>
    </row>
    <row r="221" spans="1:66" s="439" customFormat="1" ht="12.75" customHeight="1">
      <c r="A221" s="109"/>
      <c r="B221" s="60" t="s">
        <v>97</v>
      </c>
      <c r="C221" s="153">
        <v>0</v>
      </c>
      <c r="D221" s="61"/>
      <c r="E221" s="153">
        <v>0</v>
      </c>
      <c r="F221" s="61"/>
      <c r="G221" s="153">
        <f>+E221-G166</f>
        <v>0</v>
      </c>
      <c r="H221" s="61"/>
      <c r="I221" s="153">
        <f>+G221-I166</f>
        <v>0</v>
      </c>
      <c r="J221" s="61"/>
      <c r="K221" s="153">
        <f>+I221-K166</f>
        <v>0</v>
      </c>
      <c r="L221" s="61" t="str">
        <f t="shared" si="60"/>
        <v>NA</v>
      </c>
      <c r="M221" s="153">
        <f>+K221-M166</f>
        <v>0</v>
      </c>
      <c r="N221" s="61" t="str">
        <f t="shared" si="61"/>
        <v>NA</v>
      </c>
      <c r="O221" s="153">
        <f>+M221-O166</f>
        <v>0</v>
      </c>
      <c r="P221" s="61" t="str">
        <f t="shared" si="62"/>
        <v>NA</v>
      </c>
      <c r="Q221" s="153">
        <f>+O221-Q166</f>
        <v>0</v>
      </c>
      <c r="R221" s="61" t="str">
        <f t="shared" si="63"/>
        <v>NA</v>
      </c>
      <c r="S221" s="139">
        <f>+Q221-S166</f>
        <v>0</v>
      </c>
      <c r="T221" s="61" t="str">
        <f t="shared" si="64"/>
        <v>NA</v>
      </c>
      <c r="U221" s="139">
        <f>+S221-U166</f>
        <v>0</v>
      </c>
      <c r="V221" s="61" t="str">
        <f t="shared" si="65"/>
        <v>NA</v>
      </c>
      <c r="W221" s="139">
        <f>+U221-W166</f>
        <v>0</v>
      </c>
      <c r="X221" s="61" t="str">
        <f t="shared" si="66"/>
        <v>NA</v>
      </c>
      <c r="Y221" s="139">
        <f>+W221-Y166</f>
        <v>0</v>
      </c>
      <c r="Z221" s="61" t="str">
        <f t="shared" si="67"/>
        <v>NA</v>
      </c>
      <c r="AA221" s="108"/>
      <c r="AB221" s="181"/>
      <c r="AC221" s="91"/>
      <c r="AD221" s="139">
        <v>0</v>
      </c>
      <c r="AE221" s="61" t="str">
        <f>IF(ISERROR(AD221/#REF!),"NA",IF(OR(AD221/#REF!&gt;2,AD221/#REF!&lt;0.5),"NM",(AD221/#REF!-1)*100))</f>
        <v>NA</v>
      </c>
      <c r="AF221" s="139">
        <v>0</v>
      </c>
      <c r="AG221" s="61" t="str">
        <f t="shared" si="68"/>
        <v>NA</v>
      </c>
      <c r="AH221" s="139">
        <v>0</v>
      </c>
      <c r="AI221" s="61" t="str">
        <f t="shared" si="69"/>
        <v>NA</v>
      </c>
      <c r="AJ221" s="139">
        <f>C221</f>
        <v>0</v>
      </c>
      <c r="AK221" s="61" t="str">
        <f t="shared" si="70"/>
        <v>NA</v>
      </c>
      <c r="AL221" s="139">
        <f>K221</f>
        <v>0</v>
      </c>
      <c r="AM221" s="61" t="str">
        <f t="shared" si="71"/>
        <v>NA</v>
      </c>
      <c r="AN221" s="139">
        <f>S221</f>
        <v>0</v>
      </c>
      <c r="AO221" s="61" t="str">
        <f t="shared" si="72"/>
        <v>NA</v>
      </c>
      <c r="AP221" s="139">
        <f>+AN221-AP166</f>
        <v>-500</v>
      </c>
      <c r="AQ221" s="61" t="str">
        <f t="shared" si="72"/>
        <v>NA</v>
      </c>
      <c r="AR221" s="139">
        <f>+AP221-AR166</f>
        <v>-1000</v>
      </c>
      <c r="AS221" s="61">
        <f t="shared" si="72"/>
        <v>100</v>
      </c>
      <c r="AT221" s="139">
        <f>+AR221-AT166</f>
        <v>-1180</v>
      </c>
      <c r="AU221" s="61">
        <f t="shared" si="73"/>
        <v>17.999999999999993</v>
      </c>
      <c r="AV221" s="139">
        <f>+AT221-AV166</f>
        <v>-1360</v>
      </c>
      <c r="AW221" s="61">
        <f t="shared" si="74"/>
        <v>15.254237288135597</v>
      </c>
      <c r="AX221" s="63" t="str">
        <f t="shared" si="75"/>
        <v>NA</v>
      </c>
      <c r="AY221" s="58"/>
      <c r="AZ221" s="106"/>
      <c r="BA221"/>
      <c r="BB221"/>
      <c r="BC221"/>
      <c r="BD221"/>
      <c r="BE221"/>
      <c r="BF221"/>
      <c r="BG221" s="31"/>
      <c r="BH221" s="28"/>
      <c r="BI221" s="28"/>
      <c r="BJ221" s="28"/>
      <c r="BK221" s="28"/>
      <c r="BL221" s="28"/>
      <c r="BM221" s="28"/>
      <c r="BN221" s="24"/>
    </row>
    <row r="222" spans="1:66" s="439" customFormat="1" ht="12.75" customHeight="1">
      <c r="A222" s="24" t="s">
        <v>98</v>
      </c>
      <c r="B222" s="95" t="s">
        <v>99</v>
      </c>
      <c r="C222" s="153">
        <v>5638</v>
      </c>
      <c r="D222" s="61"/>
      <c r="E222" s="153">
        <v>6437</v>
      </c>
      <c r="F222" s="61"/>
      <c r="G222" s="153">
        <v>7031</v>
      </c>
      <c r="H222" s="61"/>
      <c r="I222" s="122">
        <f>I220+I219+I223</f>
        <v>6858</v>
      </c>
      <c r="J222" s="61"/>
      <c r="K222" s="122">
        <f>K220+K219+K223</f>
        <v>7597</v>
      </c>
      <c r="L222" s="135">
        <f t="shared" si="60"/>
        <v>34.746363958850644</v>
      </c>
      <c r="M222" s="122">
        <f>M220+M219+M223</f>
        <v>8284</v>
      </c>
      <c r="N222" s="135">
        <f t="shared" si="61"/>
        <v>28.693490756563623</v>
      </c>
      <c r="O222" s="122">
        <f>O220+O219+O223</f>
        <v>8669</v>
      </c>
      <c r="P222" s="135">
        <f t="shared" si="62"/>
        <v>23.296828331674014</v>
      </c>
      <c r="Q222" s="122">
        <f>Q220+Q219+Q223</f>
        <v>9208</v>
      </c>
      <c r="R222" s="135">
        <f t="shared" si="63"/>
        <v>34.266550014581519</v>
      </c>
      <c r="S222" s="122">
        <f>Q222+S145-S154+S160-S166+(S223-Q223)</f>
        <v>9444.1531936655883</v>
      </c>
      <c r="T222" s="135">
        <f t="shared" si="64"/>
        <v>24.314245013368275</v>
      </c>
      <c r="U222" s="122">
        <f>S222+U145-U154+U160-U166+(U223-S223)</f>
        <v>9686.7292648296971</v>
      </c>
      <c r="V222" s="135">
        <f t="shared" si="65"/>
        <v>16.93299450542851</v>
      </c>
      <c r="W222" s="122">
        <f>U222+W145-W154+W160-W166+(W223-U223)</f>
        <v>9948.0389840579064</v>
      </c>
      <c r="X222" s="135">
        <f t="shared" si="66"/>
        <v>14.754169847247734</v>
      </c>
      <c r="Y222" s="122">
        <f>W222+Y145-Y154+Y160-Y166+(Y223-W223)</f>
        <v>10213.881808636628</v>
      </c>
      <c r="Z222" s="135">
        <f t="shared" si="67"/>
        <v>10.923998790580235</v>
      </c>
      <c r="AA222" s="108"/>
      <c r="AB222" s="181"/>
      <c r="AC222" s="91"/>
      <c r="AD222" s="153">
        <v>2743</v>
      </c>
      <c r="AE222" s="61" t="str">
        <f>IF(ISERROR(AD222/#REF!),"NA",IF(OR(AD222/#REF!&gt;2,AD222/#REF!&lt;0.5),"NM",(AD222/#REF!-1)*100))</f>
        <v>NA</v>
      </c>
      <c r="AF222" s="153">
        <v>4542</v>
      </c>
      <c r="AG222" s="61">
        <f t="shared" si="68"/>
        <v>65.585125774699236</v>
      </c>
      <c r="AH222" s="153">
        <v>5352</v>
      </c>
      <c r="AI222" s="61">
        <f t="shared" si="69"/>
        <v>17.833553500660493</v>
      </c>
      <c r="AJ222" s="139">
        <f>I222</f>
        <v>6858</v>
      </c>
      <c r="AK222" s="61">
        <f t="shared" si="70"/>
        <v>28.139013452914806</v>
      </c>
      <c r="AL222" s="139">
        <f>Q222</f>
        <v>9208</v>
      </c>
      <c r="AM222" s="61">
        <f t="shared" si="71"/>
        <v>34.266550014581519</v>
      </c>
      <c r="AN222" s="139">
        <f>Y222</f>
        <v>10213.881808636628</v>
      </c>
      <c r="AO222" s="61">
        <f t="shared" si="72"/>
        <v>10.923998790580235</v>
      </c>
      <c r="AP222" s="139">
        <f>AN222+AP145-AP154+AP160-AP166+(AP223-AN223)</f>
        <v>10844.949724154671</v>
      </c>
      <c r="AQ222" s="61">
        <f t="shared" si="72"/>
        <v>6.1785316037672011</v>
      </c>
      <c r="AR222" s="139">
        <f>AP222+AR145-AR154+AR160-AR166+(AR223-AP223)</f>
        <v>11596.292543038584</v>
      </c>
      <c r="AS222" s="61">
        <f t="shared" si="72"/>
        <v>6.928043356535496</v>
      </c>
      <c r="AT222" s="139">
        <f>AR222+AT145-AT154+AT160-AT166+(AT223-AR223)</f>
        <v>12736.14974468435</v>
      </c>
      <c r="AU222" s="61">
        <f t="shared" si="73"/>
        <v>9.8294967759332543</v>
      </c>
      <c r="AV222" s="139">
        <f>AT222+AV145-AV154+AV160-AV166+(AV223-AT223)</f>
        <v>13956.234957032328</v>
      </c>
      <c r="AW222" s="61">
        <f t="shared" si="74"/>
        <v>9.57970216122186</v>
      </c>
      <c r="AX222" s="63">
        <f t="shared" si="75"/>
        <v>8.672733777913578</v>
      </c>
      <c r="AY222" s="58"/>
      <c r="AZ222" s="106"/>
      <c r="BA222"/>
      <c r="BB222"/>
      <c r="BC222"/>
      <c r="BD222"/>
      <c r="BE222"/>
      <c r="BF222"/>
      <c r="BG222" s="31"/>
      <c r="BH222" s="28"/>
      <c r="BI222" s="28"/>
      <c r="BJ222" s="28"/>
      <c r="BK222" s="28"/>
      <c r="BL222" s="28"/>
      <c r="BM222" s="28"/>
      <c r="BN222" s="24"/>
    </row>
    <row r="223" spans="1:66" s="439" customFormat="1" ht="12.75" customHeight="1">
      <c r="A223" s="24"/>
      <c r="B223" s="60" t="s">
        <v>84</v>
      </c>
      <c r="C223" s="153">
        <v>-52</v>
      </c>
      <c r="D223" s="61"/>
      <c r="E223" s="153">
        <v>569</v>
      </c>
      <c r="F223" s="61"/>
      <c r="G223" s="153">
        <v>920</v>
      </c>
      <c r="H223" s="153"/>
      <c r="I223" s="153">
        <v>367</v>
      </c>
      <c r="J223" s="153"/>
      <c r="K223" s="153">
        <v>673</v>
      </c>
      <c r="L223" s="135" t="str">
        <f t="shared" si="60"/>
        <v>NM</v>
      </c>
      <c r="M223" s="153">
        <v>1060</v>
      </c>
      <c r="N223" s="135">
        <f t="shared" si="61"/>
        <v>86.291739894551853</v>
      </c>
      <c r="O223" s="153">
        <v>1162</v>
      </c>
      <c r="P223" s="135">
        <f t="shared" si="62"/>
        <v>26.30434782608695</v>
      </c>
      <c r="Q223" s="153">
        <v>1415</v>
      </c>
      <c r="R223" s="135" t="str">
        <f t="shared" si="63"/>
        <v>NM</v>
      </c>
      <c r="S223" s="153">
        <f>Q223</f>
        <v>1415</v>
      </c>
      <c r="T223" s="135" t="str">
        <f t="shared" si="64"/>
        <v>NM</v>
      </c>
      <c r="U223" s="153">
        <f>S223</f>
        <v>1415</v>
      </c>
      <c r="V223" s="135">
        <f t="shared" si="65"/>
        <v>33.49056603773586</v>
      </c>
      <c r="W223" s="153">
        <f>U223</f>
        <v>1415</v>
      </c>
      <c r="X223" s="135">
        <f t="shared" si="66"/>
        <v>21.772805507745275</v>
      </c>
      <c r="Y223" s="153">
        <f>W223</f>
        <v>1415</v>
      </c>
      <c r="Z223" s="135">
        <f t="shared" si="67"/>
        <v>0</v>
      </c>
      <c r="AA223" s="108"/>
      <c r="AB223" s="180"/>
      <c r="AC223" s="91"/>
      <c r="AD223" s="139">
        <f>AD222-AD224</f>
        <v>70</v>
      </c>
      <c r="AE223" s="61" t="str">
        <f>IF(ISERROR(AD223/#REF!),"NA",IF(OR(AD223/#REF!&gt;2,AD223/#REF!&lt;0.5),"NM",(AD223/#REF!-1)*100))</f>
        <v>NA</v>
      </c>
      <c r="AF223" s="139">
        <f>AF222-AF224</f>
        <v>644</v>
      </c>
      <c r="AG223" s="61" t="str">
        <f t="shared" si="68"/>
        <v>NM</v>
      </c>
      <c r="AH223" s="139">
        <f>AH222-AH224</f>
        <v>-235</v>
      </c>
      <c r="AI223" s="61" t="str">
        <f t="shared" si="69"/>
        <v>NM</v>
      </c>
      <c r="AJ223" s="139">
        <f>I223</f>
        <v>367</v>
      </c>
      <c r="AK223" s="61" t="str">
        <f t="shared" si="70"/>
        <v>NM</v>
      </c>
      <c r="AL223" s="139">
        <f>Q223</f>
        <v>1415</v>
      </c>
      <c r="AM223" s="61" t="str">
        <f t="shared" si="71"/>
        <v>NM</v>
      </c>
      <c r="AN223" s="139">
        <f>Y223</f>
        <v>1415</v>
      </c>
      <c r="AO223" s="61">
        <f t="shared" si="72"/>
        <v>0</v>
      </c>
      <c r="AP223" s="153">
        <f>+AN223</f>
        <v>1415</v>
      </c>
      <c r="AQ223" s="61">
        <f t="shared" si="72"/>
        <v>0</v>
      </c>
      <c r="AR223" s="153">
        <f>+AP223</f>
        <v>1415</v>
      </c>
      <c r="AS223" s="61">
        <f t="shared" si="72"/>
        <v>0</v>
      </c>
      <c r="AT223" s="153">
        <f>+AR223</f>
        <v>1415</v>
      </c>
      <c r="AU223" s="61">
        <f t="shared" si="73"/>
        <v>0</v>
      </c>
      <c r="AV223" s="153">
        <f>+AT223</f>
        <v>1415</v>
      </c>
      <c r="AW223" s="61">
        <f t="shared" si="74"/>
        <v>0</v>
      </c>
      <c r="AX223" s="63">
        <f t="shared" si="75"/>
        <v>0</v>
      </c>
      <c r="AY223" s="58"/>
      <c r="AZ223" s="106"/>
      <c r="BA223"/>
      <c r="BB223"/>
      <c r="BC223"/>
      <c r="BD223"/>
      <c r="BE223"/>
      <c r="BF223"/>
      <c r="BG223" s="31"/>
      <c r="BH223" s="28"/>
      <c r="BI223" s="28"/>
      <c r="BJ223" s="28"/>
      <c r="BK223" s="28"/>
      <c r="BL223" s="28"/>
      <c r="BM223" s="28"/>
      <c r="BN223" s="24"/>
    </row>
    <row r="224" spans="1:66" s="439" customFormat="1" ht="12.75" customHeight="1">
      <c r="A224" s="24"/>
      <c r="B224" s="95" t="s">
        <v>100</v>
      </c>
      <c r="C224" s="122">
        <f>C222-C223</f>
        <v>5690</v>
      </c>
      <c r="D224" s="61"/>
      <c r="E224" s="122">
        <f>E222-E223</f>
        <v>5868</v>
      </c>
      <c r="F224" s="61"/>
      <c r="G224" s="122">
        <f>G222-G223</f>
        <v>6111</v>
      </c>
      <c r="H224" s="61"/>
      <c r="I224" s="122">
        <f>I222-I223</f>
        <v>6491</v>
      </c>
      <c r="J224" s="61"/>
      <c r="K224" s="122">
        <f>K222-K223</f>
        <v>6924</v>
      </c>
      <c r="L224" s="135">
        <f t="shared" si="60"/>
        <v>21.687170474516691</v>
      </c>
      <c r="M224" s="122">
        <f>M222-M223</f>
        <v>7224</v>
      </c>
      <c r="N224" s="135">
        <f t="shared" si="61"/>
        <v>23.108384458077701</v>
      </c>
      <c r="O224" s="122">
        <f>O222-O223</f>
        <v>7507</v>
      </c>
      <c r="P224" s="135">
        <f t="shared" si="62"/>
        <v>22.844051710031099</v>
      </c>
      <c r="Q224" s="122">
        <f>Q222-Q223</f>
        <v>7793</v>
      </c>
      <c r="R224" s="135">
        <f t="shared" si="63"/>
        <v>20.058542597442617</v>
      </c>
      <c r="S224" s="122">
        <f>S222-S223</f>
        <v>8029.1531936655883</v>
      </c>
      <c r="T224" s="135">
        <f t="shared" si="64"/>
        <v>15.961195749069734</v>
      </c>
      <c r="U224" s="122">
        <f>U222-U223</f>
        <v>8271.7292648296971</v>
      </c>
      <c r="V224" s="135">
        <f t="shared" si="65"/>
        <v>14.503450509824155</v>
      </c>
      <c r="W224" s="122">
        <f>W222-W223</f>
        <v>8533.0389840579064</v>
      </c>
      <c r="X224" s="135">
        <f t="shared" si="66"/>
        <v>13.667763208444207</v>
      </c>
      <c r="Y224" s="122">
        <f>Y222-Y223</f>
        <v>8798.8818086366282</v>
      </c>
      <c r="Z224" s="135">
        <f t="shared" si="67"/>
        <v>12.907504281234793</v>
      </c>
      <c r="AA224" s="108"/>
      <c r="AB224" s="180"/>
      <c r="AC224" s="91"/>
      <c r="AD224" s="153">
        <v>2673</v>
      </c>
      <c r="AE224" s="61" t="str">
        <f>IF(ISERROR(AD224/#REF!),"NA",IF(OR(AD224/#REF!&gt;2,AD224/#REF!&lt;0.5),"NM",(AD224/#REF!-1)*100))</f>
        <v>NA</v>
      </c>
      <c r="AF224" s="153">
        <v>3898</v>
      </c>
      <c r="AG224" s="61">
        <f t="shared" si="68"/>
        <v>45.828656939768052</v>
      </c>
      <c r="AH224" s="153">
        <v>5587</v>
      </c>
      <c r="AI224" s="61">
        <f t="shared" si="69"/>
        <v>43.329912775782439</v>
      </c>
      <c r="AJ224" s="139">
        <f>AJ222-AJ223</f>
        <v>6491</v>
      </c>
      <c r="AK224" s="61">
        <f t="shared" si="70"/>
        <v>16.180418829425449</v>
      </c>
      <c r="AL224" s="139">
        <f>AL222-AL223</f>
        <v>7793</v>
      </c>
      <c r="AM224" s="61">
        <f t="shared" si="71"/>
        <v>20.058542597442617</v>
      </c>
      <c r="AN224" s="139">
        <f>AN222-AN223</f>
        <v>8798.8818086366282</v>
      </c>
      <c r="AO224" s="61">
        <f t="shared" si="72"/>
        <v>12.907504281234793</v>
      </c>
      <c r="AP224" s="139">
        <f>+AP222-AP223</f>
        <v>9429.9497241546705</v>
      </c>
      <c r="AQ224" s="61">
        <f t="shared" si="72"/>
        <v>7.1721376561577621</v>
      </c>
      <c r="AR224" s="139">
        <f>+AR222-AR223</f>
        <v>10181.292543038584</v>
      </c>
      <c r="AS224" s="61">
        <f t="shared" si="72"/>
        <v>7.9676227430922619</v>
      </c>
      <c r="AT224" s="139">
        <f>+AT222-AT223</f>
        <v>11321.14974468435</v>
      </c>
      <c r="AU224" s="61">
        <f t="shared" si="73"/>
        <v>11.195604063308618</v>
      </c>
      <c r="AV224" s="139">
        <f>+AV222-AV223</f>
        <v>12541.234957032328</v>
      </c>
      <c r="AW224" s="61">
        <f t="shared" si="74"/>
        <v>10.777043320364598</v>
      </c>
      <c r="AX224" s="63">
        <f t="shared" si="75"/>
        <v>9.9833960469534624</v>
      </c>
      <c r="AY224" s="58"/>
      <c r="AZ224" s="106"/>
      <c r="BA224"/>
      <c r="BB224"/>
      <c r="BC224"/>
      <c r="BD224"/>
      <c r="BE224"/>
      <c r="BF224"/>
      <c r="BG224" s="31"/>
      <c r="BH224" s="28"/>
      <c r="BI224" s="28"/>
      <c r="BJ224" s="28"/>
      <c r="BK224" s="28"/>
      <c r="BL224" s="28"/>
      <c r="BM224" s="28"/>
      <c r="BN224" s="24"/>
    </row>
    <row r="225" spans="1:66" s="439" customFormat="1" ht="12.75" hidden="1" customHeight="1" outlineLevel="1">
      <c r="A225" s="24"/>
      <c r="B225" s="95"/>
      <c r="C225" s="139"/>
      <c r="D225" s="61"/>
      <c r="E225" s="139"/>
      <c r="F225" s="61"/>
      <c r="G225" s="139"/>
      <c r="H225" s="61"/>
      <c r="I225" s="139"/>
      <c r="J225" s="61"/>
      <c r="K225" s="139"/>
      <c r="L225" s="61"/>
      <c r="M225" s="139"/>
      <c r="N225" s="61"/>
      <c r="O225" s="139"/>
      <c r="P225" s="61"/>
      <c r="Q225" s="139"/>
      <c r="R225" s="61"/>
      <c r="S225" s="139"/>
      <c r="T225" s="61"/>
      <c r="U225" s="139"/>
      <c r="V225" s="61"/>
      <c r="W225" s="139"/>
      <c r="X225" s="61"/>
      <c r="Y225" s="139"/>
      <c r="Z225" s="61"/>
      <c r="AA225" s="108"/>
      <c r="AB225" s="180"/>
      <c r="AC225" s="91"/>
      <c r="AD225" s="139"/>
      <c r="AE225" s="61"/>
      <c r="AF225" s="139"/>
      <c r="AG225" s="61"/>
      <c r="AH225" s="139"/>
      <c r="AI225" s="61"/>
      <c r="AJ225" s="139"/>
      <c r="AK225" s="61"/>
      <c r="AL225" s="139"/>
      <c r="AM225" s="61"/>
      <c r="AN225" s="139"/>
      <c r="AO225" s="61"/>
      <c r="AP225" s="139"/>
      <c r="AQ225" s="61"/>
      <c r="AR225" s="139"/>
      <c r="AS225" s="61"/>
      <c r="AT225" s="139"/>
      <c r="AU225" s="61"/>
      <c r="AV225" s="139"/>
      <c r="AW225" s="61"/>
      <c r="AX225" s="63"/>
      <c r="AY225" s="58"/>
      <c r="AZ225" s="106"/>
      <c r="BA225"/>
      <c r="BB225"/>
      <c r="BC225"/>
      <c r="BD225"/>
      <c r="BE225"/>
      <c r="BF225"/>
      <c r="BG225" s="31"/>
      <c r="BH225" s="28"/>
      <c r="BI225" s="28"/>
      <c r="BJ225" s="28"/>
      <c r="BK225" s="28"/>
      <c r="BL225" s="28"/>
      <c r="BM225" s="28"/>
      <c r="BN225" s="24"/>
    </row>
    <row r="226" spans="1:66" s="439" customFormat="1" ht="12.75" hidden="1" customHeight="1" outlineLevel="1">
      <c r="A226" s="24" t="s">
        <v>101</v>
      </c>
      <c r="B226" s="95" t="s">
        <v>102</v>
      </c>
      <c r="C226" s="84">
        <f>+C224-C225</f>
        <v>5690</v>
      </c>
      <c r="D226" s="61"/>
      <c r="E226" s="84">
        <f>+E224-E225</f>
        <v>5868</v>
      </c>
      <c r="F226" s="61"/>
      <c r="G226" s="84">
        <f>+G224-G225</f>
        <v>6111</v>
      </c>
      <c r="H226" s="61"/>
      <c r="I226" s="84">
        <f>+I224-I225</f>
        <v>6491</v>
      </c>
      <c r="J226" s="61"/>
      <c r="K226" s="84">
        <f>+K224-K225</f>
        <v>6924</v>
      </c>
      <c r="L226" s="61">
        <f>IF(ISERROR(K226/C226),"NA",IF(OR(K226/C226&gt;2,K226/C226&lt;0.5),"NM",(K226/C226-1)*100))</f>
        <v>21.687170474516691</v>
      </c>
      <c r="M226" s="84">
        <f>+M224-M225</f>
        <v>7224</v>
      </c>
      <c r="N226" s="61">
        <f>IF(ISERROR(M226/E226),"NA",IF(OR(M226/E226&gt;2,M226/E226&lt;0.5),"NM",(M226/E226-1)*100))</f>
        <v>23.108384458077701</v>
      </c>
      <c r="O226" s="84">
        <f>+O224-O225</f>
        <v>7507</v>
      </c>
      <c r="P226" s="61">
        <f>IF(ISERROR(O226/G226),"NA",IF(OR(O226/G226&gt;2,O226/G226&lt;0.5),"NM",(O226/G226-1)*100))</f>
        <v>22.844051710031099</v>
      </c>
      <c r="Q226" s="84">
        <f>+Q224-Q225</f>
        <v>7793</v>
      </c>
      <c r="R226" s="61">
        <f>IF(ISERROR(Q226/I226),"NA",IF(OR(Q226/I226&gt;2,Q226/I226&lt;0.5),"NM",(Q226/I226-1)*100))</f>
        <v>20.058542597442617</v>
      </c>
      <c r="S226" s="84">
        <f>+S224-S225</f>
        <v>8029.1531936655883</v>
      </c>
      <c r="T226" s="61">
        <f>IF(ISERROR(S226/K226),"NA",IF(OR(S226/K226&gt;2,S226/K226&lt;0.5),"NM",(S226/K226-1)*100))</f>
        <v>15.961195749069734</v>
      </c>
      <c r="U226" s="84">
        <f>+U224-U225</f>
        <v>8271.7292648296971</v>
      </c>
      <c r="V226" s="61">
        <f>IF(ISERROR(U226/M226),"NA",IF(OR(U226/M226&gt;2,U226/M226&lt;0.5),"NM",(U226/M226-1)*100))</f>
        <v>14.503450509824155</v>
      </c>
      <c r="W226" s="84">
        <f>+W224-W225</f>
        <v>8533.0389840579064</v>
      </c>
      <c r="X226" s="61">
        <f>IF(ISERROR(W226/O226),"NA",IF(OR(W226/O226&gt;2,W226/O226&lt;0.5),"NM",(W226/O226-1)*100))</f>
        <v>13.667763208444207</v>
      </c>
      <c r="Y226" s="84">
        <f>+Y224-Y225</f>
        <v>8798.8818086366282</v>
      </c>
      <c r="Z226" s="61">
        <f>IF(ISERROR(Y226/Q226),"NA",IF(OR(Y226/Q226&gt;2,Y226/Q226&lt;0.5),"NM",(Y226/Q226-1)*100))</f>
        <v>12.907504281234793</v>
      </c>
      <c r="AA226" s="108"/>
      <c r="AB226" s="180"/>
      <c r="AC226" s="91"/>
      <c r="AD226" s="84">
        <f>+AD224-AD225</f>
        <v>2673</v>
      </c>
      <c r="AE226" s="61" t="str">
        <f>IF(ISERROR(AD226/#REF!),"NA",IF(OR(AD226/#REF!&gt;2,AD226/#REF!&lt;0.5),"NM",(AD226/#REF!-1)*100))</f>
        <v>NA</v>
      </c>
      <c r="AF226" s="84">
        <f>+AF224-AF225</f>
        <v>3898</v>
      </c>
      <c r="AG226" s="61">
        <f>IF(ISERROR(AF226/AD226),"NA",IF(OR(AF226/AD226&gt;2,AF226/AD226&lt;0.5),"NM",(AF226/AD226-1)*100))</f>
        <v>45.828656939768052</v>
      </c>
      <c r="AH226" s="84">
        <f>+AH224-AH225</f>
        <v>5587</v>
      </c>
      <c r="AI226" s="61">
        <f>IF(ISERROR(AH226/AF226),"NA",IF(OR(AH226/AF226&gt;2,AH226/AF226&lt;0.5),"NM",(AH226/AF226-1)*100))</f>
        <v>43.329912775782439</v>
      </c>
      <c r="AJ226" s="139">
        <f>I226</f>
        <v>6491</v>
      </c>
      <c r="AK226" s="61">
        <f>IF(ISERROR(AJ226/AH226),"NA",IF(OR(AJ226/AH226&gt;2,AJ226/AH226&lt;0.5),"NM",(AJ226/AH226-1)*100))</f>
        <v>16.180418829425449</v>
      </c>
      <c r="AL226" s="139">
        <f>Q226</f>
        <v>7793</v>
      </c>
      <c r="AM226" s="61">
        <f>IF(ISERROR(AL226/AJ226),"NA",IF(OR(AL226/AJ226&gt;2,AL226/AJ226&lt;0.5),"NM",(AL226/AJ226-1)*100))</f>
        <v>20.058542597442617</v>
      </c>
      <c r="AN226" s="139">
        <f>Y226</f>
        <v>8798.8818086366282</v>
      </c>
      <c r="AO226" s="61">
        <f>IF(ISERROR(AN226/AL226),"NA",IF(OR(AN226/AL226&gt;2,AN226/AL226&lt;0.5),"NM",(AN226/AL226-1)*100))</f>
        <v>12.907504281234793</v>
      </c>
      <c r="AP226" s="139">
        <f>AP224-AP225</f>
        <v>9429.9497241546705</v>
      </c>
      <c r="AQ226" s="61">
        <f>IF(ISERROR(AP226/AN226),"NA",IF(OR(AP226/AN226&gt;2,AP226/AN226&lt;0.5),"NM",(AP226/AN226-1)*100))</f>
        <v>7.1721376561577621</v>
      </c>
      <c r="AR226" s="139">
        <f>AR224-AR225</f>
        <v>10181.292543038584</v>
      </c>
      <c r="AS226" s="61">
        <f>IF(ISERROR(AR226/AP226),"NA",IF(OR(AR226/AP226&gt;2,AR226/AP226&lt;0.5),"NM",(AR226/AP226-1)*100))</f>
        <v>7.9676227430922619</v>
      </c>
      <c r="AT226" s="139">
        <f>AT224-AT225</f>
        <v>11321.14974468435</v>
      </c>
      <c r="AU226" s="61">
        <f>IF(ISERROR(AT226/AR226),"NA",IF(OR(AT226/AR226&gt;2,AT226/AR226&lt;0.5),"NM",(AT226/AR226-1)*100))</f>
        <v>11.195604063308618</v>
      </c>
      <c r="AV226" s="139">
        <f>AV224-AV225</f>
        <v>12541.234957032328</v>
      </c>
      <c r="AW226" s="61">
        <f>IF(ISERROR(AV226/AT226),"NA",IF(OR(AV226/AT226&gt;2,AV226/AT226&lt;0.5),"NM",(AV226/AT226-1)*100))</f>
        <v>10.777043320364598</v>
      </c>
      <c r="AX226" s="63">
        <f>IF(ISERROR(((AV226/AL226)^0.2-1)*100),"NA",IF((((AV226/AL226)^0.2-1)*100)&gt;100,"NM",IF((((AV226/AL226)^0.2-1)*100)&lt;-50,"NM",((AV226/AL226)^0.2-1)*100)))</f>
        <v>9.9833960469534624</v>
      </c>
      <c r="AY226" s="58"/>
      <c r="AZ226" s="106"/>
      <c r="BA226"/>
      <c r="BB226"/>
      <c r="BC226"/>
      <c r="BD226"/>
      <c r="BE226"/>
      <c r="BF226"/>
      <c r="BG226" s="31"/>
      <c r="BH226" s="28"/>
      <c r="BI226" s="28"/>
      <c r="BJ226" s="28"/>
      <c r="BK226" s="28"/>
      <c r="BL226" s="28"/>
      <c r="BM226" s="28"/>
      <c r="BN226" s="24"/>
    </row>
    <row r="227" spans="1:66" s="439" customFormat="1" ht="12.75" customHeight="1" collapsed="1">
      <c r="A227" s="24" t="s">
        <v>103</v>
      </c>
      <c r="B227" s="95" t="s">
        <v>104</v>
      </c>
      <c r="C227" s="139">
        <f>C226</f>
        <v>5690</v>
      </c>
      <c r="D227" s="61"/>
      <c r="E227" s="139">
        <f>AVERAGE(E222,C222)</f>
        <v>6037.5</v>
      </c>
      <c r="F227" s="61"/>
      <c r="G227" s="139">
        <f>AVERAGE(G222,E222)</f>
        <v>6734</v>
      </c>
      <c r="H227" s="61"/>
      <c r="I227" s="139">
        <f>AVERAGE(I222,G222)</f>
        <v>6944.5</v>
      </c>
      <c r="J227" s="61"/>
      <c r="K227" s="139">
        <f>AVERAGE(K222,I222)</f>
        <v>7227.5</v>
      </c>
      <c r="L227" s="135">
        <f>IF(ISERROR(K227/C227),"NA",IF(OR(K227/C227&gt;2,K227/C227&lt;0.5),"NM",(K227/C227-1)*100))</f>
        <v>27.02108963093146</v>
      </c>
      <c r="M227" s="139">
        <f>AVERAGE(M222,K222)</f>
        <v>7940.5</v>
      </c>
      <c r="N227" s="135">
        <f>IF(ISERROR(M227/E227),"NA",IF(OR(M227/E227&gt;2,M227/E227&lt;0.5),"NM",(M227/E227-1)*100))</f>
        <v>31.519668737060048</v>
      </c>
      <c r="O227" s="139">
        <f>AVERAGE(O222,M222)</f>
        <v>8476.5</v>
      </c>
      <c r="P227" s="135">
        <f>IF(ISERROR(O227/G227),"NA",IF(OR(O227/G227&gt;2,O227/G227&lt;0.5),"NM",(O227/G227-1)*100))</f>
        <v>25.876150876150874</v>
      </c>
      <c r="Q227" s="139">
        <f>AVERAGE(Q222,O222)</f>
        <v>8938.5</v>
      </c>
      <c r="R227" s="135">
        <f>IF(ISERROR(Q227/I227),"NA",IF(OR(Q227/I227&gt;2,Q227/I227&lt;0.5),"NM",(Q227/I227-1)*100))</f>
        <v>28.713370293037666</v>
      </c>
      <c r="S227" s="139">
        <f>AVERAGE(S222,Q222)</f>
        <v>9326.0765968327942</v>
      </c>
      <c r="T227" s="135">
        <f>IF(ISERROR(S227/K227),"NA",IF(OR(S227/K227&gt;2,S227/K227&lt;0.5),"NM",(S227/K227-1)*100))</f>
        <v>29.035995805365534</v>
      </c>
      <c r="U227" s="139">
        <f>AVERAGE(U222,S222)</f>
        <v>9565.4412292476427</v>
      </c>
      <c r="V227" s="135">
        <f>IF(ISERROR(U227/M227),"NA",IF(OR(U227/M227&gt;2,U227/M227&lt;0.5),"NM",(U227/M227-1)*100))</f>
        <v>20.463966113565178</v>
      </c>
      <c r="W227" s="139">
        <f>AVERAGE(W222,U222)</f>
        <v>9817.3841244438008</v>
      </c>
      <c r="X227" s="135">
        <f>IF(ISERROR(W227/O227),"NA",IF(OR(W227/O227&gt;2,W227/O227&lt;0.5),"NM",(W227/O227-1)*100))</f>
        <v>15.818841791350202</v>
      </c>
      <c r="Y227" s="139">
        <f>AVERAGE(Y222,W222)</f>
        <v>10080.960396347267</v>
      </c>
      <c r="Z227" s="135">
        <f>IF(ISERROR(Y227/Q227),"NA",IF(OR(Y227/Q227&gt;2,Y227/Q227&lt;0.5),"NM",(Y227/Q227-1)*100))</f>
        <v>12.781343585022853</v>
      </c>
      <c r="AA227" s="108"/>
      <c r="AB227" s="180"/>
      <c r="AC227" s="91"/>
      <c r="AD227" s="139">
        <f>AD226</f>
        <v>2673</v>
      </c>
      <c r="AE227" s="61" t="str">
        <f>IF(ISERROR(AD227/#REF!),"NA",IF(OR(AD227/#REF!&gt;2,AD227/#REF!&lt;0.5),"NM",(AD227/#REF!-1)*100))</f>
        <v>NA</v>
      </c>
      <c r="AF227" s="139">
        <f>AVERAGE(AF222,AD222)</f>
        <v>3642.5</v>
      </c>
      <c r="AG227" s="61">
        <f>IF(ISERROR(AF227/AD227),"NA",IF(OR(AF227/AD227&gt;2,AF227/AD227&lt;0.5),"NM",(AF227/AD227-1)*100))</f>
        <v>36.270108492330721</v>
      </c>
      <c r="AH227" s="139">
        <f>AVERAGE(AH222,AF222)</f>
        <v>4947</v>
      </c>
      <c r="AI227" s="61">
        <f>IF(ISERROR(AH227/AF227),"NA",IF(OR(AH227/AF227&gt;2,AH227/AF227&lt;0.5),"NM",(AH227/AF227-1)*100))</f>
        <v>35.813315030885384</v>
      </c>
      <c r="AJ227" s="139">
        <f>AVERAGE(AJ222,AH222)</f>
        <v>6105</v>
      </c>
      <c r="AK227" s="61">
        <f>IF(ISERROR(AJ227/AH227),"NA",IF(OR(AJ227/AH227&gt;2,AJ227/AH227&lt;0.5),"NM",(AJ227/AH227-1)*100))</f>
        <v>23.408126137052765</v>
      </c>
      <c r="AL227" s="139">
        <f>AVERAGE(AL222,AJ222)</f>
        <v>8033</v>
      </c>
      <c r="AM227" s="61">
        <f>IF(ISERROR(AL227/AJ227),"NA",IF(OR(AL227/AJ227&gt;2,AL227/AJ227&lt;0.5),"NM",(AL227/AJ227-1)*100))</f>
        <v>31.58067158067157</v>
      </c>
      <c r="AN227" s="139">
        <f>AVERAGE(AN222,AL222)</f>
        <v>9710.940904318315</v>
      </c>
      <c r="AO227" s="61">
        <f>IF(ISERROR(AN227/AL227),"NA",IF(OR(AN227/AL227&gt;2,AN227/AL227&lt;0.5),"NM",(AN227/AL227-1)*100))</f>
        <v>20.888097900140856</v>
      </c>
      <c r="AP227" s="139">
        <f>AVERAGE(AP222,AN222)</f>
        <v>10529.41576639565</v>
      </c>
      <c r="AQ227" s="61">
        <f>IF(ISERROR(AP227/AN227),"NA",IF(OR(AP227/AN227&gt;2,AP227/AN227&lt;0.5),"NM",(AP227/AN227-1)*100))</f>
        <v>8.4283785695098867</v>
      </c>
      <c r="AR227" s="139">
        <f>AVERAGE(AR222,AP222)</f>
        <v>11220.621133596627</v>
      </c>
      <c r="AS227" s="61">
        <f>IF(ISERROR(AR227/AP227),"NA",IF(OR(AR227/AP227&gt;2,AR227/AP227&lt;0.5),"NM",(AR227/AP227-1)*100))</f>
        <v>6.5645177523233622</v>
      </c>
      <c r="AT227" s="139">
        <f>AVERAGE(AT222,AR222)</f>
        <v>12166.221143861467</v>
      </c>
      <c r="AU227" s="61">
        <f>IF(ISERROR(AT227/AR227),"NA",IF(OR(AT227/AR227&gt;2,AT227/AR227&lt;0.5),"NM",(AT227/AR227-1)*100))</f>
        <v>8.4273410447264663</v>
      </c>
      <c r="AV227" s="139">
        <f>AVERAGE(AV222,AT222)</f>
        <v>13346.192350858339</v>
      </c>
      <c r="AW227" s="61">
        <f>IF(ISERROR(AV227/AT227),"NA",IF(OR(AV227/AT227&gt;2,AV227/AT227&lt;0.5),"NM",(AV227/AT227-1)*100))</f>
        <v>9.6987486339768836</v>
      </c>
      <c r="AX227" s="63">
        <f>IF(ISERROR(((AV227/AL227)^0.2-1)*100),"NA",IF((((AV227/AL227)^0.2-1)*100)&gt;100,"NM",IF((((AV227/AL227)^0.2-1)*100)&lt;-50,"NM",((AV227/AL227)^0.2-1)*100)))</f>
        <v>10.68682308233555</v>
      </c>
      <c r="AY227" s="58"/>
      <c r="AZ227" s="106"/>
      <c r="BA227"/>
      <c r="BB227"/>
      <c r="BC227"/>
      <c r="BD227"/>
      <c r="BE227"/>
      <c r="BF227"/>
      <c r="BG227" s="31"/>
      <c r="BH227" s="28"/>
      <c r="BI227" s="28"/>
      <c r="BJ227" s="28"/>
      <c r="BK227" s="28"/>
      <c r="BL227" s="28"/>
      <c r="BM227" s="28"/>
      <c r="BN227" s="24"/>
    </row>
    <row r="228" spans="1:66" s="439" customFormat="1" ht="12.75" customHeight="1">
      <c r="A228" s="24" t="s">
        <v>105</v>
      </c>
      <c r="B228" s="95" t="s">
        <v>106</v>
      </c>
      <c r="C228" s="139">
        <f>C224</f>
        <v>5690</v>
      </c>
      <c r="D228" s="61"/>
      <c r="E228" s="139">
        <f>AVERAGE(E226,C226)</f>
        <v>5779</v>
      </c>
      <c r="F228" s="61"/>
      <c r="G228" s="139">
        <f>AVERAGE(G226,E226)</f>
        <v>5989.5</v>
      </c>
      <c r="H228" s="61"/>
      <c r="I228" s="139">
        <f>AVERAGE(I226,G226)</f>
        <v>6301</v>
      </c>
      <c r="J228" s="61"/>
      <c r="K228" s="139">
        <f>AVERAGE(K226,I226)</f>
        <v>6707.5</v>
      </c>
      <c r="L228" s="135">
        <f>IF(ISERROR(K228/C228),"NA",IF(OR(K228/C228&gt;2,K228/C228&lt;0.5),"NM",(K228/C228-1)*100))</f>
        <v>17.88224956063269</v>
      </c>
      <c r="M228" s="139">
        <f>AVERAGE(M226,K226)</f>
        <v>7074</v>
      </c>
      <c r="N228" s="135">
        <f>IF(ISERROR(M228/E228),"NA",IF(OR(M228/E228&gt;2,M228/E228&lt;0.5),"NM",(M228/E228-1)*100))</f>
        <v>22.408721232047068</v>
      </c>
      <c r="O228" s="139">
        <f>AVERAGE(O226,M226)</f>
        <v>7365.5</v>
      </c>
      <c r="P228" s="135">
        <f>IF(ISERROR(O228/G228),"NA",IF(OR(O228/G228&gt;2,O228/G228&lt;0.5),"NM",(O228/G228-1)*100))</f>
        <v>22.973537023123789</v>
      </c>
      <c r="Q228" s="139">
        <f>AVERAGE(Q226,O226)</f>
        <v>7650</v>
      </c>
      <c r="R228" s="135">
        <f>IF(ISERROR(Q228/I228),"NA",IF(OR(Q228/I228&gt;2,Q228/I228&lt;0.5),"NM",(Q228/I228-1)*100))</f>
        <v>21.409300111093476</v>
      </c>
      <c r="S228" s="139">
        <f>AVERAGE(S226,Q226)</f>
        <v>7911.0765968327942</v>
      </c>
      <c r="T228" s="135">
        <f>IF(ISERROR(S228/K228),"NA",IF(OR(S228/K228&gt;2,S228/K228&lt;0.5),"NM",(S228/K228-1)*100))</f>
        <v>17.943743523411015</v>
      </c>
      <c r="U228" s="139">
        <f>AVERAGE(U226,S226)</f>
        <v>8150.4412292476427</v>
      </c>
      <c r="V228" s="135">
        <f>IF(ISERROR(U228/M228),"NA",IF(OR(U228/M228&gt;2,U228/M228&lt;0.5),"NM",(U228/M228-1)*100))</f>
        <v>15.216867815205571</v>
      </c>
      <c r="W228" s="139">
        <f>AVERAGE(W226,U226)</f>
        <v>8402.3841244438008</v>
      </c>
      <c r="X228" s="135">
        <f>IF(ISERROR(W228/O228),"NA",IF(OR(W228/O228&gt;2,W228/O228&lt;0.5),"NM",(W228/O228-1)*100))</f>
        <v>14.077579586501955</v>
      </c>
      <c r="Y228" s="139">
        <f>AVERAGE(Y226,W226)</f>
        <v>8665.9603963472673</v>
      </c>
      <c r="Z228" s="135">
        <f>IF(ISERROR(Y228/Q228),"NA",IF(OR(Y228/Q228&gt;2,Y228/Q228&lt;0.5),"NM",(Y228/Q228-1)*100))</f>
        <v>13.280528056827023</v>
      </c>
      <c r="AA228" s="108"/>
      <c r="AB228" s="180"/>
      <c r="AC228" s="91"/>
      <c r="AD228" s="139">
        <f>AD224</f>
        <v>2673</v>
      </c>
      <c r="AE228" s="61" t="str">
        <f>IF(ISERROR(AD228/#REF!),"NA",IF(OR(AD228/#REF!&gt;2,AD228/#REF!&lt;0.5),"NM",(AD228/#REF!-1)*100))</f>
        <v>NA</v>
      </c>
      <c r="AF228" s="139">
        <f>AVERAGE(AF226,AD226)</f>
        <v>3285.5</v>
      </c>
      <c r="AG228" s="61">
        <f>IF(ISERROR(AF228/AD228),"NA",IF(OR(AF228/AD228&gt;2,AF228/AD228&lt;0.5),"NM",(AF228/AD228-1)*100))</f>
        <v>22.914328469884016</v>
      </c>
      <c r="AH228" s="139">
        <f>AVERAGE(AH226,AF226)</f>
        <v>4742.5</v>
      </c>
      <c r="AI228" s="61">
        <f>IF(ISERROR(AH228/AF228),"NA",IF(OR(AH228/AF228&gt;2,AH228/AF228&lt;0.5),"NM",(AH228/AF228-1)*100))</f>
        <v>44.346370415461877</v>
      </c>
      <c r="AJ228" s="139">
        <f>AVERAGE(AJ226,AH226)</f>
        <v>6039</v>
      </c>
      <c r="AK228" s="61">
        <f>IF(ISERROR(AJ228/AH228),"NA",IF(OR(AJ228/AH228&gt;2,AJ228/AH228&lt;0.5),"NM",(AJ228/AH228-1)*100))</f>
        <v>27.337901950448074</v>
      </c>
      <c r="AL228" s="139">
        <f>AVERAGE(AL226,AJ226)</f>
        <v>7142</v>
      </c>
      <c r="AM228" s="61">
        <f>IF(ISERROR(AL228/AJ228),"NA",IF(OR(AL228/AJ228&gt;2,AL228/AJ228&lt;0.5),"NM",(AL228/AJ228-1)*100))</f>
        <v>18.26461334658056</v>
      </c>
      <c r="AN228" s="139">
        <f>AVERAGE(AN226,AL226)</f>
        <v>8295.940904318315</v>
      </c>
      <c r="AO228" s="61">
        <f>IF(ISERROR(AN228/AL228),"NA",IF(OR(AN228/AL228&gt;2,AN228/AL228&lt;0.5),"NM",(AN228/AL228-1)*100))</f>
        <v>16.157111513838075</v>
      </c>
      <c r="AP228" s="139">
        <f>AVERAGE(AP226,AN226)</f>
        <v>9114.4157663956503</v>
      </c>
      <c r="AQ228" s="61">
        <f>IF(ISERROR(AP228/AN228),"NA",IF(OR(AP228/AN228&gt;2,AP228/AN228&lt;0.5),"NM",(AP228/AN228-1)*100))</f>
        <v>9.8659678452059918</v>
      </c>
      <c r="AR228" s="139">
        <f>AVERAGE(AR226,AP226)</f>
        <v>9805.6211335966273</v>
      </c>
      <c r="AS228" s="61">
        <f>IF(ISERROR(AR228/AP228),"NA",IF(OR(AR228/AP228&gt;2,AR228/AP228&lt;0.5),"NM",(AR228/AP228-1)*100))</f>
        <v>7.5836497359426325</v>
      </c>
      <c r="AT228" s="139">
        <f>AVERAGE(AT226,AR226)</f>
        <v>10751.221143861467</v>
      </c>
      <c r="AU228" s="61">
        <f>IF(ISERROR(AT228/AR228),"NA",IF(OR(AT228/AR228&gt;2,AT228/AR228&lt;0.5),"NM",(AT228/AR228-1)*100))</f>
        <v>9.6434483586660846</v>
      </c>
      <c r="AV228" s="139">
        <f>AVERAGE(AV226,AT226)</f>
        <v>11931.192350858339</v>
      </c>
      <c r="AW228" s="61">
        <f>IF(ISERROR(AV228/AT228),"NA",IF(OR(AV228/AT228&gt;2,AV228/AT228&lt;0.5),"NM",(AV228/AT228-1)*100))</f>
        <v>10.975229615387372</v>
      </c>
      <c r="AX228" s="63">
        <f>IF(ISERROR(((AV228/AL228)^0.2-1)*100),"NA",IF((((AV228/AL228)^0.2-1)*100)&gt;100,"NM",IF((((AV228/AL228)^0.2-1)*100)&lt;-50,"NM",((AV228/AL228)^0.2-1)*100)))</f>
        <v>10.808429672311014</v>
      </c>
      <c r="AY228" s="58"/>
      <c r="AZ228" s="106"/>
      <c r="BA228"/>
      <c r="BB228"/>
      <c r="BC228"/>
      <c r="BD228"/>
      <c r="BE228"/>
      <c r="BF228"/>
      <c r="BG228" s="31"/>
      <c r="BH228" s="28"/>
      <c r="BI228" s="28"/>
      <c r="BJ228" s="28"/>
      <c r="BK228" s="28"/>
      <c r="BL228" s="28"/>
      <c r="BM228" s="28"/>
      <c r="BN228" s="24"/>
    </row>
    <row r="229" spans="1:66" s="439" customFormat="1" ht="12.75" customHeight="1">
      <c r="A229" s="24"/>
      <c r="B229" s="95" t="s">
        <v>183</v>
      </c>
      <c r="C229" s="139">
        <v>1533</v>
      </c>
      <c r="D229" s="61"/>
      <c r="E229" s="139">
        <v>1539</v>
      </c>
      <c r="F229" s="61"/>
      <c r="G229" s="139">
        <f>E229-100</f>
        <v>1439</v>
      </c>
      <c r="H229" s="61"/>
      <c r="I229" s="139">
        <v>1500</v>
      </c>
      <c r="J229" s="61"/>
      <c r="K229" s="139">
        <v>1500</v>
      </c>
      <c r="L229" s="135">
        <f>IF(ISERROR(K229/C229),"NA",IF(OR(K229/C229&gt;2,K229/C229&lt;0.5),"NM",(K229/C229-1)*100))</f>
        <v>-2.1526418786692814</v>
      </c>
      <c r="M229" s="139">
        <v>1500</v>
      </c>
      <c r="N229" s="135">
        <f>IF(ISERROR(M229/E229),"NA",IF(OR(M229/E229&gt;2,M229/E229&lt;0.5),"NM",(M229/E229-1)*100))</f>
        <v>-2.5341130604288553</v>
      </c>
      <c r="O229" s="139">
        <v>1500</v>
      </c>
      <c r="P229" s="135">
        <f>IF(ISERROR(O229/G229),"NA",IF(OR(O229/G229&gt;2,O229/G229&lt;0.5),"NM",(O229/G229-1)*100))</f>
        <v>4.2390548992355725</v>
      </c>
      <c r="Q229" s="139">
        <v>1500</v>
      </c>
      <c r="R229" s="135">
        <f>IF(ISERROR(Q229/I229),"NA",IF(OR(Q229/I229&gt;2,Q229/I229&lt;0.5),"NM",(Q229/I229-1)*100))</f>
        <v>0</v>
      </c>
      <c r="S229" s="139">
        <f>Q229+S212</f>
        <v>2500</v>
      </c>
      <c r="T229" s="135">
        <f>IF(ISERROR(S229/K229),"NA",IF(OR(S229/K229&gt;2,S229/K229&lt;0.5),"NM",(S229/K229-1)*100))</f>
        <v>66.666666666666671</v>
      </c>
      <c r="U229" s="139">
        <f>S229</f>
        <v>2500</v>
      </c>
      <c r="V229" s="135">
        <f>IF(ISERROR(U229/M229),"NA",IF(OR(U229/M229&gt;2,U229/M229&lt;0.5),"NM",(U229/M229-1)*100))</f>
        <v>66.666666666666671</v>
      </c>
      <c r="W229" s="139">
        <f>U229-1000</f>
        <v>1500</v>
      </c>
      <c r="X229" s="135">
        <f>IF(ISERROR(W229/O229),"NA",IF(OR(W229/O229&gt;2,W229/O229&lt;0.5),"NM",(W229/O229-1)*100))</f>
        <v>0</v>
      </c>
      <c r="Y229" s="139">
        <f>W229</f>
        <v>1500</v>
      </c>
      <c r="Z229" s="135">
        <f>IF(ISERROR(Y229/Q229),"NA",IF(OR(Y229/Q229&gt;2,Y229/Q229&lt;0.5),"NM",(Y229/Q229-1)*100))</f>
        <v>0</v>
      </c>
      <c r="AA229" s="108"/>
      <c r="AB229" s="180"/>
      <c r="AC229" s="91"/>
      <c r="AD229" s="139">
        <v>745</v>
      </c>
      <c r="AE229" s="61"/>
      <c r="AF229" s="139">
        <v>1101</v>
      </c>
      <c r="AG229" s="61"/>
      <c r="AH229" s="139">
        <v>1460</v>
      </c>
      <c r="AI229" s="61"/>
      <c r="AJ229" s="139">
        <f>I229</f>
        <v>1500</v>
      </c>
      <c r="AK229" s="61"/>
      <c r="AL229" s="139">
        <f>Q229</f>
        <v>1500</v>
      </c>
      <c r="AM229" s="153"/>
      <c r="AN229" s="139">
        <f>Y229</f>
        <v>1500</v>
      </c>
      <c r="AO229" s="153"/>
      <c r="AP229" s="153">
        <f>AN229-60</f>
        <v>1440</v>
      </c>
      <c r="AQ229" s="153"/>
      <c r="AR229" s="153">
        <f>AP229-60</f>
        <v>1380</v>
      </c>
      <c r="AS229" s="153"/>
      <c r="AT229" s="153">
        <f>AR229-30</f>
        <v>1350</v>
      </c>
      <c r="AU229" s="61"/>
      <c r="AV229" s="153">
        <f>AT229-30</f>
        <v>1320</v>
      </c>
      <c r="AW229" s="61"/>
      <c r="AX229" s="63">
        <f>IF(ISERROR(((AV229/AL229)^0.2-1)*100),"NA",IF((((AV229/AL229)^0.2-1)*100)&gt;100,"NM",IF((((AV229/AL229)^0.2-1)*100)&lt;-50,"NM",((AV229/AL229)^0.2-1)*100)))</f>
        <v>-2.5242614469207947</v>
      </c>
      <c r="AY229" s="58"/>
      <c r="AZ229" s="106"/>
      <c r="BA229"/>
      <c r="BB229"/>
      <c r="BC229"/>
      <c r="BD229"/>
      <c r="BE229"/>
      <c r="BF229"/>
      <c r="BG229" s="31"/>
      <c r="BH229" s="28"/>
      <c r="BI229" s="28"/>
      <c r="BJ229" s="28"/>
      <c r="BK229" s="28"/>
      <c r="BL229" s="28"/>
      <c r="BM229" s="28"/>
      <c r="BN229" s="24"/>
    </row>
    <row r="230" spans="1:66" s="439" customFormat="1" ht="12.75" customHeight="1">
      <c r="A230" s="28"/>
      <c r="B230" s="95"/>
      <c r="C230" s="141"/>
      <c r="D230" s="61"/>
      <c r="E230" s="91"/>
      <c r="F230" s="61"/>
      <c r="G230" s="91"/>
      <c r="H230" s="61"/>
      <c r="I230" s="91"/>
      <c r="J230" s="61"/>
      <c r="K230" s="91"/>
      <c r="L230" s="61"/>
      <c r="M230" s="91"/>
      <c r="N230" s="61"/>
      <c r="O230" s="91"/>
      <c r="P230" s="61"/>
      <c r="Q230" s="91"/>
      <c r="R230" s="61"/>
      <c r="S230" s="91"/>
      <c r="T230" s="61"/>
      <c r="U230" s="91"/>
      <c r="V230" s="61"/>
      <c r="W230" s="91"/>
      <c r="X230" s="61"/>
      <c r="Y230" s="91"/>
      <c r="Z230" s="61"/>
      <c r="AA230" s="108"/>
      <c r="AB230" s="180"/>
      <c r="AC230" s="91"/>
      <c r="AD230" s="91"/>
      <c r="AE230" s="61"/>
      <c r="AF230" s="91"/>
      <c r="AG230" s="61"/>
      <c r="AH230" s="91"/>
      <c r="AI230" s="61"/>
      <c r="AJ230" s="91"/>
      <c r="AK230" s="61"/>
      <c r="AL230" s="91"/>
      <c r="AM230" s="61"/>
      <c r="AN230" s="91"/>
      <c r="AO230" s="61"/>
      <c r="AP230" s="91"/>
      <c r="AQ230" s="61"/>
      <c r="AR230" s="91"/>
      <c r="AS230" s="61"/>
      <c r="AT230" s="91"/>
      <c r="AU230" s="61"/>
      <c r="AV230" s="91"/>
      <c r="AW230" s="61"/>
      <c r="AX230" s="61"/>
      <c r="AY230" s="58"/>
      <c r="AZ230" s="106"/>
      <c r="BA230"/>
      <c r="BB230"/>
      <c r="BC230"/>
      <c r="BD230"/>
      <c r="BE230"/>
      <c r="BF230"/>
      <c r="BG230" s="31"/>
      <c r="BH230" s="28"/>
      <c r="BI230" s="28"/>
      <c r="BJ230" s="28"/>
      <c r="BK230" s="28"/>
      <c r="BL230" s="28"/>
      <c r="BM230" s="28"/>
      <c r="BN230" s="24"/>
    </row>
    <row r="231" spans="1:66" s="439" customFormat="1" ht="12.75" customHeight="1">
      <c r="A231" s="28"/>
      <c r="B231" s="267" t="s">
        <v>189</v>
      </c>
      <c r="C231" s="141"/>
      <c r="D231" s="61"/>
      <c r="E231" s="91"/>
      <c r="F231" s="61"/>
      <c r="G231" s="91"/>
      <c r="H231" s="61"/>
      <c r="I231" s="91"/>
      <c r="J231" s="61"/>
      <c r="K231" s="91"/>
      <c r="L231" s="61"/>
      <c r="M231" s="91"/>
      <c r="N231" s="61"/>
      <c r="O231" s="91"/>
      <c r="P231" s="61"/>
      <c r="Q231" s="91"/>
      <c r="R231" s="61"/>
      <c r="S231" s="91"/>
      <c r="T231" s="61"/>
      <c r="U231" s="91"/>
      <c r="V231" s="61"/>
      <c r="W231" s="91"/>
      <c r="X231" s="61"/>
      <c r="Y231" s="91"/>
      <c r="Z231" s="61"/>
      <c r="AA231" s="108"/>
      <c r="AB231" s="180"/>
      <c r="AC231" s="91"/>
      <c r="AD231" s="91"/>
      <c r="AE231" s="61"/>
      <c r="AF231" s="91"/>
      <c r="AG231" s="61"/>
      <c r="AH231" s="91"/>
      <c r="AI231" s="61"/>
      <c r="AJ231" s="91"/>
      <c r="AK231" s="61"/>
      <c r="AL231" s="91"/>
      <c r="AM231" s="61"/>
      <c r="AN231" s="91"/>
      <c r="AO231" s="61"/>
      <c r="AP231" s="91"/>
      <c r="AQ231" s="61"/>
      <c r="AR231" s="91"/>
      <c r="AS231" s="61"/>
      <c r="AT231" s="91"/>
      <c r="AU231" s="61"/>
      <c r="AV231" s="91"/>
      <c r="AW231" s="61"/>
      <c r="AX231" s="61"/>
      <c r="AY231" s="58"/>
      <c r="AZ231" s="106"/>
      <c r="BA231"/>
      <c r="BB231"/>
      <c r="BC231"/>
      <c r="BD231"/>
      <c r="BE231"/>
      <c r="BF231"/>
      <c r="BG231" s="31"/>
      <c r="BH231" s="28"/>
      <c r="BI231" s="28"/>
      <c r="BJ231" s="28"/>
      <c r="BK231" s="28"/>
      <c r="BL231" s="28"/>
      <c r="BM231" s="28"/>
      <c r="BN231" s="24"/>
    </row>
    <row r="232" spans="1:66" s="439" customFormat="1" ht="12.75" customHeight="1">
      <c r="A232" s="28"/>
      <c r="B232" s="95" t="s">
        <v>125</v>
      </c>
      <c r="C232" s="153">
        <v>4071</v>
      </c>
      <c r="D232" s="61"/>
      <c r="E232" s="153">
        <v>4232</v>
      </c>
      <c r="F232" s="61"/>
      <c r="G232" s="153">
        <v>4542</v>
      </c>
      <c r="H232" s="61"/>
      <c r="I232" s="153">
        <v>4448</v>
      </c>
      <c r="J232" s="61"/>
      <c r="K232" s="153">
        <v>4817</v>
      </c>
      <c r="L232" s="135">
        <f>IF(ISERROR(K232/C232),"NA",IF(OR(K232/C232&gt;2,K232/C232&lt;0.5),"NM",(K232/C232-1)*100))</f>
        <v>18.324735937116188</v>
      </c>
      <c r="M232" s="153">
        <v>5165</v>
      </c>
      <c r="N232" s="135">
        <f>IF(ISERROR(M232/E232),"NA",IF(OR(M232/E232&gt;2,M232/E232&lt;0.5),"NM",(M232/E232-1)*100))</f>
        <v>22.04631379962192</v>
      </c>
      <c r="O232" s="153">
        <v>5371</v>
      </c>
      <c r="P232" s="135">
        <f>IF(ISERROR(O232/G232),"NA",IF(OR(O232/G232&gt;2,O232/G232&lt;0.5),"NM",(O232/G232-1)*100))</f>
        <v>18.251871422280928</v>
      </c>
      <c r="Q232" s="153">
        <v>5465</v>
      </c>
      <c r="R232" s="135">
        <f>IF(ISERROR(Q232/I232),"NA",IF(OR(Q232/I232&gt;2,Q232/I232&lt;0.5),"NM",(Q232/I232-1)*100))</f>
        <v>22.864208633093529</v>
      </c>
      <c r="S232" s="122">
        <f>Q232/(Q232+Q235)*S224</f>
        <v>5630.6072376982474</v>
      </c>
      <c r="T232" s="135">
        <f>IF(ISERROR(S232/K232),"NA",IF(OR(S232/K232&gt;2,S232/K232&lt;0.5),"NM",(S232/K232-1)*100))</f>
        <v>16.890330863571677</v>
      </c>
      <c r="U232" s="122">
        <f>S232/(S232+S235)*U224</f>
        <v>5800.7186490817776</v>
      </c>
      <c r="V232" s="135">
        <f>IF(ISERROR(U232/M232),"NA",IF(OR(U232/M232&gt;2,U232/M232&lt;0.5),"NM",(U232/M232-1)*100))</f>
        <v>12.308202305552317</v>
      </c>
      <c r="W232" s="122">
        <f>U232/(U232+U235)*W224</f>
        <v>5983.9674127905118</v>
      </c>
      <c r="X232" s="135">
        <f>IF(ISERROR(W232/O232),"NA",IF(OR(W232/O232&gt;2,W232/O232&lt;0.5),"NM",(W232/O232-1)*100))</f>
        <v>11.412537940616495</v>
      </c>
      <c r="Y232" s="122">
        <f>W232/(W232+W235)*Y224</f>
        <v>6170.395108969482</v>
      </c>
      <c r="Z232" s="135">
        <f>IF(ISERROR(Y232/Q232),"NA",IF(OR(Y232/Q232&gt;2,Y232/Q232&lt;0.5),"NM",(Y232/Q232-1)*100))</f>
        <v>12.907504281234793</v>
      </c>
      <c r="AA232" s="108"/>
      <c r="AB232" s="180"/>
      <c r="AC232" s="91"/>
      <c r="AD232" s="153">
        <v>1928</v>
      </c>
      <c r="AE232" s="61"/>
      <c r="AF232" s="153">
        <v>2797</v>
      </c>
      <c r="AG232" s="61">
        <f>IF(ISERROR(AF232/AD232),"NA",IF(OR(AF232/AD232&gt;2,AF232/AD232&lt;0.5),"NM",(AF232/AD232-1)*100))</f>
        <v>45.072614107883815</v>
      </c>
      <c r="AH232" s="153">
        <v>4047</v>
      </c>
      <c r="AI232" s="61">
        <f>IF(ISERROR(AH232/AF232),"NA",IF(OR(AH232/AF232&gt;2,AH232/AF232&lt;0.5),"NM",(AH232/AF232-1)*100))</f>
        <v>44.690740078655701</v>
      </c>
      <c r="AJ232" s="139">
        <f>I232</f>
        <v>4448</v>
      </c>
      <c r="AK232" s="61">
        <f>IF(ISERROR(AJ232/AH232),"NA",IF(OR(AJ232/AH232&gt;2,AJ232/AH232&lt;0.5),"NM",(AJ232/AH232-1)*100))</f>
        <v>9.9085742525327305</v>
      </c>
      <c r="AL232" s="139">
        <f>Q232</f>
        <v>5465</v>
      </c>
      <c r="AM232" s="61">
        <f>IF(ISERROR(AL232/AJ232),"NA",IF(OR(AL232/AJ232&gt;2,AL232/AJ232&lt;0.5),"NM",(AL232/AJ232-1)*100))</f>
        <v>22.864208633093529</v>
      </c>
      <c r="AN232" s="139">
        <f>Y232</f>
        <v>6170.395108969482</v>
      </c>
      <c r="AO232" s="61">
        <f>IF(ISERROR(AN232/AL232),"NA",IF(OR(AN232/AL232&gt;2,AN232/AL232&lt;0.5),"NM",(AN232/AL232-1)*100))</f>
        <v>12.907504281234793</v>
      </c>
      <c r="AP232" s="122">
        <f>AN232/(AN232+AN235)*AP224</f>
        <v>6612.9443401135986</v>
      </c>
      <c r="AQ232" s="61">
        <f>IF(ISERROR(AP232/AN232),"NA",IF(OR(AP232/AN232&gt;2,AP232/AN232&lt;0.5),"NM",(AP232/AN232-1)*100))</f>
        <v>7.1721376561577621</v>
      </c>
      <c r="AR232" s="122">
        <f>AP232/(AP232+AP235)*AR224</f>
        <v>7139.8387973445224</v>
      </c>
      <c r="AS232" s="61">
        <f>IF(ISERROR(AR232/AP232),"NA",IF(OR(AR232/AP232&gt;2,AR232/AP232&lt;0.5),"NM",(AR232/AP232-1)*100))</f>
        <v>7.9676227430922619</v>
      </c>
      <c r="AT232" s="122">
        <f>AR232/(AR232+AR235)*AT224</f>
        <v>7939.1868798537116</v>
      </c>
      <c r="AU232" s="61">
        <f>IF(ISERROR(AT232/AR232),"NA",IF(OR(AT232/AR232&gt;2,AT232/AR232&lt;0.5),"NM",(AT232/AR232-1)*100))</f>
        <v>11.195604063308618</v>
      </c>
      <c r="AV232" s="122">
        <f>AT232/(AT232+AT235)*AV224</f>
        <v>8794.7964891802476</v>
      </c>
      <c r="AW232" s="61">
        <f>IF(ISERROR(AV232/AT232),"NA",IF(OR(AV232/AT232&gt;2,AV232/AT232&lt;0.5),"NM",(AV232/AT232-1)*100))</f>
        <v>10.777043320364577</v>
      </c>
      <c r="AX232" s="63">
        <f>IF(ISERROR(((AV232/AL232)^0.2-1)*100),"NA",IF((((AV232/AL232)^0.2-1)*100)&gt;100,"NM",IF((((AV232/AL232)^0.2-1)*100)&lt;-50,"NM",((AV232/AL232)^0.2-1)*100)))</f>
        <v>9.9833960469534624</v>
      </c>
      <c r="AY232" s="58"/>
      <c r="AZ232" s="106"/>
      <c r="BA232"/>
      <c r="BB232"/>
      <c r="BC232"/>
      <c r="BD232"/>
      <c r="BE232"/>
      <c r="BF232"/>
      <c r="BG232" s="31"/>
      <c r="BH232" s="28"/>
      <c r="BI232" s="28"/>
      <c r="BJ232" s="28"/>
      <c r="BK232" s="28"/>
      <c r="BL232" s="28"/>
      <c r="BM232" s="28"/>
      <c r="BN232" s="24"/>
    </row>
    <row r="233" spans="1:66" s="439" customFormat="1" ht="12.75" customHeight="1">
      <c r="A233" s="28"/>
      <c r="B233" s="95" t="s">
        <v>191</v>
      </c>
      <c r="C233" s="153">
        <v>1619</v>
      </c>
      <c r="D233" s="61"/>
      <c r="E233" s="153">
        <v>1625</v>
      </c>
      <c r="F233" s="61"/>
      <c r="G233" s="153">
        <v>1569</v>
      </c>
      <c r="H233" s="61"/>
      <c r="I233" s="153">
        <v>2043</v>
      </c>
      <c r="J233" s="61"/>
      <c r="K233" s="153">
        <v>2071</v>
      </c>
      <c r="L233" s="135">
        <f>IF(ISERROR(K233/C233),"NA",IF(OR(K233/C233&gt;2,K233/C233&lt;0.5),"NM",(K233/C233-1)*100))</f>
        <v>27.918468190240887</v>
      </c>
      <c r="M233" s="153">
        <v>2059</v>
      </c>
      <c r="N233" s="135">
        <f>IF(ISERROR(M233/E233),"NA",IF(OR(M233/E233&gt;2,M233/E233&lt;0.5),"NM",(M233/E233-1)*100))</f>
        <v>26.707692307692298</v>
      </c>
      <c r="O233" s="153">
        <v>2136</v>
      </c>
      <c r="P233" s="135">
        <f>IF(ISERROR(O233/G233),"NA",IF(OR(O233/G233&gt;2,O233/G233&lt;0.5),"NM",(O233/G233-1)*100))</f>
        <v>36.137667304015288</v>
      </c>
      <c r="Q233" s="153">
        <v>2328</v>
      </c>
      <c r="R233" s="135">
        <f>IF(ISERROR(Q233/I233),"NA",IF(OR(Q233/I233&gt;2,Q233/I233&lt;0.5),"NM",(Q233/I233-1)*100))</f>
        <v>13.950073421439058</v>
      </c>
      <c r="S233" s="122">
        <f>Q233/(Q232+Q235)*S224</f>
        <v>2398.5459559673409</v>
      </c>
      <c r="T233" s="135">
        <f>IF(ISERROR(S233/K233),"NA",IF(OR(S233/K233&gt;2,S233/K233&lt;0.5),"NM",(S233/K233-1)*100))</f>
        <v>15.81583563338198</v>
      </c>
      <c r="U233" s="122">
        <f>S233/(S232+S235)*U224</f>
        <v>2471.010615747919</v>
      </c>
      <c r="V233" s="135">
        <f>IF(ISERROR(U233/M233),"NA",IF(OR(U233/M233&gt;2,U233/M233&lt;0.5),"NM",(U233/M233-1)*100))</f>
        <v>20.010229030981975</v>
      </c>
      <c r="W233" s="122">
        <f>U233/(U232+U235)*W224</f>
        <v>2549.0715712673946</v>
      </c>
      <c r="X233" s="135">
        <f>IF(ISERROR(W233/O233),"NA",IF(OR(W233/O233&gt;2,W233/O233&lt;0.5),"NM",(W233/O233-1)*100))</f>
        <v>19.338556707275025</v>
      </c>
      <c r="Y233" s="122">
        <f>W233/(W232+W235)*Y224</f>
        <v>2628.4866996671462</v>
      </c>
      <c r="Z233" s="135">
        <f>IF(ISERROR(Y233/Q233),"NA",IF(OR(Y233/Q233&gt;2,Y233/Q233&lt;0.5),"NM",(Y233/Q233-1)*100))</f>
        <v>12.907504281234793</v>
      </c>
      <c r="AA233" s="108"/>
      <c r="AB233" s="180"/>
      <c r="AC233" s="91"/>
      <c r="AD233" s="153">
        <v>745</v>
      </c>
      <c r="AE233" s="61"/>
      <c r="AF233" s="153">
        <v>1101</v>
      </c>
      <c r="AG233" s="61">
        <f>IF(ISERROR(AF233/AD233),"NA",IF(OR(AF233/AD233&gt;2,AF233/AD233&lt;0.5),"NM",(AF233/AD233-1)*100))</f>
        <v>47.785234899328863</v>
      </c>
      <c r="AH233" s="153">
        <v>1460</v>
      </c>
      <c r="AI233" s="61">
        <f>IF(ISERROR(AH233/AF233),"NA",IF(OR(AH233/AF233&gt;2,AH233/AF233&lt;0.5),"NM",(AH233/AF233-1)*100))</f>
        <v>32.606721162579476</v>
      </c>
      <c r="AJ233" s="139">
        <f>I233</f>
        <v>2043</v>
      </c>
      <c r="AK233" s="61">
        <f>IF(ISERROR(AJ233/AH233),"NA",IF(OR(AJ233/AH233&gt;2,AJ233/AH233&lt;0.5),"NM",(AJ233/AH233-1)*100))</f>
        <v>39.931506849315078</v>
      </c>
      <c r="AL233" s="139">
        <f>Q233</f>
        <v>2328</v>
      </c>
      <c r="AM233" s="61">
        <f>IF(ISERROR(AL233/AJ233),"NA",IF(OR(AL233/AJ233&gt;2,AL233/AJ233&lt;0.5),"NM",(AL233/AJ233-1)*100))</f>
        <v>13.950073421439058</v>
      </c>
      <c r="AN233" s="139">
        <f>Y233</f>
        <v>2628.4866996671462</v>
      </c>
      <c r="AO233" s="61">
        <f>IF(ISERROR(AN233/AL233),"NA",IF(OR(AN233/AL233&gt;2,AN233/AL233&lt;0.5),"NM",(AN233/AL233-1)*100))</f>
        <v>12.907504281234793</v>
      </c>
      <c r="AP233" s="122">
        <f>AN233/(AN232+AN235)*AP224</f>
        <v>2817.0053840410719</v>
      </c>
      <c r="AQ233" s="61">
        <f>IF(ISERROR(AP233/AN233),"NA",IF(OR(AP233/AN233&gt;2,AP233/AN233&lt;0.5),"NM",(AP233/AN233-1)*100))</f>
        <v>7.1721376561577621</v>
      </c>
      <c r="AR233" s="122">
        <f>AP233/(AP232+AP235)*AR224</f>
        <v>3041.4537456940616</v>
      </c>
      <c r="AS233" s="61">
        <f>IF(ISERROR(AR233/AP233),"NA",IF(OR(AR233/AP233&gt;2,AR233/AP233&lt;0.5),"NM",(AR233/AP233-1)*100))</f>
        <v>7.9676227430922619</v>
      </c>
      <c r="AT233" s="122">
        <f>AR233/(AR232+AR235)*AT224</f>
        <v>3381.9628648306384</v>
      </c>
      <c r="AU233" s="61">
        <f>IF(ISERROR(AT233/AR233),"NA",IF(OR(AT233/AR233&gt;2,AT233/AR233&lt;0.5),"NM",(AT233/AR233-1)*100))</f>
        <v>11.195604063308618</v>
      </c>
      <c r="AV233" s="122">
        <f>AT233/(AT232+AT235)*AV224</f>
        <v>3746.4384678520796</v>
      </c>
      <c r="AW233" s="61">
        <f>IF(ISERROR(AV233/AT233),"NA",IF(OR(AV233/AT233&gt;2,AV233/AT233&lt;0.5),"NM",(AV233/AT233-1)*100))</f>
        <v>10.777043320364598</v>
      </c>
      <c r="AX233" s="63">
        <f>IF(ISERROR(((AV233/AL233)^0.2-1)*100),"NA",IF((((AV233/AL233)^0.2-1)*100)&gt;100,"NM",IF((((AV233/AL233)^0.2-1)*100)&lt;-50,"NM",((AV233/AL233)^0.2-1)*100)))</f>
        <v>9.9833960469534624</v>
      </c>
      <c r="AY233" s="58"/>
      <c r="AZ233" s="106"/>
      <c r="BA233"/>
      <c r="BB233"/>
      <c r="BC233"/>
      <c r="BD233"/>
      <c r="BE233"/>
      <c r="BF233"/>
      <c r="BG233" s="31"/>
      <c r="BH233" s="28"/>
      <c r="BI233" s="28"/>
      <c r="BJ233" s="28"/>
      <c r="BK233" s="28"/>
      <c r="BL233" s="28"/>
      <c r="BM233" s="28"/>
      <c r="BN233" s="24"/>
    </row>
    <row r="234" spans="1:66" s="439" customFormat="1" ht="12.75" customHeight="1">
      <c r="A234" s="28"/>
      <c r="B234" s="95" t="s">
        <v>192</v>
      </c>
      <c r="C234" s="153"/>
      <c r="D234" s="61"/>
      <c r="E234" s="153"/>
      <c r="F234" s="61"/>
      <c r="G234" s="153"/>
      <c r="H234" s="61"/>
      <c r="I234" s="153"/>
      <c r="J234" s="61"/>
      <c r="K234" s="153"/>
      <c r="L234" s="135" t="str">
        <f>IF(ISERROR(K234/C234),"NA",IF(OR(K234/C234&gt;2,K234/C234&lt;0.5),"NM",(K234/C234-1)*100))</f>
        <v>NA</v>
      </c>
      <c r="M234" s="153"/>
      <c r="N234" s="135" t="str">
        <f>IF(ISERROR(M234/E234),"NA",IF(OR(M234/E234&gt;2,M234/E234&lt;0.5),"NM",(M234/E234-1)*100))</f>
        <v>NA</v>
      </c>
      <c r="O234" s="153"/>
      <c r="P234" s="135" t="str">
        <f>IF(ISERROR(O234/G234),"NA",IF(OR(O234/G234&gt;2,O234/G234&lt;0.5),"NM",(O234/G234-1)*100))</f>
        <v>NA</v>
      </c>
      <c r="Q234" s="153"/>
      <c r="R234" s="135" t="str">
        <f>IF(ISERROR(Q234/I234),"NA",IF(OR(Q234/I234&gt;2,Q234/I234&lt;0.5),"NM",(Q234/I234-1)*100))</f>
        <v>NA</v>
      </c>
      <c r="S234" s="122">
        <f>Q234/(Q232+Q235)*S224</f>
        <v>0</v>
      </c>
      <c r="T234" s="135" t="str">
        <f>IF(ISERROR(S234/K234),"NA",IF(OR(S234/K234&gt;2,S234/K234&lt;0.5),"NM",(S234/K234-1)*100))</f>
        <v>NA</v>
      </c>
      <c r="U234" s="122">
        <f>S234/(S232+S235)*U224</f>
        <v>0</v>
      </c>
      <c r="V234" s="135" t="str">
        <f>IF(ISERROR(U234/M234),"NA",IF(OR(U234/M234&gt;2,U234/M234&lt;0.5),"NM",(U234/M234-1)*100))</f>
        <v>NA</v>
      </c>
      <c r="W234" s="122">
        <f>U234/(U232+U235)*W224</f>
        <v>0</v>
      </c>
      <c r="X234" s="135" t="str">
        <f>IF(ISERROR(W234/O234),"NA",IF(OR(W234/O234&gt;2,W234/O234&lt;0.5),"NM",(W234/O234-1)*100))</f>
        <v>NA</v>
      </c>
      <c r="Y234" s="122">
        <f>W234/(W232+W235)*Y224</f>
        <v>0</v>
      </c>
      <c r="Z234" s="135" t="str">
        <f>IF(ISERROR(Y234/Q234),"NA",IF(OR(Y234/Q234&gt;2,Y234/Q234&lt;0.5),"NM",(Y234/Q234-1)*100))</f>
        <v>NA</v>
      </c>
      <c r="AA234" s="108"/>
      <c r="AB234" s="180"/>
      <c r="AC234" s="91"/>
      <c r="AD234" s="153">
        <v>0</v>
      </c>
      <c r="AE234" s="61"/>
      <c r="AF234" s="153">
        <v>0</v>
      </c>
      <c r="AG234" s="61" t="str">
        <f>IF(ISERROR(AF234/AD234),"NA",IF(OR(AF234/AD234&gt;2,AF234/AD234&lt;0.5),"NM",(AF234/AD234-1)*100))</f>
        <v>NA</v>
      </c>
      <c r="AH234" s="153">
        <v>80</v>
      </c>
      <c r="AI234" s="61" t="str">
        <f>IF(ISERROR(AH234/AF234),"NA",IF(OR(AH234/AF234&gt;2,AH234/AF234&lt;0.5),"NM",(AH234/AF234-1)*100))</f>
        <v>NA</v>
      </c>
      <c r="AJ234" s="139">
        <f>I234</f>
        <v>0</v>
      </c>
      <c r="AK234" s="61" t="str">
        <f>IF(ISERROR(AJ234/AH234),"NA",IF(OR(AJ234/AH234&gt;2,AJ234/AH234&lt;0.5),"NM",(AJ234/AH234-1)*100))</f>
        <v>NM</v>
      </c>
      <c r="AL234" s="139">
        <f>Q234</f>
        <v>0</v>
      </c>
      <c r="AM234" s="61" t="str">
        <f>IF(ISERROR(AL234/AJ234),"NA",IF(OR(AL234/AJ234&gt;2,AL234/AJ234&lt;0.5),"NM",(AL234/AJ234-1)*100))</f>
        <v>NA</v>
      </c>
      <c r="AN234" s="139">
        <f>Y234</f>
        <v>0</v>
      </c>
      <c r="AO234" s="61" t="str">
        <f>IF(ISERROR(AN234/AL234),"NA",IF(OR(AN234/AL234&gt;2,AN234/AL234&lt;0.5),"NM",(AN234/AL234-1)*100))</f>
        <v>NA</v>
      </c>
      <c r="AP234" s="122">
        <f>AN234/(AN232+AN235)*AP224</f>
        <v>0</v>
      </c>
      <c r="AQ234" s="61" t="str">
        <f>IF(ISERROR(AP234/AN234),"NA",IF(OR(AP234/AN234&gt;2,AP234/AN234&lt;0.5),"NM",(AP234/AN234-1)*100))</f>
        <v>NA</v>
      </c>
      <c r="AR234" s="122">
        <f>AP234/(AP232+AP235)*AR224</f>
        <v>0</v>
      </c>
      <c r="AS234" s="61" t="str">
        <f>IF(ISERROR(AR234/AP234),"NA",IF(OR(AR234/AP234&gt;2,AR234/AP234&lt;0.5),"NM",(AR234/AP234-1)*100))</f>
        <v>NA</v>
      </c>
      <c r="AT234" s="122">
        <f>AR234/(AR232+AR235)*AT224</f>
        <v>0</v>
      </c>
      <c r="AU234" s="61" t="str">
        <f>IF(ISERROR(AT234/AR234),"NA",IF(OR(AT234/AR234&gt;2,AT234/AR234&lt;0.5),"NM",(AT234/AR234-1)*100))</f>
        <v>NA</v>
      </c>
      <c r="AV234" s="122">
        <f>AT234/(AT232+AT235)*AV224</f>
        <v>0</v>
      </c>
      <c r="AW234" s="61" t="str">
        <f>IF(ISERROR(AV234/AT234),"NA",IF(OR(AV234/AT234&gt;2,AV234/AT234&lt;0.5),"NM",(AV234/AT234-1)*100))</f>
        <v>NA</v>
      </c>
      <c r="AX234" s="63" t="str">
        <f>IF(ISERROR(((AV234/AL234)^0.2-1)*100),"NA",IF((((AV234/AL234)^0.2-1)*100)&gt;100,"NM",IF((((AV234/AL234)^0.2-1)*100)&lt;-50,"NM",((AV234/AL234)^0.2-1)*100)))</f>
        <v>NA</v>
      </c>
      <c r="AY234" s="58"/>
      <c r="AZ234" s="106"/>
      <c r="BA234"/>
      <c r="BB234"/>
      <c r="BC234"/>
      <c r="BD234"/>
      <c r="BE234"/>
      <c r="BF234"/>
      <c r="BG234" s="31"/>
      <c r="BH234" s="28"/>
      <c r="BI234" s="28"/>
      <c r="BJ234" s="28"/>
      <c r="BK234" s="28"/>
      <c r="BL234" s="28"/>
      <c r="BM234" s="28"/>
      <c r="BN234" s="24"/>
    </row>
    <row r="235" spans="1:66" s="439" customFormat="1" ht="12.75" customHeight="1">
      <c r="A235" s="28"/>
      <c r="B235" s="95" t="s">
        <v>190</v>
      </c>
      <c r="C235" s="139">
        <f>C233+C234</f>
        <v>1619</v>
      </c>
      <c r="D235" s="61"/>
      <c r="E235" s="139">
        <f>E233+E234</f>
        <v>1625</v>
      </c>
      <c r="F235" s="61"/>
      <c r="G235" s="139">
        <f>G233+G234</f>
        <v>1569</v>
      </c>
      <c r="H235" s="61"/>
      <c r="I235" s="139">
        <f>I233+I234</f>
        <v>2043</v>
      </c>
      <c r="J235" s="61"/>
      <c r="K235" s="139">
        <f>K233+K234</f>
        <v>2071</v>
      </c>
      <c r="L235" s="135">
        <f>IF(ISERROR(K235/C235),"NA",IF(OR(K235/C235&gt;2,K235/C235&lt;0.5),"NM",(K235/C235-1)*100))</f>
        <v>27.918468190240887</v>
      </c>
      <c r="M235" s="139">
        <f>M233+M234</f>
        <v>2059</v>
      </c>
      <c r="N235" s="135">
        <f>IF(ISERROR(M235/E235),"NA",IF(OR(M235/E235&gt;2,M235/E235&lt;0.5),"NM",(M235/E235-1)*100))</f>
        <v>26.707692307692298</v>
      </c>
      <c r="O235" s="139">
        <f>O233+O234</f>
        <v>2136</v>
      </c>
      <c r="P235" s="135">
        <f>IF(ISERROR(O235/G235),"NA",IF(OR(O235/G235&gt;2,O235/G235&lt;0.5),"NM",(O235/G235-1)*100))</f>
        <v>36.137667304015288</v>
      </c>
      <c r="Q235" s="139">
        <f>Q233+Q234</f>
        <v>2328</v>
      </c>
      <c r="R235" s="135">
        <f>IF(ISERROR(Q235/I235),"NA",IF(OR(Q235/I235&gt;2,Q235/I235&lt;0.5),"NM",(Q235/I235-1)*100))</f>
        <v>13.950073421439058</v>
      </c>
      <c r="S235" s="139">
        <f>S233+S234</f>
        <v>2398.5459559673409</v>
      </c>
      <c r="T235" s="135">
        <f>IF(ISERROR(S235/K235),"NA",IF(OR(S235/K235&gt;2,S235/K235&lt;0.5),"NM",(S235/K235-1)*100))</f>
        <v>15.81583563338198</v>
      </c>
      <c r="U235" s="139">
        <f>U233+U234</f>
        <v>2471.010615747919</v>
      </c>
      <c r="V235" s="135">
        <f>IF(ISERROR(U235/M235),"NA",IF(OR(U235/M235&gt;2,U235/M235&lt;0.5),"NM",(U235/M235-1)*100))</f>
        <v>20.010229030981975</v>
      </c>
      <c r="W235" s="139">
        <f>W233+W234</f>
        <v>2549.0715712673946</v>
      </c>
      <c r="X235" s="135">
        <f>IF(ISERROR(W235/O235),"NA",IF(OR(W235/O235&gt;2,W235/O235&lt;0.5),"NM",(W235/O235-1)*100))</f>
        <v>19.338556707275025</v>
      </c>
      <c r="Y235" s="139">
        <f>Y233+Y234</f>
        <v>2628.4866996671462</v>
      </c>
      <c r="Z235" s="135">
        <f>IF(ISERROR(Y235/Q235),"NA",IF(OR(Y235/Q235&gt;2,Y235/Q235&lt;0.5),"NM",(Y235/Q235-1)*100))</f>
        <v>12.907504281234793</v>
      </c>
      <c r="AA235" s="108"/>
      <c r="AB235" s="180"/>
      <c r="AC235" s="91"/>
      <c r="AD235" s="139">
        <f>AD233+AD234</f>
        <v>745</v>
      </c>
      <c r="AE235" s="61"/>
      <c r="AF235" s="139">
        <f>AF233+AF234</f>
        <v>1101</v>
      </c>
      <c r="AG235" s="61">
        <f>IF(ISERROR(AF235/AD235),"NA",IF(OR(AF235/AD235&gt;2,AF235/AD235&lt;0.5),"NM",(AF235/AD235-1)*100))</f>
        <v>47.785234899328863</v>
      </c>
      <c r="AH235" s="139">
        <f>AH233+AH234</f>
        <v>1540</v>
      </c>
      <c r="AI235" s="61">
        <f>IF(ISERROR(AH235/AF235),"NA",IF(OR(AH235/AF235&gt;2,AH235/AF235&lt;0.5),"NM",(AH235/AF235-1)*100))</f>
        <v>39.872842870118077</v>
      </c>
      <c r="AJ235" s="139">
        <f>AJ233+AJ234</f>
        <v>2043</v>
      </c>
      <c r="AK235" s="61">
        <f>IF(ISERROR(AJ235/AH235),"NA",IF(OR(AJ235/AH235&gt;2,AJ235/AH235&lt;0.5),"NM",(AJ235/AH235-1)*100))</f>
        <v>32.662337662337663</v>
      </c>
      <c r="AL235" s="139">
        <f>AL233+AL234</f>
        <v>2328</v>
      </c>
      <c r="AM235" s="61">
        <f>IF(ISERROR(AL235/AJ235),"NA",IF(OR(AL235/AJ235&gt;2,AL235/AJ235&lt;0.5),"NM",(AL235/AJ235-1)*100))</f>
        <v>13.950073421439058</v>
      </c>
      <c r="AN235" s="139">
        <f>AN233+AN234</f>
        <v>2628.4866996671462</v>
      </c>
      <c r="AO235" s="61">
        <f>IF(ISERROR(AN235/AL235),"NA",IF(OR(AN235/AL235&gt;2,AN235/AL235&lt;0.5),"NM",(AN235/AL235-1)*100))</f>
        <v>12.907504281234793</v>
      </c>
      <c r="AP235" s="139">
        <f>AP233+AP234</f>
        <v>2817.0053840410719</v>
      </c>
      <c r="AQ235" s="61">
        <f>IF(ISERROR(AP235/AN235),"NA",IF(OR(AP235/AN235&gt;2,AP235/AN235&lt;0.5),"NM",(AP235/AN235-1)*100))</f>
        <v>7.1721376561577621</v>
      </c>
      <c r="AR235" s="139">
        <f>AR233+AR234</f>
        <v>3041.4537456940616</v>
      </c>
      <c r="AS235" s="61">
        <f>IF(ISERROR(AR235/AP235),"NA",IF(OR(AR235/AP235&gt;2,AR235/AP235&lt;0.5),"NM",(AR235/AP235-1)*100))</f>
        <v>7.9676227430922619</v>
      </c>
      <c r="AT235" s="139">
        <f>AT233+AT234</f>
        <v>3381.9628648306384</v>
      </c>
      <c r="AU235" s="61">
        <f>IF(ISERROR(AT235/AR235),"NA",IF(OR(AT235/AR235&gt;2,AT235/AR235&lt;0.5),"NM",(AT235/AR235-1)*100))</f>
        <v>11.195604063308618</v>
      </c>
      <c r="AV235" s="139">
        <f>AV233+AV234</f>
        <v>3746.4384678520796</v>
      </c>
      <c r="AW235" s="61">
        <f>IF(ISERROR(AV235/AT235),"NA",IF(OR(AV235/AT235&gt;2,AV235/AT235&lt;0.5),"NM",(AV235/AT235-1)*100))</f>
        <v>10.777043320364598</v>
      </c>
      <c r="AX235" s="63">
        <f>IF(ISERROR(((AV235/AL235)^0.2-1)*100),"NA",IF((((AV235/AL235)^0.2-1)*100)&gt;100,"NM",IF((((AV235/AL235)^0.2-1)*100)&lt;-50,"NM",((AV235/AL235)^0.2-1)*100)))</f>
        <v>9.9833960469534624</v>
      </c>
      <c r="AY235" s="58"/>
      <c r="AZ235" s="106"/>
      <c r="BA235"/>
      <c r="BB235"/>
      <c r="BC235"/>
      <c r="BD235"/>
      <c r="BE235"/>
      <c r="BF235"/>
      <c r="BG235" s="31"/>
      <c r="BH235" s="28"/>
      <c r="BI235" s="28"/>
      <c r="BJ235" s="28"/>
      <c r="BK235" s="28"/>
      <c r="BL235" s="28"/>
      <c r="BM235" s="28"/>
      <c r="BN235" s="24"/>
    </row>
    <row r="236" spans="1:66" s="439" customFormat="1" ht="12.75" customHeight="1">
      <c r="A236" s="28"/>
      <c r="B236" s="28"/>
      <c r="C236" s="141"/>
      <c r="D236" s="61"/>
      <c r="E236" s="91"/>
      <c r="F236" s="61"/>
      <c r="G236" s="91"/>
      <c r="H236" s="61"/>
      <c r="I236" s="91"/>
      <c r="J236" s="61"/>
      <c r="K236" s="91"/>
      <c r="L236" s="61"/>
      <c r="M236" s="91"/>
      <c r="N236" s="61"/>
      <c r="O236" s="91"/>
      <c r="P236" s="61"/>
      <c r="Q236" s="91"/>
      <c r="R236" s="61"/>
      <c r="S236" s="91"/>
      <c r="T236" s="61"/>
      <c r="U236" s="91"/>
      <c r="V236" s="61"/>
      <c r="W236" s="91"/>
      <c r="X236" s="61"/>
      <c r="Y236" s="91"/>
      <c r="Z236" s="61"/>
      <c r="AA236" s="108"/>
      <c r="AB236" s="180"/>
      <c r="AC236" s="91"/>
      <c r="AD236" s="91"/>
      <c r="AE236" s="61"/>
      <c r="AF236" s="91"/>
      <c r="AG236" s="61"/>
      <c r="AH236" s="91"/>
      <c r="AI236" s="61"/>
      <c r="AJ236" s="91"/>
      <c r="AK236" s="61"/>
      <c r="AL236" s="91"/>
      <c r="AM236" s="61"/>
      <c r="AN236" s="91"/>
      <c r="AO236" s="61"/>
      <c r="AP236" s="91"/>
      <c r="AQ236" s="61"/>
      <c r="AR236" s="91"/>
      <c r="AS236" s="61"/>
      <c r="AT236" s="91"/>
      <c r="AU236" s="61"/>
      <c r="AV236" s="91"/>
      <c r="AW236" s="61"/>
      <c r="AX236" s="61"/>
      <c r="AY236" s="58"/>
      <c r="AZ236" s="106"/>
      <c r="BA236"/>
      <c r="BB236"/>
      <c r="BC236"/>
      <c r="BD236"/>
      <c r="BE236"/>
      <c r="BF236"/>
      <c r="BG236" s="31"/>
      <c r="BH236" s="28"/>
      <c r="BI236" s="28"/>
      <c r="BJ236" s="28"/>
      <c r="BK236" s="28"/>
      <c r="BL236" s="28"/>
      <c r="BM236" s="28"/>
      <c r="BN236" s="24"/>
    </row>
    <row r="237" spans="1:66" s="439" customFormat="1" ht="12.75" customHeight="1">
      <c r="A237" s="28"/>
      <c r="B237" s="97" t="s">
        <v>107</v>
      </c>
      <c r="C237" s="91"/>
      <c r="D237" s="61"/>
      <c r="E237" s="91"/>
      <c r="F237" s="61"/>
      <c r="G237" s="91"/>
      <c r="H237" s="61"/>
      <c r="I237" s="91"/>
      <c r="J237" s="61"/>
      <c r="K237" s="91"/>
      <c r="L237" s="61"/>
      <c r="M237" s="91"/>
      <c r="N237" s="61"/>
      <c r="O237" s="91"/>
      <c r="P237" s="61"/>
      <c r="Q237" s="91"/>
      <c r="R237" s="61"/>
      <c r="S237" s="91"/>
      <c r="T237" s="61"/>
      <c r="U237" s="91"/>
      <c r="V237" s="61"/>
      <c r="W237" s="91"/>
      <c r="X237" s="61"/>
      <c r="Y237" s="91"/>
      <c r="Z237" s="61"/>
      <c r="AA237" s="108"/>
      <c r="AB237" s="180"/>
      <c r="AC237" s="91"/>
      <c r="AD237" s="91"/>
      <c r="AE237" s="61"/>
      <c r="AF237" s="91"/>
      <c r="AG237" s="61"/>
      <c r="AH237" s="91"/>
      <c r="AI237" s="61"/>
      <c r="AJ237" s="91"/>
      <c r="AK237" s="61"/>
      <c r="AL237" s="91"/>
      <c r="AM237" s="61"/>
      <c r="AN237" s="91"/>
      <c r="AO237" s="61"/>
      <c r="AP237" s="91"/>
      <c r="AQ237" s="61"/>
      <c r="AR237" s="91"/>
      <c r="AS237" s="61"/>
      <c r="AT237" s="91"/>
      <c r="AU237" s="61"/>
      <c r="AV237" s="91"/>
      <c r="AW237" s="61"/>
      <c r="AX237" s="61"/>
      <c r="AY237" s="58"/>
      <c r="AZ237" s="106"/>
      <c r="BA237"/>
      <c r="BB237"/>
      <c r="BC237"/>
      <c r="BD237"/>
      <c r="BE237"/>
      <c r="BF237"/>
      <c r="BG237" s="31"/>
      <c r="BH237" s="28"/>
      <c r="BI237" s="28"/>
      <c r="BJ237" s="28"/>
      <c r="BK237" s="28"/>
      <c r="BL237" s="28"/>
      <c r="BM237" s="28"/>
      <c r="BN237" s="24"/>
    </row>
    <row r="238" spans="1:66" s="439" customFormat="1" ht="12.75" customHeight="1">
      <c r="A238" s="24"/>
      <c r="B238" s="95" t="s">
        <v>193</v>
      </c>
      <c r="C238" s="138">
        <f>C61/AVERAGE(AH232,C232)*400</f>
        <v>19.216555801921658</v>
      </c>
      <c r="D238" s="61"/>
      <c r="E238" s="138">
        <f>E61/AVERAGE(C232,E232)*400</f>
        <v>18.884740455257134</v>
      </c>
      <c r="F238" s="61"/>
      <c r="G238" s="138">
        <f>G61/AVERAGE(E232,G232)*400</f>
        <v>12.956462274903124</v>
      </c>
      <c r="H238" s="61"/>
      <c r="I238" s="138">
        <f>I61/AVERAGE(G232,I232)*400</f>
        <v>21.535038932146829</v>
      </c>
      <c r="J238" s="61"/>
      <c r="K238" s="138">
        <f>K61/AVERAGE(I232,K232)*400</f>
        <v>23.745277927684835</v>
      </c>
      <c r="L238" s="135">
        <f t="shared" ref="L238:L243" si="76">IF(ISERROR(K238/C238),"NA",IF(OR(K238/C238&gt;2,K238/C238&lt;0.5),"NM",(K238/C238-1)*100))</f>
        <v>23.566773215990679</v>
      </c>
      <c r="M238" s="138">
        <f>M61/AVERAGE(K232,M232)*400</f>
        <v>21.398517331196153</v>
      </c>
      <c r="N238" s="135">
        <f t="shared" ref="N238:N243" si="77">IF(ISERROR(M238/E238),"NA",IF(OR(M238/E238&gt;2,M238/E238&lt;0.5),"NM",(M238/E238-1)*100))</f>
        <v>13.311153954669441</v>
      </c>
      <c r="O238" s="138">
        <f>O61/AVERAGE(M232,O232)*400</f>
        <v>18.526955201214882</v>
      </c>
      <c r="P238" s="135">
        <f t="shared" ref="P238:P243" si="78">IF(ISERROR(O238/G238),"NA",IF(OR(O238/G238&gt;2,O238/G238&lt;0.5),"NM",(O238/G238-1)*100))</f>
        <v>42.993934672290067</v>
      </c>
      <c r="Q238" s="138">
        <f>Q61/AVERAGE(O232,Q232)*400</f>
        <v>22.591362126245848</v>
      </c>
      <c r="R238" s="135">
        <f t="shared" ref="R238:R243" si="79">IF(ISERROR(Q238/I238),"NA",IF(OR(Q238/I238&gt;2,Q238/I238&lt;0.5),"NM",(Q238/I238-1)*100))</f>
        <v>4.90513714615195</v>
      </c>
      <c r="S238" s="138">
        <f>S61/AVERAGE(Q232,S232)*400</f>
        <v>17.6493058069974</v>
      </c>
      <c r="T238" s="135">
        <f t="shared" ref="T238:T243" si="80">IF(ISERROR(S238/K238),"NA",IF(OR(S238/K238&gt;2,S238/K238&lt;0.5),"NM",(S238/K238-1)*100))</f>
        <v>-25.672355317349581</v>
      </c>
      <c r="U238" s="138">
        <f>U61/AVERAGE(S232,U232)*400</f>
        <v>17.570932124534579</v>
      </c>
      <c r="V238" s="135">
        <f t="shared" ref="V238:V243" si="81">IF(ISERROR(U238/M238),"NA",IF(OR(U238/M238&gt;2,U238/M238&lt;0.5),"NM",(U238/M238-1)*100))</f>
        <v>-17.887151466711536</v>
      </c>
      <c r="W238" s="138">
        <f>W61/AVERAGE(U232,W232)*400</f>
        <v>18.435359793164924</v>
      </c>
      <c r="X238" s="135">
        <f t="shared" ref="X238:X243" si="82">IF(ISERROR(W238/O238),"NA",IF(OR(W238/O238&gt;2,W238/O238&lt;0.5),"NM",(W238/O238-1)*100))</f>
        <v>-0.49438996885980968</v>
      </c>
      <c r="Y238" s="138">
        <f>Y61/AVERAGE(W232,Y232)*400</f>
        <v>18.220179073372901</v>
      </c>
      <c r="Z238" s="135">
        <f t="shared" ref="Z238:Z243" si="83">IF(ISERROR(Y238/Q238),"NA",IF(OR(Y238/Q238&gt;2,Y238/Q238&lt;0.5),"NM",(Y238/Q238-1)*100))</f>
        <v>-19.348913219334662</v>
      </c>
      <c r="AA238" s="108"/>
      <c r="AB238" s="180"/>
      <c r="AC238" s="91"/>
      <c r="AD238" s="138">
        <f>AD61/AD232*100</f>
        <v>21.57676348547718</v>
      </c>
      <c r="AE238" s="61"/>
      <c r="AF238" s="138">
        <f>AF61/AVERAGE(AD232,AF232)*100</f>
        <v>32</v>
      </c>
      <c r="AG238" s="61">
        <f t="shared" ref="AG238:AG243" si="84">IF(ISERROR(AF238/AD238),"NA",IF(OR(AF238/AD238&gt;2,AF238/AD238&lt;0.5),"NM",(AF238/AD238-1)*100))</f>
        <v>48.307692307692292</v>
      </c>
      <c r="AH238" s="138">
        <f>AH61/AVERAGE(AF232,AH232)*100</f>
        <v>22.472238457042664</v>
      </c>
      <c r="AI238" s="61">
        <f t="shared" ref="AI238:AI243" si="85">IF(ISERROR(AH238/AF238),"NA",IF(OR(AH238/AF238&gt;2,AH238/AF238&lt;0.5),"NM",(AH238/AF238-1)*100))</f>
        <v>-29.774254821741675</v>
      </c>
      <c r="AJ238" s="138">
        <f>AJ61/AVERAGE(AH232,AJ232)*100</f>
        <v>18.248381400824012</v>
      </c>
      <c r="AK238" s="61">
        <f t="shared" ref="AK238:AK243" si="86">IF(ISERROR(AJ238/AH238),"NA",IF(OR(AJ238/AH238&gt;2,AJ238/AH238&lt;0.5),"NM",(AJ238/AH238-1)*100))</f>
        <v>-18.795889267074418</v>
      </c>
      <c r="AL238" s="138">
        <f>AL61/AVERAGE(AJ232,AL232)*100</f>
        <v>22.031675577524464</v>
      </c>
      <c r="AM238" s="61">
        <f t="shared" ref="AM238:AM243" si="87">IF(ISERROR(AL238/AJ238),"NA",IF(OR(AL238/AJ238&gt;2,AL238/AJ238&lt;0.5),"NM",(AL238/AJ238-1)*100))</f>
        <v>20.732217798393982</v>
      </c>
      <c r="AN238" s="138">
        <f>AN61/AVERAGE(AL232,AN232)*100</f>
        <v>17.949506612108863</v>
      </c>
      <c r="AO238" s="61">
        <f t="shared" ref="AO238:AS243" si="88">IF(ISERROR(AN238/AL238),"NA",IF(OR(AN238/AL238&gt;2,AN238/AL238&lt;0.5),"NM",(AN238/AL238-1)*100))</f>
        <v>-18.528635968024197</v>
      </c>
      <c r="AP238" s="138">
        <f>AP61/AVERAGE(AN232,AP232)*100</f>
        <v>18.377125094828283</v>
      </c>
      <c r="AQ238" s="61">
        <f t="shared" si="88"/>
        <v>2.3823411526584515</v>
      </c>
      <c r="AR238" s="138">
        <f>AR61/AVERAGE(AP232,AR232)*100</f>
        <v>18.939143318787334</v>
      </c>
      <c r="AS238" s="61">
        <f t="shared" si="88"/>
        <v>3.0582488885446679</v>
      </c>
      <c r="AT238" s="138">
        <f>AT61/AVERAGE(AR232,AT232)*100</f>
        <v>18.23830819843343</v>
      </c>
      <c r="AU238" s="61">
        <f t="shared" ref="AU238:AU243" si="89">IF(ISERROR(AT238/AR238),"NA",IF(OR(AT238/AR238&gt;2,AT238/AR238&lt;0.5),"NM",(AT238/AR238-1)*100))</f>
        <v>-3.7004584027762633</v>
      </c>
      <c r="AV238" s="138">
        <f>AV61/AVERAGE(AT232,AV232)*100</f>
        <v>17.447075217103585</v>
      </c>
      <c r="AW238" s="61">
        <f t="shared" ref="AW238:AW243" si="90">IF(ISERROR(AV238/AT238),"NA",IF(OR(AV238/AT238&gt;2,AV238/AT238&lt;0.5),"NM",(AV238/AT238-1)*100))</f>
        <v>-4.3383025043836394</v>
      </c>
      <c r="AX238" s="63">
        <f t="shared" ref="AX238:AX243" si="91">IF(ISERROR(((AV238/AL238)^0.2-1)*100),"NA",IF((((AV238/AL238)^0.2-1)*100)&gt;100,"NM",IF((((AV238/AL238)^0.2-1)*100)&lt;-50,"NM",((AV238/AL238)^0.2-1)*100)))</f>
        <v>-4.5589912046046788</v>
      </c>
      <c r="AY238" s="58"/>
      <c r="AZ238" s="106"/>
      <c r="BA238"/>
      <c r="BB238"/>
      <c r="BC238"/>
      <c r="BD238"/>
      <c r="BE238"/>
      <c r="BF238"/>
      <c r="BG238" s="31"/>
      <c r="BH238" s="28"/>
      <c r="BI238" s="28"/>
      <c r="BJ238" s="28"/>
      <c r="BK238" s="28"/>
      <c r="BL238" s="28"/>
      <c r="BM238" s="28"/>
      <c r="BN238" s="24"/>
    </row>
    <row r="239" spans="1:66" s="439" customFormat="1" ht="12.75" customHeight="1">
      <c r="A239" s="24" t="s">
        <v>108</v>
      </c>
      <c r="B239" s="95" t="s">
        <v>109</v>
      </c>
      <c r="C239" s="138">
        <f>C127/C228*400</f>
        <v>10.54481546572935</v>
      </c>
      <c r="D239" s="61"/>
      <c r="E239" s="138">
        <f>E127/E228*400</f>
        <v>12.389686797023707</v>
      </c>
      <c r="F239" s="61"/>
      <c r="G239" s="138">
        <f>G127/G228*400</f>
        <v>7.8203522831622019</v>
      </c>
      <c r="H239" s="61"/>
      <c r="I239" s="138">
        <f>I127/I228*400</f>
        <v>17.774956356133949</v>
      </c>
      <c r="J239" s="61"/>
      <c r="K239" s="138">
        <f>K127/K228*400</f>
        <v>15.862840104360791</v>
      </c>
      <c r="L239" s="61">
        <f t="shared" si="76"/>
        <v>50.432600323021482</v>
      </c>
      <c r="M239" s="138">
        <f>M127/M228*400</f>
        <v>15.83262651964942</v>
      </c>
      <c r="N239" s="61">
        <f t="shared" si="77"/>
        <v>27.788755107617312</v>
      </c>
      <c r="O239" s="138">
        <f>O127/O228*400</f>
        <v>12.544973185798655</v>
      </c>
      <c r="P239" s="61">
        <f t="shared" si="78"/>
        <v>60.41442548322167</v>
      </c>
      <c r="Q239" s="138">
        <f>Q127/Q228*400</f>
        <v>17.359477124183005</v>
      </c>
      <c r="R239" s="61">
        <f t="shared" si="79"/>
        <v>-2.3374416433240119</v>
      </c>
      <c r="S239" s="138">
        <f>S127/S228*400</f>
        <v>12.360098076332875</v>
      </c>
      <c r="T239" s="61">
        <f t="shared" si="80"/>
        <v>-22.081430594922224</v>
      </c>
      <c r="U239" s="138">
        <f>U127/U228*400</f>
        <v>12.322583624628431</v>
      </c>
      <c r="V239" s="61">
        <f t="shared" si="81"/>
        <v>-22.169681642302209</v>
      </c>
      <c r="W239" s="138">
        <f>W127/W228*400</f>
        <v>12.945371202873432</v>
      </c>
      <c r="X239" s="61">
        <f t="shared" si="82"/>
        <v>3.1917008601344943</v>
      </c>
      <c r="Y239" s="138">
        <f>Y127/Y228*400</f>
        <v>12.768670595127604</v>
      </c>
      <c r="Z239" s="61">
        <f t="shared" si="83"/>
        <v>-26.445534598850774</v>
      </c>
      <c r="AA239" s="108"/>
      <c r="AB239" s="180"/>
      <c r="AC239" s="91"/>
      <c r="AD239" s="138">
        <f>AD127/AD228*100</f>
        <v>29.05349794238683</v>
      </c>
      <c r="AE239" s="61" t="str">
        <f>IF(ISERROR(AD239/#REF!),"NA",IF(OR(AD239/#REF!&gt;2,AD239/#REF!&lt;0.5),"NM",(AD239/#REF!-1)*100))</f>
        <v>NA</v>
      </c>
      <c r="AF239" s="138">
        <f>AF127/AF228*100</f>
        <v>23.78329021457921</v>
      </c>
      <c r="AG239" s="61">
        <f t="shared" si="84"/>
        <v>-18.139666825173538</v>
      </c>
      <c r="AH239" s="138">
        <f>AH127/AH228*100</f>
        <v>15.603584607274644</v>
      </c>
      <c r="AI239" s="61">
        <f t="shared" si="85"/>
        <v>-34.392657758893208</v>
      </c>
      <c r="AJ239" s="138">
        <f>AJ127/AJ228*100</f>
        <v>12.023513826792513</v>
      </c>
      <c r="AK239" s="61">
        <f t="shared" si="86"/>
        <v>-22.943899562752033</v>
      </c>
      <c r="AL239" s="138">
        <f>AL127/AL228*100</f>
        <v>15.527863343601231</v>
      </c>
      <c r="AM239" s="61">
        <f t="shared" si="87"/>
        <v>29.1458018620133</v>
      </c>
      <c r="AN239" s="138">
        <f>AN127/AN228*100</f>
        <v>12.585701737740735</v>
      </c>
      <c r="AO239" s="61">
        <f t="shared" si="88"/>
        <v>-18.94762686118635</v>
      </c>
      <c r="AP239" s="138">
        <f>AP127/AP228*100</f>
        <v>12.853406131026757</v>
      </c>
      <c r="AQ239" s="61">
        <f t="shared" si="88"/>
        <v>2.127051783558942</v>
      </c>
      <c r="AR239" s="138">
        <f>AR127/AR228*100</f>
        <v>13.198928595555401</v>
      </c>
      <c r="AS239" s="61">
        <f t="shared" si="88"/>
        <v>2.6881782230049556</v>
      </c>
      <c r="AT239" s="138">
        <f>AT127/AT228*100</f>
        <v>12.70042702388122</v>
      </c>
      <c r="AU239" s="61">
        <f t="shared" si="89"/>
        <v>-3.7768336124043178</v>
      </c>
      <c r="AV239" s="138">
        <f>AV127/AV228*100</f>
        <v>12.14176936254786</v>
      </c>
      <c r="AW239" s="61">
        <f t="shared" si="90"/>
        <v>-4.398731320473626</v>
      </c>
      <c r="AX239" s="63">
        <f t="shared" si="91"/>
        <v>-4.8006340815957333</v>
      </c>
      <c r="AY239" s="58"/>
      <c r="AZ239" s="106"/>
      <c r="BA239"/>
      <c r="BB239"/>
      <c r="BC239"/>
      <c r="BD239"/>
      <c r="BE239"/>
      <c r="BF239"/>
      <c r="BG239" s="31"/>
      <c r="BH239" s="28"/>
      <c r="BI239" s="28"/>
      <c r="BJ239" s="28"/>
      <c r="BK239" s="28"/>
      <c r="BL239" s="28"/>
      <c r="BM239" s="28"/>
      <c r="BN239" s="24"/>
    </row>
    <row r="240" spans="1:66" s="439" customFormat="1" ht="12.75" customHeight="1">
      <c r="A240" s="24"/>
      <c r="B240" s="95" t="s">
        <v>194</v>
      </c>
      <c r="C240" s="138">
        <f>C127/(C228-C229)*400</f>
        <v>14.433485686793359</v>
      </c>
      <c r="D240" s="61"/>
      <c r="E240" s="138">
        <f>E127/(E228-E229)*400</f>
        <v>16.886792452830189</v>
      </c>
      <c r="F240" s="61"/>
      <c r="G240" s="138">
        <f>G127/(G228-G229)*400</f>
        <v>10.293374354466545</v>
      </c>
      <c r="H240" s="61"/>
      <c r="I240" s="138">
        <f>I127/(I228-I229)*400</f>
        <v>23.328473234742759</v>
      </c>
      <c r="J240" s="61"/>
      <c r="K240" s="138">
        <f>K127/(K228-K229)*400</f>
        <v>20.43206913106097</v>
      </c>
      <c r="L240" s="135">
        <f t="shared" si="76"/>
        <v>41.560185629700761</v>
      </c>
      <c r="M240" s="138">
        <f>M127/(M228-M229)*400</f>
        <v>20.09329027628274</v>
      </c>
      <c r="N240" s="135">
        <f t="shared" si="77"/>
        <v>18.988199401450867</v>
      </c>
      <c r="O240" s="138">
        <f>O127/(O228-O229)*400</f>
        <v>15.753132725257865</v>
      </c>
      <c r="P240" s="135">
        <f t="shared" si="78"/>
        <v>53.041482635110796</v>
      </c>
      <c r="Q240" s="138">
        <f>Q127/(Q228-Q229)*400</f>
        <v>21.59349593495935</v>
      </c>
      <c r="R240" s="135">
        <f t="shared" si="79"/>
        <v>-7.4371660859465667</v>
      </c>
      <c r="S240" s="138">
        <f>S127/(S228-S229)*400</f>
        <v>18.070652092315328</v>
      </c>
      <c r="T240" s="135">
        <f t="shared" si="80"/>
        <v>-11.557405290665345</v>
      </c>
      <c r="U240" s="138">
        <f>U127/(U228-U229)*400</f>
        <v>17.774628484791137</v>
      </c>
      <c r="V240" s="135">
        <f t="shared" si="81"/>
        <v>-11.539482880155539</v>
      </c>
      <c r="W240" s="138">
        <f>W127/(W228-W229)*400</f>
        <v>15.758610288705224</v>
      </c>
      <c r="X240" s="135">
        <f t="shared" si="82"/>
        <v>3.4771264502686527E-2</v>
      </c>
      <c r="Y240" s="138">
        <f>Y127/(Y228-Y229)*400</f>
        <v>15.441446445585044</v>
      </c>
      <c r="Z240" s="135">
        <f t="shared" si="83"/>
        <v>-28.490289427448779</v>
      </c>
      <c r="AA240" s="108"/>
      <c r="AB240" s="180"/>
      <c r="AC240" s="91"/>
      <c r="AD240" s="138">
        <f>AD127/(AD228-AD229)*100</f>
        <v>40.280082987551872</v>
      </c>
      <c r="AE240" s="61"/>
      <c r="AF240" s="138">
        <f>AF127/(AF228-AF229)*100</f>
        <v>35.770199130235753</v>
      </c>
      <c r="AG240" s="61">
        <f t="shared" si="84"/>
        <v>-11.196312228824979</v>
      </c>
      <c r="AH240" s="138">
        <f>AH127/(AH228-AH229)*100</f>
        <v>22.543792840822544</v>
      </c>
      <c r="AI240" s="61">
        <f t="shared" si="85"/>
        <v>-36.976048808834335</v>
      </c>
      <c r="AJ240" s="138">
        <f>AJ127/(AJ228-AJ229)*100</f>
        <v>15.996915620180655</v>
      </c>
      <c r="AK240" s="61">
        <f t="shared" si="86"/>
        <v>-29.040708752374321</v>
      </c>
      <c r="AL240" s="138">
        <f>AL127/(AL228-AL229)*100</f>
        <v>19.656150301311591</v>
      </c>
      <c r="AM240" s="61">
        <f t="shared" si="87"/>
        <v>22.874626384318031</v>
      </c>
      <c r="AN240" s="138">
        <f>AN127/(AN228-AN229)*100</f>
        <v>15.36361768380424</v>
      </c>
      <c r="AO240" s="61">
        <f t="shared" si="88"/>
        <v>-21.838114542810171</v>
      </c>
      <c r="AP240" s="138">
        <f>AP127/(AP228-AP229)*100</f>
        <v>15.265173409745794</v>
      </c>
      <c r="AQ240" s="61">
        <f t="shared" si="88"/>
        <v>-0.64076232619496576</v>
      </c>
      <c r="AR240" s="138">
        <f>AR127/(AR228-AR229)*100</f>
        <v>15.360730220985388</v>
      </c>
      <c r="AS240" s="61">
        <f t="shared" si="88"/>
        <v>0.6259792055725244</v>
      </c>
      <c r="AT240" s="138">
        <f>AT127/(AT228-AT229)*100</f>
        <v>14.524187599222527</v>
      </c>
      <c r="AU240" s="61">
        <f t="shared" si="89"/>
        <v>-5.44598212277696</v>
      </c>
      <c r="AV240" s="138">
        <f>AV127/(AV228-AV229)*100</f>
        <v>13.652168479690124</v>
      </c>
      <c r="AW240" s="61">
        <f t="shared" si="90"/>
        <v>-6.0039097786032558</v>
      </c>
      <c r="AX240" s="63">
        <f t="shared" si="91"/>
        <v>-7.0304700956729143</v>
      </c>
      <c r="AY240" s="58"/>
      <c r="AZ240" s="106"/>
      <c r="BA240"/>
      <c r="BB240"/>
      <c r="BC240"/>
      <c r="BD240"/>
      <c r="BE240"/>
      <c r="BF240"/>
      <c r="BG240" s="31"/>
      <c r="BH240" s="28"/>
      <c r="BI240" s="28"/>
      <c r="BJ240" s="28"/>
      <c r="BK240" s="28"/>
      <c r="BL240" s="28"/>
      <c r="BM240" s="28"/>
      <c r="BN240" s="24"/>
    </row>
    <row r="241" spans="1:66" s="439" customFormat="1" ht="12.75" customHeight="1">
      <c r="A241" s="24"/>
      <c r="B241" s="95" t="s">
        <v>110</v>
      </c>
      <c r="C241" s="138">
        <f>C129/C228*400</f>
        <v>9.701230228471001</v>
      </c>
      <c r="D241" s="61"/>
      <c r="E241" s="138">
        <f>E129/E228*400</f>
        <v>11.559093268731614</v>
      </c>
      <c r="F241" s="61"/>
      <c r="G241" s="138">
        <f>G129/G228*400</f>
        <v>18.372151264713249</v>
      </c>
      <c r="H241" s="61"/>
      <c r="I241" s="138">
        <f>I129/I228*400</f>
        <v>8.8239961910807807</v>
      </c>
      <c r="J241" s="61"/>
      <c r="K241" s="138">
        <f>K129/K228*400</f>
        <v>13.298546403279909</v>
      </c>
      <c r="L241" s="61">
        <f t="shared" si="76"/>
        <v>37.081030859896181</v>
      </c>
      <c r="M241" s="138">
        <f>M129/M228*400</f>
        <v>13.061916878710772</v>
      </c>
      <c r="N241" s="61">
        <f t="shared" si="77"/>
        <v>13.001224015074175</v>
      </c>
      <c r="O241" s="138">
        <f>O129/O228*400</f>
        <v>13.794039780055664</v>
      </c>
      <c r="P241" s="61">
        <f t="shared" si="78"/>
        <v>-24.918755668263003</v>
      </c>
      <c r="Q241" s="138">
        <f>Q129/Q228*400</f>
        <v>13.699346405228757</v>
      </c>
      <c r="R241" s="61">
        <f t="shared" si="79"/>
        <v>55.251046221846046</v>
      </c>
      <c r="S241" s="138">
        <f>S129/S228*400</f>
        <v>12.360098076332875</v>
      </c>
      <c r="T241" s="61">
        <f t="shared" si="80"/>
        <v>-7.0567737141224551</v>
      </c>
      <c r="U241" s="138">
        <f>U129/U228*400</f>
        <v>12.322583624628431</v>
      </c>
      <c r="V241" s="61">
        <f t="shared" si="81"/>
        <v>-5.660220172487529</v>
      </c>
      <c r="W241" s="138">
        <f>W129/W228*400</f>
        <v>12.945371202873432</v>
      </c>
      <c r="X241" s="61">
        <f t="shared" si="82"/>
        <v>-6.1524295327123335</v>
      </c>
      <c r="Y241" s="138">
        <f>Y129/Y228*400</f>
        <v>12.768670595127604</v>
      </c>
      <c r="Z241" s="61">
        <f t="shared" si="83"/>
        <v>-6.7935781939635671</v>
      </c>
      <c r="AA241" s="108"/>
      <c r="AB241" s="180"/>
      <c r="AC241" s="91"/>
      <c r="AD241" s="138">
        <f>AD129/AD228*100</f>
        <v>17.268986157875048</v>
      </c>
      <c r="AE241" s="61"/>
      <c r="AF241" s="138">
        <f>AF129/AF228*100</f>
        <v>22.048394460508295</v>
      </c>
      <c r="AG241" s="61">
        <f t="shared" si="84"/>
        <v>27.676253017631435</v>
      </c>
      <c r="AH241" s="138">
        <f>AH129/AH228*100</f>
        <v>14.971006852925672</v>
      </c>
      <c r="AI241" s="61">
        <f t="shared" si="85"/>
        <v>-32.099333220199753</v>
      </c>
      <c r="AJ241" s="138">
        <f>AJ129/AJ228*100</f>
        <v>11.907600596125185</v>
      </c>
      <c r="AK241" s="61">
        <f t="shared" si="86"/>
        <v>-20.462259398417338</v>
      </c>
      <c r="AL241" s="138">
        <f>AL129/AL228*100</f>
        <v>13.58162979557547</v>
      </c>
      <c r="AM241" s="61">
        <f t="shared" si="87"/>
        <v>14.058493026672615</v>
      </c>
      <c r="AN241" s="138">
        <f>AN129/AN228*100</f>
        <v>12.585701737740735</v>
      </c>
      <c r="AO241" s="61">
        <f t="shared" si="88"/>
        <v>-7.3329053495419405</v>
      </c>
      <c r="AP241" s="138">
        <f>AP129/AP228*100</f>
        <v>12.853406131026757</v>
      </c>
      <c r="AQ241" s="61">
        <f t="shared" si="88"/>
        <v>2.127051783558942</v>
      </c>
      <c r="AR241" s="138">
        <f>AR129/AR228*100</f>
        <v>13.198928595555401</v>
      </c>
      <c r="AS241" s="61">
        <f t="shared" si="88"/>
        <v>2.6881782230049556</v>
      </c>
      <c r="AT241" s="138">
        <f>AT129/AT228*100</f>
        <v>12.70042702388122</v>
      </c>
      <c r="AU241" s="61">
        <f t="shared" si="89"/>
        <v>-3.7768336124043178</v>
      </c>
      <c r="AV241" s="138">
        <f>AV129/AV228*100</f>
        <v>12.14176936254786</v>
      </c>
      <c r="AW241" s="61">
        <f t="shared" si="90"/>
        <v>-4.398731320473626</v>
      </c>
      <c r="AX241" s="63">
        <f t="shared" si="91"/>
        <v>-2.2164009184867939</v>
      </c>
      <c r="AY241" s="58"/>
      <c r="AZ241" s="106"/>
      <c r="BA241"/>
      <c r="BB241"/>
      <c r="BC241"/>
      <c r="BD241"/>
      <c r="BE241"/>
      <c r="BF241"/>
      <c r="BG241" s="31"/>
      <c r="BH241" s="28"/>
      <c r="BI241" s="28"/>
      <c r="BJ241" s="28"/>
      <c r="BK241" s="28"/>
      <c r="BL241" s="28"/>
      <c r="BM241" s="28"/>
      <c r="BN241" s="24"/>
    </row>
    <row r="242" spans="1:66" s="439" customFormat="1" ht="12.75" customHeight="1">
      <c r="A242" s="24" t="s">
        <v>111</v>
      </c>
      <c r="B242" s="95" t="s">
        <v>112</v>
      </c>
      <c r="C242" s="138">
        <f>C145/C228*400</f>
        <v>5.9753954305799644</v>
      </c>
      <c r="D242" s="61"/>
      <c r="E242" s="138">
        <f>E145/E228*400</f>
        <v>13.358712580031149</v>
      </c>
      <c r="F242" s="61"/>
      <c r="G242" s="138">
        <f>G145/G228*400</f>
        <v>8.4214041238834643</v>
      </c>
      <c r="H242" s="61"/>
      <c r="I242" s="138">
        <f>I145/I228*400</f>
        <v>23.10744326297413</v>
      </c>
      <c r="J242" s="61"/>
      <c r="K242" s="138">
        <f>K145/K228*400</f>
        <v>22.8997390980246</v>
      </c>
      <c r="L242" s="61" t="str">
        <f t="shared" si="76"/>
        <v>NM</v>
      </c>
      <c r="M242" s="138">
        <f>M145/M228*400</f>
        <v>18.43370087644897</v>
      </c>
      <c r="N242" s="61">
        <f t="shared" si="77"/>
        <v>37.990100213728731</v>
      </c>
      <c r="O242" s="138">
        <f>O145/O228*400</f>
        <v>14.880184644626976</v>
      </c>
      <c r="P242" s="61">
        <f t="shared" si="78"/>
        <v>76.694817464300669</v>
      </c>
      <c r="Q242" s="138">
        <f>Q145/Q228*400</f>
        <v>24.261437908496735</v>
      </c>
      <c r="R242" s="61">
        <f t="shared" si="79"/>
        <v>4.9940386410974869</v>
      </c>
      <c r="S242" s="138">
        <f>S145/S228*400</f>
        <v>11.940382109819629</v>
      </c>
      <c r="T242" s="61">
        <f t="shared" si="80"/>
        <v>-47.857999347906798</v>
      </c>
      <c r="U242" s="138">
        <f>U145/U228*400</f>
        <v>11.904929529146505</v>
      </c>
      <c r="V242" s="61">
        <f t="shared" si="81"/>
        <v>-35.417583213817203</v>
      </c>
      <c r="W242" s="138">
        <f>W145/W228*400</f>
        <v>12.439789248292977</v>
      </c>
      <c r="X242" s="61">
        <f t="shared" si="82"/>
        <v>-16.400303185855904</v>
      </c>
      <c r="Y242" s="138">
        <f>Y145/Y228*400</f>
        <v>12.270668796999134</v>
      </c>
      <c r="Z242" s="61">
        <f t="shared" si="83"/>
        <v>-49.423159322713708</v>
      </c>
      <c r="AA242" s="108"/>
      <c r="AB242" s="180"/>
      <c r="AC242" s="91"/>
      <c r="AD242" s="138">
        <f>AD145/AD228*100</f>
        <v>33.557800224466895</v>
      </c>
      <c r="AE242" s="61" t="str">
        <f>IF(ISERROR(AD242/#REF!),"NA",IF(OR(AD242/#REF!&gt;2,AD242/#REF!&lt;0.5),"NM",(AD242/#REF!-1)*100))</f>
        <v>NA</v>
      </c>
      <c r="AF242" s="138">
        <f>AF145/AF228*100</f>
        <v>13.891340739613453</v>
      </c>
      <c r="AG242" s="61" t="str">
        <f t="shared" si="84"/>
        <v>NM</v>
      </c>
      <c r="AH242" s="138">
        <f>AH145/AH228*100</f>
        <v>11.850289931470744</v>
      </c>
      <c r="AI242" s="61">
        <f t="shared" si="85"/>
        <v>-14.6929720204927</v>
      </c>
      <c r="AJ242" s="138">
        <f>AJ145/AJ228*100</f>
        <v>12.718993210796489</v>
      </c>
      <c r="AK242" s="61">
        <f t="shared" si="86"/>
        <v>7.3306500039187705</v>
      </c>
      <c r="AL242" s="138">
        <f>AL145/AL228*100</f>
        <v>20.274432931951832</v>
      </c>
      <c r="AM242" s="61">
        <f t="shared" si="87"/>
        <v>59.402812753622072</v>
      </c>
      <c r="AN242" s="138">
        <f>AN145/AN228*100</f>
        <v>12.124987632361647</v>
      </c>
      <c r="AO242" s="61">
        <f t="shared" si="88"/>
        <v>-40.19567564203944</v>
      </c>
      <c r="AP242" s="138">
        <f>AP145/AP228*100</f>
        <v>12.409658989753652</v>
      </c>
      <c r="AQ242" s="61">
        <f t="shared" si="88"/>
        <v>2.3478074042089458</v>
      </c>
      <c r="AR242" s="138">
        <f>AR145/AR228*100</f>
        <v>12.761484477474713</v>
      </c>
      <c r="AS242" s="61">
        <f t="shared" si="88"/>
        <v>2.83509392169079</v>
      </c>
      <c r="AT242" s="138">
        <f>AT145/AT228*100</f>
        <v>12.276346881761915</v>
      </c>
      <c r="AU242" s="61">
        <f t="shared" si="89"/>
        <v>-3.8015765060022133</v>
      </c>
      <c r="AV242" s="138">
        <f>AV145/AV228*100</f>
        <v>11.734662984016476</v>
      </c>
      <c r="AW242" s="61">
        <f t="shared" si="90"/>
        <v>-4.4124192885929281</v>
      </c>
      <c r="AX242" s="63">
        <f t="shared" si="91"/>
        <v>-10.359477137062678</v>
      </c>
      <c r="AY242" s="58"/>
      <c r="AZ242" s="106"/>
      <c r="BA242"/>
      <c r="BB242"/>
      <c r="BC242"/>
      <c r="BD242"/>
      <c r="BE242"/>
      <c r="BF242"/>
      <c r="BG242" s="31"/>
      <c r="BH242" s="28"/>
      <c r="BI242" s="28"/>
      <c r="BJ242" s="28"/>
      <c r="BK242" s="28"/>
      <c r="BL242" s="28"/>
      <c r="BM242" s="28"/>
      <c r="BN242" s="24"/>
    </row>
    <row r="243" spans="1:66" s="439" customFormat="1" ht="12.75" customHeight="1">
      <c r="A243" s="24" t="s">
        <v>113</v>
      </c>
      <c r="B243" s="95" t="s">
        <v>114</v>
      </c>
      <c r="C243" s="138">
        <f>C145/C227*400</f>
        <v>5.9753954305799644</v>
      </c>
      <c r="D243" s="61"/>
      <c r="E243" s="138">
        <f>E145/E227*400</f>
        <v>12.786749482401657</v>
      </c>
      <c r="F243" s="61"/>
      <c r="G243" s="138">
        <f>G145/G227*400</f>
        <v>7.4903474903474914</v>
      </c>
      <c r="H243" s="61"/>
      <c r="I243" s="138">
        <f>I145/I227*400</f>
        <v>20.966232270141838</v>
      </c>
      <c r="J243" s="61"/>
      <c r="K243" s="138">
        <f>K145/K227*400</f>
        <v>21.252161881701834</v>
      </c>
      <c r="L243" s="61" t="str">
        <f t="shared" si="76"/>
        <v>NM</v>
      </c>
      <c r="M243" s="138">
        <f>M145/M227*400</f>
        <v>16.422139663749132</v>
      </c>
      <c r="N243" s="61">
        <f t="shared" si="77"/>
        <v>28.430917383271215</v>
      </c>
      <c r="O243" s="138">
        <f>O145/O227*400</f>
        <v>12.929864920663009</v>
      </c>
      <c r="P243" s="61">
        <f t="shared" si="78"/>
        <v>72.620361569676234</v>
      </c>
      <c r="Q243" s="138">
        <f>Q145/Q227*400</f>
        <v>20.764110309336019</v>
      </c>
      <c r="R243" s="61">
        <f t="shared" si="79"/>
        <v>-0.96403568462638534</v>
      </c>
      <c r="S243" s="138">
        <f>S145/S227*400</f>
        <v>10.128726317593705</v>
      </c>
      <c r="T243" s="61" t="str">
        <f t="shared" si="80"/>
        <v>NM</v>
      </c>
      <c r="U243" s="138">
        <f>U145/U227*400</f>
        <v>10.143852869950173</v>
      </c>
      <c r="V243" s="61">
        <f t="shared" si="81"/>
        <v>-38.230625986319509</v>
      </c>
      <c r="W243" s="138">
        <f>W145/W227*400</f>
        <v>10.646816541591249</v>
      </c>
      <c r="X243" s="61">
        <f t="shared" si="82"/>
        <v>-17.657171154381178</v>
      </c>
      <c r="Y243" s="138">
        <f>Y145/Y227*400</f>
        <v>10.548313419624069</v>
      </c>
      <c r="Z243" s="61">
        <f t="shared" si="83"/>
        <v>-49.199299837656383</v>
      </c>
      <c r="AA243" s="108"/>
      <c r="AB243" s="180"/>
      <c r="AC243" s="91"/>
      <c r="AD243" s="138">
        <f>AD145/AD227*100</f>
        <v>33.557800224466895</v>
      </c>
      <c r="AE243" s="61" t="str">
        <f>IF(ISERROR(AD243/#REF!),"NA",IF(OR(AD243/#REF!&gt;2,AD243/#REF!&lt;0.5),"NM",(AD243/#REF!-1)*100))</f>
        <v>NA</v>
      </c>
      <c r="AF243" s="138">
        <f>AF145/AF227*100</f>
        <v>12.529855868222375</v>
      </c>
      <c r="AG243" s="61" t="str">
        <f t="shared" si="84"/>
        <v>NM</v>
      </c>
      <c r="AH243" s="138">
        <f>AH145/AH227*100</f>
        <v>11.360420456842531</v>
      </c>
      <c r="AI243" s="61">
        <f t="shared" si="85"/>
        <v>-9.3331912487972897</v>
      </c>
      <c r="AJ243" s="138">
        <f>AJ145/AJ227*100</f>
        <v>12.581490581490579</v>
      </c>
      <c r="AK243" s="61">
        <f t="shared" si="86"/>
        <v>10.748458908601233</v>
      </c>
      <c r="AL243" s="138">
        <f>AL145/AL227*100</f>
        <v>18.025644217602391</v>
      </c>
      <c r="AM243" s="61">
        <f t="shared" si="87"/>
        <v>43.271133899834169</v>
      </c>
      <c r="AN243" s="138">
        <f>AN145/AN227*100</f>
        <v>10.358232209912076</v>
      </c>
      <c r="AO243" s="61">
        <f t="shared" si="88"/>
        <v>-42.536133050950475</v>
      </c>
      <c r="AP243" s="138">
        <f>AP145/AP227*100</f>
        <v>10.741981707359445</v>
      </c>
      <c r="AQ243" s="61">
        <f t="shared" si="88"/>
        <v>3.7047778971410539</v>
      </c>
      <c r="AR243" s="138">
        <f>AR145/AR227*100</f>
        <v>11.152170668494994</v>
      </c>
      <c r="AS243" s="61">
        <f t="shared" si="88"/>
        <v>3.8185594828794578</v>
      </c>
      <c r="AT243" s="138">
        <f>AT145/AT227*100</f>
        <v>10.848538638570664</v>
      </c>
      <c r="AU243" s="61">
        <f t="shared" si="89"/>
        <v>-2.7226271812903158</v>
      </c>
      <c r="AV243" s="138">
        <f>AV145/AV227*100</f>
        <v>10.490521757375499</v>
      </c>
      <c r="AW243" s="61">
        <f t="shared" si="90"/>
        <v>-3.300139245688638</v>
      </c>
      <c r="AX243" s="63">
        <f t="shared" si="91"/>
        <v>-10.260993162137588</v>
      </c>
      <c r="AY243" s="58"/>
      <c r="AZ243" s="106"/>
      <c r="BA243"/>
      <c r="BB243"/>
      <c r="BC243"/>
      <c r="BD243"/>
      <c r="BE243"/>
      <c r="BF243"/>
      <c r="BG243" s="31"/>
      <c r="BH243" s="28"/>
      <c r="BI243" s="28"/>
      <c r="BJ243" s="28"/>
      <c r="BK243" s="28"/>
      <c r="BL243" s="28"/>
      <c r="BM243" s="28"/>
      <c r="BN243" s="24"/>
    </row>
    <row r="244" spans="1:66" s="439" customFormat="1" ht="12.75" customHeight="1">
      <c r="A244" s="109"/>
      <c r="B244" s="95"/>
      <c r="C244" s="93"/>
      <c r="D244" s="61"/>
      <c r="E244" s="93"/>
      <c r="F244" s="61"/>
      <c r="G244" s="93"/>
      <c r="H244" s="61"/>
      <c r="I244" s="93"/>
      <c r="J244" s="61"/>
      <c r="K244" s="93"/>
      <c r="L244" s="61"/>
      <c r="M244" s="93"/>
      <c r="N244" s="61"/>
      <c r="O244" s="93"/>
      <c r="P244" s="61"/>
      <c r="Q244" s="93"/>
      <c r="R244" s="61"/>
      <c r="S244" s="93"/>
      <c r="T244" s="61"/>
      <c r="U244" s="93"/>
      <c r="V244" s="61"/>
      <c r="W244" s="93"/>
      <c r="X244" s="61"/>
      <c r="Y244" s="93"/>
      <c r="Z244" s="61"/>
      <c r="AA244" s="108"/>
      <c r="AB244" s="180"/>
      <c r="AC244" s="93"/>
      <c r="AD244" s="93"/>
      <c r="AE244" s="61"/>
      <c r="AF244" s="93"/>
      <c r="AG244" s="61"/>
      <c r="AH244" s="93"/>
      <c r="AI244" s="61"/>
      <c r="AJ244" s="93"/>
      <c r="AK244" s="61"/>
      <c r="AL244" s="93"/>
      <c r="AM244" s="61"/>
      <c r="AN244" s="93"/>
      <c r="AO244" s="61"/>
      <c r="AP244" s="93"/>
      <c r="AQ244" s="61"/>
      <c r="AR244" s="93"/>
      <c r="AS244" s="61"/>
      <c r="AT244" s="93"/>
      <c r="AU244" s="61"/>
      <c r="AV244" s="93"/>
      <c r="AW244" s="61"/>
      <c r="AX244" s="61"/>
      <c r="AY244" s="58"/>
      <c r="AZ244" s="106"/>
      <c r="BA244"/>
      <c r="BB244"/>
      <c r="BC244"/>
      <c r="BD244"/>
      <c r="BE244"/>
      <c r="BF244"/>
      <c r="BG244" s="31"/>
      <c r="BH244" s="28"/>
      <c r="BI244" s="28"/>
      <c r="BJ244" s="28"/>
      <c r="BK244" s="28"/>
      <c r="BL244" s="28"/>
      <c r="BM244" s="28"/>
      <c r="BN244" s="24"/>
    </row>
    <row r="245" spans="1:66" s="439" customFormat="1" ht="12.75" customHeight="1">
      <c r="A245" s="109"/>
      <c r="B245" s="97" t="s">
        <v>115</v>
      </c>
      <c r="C245" s="91"/>
      <c r="D245" s="61"/>
      <c r="E245" s="91"/>
      <c r="F245" s="61"/>
      <c r="G245" s="91"/>
      <c r="H245" s="61"/>
      <c r="I245" s="91"/>
      <c r="J245" s="61"/>
      <c r="K245" s="91"/>
      <c r="L245" s="61"/>
      <c r="M245" s="91"/>
      <c r="N245" s="61"/>
      <c r="O245" s="91"/>
      <c r="P245" s="61"/>
      <c r="Q245" s="91"/>
      <c r="R245" s="61"/>
      <c r="S245" s="91"/>
      <c r="T245" s="61"/>
      <c r="U245" s="91"/>
      <c r="V245" s="61"/>
      <c r="W245" s="91"/>
      <c r="X245" s="61"/>
      <c r="Y245" s="91"/>
      <c r="Z245" s="61"/>
      <c r="AA245" s="108"/>
      <c r="AB245" s="180"/>
      <c r="AC245" s="91"/>
      <c r="AD245" s="91"/>
      <c r="AE245" s="61"/>
      <c r="AF245" s="91"/>
      <c r="AG245" s="61"/>
      <c r="AH245" s="91"/>
      <c r="AI245" s="61"/>
      <c r="AJ245" s="91"/>
      <c r="AK245" s="61"/>
      <c r="AL245" s="91"/>
      <c r="AM245" s="61"/>
      <c r="AN245" s="91"/>
      <c r="AO245" s="61"/>
      <c r="AP245" s="91"/>
      <c r="AQ245" s="61"/>
      <c r="AR245" s="91"/>
      <c r="AS245" s="61"/>
      <c r="AT245" s="91"/>
      <c r="AU245" s="61"/>
      <c r="AV245" s="91"/>
      <c r="AW245" s="61"/>
      <c r="AX245" s="61"/>
      <c r="AY245" s="58"/>
      <c r="AZ245" s="106"/>
      <c r="BA245"/>
      <c r="BB245"/>
      <c r="BC245"/>
      <c r="BD245"/>
      <c r="BE245"/>
      <c r="BF245"/>
      <c r="BG245" s="31"/>
      <c r="BH245" s="28"/>
      <c r="BI245" s="28"/>
      <c r="BJ245" s="28"/>
      <c r="BK245" s="28"/>
      <c r="BL245" s="28"/>
      <c r="BM245" s="28"/>
      <c r="BN245" s="24"/>
    </row>
    <row r="246" spans="1:66" s="439" customFormat="1" ht="12.75" customHeight="1">
      <c r="A246" s="109" t="s">
        <v>116</v>
      </c>
      <c r="B246" s="95" t="s">
        <v>117</v>
      </c>
      <c r="C246" s="139">
        <f>+C212+C214+C226</f>
        <v>5690</v>
      </c>
      <c r="D246" s="61"/>
      <c r="E246" s="139">
        <f>+E212+E214+E226</f>
        <v>5868</v>
      </c>
      <c r="F246" s="61"/>
      <c r="G246" s="139">
        <f>+G212+G214+G226</f>
        <v>6111</v>
      </c>
      <c r="H246" s="61"/>
      <c r="I246" s="139">
        <f>+I212+I214+I226</f>
        <v>6491</v>
      </c>
      <c r="J246" s="61"/>
      <c r="K246" s="139">
        <f>+K212+K214+K226</f>
        <v>6924</v>
      </c>
      <c r="L246" s="61">
        <f>IF(ISERROR(K246/C246),"NA",IF(OR(K246/C246&gt;2,K246/C246&lt;0.5),"NM",(K246/C246-1)*100))</f>
        <v>21.687170474516691</v>
      </c>
      <c r="M246" s="139">
        <f>+M212+M214+M226</f>
        <v>7224</v>
      </c>
      <c r="N246" s="61">
        <f>IF(ISERROR(M246/E246),"NA",IF(OR(M246/E246&gt;2,M246/E246&lt;0.5),"NM",(M246/E246-1)*100))</f>
        <v>23.108384458077701</v>
      </c>
      <c r="O246" s="139">
        <f>+O212+O214+O226</f>
        <v>7507</v>
      </c>
      <c r="P246" s="61">
        <f>IF(ISERROR(O246/G246),"NA",IF(OR(O246/G246&gt;2,O246/G246&lt;0.5),"NM",(O246/G246-1)*100))</f>
        <v>22.844051710031099</v>
      </c>
      <c r="Q246" s="139">
        <f>+Q212+Q214+Q226</f>
        <v>7793</v>
      </c>
      <c r="R246" s="61">
        <f>IF(ISERROR(Q246/I246),"NA",IF(OR(Q246/I246&gt;2,Q246/I246&lt;0.5),"NM",(Q246/I246-1)*100))</f>
        <v>20.058542597442617</v>
      </c>
      <c r="S246" s="139">
        <f>+S212+S214+S226</f>
        <v>9029.1531936655883</v>
      </c>
      <c r="T246" s="61">
        <f>IF(ISERROR(S246/K246),"NA",IF(OR(S246/K246&gt;2,S246/K246&lt;0.5),"NM",(S246/K246-1)*100))</f>
        <v>30.403714524344139</v>
      </c>
      <c r="U246" s="139">
        <f>+U212+U214+U226</f>
        <v>9271.7292648296971</v>
      </c>
      <c r="V246" s="61">
        <f>IF(ISERROR(U246/M246),"NA",IF(OR(U246/M246&gt;2,U246/M246&lt;0.5),"NM",(U246/M246-1)*100))</f>
        <v>28.346196910710098</v>
      </c>
      <c r="W246" s="139">
        <f>+W212+W214+W226</f>
        <v>9533.0389840579064</v>
      </c>
      <c r="X246" s="61">
        <f>IF(ISERROR(W246/O246),"NA",IF(OR(W246/O246&gt;2,W246/O246&lt;0.5),"NM",(W246/O246-1)*100))</f>
        <v>26.988663701317517</v>
      </c>
      <c r="Y246" s="139">
        <f>+Y212+Y214+Y226</f>
        <v>9798.8818086366282</v>
      </c>
      <c r="Z246" s="61">
        <f>IF(ISERROR(Y246/Q246),"NA",IF(OR(Y246/Q246&gt;2,Y246/Q246&lt;0.5),"NM",(Y246/Q246-1)*100))</f>
        <v>25.739533024979199</v>
      </c>
      <c r="AA246" s="108"/>
      <c r="AB246" s="180"/>
      <c r="AC246" s="91"/>
      <c r="AD246" s="139">
        <f>+AD212+AD214+AD226</f>
        <v>2673</v>
      </c>
      <c r="AE246" s="61" t="str">
        <f>IF(ISERROR(AD246/#REF!),"NA",IF(OR(AD246/#REF!&gt;2,AD246/#REF!&lt;0.5),"NM",(AD246/#REF!-1)*100))</f>
        <v>NA</v>
      </c>
      <c r="AF246" s="139">
        <f>+AF212+AF214+AF226</f>
        <v>3898</v>
      </c>
      <c r="AG246" s="61">
        <f>IF(ISERROR(AF246/AD246),"NA",IF(OR(AF246/AD246&gt;2,AF246/AD246&lt;0.5),"NM",(AF246/AD246-1)*100))</f>
        <v>45.828656939768052</v>
      </c>
      <c r="AH246" s="139">
        <f>+AH212+AH214+AH226</f>
        <v>5587</v>
      </c>
      <c r="AI246" s="61">
        <f>IF(ISERROR(AH246/AF246),"NA",IF(OR(AH246/AF246&gt;2,AH246/AF246&lt;0.5),"NM",(AH246/AF246-1)*100))</f>
        <v>43.329912775782439</v>
      </c>
      <c r="AJ246" s="139">
        <f>+AJ212+AJ214+AJ226</f>
        <v>6491</v>
      </c>
      <c r="AK246" s="61">
        <f>IF(ISERROR(AJ246/AH246),"NA",IF(OR(AJ246/AH246&gt;2,AJ246/AH246&lt;0.5),"NM",(AJ246/AH246-1)*100))</f>
        <v>16.180418829425449</v>
      </c>
      <c r="AL246" s="139">
        <f>+AL212+AL214+AL226</f>
        <v>7793</v>
      </c>
      <c r="AM246" s="61">
        <f>IF(ISERROR(AL246/AJ246),"NA",IF(OR(AL246/AJ246&gt;2,AL246/AJ246&lt;0.5),"NM",(AL246/AJ246-1)*100))</f>
        <v>20.058542597442617</v>
      </c>
      <c r="AN246" s="139">
        <f>+AN212+AN214+AN226</f>
        <v>9798.8818086366282</v>
      </c>
      <c r="AO246" s="61">
        <f>IF(ISERROR(AN246/AL246),"NA",IF(OR(AN246/AL246&gt;2,AN246/AL246&lt;0.5),"NM",(AN246/AL246-1)*100))</f>
        <v>25.739533024979199</v>
      </c>
      <c r="AP246" s="139">
        <f>+AP212+AP214+AP226</f>
        <v>10429.949724154671</v>
      </c>
      <c r="AQ246" s="61">
        <f>IF(ISERROR(AP246/AN246),"NA",IF(OR(AP246/AN246&gt;2,AP246/AN246&lt;0.5),"NM",(AP246/AN246-1)*100))</f>
        <v>6.4402033603653264</v>
      </c>
      <c r="AR246" s="139">
        <f>+AR212+AR214+AR226</f>
        <v>11181.292543038584</v>
      </c>
      <c r="AS246" s="61">
        <f>IF(ISERROR(AR246/AP246),"NA",IF(OR(AR246/AP246&gt;2,AR246/AP246&lt;0.5),"NM",(AR246/AP246-1)*100))</f>
        <v>7.2037050873206221</v>
      </c>
      <c r="AT246" s="139">
        <f>+AT212+AT214+AT226</f>
        <v>12321.14974468435</v>
      </c>
      <c r="AU246" s="61">
        <f>IF(ISERROR(AT246/AR246),"NA",IF(OR(AT246/AR246&gt;2,AT246/AR246&lt;0.5),"NM",(AT246/AR246-1)*100))</f>
        <v>10.194324111083519</v>
      </c>
      <c r="AV246" s="139">
        <f>+AV212+AV214+AV226</f>
        <v>13541.234957032328</v>
      </c>
      <c r="AW246" s="61">
        <f>IF(ISERROR(AV246/AT246),"NA",IF(OR(AV246/AT246&gt;2,AV246/AT246&lt;0.5),"NM",(AV246/AT246-1)*100))</f>
        <v>9.9023649385833856</v>
      </c>
      <c r="AX246" s="63">
        <f>IF(ISERROR(((AV246/AL246)^0.2-1)*100),"NA",IF((((AV246/AL246)^0.2-1)*100)&gt;100,"NM",IF((((AV246/AL246)^0.2-1)*100)&lt;-50,"NM",((AV246/AL246)^0.2-1)*100)))</f>
        <v>11.683938160557306</v>
      </c>
      <c r="AY246" s="58"/>
      <c r="AZ246" s="106"/>
      <c r="BA246"/>
      <c r="BB246"/>
      <c r="BC246"/>
      <c r="BD246"/>
      <c r="BE246"/>
      <c r="BF246"/>
      <c r="BG246" s="31"/>
      <c r="BH246" s="28"/>
      <c r="BI246" s="28"/>
      <c r="BJ246" s="28"/>
      <c r="BK246" s="28"/>
      <c r="BL246" s="28"/>
      <c r="BM246" s="28"/>
      <c r="BN246" s="24"/>
    </row>
    <row r="247" spans="1:66" s="439" customFormat="1" ht="12.75" customHeight="1">
      <c r="A247" s="109" t="s">
        <v>118</v>
      </c>
      <c r="B247" s="95" t="s">
        <v>119</v>
      </c>
      <c r="C247" s="115">
        <f>C224/C174</f>
        <v>30.55853920515575</v>
      </c>
      <c r="D247" s="61"/>
      <c r="E247" s="115">
        <f>E224/E174</f>
        <v>31.463806970509385</v>
      </c>
      <c r="F247" s="61"/>
      <c r="G247" s="115">
        <f>G224/G174</f>
        <v>31.53250773993808</v>
      </c>
      <c r="H247" s="61"/>
      <c r="I247" s="115">
        <f>I224/I174</f>
        <v>33.049898167006106</v>
      </c>
      <c r="J247" s="61"/>
      <c r="K247" s="115">
        <f>K224/K174</f>
        <v>35.165058405281869</v>
      </c>
      <c r="L247" s="61" t="str">
        <f>IF(ISERROR(K247/#REF!),"NA",IF(OR(K247/#REF!&gt;2,K247/#REF!&lt;0.5),"NM",(K247/#REF!-1)*100))</f>
        <v>NA</v>
      </c>
      <c r="M247" s="115">
        <f>M224/M174</f>
        <v>36.725978647686837</v>
      </c>
      <c r="N247" s="61" t="str">
        <f>IF(ISERROR(M247/#REF!),"NA",IF(OR(M247/#REF!&gt;2,M247/#REF!&lt;0.5),"NM",(M247/#REF!-1)*100))</f>
        <v>NA</v>
      </c>
      <c r="O247" s="115">
        <f>O224/O174</f>
        <v>38.09692971327074</v>
      </c>
      <c r="P247" s="61" t="str">
        <f>IF(ISERROR(O247/#REF!),"NA",IF(OR(O247/#REF!&gt;2,O247/#REF!&lt;0.5),"NM",(O247/#REF!-1)*100))</f>
        <v>NA</v>
      </c>
      <c r="Q247" s="115">
        <f>Q224/Q174</f>
        <v>39.578466226510919</v>
      </c>
      <c r="R247" s="61" t="str">
        <f>IF(ISERROR(Q247/#REF!),"NA",IF(OR(Q247/#REF!&gt;2,Q247/#REF!&lt;0.5),"NM",(Q247/#REF!-1)*100))</f>
        <v>NA</v>
      </c>
      <c r="S247" s="115">
        <f>S224/S174</f>
        <v>40.777822212623605</v>
      </c>
      <c r="T247" s="61" t="str">
        <f>IF(ISERROR(S247/#REF!),"NA",IF(OR(S247/#REF!&gt;2,S247/#REF!&lt;0.5),"NM",(S247/#REF!-1)*100))</f>
        <v>NA</v>
      </c>
      <c r="U247" s="115">
        <f>U224/U174</f>
        <v>42.009798196189422</v>
      </c>
      <c r="V247" s="61" t="str">
        <f>IF(ISERROR(U247/#REF!),"NA",IF(OR(U247/#REF!&gt;2,U247/#REF!&lt;0.5),"NM",(U247/#REF!-1)*100))</f>
        <v>NA</v>
      </c>
      <c r="W247" s="115">
        <f>W224/W174</f>
        <v>43.336917135895916</v>
      </c>
      <c r="X247" s="61" t="str">
        <f>IF(ISERROR(W247/#REF!),"NA",IF(OR(W247/#REF!&gt;2,W247/#REF!&lt;0.5),"NM",(W247/#REF!-1)*100))</f>
        <v>NA</v>
      </c>
      <c r="Y247" s="115">
        <f>Y224/Y174</f>
        <v>44.687058449144885</v>
      </c>
      <c r="Z247" s="61" t="str">
        <f>IF(ISERROR(Y247/#REF!),"NA",IF(OR(Y247/#REF!&gt;2,Y247/#REF!&lt;0.5),"NM",(Y247/#REF!-1)*100))</f>
        <v>NA</v>
      </c>
      <c r="AA247" s="108"/>
      <c r="AB247" s="180"/>
      <c r="AC247" s="104"/>
      <c r="AD247" s="115">
        <f>AD224/AD174</f>
        <v>24.03776978417266</v>
      </c>
      <c r="AE247" s="105" t="str">
        <f>IF(ISERROR(AD247/#REF!),"NA",IF(OR(AD247/#REF!&gt;2,AD247/#REF!&lt;0.5),"NM",(AD247/#REF!-1)*100))</f>
        <v>NA</v>
      </c>
      <c r="AF247" s="115">
        <f>AF224/AF174</f>
        <v>29.665144596651444</v>
      </c>
      <c r="AG247" s="61">
        <f>IF(ISERROR(AF247/AD247),"NA",IF(OR(AF247/AD247&gt;2,AF247/AD247&lt;0.5),"NM",(AF247/AD247-1)*100))</f>
        <v>23.410552904887428</v>
      </c>
      <c r="AH247" s="115">
        <f>AH224/AH174</f>
        <v>31.925714285714285</v>
      </c>
      <c r="AI247" s="61">
        <f>IF(ISERROR(AH247/AF247),"NA",IF(OR(AH247/AF247&gt;2,AH247/AF247&lt;0.5),"NM",(AH247/AF247-1)*100))</f>
        <v>7.6202887927875107</v>
      </c>
      <c r="AJ247" s="115">
        <f>AJ224/AJ174</f>
        <v>33.049898167006106</v>
      </c>
      <c r="AK247" s="61">
        <f>IF(ISERROR(AJ247/AH247),"NA",IF(OR(AJ247/AH247&gt;2,AJ247/AH247&lt;0.5),"NM",(AJ247/AH247-1)*100))</f>
        <v>3.5212489569727667</v>
      </c>
      <c r="AL247" s="115">
        <f>AL224/AL174</f>
        <v>39.578466226510919</v>
      </c>
      <c r="AM247" s="61">
        <f>IF(ISERROR(AL247/AJ247),"NA",IF(OR(AL247/AJ247&gt;2,AL247/AJ247&lt;0.5),"NM",(AL247/AJ247-1)*100))</f>
        <v>19.753670726956486</v>
      </c>
      <c r="AN247" s="115">
        <f>AN224/AN174</f>
        <v>44.687058449144885</v>
      </c>
      <c r="AO247" s="61">
        <f>IF(ISERROR(AN247/AL247),"NA",IF(OR(AN247/AL247&gt;2,AN247/AL247&lt;0.5),"NM",(AN247/AL247-1)*100))</f>
        <v>12.907504281234793</v>
      </c>
      <c r="AP247" s="115">
        <f>AP224/AP174</f>
        <v>49.856863305118395</v>
      </c>
      <c r="AQ247" s="61">
        <f>IF(ISERROR(AP247/AN247),"NA",IF(OR(AP247/AN247&gt;2,AP247/AN247&lt;0.5),"NM",(AP247/AN247-1)*100))</f>
        <v>11.568908394041856</v>
      </c>
      <c r="AR247" s="115">
        <f>AR224/AR174</f>
        <v>55.954791341181497</v>
      </c>
      <c r="AS247" s="61">
        <f>IF(ISERROR(AR247/AP247),"NA",IF(OR(AR247/AP247&gt;2,AR247/AP247&lt;0.5),"NM",(AR247/AP247-1)*100))</f>
        <v>12.23086979769359</v>
      </c>
      <c r="AT247" s="115">
        <f>AT224/AT174</f>
        <v>63.049128159140054</v>
      </c>
      <c r="AU247" s="61">
        <f>IF(ISERROR(AT247/AR247),"NA",IF(OR(AT247/AR247&gt;2,AT247/AR247&lt;0.5),"NM",(AT247/AR247-1)*100))</f>
        <v>12.678694081264986</v>
      </c>
      <c r="AV247" s="115">
        <f>AV224/AV174</f>
        <v>70.717296872413996</v>
      </c>
      <c r="AW247" s="61">
        <f>IF(ISERROR(AV247/AT247),"NA",IF(OR(AV247/AT247&gt;2,AV247/AT247&lt;0.5),"NM",(AV247/AT247-1)*100))</f>
        <v>12.162212130703832</v>
      </c>
      <c r="AX247" s="63">
        <f>IF(ISERROR(((AV247/AL247)^0.2-1)*100),"NA",IF((((AV247/AL247)^0.2-1)*100)&gt;100,"NM",IF((((AV247/AL247)^0.2-1)*100)&lt;-50,"NM",((AV247/AL247)^0.2-1)*100)))</f>
        <v>12.308683993006975</v>
      </c>
      <c r="AY247" s="58"/>
      <c r="AZ247" s="106"/>
      <c r="BA247"/>
      <c r="BB247"/>
      <c r="BC247"/>
      <c r="BD247"/>
      <c r="BE247"/>
      <c r="BF247"/>
      <c r="BG247" s="31"/>
      <c r="BH247" s="28"/>
      <c r="BI247" s="28"/>
      <c r="BJ247" s="28"/>
      <c r="BK247" s="28"/>
      <c r="BL247" s="28"/>
      <c r="BM247" s="28"/>
      <c r="BN247" s="24"/>
    </row>
    <row r="248" spans="1:66" s="439" customFormat="1" ht="12.75" customHeight="1">
      <c r="A248" s="109" t="s">
        <v>118</v>
      </c>
      <c r="B248" s="95" t="s">
        <v>188</v>
      </c>
      <c r="C248" s="115">
        <f>C246/C175</f>
        <v>30.591397849462364</v>
      </c>
      <c r="D248" s="61"/>
      <c r="E248" s="115">
        <f>E246/E175</f>
        <v>31.548387096774192</v>
      </c>
      <c r="F248" s="61"/>
      <c r="G248" s="115">
        <f>G246/G175</f>
        <v>32.872512103281331</v>
      </c>
      <c r="H248" s="61"/>
      <c r="I248" s="115">
        <f>I246/I175</f>
        <v>34.235232067510552</v>
      </c>
      <c r="J248" s="61"/>
      <c r="K248" s="115">
        <f>K246/K175</f>
        <v>35.987525987525984</v>
      </c>
      <c r="L248" s="61" t="str">
        <f>IF(ISERROR(K248/#REF!),"NA",IF(OR(K248/#REF!&gt;2,K248/#REF!&lt;0.5),"NM",(K248/#REF!-1)*100))</f>
        <v>NA</v>
      </c>
      <c r="M248" s="115">
        <f>M246/M175</f>
        <v>36.894790602655775</v>
      </c>
      <c r="N248" s="61" t="str">
        <f>IF(ISERROR(M248/#REF!),"NA",IF(OR(M248/#REF!&gt;2,M248/#REF!&lt;0.5),"NM",(M248/#REF!-1)*100))</f>
        <v>NA</v>
      </c>
      <c r="O248" s="115">
        <f>O246/O175</f>
        <v>38.24248599083036</v>
      </c>
      <c r="P248" s="61" t="str">
        <f>IF(ISERROR(O248/#REF!),"NA",IF(OR(O248/#REF!&gt;2,O248/#REF!&lt;0.5),"NM",(O248/#REF!-1)*100))</f>
        <v>NA</v>
      </c>
      <c r="Q248" s="115">
        <f>Q246/Q175</f>
        <v>39.618708693441789</v>
      </c>
      <c r="R248" s="61" t="str">
        <f>IF(ISERROR(Q248/#REF!),"NA",IF(OR(Q248/#REF!&gt;2,Q248/#REF!&lt;0.5),"NM",(Q248/#REF!-1)*100))</f>
        <v>NA</v>
      </c>
      <c r="S248" s="115">
        <f>S246/S175</f>
        <v>45.856542375142652</v>
      </c>
      <c r="T248" s="61" t="str">
        <f>IF(ISERROR(S248/#REF!),"NA",IF(OR(S248/#REF!&gt;2,S248/#REF!&lt;0.5),"NM",(S248/#REF!-1)*100))</f>
        <v>NA</v>
      </c>
      <c r="U248" s="115">
        <f>U246/U175</f>
        <v>47.088518358708463</v>
      </c>
      <c r="V248" s="61" t="str">
        <f>IF(ISERROR(U248/#REF!),"NA",IF(OR(U248/#REF!&gt;2,U248/#REF!&lt;0.5),"NM",(U248/#REF!-1)*100))</f>
        <v>NA</v>
      </c>
      <c r="W248" s="115">
        <f>W246/W175</f>
        <v>48.415637298414964</v>
      </c>
      <c r="X248" s="61" t="str">
        <f>IF(ISERROR(W248/#REF!),"NA",IF(OR(W248/#REF!&gt;2,W248/#REF!&lt;0.5),"NM",(W248/#REF!-1)*100))</f>
        <v>NA</v>
      </c>
      <c r="Y248" s="115">
        <f>Y246/Y175</f>
        <v>49.765778611663933</v>
      </c>
      <c r="Z248" s="61" t="str">
        <f>IF(ISERROR(Y248/#REF!),"NA",IF(OR(Y248/#REF!&gt;2,Y248/#REF!&lt;0.5),"NM",(Y248/#REF!-1)*100))</f>
        <v>NA</v>
      </c>
      <c r="AA248" s="108"/>
      <c r="AB248" s="180"/>
      <c r="AC248" s="104"/>
      <c r="AD248" s="115">
        <f>AD246/AD175</f>
        <v>24.03776978417266</v>
      </c>
      <c r="AE248" s="105" t="str">
        <f>IF(ISERROR(AD248/#REF!),"NA",IF(OR(AD248/#REF!&gt;2,AD248/#REF!&lt;0.5),"NM",(AD248/#REF!-1)*100))</f>
        <v>NA</v>
      </c>
      <c r="AF248" s="115">
        <f>AF246/AF175</f>
        <v>29.665144596651444</v>
      </c>
      <c r="AG248" s="61">
        <f>IF(ISERROR(AF248/AD248),"NA",IF(OR(AF248/AD248&gt;2,AF248/AD248&lt;0.5),"NM",(AF248/AD248-1)*100))</f>
        <v>23.410552904887428</v>
      </c>
      <c r="AH248" s="115">
        <f>AH246/AH175</f>
        <v>31.925714285714285</v>
      </c>
      <c r="AI248" s="61">
        <f>IF(ISERROR(AH248/AF248),"NA",IF(OR(AH248/AF248&gt;2,AH248/AF248&lt;0.5),"NM",(AH248/AF248-1)*100))</f>
        <v>7.6202887927875107</v>
      </c>
      <c r="AJ248" s="115">
        <f>AJ246/AJ175</f>
        <v>34.734448160535116</v>
      </c>
      <c r="AK248" s="61">
        <f>IF(ISERROR(AJ248/AH248),"NA",IF(OR(AJ248/AH248&gt;2,AJ248/AH248&lt;0.5),"NM",(AJ248/AH248-1)*100))</f>
        <v>8.7977166295623022</v>
      </c>
      <c r="AL248" s="115">
        <f>AL246/AL175</f>
        <v>39.902713773681519</v>
      </c>
      <c r="AM248" s="61">
        <f>IF(ISERROR(AL248/AJ248),"NA",IF(OR(AL248/AJ248&gt;2,AL248/AJ248&lt;0.5),"NM",(AL248/AJ248-1)*100))</f>
        <v>14.879365836646642</v>
      </c>
      <c r="AN248" s="115">
        <f>AN246/AN175</f>
        <v>49.765778611663933</v>
      </c>
      <c r="AO248" s="61">
        <f>IF(ISERROR(AN248/AL248),"NA",IF(OR(AN248/AL248&gt;2,AN248/AL248&lt;0.5),"NM",(AN248/AL248-1)*100))</f>
        <v>24.717779582419674</v>
      </c>
      <c r="AP248" s="115">
        <f>AP246/AP175</f>
        <v>53.862303141708814</v>
      </c>
      <c r="AQ248" s="61">
        <f>IF(ISERROR(AP248/AN248),"NA",IF(OR(AP248/AN248&gt;2,AP248/AN248&lt;0.5),"NM",(AP248/AN248-1)*100))</f>
        <v>8.2316094399148998</v>
      </c>
      <c r="AR248" s="115">
        <f>AR246/AR175</f>
        <v>60.074797033606437</v>
      </c>
      <c r="AS248" s="61">
        <f>IF(ISERROR(AR248/AP248),"NA",IF(OR(AR248/AP248&gt;2,AR248/AP248&lt;0.5),"NM",(AR248/AP248-1)*100))</f>
        <v>11.534029422308368</v>
      </c>
      <c r="AT248" s="115">
        <f>AT246/AT175</f>
        <v>68.163701085282057</v>
      </c>
      <c r="AU248" s="61">
        <f>IF(ISERROR(AT248/AR248),"NA",IF(OR(AT248/AR248&gt;2,AT248/AR248&lt;0.5),"NM",(AT248/AR248-1)*100))</f>
        <v>13.46472139914281</v>
      </c>
      <c r="AV248" s="115">
        <f>AV246/AV175</f>
        <v>75.693542927479413</v>
      </c>
      <c r="AW248" s="61">
        <f>IF(ISERROR(AV248/AT248),"NA",IF(OR(AV248/AT248&gt;2,AV248/AT248&lt;0.5),"NM",(AV248/AT248-1)*100))</f>
        <v>11.046703336687225</v>
      </c>
      <c r="AX248" s="63">
        <f>IF(ISERROR(((AV248/AL248)^0.2-1)*100),"NA",IF((((AV248/AL248)^0.2-1)*100)&gt;100,"NM",IF((((AV248/AL248)^0.2-1)*100)&lt;-50,"NM",((AV248/AL248)^0.2-1)*100)))</f>
        <v>13.660949593623673</v>
      </c>
      <c r="AY248" s="58"/>
      <c r="AZ248" s="106"/>
      <c r="BA248"/>
      <c r="BB248"/>
      <c r="BC248"/>
      <c r="BD248"/>
      <c r="BE248"/>
      <c r="BF248"/>
      <c r="BG248" s="31"/>
      <c r="BH248" s="28"/>
      <c r="BI248" s="28"/>
      <c r="BJ248" s="28"/>
      <c r="BK248" s="28"/>
      <c r="BL248" s="28"/>
      <c r="BM248" s="28"/>
      <c r="BN248" s="24"/>
    </row>
    <row r="249" spans="1:66" s="439" customFormat="1" ht="12.75" customHeight="1">
      <c r="A249" s="109"/>
      <c r="B249" s="95"/>
      <c r="C249" s="158"/>
      <c r="D249" s="157"/>
      <c r="E249" s="159"/>
      <c r="F249" s="157"/>
      <c r="G249" s="159"/>
      <c r="H249" s="157"/>
      <c r="I249" s="159"/>
      <c r="J249" s="157"/>
      <c r="K249" s="268"/>
      <c r="L249" s="157"/>
      <c r="M249" s="159"/>
      <c r="N249" s="157"/>
      <c r="O249" s="159"/>
      <c r="P249" s="157"/>
      <c r="Q249" s="159"/>
      <c r="R249" s="157"/>
      <c r="S249" s="159"/>
      <c r="T249" s="157"/>
      <c r="U249" s="159"/>
      <c r="V249" s="157"/>
      <c r="W249" s="159"/>
      <c r="X249" s="157"/>
      <c r="Y249" s="159"/>
      <c r="Z249" s="157"/>
      <c r="AA249" s="160"/>
      <c r="AB249" s="180"/>
      <c r="AC249" s="159"/>
      <c r="AD249" s="31"/>
      <c r="AE249" s="31"/>
      <c r="AF249" s="31"/>
      <c r="AG249" s="31"/>
      <c r="AH249" s="161"/>
      <c r="AI249" s="31"/>
      <c r="AJ249" s="161"/>
      <c r="AK249" s="31"/>
      <c r="AL249" s="161"/>
      <c r="AM249" s="31"/>
      <c r="AN249" s="161"/>
      <c r="AO249" s="31"/>
      <c r="AP249" s="93"/>
      <c r="AQ249" s="31"/>
      <c r="AR249" s="93"/>
      <c r="AS249" s="31"/>
      <c r="AT249" s="93"/>
      <c r="AU249" s="31"/>
      <c r="AV249" s="93"/>
      <c r="AW249" s="31"/>
      <c r="AX249" s="61"/>
      <c r="AY249" s="58"/>
      <c r="AZ249" s="106"/>
      <c r="BA249"/>
      <c r="BB249"/>
      <c r="BC249"/>
      <c r="BD249"/>
      <c r="BE249"/>
      <c r="BF249"/>
      <c r="BG249" s="31"/>
      <c r="BH249" s="28"/>
      <c r="BI249" s="28"/>
      <c r="BJ249" s="28"/>
      <c r="BK249" s="28"/>
      <c r="BL249" s="28"/>
      <c r="BM249" s="28"/>
      <c r="BN249" s="24"/>
    </row>
    <row r="250" spans="1:66" s="439" customFormat="1" ht="12.75" customHeight="1">
      <c r="A250" s="109"/>
      <c r="B250" s="97" t="s">
        <v>120</v>
      </c>
      <c r="C250" s="162"/>
      <c r="D250" s="157"/>
      <c r="E250" s="162"/>
      <c r="F250" s="157"/>
      <c r="G250" s="162"/>
      <c r="H250" s="157"/>
      <c r="I250" s="162"/>
      <c r="J250" s="157"/>
      <c r="K250" s="162"/>
      <c r="L250" s="157"/>
      <c r="M250" s="162"/>
      <c r="N250" s="157"/>
      <c r="O250" s="162"/>
      <c r="P250" s="157"/>
      <c r="Q250" s="162"/>
      <c r="R250" s="157"/>
      <c r="S250" s="162"/>
      <c r="T250" s="157"/>
      <c r="U250" s="162"/>
      <c r="V250" s="157"/>
      <c r="W250" s="162"/>
      <c r="X250" s="157"/>
      <c r="Y250" s="162"/>
      <c r="Z250" s="157"/>
      <c r="AA250" s="160"/>
      <c r="AB250" s="180"/>
      <c r="AC250" s="162"/>
      <c r="AD250" s="31"/>
      <c r="AE250" s="31"/>
      <c r="AF250" s="31"/>
      <c r="AG250" s="31"/>
      <c r="AH250" s="31"/>
      <c r="AI250" s="31"/>
      <c r="AJ250" s="31"/>
      <c r="AK250" s="31"/>
      <c r="AL250" s="31"/>
      <c r="AM250" s="31"/>
      <c r="AN250" s="31"/>
      <c r="AO250" s="31"/>
      <c r="AP250" s="91"/>
      <c r="AQ250" s="31"/>
      <c r="AR250" s="91"/>
      <c r="AS250" s="31"/>
      <c r="AT250" s="91"/>
      <c r="AU250" s="31"/>
      <c r="AV250" s="91"/>
      <c r="AW250" s="31"/>
      <c r="AX250" s="61"/>
      <c r="AY250" s="58"/>
      <c r="AZ250" s="106"/>
      <c r="BA250"/>
      <c r="BB250"/>
      <c r="BC250"/>
      <c r="BD250"/>
      <c r="BE250"/>
      <c r="BF250"/>
      <c r="BG250" s="31"/>
      <c r="BH250" s="28"/>
      <c r="BI250" s="28"/>
      <c r="BJ250" s="28"/>
      <c r="BK250" s="28"/>
      <c r="BL250" s="28"/>
      <c r="BM250" s="28"/>
      <c r="BN250" s="24"/>
    </row>
    <row r="251" spans="1:66" s="439" customFormat="1" ht="12.75" customHeight="1">
      <c r="A251" s="109" t="s">
        <v>121</v>
      </c>
      <c r="B251" s="95" t="s">
        <v>117</v>
      </c>
      <c r="C251" s="139">
        <f>+C212+C214+C222</f>
        <v>5638</v>
      </c>
      <c r="D251" s="61"/>
      <c r="E251" s="139">
        <f>+E212+E214+E222</f>
        <v>6437</v>
      </c>
      <c r="F251" s="61"/>
      <c r="G251" s="139">
        <f>+G212+G214+G222</f>
        <v>7031</v>
      </c>
      <c r="H251" s="61"/>
      <c r="I251" s="139">
        <f>+I212+I214+I222</f>
        <v>6858</v>
      </c>
      <c r="J251" s="61"/>
      <c r="K251" s="139">
        <f>+K212+K214+K222</f>
        <v>7597</v>
      </c>
      <c r="L251" s="61">
        <f>IF(ISERROR(K251/C251),"NA",IF(OR(K251/C251&gt;2,K251/C251&lt;0.5),"NM",(K251/C251-1)*100))</f>
        <v>34.746363958850644</v>
      </c>
      <c r="M251" s="139">
        <f>+M212+M214+M222</f>
        <v>8284</v>
      </c>
      <c r="N251" s="61">
        <f>IF(ISERROR(M251/E251),"NA",IF(OR(M251/E251&gt;2,M251/E251&lt;0.5),"NM",(M251/E251-1)*100))</f>
        <v>28.693490756563623</v>
      </c>
      <c r="O251" s="139">
        <f>+O212+O214+O222</f>
        <v>8669</v>
      </c>
      <c r="P251" s="61">
        <f>IF(ISERROR(O251/G251),"NA",IF(OR(O251/G251&gt;2,O251/G251&lt;0.5),"NM",(O251/G251-1)*100))</f>
        <v>23.296828331674014</v>
      </c>
      <c r="Q251" s="139">
        <f>+Q212+Q214+Q222</f>
        <v>9208</v>
      </c>
      <c r="R251" s="61">
        <f>IF(ISERROR(Q251/I251),"NA",IF(OR(Q251/I251&gt;2,Q251/I251&lt;0.5),"NM",(Q251/I251-1)*100))</f>
        <v>34.266550014581519</v>
      </c>
      <c r="S251" s="139">
        <f>+S212+S214+S222</f>
        <v>10444.153193665588</v>
      </c>
      <c r="T251" s="61">
        <f>IF(ISERROR(S251/K251),"NA",IF(OR(S251/K251&gt;2,S251/K251&lt;0.5),"NM",(S251/K251-1)*100))</f>
        <v>37.477335707063155</v>
      </c>
      <c r="U251" s="139">
        <f>+U212+U214+U222</f>
        <v>10686.729264829697</v>
      </c>
      <c r="V251" s="61">
        <f>IF(ISERROR(U251/M251),"NA",IF(OR(U251/M251&gt;2,U251/M251&lt;0.5),"NM",(U251/M251-1)*100))</f>
        <v>29.00445756675154</v>
      </c>
      <c r="W251" s="139">
        <f>+W212+W214+W222</f>
        <v>10948.038984057906</v>
      </c>
      <c r="X251" s="61">
        <f>IF(ISERROR(W251/O251),"NA",IF(OR(W251/O251&gt;2,W251/O251&lt;0.5),"NM",(W251/O251-1)*100))</f>
        <v>26.289525712976204</v>
      </c>
      <c r="Y251" s="139">
        <f>+Y212+Y214+Y222</f>
        <v>11213.881808636628</v>
      </c>
      <c r="Z251" s="61">
        <f>IF(ISERROR(Y251/Q251),"NA",IF(OR(Y251/Q251&gt;2,Y251/Q251&lt;0.5),"NM",(Y251/Q251-1)*100))</f>
        <v>21.784120423942532</v>
      </c>
      <c r="AA251" s="108"/>
      <c r="AB251" s="180"/>
      <c r="AC251" s="91"/>
      <c r="AD251" s="139">
        <f>+AD212+AD214+AD222</f>
        <v>2743</v>
      </c>
      <c r="AE251" s="61" t="str">
        <f>IF(ISERROR(AD251/#REF!),"NA",IF(OR(AD251/#REF!&gt;2,AD251/#REF!&lt;0.5),"NM",(AD251/#REF!-1)*100))</f>
        <v>NA</v>
      </c>
      <c r="AF251" s="139">
        <f>+AF212+AF214+AF222</f>
        <v>4542</v>
      </c>
      <c r="AG251" s="61">
        <f>IF(ISERROR(AF251/AD251),"NA",IF(OR(AF251/AD251&gt;2,AF251/AD251&lt;0.5),"NM",(AF251/AD251-1)*100))</f>
        <v>65.585125774699236</v>
      </c>
      <c r="AH251" s="139">
        <f>+AH212+AH214+AH222</f>
        <v>5352</v>
      </c>
      <c r="AI251" s="61">
        <f>IF(ISERROR(AH251/AF251),"NA",IF(OR(AH251/AF251&gt;2,AH251/AF251&lt;0.5),"NM",(AH251/AF251-1)*100))</f>
        <v>17.833553500660493</v>
      </c>
      <c r="AJ251" s="139">
        <f>+AJ212+AJ214+AJ222</f>
        <v>6858</v>
      </c>
      <c r="AK251" s="61">
        <f>IF(ISERROR(AJ251/AH251),"NA",IF(OR(AJ251/AH251&gt;2,AJ251/AH251&lt;0.5),"NM",(AJ251/AH251-1)*100))</f>
        <v>28.139013452914806</v>
      </c>
      <c r="AL251" s="139">
        <f>+AL212+AL214+AL222</f>
        <v>9208</v>
      </c>
      <c r="AM251" s="61">
        <f>IF(ISERROR(AL251/AJ251),"NA",IF(OR(AL251/AJ251&gt;2,AL251/AJ251&lt;0.5),"NM",(AL251/AJ251-1)*100))</f>
        <v>34.266550014581519</v>
      </c>
      <c r="AN251" s="139">
        <f>+AN212+AN214+AN222</f>
        <v>11213.881808636628</v>
      </c>
      <c r="AO251" s="61">
        <f>IF(ISERROR(AN251/AL251),"NA",IF(OR(AN251/AL251&gt;2,AN251/AL251&lt;0.5),"NM",(AN251/AL251-1)*100))</f>
        <v>21.784120423942532</v>
      </c>
      <c r="AP251" s="139">
        <f>+AP212+AP214+AP222</f>
        <v>11844.949724154671</v>
      </c>
      <c r="AQ251" s="61">
        <f>IF(ISERROR(AP251/AN251),"NA",IF(OR(AP251/AN251&gt;2,AP251/AN251&lt;0.5),"NM",(AP251/AN251-1)*100))</f>
        <v>5.6275598966275098</v>
      </c>
      <c r="AR251" s="139">
        <f>+AR212+AR214+AR222</f>
        <v>12596.292543038584</v>
      </c>
      <c r="AS251" s="61">
        <f>IF(ISERROR(AR251/AP251),"NA",IF(OR(AR251/AP251&gt;2,AR251/AP251&lt;0.5),"NM",(AR251/AP251-1)*100))</f>
        <v>6.3431490751855835</v>
      </c>
      <c r="AT251" s="139">
        <f>+AT212+AT214+AT222</f>
        <v>13736.14974468435</v>
      </c>
      <c r="AU251" s="61">
        <f>IF(ISERROR(AT251/AR251),"NA",IF(OR(AT251/AR251&gt;2,AT251/AR251&lt;0.5),"NM",(AT251/AR251-1)*100))</f>
        <v>9.0491483724368891</v>
      </c>
      <c r="AV251" s="139">
        <f>+AV212+AV214+AV222</f>
        <v>14956.234957032328</v>
      </c>
      <c r="AW251" s="61">
        <f>IF(ISERROR(AV251/AT251),"NA",IF(OR(AV251/AT251&gt;2,AV251/AT251&lt;0.5),"NM",(AV251/AT251-1)*100))</f>
        <v>8.8822940563830777</v>
      </c>
      <c r="AX251" s="63">
        <f>IF(ISERROR(((AV251/AL251)^0.2-1)*100),"NA",IF((((AV251/AL251)^0.2-1)*100)&gt;100,"NM",IF((((AV251/AL251)^0.2-1)*100)&lt;-50,"NM",((AV251/AL251)^0.2-1)*100)))</f>
        <v>10.187262537519004</v>
      </c>
      <c r="AY251" s="58"/>
      <c r="AZ251" s="106"/>
      <c r="BA251"/>
      <c r="BB251"/>
      <c r="BC251"/>
      <c r="BD251"/>
      <c r="BE251"/>
      <c r="BF251"/>
      <c r="BG251" s="31"/>
      <c r="BH251" s="28"/>
      <c r="BI251" s="28"/>
      <c r="BJ251" s="28"/>
      <c r="BK251" s="28"/>
      <c r="BL251" s="28"/>
      <c r="BM251" s="28"/>
      <c r="BN251" s="24"/>
    </row>
    <row r="252" spans="1:66" s="439" customFormat="1" ht="12.75" customHeight="1">
      <c r="A252" s="109" t="s">
        <v>122</v>
      </c>
      <c r="B252" s="95" t="s">
        <v>119</v>
      </c>
      <c r="C252" s="26">
        <f>C222/C174</f>
        <v>30.279269602577877</v>
      </c>
      <c r="D252" s="61"/>
      <c r="E252" s="26">
        <f>E222/(E174-E176+0.18)</f>
        <v>34.574068106133851</v>
      </c>
      <c r="F252" s="61"/>
      <c r="G252" s="26">
        <f>G222/(G174-G176)</f>
        <v>36.001024065540193</v>
      </c>
      <c r="H252" s="61"/>
      <c r="I252" s="26">
        <f>I222/(I174-I176+1.5)</f>
        <v>35.663026521060843</v>
      </c>
      <c r="J252" s="61"/>
      <c r="K252" s="26">
        <f>K222/(K174-K176+0.75)</f>
        <v>39.06916945230136</v>
      </c>
      <c r="L252" s="61" t="str">
        <f>IF(ISERROR(K252/#REF!),"NA",IF(OR(K252/#REF!&gt;2,K252/#REF!&lt;0.5),"NM",(K252/#REF!-1)*100))</f>
        <v>NA</v>
      </c>
      <c r="M252" s="26">
        <f>M222/(M174-M176-0.3)</f>
        <v>42.200713194090689</v>
      </c>
      <c r="N252" s="61" t="str">
        <f>IF(ISERROR(M252/#REF!),"NA",IF(OR(M252/#REF!&gt;2,M252/#REF!&lt;0.5),"NM",(M252/#REF!-1)*100))</f>
        <v>NA</v>
      </c>
      <c r="O252" s="26">
        <f>O222/(O174-O176-1.05)</f>
        <v>44.161996943453893</v>
      </c>
      <c r="P252" s="61" t="str">
        <f>IF(ISERROR(O252/#REF!),"NA",IF(OR(O252/#REF!&gt;2,O252/#REF!&lt;0.5),"NM",(O252/#REF!-1)*100))</f>
        <v>NA</v>
      </c>
      <c r="Q252" s="26">
        <f>Q222/(Q174-Q176)</f>
        <v>46.764855256475364</v>
      </c>
      <c r="R252" s="61" t="str">
        <f>IF(ISERROR(Q252/#REF!),"NA",IF(OR(Q252/#REF!&gt;2,Q252/#REF!&lt;0.5),"NM",(Q252/#REF!-1)*100))</f>
        <v>NA</v>
      </c>
      <c r="S252" s="26">
        <f>S222/S174</f>
        <v>47.964211242588057</v>
      </c>
      <c r="T252" s="61" t="str">
        <f>IF(ISERROR(S252/#REF!),"NA",IF(OR(S252/#REF!&gt;2,S252/#REF!&lt;0.5),"NM",(S252/#REF!-1)*100))</f>
        <v>NA</v>
      </c>
      <c r="U252" s="26">
        <f>U222/U174</f>
        <v>49.196187226153867</v>
      </c>
      <c r="V252" s="61" t="str">
        <f>IF(ISERROR(U252/#REF!),"NA",IF(OR(U252/#REF!&gt;2,U252/#REF!&lt;0.5),"NM",(U252/#REF!-1)*100))</f>
        <v>NA</v>
      </c>
      <c r="W252" s="26">
        <f>W222/W174</f>
        <v>50.523306165860369</v>
      </c>
      <c r="X252" s="61" t="str">
        <f>IF(ISERROR(W252/#REF!),"NA",IF(OR(W252/#REF!&gt;2,W252/#REF!&lt;0.5),"NM",(W252/#REF!-1)*100))</f>
        <v>NA</v>
      </c>
      <c r="Y252" s="26">
        <f>Y222/Y174</f>
        <v>51.873447479109338</v>
      </c>
      <c r="Z252" s="61" t="str">
        <f>IF(ISERROR(Y252/#REF!),"NA",IF(OR(Y252/#REF!&gt;2,Y252/#REF!&lt;0.5),"NM",(Y252/#REF!-1)*100))</f>
        <v>NA</v>
      </c>
      <c r="AA252" s="108"/>
      <c r="AB252" s="180"/>
      <c r="AC252" s="104"/>
      <c r="AD252" s="26">
        <f>AD222/AD174</f>
        <v>24.667266187050359</v>
      </c>
      <c r="AE252" s="61" t="str">
        <f>IF(ISERROR(AD252/#REF!),"NA",IF(OR(AD252/#REF!&gt;2,AD252/#REF!&lt;0.5),"NM",(AD252/#REF!-1)*100))</f>
        <v>NA</v>
      </c>
      <c r="AF252" s="26">
        <f>AF222/AF174</f>
        <v>34.566210045662096</v>
      </c>
      <c r="AG252" s="61">
        <f>IF(ISERROR(AF252/AD252),"NA",IF(OR(AF252/AD252&gt;2,AF252/AD252&lt;0.5),"NM",(AF252/AD252-1)*100))</f>
        <v>40.129878128969196</v>
      </c>
      <c r="AH252" s="26">
        <f>AH222/AH174</f>
        <v>30.582857142857144</v>
      </c>
      <c r="AI252" s="61">
        <f>IF(ISERROR(AH252/AF252),"NA",IF(OR(AH252/AF252&gt;2,AH252/AF252&lt;0.5),"NM",(AH252/AF252-1)*100))</f>
        <v>-11.523834685789758</v>
      </c>
      <c r="AJ252" s="26">
        <f>AJ222/AJ174</f>
        <v>34.918533604887983</v>
      </c>
      <c r="AK252" s="61">
        <f>IF(ISERROR(AJ252/AH252),"NA",IF(OR(AJ252/AH252&gt;2,AJ252/AH252&lt;0.5),"NM",(AJ252/AH252-1)*100))</f>
        <v>14.176819522709216</v>
      </c>
      <c r="AL252" s="26">
        <f>AL222/AL174</f>
        <v>46.764855256475364</v>
      </c>
      <c r="AM252" s="61">
        <f>IF(ISERROR(AL252/AJ252),"NA",IF(OR(AL252/AJ252&gt;2,AL252/AJ252&lt;0.5),"NM",(AL252/AJ252-1)*100))</f>
        <v>33.925598897226038</v>
      </c>
      <c r="AN252" s="26">
        <f>AN222/AN174</f>
        <v>51.873447479109338</v>
      </c>
      <c r="AO252" s="61">
        <f>IF(ISERROR(AN252/AL252),"NA",IF(OR(AN252/AL252&gt;2,AN252/AL252&lt;0.5),"NM",(AN252/AL252-1)*100))</f>
        <v>10.923998790580258</v>
      </c>
      <c r="AP252" s="26">
        <f>AP222/AP174</f>
        <v>57.338076210849621</v>
      </c>
      <c r="AQ252" s="61">
        <f>IF(ISERROR(AP252/AN252),"NA",IF(OR(AP252/AN252&gt;2,AP252/AN252&lt;0.5),"NM",(AP252/AN252-1)*100))</f>
        <v>10.53453934007571</v>
      </c>
      <c r="AR252" s="26">
        <f>AR222/AR174</f>
        <v>63.731410018336405</v>
      </c>
      <c r="AS252" s="61">
        <f>IF(ISERROR(AR252/AP252),"NA",IF(OR(AR252/AP252&gt;2,AR252/AP252&lt;0.5),"NM",(AR252/AP252-1)*100))</f>
        <v>11.150241218377378</v>
      </c>
      <c r="AT252" s="26">
        <f>AT222/AT174</f>
        <v>70.929468792128532</v>
      </c>
      <c r="AU252" s="61">
        <f>IF(ISERROR(AT252/AR252),"NA",IF(OR(AT252/AR252&gt;2,AT252/AR252&lt;0.5),"NM",(AT252/AR252-1)*100))</f>
        <v>11.294366108832588</v>
      </c>
      <c r="AV252" s="26">
        <f>AV222/AV174</f>
        <v>78.696174185318156</v>
      </c>
      <c r="AW252" s="61">
        <f>IF(ISERROR(AV252/AT252),"NA",IF(OR(AV252/AT252&gt;2,AV252/AT252&lt;0.5),"NM",(AV252/AT252-1)*100))</f>
        <v>10.949899280863562</v>
      </c>
      <c r="AX252" s="63">
        <f>IF(ISERROR(((AV252/AL252)^0.2-1)*100),"NA",IF((((AV252/AL252)^0.2-1)*100)&gt;100,"NM",IF((((AV252/AL252)^0.2-1)*100)&lt;-50,"NM",((AV252/AL252)^0.2-1)*100)))</f>
        <v>10.97031147601073</v>
      </c>
      <c r="AY252" s="58"/>
      <c r="AZ252" s="106"/>
      <c r="BA252"/>
      <c r="BB252"/>
      <c r="BC252"/>
      <c r="BD252"/>
      <c r="BE252"/>
      <c r="BF252"/>
      <c r="BG252" s="31"/>
      <c r="BH252" s="28"/>
      <c r="BI252" s="28"/>
      <c r="BJ252" s="28"/>
      <c r="BK252" s="28"/>
      <c r="BL252" s="28"/>
      <c r="BM252" s="28"/>
      <c r="BN252" s="24"/>
    </row>
    <row r="253" spans="1:66" s="439" customFormat="1" ht="12.75" customHeight="1">
      <c r="A253" s="109"/>
      <c r="B253" s="95"/>
      <c r="C253" s="115"/>
      <c r="D253" s="61"/>
      <c r="E253" s="115"/>
      <c r="F253" s="61"/>
      <c r="G253" s="115"/>
      <c r="H253" s="61"/>
      <c r="I253" s="115"/>
      <c r="J253" s="61"/>
      <c r="K253" s="115"/>
      <c r="L253" s="61"/>
      <c r="M253" s="115"/>
      <c r="N253" s="61"/>
      <c r="O253" s="115"/>
      <c r="P253" s="61"/>
      <c r="Q253" s="115"/>
      <c r="R253" s="61"/>
      <c r="S253" s="115"/>
      <c r="T253" s="61"/>
      <c r="U253" s="115"/>
      <c r="V253" s="61"/>
      <c r="W253" s="115"/>
      <c r="X253" s="61"/>
      <c r="Y253" s="115"/>
      <c r="Z253" s="61"/>
      <c r="AA253" s="108"/>
      <c r="AB253" s="186"/>
      <c r="AC253" s="91"/>
      <c r="AD253" s="115"/>
      <c r="AE253" s="61"/>
      <c r="AF253" s="115"/>
      <c r="AG253" s="61"/>
      <c r="AH253" s="115"/>
      <c r="AI253" s="61"/>
      <c r="AJ253" s="115"/>
      <c r="AK253" s="61"/>
      <c r="AL253" s="115"/>
      <c r="AM253" s="61"/>
      <c r="AN253" s="115"/>
      <c r="AO253" s="61"/>
      <c r="AP253" s="115"/>
      <c r="AQ253" s="61"/>
      <c r="AR253" s="115"/>
      <c r="AS253" s="61"/>
      <c r="AT253" s="115"/>
      <c r="AU253" s="61"/>
      <c r="AV253" s="115"/>
      <c r="AW253" s="61"/>
      <c r="AX253" s="61"/>
      <c r="AY253" s="58"/>
      <c r="AZ253" s="106"/>
      <c r="BA253"/>
      <c r="BB253"/>
      <c r="BC253"/>
      <c r="BD253"/>
      <c r="BE253"/>
      <c r="BF253"/>
      <c r="BG253" s="31"/>
      <c r="BH253" s="28"/>
      <c r="BI253" s="28"/>
      <c r="BJ253" s="28"/>
      <c r="BK253" s="28"/>
      <c r="BL253" s="28"/>
      <c r="BM253" s="28"/>
      <c r="BN253" s="24"/>
    </row>
    <row r="254" spans="1:66" s="439" customFormat="1">
      <c r="A254" s="24"/>
      <c r="B254" s="48" t="s">
        <v>270</v>
      </c>
      <c r="C254" s="24"/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  <c r="AA254" s="28"/>
      <c r="AB254" s="184"/>
      <c r="AC254" s="24"/>
      <c r="AD254" s="24"/>
      <c r="AE254" s="24"/>
      <c r="AF254" s="24"/>
      <c r="AG254" s="24"/>
      <c r="AH254" s="24"/>
      <c r="AI254" s="24"/>
      <c r="AJ254" s="24"/>
      <c r="AK254" s="24"/>
      <c r="AL254" s="24"/>
      <c r="AM254" s="24"/>
      <c r="AN254" s="24"/>
      <c r="AO254" s="24"/>
      <c r="AP254" s="24"/>
      <c r="AQ254" s="24"/>
      <c r="AR254" s="24"/>
      <c r="AS254" s="24"/>
      <c r="AT254" s="24"/>
      <c r="AU254" s="24"/>
      <c r="AV254" s="24"/>
      <c r="AW254" s="24"/>
      <c r="AX254" s="24"/>
      <c r="AY254" s="30"/>
      <c r="AZ254" s="24"/>
      <c r="BA254"/>
      <c r="BB254"/>
      <c r="BC254"/>
      <c r="BD254"/>
      <c r="BE254"/>
      <c r="BF254"/>
      <c r="BG254" s="24"/>
      <c r="BH254" s="24"/>
      <c r="BI254" s="24"/>
      <c r="BJ254" s="24"/>
      <c r="BK254" s="24"/>
      <c r="BL254" s="24"/>
      <c r="BM254" s="24"/>
      <c r="BN254" s="24"/>
    </row>
    <row r="255" spans="1:66" s="439" customFormat="1" ht="15" hidden="1" customHeight="1" outlineLevel="1">
      <c r="A255" s="24"/>
      <c r="B255" s="94"/>
      <c r="C255" s="24"/>
      <c r="D255" s="24"/>
      <c r="E255" s="24"/>
      <c r="F255" s="24"/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  <c r="AA255" s="28"/>
      <c r="AB255" s="184"/>
      <c r="AC255" s="24"/>
      <c r="AD255" s="24"/>
      <c r="AE255" s="24"/>
      <c r="AF255" s="24"/>
      <c r="AG255" s="24"/>
      <c r="AH255" s="24"/>
      <c r="AI255" s="24"/>
      <c r="AJ255" s="24"/>
      <c r="AK255" s="24"/>
      <c r="AL255" s="24"/>
      <c r="AM255" s="24"/>
      <c r="AN255" s="24"/>
      <c r="AO255" s="24"/>
      <c r="AP255" s="24"/>
      <c r="AQ255" s="24"/>
      <c r="AR255" s="24"/>
      <c r="AS255" s="24"/>
      <c r="AT255" s="24"/>
      <c r="AU255" s="24"/>
      <c r="AV255" s="24"/>
      <c r="AW255" s="24"/>
      <c r="AX255" s="24"/>
      <c r="AY255" s="30"/>
      <c r="AZ255" s="24"/>
      <c r="BA255"/>
      <c r="BB255"/>
      <c r="BC255"/>
      <c r="BD255"/>
      <c r="BE255"/>
      <c r="BF255"/>
      <c r="BG255" s="24"/>
      <c r="BH255" s="24"/>
      <c r="BI255" s="24"/>
      <c r="BJ255" s="24"/>
      <c r="BK255" s="24"/>
      <c r="BL255" s="24"/>
      <c r="BM255" s="24"/>
      <c r="BN255" s="24"/>
    </row>
    <row r="256" spans="1:66" s="439" customFormat="1" ht="15" hidden="1" customHeight="1" outlineLevel="1">
      <c r="A256" s="24"/>
      <c r="B256" s="94" t="s">
        <v>271</v>
      </c>
      <c r="C256" s="375" t="s">
        <v>276</v>
      </c>
      <c r="D256" s="24"/>
      <c r="E256" s="375" t="s">
        <v>276</v>
      </c>
      <c r="F256" s="24"/>
      <c r="G256" s="375" t="s">
        <v>276</v>
      </c>
      <c r="H256" s="24"/>
      <c r="I256" s="375" t="s">
        <v>276</v>
      </c>
      <c r="J256" s="24"/>
      <c r="K256" s="375" t="s">
        <v>276</v>
      </c>
      <c r="L256" s="24"/>
      <c r="M256" s="375" t="s">
        <v>276</v>
      </c>
      <c r="N256" s="24"/>
      <c r="O256" s="375" t="s">
        <v>276</v>
      </c>
      <c r="P256" s="24"/>
      <c r="Q256" s="375" t="s">
        <v>276</v>
      </c>
      <c r="R256" s="24"/>
      <c r="S256" s="375" t="s">
        <v>276</v>
      </c>
      <c r="T256" s="24"/>
      <c r="U256" s="375" t="s">
        <v>276</v>
      </c>
      <c r="V256" s="24"/>
      <c r="W256" s="375" t="s">
        <v>276</v>
      </c>
      <c r="X256" s="24"/>
      <c r="Y256" s="375" t="s">
        <v>276</v>
      </c>
      <c r="Z256" s="24"/>
      <c r="AA256" s="28"/>
      <c r="AB256" s="184"/>
      <c r="AC256" s="24"/>
      <c r="AD256" s="375" t="s">
        <v>276</v>
      </c>
      <c r="AE256" s="24"/>
      <c r="AF256" s="375" t="s">
        <v>276</v>
      </c>
      <c r="AG256" s="24"/>
      <c r="AH256" s="375" t="s">
        <v>276</v>
      </c>
      <c r="AI256" s="24"/>
      <c r="AJ256" s="375" t="s">
        <v>276</v>
      </c>
      <c r="AK256" s="24"/>
      <c r="AL256" s="375" t="s">
        <v>276</v>
      </c>
      <c r="AM256" s="24"/>
      <c r="AN256" s="375" t="s">
        <v>276</v>
      </c>
      <c r="AO256" s="24"/>
      <c r="AP256" s="375" t="s">
        <v>276</v>
      </c>
      <c r="AQ256" s="24"/>
      <c r="AR256" s="375" t="s">
        <v>276</v>
      </c>
      <c r="AS256" s="24"/>
      <c r="AT256" s="375" t="s">
        <v>276</v>
      </c>
      <c r="AU256" s="24"/>
      <c r="AV256" s="375" t="s">
        <v>276</v>
      </c>
      <c r="AW256" s="24"/>
      <c r="AX256" s="24"/>
      <c r="AY256" s="30"/>
      <c r="AZ256" s="24"/>
      <c r="BA256"/>
      <c r="BB256"/>
      <c r="BC256"/>
      <c r="BD256"/>
      <c r="BE256"/>
      <c r="BF256"/>
      <c r="BG256" s="24"/>
      <c r="BH256" s="24"/>
      <c r="BI256" s="24"/>
      <c r="BJ256" s="24"/>
      <c r="BK256" s="24"/>
      <c r="BL256" s="24"/>
      <c r="BM256" s="24"/>
      <c r="BN256" s="24"/>
    </row>
    <row r="257" spans="1:66" s="439" customFormat="1" ht="15" hidden="1" customHeight="1" outlineLevel="1">
      <c r="A257" s="24"/>
      <c r="B257" s="94" t="s">
        <v>272</v>
      </c>
      <c r="C257" s="375">
        <f>C139/(1-C261)</f>
        <v>15.789473684210527</v>
      </c>
      <c r="D257" s="24"/>
      <c r="E257" s="375">
        <f>E139/(1-E261)</f>
        <v>-29.473684210526319</v>
      </c>
      <c r="F257" s="24"/>
      <c r="G257" s="375">
        <f>G139/(1-G261)</f>
        <v>-48.421052631578952</v>
      </c>
      <c r="H257" s="24"/>
      <c r="I257" s="375">
        <f>I139/(1-I261)</f>
        <v>-24.210526315789476</v>
      </c>
      <c r="J257" s="24"/>
      <c r="K257" s="375">
        <f>K139/(1-K261)</f>
        <v>-10.526315789473685</v>
      </c>
      <c r="L257" s="24"/>
      <c r="M257" s="375">
        <f>M139/(1-M261)</f>
        <v>-13.684210526315789</v>
      </c>
      <c r="N257" s="24"/>
      <c r="O257" s="375">
        <f>O139/(1-O261)</f>
        <v>-7.3684210526315796</v>
      </c>
      <c r="P257" s="24"/>
      <c r="Q257" s="375">
        <f>Q139/(1-Q261)</f>
        <v>-3.1578947368421053</v>
      </c>
      <c r="R257" s="24"/>
      <c r="S257" s="375">
        <f>S139/(1-S261)</f>
        <v>0</v>
      </c>
      <c r="T257" s="24"/>
      <c r="U257" s="375">
        <f>U139/(1-U261)</f>
        <v>0</v>
      </c>
      <c r="V257" s="24"/>
      <c r="W257" s="375">
        <f>W139/(1-W261)</f>
        <v>0</v>
      </c>
      <c r="X257" s="24"/>
      <c r="Y257" s="375">
        <f>Y139/(1-Y261)</f>
        <v>0</v>
      </c>
      <c r="Z257" s="24"/>
      <c r="AA257" s="28"/>
      <c r="AB257" s="184"/>
      <c r="AC257" s="24"/>
      <c r="AD257" s="375">
        <f>AD139/(1-AD261)</f>
        <v>0</v>
      </c>
      <c r="AE257" s="24"/>
      <c r="AF257" s="375">
        <f>AF139/(1-AF261)</f>
        <v>-155.78947368421052</v>
      </c>
      <c r="AG257" s="24"/>
      <c r="AH257" s="375">
        <f>AH139/(1-AH261)</f>
        <v>-70.526315789473685</v>
      </c>
      <c r="AI257" s="24"/>
      <c r="AJ257" s="375">
        <f>AJ139/(1-AJ261)</f>
        <v>-86.31578947368422</v>
      </c>
      <c r="AK257" s="24"/>
      <c r="AL257" s="375">
        <f>AL139/(1-AL261)</f>
        <v>-34.736842105263158</v>
      </c>
      <c r="AM257" s="24"/>
      <c r="AN257" s="375">
        <f>AN139/(1-AN261)</f>
        <v>0</v>
      </c>
      <c r="AO257" s="24"/>
      <c r="AP257" s="375">
        <f>AP139/(1-AP261)</f>
        <v>0</v>
      </c>
      <c r="AQ257" s="24"/>
      <c r="AR257" s="375">
        <f>AR139/(1-AR261)</f>
        <v>0</v>
      </c>
      <c r="AS257" s="24"/>
      <c r="AT257" s="375">
        <f>AT139/(1-AT261)</f>
        <v>0</v>
      </c>
      <c r="AU257" s="24"/>
      <c r="AV257" s="375">
        <f>AV139/(1-AV261)</f>
        <v>0</v>
      </c>
      <c r="AW257" s="24"/>
      <c r="AX257" s="24"/>
      <c r="AY257" s="30"/>
      <c r="AZ257" s="24"/>
      <c r="BA257"/>
      <c r="BB257"/>
      <c r="BC257"/>
      <c r="BD257"/>
      <c r="BE257"/>
      <c r="BF257"/>
      <c r="BG257" s="24"/>
      <c r="BH257" s="24"/>
      <c r="BI257" s="24"/>
      <c r="BJ257" s="24"/>
      <c r="BK257" s="24"/>
      <c r="BL257" s="24"/>
      <c r="BM257" s="24"/>
      <c r="BN257" s="24"/>
    </row>
    <row r="258" spans="1:66" s="439" customFormat="1" ht="15" hidden="1" customHeight="1" outlineLevel="1">
      <c r="A258" s="24"/>
      <c r="B258" s="94" t="s">
        <v>273</v>
      </c>
      <c r="C258" s="375" t="s">
        <v>276</v>
      </c>
      <c r="D258" s="24"/>
      <c r="E258" s="375" t="s">
        <v>276</v>
      </c>
      <c r="F258" s="24"/>
      <c r="G258" s="375" t="s">
        <v>276</v>
      </c>
      <c r="H258" s="24"/>
      <c r="I258" s="375" t="s">
        <v>276</v>
      </c>
      <c r="J258" s="24"/>
      <c r="K258" s="375" t="s">
        <v>276</v>
      </c>
      <c r="L258" s="24"/>
      <c r="M258" s="375" t="s">
        <v>276</v>
      </c>
      <c r="N258" s="24"/>
      <c r="O258" s="375" t="s">
        <v>276</v>
      </c>
      <c r="P258" s="24"/>
      <c r="Q258" s="375" t="s">
        <v>276</v>
      </c>
      <c r="R258" s="24"/>
      <c r="S258" s="375" t="s">
        <v>276</v>
      </c>
      <c r="T258" s="24"/>
      <c r="U258" s="375" t="s">
        <v>276</v>
      </c>
      <c r="V258" s="24"/>
      <c r="W258" s="375" t="s">
        <v>276</v>
      </c>
      <c r="X258" s="24"/>
      <c r="Y258" s="375" t="s">
        <v>276</v>
      </c>
      <c r="Z258" s="24"/>
      <c r="AA258" s="28"/>
      <c r="AB258" s="184"/>
      <c r="AC258" s="24"/>
      <c r="AD258" s="375" t="s">
        <v>276</v>
      </c>
      <c r="AE258" s="24"/>
      <c r="AF258" s="375" t="s">
        <v>276</v>
      </c>
      <c r="AG258" s="24"/>
      <c r="AH258" s="375" t="s">
        <v>276</v>
      </c>
      <c r="AI258" s="24"/>
      <c r="AJ258" s="375" t="s">
        <v>276</v>
      </c>
      <c r="AK258" s="24"/>
      <c r="AL258" s="375" t="s">
        <v>276</v>
      </c>
      <c r="AM258" s="24"/>
      <c r="AN258" s="375" t="s">
        <v>276</v>
      </c>
      <c r="AO258" s="24"/>
      <c r="AP258" s="375" t="s">
        <v>276</v>
      </c>
      <c r="AQ258" s="24"/>
      <c r="AR258" s="375" t="s">
        <v>276</v>
      </c>
      <c r="AS258" s="24"/>
      <c r="AT258" s="375" t="s">
        <v>276</v>
      </c>
      <c r="AU258" s="24"/>
      <c r="AV258" s="375" t="s">
        <v>276</v>
      </c>
      <c r="AW258" s="24"/>
      <c r="AX258" s="24"/>
      <c r="AY258" s="30"/>
      <c r="AZ258" s="24"/>
      <c r="BA258"/>
      <c r="BB258"/>
      <c r="BC258"/>
      <c r="BD258"/>
      <c r="BE258"/>
      <c r="BF258"/>
      <c r="BG258" s="24"/>
      <c r="BH258" s="24"/>
      <c r="BI258" s="24"/>
      <c r="BJ258" s="24"/>
      <c r="BK258" s="24"/>
      <c r="BL258" s="24"/>
      <c r="BM258" s="24"/>
      <c r="BN258" s="24"/>
    </row>
    <row r="259" spans="1:66" s="439" customFormat="1" ht="15" hidden="1" customHeight="1" outlineLevel="1">
      <c r="A259" s="24"/>
      <c r="B259" s="94" t="s">
        <v>273</v>
      </c>
      <c r="C259" s="375" t="s">
        <v>276</v>
      </c>
      <c r="D259" s="24"/>
      <c r="E259" s="375" t="s">
        <v>276</v>
      </c>
      <c r="F259" s="24"/>
      <c r="G259" s="375" t="s">
        <v>276</v>
      </c>
      <c r="H259" s="24"/>
      <c r="I259" s="375" t="s">
        <v>276</v>
      </c>
      <c r="J259" s="24"/>
      <c r="K259" s="375" t="s">
        <v>276</v>
      </c>
      <c r="L259" s="24"/>
      <c r="M259" s="375" t="s">
        <v>276</v>
      </c>
      <c r="N259" s="24"/>
      <c r="O259" s="375" t="s">
        <v>276</v>
      </c>
      <c r="P259" s="24"/>
      <c r="Q259" s="375" t="s">
        <v>276</v>
      </c>
      <c r="R259" s="24"/>
      <c r="S259" s="375" t="s">
        <v>276</v>
      </c>
      <c r="T259" s="24"/>
      <c r="U259" s="375" t="s">
        <v>276</v>
      </c>
      <c r="V259" s="24"/>
      <c r="W259" s="375" t="s">
        <v>276</v>
      </c>
      <c r="X259" s="24"/>
      <c r="Y259" s="375" t="s">
        <v>276</v>
      </c>
      <c r="Z259" s="24"/>
      <c r="AA259" s="28"/>
      <c r="AB259" s="184"/>
      <c r="AC259" s="24"/>
      <c r="AD259" s="375" t="s">
        <v>276</v>
      </c>
      <c r="AE259" s="24"/>
      <c r="AF259" s="375" t="s">
        <v>276</v>
      </c>
      <c r="AG259" s="24"/>
      <c r="AH259" s="375" t="s">
        <v>276</v>
      </c>
      <c r="AI259" s="24"/>
      <c r="AJ259" s="375" t="s">
        <v>276</v>
      </c>
      <c r="AK259" s="24"/>
      <c r="AL259" s="375" t="s">
        <v>276</v>
      </c>
      <c r="AM259" s="24"/>
      <c r="AN259" s="375" t="s">
        <v>276</v>
      </c>
      <c r="AO259" s="24"/>
      <c r="AP259" s="375" t="s">
        <v>276</v>
      </c>
      <c r="AQ259" s="24"/>
      <c r="AR259" s="375" t="s">
        <v>276</v>
      </c>
      <c r="AS259" s="24"/>
      <c r="AT259" s="375" t="s">
        <v>276</v>
      </c>
      <c r="AU259" s="24"/>
      <c r="AV259" s="375" t="s">
        <v>276</v>
      </c>
      <c r="AW259" s="24"/>
      <c r="AX259" s="24"/>
      <c r="AY259" s="30"/>
      <c r="AZ259" s="24"/>
      <c r="BA259"/>
      <c r="BB259"/>
      <c r="BC259"/>
      <c r="BD259"/>
      <c r="BE259"/>
      <c r="BF259"/>
      <c r="BG259" s="24"/>
      <c r="BH259" s="24"/>
      <c r="BI259" s="24"/>
      <c r="BJ259" s="24"/>
      <c r="BK259" s="24"/>
      <c r="BL259" s="24"/>
      <c r="BM259" s="24"/>
      <c r="BN259" s="24"/>
    </row>
    <row r="260" spans="1:66" s="439" customFormat="1" ht="15" hidden="1" customHeight="1" outlineLevel="1">
      <c r="A260" s="24"/>
      <c r="B260" s="94" t="s">
        <v>274</v>
      </c>
      <c r="C260" s="375" t="s">
        <v>276</v>
      </c>
      <c r="D260" s="24"/>
      <c r="E260" s="375" t="s">
        <v>276</v>
      </c>
      <c r="F260" s="24"/>
      <c r="G260" s="375" t="s">
        <v>276</v>
      </c>
      <c r="H260" s="24"/>
      <c r="I260" s="375" t="s">
        <v>276</v>
      </c>
      <c r="J260" s="24"/>
      <c r="K260" s="375" t="s">
        <v>276</v>
      </c>
      <c r="L260" s="24"/>
      <c r="M260" s="375" t="s">
        <v>276</v>
      </c>
      <c r="N260" s="24"/>
      <c r="O260" s="375" t="s">
        <v>276</v>
      </c>
      <c r="P260" s="24"/>
      <c r="Q260" s="375" t="s">
        <v>276</v>
      </c>
      <c r="R260" s="24"/>
      <c r="S260" s="375" t="s">
        <v>276</v>
      </c>
      <c r="T260" s="24"/>
      <c r="U260" s="375" t="s">
        <v>276</v>
      </c>
      <c r="V260" s="24"/>
      <c r="W260" s="375" t="s">
        <v>276</v>
      </c>
      <c r="X260" s="24"/>
      <c r="Y260" s="375" t="s">
        <v>276</v>
      </c>
      <c r="Z260" s="24"/>
      <c r="AA260" s="28"/>
      <c r="AB260" s="184"/>
      <c r="AC260" s="24"/>
      <c r="AD260" s="375" t="s">
        <v>276</v>
      </c>
      <c r="AE260" s="24"/>
      <c r="AF260" s="375" t="s">
        <v>276</v>
      </c>
      <c r="AG260" s="24"/>
      <c r="AH260" s="375" t="s">
        <v>276</v>
      </c>
      <c r="AI260" s="24"/>
      <c r="AJ260" s="375" t="s">
        <v>276</v>
      </c>
      <c r="AK260" s="24"/>
      <c r="AL260" s="375" t="s">
        <v>276</v>
      </c>
      <c r="AM260" s="24"/>
      <c r="AN260" s="375" t="s">
        <v>276</v>
      </c>
      <c r="AO260" s="24"/>
      <c r="AP260" s="375" t="s">
        <v>276</v>
      </c>
      <c r="AQ260" s="24"/>
      <c r="AR260" s="375" t="s">
        <v>276</v>
      </c>
      <c r="AS260" s="24"/>
      <c r="AT260" s="375" t="s">
        <v>276</v>
      </c>
      <c r="AU260" s="24"/>
      <c r="AV260" s="375" t="s">
        <v>276</v>
      </c>
      <c r="AW260" s="24"/>
      <c r="AX260" s="24"/>
      <c r="AY260" s="30"/>
      <c r="AZ260" s="24"/>
      <c r="BA260"/>
      <c r="BB260"/>
      <c r="BC260"/>
      <c r="BD260"/>
      <c r="BE260"/>
      <c r="BF260"/>
      <c r="BG260" s="24"/>
      <c r="BH260" s="24"/>
      <c r="BI260" s="24"/>
      <c r="BJ260" s="24"/>
      <c r="BK260" s="24"/>
      <c r="BL260" s="24"/>
      <c r="BM260" s="24"/>
      <c r="BN260" s="24"/>
    </row>
    <row r="261" spans="1:66" s="439" customFormat="1" ht="15" hidden="1" customHeight="1" outlineLevel="1">
      <c r="A261" s="24"/>
      <c r="B261" s="94" t="s">
        <v>275</v>
      </c>
      <c r="C261" s="384">
        <v>0.05</v>
      </c>
      <c r="D261" s="24"/>
      <c r="E261" s="384">
        <v>0.05</v>
      </c>
      <c r="F261" s="24"/>
      <c r="G261" s="384">
        <v>0.05</v>
      </c>
      <c r="H261" s="24"/>
      <c r="I261" s="384">
        <v>0.05</v>
      </c>
      <c r="J261" s="24"/>
      <c r="K261" s="384">
        <v>0.05</v>
      </c>
      <c r="L261" s="24"/>
      <c r="M261" s="384">
        <v>0.05</v>
      </c>
      <c r="N261" s="24"/>
      <c r="O261" s="384">
        <v>0.05</v>
      </c>
      <c r="P261" s="24"/>
      <c r="Q261" s="384">
        <v>0.05</v>
      </c>
      <c r="R261" s="24"/>
      <c r="S261" s="384">
        <v>0.05</v>
      </c>
      <c r="T261" s="24"/>
      <c r="U261" s="384">
        <v>0.05</v>
      </c>
      <c r="V261" s="24"/>
      <c r="W261" s="384">
        <v>0.05</v>
      </c>
      <c r="X261" s="24"/>
      <c r="Y261" s="384">
        <v>0.05</v>
      </c>
      <c r="Z261" s="24"/>
      <c r="AA261" s="28"/>
      <c r="AB261" s="184"/>
      <c r="AC261" s="374"/>
      <c r="AD261" s="384">
        <v>0.05</v>
      </c>
      <c r="AE261" s="24"/>
      <c r="AF261" s="384">
        <v>0.05</v>
      </c>
      <c r="AG261" s="24"/>
      <c r="AH261" s="384">
        <v>0.05</v>
      </c>
      <c r="AI261" s="24"/>
      <c r="AJ261" s="384">
        <v>0.05</v>
      </c>
      <c r="AK261" s="24"/>
      <c r="AL261" s="384">
        <v>0.05</v>
      </c>
      <c r="AM261" s="24"/>
      <c r="AN261" s="384">
        <v>0.05</v>
      </c>
      <c r="AO261" s="24"/>
      <c r="AP261" s="384">
        <v>0.05</v>
      </c>
      <c r="AQ261" s="24"/>
      <c r="AR261" s="384">
        <v>0.05</v>
      </c>
      <c r="AS261" s="24"/>
      <c r="AT261" s="384">
        <v>0.05</v>
      </c>
      <c r="AU261" s="24"/>
      <c r="AV261" s="384">
        <v>0.05</v>
      </c>
      <c r="AW261" s="24"/>
      <c r="AX261" s="24"/>
      <c r="AY261" s="30"/>
      <c r="AZ261" s="24"/>
      <c r="BA261"/>
      <c r="BB261"/>
      <c r="BC261"/>
      <c r="BD261"/>
      <c r="BE261"/>
      <c r="BF261"/>
      <c r="BG261" s="24"/>
      <c r="BH261" s="24"/>
      <c r="BI261" s="24"/>
      <c r="BJ261" s="24"/>
      <c r="BK261" s="24"/>
      <c r="BL261" s="24"/>
      <c r="BM261" s="24"/>
      <c r="BN261" s="24"/>
    </row>
    <row r="262" spans="1:66" s="439" customFormat="1" ht="15" hidden="1" customHeight="1" outlineLevel="1">
      <c r="A262" s="24"/>
      <c r="B262" s="24" t="s">
        <v>277</v>
      </c>
      <c r="C262" s="375" t="s">
        <v>276</v>
      </c>
      <c r="D262" s="24"/>
      <c r="E262" s="375" t="s">
        <v>276</v>
      </c>
      <c r="F262" s="24"/>
      <c r="G262" s="375" t="s">
        <v>276</v>
      </c>
      <c r="H262" s="24"/>
      <c r="I262" s="375" t="s">
        <v>276</v>
      </c>
      <c r="J262" s="24"/>
      <c r="K262" s="375" t="s">
        <v>276</v>
      </c>
      <c r="L262" s="24"/>
      <c r="M262" s="375" t="s">
        <v>276</v>
      </c>
      <c r="N262" s="24"/>
      <c r="O262" s="375" t="s">
        <v>276</v>
      </c>
      <c r="P262" s="24"/>
      <c r="Q262" s="375" t="s">
        <v>276</v>
      </c>
      <c r="R262" s="24"/>
      <c r="S262" s="375" t="s">
        <v>276</v>
      </c>
      <c r="T262" s="24"/>
      <c r="U262" s="375" t="s">
        <v>276</v>
      </c>
      <c r="V262" s="24"/>
      <c r="W262" s="375" t="s">
        <v>276</v>
      </c>
      <c r="X262" s="24"/>
      <c r="Y262" s="375" t="s">
        <v>276</v>
      </c>
      <c r="Z262" s="24"/>
      <c r="AA262" s="28"/>
      <c r="AB262" s="184"/>
      <c r="AC262" s="24"/>
      <c r="AD262" s="375" t="s">
        <v>276</v>
      </c>
      <c r="AE262" s="24"/>
      <c r="AF262" s="375" t="s">
        <v>276</v>
      </c>
      <c r="AG262" s="24"/>
      <c r="AH262" s="375" t="s">
        <v>276</v>
      </c>
      <c r="AI262" s="24"/>
      <c r="AJ262" s="375" t="s">
        <v>276</v>
      </c>
      <c r="AK262" s="24"/>
      <c r="AL262" s="375" t="s">
        <v>276</v>
      </c>
      <c r="AM262" s="24"/>
      <c r="AN262" s="375" t="s">
        <v>276</v>
      </c>
      <c r="AO262" s="24"/>
      <c r="AP262" s="375" t="s">
        <v>276</v>
      </c>
      <c r="AQ262" s="24"/>
      <c r="AR262" s="375" t="s">
        <v>276</v>
      </c>
      <c r="AS262" s="24"/>
      <c r="AT262" s="375" t="s">
        <v>276</v>
      </c>
      <c r="AU262" s="24"/>
      <c r="AV262" s="375" t="s">
        <v>276</v>
      </c>
      <c r="AW262" s="24"/>
      <c r="AX262" s="24"/>
      <c r="AY262" s="30"/>
      <c r="AZ262" s="24"/>
      <c r="BA262"/>
      <c r="BB262"/>
      <c r="BC262"/>
      <c r="BD262"/>
      <c r="BE262"/>
      <c r="BF262"/>
      <c r="BG262" s="24"/>
      <c r="BH262" s="24"/>
      <c r="BI262" s="24"/>
      <c r="BJ262" s="24"/>
      <c r="BK262" s="24"/>
      <c r="BL262" s="24"/>
      <c r="BM262" s="24"/>
      <c r="BN262" s="24"/>
    </row>
    <row r="263" spans="1:66" s="439" customFormat="1" ht="15" hidden="1" customHeight="1" outlineLevel="1">
      <c r="A263" s="24"/>
      <c r="B263" s="24" t="s">
        <v>278</v>
      </c>
      <c r="C263" s="375" t="s">
        <v>276</v>
      </c>
      <c r="D263" s="24"/>
      <c r="E263" s="375" t="s">
        <v>276</v>
      </c>
      <c r="F263" s="24"/>
      <c r="G263" s="375" t="s">
        <v>276</v>
      </c>
      <c r="H263" s="24"/>
      <c r="I263" s="375" t="s">
        <v>276</v>
      </c>
      <c r="J263" s="24"/>
      <c r="K263" s="375" t="s">
        <v>276</v>
      </c>
      <c r="L263" s="24"/>
      <c r="M263" s="375" t="s">
        <v>276</v>
      </c>
      <c r="N263" s="24"/>
      <c r="O263" s="375" t="s">
        <v>276</v>
      </c>
      <c r="P263" s="24"/>
      <c r="Q263" s="375" t="s">
        <v>276</v>
      </c>
      <c r="R263" s="24"/>
      <c r="S263" s="375" t="s">
        <v>276</v>
      </c>
      <c r="T263" s="24"/>
      <c r="U263" s="375" t="s">
        <v>276</v>
      </c>
      <c r="V263" s="24"/>
      <c r="W263" s="375" t="s">
        <v>276</v>
      </c>
      <c r="X263" s="24"/>
      <c r="Y263" s="375" t="s">
        <v>276</v>
      </c>
      <c r="Z263" s="24"/>
      <c r="AA263" s="28"/>
      <c r="AB263" s="184"/>
      <c r="AC263" s="24"/>
      <c r="AD263" s="375" t="s">
        <v>276</v>
      </c>
      <c r="AE263" s="24"/>
      <c r="AF263" s="375" t="s">
        <v>276</v>
      </c>
      <c r="AG263" s="24"/>
      <c r="AH263" s="375" t="s">
        <v>276</v>
      </c>
      <c r="AI263" s="24"/>
      <c r="AJ263" s="375" t="s">
        <v>276</v>
      </c>
      <c r="AK263" s="24"/>
      <c r="AL263" s="375" t="s">
        <v>276</v>
      </c>
      <c r="AM263" s="24"/>
      <c r="AN263" s="375" t="s">
        <v>276</v>
      </c>
      <c r="AO263" s="24"/>
      <c r="AP263" s="375" t="s">
        <v>276</v>
      </c>
      <c r="AQ263" s="24"/>
      <c r="AR263" s="375" t="s">
        <v>276</v>
      </c>
      <c r="AS263" s="24"/>
      <c r="AT263" s="375" t="s">
        <v>276</v>
      </c>
      <c r="AU263" s="24"/>
      <c r="AV263" s="375" t="s">
        <v>276</v>
      </c>
      <c r="AW263" s="24"/>
      <c r="AX263" s="24"/>
      <c r="AY263" s="30"/>
      <c r="AZ263" s="24"/>
      <c r="BA263"/>
      <c r="BB263"/>
      <c r="BC263"/>
      <c r="BD263"/>
      <c r="BE263"/>
      <c r="BF263"/>
      <c r="BG263" s="24"/>
      <c r="BH263" s="24"/>
      <c r="BI263" s="24"/>
      <c r="BJ263" s="24"/>
      <c r="BK263" s="24"/>
      <c r="BL263" s="24"/>
      <c r="BM263" s="24"/>
      <c r="BN263" s="24"/>
    </row>
    <row r="264" spans="1:66" s="439" customFormat="1" ht="15" hidden="1" customHeight="1" outlineLevel="1">
      <c r="A264" s="24"/>
      <c r="B264" s="24" t="s">
        <v>279</v>
      </c>
      <c r="C264" s="375" t="s">
        <v>276</v>
      </c>
      <c r="D264" s="24"/>
      <c r="E264" s="375" t="s">
        <v>276</v>
      </c>
      <c r="F264" s="24"/>
      <c r="G264" s="375" t="s">
        <v>276</v>
      </c>
      <c r="H264" s="24"/>
      <c r="I264" s="375" t="s">
        <v>276</v>
      </c>
      <c r="J264" s="24"/>
      <c r="K264" s="375" t="s">
        <v>276</v>
      </c>
      <c r="L264" s="24"/>
      <c r="M264" s="375" t="s">
        <v>276</v>
      </c>
      <c r="N264" s="24"/>
      <c r="O264" s="375" t="s">
        <v>276</v>
      </c>
      <c r="P264" s="24"/>
      <c r="Q264" s="375" t="s">
        <v>276</v>
      </c>
      <c r="R264" s="24"/>
      <c r="S264" s="375" t="s">
        <v>276</v>
      </c>
      <c r="T264" s="24"/>
      <c r="U264" s="375" t="s">
        <v>276</v>
      </c>
      <c r="V264" s="24"/>
      <c r="W264" s="375" t="s">
        <v>276</v>
      </c>
      <c r="X264" s="24"/>
      <c r="Y264" s="375" t="s">
        <v>276</v>
      </c>
      <c r="Z264" s="24"/>
      <c r="AA264" s="28"/>
      <c r="AB264" s="184"/>
      <c r="AC264" s="24"/>
      <c r="AD264" s="375" t="s">
        <v>276</v>
      </c>
      <c r="AE264" s="24"/>
      <c r="AF264" s="375" t="s">
        <v>276</v>
      </c>
      <c r="AG264" s="24"/>
      <c r="AH264" s="375" t="s">
        <v>276</v>
      </c>
      <c r="AI264" s="24"/>
      <c r="AJ264" s="375" t="s">
        <v>276</v>
      </c>
      <c r="AK264" s="24"/>
      <c r="AL264" s="375" t="s">
        <v>276</v>
      </c>
      <c r="AM264" s="24"/>
      <c r="AN264" s="375" t="s">
        <v>276</v>
      </c>
      <c r="AO264" s="24"/>
      <c r="AP264" s="375" t="s">
        <v>276</v>
      </c>
      <c r="AQ264" s="24"/>
      <c r="AR264" s="375" t="s">
        <v>276</v>
      </c>
      <c r="AS264" s="24"/>
      <c r="AT264" s="375" t="s">
        <v>276</v>
      </c>
      <c r="AU264" s="24"/>
      <c r="AV264" s="375" t="s">
        <v>276</v>
      </c>
      <c r="AW264" s="24"/>
      <c r="AX264" s="24"/>
      <c r="AY264" s="30"/>
      <c r="AZ264" s="24"/>
      <c r="BA264"/>
      <c r="BB264"/>
      <c r="BC264"/>
      <c r="BD264"/>
      <c r="BE264"/>
      <c r="BF264"/>
      <c r="BG264" s="24"/>
      <c r="BH264" s="24"/>
      <c r="BI264" s="24"/>
      <c r="BJ264" s="24"/>
      <c r="BK264" s="24"/>
      <c r="BL264" s="24"/>
      <c r="BM264" s="24"/>
      <c r="BN264" s="24"/>
    </row>
    <row r="265" spans="1:66" s="439" customFormat="1" collapsed="1">
      <c r="A265" s="24"/>
      <c r="B265" s="24"/>
      <c r="C265" s="24"/>
      <c r="D265" s="24"/>
      <c r="E265" s="24"/>
      <c r="F265" s="24"/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  <c r="AA265" s="28"/>
      <c r="AB265" s="184"/>
      <c r="AC265" s="24"/>
      <c r="AD265" s="24"/>
      <c r="AE265" s="24"/>
      <c r="AF265" s="24"/>
      <c r="AG265" s="24"/>
      <c r="AH265" s="24"/>
      <c r="AI265" s="24"/>
      <c r="AJ265" s="24"/>
      <c r="AK265" s="24"/>
      <c r="AL265" s="24"/>
      <c r="AM265" s="24"/>
      <c r="AN265" s="24"/>
      <c r="AO265" s="24"/>
      <c r="AP265" s="24"/>
      <c r="AQ265" s="24"/>
      <c r="AR265" s="24"/>
      <c r="AS265" s="24"/>
      <c r="AT265" s="24"/>
      <c r="AU265" s="24"/>
      <c r="AV265" s="24"/>
      <c r="AW265" s="24"/>
      <c r="AX265" s="24"/>
      <c r="AY265" s="30"/>
      <c r="AZ265" s="24"/>
      <c r="BA265"/>
      <c r="BB265"/>
      <c r="BC265"/>
      <c r="BD265"/>
      <c r="BE265"/>
      <c r="BF265"/>
      <c r="BG265" s="24"/>
      <c r="BH265" s="24"/>
      <c r="BI265" s="24"/>
      <c r="BJ265" s="24"/>
      <c r="BK265" s="24"/>
      <c r="BL265" s="24"/>
      <c r="BM265" s="24"/>
      <c r="BN265" s="24"/>
    </row>
    <row r="266" spans="1:66" s="439" customFormat="1">
      <c r="A266" s="24"/>
      <c r="B266" s="24"/>
      <c r="C266" s="24"/>
      <c r="D266" s="24"/>
      <c r="E266" s="24"/>
      <c r="F266" s="24"/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  <c r="AA266" s="28"/>
      <c r="AB266" s="184"/>
      <c r="AC266" s="24"/>
      <c r="AD266" s="24"/>
      <c r="AE266" s="24"/>
      <c r="AF266" s="24"/>
      <c r="AG266" s="24"/>
      <c r="AH266" s="24"/>
      <c r="AI266" s="24"/>
      <c r="AJ266" s="24"/>
      <c r="AK266" s="24"/>
      <c r="AL266" s="24"/>
      <c r="AM266" s="24"/>
      <c r="AN266" s="24"/>
      <c r="AO266" s="24"/>
      <c r="AP266" s="24"/>
      <c r="AQ266" s="24"/>
      <c r="AR266" s="24"/>
      <c r="AS266" s="24"/>
      <c r="AT266" s="24"/>
      <c r="AU266" s="24"/>
      <c r="AV266" s="24"/>
      <c r="AW266" s="24"/>
      <c r="AX266" s="24"/>
      <c r="AY266" s="30"/>
      <c r="AZ266" s="24"/>
      <c r="BA266"/>
      <c r="BB266"/>
      <c r="BC266"/>
      <c r="BD266"/>
      <c r="BE266"/>
      <c r="BF266"/>
      <c r="BG266" s="24"/>
      <c r="BH266" s="24"/>
      <c r="BI266" s="24"/>
      <c r="BJ266" s="24"/>
      <c r="BK266" s="24"/>
      <c r="BL266" s="24"/>
      <c r="BM266" s="24"/>
      <c r="BN266" s="24"/>
    </row>
    <row r="267" spans="1:66" s="439" customFormat="1">
      <c r="A267" s="24"/>
      <c r="B267" s="24"/>
      <c r="C267" s="24"/>
      <c r="D267" s="24"/>
      <c r="E267" s="24"/>
      <c r="F267" s="24"/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  <c r="AA267" s="28"/>
      <c r="AB267" s="184"/>
      <c r="AC267" s="24"/>
      <c r="AD267" s="24"/>
      <c r="AE267" s="24"/>
      <c r="AF267" s="24"/>
      <c r="AG267" s="24"/>
      <c r="AH267" s="24"/>
      <c r="AI267" s="24"/>
      <c r="AJ267" s="24"/>
      <c r="AK267" s="24"/>
      <c r="AL267" s="24"/>
      <c r="AM267" s="24"/>
      <c r="AN267" s="24"/>
      <c r="AO267" s="24"/>
      <c r="AP267" s="24"/>
      <c r="AQ267" s="24"/>
      <c r="AR267" s="24"/>
      <c r="AS267" s="24"/>
      <c r="AT267" s="24"/>
      <c r="AU267" s="24"/>
      <c r="AV267" s="24"/>
      <c r="AW267" s="24"/>
      <c r="AX267" s="24"/>
      <c r="AY267" s="30"/>
      <c r="AZ267" s="24"/>
      <c r="BA267"/>
      <c r="BB267"/>
      <c r="BC267"/>
      <c r="BD267"/>
      <c r="BE267"/>
      <c r="BF267"/>
      <c r="BG267" s="24"/>
      <c r="BH267" s="24"/>
      <c r="BI267" s="24"/>
      <c r="BJ267" s="24"/>
      <c r="BK267" s="24"/>
      <c r="BL267" s="24"/>
      <c r="BM267" s="24"/>
      <c r="BN267" s="24"/>
    </row>
    <row r="268" spans="1:66" s="439" customFormat="1">
      <c r="A268" s="24"/>
      <c r="B268" s="24"/>
      <c r="C268" s="24"/>
      <c r="D268" s="24"/>
      <c r="E268" s="24"/>
      <c r="F268" s="24"/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  <c r="AA268" s="28"/>
      <c r="AB268" s="184"/>
      <c r="AC268" s="24"/>
      <c r="AD268" s="24"/>
      <c r="AE268" s="24"/>
      <c r="AF268" s="24"/>
      <c r="AG268" s="24"/>
      <c r="AH268" s="24"/>
      <c r="AI268" s="24"/>
      <c r="AJ268" s="24"/>
      <c r="AK268" s="24"/>
      <c r="AL268" s="24"/>
      <c r="AM268" s="24"/>
      <c r="AN268" s="24"/>
      <c r="AO268" s="24"/>
      <c r="AP268" s="24"/>
      <c r="AQ268" s="24"/>
      <c r="AR268" s="24"/>
      <c r="AS268" s="24"/>
      <c r="AT268" s="24"/>
      <c r="AU268" s="24"/>
      <c r="AV268" s="24"/>
      <c r="AW268" s="24"/>
      <c r="AX268" s="24"/>
      <c r="AY268" s="30"/>
      <c r="AZ268" s="24"/>
      <c r="BA268"/>
      <c r="BB268"/>
      <c r="BC268"/>
      <c r="BD268"/>
      <c r="BE268"/>
      <c r="BF268"/>
      <c r="BG268" s="24"/>
      <c r="BH268" s="24"/>
      <c r="BI268" s="24"/>
      <c r="BJ268" s="24"/>
      <c r="BK268" s="24"/>
      <c r="BL268" s="24"/>
      <c r="BM268" s="24"/>
      <c r="BN268" s="24"/>
    </row>
    <row r="269" spans="1:66" s="439" customFormat="1">
      <c r="A269" s="24"/>
      <c r="B269" s="24"/>
      <c r="C269" s="24"/>
      <c r="D269" s="24"/>
      <c r="E269" s="24"/>
      <c r="F269" s="24"/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  <c r="AA269" s="28"/>
      <c r="AB269" s="184"/>
      <c r="AC269" s="24"/>
      <c r="AD269" s="24"/>
      <c r="AE269" s="24"/>
      <c r="AF269" s="24"/>
      <c r="AG269" s="24"/>
      <c r="AH269" s="24"/>
      <c r="AI269" s="24"/>
      <c r="AJ269" s="24"/>
      <c r="AK269" s="24"/>
      <c r="AL269" s="24"/>
      <c r="AM269" s="24"/>
      <c r="AN269" s="24"/>
      <c r="AO269" s="24"/>
      <c r="AP269" s="24"/>
      <c r="AQ269" s="24"/>
      <c r="AR269" s="24"/>
      <c r="AS269" s="24"/>
      <c r="AT269" s="24"/>
      <c r="AU269" s="24"/>
      <c r="AV269" s="24"/>
      <c r="AW269" s="24"/>
      <c r="AX269" s="24"/>
      <c r="AY269" s="30"/>
      <c r="AZ269" s="24"/>
      <c r="BA269"/>
      <c r="BB269"/>
      <c r="BC269"/>
      <c r="BD269"/>
      <c r="BE269"/>
      <c r="BF269"/>
      <c r="BG269" s="24"/>
      <c r="BH269" s="24"/>
      <c r="BI269" s="24"/>
      <c r="BJ269" s="24"/>
      <c r="BK269" s="24"/>
      <c r="BL269" s="24"/>
      <c r="BM269" s="24"/>
      <c r="BN269" s="24"/>
    </row>
    <row r="270" spans="1:66" s="439" customFormat="1">
      <c r="A270" s="24"/>
      <c r="B270" s="24"/>
      <c r="C270" s="24"/>
      <c r="D270" s="24"/>
      <c r="E270" s="24"/>
      <c r="F270" s="24"/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  <c r="AA270" s="28"/>
      <c r="AB270" s="184"/>
      <c r="AC270" s="24"/>
      <c r="AD270" s="24"/>
      <c r="AE270" s="24"/>
      <c r="AF270" s="24"/>
      <c r="AG270" s="24"/>
      <c r="AH270" s="24"/>
      <c r="AI270" s="24"/>
      <c r="AJ270" s="24"/>
      <c r="AK270" s="24"/>
      <c r="AL270" s="24"/>
      <c r="AM270" s="24"/>
      <c r="AN270" s="24"/>
      <c r="AO270" s="24"/>
      <c r="AP270" s="24"/>
      <c r="AQ270" s="24"/>
      <c r="AR270" s="24"/>
      <c r="AS270" s="24"/>
      <c r="AT270" s="24"/>
      <c r="AU270" s="24"/>
      <c r="AV270" s="24"/>
      <c r="AW270" s="24"/>
      <c r="AX270" s="24"/>
      <c r="AY270" s="30"/>
      <c r="AZ270" s="24"/>
      <c r="BA270"/>
      <c r="BB270"/>
      <c r="BC270"/>
      <c r="BD270"/>
      <c r="BE270"/>
      <c r="BF270"/>
      <c r="BG270" s="24"/>
      <c r="BH270" s="24"/>
      <c r="BI270" s="24"/>
      <c r="BJ270" s="24"/>
      <c r="BK270" s="24"/>
      <c r="BL270" s="24"/>
      <c r="BM270" s="24"/>
      <c r="BN270" s="24"/>
    </row>
    <row r="271" spans="1:66" s="439" customFormat="1">
      <c r="A271" s="24"/>
      <c r="B271" s="24"/>
      <c r="C271" s="24"/>
      <c r="D271" s="24"/>
      <c r="E271" s="24"/>
      <c r="F271" s="24"/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  <c r="AA271" s="28"/>
      <c r="AB271" s="184"/>
      <c r="AC271" s="24"/>
      <c r="AD271" s="24"/>
      <c r="AE271" s="24"/>
      <c r="AF271" s="24"/>
      <c r="AG271" s="24"/>
      <c r="AH271" s="24"/>
      <c r="AI271" s="24"/>
      <c r="AJ271" s="24"/>
      <c r="AK271" s="24"/>
      <c r="AL271" s="24"/>
      <c r="AM271" s="24"/>
      <c r="AN271" s="24"/>
      <c r="AO271" s="24"/>
      <c r="AP271" s="24"/>
      <c r="AQ271" s="24"/>
      <c r="AR271" s="24"/>
      <c r="AS271" s="24"/>
      <c r="AT271" s="24"/>
      <c r="AU271" s="24"/>
      <c r="AV271" s="24"/>
      <c r="AW271" s="24"/>
      <c r="AX271" s="24"/>
      <c r="AY271" s="30"/>
      <c r="AZ271" s="24"/>
      <c r="BA271"/>
      <c r="BB271"/>
      <c r="BC271"/>
      <c r="BD271"/>
      <c r="BE271"/>
      <c r="BF271"/>
      <c r="BG271" s="24"/>
      <c r="BH271" s="24"/>
      <c r="BI271" s="24"/>
      <c r="BJ271" s="24"/>
      <c r="BK271" s="24"/>
      <c r="BL271" s="24"/>
      <c r="BM271" s="24"/>
      <c r="BN271" s="24"/>
    </row>
    <row r="272" spans="1:66" s="439" customFormat="1">
      <c r="A272" s="24"/>
      <c r="B272" s="24"/>
      <c r="C272" s="24"/>
      <c r="D272" s="24"/>
      <c r="E272" s="24"/>
      <c r="F272" s="24"/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  <c r="AA272" s="28"/>
      <c r="AB272" s="184"/>
      <c r="AC272" s="24"/>
      <c r="AD272" s="24"/>
      <c r="AE272" s="24"/>
      <c r="AF272" s="24"/>
      <c r="AG272" s="24"/>
      <c r="AH272" s="24"/>
      <c r="AI272" s="24"/>
      <c r="AJ272" s="24"/>
      <c r="AK272" s="24"/>
      <c r="AL272" s="24"/>
      <c r="AM272" s="24"/>
      <c r="AN272" s="24"/>
      <c r="AO272" s="24"/>
      <c r="AP272" s="24"/>
      <c r="AQ272" s="24"/>
      <c r="AR272" s="24"/>
      <c r="AS272" s="24"/>
      <c r="AT272" s="24"/>
      <c r="AU272" s="24"/>
      <c r="AV272" s="24"/>
      <c r="AW272" s="24"/>
      <c r="AX272" s="24"/>
      <c r="AY272" s="30"/>
      <c r="AZ272" s="24"/>
      <c r="BA272"/>
      <c r="BB272"/>
      <c r="BC272"/>
      <c r="BD272"/>
      <c r="BE272"/>
      <c r="BF272"/>
      <c r="BG272" s="24"/>
      <c r="BH272" s="24"/>
      <c r="BI272" s="24"/>
      <c r="BJ272" s="24"/>
      <c r="BK272" s="24"/>
      <c r="BL272" s="24"/>
      <c r="BM272" s="24"/>
      <c r="BN272" s="24"/>
    </row>
    <row r="273" spans="1:66" s="439" customFormat="1">
      <c r="A273" s="24"/>
      <c r="B273" s="24"/>
      <c r="C273" s="24"/>
      <c r="D273" s="24"/>
      <c r="E273" s="24"/>
      <c r="F273" s="24"/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  <c r="AA273" s="24"/>
      <c r="AB273" s="184"/>
      <c r="AC273" s="24"/>
      <c r="AD273" s="24"/>
      <c r="AE273" s="24"/>
      <c r="AF273" s="24"/>
      <c r="AG273" s="24"/>
      <c r="AH273" s="24"/>
      <c r="AI273" s="24"/>
      <c r="AJ273" s="24"/>
      <c r="AK273" s="24"/>
      <c r="AL273" s="24"/>
      <c r="AM273" s="24"/>
      <c r="AN273" s="24"/>
      <c r="AO273" s="24"/>
      <c r="AP273" s="24"/>
      <c r="AQ273" s="24"/>
      <c r="AR273" s="24"/>
      <c r="AS273" s="24"/>
      <c r="AT273" s="24"/>
      <c r="AU273" s="24"/>
      <c r="AV273" s="24"/>
      <c r="AW273" s="24"/>
      <c r="AX273" s="24"/>
      <c r="AY273" s="30"/>
      <c r="AZ273" s="24"/>
      <c r="BA273"/>
      <c r="BB273"/>
      <c r="BC273"/>
      <c r="BD273"/>
      <c r="BE273"/>
      <c r="BF273"/>
      <c r="BG273" s="24"/>
      <c r="BH273" s="24"/>
      <c r="BI273" s="24"/>
      <c r="BJ273" s="24"/>
      <c r="BK273" s="24"/>
      <c r="BL273" s="24"/>
      <c r="BM273" s="24"/>
      <c r="BN273" s="24"/>
    </row>
    <row r="274" spans="1:66" s="439" customFormat="1">
      <c r="A274" s="24"/>
      <c r="B274" s="24"/>
      <c r="C274" s="24"/>
      <c r="D274" s="24"/>
      <c r="E274" s="24"/>
      <c r="F274" s="24"/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  <c r="AA274" s="24"/>
      <c r="AB274" s="184"/>
      <c r="AC274" s="24"/>
      <c r="AD274" s="24"/>
      <c r="AE274" s="24"/>
      <c r="AF274" s="24"/>
      <c r="AG274" s="24"/>
      <c r="AH274" s="24"/>
      <c r="AI274" s="24"/>
      <c r="AJ274" s="24"/>
      <c r="AK274" s="24"/>
      <c r="AL274" s="24"/>
      <c r="AM274" s="24"/>
      <c r="AN274" s="24"/>
      <c r="AO274" s="24"/>
      <c r="AP274" s="24"/>
      <c r="AQ274" s="24"/>
      <c r="AR274" s="24"/>
      <c r="AS274" s="24"/>
      <c r="AT274" s="24"/>
      <c r="AU274" s="24"/>
      <c r="AV274" s="24"/>
      <c r="AW274" s="24"/>
      <c r="AX274" s="24"/>
      <c r="AY274" s="30"/>
      <c r="AZ274" s="24"/>
      <c r="BA274"/>
      <c r="BB274"/>
      <c r="BC274"/>
      <c r="BD274"/>
      <c r="BE274"/>
      <c r="BF274"/>
      <c r="BG274" s="24"/>
      <c r="BH274" s="24"/>
      <c r="BI274" s="24"/>
      <c r="BJ274" s="24"/>
      <c r="BK274" s="24"/>
      <c r="BL274" s="24"/>
      <c r="BM274" s="24"/>
      <c r="BN274" s="24"/>
    </row>
    <row r="275" spans="1:66" s="439" customFormat="1">
      <c r="A275" s="24"/>
      <c r="B275" s="24"/>
      <c r="C275" s="24"/>
      <c r="D275" s="24"/>
      <c r="E275" s="24"/>
      <c r="F275" s="24"/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  <c r="AA275" s="24"/>
      <c r="AB275" s="184"/>
      <c r="AC275" s="24"/>
      <c r="AD275" s="24"/>
      <c r="AE275" s="24"/>
      <c r="AF275" s="24"/>
      <c r="AG275" s="24"/>
      <c r="AH275" s="24"/>
      <c r="AI275" s="24"/>
      <c r="AJ275" s="24"/>
      <c r="AK275" s="24"/>
      <c r="AL275" s="24"/>
      <c r="AM275" s="24"/>
      <c r="AN275" s="24"/>
      <c r="AO275" s="24"/>
      <c r="AP275" s="24"/>
      <c r="AQ275" s="24"/>
      <c r="AR275" s="24"/>
      <c r="AS275" s="24"/>
      <c r="AT275" s="24"/>
      <c r="AU275" s="24"/>
      <c r="AV275" s="24"/>
      <c r="AW275" s="24"/>
      <c r="AX275" s="24"/>
      <c r="AY275" s="30"/>
      <c r="AZ275" s="24"/>
      <c r="BA275"/>
      <c r="BB275"/>
      <c r="BC275"/>
      <c r="BD275"/>
      <c r="BE275"/>
      <c r="BF275"/>
      <c r="BG275" s="24"/>
      <c r="BH275" s="24"/>
      <c r="BI275" s="24"/>
      <c r="BJ275" s="24"/>
      <c r="BK275" s="24"/>
      <c r="BL275" s="24"/>
      <c r="BM275" s="24"/>
      <c r="BN275" s="24"/>
    </row>
    <row r="276" spans="1:66" s="439" customFormat="1">
      <c r="A276" s="24"/>
      <c r="B276" s="24"/>
      <c r="C276" s="24"/>
      <c r="D276" s="24"/>
      <c r="E276" s="24"/>
      <c r="F276" s="24"/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  <c r="AA276" s="24"/>
      <c r="AB276" s="184"/>
      <c r="AC276" s="24"/>
      <c r="AD276" s="24"/>
      <c r="AE276" s="24"/>
      <c r="AF276" s="24"/>
      <c r="AG276" s="24"/>
      <c r="AH276" s="24"/>
      <c r="AI276" s="24"/>
      <c r="AJ276" s="24"/>
      <c r="AK276" s="24"/>
      <c r="AL276" s="24"/>
      <c r="AM276" s="24"/>
      <c r="AN276" s="24"/>
      <c r="AO276" s="24"/>
      <c r="AP276" s="24"/>
      <c r="AQ276" s="24"/>
      <c r="AR276" s="24"/>
      <c r="AS276" s="24"/>
      <c r="AT276" s="24"/>
      <c r="AU276" s="24"/>
      <c r="AV276" s="24"/>
      <c r="AW276" s="24"/>
      <c r="AX276" s="24"/>
      <c r="AY276" s="30"/>
      <c r="AZ276" s="24"/>
      <c r="BA276"/>
      <c r="BB276"/>
      <c r="BC276"/>
      <c r="BD276"/>
      <c r="BE276"/>
      <c r="BF276"/>
      <c r="BG276" s="24"/>
      <c r="BH276" s="24"/>
      <c r="BI276" s="24"/>
      <c r="BJ276" s="24"/>
      <c r="BK276" s="24"/>
      <c r="BL276" s="24"/>
      <c r="BM276" s="24"/>
      <c r="BN276" s="24"/>
    </row>
    <row r="277" spans="1:66" s="439" customFormat="1">
      <c r="A277" s="24"/>
      <c r="B277" s="24"/>
      <c r="C277" s="24"/>
      <c r="D277" s="24"/>
      <c r="E277" s="24"/>
      <c r="F277" s="24"/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  <c r="AA277" s="24"/>
      <c r="AB277" s="184"/>
      <c r="AC277" s="24"/>
      <c r="AD277" s="24"/>
      <c r="AE277" s="24"/>
      <c r="AF277" s="24"/>
      <c r="AG277" s="24"/>
      <c r="AH277" s="24"/>
      <c r="AI277" s="24"/>
      <c r="AJ277" s="24"/>
      <c r="AK277" s="24"/>
      <c r="AL277" s="24"/>
      <c r="AM277" s="24"/>
      <c r="AN277" s="24"/>
      <c r="AO277" s="24"/>
      <c r="AP277" s="24"/>
      <c r="AQ277" s="24"/>
      <c r="AR277" s="24"/>
      <c r="AS277" s="24"/>
      <c r="AT277" s="24"/>
      <c r="AU277" s="24"/>
      <c r="AV277" s="24"/>
      <c r="AW277" s="24"/>
      <c r="AX277" s="24"/>
      <c r="AY277" s="30"/>
      <c r="AZ277" s="24"/>
      <c r="BA277"/>
      <c r="BB277"/>
      <c r="BC277"/>
      <c r="BD277"/>
      <c r="BE277"/>
      <c r="BF277"/>
      <c r="BG277" s="24"/>
      <c r="BH277" s="24"/>
      <c r="BI277" s="24"/>
      <c r="BJ277" s="24"/>
      <c r="BK277" s="24"/>
      <c r="BL277" s="24"/>
      <c r="BM277" s="24"/>
      <c r="BN277" s="24"/>
    </row>
    <row r="278" spans="1:66" s="439" customFormat="1">
      <c r="A278" s="24"/>
      <c r="B278" s="24"/>
      <c r="C278" s="24"/>
      <c r="D278" s="24"/>
      <c r="E278" s="24"/>
      <c r="F278" s="24"/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  <c r="AA278" s="24"/>
      <c r="AB278" s="184"/>
      <c r="AC278" s="24"/>
      <c r="AD278" s="24"/>
      <c r="AE278" s="24"/>
      <c r="AF278" s="24"/>
      <c r="AG278" s="24"/>
      <c r="AH278" s="24"/>
      <c r="AI278" s="24"/>
      <c r="AJ278" s="24"/>
      <c r="AK278" s="24"/>
      <c r="AL278" s="24"/>
      <c r="AM278" s="24"/>
      <c r="AN278" s="24"/>
      <c r="AO278" s="24"/>
      <c r="AP278" s="24"/>
      <c r="AQ278" s="24"/>
      <c r="AR278" s="24"/>
      <c r="AS278" s="24"/>
      <c r="AT278" s="24"/>
      <c r="AU278" s="24"/>
      <c r="AV278" s="24"/>
      <c r="AW278" s="24"/>
      <c r="AX278" s="24"/>
      <c r="AY278" s="30"/>
      <c r="AZ278" s="24"/>
      <c r="BA278"/>
      <c r="BB278"/>
      <c r="BC278"/>
      <c r="BD278"/>
      <c r="BE278"/>
      <c r="BF278"/>
      <c r="BG278" s="24"/>
      <c r="BH278" s="24"/>
      <c r="BI278" s="24"/>
      <c r="BJ278" s="24"/>
      <c r="BK278" s="24"/>
      <c r="BL278" s="24"/>
      <c r="BM278" s="24"/>
      <c r="BN278" s="24"/>
    </row>
    <row r="279" spans="1:66" s="439" customFormat="1">
      <c r="A279" s="24"/>
      <c r="B279" s="24"/>
      <c r="C279" s="24"/>
      <c r="D279" s="24"/>
      <c r="E279" s="24"/>
      <c r="F279" s="24"/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  <c r="AA279" s="24"/>
      <c r="AB279" s="184"/>
      <c r="AC279" s="24"/>
      <c r="AD279" s="24"/>
      <c r="AE279" s="24"/>
      <c r="AF279" s="24"/>
      <c r="AG279" s="24"/>
      <c r="AH279" s="24"/>
      <c r="AI279" s="24"/>
      <c r="AJ279" s="24"/>
      <c r="AK279" s="24"/>
      <c r="AL279" s="24"/>
      <c r="AM279" s="24"/>
      <c r="AN279" s="24"/>
      <c r="AO279" s="24"/>
      <c r="AP279" s="24"/>
      <c r="AQ279" s="24"/>
      <c r="AR279" s="24"/>
      <c r="AS279" s="24"/>
      <c r="AT279" s="24"/>
      <c r="AU279" s="24"/>
      <c r="AV279" s="24"/>
      <c r="AW279" s="24"/>
      <c r="AX279" s="24"/>
      <c r="AY279" s="30"/>
      <c r="AZ279" s="24"/>
      <c r="BA279"/>
      <c r="BB279"/>
      <c r="BC279"/>
      <c r="BD279"/>
      <c r="BE279"/>
      <c r="BF279"/>
      <c r="BG279" s="24"/>
      <c r="BH279" s="24"/>
      <c r="BI279" s="24"/>
      <c r="BJ279" s="24"/>
      <c r="BK279" s="24"/>
      <c r="BL279" s="24"/>
      <c r="BM279" s="24"/>
      <c r="BN279" s="24"/>
    </row>
    <row r="280" spans="1:66" s="439" customFormat="1">
      <c r="A280" s="24"/>
      <c r="B280" s="24"/>
      <c r="C280" s="24"/>
      <c r="D280" s="24"/>
      <c r="E280" s="24"/>
      <c r="F280" s="24"/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  <c r="AA280" s="24"/>
      <c r="AB280" s="184"/>
      <c r="AC280" s="24"/>
      <c r="AD280" s="24"/>
      <c r="AE280" s="24"/>
      <c r="AF280" s="24"/>
      <c r="AG280" s="24"/>
      <c r="AH280" s="24"/>
      <c r="AI280" s="24"/>
      <c r="AJ280" s="24"/>
      <c r="AK280" s="24"/>
      <c r="AL280" s="24"/>
      <c r="AM280" s="24"/>
      <c r="AN280" s="24"/>
      <c r="AO280" s="24"/>
      <c r="AP280" s="24"/>
      <c r="AQ280" s="24"/>
      <c r="AR280" s="24"/>
      <c r="AS280" s="24"/>
      <c r="AT280" s="24"/>
      <c r="AU280" s="24"/>
      <c r="AV280" s="24"/>
      <c r="AW280" s="24"/>
      <c r="AX280" s="24"/>
      <c r="AY280" s="30"/>
      <c r="AZ280" s="24"/>
      <c r="BA280"/>
      <c r="BB280"/>
      <c r="BC280"/>
      <c r="BD280"/>
      <c r="BE280"/>
      <c r="BF280"/>
      <c r="BG280" s="24"/>
      <c r="BH280" s="24"/>
      <c r="BI280" s="24"/>
      <c r="BJ280" s="24"/>
      <c r="BK280" s="24"/>
      <c r="BL280" s="24"/>
      <c r="BM280" s="24"/>
      <c r="BN280" s="24"/>
    </row>
    <row r="281" spans="1:66" s="439" customFormat="1">
      <c r="A281" s="24"/>
      <c r="B281" s="24"/>
      <c r="C281" s="24"/>
      <c r="D281" s="24"/>
      <c r="E281" s="24"/>
      <c r="F281" s="24"/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  <c r="AA281" s="24"/>
      <c r="AB281" s="184"/>
      <c r="AC281" s="24"/>
      <c r="AD281" s="24"/>
      <c r="AE281" s="24"/>
      <c r="AF281" s="24"/>
      <c r="AG281" s="24"/>
      <c r="AH281" s="24"/>
      <c r="AI281" s="24"/>
      <c r="AJ281" s="24"/>
      <c r="AK281" s="24"/>
      <c r="AL281" s="24"/>
      <c r="AM281" s="24"/>
      <c r="AN281" s="24"/>
      <c r="AO281" s="24"/>
      <c r="AP281" s="24"/>
      <c r="AQ281" s="24"/>
      <c r="AR281" s="24"/>
      <c r="AS281" s="24"/>
      <c r="AT281" s="24"/>
      <c r="AU281" s="24"/>
      <c r="AV281" s="24"/>
      <c r="AW281" s="24"/>
      <c r="AX281" s="24"/>
      <c r="AY281" s="30"/>
      <c r="AZ281" s="24"/>
      <c r="BA281"/>
      <c r="BB281"/>
      <c r="BC281"/>
      <c r="BD281"/>
      <c r="BE281"/>
      <c r="BF281"/>
      <c r="BG281" s="24"/>
      <c r="BH281" s="24"/>
      <c r="BI281" s="24"/>
      <c r="BJ281" s="24"/>
      <c r="BK281" s="24"/>
      <c r="BL281" s="24"/>
      <c r="BM281" s="24"/>
      <c r="BN281" s="24"/>
    </row>
    <row r="282" spans="1:66" s="439" customFormat="1">
      <c r="A282" s="24"/>
      <c r="B282" s="24"/>
      <c r="C282" s="24"/>
      <c r="D282" s="24"/>
      <c r="E282" s="24"/>
      <c r="F282" s="24"/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  <c r="AA282" s="24"/>
      <c r="AB282" s="184"/>
      <c r="AC282" s="24"/>
      <c r="AD282" s="24"/>
      <c r="AE282" s="24"/>
      <c r="AF282" s="24"/>
      <c r="AG282" s="24"/>
      <c r="AH282" s="24"/>
      <c r="AI282" s="24"/>
      <c r="AJ282" s="24"/>
      <c r="AK282" s="24"/>
      <c r="AL282" s="24"/>
      <c r="AM282" s="24"/>
      <c r="AN282" s="24"/>
      <c r="AO282" s="24"/>
      <c r="AP282" s="24"/>
      <c r="AQ282" s="24"/>
      <c r="AR282" s="24"/>
      <c r="AS282" s="24"/>
      <c r="AT282" s="24"/>
      <c r="AU282" s="24"/>
      <c r="AV282" s="24"/>
      <c r="AW282" s="24"/>
      <c r="AX282" s="24"/>
      <c r="AY282" s="30"/>
      <c r="AZ282" s="24"/>
      <c r="BA282"/>
      <c r="BB282"/>
      <c r="BC282"/>
      <c r="BD282"/>
      <c r="BE282"/>
      <c r="BF282"/>
      <c r="BG282" s="24"/>
      <c r="BH282" s="24"/>
      <c r="BI282" s="24"/>
      <c r="BJ282" s="24"/>
      <c r="BK282" s="24"/>
      <c r="BL282" s="24"/>
      <c r="BM282" s="24"/>
      <c r="BN282" s="24"/>
    </row>
  </sheetData>
  <mergeCells count="1">
    <mergeCell ref="B4:B5"/>
  </mergeCells>
  <dataValidations disablePrompts="1" count="1">
    <dataValidation type="list" allowBlank="1" showInputMessage="1" showErrorMessage="1" promptTitle="Scenario Analysis" prompt="1= Base Case_x000a_2= Bull Case_x000a_3= Bear Case" sqref="B6">
      <formula1>"1,2,3"</formula1>
    </dataValidation>
  </dataValidations>
  <pageMargins left="0.7" right="0.7" top="0.75" bottom="0.75" header="0.3" footer="0.3"/>
  <pageSetup orientation="portrait" r:id="rId1"/>
  <ignoredErrors>
    <ignoredError sqref="AA283:AH400 AJ283:AJ400 AL283:AL400 AP283:AP400 AR283:AR400 AT283:AT400 L92 L174:L177 L232:L235 L211:L215 L222:L224 L82:L85 L67:L69 L98:L101 L180 L187:L189 L192:L193 L195:L196 L238 L240 L4 L95:L96 L227:L229 L7:L15 L26:L27 L30 L17:L22 L32:L37 N4 N229 P39:P40 P32:P38 N32:N91 N176 N177:N199 N97:N175 R32:R40 N230:N256 N218:N228 M265:N282 M210:N215 M25:N26 M32:M61 M95:M106 M218:M256 M63:M92 M108:M199 AX283:AZ400 M216:N217 M27:N31 P26 M93:N94 M200:N209 M257:N264 M7:N15 N92 N95:N96 AY36:AZ36 AY35:AZ35 AY34:AZ34 AY33:AZ33 AY32:AZ32 AY30:AZ30 AY31:AZ31 AY24:AZ24 AY23 AY13:AZ13 AY12:AZ12 AY11:AZ11 AX14:AZ20 AY9:AZ9 AY8:AZ8 AY7:AZ7 AP7:AP15 AT26:AU26 AP29:AP30 AR22 AR27 AR28 AP37:AP38 AP35 AX28:AZ28 AY27:AZ27 AR25 AR24 AR23 AY22 AK4 AA20:AM22 AA23:AM24 AZ26 AT25:AU25 AR32:AR39 AP32 AT32:AT39 AU32:AU40 AX29:AZ29 AX37:AZ37 AY25:AZ25 AP26 AF38:AM38 AG39 AA25:AM30 AD38 AI40 AK40 AM39:AM40 AX10:AZ10 S5:AM5 S11:Z15 S10:Z10 BN10:BV10 S40:Z40 AN39:AO39 S38:Z38 BO200:BV200 S26:Z26 AN25:AP25 T39:Z39 AN38:AO38 AN28:AP28 AN26:AO26 AV26:AY26 BO84:BV84 BO177:BV177 BN25:BV25 BO224:BV224 BO222:BV222 BO265:BV268 BO254:BV255 BO257:BV259 BO262:BV264 BO260:BV260 BO261:BV261 BO256:BV256 BO216:BV216 BO92:BV92 AN37:AO37 BN37:BV37 AN30:AO30 AN29:AO29 BN29:BV29 AV39:AX39 AV38:AX38 AV37:AW37 AN33:AP33 AV36:AX36 AN32:AO32 AV25:AX25 BO217:BV217 BN26:BV26 S23:Z23 AN24:AP24 S7:Z9 AN7:AO9 AN11:AO21 AN10:AO10 T4 AO4 AN22:AP22 BN22:BV22 AN23:AP23 AV23:AX23 AV24:AX24 AN27:AO27 BN27:BV27 BN28:BV28 AN36:AP36 AO35 BO206:BV209 BO201:BV201 BO202:BV202 BO203:BV203 BO204:BV204 BO205:BV205 AV28:AW28 AV27:AX27 AV22:AX22 AV30:AX30 AV29:AW29 AV9:AX9 AV13:AX13 AV10:AW10 AV7:AX7 BN7:BV7 AV8:AX8 BN8:BV8 BN9:BV9 AV14:AW15 BN14:BV21 AV11:AX11 BN11:BV11 AV12:AX12 BN12:BV12 BN13:BV13 BN23:BV23 BN24:BV24 AW31 BN31:BV31 BN30:BV30 AV32:AX32 BN32:BV32 AV33:AX33 BN33:BV33 AV34:AX34 BN34:BV34 AV35:AX35 BN35:BV35 BN36:BV36 BO96:BV96 BO93:BV93 BO94:BV94 BO95:BV95 BO210:BV210 BO73:BV73 BO97:BV97 BO53:BV53 BO86:BV87 BO48:BV49 BO46:BV46 BO47:BV47 AV40:AW40 BN40:BV40 BO43:BV43 BO44:BV45 BN39:BV39 BO50:BV52 BO41:BV42 BN38:BV38 BO139:BV139 BO140:BV140 BO125:BV125 BO138:BV138 BO121:BV122 BO120:BV120 BO119:BV119 BO165:BV165 BO114:BV116 BO167:BV167 BO117:BV118 BO99:BV113 BO98:BV98 BO166:BV166 BO168:BV175 BO163:BV163 BO123:BV124 BO164:BV164 BO141:BV162 BO126:BV137 BO74:BV75 BO76:BV81 BO85:BV85 BO72:BV72 BO67:BV67 BO68:BV71 BO82:BV83 BO176:BV176 BO269:BV282 BO218:BV218 BO211:BV215 BO178:BV179 BO225:BV225 BO223:BV223 AN40:AO40 BO62:BV62 BO54:BV54 BO55:BV55 BO56:BV56 BO57:BV57 BO58:BV58 BO59:BV59 BO60:BV60 BO61:BV61 BO65:BV66 BO63:BV63 BO64:BV64 BO91:BV91 BO88:BV88 BO89:BV89 BO90:BV90 BO184:BV184 BO180:BV180 BO181:BV181 BO182:BV182 BO183:BV183 BO186:BV187 BO185:BV185 BO190:BV191 BO188:BV188 BO189:BV189 BO194:BV194 BO192:BV192 BO193:BV193 BO197:BV199 BO195:BV195 BO196:BV196 BO221:BV221 BO219:BV219 BO220:BV220 BO230:BV231 BO226:BV226 BO227:BV227 BO228:BV228 BO229:BV229 BO236:BV237 BO232:BV232 BO233:BV233 BO234:BV234 BO235:BV235 BO244:BV245 BO238:BV238 BO239:BV239 BO240:BV240 BO241:BV241 BO242:BV242 BO243:BV243 BO249:BV250 BO246:BV246 BO247:BV247 BO248:BV248 BO253:BV253 BO251:BV251 BO252:BV252 S6:AC6 AM6:AP6 AP19:AP21 AU16 AV19:AW21 AW16 AU18 AU17 AW17:AW18 T25 V25 X25 Z25 AA36:AM37 AA34:AK34 AO34:AP34 AA35:AK35 AM34 AL35:AM35 AN35 AL34 AN34 AA32:AM33 AA31:AK31 AM31 AO31 AU31 M24:N24 M23:N23 P23 AR7:AR15 AR29:AR30 AR26 AR6 AR19:AR21 AT22:AU22 AT27:AU27 AT28:AU28 AT24:AU24 AT23:AU23 AT7:AU15 AT29:AU30 AT5:AZ5 AT4:AZ4 AT6:AZ6 AT19:AU21 AA7:AC19 AM7:AM19 S71:T71 S101:T101 T100 S99:U99 S98:T98 T105 S106:T113 S102:T104 T89 S90:T91 S72:T73 AV41:AX41 AV45:AW45 AN41:AO41 AN42:AO42 BN41:BN42 BN44:BN45 BN43 AV42:AX42 S168:T169 S175:T175 S164:T164 S44:Z45 AV44:AX44 AV43:AX43 S216:T216 S177:T177 S50:T50 S51:T54 S55:T55 S56:T58 S137:T137 S138:T162 S114:T114 S59:T59 S61:T66 S176:T176 S178:T178 S179:T179 S180:T184 S256:T256 S240:T240 S241:T255 S238:T238 S239:T239 S211:T211 S213:T215 S192:T196 S197:T199 S125:T125 S126:T136 S92:T96 S97:T97 S115:T115 S116:T119 S200:T200 S260:T260 S262:T264 S232:T235 S236:T237 S257:T259 S82:T85 S86:T88 S265:T282 S210:T210 S217:T217 S226:T226 S227:T228 S167:T167 S170:T174 S219:T220 S221:T223 S225:T225 S218:T218 S224:T224 S261:T261 S185:T185 S41:Z42 AN44:AO45 S48:T49 S186:T191 S165:T166 S121:T124 S163:T163 S201:T209 AN43:AO43 S43:Z43 S120:T120 AL43 AJ43 AH43 AM41:AM45 AK41:AK45 AI41:AI45 AD43 AF43 AU41:AU45 P95:P96 P92 P257:P264 P200:P209 P93:P94 P216:P217 P218:P228 R218:R228 P230:P256 R230:R256 R41:R91 P265:P282 R265:R282 R210:R215 P210:P215 P97:P175 R97:R175 P177:P199 R177:R199 P176 P41:P91 P229 AA41:AH42 AY41:AZ41 AA44:AH45 AA43:AC43 AG43 AE43 AJ41:AJ42 AJ44:AJ45 AL41:AL42 AL44:AL45 AP41:AT41 AP44:AT45 AP43:AT43 AX45:AZ45 AY43:AZ43 AY44:AZ44 AY42:AZ42 AP42:AT42 AK39 AI39 AH39 AJ39 AL39 P4 P27:P31 P7:P15 P24 O7:O15 O248:O251 O175:O246 O98:O173 R24 T24 V24 X24 Z24 P25 R25 T46 T70 S69:T69 W70 U70 U69:Y69 V70 X70 AR46 AT46 AV46 AP46 AV47 AP47 AU46:AU47 AS46 AQ46 AQ47:AT47 AU48:AU66 AS105 AS74 AN75:AO75 AS68 Z46 X46 V46 AS67 AS70 AS216 AS257:AS264 AS185 AS120 AS219 AS206:AS209 AS217 AS200 AA71:AH71 AY74:AZ74 AY69:AZ69 AY68:AZ68 AA101:AH101 AA100:AH100 AA99:AH99 AA98:AH98 AA105:AH105 AA106:AH113 AA102:AH104 AA89:AH89 AA67:AH67 AA70:AH70 AA68:AH68 AA69:AH69 AY246:AZ246 AX249:AZ250 AY252:AZ252 AX253:AZ253 AY241:AZ241 AY240:AZ240 AY239:AZ239 AY238:AZ238 AX244:AZ245 AY248:AZ248 AY251:AZ251 AY233:AZ233 AY232:AZ232 AX236:AZ237 AY243:AZ243 AY247:AZ247 AY226:AZ226 AX230:AZ231 AY212:AZ212 AY211:AZ211 AX194:AZ194 AY196:AZ196 AX197:AZ199 AX190:AZ191 AY193:AZ193 AY195:AZ195 AX186:AZ187 AY181:AZ181 AY180:AZ180 AY174:AZ174 AY175:AZ175 AY158:AZ158 AY157:AZ157 AY162:AZ162 AY152:AZ152 AX155:AZ156 AY160:AZ160 AX161:AZ161 AX146:AZ151 AY154:AZ154 AY159:AZ159 AY145:AZ145 AY153:AZ153 AY114:AZ114 AY108:AZ108 AX110:AZ113 AY105:AZ105 AY104:AZ104 AY103:AZ103 AP103:AT103 AX107:AZ107 AP107:AT107 AY109:AZ109 AP109:AT109 AP110:AT113 AY100:AZ100 AY99:AZ99 AX102:AZ102 AP102:AT102 AY106:AZ106 AP106:AT106 AX91:AZ91 AY58:AZ58 AY57:AZ57 AY56:AZ56 AY55:AZ55 AY54:AZ54 AX62:AZ62 AY64:AZ64 AX65:AZ66 AQ214:AT214 AP215:AT215 AQ157:AT157 AP158:AT162 AQ152:AT152 AP153:AT156 AX76:AZ76 AP49:AT49 AX170:AZ170 AY172:AZ172 AX173:AZ173 AQ174:AT174 AY143:AZ143 AX144:AZ144 AX225:AZ225 AX178:AZ179 AY116:AZ116 AX128:AZ128 AY130:AZ130 AX131:AZ132 AY133:AZ133 AX134:AZ135 AY136:AZ136 AY137:AZ137 AX79:AZ81 AX72:AZ72 AX48:AZ49 AY51:AZ51 AY52:AZ52 AX53:AZ53 AY59:AZ59 AY61:AZ61 AX73:AZ73 AP73:AT73 AX210:AZ210 AY120:AZ120 AY121:AZ121 AY127:AZ127 AY129:AZ129 AY124:AZ124 AX168:AZ169 AY183:AZ183 AX184:AZ184 AY189:AZ189 AY192:AZ192 AQ105 AP108:AT108 AP61:AT64 AY47:AZ47 AY98:AZ98 AY101:AZ101 AP101:AT101 AX97:AZ97 AY89:AZ89 AY90:AZ90 AP90:AT90 AY115:AZ115 AP115:AT115 AX117:AZ118 AY119:AZ119 AX86:AZ87 AY70:AZ70 AP70:AR70 AY71:AZ71 AY77:AZ78 AP78:AT78 AY88:AZ88 AY235:AZ235 AY242:AZ242 AY222:AZ222 AY228:AZ228 AY224:AZ224 AY220:AZ220 AX167:AZ167 AY171:AZ171 AP168:AT169 AY214:AZ214 AY215:AZ215 AX260:AZ260 AX262:AZ264 AX257:AZ259 AQ232:AT234 AY84:AZ84 AY85:AZ85 AY82:AZ83 BG260:BM260 BG262:BM264 BG257:BM259 BG254:BM255 AP254:AT255 BG222:BM222 BG224:BM224 AX256:AZ256 AY165:AZ165 AP139:AT139 AP140:AT140 AQ142:AT142 AY67:AZ67 AP68:AQ68 AY75:AZ75 AQ74 AQ221:AT221 AQ222:AT223 AP224:AT224 AP269:AT282 AA170:AH174 AA221:AH223 AA225:AH225 AA224:AH224 AP123:AT124 AP138:AT138 AP181:AT183 AP126:AT136 AP170:AT173 AQ164 AP166:AT166 AP121:AT122 AP143:AT151 AP178:AT178 AQ163 AP141:AT141 AP137:AT137 AQ175:AT175 AQ125:AT125 AP184:AT184 AQ177:AT177 AP179:AT179 AL192:AL196 AL197:AL199 AL138 AL181:AL183 AL126:AL136 AL165 AL168:AL174 AL164 AL186:AL191 AL166 AL121:AL124 AL142:AL162 AL178 AL141 AL137 AL175 AL125 AP72:AT72 AP55:AT55 AP56:AT58 AP50:AT50 AP51:AT54 AP79:AT81 AP119:AT119 AP116:AT116 AP117:AT118 AQ89 AP86:AT87 AQ98 AP99:AT99 AQ88:AS88 AP91:AT91 AQ60 AP65:AT66 AP48:AT48 AP69:AS69 AP97:AT97 AP104:AT104 AQ67 AP100:AQ100 AP59:AT59 AP114:AT114 AL72 AL55 AL56:AL58 AL50 AL51:AL54 AL75 AL76:AL81 AL119 AL116 AL117:AL118 AL89 AL86:AL87 AL98 AL99 AL88 AL90:AL91 AL60 AL61:AL66 AL47:AL49 AL68:AL70 AL97 AL101:AL113 AL46 AL67 AL100 AL59 AL114:AL115 AJ71 AJ72:AJ74 AJ192:AJ196 AJ197:AJ199 AJ138:AJ140 AJ55 AJ56:AJ58 AJ50 AJ51:AJ54 AJ181:AJ183 AJ126:AJ136 AJ75 AJ76:AJ81 AJ119 AJ165 AJ116 AJ117:AJ118 AJ89 AJ86:AJ87 AJ168:AJ174 AJ98 AJ99 AJ88 AJ90:AJ91 AJ60 AJ61:AJ66 AJ164 AJ186:AJ191 AJ47:AJ49 AJ68:AJ70 AJ97 AJ101:AJ113 AJ166 AJ121:AJ124 AJ142:AJ162 AJ178 AJ46 AJ67 AJ100 AJ163 AJ141 AP192:AT196 AP197:AT199 AP186:AT191 AL184 AA184:AH184 AQ176 AP180:AT180 AL232:AL235 AL236:AL237 AL227:AL228 AL238 AL239 AL240 AL241:AL248 AL250:AL255 AL218 AL221:AL223 AL231 AL229 AQ167 AJ211:AJ212 AJ213:AJ215 AJ210 AL211:AL212 AL213:AL215 AL210 AQ211:AT212 AP213:AT213 AP210:AT210 AP265:AT268 AL265:AL282 AJ265:AJ282 AP235:AT235 AP236:AT237 AQ227:AT228 AQ238:AT238 AP239:AR239 AP240:AT240 AP241:AT248 AP250:AT253 AP218:AT218 AQ220:AT220 AP231:AT231 AQ229 AJ232:AJ235 AJ236:AJ237 AJ230 AJ225 AJ227:AJ228 AJ238 AJ239 AJ240 AJ241:AJ248 AJ249 AJ250:AJ255 AJ218 AJ221:AJ223 AJ231 AJ229 AQ85 AQ82:AQ83 AE85 AE82:AE83 AE84 AH232:AH235 AA232:AF235 AA236:AH237 AE260 AG120 AP230:AT230 AA230:AH230 AP225:AT226 AA226:AH226 AA227:AH228 AE115:AG115 AE185 AE167 AL177 AG125 AP71:AT71 AA72:AH74 AH192:AH196 AA192:AF196 AA197:AH199 AH211:AH212 AA211:AF212 AA213:AH215 AH238 AA238:AF238 AA239:AH239 AH240 AA240:AF240 AA241:AH248 AE256 AP249:AT249 AA249:AH249 AA250:AH255 AE261 AA261:AB261 AG260:AG261 AA260:AC260 AG256 AG167 AG179 AE175 AE176 AJ59 AA59:AG59 AG114 AA114:AE114 AJ137 AA137:AG137 AA138:AH140 AL179 AA180:AH180 AG55:AH55 AA55:AE55 AA56:AH58 AE50 AG50:AH50 AA50:AC50 AA51:AH54 AG185 AG175 AG176 AJ175 AA175:AC175 AA177:AG177 AA179:AE179 AA181:AH183 AJ125 AA125:AE125 AA126:AH136 AJ114:AJ115 AA115:AC115 AA75:AH75 AA76:AH81 BG139:BM139 BG140:BM140 AX140:AZ140 BG125:BM125 AY125:AZ125 AY126:AZ126 BG138:BM138 AY138:AZ138 AX139:AZ139 BG84:BM84 BG119:BM119 AA119:AH119 BG121:BM122 AY122:AZ122 BG120:BM120 BG177:BM177 AY177:AZ177 BG176:BM176 AS165 AS176 AQ165 AA165:AH165 BG114:BM116 AA116:AH116 AA117:AH118 AS89 AS256 AQ256 AA256:AC256 BG223:BM223 AY223:AZ223 AY227:AZ227 BG256:BM256 AX254:AZ255 BG265:BM268 AX265:AZ268 BG261:BM261 BG216:BM216 AQ216 AS94 AS95 AS93 AS96 AS92 AQ94 AQ95 AQ93 AQ96 AQ92 AS84 AS85 AA85:AC85 AS82:AS83 AA82:AC83 AQ84 AA84:AC84 AA86:AH87 AS229 AQ257:AQ264 AX216:AZ216 AY213:AZ213 AS167 AA167:AC167 AA168:AH169 AY219:AZ219 AX218:AZ218 AY221:AZ221 AY234:AZ234 AX269:AZ282 AY229:AZ229 AX261:AZ261 AS98:AT98 AA88:AH88 AA90:AH91 AQ185 AY63:AZ63 AY50:AZ50 AY46:AZ46 AY60:AZ60 AS60 AA60:AH60 AA61:AH66 AS100 AX164:AZ164 AY163:AZ163 AY185:AZ185 AY188:AZ188 AX166:AZ166 AX123:AZ123 AX142:AZ142 AY182:AZ182 AY176:AZ176 AY141:AZ141 AQ120 AQ219 AS164 AA164:AH164 AS163 AA185:AC185 AA186:AH191 AQ204 AQ203 AQ202 AQ201 AQ205 AS205 AS204 AS203 AS202 AS201 AQ206:AQ209 AQ217 AQ200 AA218:AH218 AA220:AH220 AA231:AH231 AA47:AH49 AA265:AH282 AA210:AH210 AA97:AH97 AA166:AH166 AA121:AH124 AA142:AH162 AA178:AH178 AA176:AC176 AA46:AH46 AA163:AH163 AA120:AE120 AA219:AH219 AA141:AH141 AA229:AH229 AY95:AZ95 AY94:AZ94 AY93:AZ93 AX96:AZ96 AP200 AP217 AP206:AP209 AR201 AR202 AR203 AR204 AR205 AX205:AZ205 AX204:AZ204 AX203:AZ203 AX202:AZ202 AX201:AZ201 AX206:AZ209 AA200:AM209 AA216:AC216 AL185:AM185 AJ120:AM120 AA217:AM217 AX217:AZ217 AR163 AP219 AP120 AU121:AU199 AT100 AR100 AP185 AT88 AT92:AT96 AR98 AU218:AU282 AR167 AT167 AU210:AU216 AP257:AP264 AX92:AZ92 AR229 AT229 AP84 AR82:AR85 AT82:AT85 AP92:AP96 AR92:AR96 AP256 AR256 AT256 AP165 AT176 AT165 AR176 AR165 AH114:AH115 AH120 AH125 AH179 AH175:AH177 AF175:AF176 AF185 AF50 AD50 AF55 AJ179:AJ180 AH137 AF114 AH59 AD175:AD176 AF179 AF167 AL256 AH256 AF256 AH260:AM261 AF260:AF261 AC261:AD261 AL249 AD256 AG240 AG238 AG211:AG212 AG192:AG196 AL71 AF125 AJ176:AJ177 AD167 AD185 AA92:AH96 AD115 AL224:AL226 AL230 AX200:AZ200 AF120 AD260 AA262:AM264 AJ256 AG232:AG235 AF82:AH85 AA257:AM259 AD82:AD85 AL92:AL96 AJ92:AJ96 AJ82:AJ85 AL82:AL85 AI218:AI256 AM218:AM256 AI265:AI282 AK265:AK282 AM265:AM282 AM210:AM215 AK210:AK215 AI210:AI215 AJ226 AH167 AL167 AJ167 AJ219:AJ220 AL219:AL220 AK218:AK256 AJ224 AL180 AL176 AJ184:AJ185 AM186:AM199 AH185 AI46:AI199 AK46:AK119 AM46:AM119 AK121:AK199 AM121:AM184 AL163 U120:Z120 U201:Z209 U163:Z163 AN163:AP163 U121:Z124 AN123:AO124 U165:Z166 AN164:AO164 U186:Z191 AN185:AO185 U47:Z49 AN120:AO120 U185:Z185 AN186:AO199 U261:Z261 U224:Z224 U218:Z218 U225:Z225 AN219:AO219 U221:Z223 U219:Z220 U170:Z174 U167:Z167 U227:Z228 U226:Z226 U217:Z217 U210:Z210 AN211:AP211 U265:Z282 AN269:AO282 AN224:AO224 AN218:AO218 AN227:AP228 AN221:AP221 U86:Z88 U82:Z85 U257:Z259 AN257:AO259 U236:Z237 U232:Z235 U262:Z264 AN262:AO264 U260:Z260 U200:Z200 BN200 U116:Z119 U115:Z115 U97:Z97 U92:Z96 U126:Z136 U125:Z125 U197:Z199 U192:Z196 U213:Z215 U211:Z211 U239:Z239 U238:Z238 U241:Z255 U240:Z240 U256:Z256 AN260:AO260 AN261:AO261 U180:Z184 U179:Z179 U178:Z178 U176:Z176 U60:Z66 U59:Z59 U114:Z114 U138:Z162 U137:Z137 U56:Z58 U55:Z55 U51:Z54 U50:Z50 U177:Z177 AN76:AO78 AN74:AO74 AW75:AX75 AN68:AO68 AN67:AO67 AW67:AX67 AN142:AP142 AN139:AO139 AN140:AO140 AN126:AO137 AN125:AO125 AN138:AO138 AN86:AO87 AN84:AO84 BN84 AN121:AO122 AN119:AO119 AN178:AO184 AN177:AP177 BN177 AN166:AO166 AN165:AO165 AN176:AP176 AV165:AX165 AV176:AX176 AN117:AO118 AN114:AO116 AN90:AO91 AN89:AO89 AN256:AO256 AV256:AW256 BN224 AN222:AP223 BN222 AN265:AO268 BN265:BN268 AN254:AO255 BN254:BN255 BN257:BN259 BN262:BN264 BN260 BN261 BN256 V216 BN216 AW216 AN97:AO97 AN92:AO96 AN82:AP83 AV82:AX83 AN85:AP85 AV85:AX85 AV84:AX84 AN232:AP234 AN229:AP229 AV229:AX229 BN92 AV257:AW259 AV262:AW264 AV260:AW260 AV261:AW261 AV214:AX214 AN168:AO169 AN167:AP167 AV167:AW167 AV220:AX220 AV224:AX224 AV228:AX228 AV221:AX221 AV222:AX222 AV254:AW255 AV235:AX235 AV218:AW218 AV269:AW282 AV265:AW268 AN220:AP220 AN99:AO99 AN98:AP98 AV95:AX95 AV92:AW92 AN88:AP88 AV88:AX88 AV185:AX185 AN47:AO47 AN46:AO46 AW46:AX46 AV78:AX78 AW70:AX71 AV86:AW87 AV119:AX119 AV117:AW118 AV115:AX115 AV90:AX90 AW89:AX89 AV97:AW97 AV101:AX101 AV98:AX98 AW47:AX47 AN61:AO64 AN60:AO60 AN105:AO105 AN100:AO100 AV189:AX189 AV183:AX183 AV177:AX177 AV166:AW166 AV168:AW169 AV163:AX163 AV124:AX124 AW164 AV141:AX141 AV139:AW139 AV140:AW140 AV127:AX127 AV125:AX125 AV138:AX138 AV121:AX121 AV120:AX120 BN217 AN217:AO217 AO216 AN205:AP205 AN200:AO200 AN206:AO209 BN206:BN209 AN201:AP201 BN201 AN202:AP202 BN202 AN203:AP203 BN203 AN204:AP204 BN204 BN205 AV205:AW205 AV204:AW204 AV203:AW203 AV202:AW202 AV201:AW201 AV206:AW209 AV217:AW217 AV200:AW200 AV96:AW96 BN96 AV93:AX93 BN93 AV94:AX94 BN94 BN95 U164:Z164 U175:Z175 U168:Z169 AV210:AW210 BN210 AW73 BN73 BN97 AV61:AX61 AV53:AW53 BN53 BN86:BN87 AV51:AX51 AV48:AW49 BN48:BN49 BN46 BN47 AN230:AO231 BN50:BN52 BN139 BN140 BN125 BN138 BN121:BN122 BN120 BN119 BN165 BN114:BN116 BN167 BN117:BN118 BN99:BN113 BN98 BN166 BN168:BN175 BN163 BN123:BN124 BN164 BN141:BN162 BN126:BN137 BN74:BN75 BN76:BN81 BN85 AW72 BN72 BN67 BN68:BN71 AV79:AW81 BN82:BN83 AV136:AX136 AV134:AW135 AV133:AX133 AN79:AO81 AN65:AO66 AV130:AX130 AV128:AW128 AV116:AX116 AV123:AW123 BN176 BN269:BN282 BN218 BN211:BN215 AN210:AO210 AV178:AW179 BN178:BN179 AV225:AW225 BN225 AV223:AX223 BN223 AV143:AX143 AV142:AW142 AN174:AP175 AN170:AO173 AV172:AX172 AV170:AW170 AN225:AO226 AN49:AO59 AN48:AO48 AN70:AO70 AN69:AO69 AW76 AN141:AO141 AV122:AX122 AN71:AO73 AN101:AO104 AN106:AO113 AN152:AP152 AN143:AO151 AN157:AP157 AN153:AO156 AN158:AO162 AN214:AP214 AN213:AO213 AN215:AO215 AN238:AP238 AN235:AO237 AN239:AO253 AV52:AX52 AV50:AX50 AV64:AX64 AV62:AW62 BN62 AV54:AX54 BN54 AV55:AX55 BN55 AV56:AX56 BN56 AV57:AX57 BN57 AV58:AX58 BN58 AV59:AX59 BN59 AW60:AX60 BN60 BN61 AV65:AW66 BN65:BN66 AV63:AX63 BN63 BN64 AV91:AW91 BN91 BN88 BN89 BN90 AV106:AX106 AV102:AW102 AV99:AX99 AV100:AX100 AV109:AX109 AV107:AW107 AV103:AX103 AV104:AX104 AW105:AX105 AV110:AW113 AV108:AX108 AV114:AX114 AV126:AX126 AV131:AW132 AV129:AX129 AV137:AX137 AV145:AX145 AV144:AW144 AV154:AX154 AV146:AW151 AV160:AX160 AV155:AW156 AV152:AX152 AV153:AX153 AV162:AX162 AV161:AW161 AV157:AX157 AV158:AX158 AV159:AX159 AV174:AX174 AV173:AW173 AV171:AX171 AV175:AX175 AV184:AW184 BN184 AV180:AX180 BN180 AV181:AX181 BN181 AV182:AX182 BN182 BN183 AV186:AW187 BN186:BN187 BN185 AV193:AX193 AV190:AW191 BN190:BN191 AV188:AX188 BN188 BN189 AV196:AX196 AV194:AW194 BN194 AV192:AX192 BN192 BN193 AV197:AW199 BN197:BN199 AV195:AX195 BN195 BN196 AV215:AX215 AV211:AX211 AV212:AX212 AV213:AX213 BN221 AV219:AX219 BN219 BN220 AV230:AW231 BN230:BN231 AV226:AX226 BN226 AV227:AX227 BN227 BN228 BN229 AV243:AX243 AV236:AW237 BN236:BN237 AV232:AX232 BN232 AV233:AX233 BN233 AV234:AX234 BN234 BN235 AV248:AX248 AV244:AW245 BN244:BN245 AV238:AX238 BN238 AV239:AX239 BN239 AV240:AX240 BN240 AV241:AX241 BN241 AV242:AX242 BN242 BN243 AV252:AX252 AV249:AW250 BN249:BN250 AV246:AX246 BN246 AV247:AX247 BN247 BN248 AV253:AW253 BN253 AV251:AX251 BN251 BN252 Z69 Z68 U72:Z73 Z70 Z67 U90:Z91 U89:Z89 U102:Z104 U106:Z113 U105:Z105 X98:Y98 Z98 X99:Z99 V98 V99:W99 U98 W98 Y100:Z100 Z101 X100 V100 U101:Y101 U100 W100 AW68:AX68 AU71:AU73 AW69:AX69 AW74:AX74 AU78:AU119 AU74 AV72 AV73 AV71 Z71 U71:Y71 AR200 AR217 AR206:AR209 AR219 AR120 AR185 AR257:AR264 AT201:AU201 AT202:AU202 AT203:AU203 AT204:AU204 AT205:AU205 AT163 AT200:AU200 AT217:AU217 AT206:AU209 AT219 AT120:AU120 AT185 AT257:AT264 U46 AV74 AV105 AP105 AP125 AR74 AR105 W46 Y46 AT74 AT105 S28:Z35 S27:V27 X27 Z27 V212 X212:Z212 AN212:AP212 U75:Z81 U74:V74 X74:Z74 AW77:AX77 AU75 AU76:AU77 AV76 AV77 AS75 AQ75 AP76:AT76 AP77:AT77 AS239:AT239 AO5 X216 Z216 AE216 AG216 AI216 AK216 AM216 P17:P22 P16 R16 M17:N22 O17:O96 S76:T81 T75 T60 U67 X67 V67 X68 V68 U68 W68 Y67:Y68 T67:T68 BK22:BM22 BK23:BM23 BK24:BM24 BK25:BM25 R26 R23 R95:R96 R92 R257:R264 R200:R209 R93:R94 R216:R217 R176 R229:S229 R27:R31 R7:R15 R17:R22 Q7:Q15 AM4 T74 AU67 AU68 AV69 AU69 AU70 AT69 AT70 AV70 AT67 T212 AL74 S230:T231 T229 U230:Z231 U229:W229 X229:Z229 T47 S37:Z37 S36:V36 X36:Z36 Q17:Q251 AL139:AL140 S17:Z22 T16:Z16 AX21:AY21 BH21:BM21 V4 X4 Z4:AJ4 BG283:BM400 BG36:BM36 BG35:BM35 BG34:BM34 BG33:BM33 BG32:BM32 BG30:BM30 BG31:BM31 BG24 BG13:BM13 BG12:BM12 BG11:BM11 BG14:BM20 BG9:BM9 BG8:BM8 BG7:BM7 BG28:BM28 BG27:BM27 BG26:BM26 BG29:BM29 BG37:BM37 BG25 BG10:BM10 BG5:BV5 BG4:BV4 BG6:BV6 BG41:BM41 BG45:BM45 BG43:BM43 BG44:BM44 BG42:BM42 BG74:BM74 BG69:BM69 BG68:BM68 BG246:BM246 BG249:BM250 BG252:BM252 BG253:BM253 BG241:BM241 BG240:BM240 BG239:BM239 BG238:BM238 BG244:BM245 BG248:BM248 BG251:BM251 BG233:BM233 BG232:BM232 BG236:BM237 BG243:BM243 BG247:BM247 BG226:BM226 BG230:BM231 BG212:BM212 BG211:BM211 BG194:BM194 BG196:BM196 BG197:BM199 BG190:BM191 BG193:BM193 BG195:BM195 BG186:BM187 BG181:BM181 BG180:BM180 BG174:BM174 BG175:BM175 BG158:BM158 BG157:BM157 BG162:BM162 BG152:BM152 BG155:BM156 BG160:BM160 BG161:BM161 BG146:BM151 BG154:BM154 BG159:BM159 BG145:BM145 BG153:BM153 BG108:BM108 BG110:BM113 BG105:BM105 BG104:BM104 BG103:BM103 BG107:BM107 BG109:BM109 BG100:BM100 BG99:BM99 BG102:BM102 BG106:BM106 BG91:BM91 BG58:BM58 BG57:BM57 BG56:BM56 BG55:BM55 BG54:BM54 BG62:BM62 BG64:BM64 BG65:BM66 BG76:BM76 BG170:BM170 BG172:BM172 BG173:BM173 BG143:BM143 BG144:BM144 BG225:BM225 BG178:BM179 BG128:BM128 BG130:BM130 BG131:BM132 BG133:BM133 BG134:BM135 BG136:BM136 BG137:BM137 BG79:BM81 BG72:BM72 BG48:BM49 BG51:BM51 BG52:BM52 BG53:BM53 BG59:BM59 BG61:BM61 BG73:BM73 BG210:BM210 BG127:BM127 BG129:BM129 BG124:BM124 BG168:BM169 BG183:BM183 BG184:BM184 BG189:BM189 BG192:BM192 BG47:BM47 BG98:BM98 BG101:BM101 BG97:BM97 BG89:BM89 BG90:BM90 BG117:BM118 BG86:BM87 BG70:BM70 BG71:BM71 BG77:BM78 BG88:BM88 BG235:BM235 BG242:BM242 BG228:BM228 BG220:BM220 BG167:BM167 BG171:BM171 BG214:BM214 BG215:BM215 BG85:BM85 BG82:BM83 BG165:BM165 BG67:BM67 BG75:BM75 BG126:BM126 BG227:BM227 BG213:BM213 BG219:BM219 BG218:BM218 BG221:BM221 BG234:BM234 BG269:BM282 BG229:BM229 BG63:BM63 BG50:BM50 BG46:BM46 BG60:BM60 BG164:BM164 BG163:BM163 BG185:BM185 BG188:BM188 BG166:BM166 BG123:BM123 BG142:BM142 BG182:BM182 BG141:BM141 BG95:BM95 BG94:BM94 BG93:BM93 BG96:BM96 BG205:BM205 BG204:BM204 BG203:BM203 BG202:BM202 BG201:BM201 BG206:BM209 BG217:BM217 BG92:BM92 BG200:BM200" formula="1"/>
    <ignoredError sqref="AK6 AD7:AL19" numberStoredAsText="1" formula="1"/>
    <ignoredError sqref="AD6:AJ6 AL6" numberStoredAsText="1"/>
  </ignoredErrors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AX64"/>
  <sheetViews>
    <sheetView showGridLines="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A3" sqref="A3:AW60"/>
    </sheetView>
  </sheetViews>
  <sheetFormatPr defaultRowHeight="12.75" outlineLevelRow="1" outlineLevelCol="1"/>
  <cols>
    <col min="1" max="1" width="30.7109375" style="298" customWidth="1"/>
    <col min="2" max="2" width="7.42578125" style="298" hidden="1" customWidth="1" outlineLevel="1"/>
    <col min="3" max="3" width="7.42578125" style="301" hidden="1" customWidth="1" outlineLevel="1"/>
    <col min="4" max="4" width="7.42578125" style="298" hidden="1" customWidth="1" outlineLevel="1" collapsed="1"/>
    <col min="5" max="5" width="7.42578125" style="301" hidden="1" customWidth="1" outlineLevel="1"/>
    <col min="6" max="6" width="7.42578125" style="298" hidden="1" customWidth="1" outlineLevel="1" collapsed="1"/>
    <col min="7" max="7" width="7.42578125" style="301" hidden="1" customWidth="1" outlineLevel="1"/>
    <col min="8" max="8" width="7.42578125" style="298" hidden="1" customWidth="1" outlineLevel="1" collapsed="1"/>
    <col min="9" max="9" width="7.42578125" style="301" hidden="1" customWidth="1" outlineLevel="1"/>
    <col min="10" max="10" width="7.42578125" style="298" customWidth="1" collapsed="1"/>
    <col min="11" max="11" width="7.42578125" style="301" hidden="1" customWidth="1" outlineLevel="1"/>
    <col min="12" max="12" width="7.42578125" style="298" customWidth="1" collapsed="1"/>
    <col min="13" max="13" width="7.42578125" style="301" hidden="1" customWidth="1" outlineLevel="1"/>
    <col min="14" max="14" width="7.42578125" style="298" customWidth="1" collapsed="1"/>
    <col min="15" max="15" width="7.42578125" style="301" hidden="1" customWidth="1" outlineLevel="1"/>
    <col min="16" max="16" width="7.42578125" style="298" customWidth="1" collapsed="1"/>
    <col min="17" max="17" width="7.42578125" style="301" hidden="1" customWidth="1" outlineLevel="1"/>
    <col min="18" max="18" width="7.42578125" style="298" customWidth="1" collapsed="1"/>
    <col min="19" max="19" width="7.42578125" style="301" customWidth="1" outlineLevel="1"/>
    <col min="20" max="20" width="7.42578125" style="298" customWidth="1"/>
    <col min="21" max="21" width="7.42578125" style="301" hidden="1" customWidth="1" outlineLevel="1"/>
    <col min="22" max="22" width="7.42578125" style="298" customWidth="1" collapsed="1"/>
    <col min="23" max="23" width="7.42578125" style="301" hidden="1" customWidth="1" outlineLevel="1"/>
    <col min="24" max="24" width="7.42578125" style="298" customWidth="1" collapsed="1"/>
    <col min="25" max="25" width="7.42578125" style="301" hidden="1" customWidth="1" outlineLevel="1"/>
    <col min="26" max="26" width="0.85546875" style="300" customWidth="1" collapsed="1"/>
    <col min="27" max="29" width="7.42578125" style="298" hidden="1" customWidth="1" outlineLevel="1"/>
    <col min="30" max="30" width="7.42578125" style="301" hidden="1" customWidth="1" outlineLevel="1"/>
    <col min="31" max="31" width="7.42578125" style="298" hidden="1" customWidth="1" outlineLevel="1"/>
    <col min="32" max="32" width="7.42578125" style="301" hidden="1" customWidth="1" outlineLevel="1"/>
    <col min="33" max="33" width="7.42578125" style="298" customWidth="1" collapsed="1"/>
    <col min="34" max="34" width="7.42578125" style="301" hidden="1" customWidth="1" outlineLevel="1"/>
    <col min="35" max="35" width="7.42578125" style="298" customWidth="1" collapsed="1"/>
    <col min="36" max="36" width="7.42578125" style="301" hidden="1" customWidth="1" outlineLevel="1"/>
    <col min="37" max="37" width="7.42578125" style="298" customWidth="1" collapsed="1"/>
    <col min="38" max="38" width="7.42578125" style="301" customWidth="1" outlineLevel="1"/>
    <col min="39" max="39" width="7.42578125" style="298" customWidth="1"/>
    <col min="40" max="40" width="7.42578125" style="301" customWidth="1" outlineLevel="1"/>
    <col min="41" max="41" width="7.42578125" style="298" customWidth="1"/>
    <col min="42" max="42" width="7.42578125" style="301" hidden="1" customWidth="1" outlineLevel="1"/>
    <col min="43" max="43" width="7.42578125" style="298" customWidth="1" collapsed="1"/>
    <col min="44" max="44" width="7.42578125" style="301" hidden="1" customWidth="1" outlineLevel="1"/>
    <col min="45" max="45" width="7.42578125" style="298" customWidth="1" collapsed="1"/>
    <col min="46" max="46" width="7.42578125" style="301" hidden="1" customWidth="1" outlineLevel="1"/>
    <col min="47" max="47" width="7.42578125" style="298" customWidth="1" collapsed="1"/>
    <col min="48" max="48" width="7.42578125" style="301" hidden="1" customWidth="1" outlineLevel="1"/>
    <col min="49" max="49" width="6.28515625" style="301" customWidth="1" collapsed="1"/>
    <col min="50" max="16384" width="9.140625" style="298"/>
  </cols>
  <sheetData>
    <row r="1" spans="1:49" ht="20.100000000000001" customHeight="1">
      <c r="A1" s="352" t="s">
        <v>124</v>
      </c>
      <c r="AA1" s="299"/>
      <c r="AB1" s="299"/>
      <c r="AC1" s="299"/>
      <c r="AE1" s="299"/>
      <c r="AG1" s="299"/>
      <c r="AI1" s="299"/>
      <c r="AK1" s="299"/>
      <c r="AM1" s="299"/>
      <c r="AO1" s="299"/>
      <c r="AQ1" s="299"/>
      <c r="AS1" s="299"/>
      <c r="AU1" s="299"/>
    </row>
    <row r="2" spans="1:49" ht="12.75" customHeight="1">
      <c r="A2" s="351" t="s">
        <v>237</v>
      </c>
      <c r="B2" s="302"/>
      <c r="C2" s="304"/>
      <c r="D2" s="302"/>
      <c r="E2" s="304"/>
      <c r="F2" s="302"/>
      <c r="G2" s="304"/>
      <c r="H2" s="302"/>
      <c r="I2" s="304"/>
      <c r="J2" s="302"/>
      <c r="K2" s="304"/>
      <c r="L2" s="302"/>
      <c r="M2" s="304"/>
      <c r="N2" s="302"/>
      <c r="O2" s="304"/>
      <c r="P2" s="302"/>
      <c r="Q2" s="304"/>
      <c r="R2" s="302"/>
      <c r="S2" s="304"/>
      <c r="T2" s="302"/>
      <c r="U2" s="304"/>
      <c r="V2" s="302"/>
      <c r="W2" s="304"/>
      <c r="X2" s="302"/>
      <c r="Y2" s="304"/>
      <c r="Z2" s="303"/>
      <c r="AA2" s="302"/>
      <c r="AB2" s="302"/>
      <c r="AC2" s="302"/>
      <c r="AD2" s="304"/>
      <c r="AE2" s="302"/>
      <c r="AF2" s="304"/>
      <c r="AG2" s="302"/>
      <c r="AH2" s="304"/>
      <c r="AI2" s="302"/>
      <c r="AJ2" s="304"/>
      <c r="AK2" s="302"/>
      <c r="AL2" s="304"/>
      <c r="AM2" s="302"/>
      <c r="AN2" s="304"/>
      <c r="AO2" s="302"/>
      <c r="AP2" s="304"/>
      <c r="AQ2" s="302"/>
      <c r="AR2" s="304"/>
      <c r="AS2" s="302"/>
      <c r="AT2" s="304"/>
      <c r="AU2" s="302"/>
      <c r="AV2" s="304"/>
      <c r="AW2" s="304"/>
    </row>
    <row r="3" spans="1:49" s="305" customFormat="1" ht="12.75" customHeight="1">
      <c r="A3" s="455" t="s">
        <v>238</v>
      </c>
      <c r="B3" s="456"/>
      <c r="C3" s="457" t="s">
        <v>247</v>
      </c>
      <c r="D3" s="456"/>
      <c r="E3" s="457" t="s">
        <v>249</v>
      </c>
      <c r="F3" s="456"/>
      <c r="G3" s="457" t="s">
        <v>251</v>
      </c>
      <c r="H3" s="456"/>
      <c r="I3" s="457" t="s">
        <v>253</v>
      </c>
      <c r="J3" s="456"/>
      <c r="K3" s="457" t="str">
        <f>INPUT!L4</f>
        <v>1Q17/</v>
      </c>
      <c r="L3" s="456"/>
      <c r="M3" s="457" t="str">
        <f>INPUT!N4</f>
        <v>2Q17/</v>
      </c>
      <c r="N3" s="456"/>
      <c r="O3" s="457" t="str">
        <f>INPUT!P4</f>
        <v>3Q17/</v>
      </c>
      <c r="P3" s="456"/>
      <c r="Q3" s="457" t="str">
        <f>INPUT!R4</f>
        <v>4Q17/</v>
      </c>
      <c r="R3" s="456"/>
      <c r="S3" s="457" t="str">
        <f>INPUT!T4</f>
        <v>1Q18E/</v>
      </c>
      <c r="T3" s="456"/>
      <c r="U3" s="457" t="str">
        <f>INPUT!V4</f>
        <v>2Q18E/</v>
      </c>
      <c r="V3" s="456"/>
      <c r="W3" s="457" t="str">
        <f>INPUT!X4</f>
        <v>3Q18E/</v>
      </c>
      <c r="X3" s="456"/>
      <c r="Y3" s="457" t="str">
        <f>INPUT!Z4</f>
        <v>4Q18E/</v>
      </c>
      <c r="Z3" s="457"/>
      <c r="AA3" s="456"/>
      <c r="AB3" s="456"/>
      <c r="AC3" s="456"/>
      <c r="AD3" s="457" t="str">
        <f>INPUT!AE4</f>
        <v>2013/</v>
      </c>
      <c r="AE3" s="456"/>
      <c r="AF3" s="457" t="str">
        <f>INPUT!AG4</f>
        <v>2014/</v>
      </c>
      <c r="AG3" s="456"/>
      <c r="AH3" s="457" t="str">
        <f>INPUT!AI4</f>
        <v>2015/</v>
      </c>
      <c r="AI3" s="456"/>
      <c r="AJ3" s="457" t="str">
        <f>INPUT!AK4</f>
        <v>2016/</v>
      </c>
      <c r="AK3" s="456"/>
      <c r="AL3" s="457" t="str">
        <f>INPUT!AM4</f>
        <v>2017/</v>
      </c>
      <c r="AM3" s="456"/>
      <c r="AN3" s="457" t="str">
        <f>INPUT!AO4</f>
        <v>2018E/</v>
      </c>
      <c r="AO3" s="456"/>
      <c r="AP3" s="457" t="str">
        <f>INPUT!AQ4</f>
        <v>2019E/</v>
      </c>
      <c r="AQ3" s="456"/>
      <c r="AR3" s="457" t="str">
        <f>INPUT!AS4</f>
        <v>2020E/</v>
      </c>
      <c r="AS3" s="456"/>
      <c r="AT3" s="457" t="str">
        <f>INPUT!AU4</f>
        <v>2021E/</v>
      </c>
      <c r="AU3" s="456"/>
      <c r="AV3" s="457" t="str">
        <f>INPUT!AW4</f>
        <v>2022E/</v>
      </c>
      <c r="AW3" s="458" t="str">
        <f>INPUT!AX4</f>
        <v>5-Yr</v>
      </c>
    </row>
    <row r="4" spans="1:49" s="305" customFormat="1" ht="12.75" customHeight="1">
      <c r="A4" s="459"/>
      <c r="B4" s="306"/>
      <c r="C4" s="307" t="s">
        <v>248</v>
      </c>
      <c r="D4" s="306"/>
      <c r="E4" s="307" t="s">
        <v>250</v>
      </c>
      <c r="F4" s="306"/>
      <c r="G4" s="307" t="s">
        <v>252</v>
      </c>
      <c r="H4" s="306"/>
      <c r="I4" s="307" t="s">
        <v>254</v>
      </c>
      <c r="J4" s="306"/>
      <c r="K4" s="307" t="str">
        <f>INPUT!L5</f>
        <v>1Q16</v>
      </c>
      <c r="L4" s="306"/>
      <c r="M4" s="307" t="str">
        <f>INPUT!N5</f>
        <v>2Q16</v>
      </c>
      <c r="N4" s="306"/>
      <c r="O4" s="307" t="str">
        <f>INPUT!P5</f>
        <v>3Q16</v>
      </c>
      <c r="P4" s="306"/>
      <c r="Q4" s="307" t="str">
        <f>INPUT!R5</f>
        <v>4Q16</v>
      </c>
      <c r="R4" s="306"/>
      <c r="S4" s="307" t="str">
        <f>INPUT!T5</f>
        <v>1Q17</v>
      </c>
      <c r="T4" s="306"/>
      <c r="U4" s="307" t="str">
        <f>INPUT!V5</f>
        <v>2Q17</v>
      </c>
      <c r="V4" s="306"/>
      <c r="W4" s="307" t="str">
        <f>INPUT!X5</f>
        <v>3Q17</v>
      </c>
      <c r="X4" s="306"/>
      <c r="Y4" s="307" t="str">
        <f>INPUT!Z5</f>
        <v>4Q17</v>
      </c>
      <c r="Z4" s="307"/>
      <c r="AA4" s="306"/>
      <c r="AB4" s="306"/>
      <c r="AC4" s="306"/>
      <c r="AD4" s="307"/>
      <c r="AE4" s="306"/>
      <c r="AF4" s="307" t="str">
        <f>INPUT!AG5</f>
        <v>2013</v>
      </c>
      <c r="AG4" s="306"/>
      <c r="AH4" s="307" t="str">
        <f>INPUT!AI5</f>
        <v>2014</v>
      </c>
      <c r="AI4" s="306"/>
      <c r="AJ4" s="307" t="str">
        <f>INPUT!AK5</f>
        <v>2015</v>
      </c>
      <c r="AK4" s="306"/>
      <c r="AL4" s="307" t="str">
        <f>INPUT!AM5</f>
        <v>2016</v>
      </c>
      <c r="AM4" s="306"/>
      <c r="AN4" s="307" t="str">
        <f>INPUT!AO5</f>
        <v>2017</v>
      </c>
      <c r="AO4" s="306"/>
      <c r="AP4" s="307" t="str">
        <f>INPUT!AQ5</f>
        <v>2018E</v>
      </c>
      <c r="AQ4" s="306"/>
      <c r="AR4" s="307" t="str">
        <f>INPUT!AS5</f>
        <v>2019E</v>
      </c>
      <c r="AS4" s="306"/>
      <c r="AT4" s="307" t="str">
        <f>INPUT!AU5</f>
        <v>2020E</v>
      </c>
      <c r="AU4" s="306"/>
      <c r="AV4" s="307" t="str">
        <f>INPUT!AW5</f>
        <v>2021E</v>
      </c>
      <c r="AW4" s="460" t="str">
        <f>INPUT!AX5</f>
        <v>CAGR</v>
      </c>
    </row>
    <row r="5" spans="1:49" s="305" customFormat="1" ht="12.75" customHeight="1">
      <c r="A5" s="461"/>
      <c r="B5" s="308" t="str">
        <f>INPUT!C6</f>
        <v>1Q16</v>
      </c>
      <c r="C5" s="309" t="str">
        <f>INPUT!D6</f>
        <v>% Chg</v>
      </c>
      <c r="D5" s="308" t="str">
        <f>INPUT!E6</f>
        <v>2Q16</v>
      </c>
      <c r="E5" s="309" t="str">
        <f>INPUT!F6</f>
        <v>% Chg</v>
      </c>
      <c r="F5" s="308" t="str">
        <f>INPUT!G6</f>
        <v>3Q16</v>
      </c>
      <c r="G5" s="309" t="str">
        <f>INPUT!H6</f>
        <v>% Chg</v>
      </c>
      <c r="H5" s="308" t="str">
        <f>INPUT!I6</f>
        <v>4Q16</v>
      </c>
      <c r="I5" s="309" t="str">
        <f>INPUT!J6</f>
        <v>% Chg</v>
      </c>
      <c r="J5" s="308" t="str">
        <f>INPUT!K6</f>
        <v>1Q17</v>
      </c>
      <c r="K5" s="309" t="str">
        <f>INPUT!L6</f>
        <v>% Chg</v>
      </c>
      <c r="L5" s="308" t="str">
        <f>INPUT!M6</f>
        <v>2Q17</v>
      </c>
      <c r="M5" s="309" t="str">
        <f>INPUT!N6</f>
        <v>% Chg</v>
      </c>
      <c r="N5" s="308" t="str">
        <f>INPUT!O6</f>
        <v>3Q17</v>
      </c>
      <c r="O5" s="309" t="str">
        <f>INPUT!P6</f>
        <v>% Chg</v>
      </c>
      <c r="P5" s="308" t="str">
        <f>INPUT!Q6</f>
        <v>4Q17</v>
      </c>
      <c r="Q5" s="309" t="str">
        <f>INPUT!R6</f>
        <v>% Chg</v>
      </c>
      <c r="R5" s="308" t="str">
        <f>INPUT!S6</f>
        <v>1Q18E</v>
      </c>
      <c r="S5" s="309" t="str">
        <f>INPUT!T6</f>
        <v>% Chg</v>
      </c>
      <c r="T5" s="308" t="str">
        <f>INPUT!U6</f>
        <v>2Q18E</v>
      </c>
      <c r="U5" s="309" t="str">
        <f>INPUT!V6</f>
        <v>% Chg</v>
      </c>
      <c r="V5" s="308" t="str">
        <f>INPUT!W6</f>
        <v>3Q18E</v>
      </c>
      <c r="W5" s="309" t="str">
        <f>INPUT!X6</f>
        <v>% Chg</v>
      </c>
      <c r="X5" s="308" t="str">
        <f>INPUT!Y6</f>
        <v>4Q18E</v>
      </c>
      <c r="Y5" s="309" t="str">
        <f>INPUT!Z6</f>
        <v>% Chg</v>
      </c>
      <c r="Z5" s="309"/>
      <c r="AA5" s="308"/>
      <c r="AB5" s="308"/>
      <c r="AC5" s="308">
        <v>2009</v>
      </c>
      <c r="AD5" s="309" t="s">
        <v>25</v>
      </c>
      <c r="AE5" s="308" t="str">
        <f>INPUT!AF6</f>
        <v>2014</v>
      </c>
      <c r="AF5" s="308" t="str">
        <f>INPUT!AG6</f>
        <v>% Chg</v>
      </c>
      <c r="AG5" s="308" t="str">
        <f>INPUT!AH6</f>
        <v>2015</v>
      </c>
      <c r="AH5" s="308" t="str">
        <f>INPUT!AI6</f>
        <v>% Chg</v>
      </c>
      <c r="AI5" s="308" t="str">
        <f>INPUT!AJ6</f>
        <v>2016</v>
      </c>
      <c r="AJ5" s="309" t="str">
        <f>INPUT!AK6</f>
        <v>% Chg</v>
      </c>
      <c r="AK5" s="308" t="str">
        <f>INPUT!AL6</f>
        <v>2017</v>
      </c>
      <c r="AL5" s="309" t="str">
        <f>INPUT!AM6</f>
        <v>% Chg</v>
      </c>
      <c r="AM5" s="308" t="str">
        <f>INPUT!AN6</f>
        <v>2018E</v>
      </c>
      <c r="AN5" s="308" t="str">
        <f>INPUT!AO6</f>
        <v>% Chg</v>
      </c>
      <c r="AO5" s="308" t="str">
        <f>INPUT!AP6</f>
        <v>2019E</v>
      </c>
      <c r="AP5" s="308" t="str">
        <f>INPUT!AQ6</f>
        <v>% Chg</v>
      </c>
      <c r="AQ5" s="308" t="str">
        <f>INPUT!AR6</f>
        <v>2020E</v>
      </c>
      <c r="AR5" s="308" t="str">
        <f>INPUT!AS6</f>
        <v>% Chg</v>
      </c>
      <c r="AS5" s="308" t="str">
        <f>INPUT!AT6</f>
        <v>2021E</v>
      </c>
      <c r="AT5" s="308" t="str">
        <f>INPUT!AU6</f>
        <v>% Chg</v>
      </c>
      <c r="AU5" s="308" t="str">
        <f>INPUT!AV6</f>
        <v>2022E</v>
      </c>
      <c r="AV5" s="308" t="str">
        <f>INPUT!AW6</f>
        <v>% Chg</v>
      </c>
      <c r="AW5" s="462" t="str">
        <f>INPUT!AX6</f>
        <v>(%)</v>
      </c>
    </row>
    <row r="6" spans="1:49" ht="3" customHeight="1">
      <c r="A6" s="463"/>
      <c r="B6" s="306"/>
      <c r="C6" s="306"/>
      <c r="D6" s="306"/>
      <c r="E6" s="307"/>
      <c r="F6" s="306"/>
      <c r="G6" s="307"/>
      <c r="H6" s="306"/>
      <c r="I6" s="307"/>
      <c r="J6" s="306"/>
      <c r="K6" s="307"/>
      <c r="L6" s="306"/>
      <c r="M6" s="307"/>
      <c r="N6" s="306"/>
      <c r="O6" s="307"/>
      <c r="P6" s="306"/>
      <c r="Q6" s="307"/>
      <c r="R6" s="306"/>
      <c r="S6" s="307"/>
      <c r="T6" s="306"/>
      <c r="U6" s="307"/>
      <c r="V6" s="306"/>
      <c r="W6" s="307"/>
      <c r="X6" s="306"/>
      <c r="Y6" s="307"/>
      <c r="Z6" s="310"/>
      <c r="AA6" s="306"/>
      <c r="AB6" s="306"/>
      <c r="AC6" s="306"/>
      <c r="AD6" s="307"/>
      <c r="AE6" s="306"/>
      <c r="AF6" s="307"/>
      <c r="AG6" s="306"/>
      <c r="AH6" s="307"/>
      <c r="AI6" s="306"/>
      <c r="AJ6" s="307"/>
      <c r="AK6" s="306"/>
      <c r="AL6" s="307"/>
      <c r="AM6" s="306"/>
      <c r="AN6" s="307"/>
      <c r="AO6" s="306"/>
      <c r="AP6" s="307"/>
      <c r="AQ6" s="306"/>
      <c r="AR6" s="307"/>
      <c r="AS6" s="306"/>
      <c r="AT6" s="307"/>
      <c r="AU6" s="306"/>
      <c r="AV6" s="307"/>
      <c r="AW6" s="460"/>
    </row>
    <row r="7" spans="1:49" ht="12.75" customHeight="1">
      <c r="A7" s="463" t="s">
        <v>345</v>
      </c>
      <c r="B7" s="311"/>
      <c r="C7" s="307"/>
      <c r="D7" s="311"/>
      <c r="E7" s="307"/>
      <c r="F7" s="311"/>
      <c r="G7" s="307"/>
      <c r="H7" s="311"/>
      <c r="I7" s="307"/>
      <c r="J7" s="311"/>
      <c r="K7" s="307"/>
      <c r="L7" s="311"/>
      <c r="M7" s="307"/>
      <c r="N7" s="311"/>
      <c r="O7" s="307"/>
      <c r="P7" s="311"/>
      <c r="Q7" s="307"/>
      <c r="R7" s="311"/>
      <c r="S7" s="307"/>
      <c r="T7" s="311"/>
      <c r="U7" s="307"/>
      <c r="V7" s="311"/>
      <c r="W7" s="307"/>
      <c r="X7" s="311"/>
      <c r="Y7" s="307"/>
      <c r="Z7" s="312"/>
      <c r="AA7" s="311"/>
      <c r="AB7" s="311"/>
      <c r="AC7" s="311"/>
      <c r="AD7" s="307"/>
      <c r="AE7" s="311"/>
      <c r="AF7" s="307"/>
      <c r="AG7" s="311"/>
      <c r="AH7" s="307"/>
      <c r="AI7" s="311"/>
      <c r="AJ7" s="307"/>
      <c r="AK7" s="311"/>
      <c r="AL7" s="307"/>
      <c r="AM7" s="311"/>
      <c r="AN7" s="307"/>
      <c r="AO7" s="311"/>
      <c r="AP7" s="307"/>
      <c r="AQ7" s="311"/>
      <c r="AR7" s="307"/>
      <c r="AS7" s="311"/>
      <c r="AT7" s="307"/>
      <c r="AU7" s="311"/>
      <c r="AV7" s="307"/>
      <c r="AW7" s="460"/>
    </row>
    <row r="8" spans="1:49" ht="12.75" customHeight="1">
      <c r="A8" s="459" t="str">
        <f>INPUT!B7</f>
        <v>Retirement Services</v>
      </c>
      <c r="B8" s="313">
        <f>INPUT!C64</f>
        <v>190.53846153846155</v>
      </c>
      <c r="C8" s="307">
        <f>INPUT!D64</f>
        <v>0</v>
      </c>
      <c r="D8" s="313">
        <f>INPUT!E64</f>
        <v>191.53846153846155</v>
      </c>
      <c r="E8" s="307">
        <f>INPUT!F64</f>
        <v>0</v>
      </c>
      <c r="F8" s="313">
        <f>INPUT!G64</f>
        <v>299.17692307692312</v>
      </c>
      <c r="G8" s="307">
        <f>INPUT!H64</f>
        <v>0</v>
      </c>
      <c r="H8" s="313">
        <f>INPUT!I64</f>
        <v>38.076923076923094</v>
      </c>
      <c r="I8" s="307">
        <f>INPUT!J64</f>
        <v>0</v>
      </c>
      <c r="J8" s="313">
        <f>INPUT!K64</f>
        <v>200.92307692307691</v>
      </c>
      <c r="K8" s="307">
        <f>INPUT!L64</f>
        <v>5.450141299959621</v>
      </c>
      <c r="L8" s="313">
        <f>INPUT!M64</f>
        <v>214.92307692307693</v>
      </c>
      <c r="M8" s="307">
        <f>INPUT!N64</f>
        <v>12.208835341365454</v>
      </c>
      <c r="N8" s="313">
        <f>INPUT!O64</f>
        <v>272.23076923076923</v>
      </c>
      <c r="O8" s="307">
        <f>INPUT!P64</f>
        <v>-9.0067621422878279</v>
      </c>
      <c r="P8" s="313">
        <f>INPUT!Q64</f>
        <v>249.46153846153845</v>
      </c>
      <c r="Q8" s="307" t="str">
        <f>INPUT!R64</f>
        <v>NM</v>
      </c>
      <c r="R8" s="313">
        <f>INPUT!S64</f>
        <v>273.50525873250012</v>
      </c>
      <c r="S8" s="307">
        <f>INPUT!T64</f>
        <v>36.12436307513407</v>
      </c>
      <c r="T8" s="313">
        <f>INPUT!U64</f>
        <v>280.52940118721631</v>
      </c>
      <c r="U8" s="307">
        <f>INPUT!V64</f>
        <v>30.525490888826479</v>
      </c>
      <c r="V8" s="313">
        <f>INPUT!W64</f>
        <v>303.42866983255794</v>
      </c>
      <c r="W8" s="307">
        <f>INPUT!X64</f>
        <v>11.460093467738153</v>
      </c>
      <c r="X8" s="313">
        <f>INPUT!Y64</f>
        <v>309.29422020832305</v>
      </c>
      <c r="Y8" s="307">
        <f>INPUT!Z64</f>
        <v>23.984732121745299</v>
      </c>
      <c r="Z8" s="307"/>
      <c r="AA8" s="313"/>
      <c r="AB8" s="313"/>
      <c r="AC8" s="313">
        <f>INPUT!AD64</f>
        <v>257.15384615384619</v>
      </c>
      <c r="AD8" s="307">
        <f>INPUT!AE64</f>
        <v>0</v>
      </c>
      <c r="AE8" s="313">
        <f>INPUT!AF64</f>
        <v>717.53846153846155</v>
      </c>
      <c r="AF8" s="307" t="str">
        <f>INPUT!AG64</f>
        <v>NM</v>
      </c>
      <c r="AG8" s="313">
        <f>INPUT!AH64</f>
        <v>663.69230769230774</v>
      </c>
      <c r="AH8" s="307">
        <f>INPUT!AI64</f>
        <v>-7.5042881646655175</v>
      </c>
      <c r="AI8" s="313">
        <f>INPUT!AJ64</f>
        <v>719.33076923076919</v>
      </c>
      <c r="AJ8" s="307">
        <f>INPUT!AK64</f>
        <v>8.3831710709318266</v>
      </c>
      <c r="AK8" s="313">
        <f>INPUT!AL64</f>
        <v>937.53846153846155</v>
      </c>
      <c r="AL8" s="307">
        <f>INPUT!AM64</f>
        <v>30.334819757680755</v>
      </c>
      <c r="AM8" s="313">
        <f>INPUT!AN64</f>
        <v>1166.7575499605969</v>
      </c>
      <c r="AN8" s="307">
        <f>INPUT!AO64</f>
        <v>24.449033061107308</v>
      </c>
      <c r="AO8" s="313">
        <f>INPUT!AP64</f>
        <v>1312.4079786896818</v>
      </c>
      <c r="AP8" s="307">
        <f>INPUT!AQ64</f>
        <v>12.483350009948847</v>
      </c>
      <c r="AQ8" s="313">
        <f>INPUT!AR64</f>
        <v>1455.1169322487212</v>
      </c>
      <c r="AR8" s="307">
        <f>INPUT!AS64</f>
        <v>10.873825508247915</v>
      </c>
      <c r="AS8" s="313">
        <f>INPUT!AT64</f>
        <v>1536.4017744850994</v>
      </c>
      <c r="AT8" s="307">
        <f>INPUT!AU64</f>
        <v>5.5861381607841931</v>
      </c>
      <c r="AU8" s="313">
        <f>INPUT!AV64</f>
        <v>1631.056237549139</v>
      </c>
      <c r="AV8" s="307">
        <f>INPUT!AW64</f>
        <v>6.1607884497374865</v>
      </c>
      <c r="AW8" s="460">
        <f>INPUT!AX64</f>
        <v>11.711007445972911</v>
      </c>
    </row>
    <row r="9" spans="1:49" ht="12.75" customHeight="1">
      <c r="A9" s="459" t="str">
        <f>INPUT!B8</f>
        <v>Corporate/Other</v>
      </c>
      <c r="B9" s="313">
        <f>INPUT!C109</f>
        <v>-49</v>
      </c>
      <c r="C9" s="307">
        <f>INPUT!D109</f>
        <v>0</v>
      </c>
      <c r="D9" s="313">
        <f>INPUT!E109</f>
        <v>-12</v>
      </c>
      <c r="E9" s="307">
        <f>INPUT!F109</f>
        <v>0</v>
      </c>
      <c r="F9" s="313">
        <f>INPUT!G109</f>
        <v>-27</v>
      </c>
      <c r="G9" s="307">
        <f>INPUT!H109</f>
        <v>0</v>
      </c>
      <c r="H9" s="313">
        <f>INPUT!I109</f>
        <v>35</v>
      </c>
      <c r="I9" s="307">
        <f>INPUT!J109</f>
        <v>0</v>
      </c>
      <c r="J9" s="313">
        <f>INPUT!K109</f>
        <v>6.9230769230769234</v>
      </c>
      <c r="K9" s="307" t="str">
        <f>INPUT!L109</f>
        <v>NM</v>
      </c>
      <c r="L9" s="313">
        <f>INPUT!M109</f>
        <v>-2.3076923076923066</v>
      </c>
      <c r="M9" s="307" t="str">
        <f>INPUT!N109</f>
        <v>NM</v>
      </c>
      <c r="N9" s="313">
        <f>INPUT!O109</f>
        <v>7.1538461538461533</v>
      </c>
      <c r="O9" s="307" t="str">
        <f>INPUT!P109</f>
        <v>NM</v>
      </c>
      <c r="P9" s="313">
        <f>INPUT!Q109</f>
        <v>7.8461538461538467</v>
      </c>
      <c r="Q9" s="307" t="str">
        <f>INPUT!R109</f>
        <v>NM</v>
      </c>
      <c r="R9" s="313">
        <f>INPUT!S109</f>
        <v>-0.36999999999999744</v>
      </c>
      <c r="S9" s="307" t="str">
        <f>INPUT!T109</f>
        <v>NM</v>
      </c>
      <c r="T9" s="313">
        <f>INPUT!U109</f>
        <v>1.3800000000003365E-2</v>
      </c>
      <c r="U9" s="307" t="str">
        <f>INPUT!V109</f>
        <v>NM</v>
      </c>
      <c r="V9" s="313">
        <f>INPUT!W109</f>
        <v>0.40143800000000596</v>
      </c>
      <c r="W9" s="307" t="str">
        <f>INPUT!X109</f>
        <v>NM</v>
      </c>
      <c r="X9" s="313">
        <f>INPUT!Y109</f>
        <v>-0.20704761999999022</v>
      </c>
      <c r="Y9" s="307" t="str">
        <f>INPUT!Z109</f>
        <v>NM</v>
      </c>
      <c r="Z9" s="307"/>
      <c r="AA9" s="313"/>
      <c r="AB9" s="313"/>
      <c r="AC9" s="313">
        <f>INPUT!AD109</f>
        <v>50.230769230769226</v>
      </c>
      <c r="AD9" s="307">
        <f>INPUT!AE109</f>
        <v>0</v>
      </c>
      <c r="AE9" s="313">
        <f>INPUT!AF109</f>
        <v>-5.2307692307692299</v>
      </c>
      <c r="AF9" s="307" t="str">
        <f>INPUT!AG109</f>
        <v>NM</v>
      </c>
      <c r="AG9" s="313">
        <f>INPUT!AH109</f>
        <v>74.153846153846146</v>
      </c>
      <c r="AH9" s="307" t="str">
        <f>INPUT!AI109</f>
        <v>NM</v>
      </c>
      <c r="AI9" s="313">
        <f>INPUT!AJ109</f>
        <v>-53</v>
      </c>
      <c r="AJ9" s="307" t="str">
        <f>INPUT!AK109</f>
        <v>NM</v>
      </c>
      <c r="AK9" s="313">
        <f>INPUT!AL109</f>
        <v>19.615384615384613</v>
      </c>
      <c r="AL9" s="307" t="str">
        <f>INPUT!AM109</f>
        <v>NM</v>
      </c>
      <c r="AM9" s="313">
        <f>INPUT!AN109</f>
        <v>-0.16180961999998544</v>
      </c>
      <c r="AN9" s="307" t="str">
        <f>INPUT!AO109</f>
        <v>NM</v>
      </c>
      <c r="AO9" s="313">
        <f>INPUT!AP109</f>
        <v>-3.4550458124000158</v>
      </c>
      <c r="AP9" s="307" t="str">
        <f>INPUT!AQ109</f>
        <v>NM</v>
      </c>
      <c r="AQ9" s="313">
        <f>INPUT!AR109</f>
        <v>-9.0929467286480303</v>
      </c>
      <c r="AR9" s="307" t="str">
        <f>INPUT!AS109</f>
        <v>NM</v>
      </c>
      <c r="AS9" s="313">
        <f>INPUT!AT109</f>
        <v>-10.879765663220979</v>
      </c>
      <c r="AT9" s="307">
        <f>INPUT!AU109</f>
        <v>19.650603790995923</v>
      </c>
      <c r="AU9" s="313">
        <f>INPUT!AV109</f>
        <v>-12.656221776485438</v>
      </c>
      <c r="AV9" s="307">
        <f>INPUT!AW109</f>
        <v>16.328073308322843</v>
      </c>
      <c r="AW9" s="460" t="str">
        <f>INPUT!AX109</f>
        <v>NM</v>
      </c>
    </row>
    <row r="10" spans="1:49">
      <c r="A10" s="463" t="s">
        <v>258</v>
      </c>
      <c r="B10" s="314">
        <f>INPUT!C130</f>
        <v>141.53846153846155</v>
      </c>
      <c r="C10" s="307">
        <f>INPUT!D130</f>
        <v>0</v>
      </c>
      <c r="D10" s="314">
        <f>INPUT!E130</f>
        <v>179.53846153846155</v>
      </c>
      <c r="E10" s="307">
        <f>INPUT!F130</f>
        <v>0</v>
      </c>
      <c r="F10" s="314">
        <f>INPUT!G130</f>
        <v>272.17692307692312</v>
      </c>
      <c r="G10" s="307">
        <f>INPUT!H130</f>
        <v>0</v>
      </c>
      <c r="H10" s="314">
        <f>INPUT!I130</f>
        <v>73.076923076923094</v>
      </c>
      <c r="I10" s="307">
        <f>INPUT!J130</f>
        <v>0</v>
      </c>
      <c r="J10" s="314">
        <f>INPUT!K130</f>
        <v>207.84615384615387</v>
      </c>
      <c r="K10" s="307">
        <f>INPUT!L130</f>
        <v>46.847826086956523</v>
      </c>
      <c r="L10" s="314">
        <f>INPUT!M130</f>
        <v>212.61538461538461</v>
      </c>
      <c r="M10" s="307">
        <f>INPUT!N130</f>
        <v>18.423307626392461</v>
      </c>
      <c r="N10" s="314">
        <f>INPUT!O130</f>
        <v>279.38461538461536</v>
      </c>
      <c r="O10" s="307">
        <f>INPUT!P130</f>
        <v>2.6481643727213289</v>
      </c>
      <c r="P10" s="314">
        <f>INPUT!Q130</f>
        <v>257.30769230769232</v>
      </c>
      <c r="Q10" s="307" t="str">
        <f>INPUT!R130</f>
        <v>NM</v>
      </c>
      <c r="R10" s="314">
        <f>INPUT!S130</f>
        <v>273.13525873250012</v>
      </c>
      <c r="S10" s="307">
        <f>INPUT!T130</f>
        <v>31.412226629256157</v>
      </c>
      <c r="T10" s="314">
        <f>INPUT!U130</f>
        <v>280.54320118721625</v>
      </c>
      <c r="U10" s="307">
        <f>INPUT!V130</f>
        <v>31.948683626404172</v>
      </c>
      <c r="V10" s="314">
        <f>INPUT!W130</f>
        <v>303.83010783255781</v>
      </c>
      <c r="W10" s="307">
        <f>INPUT!X130</f>
        <v>8.7497632660586966</v>
      </c>
      <c r="X10" s="314">
        <f>INPUT!Y130</f>
        <v>309.08717258832314</v>
      </c>
      <c r="Y10" s="307">
        <f>INPUT!Z130</f>
        <v>20.123564832532146</v>
      </c>
      <c r="Z10" s="307"/>
      <c r="AA10" s="314"/>
      <c r="AB10" s="314"/>
      <c r="AC10" s="314">
        <f>INPUT!AD130</f>
        <v>307.38461538461542</v>
      </c>
      <c r="AD10" s="307">
        <f>INPUT!AE130</f>
        <v>0</v>
      </c>
      <c r="AE10" s="314">
        <f>INPUT!AF130</f>
        <v>712.30769230769226</v>
      </c>
      <c r="AF10" s="307" t="str">
        <f>INPUT!AG130</f>
        <v>NM</v>
      </c>
      <c r="AG10" s="314">
        <f>INPUT!AH130</f>
        <v>737.84615384615381</v>
      </c>
      <c r="AH10" s="307">
        <f>INPUT!AI130</f>
        <v>3.5853131749460143</v>
      </c>
      <c r="AI10" s="314">
        <f>INPUT!AJ130</f>
        <v>666.33076923076919</v>
      </c>
      <c r="AJ10" s="307">
        <f>INPUT!AK130</f>
        <v>-9.692452043369471</v>
      </c>
      <c r="AK10" s="314">
        <f>INPUT!AL130</f>
        <v>957.15384615384619</v>
      </c>
      <c r="AL10" s="307">
        <f>INPUT!AM130</f>
        <v>43.645452131650963</v>
      </c>
      <c r="AM10" s="314">
        <f>INPUT!AN130</f>
        <v>1166.5957403405973</v>
      </c>
      <c r="AN10" s="307">
        <f>INPUT!AO130</f>
        <v>21.881737719422677</v>
      </c>
      <c r="AO10" s="314">
        <f>INPUT!AP130</f>
        <v>1308.9529328772824</v>
      </c>
      <c r="AP10" s="307">
        <f>INPUT!AQ130</f>
        <v>12.202786930725695</v>
      </c>
      <c r="AQ10" s="314">
        <f>INPUT!AR130</f>
        <v>1446.0239855200734</v>
      </c>
      <c r="AR10" s="307">
        <f>INPUT!AS130</f>
        <v>10.471809123150644</v>
      </c>
      <c r="AS10" s="314">
        <f>INPUT!AT130</f>
        <v>1525.5220088218784</v>
      </c>
      <c r="AT10" s="307">
        <f>INPUT!AU130</f>
        <v>5.4976974170461546</v>
      </c>
      <c r="AU10" s="314">
        <f>INPUT!AV130</f>
        <v>1618.4000157726532</v>
      </c>
      <c r="AV10" s="307">
        <f>INPUT!AW130</f>
        <v>6.0882770890013038</v>
      </c>
      <c r="AW10" s="460">
        <f>INPUT!AX130</f>
        <v>11.076151723005001</v>
      </c>
    </row>
    <row r="11" spans="1:49" s="318" customFormat="1" hidden="1" outlineLevel="1">
      <c r="A11" s="464" t="s">
        <v>37</v>
      </c>
      <c r="B11" s="315">
        <f>(B8+B9)-B10</f>
        <v>0</v>
      </c>
      <c r="C11" s="316"/>
      <c r="D11" s="315">
        <f>(D8+D9)-D10</f>
        <v>0</v>
      </c>
      <c r="E11" s="316"/>
      <c r="F11" s="315">
        <f>(F8+F9)-F10</f>
        <v>0</v>
      </c>
      <c r="G11" s="316"/>
      <c r="H11" s="315">
        <f>(H8+H9)-H10</f>
        <v>0</v>
      </c>
      <c r="I11" s="316"/>
      <c r="J11" s="315">
        <f>(J8+J9)-J10</f>
        <v>0</v>
      </c>
      <c r="K11" s="316"/>
      <c r="L11" s="315">
        <f>(L8+L9)-L10</f>
        <v>0</v>
      </c>
      <c r="M11" s="316"/>
      <c r="N11" s="315">
        <f>(N8+N9)-N10</f>
        <v>0</v>
      </c>
      <c r="O11" s="316"/>
      <c r="P11" s="315">
        <f>(P8+P9)-P10</f>
        <v>0</v>
      </c>
      <c r="Q11" s="316"/>
      <c r="R11" s="315">
        <f>(R8+R9)-R10</f>
        <v>0</v>
      </c>
      <c r="S11" s="316"/>
      <c r="T11" s="315">
        <f>(T8+T9)-T10</f>
        <v>0</v>
      </c>
      <c r="U11" s="316"/>
      <c r="V11" s="315">
        <f>(V8+V9)-V10</f>
        <v>0</v>
      </c>
      <c r="W11" s="316"/>
      <c r="X11" s="315">
        <f>(X8+X9)-X10</f>
        <v>0</v>
      </c>
      <c r="Y11" s="316"/>
      <c r="Z11" s="316"/>
      <c r="AA11" s="317"/>
      <c r="AB11" s="317"/>
      <c r="AC11" s="315">
        <f t="shared" ref="AC11:AW11" si="0">(AC8+AC9)-AC10</f>
        <v>0</v>
      </c>
      <c r="AD11" s="316">
        <f t="shared" si="0"/>
        <v>0</v>
      </c>
      <c r="AE11" s="315">
        <f t="shared" si="0"/>
        <v>0</v>
      </c>
      <c r="AF11" s="316" t="e">
        <f t="shared" si="0"/>
        <v>#VALUE!</v>
      </c>
      <c r="AG11" s="315">
        <f t="shared" si="0"/>
        <v>0</v>
      </c>
      <c r="AH11" s="316" t="e">
        <f t="shared" si="0"/>
        <v>#VALUE!</v>
      </c>
      <c r="AI11" s="315">
        <f t="shared" si="0"/>
        <v>0</v>
      </c>
      <c r="AJ11" s="316" t="e">
        <f t="shared" si="0"/>
        <v>#VALUE!</v>
      </c>
      <c r="AK11" s="315">
        <f t="shared" si="0"/>
        <v>0</v>
      </c>
      <c r="AL11" s="316" t="e">
        <f t="shared" si="0"/>
        <v>#VALUE!</v>
      </c>
      <c r="AM11" s="315">
        <f t="shared" ref="AM11:AN11" si="1">(AM8+AM9)-AM10</f>
        <v>0</v>
      </c>
      <c r="AN11" s="316" t="e">
        <f t="shared" si="1"/>
        <v>#VALUE!</v>
      </c>
      <c r="AO11" s="315">
        <f t="shared" si="0"/>
        <v>0</v>
      </c>
      <c r="AP11" s="316" t="e">
        <f t="shared" si="0"/>
        <v>#VALUE!</v>
      </c>
      <c r="AQ11" s="315">
        <f t="shared" si="0"/>
        <v>0</v>
      </c>
      <c r="AR11" s="316" t="e">
        <f t="shared" si="0"/>
        <v>#VALUE!</v>
      </c>
      <c r="AS11" s="315">
        <f t="shared" si="0"/>
        <v>0</v>
      </c>
      <c r="AT11" s="316">
        <f t="shared" si="0"/>
        <v>19.739044534733964</v>
      </c>
      <c r="AU11" s="315">
        <f t="shared" ref="AU11:AV11" si="2">(AU8+AU9)-AU10</f>
        <v>0</v>
      </c>
      <c r="AV11" s="316">
        <f t="shared" si="2"/>
        <v>16.400584669059029</v>
      </c>
      <c r="AW11" s="465" t="e">
        <f t="shared" si="0"/>
        <v>#VALUE!</v>
      </c>
    </row>
    <row r="12" spans="1:49" ht="5.25" customHeight="1" collapsed="1">
      <c r="A12" s="463"/>
      <c r="B12" s="314"/>
      <c r="C12" s="307"/>
      <c r="D12" s="314"/>
      <c r="E12" s="307"/>
      <c r="F12" s="314"/>
      <c r="G12" s="307"/>
      <c r="H12" s="314"/>
      <c r="I12" s="307"/>
      <c r="J12" s="314"/>
      <c r="K12" s="307"/>
      <c r="L12" s="314"/>
      <c r="M12" s="307"/>
      <c r="N12" s="314"/>
      <c r="O12" s="307"/>
      <c r="P12" s="314"/>
      <c r="Q12" s="307"/>
      <c r="R12" s="314"/>
      <c r="S12" s="307"/>
      <c r="T12" s="314"/>
      <c r="U12" s="307"/>
      <c r="V12" s="314"/>
      <c r="W12" s="307"/>
      <c r="X12" s="314"/>
      <c r="Y12" s="307"/>
      <c r="Z12" s="307"/>
      <c r="AA12" s="314"/>
      <c r="AB12" s="314"/>
      <c r="AC12" s="314"/>
      <c r="AD12" s="307"/>
      <c r="AE12" s="314"/>
      <c r="AF12" s="307"/>
      <c r="AG12" s="314"/>
      <c r="AH12" s="307"/>
      <c r="AI12" s="314"/>
      <c r="AJ12" s="307"/>
      <c r="AK12" s="314"/>
      <c r="AL12" s="307"/>
      <c r="AM12" s="314"/>
      <c r="AN12" s="307"/>
      <c r="AO12" s="314"/>
      <c r="AP12" s="307"/>
      <c r="AQ12" s="314"/>
      <c r="AR12" s="307"/>
      <c r="AS12" s="314"/>
      <c r="AT12" s="307"/>
      <c r="AU12" s="314"/>
      <c r="AV12" s="307"/>
      <c r="AW12" s="460"/>
    </row>
    <row r="13" spans="1:49" ht="12.75" customHeight="1">
      <c r="A13" s="459" t="s">
        <v>162</v>
      </c>
      <c r="B13" s="313">
        <f>INPUT!C128/0.65</f>
        <v>18.46153846153846</v>
      </c>
      <c r="C13" s="307">
        <f>INPUT!D128</f>
        <v>0</v>
      </c>
      <c r="D13" s="313">
        <f>INPUT!E128/0.65</f>
        <v>18.46153846153846</v>
      </c>
      <c r="E13" s="307">
        <f>INPUT!F128</f>
        <v>0</v>
      </c>
      <c r="F13" s="313">
        <f>INPUT!G128/0.65</f>
        <v>-243.07692307692307</v>
      </c>
      <c r="G13" s="307">
        <f>INPUT!H128</f>
        <v>0</v>
      </c>
      <c r="H13" s="313">
        <f>INPUT!I128/0.65</f>
        <v>216.92307692307691</v>
      </c>
      <c r="I13" s="307">
        <f>INPUT!J128</f>
        <v>0</v>
      </c>
      <c r="J13" s="313">
        <f>INPUT!K128/0.65</f>
        <v>66.153846153846146</v>
      </c>
      <c r="K13" s="307">
        <f>INPUT!L128</f>
        <v>0</v>
      </c>
      <c r="L13" s="313">
        <f>INPUT!M128/0.65</f>
        <v>75.384615384615387</v>
      </c>
      <c r="M13" s="307">
        <f>INPUT!N128</f>
        <v>0</v>
      </c>
      <c r="N13" s="313">
        <f>INPUT!O128/0.65</f>
        <v>-35.384615384615387</v>
      </c>
      <c r="O13" s="307">
        <f>INPUT!P128</f>
        <v>0</v>
      </c>
      <c r="P13" s="313">
        <f>INPUT!Q128/0.65</f>
        <v>107.69230769230769</v>
      </c>
      <c r="Q13" s="307">
        <f>INPUT!R128</f>
        <v>0</v>
      </c>
      <c r="R13" s="313">
        <f>INPUT!S128/0.65</f>
        <v>0</v>
      </c>
      <c r="S13" s="307">
        <f>INPUT!T128</f>
        <v>0</v>
      </c>
      <c r="T13" s="313">
        <f>INPUT!U128/0.65</f>
        <v>0</v>
      </c>
      <c r="U13" s="307">
        <f>INPUT!V128</f>
        <v>0</v>
      </c>
      <c r="V13" s="313">
        <f>INPUT!W128/0.65</f>
        <v>0</v>
      </c>
      <c r="W13" s="307">
        <f>INPUT!X128</f>
        <v>0</v>
      </c>
      <c r="X13" s="313">
        <f>INPUT!Y128/0.65</f>
        <v>0</v>
      </c>
      <c r="Y13" s="307">
        <f>INPUT!Z128</f>
        <v>0</v>
      </c>
      <c r="Z13" s="307"/>
      <c r="AA13" s="313"/>
      <c r="AB13" s="313"/>
      <c r="AC13" s="313">
        <f>INPUT!AD128/0.65</f>
        <v>484.61538461538458</v>
      </c>
      <c r="AD13" s="307">
        <f>INPUT!AE128/0.65</f>
        <v>0</v>
      </c>
      <c r="AE13" s="313">
        <f>INPUT!AF128/0.65</f>
        <v>87.692307692307693</v>
      </c>
      <c r="AF13" s="307" t="str">
        <f>INPUT!AG128</f>
        <v>NM</v>
      </c>
      <c r="AG13" s="313">
        <f>INPUT!AH128/0.65</f>
        <v>46.153846153846153</v>
      </c>
      <c r="AH13" s="307">
        <f>INPUT!AI128</f>
        <v>-47.368421052631582</v>
      </c>
      <c r="AI13" s="313">
        <f>INPUT!AJ128/0.65</f>
        <v>10.769230769230768</v>
      </c>
      <c r="AJ13" s="307" t="str">
        <f>INPUT!AK128</f>
        <v>NM</v>
      </c>
      <c r="AK13" s="313">
        <f>INPUT!AL128/0.65</f>
        <v>213.84615384615384</v>
      </c>
      <c r="AL13" s="307" t="str">
        <f>INPUT!AM128</f>
        <v>NM</v>
      </c>
      <c r="AM13" s="313">
        <f>INPUT!AN128/0.65</f>
        <v>0</v>
      </c>
      <c r="AN13" s="307" t="str">
        <f>INPUT!AO128</f>
        <v>NM</v>
      </c>
      <c r="AO13" s="313">
        <f>INPUT!AP128/0.65</f>
        <v>0</v>
      </c>
      <c r="AP13" s="307" t="str">
        <f>INPUT!AQ128</f>
        <v>NA</v>
      </c>
      <c r="AQ13" s="313">
        <f>INPUT!AR128/0.65</f>
        <v>0</v>
      </c>
      <c r="AR13" s="307" t="str">
        <f>INPUT!AS128</f>
        <v>NA</v>
      </c>
      <c r="AS13" s="313">
        <f>INPUT!AT128/0.65</f>
        <v>0</v>
      </c>
      <c r="AT13" s="307" t="str">
        <f>INPUT!AU128</f>
        <v>NA</v>
      </c>
      <c r="AU13" s="313">
        <f>INPUT!AV128/0.65</f>
        <v>0</v>
      </c>
      <c r="AV13" s="307" t="str">
        <f>INPUT!AW128</f>
        <v>NA</v>
      </c>
      <c r="AW13" s="460">
        <f>INPUT!AX128/0.65</f>
        <v>0</v>
      </c>
    </row>
    <row r="14" spans="1:49">
      <c r="A14" s="463" t="s">
        <v>255</v>
      </c>
      <c r="B14" s="314">
        <f>INPUT!C124</f>
        <v>160</v>
      </c>
      <c r="C14" s="307">
        <f>INPUT!D124</f>
        <v>0</v>
      </c>
      <c r="D14" s="314">
        <f>INPUT!E124</f>
        <v>198</v>
      </c>
      <c r="E14" s="307">
        <f>INPUT!F124</f>
        <v>0</v>
      </c>
      <c r="F14" s="314">
        <f>INPUT!G124</f>
        <v>29.100000000000023</v>
      </c>
      <c r="G14" s="307">
        <f>INPUT!H124</f>
        <v>0</v>
      </c>
      <c r="H14" s="314">
        <f>INPUT!I124</f>
        <v>290</v>
      </c>
      <c r="I14" s="307">
        <f>INPUT!J124</f>
        <v>0</v>
      </c>
      <c r="J14" s="314">
        <f>INPUT!K124</f>
        <v>274</v>
      </c>
      <c r="K14" s="307">
        <f>INPUT!L124</f>
        <v>71.249999999999986</v>
      </c>
      <c r="L14" s="314">
        <f>INPUT!M124</f>
        <v>288</v>
      </c>
      <c r="M14" s="307">
        <f>INPUT!N124</f>
        <v>45.45454545454546</v>
      </c>
      <c r="N14" s="314">
        <f>INPUT!O124</f>
        <v>244</v>
      </c>
      <c r="O14" s="307" t="str">
        <f>INPUT!P124</f>
        <v>NM</v>
      </c>
      <c r="P14" s="314">
        <f>INPUT!Q124</f>
        <v>365</v>
      </c>
      <c r="Q14" s="307">
        <f>INPUT!R124</f>
        <v>25.862068965517238</v>
      </c>
      <c r="R14" s="314">
        <f>INPUT!S124</f>
        <v>273.13525873250012</v>
      </c>
      <c r="S14" s="307">
        <f>INPUT!T124</f>
        <v>-0.31559900273718799</v>
      </c>
      <c r="T14" s="314">
        <f>INPUT!U124</f>
        <v>280.54320118721625</v>
      </c>
      <c r="U14" s="307">
        <f>INPUT!V124</f>
        <v>-2.5891662544388017</v>
      </c>
      <c r="V14" s="314">
        <f>INPUT!W124</f>
        <v>303.83010783255781</v>
      </c>
      <c r="W14" s="307">
        <f>INPUT!X124</f>
        <v>24.520535996949921</v>
      </c>
      <c r="X14" s="314">
        <f>INPUT!Y124</f>
        <v>309.08717258832314</v>
      </c>
      <c r="Y14" s="307">
        <f>INPUT!Z124</f>
        <v>-15.318582852514206</v>
      </c>
      <c r="Z14" s="307"/>
      <c r="AA14" s="314"/>
      <c r="AB14" s="314"/>
      <c r="AC14" s="314">
        <f>INPUT!AD124</f>
        <v>792</v>
      </c>
      <c r="AD14" s="307">
        <f>INPUT!AE124</f>
        <v>0</v>
      </c>
      <c r="AE14" s="314">
        <f>INPUT!AF124</f>
        <v>800</v>
      </c>
      <c r="AF14" s="307">
        <f>INPUT!AG124</f>
        <v>1.0101010101010166</v>
      </c>
      <c r="AG14" s="314">
        <f>INPUT!AH124</f>
        <v>784</v>
      </c>
      <c r="AH14" s="307">
        <f>INPUT!AI124</f>
        <v>-2.0000000000000018</v>
      </c>
      <c r="AI14" s="314">
        <f>INPUT!AJ124</f>
        <v>677.09999999999991</v>
      </c>
      <c r="AJ14" s="307">
        <f>INPUT!AK124</f>
        <v>-13.635204081632669</v>
      </c>
      <c r="AK14" s="314">
        <f>INPUT!AL124</f>
        <v>1171</v>
      </c>
      <c r="AL14" s="307">
        <f>INPUT!AM124</f>
        <v>72.943435238517225</v>
      </c>
      <c r="AM14" s="314">
        <f>INPUT!AN124</f>
        <v>1166.5957403405973</v>
      </c>
      <c r="AN14" s="307">
        <f>INPUT!AO124</f>
        <v>-0.37611098713942193</v>
      </c>
      <c r="AO14" s="314">
        <f>INPUT!AP124</f>
        <v>1308.9529328772824</v>
      </c>
      <c r="AP14" s="307">
        <f>INPUT!AQ124</f>
        <v>12.202786930725695</v>
      </c>
      <c r="AQ14" s="314">
        <f>INPUT!AR124</f>
        <v>1446.0239855200734</v>
      </c>
      <c r="AR14" s="307">
        <f>INPUT!AS124</f>
        <v>10.471809123150644</v>
      </c>
      <c r="AS14" s="314">
        <f>INPUT!AT124</f>
        <v>1525.5220088218784</v>
      </c>
      <c r="AT14" s="307">
        <f>INPUT!AU124</f>
        <v>5.4976974170461546</v>
      </c>
      <c r="AU14" s="314">
        <f>INPUT!AV124</f>
        <v>1618.4000157726532</v>
      </c>
      <c r="AV14" s="307">
        <f>INPUT!AW124</f>
        <v>6.0882770890013038</v>
      </c>
      <c r="AW14" s="460">
        <f>INPUT!AX124</f>
        <v>6.6855979744693261</v>
      </c>
    </row>
    <row r="15" spans="1:49" s="318" customFormat="1" ht="12.75" hidden="1" customHeight="1" outlineLevel="1">
      <c r="A15" s="464" t="s">
        <v>37</v>
      </c>
      <c r="B15" s="315">
        <f>(B10+B13)-B14</f>
        <v>0</v>
      </c>
      <c r="C15" s="316"/>
      <c r="D15" s="315">
        <f>(D10+D13)-D14</f>
        <v>0</v>
      </c>
      <c r="E15" s="316"/>
      <c r="F15" s="315">
        <f>(F10+F13)-F14</f>
        <v>2.8421709430404007E-14</v>
      </c>
      <c r="G15" s="316"/>
      <c r="H15" s="315">
        <f>(H10+H13)-H14</f>
        <v>0</v>
      </c>
      <c r="I15" s="316"/>
      <c r="J15" s="315">
        <f t="shared" ref="J15" si="3">(J10+J13)-J14</f>
        <v>0</v>
      </c>
      <c r="K15" s="316"/>
      <c r="L15" s="315">
        <f t="shared" ref="L15" si="4">(L10+L13)-L14</f>
        <v>0</v>
      </c>
      <c r="M15" s="316"/>
      <c r="N15" s="315">
        <f t="shared" ref="N15" si="5">(N10+N13)-N14</f>
        <v>0</v>
      </c>
      <c r="O15" s="316"/>
      <c r="P15" s="315">
        <f t="shared" ref="P15" si="6">(P10+P13)-P14</f>
        <v>0</v>
      </c>
      <c r="Q15" s="316"/>
      <c r="R15" s="315">
        <f t="shared" ref="R15" si="7">(R10+R13)-R14</f>
        <v>0</v>
      </c>
      <c r="S15" s="316"/>
      <c r="T15" s="315">
        <f t="shared" ref="T15" si="8">(T10+T13)-T14</f>
        <v>0</v>
      </c>
      <c r="U15" s="316"/>
      <c r="V15" s="315">
        <f t="shared" ref="V15" si="9">(V10+V13)-V14</f>
        <v>0</v>
      </c>
      <c r="W15" s="316"/>
      <c r="X15" s="315">
        <f t="shared" ref="X15" si="10">(X10+X13)-X14</f>
        <v>0</v>
      </c>
      <c r="Y15" s="316"/>
      <c r="Z15" s="316"/>
      <c r="AA15" s="317"/>
      <c r="AB15" s="317"/>
      <c r="AC15" s="315">
        <f t="shared" ref="AC15:AE15" si="11">(AC10+AC13)-AC14</f>
        <v>0</v>
      </c>
      <c r="AD15" s="316">
        <f t="shared" ref="AD15:AF15" si="12">(AD10+AD13)-AD14</f>
        <v>0</v>
      </c>
      <c r="AE15" s="315">
        <f t="shared" si="11"/>
        <v>0</v>
      </c>
      <c r="AF15" s="316" t="e">
        <f t="shared" si="12"/>
        <v>#VALUE!</v>
      </c>
      <c r="AG15" s="315">
        <f t="shared" ref="AG15:AH15" si="13">(AG10+AG13)-AG14</f>
        <v>0</v>
      </c>
      <c r="AH15" s="316">
        <f t="shared" si="13"/>
        <v>-41.783107877685566</v>
      </c>
      <c r="AI15" s="315">
        <f t="shared" ref="AI15:AJ15" si="14">(AI10+AI13)-AI14</f>
        <v>0</v>
      </c>
      <c r="AJ15" s="316" t="e">
        <f t="shared" si="14"/>
        <v>#VALUE!</v>
      </c>
      <c r="AK15" s="315">
        <f t="shared" ref="AK15:AL15" si="15">(AK10+AK13)-AK14</f>
        <v>0</v>
      </c>
      <c r="AL15" s="316" t="e">
        <f t="shared" si="15"/>
        <v>#VALUE!</v>
      </c>
      <c r="AM15" s="315">
        <f t="shared" ref="AM15:AN15" si="16">(AM10+AM13)-AM14</f>
        <v>0</v>
      </c>
      <c r="AN15" s="316" t="e">
        <f t="shared" si="16"/>
        <v>#VALUE!</v>
      </c>
      <c r="AO15" s="315">
        <f t="shared" ref="AO15:AP15" si="17">(AO10+AO13)-AO14</f>
        <v>0</v>
      </c>
      <c r="AP15" s="316" t="e">
        <f t="shared" si="17"/>
        <v>#VALUE!</v>
      </c>
      <c r="AQ15" s="315">
        <f t="shared" ref="AQ15:AR15" si="18">(AQ10+AQ13)-AQ14</f>
        <v>0</v>
      </c>
      <c r="AR15" s="316" t="e">
        <f t="shared" si="18"/>
        <v>#VALUE!</v>
      </c>
      <c r="AS15" s="315">
        <f t="shared" ref="AS15:AW15" si="19">(AS10+AS13)-AS14</f>
        <v>0</v>
      </c>
      <c r="AT15" s="316" t="e">
        <f t="shared" si="19"/>
        <v>#VALUE!</v>
      </c>
      <c r="AU15" s="315">
        <f t="shared" ref="AU15:AV15" si="20">(AU10+AU13)-AU14</f>
        <v>0</v>
      </c>
      <c r="AV15" s="316" t="e">
        <f t="shared" si="20"/>
        <v>#VALUE!</v>
      </c>
      <c r="AW15" s="465">
        <f t="shared" si="19"/>
        <v>4.3905537485356749</v>
      </c>
    </row>
    <row r="16" spans="1:49" ht="3" customHeight="1" collapsed="1">
      <c r="A16" s="463"/>
      <c r="B16" s="314"/>
      <c r="C16" s="307"/>
      <c r="D16" s="314"/>
      <c r="E16" s="307"/>
      <c r="F16" s="314"/>
      <c r="G16" s="307"/>
      <c r="H16" s="314"/>
      <c r="I16" s="307"/>
      <c r="J16" s="314"/>
      <c r="K16" s="307"/>
      <c r="L16" s="314"/>
      <c r="M16" s="307"/>
      <c r="N16" s="314"/>
      <c r="O16" s="307"/>
      <c r="P16" s="314"/>
      <c r="Q16" s="307"/>
      <c r="R16" s="314"/>
      <c r="S16" s="307"/>
      <c r="T16" s="314"/>
      <c r="U16" s="307"/>
      <c r="V16" s="314"/>
      <c r="W16" s="307"/>
      <c r="X16" s="314"/>
      <c r="Y16" s="307"/>
      <c r="Z16" s="307"/>
      <c r="AA16" s="319"/>
      <c r="AB16" s="319"/>
      <c r="AC16" s="314"/>
      <c r="AD16" s="307"/>
      <c r="AE16" s="314"/>
      <c r="AF16" s="307"/>
      <c r="AG16" s="314"/>
      <c r="AH16" s="307"/>
      <c r="AI16" s="314"/>
      <c r="AJ16" s="307"/>
      <c r="AK16" s="314"/>
      <c r="AL16" s="307"/>
      <c r="AM16" s="314"/>
      <c r="AN16" s="307"/>
      <c r="AO16" s="314"/>
      <c r="AP16" s="307"/>
      <c r="AQ16" s="314"/>
      <c r="AR16" s="307"/>
      <c r="AS16" s="314"/>
      <c r="AT16" s="307"/>
      <c r="AU16" s="314"/>
      <c r="AV16" s="307"/>
      <c r="AW16" s="460"/>
    </row>
    <row r="17" spans="1:49" ht="12.75" customHeight="1">
      <c r="A17" s="459" t="s">
        <v>259</v>
      </c>
      <c r="B17" s="313">
        <f>INPUT!C125</f>
        <v>10</v>
      </c>
      <c r="C17" s="307">
        <f>INPUT!D125</f>
        <v>0</v>
      </c>
      <c r="D17" s="313">
        <f>INPUT!E125</f>
        <v>19</v>
      </c>
      <c r="E17" s="307">
        <f>INPUT!F125</f>
        <v>0</v>
      </c>
      <c r="F17" s="313">
        <f>INPUT!G125</f>
        <v>-88</v>
      </c>
      <c r="G17" s="307">
        <f>INPUT!H125</f>
        <v>0</v>
      </c>
      <c r="H17" s="313">
        <f>INPUT!I125</f>
        <v>10</v>
      </c>
      <c r="I17" s="307">
        <f>INPUT!J125</f>
        <v>0</v>
      </c>
      <c r="J17" s="313">
        <f>INPUT!K125</f>
        <v>8</v>
      </c>
      <c r="K17" s="307">
        <f>INPUT!L125</f>
        <v>-19.999999999999996</v>
      </c>
      <c r="L17" s="313">
        <f>INPUT!M125</f>
        <v>8</v>
      </c>
      <c r="M17" s="307" t="str">
        <f>INPUT!N125</f>
        <v>NM</v>
      </c>
      <c r="N17" s="313">
        <f>INPUT!O125</f>
        <v>13</v>
      </c>
      <c r="O17" s="307" t="str">
        <f>INPUT!P125</f>
        <v>NM</v>
      </c>
      <c r="P17" s="313">
        <f>INPUT!Q125</f>
        <v>33</v>
      </c>
      <c r="Q17" s="307" t="str">
        <f>INPUT!R125</f>
        <v>NM</v>
      </c>
      <c r="R17" s="313">
        <f>INPUT!S125</f>
        <v>28.681052166912512</v>
      </c>
      <c r="S17" s="307" t="str">
        <f>INPUT!T125</f>
        <v>NM</v>
      </c>
      <c r="T17" s="313">
        <f>INPUT!U125</f>
        <v>29.456967124657716</v>
      </c>
      <c r="U17" s="307" t="str">
        <f>INPUT!V125</f>
        <v>NM</v>
      </c>
      <c r="V17" s="313">
        <f>INPUT!W125</f>
        <v>31.900154132418582</v>
      </c>
      <c r="W17" s="307" t="str">
        <f>INPUT!X125</f>
        <v>NM</v>
      </c>
      <c r="X17" s="313">
        <f>INPUT!Y125</f>
        <v>32.455188359873915</v>
      </c>
      <c r="Y17" s="307">
        <f>INPUT!Z125</f>
        <v>-1.6509443640184363</v>
      </c>
      <c r="Z17" s="307"/>
      <c r="AA17" s="313"/>
      <c r="AB17" s="313"/>
      <c r="AC17" s="313">
        <f>INPUT!AD125</f>
        <v>15.4</v>
      </c>
      <c r="AD17" s="307">
        <f>INPUT!AE125</f>
        <v>0</v>
      </c>
      <c r="AE17" s="313">
        <f>INPUT!AF125</f>
        <v>18.600000000000001</v>
      </c>
      <c r="AF17" s="307">
        <f>INPUT!AG125</f>
        <v>20.779220779220786</v>
      </c>
      <c r="AG17" s="313">
        <f>INPUT!AH125</f>
        <v>44</v>
      </c>
      <c r="AH17" s="307" t="str">
        <f>INPUT!AI125</f>
        <v>NM</v>
      </c>
      <c r="AI17" s="313">
        <f>INPUT!AJ125</f>
        <v>-49</v>
      </c>
      <c r="AJ17" s="307" t="str">
        <f>INPUT!AK125</f>
        <v>NM</v>
      </c>
      <c r="AK17" s="313">
        <f>INPUT!AL125</f>
        <v>62</v>
      </c>
      <c r="AL17" s="307" t="str">
        <f>INPUT!AM125</f>
        <v>NM</v>
      </c>
      <c r="AM17" s="313">
        <f>INPUT!AN125</f>
        <v>122.49336178386272</v>
      </c>
      <c r="AN17" s="307">
        <f>INPUT!AO125</f>
        <v>97.569938361068907</v>
      </c>
      <c r="AO17" s="313">
        <f>INPUT!AP125</f>
        <v>137.44005795211464</v>
      </c>
      <c r="AP17" s="307">
        <f>INPUT!AQ125</f>
        <v>12.202045850145815</v>
      </c>
      <c r="AQ17" s="313">
        <f>INPUT!AR125</f>
        <v>151.78705374596456</v>
      </c>
      <c r="AR17" s="307">
        <f>INPUT!AS125</f>
        <v>10.438729441491157</v>
      </c>
      <c r="AS17" s="313">
        <f>INPUT!AT125</f>
        <v>160.07101326966512</v>
      </c>
      <c r="AT17" s="307">
        <f>INPUT!AU125</f>
        <v>5.4576192891686581</v>
      </c>
      <c r="AU17" s="313">
        <f>INPUT!AV125</f>
        <v>169.74215832948147</v>
      </c>
      <c r="AV17" s="307">
        <f>INPUT!AW125</f>
        <v>6.0417841196043209</v>
      </c>
      <c r="AW17" s="460">
        <f>INPUT!AX125</f>
        <v>22.314968023960201</v>
      </c>
    </row>
    <row r="18" spans="1:49">
      <c r="A18" s="463" t="s">
        <v>260</v>
      </c>
      <c r="B18" s="314">
        <f>INPUT!C127</f>
        <v>150</v>
      </c>
      <c r="C18" s="307">
        <f>INPUT!D127</f>
        <v>0</v>
      </c>
      <c r="D18" s="314">
        <f>INPUT!E127</f>
        <v>179</v>
      </c>
      <c r="E18" s="307">
        <f>INPUT!F127</f>
        <v>0</v>
      </c>
      <c r="F18" s="314">
        <f>INPUT!G127</f>
        <v>117.10000000000002</v>
      </c>
      <c r="G18" s="307">
        <f>INPUT!H127</f>
        <v>0</v>
      </c>
      <c r="H18" s="314">
        <f>INPUT!I127</f>
        <v>280</v>
      </c>
      <c r="I18" s="307">
        <f>INPUT!J127</f>
        <v>0</v>
      </c>
      <c r="J18" s="314">
        <f>INPUT!K127</f>
        <v>266</v>
      </c>
      <c r="K18" s="307">
        <f>INPUT!L127</f>
        <v>77.333333333333343</v>
      </c>
      <c r="L18" s="314">
        <f>INPUT!M127</f>
        <v>280</v>
      </c>
      <c r="M18" s="307">
        <f>INPUT!N127</f>
        <v>56.424581005586582</v>
      </c>
      <c r="N18" s="314">
        <f>INPUT!O127</f>
        <v>231</v>
      </c>
      <c r="O18" s="307">
        <f>INPUT!P127</f>
        <v>97.267292912040944</v>
      </c>
      <c r="P18" s="314">
        <f>INPUT!Q127</f>
        <v>332</v>
      </c>
      <c r="Q18" s="307">
        <f>INPUT!R127</f>
        <v>18.571428571428573</v>
      </c>
      <c r="R18" s="314">
        <f>INPUT!S127</f>
        <v>244.45420656558761</v>
      </c>
      <c r="S18" s="307">
        <f>INPUT!T127</f>
        <v>-8.0999223437640548</v>
      </c>
      <c r="T18" s="314">
        <f>INPUT!U127</f>
        <v>251.08623406255853</v>
      </c>
      <c r="U18" s="307">
        <f>INPUT!V127</f>
        <v>-10.326344977657664</v>
      </c>
      <c r="V18" s="314">
        <f>INPUT!W127</f>
        <v>271.92995370013921</v>
      </c>
      <c r="W18" s="307">
        <f>INPUT!X127</f>
        <v>17.718594675384946</v>
      </c>
      <c r="X18" s="314">
        <f>INPUT!Y127</f>
        <v>276.63198422844926</v>
      </c>
      <c r="Y18" s="307">
        <f>INPUT!Z127</f>
        <v>-16.677113184202032</v>
      </c>
      <c r="Z18" s="307">
        <f>INPUT!AA127</f>
        <v>0</v>
      </c>
      <c r="AA18" s="314"/>
      <c r="AB18" s="314"/>
      <c r="AC18" s="314">
        <f>INPUT!AD127</f>
        <v>776.6</v>
      </c>
      <c r="AD18" s="307">
        <f>INPUT!AE127</f>
        <v>0</v>
      </c>
      <c r="AE18" s="314">
        <f>INPUT!AF127</f>
        <v>781.4</v>
      </c>
      <c r="AF18" s="307">
        <f>INPUT!AG127</f>
        <v>0.61807880504762824</v>
      </c>
      <c r="AG18" s="314">
        <f>INPUT!AH127</f>
        <v>740</v>
      </c>
      <c r="AH18" s="307">
        <f>INPUT!AI127</f>
        <v>-5.2981827489122058</v>
      </c>
      <c r="AI18" s="314">
        <f>INPUT!AJ127</f>
        <v>726.09999999999991</v>
      </c>
      <c r="AJ18" s="307">
        <f>INPUT!AK127</f>
        <v>-1.8783783783783869</v>
      </c>
      <c r="AK18" s="314">
        <f>INPUT!AL127</f>
        <v>1109</v>
      </c>
      <c r="AL18" s="307">
        <f>INPUT!AM127</f>
        <v>52.733783225451056</v>
      </c>
      <c r="AM18" s="314">
        <f>INPUT!AN127</f>
        <v>1044.1023785567345</v>
      </c>
      <c r="AN18" s="307">
        <f>INPUT!AO127</f>
        <v>-5.8519045485361136</v>
      </c>
      <c r="AO18" s="314">
        <f>INPUT!AP127</f>
        <v>1171.5128749251678</v>
      </c>
      <c r="AP18" s="307">
        <f>INPUT!AQ127</f>
        <v>12.202873873781716</v>
      </c>
      <c r="AQ18" s="314">
        <f>INPUT!AR127</f>
        <v>1294.2369317741088</v>
      </c>
      <c r="AR18" s="307">
        <f>INPUT!AS127</f>
        <v>10.475689979658153</v>
      </c>
      <c r="AS18" s="314">
        <f>INPUT!AT127</f>
        <v>1365.4509955522133</v>
      </c>
      <c r="AT18" s="307">
        <f>INPUT!AU127</f>
        <v>5.5023977472568264</v>
      </c>
      <c r="AU18" s="314">
        <f>INPUT!AV127</f>
        <v>1448.6578574431717</v>
      </c>
      <c r="AV18" s="307">
        <f>INPUT!AW127</f>
        <v>6.0937274323278112</v>
      </c>
      <c r="AW18" s="460">
        <f>INPUT!AX127</f>
        <v>5.4889224321810204</v>
      </c>
    </row>
    <row r="19" spans="1:49" s="318" customFormat="1" hidden="1" outlineLevel="1">
      <c r="A19" s="464" t="s">
        <v>37</v>
      </c>
      <c r="B19" s="315">
        <f>(B14-B17)-B18</f>
        <v>0</v>
      </c>
      <c r="C19" s="316"/>
      <c r="D19" s="315">
        <f>(D14-D17)-D18</f>
        <v>0</v>
      </c>
      <c r="E19" s="316"/>
      <c r="F19" s="315">
        <f>(F14-F17)-F18</f>
        <v>0</v>
      </c>
      <c r="G19" s="316"/>
      <c r="H19" s="315">
        <f>(H14-H17)-H18</f>
        <v>0</v>
      </c>
      <c r="I19" s="316"/>
      <c r="J19" s="315">
        <f t="shared" ref="J19" si="21">(J14-J17)-J18</f>
        <v>0</v>
      </c>
      <c r="K19" s="316"/>
      <c r="L19" s="315">
        <f t="shared" ref="L19" si="22">(L14-L17)-L18</f>
        <v>0</v>
      </c>
      <c r="M19" s="316"/>
      <c r="N19" s="315">
        <f t="shared" ref="N19" si="23">(N14-N17)-N18</f>
        <v>0</v>
      </c>
      <c r="O19" s="316"/>
      <c r="P19" s="315">
        <f t="shared" ref="P19" si="24">(P14-P17)-P18</f>
        <v>0</v>
      </c>
      <c r="Q19" s="316"/>
      <c r="R19" s="315">
        <f t="shared" ref="R19" si="25">(R14-R17)-R18</f>
        <v>0</v>
      </c>
      <c r="S19" s="316"/>
      <c r="T19" s="315">
        <f t="shared" ref="T19" si="26">(T14-T17)-T18</f>
        <v>0</v>
      </c>
      <c r="U19" s="316"/>
      <c r="V19" s="315">
        <f t="shared" ref="V19" si="27">(V14-V17)-V18</f>
        <v>0</v>
      </c>
      <c r="W19" s="316"/>
      <c r="X19" s="315">
        <f t="shared" ref="X19" si="28">(X14-X17)-X18</f>
        <v>0</v>
      </c>
      <c r="Y19" s="316"/>
      <c r="Z19" s="316"/>
      <c r="AA19" s="317"/>
      <c r="AB19" s="317"/>
      <c r="AC19" s="315">
        <f t="shared" ref="AC19:AE19" si="29">(AC14-AC17)-AC18</f>
        <v>0</v>
      </c>
      <c r="AD19" s="316">
        <f t="shared" ref="AD19:AF19" si="30">(AD14-AD17)-AD18</f>
        <v>0</v>
      </c>
      <c r="AE19" s="315">
        <f t="shared" si="29"/>
        <v>0</v>
      </c>
      <c r="AF19" s="316">
        <f t="shared" si="30"/>
        <v>-20.387198574167396</v>
      </c>
      <c r="AG19" s="315">
        <f t="shared" ref="AG19:AH19" si="31">(AG14-AG17)-AG18</f>
        <v>0</v>
      </c>
      <c r="AH19" s="316" t="e">
        <f t="shared" si="31"/>
        <v>#VALUE!</v>
      </c>
      <c r="AI19" s="315">
        <f t="shared" ref="AI19:AJ19" si="32">(AI14-AI17)-AI18</f>
        <v>0</v>
      </c>
      <c r="AJ19" s="316" t="e">
        <f t="shared" si="32"/>
        <v>#VALUE!</v>
      </c>
      <c r="AK19" s="315">
        <f t="shared" ref="AK19:AL19" si="33">(AK14-AK17)-AK18</f>
        <v>0</v>
      </c>
      <c r="AL19" s="316" t="e">
        <f t="shared" si="33"/>
        <v>#VALUE!</v>
      </c>
      <c r="AM19" s="315">
        <f t="shared" ref="AM19:AN19" si="34">(AM14-AM17)-AM18</f>
        <v>0</v>
      </c>
      <c r="AN19" s="316">
        <f t="shared" si="34"/>
        <v>-92.094144799672222</v>
      </c>
      <c r="AO19" s="315">
        <f t="shared" ref="AO19:AP19" si="35">(AO14-AO17)-AO18</f>
        <v>0</v>
      </c>
      <c r="AP19" s="316">
        <f t="shared" si="35"/>
        <v>-12.202132793201836</v>
      </c>
      <c r="AQ19" s="315">
        <f t="shared" ref="AQ19:AR19" si="36">(AQ14-AQ17)-AQ18</f>
        <v>0</v>
      </c>
      <c r="AR19" s="316">
        <f t="shared" si="36"/>
        <v>-10.442610297998666</v>
      </c>
      <c r="AS19" s="315">
        <f t="shared" ref="AS19:AW19" si="37">(AS14-AS17)-AS18</f>
        <v>0</v>
      </c>
      <c r="AT19" s="316">
        <f t="shared" si="37"/>
        <v>-5.46231961937933</v>
      </c>
      <c r="AU19" s="315">
        <f t="shared" ref="AU19:AV19" si="38">(AU14-AU17)-AU18</f>
        <v>0</v>
      </c>
      <c r="AV19" s="316">
        <f t="shared" si="38"/>
        <v>-6.0472344629308283</v>
      </c>
      <c r="AW19" s="465">
        <f t="shared" si="37"/>
        <v>-21.118292481671894</v>
      </c>
    </row>
    <row r="20" spans="1:49" ht="8.25" customHeight="1" collapsed="1">
      <c r="A20" s="459"/>
      <c r="B20" s="319"/>
      <c r="C20" s="307"/>
      <c r="D20" s="319"/>
      <c r="E20" s="307"/>
      <c r="F20" s="319"/>
      <c r="G20" s="307"/>
      <c r="H20" s="319"/>
      <c r="I20" s="307"/>
      <c r="J20" s="319"/>
      <c r="K20" s="307"/>
      <c r="L20" s="319"/>
      <c r="M20" s="307"/>
      <c r="N20" s="319"/>
      <c r="O20" s="307"/>
      <c r="P20" s="319"/>
      <c r="Q20" s="307"/>
      <c r="R20" s="319"/>
      <c r="S20" s="307"/>
      <c r="T20" s="319"/>
      <c r="U20" s="307"/>
      <c r="V20" s="319"/>
      <c r="W20" s="307"/>
      <c r="X20" s="319"/>
      <c r="Y20" s="307"/>
      <c r="Z20" s="307"/>
      <c r="AA20" s="313"/>
      <c r="AB20" s="313"/>
      <c r="AC20" s="319"/>
      <c r="AD20" s="307"/>
      <c r="AE20" s="319"/>
      <c r="AF20" s="307"/>
      <c r="AG20" s="319"/>
      <c r="AH20" s="307"/>
      <c r="AI20" s="319"/>
      <c r="AJ20" s="307"/>
      <c r="AK20" s="319"/>
      <c r="AL20" s="307"/>
      <c r="AM20" s="319"/>
      <c r="AN20" s="307"/>
      <c r="AO20" s="319"/>
      <c r="AP20" s="307"/>
      <c r="AQ20" s="319"/>
      <c r="AR20" s="307"/>
      <c r="AS20" s="319"/>
      <c r="AT20" s="307"/>
      <c r="AU20" s="319"/>
      <c r="AV20" s="307"/>
      <c r="AW20" s="460"/>
    </row>
    <row r="21" spans="1:49" ht="12.75" customHeight="1">
      <c r="A21" s="466" t="s">
        <v>261</v>
      </c>
      <c r="B21" s="313">
        <f>INPUT!C177</f>
        <v>186.1</v>
      </c>
      <c r="C21" s="307">
        <f>INPUT!D177</f>
        <v>0</v>
      </c>
      <c r="D21" s="313">
        <f>INPUT!E177</f>
        <v>186.5</v>
      </c>
      <c r="E21" s="307">
        <f>INPUT!F177</f>
        <v>0</v>
      </c>
      <c r="F21" s="313">
        <f>INPUT!G177</f>
        <v>184.4</v>
      </c>
      <c r="G21" s="307">
        <f>INPUT!H177</f>
        <v>0</v>
      </c>
      <c r="H21" s="313">
        <f>INPUT!I177</f>
        <v>195.2</v>
      </c>
      <c r="I21" s="307">
        <f>INPUT!J177</f>
        <v>0</v>
      </c>
      <c r="J21" s="313">
        <f>INPUT!K177</f>
        <v>195.6</v>
      </c>
      <c r="K21" s="307">
        <f>INPUT!L177</f>
        <v>5.1047823750671739</v>
      </c>
      <c r="L21" s="313">
        <f>INPUT!M177</f>
        <v>195.9</v>
      </c>
      <c r="M21" s="307">
        <f>INPUT!N177</f>
        <v>5.0402144772117907</v>
      </c>
      <c r="N21" s="313">
        <f>INPUT!O177</f>
        <v>196</v>
      </c>
      <c r="O21" s="307">
        <f>INPUT!P177</f>
        <v>6.2906724511930578</v>
      </c>
      <c r="P21" s="313">
        <f>INPUT!Q177</f>
        <v>196.1</v>
      </c>
      <c r="Q21" s="307">
        <f>INPUT!R177</f>
        <v>0.46106557377050272</v>
      </c>
      <c r="R21" s="313">
        <f>INPUT!S177</f>
        <v>196.9</v>
      </c>
      <c r="S21" s="307">
        <f>INPUT!T177</f>
        <v>0.66462167689163021</v>
      </c>
      <c r="T21" s="313">
        <f>INPUT!U177</f>
        <v>196.9</v>
      </c>
      <c r="U21" s="307">
        <f>INPUT!V177</f>
        <v>0.51046452271568121</v>
      </c>
      <c r="V21" s="313">
        <f>INPUT!W177</f>
        <v>196.9</v>
      </c>
      <c r="W21" s="307">
        <f>INPUT!X177</f>
        <v>0.45918367346939881</v>
      </c>
      <c r="X21" s="313">
        <f>INPUT!Y177</f>
        <v>196.9</v>
      </c>
      <c r="Y21" s="307">
        <f>INPUT!Z177</f>
        <v>0.40795512493625452</v>
      </c>
      <c r="Z21" s="307"/>
      <c r="AA21" s="313"/>
      <c r="AB21" s="313"/>
      <c r="AC21" s="313">
        <f>INPUT!AD177</f>
        <v>115.119</v>
      </c>
      <c r="AD21" s="307" t="str">
        <f>INPUT!AE177</f>
        <v>NA</v>
      </c>
      <c r="AE21" s="313">
        <f>INPUT!AF177</f>
        <v>131.619</v>
      </c>
      <c r="AF21" s="307">
        <f>INPUT!AG177</f>
        <v>14.332994553462065</v>
      </c>
      <c r="AG21" s="313">
        <f>INPUT!AH177</f>
        <v>175.01</v>
      </c>
      <c r="AH21" s="307">
        <f>INPUT!AI177</f>
        <v>32.96712480720867</v>
      </c>
      <c r="AI21" s="313">
        <f>INPUT!AJ177</f>
        <v>193.4</v>
      </c>
      <c r="AJ21" s="307">
        <f>INPUT!AK177</f>
        <v>10.507970973087266</v>
      </c>
      <c r="AK21" s="313">
        <f>INPUT!AL177</f>
        <v>195.9</v>
      </c>
      <c r="AL21" s="307">
        <f>INPUT!AM177</f>
        <v>1.292657704239919</v>
      </c>
      <c r="AM21" s="313">
        <f>INPUT!AN177</f>
        <v>196.9</v>
      </c>
      <c r="AN21" s="307">
        <f>INPUT!AO177</f>
        <v>0.51046452271568121</v>
      </c>
      <c r="AO21" s="313">
        <f>INPUT!AP177</f>
        <v>193.64099037343493</v>
      </c>
      <c r="AP21" s="307">
        <f>INPUT!AQ177</f>
        <v>-1.6551597900279713</v>
      </c>
      <c r="AQ21" s="313">
        <f>INPUT!AR177</f>
        <v>186.12285176400442</v>
      </c>
      <c r="AR21" s="307">
        <f>INPUT!AS177</f>
        <v>-3.8825140250170365</v>
      </c>
      <c r="AS21" s="313">
        <f>INPUT!AT177</f>
        <v>180.75822686430885</v>
      </c>
      <c r="AT21" s="307">
        <f>INPUT!AU177</f>
        <v>-2.8823031932143861</v>
      </c>
      <c r="AU21" s="313">
        <f>INPUT!AV177</f>
        <v>178.89550988524786</v>
      </c>
      <c r="AV21" s="307">
        <f>INPUT!AW177</f>
        <v>-1.0305019093041268</v>
      </c>
      <c r="AW21" s="460">
        <f>INPUT!AX177</f>
        <v>-1.7996578720550271</v>
      </c>
    </row>
    <row r="22" spans="1:49" s="325" customFormat="1" ht="12.75" customHeight="1">
      <c r="A22" s="467" t="s">
        <v>302</v>
      </c>
      <c r="B22" s="321">
        <f>INPUT!C188</f>
        <v>0.74153680816765177</v>
      </c>
      <c r="C22" s="323">
        <f>INPUT!D188</f>
        <v>0</v>
      </c>
      <c r="D22" s="321">
        <f>INPUT!E188</f>
        <v>0.89544235924932969</v>
      </c>
      <c r="E22" s="323">
        <f>INPUT!F188</f>
        <v>0</v>
      </c>
      <c r="F22" s="321">
        <f>INPUT!G188</f>
        <v>1.4918655097613884</v>
      </c>
      <c r="G22" s="323">
        <f>INPUT!H188</f>
        <v>0</v>
      </c>
      <c r="H22" s="321">
        <f>INPUT!I188</f>
        <v>0.71209016393442637</v>
      </c>
      <c r="I22" s="323">
        <f>INPUT!J188</f>
        <v>0</v>
      </c>
      <c r="J22" s="321">
        <f>INPUT!K188</f>
        <v>1.1400817995910022</v>
      </c>
      <c r="K22" s="323">
        <f>INPUT!L188</f>
        <v>53.745813698467757</v>
      </c>
      <c r="L22" s="321">
        <f>INPUT!M188</f>
        <v>1.1791730474732005</v>
      </c>
      <c r="M22" s="323">
        <f>INPUT!N188</f>
        <v>31.686091828593966</v>
      </c>
      <c r="N22" s="321">
        <f>INPUT!O188</f>
        <v>1.2959183673469388</v>
      </c>
      <c r="O22" s="323">
        <f>INPUT!P188</f>
        <v>-13.134370433015086</v>
      </c>
      <c r="P22" s="321">
        <f>INPUT!Q188</f>
        <v>1.3360530341662418</v>
      </c>
      <c r="Q22" s="323">
        <f>INPUT!R188</f>
        <v>87.624138323201677</v>
      </c>
      <c r="R22" s="321">
        <f>INPUT!S188</f>
        <v>1.2415145076972454</v>
      </c>
      <c r="S22" s="323">
        <f>INPUT!T188</f>
        <v>8.8969675809780888</v>
      </c>
      <c r="T22" s="321">
        <f>INPUT!U188</f>
        <v>1.2751967194644922</v>
      </c>
      <c r="U22" s="323">
        <f>INPUT!V188</f>
        <v>8.1433062091316177</v>
      </c>
      <c r="V22" s="321">
        <f>INPUT!W188</f>
        <v>1.3810561386497675</v>
      </c>
      <c r="W22" s="323">
        <f>INPUT!X188</f>
        <v>6.5696862895096242</v>
      </c>
      <c r="X22" s="321">
        <f>INPUT!Y188</f>
        <v>1.4049364358986758</v>
      </c>
      <c r="Y22" s="323">
        <f>INPUT!Z188</f>
        <v>5.1557385800497402</v>
      </c>
      <c r="Z22" s="322"/>
      <c r="AA22" s="324"/>
      <c r="AB22" s="324"/>
      <c r="AC22" s="321">
        <f>INPUT!AD188</f>
        <v>4.0097638096230863</v>
      </c>
      <c r="AD22" s="323">
        <f>INPUT!AE188</f>
        <v>0</v>
      </c>
      <c r="AE22" s="321">
        <f>INPUT!AF188</f>
        <v>5.5037646540393101</v>
      </c>
      <c r="AF22" s="323">
        <f>INPUT!AG188</f>
        <v>37.259073485344715</v>
      </c>
      <c r="AG22" s="321">
        <f>INPUT!AH188</f>
        <v>4.0569110336552194</v>
      </c>
      <c r="AH22" s="323">
        <f>INPUT!AI188</f>
        <v>-26.288435486103488</v>
      </c>
      <c r="AI22" s="321">
        <f>INPUT!AJ188</f>
        <v>3.7182006204756974</v>
      </c>
      <c r="AJ22" s="323">
        <f>INPUT!AK188</f>
        <v>-8.3489731564152301</v>
      </c>
      <c r="AK22" s="321">
        <f>INPUT!AL188</f>
        <v>4.951505870342011</v>
      </c>
      <c r="AL22" s="323">
        <f>INPUT!AM188</f>
        <v>33.169411114468787</v>
      </c>
      <c r="AM22" s="321">
        <f>INPUT!AN188</f>
        <v>5.3027038017101802</v>
      </c>
      <c r="AN22" s="323">
        <f>INPUT!AO188</f>
        <v>7.0927499747447831</v>
      </c>
      <c r="AO22" s="321">
        <f>INPUT!AP188</f>
        <v>6.0499219337079184</v>
      </c>
      <c r="AP22" s="323">
        <f>INPUT!AQ188</f>
        <v>14.091266643193467</v>
      </c>
      <c r="AQ22" s="321">
        <f>INPUT!AR188</f>
        <v>6.9536702210814187</v>
      </c>
      <c r="AR22" s="323">
        <f>INPUT!AS188</f>
        <v>14.938180976156911</v>
      </c>
      <c r="AS22" s="321">
        <f>INPUT!AT188</f>
        <v>7.554018532042952</v>
      </c>
      <c r="AT22" s="323">
        <f>INPUT!AU188</f>
        <v>8.6335459099204712</v>
      </c>
      <c r="AU22" s="321">
        <f>INPUT!AV188</f>
        <v>8.0977876883126356</v>
      </c>
      <c r="AV22" s="323">
        <f>INPUT!AW188</f>
        <v>7.1984090846891835</v>
      </c>
      <c r="AW22" s="468">
        <f>INPUT!AX188</f>
        <v>10.338180368171201</v>
      </c>
    </row>
    <row r="23" spans="1:49" s="318" customFormat="1" ht="12.75" hidden="1" customHeight="1" outlineLevel="1">
      <c r="A23" s="469" t="s">
        <v>37</v>
      </c>
      <c r="B23" s="326" t="e">
        <f>(((B18-B13*0.65)/B51)+(IF((#REF!&gt;0), ((293*0.07*0.25)/B51), 0)))-B22</f>
        <v>#REF!</v>
      </c>
      <c r="C23" s="327"/>
      <c r="D23" s="326" t="e">
        <f>(((D18-D13*0.65)/D51)+(IF((#REF!&gt;0), ((293*0.07*0.25)/D51), 0)))-D22</f>
        <v>#REF!</v>
      </c>
      <c r="E23" s="327"/>
      <c r="F23" s="326" t="e">
        <f>(((F18-F13*0.65)/F51)+(IF((#REF!&gt;0), ((293*0.07*0.25)/F51), 0)))-F22</f>
        <v>#REF!</v>
      </c>
      <c r="G23" s="327"/>
      <c r="H23" s="326" t="e">
        <f>(((H18-H13*0.65)/H51)+(IF((#REF!&gt;0), ((293*0.07*0.25)/H51), 0)))-H22</f>
        <v>#REF!</v>
      </c>
      <c r="I23" s="327"/>
      <c r="J23" s="326" t="e">
        <f>(((J18-J13*0.65)/J51)+(IF((#REF!&gt;0), ((293*0.07*0.25)/J51), 0)))-J22</f>
        <v>#REF!</v>
      </c>
      <c r="K23" s="327"/>
      <c r="L23" s="326" t="e">
        <f>(((L18-L13*0.65)/L51)+(IF((#REF!&gt;0), ((293*0.07*0.25)/L51), 0)))-L22</f>
        <v>#REF!</v>
      </c>
      <c r="M23" s="327"/>
      <c r="N23" s="326" t="e">
        <f>(((N18-N13*0.65)/N51)+(IF((#REF!&gt;0), ((293*0.07*0.25)/N51), 0)))-N22</f>
        <v>#REF!</v>
      </c>
      <c r="O23" s="327"/>
      <c r="P23" s="326" t="e">
        <f>(((P18-P13*0.65)/P51)+(IF((#REF!&gt;0), ((293*0.07*0.25)/P51), 0)))-P22</f>
        <v>#REF!</v>
      </c>
      <c r="Q23" s="327"/>
      <c r="R23" s="326" t="e">
        <f>(((R18-R13*0.65)/R51)+(IF((#REF!&gt;0), ((293*0.07*0.25)/R51), 0)))-R22</f>
        <v>#REF!</v>
      </c>
      <c r="S23" s="327"/>
      <c r="T23" s="326" t="e">
        <f>(((T18-T13*0.65)/T51)+(IF((#REF!&gt;0), ((293*0.07*0.25)/T51), 0)))-T22</f>
        <v>#REF!</v>
      </c>
      <c r="U23" s="327"/>
      <c r="V23" s="326" t="e">
        <f>(((V18-V13*0.65)/V51)+(IF((#REF!&gt;0), ((293*0.07*0.25)/V51), 0)))-V22</f>
        <v>#REF!</v>
      </c>
      <c r="W23" s="327"/>
      <c r="X23" s="326" t="e">
        <f>(((X18-X13*0.65)/X51)+(IF((#REF!&gt;0), ((293*0.07*0.25)/X51), 0)))-X22</f>
        <v>#REF!</v>
      </c>
      <c r="Y23" s="327"/>
      <c r="Z23" s="327"/>
      <c r="AA23" s="328"/>
      <c r="AB23" s="328"/>
      <c r="AC23" s="326" t="e">
        <f>(((AC18-AC13*0.65)/AC51)+(IF((#REF!&gt;0), ((293*0.07*0.25)/AC51), 0)))-AC22</f>
        <v>#REF!</v>
      </c>
      <c r="AD23" s="327" t="e">
        <f>(((AD18-AD13*0.65)/AD51)+(IF((#REF!&gt;0), ((293*0.07*0.25)/AD51), 0)))-AD22</f>
        <v>#VALUE!</v>
      </c>
      <c r="AE23" s="326" t="e">
        <f>(((AE18-AE13*0.65)/AE51)+(IF((#REF!&gt;0), ((293*0.07*0.25)/AE51), 0)))-AE22</f>
        <v>#REF!</v>
      </c>
      <c r="AF23" s="327" t="e">
        <f>(((AF18-AF13*0.65)/AF51)+(IF((#REF!&gt;0), ((293*0.07*0.25)/AF51), 0)))-AF22</f>
        <v>#VALUE!</v>
      </c>
      <c r="AG23" s="326" t="e">
        <f>(((AG18-AG13*0.65)/AG51)+(IF((#REF!&gt;0), ((293*0.07*0.25)/AG51), 0)))-AG22</f>
        <v>#REF!</v>
      </c>
      <c r="AH23" s="327" t="e">
        <f>(((AH18-AH13*0.65)/AH51)+(IF((#REF!&gt;0), ((293*0.07*0.25)/AH51), 0)))-AH22</f>
        <v>#REF!</v>
      </c>
      <c r="AI23" s="326" t="e">
        <f>(((AI18-AI13*0.65)/AI51)+(IF((#REF!&gt;0), ((293*0.07*0.25)/AI51), 0)))-AI22</f>
        <v>#REF!</v>
      </c>
      <c r="AJ23" s="327" t="e">
        <f>(((AJ18-AJ13*0.65)/AJ51)+(IF((#REF!&gt;0), ((293*0.07*0.25)/AJ51), 0)))-AJ22</f>
        <v>#VALUE!</v>
      </c>
      <c r="AK23" s="326" t="e">
        <f>(((AK18-AK13*0.65)/AK51)+(IF((#REF!&gt;0), ((293*0.07*0.25)/AK51), 0)))-AK22</f>
        <v>#REF!</v>
      </c>
      <c r="AL23" s="327" t="e">
        <f>(((AL18-AL13*0.65)/AL51)+(IF((#REF!&gt;0), ((293*0.07*0.25)/AL51), 0)))-AL22</f>
        <v>#VALUE!</v>
      </c>
      <c r="AM23" s="326" t="e">
        <f>(((AM18-AM13*0.65)/AM51)+(IF((#REF!&gt;0), ((293*0.07*0.25)/AM51), 0)))-AM22</f>
        <v>#REF!</v>
      </c>
      <c r="AN23" s="327" t="e">
        <f>(((AN18-AN13*0.65)/AN51)+(IF((#REF!&gt;0), ((293*0.07*0.25)/AN51), 0)))-AN22</f>
        <v>#VALUE!</v>
      </c>
      <c r="AO23" s="326" t="e">
        <f>(((AO18-AO13*0.65)/AO51)+(IF((#REF!&gt;0), ((293*0.07*0.25)/AO51), 0)))-AO22</f>
        <v>#REF!</v>
      </c>
      <c r="AP23" s="327" t="e">
        <f>(((AP18-AP13*0.65)/AP51)+(IF((#REF!&gt;0), ((293*0.07*0.25)/AP51), 0)))-AP22</f>
        <v>#VALUE!</v>
      </c>
      <c r="AQ23" s="326" t="e">
        <f>(((AQ18-AQ13*0.65)/AQ51)+(IF((#REF!&gt;0), ((293*0.07*0.25)/AQ51), 0)))-AQ22</f>
        <v>#REF!</v>
      </c>
      <c r="AR23" s="327" t="e">
        <f>(((AR18-AR13*0.65)/AR51)+(IF((#REF!&gt;0), ((293*0.07*0.25)/AR51), 0)))-AR22</f>
        <v>#VALUE!</v>
      </c>
      <c r="AS23" s="326" t="e">
        <f>(((AS18-AS13*0.65)/AS51)+(IF((#REF!&gt;0), ((293*0.07*0.25)/AS51), 0)))-AS22</f>
        <v>#REF!</v>
      </c>
      <c r="AT23" s="327" t="e">
        <f>(((AT18-AT13*0.65)/AT51)+(IF((#REF!&gt;0), ((293*0.07*0.25)/AT51), 0)))-AT22</f>
        <v>#VALUE!</v>
      </c>
      <c r="AU23" s="326" t="e">
        <f>(((AU18-AU13*0.65)/AU51)+(IF((#REF!&gt;0), ((293*0.07*0.25)/AU51), 0)))-AU22</f>
        <v>#REF!</v>
      </c>
      <c r="AV23" s="327" t="e">
        <f>(((AV18-AV13*0.65)/AV51)+(IF((#REF!&gt;0), ((293*0.07*0.25)/AV51), 0)))-AV22</f>
        <v>#VALUE!</v>
      </c>
      <c r="AW23" s="470" t="e">
        <f>(((AW18-AW13*0.65)/AW51)+(IF((#REF!&gt;0), ((293*0.07*0.25)/AW51), 0)))-AW22</f>
        <v>#REF!</v>
      </c>
    </row>
    <row r="24" spans="1:49" s="332" customFormat="1" ht="3" customHeight="1" collapsed="1">
      <c r="A24" s="463"/>
      <c r="B24" s="329"/>
      <c r="C24" s="307"/>
      <c r="D24" s="329"/>
      <c r="E24" s="307"/>
      <c r="F24" s="329"/>
      <c r="G24" s="307"/>
      <c r="H24" s="329"/>
      <c r="I24" s="307"/>
      <c r="J24" s="329"/>
      <c r="K24" s="307"/>
      <c r="L24" s="329"/>
      <c r="M24" s="307"/>
      <c r="N24" s="329"/>
      <c r="O24" s="307"/>
      <c r="P24" s="329"/>
      <c r="Q24" s="307"/>
      <c r="R24" s="329"/>
      <c r="S24" s="307"/>
      <c r="T24" s="329"/>
      <c r="U24" s="307"/>
      <c r="V24" s="329"/>
      <c r="W24" s="307"/>
      <c r="X24" s="329"/>
      <c r="Y24" s="307"/>
      <c r="Z24" s="330"/>
      <c r="AA24" s="331"/>
      <c r="AB24" s="331"/>
      <c r="AC24" s="329"/>
      <c r="AD24" s="307"/>
      <c r="AE24" s="329"/>
      <c r="AF24" s="307"/>
      <c r="AG24" s="329"/>
      <c r="AH24" s="307"/>
      <c r="AI24" s="329"/>
      <c r="AJ24" s="307"/>
      <c r="AK24" s="329"/>
      <c r="AL24" s="307"/>
      <c r="AM24" s="329"/>
      <c r="AN24" s="307"/>
      <c r="AO24" s="329"/>
      <c r="AP24" s="307"/>
      <c r="AQ24" s="329"/>
      <c r="AR24" s="307"/>
      <c r="AS24" s="329"/>
      <c r="AT24" s="307"/>
      <c r="AU24" s="329"/>
      <c r="AV24" s="307"/>
      <c r="AW24" s="460"/>
    </row>
    <row r="25" spans="1:49" s="335" customFormat="1" ht="12.75" customHeight="1" collapsed="1">
      <c r="A25" s="459" t="s">
        <v>239</v>
      </c>
      <c r="B25" s="334">
        <f>B27-B22</f>
        <v>6.448146157979584E-2</v>
      </c>
      <c r="C25" s="307"/>
      <c r="D25" s="334">
        <f>D27-D22</f>
        <v>6.4343163538874037E-2</v>
      </c>
      <c r="E25" s="307"/>
      <c r="F25" s="334">
        <f>F27-F22</f>
        <v>-0.85683297180043383</v>
      </c>
      <c r="G25" s="307"/>
      <c r="H25" s="334">
        <f>H27-H22</f>
        <v>0.7223360655737705</v>
      </c>
      <c r="I25" s="307"/>
      <c r="J25" s="334">
        <f t="shared" ref="J25" si="39">J27-J22</f>
        <v>0.21983640081799583</v>
      </c>
      <c r="K25" s="307"/>
      <c r="L25" s="334">
        <f t="shared" ref="L25" si="40">L27-L22</f>
        <v>0.25012761613067891</v>
      </c>
      <c r="M25" s="307"/>
      <c r="N25" s="334">
        <f t="shared" ref="N25" si="41">N27-N22</f>
        <v>-0.11734693877551017</v>
      </c>
      <c r="O25" s="307"/>
      <c r="P25" s="334">
        <f t="shared" ref="P25" si="42">P27-P22</f>
        <v>0.35696073431922493</v>
      </c>
      <c r="Q25" s="307"/>
      <c r="R25" s="334">
        <f t="shared" ref="R25" si="43">R27-R22</f>
        <v>0</v>
      </c>
      <c r="S25" s="307"/>
      <c r="T25" s="334">
        <f t="shared" ref="T25" si="44">T27-T22</f>
        <v>0</v>
      </c>
      <c r="U25" s="307"/>
      <c r="V25" s="334">
        <f t="shared" ref="V25" si="45">V27-V22</f>
        <v>0</v>
      </c>
      <c r="W25" s="307"/>
      <c r="X25" s="334">
        <f t="shared" ref="X25" si="46">X27-X22</f>
        <v>0</v>
      </c>
      <c r="Y25" s="307"/>
      <c r="Z25" s="307"/>
      <c r="AA25" s="333"/>
      <c r="AB25" s="333"/>
      <c r="AC25" s="334">
        <f t="shared" ref="AC25:AE25" si="47">AC27-AC22</f>
        <v>2.736298960206395</v>
      </c>
      <c r="AD25" s="307"/>
      <c r="AE25" s="334">
        <f t="shared" si="47"/>
        <v>0.43306817404782016</v>
      </c>
      <c r="AF25" s="307"/>
      <c r="AG25" s="334">
        <f t="shared" ref="AG25" si="48">AG27-AG22</f>
        <v>0.17141877606993905</v>
      </c>
      <c r="AH25" s="307"/>
      <c r="AI25" s="334">
        <f t="shared" ref="AI25" si="49">AI27-AI22</f>
        <v>3.6194415718717732E-2</v>
      </c>
      <c r="AJ25" s="307"/>
      <c r="AK25" s="334">
        <f t="shared" ref="AK25:AM25" si="50">AK27-AK22</f>
        <v>0.70954568657478312</v>
      </c>
      <c r="AL25" s="307"/>
      <c r="AM25" s="334">
        <f t="shared" si="50"/>
        <v>0</v>
      </c>
      <c r="AN25" s="307"/>
      <c r="AO25" s="334">
        <f t="shared" ref="AO25" si="51">AO27-AO22</f>
        <v>0</v>
      </c>
      <c r="AP25" s="307"/>
      <c r="AQ25" s="334">
        <f t="shared" ref="AQ25" si="52">AQ27-AQ22</f>
        <v>0</v>
      </c>
      <c r="AR25" s="307"/>
      <c r="AS25" s="334">
        <f t="shared" ref="AS25:AU25" si="53">AS27-AS22</f>
        <v>0</v>
      </c>
      <c r="AT25" s="307"/>
      <c r="AU25" s="334">
        <f t="shared" si="53"/>
        <v>0</v>
      </c>
      <c r="AV25" s="307"/>
      <c r="AW25" s="460"/>
    </row>
    <row r="26" spans="1:49" s="335" customFormat="1" ht="3" customHeight="1">
      <c r="A26" s="463"/>
      <c r="B26" s="336"/>
      <c r="C26" s="307"/>
      <c r="D26" s="336"/>
      <c r="E26" s="307"/>
      <c r="F26" s="336"/>
      <c r="G26" s="307"/>
      <c r="H26" s="336"/>
      <c r="I26" s="307"/>
      <c r="J26" s="336"/>
      <c r="K26" s="307"/>
      <c r="L26" s="336"/>
      <c r="M26" s="307"/>
      <c r="N26" s="336"/>
      <c r="O26" s="307"/>
      <c r="P26" s="336"/>
      <c r="Q26" s="307"/>
      <c r="R26" s="336"/>
      <c r="S26" s="307"/>
      <c r="T26" s="336"/>
      <c r="U26" s="307"/>
      <c r="V26" s="336"/>
      <c r="W26" s="307"/>
      <c r="X26" s="336"/>
      <c r="Y26" s="307"/>
      <c r="Z26" s="307"/>
      <c r="AA26" s="336"/>
      <c r="AB26" s="336"/>
      <c r="AC26" s="336"/>
      <c r="AD26" s="307"/>
      <c r="AE26" s="336"/>
      <c r="AF26" s="307"/>
      <c r="AG26" s="336"/>
      <c r="AH26" s="307"/>
      <c r="AI26" s="336"/>
      <c r="AJ26" s="307"/>
      <c r="AK26" s="336"/>
      <c r="AL26" s="307"/>
      <c r="AM26" s="336"/>
      <c r="AN26" s="307"/>
      <c r="AO26" s="336"/>
      <c r="AP26" s="307"/>
      <c r="AQ26" s="336"/>
      <c r="AR26" s="307"/>
      <c r="AS26" s="336"/>
      <c r="AT26" s="307"/>
      <c r="AU26" s="336"/>
      <c r="AV26" s="307"/>
      <c r="AW26" s="460"/>
    </row>
    <row r="27" spans="1:49" s="355" customFormat="1" ht="12.75" customHeight="1">
      <c r="A27" s="471" t="s">
        <v>80</v>
      </c>
      <c r="B27" s="353">
        <f>INPUT!C180</f>
        <v>0.80601826974744761</v>
      </c>
      <c r="C27" s="354">
        <f>INPUT!D180</f>
        <v>0</v>
      </c>
      <c r="D27" s="353">
        <f>INPUT!E180</f>
        <v>0.95978552278820373</v>
      </c>
      <c r="E27" s="354">
        <f>INPUT!F180</f>
        <v>0</v>
      </c>
      <c r="F27" s="353">
        <f>INPUT!G180</f>
        <v>0.6350325379609546</v>
      </c>
      <c r="G27" s="354">
        <f>INPUT!H180</f>
        <v>0</v>
      </c>
      <c r="H27" s="353">
        <f>INPUT!I180</f>
        <v>1.4344262295081969</v>
      </c>
      <c r="I27" s="354">
        <f>INPUT!J180</f>
        <v>0</v>
      </c>
      <c r="J27" s="353">
        <f>INPUT!K180</f>
        <v>1.359918200408998</v>
      </c>
      <c r="K27" s="354">
        <f>INPUT!L180</f>
        <v>68.720518064076359</v>
      </c>
      <c r="L27" s="353">
        <f>INPUT!M180</f>
        <v>1.4293006636038794</v>
      </c>
      <c r="M27" s="354">
        <f>INPUT!N180</f>
        <v>48.918756291689114</v>
      </c>
      <c r="N27" s="353">
        <f>INPUT!O180</f>
        <v>1.1785714285714286</v>
      </c>
      <c r="O27" s="354">
        <f>INPUT!P180</f>
        <v>85.592289862144639</v>
      </c>
      <c r="P27" s="353">
        <f>INPUT!Q180</f>
        <v>1.6930137684854667</v>
      </c>
      <c r="Q27" s="354">
        <f>INPUT!R180</f>
        <v>18.027245574415375</v>
      </c>
      <c r="R27" s="353">
        <f>INPUT!S180</f>
        <v>1.2415145076972454</v>
      </c>
      <c r="S27" s="354">
        <f>INPUT!T180</f>
        <v>-8.706677554292785</v>
      </c>
      <c r="T27" s="353">
        <f>INPUT!U180</f>
        <v>1.2751967194644922</v>
      </c>
      <c r="U27" s="354">
        <f>INPUT!V180</f>
        <v>-10.781772377466414</v>
      </c>
      <c r="V27" s="353">
        <f>INPUT!W180</f>
        <v>1.3810561386497675</v>
      </c>
      <c r="W27" s="354">
        <f>INPUT!X180</f>
        <v>17.180520855131775</v>
      </c>
      <c r="X27" s="353">
        <f>INPUT!Y180</f>
        <v>1.4049364358986758</v>
      </c>
      <c r="Y27" s="354">
        <f>INPUT!Z180</f>
        <v>-17.015652084418587</v>
      </c>
      <c r="Z27" s="354"/>
      <c r="AA27" s="353"/>
      <c r="AB27" s="353"/>
      <c r="AC27" s="353">
        <f>INPUT!AD180</f>
        <v>6.7460627698294813</v>
      </c>
      <c r="AD27" s="354" t="str">
        <f>INPUT!AE180</f>
        <v>NA</v>
      </c>
      <c r="AE27" s="353">
        <f>INPUT!AF180</f>
        <v>5.9368328280871303</v>
      </c>
      <c r="AF27" s="354">
        <f>INPUT!AG180</f>
        <v>-11.995588676723889</v>
      </c>
      <c r="AG27" s="353">
        <f>INPUT!AH180</f>
        <v>4.2283298097251585</v>
      </c>
      <c r="AH27" s="354">
        <f>INPUT!AI180</f>
        <v>-28.778021342946559</v>
      </c>
      <c r="AI27" s="353">
        <f>INPUT!AJ180</f>
        <v>3.7543950361944152</v>
      </c>
      <c r="AJ27" s="354">
        <f>INPUT!AK180</f>
        <v>-11.208557394002083</v>
      </c>
      <c r="AK27" s="353">
        <f>INPUT!AL180</f>
        <v>5.6610515569167941</v>
      </c>
      <c r="AL27" s="354">
        <f>INPUT!AM180</f>
        <v>50.784653781532583</v>
      </c>
      <c r="AM27" s="353">
        <f>INPUT!AN180</f>
        <v>5.3027038017101802</v>
      </c>
      <c r="AN27" s="354">
        <f>INPUT!AO180</f>
        <v>-6.3300563791682247</v>
      </c>
      <c r="AO27" s="353">
        <f>INPUT!AP180</f>
        <v>6.0499219337079184</v>
      </c>
      <c r="AP27" s="354">
        <f>INPUT!AQ180</f>
        <v>14.091266643193467</v>
      </c>
      <c r="AQ27" s="353">
        <f>INPUT!AR180</f>
        <v>6.9536702210814187</v>
      </c>
      <c r="AR27" s="354">
        <f>INPUT!AS180</f>
        <v>14.938180976156911</v>
      </c>
      <c r="AS27" s="353">
        <f>INPUT!AT180</f>
        <v>7.554018532042952</v>
      </c>
      <c r="AT27" s="354">
        <f>INPUT!AU180</f>
        <v>8.6335459099204712</v>
      </c>
      <c r="AU27" s="353">
        <f>INPUT!AV180</f>
        <v>8.0977876883126356</v>
      </c>
      <c r="AV27" s="354">
        <f>INPUT!AW180</f>
        <v>7.1984090846891835</v>
      </c>
      <c r="AW27" s="472">
        <f>INPUT!AX180</f>
        <v>7.4221536771631236</v>
      </c>
    </row>
    <row r="28" spans="1:49" s="318" customFormat="1" ht="12.75" hidden="1" customHeight="1" outlineLevel="1">
      <c r="A28" s="469" t="s">
        <v>37</v>
      </c>
      <c r="B28" s="326" t="e">
        <f>((B18/B51)+(IF((#REF!&gt;0), ((293*0.07*0.25)/B51), 0)))-B27</f>
        <v>#REF!</v>
      </c>
      <c r="C28" s="327"/>
      <c r="D28" s="326" t="e">
        <f>((D18/D51)+(IF((#REF!&gt;0), ((293*0.07*0.25)/D51), 0)))-D27</f>
        <v>#REF!</v>
      </c>
      <c r="E28" s="327"/>
      <c r="F28" s="326" t="e">
        <f>((F18/F51)+(IF((#REF!&gt;0), ((293*0.07*0.25)/F51), 0)))-F27</f>
        <v>#REF!</v>
      </c>
      <c r="G28" s="327"/>
      <c r="H28" s="326" t="e">
        <f>((H18/H51)+(IF((#REF!&gt;0), ((293*0.07*0.25)/H51), 0)))-H27</f>
        <v>#REF!</v>
      </c>
      <c r="I28" s="327"/>
      <c r="J28" s="326" t="e">
        <f>((J18/J51)+(IF((#REF!&gt;0), ((293*0.07*0.25)/J51), 0)))-J27</f>
        <v>#REF!</v>
      </c>
      <c r="K28" s="327"/>
      <c r="L28" s="326" t="e">
        <f>((L18/L51)+(IF((#REF!&gt;0), ((293*0.07*0.25)/L51), 0)))-L27</f>
        <v>#REF!</v>
      </c>
      <c r="M28" s="327"/>
      <c r="N28" s="326" t="e">
        <f>((N18/N51)+(IF((#REF!&gt;0), ((293*0.07*0.25)/N51), 0)))-N27</f>
        <v>#REF!</v>
      </c>
      <c r="O28" s="327"/>
      <c r="P28" s="326" t="e">
        <f>((P18/P51)+(IF((#REF!&gt;0), ((293*0.07*0.25)/P51), 0)))-P27</f>
        <v>#REF!</v>
      </c>
      <c r="Q28" s="327"/>
      <c r="R28" s="326" t="e">
        <f>((R18/R51)+(IF((#REF!&gt;0), ((293*0.07*0.25)/R51), 0)))-R27</f>
        <v>#REF!</v>
      </c>
      <c r="S28" s="327"/>
      <c r="T28" s="326" t="e">
        <f>((T18/T51)+(IF((#REF!&gt;0), ((293*0.07*0.25)/T51), 0)))-T27</f>
        <v>#REF!</v>
      </c>
      <c r="U28" s="327"/>
      <c r="V28" s="326" t="e">
        <f>((V18/V51)+(IF((#REF!&gt;0), ((293*0.07*0.25)/V51), 0)))-V27</f>
        <v>#REF!</v>
      </c>
      <c r="W28" s="327"/>
      <c r="X28" s="326" t="e">
        <f>((X18/X51)+(IF((#REF!&gt;0), ((293*0.07*0.25)/X51), 0)))-X27</f>
        <v>#REF!</v>
      </c>
      <c r="Y28" s="327"/>
      <c r="Z28" s="327"/>
      <c r="AA28" s="328"/>
      <c r="AB28" s="328"/>
      <c r="AC28" s="326" t="e">
        <f>((AC18/AC51)+(IF((#REF!&gt;0), ((293*0.07*0.25)/AC51), 0)))-AC27</f>
        <v>#REF!</v>
      </c>
      <c r="AD28" s="327" t="e">
        <f>((AD18/AD51)+(IF((#REF!&gt;0), ((293*0.07*0.25)/AD51), 0)))-AD27</f>
        <v>#VALUE!</v>
      </c>
      <c r="AE28" s="326" t="e">
        <f>((AE18/AE51)+(IF((#REF!&gt;0), ((293*0.07*0.25)/AE51), 0)))-AE27</f>
        <v>#REF!</v>
      </c>
      <c r="AF28" s="327" t="e">
        <f>((AF18/AF51)+(IF((#REF!&gt;0), ((293*0.07*0.25)/AF51), 0)))-AF27</f>
        <v>#REF!</v>
      </c>
      <c r="AG28" s="326" t="e">
        <f>((AG18/AG51)+(IF((#REF!&gt;0), ((293*0.07*0.25)/AG51), 0)))-AG27</f>
        <v>#REF!</v>
      </c>
      <c r="AH28" s="327" t="e">
        <f>((AH18/AH51)+(IF((#REF!&gt;0), ((293*0.07*0.25)/AH51), 0)))-AH27</f>
        <v>#REF!</v>
      </c>
      <c r="AI28" s="326" t="e">
        <f>((AI18/AI51)+(IF((#REF!&gt;0), ((293*0.07*0.25)/AI51), 0)))-AI27</f>
        <v>#REF!</v>
      </c>
      <c r="AJ28" s="327" t="e">
        <f>((AJ18/AJ51)+(IF((#REF!&gt;0), ((293*0.07*0.25)/AJ51), 0)))-AJ27</f>
        <v>#REF!</v>
      </c>
      <c r="AK28" s="326" t="e">
        <f>((AK18/AK51)+(IF((#REF!&gt;0), ((293*0.07*0.25)/AK51), 0)))-AK27</f>
        <v>#REF!</v>
      </c>
      <c r="AL28" s="327" t="e">
        <f>((AL18/AL51)+(IF((#REF!&gt;0), ((293*0.07*0.25)/AL51), 0)))-AL27</f>
        <v>#REF!</v>
      </c>
      <c r="AM28" s="326" t="e">
        <f>((AM18/AM51)+(IF((#REF!&gt;0), ((293*0.07*0.25)/AM51), 0)))-AM27</f>
        <v>#REF!</v>
      </c>
      <c r="AN28" s="327" t="e">
        <f>((AN18/AN51)+(IF((#REF!&gt;0), ((293*0.07*0.25)/AN51), 0)))-AN27</f>
        <v>#REF!</v>
      </c>
      <c r="AO28" s="326" t="e">
        <f>((AO18/AO51)+(IF((#REF!&gt;0), ((293*0.07*0.25)/AO51), 0)))-AO27</f>
        <v>#REF!</v>
      </c>
      <c r="AP28" s="327" t="e">
        <f>((AP18/AP51)+(IF((#REF!&gt;0), ((293*0.07*0.25)/AP51), 0)))-AP27</f>
        <v>#REF!</v>
      </c>
      <c r="AQ28" s="326" t="e">
        <f>((AQ18/AQ51)+(IF((#REF!&gt;0), ((293*0.07*0.25)/AQ51), 0)))-AQ27</f>
        <v>#REF!</v>
      </c>
      <c r="AR28" s="327" t="e">
        <f>((AR18/AR51)+(IF((#REF!&gt;0), ((293*0.07*0.25)/AR51), 0)))-AR27</f>
        <v>#REF!</v>
      </c>
      <c r="AS28" s="326" t="e">
        <f>((AS18/AS51)+(IF((#REF!&gt;0), ((293*0.07*0.25)/AS51), 0)))-AS27</f>
        <v>#REF!</v>
      </c>
      <c r="AT28" s="327" t="e">
        <f>((AT18/AT51)+(IF((#REF!&gt;0), ((293*0.07*0.25)/AT51), 0)))-AT27</f>
        <v>#REF!</v>
      </c>
      <c r="AU28" s="326" t="e">
        <f>((AU18/AU51)+(IF((#REF!&gt;0), ((293*0.07*0.25)/AU51), 0)))-AU27</f>
        <v>#REF!</v>
      </c>
      <c r="AV28" s="327" t="e">
        <f>((AV18/AV51)+(IF((#REF!&gt;0), ((293*0.07*0.25)/AV51), 0)))-AV27</f>
        <v>#REF!</v>
      </c>
      <c r="AW28" s="470" t="e">
        <f>((AW18/AW51)+(IF((#REF!&gt;0), ((293*0.07*0.25)/AW51), 0)))-AW27</f>
        <v>#REF!</v>
      </c>
    </row>
    <row r="29" spans="1:49" s="335" customFormat="1" ht="3" customHeight="1" collapsed="1">
      <c r="A29" s="463"/>
      <c r="B29" s="336"/>
      <c r="C29" s="307"/>
      <c r="D29" s="336"/>
      <c r="E29" s="307"/>
      <c r="F29" s="336"/>
      <c r="G29" s="307"/>
      <c r="H29" s="336"/>
      <c r="I29" s="307"/>
      <c r="J29" s="336"/>
      <c r="K29" s="307"/>
      <c r="L29" s="336"/>
      <c r="M29" s="307"/>
      <c r="N29" s="336"/>
      <c r="O29" s="307"/>
      <c r="P29" s="336"/>
      <c r="Q29" s="307"/>
      <c r="R29" s="336"/>
      <c r="S29" s="307"/>
      <c r="T29" s="336"/>
      <c r="U29" s="307"/>
      <c r="V29" s="336"/>
      <c r="W29" s="307"/>
      <c r="X29" s="336"/>
      <c r="Y29" s="307"/>
      <c r="Z29" s="307"/>
      <c r="AA29" s="336"/>
      <c r="AB29" s="336"/>
      <c r="AC29" s="336"/>
      <c r="AD29" s="307"/>
      <c r="AE29" s="336"/>
      <c r="AF29" s="307"/>
      <c r="AG29" s="336"/>
      <c r="AH29" s="307"/>
      <c r="AI29" s="336"/>
      <c r="AJ29" s="307"/>
      <c r="AK29" s="336"/>
      <c r="AL29" s="307"/>
      <c r="AM29" s="336"/>
      <c r="AN29" s="307"/>
      <c r="AO29" s="336"/>
      <c r="AP29" s="307"/>
      <c r="AQ29" s="336"/>
      <c r="AR29" s="307"/>
      <c r="AS29" s="336"/>
      <c r="AT29" s="307"/>
      <c r="AU29" s="336"/>
      <c r="AV29" s="307"/>
      <c r="AW29" s="460"/>
    </row>
    <row r="30" spans="1:49" ht="12.75" customHeight="1">
      <c r="A30" s="466" t="s">
        <v>303</v>
      </c>
      <c r="B30" s="313">
        <f>INPUT!C141</f>
        <v>-65</v>
      </c>
      <c r="C30" s="313">
        <f>INPUT!D141</f>
        <v>0</v>
      </c>
      <c r="D30" s="313">
        <f>INPUT!E141</f>
        <v>14</v>
      </c>
      <c r="E30" s="313">
        <f>INPUT!F141</f>
        <v>0</v>
      </c>
      <c r="F30" s="313">
        <f>INPUT!G141</f>
        <v>9</v>
      </c>
      <c r="G30" s="313">
        <f>INPUT!H141</f>
        <v>0</v>
      </c>
      <c r="H30" s="313">
        <f>INPUT!I141</f>
        <v>84</v>
      </c>
      <c r="I30" s="313">
        <f>INPUT!J141</f>
        <v>0</v>
      </c>
      <c r="J30" s="313">
        <f>INPUT!K141</f>
        <v>118</v>
      </c>
      <c r="K30" s="428" t="str">
        <f>INPUT!L141</f>
        <v>NM</v>
      </c>
      <c r="L30" s="313">
        <f>INPUT!M141</f>
        <v>46</v>
      </c>
      <c r="M30" s="307" t="str">
        <f>INPUT!N141</f>
        <v>NM</v>
      </c>
      <c r="N30" s="313">
        <f>INPUT!O141</f>
        <v>43</v>
      </c>
      <c r="O30" s="313" t="str">
        <f>INPUT!P141</f>
        <v>NM</v>
      </c>
      <c r="P30" s="313">
        <f>INPUT!Q141</f>
        <v>132</v>
      </c>
      <c r="Q30" s="307">
        <f>INPUT!R189</f>
        <v>18.027245574415375</v>
      </c>
      <c r="R30" s="313">
        <f>INPUT!S141</f>
        <v>-8.3010128999999999</v>
      </c>
      <c r="S30" s="428" t="str">
        <f>INPUT!T141</f>
        <v>NM</v>
      </c>
      <c r="T30" s="313">
        <f>INPUT!U141</f>
        <v>-8.51016289845</v>
      </c>
      <c r="U30" s="307" t="str">
        <f>INPUT!V141</f>
        <v>NM</v>
      </c>
      <c r="V30" s="313">
        <f>INPUT!W141</f>
        <v>-10.620234471930225</v>
      </c>
      <c r="W30" s="313" t="str">
        <f>INPUT!X141</f>
        <v>NM</v>
      </c>
      <c r="X30" s="313">
        <f>INPUT!Y141</f>
        <v>-10.789159649727585</v>
      </c>
      <c r="Y30" s="307">
        <f>INPUT!Z189</f>
        <v>-17.015652084418587</v>
      </c>
      <c r="Z30" s="307"/>
      <c r="AA30" s="313"/>
      <c r="AB30" s="313"/>
      <c r="AC30" s="313">
        <f>INPUT!AD189</f>
        <v>6.7460627698294813</v>
      </c>
      <c r="AD30" s="307" t="str">
        <f>INPUT!AE189</f>
        <v>NA</v>
      </c>
      <c r="AE30" s="313">
        <f>INPUT!AF141</f>
        <v>-325</v>
      </c>
      <c r="AF30" s="313" t="str">
        <f>INPUT!AG141</f>
        <v>NM</v>
      </c>
      <c r="AG30" s="313">
        <f>INPUT!AH141</f>
        <v>-178</v>
      </c>
      <c r="AH30" s="313">
        <f>INPUT!AI141</f>
        <v>-45.230769230769226</v>
      </c>
      <c r="AI30" s="313">
        <f>INPUT!AJ141</f>
        <v>42</v>
      </c>
      <c r="AJ30" s="307" t="str">
        <f>INPUT!AK141</f>
        <v>NM</v>
      </c>
      <c r="AK30" s="313">
        <f>INPUT!AL141</f>
        <v>339</v>
      </c>
      <c r="AL30" s="307" t="str">
        <f>INPUT!AM141</f>
        <v>NM</v>
      </c>
      <c r="AM30" s="313">
        <f>INPUT!AN141</f>
        <v>-38.220569920107806</v>
      </c>
      <c r="AN30" s="307" t="str">
        <f>INPUT!AO141</f>
        <v>NM</v>
      </c>
      <c r="AO30" s="313">
        <f>INPUT!AP141</f>
        <v>-40.44495940712568</v>
      </c>
      <c r="AP30" s="307">
        <f>INPUT!AQ141</f>
        <v>5.8198752443187063</v>
      </c>
      <c r="AQ30" s="313">
        <f>INPUT!AR141</f>
        <v>-42.89411289019521</v>
      </c>
      <c r="AR30" s="313">
        <f>INPUT!AS141</f>
        <v>6.0555221688219474</v>
      </c>
      <c r="AS30" s="313">
        <f>INPUT!AT141</f>
        <v>-45.59379390644844</v>
      </c>
      <c r="AT30" s="307">
        <f>INPUT!AU189</f>
        <v>8.6335459099204712</v>
      </c>
      <c r="AU30" s="313">
        <f>INPUT!AV141</f>
        <v>-48.572645095193103</v>
      </c>
      <c r="AV30" s="307">
        <f>INPUT!AW189</f>
        <v>7.1984090846891835</v>
      </c>
      <c r="AW30" s="460">
        <f>INPUT!AX189</f>
        <v>7.4221536771631236</v>
      </c>
    </row>
    <row r="31" spans="1:49">
      <c r="A31" s="463" t="s">
        <v>304</v>
      </c>
      <c r="B31" s="314">
        <f>INPUT!C145</f>
        <v>85</v>
      </c>
      <c r="C31" s="314">
        <f>INPUT!D145</f>
        <v>0</v>
      </c>
      <c r="D31" s="314">
        <f>INPUT!E145</f>
        <v>193</v>
      </c>
      <c r="E31" s="314">
        <f>INPUT!F145</f>
        <v>0</v>
      </c>
      <c r="F31" s="314">
        <f>INPUT!G145</f>
        <v>126.10000000000002</v>
      </c>
      <c r="G31" s="314">
        <f>INPUT!H145</f>
        <v>0</v>
      </c>
      <c r="H31" s="314">
        <f>INPUT!I145</f>
        <v>364</v>
      </c>
      <c r="I31" s="314">
        <f>INPUT!J145</f>
        <v>0</v>
      </c>
      <c r="J31" s="314">
        <f>INPUT!K145</f>
        <v>384</v>
      </c>
      <c r="K31" s="429" t="str">
        <f>INPUT!L145</f>
        <v>NM</v>
      </c>
      <c r="L31" s="314">
        <f>INPUT!M145</f>
        <v>326</v>
      </c>
      <c r="M31" s="314">
        <f>INPUT!N145</f>
        <v>68.911917098445599</v>
      </c>
      <c r="N31" s="314">
        <f>INPUT!O145</f>
        <v>274</v>
      </c>
      <c r="O31" s="314" t="str">
        <f>INPUT!P145</f>
        <v>NM</v>
      </c>
      <c r="P31" s="314">
        <f>INPUT!Q145</f>
        <v>464</v>
      </c>
      <c r="Q31" s="307"/>
      <c r="R31" s="314">
        <f>INPUT!S145</f>
        <v>236.15319366558762</v>
      </c>
      <c r="S31" s="429">
        <f>INPUT!T145</f>
        <v>-38.501772482919897</v>
      </c>
      <c r="T31" s="314">
        <f>INPUT!U145</f>
        <v>242.57607116410853</v>
      </c>
      <c r="U31" s="314">
        <f>INPUT!V145</f>
        <v>-25.590162219598611</v>
      </c>
      <c r="V31" s="314">
        <f>INPUT!W145</f>
        <v>261.30971922820896</v>
      </c>
      <c r="W31" s="314">
        <f>INPUT!X145</f>
        <v>-4.6314893327704549</v>
      </c>
      <c r="X31" s="314">
        <f>INPUT!Y145</f>
        <v>265.84282457872166</v>
      </c>
      <c r="Y31" s="307"/>
      <c r="Z31" s="307"/>
      <c r="AA31" s="314"/>
      <c r="AB31" s="314"/>
      <c r="AC31" s="314"/>
      <c r="AD31" s="307"/>
      <c r="AE31" s="314">
        <f>INPUT!AF145</f>
        <v>456.4</v>
      </c>
      <c r="AF31" s="314">
        <f>INPUT!AG145</f>
        <v>-49.119286510590868</v>
      </c>
      <c r="AG31" s="314">
        <f>INPUT!AH145</f>
        <v>562</v>
      </c>
      <c r="AH31" s="314">
        <f>INPUT!AI145</f>
        <v>23.137598597721308</v>
      </c>
      <c r="AI31" s="314">
        <f>INPUT!AJ145</f>
        <v>768.09999999999991</v>
      </c>
      <c r="AJ31" s="307">
        <f>INPUT!AK145</f>
        <v>36.672597864768662</v>
      </c>
      <c r="AK31" s="314">
        <f>INPUT!AL145</f>
        <v>1448</v>
      </c>
      <c r="AL31" s="307">
        <f>INPUT!AM145</f>
        <v>88.517120166644986</v>
      </c>
      <c r="AM31" s="314">
        <f>INPUT!AN145</f>
        <v>1005.8818086366267</v>
      </c>
      <c r="AN31" s="307">
        <f>INPUT!AO145</f>
        <v>-30.533024265426334</v>
      </c>
      <c r="AO31" s="314">
        <f>INPUT!AP145</f>
        <v>1131.0679155180421</v>
      </c>
      <c r="AP31" s="307">
        <f>INPUT!AQ145</f>
        <v>12.445409172981536</v>
      </c>
      <c r="AQ31" s="314">
        <f>INPUT!AR145</f>
        <v>1251.3428188839137</v>
      </c>
      <c r="AR31" s="314">
        <f>INPUT!AS145</f>
        <v>10.633747250339454</v>
      </c>
      <c r="AS31" s="314">
        <f>INPUT!AT145</f>
        <v>1319.8572016457649</v>
      </c>
      <c r="AT31" s="307"/>
      <c r="AU31" s="314">
        <f>INPUT!AV145</f>
        <v>1400.0852123479785</v>
      </c>
      <c r="AV31" s="307"/>
      <c r="AW31" s="460">
        <f>INPUT!AX145</f>
        <v>-0.67074426553022093</v>
      </c>
    </row>
    <row r="32" spans="1:49" s="318" customFormat="1" hidden="1" outlineLevel="1">
      <c r="A32" s="464" t="s">
        <v>37</v>
      </c>
      <c r="B32" s="315" t="e">
        <f>(B18+#REF!)-#REF!</f>
        <v>#REF!</v>
      </c>
      <c r="C32" s="316"/>
      <c r="D32" s="315" t="e">
        <f>(D18+#REF!)-#REF!</f>
        <v>#REF!</v>
      </c>
      <c r="E32" s="316"/>
      <c r="F32" s="315" t="e">
        <f>(F18+#REF!)-#REF!</f>
        <v>#REF!</v>
      </c>
      <c r="G32" s="316"/>
      <c r="H32" s="315" t="e">
        <f>(H18+#REF!)-#REF!</f>
        <v>#REF!</v>
      </c>
      <c r="I32" s="316"/>
      <c r="J32" s="315" t="e">
        <f>(J18+#REF!)-#REF!</f>
        <v>#REF!</v>
      </c>
      <c r="K32" s="316"/>
      <c r="L32" s="315" t="e">
        <f>(L18+#REF!)-#REF!</f>
        <v>#REF!</v>
      </c>
      <c r="M32" s="316"/>
      <c r="N32" s="315" t="e">
        <f>(N18+#REF!)-#REF!</f>
        <v>#REF!</v>
      </c>
      <c r="O32" s="316"/>
      <c r="P32" s="315" t="e">
        <f>(P18+#REF!)-#REF!</f>
        <v>#REF!</v>
      </c>
      <c r="Q32" s="316"/>
      <c r="R32" s="315" t="e">
        <f>(R18+#REF!)-#REF!</f>
        <v>#REF!</v>
      </c>
      <c r="S32" s="316"/>
      <c r="T32" s="315" t="e">
        <f>(T18+#REF!)-#REF!</f>
        <v>#REF!</v>
      </c>
      <c r="U32" s="316"/>
      <c r="V32" s="315" t="e">
        <f>(V18+#REF!)-#REF!</f>
        <v>#REF!</v>
      </c>
      <c r="W32" s="316"/>
      <c r="X32" s="315" t="e">
        <f>(X18+#REF!)-#REF!</f>
        <v>#REF!</v>
      </c>
      <c r="Y32" s="316"/>
      <c r="Z32" s="316"/>
      <c r="AA32" s="317"/>
      <c r="AB32" s="317"/>
      <c r="AC32" s="315" t="e">
        <f>(AC18+#REF!)-#REF!</f>
        <v>#REF!</v>
      </c>
      <c r="AD32" s="316" t="e">
        <f>(AD18+#REF!)-#REF!</f>
        <v>#REF!</v>
      </c>
      <c r="AE32" s="315" t="e">
        <f>(AE18+#REF!)-#REF!</f>
        <v>#REF!</v>
      </c>
      <c r="AF32" s="316" t="e">
        <f>(AF18+#REF!)-#REF!</f>
        <v>#REF!</v>
      </c>
      <c r="AG32" s="315" t="e">
        <f>(AG18+#REF!)-#REF!</f>
        <v>#REF!</v>
      </c>
      <c r="AH32" s="316" t="e">
        <f>(AH18+#REF!)-#REF!</f>
        <v>#REF!</v>
      </c>
      <c r="AI32" s="315" t="e">
        <f>(AI18+#REF!)-#REF!</f>
        <v>#REF!</v>
      </c>
      <c r="AJ32" s="316" t="e">
        <f>(AJ18+#REF!)-#REF!</f>
        <v>#REF!</v>
      </c>
      <c r="AK32" s="315" t="e">
        <f>(AK18+#REF!)-#REF!</f>
        <v>#REF!</v>
      </c>
      <c r="AL32" s="316" t="e">
        <f>(AL18+#REF!)-#REF!</f>
        <v>#REF!</v>
      </c>
      <c r="AM32" s="315" t="e">
        <f>(AM18+#REF!)-#REF!</f>
        <v>#REF!</v>
      </c>
      <c r="AN32" s="316" t="e">
        <f>(AN18+#REF!)-#REF!</f>
        <v>#REF!</v>
      </c>
      <c r="AO32" s="315" t="e">
        <f>(AO18+#REF!)-#REF!</f>
        <v>#REF!</v>
      </c>
      <c r="AP32" s="316" t="e">
        <f>(AP18+#REF!)-#REF!</f>
        <v>#REF!</v>
      </c>
      <c r="AQ32" s="315" t="e">
        <f>(AQ18+#REF!)-#REF!</f>
        <v>#REF!</v>
      </c>
      <c r="AR32" s="316" t="e">
        <f>(AR18+#REF!)-#REF!</f>
        <v>#REF!</v>
      </c>
      <c r="AS32" s="315" t="e">
        <f>(AS18+#REF!)-#REF!</f>
        <v>#REF!</v>
      </c>
      <c r="AT32" s="316" t="e">
        <f>(AT18+#REF!)-#REF!</f>
        <v>#REF!</v>
      </c>
      <c r="AU32" s="315" t="e">
        <f>(AU18+#REF!)-#REF!</f>
        <v>#REF!</v>
      </c>
      <c r="AV32" s="316" t="e">
        <f>(AV18+#REF!)-#REF!</f>
        <v>#REF!</v>
      </c>
      <c r="AW32" s="465" t="e">
        <f>(AW18+#REF!)-#REF!</f>
        <v>#REF!</v>
      </c>
    </row>
    <row r="33" spans="1:50" ht="5.25" customHeight="1" collapsed="1">
      <c r="A33" s="459"/>
      <c r="B33" s="313"/>
      <c r="C33" s="307"/>
      <c r="D33" s="313"/>
      <c r="E33" s="307"/>
      <c r="F33" s="313"/>
      <c r="G33" s="307"/>
      <c r="H33" s="313"/>
      <c r="I33" s="307"/>
      <c r="J33" s="313"/>
      <c r="K33" s="307"/>
      <c r="L33" s="313"/>
      <c r="M33" s="307"/>
      <c r="N33" s="313"/>
      <c r="O33" s="307"/>
      <c r="P33" s="313"/>
      <c r="Q33" s="307"/>
      <c r="R33" s="313"/>
      <c r="S33" s="307"/>
      <c r="T33" s="313"/>
      <c r="U33" s="307"/>
      <c r="V33" s="313"/>
      <c r="W33" s="307"/>
      <c r="X33" s="313"/>
      <c r="Y33" s="307"/>
      <c r="Z33" s="307"/>
      <c r="AA33" s="319"/>
      <c r="AB33" s="319"/>
      <c r="AC33" s="313"/>
      <c r="AD33" s="307"/>
      <c r="AE33" s="313"/>
      <c r="AF33" s="307"/>
      <c r="AG33" s="313"/>
      <c r="AH33" s="307"/>
      <c r="AI33" s="313"/>
      <c r="AJ33" s="307"/>
      <c r="AK33" s="313"/>
      <c r="AL33" s="307"/>
      <c r="AM33" s="313"/>
      <c r="AN33" s="307"/>
      <c r="AO33" s="313"/>
      <c r="AP33" s="307"/>
      <c r="AQ33" s="313"/>
      <c r="AR33" s="307"/>
      <c r="AS33" s="313"/>
      <c r="AT33" s="307"/>
      <c r="AU33" s="313"/>
      <c r="AV33" s="307"/>
      <c r="AW33" s="460"/>
      <c r="AX33" s="305"/>
    </row>
    <row r="34" spans="1:50" s="355" customFormat="1" ht="12.75" customHeight="1">
      <c r="A34" s="471" t="s">
        <v>241</v>
      </c>
      <c r="B34" s="353">
        <f>INPUT!C185</f>
        <v>0.46</v>
      </c>
      <c r="C34" s="354">
        <f>INPUT!D185</f>
        <v>0</v>
      </c>
      <c r="D34" s="353">
        <f>INPUT!E185</f>
        <v>1.04</v>
      </c>
      <c r="E34" s="354">
        <f>INPUT!F185</f>
        <v>0</v>
      </c>
      <c r="F34" s="353">
        <f>INPUT!G185</f>
        <v>0.68</v>
      </c>
      <c r="G34" s="354">
        <f>INPUT!H185</f>
        <v>0</v>
      </c>
      <c r="H34" s="353">
        <f>INPUT!I185</f>
        <v>1.92</v>
      </c>
      <c r="I34" s="354">
        <f>INPUT!J185</f>
        <v>0</v>
      </c>
      <c r="J34" s="353">
        <f>INPUT!K185</f>
        <v>2</v>
      </c>
      <c r="K34" s="354" t="str">
        <f>INPUT!L185</f>
        <v>NM</v>
      </c>
      <c r="L34" s="353">
        <f>INPUT!M185</f>
        <v>1.66</v>
      </c>
      <c r="M34" s="354">
        <f>INPUT!N185</f>
        <v>59.615384615384606</v>
      </c>
      <c r="N34" s="353">
        <f>INPUT!O185</f>
        <v>1.4</v>
      </c>
      <c r="O34" s="354" t="str">
        <f>INPUT!P185</f>
        <v>NM</v>
      </c>
      <c r="P34" s="353">
        <f>INPUT!Q185</f>
        <v>2.36</v>
      </c>
      <c r="Q34" s="354">
        <f>INPUT!R185</f>
        <v>22.916666666666675</v>
      </c>
      <c r="R34" s="353">
        <f>INPUT!S185</f>
        <v>1.2</v>
      </c>
      <c r="S34" s="354">
        <f>INPUT!T185</f>
        <v>-40</v>
      </c>
      <c r="T34" s="353">
        <f>INPUT!U185</f>
        <v>1.23</v>
      </c>
      <c r="U34" s="354">
        <f>INPUT!V185</f>
        <v>-25.903614457831324</v>
      </c>
      <c r="V34" s="353">
        <f>INPUT!W185</f>
        <v>1.33</v>
      </c>
      <c r="W34" s="354">
        <f>INPUT!X185</f>
        <v>-4.9999999999999929</v>
      </c>
      <c r="X34" s="353">
        <f>INPUT!Y185</f>
        <v>1.35</v>
      </c>
      <c r="Y34" s="354">
        <f>INPUT!Z185</f>
        <v>-42.796610169491522</v>
      </c>
      <c r="Z34" s="354"/>
      <c r="AA34" s="353"/>
      <c r="AB34" s="353"/>
      <c r="AC34" s="353">
        <f>INPUT!AD185</f>
        <v>8.07</v>
      </c>
      <c r="AD34" s="354" t="str">
        <f>INPUT!AE185</f>
        <v>NA</v>
      </c>
      <c r="AE34" s="353">
        <f>INPUT!AF185</f>
        <v>3.47</v>
      </c>
      <c r="AF34" s="354" t="str">
        <f>INPUT!AG185</f>
        <v>NM</v>
      </c>
      <c r="AG34" s="353">
        <f>INPUT!AH185</f>
        <v>3.21</v>
      </c>
      <c r="AH34" s="354">
        <f>INPUT!AI185</f>
        <v>-7.4927953890490002</v>
      </c>
      <c r="AI34" s="353">
        <f>INPUT!AJ185</f>
        <v>4.1100000000000003</v>
      </c>
      <c r="AJ34" s="354">
        <f>INPUT!AK185</f>
        <v>28.037383177570096</v>
      </c>
      <c r="AK34" s="353">
        <f>INPUT!AL185</f>
        <v>7.41</v>
      </c>
      <c r="AL34" s="354">
        <f>INPUT!AM185</f>
        <v>80.291970802919693</v>
      </c>
      <c r="AM34" s="353">
        <f>INPUT!AN185</f>
        <v>5.1100000000000003</v>
      </c>
      <c r="AN34" s="354">
        <f>INPUT!AO185</f>
        <v>-31.039136302294189</v>
      </c>
      <c r="AO34" s="353">
        <f>INPUT!AP185</f>
        <v>5.84</v>
      </c>
      <c r="AP34" s="354">
        <f>INPUT!AQ185</f>
        <v>14.285714285714279</v>
      </c>
      <c r="AQ34" s="353">
        <f>INPUT!AR185</f>
        <v>6.72</v>
      </c>
      <c r="AR34" s="354">
        <f>INPUT!AS185</f>
        <v>15.068493150684926</v>
      </c>
      <c r="AS34" s="353">
        <f>INPUT!AT185</f>
        <v>7.3</v>
      </c>
      <c r="AT34" s="354">
        <f>INPUT!AU185</f>
        <v>8.6309523809523725</v>
      </c>
      <c r="AU34" s="353">
        <f>INPUT!AV185</f>
        <v>7.83</v>
      </c>
      <c r="AV34" s="354">
        <f>INPUT!AW185</f>
        <v>7.2602739726027377</v>
      </c>
      <c r="AW34" s="472">
        <f>INPUT!AX185</f>
        <v>1.1087429095837376</v>
      </c>
    </row>
    <row r="35" spans="1:50" s="318" customFormat="1" ht="12.75" hidden="1" customHeight="1" outlineLevel="1">
      <c r="A35" s="469" t="s">
        <v>37</v>
      </c>
      <c r="B35" s="326" t="e">
        <f>((#REF!/B51)+(IF((#REF!&gt;0), ((293*0.07*0.25)/B51), 0)))-B34</f>
        <v>#REF!</v>
      </c>
      <c r="C35" s="327"/>
      <c r="D35" s="326" t="e">
        <f>((#REF!/D51)+(IF((#REF!&gt;0), ((293*0.07*0.25)/D51), 0)))-D34</f>
        <v>#REF!</v>
      </c>
      <c r="E35" s="327"/>
      <c r="F35" s="326" t="e">
        <f>((#REF!/F51)+(IF((#REF!&gt;0), ((293*0.07*0.25)/F51), 0)))-F34</f>
        <v>#REF!</v>
      </c>
      <c r="G35" s="327"/>
      <c r="H35" s="326" t="e">
        <f>((#REF!/H51)+(IF((#REF!&gt;0), ((293*0.07*0.25)/H51), 0)))-H34</f>
        <v>#REF!</v>
      </c>
      <c r="I35" s="327"/>
      <c r="J35" s="326" t="e">
        <f>((#REF!/J51)+(IF((#REF!&gt;0), ((293*0.07*0.25)/J51), 0)))-J34</f>
        <v>#REF!</v>
      </c>
      <c r="K35" s="327"/>
      <c r="L35" s="326" t="e">
        <f>((#REF!/L51)+(IF((#REF!&gt;0), ((293*0.07*0.25)/L51), 0)))-L34</f>
        <v>#REF!</v>
      </c>
      <c r="M35" s="327"/>
      <c r="N35" s="326" t="e">
        <f>((#REF!/N51)+(IF((#REF!&gt;0), ((293*0.07*0.25)/N51), 0)))-N34</f>
        <v>#REF!</v>
      </c>
      <c r="O35" s="327"/>
      <c r="P35" s="326" t="e">
        <f>((#REF!/P51)+(IF((#REF!&gt;0), ((293*0.07*0.25)/P51), 0)))-P34</f>
        <v>#REF!</v>
      </c>
      <c r="Q35" s="327"/>
      <c r="R35" s="326" t="e">
        <f>((#REF!/R51)+(IF((#REF!&gt;0), ((293*0.07*0.25)/R51), 0)))-R34</f>
        <v>#REF!</v>
      </c>
      <c r="S35" s="327"/>
      <c r="T35" s="326" t="e">
        <f>((#REF!/T51)+(IF((#REF!&gt;0), ((293*0.07*0.25)/T51), 0)))-T34</f>
        <v>#REF!</v>
      </c>
      <c r="U35" s="327"/>
      <c r="V35" s="326" t="e">
        <f>((#REF!/V51)+(IF((#REF!&gt;0), ((293*0.07*0.25)/V51), 0)))-V34</f>
        <v>#REF!</v>
      </c>
      <c r="W35" s="327"/>
      <c r="X35" s="326" t="e">
        <f>((#REF!/X51)+(IF((#REF!&gt;0), ((293*0.07*0.25)/X51), 0)))-X34</f>
        <v>#REF!</v>
      </c>
      <c r="Y35" s="327"/>
      <c r="Z35" s="327"/>
      <c r="AA35" s="328"/>
      <c r="AB35" s="328"/>
      <c r="AC35" s="326" t="e">
        <f>((#REF!/AC51)+(IF((#REF!&gt;0), ((293*0.07*0.25)/AC51), 0)))-AC34</f>
        <v>#REF!</v>
      </c>
      <c r="AD35" s="327" t="e">
        <f>((#REF!/AD51)+(IF((#REF!&gt;0), ((293*0.07*0.25)/AD51), 0)))-AD34</f>
        <v>#REF!</v>
      </c>
      <c r="AE35" s="326" t="e">
        <f>((#REF!/AE51)+(IF((#REF!&gt;0), ((293*0.07*0.25)/AE51), 0)))-AE34</f>
        <v>#REF!</v>
      </c>
      <c r="AF35" s="327" t="e">
        <f>((#REF!/AF51)+(IF((#REF!&gt;0), ((293*0.07*0.25)/AF51), 0)))-AF34</f>
        <v>#REF!</v>
      </c>
      <c r="AG35" s="326" t="e">
        <f>((#REF!/AG51)+(IF((#REF!&gt;0), ((293*0.07*0.25)/AG51), 0)))-AG34</f>
        <v>#REF!</v>
      </c>
      <c r="AH35" s="327" t="e">
        <f>((#REF!/AH51)+(IF((#REF!&gt;0), ((293*0.07*0.25)/AH51), 0)))-AH34</f>
        <v>#REF!</v>
      </c>
      <c r="AI35" s="326" t="e">
        <f>((#REF!/AI51)+(IF((#REF!&gt;0), ((293*0.07*0.25)/AI51), 0)))-AI34</f>
        <v>#REF!</v>
      </c>
      <c r="AJ35" s="327" t="e">
        <f>((#REF!/AJ51)+(IF((#REF!&gt;0), ((293*0.07*0.25)/AJ51), 0)))-AJ34</f>
        <v>#REF!</v>
      </c>
      <c r="AK35" s="326" t="e">
        <f>((#REF!/AK51)+(IF((#REF!&gt;0), ((293*0.07*0.25)/AK51), 0)))-AK34</f>
        <v>#REF!</v>
      </c>
      <c r="AL35" s="327" t="e">
        <f>((#REF!/AL51)+(IF((#REF!&gt;0), ((293*0.07*0.25)/AL51), 0)))-AL34</f>
        <v>#REF!</v>
      </c>
      <c r="AM35" s="326" t="e">
        <f>((#REF!/AM51)+(IF((#REF!&gt;0), ((293*0.07*0.25)/AM51), 0)))-AM34</f>
        <v>#REF!</v>
      </c>
      <c r="AN35" s="327" t="e">
        <f>((#REF!/AN51)+(IF((#REF!&gt;0), ((293*0.07*0.25)/AN51), 0)))-AN34</f>
        <v>#REF!</v>
      </c>
      <c r="AO35" s="326" t="e">
        <f>((#REF!/AO51)+(IF((#REF!&gt;0), ((293*0.07*0.25)/AO51), 0)))-AO34</f>
        <v>#REF!</v>
      </c>
      <c r="AP35" s="327" t="e">
        <f>((#REF!/AP51)+(IF((#REF!&gt;0), ((293*0.07*0.25)/AP51), 0)))-AP34</f>
        <v>#REF!</v>
      </c>
      <c r="AQ35" s="326" t="e">
        <f>((#REF!/AQ51)+(IF((#REF!&gt;0), ((293*0.07*0.25)/AQ51), 0)))-AQ34</f>
        <v>#REF!</v>
      </c>
      <c r="AR35" s="327" t="e">
        <f>((#REF!/AR51)+(IF((#REF!&gt;0), ((293*0.07*0.25)/AR51), 0)))-AR34</f>
        <v>#REF!</v>
      </c>
      <c r="AS35" s="326" t="e">
        <f>((#REF!/AS51)+(IF((#REF!&gt;0), ((293*0.07*0.25)/AS51), 0)))-AS34</f>
        <v>#REF!</v>
      </c>
      <c r="AT35" s="327" t="e">
        <f>((#REF!/AT51)+(IF((#REF!&gt;0), ((293*0.07*0.25)/AT51), 0)))-AT34</f>
        <v>#REF!</v>
      </c>
      <c r="AU35" s="326" t="e">
        <f>((#REF!/AU51)+(IF((#REF!&gt;0), ((293*0.07*0.25)/AU51), 0)))-AU34</f>
        <v>#REF!</v>
      </c>
      <c r="AV35" s="327" t="e">
        <f>((#REF!/AV51)+(IF((#REF!&gt;0), ((293*0.07*0.25)/AV51), 0)))-AV34</f>
        <v>#REF!</v>
      </c>
      <c r="AW35" s="470" t="e">
        <f>((#REF!/AW51)+(IF((#REF!&gt;0), ((293*0.07*0.25)/AW51), 0)))-AW34</f>
        <v>#REF!</v>
      </c>
    </row>
    <row r="36" spans="1:50" ht="3" customHeight="1" collapsed="1">
      <c r="A36" s="473"/>
      <c r="B36" s="306"/>
      <c r="C36" s="307"/>
      <c r="D36" s="306"/>
      <c r="E36" s="307"/>
      <c r="F36" s="306"/>
      <c r="G36" s="307"/>
      <c r="H36" s="306"/>
      <c r="I36" s="307"/>
      <c r="J36" s="306"/>
      <c r="K36" s="307"/>
      <c r="L36" s="306"/>
      <c r="M36" s="307"/>
      <c r="N36" s="306"/>
      <c r="O36" s="307"/>
      <c r="P36" s="306"/>
      <c r="Q36" s="307"/>
      <c r="R36" s="306"/>
      <c r="S36" s="307"/>
      <c r="T36" s="306"/>
      <c r="U36" s="307"/>
      <c r="V36" s="306"/>
      <c r="W36" s="307"/>
      <c r="X36" s="306"/>
      <c r="Y36" s="307"/>
      <c r="Z36" s="307"/>
      <c r="AA36" s="306"/>
      <c r="AB36" s="306"/>
      <c r="AC36" s="306"/>
      <c r="AD36" s="307"/>
      <c r="AE36" s="306"/>
      <c r="AF36" s="307"/>
      <c r="AG36" s="306"/>
      <c r="AH36" s="307"/>
      <c r="AI36" s="306"/>
      <c r="AJ36" s="307"/>
      <c r="AK36" s="306"/>
      <c r="AL36" s="307"/>
      <c r="AM36" s="306"/>
      <c r="AN36" s="307"/>
      <c r="AO36" s="306"/>
      <c r="AP36" s="307"/>
      <c r="AQ36" s="306"/>
      <c r="AR36" s="307"/>
      <c r="AS36" s="306"/>
      <c r="AT36" s="307"/>
      <c r="AU36" s="306"/>
      <c r="AV36" s="307"/>
      <c r="AW36" s="460"/>
      <c r="AX36" s="305"/>
    </row>
    <row r="37" spans="1:50" ht="12.75" customHeight="1">
      <c r="A37" s="463" t="s">
        <v>346</v>
      </c>
      <c r="B37" s="331"/>
      <c r="C37" s="307"/>
      <c r="D37" s="331"/>
      <c r="E37" s="307"/>
      <c r="F37" s="331"/>
      <c r="G37" s="307"/>
      <c r="H37" s="331"/>
      <c r="I37" s="307"/>
      <c r="J37" s="331"/>
      <c r="K37" s="307"/>
      <c r="L37" s="331"/>
      <c r="M37" s="307"/>
      <c r="N37" s="331"/>
      <c r="O37" s="307"/>
      <c r="P37" s="331"/>
      <c r="Q37" s="307"/>
      <c r="R37" s="331"/>
      <c r="S37" s="307"/>
      <c r="T37" s="331"/>
      <c r="U37" s="307"/>
      <c r="V37" s="331"/>
      <c r="W37" s="307"/>
      <c r="X37" s="331"/>
      <c r="Y37" s="307"/>
      <c r="Z37" s="307"/>
      <c r="AA37" s="331"/>
      <c r="AB37" s="331"/>
      <c r="AC37" s="331"/>
      <c r="AD37" s="307"/>
      <c r="AE37" s="331"/>
      <c r="AF37" s="307"/>
      <c r="AG37" s="331"/>
      <c r="AH37" s="307"/>
      <c r="AI37" s="331"/>
      <c r="AJ37" s="307"/>
      <c r="AK37" s="331"/>
      <c r="AL37" s="307"/>
      <c r="AM37" s="331"/>
      <c r="AN37" s="307"/>
      <c r="AO37" s="331"/>
      <c r="AP37" s="307"/>
      <c r="AQ37" s="331"/>
      <c r="AR37" s="307"/>
      <c r="AS37" s="331"/>
      <c r="AT37" s="307"/>
      <c r="AU37" s="331"/>
      <c r="AV37" s="307"/>
      <c r="AW37" s="460"/>
    </row>
    <row r="38" spans="1:50" ht="12.75" customHeight="1">
      <c r="A38" s="474" t="s">
        <v>193</v>
      </c>
      <c r="B38" s="337">
        <f>INPUT!C238</f>
        <v>19.216555801921658</v>
      </c>
      <c r="C38" s="307">
        <f>INPUT!D238</f>
        <v>0</v>
      </c>
      <c r="D38" s="337">
        <f>INPUT!E238</f>
        <v>18.884740455257134</v>
      </c>
      <c r="E38" s="307">
        <f>INPUT!F238</f>
        <v>0</v>
      </c>
      <c r="F38" s="337">
        <f>INPUT!G238</f>
        <v>12.956462274903124</v>
      </c>
      <c r="G38" s="307">
        <f>INPUT!H238</f>
        <v>0</v>
      </c>
      <c r="H38" s="337">
        <f>INPUT!I238</f>
        <v>21.535038932146829</v>
      </c>
      <c r="I38" s="307">
        <f>INPUT!J238</f>
        <v>0</v>
      </c>
      <c r="J38" s="337">
        <f>INPUT!K238</f>
        <v>23.745277927684835</v>
      </c>
      <c r="K38" s="307">
        <f>INPUT!L238</f>
        <v>23.566773215990679</v>
      </c>
      <c r="L38" s="337">
        <f>INPUT!M238</f>
        <v>21.398517331196153</v>
      </c>
      <c r="M38" s="307">
        <f>INPUT!N238</f>
        <v>13.311153954669441</v>
      </c>
      <c r="N38" s="337">
        <f>INPUT!O238</f>
        <v>18.526955201214882</v>
      </c>
      <c r="O38" s="307">
        <f>INPUT!P238</f>
        <v>42.993934672290067</v>
      </c>
      <c r="P38" s="337">
        <f>INPUT!Q238</f>
        <v>22.591362126245848</v>
      </c>
      <c r="Q38" s="307">
        <f>INPUT!R238</f>
        <v>4.90513714615195</v>
      </c>
      <c r="R38" s="337">
        <f>INPUT!S238</f>
        <v>17.6493058069974</v>
      </c>
      <c r="S38" s="307">
        <f>INPUT!T238</f>
        <v>-25.672355317349581</v>
      </c>
      <c r="T38" s="337">
        <f>INPUT!U238</f>
        <v>17.570932124534579</v>
      </c>
      <c r="U38" s="307">
        <f>INPUT!V238</f>
        <v>-17.887151466711536</v>
      </c>
      <c r="V38" s="337">
        <f>INPUT!W238</f>
        <v>18.435359793164924</v>
      </c>
      <c r="W38" s="307">
        <f>INPUT!X238</f>
        <v>-0.49438996885980968</v>
      </c>
      <c r="X38" s="337">
        <f>INPUT!Y238</f>
        <v>18.220179073372901</v>
      </c>
      <c r="Y38" s="307">
        <f>INPUT!Z238</f>
        <v>-19.348913219334662</v>
      </c>
      <c r="Z38" s="307"/>
      <c r="AA38" s="320"/>
      <c r="AB38" s="320"/>
      <c r="AC38" s="337">
        <f>INPUT!AD238</f>
        <v>21.57676348547718</v>
      </c>
      <c r="AD38" s="307">
        <f>INPUT!AE238</f>
        <v>0</v>
      </c>
      <c r="AE38" s="337">
        <f>INPUT!AF238</f>
        <v>32</v>
      </c>
      <c r="AF38" s="307">
        <f>INPUT!AG238</f>
        <v>48.307692307692292</v>
      </c>
      <c r="AG38" s="337">
        <f>INPUT!AH238</f>
        <v>22.472238457042664</v>
      </c>
      <c r="AH38" s="307">
        <f>INPUT!AI238</f>
        <v>-29.774254821741675</v>
      </c>
      <c r="AI38" s="337">
        <f>INPUT!AJ238</f>
        <v>18.248381400824012</v>
      </c>
      <c r="AJ38" s="307">
        <f>INPUT!AK238</f>
        <v>-18.795889267074418</v>
      </c>
      <c r="AK38" s="337">
        <f>INPUT!AL238</f>
        <v>22.031675577524464</v>
      </c>
      <c r="AL38" s="307">
        <f>INPUT!AM238</f>
        <v>20.732217798393982</v>
      </c>
      <c r="AM38" s="337">
        <f>INPUT!AN238</f>
        <v>17.949506612108863</v>
      </c>
      <c r="AN38" s="307">
        <f>INPUT!AO238</f>
        <v>-18.528635968024197</v>
      </c>
      <c r="AO38" s="337">
        <f>INPUT!AP238</f>
        <v>18.377125094828283</v>
      </c>
      <c r="AP38" s="307">
        <f>INPUT!AQ238</f>
        <v>2.3823411526584515</v>
      </c>
      <c r="AQ38" s="337">
        <f>INPUT!AR238</f>
        <v>18.939143318787334</v>
      </c>
      <c r="AR38" s="307">
        <f>INPUT!AS238</f>
        <v>3.0582488885446679</v>
      </c>
      <c r="AS38" s="337">
        <f>INPUT!AT238</f>
        <v>18.23830819843343</v>
      </c>
      <c r="AT38" s="307">
        <f>INPUT!AU238</f>
        <v>-3.7004584027762633</v>
      </c>
      <c r="AU38" s="337">
        <f>INPUT!AV238</f>
        <v>17.447075217103585</v>
      </c>
      <c r="AV38" s="307">
        <f>INPUT!AW238</f>
        <v>-4.3383025043836394</v>
      </c>
      <c r="AW38" s="460">
        <f>INPUT!AX238</f>
        <v>-4.5589912046046788</v>
      </c>
    </row>
    <row r="39" spans="1:50" ht="12.75" customHeight="1">
      <c r="A39" s="474" t="s">
        <v>109</v>
      </c>
      <c r="B39" s="337">
        <f>INPUT!C239</f>
        <v>10.54481546572935</v>
      </c>
      <c r="C39" s="307">
        <f>INPUT!D239</f>
        <v>0</v>
      </c>
      <c r="D39" s="337">
        <f>INPUT!E239</f>
        <v>12.389686797023707</v>
      </c>
      <c r="E39" s="307">
        <f>INPUT!F239</f>
        <v>0</v>
      </c>
      <c r="F39" s="337">
        <f>INPUT!G239</f>
        <v>7.8203522831622019</v>
      </c>
      <c r="G39" s="307">
        <f>INPUT!H239</f>
        <v>0</v>
      </c>
      <c r="H39" s="337">
        <f>INPUT!I239</f>
        <v>17.774956356133949</v>
      </c>
      <c r="I39" s="307">
        <f>INPUT!J239</f>
        <v>0</v>
      </c>
      <c r="J39" s="337">
        <f>INPUT!K239</f>
        <v>15.862840104360791</v>
      </c>
      <c r="K39" s="307">
        <f>INPUT!L239</f>
        <v>50.432600323021482</v>
      </c>
      <c r="L39" s="337">
        <f>INPUT!M239</f>
        <v>15.83262651964942</v>
      </c>
      <c r="M39" s="307">
        <f>INPUT!N239</f>
        <v>27.788755107617312</v>
      </c>
      <c r="N39" s="337">
        <f>INPUT!O239</f>
        <v>12.544973185798655</v>
      </c>
      <c r="O39" s="307">
        <f>INPUT!P239</f>
        <v>60.41442548322167</v>
      </c>
      <c r="P39" s="337">
        <f>INPUT!Q239</f>
        <v>17.359477124183005</v>
      </c>
      <c r="Q39" s="307">
        <f>INPUT!R239</f>
        <v>-2.3374416433240119</v>
      </c>
      <c r="R39" s="337">
        <f>INPUT!S239</f>
        <v>12.360098076332875</v>
      </c>
      <c r="S39" s="307">
        <f>INPUT!T239</f>
        <v>-22.081430594922224</v>
      </c>
      <c r="T39" s="337">
        <f>INPUT!U239</f>
        <v>12.322583624628431</v>
      </c>
      <c r="U39" s="307">
        <f>INPUT!V239</f>
        <v>-22.169681642302209</v>
      </c>
      <c r="V39" s="337">
        <f>INPUT!W239</f>
        <v>12.945371202873432</v>
      </c>
      <c r="W39" s="307">
        <f>INPUT!X239</f>
        <v>3.1917008601344943</v>
      </c>
      <c r="X39" s="337">
        <f>INPUT!Y239</f>
        <v>12.768670595127604</v>
      </c>
      <c r="Y39" s="307">
        <f>INPUT!Z239</f>
        <v>-26.445534598850774</v>
      </c>
      <c r="Z39" s="307"/>
      <c r="AA39" s="320"/>
      <c r="AB39" s="320"/>
      <c r="AC39" s="337">
        <f>INPUT!AD239</f>
        <v>29.05349794238683</v>
      </c>
      <c r="AD39" s="307" t="str">
        <f>INPUT!AE239</f>
        <v>NA</v>
      </c>
      <c r="AE39" s="337">
        <f>INPUT!AF239</f>
        <v>23.78329021457921</v>
      </c>
      <c r="AF39" s="307">
        <f>INPUT!AG239</f>
        <v>-18.139666825173538</v>
      </c>
      <c r="AG39" s="337">
        <f>INPUT!AH239</f>
        <v>15.603584607274644</v>
      </c>
      <c r="AH39" s="307">
        <f>INPUT!AI239</f>
        <v>-34.392657758893208</v>
      </c>
      <c r="AI39" s="337">
        <f>INPUT!AJ239</f>
        <v>12.023513826792513</v>
      </c>
      <c r="AJ39" s="307">
        <f>INPUT!AK239</f>
        <v>-22.943899562752033</v>
      </c>
      <c r="AK39" s="337">
        <f>INPUT!AL239</f>
        <v>15.527863343601231</v>
      </c>
      <c r="AL39" s="307">
        <f>INPUT!AM239</f>
        <v>29.1458018620133</v>
      </c>
      <c r="AM39" s="337">
        <f>INPUT!AN239</f>
        <v>12.585701737740735</v>
      </c>
      <c r="AN39" s="307">
        <f>INPUT!AO239</f>
        <v>-18.94762686118635</v>
      </c>
      <c r="AO39" s="337">
        <f>INPUT!AP239</f>
        <v>12.853406131026757</v>
      </c>
      <c r="AP39" s="307">
        <f>INPUT!AQ239</f>
        <v>2.127051783558942</v>
      </c>
      <c r="AQ39" s="337">
        <f>INPUT!AR239</f>
        <v>13.198928595555401</v>
      </c>
      <c r="AR39" s="307">
        <f>INPUT!AS239</f>
        <v>2.6881782230049556</v>
      </c>
      <c r="AS39" s="337">
        <f>INPUT!AT239</f>
        <v>12.70042702388122</v>
      </c>
      <c r="AT39" s="307">
        <f>INPUT!AU239</f>
        <v>-3.7768336124043178</v>
      </c>
      <c r="AU39" s="337">
        <f>INPUT!AV239</f>
        <v>12.14176936254786</v>
      </c>
      <c r="AV39" s="307">
        <f>INPUT!AW239</f>
        <v>-4.398731320473626</v>
      </c>
      <c r="AW39" s="460">
        <f>INPUT!AX239</f>
        <v>-4.8006340815957333</v>
      </c>
    </row>
    <row r="40" spans="1:50" ht="12.75" customHeight="1">
      <c r="A40" s="474" t="s">
        <v>110</v>
      </c>
      <c r="B40" s="337">
        <f>INPUT!C241</f>
        <v>9.701230228471001</v>
      </c>
      <c r="C40" s="307">
        <f>INPUT!D241</f>
        <v>0</v>
      </c>
      <c r="D40" s="337">
        <f>INPUT!E241</f>
        <v>11.559093268731614</v>
      </c>
      <c r="E40" s="307">
        <f>INPUT!F241</f>
        <v>0</v>
      </c>
      <c r="F40" s="337">
        <f>INPUT!G241</f>
        <v>18.372151264713249</v>
      </c>
      <c r="G40" s="307">
        <f>INPUT!H241</f>
        <v>0</v>
      </c>
      <c r="H40" s="337">
        <f>INPUT!I241</f>
        <v>8.8239961910807807</v>
      </c>
      <c r="I40" s="307">
        <f>INPUT!J241</f>
        <v>0</v>
      </c>
      <c r="J40" s="337">
        <f>INPUT!K241</f>
        <v>13.298546403279909</v>
      </c>
      <c r="K40" s="307">
        <f>INPUT!L241</f>
        <v>37.081030859896181</v>
      </c>
      <c r="L40" s="337">
        <f>INPUT!M241</f>
        <v>13.061916878710772</v>
      </c>
      <c r="M40" s="307">
        <f>INPUT!N241</f>
        <v>13.001224015074175</v>
      </c>
      <c r="N40" s="337">
        <f>INPUT!O241</f>
        <v>13.794039780055664</v>
      </c>
      <c r="O40" s="307">
        <f>INPUT!P241</f>
        <v>-24.918755668263003</v>
      </c>
      <c r="P40" s="337">
        <f>INPUT!Q241</f>
        <v>13.699346405228757</v>
      </c>
      <c r="Q40" s="307">
        <f>INPUT!R241</f>
        <v>55.251046221846046</v>
      </c>
      <c r="R40" s="337">
        <f>INPUT!S241</f>
        <v>12.360098076332875</v>
      </c>
      <c r="S40" s="307">
        <f>INPUT!T241</f>
        <v>-7.0567737141224551</v>
      </c>
      <c r="T40" s="337">
        <f>INPUT!U241</f>
        <v>12.322583624628431</v>
      </c>
      <c r="U40" s="307">
        <f>INPUT!V241</f>
        <v>-5.660220172487529</v>
      </c>
      <c r="V40" s="337">
        <f>INPUT!W241</f>
        <v>12.945371202873432</v>
      </c>
      <c r="W40" s="307">
        <f>INPUT!X241</f>
        <v>-6.1524295327123335</v>
      </c>
      <c r="X40" s="337">
        <f>INPUT!Y241</f>
        <v>12.768670595127604</v>
      </c>
      <c r="Y40" s="307">
        <f>INPUT!Z241</f>
        <v>-6.7935781939635671</v>
      </c>
      <c r="Z40" s="307"/>
      <c r="AA40" s="320"/>
      <c r="AB40" s="320"/>
      <c r="AC40" s="337">
        <f>INPUT!AD241</f>
        <v>17.268986157875048</v>
      </c>
      <c r="AD40" s="307">
        <f>INPUT!AE241</f>
        <v>0</v>
      </c>
      <c r="AE40" s="337">
        <f>INPUT!AF241</f>
        <v>22.048394460508295</v>
      </c>
      <c r="AF40" s="307">
        <f>INPUT!AG241</f>
        <v>27.676253017631435</v>
      </c>
      <c r="AG40" s="337">
        <f>INPUT!AH241</f>
        <v>14.971006852925672</v>
      </c>
      <c r="AH40" s="307">
        <f>INPUT!AI241</f>
        <v>-32.099333220199753</v>
      </c>
      <c r="AI40" s="337">
        <f>INPUT!AJ241</f>
        <v>11.907600596125185</v>
      </c>
      <c r="AJ40" s="307">
        <f>INPUT!AK241</f>
        <v>-20.462259398417338</v>
      </c>
      <c r="AK40" s="337">
        <f>INPUT!AL241</f>
        <v>13.58162979557547</v>
      </c>
      <c r="AL40" s="307">
        <f>INPUT!AM241</f>
        <v>14.058493026672615</v>
      </c>
      <c r="AM40" s="337">
        <f>INPUT!AN241</f>
        <v>12.585701737740735</v>
      </c>
      <c r="AN40" s="307">
        <f>INPUT!AO241</f>
        <v>-7.3329053495419405</v>
      </c>
      <c r="AO40" s="337">
        <f>INPUT!AP241</f>
        <v>12.853406131026757</v>
      </c>
      <c r="AP40" s="307">
        <f>INPUT!AQ241</f>
        <v>2.127051783558942</v>
      </c>
      <c r="AQ40" s="337">
        <f>INPUT!AR241</f>
        <v>13.198928595555401</v>
      </c>
      <c r="AR40" s="307">
        <f>INPUT!AS241</f>
        <v>2.6881782230049556</v>
      </c>
      <c r="AS40" s="337">
        <f>INPUT!AT241</f>
        <v>12.70042702388122</v>
      </c>
      <c r="AT40" s="307">
        <f>INPUT!AU241</f>
        <v>-3.7768336124043178</v>
      </c>
      <c r="AU40" s="337">
        <f>INPUT!AV241</f>
        <v>12.14176936254786</v>
      </c>
      <c r="AV40" s="307">
        <f>INPUT!AW241</f>
        <v>-4.398731320473626</v>
      </c>
      <c r="AW40" s="460">
        <f>INPUT!AX241</f>
        <v>-2.2164009184867939</v>
      </c>
    </row>
    <row r="41" spans="1:50" ht="12.75" customHeight="1">
      <c r="A41" s="474" t="s">
        <v>112</v>
      </c>
      <c r="B41" s="337">
        <f>INPUT!C242</f>
        <v>5.9753954305799644</v>
      </c>
      <c r="C41" s="307">
        <f>INPUT!D242</f>
        <v>0</v>
      </c>
      <c r="D41" s="337">
        <f>INPUT!E242</f>
        <v>13.358712580031149</v>
      </c>
      <c r="E41" s="307">
        <f>INPUT!F242</f>
        <v>0</v>
      </c>
      <c r="F41" s="337">
        <f>INPUT!G242</f>
        <v>8.4214041238834643</v>
      </c>
      <c r="G41" s="307">
        <f>INPUT!H242</f>
        <v>0</v>
      </c>
      <c r="H41" s="337">
        <f>INPUT!I242</f>
        <v>23.10744326297413</v>
      </c>
      <c r="I41" s="307">
        <f>INPUT!J242</f>
        <v>0</v>
      </c>
      <c r="J41" s="337">
        <f>INPUT!K242</f>
        <v>22.8997390980246</v>
      </c>
      <c r="K41" s="307" t="str">
        <f>INPUT!L242</f>
        <v>NM</v>
      </c>
      <c r="L41" s="337">
        <f>INPUT!M242</f>
        <v>18.43370087644897</v>
      </c>
      <c r="M41" s="307">
        <f>INPUT!N242</f>
        <v>37.990100213728731</v>
      </c>
      <c r="N41" s="337">
        <f>INPUT!O242</f>
        <v>14.880184644626976</v>
      </c>
      <c r="O41" s="307">
        <f>INPUT!P242</f>
        <v>76.694817464300669</v>
      </c>
      <c r="P41" s="337">
        <f>INPUT!Q242</f>
        <v>24.261437908496735</v>
      </c>
      <c r="Q41" s="307">
        <f>INPUT!R242</f>
        <v>4.9940386410974869</v>
      </c>
      <c r="R41" s="337">
        <f>INPUT!S242</f>
        <v>11.940382109819629</v>
      </c>
      <c r="S41" s="307">
        <f>INPUT!T242</f>
        <v>-47.857999347906798</v>
      </c>
      <c r="T41" s="337">
        <f>INPUT!U242</f>
        <v>11.904929529146505</v>
      </c>
      <c r="U41" s="307">
        <f>INPUT!V242</f>
        <v>-35.417583213817203</v>
      </c>
      <c r="V41" s="337">
        <f>INPUT!W242</f>
        <v>12.439789248292977</v>
      </c>
      <c r="W41" s="307">
        <f>INPUT!X242</f>
        <v>-16.400303185855904</v>
      </c>
      <c r="X41" s="337">
        <f>INPUT!Y242</f>
        <v>12.270668796999134</v>
      </c>
      <c r="Y41" s="307">
        <f>INPUT!Z242</f>
        <v>-49.423159322713708</v>
      </c>
      <c r="Z41" s="307"/>
      <c r="AA41" s="320"/>
      <c r="AB41" s="320"/>
      <c r="AC41" s="337">
        <f>INPUT!AD242</f>
        <v>33.557800224466895</v>
      </c>
      <c r="AD41" s="307" t="str">
        <f>INPUT!AE242</f>
        <v>NA</v>
      </c>
      <c r="AE41" s="337">
        <f>INPUT!AF242</f>
        <v>13.891340739613453</v>
      </c>
      <c r="AF41" s="307" t="str">
        <f>INPUT!AG242</f>
        <v>NM</v>
      </c>
      <c r="AG41" s="337">
        <f>INPUT!AH242</f>
        <v>11.850289931470744</v>
      </c>
      <c r="AH41" s="307">
        <f>INPUT!AI242</f>
        <v>-14.6929720204927</v>
      </c>
      <c r="AI41" s="337">
        <f>INPUT!AJ242</f>
        <v>12.718993210796489</v>
      </c>
      <c r="AJ41" s="307">
        <f>INPUT!AK242</f>
        <v>7.3306500039187705</v>
      </c>
      <c r="AK41" s="337">
        <f>INPUT!AL242</f>
        <v>20.274432931951832</v>
      </c>
      <c r="AL41" s="307">
        <f>INPUT!AM242</f>
        <v>59.402812753622072</v>
      </c>
      <c r="AM41" s="337">
        <f>INPUT!AN242</f>
        <v>12.124987632361647</v>
      </c>
      <c r="AN41" s="307">
        <f>INPUT!AO242</f>
        <v>-40.19567564203944</v>
      </c>
      <c r="AO41" s="337">
        <f>INPUT!AP242</f>
        <v>12.409658989753652</v>
      </c>
      <c r="AP41" s="307">
        <f>INPUT!AQ242</f>
        <v>2.3478074042089458</v>
      </c>
      <c r="AQ41" s="337">
        <f>INPUT!AR242</f>
        <v>12.761484477474713</v>
      </c>
      <c r="AR41" s="307">
        <f>INPUT!AS242</f>
        <v>2.83509392169079</v>
      </c>
      <c r="AS41" s="337">
        <f>INPUT!AT242</f>
        <v>12.276346881761915</v>
      </c>
      <c r="AT41" s="307">
        <f>INPUT!AU242</f>
        <v>-3.8015765060022133</v>
      </c>
      <c r="AU41" s="337">
        <f>INPUT!AV242</f>
        <v>11.734662984016476</v>
      </c>
      <c r="AV41" s="307">
        <f>INPUT!AW242</f>
        <v>-4.4124192885929281</v>
      </c>
      <c r="AW41" s="460">
        <f>INPUT!AX242</f>
        <v>-10.359477137062678</v>
      </c>
    </row>
    <row r="42" spans="1:50" ht="12.75" customHeight="1">
      <c r="A42" s="474" t="s">
        <v>114</v>
      </c>
      <c r="B42" s="337">
        <f>INPUT!C243</f>
        <v>5.9753954305799644</v>
      </c>
      <c r="C42" s="307">
        <f>INPUT!D243</f>
        <v>0</v>
      </c>
      <c r="D42" s="337">
        <f>INPUT!E243</f>
        <v>12.786749482401657</v>
      </c>
      <c r="E42" s="307">
        <f>INPUT!F243</f>
        <v>0</v>
      </c>
      <c r="F42" s="337">
        <f>INPUT!G243</f>
        <v>7.4903474903474914</v>
      </c>
      <c r="G42" s="307">
        <f>INPUT!H243</f>
        <v>0</v>
      </c>
      <c r="H42" s="337">
        <f>INPUT!I243</f>
        <v>20.966232270141838</v>
      </c>
      <c r="I42" s="307">
        <f>INPUT!J243</f>
        <v>0</v>
      </c>
      <c r="J42" s="337">
        <f>INPUT!K243</f>
        <v>21.252161881701834</v>
      </c>
      <c r="K42" s="307" t="str">
        <f>INPUT!L243</f>
        <v>NM</v>
      </c>
      <c r="L42" s="337">
        <f>INPUT!M243</f>
        <v>16.422139663749132</v>
      </c>
      <c r="M42" s="307">
        <f>INPUT!N243</f>
        <v>28.430917383271215</v>
      </c>
      <c r="N42" s="337">
        <f>INPUT!O243</f>
        <v>12.929864920663009</v>
      </c>
      <c r="O42" s="307">
        <f>INPUT!P243</f>
        <v>72.620361569676234</v>
      </c>
      <c r="P42" s="337">
        <f>INPUT!Q243</f>
        <v>20.764110309336019</v>
      </c>
      <c r="Q42" s="307">
        <f>INPUT!R243</f>
        <v>-0.96403568462638534</v>
      </c>
      <c r="R42" s="337">
        <f>INPUT!S243</f>
        <v>10.128726317593705</v>
      </c>
      <c r="S42" s="307" t="str">
        <f>INPUT!T243</f>
        <v>NM</v>
      </c>
      <c r="T42" s="337">
        <f>INPUT!U243</f>
        <v>10.143852869950173</v>
      </c>
      <c r="U42" s="307">
        <f>INPUT!V243</f>
        <v>-38.230625986319509</v>
      </c>
      <c r="V42" s="337">
        <f>INPUT!W243</f>
        <v>10.646816541591249</v>
      </c>
      <c r="W42" s="307">
        <f>INPUT!X243</f>
        <v>-17.657171154381178</v>
      </c>
      <c r="X42" s="337">
        <f>INPUT!Y243</f>
        <v>10.548313419624069</v>
      </c>
      <c r="Y42" s="307">
        <f>INPUT!Z243</f>
        <v>-49.199299837656383</v>
      </c>
      <c r="Z42" s="307"/>
      <c r="AA42" s="320"/>
      <c r="AB42" s="320"/>
      <c r="AC42" s="337">
        <f>INPUT!AD243</f>
        <v>33.557800224466895</v>
      </c>
      <c r="AD42" s="307" t="str">
        <f>INPUT!AE243</f>
        <v>NA</v>
      </c>
      <c r="AE42" s="337">
        <f>INPUT!AF243</f>
        <v>12.529855868222375</v>
      </c>
      <c r="AF42" s="307" t="str">
        <f>INPUT!AG243</f>
        <v>NM</v>
      </c>
      <c r="AG42" s="337">
        <f>INPUT!AH243</f>
        <v>11.360420456842531</v>
      </c>
      <c r="AH42" s="307">
        <f>INPUT!AI243</f>
        <v>-9.3331912487972897</v>
      </c>
      <c r="AI42" s="337">
        <f>INPUT!AJ243</f>
        <v>12.581490581490579</v>
      </c>
      <c r="AJ42" s="307">
        <f>INPUT!AK243</f>
        <v>10.748458908601233</v>
      </c>
      <c r="AK42" s="337">
        <f>INPUT!AL243</f>
        <v>18.025644217602391</v>
      </c>
      <c r="AL42" s="307">
        <f>INPUT!AM243</f>
        <v>43.271133899834169</v>
      </c>
      <c r="AM42" s="337">
        <f>INPUT!AN243</f>
        <v>10.358232209912076</v>
      </c>
      <c r="AN42" s="307">
        <f>INPUT!AO243</f>
        <v>-42.536133050950475</v>
      </c>
      <c r="AO42" s="337">
        <f>INPUT!AP243</f>
        <v>10.741981707359445</v>
      </c>
      <c r="AP42" s="307">
        <f>INPUT!AQ243</f>
        <v>3.7047778971410539</v>
      </c>
      <c r="AQ42" s="337">
        <f>INPUT!AR243</f>
        <v>11.152170668494994</v>
      </c>
      <c r="AR42" s="307">
        <f>INPUT!AS243</f>
        <v>3.8185594828794578</v>
      </c>
      <c r="AS42" s="337">
        <f>INPUT!AT243</f>
        <v>10.848538638570664</v>
      </c>
      <c r="AT42" s="307">
        <f>INPUT!AU243</f>
        <v>-2.7226271812903158</v>
      </c>
      <c r="AU42" s="337">
        <f>INPUT!AV243</f>
        <v>10.490521757375499</v>
      </c>
      <c r="AV42" s="307">
        <f>INPUT!AW243</f>
        <v>-3.300139245688638</v>
      </c>
      <c r="AW42" s="460">
        <f>INPUT!AX243</f>
        <v>-10.260993162137588</v>
      </c>
    </row>
    <row r="43" spans="1:50" ht="2.25" customHeight="1">
      <c r="A43" s="475"/>
      <c r="B43" s="340"/>
      <c r="C43" s="341"/>
      <c r="D43" s="340"/>
      <c r="E43" s="341"/>
      <c r="F43" s="340"/>
      <c r="G43" s="341"/>
      <c r="H43" s="340"/>
      <c r="I43" s="341"/>
      <c r="J43" s="340"/>
      <c r="K43" s="341"/>
      <c r="L43" s="340"/>
      <c r="M43" s="341"/>
      <c r="N43" s="340"/>
      <c r="O43" s="341"/>
      <c r="P43" s="340"/>
      <c r="Q43" s="341"/>
      <c r="R43" s="340"/>
      <c r="S43" s="341"/>
      <c r="T43" s="340"/>
      <c r="U43" s="341"/>
      <c r="V43" s="340"/>
      <c r="W43" s="341"/>
      <c r="X43" s="340"/>
      <c r="Y43" s="341"/>
      <c r="Z43" s="341"/>
      <c r="AA43" s="342"/>
      <c r="AB43" s="342"/>
      <c r="AC43" s="340"/>
      <c r="AD43" s="341"/>
      <c r="AE43" s="340"/>
      <c r="AF43" s="341"/>
      <c r="AG43" s="340"/>
      <c r="AH43" s="341"/>
      <c r="AI43" s="340"/>
      <c r="AJ43" s="341"/>
      <c r="AK43" s="340"/>
      <c r="AL43" s="341"/>
      <c r="AM43" s="340"/>
      <c r="AN43" s="341"/>
      <c r="AO43" s="340"/>
      <c r="AP43" s="341"/>
      <c r="AQ43" s="340"/>
      <c r="AR43" s="341"/>
      <c r="AS43" s="340"/>
      <c r="AT43" s="341"/>
      <c r="AU43" s="340"/>
      <c r="AV43" s="341"/>
      <c r="AW43" s="476"/>
    </row>
    <row r="44" spans="1:50" ht="3.75" customHeight="1">
      <c r="A44" s="477"/>
      <c r="B44" s="344"/>
      <c r="C44" s="345"/>
      <c r="D44" s="344"/>
      <c r="E44" s="345"/>
      <c r="F44" s="344"/>
      <c r="G44" s="345"/>
      <c r="H44" s="344"/>
      <c r="I44" s="345"/>
      <c r="J44" s="344"/>
      <c r="K44" s="345"/>
      <c r="L44" s="344"/>
      <c r="M44" s="345"/>
      <c r="N44" s="344"/>
      <c r="O44" s="345"/>
      <c r="P44" s="344"/>
      <c r="Q44" s="345"/>
      <c r="R44" s="344"/>
      <c r="S44" s="345"/>
      <c r="T44" s="344"/>
      <c r="U44" s="345"/>
      <c r="V44" s="344"/>
      <c r="W44" s="345"/>
      <c r="X44" s="344"/>
      <c r="Y44" s="345"/>
      <c r="Z44" s="346"/>
      <c r="AA44" s="344"/>
      <c r="AB44" s="344"/>
      <c r="AC44" s="345"/>
      <c r="AD44" s="346"/>
      <c r="AE44" s="345"/>
      <c r="AF44" s="346"/>
      <c r="AG44" s="345"/>
      <c r="AH44" s="346"/>
      <c r="AI44" s="345"/>
      <c r="AJ44" s="346"/>
      <c r="AK44" s="345"/>
      <c r="AL44" s="346"/>
      <c r="AM44" s="345"/>
      <c r="AN44" s="346"/>
      <c r="AO44" s="345"/>
      <c r="AP44" s="346"/>
      <c r="AQ44" s="345"/>
      <c r="AR44" s="345"/>
      <c r="AS44" s="345"/>
      <c r="AT44" s="345"/>
      <c r="AU44" s="345"/>
      <c r="AV44" s="345"/>
      <c r="AW44" s="478"/>
    </row>
    <row r="45" spans="1:50" ht="3" customHeight="1">
      <c r="A45" s="463"/>
      <c r="B45" s="338"/>
      <c r="C45" s="307"/>
      <c r="D45" s="338"/>
      <c r="E45" s="307"/>
      <c r="F45" s="338"/>
      <c r="G45" s="307"/>
      <c r="H45" s="338"/>
      <c r="I45" s="307"/>
      <c r="J45" s="338"/>
      <c r="K45" s="307"/>
      <c r="L45" s="338"/>
      <c r="M45" s="307"/>
      <c r="N45" s="338"/>
      <c r="O45" s="307"/>
      <c r="P45" s="338"/>
      <c r="Q45" s="307"/>
      <c r="R45" s="338"/>
      <c r="S45" s="307"/>
      <c r="T45" s="338"/>
      <c r="U45" s="307"/>
      <c r="V45" s="338"/>
      <c r="W45" s="307"/>
      <c r="X45" s="338"/>
      <c r="Y45" s="307"/>
      <c r="Z45" s="307"/>
      <c r="AA45" s="338"/>
      <c r="AB45" s="338"/>
      <c r="AC45" s="338"/>
      <c r="AD45" s="307"/>
      <c r="AE45" s="338"/>
      <c r="AF45" s="307"/>
      <c r="AG45" s="338"/>
      <c r="AH45" s="307"/>
      <c r="AI45" s="338"/>
      <c r="AJ45" s="307"/>
      <c r="AK45" s="338"/>
      <c r="AL45" s="307"/>
      <c r="AM45" s="338"/>
      <c r="AN45" s="307"/>
      <c r="AO45" s="338"/>
      <c r="AP45" s="307"/>
      <c r="AQ45" s="338"/>
      <c r="AR45" s="307"/>
      <c r="AS45" s="338"/>
      <c r="AT45" s="307"/>
      <c r="AU45" s="338"/>
      <c r="AV45" s="307"/>
      <c r="AW45" s="460"/>
    </row>
    <row r="46" spans="1:50" s="305" customFormat="1" ht="12.75" hidden="1" customHeight="1" outlineLevel="1">
      <c r="A46" s="479" t="s">
        <v>238</v>
      </c>
      <c r="B46" s="391"/>
      <c r="C46" s="392" t="s">
        <v>247</v>
      </c>
      <c r="D46" s="391"/>
      <c r="E46" s="392" t="s">
        <v>249</v>
      </c>
      <c r="F46" s="391"/>
      <c r="G46" s="392" t="s">
        <v>251</v>
      </c>
      <c r="H46" s="391"/>
      <c r="I46" s="392" t="s">
        <v>253</v>
      </c>
      <c r="J46" s="391"/>
      <c r="K46" s="392" t="str">
        <f>K3</f>
        <v>1Q17/</v>
      </c>
      <c r="L46" s="391"/>
      <c r="M46" s="392" t="s">
        <v>313</v>
      </c>
      <c r="N46" s="391"/>
      <c r="O46" s="392" t="s">
        <v>314</v>
      </c>
      <c r="P46" s="391"/>
      <c r="Q46" s="392" t="s">
        <v>315</v>
      </c>
      <c r="R46" s="391"/>
      <c r="S46" s="392" t="str">
        <f>S3</f>
        <v>1Q18E/</v>
      </c>
      <c r="T46" s="391"/>
      <c r="U46" s="392" t="s">
        <v>313</v>
      </c>
      <c r="V46" s="391"/>
      <c r="W46" s="392" t="s">
        <v>314</v>
      </c>
      <c r="X46" s="391"/>
      <c r="Y46" s="392" t="s">
        <v>315</v>
      </c>
      <c r="Z46" s="392"/>
      <c r="AA46" s="391"/>
      <c r="AB46" s="391"/>
      <c r="AC46" s="391"/>
      <c r="AD46" s="392" t="s">
        <v>316</v>
      </c>
      <c r="AE46" s="391"/>
      <c r="AF46" s="392" t="s">
        <v>317</v>
      </c>
      <c r="AG46" s="391"/>
      <c r="AH46" s="392" t="s">
        <v>318</v>
      </c>
      <c r="AI46" s="391"/>
      <c r="AJ46" s="392" t="str">
        <f>AJ3</f>
        <v>2016/</v>
      </c>
      <c r="AK46" s="391"/>
      <c r="AL46" s="392" t="str">
        <f>AL3</f>
        <v>2017/</v>
      </c>
      <c r="AM46" s="391"/>
      <c r="AN46" s="392" t="str">
        <f>AN3</f>
        <v>2018E/</v>
      </c>
      <c r="AO46" s="391"/>
      <c r="AP46" s="392" t="str">
        <f>AP3</f>
        <v>2019E/</v>
      </c>
      <c r="AQ46" s="391"/>
      <c r="AR46" s="392" t="s">
        <v>319</v>
      </c>
      <c r="AS46" s="391"/>
      <c r="AT46" s="392" t="s">
        <v>320</v>
      </c>
      <c r="AU46" s="391"/>
      <c r="AV46" s="392" t="s">
        <v>320</v>
      </c>
      <c r="AW46" s="480"/>
    </row>
    <row r="47" spans="1:50" s="305" customFormat="1" ht="12.75" hidden="1" customHeight="1" outlineLevel="1">
      <c r="A47" s="459"/>
      <c r="B47" s="306"/>
      <c r="C47" s="307" t="s">
        <v>248</v>
      </c>
      <c r="D47" s="306"/>
      <c r="E47" s="307" t="s">
        <v>250</v>
      </c>
      <c r="F47" s="306"/>
      <c r="G47" s="307" t="s">
        <v>252</v>
      </c>
      <c r="H47" s="306"/>
      <c r="I47" s="307" t="s">
        <v>254</v>
      </c>
      <c r="J47" s="306"/>
      <c r="K47" s="307" t="str">
        <f>K4</f>
        <v>1Q16</v>
      </c>
      <c r="L47" s="306"/>
      <c r="M47" s="307" t="s">
        <v>7</v>
      </c>
      <c r="N47" s="306"/>
      <c r="O47" s="307" t="s">
        <v>8</v>
      </c>
      <c r="P47" s="306"/>
      <c r="Q47" s="307" t="s">
        <v>9</v>
      </c>
      <c r="R47" s="306"/>
      <c r="S47" s="307" t="str">
        <f>S4</f>
        <v>1Q17</v>
      </c>
      <c r="T47" s="306"/>
      <c r="U47" s="307" t="s">
        <v>7</v>
      </c>
      <c r="V47" s="306"/>
      <c r="W47" s="307" t="s">
        <v>8</v>
      </c>
      <c r="X47" s="306"/>
      <c r="Y47" s="307" t="s">
        <v>9</v>
      </c>
      <c r="Z47" s="307"/>
      <c r="AA47" s="306"/>
      <c r="AB47" s="306"/>
      <c r="AC47" s="306"/>
      <c r="AD47" s="307"/>
      <c r="AE47" s="306"/>
      <c r="AF47" s="307" t="s">
        <v>26</v>
      </c>
      <c r="AG47" s="306"/>
      <c r="AH47" s="307" t="s">
        <v>27</v>
      </c>
      <c r="AI47" s="306"/>
      <c r="AJ47" s="307" t="str">
        <f>AJ4</f>
        <v>2015</v>
      </c>
      <c r="AK47" s="306"/>
      <c r="AL47" s="307" t="str">
        <f>AL4</f>
        <v>2016</v>
      </c>
      <c r="AM47" s="306"/>
      <c r="AN47" s="307" t="str">
        <f>AN4</f>
        <v>2017</v>
      </c>
      <c r="AO47" s="306"/>
      <c r="AP47" s="307" t="str">
        <f>AP4</f>
        <v>2018E</v>
      </c>
      <c r="AQ47" s="306"/>
      <c r="AR47" s="307" t="s">
        <v>30</v>
      </c>
      <c r="AS47" s="306"/>
      <c r="AT47" s="307" t="s">
        <v>31</v>
      </c>
      <c r="AU47" s="306"/>
      <c r="AV47" s="307" t="s">
        <v>31</v>
      </c>
      <c r="AW47" s="460" t="str">
        <f>AW4</f>
        <v>CAGR</v>
      </c>
    </row>
    <row r="48" spans="1:50" s="305" customFormat="1" ht="12.75" hidden="1" customHeight="1" outlineLevel="1">
      <c r="A48" s="461"/>
      <c r="B48" s="308" t="str">
        <f>B5</f>
        <v>1Q16</v>
      </c>
      <c r="C48" s="309" t="str">
        <f t="shared" ref="C48:AW48" si="54">C5</f>
        <v>% Chg</v>
      </c>
      <c r="D48" s="308" t="str">
        <f t="shared" si="54"/>
        <v>2Q16</v>
      </c>
      <c r="E48" s="309" t="str">
        <f t="shared" si="54"/>
        <v>% Chg</v>
      </c>
      <c r="F48" s="308" t="str">
        <f t="shared" si="54"/>
        <v>3Q16</v>
      </c>
      <c r="G48" s="309" t="str">
        <f t="shared" si="54"/>
        <v>% Chg</v>
      </c>
      <c r="H48" s="308" t="str">
        <f t="shared" si="54"/>
        <v>4Q16</v>
      </c>
      <c r="I48" s="309" t="str">
        <f t="shared" si="54"/>
        <v>% Chg</v>
      </c>
      <c r="J48" s="308" t="str">
        <f t="shared" si="54"/>
        <v>1Q17</v>
      </c>
      <c r="K48" s="309" t="str">
        <f t="shared" si="54"/>
        <v>% Chg</v>
      </c>
      <c r="L48" s="308" t="str">
        <f t="shared" si="54"/>
        <v>2Q17</v>
      </c>
      <c r="M48" s="309" t="str">
        <f t="shared" si="54"/>
        <v>% Chg</v>
      </c>
      <c r="N48" s="308" t="str">
        <f t="shared" si="54"/>
        <v>3Q17</v>
      </c>
      <c r="O48" s="309" t="str">
        <f t="shared" si="54"/>
        <v>% Chg</v>
      </c>
      <c r="P48" s="308" t="str">
        <f t="shared" si="54"/>
        <v>4Q17</v>
      </c>
      <c r="Q48" s="309" t="str">
        <f t="shared" si="54"/>
        <v>% Chg</v>
      </c>
      <c r="R48" s="308" t="str">
        <f t="shared" ref="R48:Y48" si="55">R5</f>
        <v>1Q18E</v>
      </c>
      <c r="S48" s="309" t="str">
        <f t="shared" si="55"/>
        <v>% Chg</v>
      </c>
      <c r="T48" s="308" t="str">
        <f t="shared" si="55"/>
        <v>2Q18E</v>
      </c>
      <c r="U48" s="309" t="str">
        <f t="shared" si="55"/>
        <v>% Chg</v>
      </c>
      <c r="V48" s="308" t="str">
        <f t="shared" si="55"/>
        <v>3Q18E</v>
      </c>
      <c r="W48" s="309" t="str">
        <f t="shared" si="55"/>
        <v>% Chg</v>
      </c>
      <c r="X48" s="308" t="str">
        <f t="shared" si="55"/>
        <v>4Q18E</v>
      </c>
      <c r="Y48" s="309" t="str">
        <f t="shared" si="55"/>
        <v>% Chg</v>
      </c>
      <c r="Z48" s="309">
        <f t="shared" si="54"/>
        <v>0</v>
      </c>
      <c r="AA48" s="308">
        <f t="shared" si="54"/>
        <v>0</v>
      </c>
      <c r="AB48" s="308">
        <f t="shared" si="54"/>
        <v>0</v>
      </c>
      <c r="AC48" s="308">
        <f t="shared" si="54"/>
        <v>2009</v>
      </c>
      <c r="AD48" s="309" t="str">
        <f t="shared" si="54"/>
        <v>% Chg</v>
      </c>
      <c r="AE48" s="308" t="str">
        <f t="shared" si="54"/>
        <v>2014</v>
      </c>
      <c r="AF48" s="309" t="str">
        <f t="shared" si="54"/>
        <v>% Chg</v>
      </c>
      <c r="AG48" s="308" t="str">
        <f t="shared" si="54"/>
        <v>2015</v>
      </c>
      <c r="AH48" s="309" t="str">
        <f t="shared" si="54"/>
        <v>% Chg</v>
      </c>
      <c r="AI48" s="308" t="str">
        <f t="shared" si="54"/>
        <v>2016</v>
      </c>
      <c r="AJ48" s="309" t="str">
        <f t="shared" si="54"/>
        <v>% Chg</v>
      </c>
      <c r="AK48" s="308" t="str">
        <f>AK5</f>
        <v>2017</v>
      </c>
      <c r="AL48" s="309" t="str">
        <f t="shared" si="54"/>
        <v>% Chg</v>
      </c>
      <c r="AM48" s="308" t="str">
        <f>AM5</f>
        <v>2018E</v>
      </c>
      <c r="AN48" s="309" t="str">
        <f t="shared" ref="AN48:AP48" si="56">AN5</f>
        <v>% Chg</v>
      </c>
      <c r="AO48" s="308" t="str">
        <f t="shared" si="54"/>
        <v>2019E</v>
      </c>
      <c r="AP48" s="309" t="str">
        <f t="shared" si="56"/>
        <v>% Chg</v>
      </c>
      <c r="AQ48" s="308" t="str">
        <f t="shared" si="54"/>
        <v>2020E</v>
      </c>
      <c r="AR48" s="309" t="str">
        <f t="shared" si="54"/>
        <v>% Chg</v>
      </c>
      <c r="AS48" s="308" t="str">
        <f t="shared" si="54"/>
        <v>2021E</v>
      </c>
      <c r="AT48" s="309" t="str">
        <f t="shared" si="54"/>
        <v>% Chg</v>
      </c>
      <c r="AU48" s="308" t="str">
        <f t="shared" ref="AU48:AV48" si="57">AU5</f>
        <v>2022E</v>
      </c>
      <c r="AV48" s="309" t="str">
        <f t="shared" si="57"/>
        <v>% Chg</v>
      </c>
      <c r="AW48" s="481" t="str">
        <f t="shared" si="54"/>
        <v>(%)</v>
      </c>
    </row>
    <row r="49" spans="1:49" ht="12.75" customHeight="1" collapsed="1">
      <c r="A49" s="463" t="s">
        <v>245</v>
      </c>
      <c r="B49" s="337"/>
      <c r="C49" s="307"/>
      <c r="D49" s="337"/>
      <c r="E49" s="307"/>
      <c r="F49" s="337"/>
      <c r="G49" s="307"/>
      <c r="H49" s="337"/>
      <c r="I49" s="307"/>
      <c r="J49" s="337"/>
      <c r="K49" s="307"/>
      <c r="L49" s="337"/>
      <c r="M49" s="307"/>
      <c r="N49" s="337"/>
      <c r="O49" s="307"/>
      <c r="P49" s="337"/>
      <c r="Q49" s="307"/>
      <c r="R49" s="337"/>
      <c r="S49" s="307"/>
      <c r="T49" s="337"/>
      <c r="U49" s="307"/>
      <c r="V49" s="337"/>
      <c r="W49" s="307"/>
      <c r="X49" s="337"/>
      <c r="Y49" s="307"/>
      <c r="Z49" s="307"/>
      <c r="AA49" s="338"/>
      <c r="AB49" s="338"/>
      <c r="AC49" s="337"/>
      <c r="AD49" s="307"/>
      <c r="AE49" s="337"/>
      <c r="AF49" s="307"/>
      <c r="AG49" s="337"/>
      <c r="AH49" s="307"/>
      <c r="AI49" s="337"/>
      <c r="AJ49" s="307"/>
      <c r="AK49" s="337"/>
      <c r="AL49" s="307"/>
      <c r="AM49" s="337"/>
      <c r="AN49" s="307"/>
      <c r="AO49" s="337"/>
      <c r="AP49" s="307"/>
      <c r="AQ49" s="337"/>
      <c r="AR49" s="307"/>
      <c r="AS49" s="337"/>
      <c r="AT49" s="307"/>
      <c r="AU49" s="337"/>
      <c r="AV49" s="307"/>
      <c r="AW49" s="460"/>
    </row>
    <row r="50" spans="1:49" ht="12.75" customHeight="1">
      <c r="A50" s="459" t="s">
        <v>77</v>
      </c>
      <c r="B50" s="313">
        <f>INPUT!C175</f>
        <v>186</v>
      </c>
      <c r="C50" s="307">
        <f>INPUT!D175</f>
        <v>0</v>
      </c>
      <c r="D50" s="313">
        <f>INPUT!E175</f>
        <v>186</v>
      </c>
      <c r="E50" s="307">
        <f>INPUT!F175</f>
        <v>0</v>
      </c>
      <c r="F50" s="313">
        <f>INPUT!G175</f>
        <v>185.9</v>
      </c>
      <c r="G50" s="307">
        <f>INPUT!H175</f>
        <v>0</v>
      </c>
      <c r="H50" s="313">
        <f>INPUT!I175</f>
        <v>189.6</v>
      </c>
      <c r="I50" s="307">
        <f>INPUT!J175</f>
        <v>0</v>
      </c>
      <c r="J50" s="313">
        <f>INPUT!K175</f>
        <v>192.4</v>
      </c>
      <c r="K50" s="307">
        <f>INPUT!L175</f>
        <v>3.4408602150537648</v>
      </c>
      <c r="L50" s="313">
        <f>INPUT!M175</f>
        <v>195.79999999999998</v>
      </c>
      <c r="M50" s="307">
        <f>INPUT!N175</f>
        <v>5.2688172043010573</v>
      </c>
      <c r="N50" s="313">
        <f>INPUT!O175</f>
        <v>196.3</v>
      </c>
      <c r="O50" s="307">
        <f>INPUT!P175</f>
        <v>5.5944055944056048</v>
      </c>
      <c r="P50" s="313">
        <f>INPUT!Q175</f>
        <v>196.7</v>
      </c>
      <c r="Q50" s="307">
        <f>INPUT!R175</f>
        <v>3.7447257383966148</v>
      </c>
      <c r="R50" s="313">
        <f>INPUT!S175</f>
        <v>196.9</v>
      </c>
      <c r="S50" s="307">
        <f>INPUT!T175</f>
        <v>2.3388773388773432</v>
      </c>
      <c r="T50" s="313">
        <f>INPUT!U175</f>
        <v>196.9</v>
      </c>
      <c r="U50" s="307">
        <f>INPUT!V175</f>
        <v>0.56179775280900124</v>
      </c>
      <c r="V50" s="313">
        <f>INPUT!W175</f>
        <v>196.9</v>
      </c>
      <c r="W50" s="307">
        <f>INPUT!X175</f>
        <v>0.30565461029037344</v>
      </c>
      <c r="X50" s="313">
        <f>INPUT!Y175</f>
        <v>196.9</v>
      </c>
      <c r="Y50" s="307">
        <f>INPUT!Z175</f>
        <v>0.10167768174886849</v>
      </c>
      <c r="Z50" s="307"/>
      <c r="AA50" s="320"/>
      <c r="AB50" s="320"/>
      <c r="AC50" s="313">
        <f>INPUT!AD175</f>
        <v>111.2</v>
      </c>
      <c r="AD50" s="307" t="str">
        <f>INPUT!AE175</f>
        <v>NA</v>
      </c>
      <c r="AE50" s="313">
        <f>INPUT!AF175</f>
        <v>131.4</v>
      </c>
      <c r="AF50" s="307">
        <f>INPUT!AG175</f>
        <v>18.165467625899279</v>
      </c>
      <c r="AG50" s="313">
        <f>INPUT!AH175</f>
        <v>175</v>
      </c>
      <c r="AH50" s="307">
        <f>INPUT!AI175</f>
        <v>33.181126331811249</v>
      </c>
      <c r="AI50" s="313">
        <f>INPUT!AJ175</f>
        <v>186.875</v>
      </c>
      <c r="AJ50" s="307">
        <f>INPUT!AK175</f>
        <v>6.7857142857142838</v>
      </c>
      <c r="AK50" s="313">
        <f>INPUT!AL175</f>
        <v>195.29999999999998</v>
      </c>
      <c r="AL50" s="307">
        <f>INPUT!AM175</f>
        <v>4.5083612040133669</v>
      </c>
      <c r="AM50" s="313">
        <f>INPUT!AN175</f>
        <v>196.9</v>
      </c>
      <c r="AN50" s="307">
        <f>INPUT!AO175</f>
        <v>0.81925243215565935</v>
      </c>
      <c r="AO50" s="313">
        <f>INPUT!AP175</f>
        <v>193.64099037343493</v>
      </c>
      <c r="AP50" s="307">
        <f>INPUT!AQ175</f>
        <v>-1.6551597900279713</v>
      </c>
      <c r="AQ50" s="313">
        <f>INPUT!AR175</f>
        <v>186.12285176400442</v>
      </c>
      <c r="AR50" s="307">
        <f>INPUT!AS175</f>
        <v>-3.8825140250170365</v>
      </c>
      <c r="AS50" s="313">
        <f>INPUT!AT175</f>
        <v>180.75822686430885</v>
      </c>
      <c r="AT50" s="307">
        <f>INPUT!AU175</f>
        <v>-2.8823031932143861</v>
      </c>
      <c r="AU50" s="313">
        <f>INPUT!AV175</f>
        <v>178.89550988524786</v>
      </c>
      <c r="AV50" s="307">
        <f>INPUT!AW175</f>
        <v>-1.0305019093041268</v>
      </c>
      <c r="AW50" s="460">
        <f>INPUT!AX175</f>
        <v>-1.7393937320907882</v>
      </c>
    </row>
    <row r="51" spans="1:49">
      <c r="A51" s="459" t="s">
        <v>78</v>
      </c>
      <c r="B51" s="313">
        <f>INPUT!C177</f>
        <v>186.1</v>
      </c>
      <c r="C51" s="307">
        <f>INPUT!D177</f>
        <v>0</v>
      </c>
      <c r="D51" s="313">
        <f>INPUT!E177</f>
        <v>186.5</v>
      </c>
      <c r="E51" s="307">
        <f>INPUT!F177</f>
        <v>0</v>
      </c>
      <c r="F51" s="313">
        <f>INPUT!G177</f>
        <v>184.4</v>
      </c>
      <c r="G51" s="307">
        <f>INPUT!H177</f>
        <v>0</v>
      </c>
      <c r="H51" s="313">
        <f>INPUT!I177</f>
        <v>195.2</v>
      </c>
      <c r="I51" s="307">
        <f>INPUT!J177</f>
        <v>0</v>
      </c>
      <c r="J51" s="313">
        <f>INPUT!K177</f>
        <v>195.6</v>
      </c>
      <c r="K51" s="307">
        <f>INPUT!L177</f>
        <v>5.1047823750671739</v>
      </c>
      <c r="L51" s="313">
        <f>INPUT!M177</f>
        <v>195.9</v>
      </c>
      <c r="M51" s="307">
        <f>INPUT!N177</f>
        <v>5.0402144772117907</v>
      </c>
      <c r="N51" s="313">
        <f>INPUT!O177</f>
        <v>196</v>
      </c>
      <c r="O51" s="307">
        <f>INPUT!P177</f>
        <v>6.2906724511930578</v>
      </c>
      <c r="P51" s="313">
        <f>INPUT!Q177</f>
        <v>196.1</v>
      </c>
      <c r="Q51" s="307">
        <f>INPUT!R177</f>
        <v>0.46106557377050272</v>
      </c>
      <c r="R51" s="313">
        <f>INPUT!S177</f>
        <v>196.9</v>
      </c>
      <c r="S51" s="307">
        <f>INPUT!T177</f>
        <v>0.66462167689163021</v>
      </c>
      <c r="T51" s="313">
        <f>INPUT!U177</f>
        <v>196.9</v>
      </c>
      <c r="U51" s="307">
        <f>INPUT!V177</f>
        <v>0.51046452271568121</v>
      </c>
      <c r="V51" s="313">
        <f>INPUT!W177</f>
        <v>196.9</v>
      </c>
      <c r="W51" s="307">
        <f>INPUT!X177</f>
        <v>0.45918367346939881</v>
      </c>
      <c r="X51" s="313">
        <f>INPUT!Y177</f>
        <v>196.9</v>
      </c>
      <c r="Y51" s="307">
        <f>INPUT!Z177</f>
        <v>0.40795512493625452</v>
      </c>
      <c r="Z51" s="307"/>
      <c r="AA51" s="320"/>
      <c r="AB51" s="320"/>
      <c r="AC51" s="313">
        <f>INPUT!AD177</f>
        <v>115.119</v>
      </c>
      <c r="AD51" s="307" t="str">
        <f>INPUT!AE177</f>
        <v>NA</v>
      </c>
      <c r="AE51" s="313">
        <f>INPUT!AF177</f>
        <v>131.619</v>
      </c>
      <c r="AF51" s="307">
        <f>INPUT!AG177</f>
        <v>14.332994553462065</v>
      </c>
      <c r="AG51" s="313">
        <f>INPUT!AH177</f>
        <v>175.01</v>
      </c>
      <c r="AH51" s="307">
        <f>INPUT!AI177</f>
        <v>32.96712480720867</v>
      </c>
      <c r="AI51" s="313">
        <f>INPUT!AJ177</f>
        <v>193.4</v>
      </c>
      <c r="AJ51" s="307">
        <f>INPUT!AK177</f>
        <v>10.507970973087266</v>
      </c>
      <c r="AK51" s="313">
        <f>INPUT!AL177</f>
        <v>195.9</v>
      </c>
      <c r="AL51" s="307">
        <f>INPUT!AM177</f>
        <v>1.292657704239919</v>
      </c>
      <c r="AM51" s="313">
        <f>INPUT!AN177</f>
        <v>196.9</v>
      </c>
      <c r="AN51" s="307">
        <f>INPUT!AO177</f>
        <v>0.51046452271568121</v>
      </c>
      <c r="AO51" s="313">
        <f>INPUT!AP177</f>
        <v>193.64099037343493</v>
      </c>
      <c r="AP51" s="307">
        <f>INPUT!AQ177</f>
        <v>-1.6551597900279713</v>
      </c>
      <c r="AQ51" s="313">
        <f>INPUT!AR177</f>
        <v>186.12285176400442</v>
      </c>
      <c r="AR51" s="307">
        <f>INPUT!AS177</f>
        <v>-3.8825140250170365</v>
      </c>
      <c r="AS51" s="313">
        <f>INPUT!AT177</f>
        <v>180.75822686430885</v>
      </c>
      <c r="AT51" s="307">
        <f>INPUT!AU177</f>
        <v>-2.8823031932143861</v>
      </c>
      <c r="AU51" s="313">
        <f>INPUT!AV177</f>
        <v>178.89550988524786</v>
      </c>
      <c r="AV51" s="307">
        <f>INPUT!AW177</f>
        <v>-1.0305019093041268</v>
      </c>
      <c r="AW51" s="460">
        <f>INPUT!AX177</f>
        <v>-1.7996578720550271</v>
      </c>
    </row>
    <row r="52" spans="1:49" ht="3" customHeight="1">
      <c r="A52" s="459"/>
      <c r="B52" s="337"/>
      <c r="C52" s="307"/>
      <c r="D52" s="337"/>
      <c r="E52" s="307"/>
      <c r="F52" s="337"/>
      <c r="G52" s="307"/>
      <c r="H52" s="337"/>
      <c r="I52" s="307"/>
      <c r="J52" s="337"/>
      <c r="K52" s="307"/>
      <c r="L52" s="337"/>
      <c r="M52" s="307"/>
      <c r="N52" s="337"/>
      <c r="O52" s="307"/>
      <c r="P52" s="337"/>
      <c r="Q52" s="307"/>
      <c r="R52" s="337"/>
      <c r="S52" s="307"/>
      <c r="T52" s="337"/>
      <c r="U52" s="307"/>
      <c r="V52" s="337"/>
      <c r="W52" s="307"/>
      <c r="X52" s="337"/>
      <c r="Y52" s="307"/>
      <c r="Z52" s="307"/>
      <c r="AA52" s="320"/>
      <c r="AB52" s="320"/>
      <c r="AC52" s="337"/>
      <c r="AD52" s="307"/>
      <c r="AE52" s="337"/>
      <c r="AF52" s="307"/>
      <c r="AG52" s="337"/>
      <c r="AH52" s="307"/>
      <c r="AI52" s="337"/>
      <c r="AJ52" s="307"/>
      <c r="AK52" s="337"/>
      <c r="AL52" s="307"/>
      <c r="AM52" s="337"/>
      <c r="AN52" s="307"/>
      <c r="AO52" s="337"/>
      <c r="AP52" s="307"/>
      <c r="AQ52" s="337"/>
      <c r="AR52" s="307"/>
      <c r="AS52" s="337"/>
      <c r="AT52" s="307"/>
      <c r="AU52" s="337"/>
      <c r="AV52" s="307"/>
      <c r="AW52" s="460"/>
    </row>
    <row r="53" spans="1:49">
      <c r="A53" s="463" t="s">
        <v>347</v>
      </c>
      <c r="B53" s="338"/>
      <c r="C53" s="307"/>
      <c r="D53" s="338"/>
      <c r="E53" s="307"/>
      <c r="F53" s="338"/>
      <c r="G53" s="307"/>
      <c r="H53" s="338"/>
      <c r="I53" s="307"/>
      <c r="J53" s="338"/>
      <c r="K53" s="307"/>
      <c r="L53" s="338"/>
      <c r="M53" s="307"/>
      <c r="N53" s="338"/>
      <c r="O53" s="307"/>
      <c r="P53" s="338"/>
      <c r="Q53" s="307"/>
      <c r="R53" s="338"/>
      <c r="S53" s="307"/>
      <c r="T53" s="338"/>
      <c r="U53" s="307"/>
      <c r="V53" s="338"/>
      <c r="W53" s="307"/>
      <c r="X53" s="338"/>
      <c r="Y53" s="307"/>
      <c r="Z53" s="307"/>
      <c r="AA53" s="338"/>
      <c r="AB53" s="338"/>
      <c r="AC53" s="338"/>
      <c r="AD53" s="307"/>
      <c r="AE53" s="338"/>
      <c r="AF53" s="307"/>
      <c r="AG53" s="338"/>
      <c r="AH53" s="307"/>
      <c r="AI53" s="338"/>
      <c r="AJ53" s="307"/>
      <c r="AK53" s="338"/>
      <c r="AL53" s="307"/>
      <c r="AM53" s="338"/>
      <c r="AN53" s="307"/>
      <c r="AO53" s="338"/>
      <c r="AP53" s="307"/>
      <c r="AQ53" s="338"/>
      <c r="AR53" s="307"/>
      <c r="AS53" s="338"/>
      <c r="AT53" s="307"/>
      <c r="AU53" s="338"/>
      <c r="AV53" s="307"/>
      <c r="AW53" s="460"/>
    </row>
    <row r="54" spans="1:49" ht="12.75" customHeight="1">
      <c r="A54" s="459" t="s">
        <v>117</v>
      </c>
      <c r="B54" s="313">
        <f>INPUT!C246</f>
        <v>5690</v>
      </c>
      <c r="C54" s="307">
        <f>INPUT!D246</f>
        <v>0</v>
      </c>
      <c r="D54" s="313">
        <f>INPUT!E246</f>
        <v>5868</v>
      </c>
      <c r="E54" s="307">
        <f>INPUT!F246</f>
        <v>0</v>
      </c>
      <c r="F54" s="313">
        <f>INPUT!G246</f>
        <v>6111</v>
      </c>
      <c r="G54" s="307">
        <f>INPUT!H246</f>
        <v>0</v>
      </c>
      <c r="H54" s="313">
        <f>INPUT!I246</f>
        <v>6491</v>
      </c>
      <c r="I54" s="307">
        <f>INPUT!J246</f>
        <v>0</v>
      </c>
      <c r="J54" s="313">
        <f>INPUT!K246</f>
        <v>6924</v>
      </c>
      <c r="K54" s="307">
        <f>INPUT!L246</f>
        <v>21.687170474516691</v>
      </c>
      <c r="L54" s="313">
        <f>INPUT!M246</f>
        <v>7224</v>
      </c>
      <c r="M54" s="307">
        <f>INPUT!N246</f>
        <v>23.108384458077701</v>
      </c>
      <c r="N54" s="313">
        <f>INPUT!O246</f>
        <v>7507</v>
      </c>
      <c r="O54" s="307">
        <f>INPUT!P246</f>
        <v>22.844051710031099</v>
      </c>
      <c r="P54" s="313">
        <f>INPUT!Q246</f>
        <v>7793</v>
      </c>
      <c r="Q54" s="307">
        <f>INPUT!R246</f>
        <v>20.058542597442617</v>
      </c>
      <c r="R54" s="313">
        <f>INPUT!S246</f>
        <v>9029.1531936655883</v>
      </c>
      <c r="S54" s="307">
        <f>INPUT!T246</f>
        <v>30.403714524344139</v>
      </c>
      <c r="T54" s="313">
        <f>INPUT!U246</f>
        <v>9271.7292648296971</v>
      </c>
      <c r="U54" s="307">
        <f>INPUT!V246</f>
        <v>28.346196910710098</v>
      </c>
      <c r="V54" s="313">
        <f>INPUT!W246</f>
        <v>9533.0389840579064</v>
      </c>
      <c r="W54" s="307">
        <f>INPUT!X246</f>
        <v>26.988663701317517</v>
      </c>
      <c r="X54" s="313">
        <f>INPUT!Y246</f>
        <v>9798.8818086366282</v>
      </c>
      <c r="Y54" s="307">
        <f>INPUT!Z246</f>
        <v>25.739533024979199</v>
      </c>
      <c r="Z54" s="307"/>
      <c r="AA54" s="320"/>
      <c r="AB54" s="320"/>
      <c r="AC54" s="313">
        <f>INPUT!AD246</f>
        <v>2673</v>
      </c>
      <c r="AD54" s="307" t="str">
        <f>INPUT!AE246</f>
        <v>NA</v>
      </c>
      <c r="AE54" s="313">
        <f>INPUT!AF246</f>
        <v>3898</v>
      </c>
      <c r="AF54" s="307">
        <f>INPUT!AG246</f>
        <v>45.828656939768052</v>
      </c>
      <c r="AG54" s="313">
        <f>INPUT!AH246</f>
        <v>5587</v>
      </c>
      <c r="AH54" s="307">
        <f>INPUT!AI246</f>
        <v>43.329912775782439</v>
      </c>
      <c r="AI54" s="313">
        <f>INPUT!AJ246</f>
        <v>6491</v>
      </c>
      <c r="AJ54" s="307">
        <f>INPUT!AK246</f>
        <v>16.180418829425449</v>
      </c>
      <c r="AK54" s="313">
        <f>INPUT!AL246</f>
        <v>7793</v>
      </c>
      <c r="AL54" s="307">
        <f>INPUT!AM246</f>
        <v>20.058542597442617</v>
      </c>
      <c r="AM54" s="313">
        <f>INPUT!AN246</f>
        <v>9798.8818086366282</v>
      </c>
      <c r="AN54" s="307">
        <f>INPUT!AO246</f>
        <v>25.739533024979199</v>
      </c>
      <c r="AO54" s="313">
        <f>INPUT!AP246</f>
        <v>10429.949724154671</v>
      </c>
      <c r="AP54" s="307">
        <f>INPUT!AQ246</f>
        <v>6.4402033603653264</v>
      </c>
      <c r="AQ54" s="313">
        <f>INPUT!AR246</f>
        <v>11181.292543038584</v>
      </c>
      <c r="AR54" s="307">
        <f>INPUT!AS246</f>
        <v>7.2037050873206221</v>
      </c>
      <c r="AS54" s="313">
        <f>INPUT!AT246</f>
        <v>12321.14974468435</v>
      </c>
      <c r="AT54" s="307">
        <f>INPUT!AU246</f>
        <v>10.194324111083519</v>
      </c>
      <c r="AU54" s="313">
        <f>INPUT!AV246</f>
        <v>13541.234957032328</v>
      </c>
      <c r="AV54" s="307">
        <f>INPUT!AW246</f>
        <v>9.9023649385833856</v>
      </c>
      <c r="AW54" s="460">
        <f>INPUT!AX246</f>
        <v>11.683938160557306</v>
      </c>
    </row>
    <row r="55" spans="1:49" s="305" customFormat="1" ht="12.75" customHeight="1">
      <c r="A55" s="459" t="s">
        <v>119</v>
      </c>
      <c r="B55" s="339">
        <f>INPUT!C247</f>
        <v>30.55853920515575</v>
      </c>
      <c r="C55" s="307">
        <f>INPUT!D247</f>
        <v>0</v>
      </c>
      <c r="D55" s="339">
        <f>INPUT!E247</f>
        <v>31.463806970509385</v>
      </c>
      <c r="E55" s="307">
        <f>INPUT!F247</f>
        <v>0</v>
      </c>
      <c r="F55" s="339">
        <f>INPUT!G247</f>
        <v>31.53250773993808</v>
      </c>
      <c r="G55" s="307">
        <f>INPUT!H247</f>
        <v>0</v>
      </c>
      <c r="H55" s="339">
        <f>INPUT!I247</f>
        <v>33.049898167006106</v>
      </c>
      <c r="I55" s="307">
        <f>INPUT!J247</f>
        <v>0</v>
      </c>
      <c r="J55" s="339">
        <f>INPUT!K247</f>
        <v>35.165058405281869</v>
      </c>
      <c r="K55" s="307" t="str">
        <f>INPUT!L247</f>
        <v>NA</v>
      </c>
      <c r="L55" s="339">
        <f>INPUT!M247</f>
        <v>36.725978647686837</v>
      </c>
      <c r="M55" s="307" t="str">
        <f>INPUT!N247</f>
        <v>NA</v>
      </c>
      <c r="N55" s="339">
        <f>INPUT!O247</f>
        <v>38.09692971327074</v>
      </c>
      <c r="O55" s="307" t="str">
        <f>INPUT!P247</f>
        <v>NA</v>
      </c>
      <c r="P55" s="339">
        <f>INPUT!Q247</f>
        <v>39.578466226510919</v>
      </c>
      <c r="Q55" s="307" t="str">
        <f>INPUT!R247</f>
        <v>NA</v>
      </c>
      <c r="R55" s="339">
        <f>INPUT!S247</f>
        <v>40.777822212623605</v>
      </c>
      <c r="S55" s="307" t="str">
        <f>INPUT!T247</f>
        <v>NA</v>
      </c>
      <c r="T55" s="339">
        <f>INPUT!U247</f>
        <v>42.009798196189422</v>
      </c>
      <c r="U55" s="307" t="str">
        <f>INPUT!V247</f>
        <v>NA</v>
      </c>
      <c r="V55" s="339">
        <f>INPUT!W247</f>
        <v>43.336917135895916</v>
      </c>
      <c r="W55" s="307" t="str">
        <f>INPUT!X247</f>
        <v>NA</v>
      </c>
      <c r="X55" s="339">
        <f>INPUT!Y247</f>
        <v>44.687058449144885</v>
      </c>
      <c r="Y55" s="307" t="str">
        <f>INPUT!Z247</f>
        <v>NA</v>
      </c>
      <c r="Z55" s="307"/>
      <c r="AA55" s="337"/>
      <c r="AB55" s="337"/>
      <c r="AC55" s="339">
        <f>INPUT!AD247</f>
        <v>24.03776978417266</v>
      </c>
      <c r="AD55" s="307" t="str">
        <f>INPUT!AE247</f>
        <v>NA</v>
      </c>
      <c r="AE55" s="339">
        <f>INPUT!AF247</f>
        <v>29.665144596651444</v>
      </c>
      <c r="AF55" s="307">
        <f>INPUT!AG247</f>
        <v>23.410552904887428</v>
      </c>
      <c r="AG55" s="339">
        <f>INPUT!AH247</f>
        <v>31.925714285714285</v>
      </c>
      <c r="AH55" s="307">
        <f>INPUT!AI247</f>
        <v>7.6202887927875107</v>
      </c>
      <c r="AI55" s="339">
        <f>INPUT!AJ247</f>
        <v>33.049898167006106</v>
      </c>
      <c r="AJ55" s="307">
        <f>INPUT!AK247</f>
        <v>3.5212489569727667</v>
      </c>
      <c r="AK55" s="339">
        <f>INPUT!AL247</f>
        <v>39.578466226510919</v>
      </c>
      <c r="AL55" s="307">
        <f>INPUT!AM247</f>
        <v>19.753670726956486</v>
      </c>
      <c r="AM55" s="339">
        <f>INPUT!AN247</f>
        <v>44.687058449144885</v>
      </c>
      <c r="AN55" s="307">
        <f>INPUT!AO247</f>
        <v>12.907504281234793</v>
      </c>
      <c r="AO55" s="339">
        <f>INPUT!AP247</f>
        <v>49.856863305118395</v>
      </c>
      <c r="AP55" s="307">
        <f>INPUT!AQ247</f>
        <v>11.568908394041856</v>
      </c>
      <c r="AQ55" s="339">
        <f>INPUT!AR247</f>
        <v>55.954791341181497</v>
      </c>
      <c r="AR55" s="307">
        <f>INPUT!AS247</f>
        <v>12.23086979769359</v>
      </c>
      <c r="AS55" s="339">
        <f>INPUT!AT247</f>
        <v>63.049128159140054</v>
      </c>
      <c r="AT55" s="307">
        <f>INPUT!AU247</f>
        <v>12.678694081264986</v>
      </c>
      <c r="AU55" s="339">
        <f>INPUT!AV247</f>
        <v>70.717296872413996</v>
      </c>
      <c r="AV55" s="307">
        <f>INPUT!AW247</f>
        <v>12.162212130703832</v>
      </c>
      <c r="AW55" s="460">
        <f>INPUT!AX247</f>
        <v>12.308683993006975</v>
      </c>
    </row>
    <row r="56" spans="1:49" s="305" customFormat="1" ht="12.75" customHeight="1">
      <c r="A56" s="459" t="s">
        <v>188</v>
      </c>
      <c r="B56" s="339">
        <f>INPUT!C248</f>
        <v>30.591397849462364</v>
      </c>
      <c r="C56" s="307">
        <f>INPUT!D248</f>
        <v>0</v>
      </c>
      <c r="D56" s="339">
        <f>INPUT!E248</f>
        <v>31.548387096774192</v>
      </c>
      <c r="E56" s="307">
        <f>INPUT!F248</f>
        <v>0</v>
      </c>
      <c r="F56" s="339">
        <f>INPUT!G248</f>
        <v>32.872512103281331</v>
      </c>
      <c r="G56" s="307">
        <f>INPUT!H248</f>
        <v>0</v>
      </c>
      <c r="H56" s="339">
        <f>INPUT!I248</f>
        <v>34.235232067510552</v>
      </c>
      <c r="I56" s="307">
        <f>INPUT!J248</f>
        <v>0</v>
      </c>
      <c r="J56" s="339">
        <f>INPUT!K248</f>
        <v>35.987525987525984</v>
      </c>
      <c r="K56" s="307" t="str">
        <f>INPUT!L248</f>
        <v>NA</v>
      </c>
      <c r="L56" s="339">
        <f>INPUT!M248</f>
        <v>36.894790602655775</v>
      </c>
      <c r="M56" s="307" t="str">
        <f>INPUT!N248</f>
        <v>NA</v>
      </c>
      <c r="N56" s="339">
        <f>INPUT!O248</f>
        <v>38.24248599083036</v>
      </c>
      <c r="O56" s="307" t="str">
        <f>INPUT!P248</f>
        <v>NA</v>
      </c>
      <c r="P56" s="339">
        <f>INPUT!Q248</f>
        <v>39.618708693441789</v>
      </c>
      <c r="Q56" s="307" t="str">
        <f>INPUT!R248</f>
        <v>NA</v>
      </c>
      <c r="R56" s="339">
        <f>INPUT!S248</f>
        <v>45.856542375142652</v>
      </c>
      <c r="S56" s="307" t="str">
        <f>INPUT!T248</f>
        <v>NA</v>
      </c>
      <c r="T56" s="339">
        <f>INPUT!U248</f>
        <v>47.088518358708463</v>
      </c>
      <c r="U56" s="307" t="str">
        <f>INPUT!V248</f>
        <v>NA</v>
      </c>
      <c r="V56" s="339">
        <f>INPUT!W248</f>
        <v>48.415637298414964</v>
      </c>
      <c r="W56" s="307" t="str">
        <f>INPUT!X248</f>
        <v>NA</v>
      </c>
      <c r="X56" s="339">
        <f>INPUT!Y248</f>
        <v>49.765778611663933</v>
      </c>
      <c r="Y56" s="307" t="str">
        <f>INPUT!Z248</f>
        <v>NA</v>
      </c>
      <c r="Z56" s="307"/>
      <c r="AA56" s="337"/>
      <c r="AB56" s="337"/>
      <c r="AC56" s="339">
        <f>INPUT!AD248</f>
        <v>24.03776978417266</v>
      </c>
      <c r="AD56" s="307" t="str">
        <f>INPUT!AE248</f>
        <v>NA</v>
      </c>
      <c r="AE56" s="339">
        <f>INPUT!AF248</f>
        <v>29.665144596651444</v>
      </c>
      <c r="AF56" s="307">
        <f>INPUT!AG248</f>
        <v>23.410552904887428</v>
      </c>
      <c r="AG56" s="339">
        <f>INPUT!AH248</f>
        <v>31.925714285714285</v>
      </c>
      <c r="AH56" s="307">
        <f>INPUT!AI248</f>
        <v>7.6202887927875107</v>
      </c>
      <c r="AI56" s="339">
        <f>INPUT!AJ248</f>
        <v>34.734448160535116</v>
      </c>
      <c r="AJ56" s="307">
        <f>INPUT!AK248</f>
        <v>8.7977166295623022</v>
      </c>
      <c r="AK56" s="339">
        <f>INPUT!AL248</f>
        <v>39.902713773681519</v>
      </c>
      <c r="AL56" s="307">
        <f>INPUT!AM248</f>
        <v>14.879365836646642</v>
      </c>
      <c r="AM56" s="339">
        <f>INPUT!AN248</f>
        <v>49.765778611663933</v>
      </c>
      <c r="AN56" s="307">
        <f>INPUT!AO248</f>
        <v>24.717779582419674</v>
      </c>
      <c r="AO56" s="339">
        <f>INPUT!AP248</f>
        <v>53.862303141708814</v>
      </c>
      <c r="AP56" s="307">
        <f>INPUT!AQ248</f>
        <v>8.2316094399148998</v>
      </c>
      <c r="AQ56" s="339">
        <f>INPUT!AR248</f>
        <v>60.074797033606437</v>
      </c>
      <c r="AR56" s="307">
        <f>INPUT!AS248</f>
        <v>11.534029422308368</v>
      </c>
      <c r="AS56" s="339">
        <f>INPUT!AT248</f>
        <v>68.163701085282057</v>
      </c>
      <c r="AT56" s="307">
        <f>INPUT!AU248</f>
        <v>13.46472139914281</v>
      </c>
      <c r="AU56" s="339">
        <f>INPUT!AV248</f>
        <v>75.693542927479413</v>
      </c>
      <c r="AV56" s="307">
        <f>INPUT!AW248</f>
        <v>11.046703336687225</v>
      </c>
      <c r="AW56" s="460">
        <f>INPUT!AX248</f>
        <v>13.660949593623673</v>
      </c>
    </row>
    <row r="57" spans="1:49" ht="3" customHeight="1">
      <c r="A57" s="459"/>
      <c r="B57" s="337"/>
      <c r="C57" s="307"/>
      <c r="D57" s="337"/>
      <c r="E57" s="307"/>
      <c r="F57" s="337"/>
      <c r="G57" s="307"/>
      <c r="H57" s="337"/>
      <c r="I57" s="307"/>
      <c r="J57" s="337"/>
      <c r="K57" s="307"/>
      <c r="L57" s="337"/>
      <c r="M57" s="307"/>
      <c r="N57" s="337"/>
      <c r="O57" s="307"/>
      <c r="P57" s="337"/>
      <c r="Q57" s="307"/>
      <c r="R57" s="337"/>
      <c r="S57" s="307"/>
      <c r="T57" s="337"/>
      <c r="U57" s="307"/>
      <c r="V57" s="337"/>
      <c r="W57" s="307"/>
      <c r="X57" s="337"/>
      <c r="Y57" s="307"/>
      <c r="Z57" s="307"/>
      <c r="AA57" s="320"/>
      <c r="AB57" s="320"/>
      <c r="AC57" s="337"/>
      <c r="AD57" s="307"/>
      <c r="AE57" s="337"/>
      <c r="AF57" s="307"/>
      <c r="AG57" s="337"/>
      <c r="AH57" s="307"/>
      <c r="AI57" s="337"/>
      <c r="AJ57" s="307"/>
      <c r="AK57" s="337"/>
      <c r="AL57" s="307"/>
      <c r="AM57" s="337"/>
      <c r="AN57" s="307"/>
      <c r="AO57" s="337"/>
      <c r="AP57" s="307"/>
      <c r="AQ57" s="337"/>
      <c r="AR57" s="307"/>
      <c r="AS57" s="337"/>
      <c r="AT57" s="307"/>
      <c r="AU57" s="337"/>
      <c r="AV57" s="307"/>
      <c r="AW57" s="460"/>
    </row>
    <row r="58" spans="1:49" ht="12.75" customHeight="1">
      <c r="A58" s="463" t="s">
        <v>348</v>
      </c>
      <c r="B58" s="337"/>
      <c r="C58" s="307"/>
      <c r="D58" s="337"/>
      <c r="E58" s="307"/>
      <c r="F58" s="337"/>
      <c r="G58" s="307"/>
      <c r="H58" s="337"/>
      <c r="I58" s="307"/>
      <c r="J58" s="337"/>
      <c r="K58" s="307"/>
      <c r="L58" s="337"/>
      <c r="M58" s="307"/>
      <c r="N58" s="337"/>
      <c r="O58" s="307"/>
      <c r="P58" s="337"/>
      <c r="Q58" s="307"/>
      <c r="R58" s="337"/>
      <c r="S58" s="307"/>
      <c r="T58" s="337"/>
      <c r="U58" s="307"/>
      <c r="V58" s="337"/>
      <c r="W58" s="307"/>
      <c r="X58" s="337"/>
      <c r="Y58" s="307"/>
      <c r="Z58" s="330"/>
      <c r="AA58" s="348"/>
      <c r="AB58" s="348"/>
      <c r="AC58" s="337"/>
      <c r="AD58" s="307"/>
      <c r="AE58" s="337"/>
      <c r="AF58" s="307"/>
      <c r="AG58" s="337"/>
      <c r="AH58" s="307"/>
      <c r="AI58" s="337"/>
      <c r="AJ58" s="307"/>
      <c r="AK58" s="337"/>
      <c r="AL58" s="307"/>
      <c r="AM58" s="337"/>
      <c r="AN58" s="307"/>
      <c r="AO58" s="337"/>
      <c r="AP58" s="307"/>
      <c r="AQ58" s="337"/>
      <c r="AR58" s="307"/>
      <c r="AS58" s="337"/>
      <c r="AT58" s="307"/>
      <c r="AU58" s="337"/>
      <c r="AV58" s="307"/>
      <c r="AW58" s="460"/>
    </row>
    <row r="59" spans="1:49" ht="12.75" customHeight="1">
      <c r="A59" s="459" t="s">
        <v>117</v>
      </c>
      <c r="B59" s="313">
        <f>INPUT!C251</f>
        <v>5638</v>
      </c>
      <c r="C59" s="307">
        <f>INPUT!D251</f>
        <v>0</v>
      </c>
      <c r="D59" s="313">
        <f>INPUT!E251</f>
        <v>6437</v>
      </c>
      <c r="E59" s="307">
        <f>INPUT!F251</f>
        <v>0</v>
      </c>
      <c r="F59" s="313">
        <f>INPUT!G251</f>
        <v>7031</v>
      </c>
      <c r="G59" s="307">
        <f>INPUT!H251</f>
        <v>0</v>
      </c>
      <c r="H59" s="313">
        <f>INPUT!I251</f>
        <v>6858</v>
      </c>
      <c r="I59" s="307">
        <f>INPUT!J251</f>
        <v>0</v>
      </c>
      <c r="J59" s="313">
        <f>INPUT!K251</f>
        <v>7597</v>
      </c>
      <c r="K59" s="307">
        <f>INPUT!L251</f>
        <v>34.746363958850644</v>
      </c>
      <c r="L59" s="313">
        <f>INPUT!M251</f>
        <v>8284</v>
      </c>
      <c r="M59" s="307">
        <f>INPUT!N251</f>
        <v>28.693490756563623</v>
      </c>
      <c r="N59" s="313">
        <f>INPUT!O251</f>
        <v>8669</v>
      </c>
      <c r="O59" s="307">
        <f>INPUT!P251</f>
        <v>23.296828331674014</v>
      </c>
      <c r="P59" s="313">
        <f>INPUT!Q251</f>
        <v>9208</v>
      </c>
      <c r="Q59" s="307">
        <f>INPUT!R251</f>
        <v>34.266550014581519</v>
      </c>
      <c r="R59" s="313">
        <f>INPUT!S251</f>
        <v>10444.153193665588</v>
      </c>
      <c r="S59" s="307">
        <f>INPUT!T251</f>
        <v>37.477335707063155</v>
      </c>
      <c r="T59" s="313">
        <f>INPUT!U251</f>
        <v>10686.729264829697</v>
      </c>
      <c r="U59" s="307">
        <f>INPUT!V251</f>
        <v>29.00445756675154</v>
      </c>
      <c r="V59" s="313">
        <f>INPUT!W251</f>
        <v>10948.038984057906</v>
      </c>
      <c r="W59" s="307">
        <f>INPUT!X251</f>
        <v>26.289525712976204</v>
      </c>
      <c r="X59" s="313">
        <f>INPUT!Y251</f>
        <v>11213.881808636628</v>
      </c>
      <c r="Y59" s="307">
        <f>INPUT!Z251</f>
        <v>21.784120423942532</v>
      </c>
      <c r="Z59" s="307"/>
      <c r="AA59" s="320"/>
      <c r="AB59" s="320"/>
      <c r="AC59" s="313">
        <f>INPUT!AD251</f>
        <v>2743</v>
      </c>
      <c r="AD59" s="307" t="str">
        <f>INPUT!AE251</f>
        <v>NA</v>
      </c>
      <c r="AE59" s="313">
        <f>INPUT!AF251</f>
        <v>4542</v>
      </c>
      <c r="AF59" s="307">
        <f>INPUT!AG251</f>
        <v>65.585125774699236</v>
      </c>
      <c r="AG59" s="313">
        <f>INPUT!AH251</f>
        <v>5352</v>
      </c>
      <c r="AH59" s="307">
        <f>INPUT!AI251</f>
        <v>17.833553500660493</v>
      </c>
      <c r="AI59" s="313">
        <f>INPUT!AJ251</f>
        <v>6858</v>
      </c>
      <c r="AJ59" s="307">
        <f>INPUT!AK251</f>
        <v>28.139013452914806</v>
      </c>
      <c r="AK59" s="313">
        <f>INPUT!AL251</f>
        <v>9208</v>
      </c>
      <c r="AL59" s="307">
        <f>INPUT!AM251</f>
        <v>34.266550014581519</v>
      </c>
      <c r="AM59" s="313">
        <f>INPUT!AN251</f>
        <v>11213.881808636628</v>
      </c>
      <c r="AN59" s="307">
        <f>INPUT!AO251</f>
        <v>21.784120423942532</v>
      </c>
      <c r="AO59" s="313">
        <f>INPUT!AP251</f>
        <v>11844.949724154671</v>
      </c>
      <c r="AP59" s="307">
        <f>INPUT!AQ251</f>
        <v>5.6275598966275098</v>
      </c>
      <c r="AQ59" s="313">
        <f>INPUT!AR251</f>
        <v>12596.292543038584</v>
      </c>
      <c r="AR59" s="307">
        <f>INPUT!AS251</f>
        <v>6.3431490751855835</v>
      </c>
      <c r="AS59" s="313">
        <f>INPUT!AT251</f>
        <v>13736.14974468435</v>
      </c>
      <c r="AT59" s="307">
        <f>INPUT!AU251</f>
        <v>9.0491483724368891</v>
      </c>
      <c r="AU59" s="313">
        <f>INPUT!AV251</f>
        <v>14956.234957032328</v>
      </c>
      <c r="AV59" s="307">
        <f>INPUT!AW251</f>
        <v>8.8822940563830777</v>
      </c>
      <c r="AW59" s="460">
        <f>INPUT!AX251</f>
        <v>10.187262537519004</v>
      </c>
    </row>
    <row r="60" spans="1:49" s="357" customFormat="1" ht="12.75" customHeight="1">
      <c r="A60" s="482" t="s">
        <v>119</v>
      </c>
      <c r="B60" s="483">
        <f>INPUT!C252</f>
        <v>30.279269602577877</v>
      </c>
      <c r="C60" s="484">
        <f>INPUT!D252</f>
        <v>0</v>
      </c>
      <c r="D60" s="483">
        <f>INPUT!E252</f>
        <v>34.574068106133851</v>
      </c>
      <c r="E60" s="484">
        <f>INPUT!F252</f>
        <v>0</v>
      </c>
      <c r="F60" s="483">
        <f>INPUT!G252</f>
        <v>36.001024065540193</v>
      </c>
      <c r="G60" s="484">
        <f>INPUT!H252</f>
        <v>0</v>
      </c>
      <c r="H60" s="483">
        <f>INPUT!I252</f>
        <v>35.663026521060843</v>
      </c>
      <c r="I60" s="484">
        <f>INPUT!J252</f>
        <v>0</v>
      </c>
      <c r="J60" s="483">
        <f>INPUT!K252</f>
        <v>39.06916945230136</v>
      </c>
      <c r="K60" s="484" t="str">
        <f>INPUT!L252</f>
        <v>NA</v>
      </c>
      <c r="L60" s="483">
        <f>INPUT!M252</f>
        <v>42.200713194090689</v>
      </c>
      <c r="M60" s="484" t="str">
        <f>INPUT!N252</f>
        <v>NA</v>
      </c>
      <c r="N60" s="483">
        <f>INPUT!O252</f>
        <v>44.161996943453893</v>
      </c>
      <c r="O60" s="484" t="str">
        <f>INPUT!P252</f>
        <v>NA</v>
      </c>
      <c r="P60" s="483">
        <f>INPUT!Q252</f>
        <v>46.764855256475364</v>
      </c>
      <c r="Q60" s="484" t="str">
        <f>INPUT!R252</f>
        <v>NA</v>
      </c>
      <c r="R60" s="483">
        <f>INPUT!S252</f>
        <v>47.964211242588057</v>
      </c>
      <c r="S60" s="484" t="str">
        <f>INPUT!T252</f>
        <v>NA</v>
      </c>
      <c r="T60" s="483">
        <f>INPUT!U252</f>
        <v>49.196187226153867</v>
      </c>
      <c r="U60" s="484" t="str">
        <f>INPUT!V252</f>
        <v>NA</v>
      </c>
      <c r="V60" s="483">
        <f>INPUT!W252</f>
        <v>50.523306165860369</v>
      </c>
      <c r="W60" s="484" t="str">
        <f>INPUT!X252</f>
        <v>NA</v>
      </c>
      <c r="X60" s="483">
        <f>INPUT!Y252</f>
        <v>51.873447479109338</v>
      </c>
      <c r="Y60" s="484" t="str">
        <f>INPUT!Z252</f>
        <v>NA</v>
      </c>
      <c r="Z60" s="484">
        <f>INPUT!AA252</f>
        <v>0</v>
      </c>
      <c r="AA60" s="485"/>
      <c r="AB60" s="485"/>
      <c r="AC60" s="483">
        <f>INPUT!AD252</f>
        <v>24.667266187050359</v>
      </c>
      <c r="AD60" s="484" t="str">
        <f>INPUT!AE252</f>
        <v>NA</v>
      </c>
      <c r="AE60" s="483">
        <f>INPUT!AF252</f>
        <v>34.566210045662096</v>
      </c>
      <c r="AF60" s="484">
        <f>INPUT!AG252</f>
        <v>40.129878128969196</v>
      </c>
      <c r="AG60" s="483">
        <f>INPUT!AH252</f>
        <v>30.582857142857144</v>
      </c>
      <c r="AH60" s="484">
        <f>INPUT!AI252</f>
        <v>-11.523834685789758</v>
      </c>
      <c r="AI60" s="483">
        <f>INPUT!AJ252</f>
        <v>34.918533604887983</v>
      </c>
      <c r="AJ60" s="484">
        <f>INPUT!AK252</f>
        <v>14.176819522709216</v>
      </c>
      <c r="AK60" s="483">
        <f>INPUT!AL252</f>
        <v>46.764855256475364</v>
      </c>
      <c r="AL60" s="484">
        <f>INPUT!AM252</f>
        <v>33.925598897226038</v>
      </c>
      <c r="AM60" s="483">
        <f>INPUT!AN252</f>
        <v>51.873447479109338</v>
      </c>
      <c r="AN60" s="484">
        <f>INPUT!AO252</f>
        <v>10.923998790580258</v>
      </c>
      <c r="AO60" s="483">
        <f>INPUT!AP252</f>
        <v>57.338076210849621</v>
      </c>
      <c r="AP60" s="484">
        <f>INPUT!AQ252</f>
        <v>10.53453934007571</v>
      </c>
      <c r="AQ60" s="483">
        <f>INPUT!AR252</f>
        <v>63.731410018336405</v>
      </c>
      <c r="AR60" s="484">
        <f>INPUT!AS252</f>
        <v>11.150241218377378</v>
      </c>
      <c r="AS60" s="483">
        <f>INPUT!AT252</f>
        <v>70.929468792128532</v>
      </c>
      <c r="AT60" s="484">
        <f>INPUT!AU252</f>
        <v>11.294366108832588</v>
      </c>
      <c r="AU60" s="483">
        <f>INPUT!AV252</f>
        <v>78.696174185318156</v>
      </c>
      <c r="AV60" s="484">
        <f>INPUT!AW252</f>
        <v>10.949899280863562</v>
      </c>
      <c r="AW60" s="486">
        <f>INPUT!AX252</f>
        <v>10.97031147601073</v>
      </c>
    </row>
    <row r="61" spans="1:49" ht="12.75" customHeight="1">
      <c r="A61" s="349"/>
      <c r="B61" s="350"/>
      <c r="D61" s="350"/>
      <c r="F61" s="350"/>
      <c r="H61" s="350"/>
      <c r="J61" s="350"/>
      <c r="L61" s="350"/>
      <c r="N61" s="350"/>
      <c r="P61" s="350"/>
      <c r="R61" s="350"/>
      <c r="T61" s="350"/>
      <c r="V61" s="350"/>
      <c r="X61" s="350"/>
      <c r="Z61" s="301"/>
      <c r="AC61" s="350"/>
      <c r="AE61" s="350"/>
      <c r="AG61" s="350"/>
      <c r="AI61" s="350"/>
      <c r="AK61" s="350"/>
      <c r="AM61" s="350"/>
      <c r="AO61" s="350"/>
      <c r="AQ61" s="350"/>
      <c r="AS61" s="350"/>
      <c r="AU61" s="350"/>
    </row>
    <row r="62" spans="1:49" ht="12.75" customHeight="1">
      <c r="A62" s="343" t="s">
        <v>242</v>
      </c>
      <c r="B62" s="344"/>
      <c r="C62" s="345"/>
      <c r="D62" s="344"/>
      <c r="E62" s="345"/>
      <c r="F62" s="344"/>
      <c r="G62" s="345"/>
      <c r="H62" s="344"/>
      <c r="I62" s="345"/>
      <c r="J62" s="344"/>
      <c r="K62" s="345"/>
      <c r="L62" s="344"/>
      <c r="M62" s="345"/>
      <c r="N62" s="344"/>
      <c r="O62" s="345"/>
      <c r="P62" s="344"/>
      <c r="Q62" s="345"/>
      <c r="R62" s="344"/>
      <c r="S62" s="345"/>
      <c r="T62" s="344"/>
      <c r="U62" s="345"/>
      <c r="V62" s="344"/>
      <c r="W62" s="345"/>
      <c r="X62" s="344"/>
      <c r="Y62" s="345"/>
      <c r="Z62" s="346"/>
      <c r="AA62" s="344"/>
      <c r="AB62" s="344"/>
      <c r="AC62" s="345"/>
      <c r="AD62" s="346"/>
      <c r="AE62" s="345"/>
      <c r="AF62" s="346"/>
      <c r="AG62" s="345"/>
      <c r="AH62" s="346"/>
      <c r="AI62" s="345"/>
      <c r="AJ62" s="346"/>
      <c r="AK62" s="345"/>
      <c r="AL62" s="346"/>
      <c r="AM62" s="345"/>
      <c r="AN62" s="346"/>
      <c r="AO62" s="345"/>
      <c r="AP62" s="346"/>
      <c r="AQ62" s="345"/>
      <c r="AS62" s="345"/>
      <c r="AU62" s="345"/>
    </row>
    <row r="63" spans="1:49" ht="12.75" customHeight="1">
      <c r="A63" s="343" t="s">
        <v>243</v>
      </c>
      <c r="B63" s="344"/>
      <c r="C63" s="345"/>
      <c r="D63" s="344"/>
      <c r="E63" s="345"/>
      <c r="F63" s="344"/>
      <c r="G63" s="345"/>
      <c r="H63" s="344"/>
      <c r="I63" s="345"/>
      <c r="J63" s="344"/>
      <c r="K63" s="345"/>
      <c r="L63" s="344"/>
      <c r="M63" s="345"/>
      <c r="N63" s="344"/>
      <c r="O63" s="345"/>
      <c r="P63" s="344"/>
      <c r="Q63" s="345"/>
      <c r="R63" s="344"/>
      <c r="S63" s="345"/>
      <c r="T63" s="344"/>
      <c r="U63" s="345"/>
      <c r="V63" s="344"/>
      <c r="W63" s="345"/>
      <c r="X63" s="344"/>
      <c r="Y63" s="345"/>
      <c r="Z63" s="346"/>
      <c r="AA63" s="344"/>
      <c r="AB63" s="344"/>
      <c r="AC63" s="345"/>
      <c r="AD63" s="346"/>
      <c r="AE63" s="345"/>
      <c r="AF63" s="346"/>
      <c r="AG63" s="345"/>
      <c r="AH63" s="346"/>
      <c r="AI63" s="345"/>
      <c r="AJ63" s="346"/>
      <c r="AK63" s="345"/>
      <c r="AL63" s="346"/>
      <c r="AM63" s="345"/>
      <c r="AN63" s="346"/>
      <c r="AO63" s="345"/>
      <c r="AP63" s="346"/>
      <c r="AQ63" s="345"/>
      <c r="AS63" s="345"/>
      <c r="AU63" s="345"/>
    </row>
    <row r="64" spans="1:49" ht="12.75" customHeight="1">
      <c r="A64" s="349"/>
      <c r="Z64" s="301"/>
    </row>
  </sheetData>
  <pageMargins left="0" right="0" top="0" bottom="0" header="0" footer="0"/>
  <pageSetup paperSize="5" scale="95" orientation="landscape" r:id="rId1"/>
  <ignoredErrors>
    <ignoredError sqref="AV5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AO62"/>
  <sheetViews>
    <sheetView showGridLines="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AP25" sqref="AP25"/>
    </sheetView>
  </sheetViews>
  <sheetFormatPr defaultRowHeight="12.75" outlineLevelRow="1" outlineLevelCol="1"/>
  <cols>
    <col min="1" max="1" width="30.7109375" style="298" customWidth="1"/>
    <col min="2" max="2" width="7.42578125" style="298" customWidth="1"/>
    <col min="3" max="3" width="7.42578125" style="301" hidden="1" customWidth="1" outlineLevel="1"/>
    <col min="4" max="4" width="7.42578125" style="298" customWidth="1" collapsed="1"/>
    <col min="5" max="5" width="7.42578125" style="301" hidden="1" customWidth="1" outlineLevel="1"/>
    <col min="6" max="6" width="7.42578125" style="298" customWidth="1" collapsed="1"/>
    <col min="7" max="7" width="7.42578125" style="301" hidden="1" customWidth="1" outlineLevel="1"/>
    <col min="8" max="8" width="7.42578125" style="298" customWidth="1" collapsed="1"/>
    <col min="9" max="9" width="7.42578125" style="301" hidden="1" customWidth="1" outlineLevel="1"/>
    <col min="10" max="10" width="7.42578125" style="298" customWidth="1" collapsed="1"/>
    <col min="11" max="11" width="7.42578125" style="301" hidden="1" customWidth="1" outlineLevel="1"/>
    <col min="12" max="12" width="7.42578125" style="298" customWidth="1" collapsed="1"/>
    <col min="13" max="13" width="7.42578125" style="301" customWidth="1" outlineLevel="1"/>
    <col min="14" max="14" width="7.42578125" style="298" customWidth="1"/>
    <col min="15" max="15" width="7.42578125" style="301" customWidth="1" outlineLevel="1"/>
    <col min="16" max="16" width="7.42578125" style="298" customWidth="1"/>
    <col min="17" max="17" width="7.42578125" style="301" hidden="1" customWidth="1" outlineLevel="1"/>
    <col min="18" max="18" width="0.85546875" style="300" customWidth="1" collapsed="1"/>
    <col min="19" max="21" width="7.42578125" style="298" hidden="1" customWidth="1" outlineLevel="1"/>
    <col min="22" max="22" width="7.42578125" style="301" hidden="1" customWidth="1" outlineLevel="1"/>
    <col min="23" max="23" width="7.42578125" style="298" customWidth="1" collapsed="1"/>
    <col min="24" max="24" width="7.42578125" style="301" hidden="1" customWidth="1" outlineLevel="1"/>
    <col min="25" max="25" width="7.42578125" style="298" customWidth="1" collapsed="1"/>
    <col min="26" max="26" width="7.42578125" style="301" hidden="1" customWidth="1" outlineLevel="1"/>
    <col min="27" max="27" width="7.42578125" style="298" customWidth="1" collapsed="1"/>
    <col min="28" max="28" width="7.42578125" style="301" customWidth="1" outlineLevel="1"/>
    <col min="29" max="29" width="7.42578125" style="298" customWidth="1"/>
    <col min="30" max="30" width="7.42578125" style="301" customWidth="1" outlineLevel="1"/>
    <col min="31" max="31" width="7.42578125" style="298" customWidth="1"/>
    <col min="32" max="32" width="7.42578125" style="301" hidden="1" customWidth="1" outlineLevel="1"/>
    <col min="33" max="33" width="7.42578125" style="298" customWidth="1" collapsed="1"/>
    <col min="34" max="34" width="7.42578125" style="301" hidden="1" customWidth="1" outlineLevel="1"/>
    <col min="35" max="35" width="7.42578125" style="298" customWidth="1" collapsed="1"/>
    <col min="36" max="36" width="7.42578125" style="301" hidden="1" customWidth="1" outlineLevel="1"/>
    <col min="37" max="37" width="7.42578125" style="298" customWidth="1" collapsed="1"/>
    <col min="38" max="38" width="7.42578125" style="301" hidden="1" customWidth="1" outlineLevel="1"/>
    <col min="39" max="39" width="7.42578125" style="301" customWidth="1" collapsed="1"/>
    <col min="40" max="40" width="0" style="298" hidden="1" customWidth="1" outlineLevel="1"/>
    <col min="41" max="41" width="6.28515625" style="298" customWidth="1" collapsed="1"/>
    <col min="42" max="16384" width="9.140625" style="298"/>
  </cols>
  <sheetData>
    <row r="1" spans="1:41" ht="20.100000000000001" customHeight="1">
      <c r="A1" s="352" t="s">
        <v>124</v>
      </c>
      <c r="S1" s="299"/>
      <c r="T1" s="299"/>
      <c r="U1" s="299"/>
      <c r="W1" s="299"/>
      <c r="Y1" s="299"/>
      <c r="AA1" s="299"/>
      <c r="AC1" s="299"/>
      <c r="AE1" s="299"/>
      <c r="AG1" s="299"/>
      <c r="AI1" s="299"/>
      <c r="AK1" s="299"/>
    </row>
    <row r="2" spans="1:41" ht="12.75" customHeight="1">
      <c r="A2" s="351" t="s">
        <v>237</v>
      </c>
      <c r="B2" s="302"/>
      <c r="C2" s="304"/>
      <c r="D2" s="302"/>
      <c r="E2" s="304"/>
      <c r="F2" s="302"/>
      <c r="G2" s="304"/>
      <c r="H2" s="302"/>
      <c r="I2" s="304"/>
      <c r="J2" s="302"/>
      <c r="K2" s="304"/>
      <c r="L2" s="302"/>
      <c r="M2" s="304"/>
      <c r="N2" s="302"/>
      <c r="O2" s="304"/>
      <c r="P2" s="302"/>
      <c r="Q2" s="304"/>
      <c r="R2" s="303"/>
      <c r="S2" s="302"/>
      <c r="T2" s="302"/>
      <c r="U2" s="302"/>
      <c r="V2" s="304"/>
      <c r="W2" s="302"/>
      <c r="X2" s="304"/>
      <c r="Y2" s="302"/>
      <c r="Z2" s="304"/>
      <c r="AA2" s="302"/>
      <c r="AB2" s="304"/>
      <c r="AC2" s="302"/>
      <c r="AD2" s="304"/>
      <c r="AE2" s="302"/>
      <c r="AF2" s="304"/>
      <c r="AG2" s="302"/>
      <c r="AH2" s="304"/>
      <c r="AI2" s="302"/>
      <c r="AJ2" s="304"/>
      <c r="AK2" s="302"/>
      <c r="AL2" s="304"/>
      <c r="AM2" s="304"/>
    </row>
    <row r="3" spans="1:41" s="305" customFormat="1" ht="12.75" customHeight="1">
      <c r="A3" s="393" t="s">
        <v>238</v>
      </c>
      <c r="B3" s="391"/>
      <c r="C3" s="392" t="s">
        <v>247</v>
      </c>
      <c r="D3" s="391"/>
      <c r="E3" s="392" t="s">
        <v>249</v>
      </c>
      <c r="F3" s="391"/>
      <c r="G3" s="392" t="s">
        <v>251</v>
      </c>
      <c r="H3" s="391"/>
      <c r="I3" s="392" t="s">
        <v>253</v>
      </c>
      <c r="J3" s="391"/>
      <c r="K3" s="392" t="str">
        <f>INPUT!L4</f>
        <v>1Q17/</v>
      </c>
      <c r="L3" s="391"/>
      <c r="M3" s="392" t="str">
        <f>INPUT!N4</f>
        <v>2Q17/</v>
      </c>
      <c r="N3" s="391"/>
      <c r="O3" s="392" t="str">
        <f>INPUT!P4</f>
        <v>3Q17/</v>
      </c>
      <c r="P3" s="391"/>
      <c r="Q3" s="392" t="str">
        <f>INPUT!R4</f>
        <v>4Q17/</v>
      </c>
      <c r="R3" s="392"/>
      <c r="S3" s="391"/>
      <c r="T3" s="391"/>
      <c r="U3" s="391"/>
      <c r="V3" s="392" t="str">
        <f>INPUT!AE4</f>
        <v>2013/</v>
      </c>
      <c r="W3" s="391"/>
      <c r="X3" s="392" t="str">
        <f>INPUT!AG4</f>
        <v>2014/</v>
      </c>
      <c r="Y3" s="391"/>
      <c r="Z3" s="392" t="str">
        <f>INPUT!AI4</f>
        <v>2015/</v>
      </c>
      <c r="AA3" s="391"/>
      <c r="AB3" s="392" t="str">
        <f>INPUT!AK4</f>
        <v>2016/</v>
      </c>
      <c r="AC3" s="391"/>
      <c r="AD3" s="392" t="str">
        <f>INPUT!AM4</f>
        <v>2017/</v>
      </c>
      <c r="AE3" s="391"/>
      <c r="AF3" s="392" t="str">
        <f>INPUT!AO4</f>
        <v>2018E/</v>
      </c>
      <c r="AG3" s="391"/>
      <c r="AH3" s="392" t="str">
        <f>INPUT!AQ4</f>
        <v>2019E/</v>
      </c>
      <c r="AI3" s="391"/>
      <c r="AJ3" s="392" t="str">
        <f>INPUT!AS4</f>
        <v>2020E/</v>
      </c>
      <c r="AK3" s="391"/>
      <c r="AL3" s="392" t="str">
        <f>INPUT!AU4</f>
        <v>2021E/</v>
      </c>
      <c r="AM3" s="391"/>
      <c r="AN3" s="392" t="str">
        <f>INPUT!AW4</f>
        <v>2022E/</v>
      </c>
      <c r="AO3" s="394" t="str">
        <f>INPUT!AX4</f>
        <v>5-Yr</v>
      </c>
    </row>
    <row r="4" spans="1:41" s="305" customFormat="1" ht="12.75" customHeight="1">
      <c r="A4" s="395"/>
      <c r="B4" s="306"/>
      <c r="C4" s="307" t="s">
        <v>248</v>
      </c>
      <c r="D4" s="306"/>
      <c r="E4" s="307" t="s">
        <v>250</v>
      </c>
      <c r="F4" s="306"/>
      <c r="G4" s="307" t="s">
        <v>252</v>
      </c>
      <c r="H4" s="306"/>
      <c r="I4" s="307" t="s">
        <v>254</v>
      </c>
      <c r="J4" s="306"/>
      <c r="K4" s="307" t="str">
        <f>INPUT!L5</f>
        <v>1Q16</v>
      </c>
      <c r="L4" s="306"/>
      <c r="M4" s="307" t="str">
        <f>INPUT!N5</f>
        <v>2Q16</v>
      </c>
      <c r="N4" s="306"/>
      <c r="O4" s="307" t="str">
        <f>INPUT!P5</f>
        <v>3Q16</v>
      </c>
      <c r="P4" s="306"/>
      <c r="Q4" s="307" t="str">
        <f>INPUT!R5</f>
        <v>4Q16</v>
      </c>
      <c r="R4" s="307"/>
      <c r="S4" s="306"/>
      <c r="T4" s="306"/>
      <c r="U4" s="306"/>
      <c r="V4" s="307"/>
      <c r="W4" s="306"/>
      <c r="X4" s="307" t="str">
        <f>INPUT!AG5</f>
        <v>2013</v>
      </c>
      <c r="Y4" s="306"/>
      <c r="Z4" s="307" t="str">
        <f>INPUT!AI5</f>
        <v>2014</v>
      </c>
      <c r="AA4" s="306"/>
      <c r="AB4" s="307" t="str">
        <f>INPUT!AK5</f>
        <v>2015</v>
      </c>
      <c r="AC4" s="306"/>
      <c r="AD4" s="307" t="str">
        <f>INPUT!AM5</f>
        <v>2016</v>
      </c>
      <c r="AE4" s="306"/>
      <c r="AF4" s="307" t="str">
        <f>INPUT!AO5</f>
        <v>2017</v>
      </c>
      <c r="AG4" s="306"/>
      <c r="AH4" s="307" t="str">
        <f>INPUT!AQ5</f>
        <v>2018E</v>
      </c>
      <c r="AI4" s="306"/>
      <c r="AJ4" s="307" t="str">
        <f>INPUT!AS5</f>
        <v>2019E</v>
      </c>
      <c r="AK4" s="306"/>
      <c r="AL4" s="307" t="str">
        <f>INPUT!AU5</f>
        <v>2020E</v>
      </c>
      <c r="AM4" s="306"/>
      <c r="AN4" s="307" t="str">
        <f>INPUT!AW5</f>
        <v>2021E</v>
      </c>
      <c r="AO4" s="396" t="str">
        <f>INPUT!AX5</f>
        <v>CAGR</v>
      </c>
    </row>
    <row r="5" spans="1:41" s="305" customFormat="1" ht="12.75" customHeight="1">
      <c r="A5" s="397"/>
      <c r="B5" s="308" t="str">
        <f>INPUT!C6</f>
        <v>1Q16</v>
      </c>
      <c r="C5" s="309" t="str">
        <f>INPUT!D6</f>
        <v>% Chg</v>
      </c>
      <c r="D5" s="308" t="str">
        <f>INPUT!E6</f>
        <v>2Q16</v>
      </c>
      <c r="E5" s="309" t="str">
        <f>INPUT!F6</f>
        <v>% Chg</v>
      </c>
      <c r="F5" s="308" t="str">
        <f>INPUT!G6</f>
        <v>3Q16</v>
      </c>
      <c r="G5" s="309" t="str">
        <f>INPUT!H6</f>
        <v>% Chg</v>
      </c>
      <c r="H5" s="308" t="str">
        <f>INPUT!I6</f>
        <v>4Q16</v>
      </c>
      <c r="I5" s="309" t="str">
        <f>INPUT!J6</f>
        <v>% Chg</v>
      </c>
      <c r="J5" s="308" t="str">
        <f>INPUT!K6</f>
        <v>1Q17</v>
      </c>
      <c r="K5" s="309" t="str">
        <f>INPUT!L6</f>
        <v>% Chg</v>
      </c>
      <c r="L5" s="308" t="str">
        <f>INPUT!M6</f>
        <v>2Q17</v>
      </c>
      <c r="M5" s="309" t="str">
        <f>INPUT!N6</f>
        <v>% Chg</v>
      </c>
      <c r="N5" s="308" t="str">
        <f>INPUT!O6</f>
        <v>3Q17</v>
      </c>
      <c r="O5" s="309" t="str">
        <f>INPUT!P6</f>
        <v>% Chg</v>
      </c>
      <c r="P5" s="308" t="str">
        <f>INPUT!Q6</f>
        <v>4Q17</v>
      </c>
      <c r="Q5" s="309" t="str">
        <f>INPUT!R6</f>
        <v>% Chg</v>
      </c>
      <c r="R5" s="309"/>
      <c r="S5" s="308"/>
      <c r="T5" s="308"/>
      <c r="U5" s="308">
        <v>2009</v>
      </c>
      <c r="V5" s="309" t="s">
        <v>25</v>
      </c>
      <c r="W5" s="308" t="str">
        <f>INPUT!AF6</f>
        <v>2014</v>
      </c>
      <c r="X5" s="308" t="str">
        <f>INPUT!AG6</f>
        <v>% Chg</v>
      </c>
      <c r="Y5" s="308" t="str">
        <f>INPUT!AH6</f>
        <v>2015</v>
      </c>
      <c r="Z5" s="308" t="str">
        <f>INPUT!AI6</f>
        <v>% Chg</v>
      </c>
      <c r="AA5" s="308" t="str">
        <f>INPUT!AJ6</f>
        <v>2016</v>
      </c>
      <c r="AB5" s="309" t="str">
        <f>INPUT!AK6</f>
        <v>% Chg</v>
      </c>
      <c r="AC5" s="308" t="str">
        <f>INPUT!AL6</f>
        <v>2017</v>
      </c>
      <c r="AD5" s="309" t="str">
        <f>INPUT!AM6</f>
        <v>% Chg</v>
      </c>
      <c r="AE5" s="308" t="str">
        <f>INPUT!AN6</f>
        <v>2018E</v>
      </c>
      <c r="AF5" s="308" t="str">
        <f>INPUT!AO6</f>
        <v>% Chg</v>
      </c>
      <c r="AG5" s="308" t="str">
        <f>INPUT!AP6</f>
        <v>2019E</v>
      </c>
      <c r="AH5" s="308" t="str">
        <f>INPUT!AQ6</f>
        <v>% Chg</v>
      </c>
      <c r="AI5" s="308" t="str">
        <f>INPUT!AR6</f>
        <v>2020E</v>
      </c>
      <c r="AJ5" s="308" t="str">
        <f>INPUT!AS6</f>
        <v>% Chg</v>
      </c>
      <c r="AK5" s="308" t="str">
        <f>INPUT!AT6</f>
        <v>2021E</v>
      </c>
      <c r="AL5" s="308" t="str">
        <f>INPUT!AU6</f>
        <v>% Chg</v>
      </c>
      <c r="AM5" s="308" t="str">
        <f>INPUT!AV6</f>
        <v>2022E</v>
      </c>
      <c r="AN5" s="308" t="str">
        <f>INPUT!AW6</f>
        <v>% Chg</v>
      </c>
      <c r="AO5" s="447" t="str">
        <f>INPUT!AX6</f>
        <v>(%)</v>
      </c>
    </row>
    <row r="6" spans="1:41" ht="3" customHeight="1">
      <c r="A6" s="399"/>
      <c r="B6" s="306"/>
      <c r="C6" s="307"/>
      <c r="D6" s="306"/>
      <c r="E6" s="307"/>
      <c r="F6" s="306"/>
      <c r="G6" s="307"/>
      <c r="H6" s="306"/>
      <c r="I6" s="307"/>
      <c r="J6" s="306"/>
      <c r="K6" s="307"/>
      <c r="L6" s="306"/>
      <c r="M6" s="307"/>
      <c r="N6" s="306"/>
      <c r="O6" s="307"/>
      <c r="P6" s="306"/>
      <c r="Q6" s="307"/>
      <c r="R6" s="310"/>
      <c r="S6" s="306"/>
      <c r="T6" s="306"/>
      <c r="U6" s="306"/>
      <c r="V6" s="307"/>
      <c r="W6" s="306"/>
      <c r="X6" s="307"/>
      <c r="Y6" s="306"/>
      <c r="Z6" s="307"/>
      <c r="AA6" s="306"/>
      <c r="AB6" s="307"/>
      <c r="AC6" s="306"/>
      <c r="AD6" s="307"/>
      <c r="AE6" s="306"/>
      <c r="AF6" s="307"/>
      <c r="AG6" s="306"/>
      <c r="AH6" s="307"/>
      <c r="AI6" s="306"/>
      <c r="AJ6" s="307"/>
      <c r="AK6" s="306"/>
      <c r="AL6" s="307"/>
      <c r="AM6" s="306"/>
      <c r="AN6" s="307"/>
      <c r="AO6" s="451"/>
    </row>
    <row r="7" spans="1:41" ht="12.75" customHeight="1">
      <c r="A7" s="399" t="s">
        <v>255</v>
      </c>
      <c r="B7" s="311"/>
      <c r="C7" s="307"/>
      <c r="D7" s="311"/>
      <c r="E7" s="307"/>
      <c r="F7" s="311"/>
      <c r="G7" s="307"/>
      <c r="H7" s="311"/>
      <c r="I7" s="307"/>
      <c r="J7" s="311"/>
      <c r="K7" s="307"/>
      <c r="L7" s="311"/>
      <c r="M7" s="307"/>
      <c r="N7" s="311"/>
      <c r="O7" s="307"/>
      <c r="P7" s="311"/>
      <c r="Q7" s="307"/>
      <c r="R7" s="312"/>
      <c r="S7" s="311"/>
      <c r="T7" s="311"/>
      <c r="U7" s="311"/>
      <c r="V7" s="307"/>
      <c r="W7" s="311"/>
      <c r="X7" s="307"/>
      <c r="Y7" s="311"/>
      <c r="Z7" s="307"/>
      <c r="AA7" s="311"/>
      <c r="AB7" s="307"/>
      <c r="AC7" s="311"/>
      <c r="AD7" s="307"/>
      <c r="AE7" s="311"/>
      <c r="AF7" s="307"/>
      <c r="AG7" s="311"/>
      <c r="AH7" s="307"/>
      <c r="AI7" s="311"/>
      <c r="AJ7" s="307"/>
      <c r="AK7" s="311"/>
      <c r="AL7" s="307"/>
      <c r="AM7" s="311"/>
      <c r="AN7" s="307"/>
      <c r="AO7" s="451"/>
    </row>
    <row r="8" spans="1:41" ht="12.75" customHeight="1">
      <c r="A8" s="395" t="str">
        <f>INPUT!B7</f>
        <v>Retirement Services</v>
      </c>
      <c r="B8" s="313">
        <f>INPUT!C58</f>
        <v>209</v>
      </c>
      <c r="C8" s="307">
        <f>INPUT!D58</f>
        <v>0</v>
      </c>
      <c r="D8" s="313">
        <f>INPUT!E58</f>
        <v>210</v>
      </c>
      <c r="E8" s="307">
        <f>INPUT!F58</f>
        <v>0</v>
      </c>
      <c r="F8" s="313">
        <f>INPUT!G58</f>
        <v>56.100000000000023</v>
      </c>
      <c r="G8" s="307">
        <f>INPUT!H58</f>
        <v>0</v>
      </c>
      <c r="H8" s="313">
        <f>INPUT!I58</f>
        <v>255</v>
      </c>
      <c r="I8" s="307">
        <f>INPUT!J58</f>
        <v>0</v>
      </c>
      <c r="J8" s="313">
        <f>INPUT!K58</f>
        <v>284</v>
      </c>
      <c r="K8" s="307">
        <f>INPUT!L58</f>
        <v>35.885167464114829</v>
      </c>
      <c r="L8" s="313">
        <f>INPUT!M58</f>
        <v>278</v>
      </c>
      <c r="M8" s="307">
        <f>INPUT!N58</f>
        <v>32.38095238095238</v>
      </c>
      <c r="N8" s="313">
        <f>INPUT!O58</f>
        <v>263</v>
      </c>
      <c r="O8" s="307" t="str">
        <f>INPUT!P58</f>
        <v>NM</v>
      </c>
      <c r="P8" s="313">
        <f>INPUT!Q58</f>
        <v>331</v>
      </c>
      <c r="Q8" s="307">
        <f>INPUT!R58</f>
        <v>29.803921568627455</v>
      </c>
      <c r="R8" s="307"/>
      <c r="S8" s="313"/>
      <c r="T8" s="313"/>
      <c r="U8" s="313">
        <f>INPUT!AD58</f>
        <v>431</v>
      </c>
      <c r="V8" s="307">
        <f>INPUT!AE58</f>
        <v>0</v>
      </c>
      <c r="W8" s="313">
        <f>INPUT!AF58</f>
        <v>776</v>
      </c>
      <c r="X8" s="307">
        <f>INPUT!AG58</f>
        <v>80.046403712296993</v>
      </c>
      <c r="Y8" s="313">
        <f>INPUT!AH58</f>
        <v>796</v>
      </c>
      <c r="Z8" s="307">
        <f>INPUT!AI58</f>
        <v>2.5773195876288568</v>
      </c>
      <c r="AA8" s="313">
        <f>INPUT!AJ58</f>
        <v>730.09999999999991</v>
      </c>
      <c r="AB8" s="307">
        <f>INPUT!AK58</f>
        <v>-8.2788944723618201</v>
      </c>
      <c r="AC8" s="313">
        <f>INPUT!AL58</f>
        <v>1156</v>
      </c>
      <c r="AD8" s="307">
        <f>INPUT!AM58</f>
        <v>58.334474729489138</v>
      </c>
      <c r="AE8" s="313">
        <f>INPUT!AN58</f>
        <v>1166.7575499605969</v>
      </c>
      <c r="AF8" s="307">
        <f>INPUT!AO58</f>
        <v>0.93058390662603685</v>
      </c>
      <c r="AG8" s="313">
        <f>INPUT!AP58</f>
        <v>1312.4079786896818</v>
      </c>
      <c r="AH8" s="307">
        <f>INPUT!AQ58</f>
        <v>12.483350009948847</v>
      </c>
      <c r="AI8" s="313">
        <f>INPUT!AR58</f>
        <v>1455.1169322487212</v>
      </c>
      <c r="AJ8" s="307">
        <f>INPUT!AS58</f>
        <v>10.873825508247915</v>
      </c>
      <c r="AK8" s="313">
        <f>INPUT!AT58</f>
        <v>1536.4017744850994</v>
      </c>
      <c r="AL8" s="307">
        <f>INPUT!AU58</f>
        <v>5.5861381607841931</v>
      </c>
      <c r="AM8" s="313">
        <f>INPUT!AV58</f>
        <v>1631.056237549139</v>
      </c>
      <c r="AN8" s="307">
        <f>INPUT!AW58</f>
        <v>6.1607884497374865</v>
      </c>
      <c r="AO8" s="396">
        <f>INPUT!AX58</f>
        <v>7.127808394858226</v>
      </c>
    </row>
    <row r="9" spans="1:41" ht="12.75" customHeight="1">
      <c r="A9" s="395" t="str">
        <f>INPUT!B8</f>
        <v>Corporate/Other</v>
      </c>
      <c r="B9" s="313">
        <f>INPUT!C103</f>
        <v>-49</v>
      </c>
      <c r="C9" s="307">
        <f>INPUT!D103</f>
        <v>0</v>
      </c>
      <c r="D9" s="313">
        <f>INPUT!E103</f>
        <v>-12</v>
      </c>
      <c r="E9" s="307">
        <f>INPUT!F103</f>
        <v>0</v>
      </c>
      <c r="F9" s="313">
        <f>INPUT!G103</f>
        <v>-27</v>
      </c>
      <c r="G9" s="307">
        <f>INPUT!H103</f>
        <v>0</v>
      </c>
      <c r="H9" s="313">
        <f>INPUT!I103</f>
        <v>35</v>
      </c>
      <c r="I9" s="307">
        <f>INPUT!J103</f>
        <v>0</v>
      </c>
      <c r="J9" s="313">
        <f>INPUT!K103</f>
        <v>-10</v>
      </c>
      <c r="K9" s="307" t="str">
        <f>INPUT!L103</f>
        <v>NM</v>
      </c>
      <c r="L9" s="313">
        <f>INPUT!M103</f>
        <v>10</v>
      </c>
      <c r="M9" s="307" t="str">
        <f>INPUT!N103</f>
        <v>NM</v>
      </c>
      <c r="N9" s="313">
        <f>INPUT!O103</f>
        <v>-19</v>
      </c>
      <c r="O9" s="307">
        <f>INPUT!P103</f>
        <v>-29.629629629629626</v>
      </c>
      <c r="P9" s="313">
        <f>INPUT!Q103</f>
        <v>34</v>
      </c>
      <c r="Q9" s="307">
        <f>INPUT!R103</f>
        <v>-2.8571428571428581</v>
      </c>
      <c r="R9" s="307"/>
      <c r="S9" s="313"/>
      <c r="T9" s="313"/>
      <c r="U9" s="313">
        <f>INPUT!AD103</f>
        <v>361</v>
      </c>
      <c r="V9" s="307">
        <f>INPUT!AE103</f>
        <v>0</v>
      </c>
      <c r="W9" s="313">
        <f>INPUT!AF103</f>
        <v>24</v>
      </c>
      <c r="X9" s="307" t="str">
        <f>INPUT!AG103</f>
        <v>NM</v>
      </c>
      <c r="Y9" s="313">
        <f>INPUT!AH103</f>
        <v>-12</v>
      </c>
      <c r="Z9" s="307" t="str">
        <f>INPUT!AI103</f>
        <v>NM</v>
      </c>
      <c r="AA9" s="313">
        <f>INPUT!AJ103</f>
        <v>-53</v>
      </c>
      <c r="AB9" s="307" t="str">
        <f>INPUT!AK103</f>
        <v>NM</v>
      </c>
      <c r="AC9" s="313">
        <f>INPUT!AL103</f>
        <v>15</v>
      </c>
      <c r="AD9" s="307" t="str">
        <f>INPUT!AM103</f>
        <v>NM</v>
      </c>
      <c r="AE9" s="313">
        <f>INPUT!AN103</f>
        <v>-0.16180961999998544</v>
      </c>
      <c r="AF9" s="307" t="str">
        <f>INPUT!AO103</f>
        <v>NM</v>
      </c>
      <c r="AG9" s="313">
        <f>INPUT!AP103</f>
        <v>-3.4550458124000158</v>
      </c>
      <c r="AH9" s="307" t="str">
        <f>INPUT!AQ103</f>
        <v>NM</v>
      </c>
      <c r="AI9" s="313">
        <f>INPUT!AR103</f>
        <v>-9.0929467286480303</v>
      </c>
      <c r="AJ9" s="307" t="str">
        <f>INPUT!AS103</f>
        <v>NM</v>
      </c>
      <c r="AK9" s="313">
        <f>INPUT!AT103</f>
        <v>-10.879765663220979</v>
      </c>
      <c r="AL9" s="307">
        <f>INPUT!AU103</f>
        <v>19.650603790995923</v>
      </c>
      <c r="AM9" s="313">
        <f>INPUT!AV103</f>
        <v>-12.656221776485438</v>
      </c>
      <c r="AN9" s="307">
        <f>INPUT!AW103</f>
        <v>16.328073308322843</v>
      </c>
      <c r="AO9" s="396" t="str">
        <f>INPUT!AX103</f>
        <v>NM</v>
      </c>
    </row>
    <row r="10" spans="1:41">
      <c r="A10" s="399" t="s">
        <v>256</v>
      </c>
      <c r="B10" s="314">
        <f>INPUT!C124</f>
        <v>160</v>
      </c>
      <c r="C10" s="307">
        <f>INPUT!D124</f>
        <v>0</v>
      </c>
      <c r="D10" s="314">
        <f>INPUT!E124</f>
        <v>198</v>
      </c>
      <c r="E10" s="307">
        <f>INPUT!F124</f>
        <v>0</v>
      </c>
      <c r="F10" s="314">
        <f>INPUT!G124</f>
        <v>29.100000000000023</v>
      </c>
      <c r="G10" s="307">
        <f>INPUT!H124</f>
        <v>0</v>
      </c>
      <c r="H10" s="314">
        <f>INPUT!I124</f>
        <v>290</v>
      </c>
      <c r="I10" s="307">
        <f>INPUT!J124</f>
        <v>0</v>
      </c>
      <c r="J10" s="314">
        <f>INPUT!K124</f>
        <v>274</v>
      </c>
      <c r="K10" s="307">
        <f>INPUT!L124</f>
        <v>71.249999999999986</v>
      </c>
      <c r="L10" s="314">
        <f>INPUT!M124</f>
        <v>288</v>
      </c>
      <c r="M10" s="307">
        <f>INPUT!N124</f>
        <v>45.45454545454546</v>
      </c>
      <c r="N10" s="314">
        <f>INPUT!O124</f>
        <v>244</v>
      </c>
      <c r="O10" s="307" t="str">
        <f>INPUT!P124</f>
        <v>NM</v>
      </c>
      <c r="P10" s="314">
        <f>INPUT!Q124</f>
        <v>365</v>
      </c>
      <c r="Q10" s="307">
        <f>INPUT!R124</f>
        <v>25.862068965517238</v>
      </c>
      <c r="R10" s="307"/>
      <c r="S10" s="314"/>
      <c r="T10" s="314"/>
      <c r="U10" s="314">
        <f>INPUT!AD124</f>
        <v>792</v>
      </c>
      <c r="V10" s="307">
        <f>INPUT!AE124</f>
        <v>0</v>
      </c>
      <c r="W10" s="314">
        <f>INPUT!AF124</f>
        <v>800</v>
      </c>
      <c r="X10" s="307">
        <f>INPUT!AG124</f>
        <v>1.0101010101010166</v>
      </c>
      <c r="Y10" s="314">
        <f>INPUT!AH124</f>
        <v>784</v>
      </c>
      <c r="Z10" s="307">
        <f>INPUT!AI124</f>
        <v>-2.0000000000000018</v>
      </c>
      <c r="AA10" s="314">
        <f>INPUT!AJ124</f>
        <v>677.09999999999991</v>
      </c>
      <c r="AB10" s="307">
        <f>INPUT!AK124</f>
        <v>-13.635204081632669</v>
      </c>
      <c r="AC10" s="314">
        <f>INPUT!AL124</f>
        <v>1171</v>
      </c>
      <c r="AD10" s="307">
        <f>INPUT!AM124</f>
        <v>72.943435238517225</v>
      </c>
      <c r="AE10" s="314">
        <f>INPUT!AN124</f>
        <v>1166.5957403405973</v>
      </c>
      <c r="AF10" s="307">
        <f>INPUT!AO124</f>
        <v>-0.37611098713942193</v>
      </c>
      <c r="AG10" s="314">
        <f>INPUT!AP124</f>
        <v>1308.9529328772824</v>
      </c>
      <c r="AH10" s="307">
        <f>INPUT!AQ124</f>
        <v>12.202786930725695</v>
      </c>
      <c r="AI10" s="314">
        <f>INPUT!AR124</f>
        <v>1446.0239855200734</v>
      </c>
      <c r="AJ10" s="307">
        <f>INPUT!AS124</f>
        <v>10.471809123150644</v>
      </c>
      <c r="AK10" s="314">
        <f>INPUT!AT124</f>
        <v>1525.5220088218784</v>
      </c>
      <c r="AL10" s="307">
        <f>INPUT!AU124</f>
        <v>5.4976974170461546</v>
      </c>
      <c r="AM10" s="314">
        <f>INPUT!AV124</f>
        <v>1618.4000157726532</v>
      </c>
      <c r="AN10" s="307">
        <f>INPUT!AW124</f>
        <v>6.0882770890013038</v>
      </c>
      <c r="AO10" s="396">
        <f>INPUT!AX124</f>
        <v>6.6855979744693261</v>
      </c>
    </row>
    <row r="11" spans="1:41" s="318" customFormat="1" hidden="1" outlineLevel="1">
      <c r="A11" s="400" t="s">
        <v>37</v>
      </c>
      <c r="B11" s="315">
        <f>(B8+B9)-B10</f>
        <v>0</v>
      </c>
      <c r="C11" s="316"/>
      <c r="D11" s="315">
        <f>(D8+D9)-D10</f>
        <v>0</v>
      </c>
      <c r="E11" s="316"/>
      <c r="F11" s="315">
        <f>(F8+F9)-F10</f>
        <v>0</v>
      </c>
      <c r="G11" s="316"/>
      <c r="H11" s="315">
        <f>(H8+H9)-H10</f>
        <v>0</v>
      </c>
      <c r="I11" s="316"/>
      <c r="J11" s="315">
        <f>(J8+J9)-J10</f>
        <v>0</v>
      </c>
      <c r="K11" s="316"/>
      <c r="L11" s="315">
        <f>(L8+L9)-L10</f>
        <v>0</v>
      </c>
      <c r="M11" s="316"/>
      <c r="N11" s="315">
        <f>(N8+N9)-N10</f>
        <v>0</v>
      </c>
      <c r="O11" s="316"/>
      <c r="P11" s="315">
        <f>(P8+P9)-P10</f>
        <v>0</v>
      </c>
      <c r="Q11" s="316"/>
      <c r="R11" s="316"/>
      <c r="S11" s="317"/>
      <c r="T11" s="317"/>
      <c r="U11" s="315">
        <f t="shared" ref="U11:AL11" si="0">(U8+U9)-U10</f>
        <v>0</v>
      </c>
      <c r="V11" s="316">
        <f t="shared" si="0"/>
        <v>0</v>
      </c>
      <c r="W11" s="315">
        <f t="shared" si="0"/>
        <v>0</v>
      </c>
      <c r="X11" s="316" t="e">
        <f t="shared" si="0"/>
        <v>#VALUE!</v>
      </c>
      <c r="Y11" s="315">
        <f t="shared" si="0"/>
        <v>0</v>
      </c>
      <c r="Z11" s="316" t="e">
        <f t="shared" si="0"/>
        <v>#VALUE!</v>
      </c>
      <c r="AA11" s="315">
        <f t="shared" si="0"/>
        <v>0</v>
      </c>
      <c r="AB11" s="316" t="e">
        <f t="shared" si="0"/>
        <v>#VALUE!</v>
      </c>
      <c r="AC11" s="315">
        <f t="shared" si="0"/>
        <v>0</v>
      </c>
      <c r="AD11" s="316" t="e">
        <f t="shared" si="0"/>
        <v>#VALUE!</v>
      </c>
      <c r="AE11" s="315">
        <f t="shared" ref="AE11:AF11" si="1">(AE8+AE9)-AE10</f>
        <v>0</v>
      </c>
      <c r="AF11" s="316" t="e">
        <f t="shared" si="1"/>
        <v>#VALUE!</v>
      </c>
      <c r="AG11" s="315">
        <f t="shared" si="0"/>
        <v>0</v>
      </c>
      <c r="AH11" s="316" t="e">
        <f t="shared" si="0"/>
        <v>#VALUE!</v>
      </c>
      <c r="AI11" s="315">
        <f t="shared" si="0"/>
        <v>0</v>
      </c>
      <c r="AJ11" s="316" t="e">
        <f t="shared" si="0"/>
        <v>#VALUE!</v>
      </c>
      <c r="AK11" s="315">
        <f t="shared" si="0"/>
        <v>0</v>
      </c>
      <c r="AL11" s="316">
        <f t="shared" si="0"/>
        <v>19.739044534733964</v>
      </c>
      <c r="AM11" s="315">
        <f t="shared" ref="AM11:AN11" si="2">(AM8+AM9)-AM10</f>
        <v>0</v>
      </c>
      <c r="AN11" s="316">
        <f t="shared" si="2"/>
        <v>16.400584669059029</v>
      </c>
      <c r="AO11" s="401" t="e">
        <f t="shared" ref="AO11" si="3">(AO8+AO9)-AO10</f>
        <v>#VALUE!</v>
      </c>
    </row>
    <row r="12" spans="1:41" ht="5.25" customHeight="1" collapsed="1">
      <c r="A12" s="399"/>
      <c r="B12" s="314"/>
      <c r="C12" s="307"/>
      <c r="D12" s="314"/>
      <c r="E12" s="307"/>
      <c r="F12" s="314"/>
      <c r="G12" s="307"/>
      <c r="H12" s="314"/>
      <c r="I12" s="307"/>
      <c r="J12" s="314"/>
      <c r="K12" s="307"/>
      <c r="L12" s="314"/>
      <c r="M12" s="307"/>
      <c r="N12" s="314"/>
      <c r="O12" s="307"/>
      <c r="P12" s="314"/>
      <c r="Q12" s="307"/>
      <c r="R12" s="307"/>
      <c r="S12" s="314"/>
      <c r="T12" s="314"/>
      <c r="U12" s="314"/>
      <c r="V12" s="307"/>
      <c r="W12" s="314"/>
      <c r="X12" s="307"/>
      <c r="Y12" s="314"/>
      <c r="Z12" s="307"/>
      <c r="AA12" s="314"/>
      <c r="AB12" s="307"/>
      <c r="AC12" s="314"/>
      <c r="AD12" s="307"/>
      <c r="AE12" s="314"/>
      <c r="AF12" s="307"/>
      <c r="AG12" s="314"/>
      <c r="AH12" s="307"/>
      <c r="AI12" s="314"/>
      <c r="AJ12" s="307"/>
      <c r="AK12" s="314"/>
      <c r="AL12" s="307"/>
      <c r="AM12" s="314"/>
      <c r="AN12" s="307"/>
      <c r="AO12" s="396"/>
    </row>
    <row r="13" spans="1:41" ht="12.75" customHeight="1">
      <c r="A13" s="395" t="s">
        <v>262</v>
      </c>
      <c r="B13" s="313">
        <f>INPUT!C125</f>
        <v>10</v>
      </c>
      <c r="C13" s="307">
        <f>INPUT!D125</f>
        <v>0</v>
      </c>
      <c r="D13" s="313">
        <f>INPUT!E125</f>
        <v>19</v>
      </c>
      <c r="E13" s="307">
        <f>INPUT!F125</f>
        <v>0</v>
      </c>
      <c r="F13" s="313">
        <f>INPUT!G125</f>
        <v>-88</v>
      </c>
      <c r="G13" s="307">
        <f>INPUT!H125</f>
        <v>0</v>
      </c>
      <c r="H13" s="313">
        <f>INPUT!I125</f>
        <v>10</v>
      </c>
      <c r="I13" s="307">
        <f>INPUT!J125</f>
        <v>0</v>
      </c>
      <c r="J13" s="313">
        <f>INPUT!K125</f>
        <v>8</v>
      </c>
      <c r="K13" s="307">
        <f>INPUT!L125</f>
        <v>-19.999999999999996</v>
      </c>
      <c r="L13" s="313">
        <f>INPUT!M125</f>
        <v>8</v>
      </c>
      <c r="M13" s="307" t="str">
        <f>INPUT!N125</f>
        <v>NM</v>
      </c>
      <c r="N13" s="313">
        <f>INPUT!O125</f>
        <v>13</v>
      </c>
      <c r="O13" s="307" t="str">
        <f>INPUT!P125</f>
        <v>NM</v>
      </c>
      <c r="P13" s="313">
        <f>INPUT!Q125</f>
        <v>33</v>
      </c>
      <c r="Q13" s="307" t="str">
        <f>INPUT!R125</f>
        <v>NM</v>
      </c>
      <c r="R13" s="307"/>
      <c r="S13" s="313"/>
      <c r="T13" s="313"/>
      <c r="U13" s="313">
        <f>INPUT!AD125</f>
        <v>15.4</v>
      </c>
      <c r="V13" s="307">
        <f>INPUT!AE125</f>
        <v>0</v>
      </c>
      <c r="W13" s="313">
        <f>INPUT!AF125</f>
        <v>18.600000000000001</v>
      </c>
      <c r="X13" s="307">
        <f>INPUT!AG125</f>
        <v>20.779220779220786</v>
      </c>
      <c r="Y13" s="313">
        <f>INPUT!AH125</f>
        <v>44</v>
      </c>
      <c r="Z13" s="307" t="str">
        <f>INPUT!AI125</f>
        <v>NM</v>
      </c>
      <c r="AA13" s="313">
        <f>INPUT!AJ125</f>
        <v>-49</v>
      </c>
      <c r="AB13" s="307" t="str">
        <f>INPUT!AK125</f>
        <v>NM</v>
      </c>
      <c r="AC13" s="313">
        <f>INPUT!AL125</f>
        <v>62</v>
      </c>
      <c r="AD13" s="307" t="str">
        <f>INPUT!AM125</f>
        <v>NM</v>
      </c>
      <c r="AE13" s="313">
        <f>INPUT!AN125</f>
        <v>122.49336178386272</v>
      </c>
      <c r="AF13" s="307">
        <f>INPUT!AO125</f>
        <v>97.569938361068907</v>
      </c>
      <c r="AG13" s="313">
        <f>INPUT!AP125</f>
        <v>137.44005795211464</v>
      </c>
      <c r="AH13" s="307">
        <f>INPUT!AQ125</f>
        <v>12.202045850145815</v>
      </c>
      <c r="AI13" s="313">
        <f>INPUT!AR125</f>
        <v>151.78705374596456</v>
      </c>
      <c r="AJ13" s="307">
        <f>INPUT!AS125</f>
        <v>10.438729441491157</v>
      </c>
      <c r="AK13" s="313">
        <f>INPUT!AT125</f>
        <v>160.07101326966512</v>
      </c>
      <c r="AL13" s="307">
        <f>INPUT!AU125</f>
        <v>5.4576192891686581</v>
      </c>
      <c r="AM13" s="313">
        <f>INPUT!AV125</f>
        <v>169.74215832948147</v>
      </c>
      <c r="AN13" s="307">
        <f>INPUT!AW125</f>
        <v>6.0417841196043209</v>
      </c>
      <c r="AO13" s="396">
        <f>INPUT!AX125</f>
        <v>22.314968023960201</v>
      </c>
    </row>
    <row r="14" spans="1:41">
      <c r="A14" s="399" t="s">
        <v>257</v>
      </c>
      <c r="B14" s="314">
        <f>INPUT!C127</f>
        <v>150</v>
      </c>
      <c r="C14" s="307">
        <f>INPUT!D127</f>
        <v>0</v>
      </c>
      <c r="D14" s="314">
        <f>INPUT!E127</f>
        <v>179</v>
      </c>
      <c r="E14" s="307">
        <f>INPUT!F127</f>
        <v>0</v>
      </c>
      <c r="F14" s="314">
        <f>INPUT!G127</f>
        <v>117.10000000000002</v>
      </c>
      <c r="G14" s="307">
        <f>INPUT!H127</f>
        <v>0</v>
      </c>
      <c r="H14" s="314">
        <f>INPUT!I127</f>
        <v>280</v>
      </c>
      <c r="I14" s="307">
        <f>INPUT!J127</f>
        <v>0</v>
      </c>
      <c r="J14" s="314">
        <f>INPUT!K127</f>
        <v>266</v>
      </c>
      <c r="K14" s="307">
        <f>INPUT!L127</f>
        <v>77.333333333333343</v>
      </c>
      <c r="L14" s="314">
        <f>INPUT!M127</f>
        <v>280</v>
      </c>
      <c r="M14" s="307">
        <f>INPUT!N127</f>
        <v>56.424581005586582</v>
      </c>
      <c r="N14" s="314">
        <f>INPUT!O127</f>
        <v>231</v>
      </c>
      <c r="O14" s="307">
        <f>INPUT!P127</f>
        <v>97.267292912040944</v>
      </c>
      <c r="P14" s="314">
        <f>INPUT!Q127</f>
        <v>332</v>
      </c>
      <c r="Q14" s="307">
        <f>INPUT!R127</f>
        <v>18.571428571428573</v>
      </c>
      <c r="R14" s="307">
        <f>INPUT!AA127</f>
        <v>0</v>
      </c>
      <c r="S14" s="314"/>
      <c r="T14" s="314"/>
      <c r="U14" s="314">
        <f>INPUT!AD127</f>
        <v>776.6</v>
      </c>
      <c r="V14" s="307">
        <f>INPUT!AE127</f>
        <v>0</v>
      </c>
      <c r="W14" s="314">
        <f>INPUT!AF127</f>
        <v>781.4</v>
      </c>
      <c r="X14" s="307">
        <f>INPUT!AG127</f>
        <v>0.61807880504762824</v>
      </c>
      <c r="Y14" s="314">
        <f>INPUT!AH127</f>
        <v>740</v>
      </c>
      <c r="Z14" s="307">
        <f>INPUT!AI127</f>
        <v>-5.2981827489122058</v>
      </c>
      <c r="AA14" s="314">
        <f>INPUT!AJ127</f>
        <v>726.09999999999991</v>
      </c>
      <c r="AB14" s="307">
        <f>INPUT!AK127</f>
        <v>-1.8783783783783869</v>
      </c>
      <c r="AC14" s="314">
        <f>INPUT!AL127</f>
        <v>1109</v>
      </c>
      <c r="AD14" s="307">
        <f>INPUT!AM127</f>
        <v>52.733783225451056</v>
      </c>
      <c r="AE14" s="314">
        <f>INPUT!AN127</f>
        <v>1044.1023785567345</v>
      </c>
      <c r="AF14" s="307">
        <f>INPUT!AO127</f>
        <v>-5.8519045485361136</v>
      </c>
      <c r="AG14" s="314">
        <f>INPUT!AP127</f>
        <v>1171.5128749251678</v>
      </c>
      <c r="AH14" s="307">
        <f>INPUT!AQ127</f>
        <v>12.202873873781716</v>
      </c>
      <c r="AI14" s="314">
        <f>INPUT!AR127</f>
        <v>1294.2369317741088</v>
      </c>
      <c r="AJ14" s="307">
        <f>INPUT!AS127</f>
        <v>10.475689979658153</v>
      </c>
      <c r="AK14" s="314">
        <f>INPUT!AT127</f>
        <v>1365.4509955522133</v>
      </c>
      <c r="AL14" s="307">
        <f>INPUT!AU127</f>
        <v>5.5023977472568264</v>
      </c>
      <c r="AM14" s="314">
        <f>INPUT!AV127</f>
        <v>1448.6578574431717</v>
      </c>
      <c r="AN14" s="307">
        <f>INPUT!AW127</f>
        <v>6.0937274323278112</v>
      </c>
      <c r="AO14" s="396">
        <f>INPUT!AX127</f>
        <v>5.4889224321810204</v>
      </c>
    </row>
    <row r="15" spans="1:41" s="318" customFormat="1" hidden="1" outlineLevel="1">
      <c r="A15" s="400" t="s">
        <v>37</v>
      </c>
      <c r="B15" s="315" t="e">
        <f>(#REF!-B13)-B14</f>
        <v>#REF!</v>
      </c>
      <c r="C15" s="316"/>
      <c r="D15" s="315" t="e">
        <f>(#REF!-D13)-D14</f>
        <v>#REF!</v>
      </c>
      <c r="E15" s="316"/>
      <c r="F15" s="315" t="e">
        <f>(#REF!-F13)-F14</f>
        <v>#REF!</v>
      </c>
      <c r="G15" s="316"/>
      <c r="H15" s="315" t="e">
        <f>(#REF!-H13)-H14</f>
        <v>#REF!</v>
      </c>
      <c r="I15" s="316"/>
      <c r="J15" s="315" t="e">
        <f>(#REF!-J13)-J14</f>
        <v>#REF!</v>
      </c>
      <c r="K15" s="316"/>
      <c r="L15" s="315" t="e">
        <f>(#REF!-L13)-L14</f>
        <v>#REF!</v>
      </c>
      <c r="M15" s="316"/>
      <c r="N15" s="315" t="e">
        <f>(#REF!-N13)-N14</f>
        <v>#REF!</v>
      </c>
      <c r="O15" s="316"/>
      <c r="P15" s="315" t="e">
        <f>(#REF!-P13)-P14</f>
        <v>#REF!</v>
      </c>
      <c r="Q15" s="316"/>
      <c r="R15" s="316"/>
      <c r="S15" s="317"/>
      <c r="T15" s="317"/>
      <c r="U15" s="315" t="e">
        <f>(#REF!-U13)-U14</f>
        <v>#REF!</v>
      </c>
      <c r="V15" s="316" t="e">
        <f>(#REF!-V13)-V14</f>
        <v>#REF!</v>
      </c>
      <c r="W15" s="315" t="e">
        <f>(#REF!-W13)-W14</f>
        <v>#REF!</v>
      </c>
      <c r="X15" s="316" t="e">
        <f>(#REF!-X13)-X14</f>
        <v>#REF!</v>
      </c>
      <c r="Y15" s="315" t="e">
        <f>(#REF!-Y13)-Y14</f>
        <v>#REF!</v>
      </c>
      <c r="Z15" s="316" t="e">
        <f>(#REF!-Z13)-Z14</f>
        <v>#REF!</v>
      </c>
      <c r="AA15" s="315" t="e">
        <f>(#REF!-AA13)-AA14</f>
        <v>#REF!</v>
      </c>
      <c r="AB15" s="316" t="e">
        <f>(#REF!-AB13)-AB14</f>
        <v>#REF!</v>
      </c>
      <c r="AC15" s="315" t="e">
        <f>(#REF!-AC13)-AC14</f>
        <v>#REF!</v>
      </c>
      <c r="AD15" s="316" t="e">
        <f>(#REF!-AD13)-AD14</f>
        <v>#REF!</v>
      </c>
      <c r="AE15" s="315" t="e">
        <f>(#REF!-AE13)-AE14</f>
        <v>#REF!</v>
      </c>
      <c r="AF15" s="316" t="e">
        <f>(#REF!-AF13)-AF14</f>
        <v>#REF!</v>
      </c>
      <c r="AG15" s="315" t="e">
        <f>(#REF!-AG13)-AG14</f>
        <v>#REF!</v>
      </c>
      <c r="AH15" s="316" t="e">
        <f>(#REF!-AH13)-AH14</f>
        <v>#REF!</v>
      </c>
      <c r="AI15" s="315" t="e">
        <f>(#REF!-AI13)-AI14</f>
        <v>#REF!</v>
      </c>
      <c r="AJ15" s="316" t="e">
        <f>(#REF!-AJ13)-AJ14</f>
        <v>#REF!</v>
      </c>
      <c r="AK15" s="315" t="e">
        <f>(#REF!-AK13)-AK14</f>
        <v>#REF!</v>
      </c>
      <c r="AL15" s="316" t="e">
        <f>(#REF!-AL13)-AL14</f>
        <v>#REF!</v>
      </c>
      <c r="AM15" s="315" t="e">
        <f>(#REF!-AM13)-AM14</f>
        <v>#REF!</v>
      </c>
      <c r="AN15" s="316" t="e">
        <f>(#REF!-AN13)-AN14</f>
        <v>#REF!</v>
      </c>
      <c r="AO15" s="401" t="e">
        <f>(#REF!-AO13)-AO14</f>
        <v>#REF!</v>
      </c>
    </row>
    <row r="16" spans="1:41" ht="8.25" customHeight="1" collapsed="1">
      <c r="A16" s="395"/>
      <c r="B16" s="319"/>
      <c r="C16" s="307"/>
      <c r="D16" s="319"/>
      <c r="E16" s="307"/>
      <c r="F16" s="319"/>
      <c r="G16" s="307"/>
      <c r="H16" s="319"/>
      <c r="I16" s="307"/>
      <c r="J16" s="319"/>
      <c r="K16" s="307"/>
      <c r="L16" s="319"/>
      <c r="M16" s="307"/>
      <c r="N16" s="319"/>
      <c r="O16" s="307"/>
      <c r="P16" s="319"/>
      <c r="Q16" s="307"/>
      <c r="R16" s="307"/>
      <c r="S16" s="313"/>
      <c r="T16" s="313"/>
      <c r="U16" s="319"/>
      <c r="V16" s="307"/>
      <c r="W16" s="319"/>
      <c r="X16" s="307"/>
      <c r="Y16" s="319"/>
      <c r="Z16" s="307"/>
      <c r="AA16" s="319"/>
      <c r="AB16" s="307"/>
      <c r="AC16" s="319"/>
      <c r="AD16" s="307"/>
      <c r="AE16" s="319"/>
      <c r="AF16" s="307"/>
      <c r="AG16" s="319"/>
      <c r="AH16" s="307"/>
      <c r="AI16" s="319"/>
      <c r="AJ16" s="307"/>
      <c r="AK16" s="319"/>
      <c r="AL16" s="307"/>
      <c r="AM16" s="319"/>
      <c r="AN16" s="307"/>
      <c r="AO16" s="396"/>
    </row>
    <row r="17" spans="1:41" ht="12.75" customHeight="1">
      <c r="A17" s="402" t="s">
        <v>261</v>
      </c>
      <c r="B17" s="313">
        <f>INPUT!C177</f>
        <v>186.1</v>
      </c>
      <c r="C17" s="307">
        <f>INPUT!D177</f>
        <v>0</v>
      </c>
      <c r="D17" s="313">
        <f>INPUT!E177</f>
        <v>186.5</v>
      </c>
      <c r="E17" s="307">
        <f>INPUT!F177</f>
        <v>0</v>
      </c>
      <c r="F17" s="313">
        <f>INPUT!G177</f>
        <v>184.4</v>
      </c>
      <c r="G17" s="307">
        <f>INPUT!H177</f>
        <v>0</v>
      </c>
      <c r="H17" s="313">
        <f>INPUT!I177</f>
        <v>195.2</v>
      </c>
      <c r="I17" s="307">
        <f>INPUT!J177</f>
        <v>0</v>
      </c>
      <c r="J17" s="313">
        <f>INPUT!K177</f>
        <v>195.6</v>
      </c>
      <c r="K17" s="307">
        <f>INPUT!L177</f>
        <v>5.1047823750671739</v>
      </c>
      <c r="L17" s="313">
        <f>INPUT!M177</f>
        <v>195.9</v>
      </c>
      <c r="M17" s="307">
        <f>INPUT!N177</f>
        <v>5.0402144772117907</v>
      </c>
      <c r="N17" s="313">
        <f>INPUT!O177</f>
        <v>196</v>
      </c>
      <c r="O17" s="307">
        <f>INPUT!P177</f>
        <v>6.2906724511930578</v>
      </c>
      <c r="P17" s="313">
        <f>INPUT!Q177</f>
        <v>196.1</v>
      </c>
      <c r="Q17" s="307">
        <f>INPUT!R177</f>
        <v>0.46106557377050272</v>
      </c>
      <c r="R17" s="307"/>
      <c r="S17" s="313"/>
      <c r="T17" s="313"/>
      <c r="U17" s="313">
        <f>INPUT!AD177</f>
        <v>115.119</v>
      </c>
      <c r="V17" s="307" t="str">
        <f>INPUT!AE177</f>
        <v>NA</v>
      </c>
      <c r="W17" s="313">
        <f>INPUT!AF177</f>
        <v>131.619</v>
      </c>
      <c r="X17" s="307">
        <f>INPUT!AG177</f>
        <v>14.332994553462065</v>
      </c>
      <c r="Y17" s="313">
        <f>INPUT!AH177</f>
        <v>175.01</v>
      </c>
      <c r="Z17" s="307">
        <f>INPUT!AI177</f>
        <v>32.96712480720867</v>
      </c>
      <c r="AA17" s="313">
        <f>INPUT!AJ177</f>
        <v>193.4</v>
      </c>
      <c r="AB17" s="307">
        <f>INPUT!AK177</f>
        <v>10.507970973087266</v>
      </c>
      <c r="AC17" s="313">
        <f>INPUT!AL177</f>
        <v>195.9</v>
      </c>
      <c r="AD17" s="307">
        <f>INPUT!AM177</f>
        <v>1.292657704239919</v>
      </c>
      <c r="AE17" s="313">
        <f>INPUT!AN177</f>
        <v>196.9</v>
      </c>
      <c r="AF17" s="307">
        <f>INPUT!AO177</f>
        <v>0.51046452271568121</v>
      </c>
      <c r="AG17" s="313">
        <f>INPUT!AP177</f>
        <v>193.64099037343493</v>
      </c>
      <c r="AH17" s="307">
        <f>INPUT!AQ177</f>
        <v>-1.6551597900279713</v>
      </c>
      <c r="AI17" s="313">
        <f>INPUT!AR177</f>
        <v>186.12285176400442</v>
      </c>
      <c r="AJ17" s="307">
        <f>INPUT!AS177</f>
        <v>-3.8825140250170365</v>
      </c>
      <c r="AK17" s="313">
        <f>INPUT!AT177</f>
        <v>180.75822686430885</v>
      </c>
      <c r="AL17" s="307">
        <f>INPUT!AU177</f>
        <v>-2.8823031932143861</v>
      </c>
      <c r="AM17" s="313">
        <f>INPUT!AV177</f>
        <v>178.89550988524786</v>
      </c>
      <c r="AN17" s="307">
        <f>INPUT!AW177</f>
        <v>-1.0305019093041268</v>
      </c>
      <c r="AO17" s="396">
        <f>INPUT!AX177</f>
        <v>-1.7996578720550271</v>
      </c>
    </row>
    <row r="18" spans="1:41" s="325" customFormat="1" ht="12.75" customHeight="1">
      <c r="A18" s="403" t="s">
        <v>80</v>
      </c>
      <c r="B18" s="321">
        <f>INPUT!C180</f>
        <v>0.80601826974744761</v>
      </c>
      <c r="C18" s="323">
        <f>INPUT!D180</f>
        <v>0</v>
      </c>
      <c r="D18" s="321">
        <f>INPUT!E180</f>
        <v>0.95978552278820373</v>
      </c>
      <c r="E18" s="323">
        <f>INPUT!F180</f>
        <v>0</v>
      </c>
      <c r="F18" s="321">
        <f>INPUT!G180</f>
        <v>0.6350325379609546</v>
      </c>
      <c r="G18" s="323">
        <f>INPUT!H180</f>
        <v>0</v>
      </c>
      <c r="H18" s="321">
        <f>INPUT!I180</f>
        <v>1.4344262295081969</v>
      </c>
      <c r="I18" s="323">
        <f>INPUT!J180</f>
        <v>0</v>
      </c>
      <c r="J18" s="321">
        <f>INPUT!K180</f>
        <v>1.359918200408998</v>
      </c>
      <c r="K18" s="323">
        <f>INPUT!L180</f>
        <v>68.720518064076359</v>
      </c>
      <c r="L18" s="321">
        <f>INPUT!M180</f>
        <v>1.4293006636038794</v>
      </c>
      <c r="M18" s="323">
        <f>INPUT!N180</f>
        <v>48.918756291689114</v>
      </c>
      <c r="N18" s="321">
        <f>INPUT!O180</f>
        <v>1.1785714285714286</v>
      </c>
      <c r="O18" s="323">
        <f>INPUT!P180</f>
        <v>85.592289862144639</v>
      </c>
      <c r="P18" s="321">
        <f>INPUT!Q180</f>
        <v>1.6930137684854667</v>
      </c>
      <c r="Q18" s="323">
        <f>INPUT!R180</f>
        <v>18.027245574415375</v>
      </c>
      <c r="R18" s="322"/>
      <c r="S18" s="324"/>
      <c r="T18" s="324"/>
      <c r="U18" s="321">
        <f>INPUT!AD180</f>
        <v>6.7460627698294813</v>
      </c>
      <c r="V18" s="323" t="str">
        <f>INPUT!AE180</f>
        <v>NA</v>
      </c>
      <c r="W18" s="321">
        <f>INPUT!AF180</f>
        <v>5.9368328280871303</v>
      </c>
      <c r="X18" s="323">
        <f>INPUT!AG180</f>
        <v>-11.995588676723889</v>
      </c>
      <c r="Y18" s="321">
        <f>INPUT!AH180</f>
        <v>4.2283298097251585</v>
      </c>
      <c r="Z18" s="323">
        <f>INPUT!AI180</f>
        <v>-28.778021342946559</v>
      </c>
      <c r="AA18" s="321">
        <f>INPUT!AJ180</f>
        <v>3.7543950361944152</v>
      </c>
      <c r="AB18" s="323">
        <f>INPUT!AK180</f>
        <v>-11.208557394002083</v>
      </c>
      <c r="AC18" s="321">
        <f>INPUT!AL180</f>
        <v>5.6610515569167941</v>
      </c>
      <c r="AD18" s="323">
        <f>INPUT!AM180</f>
        <v>50.784653781532583</v>
      </c>
      <c r="AE18" s="321">
        <f>INPUT!AN180</f>
        <v>5.3027038017101802</v>
      </c>
      <c r="AF18" s="323">
        <f>INPUT!AO180</f>
        <v>-6.3300563791682247</v>
      </c>
      <c r="AG18" s="321">
        <f>INPUT!AP180</f>
        <v>6.0499219337079184</v>
      </c>
      <c r="AH18" s="323">
        <f>INPUT!AQ180</f>
        <v>14.091266643193467</v>
      </c>
      <c r="AI18" s="321">
        <f>INPUT!AR180</f>
        <v>6.9536702210814187</v>
      </c>
      <c r="AJ18" s="323">
        <f>INPUT!AS180</f>
        <v>14.938180976156911</v>
      </c>
      <c r="AK18" s="321">
        <f>INPUT!AT180</f>
        <v>7.554018532042952</v>
      </c>
      <c r="AL18" s="323">
        <f>INPUT!AU180</f>
        <v>8.6335459099204712</v>
      </c>
      <c r="AM18" s="321">
        <f>INPUT!AV180</f>
        <v>8.0977876883126356</v>
      </c>
      <c r="AN18" s="323">
        <f>INPUT!AW180</f>
        <v>7.1984090846891835</v>
      </c>
      <c r="AO18" s="404">
        <f>INPUT!AX180</f>
        <v>7.4221536771631236</v>
      </c>
    </row>
    <row r="19" spans="1:41" s="318" customFormat="1" ht="12.75" hidden="1" customHeight="1" outlineLevel="1">
      <c r="A19" s="405" t="s">
        <v>37</v>
      </c>
      <c r="B19" s="326" t="e">
        <f>(((B14-#REF!*0.65)/B49)+(IF((#REF!&gt;0), ((293*0.07*0.25)/B49), 0)))-B18</f>
        <v>#REF!</v>
      </c>
      <c r="C19" s="327"/>
      <c r="D19" s="326" t="e">
        <f>(((D14-#REF!*0.65)/D49)+(IF((#REF!&gt;0), ((293*0.07*0.25)/D49), 0)))-D18</f>
        <v>#REF!</v>
      </c>
      <c r="E19" s="327"/>
      <c r="F19" s="326" t="e">
        <f>(((F14-#REF!*0.65)/F49)+(IF((#REF!&gt;0), ((293*0.07*0.25)/F49), 0)))-F18</f>
        <v>#REF!</v>
      </c>
      <c r="G19" s="327"/>
      <c r="H19" s="326" t="e">
        <f>(((H14-#REF!*0.65)/H49)+(IF((#REF!&gt;0), ((293*0.07*0.25)/H49), 0)))-H18</f>
        <v>#REF!</v>
      </c>
      <c r="I19" s="327"/>
      <c r="J19" s="326" t="e">
        <f>(((J14-#REF!*0.65)/J49)+(IF((#REF!&gt;0), ((293*0.07*0.25)/J49), 0)))-J18</f>
        <v>#REF!</v>
      </c>
      <c r="K19" s="327"/>
      <c r="L19" s="326" t="e">
        <f>(((L14-#REF!*0.65)/L49)+(IF((#REF!&gt;0), ((293*0.07*0.25)/L49), 0)))-L18</f>
        <v>#REF!</v>
      </c>
      <c r="M19" s="327"/>
      <c r="N19" s="326" t="e">
        <f>(((N14-#REF!*0.65)/N49)+(IF((#REF!&gt;0), ((293*0.07*0.25)/N49), 0)))-N18</f>
        <v>#REF!</v>
      </c>
      <c r="O19" s="327"/>
      <c r="P19" s="326" t="e">
        <f>(((P14-#REF!*0.65)/P49)+(IF((#REF!&gt;0), ((293*0.07*0.25)/P49), 0)))-P18</f>
        <v>#REF!</v>
      </c>
      <c r="Q19" s="327"/>
      <c r="R19" s="327"/>
      <c r="S19" s="328"/>
      <c r="T19" s="328"/>
      <c r="U19" s="326" t="e">
        <f>(((U14-#REF!*0.65)/U49)+(IF((#REF!&gt;0), ((293*0.07*0.25)/U49), 0)))-U18</f>
        <v>#REF!</v>
      </c>
      <c r="V19" s="327" t="e">
        <f>(((V14-#REF!*0.65)/V49)+(IF((#REF!&gt;0), ((293*0.07*0.25)/V49), 0)))-V18</f>
        <v>#REF!</v>
      </c>
      <c r="W19" s="326" t="e">
        <f>(((W14-#REF!*0.65)/W49)+(IF((#REF!&gt;0), ((293*0.07*0.25)/W49), 0)))-W18</f>
        <v>#REF!</v>
      </c>
      <c r="X19" s="327" t="e">
        <f>(((X14-#REF!*0.65)/X49)+(IF((#REF!&gt;0), ((293*0.07*0.25)/X49), 0)))-X18</f>
        <v>#REF!</v>
      </c>
      <c r="Y19" s="326" t="e">
        <f>(((Y14-#REF!*0.65)/Y49)+(IF((#REF!&gt;0), ((293*0.07*0.25)/Y49), 0)))-Y18</f>
        <v>#REF!</v>
      </c>
      <c r="Z19" s="327" t="e">
        <f>(((Z14-#REF!*0.65)/Z49)+(IF((#REF!&gt;0), ((293*0.07*0.25)/Z49), 0)))-Z18</f>
        <v>#REF!</v>
      </c>
      <c r="AA19" s="326" t="e">
        <f>(((AA14-#REF!*0.65)/AA49)+(IF((#REF!&gt;0), ((293*0.07*0.25)/AA49), 0)))-AA18</f>
        <v>#REF!</v>
      </c>
      <c r="AB19" s="327" t="e">
        <f>(((AB14-#REF!*0.65)/AB49)+(IF((#REF!&gt;0), ((293*0.07*0.25)/AB49), 0)))-AB18</f>
        <v>#REF!</v>
      </c>
      <c r="AC19" s="326" t="e">
        <f>(((AC14-#REF!*0.65)/AC49)+(IF((#REF!&gt;0), ((293*0.07*0.25)/AC49), 0)))-AC18</f>
        <v>#REF!</v>
      </c>
      <c r="AD19" s="327" t="e">
        <f>(((AD14-#REF!*0.65)/AD49)+(IF((#REF!&gt;0), ((293*0.07*0.25)/AD49), 0)))-AD18</f>
        <v>#REF!</v>
      </c>
      <c r="AE19" s="326" t="e">
        <f>(((AE14-#REF!*0.65)/AE49)+(IF((#REF!&gt;0), ((293*0.07*0.25)/AE49), 0)))-AE18</f>
        <v>#REF!</v>
      </c>
      <c r="AF19" s="327" t="e">
        <f>(((AF14-#REF!*0.65)/AF49)+(IF((#REF!&gt;0), ((293*0.07*0.25)/AF49), 0)))-AF18</f>
        <v>#REF!</v>
      </c>
      <c r="AG19" s="326" t="e">
        <f>(((AG14-#REF!*0.65)/AG49)+(IF((#REF!&gt;0), ((293*0.07*0.25)/AG49), 0)))-AG18</f>
        <v>#REF!</v>
      </c>
      <c r="AH19" s="327" t="e">
        <f>(((AH14-#REF!*0.65)/AH49)+(IF((#REF!&gt;0), ((293*0.07*0.25)/AH49), 0)))-AH18</f>
        <v>#REF!</v>
      </c>
      <c r="AI19" s="326" t="e">
        <f>(((AI14-#REF!*0.65)/AI49)+(IF((#REF!&gt;0), ((293*0.07*0.25)/AI49), 0)))-AI18</f>
        <v>#REF!</v>
      </c>
      <c r="AJ19" s="327" t="e">
        <f>(((AJ14-#REF!*0.65)/AJ49)+(IF((#REF!&gt;0), ((293*0.07*0.25)/AJ49), 0)))-AJ18</f>
        <v>#REF!</v>
      </c>
      <c r="AK19" s="326" t="e">
        <f>(((AK14-#REF!*0.65)/AK49)+(IF((#REF!&gt;0), ((293*0.07*0.25)/AK49), 0)))-AK18</f>
        <v>#REF!</v>
      </c>
      <c r="AL19" s="327" t="e">
        <f>(((AL14-#REF!*0.65)/AL49)+(IF((#REF!&gt;0), ((293*0.07*0.25)/AL49), 0)))-AL18</f>
        <v>#REF!</v>
      </c>
      <c r="AM19" s="326" t="e">
        <f>(((AM14-#REF!*0.65)/AM49)+(IF((#REF!&gt;0), ((293*0.07*0.25)/AM49), 0)))-AM18</f>
        <v>#REF!</v>
      </c>
      <c r="AN19" s="327" t="e">
        <f>(((AN14-#REF!*0.65)/AN49)+(IF((#REF!&gt;0), ((293*0.07*0.25)/AN49), 0)))-AN18</f>
        <v>#REF!</v>
      </c>
      <c r="AO19" s="406" t="e">
        <f>(((AO14-#REF!*0.65)/AO49)+(IF((#REF!&gt;0), ((293*0.07*0.25)/AO49), 0)))-AO18</f>
        <v>#REF!</v>
      </c>
    </row>
    <row r="20" spans="1:41" s="332" customFormat="1" ht="3" customHeight="1" collapsed="1">
      <c r="A20" s="399"/>
      <c r="B20" s="329"/>
      <c r="C20" s="307"/>
      <c r="D20" s="329"/>
      <c r="E20" s="307"/>
      <c r="F20" s="329"/>
      <c r="G20" s="307"/>
      <c r="H20" s="329"/>
      <c r="I20" s="307"/>
      <c r="J20" s="329"/>
      <c r="K20" s="307"/>
      <c r="L20" s="329"/>
      <c r="M20" s="307"/>
      <c r="N20" s="329"/>
      <c r="O20" s="307"/>
      <c r="P20" s="329"/>
      <c r="Q20" s="307"/>
      <c r="R20" s="330"/>
      <c r="S20" s="331"/>
      <c r="T20" s="331"/>
      <c r="U20" s="329"/>
      <c r="V20" s="307"/>
      <c r="W20" s="329"/>
      <c r="X20" s="307"/>
      <c r="Y20" s="329"/>
      <c r="Z20" s="307"/>
      <c r="AA20" s="329"/>
      <c r="AB20" s="307"/>
      <c r="AC20" s="329"/>
      <c r="AD20" s="307"/>
      <c r="AE20" s="329"/>
      <c r="AF20" s="307"/>
      <c r="AG20" s="329"/>
      <c r="AH20" s="307"/>
      <c r="AI20" s="329"/>
      <c r="AJ20" s="307"/>
      <c r="AK20" s="329"/>
      <c r="AL20" s="307"/>
      <c r="AM20" s="329"/>
      <c r="AN20" s="307"/>
      <c r="AO20" s="396"/>
    </row>
    <row r="21" spans="1:41" s="332" customFormat="1" ht="9" customHeight="1">
      <c r="A21" s="399"/>
      <c r="B21" s="329"/>
      <c r="C21" s="307"/>
      <c r="D21" s="329"/>
      <c r="E21" s="307"/>
      <c r="F21" s="329"/>
      <c r="G21" s="307"/>
      <c r="H21" s="329"/>
      <c r="I21" s="307"/>
      <c r="J21" s="329"/>
      <c r="K21" s="307"/>
      <c r="L21" s="329"/>
      <c r="M21" s="307"/>
      <c r="N21" s="329"/>
      <c r="O21" s="307"/>
      <c r="P21" s="329"/>
      <c r="Q21" s="307"/>
      <c r="R21" s="330"/>
      <c r="S21" s="331"/>
      <c r="T21" s="331"/>
      <c r="U21" s="329"/>
      <c r="V21" s="307"/>
      <c r="W21" s="329"/>
      <c r="X21" s="307"/>
      <c r="Y21" s="329"/>
      <c r="Z21" s="307"/>
      <c r="AA21" s="329"/>
      <c r="AB21" s="307"/>
      <c r="AC21" s="329"/>
      <c r="AD21" s="307"/>
      <c r="AE21" s="329"/>
      <c r="AF21" s="307"/>
      <c r="AG21" s="329"/>
      <c r="AH21" s="307"/>
      <c r="AI21" s="329"/>
      <c r="AJ21" s="307"/>
      <c r="AK21" s="329"/>
      <c r="AL21" s="307"/>
      <c r="AM21" s="329"/>
      <c r="AN21" s="307"/>
      <c r="AO21" s="396"/>
    </row>
    <row r="22" spans="1:41" s="360" customFormat="1">
      <c r="A22" s="448" t="s">
        <v>240</v>
      </c>
      <c r="B22" s="358">
        <f>INPUT!C189</f>
        <v>0.80601826974744761</v>
      </c>
      <c r="C22" s="359">
        <f>INPUT!D189</f>
        <v>0</v>
      </c>
      <c r="D22" s="358">
        <f>INPUT!E189</f>
        <v>0.95978552278820373</v>
      </c>
      <c r="E22" s="359">
        <f>INPUT!F189</f>
        <v>0</v>
      </c>
      <c r="F22" s="358">
        <f>INPUT!G189</f>
        <v>0.6350325379609546</v>
      </c>
      <c r="G22" s="359">
        <f>INPUT!H189</f>
        <v>0</v>
      </c>
      <c r="H22" s="358">
        <f>INPUT!I189</f>
        <v>1.4344262295081969</v>
      </c>
      <c r="I22" s="359">
        <f>INPUT!J189</f>
        <v>0</v>
      </c>
      <c r="J22" s="358">
        <f>INPUT!K189</f>
        <v>1.359918200408998</v>
      </c>
      <c r="K22" s="359">
        <f>INPUT!L189</f>
        <v>68.720518064076359</v>
      </c>
      <c r="L22" s="358">
        <f>INPUT!M189</f>
        <v>1.4293006636038794</v>
      </c>
      <c r="M22" s="359">
        <f>INPUT!N189</f>
        <v>48.918756291689114</v>
      </c>
      <c r="N22" s="358">
        <f>INPUT!O189</f>
        <v>1.1785714285714286</v>
      </c>
      <c r="O22" s="359">
        <f>INPUT!P189</f>
        <v>85.592289862144639</v>
      </c>
      <c r="P22" s="358">
        <f>INPUT!Q189</f>
        <v>1.6930137684854667</v>
      </c>
      <c r="Q22" s="359">
        <f>INPUT!R189</f>
        <v>18.027245574415375</v>
      </c>
      <c r="R22" s="359"/>
      <c r="S22" s="358"/>
      <c r="T22" s="358"/>
      <c r="U22" s="358">
        <f>INPUT!AD189</f>
        <v>6.7460627698294813</v>
      </c>
      <c r="V22" s="359" t="str">
        <f>INPUT!AE189</f>
        <v>NA</v>
      </c>
      <c r="W22" s="358">
        <f>INPUT!AF189</f>
        <v>5.9368328280871303</v>
      </c>
      <c r="X22" s="359">
        <f>INPUT!AG189</f>
        <v>-11.995588676723889</v>
      </c>
      <c r="Y22" s="358">
        <f>INPUT!AH189</f>
        <v>4.2283298097251585</v>
      </c>
      <c r="Z22" s="359">
        <f>INPUT!AI189</f>
        <v>-28.778021342946559</v>
      </c>
      <c r="AA22" s="358">
        <f>INPUT!AJ189</f>
        <v>3.7543950361944152</v>
      </c>
      <c r="AB22" s="359">
        <f>INPUT!AK189</f>
        <v>-11.208557394002083</v>
      </c>
      <c r="AC22" s="358">
        <f>INPUT!AL189</f>
        <v>5.6610515569167941</v>
      </c>
      <c r="AD22" s="359">
        <f>INPUT!AM189</f>
        <v>50.784653781532583</v>
      </c>
      <c r="AE22" s="358">
        <f>INPUT!AN189</f>
        <v>5.3027038017101802</v>
      </c>
      <c r="AF22" s="359">
        <f>INPUT!AO189</f>
        <v>-6.3300563791682247</v>
      </c>
      <c r="AG22" s="358">
        <f>INPUT!AP189</f>
        <v>6.0499219337079184</v>
      </c>
      <c r="AH22" s="359">
        <f>INPUT!AQ189</f>
        <v>14.091266643193467</v>
      </c>
      <c r="AI22" s="358">
        <f>INPUT!AR189</f>
        <v>6.9536702210814187</v>
      </c>
      <c r="AJ22" s="359">
        <f>INPUT!AS189</f>
        <v>14.938180976156911</v>
      </c>
      <c r="AK22" s="358">
        <f>INPUT!AT189</f>
        <v>7.554018532042952</v>
      </c>
      <c r="AL22" s="359">
        <f>INPUT!AU189</f>
        <v>8.6335459099204712</v>
      </c>
      <c r="AM22" s="358">
        <f>INPUT!AV189</f>
        <v>8.0977876883126356</v>
      </c>
      <c r="AN22" s="359">
        <f>INPUT!AW189</f>
        <v>7.1984090846891835</v>
      </c>
      <c r="AO22" s="452">
        <f>INPUT!AX189</f>
        <v>7.4221536771631236</v>
      </c>
    </row>
    <row r="23" spans="1:41" s="335" customFormat="1" ht="3.75" customHeight="1">
      <c r="A23" s="399"/>
      <c r="B23" s="336"/>
      <c r="C23" s="307"/>
      <c r="D23" s="336"/>
      <c r="E23" s="307"/>
      <c r="F23" s="336"/>
      <c r="G23" s="307"/>
      <c r="H23" s="336"/>
      <c r="I23" s="307"/>
      <c r="J23" s="336"/>
      <c r="K23" s="307"/>
      <c r="L23" s="336"/>
      <c r="M23" s="307"/>
      <c r="N23" s="336"/>
      <c r="O23" s="307"/>
      <c r="P23" s="336"/>
      <c r="Q23" s="307"/>
      <c r="R23" s="307"/>
      <c r="S23" s="336"/>
      <c r="T23" s="336"/>
      <c r="U23" s="336"/>
      <c r="V23" s="307"/>
      <c r="W23" s="336"/>
      <c r="X23" s="307"/>
      <c r="Y23" s="336"/>
      <c r="Z23" s="307"/>
      <c r="AA23" s="336"/>
      <c r="AB23" s="307"/>
      <c r="AC23" s="336"/>
      <c r="AD23" s="307"/>
      <c r="AE23" s="336"/>
      <c r="AF23" s="307"/>
      <c r="AG23" s="336"/>
      <c r="AH23" s="307"/>
      <c r="AI23" s="336"/>
      <c r="AJ23" s="307"/>
      <c r="AK23" s="336"/>
      <c r="AL23" s="307"/>
      <c r="AM23" s="336"/>
      <c r="AN23" s="307"/>
      <c r="AO23" s="396"/>
    </row>
    <row r="24" spans="1:41" ht="12.75" customHeight="1">
      <c r="A24" s="402" t="s">
        <v>303</v>
      </c>
      <c r="B24" s="313">
        <f>INPUT!C141</f>
        <v>-65</v>
      </c>
      <c r="C24" s="307">
        <f>INPUT!D141</f>
        <v>0</v>
      </c>
      <c r="D24" s="313">
        <f>INPUT!E141</f>
        <v>14</v>
      </c>
      <c r="E24" s="307">
        <f>INPUT!F141</f>
        <v>0</v>
      </c>
      <c r="F24" s="313">
        <f>INPUT!G141</f>
        <v>9</v>
      </c>
      <c r="G24" s="307">
        <f>INPUT!H141</f>
        <v>0</v>
      </c>
      <c r="H24" s="313">
        <f>INPUT!I141</f>
        <v>84</v>
      </c>
      <c r="I24" s="307">
        <f>INPUT!J141</f>
        <v>0</v>
      </c>
      <c r="J24" s="313">
        <f>INPUT!K141</f>
        <v>118</v>
      </c>
      <c r="K24" s="307" t="str">
        <f>INPUT!L141</f>
        <v>NM</v>
      </c>
      <c r="L24" s="313">
        <f>INPUT!M141</f>
        <v>46</v>
      </c>
      <c r="M24" s="307" t="str">
        <f>INPUT!N141</f>
        <v>NM</v>
      </c>
      <c r="N24" s="313">
        <f>INPUT!O141</f>
        <v>43</v>
      </c>
      <c r="O24" s="307" t="str">
        <f>INPUT!P141</f>
        <v>NM</v>
      </c>
      <c r="P24" s="313">
        <f>INPUT!Q141</f>
        <v>132</v>
      </c>
      <c r="Q24" s="307">
        <f>INPUT!R141</f>
        <v>57.142857142857139</v>
      </c>
      <c r="R24" s="307"/>
      <c r="S24" s="313"/>
      <c r="T24" s="313"/>
      <c r="U24" s="313">
        <f>INPUT!AD141</f>
        <v>120.4</v>
      </c>
      <c r="V24" s="307" t="str">
        <f>INPUT!AE141</f>
        <v>NA</v>
      </c>
      <c r="W24" s="313">
        <f>INPUT!AF141</f>
        <v>-325</v>
      </c>
      <c r="X24" s="307" t="str">
        <f>INPUT!AG141</f>
        <v>NM</v>
      </c>
      <c r="Y24" s="313">
        <f>INPUT!AH141</f>
        <v>-178</v>
      </c>
      <c r="Z24" s="307">
        <f>INPUT!AI141</f>
        <v>-45.230769230769226</v>
      </c>
      <c r="AA24" s="313">
        <f>INPUT!AJ141</f>
        <v>42</v>
      </c>
      <c r="AB24" s="307" t="str">
        <f>INPUT!AK141</f>
        <v>NM</v>
      </c>
      <c r="AC24" s="313">
        <f>INPUT!AL141</f>
        <v>339</v>
      </c>
      <c r="AD24" s="307" t="str">
        <f>INPUT!AM141</f>
        <v>NM</v>
      </c>
      <c r="AE24" s="313">
        <f>INPUT!AN141</f>
        <v>-38.220569920107806</v>
      </c>
      <c r="AF24" s="307" t="str">
        <f>INPUT!AO141</f>
        <v>NM</v>
      </c>
      <c r="AG24" s="313">
        <f>INPUT!AP141</f>
        <v>-40.44495940712568</v>
      </c>
      <c r="AH24" s="307">
        <f>INPUT!AQ141</f>
        <v>5.8198752443187063</v>
      </c>
      <c r="AI24" s="313">
        <f>INPUT!AR141</f>
        <v>-42.89411289019521</v>
      </c>
      <c r="AJ24" s="307">
        <f>INPUT!AS141</f>
        <v>6.0555221688219474</v>
      </c>
      <c r="AK24" s="313">
        <f>INPUT!AT141</f>
        <v>-45.59379390644844</v>
      </c>
      <c r="AL24" s="307">
        <f>INPUT!AU141</f>
        <v>6.293826435259664</v>
      </c>
      <c r="AM24" s="313">
        <f>INPUT!AV141</f>
        <v>-48.572645095193103</v>
      </c>
      <c r="AN24" s="307">
        <f>INPUT!AW141</f>
        <v>6.5334575904273606</v>
      </c>
      <c r="AO24" s="396" t="str">
        <f>INPUT!AX141</f>
        <v>NM</v>
      </c>
    </row>
    <row r="25" spans="1:41">
      <c r="A25" s="399" t="s">
        <v>263</v>
      </c>
      <c r="B25" s="314">
        <f>INPUT!C145</f>
        <v>85</v>
      </c>
      <c r="C25" s="307">
        <f>INPUT!D145</f>
        <v>0</v>
      </c>
      <c r="D25" s="314">
        <f>INPUT!E145</f>
        <v>193</v>
      </c>
      <c r="E25" s="307">
        <f>INPUT!F145</f>
        <v>0</v>
      </c>
      <c r="F25" s="314">
        <f>INPUT!G145</f>
        <v>126.10000000000002</v>
      </c>
      <c r="G25" s="307">
        <f>INPUT!H145</f>
        <v>0</v>
      </c>
      <c r="H25" s="314">
        <f>INPUT!I145</f>
        <v>364</v>
      </c>
      <c r="I25" s="307">
        <f>INPUT!J145</f>
        <v>0</v>
      </c>
      <c r="J25" s="314">
        <f>INPUT!K145</f>
        <v>384</v>
      </c>
      <c r="K25" s="307" t="str">
        <f>INPUT!L145</f>
        <v>NM</v>
      </c>
      <c r="L25" s="314">
        <f>INPUT!M145</f>
        <v>326</v>
      </c>
      <c r="M25" s="307">
        <f>INPUT!N145</f>
        <v>68.911917098445599</v>
      </c>
      <c r="N25" s="314">
        <f>INPUT!O145</f>
        <v>274</v>
      </c>
      <c r="O25" s="307" t="str">
        <f>INPUT!P145</f>
        <v>NM</v>
      </c>
      <c r="P25" s="314">
        <f>INPUT!Q145</f>
        <v>464</v>
      </c>
      <c r="Q25" s="307">
        <f>INPUT!R145</f>
        <v>27.472527472527464</v>
      </c>
      <c r="R25" s="307"/>
      <c r="S25" s="314"/>
      <c r="T25" s="314"/>
      <c r="U25" s="314">
        <f>INPUT!AD145</f>
        <v>897</v>
      </c>
      <c r="V25" s="307" t="str">
        <f>INPUT!AE145</f>
        <v>NA</v>
      </c>
      <c r="W25" s="314">
        <f>INPUT!AF145</f>
        <v>456.4</v>
      </c>
      <c r="X25" s="307">
        <f>INPUT!AG145</f>
        <v>-49.119286510590868</v>
      </c>
      <c r="Y25" s="314">
        <f>INPUT!AH145</f>
        <v>562</v>
      </c>
      <c r="Z25" s="307">
        <f>INPUT!AI145</f>
        <v>23.137598597721308</v>
      </c>
      <c r="AA25" s="314">
        <f>INPUT!AJ145</f>
        <v>768.09999999999991</v>
      </c>
      <c r="AB25" s="307">
        <f>INPUT!AK145</f>
        <v>36.672597864768662</v>
      </c>
      <c r="AC25" s="314">
        <f>INPUT!AL145</f>
        <v>1448</v>
      </c>
      <c r="AD25" s="307">
        <f>INPUT!AM145</f>
        <v>88.517120166644986</v>
      </c>
      <c r="AE25" s="314">
        <f>INPUT!AN145</f>
        <v>1005.8818086366267</v>
      </c>
      <c r="AF25" s="307">
        <f>INPUT!AO145</f>
        <v>-30.533024265426334</v>
      </c>
      <c r="AG25" s="314">
        <f>INPUT!AP145</f>
        <v>1131.0679155180421</v>
      </c>
      <c r="AH25" s="307">
        <f>INPUT!AQ145</f>
        <v>12.445409172981536</v>
      </c>
      <c r="AI25" s="314">
        <f>INPUT!AR145</f>
        <v>1251.3428188839137</v>
      </c>
      <c r="AJ25" s="307">
        <f>INPUT!AS145</f>
        <v>10.633747250339454</v>
      </c>
      <c r="AK25" s="314">
        <f>INPUT!AT145</f>
        <v>1319.8572016457649</v>
      </c>
      <c r="AL25" s="307">
        <f>INPUT!AU145</f>
        <v>5.4752687854923821</v>
      </c>
      <c r="AM25" s="314">
        <f>INPUT!AV145</f>
        <v>1400.0852123479785</v>
      </c>
      <c r="AN25" s="307">
        <f>INPUT!AW145</f>
        <v>6.0785371782777098</v>
      </c>
      <c r="AO25" s="396">
        <f>INPUT!AX145</f>
        <v>-0.67074426553022093</v>
      </c>
    </row>
    <row r="26" spans="1:41" s="318" customFormat="1" hidden="1" outlineLevel="1">
      <c r="A26" s="400" t="s">
        <v>37</v>
      </c>
      <c r="B26" s="315">
        <f>(B14+B24)-B25</f>
        <v>0</v>
      </c>
      <c r="C26" s="316"/>
      <c r="D26" s="315">
        <f>(D14+D24)-D25</f>
        <v>0</v>
      </c>
      <c r="E26" s="316"/>
      <c r="F26" s="315">
        <f>(F14+F24)-F25</f>
        <v>0</v>
      </c>
      <c r="G26" s="316"/>
      <c r="H26" s="315">
        <f>(H14+H24)-H25</f>
        <v>0</v>
      </c>
      <c r="I26" s="316"/>
      <c r="J26" s="315">
        <f>(J14+J24)-J25</f>
        <v>0</v>
      </c>
      <c r="K26" s="316"/>
      <c r="L26" s="315">
        <f>(L14+L24)-L25</f>
        <v>0</v>
      </c>
      <c r="M26" s="316"/>
      <c r="N26" s="315">
        <f>(N14+N24)-N25</f>
        <v>0</v>
      </c>
      <c r="O26" s="316"/>
      <c r="P26" s="315">
        <f>(P14+P24)-P25</f>
        <v>0</v>
      </c>
      <c r="Q26" s="316"/>
      <c r="R26" s="316"/>
      <c r="S26" s="317"/>
      <c r="T26" s="317"/>
      <c r="U26" s="315">
        <f t="shared" ref="U26:AL26" si="4">(U14+U24)-U25</f>
        <v>0</v>
      </c>
      <c r="V26" s="316" t="e">
        <f t="shared" si="4"/>
        <v>#VALUE!</v>
      </c>
      <c r="W26" s="315">
        <f t="shared" si="4"/>
        <v>0</v>
      </c>
      <c r="X26" s="316" t="e">
        <f t="shared" si="4"/>
        <v>#VALUE!</v>
      </c>
      <c r="Y26" s="315">
        <f t="shared" si="4"/>
        <v>0</v>
      </c>
      <c r="Z26" s="316">
        <f t="shared" si="4"/>
        <v>-73.666550577402745</v>
      </c>
      <c r="AA26" s="315">
        <f t="shared" si="4"/>
        <v>0</v>
      </c>
      <c r="AB26" s="316" t="e">
        <f t="shared" si="4"/>
        <v>#VALUE!</v>
      </c>
      <c r="AC26" s="315">
        <f t="shared" si="4"/>
        <v>0</v>
      </c>
      <c r="AD26" s="316" t="e">
        <f t="shared" si="4"/>
        <v>#VALUE!</v>
      </c>
      <c r="AE26" s="315">
        <f t="shared" ref="AE26:AF26" si="5">(AE14+AE24)-AE25</f>
        <v>0</v>
      </c>
      <c r="AF26" s="316" t="e">
        <f t="shared" si="5"/>
        <v>#VALUE!</v>
      </c>
      <c r="AG26" s="315">
        <f t="shared" si="4"/>
        <v>0</v>
      </c>
      <c r="AH26" s="316">
        <f t="shared" si="4"/>
        <v>5.5773399451188848</v>
      </c>
      <c r="AI26" s="315">
        <f t="shared" si="4"/>
        <v>0</v>
      </c>
      <c r="AJ26" s="316">
        <f t="shared" si="4"/>
        <v>5.8974648981406474</v>
      </c>
      <c r="AK26" s="315">
        <f t="shared" si="4"/>
        <v>0</v>
      </c>
      <c r="AL26" s="316">
        <f t="shared" si="4"/>
        <v>6.3209553970241075</v>
      </c>
      <c r="AM26" s="315">
        <f t="shared" ref="AM26:AN26" si="6">(AM14+AM24)-AM25</f>
        <v>0</v>
      </c>
      <c r="AN26" s="316">
        <f t="shared" si="6"/>
        <v>6.5486478444774612</v>
      </c>
      <c r="AO26" s="401" t="e">
        <f t="shared" ref="AO26" si="7">(AO14+AO24)-AO25</f>
        <v>#VALUE!</v>
      </c>
    </row>
    <row r="27" spans="1:41" ht="12" customHeight="1" collapsed="1">
      <c r="A27" s="395"/>
      <c r="B27" s="313"/>
      <c r="C27" s="307"/>
      <c r="D27" s="313"/>
      <c r="E27" s="307"/>
      <c r="F27" s="313"/>
      <c r="G27" s="307"/>
      <c r="H27" s="313"/>
      <c r="I27" s="307"/>
      <c r="J27" s="313"/>
      <c r="K27" s="307"/>
      <c r="L27" s="313"/>
      <c r="M27" s="307"/>
      <c r="N27" s="313"/>
      <c r="O27" s="307"/>
      <c r="P27" s="313"/>
      <c r="Q27" s="307"/>
      <c r="R27" s="307"/>
      <c r="S27" s="319"/>
      <c r="T27" s="319"/>
      <c r="U27" s="313"/>
      <c r="V27" s="307"/>
      <c r="W27" s="313"/>
      <c r="X27" s="307"/>
      <c r="Y27" s="313"/>
      <c r="Z27" s="307"/>
      <c r="AA27" s="313"/>
      <c r="AB27" s="307"/>
      <c r="AC27" s="313"/>
      <c r="AD27" s="307"/>
      <c r="AE27" s="313"/>
      <c r="AF27" s="307"/>
      <c r="AG27" s="313"/>
      <c r="AH27" s="307"/>
      <c r="AI27" s="313"/>
      <c r="AJ27" s="307"/>
      <c r="AK27" s="313"/>
      <c r="AL27" s="307"/>
      <c r="AM27" s="313"/>
      <c r="AN27" s="307"/>
      <c r="AO27" s="396"/>
    </row>
    <row r="28" spans="1:41" s="355" customFormat="1" ht="12.75" customHeight="1">
      <c r="A28" s="407" t="s">
        <v>241</v>
      </c>
      <c r="B28" s="353">
        <f>INPUT!C185</f>
        <v>0.46</v>
      </c>
      <c r="C28" s="354">
        <f>INPUT!D185</f>
        <v>0</v>
      </c>
      <c r="D28" s="353">
        <f>INPUT!E185</f>
        <v>1.04</v>
      </c>
      <c r="E28" s="354">
        <f>INPUT!F185</f>
        <v>0</v>
      </c>
      <c r="F28" s="353">
        <f>INPUT!G185</f>
        <v>0.68</v>
      </c>
      <c r="G28" s="354">
        <f>INPUT!H185</f>
        <v>0</v>
      </c>
      <c r="H28" s="353">
        <f>INPUT!I185</f>
        <v>1.92</v>
      </c>
      <c r="I28" s="354">
        <f>INPUT!J185</f>
        <v>0</v>
      </c>
      <c r="J28" s="353">
        <f>INPUT!K185</f>
        <v>2</v>
      </c>
      <c r="K28" s="354" t="str">
        <f>INPUT!L185</f>
        <v>NM</v>
      </c>
      <c r="L28" s="353">
        <f>INPUT!M185</f>
        <v>1.66</v>
      </c>
      <c r="M28" s="354">
        <f>INPUT!N185</f>
        <v>59.615384615384606</v>
      </c>
      <c r="N28" s="353">
        <f>INPUT!O185</f>
        <v>1.4</v>
      </c>
      <c r="O28" s="354" t="str">
        <f>INPUT!P185</f>
        <v>NM</v>
      </c>
      <c r="P28" s="353">
        <f>INPUT!Q185</f>
        <v>2.36</v>
      </c>
      <c r="Q28" s="354">
        <f>INPUT!R185</f>
        <v>22.916666666666675</v>
      </c>
      <c r="R28" s="354"/>
      <c r="S28" s="353"/>
      <c r="T28" s="353"/>
      <c r="U28" s="353">
        <f>INPUT!AD185</f>
        <v>8.07</v>
      </c>
      <c r="V28" s="354" t="str">
        <f>INPUT!AE185</f>
        <v>NA</v>
      </c>
      <c r="W28" s="353">
        <f>INPUT!AF185</f>
        <v>3.47</v>
      </c>
      <c r="X28" s="354" t="str">
        <f>INPUT!AG185</f>
        <v>NM</v>
      </c>
      <c r="Y28" s="353">
        <f>INPUT!AH185</f>
        <v>3.21</v>
      </c>
      <c r="Z28" s="354">
        <f>INPUT!AI185</f>
        <v>-7.4927953890490002</v>
      </c>
      <c r="AA28" s="353">
        <f>INPUT!AJ185</f>
        <v>4.1100000000000003</v>
      </c>
      <c r="AB28" s="354">
        <f>INPUT!AK185</f>
        <v>28.037383177570096</v>
      </c>
      <c r="AC28" s="353">
        <f>INPUT!AL185</f>
        <v>7.41</v>
      </c>
      <c r="AD28" s="354">
        <f>INPUT!AM185</f>
        <v>80.291970802919693</v>
      </c>
      <c r="AE28" s="353">
        <f>INPUT!AN185</f>
        <v>5.1100000000000003</v>
      </c>
      <c r="AF28" s="354">
        <f>INPUT!AO185</f>
        <v>-31.039136302294189</v>
      </c>
      <c r="AG28" s="353">
        <f>INPUT!AP185</f>
        <v>5.84</v>
      </c>
      <c r="AH28" s="354">
        <f>INPUT!AQ185</f>
        <v>14.285714285714279</v>
      </c>
      <c r="AI28" s="353">
        <f>INPUT!AR185</f>
        <v>6.72</v>
      </c>
      <c r="AJ28" s="354">
        <f>INPUT!AS185</f>
        <v>15.068493150684926</v>
      </c>
      <c r="AK28" s="353">
        <f>INPUT!AT185</f>
        <v>7.3</v>
      </c>
      <c r="AL28" s="354">
        <f>INPUT!AU185</f>
        <v>8.6309523809523725</v>
      </c>
      <c r="AM28" s="353">
        <f>INPUT!AV185</f>
        <v>7.83</v>
      </c>
      <c r="AN28" s="354">
        <f>INPUT!AW185</f>
        <v>7.2602739726027377</v>
      </c>
      <c r="AO28" s="408">
        <f>INPUT!AX185</f>
        <v>1.1087429095837376</v>
      </c>
    </row>
    <row r="29" spans="1:41" s="318" customFormat="1" ht="12.75" hidden="1" customHeight="1" outlineLevel="1">
      <c r="A29" s="405" t="s">
        <v>37</v>
      </c>
      <c r="B29" s="326" t="e">
        <f>((B25/B49)+(IF((#REF!&gt;0), ((293*0.07*0.25)/B49), 0)))-B28</f>
        <v>#REF!</v>
      </c>
      <c r="C29" s="327"/>
      <c r="D29" s="326" t="e">
        <f>((D25/D49)+(IF((#REF!&gt;0), ((293*0.07*0.25)/D49), 0)))-D28</f>
        <v>#REF!</v>
      </c>
      <c r="E29" s="327"/>
      <c r="F29" s="326" t="e">
        <f>((F25/F49)+(IF((#REF!&gt;0), ((293*0.07*0.25)/F49), 0)))-F28</f>
        <v>#REF!</v>
      </c>
      <c r="G29" s="327"/>
      <c r="H29" s="326" t="e">
        <f>((H25/H49)+(IF((#REF!&gt;0), ((293*0.07*0.25)/H49), 0)))-H28</f>
        <v>#REF!</v>
      </c>
      <c r="I29" s="327"/>
      <c r="J29" s="326" t="e">
        <f>((J25/J49)+(IF((#REF!&gt;0), ((293*0.07*0.25)/J49), 0)))-J28</f>
        <v>#REF!</v>
      </c>
      <c r="K29" s="327"/>
      <c r="L29" s="326" t="e">
        <f>((L25/L49)+(IF((#REF!&gt;0), ((293*0.07*0.25)/L49), 0)))-L28</f>
        <v>#REF!</v>
      </c>
      <c r="M29" s="327"/>
      <c r="N29" s="326" t="e">
        <f>((N25/N49)+(IF((#REF!&gt;0), ((293*0.07*0.25)/N49), 0)))-N28</f>
        <v>#REF!</v>
      </c>
      <c r="O29" s="327"/>
      <c r="P29" s="326" t="e">
        <f>((P25/P49)+(IF((#REF!&gt;0), ((293*0.07*0.25)/P49), 0)))-P28</f>
        <v>#REF!</v>
      </c>
      <c r="Q29" s="327"/>
      <c r="R29" s="327"/>
      <c r="S29" s="328"/>
      <c r="T29" s="328"/>
      <c r="U29" s="326" t="e">
        <f>((U25/U49)+(IF((#REF!&gt;0), ((293*0.07*0.25)/U49), 0)))-U28</f>
        <v>#REF!</v>
      </c>
      <c r="V29" s="327" t="e">
        <f>((V25/V49)+(IF((#REF!&gt;0), ((293*0.07*0.25)/V49), 0)))-V28</f>
        <v>#VALUE!</v>
      </c>
      <c r="W29" s="326" t="e">
        <f>((W25/W49)+(IF((#REF!&gt;0), ((293*0.07*0.25)/W49), 0)))-W28</f>
        <v>#REF!</v>
      </c>
      <c r="X29" s="327" t="e">
        <f>((X25/X49)+(IF((#REF!&gt;0), ((293*0.07*0.25)/X49), 0)))-X28</f>
        <v>#REF!</v>
      </c>
      <c r="Y29" s="326" t="e">
        <f>((Y25/Y49)+(IF((#REF!&gt;0), ((293*0.07*0.25)/Y49), 0)))-Y28</f>
        <v>#REF!</v>
      </c>
      <c r="Z29" s="327" t="e">
        <f>((Z25/Z49)+(IF((#REF!&gt;0), ((293*0.07*0.25)/Z49), 0)))-Z28</f>
        <v>#REF!</v>
      </c>
      <c r="AA29" s="326" t="e">
        <f>((AA25/AA49)+(IF((#REF!&gt;0), ((293*0.07*0.25)/AA49), 0)))-AA28</f>
        <v>#REF!</v>
      </c>
      <c r="AB29" s="327" t="e">
        <f>((AB25/AB49)+(IF((#REF!&gt;0), ((293*0.07*0.25)/AB49), 0)))-AB28</f>
        <v>#REF!</v>
      </c>
      <c r="AC29" s="326" t="e">
        <f>((AC25/AC49)+(IF((#REF!&gt;0), ((293*0.07*0.25)/AC49), 0)))-AC28</f>
        <v>#REF!</v>
      </c>
      <c r="AD29" s="327" t="e">
        <f>((AD25/AD49)+(IF((#REF!&gt;0), ((293*0.07*0.25)/AD49), 0)))-AD28</f>
        <v>#REF!</v>
      </c>
      <c r="AE29" s="326" t="e">
        <f>((AE25/AE49)+(IF((#REF!&gt;0), ((293*0.07*0.25)/AE49), 0)))-AE28</f>
        <v>#REF!</v>
      </c>
      <c r="AF29" s="327" t="e">
        <f>((AF25/AF49)+(IF((#REF!&gt;0), ((293*0.07*0.25)/AF49), 0)))-AF28</f>
        <v>#REF!</v>
      </c>
      <c r="AG29" s="326" t="e">
        <f>((AG25/AG49)+(IF((#REF!&gt;0), ((293*0.07*0.25)/AG49), 0)))-AG28</f>
        <v>#REF!</v>
      </c>
      <c r="AH29" s="327" t="e">
        <f>((AH25/AH49)+(IF((#REF!&gt;0), ((293*0.07*0.25)/AH49), 0)))-AH28</f>
        <v>#REF!</v>
      </c>
      <c r="AI29" s="326" t="e">
        <f>((AI25/AI49)+(IF((#REF!&gt;0), ((293*0.07*0.25)/AI49), 0)))-AI28</f>
        <v>#REF!</v>
      </c>
      <c r="AJ29" s="327" t="e">
        <f>((AJ25/AJ49)+(IF((#REF!&gt;0), ((293*0.07*0.25)/AJ49), 0)))-AJ28</f>
        <v>#REF!</v>
      </c>
      <c r="AK29" s="326" t="e">
        <f>((AK25/AK49)+(IF((#REF!&gt;0), ((293*0.07*0.25)/AK49), 0)))-AK28</f>
        <v>#REF!</v>
      </c>
      <c r="AL29" s="327" t="e">
        <f>((AL25/AL49)+(IF((#REF!&gt;0), ((293*0.07*0.25)/AL49), 0)))-AL28</f>
        <v>#REF!</v>
      </c>
      <c r="AM29" s="326" t="e">
        <f>((AM25/AM49)+(IF((#REF!&gt;0), ((293*0.07*0.25)/AM49), 0)))-AM28</f>
        <v>#REF!</v>
      </c>
      <c r="AN29" s="327" t="e">
        <f>((AN25/AN49)+(IF((#REF!&gt;0), ((293*0.07*0.25)/AN49), 0)))-AN28</f>
        <v>#REF!</v>
      </c>
      <c r="AO29" s="406" t="e">
        <f>((AO25/AO49)+(IF((#REF!&gt;0), ((293*0.07*0.25)/AO49), 0)))-AO28</f>
        <v>#REF!</v>
      </c>
    </row>
    <row r="30" spans="1:41" ht="3" customHeight="1" collapsed="1">
      <c r="A30" s="409"/>
      <c r="B30" s="306"/>
      <c r="C30" s="307"/>
      <c r="D30" s="306"/>
      <c r="E30" s="307"/>
      <c r="F30" s="306"/>
      <c r="G30" s="307"/>
      <c r="H30" s="306"/>
      <c r="I30" s="307"/>
      <c r="J30" s="306"/>
      <c r="K30" s="307"/>
      <c r="L30" s="306"/>
      <c r="M30" s="307"/>
      <c r="N30" s="306"/>
      <c r="O30" s="307"/>
      <c r="P30" s="306"/>
      <c r="Q30" s="307"/>
      <c r="R30" s="307"/>
      <c r="S30" s="306"/>
      <c r="T30" s="306"/>
      <c r="U30" s="306"/>
      <c r="V30" s="307"/>
      <c r="W30" s="306"/>
      <c r="X30" s="307"/>
      <c r="Y30" s="306"/>
      <c r="Z30" s="307"/>
      <c r="AA30" s="306"/>
      <c r="AB30" s="307"/>
      <c r="AC30" s="306"/>
      <c r="AD30" s="307"/>
      <c r="AE30" s="306"/>
      <c r="AF30" s="307"/>
      <c r="AG30" s="306"/>
      <c r="AH30" s="307"/>
      <c r="AI30" s="306"/>
      <c r="AJ30" s="307"/>
      <c r="AK30" s="306"/>
      <c r="AL30" s="307"/>
      <c r="AM30" s="306"/>
      <c r="AN30" s="307"/>
      <c r="AO30" s="396"/>
    </row>
    <row r="31" spans="1:41" ht="12.75" customHeight="1">
      <c r="A31" s="399" t="s">
        <v>346</v>
      </c>
      <c r="B31" s="331"/>
      <c r="C31" s="307"/>
      <c r="D31" s="331"/>
      <c r="E31" s="307"/>
      <c r="F31" s="331"/>
      <c r="G31" s="307"/>
      <c r="H31" s="331"/>
      <c r="I31" s="307"/>
      <c r="J31" s="331"/>
      <c r="K31" s="307"/>
      <c r="L31" s="331"/>
      <c r="M31" s="307"/>
      <c r="N31" s="331"/>
      <c r="O31" s="307"/>
      <c r="P31" s="331"/>
      <c r="Q31" s="307"/>
      <c r="R31" s="307"/>
      <c r="S31" s="331"/>
      <c r="T31" s="331"/>
      <c r="U31" s="331"/>
      <c r="V31" s="307"/>
      <c r="W31" s="331"/>
      <c r="X31" s="307"/>
      <c r="Y31" s="331"/>
      <c r="Z31" s="307"/>
      <c r="AA31" s="331"/>
      <c r="AB31" s="307"/>
      <c r="AC31" s="331"/>
      <c r="AD31" s="307"/>
      <c r="AE31" s="331"/>
      <c r="AF31" s="307"/>
      <c r="AG31" s="331"/>
      <c r="AH31" s="307"/>
      <c r="AI31" s="331"/>
      <c r="AJ31" s="307"/>
      <c r="AK31" s="331"/>
      <c r="AL31" s="307"/>
      <c r="AM31" s="331"/>
      <c r="AN31" s="307"/>
      <c r="AO31" s="396"/>
    </row>
    <row r="32" spans="1:41" ht="12.75" customHeight="1">
      <c r="A32" s="410" t="s">
        <v>193</v>
      </c>
      <c r="B32" s="337">
        <f>INPUT!C238</f>
        <v>19.216555801921658</v>
      </c>
      <c r="C32" s="307">
        <f>INPUT!D238</f>
        <v>0</v>
      </c>
      <c r="D32" s="337">
        <f>INPUT!E238</f>
        <v>18.884740455257134</v>
      </c>
      <c r="E32" s="307">
        <f>INPUT!F238</f>
        <v>0</v>
      </c>
      <c r="F32" s="337">
        <f>INPUT!G238</f>
        <v>12.956462274903124</v>
      </c>
      <c r="G32" s="307">
        <f>INPUT!H238</f>
        <v>0</v>
      </c>
      <c r="H32" s="337">
        <f>INPUT!I238</f>
        <v>21.535038932146829</v>
      </c>
      <c r="I32" s="307">
        <f>INPUT!J238</f>
        <v>0</v>
      </c>
      <c r="J32" s="337">
        <f>INPUT!K238</f>
        <v>23.745277927684835</v>
      </c>
      <c r="K32" s="307">
        <f>INPUT!L238</f>
        <v>23.566773215990679</v>
      </c>
      <c r="L32" s="337">
        <f>INPUT!M238</f>
        <v>21.398517331196153</v>
      </c>
      <c r="M32" s="307">
        <f>INPUT!N238</f>
        <v>13.311153954669441</v>
      </c>
      <c r="N32" s="337">
        <f>INPUT!O238</f>
        <v>18.526955201214882</v>
      </c>
      <c r="O32" s="307">
        <f>INPUT!P238</f>
        <v>42.993934672290067</v>
      </c>
      <c r="P32" s="337">
        <f>INPUT!Q238</f>
        <v>22.591362126245848</v>
      </c>
      <c r="Q32" s="307">
        <f>INPUT!R238</f>
        <v>4.90513714615195</v>
      </c>
      <c r="R32" s="307"/>
      <c r="S32" s="320"/>
      <c r="T32" s="320"/>
      <c r="U32" s="337">
        <f>INPUT!AD238</f>
        <v>21.57676348547718</v>
      </c>
      <c r="V32" s="307">
        <f>INPUT!AE238</f>
        <v>0</v>
      </c>
      <c r="W32" s="337">
        <f>INPUT!AF238</f>
        <v>32</v>
      </c>
      <c r="X32" s="307">
        <f>INPUT!AG238</f>
        <v>48.307692307692292</v>
      </c>
      <c r="Y32" s="337">
        <f>INPUT!AH238</f>
        <v>22.472238457042664</v>
      </c>
      <c r="Z32" s="307">
        <f>INPUT!AI238</f>
        <v>-29.774254821741675</v>
      </c>
      <c r="AA32" s="337">
        <f>INPUT!AJ238</f>
        <v>18.248381400824012</v>
      </c>
      <c r="AB32" s="307">
        <f>INPUT!AK238</f>
        <v>-18.795889267074418</v>
      </c>
      <c r="AC32" s="337">
        <f>INPUT!AL238</f>
        <v>22.031675577524464</v>
      </c>
      <c r="AD32" s="307">
        <f>INPUT!AM238</f>
        <v>20.732217798393982</v>
      </c>
      <c r="AE32" s="337">
        <f>INPUT!AN238</f>
        <v>17.949506612108863</v>
      </c>
      <c r="AF32" s="307">
        <f>INPUT!AO238</f>
        <v>-18.528635968024197</v>
      </c>
      <c r="AG32" s="337">
        <f>INPUT!AP238</f>
        <v>18.377125094828283</v>
      </c>
      <c r="AH32" s="307">
        <f>INPUT!AQ238</f>
        <v>2.3823411526584515</v>
      </c>
      <c r="AI32" s="337">
        <f>INPUT!AR238</f>
        <v>18.939143318787334</v>
      </c>
      <c r="AJ32" s="307">
        <f>INPUT!AS238</f>
        <v>3.0582488885446679</v>
      </c>
      <c r="AK32" s="337">
        <f>INPUT!AT238</f>
        <v>18.23830819843343</v>
      </c>
      <c r="AL32" s="307">
        <f>INPUT!AU238</f>
        <v>-3.7004584027762633</v>
      </c>
      <c r="AM32" s="337">
        <f>INPUT!AV238</f>
        <v>17.447075217103585</v>
      </c>
      <c r="AN32" s="307">
        <f>INPUT!AW238</f>
        <v>-4.3383025043836394</v>
      </c>
      <c r="AO32" s="396">
        <f>INPUT!AX238</f>
        <v>-4.5589912046046788</v>
      </c>
    </row>
    <row r="33" spans="1:41" ht="12.75" customHeight="1">
      <c r="A33" s="410" t="s">
        <v>109</v>
      </c>
      <c r="B33" s="337">
        <f>INPUT!C239</f>
        <v>10.54481546572935</v>
      </c>
      <c r="C33" s="307">
        <f>INPUT!D239</f>
        <v>0</v>
      </c>
      <c r="D33" s="337">
        <f>INPUT!E239</f>
        <v>12.389686797023707</v>
      </c>
      <c r="E33" s="307">
        <f>INPUT!F239</f>
        <v>0</v>
      </c>
      <c r="F33" s="337">
        <f>INPUT!G239</f>
        <v>7.8203522831622019</v>
      </c>
      <c r="G33" s="307">
        <f>INPUT!H239</f>
        <v>0</v>
      </c>
      <c r="H33" s="337">
        <f>INPUT!I239</f>
        <v>17.774956356133949</v>
      </c>
      <c r="I33" s="307">
        <f>INPUT!J239</f>
        <v>0</v>
      </c>
      <c r="J33" s="337">
        <f>INPUT!K239</f>
        <v>15.862840104360791</v>
      </c>
      <c r="K33" s="307">
        <f>INPUT!L239</f>
        <v>50.432600323021482</v>
      </c>
      <c r="L33" s="337">
        <f>INPUT!M239</f>
        <v>15.83262651964942</v>
      </c>
      <c r="M33" s="307">
        <f>INPUT!N239</f>
        <v>27.788755107617312</v>
      </c>
      <c r="N33" s="337">
        <f>INPUT!O239</f>
        <v>12.544973185798655</v>
      </c>
      <c r="O33" s="307">
        <f>INPUT!P239</f>
        <v>60.41442548322167</v>
      </c>
      <c r="P33" s="337">
        <f>INPUT!Q239</f>
        <v>17.359477124183005</v>
      </c>
      <c r="Q33" s="307">
        <f>INPUT!R239</f>
        <v>-2.3374416433240119</v>
      </c>
      <c r="R33" s="307"/>
      <c r="S33" s="320"/>
      <c r="T33" s="320"/>
      <c r="U33" s="337">
        <f>INPUT!AD239</f>
        <v>29.05349794238683</v>
      </c>
      <c r="V33" s="307" t="str">
        <f>INPUT!AE239</f>
        <v>NA</v>
      </c>
      <c r="W33" s="337">
        <f>INPUT!AF239</f>
        <v>23.78329021457921</v>
      </c>
      <c r="X33" s="307">
        <f>INPUT!AG239</f>
        <v>-18.139666825173538</v>
      </c>
      <c r="Y33" s="337">
        <f>INPUT!AH239</f>
        <v>15.603584607274644</v>
      </c>
      <c r="Z33" s="307">
        <f>INPUT!AI239</f>
        <v>-34.392657758893208</v>
      </c>
      <c r="AA33" s="337">
        <f>INPUT!AJ239</f>
        <v>12.023513826792513</v>
      </c>
      <c r="AB33" s="307">
        <f>INPUT!AK239</f>
        <v>-22.943899562752033</v>
      </c>
      <c r="AC33" s="337">
        <f>INPUT!AL239</f>
        <v>15.527863343601231</v>
      </c>
      <c r="AD33" s="307">
        <f>INPUT!AM239</f>
        <v>29.1458018620133</v>
      </c>
      <c r="AE33" s="337">
        <f>INPUT!AN239</f>
        <v>12.585701737740735</v>
      </c>
      <c r="AF33" s="307">
        <f>INPUT!AO239</f>
        <v>-18.94762686118635</v>
      </c>
      <c r="AG33" s="337">
        <f>INPUT!AP239</f>
        <v>12.853406131026757</v>
      </c>
      <c r="AH33" s="307">
        <f>INPUT!AQ239</f>
        <v>2.127051783558942</v>
      </c>
      <c r="AI33" s="337">
        <f>INPUT!AR239</f>
        <v>13.198928595555401</v>
      </c>
      <c r="AJ33" s="307">
        <f>INPUT!AS239</f>
        <v>2.6881782230049556</v>
      </c>
      <c r="AK33" s="337">
        <f>INPUT!AT239</f>
        <v>12.70042702388122</v>
      </c>
      <c r="AL33" s="307">
        <f>INPUT!AU239</f>
        <v>-3.7768336124043178</v>
      </c>
      <c r="AM33" s="337">
        <f>INPUT!AV239</f>
        <v>12.14176936254786</v>
      </c>
      <c r="AN33" s="307">
        <f>INPUT!AW239</f>
        <v>-4.398731320473626</v>
      </c>
      <c r="AO33" s="396">
        <f>INPUT!AX239</f>
        <v>-4.8006340815957333</v>
      </c>
    </row>
    <row r="34" spans="1:41" ht="12.75" customHeight="1">
      <c r="A34" s="410" t="s">
        <v>112</v>
      </c>
      <c r="B34" s="337">
        <f>INPUT!C242</f>
        <v>5.9753954305799644</v>
      </c>
      <c r="C34" s="307">
        <f>INPUT!D242</f>
        <v>0</v>
      </c>
      <c r="D34" s="337">
        <f>INPUT!E242</f>
        <v>13.358712580031149</v>
      </c>
      <c r="E34" s="307">
        <f>INPUT!F242</f>
        <v>0</v>
      </c>
      <c r="F34" s="337">
        <f>INPUT!G242</f>
        <v>8.4214041238834643</v>
      </c>
      <c r="G34" s="307">
        <f>INPUT!H242</f>
        <v>0</v>
      </c>
      <c r="H34" s="337">
        <f>INPUT!I242</f>
        <v>23.10744326297413</v>
      </c>
      <c r="I34" s="307">
        <f>INPUT!J242</f>
        <v>0</v>
      </c>
      <c r="J34" s="337">
        <f>INPUT!K242</f>
        <v>22.8997390980246</v>
      </c>
      <c r="K34" s="307" t="str">
        <f>INPUT!L242</f>
        <v>NM</v>
      </c>
      <c r="L34" s="337">
        <f>INPUT!M242</f>
        <v>18.43370087644897</v>
      </c>
      <c r="M34" s="307">
        <f>INPUT!N242</f>
        <v>37.990100213728731</v>
      </c>
      <c r="N34" s="337">
        <f>INPUT!O242</f>
        <v>14.880184644626976</v>
      </c>
      <c r="O34" s="307">
        <f>INPUT!P242</f>
        <v>76.694817464300669</v>
      </c>
      <c r="P34" s="337">
        <f>INPUT!Q242</f>
        <v>24.261437908496735</v>
      </c>
      <c r="Q34" s="307">
        <f>INPUT!R242</f>
        <v>4.9940386410974869</v>
      </c>
      <c r="R34" s="307"/>
      <c r="S34" s="320"/>
      <c r="T34" s="320"/>
      <c r="U34" s="337">
        <f>INPUT!AD242</f>
        <v>33.557800224466895</v>
      </c>
      <c r="V34" s="307" t="str">
        <f>INPUT!AE242</f>
        <v>NA</v>
      </c>
      <c r="W34" s="337">
        <f>INPUT!AF242</f>
        <v>13.891340739613453</v>
      </c>
      <c r="X34" s="307" t="str">
        <f>INPUT!AG242</f>
        <v>NM</v>
      </c>
      <c r="Y34" s="337">
        <f>INPUT!AH242</f>
        <v>11.850289931470744</v>
      </c>
      <c r="Z34" s="307">
        <f>INPUT!AI242</f>
        <v>-14.6929720204927</v>
      </c>
      <c r="AA34" s="337">
        <f>INPUT!AJ242</f>
        <v>12.718993210796489</v>
      </c>
      <c r="AB34" s="307">
        <f>INPUT!AK242</f>
        <v>7.3306500039187705</v>
      </c>
      <c r="AC34" s="337">
        <f>INPUT!AL242</f>
        <v>20.274432931951832</v>
      </c>
      <c r="AD34" s="307">
        <f>INPUT!AM242</f>
        <v>59.402812753622072</v>
      </c>
      <c r="AE34" s="337">
        <f>INPUT!AN242</f>
        <v>12.124987632361647</v>
      </c>
      <c r="AF34" s="307">
        <f>INPUT!AO242</f>
        <v>-40.19567564203944</v>
      </c>
      <c r="AG34" s="337">
        <f>INPUT!AP242</f>
        <v>12.409658989753652</v>
      </c>
      <c r="AH34" s="307">
        <f>INPUT!AQ242</f>
        <v>2.3478074042089458</v>
      </c>
      <c r="AI34" s="337">
        <f>INPUT!AR242</f>
        <v>12.761484477474713</v>
      </c>
      <c r="AJ34" s="307">
        <f>INPUT!AS242</f>
        <v>2.83509392169079</v>
      </c>
      <c r="AK34" s="337">
        <f>INPUT!AT242</f>
        <v>12.276346881761915</v>
      </c>
      <c r="AL34" s="307">
        <f>INPUT!AU242</f>
        <v>-3.8015765060022133</v>
      </c>
      <c r="AM34" s="337">
        <f>INPUT!AV242</f>
        <v>11.734662984016476</v>
      </c>
      <c r="AN34" s="307">
        <f>INPUT!AW242</f>
        <v>-4.4124192885929281</v>
      </c>
      <c r="AO34" s="396">
        <f>INPUT!AX242</f>
        <v>-10.359477137062678</v>
      </c>
    </row>
    <row r="35" spans="1:41" ht="12.75" customHeight="1">
      <c r="A35" s="410" t="s">
        <v>114</v>
      </c>
      <c r="B35" s="337">
        <f>INPUT!C243</f>
        <v>5.9753954305799644</v>
      </c>
      <c r="C35" s="307">
        <f>INPUT!D243</f>
        <v>0</v>
      </c>
      <c r="D35" s="337">
        <f>INPUT!E243</f>
        <v>12.786749482401657</v>
      </c>
      <c r="E35" s="307">
        <f>INPUT!F243</f>
        <v>0</v>
      </c>
      <c r="F35" s="337">
        <f>INPUT!G243</f>
        <v>7.4903474903474914</v>
      </c>
      <c r="G35" s="307">
        <f>INPUT!H243</f>
        <v>0</v>
      </c>
      <c r="H35" s="337">
        <f>INPUT!I243</f>
        <v>20.966232270141838</v>
      </c>
      <c r="I35" s="307">
        <f>INPUT!J243</f>
        <v>0</v>
      </c>
      <c r="J35" s="337">
        <f>INPUT!K243</f>
        <v>21.252161881701834</v>
      </c>
      <c r="K35" s="307" t="str">
        <f>INPUT!L243</f>
        <v>NM</v>
      </c>
      <c r="L35" s="337">
        <f>INPUT!M243</f>
        <v>16.422139663749132</v>
      </c>
      <c r="M35" s="307">
        <f>INPUT!N243</f>
        <v>28.430917383271215</v>
      </c>
      <c r="N35" s="337">
        <f>INPUT!O243</f>
        <v>12.929864920663009</v>
      </c>
      <c r="O35" s="307">
        <f>INPUT!P243</f>
        <v>72.620361569676234</v>
      </c>
      <c r="P35" s="337">
        <f>INPUT!Q243</f>
        <v>20.764110309336019</v>
      </c>
      <c r="Q35" s="307">
        <f>INPUT!R243</f>
        <v>-0.96403568462638534</v>
      </c>
      <c r="R35" s="307"/>
      <c r="S35" s="320"/>
      <c r="T35" s="320"/>
      <c r="U35" s="337">
        <f>INPUT!AD243</f>
        <v>33.557800224466895</v>
      </c>
      <c r="V35" s="307" t="str">
        <f>INPUT!AE243</f>
        <v>NA</v>
      </c>
      <c r="W35" s="337">
        <f>INPUT!AF243</f>
        <v>12.529855868222375</v>
      </c>
      <c r="X35" s="307" t="str">
        <f>INPUT!AG243</f>
        <v>NM</v>
      </c>
      <c r="Y35" s="337">
        <f>INPUT!AH243</f>
        <v>11.360420456842531</v>
      </c>
      <c r="Z35" s="307">
        <f>INPUT!AI243</f>
        <v>-9.3331912487972897</v>
      </c>
      <c r="AA35" s="337">
        <f>INPUT!AJ243</f>
        <v>12.581490581490579</v>
      </c>
      <c r="AB35" s="307">
        <f>INPUT!AK243</f>
        <v>10.748458908601233</v>
      </c>
      <c r="AC35" s="337">
        <f>INPUT!AL243</f>
        <v>18.025644217602391</v>
      </c>
      <c r="AD35" s="307">
        <f>INPUT!AM243</f>
        <v>43.271133899834169</v>
      </c>
      <c r="AE35" s="337">
        <f>INPUT!AN243</f>
        <v>10.358232209912076</v>
      </c>
      <c r="AF35" s="307">
        <f>INPUT!AO243</f>
        <v>-42.536133050950475</v>
      </c>
      <c r="AG35" s="337">
        <f>INPUT!AP243</f>
        <v>10.741981707359445</v>
      </c>
      <c r="AH35" s="307">
        <f>INPUT!AQ243</f>
        <v>3.7047778971410539</v>
      </c>
      <c r="AI35" s="337">
        <f>INPUT!AR243</f>
        <v>11.152170668494994</v>
      </c>
      <c r="AJ35" s="307">
        <f>INPUT!AS243</f>
        <v>3.8185594828794578</v>
      </c>
      <c r="AK35" s="337">
        <f>INPUT!AT243</f>
        <v>10.848538638570664</v>
      </c>
      <c r="AL35" s="307">
        <f>INPUT!AU243</f>
        <v>-2.7226271812903158</v>
      </c>
      <c r="AM35" s="337">
        <f>INPUT!AV243</f>
        <v>10.490521757375499</v>
      </c>
      <c r="AN35" s="307">
        <f>INPUT!AW243</f>
        <v>-3.300139245688638</v>
      </c>
      <c r="AO35" s="396">
        <f>INPUT!AX243</f>
        <v>-10.260993162137588</v>
      </c>
    </row>
    <row r="36" spans="1:41" ht="2.25" customHeight="1">
      <c r="A36" s="411"/>
      <c r="B36" s="414"/>
      <c r="C36" s="413"/>
      <c r="D36" s="414"/>
      <c r="E36" s="413"/>
      <c r="F36" s="414"/>
      <c r="G36" s="413"/>
      <c r="H36" s="414"/>
      <c r="I36" s="413"/>
      <c r="J36" s="414"/>
      <c r="K36" s="413"/>
      <c r="L36" s="414"/>
      <c r="M36" s="413"/>
      <c r="N36" s="414"/>
      <c r="O36" s="413"/>
      <c r="P36" s="414"/>
      <c r="Q36" s="413"/>
      <c r="R36" s="413"/>
      <c r="S36" s="450"/>
      <c r="T36" s="450"/>
      <c r="U36" s="414"/>
      <c r="V36" s="413"/>
      <c r="W36" s="414"/>
      <c r="X36" s="413"/>
      <c r="Y36" s="414"/>
      <c r="Z36" s="413"/>
      <c r="AA36" s="414"/>
      <c r="AB36" s="413"/>
      <c r="AC36" s="413"/>
      <c r="AD36" s="413"/>
      <c r="AE36" s="414"/>
      <c r="AF36" s="413"/>
      <c r="AG36" s="414"/>
      <c r="AH36" s="413"/>
      <c r="AI36" s="414"/>
      <c r="AJ36" s="413"/>
      <c r="AK36" s="414"/>
      <c r="AL36" s="413"/>
      <c r="AM36" s="413"/>
      <c r="AN36" s="449"/>
      <c r="AO36" s="453"/>
    </row>
    <row r="37" spans="1:41" ht="12.75" customHeight="1">
      <c r="A37" s="454"/>
      <c r="B37" s="344"/>
      <c r="C37" s="345"/>
      <c r="D37" s="344"/>
      <c r="E37" s="345"/>
      <c r="F37" s="344"/>
      <c r="G37" s="345"/>
      <c r="H37" s="344"/>
      <c r="I37" s="345"/>
      <c r="J37" s="344"/>
      <c r="K37" s="345"/>
      <c r="L37" s="344"/>
      <c r="M37" s="345"/>
      <c r="N37" s="344"/>
      <c r="O37" s="345"/>
      <c r="P37" s="344"/>
      <c r="Q37" s="345"/>
      <c r="R37" s="346"/>
      <c r="S37" s="344"/>
      <c r="T37" s="344"/>
      <c r="U37" s="345"/>
      <c r="V37" s="346"/>
      <c r="W37" s="345"/>
      <c r="X37" s="346"/>
      <c r="Y37" s="345"/>
      <c r="Z37" s="346"/>
      <c r="AA37" s="345"/>
      <c r="AB37" s="346"/>
      <c r="AC37" s="345"/>
      <c r="AD37" s="346"/>
      <c r="AE37" s="345"/>
      <c r="AF37" s="346"/>
      <c r="AG37" s="345"/>
      <c r="AH37" s="345"/>
      <c r="AI37" s="345"/>
      <c r="AJ37" s="345"/>
      <c r="AK37" s="345"/>
      <c r="AL37" s="345"/>
      <c r="AM37" s="347"/>
    </row>
    <row r="38" spans="1:41" ht="12.75" customHeight="1">
      <c r="A38" s="343" t="s">
        <v>242</v>
      </c>
      <c r="B38" s="344"/>
      <c r="C38" s="345"/>
      <c r="D38" s="344"/>
      <c r="E38" s="345"/>
      <c r="F38" s="344"/>
      <c r="G38" s="345"/>
      <c r="H38" s="344"/>
      <c r="I38" s="345"/>
      <c r="J38" s="344"/>
      <c r="K38" s="345"/>
      <c r="L38" s="344"/>
      <c r="M38" s="345"/>
      <c r="N38" s="344"/>
      <c r="O38" s="345"/>
      <c r="P38" s="344"/>
      <c r="Q38" s="345"/>
      <c r="R38" s="346"/>
      <c r="S38" s="344"/>
      <c r="T38" s="344"/>
      <c r="U38" s="345"/>
      <c r="V38" s="346"/>
      <c r="W38" s="345"/>
      <c r="X38" s="346"/>
      <c r="Y38" s="345"/>
      <c r="Z38" s="346"/>
      <c r="AA38" s="345"/>
      <c r="AB38" s="346"/>
      <c r="AC38" s="345"/>
      <c r="AD38" s="346"/>
      <c r="AE38" s="345"/>
      <c r="AF38" s="346"/>
      <c r="AG38" s="345"/>
      <c r="AH38" s="345"/>
      <c r="AI38" s="345"/>
      <c r="AJ38" s="345"/>
      <c r="AK38" s="345"/>
      <c r="AL38" s="345"/>
      <c r="AM38" s="347"/>
    </row>
    <row r="39" spans="1:41" ht="12.75" customHeight="1">
      <c r="A39" s="343" t="s">
        <v>243</v>
      </c>
      <c r="B39" s="344"/>
      <c r="C39" s="345"/>
      <c r="D39" s="344"/>
      <c r="E39" s="345"/>
      <c r="F39" s="344"/>
      <c r="G39" s="345"/>
      <c r="H39" s="344"/>
      <c r="I39" s="345"/>
      <c r="J39" s="344"/>
      <c r="K39" s="345"/>
      <c r="L39" s="344"/>
      <c r="M39" s="345"/>
      <c r="N39" s="344"/>
      <c r="O39" s="345"/>
      <c r="P39" s="344"/>
      <c r="Q39" s="345"/>
      <c r="R39" s="346"/>
      <c r="S39" s="344"/>
      <c r="T39" s="344"/>
      <c r="U39" s="345"/>
      <c r="V39" s="346"/>
      <c r="W39" s="345"/>
      <c r="X39" s="346"/>
      <c r="Y39" s="345"/>
      <c r="Z39" s="346"/>
      <c r="AA39" s="345"/>
      <c r="AB39" s="346"/>
      <c r="AC39" s="345"/>
      <c r="AD39" s="346"/>
      <c r="AE39" s="345"/>
      <c r="AF39" s="346"/>
      <c r="AG39" s="345"/>
      <c r="AH39" s="345"/>
      <c r="AI39" s="345"/>
      <c r="AJ39" s="345"/>
      <c r="AK39" s="345"/>
      <c r="AL39" s="345"/>
      <c r="AM39" s="347"/>
    </row>
    <row r="40" spans="1:41" ht="12.75" customHeight="1">
      <c r="A40" s="95"/>
      <c r="B40" s="337"/>
      <c r="C40" s="307"/>
      <c r="D40" s="337"/>
      <c r="E40" s="307"/>
      <c r="F40" s="337"/>
      <c r="G40" s="307"/>
      <c r="H40" s="337"/>
      <c r="I40" s="307"/>
      <c r="J40" s="337"/>
      <c r="K40" s="307"/>
      <c r="L40" s="337"/>
      <c r="M40" s="307"/>
      <c r="N40" s="337"/>
      <c r="O40" s="307"/>
      <c r="P40" s="337"/>
      <c r="Q40" s="307"/>
      <c r="R40" s="307"/>
      <c r="S40" s="320"/>
      <c r="T40" s="320"/>
      <c r="U40" s="337"/>
      <c r="V40" s="307"/>
      <c r="W40" s="337"/>
      <c r="X40" s="307"/>
      <c r="Y40" s="337"/>
      <c r="Z40" s="307"/>
      <c r="AA40" s="337"/>
      <c r="AB40" s="307"/>
      <c r="AC40" s="337"/>
      <c r="AD40" s="307"/>
      <c r="AE40" s="337"/>
      <c r="AF40" s="307"/>
      <c r="AG40" s="337"/>
      <c r="AH40" s="307"/>
      <c r="AI40" s="337"/>
      <c r="AJ40" s="307"/>
      <c r="AK40" s="337"/>
      <c r="AL40" s="307"/>
      <c r="AM40" s="307"/>
    </row>
    <row r="41" spans="1:41" ht="20.100000000000001" customHeight="1">
      <c r="A41" s="352" t="str">
        <f>$A$1</f>
        <v>Athene</v>
      </c>
      <c r="S41" s="299"/>
      <c r="T41" s="299"/>
      <c r="U41" s="299"/>
      <c r="W41" s="299"/>
      <c r="Y41" s="299"/>
      <c r="AA41" s="299"/>
      <c r="AC41" s="299"/>
      <c r="AE41" s="299"/>
      <c r="AG41" s="299"/>
      <c r="AI41" s="299"/>
      <c r="AK41" s="299"/>
    </row>
    <row r="42" spans="1:41" ht="12.75" customHeight="1">
      <c r="A42" s="351" t="s">
        <v>244</v>
      </c>
      <c r="B42" s="302"/>
      <c r="C42" s="304"/>
      <c r="D42" s="302"/>
      <c r="E42" s="304"/>
      <c r="F42" s="302"/>
      <c r="G42" s="304"/>
      <c r="H42" s="302"/>
      <c r="I42" s="304"/>
      <c r="J42" s="302"/>
      <c r="K42" s="304"/>
      <c r="L42" s="302"/>
      <c r="M42" s="304"/>
      <c r="N42" s="302"/>
      <c r="O42" s="304"/>
      <c r="P42" s="302"/>
      <c r="Q42" s="304"/>
      <c r="R42" s="303"/>
      <c r="S42" s="302"/>
      <c r="T42" s="302"/>
      <c r="U42" s="302"/>
      <c r="V42" s="304"/>
      <c r="W42" s="302"/>
      <c r="X42" s="304"/>
      <c r="Y42" s="302"/>
      <c r="Z42" s="304"/>
      <c r="AA42" s="302"/>
      <c r="AB42" s="304"/>
      <c r="AC42" s="302"/>
      <c r="AD42" s="304"/>
      <c r="AE42" s="302"/>
      <c r="AF42" s="304"/>
      <c r="AG42" s="302"/>
      <c r="AH42" s="304"/>
      <c r="AI42" s="302"/>
      <c r="AJ42" s="304"/>
      <c r="AK42" s="302"/>
      <c r="AL42" s="304"/>
      <c r="AM42" s="304"/>
    </row>
    <row r="43" spans="1:41" s="305" customFormat="1" ht="12.75" customHeight="1">
      <c r="A43" s="393" t="str">
        <f>A$3</f>
        <v>($Millions Except Per Share Data)</v>
      </c>
      <c r="B43" s="391"/>
      <c r="C43" s="392" t="str">
        <f>+C$3</f>
        <v>1Q16/</v>
      </c>
      <c r="D43" s="391"/>
      <c r="E43" s="392" t="str">
        <f>+E$3</f>
        <v>2Q16/</v>
      </c>
      <c r="F43" s="391"/>
      <c r="G43" s="392" t="str">
        <f>+G$3</f>
        <v>3Q16/</v>
      </c>
      <c r="H43" s="391"/>
      <c r="I43" s="392" t="str">
        <f>+I$3</f>
        <v>4Q16E/</v>
      </c>
      <c r="J43" s="391"/>
      <c r="K43" s="392" t="str">
        <f t="shared" ref="K43" si="8">+K$3</f>
        <v>1Q17/</v>
      </c>
      <c r="L43" s="391"/>
      <c r="M43" s="392" t="str">
        <f t="shared" ref="M43" si="9">+M$3</f>
        <v>2Q17/</v>
      </c>
      <c r="N43" s="391"/>
      <c r="O43" s="392" t="str">
        <f t="shared" ref="O43" si="10">+O$3</f>
        <v>3Q17/</v>
      </c>
      <c r="P43" s="391"/>
      <c r="Q43" s="392" t="str">
        <f t="shared" ref="Q43" si="11">+Q$3</f>
        <v>4Q17/</v>
      </c>
      <c r="R43" s="392"/>
      <c r="S43" s="391"/>
      <c r="T43" s="391"/>
      <c r="U43" s="391"/>
      <c r="V43" s="392" t="str">
        <f>+V$3</f>
        <v>2013/</v>
      </c>
      <c r="W43" s="391"/>
      <c r="X43" s="392" t="str">
        <f>+X$3</f>
        <v>2014/</v>
      </c>
      <c r="Y43" s="391"/>
      <c r="Z43" s="392" t="str">
        <f>+Z$3</f>
        <v>2015/</v>
      </c>
      <c r="AA43" s="391"/>
      <c r="AB43" s="392" t="str">
        <f>+AB$3</f>
        <v>2016/</v>
      </c>
      <c r="AC43" s="391"/>
      <c r="AD43" s="392" t="str">
        <f>+AD$3</f>
        <v>2017/</v>
      </c>
      <c r="AE43" s="391"/>
      <c r="AF43" s="392" t="str">
        <f>+AF$3</f>
        <v>2018E/</v>
      </c>
      <c r="AG43" s="391"/>
      <c r="AH43" s="392" t="str">
        <f>+AH$3</f>
        <v>2019E/</v>
      </c>
      <c r="AI43" s="391"/>
      <c r="AJ43" s="392" t="str">
        <f>+AJ$3</f>
        <v>2020E/</v>
      </c>
      <c r="AK43" s="391"/>
      <c r="AL43" s="392" t="str">
        <f>+AL$3</f>
        <v>2021E/</v>
      </c>
      <c r="AM43" s="391"/>
      <c r="AN43" s="392" t="str">
        <f>+AN$3</f>
        <v>2022E/</v>
      </c>
      <c r="AO43" s="394" t="str">
        <f>+AO$3</f>
        <v>5-Yr</v>
      </c>
    </row>
    <row r="44" spans="1:41" s="305" customFormat="1" ht="12.75" customHeight="1">
      <c r="A44" s="395"/>
      <c r="B44" s="306"/>
      <c r="C44" s="307" t="str">
        <f>+C$4</f>
        <v>1Q15</v>
      </c>
      <c r="D44" s="306"/>
      <c r="E44" s="307" t="str">
        <f>+E$4</f>
        <v>2Q15</v>
      </c>
      <c r="F44" s="306"/>
      <c r="G44" s="307" t="str">
        <f>+G$4</f>
        <v>3Q15</v>
      </c>
      <c r="H44" s="306"/>
      <c r="I44" s="307" t="str">
        <f>+I$4</f>
        <v>4Q15</v>
      </c>
      <c r="J44" s="306"/>
      <c r="K44" s="307" t="str">
        <f t="shared" ref="K44" si="12">+K$4</f>
        <v>1Q16</v>
      </c>
      <c r="L44" s="306"/>
      <c r="M44" s="307" t="str">
        <f t="shared" ref="M44" si="13">+M$4</f>
        <v>2Q16</v>
      </c>
      <c r="N44" s="306"/>
      <c r="O44" s="307" t="str">
        <f t="shared" ref="O44" si="14">+O$4</f>
        <v>3Q16</v>
      </c>
      <c r="P44" s="306"/>
      <c r="Q44" s="307" t="str">
        <f t="shared" ref="Q44" si="15">+Q$4</f>
        <v>4Q16</v>
      </c>
      <c r="R44" s="307"/>
      <c r="S44" s="306"/>
      <c r="T44" s="306"/>
      <c r="U44" s="306"/>
      <c r="V44" s="307">
        <f>+V$4</f>
        <v>0</v>
      </c>
      <c r="W44" s="306"/>
      <c r="X44" s="307" t="str">
        <f>+X$4</f>
        <v>2013</v>
      </c>
      <c r="Y44" s="306"/>
      <c r="Z44" s="307" t="str">
        <f>+Z$4</f>
        <v>2014</v>
      </c>
      <c r="AA44" s="306"/>
      <c r="AB44" s="307" t="str">
        <f>+AB$4</f>
        <v>2015</v>
      </c>
      <c r="AC44" s="306"/>
      <c r="AD44" s="307" t="str">
        <f>+AD$4</f>
        <v>2016</v>
      </c>
      <c r="AE44" s="306"/>
      <c r="AF44" s="307" t="str">
        <f>+AF$4</f>
        <v>2017</v>
      </c>
      <c r="AG44" s="306"/>
      <c r="AH44" s="307" t="str">
        <f>+AH$4</f>
        <v>2018E</v>
      </c>
      <c r="AI44" s="306"/>
      <c r="AJ44" s="307" t="str">
        <f>+AJ$4</f>
        <v>2019E</v>
      </c>
      <c r="AK44" s="306"/>
      <c r="AL44" s="307" t="str">
        <f>+AL$4</f>
        <v>2020E</v>
      </c>
      <c r="AM44" s="306"/>
      <c r="AN44" s="307" t="str">
        <f>+AN$4</f>
        <v>2021E</v>
      </c>
      <c r="AO44" s="396" t="str">
        <f>+AO$4</f>
        <v>CAGR</v>
      </c>
    </row>
    <row r="45" spans="1:41" s="305" customFormat="1" ht="12.75" customHeight="1">
      <c r="A45" s="397"/>
      <c r="B45" s="308" t="str">
        <f t="shared" ref="B45:Q45" si="16">+B$5</f>
        <v>1Q16</v>
      </c>
      <c r="C45" s="309" t="str">
        <f>+C$5</f>
        <v>% Chg</v>
      </c>
      <c r="D45" s="308" t="str">
        <f t="shared" si="16"/>
        <v>2Q16</v>
      </c>
      <c r="E45" s="309" t="str">
        <f>+E$5</f>
        <v>% Chg</v>
      </c>
      <c r="F45" s="308" t="str">
        <f t="shared" si="16"/>
        <v>3Q16</v>
      </c>
      <c r="G45" s="309" t="str">
        <f>+G$5</f>
        <v>% Chg</v>
      </c>
      <c r="H45" s="308" t="str">
        <f t="shared" si="16"/>
        <v>4Q16</v>
      </c>
      <c r="I45" s="309" t="str">
        <f>+I$5</f>
        <v>% Chg</v>
      </c>
      <c r="J45" s="308" t="str">
        <f t="shared" si="16"/>
        <v>1Q17</v>
      </c>
      <c r="K45" s="309" t="str">
        <f t="shared" si="16"/>
        <v>% Chg</v>
      </c>
      <c r="L45" s="308" t="str">
        <f t="shared" si="16"/>
        <v>2Q17</v>
      </c>
      <c r="M45" s="309" t="str">
        <f t="shared" si="16"/>
        <v>% Chg</v>
      </c>
      <c r="N45" s="308" t="str">
        <f t="shared" si="16"/>
        <v>3Q17</v>
      </c>
      <c r="O45" s="309" t="str">
        <f t="shared" si="16"/>
        <v>% Chg</v>
      </c>
      <c r="P45" s="308" t="str">
        <f t="shared" si="16"/>
        <v>4Q17</v>
      </c>
      <c r="Q45" s="309" t="str">
        <f t="shared" si="16"/>
        <v>% Chg</v>
      </c>
      <c r="R45" s="309"/>
      <c r="S45" s="308"/>
      <c r="T45" s="308"/>
      <c r="U45" s="308">
        <f t="shared" ref="U45:AO45" si="17">+U$5</f>
        <v>2009</v>
      </c>
      <c r="V45" s="309" t="str">
        <f t="shared" si="17"/>
        <v>% Chg</v>
      </c>
      <c r="W45" s="308" t="str">
        <f t="shared" si="17"/>
        <v>2014</v>
      </c>
      <c r="X45" s="309" t="str">
        <f t="shared" si="17"/>
        <v>% Chg</v>
      </c>
      <c r="Y45" s="308" t="str">
        <f t="shared" si="17"/>
        <v>2015</v>
      </c>
      <c r="Z45" s="309" t="str">
        <f t="shared" si="17"/>
        <v>% Chg</v>
      </c>
      <c r="AA45" s="308" t="str">
        <f t="shared" si="17"/>
        <v>2016</v>
      </c>
      <c r="AB45" s="309" t="str">
        <f t="shared" si="17"/>
        <v>% Chg</v>
      </c>
      <c r="AC45" s="308" t="str">
        <f t="shared" si="17"/>
        <v>2017</v>
      </c>
      <c r="AD45" s="309" t="str">
        <f t="shared" si="17"/>
        <v>% Chg</v>
      </c>
      <c r="AE45" s="308" t="str">
        <f t="shared" si="17"/>
        <v>2018E</v>
      </c>
      <c r="AF45" s="309" t="str">
        <f t="shared" si="17"/>
        <v>% Chg</v>
      </c>
      <c r="AG45" s="308" t="str">
        <f t="shared" si="17"/>
        <v>2019E</v>
      </c>
      <c r="AH45" s="309" t="str">
        <f t="shared" si="17"/>
        <v>% Chg</v>
      </c>
      <c r="AI45" s="308" t="str">
        <f t="shared" si="17"/>
        <v>2020E</v>
      </c>
      <c r="AJ45" s="309" t="str">
        <f t="shared" si="17"/>
        <v>% Chg</v>
      </c>
      <c r="AK45" s="308" t="str">
        <f t="shared" si="17"/>
        <v>2021E</v>
      </c>
      <c r="AL45" s="309" t="str">
        <f t="shared" si="17"/>
        <v>% Chg</v>
      </c>
      <c r="AM45" s="308" t="str">
        <f t="shared" si="17"/>
        <v>2022E</v>
      </c>
      <c r="AN45" s="309" t="str">
        <f t="shared" si="17"/>
        <v>% Chg</v>
      </c>
      <c r="AO45" s="398" t="str">
        <f t="shared" si="17"/>
        <v>(%)</v>
      </c>
    </row>
    <row r="46" spans="1:41" ht="3" customHeight="1">
      <c r="A46" s="399"/>
      <c r="B46" s="338"/>
      <c r="C46" s="307"/>
      <c r="D46" s="338"/>
      <c r="E46" s="307"/>
      <c r="F46" s="338"/>
      <c r="G46" s="307"/>
      <c r="H46" s="338"/>
      <c r="I46" s="307"/>
      <c r="J46" s="338"/>
      <c r="K46" s="307"/>
      <c r="L46" s="338"/>
      <c r="M46" s="307"/>
      <c r="N46" s="338"/>
      <c r="O46" s="307"/>
      <c r="P46" s="338"/>
      <c r="Q46" s="307"/>
      <c r="R46" s="307"/>
      <c r="S46" s="338"/>
      <c r="T46" s="338"/>
      <c r="U46" s="338"/>
      <c r="V46" s="307"/>
      <c r="W46" s="338"/>
      <c r="X46" s="307"/>
      <c r="Y46" s="338"/>
      <c r="Z46" s="307"/>
      <c r="AA46" s="338"/>
      <c r="AB46" s="307"/>
      <c r="AC46" s="338"/>
      <c r="AD46" s="307"/>
      <c r="AE46" s="338"/>
      <c r="AF46" s="307"/>
      <c r="AG46" s="338"/>
      <c r="AH46" s="307"/>
      <c r="AI46" s="338"/>
      <c r="AJ46" s="307"/>
      <c r="AK46" s="338"/>
      <c r="AL46" s="307"/>
      <c r="AM46" s="338"/>
      <c r="AN46" s="307"/>
      <c r="AO46" s="396"/>
    </row>
    <row r="47" spans="1:41" ht="12.75" customHeight="1">
      <c r="A47" s="399" t="s">
        <v>245</v>
      </c>
      <c r="B47" s="337"/>
      <c r="C47" s="307"/>
      <c r="D47" s="337"/>
      <c r="E47" s="307"/>
      <c r="F47" s="337"/>
      <c r="G47" s="307"/>
      <c r="H47" s="337"/>
      <c r="I47" s="307"/>
      <c r="J47" s="337"/>
      <c r="K47" s="307"/>
      <c r="L47" s="337"/>
      <c r="M47" s="307"/>
      <c r="N47" s="337"/>
      <c r="O47" s="307"/>
      <c r="P47" s="337"/>
      <c r="Q47" s="307"/>
      <c r="R47" s="307"/>
      <c r="S47" s="338"/>
      <c r="T47" s="338"/>
      <c r="U47" s="337"/>
      <c r="V47" s="307"/>
      <c r="W47" s="337"/>
      <c r="X47" s="307"/>
      <c r="Y47" s="337"/>
      <c r="Z47" s="307"/>
      <c r="AA47" s="337"/>
      <c r="AB47" s="307"/>
      <c r="AC47" s="337"/>
      <c r="AD47" s="307"/>
      <c r="AE47" s="337"/>
      <c r="AF47" s="307"/>
      <c r="AG47" s="337"/>
      <c r="AH47" s="307"/>
      <c r="AI47" s="337"/>
      <c r="AJ47" s="307"/>
      <c r="AK47" s="337"/>
      <c r="AL47" s="307"/>
      <c r="AM47" s="337"/>
      <c r="AN47" s="307"/>
      <c r="AO47" s="396"/>
    </row>
    <row r="48" spans="1:41" ht="12.75" customHeight="1">
      <c r="A48" s="395" t="s">
        <v>77</v>
      </c>
      <c r="B48" s="313">
        <f>INPUT!C175</f>
        <v>186</v>
      </c>
      <c r="C48" s="307">
        <f>INPUT!D175</f>
        <v>0</v>
      </c>
      <c r="D48" s="313">
        <f>INPUT!E175</f>
        <v>186</v>
      </c>
      <c r="E48" s="307">
        <f>INPUT!F175</f>
        <v>0</v>
      </c>
      <c r="F48" s="313">
        <f>INPUT!G175</f>
        <v>185.9</v>
      </c>
      <c r="G48" s="307">
        <f>INPUT!H175</f>
        <v>0</v>
      </c>
      <c r="H48" s="313">
        <f>INPUT!I175</f>
        <v>189.6</v>
      </c>
      <c r="I48" s="307">
        <f>INPUT!J175</f>
        <v>0</v>
      </c>
      <c r="J48" s="313">
        <f>INPUT!K175</f>
        <v>192.4</v>
      </c>
      <c r="K48" s="307">
        <f>INPUT!L175</f>
        <v>3.4408602150537648</v>
      </c>
      <c r="L48" s="313">
        <f>INPUT!M175</f>
        <v>195.79999999999998</v>
      </c>
      <c r="M48" s="307">
        <f>INPUT!N175</f>
        <v>5.2688172043010573</v>
      </c>
      <c r="N48" s="313">
        <f>INPUT!O175</f>
        <v>196.3</v>
      </c>
      <c r="O48" s="307">
        <f>INPUT!P175</f>
        <v>5.5944055944056048</v>
      </c>
      <c r="P48" s="313">
        <f>INPUT!Q175</f>
        <v>196.7</v>
      </c>
      <c r="Q48" s="307">
        <f>INPUT!R175</f>
        <v>3.7447257383966148</v>
      </c>
      <c r="R48" s="307"/>
      <c r="S48" s="320"/>
      <c r="T48" s="320"/>
      <c r="U48" s="313">
        <f>INPUT!AD175</f>
        <v>111.2</v>
      </c>
      <c r="V48" s="307" t="str">
        <f>INPUT!AE175</f>
        <v>NA</v>
      </c>
      <c r="W48" s="313">
        <f>INPUT!AF175</f>
        <v>131.4</v>
      </c>
      <c r="X48" s="307">
        <f>INPUT!AG175</f>
        <v>18.165467625899279</v>
      </c>
      <c r="Y48" s="313">
        <f>INPUT!AH175</f>
        <v>175</v>
      </c>
      <c r="Z48" s="307">
        <f>INPUT!AI175</f>
        <v>33.181126331811249</v>
      </c>
      <c r="AA48" s="313">
        <f>INPUT!AJ175</f>
        <v>186.875</v>
      </c>
      <c r="AB48" s="307">
        <f>INPUT!AK175</f>
        <v>6.7857142857142838</v>
      </c>
      <c r="AC48" s="313">
        <f>INPUT!AL175</f>
        <v>195.29999999999998</v>
      </c>
      <c r="AD48" s="307">
        <f>INPUT!AM175</f>
        <v>4.5083612040133669</v>
      </c>
      <c r="AE48" s="313">
        <f>INPUT!AN175</f>
        <v>196.9</v>
      </c>
      <c r="AF48" s="307">
        <f>INPUT!AO175</f>
        <v>0.81925243215565935</v>
      </c>
      <c r="AG48" s="313">
        <f>INPUT!AP175</f>
        <v>193.64099037343493</v>
      </c>
      <c r="AH48" s="307">
        <f>INPUT!AQ175</f>
        <v>-1.6551597900279713</v>
      </c>
      <c r="AI48" s="313">
        <f>INPUT!AR175</f>
        <v>186.12285176400442</v>
      </c>
      <c r="AJ48" s="307">
        <f>INPUT!AS175</f>
        <v>-3.8825140250170365</v>
      </c>
      <c r="AK48" s="313">
        <f>INPUT!AT175</f>
        <v>180.75822686430885</v>
      </c>
      <c r="AL48" s="307">
        <f>INPUT!AU175</f>
        <v>-2.8823031932143861</v>
      </c>
      <c r="AM48" s="313">
        <f>INPUT!AV175</f>
        <v>178.89550988524786</v>
      </c>
      <c r="AN48" s="307">
        <f>INPUT!AW175</f>
        <v>-1.0305019093041268</v>
      </c>
      <c r="AO48" s="396">
        <f>INPUT!AX175</f>
        <v>-1.7393937320907882</v>
      </c>
    </row>
    <row r="49" spans="1:41">
      <c r="A49" s="395" t="s">
        <v>78</v>
      </c>
      <c r="B49" s="313">
        <f>INPUT!C177</f>
        <v>186.1</v>
      </c>
      <c r="C49" s="307">
        <f>INPUT!D177</f>
        <v>0</v>
      </c>
      <c r="D49" s="313">
        <f>INPUT!E177</f>
        <v>186.5</v>
      </c>
      <c r="E49" s="307">
        <f>INPUT!F177</f>
        <v>0</v>
      </c>
      <c r="F49" s="313">
        <f>INPUT!G177</f>
        <v>184.4</v>
      </c>
      <c r="G49" s="307">
        <f>INPUT!H177</f>
        <v>0</v>
      </c>
      <c r="H49" s="313">
        <f>INPUT!I177</f>
        <v>195.2</v>
      </c>
      <c r="I49" s="307">
        <f>INPUT!J177</f>
        <v>0</v>
      </c>
      <c r="J49" s="313">
        <f>INPUT!K177</f>
        <v>195.6</v>
      </c>
      <c r="K49" s="307">
        <f>INPUT!L177</f>
        <v>5.1047823750671739</v>
      </c>
      <c r="L49" s="313">
        <f>INPUT!M177</f>
        <v>195.9</v>
      </c>
      <c r="M49" s="307">
        <f>INPUT!N177</f>
        <v>5.0402144772117907</v>
      </c>
      <c r="N49" s="313">
        <f>INPUT!O177</f>
        <v>196</v>
      </c>
      <c r="O49" s="307">
        <f>INPUT!P177</f>
        <v>6.2906724511930578</v>
      </c>
      <c r="P49" s="313">
        <f>INPUT!Q177</f>
        <v>196.1</v>
      </c>
      <c r="Q49" s="307">
        <f>INPUT!R177</f>
        <v>0.46106557377050272</v>
      </c>
      <c r="R49" s="307"/>
      <c r="S49" s="320"/>
      <c r="T49" s="320"/>
      <c r="U49" s="313">
        <f>INPUT!AD177</f>
        <v>115.119</v>
      </c>
      <c r="V49" s="307" t="str">
        <f>INPUT!AE177</f>
        <v>NA</v>
      </c>
      <c r="W49" s="313">
        <f>INPUT!AF177</f>
        <v>131.619</v>
      </c>
      <c r="X49" s="307">
        <f>INPUT!AG177</f>
        <v>14.332994553462065</v>
      </c>
      <c r="Y49" s="313">
        <f>INPUT!AH177</f>
        <v>175.01</v>
      </c>
      <c r="Z49" s="307">
        <f>INPUT!AI177</f>
        <v>32.96712480720867</v>
      </c>
      <c r="AA49" s="313">
        <f>INPUT!AJ177</f>
        <v>193.4</v>
      </c>
      <c r="AB49" s="307">
        <f>INPUT!AK177</f>
        <v>10.507970973087266</v>
      </c>
      <c r="AC49" s="313">
        <f>INPUT!AL177</f>
        <v>195.9</v>
      </c>
      <c r="AD49" s="307">
        <f>INPUT!AM177</f>
        <v>1.292657704239919</v>
      </c>
      <c r="AE49" s="313">
        <f>INPUT!AN177</f>
        <v>196.9</v>
      </c>
      <c r="AF49" s="307">
        <f>INPUT!AO177</f>
        <v>0.51046452271568121</v>
      </c>
      <c r="AG49" s="313">
        <f>INPUT!AP177</f>
        <v>193.64099037343493</v>
      </c>
      <c r="AH49" s="307">
        <f>INPUT!AQ177</f>
        <v>-1.6551597900279713</v>
      </c>
      <c r="AI49" s="313">
        <f>INPUT!AR177</f>
        <v>186.12285176400442</v>
      </c>
      <c r="AJ49" s="307">
        <f>INPUT!AS177</f>
        <v>-3.8825140250170365</v>
      </c>
      <c r="AK49" s="313">
        <f>INPUT!AT177</f>
        <v>180.75822686430885</v>
      </c>
      <c r="AL49" s="307">
        <f>INPUT!AU177</f>
        <v>-2.8823031932143861</v>
      </c>
      <c r="AM49" s="313">
        <f>INPUT!AV177</f>
        <v>178.89550988524786</v>
      </c>
      <c r="AN49" s="307">
        <f>INPUT!AW177</f>
        <v>-1.0305019093041268</v>
      </c>
      <c r="AO49" s="396">
        <f>INPUT!AX177</f>
        <v>-1.7996578720550271</v>
      </c>
    </row>
    <row r="50" spans="1:41" ht="3" customHeight="1">
      <c r="A50" s="395"/>
      <c r="B50" s="337"/>
      <c r="C50" s="307"/>
      <c r="D50" s="337"/>
      <c r="E50" s="307"/>
      <c r="F50" s="337"/>
      <c r="G50" s="307"/>
      <c r="H50" s="337"/>
      <c r="I50" s="307"/>
      <c r="J50" s="337"/>
      <c r="K50" s="307"/>
      <c r="L50" s="337"/>
      <c r="M50" s="307"/>
      <c r="N50" s="337"/>
      <c r="O50" s="307"/>
      <c r="P50" s="337"/>
      <c r="Q50" s="307"/>
      <c r="R50" s="307"/>
      <c r="S50" s="320"/>
      <c r="T50" s="320"/>
      <c r="U50" s="337"/>
      <c r="V50" s="307"/>
      <c r="W50" s="337"/>
      <c r="X50" s="307"/>
      <c r="Y50" s="337"/>
      <c r="Z50" s="307"/>
      <c r="AA50" s="337"/>
      <c r="AB50" s="307"/>
      <c r="AC50" s="337"/>
      <c r="AD50" s="307"/>
      <c r="AE50" s="337"/>
      <c r="AF50" s="307"/>
      <c r="AG50" s="337"/>
      <c r="AH50" s="307"/>
      <c r="AI50" s="337"/>
      <c r="AJ50" s="307"/>
      <c r="AK50" s="337"/>
      <c r="AL50" s="307"/>
      <c r="AM50" s="337"/>
      <c r="AN50" s="307"/>
      <c r="AO50" s="396"/>
    </row>
    <row r="51" spans="1:41">
      <c r="A51" s="399" t="s">
        <v>347</v>
      </c>
      <c r="B51" s="338"/>
      <c r="C51" s="307"/>
      <c r="D51" s="338"/>
      <c r="E51" s="307"/>
      <c r="F51" s="338"/>
      <c r="G51" s="307"/>
      <c r="H51" s="338"/>
      <c r="I51" s="307"/>
      <c r="J51" s="338"/>
      <c r="K51" s="307"/>
      <c r="L51" s="338"/>
      <c r="M51" s="307"/>
      <c r="N51" s="338"/>
      <c r="O51" s="307"/>
      <c r="P51" s="338"/>
      <c r="Q51" s="307"/>
      <c r="R51" s="307"/>
      <c r="S51" s="338"/>
      <c r="T51" s="338"/>
      <c r="U51" s="338"/>
      <c r="V51" s="307"/>
      <c r="W51" s="338"/>
      <c r="X51" s="307"/>
      <c r="Y51" s="338"/>
      <c r="Z51" s="307"/>
      <c r="AA51" s="338"/>
      <c r="AB51" s="307"/>
      <c r="AC51" s="338"/>
      <c r="AD51" s="307"/>
      <c r="AE51" s="338"/>
      <c r="AF51" s="307"/>
      <c r="AG51" s="338"/>
      <c r="AH51" s="307"/>
      <c r="AI51" s="338"/>
      <c r="AJ51" s="307"/>
      <c r="AK51" s="338"/>
      <c r="AL51" s="307"/>
      <c r="AM51" s="338"/>
      <c r="AN51" s="307"/>
      <c r="AO51" s="396"/>
    </row>
    <row r="52" spans="1:41" ht="12.75" customHeight="1">
      <c r="A52" s="395" t="s">
        <v>117</v>
      </c>
      <c r="B52" s="313">
        <f>INPUT!C246</f>
        <v>5690</v>
      </c>
      <c r="C52" s="307">
        <f>INPUT!D246</f>
        <v>0</v>
      </c>
      <c r="D52" s="313">
        <f>INPUT!E246</f>
        <v>5868</v>
      </c>
      <c r="E52" s="307">
        <f>INPUT!F246</f>
        <v>0</v>
      </c>
      <c r="F52" s="313">
        <f>INPUT!G246</f>
        <v>6111</v>
      </c>
      <c r="G52" s="307">
        <f>INPUT!H246</f>
        <v>0</v>
      </c>
      <c r="H52" s="313">
        <f>INPUT!I246</f>
        <v>6491</v>
      </c>
      <c r="I52" s="307">
        <f>INPUT!J246</f>
        <v>0</v>
      </c>
      <c r="J52" s="313">
        <f>INPUT!K246</f>
        <v>6924</v>
      </c>
      <c r="K52" s="307">
        <f>INPUT!L246</f>
        <v>21.687170474516691</v>
      </c>
      <c r="L52" s="313">
        <f>INPUT!M246</f>
        <v>7224</v>
      </c>
      <c r="M52" s="307">
        <f>INPUT!N246</f>
        <v>23.108384458077701</v>
      </c>
      <c r="N52" s="313">
        <f>INPUT!O246</f>
        <v>7507</v>
      </c>
      <c r="O52" s="307">
        <f>INPUT!P246</f>
        <v>22.844051710031099</v>
      </c>
      <c r="P52" s="313">
        <f>INPUT!Q246</f>
        <v>7793</v>
      </c>
      <c r="Q52" s="307">
        <f>INPUT!R246</f>
        <v>20.058542597442617</v>
      </c>
      <c r="R52" s="307"/>
      <c r="S52" s="320"/>
      <c r="T52" s="320"/>
      <c r="U52" s="313">
        <f>INPUT!AD246</f>
        <v>2673</v>
      </c>
      <c r="V52" s="307" t="str">
        <f>INPUT!AE246</f>
        <v>NA</v>
      </c>
      <c r="W52" s="313">
        <f>INPUT!AF246</f>
        <v>3898</v>
      </c>
      <c r="X52" s="307">
        <f>INPUT!AG246</f>
        <v>45.828656939768052</v>
      </c>
      <c r="Y52" s="313">
        <f>INPUT!AH246</f>
        <v>5587</v>
      </c>
      <c r="Z52" s="307">
        <f>INPUT!AI246</f>
        <v>43.329912775782439</v>
      </c>
      <c r="AA52" s="313">
        <f>INPUT!AJ246</f>
        <v>6491</v>
      </c>
      <c r="AB52" s="307">
        <f>INPUT!AK246</f>
        <v>16.180418829425449</v>
      </c>
      <c r="AC52" s="313">
        <f>INPUT!AL246</f>
        <v>7793</v>
      </c>
      <c r="AD52" s="307">
        <f>INPUT!AM246</f>
        <v>20.058542597442617</v>
      </c>
      <c r="AE52" s="313">
        <f>INPUT!AN246</f>
        <v>9798.8818086366282</v>
      </c>
      <c r="AF52" s="307">
        <f>INPUT!AO246</f>
        <v>25.739533024979199</v>
      </c>
      <c r="AG52" s="313">
        <f>INPUT!AP246</f>
        <v>10429.949724154671</v>
      </c>
      <c r="AH52" s="307">
        <f>INPUT!AQ246</f>
        <v>6.4402033603653264</v>
      </c>
      <c r="AI52" s="313">
        <f>INPUT!AR246</f>
        <v>11181.292543038584</v>
      </c>
      <c r="AJ52" s="307">
        <f>INPUT!AS246</f>
        <v>7.2037050873206221</v>
      </c>
      <c r="AK52" s="313">
        <f>INPUT!AT246</f>
        <v>12321.14974468435</v>
      </c>
      <c r="AL52" s="307">
        <f>INPUT!AU246</f>
        <v>10.194324111083519</v>
      </c>
      <c r="AM52" s="313">
        <f>INPUT!AV246</f>
        <v>13541.234957032328</v>
      </c>
      <c r="AN52" s="307">
        <f>INPUT!AW246</f>
        <v>9.9023649385833856</v>
      </c>
      <c r="AO52" s="396">
        <f>INPUT!AX246</f>
        <v>11.683938160557306</v>
      </c>
    </row>
    <row r="53" spans="1:41" s="305" customFormat="1" ht="12.75" customHeight="1">
      <c r="A53" s="395" t="s">
        <v>119</v>
      </c>
      <c r="B53" s="339">
        <f>INPUT!C247</f>
        <v>30.55853920515575</v>
      </c>
      <c r="C53" s="307">
        <f>INPUT!D247</f>
        <v>0</v>
      </c>
      <c r="D53" s="339">
        <f>INPUT!E247</f>
        <v>31.463806970509385</v>
      </c>
      <c r="E53" s="307">
        <f>INPUT!F247</f>
        <v>0</v>
      </c>
      <c r="F53" s="339">
        <f>INPUT!G247</f>
        <v>31.53250773993808</v>
      </c>
      <c r="G53" s="307">
        <f>INPUT!H247</f>
        <v>0</v>
      </c>
      <c r="H53" s="339">
        <f>INPUT!I247</f>
        <v>33.049898167006106</v>
      </c>
      <c r="I53" s="307">
        <f>INPUT!J247</f>
        <v>0</v>
      </c>
      <c r="J53" s="339">
        <f>INPUT!K247</f>
        <v>35.165058405281869</v>
      </c>
      <c r="K53" s="307" t="str">
        <f>INPUT!L247</f>
        <v>NA</v>
      </c>
      <c r="L53" s="339">
        <f>INPUT!M247</f>
        <v>36.725978647686837</v>
      </c>
      <c r="M53" s="307" t="str">
        <f>INPUT!N247</f>
        <v>NA</v>
      </c>
      <c r="N53" s="339">
        <f>INPUT!O247</f>
        <v>38.09692971327074</v>
      </c>
      <c r="O53" s="307" t="str">
        <f>INPUT!P247</f>
        <v>NA</v>
      </c>
      <c r="P53" s="339">
        <f>INPUT!Q247</f>
        <v>39.578466226510919</v>
      </c>
      <c r="Q53" s="307" t="str">
        <f>INPUT!R247</f>
        <v>NA</v>
      </c>
      <c r="R53" s="307"/>
      <c r="S53" s="337"/>
      <c r="T53" s="337"/>
      <c r="U53" s="339">
        <f>INPUT!AD247</f>
        <v>24.03776978417266</v>
      </c>
      <c r="V53" s="307" t="str">
        <f>INPUT!AE247</f>
        <v>NA</v>
      </c>
      <c r="W53" s="339">
        <f>INPUT!AF247</f>
        <v>29.665144596651444</v>
      </c>
      <c r="X53" s="307">
        <f>INPUT!AG247</f>
        <v>23.410552904887428</v>
      </c>
      <c r="Y53" s="339">
        <f>INPUT!AH247</f>
        <v>31.925714285714285</v>
      </c>
      <c r="Z53" s="307">
        <f>INPUT!AI247</f>
        <v>7.6202887927875107</v>
      </c>
      <c r="AA53" s="339">
        <f>INPUT!AJ247</f>
        <v>33.049898167006106</v>
      </c>
      <c r="AB53" s="307">
        <f>INPUT!AK247</f>
        <v>3.5212489569727667</v>
      </c>
      <c r="AC53" s="339">
        <f>INPUT!AL247</f>
        <v>39.578466226510919</v>
      </c>
      <c r="AD53" s="307">
        <f>INPUT!AM247</f>
        <v>19.753670726956486</v>
      </c>
      <c r="AE53" s="339">
        <f>INPUT!AN247</f>
        <v>44.687058449144885</v>
      </c>
      <c r="AF53" s="307">
        <f>INPUT!AO247</f>
        <v>12.907504281234793</v>
      </c>
      <c r="AG53" s="339">
        <f>INPUT!AP247</f>
        <v>49.856863305118395</v>
      </c>
      <c r="AH53" s="307">
        <f>INPUT!AQ247</f>
        <v>11.568908394041856</v>
      </c>
      <c r="AI53" s="339">
        <f>INPUT!AR247</f>
        <v>55.954791341181497</v>
      </c>
      <c r="AJ53" s="307">
        <f>INPUT!AS247</f>
        <v>12.23086979769359</v>
      </c>
      <c r="AK53" s="339">
        <f>INPUT!AT247</f>
        <v>63.049128159140054</v>
      </c>
      <c r="AL53" s="307">
        <f>INPUT!AU247</f>
        <v>12.678694081264986</v>
      </c>
      <c r="AM53" s="339">
        <f>INPUT!AV247</f>
        <v>70.717296872413996</v>
      </c>
      <c r="AN53" s="307">
        <f>INPUT!AW247</f>
        <v>12.162212130703832</v>
      </c>
      <c r="AO53" s="396">
        <f>INPUT!AX247</f>
        <v>12.308683993006975</v>
      </c>
    </row>
    <row r="54" spans="1:41" s="305" customFormat="1" ht="12.75" customHeight="1">
      <c r="A54" s="395" t="s">
        <v>188</v>
      </c>
      <c r="B54" s="339">
        <f>INPUT!C248</f>
        <v>30.591397849462364</v>
      </c>
      <c r="C54" s="307">
        <f>INPUT!D248</f>
        <v>0</v>
      </c>
      <c r="D54" s="339">
        <f>INPUT!E248</f>
        <v>31.548387096774192</v>
      </c>
      <c r="E54" s="307">
        <f>INPUT!F248</f>
        <v>0</v>
      </c>
      <c r="F54" s="339">
        <f>INPUT!G248</f>
        <v>32.872512103281331</v>
      </c>
      <c r="G54" s="307">
        <f>INPUT!H248</f>
        <v>0</v>
      </c>
      <c r="H54" s="339">
        <f>INPUT!I248</f>
        <v>34.235232067510552</v>
      </c>
      <c r="I54" s="307">
        <f>INPUT!J248</f>
        <v>0</v>
      </c>
      <c r="J54" s="339">
        <f>INPUT!K248</f>
        <v>35.987525987525984</v>
      </c>
      <c r="K54" s="307" t="str">
        <f>INPUT!L248</f>
        <v>NA</v>
      </c>
      <c r="L54" s="339">
        <f>INPUT!M248</f>
        <v>36.894790602655775</v>
      </c>
      <c r="M54" s="307" t="str">
        <f>INPUT!N248</f>
        <v>NA</v>
      </c>
      <c r="N54" s="339">
        <f>INPUT!O248</f>
        <v>38.24248599083036</v>
      </c>
      <c r="O54" s="307" t="str">
        <f>INPUT!P248</f>
        <v>NA</v>
      </c>
      <c r="P54" s="339">
        <f>INPUT!Q248</f>
        <v>39.618708693441789</v>
      </c>
      <c r="Q54" s="307" t="str">
        <f>INPUT!R248</f>
        <v>NA</v>
      </c>
      <c r="R54" s="307"/>
      <c r="S54" s="337"/>
      <c r="T54" s="337"/>
      <c r="U54" s="339">
        <f>INPUT!AD248</f>
        <v>24.03776978417266</v>
      </c>
      <c r="V54" s="307" t="str">
        <f>INPUT!AE248</f>
        <v>NA</v>
      </c>
      <c r="W54" s="339">
        <f>INPUT!AF248</f>
        <v>29.665144596651444</v>
      </c>
      <c r="X54" s="307">
        <f>INPUT!AG248</f>
        <v>23.410552904887428</v>
      </c>
      <c r="Y54" s="339">
        <f>INPUT!AH248</f>
        <v>31.925714285714285</v>
      </c>
      <c r="Z54" s="307">
        <f>INPUT!AI248</f>
        <v>7.6202887927875107</v>
      </c>
      <c r="AA54" s="339">
        <f>INPUT!AJ248</f>
        <v>34.734448160535116</v>
      </c>
      <c r="AB54" s="307">
        <f>INPUT!AK248</f>
        <v>8.7977166295623022</v>
      </c>
      <c r="AC54" s="339">
        <f>INPUT!AL248</f>
        <v>39.902713773681519</v>
      </c>
      <c r="AD54" s="307">
        <f>INPUT!AM248</f>
        <v>14.879365836646642</v>
      </c>
      <c r="AE54" s="339">
        <f>INPUT!AN248</f>
        <v>49.765778611663933</v>
      </c>
      <c r="AF54" s="307">
        <f>INPUT!AO248</f>
        <v>24.717779582419674</v>
      </c>
      <c r="AG54" s="339">
        <f>INPUT!AP248</f>
        <v>53.862303141708814</v>
      </c>
      <c r="AH54" s="307">
        <f>INPUT!AQ248</f>
        <v>8.2316094399148998</v>
      </c>
      <c r="AI54" s="339">
        <f>INPUT!AR248</f>
        <v>60.074797033606437</v>
      </c>
      <c r="AJ54" s="307">
        <f>INPUT!AS248</f>
        <v>11.534029422308368</v>
      </c>
      <c r="AK54" s="339">
        <f>INPUT!AT248</f>
        <v>68.163701085282057</v>
      </c>
      <c r="AL54" s="307">
        <f>INPUT!AU248</f>
        <v>13.46472139914281</v>
      </c>
      <c r="AM54" s="339">
        <f>INPUT!AV248</f>
        <v>75.693542927479413</v>
      </c>
      <c r="AN54" s="307">
        <f>INPUT!AW248</f>
        <v>11.046703336687225</v>
      </c>
      <c r="AO54" s="396">
        <f>INPUT!AX248</f>
        <v>13.660949593623673</v>
      </c>
    </row>
    <row r="55" spans="1:41" ht="3" customHeight="1">
      <c r="A55" s="395"/>
      <c r="B55" s="337"/>
      <c r="C55" s="307"/>
      <c r="D55" s="337"/>
      <c r="E55" s="307"/>
      <c r="F55" s="337"/>
      <c r="G55" s="307"/>
      <c r="H55" s="337"/>
      <c r="I55" s="307"/>
      <c r="J55" s="337"/>
      <c r="K55" s="307"/>
      <c r="L55" s="337"/>
      <c r="M55" s="307"/>
      <c r="N55" s="337"/>
      <c r="O55" s="307"/>
      <c r="P55" s="337"/>
      <c r="Q55" s="307"/>
      <c r="R55" s="307"/>
      <c r="S55" s="320"/>
      <c r="T55" s="320"/>
      <c r="U55" s="337"/>
      <c r="V55" s="307"/>
      <c r="W55" s="337"/>
      <c r="X55" s="307"/>
      <c r="Y55" s="337"/>
      <c r="Z55" s="307"/>
      <c r="AA55" s="337"/>
      <c r="AB55" s="307"/>
      <c r="AC55" s="337"/>
      <c r="AD55" s="307"/>
      <c r="AE55" s="337"/>
      <c r="AF55" s="307"/>
      <c r="AG55" s="337"/>
      <c r="AH55" s="307"/>
      <c r="AI55" s="337"/>
      <c r="AJ55" s="307"/>
      <c r="AK55" s="337"/>
      <c r="AL55" s="307"/>
      <c r="AM55" s="337"/>
      <c r="AN55" s="307"/>
      <c r="AO55" s="396"/>
    </row>
    <row r="56" spans="1:41" ht="12.75" customHeight="1">
      <c r="A56" s="399" t="s">
        <v>348</v>
      </c>
      <c r="B56" s="337"/>
      <c r="C56" s="307"/>
      <c r="D56" s="337"/>
      <c r="E56" s="307"/>
      <c r="F56" s="337"/>
      <c r="G56" s="307"/>
      <c r="H56" s="337"/>
      <c r="I56" s="307"/>
      <c r="J56" s="337"/>
      <c r="K56" s="307"/>
      <c r="L56" s="337"/>
      <c r="M56" s="307"/>
      <c r="N56" s="337"/>
      <c r="O56" s="307"/>
      <c r="P56" s="337"/>
      <c r="Q56" s="307"/>
      <c r="R56" s="330"/>
      <c r="S56" s="348"/>
      <c r="T56" s="348"/>
      <c r="U56" s="337"/>
      <c r="V56" s="307"/>
      <c r="W56" s="337"/>
      <c r="X56" s="307"/>
      <c r="Y56" s="337"/>
      <c r="Z56" s="307"/>
      <c r="AA56" s="337"/>
      <c r="AB56" s="307"/>
      <c r="AC56" s="337"/>
      <c r="AD56" s="307"/>
      <c r="AE56" s="337"/>
      <c r="AF56" s="307"/>
      <c r="AG56" s="337"/>
      <c r="AH56" s="307"/>
      <c r="AI56" s="337"/>
      <c r="AJ56" s="307"/>
      <c r="AK56" s="337"/>
      <c r="AL56" s="307"/>
      <c r="AM56" s="337"/>
      <c r="AN56" s="307"/>
      <c r="AO56" s="396"/>
    </row>
    <row r="57" spans="1:41" ht="12.75" customHeight="1">
      <c r="A57" s="395" t="s">
        <v>117</v>
      </c>
      <c r="B57" s="313">
        <f>INPUT!C251</f>
        <v>5638</v>
      </c>
      <c r="C57" s="307">
        <f>INPUT!D251</f>
        <v>0</v>
      </c>
      <c r="D57" s="313">
        <f>INPUT!E251</f>
        <v>6437</v>
      </c>
      <c r="E57" s="307">
        <f>INPUT!F251</f>
        <v>0</v>
      </c>
      <c r="F57" s="313">
        <f>INPUT!G251</f>
        <v>7031</v>
      </c>
      <c r="G57" s="307">
        <f>INPUT!H251</f>
        <v>0</v>
      </c>
      <c r="H57" s="313">
        <f>INPUT!I251</f>
        <v>6858</v>
      </c>
      <c r="I57" s="307">
        <f>INPUT!J251</f>
        <v>0</v>
      </c>
      <c r="J57" s="313">
        <f>INPUT!K251</f>
        <v>7597</v>
      </c>
      <c r="K57" s="307">
        <f>INPUT!L251</f>
        <v>34.746363958850644</v>
      </c>
      <c r="L57" s="313">
        <f>INPUT!M251</f>
        <v>8284</v>
      </c>
      <c r="M57" s="307">
        <f>INPUT!N251</f>
        <v>28.693490756563623</v>
      </c>
      <c r="N57" s="313">
        <f>INPUT!O251</f>
        <v>8669</v>
      </c>
      <c r="O57" s="307">
        <f>INPUT!P251</f>
        <v>23.296828331674014</v>
      </c>
      <c r="P57" s="313">
        <f>INPUT!Q251</f>
        <v>9208</v>
      </c>
      <c r="Q57" s="307">
        <f>INPUT!R251</f>
        <v>34.266550014581519</v>
      </c>
      <c r="R57" s="307"/>
      <c r="S57" s="320"/>
      <c r="T57" s="320"/>
      <c r="U57" s="313">
        <f>INPUT!AD251</f>
        <v>2743</v>
      </c>
      <c r="V57" s="307" t="str">
        <f>INPUT!AE251</f>
        <v>NA</v>
      </c>
      <c r="W57" s="313">
        <f>INPUT!AF251</f>
        <v>4542</v>
      </c>
      <c r="X57" s="307">
        <f>INPUT!AG251</f>
        <v>65.585125774699236</v>
      </c>
      <c r="Y57" s="313">
        <f>INPUT!AH251</f>
        <v>5352</v>
      </c>
      <c r="Z57" s="307">
        <f>INPUT!AI251</f>
        <v>17.833553500660493</v>
      </c>
      <c r="AA57" s="313">
        <f>INPUT!AJ251</f>
        <v>6858</v>
      </c>
      <c r="AB57" s="307">
        <f>INPUT!AK251</f>
        <v>28.139013452914806</v>
      </c>
      <c r="AC57" s="313">
        <f>INPUT!AL251</f>
        <v>9208</v>
      </c>
      <c r="AD57" s="307">
        <f>INPUT!AM251</f>
        <v>34.266550014581519</v>
      </c>
      <c r="AE57" s="313">
        <f>INPUT!AN251</f>
        <v>11213.881808636628</v>
      </c>
      <c r="AF57" s="307">
        <f>INPUT!AO251</f>
        <v>21.784120423942532</v>
      </c>
      <c r="AG57" s="313">
        <f>INPUT!AP251</f>
        <v>11844.949724154671</v>
      </c>
      <c r="AH57" s="307">
        <f>INPUT!AQ251</f>
        <v>5.6275598966275098</v>
      </c>
      <c r="AI57" s="313">
        <f>INPUT!AR251</f>
        <v>12596.292543038584</v>
      </c>
      <c r="AJ57" s="307">
        <f>INPUT!AS251</f>
        <v>6.3431490751855835</v>
      </c>
      <c r="AK57" s="313">
        <f>INPUT!AT251</f>
        <v>13736.14974468435</v>
      </c>
      <c r="AL57" s="307">
        <f>INPUT!AU251</f>
        <v>9.0491483724368891</v>
      </c>
      <c r="AM57" s="313">
        <f>INPUT!AV251</f>
        <v>14956.234957032328</v>
      </c>
      <c r="AN57" s="307">
        <f>INPUT!AW251</f>
        <v>8.8822940563830777</v>
      </c>
      <c r="AO57" s="396">
        <f>INPUT!AX251</f>
        <v>10.187262537519004</v>
      </c>
    </row>
    <row r="58" spans="1:41" s="357" customFormat="1" ht="12.75" customHeight="1">
      <c r="A58" s="411" t="s">
        <v>119</v>
      </c>
      <c r="B58" s="412">
        <f>INPUT!C252</f>
        <v>30.279269602577877</v>
      </c>
      <c r="C58" s="413">
        <f>INPUT!D252</f>
        <v>0</v>
      </c>
      <c r="D58" s="412">
        <f>INPUT!E252</f>
        <v>34.574068106133851</v>
      </c>
      <c r="E58" s="413">
        <f>INPUT!F252</f>
        <v>0</v>
      </c>
      <c r="F58" s="412">
        <f>INPUT!G252</f>
        <v>36.001024065540193</v>
      </c>
      <c r="G58" s="413">
        <f>INPUT!H252</f>
        <v>0</v>
      </c>
      <c r="H58" s="412">
        <f>INPUT!I252</f>
        <v>35.663026521060843</v>
      </c>
      <c r="I58" s="413">
        <f>INPUT!J252</f>
        <v>0</v>
      </c>
      <c r="J58" s="412">
        <f>INPUT!K252</f>
        <v>39.06916945230136</v>
      </c>
      <c r="K58" s="413" t="str">
        <f>INPUT!L252</f>
        <v>NA</v>
      </c>
      <c r="L58" s="412">
        <f>INPUT!M252</f>
        <v>42.200713194090689</v>
      </c>
      <c r="M58" s="413" t="str">
        <f>INPUT!N252</f>
        <v>NA</v>
      </c>
      <c r="N58" s="412">
        <f>INPUT!O252</f>
        <v>44.161996943453893</v>
      </c>
      <c r="O58" s="413" t="str">
        <f>INPUT!P252</f>
        <v>NA</v>
      </c>
      <c r="P58" s="412">
        <f>INPUT!Q252</f>
        <v>46.764855256475364</v>
      </c>
      <c r="Q58" s="413" t="str">
        <f>INPUT!R252</f>
        <v>NA</v>
      </c>
      <c r="R58" s="413">
        <f>INPUT!AA252</f>
        <v>0</v>
      </c>
      <c r="S58" s="414"/>
      <c r="T58" s="414"/>
      <c r="U58" s="412">
        <f>INPUT!AD252</f>
        <v>24.667266187050359</v>
      </c>
      <c r="V58" s="413" t="str">
        <f>INPUT!AE252</f>
        <v>NA</v>
      </c>
      <c r="W58" s="412">
        <f>INPUT!AF252</f>
        <v>34.566210045662096</v>
      </c>
      <c r="X58" s="413">
        <f>INPUT!AG252</f>
        <v>40.129878128969196</v>
      </c>
      <c r="Y58" s="412">
        <f>INPUT!AH252</f>
        <v>30.582857142857144</v>
      </c>
      <c r="Z58" s="413">
        <f>INPUT!AI252</f>
        <v>-11.523834685789758</v>
      </c>
      <c r="AA58" s="412">
        <f>INPUT!AJ252</f>
        <v>34.918533604887983</v>
      </c>
      <c r="AB58" s="413">
        <f>INPUT!AK252</f>
        <v>14.176819522709216</v>
      </c>
      <c r="AC58" s="412">
        <f>INPUT!AL252</f>
        <v>46.764855256475364</v>
      </c>
      <c r="AD58" s="413">
        <f>INPUT!AM252</f>
        <v>33.925598897226038</v>
      </c>
      <c r="AE58" s="412">
        <f>INPUT!AN252</f>
        <v>51.873447479109338</v>
      </c>
      <c r="AF58" s="413">
        <f>INPUT!AO252</f>
        <v>10.923998790580258</v>
      </c>
      <c r="AG58" s="412">
        <f>INPUT!AP252</f>
        <v>57.338076210849621</v>
      </c>
      <c r="AH58" s="413">
        <f>INPUT!AQ252</f>
        <v>10.53453934007571</v>
      </c>
      <c r="AI58" s="412">
        <f>INPUT!AR252</f>
        <v>63.731410018336405</v>
      </c>
      <c r="AJ58" s="413">
        <f>INPUT!AS252</f>
        <v>11.150241218377378</v>
      </c>
      <c r="AK58" s="412">
        <f>INPUT!AT252</f>
        <v>70.929468792128532</v>
      </c>
      <c r="AL58" s="413">
        <f>INPUT!AU252</f>
        <v>11.294366108832588</v>
      </c>
      <c r="AM58" s="412">
        <f>INPUT!AV252</f>
        <v>78.696174185318156</v>
      </c>
      <c r="AN58" s="413">
        <f>INPUT!AW252</f>
        <v>10.949899280863562</v>
      </c>
      <c r="AO58" s="415">
        <f>INPUT!AX252</f>
        <v>10.97031147601073</v>
      </c>
    </row>
    <row r="59" spans="1:41" ht="12.75" customHeight="1">
      <c r="A59" s="349"/>
      <c r="B59" s="350"/>
      <c r="D59" s="350"/>
      <c r="F59" s="350"/>
      <c r="H59" s="350"/>
      <c r="J59" s="350"/>
      <c r="L59" s="350"/>
      <c r="N59" s="350"/>
      <c r="P59" s="350"/>
      <c r="R59" s="301"/>
      <c r="U59" s="350"/>
      <c r="W59" s="350"/>
      <c r="Y59" s="350"/>
      <c r="AA59" s="350"/>
      <c r="AC59" s="350"/>
      <c r="AE59" s="350"/>
      <c r="AG59" s="350"/>
      <c r="AI59" s="350"/>
      <c r="AK59" s="350"/>
    </row>
    <row r="60" spans="1:41" ht="12.75" customHeight="1">
      <c r="A60" s="343" t="s">
        <v>242</v>
      </c>
      <c r="B60" s="344"/>
      <c r="C60" s="345"/>
      <c r="D60" s="344"/>
      <c r="E60" s="345"/>
      <c r="F60" s="344"/>
      <c r="G60" s="345"/>
      <c r="H60" s="344"/>
      <c r="I60" s="345"/>
      <c r="J60" s="344"/>
      <c r="K60" s="345"/>
      <c r="L60" s="344"/>
      <c r="M60" s="345"/>
      <c r="N60" s="344"/>
      <c r="O60" s="345"/>
      <c r="P60" s="344"/>
      <c r="Q60" s="345"/>
      <c r="R60" s="346"/>
      <c r="S60" s="344"/>
      <c r="T60" s="344"/>
      <c r="U60" s="345"/>
      <c r="V60" s="346"/>
      <c r="W60" s="345"/>
      <c r="X60" s="346"/>
      <c r="Y60" s="345"/>
      <c r="Z60" s="346"/>
      <c r="AA60" s="345"/>
      <c r="AB60" s="346"/>
      <c r="AC60" s="345"/>
      <c r="AD60" s="346"/>
      <c r="AE60" s="345"/>
      <c r="AF60" s="346"/>
      <c r="AG60" s="345"/>
      <c r="AI60" s="345"/>
      <c r="AK60" s="345"/>
    </row>
    <row r="61" spans="1:41" ht="12.75" customHeight="1">
      <c r="A61" s="343" t="s">
        <v>243</v>
      </c>
      <c r="B61" s="344"/>
      <c r="C61" s="345"/>
      <c r="D61" s="344"/>
      <c r="E61" s="345"/>
      <c r="F61" s="344"/>
      <c r="G61" s="345"/>
      <c r="H61" s="344"/>
      <c r="I61" s="345"/>
      <c r="J61" s="344"/>
      <c r="K61" s="345"/>
      <c r="L61" s="344"/>
      <c r="M61" s="345"/>
      <c r="N61" s="344"/>
      <c r="O61" s="345"/>
      <c r="P61" s="344"/>
      <c r="Q61" s="345"/>
      <c r="R61" s="346"/>
      <c r="S61" s="344"/>
      <c r="T61" s="344"/>
      <c r="U61" s="345"/>
      <c r="V61" s="346"/>
      <c r="W61" s="345"/>
      <c r="X61" s="346"/>
      <c r="Y61" s="345"/>
      <c r="Z61" s="346"/>
      <c r="AA61" s="345"/>
      <c r="AB61" s="346"/>
      <c r="AC61" s="345"/>
      <c r="AD61" s="346"/>
      <c r="AE61" s="345"/>
      <c r="AF61" s="346"/>
      <c r="AG61" s="345"/>
      <c r="AI61" s="345"/>
      <c r="AK61" s="345"/>
    </row>
    <row r="62" spans="1:41" ht="12.75" customHeight="1">
      <c r="A62" s="349"/>
      <c r="R62" s="301"/>
    </row>
  </sheetData>
  <pageMargins left="0" right="0" top="0" bottom="0" header="0" footer="0"/>
  <pageSetup paperSize="5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O35"/>
  <sheetViews>
    <sheetView showGridLines="0" workbookViewId="0">
      <selection activeCell="O3" sqref="O3:O4"/>
    </sheetView>
  </sheetViews>
  <sheetFormatPr defaultRowHeight="15"/>
  <cols>
    <col min="1" max="1" width="27.5703125" bestFit="1" customWidth="1"/>
    <col min="3" max="3" width="4.5703125" customWidth="1"/>
    <col min="8" max="8" width="17.28515625" bestFit="1" customWidth="1"/>
    <col min="9" max="9" width="10.42578125" bestFit="1" customWidth="1"/>
    <col min="11" max="11" width="9.140625" customWidth="1"/>
  </cols>
  <sheetData>
    <row r="1" spans="1:15">
      <c r="A1" s="277" t="s">
        <v>204</v>
      </c>
      <c r="B1" s="278" t="s">
        <v>323</v>
      </c>
      <c r="C1" s="279"/>
      <c r="D1" s="279"/>
      <c r="E1" s="279"/>
      <c r="F1" s="279"/>
      <c r="G1" s="279"/>
      <c r="I1" s="361">
        <f ca="1">TODAY()</f>
        <v>43195</v>
      </c>
    </row>
    <row r="2" spans="1:15" ht="39">
      <c r="A2" s="280" t="s">
        <v>205</v>
      </c>
      <c r="B2" s="281">
        <f>OpInc_Total F2018_</f>
        <v>1044.1023785567345</v>
      </c>
      <c r="C2" s="280"/>
      <c r="D2" s="280"/>
      <c r="E2" s="280"/>
      <c r="F2" s="280"/>
      <c r="G2" s="280"/>
      <c r="J2" s="292"/>
      <c r="K2" s="293" t="s">
        <v>334</v>
      </c>
      <c r="L2" s="294" t="s">
        <v>224</v>
      </c>
      <c r="M2" s="294" t="s">
        <v>225</v>
      </c>
    </row>
    <row r="3" spans="1:15">
      <c r="A3" s="280" t="s">
        <v>206</v>
      </c>
      <c r="B3" s="281"/>
      <c r="C3" s="280"/>
      <c r="D3" s="280" t="s">
        <v>338</v>
      </c>
      <c r="E3" s="280"/>
      <c r="F3" s="280"/>
      <c r="G3" s="280"/>
      <c r="J3" s="295" t="s">
        <v>226</v>
      </c>
      <c r="K3" s="289">
        <v>12.452999999999999</v>
      </c>
      <c r="L3" s="289">
        <f>O3/22.18</f>
        <v>1.3165013525698828</v>
      </c>
      <c r="M3" s="289">
        <f>K3/L3</f>
        <v>9.4591623287671229</v>
      </c>
      <c r="O3" s="289">
        <v>29.2</v>
      </c>
    </row>
    <row r="4" spans="1:15">
      <c r="A4" s="280" t="s">
        <v>207</v>
      </c>
      <c r="B4" s="282">
        <f>B2+B3</f>
        <v>1044.1023785567345</v>
      </c>
      <c r="C4" s="280"/>
      <c r="D4" s="280"/>
      <c r="E4" s="280"/>
      <c r="F4" s="280"/>
      <c r="G4" s="280"/>
      <c r="J4" s="295" t="s">
        <v>227</v>
      </c>
      <c r="K4" s="289">
        <v>21.962</v>
      </c>
      <c r="L4" s="289">
        <f>O4/25.78</f>
        <v>3.7626066718386344</v>
      </c>
      <c r="M4" s="289">
        <f>K4/L4</f>
        <v>5.8369109278350519</v>
      </c>
      <c r="O4" s="289">
        <v>97</v>
      </c>
    </row>
    <row r="5" spans="1:15">
      <c r="A5" s="280"/>
      <c r="B5" s="280"/>
      <c r="C5" s="280"/>
      <c r="D5" s="280"/>
      <c r="E5" s="280"/>
      <c r="F5" s="280"/>
      <c r="G5" s="280"/>
      <c r="J5" s="295" t="s">
        <v>228</v>
      </c>
      <c r="K5" s="289">
        <v>34.11604143770893</v>
      </c>
      <c r="L5" s="289">
        <v>3.4651785882215083</v>
      </c>
      <c r="M5" s="289">
        <f t="shared" ref="M5:M10" si="0">K5/L5</f>
        <v>9.8453919672921906</v>
      </c>
      <c r="O5" s="362"/>
    </row>
    <row r="6" spans="1:15">
      <c r="A6" s="280" t="s">
        <v>335</v>
      </c>
      <c r="B6" s="281">
        <f>AVERAGE([0]!Eq_exAOCI [0]!F2018_, [0]!Eq_exAOCI [0]!F2017_)</f>
        <v>8295.940904318315</v>
      </c>
      <c r="C6" s="280"/>
      <c r="D6" s="280"/>
      <c r="E6" s="280"/>
      <c r="F6" s="280"/>
      <c r="G6" s="280"/>
      <c r="J6" s="295" t="s">
        <v>229</v>
      </c>
      <c r="K6" s="289">
        <v>12.743873297708742</v>
      </c>
      <c r="L6" s="289">
        <v>1.1082814072582274</v>
      </c>
      <c r="M6" s="289">
        <f t="shared" si="0"/>
        <v>11.498770271023272</v>
      </c>
    </row>
    <row r="7" spans="1:15">
      <c r="A7" s="280" t="s">
        <v>208</v>
      </c>
      <c r="B7" s="281">
        <f>XSCap F2017_</f>
        <v>1500</v>
      </c>
      <c r="C7" s="280"/>
      <c r="D7" s="280" t="s">
        <v>321</v>
      </c>
      <c r="E7" s="280"/>
      <c r="F7" s="280"/>
      <c r="G7" s="280"/>
      <c r="J7" s="295" t="s">
        <v>230</v>
      </c>
      <c r="K7" s="289">
        <v>12.131092549372671</v>
      </c>
      <c r="L7" s="289">
        <v>1.0816535389209854</v>
      </c>
      <c r="M7" s="289">
        <f t="shared" si="0"/>
        <v>11.215321831678345</v>
      </c>
    </row>
    <row r="8" spans="1:15">
      <c r="A8" s="280" t="s">
        <v>209</v>
      </c>
      <c r="B8" s="281">
        <f>B6-B7</f>
        <v>6795.940904318315</v>
      </c>
      <c r="C8" s="280"/>
      <c r="D8" s="280"/>
      <c r="E8" s="280"/>
      <c r="F8" s="280"/>
      <c r="G8" s="280"/>
      <c r="J8" s="295" t="s">
        <v>231</v>
      </c>
      <c r="K8" s="289">
        <v>12.711392330592853</v>
      </c>
      <c r="L8" s="289">
        <v>1.300315414334833</v>
      </c>
      <c r="M8" s="289">
        <f t="shared" si="0"/>
        <v>9.7756222763038405</v>
      </c>
    </row>
    <row r="9" spans="1:15">
      <c r="A9" s="280"/>
      <c r="B9" s="280"/>
      <c r="C9" s="280"/>
      <c r="D9" s="280"/>
      <c r="E9" s="280"/>
      <c r="F9" s="280"/>
      <c r="G9" s="280"/>
      <c r="J9" s="295" t="s">
        <v>232</v>
      </c>
      <c r="K9" s="289">
        <v>13.621637376011941</v>
      </c>
      <c r="L9" s="289">
        <v>1.2307788202207588</v>
      </c>
      <c r="M9" s="289">
        <f t="shared" si="0"/>
        <v>11.067494136410874</v>
      </c>
    </row>
    <row r="10" spans="1:15">
      <c r="A10" s="280" t="s">
        <v>210</v>
      </c>
      <c r="B10" s="283">
        <f>B4/B8*100</f>
        <v>15.36361768380424</v>
      </c>
      <c r="C10" s="280"/>
      <c r="D10" s="280"/>
      <c r="E10" s="280"/>
      <c r="F10" s="280"/>
      <c r="G10" s="280"/>
      <c r="J10" s="292" t="s">
        <v>233</v>
      </c>
      <c r="K10" s="290">
        <v>9.7818125881965035</v>
      </c>
      <c r="L10" s="290">
        <v>1.028031795655332</v>
      </c>
      <c r="M10" s="290">
        <f t="shared" si="0"/>
        <v>9.5150875970338671</v>
      </c>
    </row>
    <row r="11" spans="1:15">
      <c r="A11" s="280"/>
      <c r="B11" s="280"/>
      <c r="C11" s="280"/>
      <c r="D11" s="280"/>
      <c r="E11" s="280"/>
      <c r="F11" s="280"/>
      <c r="G11" s="280"/>
      <c r="J11" s="295" t="s">
        <v>234</v>
      </c>
      <c r="K11" s="291"/>
      <c r="L11" s="291"/>
      <c r="M11" s="289">
        <f>MEDIAN(M3:M10)</f>
        <v>9.8105071217980147</v>
      </c>
    </row>
    <row r="12" spans="1:15">
      <c r="A12" s="280"/>
      <c r="B12" s="280"/>
      <c r="C12" s="280"/>
      <c r="D12" s="280"/>
      <c r="E12" s="280"/>
      <c r="F12" s="280"/>
      <c r="G12" s="280"/>
      <c r="J12" s="295" t="s">
        <v>235</v>
      </c>
      <c r="K12" s="291"/>
      <c r="L12" s="291"/>
      <c r="M12" s="487">
        <v>-0.4</v>
      </c>
    </row>
    <row r="13" spans="1:15">
      <c r="A13" s="380" t="s">
        <v>212</v>
      </c>
      <c r="B13" s="382" t="s">
        <v>29</v>
      </c>
      <c r="C13" s="381"/>
      <c r="D13" s="381"/>
      <c r="E13" s="381"/>
      <c r="F13" s="381"/>
      <c r="G13" s="381"/>
      <c r="J13" s="295" t="s">
        <v>236</v>
      </c>
      <c r="K13" s="291"/>
      <c r="L13" s="291"/>
      <c r="M13" s="291">
        <f>M11+M12</f>
        <v>9.4105071217980143</v>
      </c>
    </row>
    <row r="14" spans="1:15">
      <c r="A14" s="280" t="s">
        <v>344</v>
      </c>
      <c r="B14" s="283">
        <f>B10</f>
        <v>15.36361768380424</v>
      </c>
      <c r="C14" s="280"/>
      <c r="D14" s="280"/>
      <c r="E14" s="280"/>
      <c r="F14" s="280"/>
      <c r="G14" s="280"/>
    </row>
    <row r="15" spans="1:15">
      <c r="A15" s="280" t="s">
        <v>213</v>
      </c>
      <c r="B15" s="284">
        <f>M13</f>
        <v>9.4105071217980143</v>
      </c>
      <c r="C15" s="280"/>
      <c r="D15" s="280"/>
      <c r="E15" s="280"/>
      <c r="F15" s="280"/>
      <c r="G15" s="280"/>
    </row>
    <row r="16" spans="1:15">
      <c r="A16" s="280" t="s">
        <v>214</v>
      </c>
      <c r="B16" s="284">
        <f>B14/B15</f>
        <v>1.6326025244927287</v>
      </c>
      <c r="C16" s="280"/>
      <c r="D16" s="280"/>
      <c r="E16" s="280"/>
      <c r="F16" s="280"/>
      <c r="G16" s="280"/>
    </row>
    <row r="17" spans="1:10">
      <c r="A17" s="280" t="s">
        <v>215</v>
      </c>
      <c r="B17" s="281">
        <f>B8</f>
        <v>6795.940904318315</v>
      </c>
      <c r="C17" s="280"/>
      <c r="D17" s="280"/>
      <c r="E17" s="280"/>
      <c r="F17" s="280"/>
      <c r="G17" s="280"/>
    </row>
    <row r="18" spans="1:10">
      <c r="A18" s="280" t="s">
        <v>216</v>
      </c>
      <c r="B18" s="281">
        <f>B16*B17</f>
        <v>11095.070276693479</v>
      </c>
      <c r="C18" s="280"/>
      <c r="D18" s="280"/>
      <c r="E18" s="280"/>
      <c r="F18" s="280"/>
      <c r="G18" s="280"/>
    </row>
    <row r="19" spans="1:10">
      <c r="A19" s="280"/>
      <c r="B19" s="281"/>
      <c r="C19" s="280"/>
      <c r="D19" s="280"/>
      <c r="E19" s="280"/>
      <c r="F19" s="280"/>
      <c r="G19" s="280"/>
    </row>
    <row r="20" spans="1:10">
      <c r="A20" s="280" t="s">
        <v>183</v>
      </c>
      <c r="B20" s="281">
        <f>B7</f>
        <v>1500</v>
      </c>
      <c r="C20" s="280"/>
      <c r="D20" s="280"/>
      <c r="E20" s="280"/>
      <c r="F20" s="280"/>
      <c r="G20" s="280"/>
    </row>
    <row r="21" spans="1:10">
      <c r="A21" s="280" t="s">
        <v>217</v>
      </c>
      <c r="B21" s="281">
        <f>B20+B18</f>
        <v>12595.070276693479</v>
      </c>
      <c r="C21" s="280"/>
      <c r="D21" s="280"/>
      <c r="E21" s="280"/>
      <c r="F21" s="280"/>
      <c r="G21" s="280"/>
    </row>
    <row r="22" spans="1:10">
      <c r="A22" s="280" t="s">
        <v>218</v>
      </c>
      <c r="B22" s="281">
        <f>[0]!Shares_FD [0]!F2018_</f>
        <v>196.9</v>
      </c>
      <c r="C22" s="280"/>
      <c r="D22" s="280"/>
      <c r="E22" s="280"/>
      <c r="F22" s="280"/>
      <c r="G22" s="280"/>
    </row>
    <row r="23" spans="1:10">
      <c r="A23" s="378" t="s">
        <v>219</v>
      </c>
      <c r="B23" s="379">
        <f>ROUND(B21/B22,0)</f>
        <v>64</v>
      </c>
      <c r="C23" s="280"/>
      <c r="D23" s="390"/>
      <c r="E23" s="280"/>
      <c r="F23" s="280"/>
      <c r="G23" s="280"/>
    </row>
    <row r="24" spans="1:10">
      <c r="A24" s="280"/>
      <c r="B24" s="281"/>
      <c r="C24" s="280"/>
      <c r="D24" s="280"/>
      <c r="E24" s="280"/>
      <c r="F24" s="280"/>
      <c r="G24" s="280"/>
    </row>
    <row r="25" spans="1:10">
      <c r="A25" s="280" t="s">
        <v>336</v>
      </c>
      <c r="B25" s="285">
        <f>OpEPS_Dil F2018_</f>
        <v>5.3027038017101802</v>
      </c>
      <c r="C25" s="280"/>
      <c r="D25" s="286"/>
      <c r="E25" s="280"/>
      <c r="F25" s="280"/>
      <c r="G25" s="280"/>
    </row>
    <row r="26" spans="1:10">
      <c r="A26" s="280" t="s">
        <v>343</v>
      </c>
      <c r="B26" s="284">
        <f>B23/B25</f>
        <v>12.069314522029176</v>
      </c>
      <c r="C26" s="280"/>
      <c r="D26" s="280" t="s">
        <v>339</v>
      </c>
      <c r="E26" s="280"/>
      <c r="F26" s="280"/>
      <c r="G26" s="280"/>
    </row>
    <row r="27" spans="1:10">
      <c r="A27" s="280"/>
      <c r="B27" s="285"/>
      <c r="C27" s="280"/>
      <c r="D27" s="280"/>
      <c r="E27" s="280"/>
      <c r="F27" s="280"/>
      <c r="G27" s="280"/>
    </row>
    <row r="28" spans="1:10">
      <c r="A28" s="280" t="s">
        <v>337</v>
      </c>
      <c r="B28" s="285">
        <f>BVPS_basic F2018_</f>
        <v>49.765778611663933</v>
      </c>
      <c r="C28" s="280"/>
      <c r="D28" s="280"/>
      <c r="E28" s="280"/>
      <c r="F28" s="280"/>
      <c r="G28" s="280"/>
      <c r="H28" s="280" t="s">
        <v>306</v>
      </c>
      <c r="I28" s="283">
        <f>BVPS_ex115 F2016_</f>
        <v>33.049898167006106</v>
      </c>
    </row>
    <row r="29" spans="1:10">
      <c r="A29" s="280" t="s">
        <v>220</v>
      </c>
      <c r="B29" s="284">
        <f>B23/B28</f>
        <v>1.2860242878828363</v>
      </c>
      <c r="C29" s="280"/>
      <c r="D29" s="286" t="s">
        <v>322</v>
      </c>
      <c r="E29" s="280"/>
      <c r="F29" s="280"/>
      <c r="G29" s="280"/>
      <c r="H29" s="280" t="s">
        <v>307</v>
      </c>
      <c r="I29" s="283">
        <f>I28</f>
        <v>33.049898167006106</v>
      </c>
      <c r="J29" s="283">
        <v>10</v>
      </c>
    </row>
    <row r="30" spans="1:10">
      <c r="H30" s="280" t="s">
        <v>183</v>
      </c>
      <c r="I30" s="283">
        <f>I29+J29</f>
        <v>43.049898167006106</v>
      </c>
      <c r="J30" s="283">
        <v>8</v>
      </c>
    </row>
    <row r="31" spans="1:10">
      <c r="H31" s="280" t="s">
        <v>305</v>
      </c>
      <c r="I31" s="283">
        <f>I30+J30</f>
        <v>51.049898167006106</v>
      </c>
      <c r="J31" s="283">
        <v>6.7</v>
      </c>
    </row>
    <row r="32" spans="1:10">
      <c r="A32" s="277" t="s">
        <v>211</v>
      </c>
      <c r="B32" s="287"/>
      <c r="H32" s="280" t="s">
        <v>289</v>
      </c>
      <c r="I32" s="283">
        <f>I31+J31</f>
        <v>57.749898167006108</v>
      </c>
    </row>
    <row r="33" spans="1:8">
      <c r="A33" s="280" t="s">
        <v>221</v>
      </c>
      <c r="B33" s="280">
        <v>2.5</v>
      </c>
      <c r="H33" s="280"/>
    </row>
    <row r="34" spans="1:8">
      <c r="A34" s="280" t="s">
        <v>222</v>
      </c>
      <c r="B34" s="280">
        <v>1.25</v>
      </c>
    </row>
    <row r="35" spans="1:8">
      <c r="A35" s="280" t="s">
        <v>223</v>
      </c>
      <c r="B35" s="288">
        <f>(B33+B34)</f>
        <v>3.75</v>
      </c>
    </row>
  </sheetData>
  <pageMargins left="0" right="0" top="0" bottom="0" header="0" footer="0"/>
  <pageSetup paperSize="5" scale="85" orientation="landscape" r:id="rId1"/>
  <ignoredErrors>
    <ignoredError sqref="B21 B24 B23 B29 B26:B27" evalError="1"/>
  </ignoredErrors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43"/>
  <sheetViews>
    <sheetView workbookViewId="0">
      <selection activeCell="B42" sqref="B42"/>
    </sheetView>
  </sheetViews>
  <sheetFormatPr defaultRowHeight="12.75"/>
  <cols>
    <col min="1" max="1" width="29.5703125" style="445" bestFit="1" customWidth="1"/>
    <col min="2" max="2" width="19.85546875" style="512" customWidth="1"/>
    <col min="3" max="3" width="12" style="445" bestFit="1" customWidth="1"/>
    <col min="4" max="256" width="9.140625" style="445"/>
    <col min="257" max="257" width="29.5703125" style="445" bestFit="1" customWidth="1"/>
    <col min="258" max="258" width="19.85546875" style="445" customWidth="1"/>
    <col min="259" max="259" width="12" style="445" bestFit="1" customWidth="1"/>
    <col min="260" max="512" width="9.140625" style="445"/>
    <col min="513" max="513" width="29.5703125" style="445" bestFit="1" customWidth="1"/>
    <col min="514" max="514" width="19.85546875" style="445" customWidth="1"/>
    <col min="515" max="515" width="12" style="445" bestFit="1" customWidth="1"/>
    <col min="516" max="768" width="9.140625" style="445"/>
    <col min="769" max="769" width="29.5703125" style="445" bestFit="1" customWidth="1"/>
    <col min="770" max="770" width="19.85546875" style="445" customWidth="1"/>
    <col min="771" max="771" width="12" style="445" bestFit="1" customWidth="1"/>
    <col min="772" max="1024" width="9.140625" style="445"/>
    <col min="1025" max="1025" width="29.5703125" style="445" bestFit="1" customWidth="1"/>
    <col min="1026" max="1026" width="19.85546875" style="445" customWidth="1"/>
    <col min="1027" max="1027" width="12" style="445" bestFit="1" customWidth="1"/>
    <col min="1028" max="1280" width="9.140625" style="445"/>
    <col min="1281" max="1281" width="29.5703125" style="445" bestFit="1" customWidth="1"/>
    <col min="1282" max="1282" width="19.85546875" style="445" customWidth="1"/>
    <col min="1283" max="1283" width="12" style="445" bestFit="1" customWidth="1"/>
    <col min="1284" max="1536" width="9.140625" style="445"/>
    <col min="1537" max="1537" width="29.5703125" style="445" bestFit="1" customWidth="1"/>
    <col min="1538" max="1538" width="19.85546875" style="445" customWidth="1"/>
    <col min="1539" max="1539" width="12" style="445" bestFit="1" customWidth="1"/>
    <col min="1540" max="1792" width="9.140625" style="445"/>
    <col min="1793" max="1793" width="29.5703125" style="445" bestFit="1" customWidth="1"/>
    <col min="1794" max="1794" width="19.85546875" style="445" customWidth="1"/>
    <col min="1795" max="1795" width="12" style="445" bestFit="1" customWidth="1"/>
    <col min="1796" max="2048" width="9.140625" style="445"/>
    <col min="2049" max="2049" width="29.5703125" style="445" bestFit="1" customWidth="1"/>
    <col min="2050" max="2050" width="19.85546875" style="445" customWidth="1"/>
    <col min="2051" max="2051" width="12" style="445" bestFit="1" customWidth="1"/>
    <col min="2052" max="2304" width="9.140625" style="445"/>
    <col min="2305" max="2305" width="29.5703125" style="445" bestFit="1" customWidth="1"/>
    <col min="2306" max="2306" width="19.85546875" style="445" customWidth="1"/>
    <col min="2307" max="2307" width="12" style="445" bestFit="1" customWidth="1"/>
    <col min="2308" max="2560" width="9.140625" style="445"/>
    <col min="2561" max="2561" width="29.5703125" style="445" bestFit="1" customWidth="1"/>
    <col min="2562" max="2562" width="19.85546875" style="445" customWidth="1"/>
    <col min="2563" max="2563" width="12" style="445" bestFit="1" customWidth="1"/>
    <col min="2564" max="2816" width="9.140625" style="445"/>
    <col min="2817" max="2817" width="29.5703125" style="445" bestFit="1" customWidth="1"/>
    <col min="2818" max="2818" width="19.85546875" style="445" customWidth="1"/>
    <col min="2819" max="2819" width="12" style="445" bestFit="1" customWidth="1"/>
    <col min="2820" max="3072" width="9.140625" style="445"/>
    <col min="3073" max="3073" width="29.5703125" style="445" bestFit="1" customWidth="1"/>
    <col min="3074" max="3074" width="19.85546875" style="445" customWidth="1"/>
    <col min="3075" max="3075" width="12" style="445" bestFit="1" customWidth="1"/>
    <col min="3076" max="3328" width="9.140625" style="445"/>
    <col min="3329" max="3329" width="29.5703125" style="445" bestFit="1" customWidth="1"/>
    <col min="3330" max="3330" width="19.85546875" style="445" customWidth="1"/>
    <col min="3331" max="3331" width="12" style="445" bestFit="1" customWidth="1"/>
    <col min="3332" max="3584" width="9.140625" style="445"/>
    <col min="3585" max="3585" width="29.5703125" style="445" bestFit="1" customWidth="1"/>
    <col min="3586" max="3586" width="19.85546875" style="445" customWidth="1"/>
    <col min="3587" max="3587" width="12" style="445" bestFit="1" customWidth="1"/>
    <col min="3588" max="3840" width="9.140625" style="445"/>
    <col min="3841" max="3841" width="29.5703125" style="445" bestFit="1" customWidth="1"/>
    <col min="3842" max="3842" width="19.85546875" style="445" customWidth="1"/>
    <col min="3843" max="3843" width="12" style="445" bestFit="1" customWidth="1"/>
    <col min="3844" max="4096" width="9.140625" style="445"/>
    <col min="4097" max="4097" width="29.5703125" style="445" bestFit="1" customWidth="1"/>
    <col min="4098" max="4098" width="19.85546875" style="445" customWidth="1"/>
    <col min="4099" max="4099" width="12" style="445" bestFit="1" customWidth="1"/>
    <col min="4100" max="4352" width="9.140625" style="445"/>
    <col min="4353" max="4353" width="29.5703125" style="445" bestFit="1" customWidth="1"/>
    <col min="4354" max="4354" width="19.85546875" style="445" customWidth="1"/>
    <col min="4355" max="4355" width="12" style="445" bestFit="1" customWidth="1"/>
    <col min="4356" max="4608" width="9.140625" style="445"/>
    <col min="4609" max="4609" width="29.5703125" style="445" bestFit="1" customWidth="1"/>
    <col min="4610" max="4610" width="19.85546875" style="445" customWidth="1"/>
    <col min="4611" max="4611" width="12" style="445" bestFit="1" customWidth="1"/>
    <col min="4612" max="4864" width="9.140625" style="445"/>
    <col min="4865" max="4865" width="29.5703125" style="445" bestFit="1" customWidth="1"/>
    <col min="4866" max="4866" width="19.85546875" style="445" customWidth="1"/>
    <col min="4867" max="4867" width="12" style="445" bestFit="1" customWidth="1"/>
    <col min="4868" max="5120" width="9.140625" style="445"/>
    <col min="5121" max="5121" width="29.5703125" style="445" bestFit="1" customWidth="1"/>
    <col min="5122" max="5122" width="19.85546875" style="445" customWidth="1"/>
    <col min="5123" max="5123" width="12" style="445" bestFit="1" customWidth="1"/>
    <col min="5124" max="5376" width="9.140625" style="445"/>
    <col min="5377" max="5377" width="29.5703125" style="445" bestFit="1" customWidth="1"/>
    <col min="5378" max="5378" width="19.85546875" style="445" customWidth="1"/>
    <col min="5379" max="5379" width="12" style="445" bestFit="1" customWidth="1"/>
    <col min="5380" max="5632" width="9.140625" style="445"/>
    <col min="5633" max="5633" width="29.5703125" style="445" bestFit="1" customWidth="1"/>
    <col min="5634" max="5634" width="19.85546875" style="445" customWidth="1"/>
    <col min="5635" max="5635" width="12" style="445" bestFit="1" customWidth="1"/>
    <col min="5636" max="5888" width="9.140625" style="445"/>
    <col min="5889" max="5889" width="29.5703125" style="445" bestFit="1" customWidth="1"/>
    <col min="5890" max="5890" width="19.85546875" style="445" customWidth="1"/>
    <col min="5891" max="5891" width="12" style="445" bestFit="1" customWidth="1"/>
    <col min="5892" max="6144" width="9.140625" style="445"/>
    <col min="6145" max="6145" width="29.5703125" style="445" bestFit="1" customWidth="1"/>
    <col min="6146" max="6146" width="19.85546875" style="445" customWidth="1"/>
    <col min="6147" max="6147" width="12" style="445" bestFit="1" customWidth="1"/>
    <col min="6148" max="6400" width="9.140625" style="445"/>
    <col min="6401" max="6401" width="29.5703125" style="445" bestFit="1" customWidth="1"/>
    <col min="6402" max="6402" width="19.85546875" style="445" customWidth="1"/>
    <col min="6403" max="6403" width="12" style="445" bestFit="1" customWidth="1"/>
    <col min="6404" max="6656" width="9.140625" style="445"/>
    <col min="6657" max="6657" width="29.5703125" style="445" bestFit="1" customWidth="1"/>
    <col min="6658" max="6658" width="19.85546875" style="445" customWidth="1"/>
    <col min="6659" max="6659" width="12" style="445" bestFit="1" customWidth="1"/>
    <col min="6660" max="6912" width="9.140625" style="445"/>
    <col min="6913" max="6913" width="29.5703125" style="445" bestFit="1" customWidth="1"/>
    <col min="6914" max="6914" width="19.85546875" style="445" customWidth="1"/>
    <col min="6915" max="6915" width="12" style="445" bestFit="1" customWidth="1"/>
    <col min="6916" max="7168" width="9.140625" style="445"/>
    <col min="7169" max="7169" width="29.5703125" style="445" bestFit="1" customWidth="1"/>
    <col min="7170" max="7170" width="19.85546875" style="445" customWidth="1"/>
    <col min="7171" max="7171" width="12" style="445" bestFit="1" customWidth="1"/>
    <col min="7172" max="7424" width="9.140625" style="445"/>
    <col min="7425" max="7425" width="29.5703125" style="445" bestFit="1" customWidth="1"/>
    <col min="7426" max="7426" width="19.85546875" style="445" customWidth="1"/>
    <col min="7427" max="7427" width="12" style="445" bestFit="1" customWidth="1"/>
    <col min="7428" max="7680" width="9.140625" style="445"/>
    <col min="7681" max="7681" width="29.5703125" style="445" bestFit="1" customWidth="1"/>
    <col min="7682" max="7682" width="19.85546875" style="445" customWidth="1"/>
    <col min="7683" max="7683" width="12" style="445" bestFit="1" customWidth="1"/>
    <col min="7684" max="7936" width="9.140625" style="445"/>
    <col min="7937" max="7937" width="29.5703125" style="445" bestFit="1" customWidth="1"/>
    <col min="7938" max="7938" width="19.85546875" style="445" customWidth="1"/>
    <col min="7939" max="7939" width="12" style="445" bestFit="1" customWidth="1"/>
    <col min="7940" max="8192" width="9.140625" style="445"/>
    <col min="8193" max="8193" width="29.5703125" style="445" bestFit="1" customWidth="1"/>
    <col min="8194" max="8194" width="19.85546875" style="445" customWidth="1"/>
    <col min="8195" max="8195" width="12" style="445" bestFit="1" customWidth="1"/>
    <col min="8196" max="8448" width="9.140625" style="445"/>
    <col min="8449" max="8449" width="29.5703125" style="445" bestFit="1" customWidth="1"/>
    <col min="8450" max="8450" width="19.85546875" style="445" customWidth="1"/>
    <col min="8451" max="8451" width="12" style="445" bestFit="1" customWidth="1"/>
    <col min="8452" max="8704" width="9.140625" style="445"/>
    <col min="8705" max="8705" width="29.5703125" style="445" bestFit="1" customWidth="1"/>
    <col min="8706" max="8706" width="19.85546875" style="445" customWidth="1"/>
    <col min="8707" max="8707" width="12" style="445" bestFit="1" customWidth="1"/>
    <col min="8708" max="8960" width="9.140625" style="445"/>
    <col min="8961" max="8961" width="29.5703125" style="445" bestFit="1" customWidth="1"/>
    <col min="8962" max="8962" width="19.85546875" style="445" customWidth="1"/>
    <col min="8963" max="8963" width="12" style="445" bestFit="1" customWidth="1"/>
    <col min="8964" max="9216" width="9.140625" style="445"/>
    <col min="9217" max="9217" width="29.5703125" style="445" bestFit="1" customWidth="1"/>
    <col min="9218" max="9218" width="19.85546875" style="445" customWidth="1"/>
    <col min="9219" max="9219" width="12" style="445" bestFit="1" customWidth="1"/>
    <col min="9220" max="9472" width="9.140625" style="445"/>
    <col min="9473" max="9473" width="29.5703125" style="445" bestFit="1" customWidth="1"/>
    <col min="9474" max="9474" width="19.85546875" style="445" customWidth="1"/>
    <col min="9475" max="9475" width="12" style="445" bestFit="1" customWidth="1"/>
    <col min="9476" max="9728" width="9.140625" style="445"/>
    <col min="9729" max="9729" width="29.5703125" style="445" bestFit="1" customWidth="1"/>
    <col min="9730" max="9730" width="19.85546875" style="445" customWidth="1"/>
    <col min="9731" max="9731" width="12" style="445" bestFit="1" customWidth="1"/>
    <col min="9732" max="9984" width="9.140625" style="445"/>
    <col min="9985" max="9985" width="29.5703125" style="445" bestFit="1" customWidth="1"/>
    <col min="9986" max="9986" width="19.85546875" style="445" customWidth="1"/>
    <col min="9987" max="9987" width="12" style="445" bestFit="1" customWidth="1"/>
    <col min="9988" max="10240" width="9.140625" style="445"/>
    <col min="10241" max="10241" width="29.5703125" style="445" bestFit="1" customWidth="1"/>
    <col min="10242" max="10242" width="19.85546875" style="445" customWidth="1"/>
    <col min="10243" max="10243" width="12" style="445" bestFit="1" customWidth="1"/>
    <col min="10244" max="10496" width="9.140625" style="445"/>
    <col min="10497" max="10497" width="29.5703125" style="445" bestFit="1" customWidth="1"/>
    <col min="10498" max="10498" width="19.85546875" style="445" customWidth="1"/>
    <col min="10499" max="10499" width="12" style="445" bestFit="1" customWidth="1"/>
    <col min="10500" max="10752" width="9.140625" style="445"/>
    <col min="10753" max="10753" width="29.5703125" style="445" bestFit="1" customWidth="1"/>
    <col min="10754" max="10754" width="19.85546875" style="445" customWidth="1"/>
    <col min="10755" max="10755" width="12" style="445" bestFit="1" customWidth="1"/>
    <col min="10756" max="11008" width="9.140625" style="445"/>
    <col min="11009" max="11009" width="29.5703125" style="445" bestFit="1" customWidth="1"/>
    <col min="11010" max="11010" width="19.85546875" style="445" customWidth="1"/>
    <col min="11011" max="11011" width="12" style="445" bestFit="1" customWidth="1"/>
    <col min="11012" max="11264" width="9.140625" style="445"/>
    <col min="11265" max="11265" width="29.5703125" style="445" bestFit="1" customWidth="1"/>
    <col min="11266" max="11266" width="19.85546875" style="445" customWidth="1"/>
    <col min="11267" max="11267" width="12" style="445" bestFit="1" customWidth="1"/>
    <col min="11268" max="11520" width="9.140625" style="445"/>
    <col min="11521" max="11521" width="29.5703125" style="445" bestFit="1" customWidth="1"/>
    <col min="11522" max="11522" width="19.85546875" style="445" customWidth="1"/>
    <col min="11523" max="11523" width="12" style="445" bestFit="1" customWidth="1"/>
    <col min="11524" max="11776" width="9.140625" style="445"/>
    <col min="11777" max="11777" width="29.5703125" style="445" bestFit="1" customWidth="1"/>
    <col min="11778" max="11778" width="19.85546875" style="445" customWidth="1"/>
    <col min="11779" max="11779" width="12" style="445" bestFit="1" customWidth="1"/>
    <col min="11780" max="12032" width="9.140625" style="445"/>
    <col min="12033" max="12033" width="29.5703125" style="445" bestFit="1" customWidth="1"/>
    <col min="12034" max="12034" width="19.85546875" style="445" customWidth="1"/>
    <col min="12035" max="12035" width="12" style="445" bestFit="1" customWidth="1"/>
    <col min="12036" max="12288" width="9.140625" style="445"/>
    <col min="12289" max="12289" width="29.5703125" style="445" bestFit="1" customWidth="1"/>
    <col min="12290" max="12290" width="19.85546875" style="445" customWidth="1"/>
    <col min="12291" max="12291" width="12" style="445" bestFit="1" customWidth="1"/>
    <col min="12292" max="12544" width="9.140625" style="445"/>
    <col min="12545" max="12545" width="29.5703125" style="445" bestFit="1" customWidth="1"/>
    <col min="12546" max="12546" width="19.85546875" style="445" customWidth="1"/>
    <col min="12547" max="12547" width="12" style="445" bestFit="1" customWidth="1"/>
    <col min="12548" max="12800" width="9.140625" style="445"/>
    <col min="12801" max="12801" width="29.5703125" style="445" bestFit="1" customWidth="1"/>
    <col min="12802" max="12802" width="19.85546875" style="445" customWidth="1"/>
    <col min="12803" max="12803" width="12" style="445" bestFit="1" customWidth="1"/>
    <col min="12804" max="13056" width="9.140625" style="445"/>
    <col min="13057" max="13057" width="29.5703125" style="445" bestFit="1" customWidth="1"/>
    <col min="13058" max="13058" width="19.85546875" style="445" customWidth="1"/>
    <col min="13059" max="13059" width="12" style="445" bestFit="1" customWidth="1"/>
    <col min="13060" max="13312" width="9.140625" style="445"/>
    <col min="13313" max="13313" width="29.5703125" style="445" bestFit="1" customWidth="1"/>
    <col min="13314" max="13314" width="19.85546875" style="445" customWidth="1"/>
    <col min="13315" max="13315" width="12" style="445" bestFit="1" customWidth="1"/>
    <col min="13316" max="13568" width="9.140625" style="445"/>
    <col min="13569" max="13569" width="29.5703125" style="445" bestFit="1" customWidth="1"/>
    <col min="13570" max="13570" width="19.85546875" style="445" customWidth="1"/>
    <col min="13571" max="13571" width="12" style="445" bestFit="1" customWidth="1"/>
    <col min="13572" max="13824" width="9.140625" style="445"/>
    <col min="13825" max="13825" width="29.5703125" style="445" bestFit="1" customWidth="1"/>
    <col min="13826" max="13826" width="19.85546875" style="445" customWidth="1"/>
    <col min="13827" max="13827" width="12" style="445" bestFit="1" customWidth="1"/>
    <col min="13828" max="14080" width="9.140625" style="445"/>
    <col min="14081" max="14081" width="29.5703125" style="445" bestFit="1" customWidth="1"/>
    <col min="14082" max="14082" width="19.85546875" style="445" customWidth="1"/>
    <col min="14083" max="14083" width="12" style="445" bestFit="1" customWidth="1"/>
    <col min="14084" max="14336" width="9.140625" style="445"/>
    <col min="14337" max="14337" width="29.5703125" style="445" bestFit="1" customWidth="1"/>
    <col min="14338" max="14338" width="19.85546875" style="445" customWidth="1"/>
    <col min="14339" max="14339" width="12" style="445" bestFit="1" customWidth="1"/>
    <col min="14340" max="14592" width="9.140625" style="445"/>
    <col min="14593" max="14593" width="29.5703125" style="445" bestFit="1" customWidth="1"/>
    <col min="14594" max="14594" width="19.85546875" style="445" customWidth="1"/>
    <col min="14595" max="14595" width="12" style="445" bestFit="1" customWidth="1"/>
    <col min="14596" max="14848" width="9.140625" style="445"/>
    <col min="14849" max="14849" width="29.5703125" style="445" bestFit="1" customWidth="1"/>
    <col min="14850" max="14850" width="19.85546875" style="445" customWidth="1"/>
    <col min="14851" max="14851" width="12" style="445" bestFit="1" customWidth="1"/>
    <col min="14852" max="15104" width="9.140625" style="445"/>
    <col min="15105" max="15105" width="29.5703125" style="445" bestFit="1" customWidth="1"/>
    <col min="15106" max="15106" width="19.85546875" style="445" customWidth="1"/>
    <col min="15107" max="15107" width="12" style="445" bestFit="1" customWidth="1"/>
    <col min="15108" max="15360" width="9.140625" style="445"/>
    <col min="15361" max="15361" width="29.5703125" style="445" bestFit="1" customWidth="1"/>
    <col min="15362" max="15362" width="19.85546875" style="445" customWidth="1"/>
    <col min="15363" max="15363" width="12" style="445" bestFit="1" customWidth="1"/>
    <col min="15364" max="15616" width="9.140625" style="445"/>
    <col min="15617" max="15617" width="29.5703125" style="445" bestFit="1" customWidth="1"/>
    <col min="15618" max="15618" width="19.85546875" style="445" customWidth="1"/>
    <col min="15619" max="15619" width="12" style="445" bestFit="1" customWidth="1"/>
    <col min="15620" max="15872" width="9.140625" style="445"/>
    <col min="15873" max="15873" width="29.5703125" style="445" bestFit="1" customWidth="1"/>
    <col min="15874" max="15874" width="19.85546875" style="445" customWidth="1"/>
    <col min="15875" max="15875" width="12" style="445" bestFit="1" customWidth="1"/>
    <col min="15876" max="16128" width="9.140625" style="445"/>
    <col min="16129" max="16129" width="29.5703125" style="445" bestFit="1" customWidth="1"/>
    <col min="16130" max="16130" width="19.85546875" style="445" customWidth="1"/>
    <col min="16131" max="16131" width="12" style="445" bestFit="1" customWidth="1"/>
    <col min="16132" max="16384" width="9.140625" style="445"/>
  </cols>
  <sheetData>
    <row r="1" spans="1:2">
      <c r="A1" s="445" t="s">
        <v>654</v>
      </c>
      <c r="B1" s="511">
        <v>6.1</v>
      </c>
    </row>
    <row r="2" spans="1:2">
      <c r="A2" s="445" t="s">
        <v>655</v>
      </c>
      <c r="B2" s="515">
        <v>43195.359340277777</v>
      </c>
    </row>
    <row r="3" spans="1:2">
      <c r="A3" s="445" t="s">
        <v>656</v>
      </c>
      <c r="B3" s="512" t="s">
        <v>349</v>
      </c>
    </row>
    <row r="4" spans="1:2">
      <c r="A4" s="445" t="s">
        <v>657</v>
      </c>
      <c r="B4" s="512" t="s">
        <v>658</v>
      </c>
    </row>
    <row r="5" spans="1:2">
      <c r="A5" s="445" t="s">
        <v>659</v>
      </c>
      <c r="B5" s="512" t="s">
        <v>660</v>
      </c>
    </row>
    <row r="6" spans="1:2">
      <c r="A6" s="445" t="s">
        <v>661</v>
      </c>
    </row>
    <row r="7" spans="1:2">
      <c r="A7" s="445" t="s">
        <v>662</v>
      </c>
      <c r="B7" s="512" t="s">
        <v>288</v>
      </c>
    </row>
    <row r="8" spans="1:2">
      <c r="A8" s="445" t="s">
        <v>663</v>
      </c>
      <c r="B8" s="512" t="s">
        <v>664</v>
      </c>
    </row>
    <row r="9" spans="1:2">
      <c r="A9" s="445" t="s">
        <v>665</v>
      </c>
      <c r="B9" s="512" t="s">
        <v>703</v>
      </c>
    </row>
    <row r="10" spans="1:2">
      <c r="A10" s="445" t="s">
        <v>666</v>
      </c>
    </row>
    <row r="11" spans="1:2">
      <c r="A11" s="445" t="s">
        <v>667</v>
      </c>
    </row>
    <row r="12" spans="1:2">
      <c r="A12" s="445" t="s">
        <v>668</v>
      </c>
    </row>
    <row r="13" spans="1:2">
      <c r="A13" s="445" t="s">
        <v>669</v>
      </c>
    </row>
    <row r="14" spans="1:2">
      <c r="A14" s="445" t="s">
        <v>670</v>
      </c>
    </row>
    <row r="15" spans="1:2">
      <c r="A15" s="445" t="s">
        <v>671</v>
      </c>
    </row>
    <row r="16" spans="1:2">
      <c r="A16" s="445" t="s">
        <v>672</v>
      </c>
    </row>
    <row r="17" spans="1:4">
      <c r="A17" s="445" t="s">
        <v>673</v>
      </c>
      <c r="B17" s="512" t="s">
        <v>704</v>
      </c>
    </row>
    <row r="18" spans="1:4">
      <c r="A18" s="445" t="s">
        <v>674</v>
      </c>
      <c r="B18" s="512" t="s">
        <v>707</v>
      </c>
    </row>
    <row r="19" spans="1:4">
      <c r="A19" s="445" t="s">
        <v>675</v>
      </c>
      <c r="B19" s="512" t="s">
        <v>287</v>
      </c>
    </row>
    <row r="20" spans="1:4">
      <c r="A20" s="445" t="s">
        <v>676</v>
      </c>
      <c r="B20" s="513" t="s">
        <v>708</v>
      </c>
    </row>
    <row r="21" spans="1:4">
      <c r="A21" s="445" t="s">
        <v>677</v>
      </c>
      <c r="B21" s="512" t="s">
        <v>287</v>
      </c>
    </row>
    <row r="22" spans="1:4">
      <c r="A22" s="445" t="s">
        <v>678</v>
      </c>
      <c r="B22" s="513" t="s">
        <v>297</v>
      </c>
    </row>
    <row r="23" spans="1:4">
      <c r="A23" s="445" t="s">
        <v>291</v>
      </c>
      <c r="B23" s="511">
        <v>47.84</v>
      </c>
    </row>
    <row r="24" spans="1:4">
      <c r="A24" s="445" t="s">
        <v>290</v>
      </c>
      <c r="B24" s="512" t="s">
        <v>264</v>
      </c>
      <c r="D24" s="445" t="s">
        <v>679</v>
      </c>
    </row>
    <row r="25" spans="1:4">
      <c r="A25" s="445" t="s">
        <v>680</v>
      </c>
      <c r="B25" s="512" t="s">
        <v>709</v>
      </c>
    </row>
    <row r="26" spans="1:4">
      <c r="A26" s="445" t="s">
        <v>681</v>
      </c>
      <c r="B26" s="512">
        <v>0</v>
      </c>
    </row>
    <row r="27" spans="1:4">
      <c r="A27" s="445" t="s">
        <v>682</v>
      </c>
      <c r="B27" s="512" t="s">
        <v>683</v>
      </c>
    </row>
    <row r="28" spans="1:4">
      <c r="A28" s="445" t="s">
        <v>684</v>
      </c>
      <c r="B28" s="512" t="s">
        <v>685</v>
      </c>
    </row>
    <row r="29" spans="1:4">
      <c r="A29" s="445" t="s">
        <v>686</v>
      </c>
    </row>
    <row r="30" spans="1:4">
      <c r="A30" s="445" t="s">
        <v>687</v>
      </c>
    </row>
    <row r="31" spans="1:4">
      <c r="A31" s="445" t="s">
        <v>688</v>
      </c>
    </row>
    <row r="32" spans="1:4">
      <c r="A32" s="445" t="s">
        <v>689</v>
      </c>
      <c r="B32" s="511"/>
    </row>
    <row r="33" spans="1:2">
      <c r="A33" s="445" t="s">
        <v>690</v>
      </c>
      <c r="B33" s="511"/>
    </row>
    <row r="34" spans="1:2">
      <c r="A34" s="445" t="s">
        <v>691</v>
      </c>
      <c r="B34" s="511"/>
    </row>
    <row r="35" spans="1:2">
      <c r="A35" s="445" t="s">
        <v>692</v>
      </c>
      <c r="B35" s="512">
        <v>1000000</v>
      </c>
    </row>
    <row r="36" spans="1:2">
      <c r="A36" s="445" t="s">
        <v>693</v>
      </c>
      <c r="B36" s="512" t="s">
        <v>705</v>
      </c>
    </row>
    <row r="37" spans="1:2">
      <c r="A37" s="445" t="s">
        <v>694</v>
      </c>
      <c r="B37" s="512" t="s">
        <v>695</v>
      </c>
    </row>
    <row r="38" spans="1:2">
      <c r="A38" s="445" t="s">
        <v>696</v>
      </c>
      <c r="B38" s="512" t="s">
        <v>697</v>
      </c>
    </row>
    <row r="39" spans="1:2">
      <c r="A39" s="445" t="s">
        <v>698</v>
      </c>
      <c r="B39" s="512" t="s">
        <v>706</v>
      </c>
    </row>
    <row r="40" spans="1:2">
      <c r="A40" s="445" t="s">
        <v>699</v>
      </c>
      <c r="B40" s="512">
        <v>1500005428</v>
      </c>
    </row>
    <row r="41" spans="1:2">
      <c r="A41" s="445" t="s">
        <v>700</v>
      </c>
      <c r="B41" s="512">
        <v>1</v>
      </c>
    </row>
    <row r="42" spans="1:2">
      <c r="A42" s="514" t="s">
        <v>701</v>
      </c>
    </row>
    <row r="43" spans="1:2">
      <c r="A43" s="445" t="s">
        <v>702</v>
      </c>
    </row>
  </sheetData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13"/>
  <sheetViews>
    <sheetView workbookViewId="0">
      <selection activeCell="E11" sqref="E11"/>
    </sheetView>
  </sheetViews>
  <sheetFormatPr defaultRowHeight="12.75"/>
  <cols>
    <col min="1" max="1" width="28.5703125" style="445" bestFit="1" customWidth="1"/>
    <col min="2" max="256" width="9.140625" style="445"/>
    <col min="257" max="257" width="28.5703125" style="445" bestFit="1" customWidth="1"/>
    <col min="258" max="512" width="9.140625" style="445"/>
    <col min="513" max="513" width="28.5703125" style="445" bestFit="1" customWidth="1"/>
    <col min="514" max="768" width="9.140625" style="445"/>
    <col min="769" max="769" width="28.5703125" style="445" bestFit="1" customWidth="1"/>
    <col min="770" max="1024" width="9.140625" style="445"/>
    <col min="1025" max="1025" width="28.5703125" style="445" bestFit="1" customWidth="1"/>
    <col min="1026" max="1280" width="9.140625" style="445"/>
    <col min="1281" max="1281" width="28.5703125" style="445" bestFit="1" customWidth="1"/>
    <col min="1282" max="1536" width="9.140625" style="445"/>
    <col min="1537" max="1537" width="28.5703125" style="445" bestFit="1" customWidth="1"/>
    <col min="1538" max="1792" width="9.140625" style="445"/>
    <col min="1793" max="1793" width="28.5703125" style="445" bestFit="1" customWidth="1"/>
    <col min="1794" max="2048" width="9.140625" style="445"/>
    <col min="2049" max="2049" width="28.5703125" style="445" bestFit="1" customWidth="1"/>
    <col min="2050" max="2304" width="9.140625" style="445"/>
    <col min="2305" max="2305" width="28.5703125" style="445" bestFit="1" customWidth="1"/>
    <col min="2306" max="2560" width="9.140625" style="445"/>
    <col min="2561" max="2561" width="28.5703125" style="445" bestFit="1" customWidth="1"/>
    <col min="2562" max="2816" width="9.140625" style="445"/>
    <col min="2817" max="2817" width="28.5703125" style="445" bestFit="1" customWidth="1"/>
    <col min="2818" max="3072" width="9.140625" style="445"/>
    <col min="3073" max="3073" width="28.5703125" style="445" bestFit="1" customWidth="1"/>
    <col min="3074" max="3328" width="9.140625" style="445"/>
    <col min="3329" max="3329" width="28.5703125" style="445" bestFit="1" customWidth="1"/>
    <col min="3330" max="3584" width="9.140625" style="445"/>
    <col min="3585" max="3585" width="28.5703125" style="445" bestFit="1" customWidth="1"/>
    <col min="3586" max="3840" width="9.140625" style="445"/>
    <col min="3841" max="3841" width="28.5703125" style="445" bestFit="1" customWidth="1"/>
    <col min="3842" max="4096" width="9.140625" style="445"/>
    <col min="4097" max="4097" width="28.5703125" style="445" bestFit="1" customWidth="1"/>
    <col min="4098" max="4352" width="9.140625" style="445"/>
    <col min="4353" max="4353" width="28.5703125" style="445" bestFit="1" customWidth="1"/>
    <col min="4354" max="4608" width="9.140625" style="445"/>
    <col min="4609" max="4609" width="28.5703125" style="445" bestFit="1" customWidth="1"/>
    <col min="4610" max="4864" width="9.140625" style="445"/>
    <col min="4865" max="4865" width="28.5703125" style="445" bestFit="1" customWidth="1"/>
    <col min="4866" max="5120" width="9.140625" style="445"/>
    <col min="5121" max="5121" width="28.5703125" style="445" bestFit="1" customWidth="1"/>
    <col min="5122" max="5376" width="9.140625" style="445"/>
    <col min="5377" max="5377" width="28.5703125" style="445" bestFit="1" customWidth="1"/>
    <col min="5378" max="5632" width="9.140625" style="445"/>
    <col min="5633" max="5633" width="28.5703125" style="445" bestFit="1" customWidth="1"/>
    <col min="5634" max="5888" width="9.140625" style="445"/>
    <col min="5889" max="5889" width="28.5703125" style="445" bestFit="1" customWidth="1"/>
    <col min="5890" max="6144" width="9.140625" style="445"/>
    <col min="6145" max="6145" width="28.5703125" style="445" bestFit="1" customWidth="1"/>
    <col min="6146" max="6400" width="9.140625" style="445"/>
    <col min="6401" max="6401" width="28.5703125" style="445" bestFit="1" customWidth="1"/>
    <col min="6402" max="6656" width="9.140625" style="445"/>
    <col min="6657" max="6657" width="28.5703125" style="445" bestFit="1" customWidth="1"/>
    <col min="6658" max="6912" width="9.140625" style="445"/>
    <col min="6913" max="6913" width="28.5703125" style="445" bestFit="1" customWidth="1"/>
    <col min="6914" max="7168" width="9.140625" style="445"/>
    <col min="7169" max="7169" width="28.5703125" style="445" bestFit="1" customWidth="1"/>
    <col min="7170" max="7424" width="9.140625" style="445"/>
    <col min="7425" max="7425" width="28.5703125" style="445" bestFit="1" customWidth="1"/>
    <col min="7426" max="7680" width="9.140625" style="445"/>
    <col min="7681" max="7681" width="28.5703125" style="445" bestFit="1" customWidth="1"/>
    <col min="7682" max="7936" width="9.140625" style="445"/>
    <col min="7937" max="7937" width="28.5703125" style="445" bestFit="1" customWidth="1"/>
    <col min="7938" max="8192" width="9.140625" style="445"/>
    <col min="8193" max="8193" width="28.5703125" style="445" bestFit="1" customWidth="1"/>
    <col min="8194" max="8448" width="9.140625" style="445"/>
    <col min="8449" max="8449" width="28.5703125" style="445" bestFit="1" customWidth="1"/>
    <col min="8450" max="8704" width="9.140625" style="445"/>
    <col min="8705" max="8705" width="28.5703125" style="445" bestFit="1" customWidth="1"/>
    <col min="8706" max="8960" width="9.140625" style="445"/>
    <col min="8961" max="8961" width="28.5703125" style="445" bestFit="1" customWidth="1"/>
    <col min="8962" max="9216" width="9.140625" style="445"/>
    <col min="9217" max="9217" width="28.5703125" style="445" bestFit="1" customWidth="1"/>
    <col min="9218" max="9472" width="9.140625" style="445"/>
    <col min="9473" max="9473" width="28.5703125" style="445" bestFit="1" customWidth="1"/>
    <col min="9474" max="9728" width="9.140625" style="445"/>
    <col min="9729" max="9729" width="28.5703125" style="445" bestFit="1" customWidth="1"/>
    <col min="9730" max="9984" width="9.140625" style="445"/>
    <col min="9985" max="9985" width="28.5703125" style="445" bestFit="1" customWidth="1"/>
    <col min="9986" max="10240" width="9.140625" style="445"/>
    <col min="10241" max="10241" width="28.5703125" style="445" bestFit="1" customWidth="1"/>
    <col min="10242" max="10496" width="9.140625" style="445"/>
    <col min="10497" max="10497" width="28.5703125" style="445" bestFit="1" customWidth="1"/>
    <col min="10498" max="10752" width="9.140625" style="445"/>
    <col min="10753" max="10753" width="28.5703125" style="445" bestFit="1" customWidth="1"/>
    <col min="10754" max="11008" width="9.140625" style="445"/>
    <col min="11009" max="11009" width="28.5703125" style="445" bestFit="1" customWidth="1"/>
    <col min="11010" max="11264" width="9.140625" style="445"/>
    <col min="11265" max="11265" width="28.5703125" style="445" bestFit="1" customWidth="1"/>
    <col min="11266" max="11520" width="9.140625" style="445"/>
    <col min="11521" max="11521" width="28.5703125" style="445" bestFit="1" customWidth="1"/>
    <col min="11522" max="11776" width="9.140625" style="445"/>
    <col min="11777" max="11777" width="28.5703125" style="445" bestFit="1" customWidth="1"/>
    <col min="11778" max="12032" width="9.140625" style="445"/>
    <col min="12033" max="12033" width="28.5703125" style="445" bestFit="1" customWidth="1"/>
    <col min="12034" max="12288" width="9.140625" style="445"/>
    <col min="12289" max="12289" width="28.5703125" style="445" bestFit="1" customWidth="1"/>
    <col min="12290" max="12544" width="9.140625" style="445"/>
    <col min="12545" max="12545" width="28.5703125" style="445" bestFit="1" customWidth="1"/>
    <col min="12546" max="12800" width="9.140625" style="445"/>
    <col min="12801" max="12801" width="28.5703125" style="445" bestFit="1" customWidth="1"/>
    <col min="12802" max="13056" width="9.140625" style="445"/>
    <col min="13057" max="13057" width="28.5703125" style="445" bestFit="1" customWidth="1"/>
    <col min="13058" max="13312" width="9.140625" style="445"/>
    <col min="13313" max="13313" width="28.5703125" style="445" bestFit="1" customWidth="1"/>
    <col min="13314" max="13568" width="9.140625" style="445"/>
    <col min="13569" max="13569" width="28.5703125" style="445" bestFit="1" customWidth="1"/>
    <col min="13570" max="13824" width="9.140625" style="445"/>
    <col min="13825" max="13825" width="28.5703125" style="445" bestFit="1" customWidth="1"/>
    <col min="13826" max="14080" width="9.140625" style="445"/>
    <col min="14081" max="14081" width="28.5703125" style="445" bestFit="1" customWidth="1"/>
    <col min="14082" max="14336" width="9.140625" style="445"/>
    <col min="14337" max="14337" width="28.5703125" style="445" bestFit="1" customWidth="1"/>
    <col min="14338" max="14592" width="9.140625" style="445"/>
    <col min="14593" max="14593" width="28.5703125" style="445" bestFit="1" customWidth="1"/>
    <col min="14594" max="14848" width="9.140625" style="445"/>
    <col min="14849" max="14849" width="28.5703125" style="445" bestFit="1" customWidth="1"/>
    <col min="14850" max="15104" width="9.140625" style="445"/>
    <col min="15105" max="15105" width="28.5703125" style="445" bestFit="1" customWidth="1"/>
    <col min="15106" max="15360" width="9.140625" style="445"/>
    <col min="15361" max="15361" width="28.5703125" style="445" bestFit="1" customWidth="1"/>
    <col min="15362" max="15616" width="9.140625" style="445"/>
    <col min="15617" max="15617" width="28.5703125" style="445" bestFit="1" customWidth="1"/>
    <col min="15618" max="15872" width="9.140625" style="445"/>
    <col min="15873" max="15873" width="28.5703125" style="445" bestFit="1" customWidth="1"/>
    <col min="15874" max="16128" width="9.140625" style="445"/>
    <col min="16129" max="16129" width="28.5703125" style="445" bestFit="1" customWidth="1"/>
    <col min="16130" max="16384" width="9.140625" style="445"/>
  </cols>
  <sheetData>
    <row r="1" spans="1:1">
      <c r="A1" s="516" t="s">
        <v>710</v>
      </c>
    </row>
    <row r="2" spans="1:1">
      <c r="A2" s="516" t="s">
        <v>715</v>
      </c>
    </row>
    <row r="3" spans="1:1">
      <c r="A3" s="516" t="s">
        <v>716</v>
      </c>
    </row>
    <row r="4" spans="1:1">
      <c r="A4" s="516" t="s">
        <v>717</v>
      </c>
    </row>
    <row r="5" spans="1:1">
      <c r="A5" s="516" t="s">
        <v>718</v>
      </c>
    </row>
    <row r="6" spans="1:1">
      <c r="A6" s="516" t="s">
        <v>711</v>
      </c>
    </row>
    <row r="7" spans="1:1">
      <c r="A7" s="516" t="s">
        <v>719</v>
      </c>
    </row>
    <row r="8" spans="1:1">
      <c r="A8" s="516" t="s">
        <v>720</v>
      </c>
    </row>
    <row r="9" spans="1:1">
      <c r="A9" s="516" t="s">
        <v>721</v>
      </c>
    </row>
    <row r="10" spans="1:1">
      <c r="A10" s="516" t="s">
        <v>712</v>
      </c>
    </row>
    <row r="11" spans="1:1">
      <c r="A11" s="516" t="s">
        <v>722</v>
      </c>
    </row>
    <row r="12" spans="1:1">
      <c r="A12" s="516" t="s">
        <v>713</v>
      </c>
    </row>
    <row r="13" spans="1:1">
      <c r="A13" s="516" t="s">
        <v>714</v>
      </c>
    </row>
  </sheetData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2"/>
  <sheetViews>
    <sheetView workbookViewId="0"/>
  </sheetViews>
  <sheetFormatPr defaultRowHeight="15"/>
  <sheetData>
    <row r="1" spans="1:12">
      <c r="A1" t="s">
        <v>296</v>
      </c>
    </row>
    <row r="2" spans="1:12">
      <c r="A2" s="370" t="s">
        <v>295</v>
      </c>
      <c r="B2" s="370" t="s">
        <v>264</v>
      </c>
      <c r="C2" s="370" t="s">
        <v>294</v>
      </c>
      <c r="D2" s="370" t="s">
        <v>297</v>
      </c>
      <c r="E2" s="370" t="s">
        <v>266</v>
      </c>
      <c r="F2" s="370" t="s">
        <v>269</v>
      </c>
      <c r="G2" s="370" t="s">
        <v>267</v>
      </c>
      <c r="H2" s="370" t="s">
        <v>268</v>
      </c>
      <c r="I2" s="370" t="s">
        <v>265</v>
      </c>
      <c r="J2" s="370" t="s">
        <v>264</v>
      </c>
      <c r="K2" s="370" t="s">
        <v>293</v>
      </c>
      <c r="L2" s="370" t="s">
        <v>341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205</vt:i4>
      </vt:variant>
    </vt:vector>
  </HeadingPairs>
  <TitlesOfParts>
    <vt:vector size="212" baseType="lpstr">
      <vt:lpstr>ImportantDisclosures</vt:lpstr>
      <vt:lpstr>INPUT</vt:lpstr>
      <vt:lpstr>FORECAST - CORE</vt:lpstr>
      <vt:lpstr>FORECAST- REPORTED</vt:lpstr>
      <vt:lpstr>SOTPs</vt:lpstr>
      <vt:lpstr>IndexInformation</vt:lpstr>
      <vt:lpstr>ModPubIndex</vt:lpstr>
      <vt:lpstr>_1Q16</vt:lpstr>
      <vt:lpstr>_1Q17</vt:lpstr>
      <vt:lpstr>_1Q18</vt:lpstr>
      <vt:lpstr>_2Q16</vt:lpstr>
      <vt:lpstr>_2Q17</vt:lpstr>
      <vt:lpstr>_2Q18</vt:lpstr>
      <vt:lpstr>_3Q16</vt:lpstr>
      <vt:lpstr>_3Q17</vt:lpstr>
      <vt:lpstr>_3Q18</vt:lpstr>
      <vt:lpstr>_4Q16</vt:lpstr>
      <vt:lpstr>_4Q17</vt:lpstr>
      <vt:lpstr>_4Q18</vt:lpstr>
      <vt:lpstr>Abn_Tot</vt:lpstr>
      <vt:lpstr>AdditionalInstructions</vt:lpstr>
      <vt:lpstr>ImportantDisclosures!Address</vt:lpstr>
      <vt:lpstr>AmtIssued</vt:lpstr>
      <vt:lpstr>ModPubIndex!ANA</vt:lpstr>
      <vt:lpstr>ImportantDisclosures!Authors</vt:lpstr>
      <vt:lpstr>IndexInformation!Authors</vt:lpstr>
      <vt:lpstr>Avg_Eq_ex115</vt:lpstr>
      <vt:lpstr>Avg_Eq_incl115</vt:lpstr>
      <vt:lpstr>AvgDefAnn</vt:lpstr>
      <vt:lpstr>AvgInv_Alts</vt:lpstr>
      <vt:lpstr>AvgInv_Corp_Alt</vt:lpstr>
      <vt:lpstr>AvgInv_Corp_FIA</vt:lpstr>
      <vt:lpstr>AvgInv_FIA</vt:lpstr>
      <vt:lpstr>AvgInv_Ger</vt:lpstr>
      <vt:lpstr>AvgRes_Tot</vt:lpstr>
      <vt:lpstr>AvgRetInvAsset</vt:lpstr>
      <vt:lpstr>AvgShares_Basic</vt:lpstr>
      <vt:lpstr>ModPubIndex!BRO</vt:lpstr>
      <vt:lpstr>Buybacks_AvgPrice</vt:lpstr>
      <vt:lpstr>BVPS_basic</vt:lpstr>
      <vt:lpstr>BVPS_ex115</vt:lpstr>
      <vt:lpstr>BVPS_incl115</vt:lpstr>
      <vt:lpstr>CopyrightStamp</vt:lpstr>
      <vt:lpstr>Core_ATEarns</vt:lpstr>
      <vt:lpstr>Core_OpEPS</vt:lpstr>
      <vt:lpstr>Core_PTEarns</vt:lpstr>
      <vt:lpstr>Core_ROE</vt:lpstr>
      <vt:lpstr>CoreROE</vt:lpstr>
      <vt:lpstr>Corp_DebtExp</vt:lpstr>
      <vt:lpstr>Corp_OpExp</vt:lpstr>
      <vt:lpstr>Corp_OthExp</vt:lpstr>
      <vt:lpstr>CorpRev_Alts</vt:lpstr>
      <vt:lpstr>CorpRev_FIA</vt:lpstr>
      <vt:lpstr>CostofCred_Ret</vt:lpstr>
      <vt:lpstr>ModPubIndex!COU</vt:lpstr>
      <vt:lpstr>IndexInformation!CQEnd</vt:lpstr>
      <vt:lpstr>CredCost</vt:lpstr>
      <vt:lpstr>IndexInformation!Currency</vt:lpstr>
      <vt:lpstr>IndexInformation!CurrentStockPrice</vt:lpstr>
      <vt:lpstr>IndexInformation!CurrQtrEPS</vt:lpstr>
      <vt:lpstr>IndexInformation!CurrYearEPS</vt:lpstr>
      <vt:lpstr>IndexInformation!CurrYearTotalRevenue</vt:lpstr>
      <vt:lpstr>IndexInformation!CurrYearTotalRevenueActual</vt:lpstr>
      <vt:lpstr>IndexInformation!CUSIP</vt:lpstr>
      <vt:lpstr>IndexInformation!CYEnd</vt:lpstr>
      <vt:lpstr>DAC_Asset</vt:lpstr>
      <vt:lpstr>ImportantDisclosures!Date</vt:lpstr>
      <vt:lpstr>IndexInformation!Deleted</vt:lpstr>
      <vt:lpstr>IndexInformation!Description</vt:lpstr>
      <vt:lpstr>IndexInformation!Discipline</vt:lpstr>
      <vt:lpstr>ModPubIndex!DISCIPLINE</vt:lpstr>
      <vt:lpstr>DisclosuresText</vt:lpstr>
      <vt:lpstr>IndexInformation!Distribution</vt:lpstr>
      <vt:lpstr>DivAmt</vt:lpstr>
      <vt:lpstr>DivPS</vt:lpstr>
      <vt:lpstr>ModPubIndex!DOCDAT</vt:lpstr>
      <vt:lpstr>ModPubIndex!DOCTIME</vt:lpstr>
      <vt:lpstr>IndexInformation!DocType</vt:lpstr>
      <vt:lpstr>ModPubIndex!EMAIL_ALERT</vt:lpstr>
      <vt:lpstr>IndexInformation!EmailAlert</vt:lpstr>
      <vt:lpstr>EOP_Eq_ex115</vt:lpstr>
      <vt:lpstr>EOP_Eq_incl115</vt:lpstr>
      <vt:lpstr>EoP_Shares</vt:lpstr>
      <vt:lpstr>EOPShrsout</vt:lpstr>
      <vt:lpstr>EPS_ForConsensus</vt:lpstr>
      <vt:lpstr>Eq_Corp</vt:lpstr>
      <vt:lpstr>Eq_exAOCI</vt:lpstr>
      <vt:lpstr>Eq_Ger</vt:lpstr>
      <vt:lpstr>Eq_Ret</vt:lpstr>
      <vt:lpstr>F2013_</vt:lpstr>
      <vt:lpstr>F2014_</vt:lpstr>
      <vt:lpstr>F2015_</vt:lpstr>
      <vt:lpstr>F2016_</vt:lpstr>
      <vt:lpstr>F2017_</vt:lpstr>
      <vt:lpstr>F2018_</vt:lpstr>
      <vt:lpstr>F2019_</vt:lpstr>
      <vt:lpstr>F2020_</vt:lpstr>
      <vt:lpstr>F2021_</vt:lpstr>
      <vt:lpstr>F2022_</vt:lpstr>
      <vt:lpstr>FABN_Dep</vt:lpstr>
      <vt:lpstr>FAS_115</vt:lpstr>
      <vt:lpstr>FAS115_Adjmt</vt:lpstr>
      <vt:lpstr>FD_Adjustment</vt:lpstr>
      <vt:lpstr>IndexInformation!FiveYearGrowthRate</vt:lpstr>
      <vt:lpstr>Flow_Dep</vt:lpstr>
      <vt:lpstr>IndexInformation!FollowingYearEPS</vt:lpstr>
      <vt:lpstr>IndexInformation!FollowingYearTotalRevenue</vt:lpstr>
      <vt:lpstr>IndexInformation!FollowingYearTotalRevenueActual</vt:lpstr>
      <vt:lpstr>GerLiab</vt:lpstr>
      <vt:lpstr>ModPubIndex!HL</vt:lpstr>
      <vt:lpstr>ModPubIndex!IND</vt:lpstr>
      <vt:lpstr>ImportantDisclosures!Industry</vt:lpstr>
      <vt:lpstr>IndustryId</vt:lpstr>
      <vt:lpstr>ImportantDisclosures!IndustryRating</vt:lpstr>
      <vt:lpstr>InOrgFlow</vt:lpstr>
      <vt:lpstr>IntElim</vt:lpstr>
      <vt:lpstr>Issuance_Timing</vt:lpstr>
      <vt:lpstr>IndexInformation!KeepVersions</vt:lpstr>
      <vt:lpstr>LanguageCode</vt:lpstr>
      <vt:lpstr>ImportantDisclosures!LastCell</vt:lpstr>
      <vt:lpstr>Life_Other_Dep</vt:lpstr>
      <vt:lpstr>Linking_1</vt:lpstr>
      <vt:lpstr>Linking_2</vt:lpstr>
      <vt:lpstr>Linking_3</vt:lpstr>
      <vt:lpstr>Linking_4</vt:lpstr>
      <vt:lpstr>Linking_5</vt:lpstr>
      <vt:lpstr>Linking_6</vt:lpstr>
      <vt:lpstr>IndexInformation!MacroVersion</vt:lpstr>
      <vt:lpstr>ImportantDisclosures!ModelPrice</vt:lpstr>
      <vt:lpstr>IndexInformation!Multiplier</vt:lpstr>
      <vt:lpstr>Net_Flows</vt:lpstr>
      <vt:lpstr>NetEarnedRate</vt:lpstr>
      <vt:lpstr>NetEarnedRate_Corp</vt:lpstr>
      <vt:lpstr>NetEarns</vt:lpstr>
      <vt:lpstr>NetEPS_Basic</vt:lpstr>
      <vt:lpstr>NetEPS_Dil</vt:lpstr>
      <vt:lpstr>NetInvInc</vt:lpstr>
      <vt:lpstr>IndexInformation!NextYearEPS</vt:lpstr>
      <vt:lpstr>IndexInformation!NextYearTotalRevenue</vt:lpstr>
      <vt:lpstr>IndexInformation!NextYearTotalRevenueActual</vt:lpstr>
      <vt:lpstr>NonOpItems</vt:lpstr>
      <vt:lpstr>ObjectType</vt:lpstr>
      <vt:lpstr>Op_EPS</vt:lpstr>
      <vt:lpstr>Op_ROE</vt:lpstr>
      <vt:lpstr>Op_ROE_exXS</vt:lpstr>
      <vt:lpstr>OpEarns_AT</vt:lpstr>
      <vt:lpstr>OpEarns_ForConsensus</vt:lpstr>
      <vt:lpstr>OpEarns_PT</vt:lpstr>
      <vt:lpstr>OpEPS_Basic</vt:lpstr>
      <vt:lpstr>OpEPS_Dil</vt:lpstr>
      <vt:lpstr>OpExp</vt:lpstr>
      <vt:lpstr>OpInc_Corp</vt:lpstr>
      <vt:lpstr>OpInc_Corp_PT</vt:lpstr>
      <vt:lpstr>OpInc_Ret</vt:lpstr>
      <vt:lpstr>OpInc_Ret_PT</vt:lpstr>
      <vt:lpstr>OpInc_Total</vt:lpstr>
      <vt:lpstr>OpROE</vt:lpstr>
      <vt:lpstr>OrgFlow</vt:lpstr>
      <vt:lpstr>OthExp_ret</vt:lpstr>
      <vt:lpstr>OthLiabCost</vt:lpstr>
      <vt:lpstr>OthLiabCost_Ret</vt:lpstr>
      <vt:lpstr>ModPubIndex!PANA</vt:lpstr>
      <vt:lpstr>IndexInformation!PathName</vt:lpstr>
      <vt:lpstr>ModPubIndex!PRODUCT</vt:lpstr>
      <vt:lpstr>ModPubIndex!PSYM</vt:lpstr>
      <vt:lpstr>IndexInformation!PublishDate</vt:lpstr>
      <vt:lpstr>IndexInformation!Rating</vt:lpstr>
      <vt:lpstr>ImportantDisclosures!RatingsDefined</vt:lpstr>
      <vt:lpstr>Rep_ROE_ex115</vt:lpstr>
      <vt:lpstr>Rep_Timing</vt:lpstr>
      <vt:lpstr>IndexInformation!ResearchTopic</vt:lpstr>
      <vt:lpstr>Reserves_BOP</vt:lpstr>
      <vt:lpstr>Ret_Dep</vt:lpstr>
      <vt:lpstr>Ret_ROE</vt:lpstr>
      <vt:lpstr>Rev_Alts</vt:lpstr>
      <vt:lpstr>Rev_FIA</vt:lpstr>
      <vt:lpstr>IndexInformation!RIC</vt:lpstr>
      <vt:lpstr>ROE_Ret</vt:lpstr>
      <vt:lpstr>RunOff</vt:lpstr>
      <vt:lpstr>IndexInformation!SEDOL</vt:lpstr>
      <vt:lpstr>Shares_FD</vt:lpstr>
      <vt:lpstr>ShrsIssued</vt:lpstr>
      <vt:lpstr>ShrsRepurch</vt:lpstr>
      <vt:lpstr>ImportantDisclosures!SourceDefined</vt:lpstr>
      <vt:lpstr>ImportantDisclosures!StockRating</vt:lpstr>
      <vt:lpstr>IndexInformation!SubjectCode</vt:lpstr>
      <vt:lpstr>SubmitterUserId</vt:lpstr>
      <vt:lpstr>ModPubIndex!SUPPRESSED</vt:lpstr>
      <vt:lpstr>ImportantDisclosures!TargetPrice</vt:lpstr>
      <vt:lpstr>tax_rate_cons</vt:lpstr>
      <vt:lpstr>Tax_Ret</vt:lpstr>
      <vt:lpstr>taxrate</vt:lpstr>
      <vt:lpstr>TemplateRegion</vt:lpstr>
      <vt:lpstr>ImportantDisclosures!Ticker</vt:lpstr>
      <vt:lpstr>TickerRegion</vt:lpstr>
      <vt:lpstr>IndexInformation!Tickers</vt:lpstr>
      <vt:lpstr>Tot_Debt</vt:lpstr>
      <vt:lpstr>Tot_Dep</vt:lpstr>
      <vt:lpstr>Tot_OpExp</vt:lpstr>
      <vt:lpstr>Tot_OthLiabCost</vt:lpstr>
      <vt:lpstr>TotalAssets</vt:lpstr>
      <vt:lpstr>TotalReserveEOP</vt:lpstr>
      <vt:lpstr>TotCostofCred</vt:lpstr>
      <vt:lpstr>TotRev_Alts</vt:lpstr>
      <vt:lpstr>TotRev_FIA</vt:lpstr>
      <vt:lpstr>TotTax</vt:lpstr>
      <vt:lpstr>IndexInformation!UpdateReason</vt:lpstr>
      <vt:lpstr>XSCap</vt:lpstr>
      <vt:lpstr>Yield_Alts</vt:lpstr>
      <vt:lpstr>Yield_Corp_Alt</vt:lpstr>
      <vt:lpstr>Yield_Corp_FIA</vt:lpstr>
      <vt:lpstr>Yield_FIA</vt:lpstr>
    </vt:vector>
  </TitlesOfParts>
  <Company>Morgan Stanley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2016-10-25T13:49:08Z</dcterms:created>
  <dc:creator>Gupta, Tanmay (Research)</dc:creator>
  <cp:lastModifiedBy>Huang, Bob (Research)</cp:lastModifiedBy>
  <cp:lastPrinted>2018-04-04T19:53:12Z</cp:lastPrinted>
  <dcterms:modified xsi:type="dcterms:W3CDTF">2018-04-05T12:37:28Z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name="{A44787D4-0540-4523-9961-78E4036D8C6D}" pid="2">
    <vt:lpwstr>{DD0803D4-1713-4544-9B25-C59F9FDE8902}</vt:lpwstr>
  </property>
  <property fmtid="{D5CDD505-2E9C-101B-9397-08002B2CF9AE}" name="ERModPubTicket" pid="3">
    <vt:lpwstr>NA</vt:lpwstr>
  </property>
  <property fmtid="{D5CDD505-2E9C-101B-9397-08002B2CF9AE}" name="ERCompanyUploadState" pid="4">
    <vt:lpwstr>P</vt:lpwstr>
  </property>
  <property fmtid="{D5CDD505-2E9C-101B-9397-08002B2CF9AE}" name="ModelId" pid="5">
    <vt:lpwstr>759657</vt:lpwstr>
  </property>
  <property fmtid="{D5CDD505-2E9C-101B-9397-08002B2CF9AE}" name="ERModPubCompanyName" pid="6">
    <vt:lpwstr>Athene Holding Ltd</vt:lpwstr>
  </property>
  <property fmtid="{D5CDD505-2E9C-101B-9397-08002B2CF9AE}" name="MSDH34TAG" pid="7">
    <vt:lpwstr>.TEZUF76X5TAHATHESADREYAK-00-INB160+*94600-06=1c59b782/-38ce/-11e8/-bf62/-2af41e5950fc,MD=20180405092400/-0400,ZZ=000Z-bc4d.</vt:lpwstr>
  </property>
</Properties>
</file>