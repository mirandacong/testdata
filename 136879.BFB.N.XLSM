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60" yWindow="1272" windowWidth="14220" windowHeight="5220" tabRatio="920"/>
  </bookViews>
  <sheets>
    <sheet name="ImportantDisclosures" sheetId="69" r:id="rId1"/>
    <sheet name="SheetVisibilityStatus" sheetId="73" state="veryHidden" r:id="rId2"/>
    <sheet name="CircularReferenceAlert" sheetId="72" r:id="rId3"/>
    <sheet name="CoverSheet" sheetId="4" state="veryHidden" r:id="rId4"/>
    <sheet name="__FDSCACHE__" sheetId="42" state="veryHidden" r:id="rId5"/>
    <sheet name="Financials" sheetId="1" state="veryHidden" r:id="rId6"/>
    <sheet name="IndexInformation" sheetId="70" state="veryHidden" r:id="rId7"/>
    <sheet name="ModPubIndex" sheetId="71" state="veryHidden" r:id="rId8"/>
    <sheet name="MW-Cache" sheetId="17" state="veryHidden" r:id="rId9"/>
  </sheets>
  <externalReferences>
    <externalReference r:id="rId10"/>
  </externalReferences>
  <definedNames>
    <definedName name="__FDS_HYPERLINK_TOGGLE_STATE__" hidden="1">"ON"</definedName>
    <definedName name="_bdm.175FCEFBB4D347D88B9487198B8EA232.edm" localSheetId="5" hidden="1">Financials!$A$78:$BB$120</definedName>
    <definedName name="_bdm.18627A982BB04D5B8B1C5E886ED3A772.edm" hidden="1">Financials!$1:$1048576</definedName>
    <definedName name="_bdm.3E0AECB96805483FB571ADCA271A188C.edm" localSheetId="5" hidden="1">Financials!$A$78:$AW$120</definedName>
    <definedName name="_bdm.46ED759702944D0793DED4A3581ECDEB.edm" localSheetId="5" hidden="1">Financials!$A$78:$AR$120</definedName>
    <definedName name="_bdm.8CF25AACA49E45278B7E6DEDF9CE6E5F.edm" localSheetId="5" hidden="1">Financials!$A$3:$AR$56</definedName>
    <definedName name="_bdm.A7FFEF6B058B49FAB52C2518389932C4.edm" localSheetId="5" hidden="1">Financials!$A$3:$AW$56</definedName>
    <definedName name="_bdm.C7002C9C17424E4F83C7258361BC2518.edm" localSheetId="5" hidden="1">Financials!$A$122:$AR$157</definedName>
    <definedName name="_bdm.D12591F4A14F48E0B0DE3A2228AF81AC.edm" localSheetId="5" hidden="1">Financials!$A$3:$BB$56</definedName>
    <definedName name="_bdm.EA68DB49F2E641FBA367BCAA3F2C5D29.edm" localSheetId="5" hidden="1">Financials!$A$122:$AW$157</definedName>
    <definedName name="_bdm.FCF6FC74EC924511AA903BA6C7CEC307.edm" localSheetId="5" hidden="1">Financials!$A$122:$BB$157</definedName>
    <definedName name="_pe2" hidden="1">{"income",#N/A,FALSE,"K";"cashflow",#N/A,FALSE,"K";"balances",#N/A,FALSE,"K";"ratios",#N/A,FALSE,"K"}</definedName>
    <definedName name="AdditionalInstructions">IndexInformation!$B$42</definedName>
    <definedName name="Address" localSheetId="0">ImportantDisclosures!$A$2:$A$2</definedName>
    <definedName name="ANA" localSheetId="7">ModPubIndex!$A$7</definedName>
    <definedName name="Authors" localSheetId="0">ImportantDisclosures!$A$7</definedName>
    <definedName name="Authors" localSheetId="6">IndexInformation!$B$18</definedName>
    <definedName name="BRO" localSheetId="7">ModPubIndex!$A$1</definedName>
    <definedName name="Buttons" localSheetId="2">CircularReferenceAlert!$B$13:$B$15</definedName>
    <definedName name="CopyrightStamp">ImportantDisclosures!$A$27</definedName>
    <definedName name="COU" localSheetId="7">ModPubIndex!$A$5</definedName>
    <definedName name="CQEnd" localSheetId="6">IndexInformation!$B$31</definedName>
    <definedName name="Currency" localSheetId="6">IndexInformation!$B$24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te" localSheetId="0">ImportantDisclosures!$A$8</definedName>
    <definedName name="days">[1]Financials!$D$96</definedName>
    <definedName name="Deleted" localSheetId="6">IndexInformation!$B$27</definedName>
    <definedName name="Description" localSheetId="6">IndexInformation!$B$7</definedName>
    <definedName name="diffname" hidden="1">{"summary1",#N/A,FALSE,"K";"summary2",#N/A,FALSE,"K";"USmarket",#N/A,FALSE,"K";"USearnings",#N/A,FALSE,"K"}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0">ImportantDisclosures!#REF!</definedName>
    <definedName name="DistTablePreamble" localSheetId="0">ImportantDisclosures!#REF!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EMAIL_ALERT" localSheetId="7">ModPubIndex!$A$10</definedName>
    <definedName name="EmailAlert" localSheetId="6">IndexInformation!$B$28</definedName>
    <definedName name="FiveYearGrowthRate" localSheetId="6">IndexInformation!$B$16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HL" localSheetId="7">ModPubIndex!$A$8</definedName>
    <definedName name="IND" localSheetId="7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KeepVersions" localSheetId="6">IndexInformation!$B$8</definedName>
    <definedName name="LanguageCode">IndexInformation!$B$38</definedName>
    <definedName name="LastCell" localSheetId="0">ImportantDisclosures!$A$22</definedName>
    <definedName name="Linking_Range_3">Financials!$A$3:$BB$56</definedName>
    <definedName name="Linking_Range_4">Financials!$A$78:$BG$120</definedName>
    <definedName name="Linking_Range_5">Financials!$A$122:$BG$157</definedName>
    <definedName name="Linking_Range_6">Financials!$A$3:$BL$56</definedName>
    <definedName name="Linking_Range_7">Financials!$A$78:$BL$120</definedName>
    <definedName name="Linking_Range_8">Financials!$A$122:$BL$157</definedName>
    <definedName name="MacroVersion" localSheetId="6">IndexInformation!$B$1</definedName>
    <definedName name="MaxChange" localSheetId="2">CircularReferenceAlert!$B$9</definedName>
    <definedName name="MaxIterations" localSheetId="2">CircularReferenceAlert!$B$8</definedName>
    <definedName name="ModelPrice" localSheetId="0">ImportantDisclosures!$A$14</definedName>
    <definedName name="Multiplier" localSheetId="6">IndexInformation!$B$35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ObjectType">IndexInformation!$B$37</definedName>
    <definedName name="PANA" localSheetId="7">ModPubIndex!$A$11</definedName>
    <definedName name="PathName" localSheetId="6">IndexInformation!$B$25</definedName>
    <definedName name="pe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xlnm.Print_Area" localSheetId="3">CoverSheet!$A$1:$L$42</definedName>
    <definedName name="_xlnm.Print_Area" localSheetId="5">Financials!$A$1:$AW$173</definedName>
    <definedName name="PRODUCT" localSheetId="7">ModPubIndex!$A$6</definedName>
    <definedName name="PSYM" localSheetId="7">ModPubIndex!$A$4</definedName>
    <definedName name="PublishDate" localSheetId="6">IndexInformation!$B$2</definedName>
    <definedName name="Rating" localSheetId="6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6">IndexInformation!$B$4</definedName>
    <definedName name="RIC" localSheetId="6">IndexInformation!$B$21</definedName>
    <definedName name="SECSettlement" localSheetId="0">ImportantDisclosures!#REF!</definedName>
    <definedName name="SEDOL" localSheetId="6">IndexInformation!$B$22</definedName>
    <definedName name="SourceDefined" localSheetId="0">ImportantDisclosures!$A$19</definedName>
    <definedName name="StockRating" localSheetId="0">ImportantDisclosures!$A$11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6">IndexInformation!$B$19</definedName>
    <definedName name="UpdateReason" localSheetId="6">IndexInformation!$B$17</definedName>
    <definedName name="USRegDisclosures" localSheetId="0">ImportantDisclosures!#REF!</definedName>
    <definedName name="wrn.detail_US." hidden="1">{"summary1",#N/A,FALSE,"K";"summary2",#N/A,FALSE,"K";"USmarket",#N/A,FALSE,"K";"USearnings",#N/A,FALSE,"K"}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financials." hidden="1">{"income",#N/A,FALSE,"K";"cashflow",#N/A,FALSE,"K";"balances",#N/A,FALSE,"K";"ratios",#N/A,FALSE,"K"}</definedName>
  </definedNames>
  <calcPr calcId="144525" calcMode="autoNoTable" iterate="1"/>
</workbook>
</file>

<file path=xl/calcChain.xml><?xml version="1.0" encoding="utf-8"?>
<calcChain xmlns="http://schemas.openxmlformats.org/spreadsheetml/2006/main">
  <c r="AI349" i="1" l="1"/>
  <c r="AI350" i="1" s="1"/>
  <c r="AI357" i="1" s="1"/>
  <c r="AJ349" i="1"/>
  <c r="AK349" i="1"/>
  <c r="AK352" i="1" s="1"/>
  <c r="AL349" i="1"/>
  <c r="AM349" i="1"/>
  <c r="AN349" i="1"/>
  <c r="AO349" i="1"/>
  <c r="AO352" i="1" s="1"/>
  <c r="AP349" i="1"/>
  <c r="AQ349" i="1"/>
  <c r="AR349" i="1"/>
  <c r="AS349" i="1"/>
  <c r="AS351" i="1" s="1"/>
  <c r="AT349" i="1"/>
  <c r="AU349" i="1"/>
  <c r="AU352" i="1" s="1"/>
  <c r="AV349" i="1"/>
  <c r="AW349" i="1"/>
  <c r="AX349" i="1"/>
  <c r="AY349" i="1"/>
  <c r="AX353" i="1" s="1"/>
  <c r="AZ349" i="1"/>
  <c r="BA349" i="1"/>
  <c r="BB349" i="1"/>
  <c r="BC349" i="1"/>
  <c r="BC350" i="1" s="1"/>
  <c r="BC357" i="1" s="1"/>
  <c r="BD349" i="1"/>
  <c r="BE349" i="1"/>
  <c r="BE352" i="1" s="1"/>
  <c r="BF349" i="1"/>
  <c r="BG349" i="1"/>
  <c r="BH349" i="1"/>
  <c r="BI349" i="1"/>
  <c r="BI352" i="1" s="1"/>
  <c r="BJ349" i="1"/>
  <c r="BK349" i="1"/>
  <c r="BL349" i="1"/>
  <c r="BM349" i="1"/>
  <c r="BM351" i="1" s="1"/>
  <c r="BN349" i="1"/>
  <c r="BO349" i="1"/>
  <c r="BO352" i="1" s="1"/>
  <c r="BP349" i="1"/>
  <c r="BQ349" i="1"/>
  <c r="BR349" i="1"/>
  <c r="BS349" i="1"/>
  <c r="BR353" i="1" s="1"/>
  <c r="AN350" i="1"/>
  <c r="AN357" i="1" s="1"/>
  <c r="AX350" i="1"/>
  <c r="AX357" i="1" s="1"/>
  <c r="BH350" i="1"/>
  <c r="BH357" i="1" s="1"/>
  <c r="BR350" i="1"/>
  <c r="BR357" i="1" s="1"/>
  <c r="AJ351" i="1"/>
  <c r="AO351" i="1"/>
  <c r="AT351" i="1"/>
  <c r="AY351" i="1"/>
  <c r="BD351" i="1"/>
  <c r="BI351" i="1"/>
  <c r="BN351" i="1"/>
  <c r="BS351" i="1"/>
  <c r="AJ352" i="1"/>
  <c r="AN352" i="1"/>
  <c r="AP352" i="1"/>
  <c r="AT352" i="1"/>
  <c r="AX352" i="1"/>
  <c r="AZ352" i="1"/>
  <c r="BD352" i="1"/>
  <c r="BH352" i="1"/>
  <c r="BJ352" i="1"/>
  <c r="BN352" i="1"/>
  <c r="BP352" i="1"/>
  <c r="BS352" i="1"/>
  <c r="AJ353" i="1"/>
  <c r="AL353" i="1"/>
  <c r="AO353" i="1"/>
  <c r="AQ353" i="1"/>
  <c r="AT353" i="1"/>
  <c r="AV353" i="1"/>
  <c r="AY353" i="1"/>
  <c r="BA353" i="1"/>
  <c r="BD353" i="1"/>
  <c r="BF353" i="1"/>
  <c r="BI353" i="1"/>
  <c r="BK353" i="1"/>
  <c r="BN353" i="1"/>
  <c r="BP353" i="1"/>
  <c r="BS353" i="1"/>
  <c r="AI355" i="1"/>
  <c r="AJ355" i="1"/>
  <c r="AK355" i="1"/>
  <c r="AL355" i="1"/>
  <c r="AN355" i="1"/>
  <c r="AO355" i="1"/>
  <c r="AP355" i="1"/>
  <c r="AQ355" i="1"/>
  <c r="AS355" i="1"/>
  <c r="AT355" i="1"/>
  <c r="AU355" i="1"/>
  <c r="AV355" i="1"/>
  <c r="AX355" i="1"/>
  <c r="AY355" i="1"/>
  <c r="AZ355" i="1"/>
  <c r="BA355" i="1"/>
  <c r="BC355" i="1"/>
  <c r="BD355" i="1"/>
  <c r="BE355" i="1"/>
  <c r="BF355" i="1"/>
  <c r="BH355" i="1"/>
  <c r="BI355" i="1"/>
  <c r="BJ355" i="1"/>
  <c r="BK355" i="1"/>
  <c r="BM355" i="1"/>
  <c r="BN355" i="1"/>
  <c r="BO355" i="1"/>
  <c r="BP355" i="1"/>
  <c r="BR355" i="1"/>
  <c r="BS355" i="1"/>
  <c r="BO353" i="1" l="1"/>
  <c r="BJ353" i="1"/>
  <c r="BE353" i="1"/>
  <c r="AZ353" i="1"/>
  <c r="AU353" i="1"/>
  <c r="AP353" i="1"/>
  <c r="AK353" i="1"/>
  <c r="BR352" i="1"/>
  <c r="BM352" i="1"/>
  <c r="AY352" i="1"/>
  <c r="AS352" i="1"/>
  <c r="BR351" i="1"/>
  <c r="BS357" i="1" s="1"/>
  <c r="BH351" i="1"/>
  <c r="BI357" i="1" s="1"/>
  <c r="BJ357" i="1" s="1"/>
  <c r="AX351" i="1"/>
  <c r="AY357" i="1" s="1"/>
  <c r="AN351" i="1"/>
  <c r="AO357" i="1" s="1"/>
  <c r="AP357" i="1" s="1"/>
  <c r="BM350" i="1"/>
  <c r="BM357" i="1" s="1"/>
  <c r="BN357" i="1" s="1"/>
  <c r="AS350" i="1"/>
  <c r="AS357" i="1" s="1"/>
  <c r="AT357" i="1" s="1"/>
  <c r="BM353" i="1"/>
  <c r="BH353" i="1"/>
  <c r="BC353" i="1"/>
  <c r="AS353" i="1"/>
  <c r="AN353" i="1"/>
  <c r="AQ357" i="1" s="1"/>
  <c r="AI353" i="1"/>
  <c r="BC352" i="1"/>
  <c r="AI352" i="1"/>
  <c r="AK357" i="1" s="1"/>
  <c r="AL357" i="1" s="1"/>
  <c r="BC351" i="1"/>
  <c r="BD357" i="1" s="1"/>
  <c r="AI351" i="1"/>
  <c r="AJ357" i="1" s="1"/>
  <c r="AZ357" i="1" l="1"/>
  <c r="BA357" i="1" s="1"/>
  <c r="BE357" i="1"/>
  <c r="BF357" i="1" s="1"/>
  <c r="BK357" i="1"/>
  <c r="AU357" i="1"/>
  <c r="AV357" i="1" s="1"/>
  <c r="BO357" i="1"/>
  <c r="BP357" i="1" s="1"/>
  <c r="BT82" i="1" l="1"/>
  <c r="R43" i="1" l="1"/>
  <c r="S43" i="1" s="1"/>
  <c r="W43" i="1"/>
  <c r="X43" i="1"/>
  <c r="AL43" i="1"/>
  <c r="AM43" i="1" s="1"/>
  <c r="AQ43" i="1"/>
  <c r="AR43" i="1"/>
  <c r="AW43" i="1"/>
  <c r="BB43" i="1"/>
  <c r="BG43" i="1"/>
  <c r="BL43" i="1"/>
  <c r="BQ43" i="1"/>
  <c r="C44" i="1"/>
  <c r="D44" i="1"/>
  <c r="H44" i="1"/>
  <c r="H43" i="1" s="1"/>
  <c r="I43" i="1" s="1"/>
  <c r="M44" i="1"/>
  <c r="N44" i="1" s="1"/>
  <c r="W44" i="1"/>
  <c r="X44" i="1" s="1"/>
  <c r="AA44" i="1"/>
  <c r="AL44" i="1"/>
  <c r="AM44" i="1" s="1"/>
  <c r="AN44" i="1"/>
  <c r="AP44" i="1"/>
  <c r="AQ44" i="1" s="1"/>
  <c r="AU44" i="1"/>
  <c r="AW44" i="1" s="1"/>
  <c r="AV44" i="1"/>
  <c r="AX44" i="1"/>
  <c r="AY44" i="1"/>
  <c r="AZ44" i="1"/>
  <c r="BG44" i="1"/>
  <c r="BL44" i="1"/>
  <c r="BQ44" i="1"/>
  <c r="BT172" i="1"/>
  <c r="BB44" i="1" l="1"/>
  <c r="R44" i="1"/>
  <c r="S44" i="1" s="1"/>
  <c r="AR44" i="1"/>
  <c r="I44" i="1"/>
  <c r="M43" i="1"/>
  <c r="N43" i="1" s="1"/>
  <c r="CB5" i="1" l="1"/>
  <c r="CC5" i="1"/>
  <c r="CD5" i="1"/>
  <c r="CG5" i="1"/>
  <c r="CH5" i="1"/>
  <c r="CI5" i="1"/>
  <c r="CL5" i="1"/>
  <c r="CM5" i="1"/>
  <c r="CN5" i="1"/>
  <c r="BU198" i="1" l="1"/>
  <c r="BS195" i="1"/>
  <c r="BS193" i="1"/>
  <c r="BS190" i="1"/>
  <c r="BS186" i="1"/>
  <c r="BS183" i="1"/>
  <c r="BS176" i="1"/>
  <c r="BS154" i="1"/>
  <c r="BS151" i="1"/>
  <c r="BS198" i="1" s="1"/>
  <c r="BS148" i="1"/>
  <c r="BS146" i="1"/>
  <c r="BS142" i="1"/>
  <c r="BS140" i="1"/>
  <c r="BS137" i="1"/>
  <c r="BR115" i="1"/>
  <c r="BR116" i="1"/>
  <c r="BR113" i="1"/>
  <c r="BS97" i="1"/>
  <c r="BS92" i="1"/>
  <c r="BS12" i="1" l="1"/>
  <c r="BR198" i="1" l="1"/>
  <c r="BR195" i="1"/>
  <c r="BR193" i="1"/>
  <c r="BR190" i="1"/>
  <c r="BR188" i="1"/>
  <c r="BR187" i="1"/>
  <c r="BR186" i="1"/>
  <c r="BR183" i="1"/>
  <c r="BR182" i="1"/>
  <c r="BR180" i="1"/>
  <c r="BR179" i="1"/>
  <c r="BR176" i="1"/>
  <c r="BR171" i="1"/>
  <c r="BR149" i="1"/>
  <c r="BS149" i="1" s="1"/>
  <c r="BR97" i="1"/>
  <c r="BR92" i="1"/>
  <c r="BP115" i="1"/>
  <c r="BP113" i="1"/>
  <c r="BR17" i="1"/>
  <c r="BR192" i="1" s="1"/>
  <c r="BR185" i="1" l="1"/>
  <c r="BR178" i="1"/>
  <c r="BR191" i="1"/>
  <c r="BR184" i="1"/>
  <c r="BS383" i="1" l="1"/>
  <c r="BS382" i="1"/>
  <c r="BS381" i="1"/>
  <c r="BS380" i="1"/>
  <c r="BP193" i="1" l="1"/>
  <c r="BP190" i="1"/>
  <c r="BP186" i="1"/>
  <c r="BP183" i="1"/>
  <c r="BP176" i="1"/>
  <c r="BQ109" i="1"/>
  <c r="BQ195" i="1" s="1"/>
  <c r="BP97" i="1"/>
  <c r="BP92" i="1"/>
  <c r="BQ81" i="1"/>
  <c r="BO115" i="1"/>
  <c r="BO113" i="1"/>
  <c r="BP22" i="1"/>
  <c r="BQ22" i="1" s="1"/>
  <c r="BQ47" i="1"/>
  <c r="BQ25" i="1"/>
  <c r="BQ18" i="1"/>
  <c r="BQ4" i="1"/>
  <c r="BO195" i="1" l="1"/>
  <c r="BO194" i="1"/>
  <c r="BO193" i="1"/>
  <c r="BO190" i="1"/>
  <c r="BO186" i="1"/>
  <c r="BO183" i="1"/>
  <c r="BO182" i="1"/>
  <c r="BO180" i="1"/>
  <c r="BO179" i="1"/>
  <c r="BO176" i="1"/>
  <c r="BO97" i="1"/>
  <c r="BO92" i="1"/>
  <c r="BN126" i="1"/>
  <c r="BN115" i="1"/>
  <c r="BN113" i="1"/>
  <c r="BO126" i="1" l="1"/>
  <c r="BP126" i="1" s="1"/>
  <c r="BN173" i="1" l="1"/>
  <c r="BO173" i="1" s="1"/>
  <c r="BN171" i="1"/>
  <c r="BO171" i="1" s="1"/>
  <c r="BP171" i="1" s="1"/>
  <c r="BN137" i="1"/>
  <c r="BO137" i="1" s="1"/>
  <c r="BP137" i="1" s="1"/>
  <c r="BN136" i="1"/>
  <c r="BN135" i="1"/>
  <c r="BN134" i="1"/>
  <c r="BN133" i="1"/>
  <c r="BN132" i="1"/>
  <c r="BN131" i="1"/>
  <c r="BN128" i="1"/>
  <c r="BQ28" i="1"/>
  <c r="BV28" i="1"/>
  <c r="BN172" i="1" l="1"/>
  <c r="BP173" i="1"/>
  <c r="BO172" i="1"/>
  <c r="BM115" i="1" l="1"/>
  <c r="BM113" i="1"/>
  <c r="BK115" i="1"/>
  <c r="BK113" i="1"/>
  <c r="BN195" i="1" l="1"/>
  <c r="BN193" i="1"/>
  <c r="BN190" i="1"/>
  <c r="BN186" i="1"/>
  <c r="BN183" i="1"/>
  <c r="BN176" i="1"/>
  <c r="BM172" i="1"/>
  <c r="BN154" i="1"/>
  <c r="BO154" i="1" s="1"/>
  <c r="BP154" i="1" s="1"/>
  <c r="BN151" i="1"/>
  <c r="BO151" i="1" s="1"/>
  <c r="BN148" i="1"/>
  <c r="BO148" i="1" s="1"/>
  <c r="BP148" i="1" s="1"/>
  <c r="BN146" i="1"/>
  <c r="BO146" i="1" s="1"/>
  <c r="BP146" i="1" s="1"/>
  <c r="BN140" i="1"/>
  <c r="BO140" i="1" s="1"/>
  <c r="BN92" i="1"/>
  <c r="BN9" i="1"/>
  <c r="BN12" i="1"/>
  <c r="BP140" i="1" l="1"/>
  <c r="BP188" i="1" s="1"/>
  <c r="BO188" i="1"/>
  <c r="BO187" i="1"/>
  <c r="BP151" i="1"/>
  <c r="BP198" i="1" s="1"/>
  <c r="BO198" i="1"/>
  <c r="BN188" i="1"/>
  <c r="BN198" i="1"/>
  <c r="BN383" i="1"/>
  <c r="BM383" i="1"/>
  <c r="BM29" i="1"/>
  <c r="BM34" i="1" l="1"/>
  <c r="BH380" i="1" l="1"/>
  <c r="BI380" i="1" s="1"/>
  <c r="BH382" i="1"/>
  <c r="BI382" i="1" s="1"/>
  <c r="BH381" i="1"/>
  <c r="BI381" i="1" s="1"/>
  <c r="BL11" i="1" l="1"/>
  <c r="BM381" i="1" l="1"/>
  <c r="BM380" i="1"/>
  <c r="BM382" i="1"/>
  <c r="BM9" i="1"/>
  <c r="BM176" i="1" l="1"/>
  <c r="BL28" i="1"/>
  <c r="BL22" i="1"/>
  <c r="BV141" i="1"/>
  <c r="BQ141" i="1"/>
  <c r="BV126" i="1"/>
  <c r="BK29" i="1"/>
  <c r="BK34" i="1" s="1"/>
  <c r="BM195" i="1"/>
  <c r="BM193" i="1"/>
  <c r="BM190" i="1"/>
  <c r="BK190" i="1"/>
  <c r="BM187" i="1"/>
  <c r="BM188" i="1"/>
  <c r="BM186" i="1"/>
  <c r="BK186" i="1"/>
  <c r="BK183" i="1"/>
  <c r="BM183" i="1"/>
  <c r="BK195" i="1"/>
  <c r="BM198" i="1"/>
  <c r="BL172" i="1"/>
  <c r="BI173" i="1"/>
  <c r="BQ108" i="1"/>
  <c r="BR194" i="1" s="1"/>
  <c r="BQ101" i="1"/>
  <c r="BM152" i="1"/>
  <c r="BM149" i="1"/>
  <c r="BN149" i="1" s="1"/>
  <c r="BK141" i="1"/>
  <c r="BK131" i="1"/>
  <c r="BM142" i="1"/>
  <c r="BN142" i="1" s="1"/>
  <c r="BJ136" i="1"/>
  <c r="BJ135" i="1"/>
  <c r="BJ132" i="1"/>
  <c r="BJ131" i="1"/>
  <c r="BJ128" i="1"/>
  <c r="BI126" i="1"/>
  <c r="BM92" i="1"/>
  <c r="BM73" i="1"/>
  <c r="BL73" i="1"/>
  <c r="BK73" i="1"/>
  <c r="BJ73" i="1"/>
  <c r="BI73" i="1"/>
  <c r="BK17" i="1"/>
  <c r="BK192" i="1" s="1"/>
  <c r="BK14" i="1"/>
  <c r="BK12" i="1"/>
  <c r="BK9" i="1"/>
  <c r="BO142" i="1" l="1"/>
  <c r="BP142" i="1" s="1"/>
  <c r="BK45" i="1"/>
  <c r="BK35" i="1"/>
  <c r="BJ126" i="1"/>
  <c r="BK126" i="1" s="1"/>
  <c r="BM143" i="1"/>
  <c r="BM155" i="1" s="1"/>
  <c r="BO149" i="1"/>
  <c r="BP149" i="1" s="1"/>
  <c r="BJ173" i="1"/>
  <c r="BK173" i="1" s="1"/>
  <c r="BK30" i="1"/>
  <c r="BK23" i="1"/>
  <c r="BK26" i="1"/>
  <c r="BK19" i="1"/>
  <c r="BL109" i="1" l="1"/>
  <c r="BM136" i="1" s="1"/>
  <c r="BL97" i="1"/>
  <c r="BK184" i="1" l="1"/>
  <c r="BK176" i="1"/>
  <c r="BK63" i="1"/>
  <c r="BL63" i="1" s="1"/>
  <c r="AZ115" i="1" l="1"/>
  <c r="AZ113" i="1"/>
  <c r="BA115" i="1"/>
  <c r="BA113" i="1"/>
  <c r="BC115" i="1"/>
  <c r="BC113" i="1"/>
  <c r="BD115" i="1"/>
  <c r="BD113" i="1"/>
  <c r="BE115" i="1"/>
  <c r="BE113" i="1"/>
  <c r="BF115" i="1"/>
  <c r="BF113" i="1"/>
  <c r="BH115" i="1"/>
  <c r="BI115" i="1"/>
  <c r="BH113" i="1"/>
  <c r="BI113" i="1"/>
  <c r="BJ115" i="1"/>
  <c r="BJ113" i="1"/>
  <c r="BK92" i="1"/>
  <c r="BL4" i="1"/>
  <c r="BL25" i="1"/>
  <c r="BL18" i="1"/>
  <c r="BL29" i="1" l="1"/>
  <c r="BL34" i="1"/>
  <c r="BD126" i="1" l="1"/>
  <c r="BE126" i="1" s="1"/>
  <c r="BF126" i="1" l="1"/>
  <c r="BJ195" i="1" l="1"/>
  <c r="BJ193" i="1"/>
  <c r="BJ190" i="1"/>
  <c r="BJ183" i="1"/>
  <c r="BJ176" i="1"/>
  <c r="BJ92" i="1"/>
  <c r="BJ88" i="1"/>
  <c r="BJ186" i="1" l="1"/>
  <c r="BJ133" i="1"/>
  <c r="BJ382" i="1" l="1"/>
  <c r="BJ380" i="1"/>
  <c r="AC4" i="1" l="1"/>
  <c r="AH4" i="1"/>
  <c r="AM4" i="1"/>
  <c r="AR4" i="1"/>
  <c r="AW4" i="1"/>
  <c r="BB9" i="1" s="1"/>
  <c r="BG4" i="1"/>
  <c r="BL9" i="1" s="1"/>
  <c r="CC234" i="1"/>
  <c r="CM234" i="1"/>
  <c r="CN234" i="1"/>
  <c r="V235" i="1"/>
  <c r="Z235" i="1"/>
  <c r="AD235" i="1"/>
  <c r="AH235" i="1"/>
  <c r="BB235" i="1"/>
  <c r="BO235" i="1"/>
  <c r="BP235" i="1"/>
  <c r="D9" i="1"/>
  <c r="I9" i="1"/>
  <c r="J9" i="1"/>
  <c r="K9" i="1"/>
  <c r="L9" i="1"/>
  <c r="M9" i="1"/>
  <c r="N9" i="1"/>
  <c r="O9" i="1"/>
  <c r="P9" i="1"/>
  <c r="Q9" i="1"/>
  <c r="R9" i="1"/>
  <c r="S9" i="1"/>
  <c r="S5" i="1" s="1"/>
  <c r="T9" i="1"/>
  <c r="U9" i="1"/>
  <c r="V9" i="1"/>
  <c r="W9" i="1"/>
  <c r="X9" i="1"/>
  <c r="Y9" i="1"/>
  <c r="Z9" i="1"/>
  <c r="AA9" i="1"/>
  <c r="AB9" i="1"/>
  <c r="AD9" i="1"/>
  <c r="AE9" i="1"/>
  <c r="AF9" i="1"/>
  <c r="AG9" i="1"/>
  <c r="AI9" i="1"/>
  <c r="AJ9" i="1"/>
  <c r="AJ5" i="1" s="1"/>
  <c r="AJ234" i="1" s="1"/>
  <c r="AK9" i="1"/>
  <c r="AK5" i="1" s="1"/>
  <c r="AL9" i="1"/>
  <c r="AL5" i="1" s="1"/>
  <c r="AL234" i="1" s="1"/>
  <c r="AM9" i="1"/>
  <c r="AN9" i="1"/>
  <c r="AO9" i="1"/>
  <c r="AO5" i="1" s="1"/>
  <c r="AP9" i="1"/>
  <c r="AP5" i="1" s="1"/>
  <c r="AQ9" i="1"/>
  <c r="AS9" i="1"/>
  <c r="AT9" i="1"/>
  <c r="AU9" i="1"/>
  <c r="AV9" i="1"/>
  <c r="AX9" i="1"/>
  <c r="AY9" i="1"/>
  <c r="AZ9" i="1"/>
  <c r="BA9" i="1"/>
  <c r="BC9" i="1"/>
  <c r="BD9" i="1"/>
  <c r="BE9" i="1"/>
  <c r="BF9" i="1"/>
  <c r="BG9" i="1"/>
  <c r="BH9" i="1"/>
  <c r="BI9" i="1"/>
  <c r="H11" i="1"/>
  <c r="H17" i="1" s="1"/>
  <c r="K11" i="1"/>
  <c r="N11" i="1" s="1"/>
  <c r="P11" i="1"/>
  <c r="S11" i="1" s="1"/>
  <c r="X11" i="1"/>
  <c r="X12" i="1" s="1"/>
  <c r="AC11" i="1"/>
  <c r="AC12" i="1" s="1"/>
  <c r="AH11" i="1"/>
  <c r="AH12" i="1" s="1"/>
  <c r="AM11" i="1"/>
  <c r="AM12" i="1" s="1"/>
  <c r="AR11" i="1"/>
  <c r="AR12" i="1" s="1"/>
  <c r="AW11" i="1"/>
  <c r="AW12" i="1" s="1"/>
  <c r="BB11" i="1"/>
  <c r="BB14" i="1" s="1"/>
  <c r="BG11" i="1"/>
  <c r="BG14" i="1" s="1"/>
  <c r="C12" i="1"/>
  <c r="D12" i="1"/>
  <c r="E12" i="1"/>
  <c r="F12" i="1"/>
  <c r="G12" i="1"/>
  <c r="I12" i="1"/>
  <c r="J12" i="1"/>
  <c r="K12" i="1"/>
  <c r="L12" i="1"/>
  <c r="M12" i="1"/>
  <c r="O12" i="1"/>
  <c r="P12" i="1"/>
  <c r="Q12" i="1"/>
  <c r="R12" i="1"/>
  <c r="T12" i="1"/>
  <c r="U12" i="1"/>
  <c r="V12" i="1"/>
  <c r="W12" i="1"/>
  <c r="Y12" i="1"/>
  <c r="Z12" i="1"/>
  <c r="AA12" i="1"/>
  <c r="AB12" i="1"/>
  <c r="AD12" i="1"/>
  <c r="AE12" i="1"/>
  <c r="AF12" i="1"/>
  <c r="AG12" i="1"/>
  <c r="AI12" i="1"/>
  <c r="AJ12" i="1"/>
  <c r="AK12" i="1"/>
  <c r="AL12" i="1"/>
  <c r="AN12" i="1"/>
  <c r="AO12" i="1"/>
  <c r="AP12" i="1"/>
  <c r="AQ12" i="1"/>
  <c r="AS12" i="1"/>
  <c r="AT12" i="1"/>
  <c r="AU12" i="1"/>
  <c r="AV12" i="1"/>
  <c r="AX12" i="1"/>
  <c r="AY12" i="1"/>
  <c r="AZ12" i="1"/>
  <c r="BA12" i="1"/>
  <c r="BB12" i="1"/>
  <c r="BC12" i="1"/>
  <c r="BD12" i="1"/>
  <c r="BE12" i="1"/>
  <c r="BF12" i="1"/>
  <c r="BH12" i="1"/>
  <c r="BI12" i="1"/>
  <c r="C14" i="1"/>
  <c r="D14" i="1"/>
  <c r="E14" i="1"/>
  <c r="F14" i="1"/>
  <c r="G14" i="1"/>
  <c r="I14" i="1"/>
  <c r="I15" i="1" s="1"/>
  <c r="J14" i="1"/>
  <c r="K14" i="1"/>
  <c r="K15" i="1" s="1"/>
  <c r="L14" i="1"/>
  <c r="M14" i="1"/>
  <c r="O14" i="1"/>
  <c r="P14" i="1"/>
  <c r="P15" i="1" s="1"/>
  <c r="Q14" i="1"/>
  <c r="Q26" i="1" s="1"/>
  <c r="R14" i="1"/>
  <c r="T14" i="1"/>
  <c r="U14" i="1"/>
  <c r="V14" i="1"/>
  <c r="W14" i="1"/>
  <c r="Y14" i="1"/>
  <c r="Y26" i="1" s="1"/>
  <c r="Z14" i="1"/>
  <c r="AA14" i="1"/>
  <c r="AB14" i="1"/>
  <c r="AD14" i="1"/>
  <c r="AE14" i="1"/>
  <c r="AF14" i="1"/>
  <c r="AG14" i="1"/>
  <c r="AG15" i="1" s="1"/>
  <c r="AI14" i="1"/>
  <c r="AJ14" i="1"/>
  <c r="AK14" i="1"/>
  <c r="AL14" i="1"/>
  <c r="AN14" i="1"/>
  <c r="AO14" i="1"/>
  <c r="AP14" i="1"/>
  <c r="AQ14" i="1"/>
  <c r="AS14" i="1"/>
  <c r="AT14" i="1"/>
  <c r="AU14" i="1"/>
  <c r="AV14" i="1"/>
  <c r="AW14" i="1"/>
  <c r="AX14" i="1"/>
  <c r="AY14" i="1"/>
  <c r="AZ14" i="1"/>
  <c r="BA14" i="1"/>
  <c r="BC14" i="1"/>
  <c r="BD14" i="1"/>
  <c r="BE14" i="1"/>
  <c r="BF14" i="1"/>
  <c r="BH14" i="1"/>
  <c r="BI14" i="1"/>
  <c r="O15" i="1"/>
  <c r="Q15" i="1"/>
  <c r="C17" i="1"/>
  <c r="C192" i="1" s="1"/>
  <c r="D17" i="1"/>
  <c r="D192" i="1" s="1"/>
  <c r="E17" i="1"/>
  <c r="E178" i="1" s="1"/>
  <c r="F17" i="1"/>
  <c r="G17" i="1"/>
  <c r="G192" i="1" s="1"/>
  <c r="J17" i="1"/>
  <c r="J192" i="1" s="1"/>
  <c r="L17" i="1"/>
  <c r="L178" i="1" s="1"/>
  <c r="M17" i="1"/>
  <c r="O17" i="1"/>
  <c r="O192" i="1" s="1"/>
  <c r="R17" i="1"/>
  <c r="R192" i="1" s="1"/>
  <c r="T17" i="1"/>
  <c r="T178" i="1" s="1"/>
  <c r="U17" i="1"/>
  <c r="V17" i="1"/>
  <c r="V192" i="1" s="1"/>
  <c r="W17" i="1"/>
  <c r="W192" i="1" s="1"/>
  <c r="Z17" i="1"/>
  <c r="Z178" i="1" s="1"/>
  <c r="AA17" i="1"/>
  <c r="AB17" i="1"/>
  <c r="AB192" i="1" s="1"/>
  <c r="AD17" i="1"/>
  <c r="AD192" i="1" s="1"/>
  <c r="AE17" i="1"/>
  <c r="AE178" i="1" s="1"/>
  <c r="AF17" i="1"/>
  <c r="AG17" i="1"/>
  <c r="AG192" i="1" s="1"/>
  <c r="AI17" i="1"/>
  <c r="AI192" i="1" s="1"/>
  <c r="AJ17" i="1"/>
  <c r="AJ178" i="1" s="1"/>
  <c r="AK17" i="1"/>
  <c r="AL17" i="1"/>
  <c r="AL192" i="1" s="1"/>
  <c r="AN17" i="1"/>
  <c r="AN226" i="1" s="1"/>
  <c r="AO17" i="1"/>
  <c r="AO178" i="1" s="1"/>
  <c r="AP17" i="1"/>
  <c r="AQ17" i="1"/>
  <c r="AQ192" i="1" s="1"/>
  <c r="AS17" i="1"/>
  <c r="AS192" i="1" s="1"/>
  <c r="AT17" i="1"/>
  <c r="AT178" i="1" s="1"/>
  <c r="AU17" i="1"/>
  <c r="AV17" i="1"/>
  <c r="AV192" i="1" s="1"/>
  <c r="AX17" i="1"/>
  <c r="AX178" i="1" s="1"/>
  <c r="AY17" i="1"/>
  <c r="AY184" i="1" s="1"/>
  <c r="AZ17" i="1"/>
  <c r="BA17" i="1"/>
  <c r="BA185" i="1" s="1"/>
  <c r="BC17" i="1"/>
  <c r="BC226" i="1" s="1"/>
  <c r="BD17" i="1"/>
  <c r="BD184" i="1" s="1"/>
  <c r="BE17" i="1"/>
  <c r="BF17" i="1"/>
  <c r="BF185" i="1" s="1"/>
  <c r="BH17" i="1"/>
  <c r="BI17" i="1"/>
  <c r="BI184" i="1" s="1"/>
  <c r="I18" i="1"/>
  <c r="K18" i="1"/>
  <c r="Q18" i="1"/>
  <c r="X18" i="1"/>
  <c r="Y18" i="1"/>
  <c r="AH18" i="1"/>
  <c r="AM18" i="1"/>
  <c r="AR18" i="1"/>
  <c r="AW18" i="1"/>
  <c r="AW19" i="1" s="1"/>
  <c r="BB18" i="1"/>
  <c r="BG18" i="1"/>
  <c r="BW20" i="1"/>
  <c r="BX20" i="1"/>
  <c r="BY20" i="1"/>
  <c r="CB20" i="1"/>
  <c r="CC20" i="1"/>
  <c r="CD20" i="1"/>
  <c r="CG20" i="1"/>
  <c r="CH20" i="1"/>
  <c r="CI20" i="1"/>
  <c r="CL20" i="1"/>
  <c r="CM20" i="1"/>
  <c r="CN20" i="1"/>
  <c r="I22" i="1"/>
  <c r="I23" i="1" s="1"/>
  <c r="J22" i="1"/>
  <c r="J23" i="1" s="1"/>
  <c r="Q22" i="1"/>
  <c r="T22" i="1"/>
  <c r="T23" i="1" s="1"/>
  <c r="U22" i="1"/>
  <c r="U23" i="1" s="1"/>
  <c r="V22" i="1"/>
  <c r="V23" i="1" s="1"/>
  <c r="W22" i="1"/>
  <c r="W29" i="1" s="1"/>
  <c r="Y22" i="1"/>
  <c r="Y23" i="1" s="1"/>
  <c r="Z22" i="1"/>
  <c r="AA22" i="1"/>
  <c r="AA23" i="1" s="1"/>
  <c r="AB22" i="1"/>
  <c r="AD22" i="1"/>
  <c r="AE22" i="1"/>
  <c r="AE23" i="1" s="1"/>
  <c r="AF22" i="1"/>
  <c r="AJ22" i="1"/>
  <c r="AK22" i="1"/>
  <c r="AK23" i="1" s="1"/>
  <c r="AL22" i="1"/>
  <c r="AL23" i="1" s="1"/>
  <c r="AN22" i="1"/>
  <c r="AN23" i="1" s="1"/>
  <c r="AO22" i="1"/>
  <c r="AW22" i="1"/>
  <c r="AW23" i="1" s="1"/>
  <c r="BB22" i="1"/>
  <c r="BB23" i="1" s="1"/>
  <c r="BG22" i="1"/>
  <c r="BW24" i="1"/>
  <c r="BX24" i="1"/>
  <c r="BY24" i="1"/>
  <c r="CB24" i="1"/>
  <c r="CC24" i="1"/>
  <c r="CD24" i="1"/>
  <c r="CG24" i="1"/>
  <c r="CH24" i="1"/>
  <c r="CI24" i="1"/>
  <c r="CL24" i="1"/>
  <c r="CM24" i="1"/>
  <c r="CN24" i="1"/>
  <c r="I25" i="1"/>
  <c r="J25" i="1"/>
  <c r="P25" i="1"/>
  <c r="P26" i="1" s="1"/>
  <c r="X25" i="1"/>
  <c r="AC25" i="1"/>
  <c r="AH25" i="1"/>
  <c r="AM25" i="1"/>
  <c r="AR25" i="1"/>
  <c r="AW25" i="1"/>
  <c r="BB25" i="1"/>
  <c r="BB26" i="1" s="1"/>
  <c r="BG25" i="1"/>
  <c r="BW27" i="1"/>
  <c r="BX27" i="1"/>
  <c r="BY27" i="1"/>
  <c r="CB27" i="1"/>
  <c r="CC27" i="1"/>
  <c r="CD27" i="1"/>
  <c r="CG27" i="1"/>
  <c r="CH27" i="1"/>
  <c r="CI27" i="1"/>
  <c r="CL27" i="1"/>
  <c r="CM27" i="1"/>
  <c r="CN27" i="1"/>
  <c r="E28" i="1"/>
  <c r="E29" i="1" s="1"/>
  <c r="E30" i="1" s="1"/>
  <c r="J28" i="1"/>
  <c r="L28" i="1"/>
  <c r="P28" i="1"/>
  <c r="S28" i="1" s="1"/>
  <c r="X28" i="1"/>
  <c r="AA28" i="1"/>
  <c r="AC28" i="1" s="1"/>
  <c r="AF28" i="1"/>
  <c r="AG28" i="1"/>
  <c r="AG29" i="1" s="1"/>
  <c r="AG30" i="1" s="1"/>
  <c r="AI28" i="1"/>
  <c r="AI29" i="1" s="1"/>
  <c r="AI30" i="1" s="1"/>
  <c r="AL28" i="1"/>
  <c r="AP28" i="1"/>
  <c r="AQ28" i="1"/>
  <c r="AQ29" i="1" s="1"/>
  <c r="AW28" i="1"/>
  <c r="BB28" i="1"/>
  <c r="BG28" i="1"/>
  <c r="BW28" i="1"/>
  <c r="CB28" i="1" s="1"/>
  <c r="CG28" i="1" s="1"/>
  <c r="CL28" i="1" s="1"/>
  <c r="BY28" i="1"/>
  <c r="CD28" i="1" s="1"/>
  <c r="CI28" i="1" s="1"/>
  <c r="CN28" i="1" s="1"/>
  <c r="BZ28" i="1"/>
  <c r="CE28" i="1" s="1"/>
  <c r="CJ28" i="1" s="1"/>
  <c r="CO28" i="1" s="1"/>
  <c r="C29" i="1"/>
  <c r="C30" i="1" s="1"/>
  <c r="D29" i="1"/>
  <c r="D30" i="1" s="1"/>
  <c r="F29" i="1"/>
  <c r="F30" i="1" s="1"/>
  <c r="G29" i="1"/>
  <c r="G30" i="1" s="1"/>
  <c r="H29" i="1"/>
  <c r="M29" i="1"/>
  <c r="O29" i="1"/>
  <c r="R29" i="1"/>
  <c r="U29" i="1"/>
  <c r="U30" i="1" s="1"/>
  <c r="Y29" i="1"/>
  <c r="Y30" i="1" s="1"/>
  <c r="AE29" i="1"/>
  <c r="AJ29" i="1"/>
  <c r="AS29" i="1"/>
  <c r="AS30" i="1" s="1"/>
  <c r="AT29" i="1"/>
  <c r="AT30" i="1" s="1"/>
  <c r="AU29" i="1"/>
  <c r="AU30" i="1" s="1"/>
  <c r="AV29" i="1"/>
  <c r="AV30" i="1" s="1"/>
  <c r="AW29" i="1"/>
  <c r="AW30" i="1" s="1"/>
  <c r="AX29" i="1"/>
  <c r="AX30" i="1" s="1"/>
  <c r="AX32" i="1" s="1"/>
  <c r="AY29" i="1"/>
  <c r="AY30" i="1" s="1"/>
  <c r="AZ29" i="1"/>
  <c r="AZ30" i="1" s="1"/>
  <c r="BA29" i="1"/>
  <c r="BC29" i="1"/>
  <c r="BC30" i="1" s="1"/>
  <c r="BD29" i="1"/>
  <c r="BE29" i="1"/>
  <c r="BF29" i="1"/>
  <c r="BF30" i="1" s="1"/>
  <c r="BK32" i="1" s="1"/>
  <c r="BH29" i="1"/>
  <c r="BH30" i="1" s="1"/>
  <c r="BI29" i="1"/>
  <c r="BI30" i="1" s="1"/>
  <c r="G34" i="1"/>
  <c r="AT34" i="1"/>
  <c r="AY34" i="1"/>
  <c r="E39" i="1"/>
  <c r="E189" i="1" s="1"/>
  <c r="F39" i="1"/>
  <c r="F189" i="1" s="1"/>
  <c r="G39" i="1"/>
  <c r="G189" i="1" s="1"/>
  <c r="H39" i="1"/>
  <c r="J39" i="1"/>
  <c r="J189" i="1" s="1"/>
  <c r="K39" i="1"/>
  <c r="K189" i="1" s="1"/>
  <c r="M39" i="1"/>
  <c r="M189" i="1" s="1"/>
  <c r="T39" i="1"/>
  <c r="Y39" i="1"/>
  <c r="Y189" i="1" s="1"/>
  <c r="AD39" i="1"/>
  <c r="AD189" i="1" s="1"/>
  <c r="AS39" i="1"/>
  <c r="AS189" i="1" s="1"/>
  <c r="Y47" i="1"/>
  <c r="AB47" i="1"/>
  <c r="AB193" i="1" s="1"/>
  <c r="AE47" i="1"/>
  <c r="AF47" i="1"/>
  <c r="BB47" i="1"/>
  <c r="BG47" i="1"/>
  <c r="E48" i="1"/>
  <c r="F48" i="1"/>
  <c r="G48" i="1"/>
  <c r="G181" i="1" s="1"/>
  <c r="H48" i="1"/>
  <c r="H181" i="1" s="1"/>
  <c r="J48" i="1"/>
  <c r="M48" i="1"/>
  <c r="U48" i="1"/>
  <c r="V48" i="1"/>
  <c r="AG48" i="1"/>
  <c r="AN48" i="1"/>
  <c r="AO48" i="1"/>
  <c r="AP48" i="1"/>
  <c r="AQ48" i="1"/>
  <c r="AS48" i="1"/>
  <c r="AT48" i="1"/>
  <c r="S59" i="1"/>
  <c r="X59" i="1"/>
  <c r="AC59" i="1"/>
  <c r="AH59" i="1"/>
  <c r="AM59" i="1"/>
  <c r="AR59" i="1"/>
  <c r="AW59" i="1"/>
  <c r="BB59" i="1"/>
  <c r="BG59" i="1"/>
  <c r="BL59" i="1"/>
  <c r="BQ59" i="1"/>
  <c r="BV59" i="1"/>
  <c r="CA59" i="1"/>
  <c r="CF59" i="1"/>
  <c r="CK59" i="1"/>
  <c r="CP59" i="1"/>
  <c r="S60" i="1"/>
  <c r="X60" i="1"/>
  <c r="AC60" i="1"/>
  <c r="AH60" i="1"/>
  <c r="AM60" i="1"/>
  <c r="AR60" i="1"/>
  <c r="AW60" i="1"/>
  <c r="BB60" i="1"/>
  <c r="BG60" i="1"/>
  <c r="BL60" i="1"/>
  <c r="BQ60" i="1"/>
  <c r="BV60" i="1"/>
  <c r="CA60" i="1"/>
  <c r="CF60" i="1"/>
  <c r="CK60" i="1"/>
  <c r="CP60" i="1"/>
  <c r="S61" i="1"/>
  <c r="X61" i="1"/>
  <c r="AC61" i="1"/>
  <c r="AH61" i="1"/>
  <c r="AL61" i="1"/>
  <c r="AL63" i="1" s="1"/>
  <c r="AR61" i="1"/>
  <c r="AW61" i="1"/>
  <c r="BB61" i="1"/>
  <c r="BG61" i="1"/>
  <c r="BL61" i="1"/>
  <c r="BQ61" i="1"/>
  <c r="BV61" i="1"/>
  <c r="CA61" i="1"/>
  <c r="CF61" i="1"/>
  <c r="CK61" i="1"/>
  <c r="CP61" i="1"/>
  <c r="P62" i="1"/>
  <c r="S62" i="1" s="1"/>
  <c r="S63" i="1" s="1"/>
  <c r="W62" i="1"/>
  <c r="X62" i="1" s="1"/>
  <c r="Y62" i="1"/>
  <c r="Y63" i="1" s="1"/>
  <c r="AF62" i="1"/>
  <c r="AH62" i="1" s="1"/>
  <c r="AH63" i="1" s="1"/>
  <c r="AM62" i="1"/>
  <c r="AR62" i="1"/>
  <c r="AW62" i="1"/>
  <c r="BB62" i="1"/>
  <c r="BB63" i="1" s="1"/>
  <c r="BG62" i="1"/>
  <c r="BL62" i="1"/>
  <c r="BQ62" i="1"/>
  <c r="BV62" i="1"/>
  <c r="BV63" i="1" s="1"/>
  <c r="CA62" i="1"/>
  <c r="CF62" i="1"/>
  <c r="CK62" i="1"/>
  <c r="CP62" i="1"/>
  <c r="O63" i="1"/>
  <c r="Q63" i="1"/>
  <c r="R63" i="1"/>
  <c r="T63" i="1"/>
  <c r="U63" i="1"/>
  <c r="V63" i="1"/>
  <c r="Z63" i="1"/>
  <c r="AA63" i="1"/>
  <c r="AB63" i="1"/>
  <c r="AD63" i="1"/>
  <c r="AE63" i="1"/>
  <c r="AG63" i="1"/>
  <c r="AI63" i="1"/>
  <c r="AJ63" i="1"/>
  <c r="AK63" i="1"/>
  <c r="AN63" i="1"/>
  <c r="AO63" i="1"/>
  <c r="AP63" i="1"/>
  <c r="AQ63" i="1"/>
  <c r="AS63" i="1"/>
  <c r="AT63" i="1"/>
  <c r="AU63" i="1"/>
  <c r="AV63" i="1"/>
  <c r="AX63" i="1"/>
  <c r="AY63" i="1"/>
  <c r="AZ63" i="1"/>
  <c r="BA63" i="1"/>
  <c r="BC63" i="1"/>
  <c r="BD63" i="1"/>
  <c r="BE63" i="1"/>
  <c r="BF63" i="1"/>
  <c r="BH63" i="1"/>
  <c r="BI63" i="1"/>
  <c r="BJ63" i="1"/>
  <c r="BM63" i="1"/>
  <c r="BN63" i="1"/>
  <c r="BO63" i="1"/>
  <c r="BP63" i="1"/>
  <c r="BR63" i="1"/>
  <c r="BS63" i="1"/>
  <c r="BT63" i="1"/>
  <c r="BU63" i="1"/>
  <c r="BW63" i="1"/>
  <c r="BX63" i="1"/>
  <c r="BY63" i="1"/>
  <c r="BZ63" i="1"/>
  <c r="CB63" i="1"/>
  <c r="CC63" i="1"/>
  <c r="CD63" i="1"/>
  <c r="CE63" i="1"/>
  <c r="CG63" i="1"/>
  <c r="CH63" i="1"/>
  <c r="CI63" i="1"/>
  <c r="CJ63" i="1"/>
  <c r="CL63" i="1"/>
  <c r="CM63" i="1"/>
  <c r="CN63" i="1"/>
  <c r="CO63" i="1"/>
  <c r="AR64" i="1"/>
  <c r="AW64" i="1"/>
  <c r="S65" i="1"/>
  <c r="S67" i="1" s="1"/>
  <c r="X65" i="1"/>
  <c r="X67" i="1" s="1"/>
  <c r="AC65" i="1"/>
  <c r="AC67" i="1" s="1"/>
  <c r="O67" i="1"/>
  <c r="P67" i="1"/>
  <c r="Q67" i="1"/>
  <c r="R67" i="1"/>
  <c r="T67" i="1"/>
  <c r="U67" i="1"/>
  <c r="V67" i="1"/>
  <c r="W67" i="1"/>
  <c r="Y67" i="1"/>
  <c r="Z67" i="1"/>
  <c r="AA67" i="1"/>
  <c r="AB67" i="1"/>
  <c r="AD67" i="1"/>
  <c r="AI67" i="1"/>
  <c r="AJ67" i="1"/>
  <c r="AK67" i="1"/>
  <c r="AL67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N81" i="1"/>
  <c r="S81" i="1"/>
  <c r="AC81" i="1"/>
  <c r="AH81" i="1"/>
  <c r="AM81" i="1"/>
  <c r="AR81" i="1"/>
  <c r="I82" i="1"/>
  <c r="N82" i="1"/>
  <c r="S82" i="1"/>
  <c r="X82" i="1"/>
  <c r="AC82" i="1"/>
  <c r="AH82" i="1"/>
  <c r="AM82" i="1"/>
  <c r="AR82" i="1"/>
  <c r="AW370" i="1" s="1"/>
  <c r="AW82" i="1"/>
  <c r="BB82" i="1"/>
  <c r="BG82" i="1"/>
  <c r="BL82" i="1"/>
  <c r="I83" i="1"/>
  <c r="N83" i="1"/>
  <c r="S83" i="1"/>
  <c r="W83" i="1"/>
  <c r="X83" i="1" s="1"/>
  <c r="AA83" i="1"/>
  <c r="AA89" i="1" s="1"/>
  <c r="AC83" i="1"/>
  <c r="AH83" i="1"/>
  <c r="AM83" i="1"/>
  <c r="AR83" i="1"/>
  <c r="AW83" i="1"/>
  <c r="BB83" i="1"/>
  <c r="BG83" i="1"/>
  <c r="BI83" i="1"/>
  <c r="I84" i="1"/>
  <c r="I227" i="1" s="1"/>
  <c r="N84" i="1"/>
  <c r="N227" i="1" s="1"/>
  <c r="S84" i="1"/>
  <c r="S85" i="1" s="1"/>
  <c r="X84" i="1"/>
  <c r="AC84" i="1"/>
  <c r="AC227" i="1" s="1"/>
  <c r="AH84" i="1"/>
  <c r="AH227" i="1" s="1"/>
  <c r="AM84" i="1"/>
  <c r="AM85" i="1" s="1"/>
  <c r="AR84" i="1"/>
  <c r="AW84" i="1"/>
  <c r="AW227" i="1" s="1"/>
  <c r="BB84" i="1"/>
  <c r="BB227" i="1" s="1"/>
  <c r="BG84" i="1"/>
  <c r="BG85" i="1" s="1"/>
  <c r="D85" i="1"/>
  <c r="J85" i="1"/>
  <c r="K85" i="1"/>
  <c r="L85" i="1"/>
  <c r="M85" i="1"/>
  <c r="O85" i="1"/>
  <c r="P85" i="1"/>
  <c r="Q85" i="1"/>
  <c r="R85" i="1"/>
  <c r="T85" i="1"/>
  <c r="U85" i="1"/>
  <c r="V85" i="1"/>
  <c r="W85" i="1"/>
  <c r="Y85" i="1"/>
  <c r="Z85" i="1"/>
  <c r="AA85" i="1"/>
  <c r="AB85" i="1"/>
  <c r="AD85" i="1"/>
  <c r="AE85" i="1"/>
  <c r="AF85" i="1"/>
  <c r="AG85" i="1"/>
  <c r="AI85" i="1"/>
  <c r="AJ85" i="1"/>
  <c r="AK85" i="1"/>
  <c r="AL85" i="1"/>
  <c r="AN85" i="1"/>
  <c r="AO85" i="1"/>
  <c r="AP85" i="1"/>
  <c r="AQ85" i="1"/>
  <c r="AS85" i="1"/>
  <c r="AT85" i="1"/>
  <c r="AU85" i="1"/>
  <c r="AV85" i="1"/>
  <c r="AX85" i="1"/>
  <c r="AY85" i="1"/>
  <c r="AZ85" i="1"/>
  <c r="BA85" i="1"/>
  <c r="BC85" i="1"/>
  <c r="BD85" i="1"/>
  <c r="BE85" i="1"/>
  <c r="BF85" i="1"/>
  <c r="BH85" i="1"/>
  <c r="BI85" i="1"/>
  <c r="AC86" i="1"/>
  <c r="AC87" i="1" s="1"/>
  <c r="AH86" i="1"/>
  <c r="AH87" i="1" s="1"/>
  <c r="AM86" i="1"/>
  <c r="AR86" i="1"/>
  <c r="AS132" i="1" s="1"/>
  <c r="AW86" i="1"/>
  <c r="BB86" i="1"/>
  <c r="BG86" i="1"/>
  <c r="D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D87" i="1"/>
  <c r="AE87" i="1"/>
  <c r="AF87" i="1"/>
  <c r="AG87" i="1"/>
  <c r="AI87" i="1"/>
  <c r="AJ87" i="1"/>
  <c r="AK87" i="1"/>
  <c r="AL87" i="1"/>
  <c r="AN87" i="1"/>
  <c r="AO87" i="1"/>
  <c r="AP87" i="1"/>
  <c r="AQ87" i="1"/>
  <c r="AS87" i="1"/>
  <c r="AT87" i="1"/>
  <c r="AU87" i="1"/>
  <c r="AV87" i="1"/>
  <c r="AX87" i="1"/>
  <c r="AY87" i="1"/>
  <c r="AZ87" i="1"/>
  <c r="BA87" i="1"/>
  <c r="BC87" i="1"/>
  <c r="BD87" i="1"/>
  <c r="BE87" i="1"/>
  <c r="BF87" i="1"/>
  <c r="BH87" i="1"/>
  <c r="BI87" i="1"/>
  <c r="C88" i="1"/>
  <c r="C89" i="1" s="1"/>
  <c r="D88" i="1"/>
  <c r="D89" i="1" s="1"/>
  <c r="H88" i="1"/>
  <c r="I88" i="1" s="1"/>
  <c r="I186" i="1" s="1"/>
  <c r="J88" i="1"/>
  <c r="J89" i="1" s="1"/>
  <c r="K88" i="1"/>
  <c r="K89" i="1" s="1"/>
  <c r="L88" i="1"/>
  <c r="L89" i="1" s="1"/>
  <c r="M88" i="1"/>
  <c r="M89" i="1" s="1"/>
  <c r="R88" i="1"/>
  <c r="R133" i="1" s="1"/>
  <c r="S88" i="1"/>
  <c r="S186" i="1" s="1"/>
  <c r="T88" i="1"/>
  <c r="T89" i="1" s="1"/>
  <c r="V88" i="1"/>
  <c r="V89" i="1" s="1"/>
  <c r="X88" i="1"/>
  <c r="Y133" i="1" s="1"/>
  <c r="AB88" i="1"/>
  <c r="AC88" i="1" s="1"/>
  <c r="AH88" i="1"/>
  <c r="AM88" i="1"/>
  <c r="AR88" i="1"/>
  <c r="AW88" i="1"/>
  <c r="BB88" i="1"/>
  <c r="BG88" i="1"/>
  <c r="E89" i="1"/>
  <c r="F89" i="1"/>
  <c r="G89" i="1"/>
  <c r="O89" i="1"/>
  <c r="P89" i="1"/>
  <c r="Q89" i="1"/>
  <c r="U89" i="1"/>
  <c r="Z89" i="1"/>
  <c r="AE89" i="1"/>
  <c r="AF89" i="1"/>
  <c r="AG89" i="1"/>
  <c r="AI89" i="1"/>
  <c r="AJ89" i="1"/>
  <c r="AK89" i="1"/>
  <c r="AL89" i="1"/>
  <c r="AN89" i="1"/>
  <c r="AO89" i="1"/>
  <c r="AP89" i="1"/>
  <c r="AQ89" i="1"/>
  <c r="AS89" i="1"/>
  <c r="AT89" i="1"/>
  <c r="AU89" i="1"/>
  <c r="AV89" i="1"/>
  <c r="AX89" i="1"/>
  <c r="AY89" i="1"/>
  <c r="AZ89" i="1"/>
  <c r="BA89" i="1"/>
  <c r="BC89" i="1"/>
  <c r="BD89" i="1"/>
  <c r="BE89" i="1"/>
  <c r="BH89" i="1"/>
  <c r="I91" i="1"/>
  <c r="N91" i="1"/>
  <c r="S91" i="1"/>
  <c r="X91" i="1"/>
  <c r="AC91" i="1"/>
  <c r="AH91" i="1"/>
  <c r="AM91" i="1"/>
  <c r="AR91" i="1"/>
  <c r="AW91" i="1"/>
  <c r="BB91" i="1"/>
  <c r="BG91" i="1"/>
  <c r="C92" i="1"/>
  <c r="D92" i="1"/>
  <c r="G92" i="1"/>
  <c r="H92" i="1"/>
  <c r="I92" i="1" s="1"/>
  <c r="J92" i="1"/>
  <c r="K92" i="1"/>
  <c r="L92" i="1"/>
  <c r="M92" i="1"/>
  <c r="N92" i="1" s="1"/>
  <c r="O92" i="1"/>
  <c r="P92" i="1"/>
  <c r="Q92" i="1"/>
  <c r="R92" i="1"/>
  <c r="S92" i="1" s="1"/>
  <c r="T92" i="1"/>
  <c r="V92" i="1"/>
  <c r="W92" i="1"/>
  <c r="X92" i="1" s="1"/>
  <c r="Y92" i="1"/>
  <c r="Z92" i="1"/>
  <c r="AA92" i="1"/>
  <c r="AB92" i="1"/>
  <c r="AC92" i="1" s="1"/>
  <c r="AD92" i="1"/>
  <c r="AE92" i="1"/>
  <c r="AF92" i="1"/>
  <c r="AG92" i="1"/>
  <c r="AH92" i="1" s="1"/>
  <c r="AI92" i="1"/>
  <c r="AJ92" i="1"/>
  <c r="AK92" i="1"/>
  <c r="AL92" i="1"/>
  <c r="AM92" i="1" s="1"/>
  <c r="AN92" i="1"/>
  <c r="AO92" i="1"/>
  <c r="AP92" i="1"/>
  <c r="AQ92" i="1"/>
  <c r="AR92" i="1" s="1"/>
  <c r="AS92" i="1"/>
  <c r="AT92" i="1"/>
  <c r="AU92" i="1"/>
  <c r="AV92" i="1"/>
  <c r="AX92" i="1"/>
  <c r="AY92" i="1"/>
  <c r="AZ92" i="1"/>
  <c r="BA92" i="1"/>
  <c r="BB92" i="1" s="1"/>
  <c r="BC92" i="1"/>
  <c r="BD92" i="1"/>
  <c r="BE92" i="1"/>
  <c r="BF92" i="1"/>
  <c r="BG92" i="1" s="1"/>
  <c r="BH92" i="1"/>
  <c r="BI92" i="1"/>
  <c r="C93" i="1"/>
  <c r="D93" i="1"/>
  <c r="E93" i="1"/>
  <c r="F93" i="1"/>
  <c r="G93" i="1"/>
  <c r="H93" i="1"/>
  <c r="I93" i="1" s="1"/>
  <c r="I190" i="1" s="1"/>
  <c r="J93" i="1"/>
  <c r="J190" i="1" s="1"/>
  <c r="K93" i="1"/>
  <c r="L93" i="1"/>
  <c r="M93" i="1"/>
  <c r="N93" i="1" s="1"/>
  <c r="N190" i="1" s="1"/>
  <c r="O93" i="1"/>
  <c r="O190" i="1" s="1"/>
  <c r="P93" i="1"/>
  <c r="Q93" i="1"/>
  <c r="R93" i="1"/>
  <c r="S93" i="1" s="1"/>
  <c r="S190" i="1" s="1"/>
  <c r="T93" i="1"/>
  <c r="T190" i="1" s="1"/>
  <c r="U93" i="1"/>
  <c r="V93" i="1"/>
  <c r="W93" i="1"/>
  <c r="X93" i="1" s="1"/>
  <c r="X190" i="1" s="1"/>
  <c r="Y93" i="1"/>
  <c r="Y190" i="1" s="1"/>
  <c r="Z93" i="1"/>
  <c r="AA93" i="1"/>
  <c r="AC93" i="1"/>
  <c r="AC190" i="1" s="1"/>
  <c r="AH93" i="1"/>
  <c r="AH190" i="1" s="1"/>
  <c r="AM93" i="1"/>
  <c r="AR93" i="1"/>
  <c r="AR190" i="1" s="1"/>
  <c r="AW93" i="1"/>
  <c r="AW190" i="1" s="1"/>
  <c r="BB93" i="1"/>
  <c r="BB190" i="1" s="1"/>
  <c r="BG93" i="1"/>
  <c r="AF94" i="1"/>
  <c r="AF246" i="1" s="1"/>
  <c r="I97" i="1"/>
  <c r="N97" i="1"/>
  <c r="S97" i="1"/>
  <c r="X97" i="1"/>
  <c r="AC97" i="1"/>
  <c r="AH97" i="1"/>
  <c r="AM97" i="1"/>
  <c r="AR97" i="1"/>
  <c r="BB97" i="1"/>
  <c r="BG97" i="1"/>
  <c r="I98" i="1"/>
  <c r="I203" i="1" s="1"/>
  <c r="N98" i="1"/>
  <c r="N203" i="1" s="1"/>
  <c r="S98" i="1"/>
  <c r="X98" i="1"/>
  <c r="X203" i="1" s="1"/>
  <c r="AC98" i="1"/>
  <c r="AC203" i="1" s="1"/>
  <c r="AH98" i="1"/>
  <c r="AH203" i="1" s="1"/>
  <c r="AM98" i="1"/>
  <c r="AR98" i="1"/>
  <c r="AR203" i="1" s="1"/>
  <c r="AV98" i="1"/>
  <c r="AW98" i="1" s="1"/>
  <c r="BB98" i="1"/>
  <c r="BB203" i="1" s="1"/>
  <c r="BG98" i="1"/>
  <c r="I99" i="1"/>
  <c r="N99" i="1"/>
  <c r="S99" i="1"/>
  <c r="X99" i="1"/>
  <c r="AC99" i="1"/>
  <c r="AH99" i="1"/>
  <c r="AM99" i="1"/>
  <c r="AR99" i="1"/>
  <c r="AW99" i="1"/>
  <c r="BB99" i="1"/>
  <c r="BG99" i="1"/>
  <c r="I100" i="1"/>
  <c r="N100" i="1"/>
  <c r="S100" i="1"/>
  <c r="X100" i="1"/>
  <c r="X204" i="1" s="1"/>
  <c r="AC100" i="1"/>
  <c r="AH100" i="1"/>
  <c r="AJ100" i="1"/>
  <c r="AM100" i="1"/>
  <c r="AR100" i="1"/>
  <c r="AW100" i="1"/>
  <c r="BB100" i="1"/>
  <c r="BG100" i="1"/>
  <c r="I101" i="1"/>
  <c r="N101" i="1"/>
  <c r="S101" i="1"/>
  <c r="T135" i="1" s="1"/>
  <c r="X101" i="1"/>
  <c r="Y135" i="1" s="1"/>
  <c r="AC101" i="1"/>
  <c r="AD135" i="1" s="1"/>
  <c r="AH101" i="1"/>
  <c r="AJ101" i="1"/>
  <c r="AK101" i="1"/>
  <c r="AK104" i="1" s="1"/>
  <c r="AK110" i="1" s="1"/>
  <c r="AM101" i="1"/>
  <c r="AN135" i="1" s="1"/>
  <c r="AN101" i="1"/>
  <c r="AS101" i="1"/>
  <c r="AT135" i="1" s="1"/>
  <c r="AR101" i="1"/>
  <c r="AW101" i="1"/>
  <c r="BB101" i="1"/>
  <c r="BG101" i="1"/>
  <c r="BH135" i="1" s="1"/>
  <c r="BT101" i="1"/>
  <c r="BY101" i="1" s="1"/>
  <c r="BL101" i="1"/>
  <c r="BM135" i="1" s="1"/>
  <c r="I102" i="1"/>
  <c r="N102" i="1"/>
  <c r="S102" i="1"/>
  <c r="X102" i="1"/>
  <c r="AC102" i="1"/>
  <c r="AH102" i="1"/>
  <c r="AM102" i="1"/>
  <c r="AR102" i="1"/>
  <c r="AW102" i="1"/>
  <c r="BB102" i="1"/>
  <c r="BG102" i="1"/>
  <c r="BQ102" i="1"/>
  <c r="I103" i="1"/>
  <c r="J103" i="1"/>
  <c r="J104" i="1" s="1"/>
  <c r="N103" i="1"/>
  <c r="S103" i="1"/>
  <c r="W103" i="1"/>
  <c r="X103" i="1" s="1"/>
  <c r="Y103" i="1"/>
  <c r="Y104" i="1" s="1"/>
  <c r="Y110" i="1" s="1"/>
  <c r="AB103" i="1"/>
  <c r="AC103" i="1" s="1"/>
  <c r="AH103" i="1"/>
  <c r="AM103" i="1"/>
  <c r="AR103" i="1"/>
  <c r="AW103" i="1"/>
  <c r="BB103" i="1"/>
  <c r="BG103" i="1"/>
  <c r="BW103" i="1"/>
  <c r="CB103" i="1" s="1"/>
  <c r="CG103" i="1" s="1"/>
  <c r="CL103" i="1" s="1"/>
  <c r="BX103" i="1"/>
  <c r="CC103" i="1" s="1"/>
  <c r="CH103" i="1" s="1"/>
  <c r="CM103" i="1" s="1"/>
  <c r="BT103" i="1"/>
  <c r="BY103" i="1" s="1"/>
  <c r="CD103" i="1" s="1"/>
  <c r="CI103" i="1" s="1"/>
  <c r="CN103" i="1" s="1"/>
  <c r="C104" i="1"/>
  <c r="C110" i="1" s="1"/>
  <c r="D104" i="1"/>
  <c r="D110" i="1" s="1"/>
  <c r="E104" i="1"/>
  <c r="E110" i="1" s="1"/>
  <c r="F104" i="1"/>
  <c r="G104" i="1"/>
  <c r="H104" i="1"/>
  <c r="I104" i="1" s="1"/>
  <c r="K104" i="1"/>
  <c r="K110" i="1" s="1"/>
  <c r="L104" i="1"/>
  <c r="L110" i="1" s="1"/>
  <c r="M104" i="1"/>
  <c r="M110" i="1" s="1"/>
  <c r="O104" i="1"/>
  <c r="O110" i="1" s="1"/>
  <c r="P104" i="1"/>
  <c r="P110" i="1" s="1"/>
  <c r="Q104" i="1"/>
  <c r="Q110" i="1" s="1"/>
  <c r="R104" i="1"/>
  <c r="S104" i="1" s="1"/>
  <c r="T104" i="1"/>
  <c r="T110" i="1" s="1"/>
  <c r="U104" i="1"/>
  <c r="U110" i="1" s="1"/>
  <c r="V104" i="1"/>
  <c r="Z104" i="1"/>
  <c r="Z110" i="1" s="1"/>
  <c r="AA104" i="1"/>
  <c r="AA110" i="1" s="1"/>
  <c r="AD104" i="1"/>
  <c r="AD110" i="1" s="1"/>
  <c r="AE104" i="1"/>
  <c r="AF104" i="1"/>
  <c r="AF110" i="1" s="1"/>
  <c r="AG104" i="1"/>
  <c r="AG110" i="1" s="1"/>
  <c r="AI104" i="1"/>
  <c r="AI110" i="1" s="1"/>
  <c r="AL104" i="1"/>
  <c r="AM104" i="1" s="1"/>
  <c r="AO104" i="1"/>
  <c r="AO110" i="1" s="1"/>
  <c r="AP104" i="1"/>
  <c r="AP110" i="1" s="1"/>
  <c r="AQ104" i="1"/>
  <c r="AR104" i="1" s="1"/>
  <c r="AT104" i="1"/>
  <c r="AT110" i="1" s="1"/>
  <c r="AU104" i="1"/>
  <c r="AU110" i="1" s="1"/>
  <c r="AY104" i="1"/>
  <c r="AY110" i="1" s="1"/>
  <c r="AZ104" i="1"/>
  <c r="AZ110" i="1" s="1"/>
  <c r="BA104" i="1"/>
  <c r="BA110" i="1" s="1"/>
  <c r="BC104" i="1"/>
  <c r="BD104" i="1"/>
  <c r="BD110" i="1" s="1"/>
  <c r="BE104" i="1"/>
  <c r="BE110" i="1" s="1"/>
  <c r="BF104" i="1"/>
  <c r="BG104" i="1" s="1"/>
  <c r="BH104" i="1"/>
  <c r="BH110" i="1" s="1"/>
  <c r="BI104" i="1"/>
  <c r="BI110" i="1" s="1"/>
  <c r="I106" i="1"/>
  <c r="N106" i="1"/>
  <c r="N205" i="1" s="1"/>
  <c r="S106" i="1"/>
  <c r="X106" i="1"/>
  <c r="AC106" i="1"/>
  <c r="AH106" i="1"/>
  <c r="AH205" i="1" s="1"/>
  <c r="AM106" i="1"/>
  <c r="AM197" i="1" s="1"/>
  <c r="AR106" i="1"/>
  <c r="AW106" i="1"/>
  <c r="AW205" i="1" s="1"/>
  <c r="BB106" i="1"/>
  <c r="BB205" i="1" s="1"/>
  <c r="BG106" i="1"/>
  <c r="I107" i="1"/>
  <c r="N107" i="1"/>
  <c r="S107" i="1"/>
  <c r="X107" i="1"/>
  <c r="AC107" i="1"/>
  <c r="AH107" i="1"/>
  <c r="AM107" i="1"/>
  <c r="AR107" i="1"/>
  <c r="AW107" i="1"/>
  <c r="BB107" i="1"/>
  <c r="BG107" i="1"/>
  <c r="I108" i="1"/>
  <c r="N108" i="1"/>
  <c r="O194" i="1" s="1"/>
  <c r="S108" i="1"/>
  <c r="S194" i="1" s="1"/>
  <c r="X108" i="1"/>
  <c r="AC108" i="1"/>
  <c r="AH108" i="1"/>
  <c r="AI194" i="1" s="1"/>
  <c r="AM108" i="1"/>
  <c r="AM194" i="1" s="1"/>
  <c r="AR108" i="1"/>
  <c r="AW108" i="1"/>
  <c r="BB108" i="1"/>
  <c r="BC194" i="1" s="1"/>
  <c r="BG108" i="1"/>
  <c r="BG194" i="1" s="1"/>
  <c r="H109" i="1"/>
  <c r="H136" i="1" s="1"/>
  <c r="J109" i="1"/>
  <c r="K136" i="1" s="1"/>
  <c r="N109" i="1"/>
  <c r="S109" i="1"/>
  <c r="T136" i="1" s="1"/>
  <c r="X109" i="1"/>
  <c r="Y136" i="1" s="1"/>
  <c r="AC109" i="1"/>
  <c r="AD136" i="1" s="1"/>
  <c r="AH109" i="1"/>
  <c r="AM109" i="1"/>
  <c r="AN136" i="1" s="1"/>
  <c r="AR109" i="1"/>
  <c r="AS136" i="1" s="1"/>
  <c r="AW109" i="1"/>
  <c r="AX136" i="1" s="1"/>
  <c r="BB109" i="1"/>
  <c r="BG109" i="1"/>
  <c r="BH136" i="1" s="1"/>
  <c r="F110" i="1"/>
  <c r="G110" i="1"/>
  <c r="V110" i="1"/>
  <c r="AE110" i="1"/>
  <c r="AL110" i="1"/>
  <c r="BF110" i="1"/>
  <c r="C113" i="1"/>
  <c r="C118" i="1"/>
  <c r="D113" i="1"/>
  <c r="D118" i="1" s="1"/>
  <c r="I113" i="1"/>
  <c r="J113" i="1"/>
  <c r="K113" i="1"/>
  <c r="L113" i="1"/>
  <c r="M113" i="1"/>
  <c r="N113" i="1" s="1"/>
  <c r="O113" i="1"/>
  <c r="P113" i="1"/>
  <c r="Q113" i="1"/>
  <c r="R113" i="1"/>
  <c r="S113" i="1" s="1"/>
  <c r="T113" i="1"/>
  <c r="U113" i="1"/>
  <c r="V113" i="1"/>
  <c r="W113" i="1"/>
  <c r="X113" i="1" s="1"/>
  <c r="Y113" i="1"/>
  <c r="Z113" i="1"/>
  <c r="AA113" i="1"/>
  <c r="AB113" i="1"/>
  <c r="AC113" i="1" s="1"/>
  <c r="AD113" i="1"/>
  <c r="AE113" i="1"/>
  <c r="AF113" i="1"/>
  <c r="AG113" i="1"/>
  <c r="AH113" i="1" s="1"/>
  <c r="AI113" i="1"/>
  <c r="AJ113" i="1"/>
  <c r="AK113" i="1"/>
  <c r="AL113" i="1"/>
  <c r="AM113" i="1" s="1"/>
  <c r="AN113" i="1"/>
  <c r="AO113" i="1"/>
  <c r="AQ113" i="1"/>
  <c r="AR113" i="1" s="1"/>
  <c r="AS113" i="1"/>
  <c r="AT113" i="1"/>
  <c r="AU113" i="1"/>
  <c r="AV113" i="1"/>
  <c r="AW113" i="1" s="1"/>
  <c r="AX113" i="1"/>
  <c r="AY113" i="1"/>
  <c r="BB113" i="1"/>
  <c r="E114" i="1"/>
  <c r="E118" i="1" s="1"/>
  <c r="I114" i="1"/>
  <c r="J114" i="1" s="1"/>
  <c r="K114" i="1" s="1"/>
  <c r="K115" i="1" s="1"/>
  <c r="N114" i="1"/>
  <c r="S114" i="1"/>
  <c r="X114" i="1"/>
  <c r="AA114" i="1"/>
  <c r="AB114" i="1" s="1"/>
  <c r="AC114" i="1" s="1"/>
  <c r="AD114" i="1" s="1"/>
  <c r="H115" i="1"/>
  <c r="I115" i="1" s="1"/>
  <c r="M115" i="1"/>
  <c r="N115" i="1" s="1"/>
  <c r="O115" i="1"/>
  <c r="P115" i="1"/>
  <c r="Q115" i="1"/>
  <c r="R115" i="1"/>
  <c r="T115" i="1"/>
  <c r="U115" i="1"/>
  <c r="V115" i="1"/>
  <c r="W115" i="1"/>
  <c r="X115" i="1" s="1"/>
  <c r="Y115" i="1"/>
  <c r="Z115" i="1"/>
  <c r="AA115" i="1"/>
  <c r="AB115" i="1"/>
  <c r="AC115" i="1" s="1"/>
  <c r="AD115" i="1"/>
  <c r="AE115" i="1"/>
  <c r="AF115" i="1"/>
  <c r="AG115" i="1"/>
  <c r="AH115" i="1" s="1"/>
  <c r="AI115" i="1"/>
  <c r="AJ115" i="1"/>
  <c r="AK115" i="1"/>
  <c r="AL115" i="1"/>
  <c r="AM115" i="1" s="1"/>
  <c r="AN115" i="1"/>
  <c r="AO115" i="1"/>
  <c r="AP115" i="1"/>
  <c r="AQ115" i="1"/>
  <c r="AR115" i="1" s="1"/>
  <c r="AS115" i="1"/>
  <c r="AU115" i="1"/>
  <c r="AV115" i="1"/>
  <c r="AW115" i="1" s="1"/>
  <c r="AX115" i="1"/>
  <c r="AY115" i="1"/>
  <c r="H116" i="1"/>
  <c r="I116" i="1" s="1"/>
  <c r="M116" i="1"/>
  <c r="N116" i="1" s="1"/>
  <c r="R116" i="1"/>
  <c r="W116" i="1"/>
  <c r="X116" i="1" s="1"/>
  <c r="Z116" i="1"/>
  <c r="AC116" i="1"/>
  <c r="AG116" i="1"/>
  <c r="AH116" i="1" s="1"/>
  <c r="AL116" i="1"/>
  <c r="AM116" i="1" s="1"/>
  <c r="AQ116" i="1"/>
  <c r="AR116" i="1" s="1"/>
  <c r="AS116" i="1"/>
  <c r="AT116" i="1"/>
  <c r="AU116" i="1"/>
  <c r="AV116" i="1"/>
  <c r="AW116" i="1" s="1"/>
  <c r="BB116" i="1"/>
  <c r="I117" i="1"/>
  <c r="N117" i="1"/>
  <c r="S117" i="1"/>
  <c r="W117" i="1"/>
  <c r="X117" i="1" s="1"/>
  <c r="AC117" i="1"/>
  <c r="AF117" i="1"/>
  <c r="AH117" i="1"/>
  <c r="AM117" i="1"/>
  <c r="AR117" i="1"/>
  <c r="AW117" i="1"/>
  <c r="F118" i="1"/>
  <c r="F207" i="1" s="1"/>
  <c r="G118" i="1"/>
  <c r="C122" i="1"/>
  <c r="C175" i="1" s="1"/>
  <c r="D122" i="1"/>
  <c r="D175" i="1" s="1"/>
  <c r="E122" i="1"/>
  <c r="F122" i="1"/>
  <c r="G122" i="1"/>
  <c r="G175" i="1" s="1"/>
  <c r="H122" i="1"/>
  <c r="H175" i="1" s="1"/>
  <c r="I122" i="1"/>
  <c r="J122" i="1"/>
  <c r="K122" i="1"/>
  <c r="K175" i="1" s="1"/>
  <c r="L122" i="1"/>
  <c r="L254" i="1" s="1"/>
  <c r="M122" i="1"/>
  <c r="N122" i="1"/>
  <c r="O122" i="1"/>
  <c r="O175" i="1" s="1"/>
  <c r="P122" i="1"/>
  <c r="P175" i="1" s="1"/>
  <c r="Q122" i="1"/>
  <c r="R122" i="1"/>
  <c r="S122" i="1"/>
  <c r="S175" i="1" s="1"/>
  <c r="T122" i="1"/>
  <c r="T175" i="1" s="1"/>
  <c r="U122" i="1"/>
  <c r="V122" i="1"/>
  <c r="W122" i="1"/>
  <c r="W175" i="1" s="1"/>
  <c r="X122" i="1"/>
  <c r="X175" i="1" s="1"/>
  <c r="Y122" i="1"/>
  <c r="Z122" i="1"/>
  <c r="AA122" i="1"/>
  <c r="AA175" i="1" s="1"/>
  <c r="AB122" i="1"/>
  <c r="AB175" i="1" s="1"/>
  <c r="AC122" i="1"/>
  <c r="AD122" i="1"/>
  <c r="AE122" i="1"/>
  <c r="AE175" i="1" s="1"/>
  <c r="AF122" i="1"/>
  <c r="AF254" i="1" s="1"/>
  <c r="AG122" i="1"/>
  <c r="AH122" i="1"/>
  <c r="AI122" i="1"/>
  <c r="AI175" i="1" s="1"/>
  <c r="AJ122" i="1"/>
  <c r="AJ175" i="1" s="1"/>
  <c r="AK122" i="1"/>
  <c r="AL122" i="1"/>
  <c r="AM122" i="1"/>
  <c r="AM175" i="1" s="1"/>
  <c r="AN122" i="1"/>
  <c r="AN254" i="1" s="1"/>
  <c r="AO122" i="1"/>
  <c r="AP122" i="1"/>
  <c r="AQ122" i="1"/>
  <c r="AQ175" i="1" s="1"/>
  <c r="AR122" i="1"/>
  <c r="AR175" i="1" s="1"/>
  <c r="AS122" i="1"/>
  <c r="AT122" i="1"/>
  <c r="AU122" i="1"/>
  <c r="AU175" i="1" s="1"/>
  <c r="AV122" i="1"/>
  <c r="AV254" i="1" s="1"/>
  <c r="AW122" i="1"/>
  <c r="AX122" i="1"/>
  <c r="AY122" i="1"/>
  <c r="AY175" i="1" s="1"/>
  <c r="AZ122" i="1"/>
  <c r="AZ254" i="1" s="1"/>
  <c r="BA122" i="1"/>
  <c r="BB122" i="1"/>
  <c r="BC122" i="1"/>
  <c r="BC175" i="1" s="1"/>
  <c r="BD122" i="1"/>
  <c r="BD175" i="1" s="1"/>
  <c r="BE122" i="1"/>
  <c r="BF122" i="1"/>
  <c r="BG122" i="1"/>
  <c r="BG175" i="1" s="1"/>
  <c r="BH122" i="1"/>
  <c r="BI122" i="1"/>
  <c r="BJ122" i="1"/>
  <c r="BK122" i="1"/>
  <c r="BK175" i="1" s="1"/>
  <c r="BL122" i="1"/>
  <c r="BL175" i="1" s="1"/>
  <c r="BM122" i="1"/>
  <c r="BN122" i="1"/>
  <c r="BO122" i="1"/>
  <c r="BO175" i="1" s="1"/>
  <c r="BP122" i="1"/>
  <c r="BP254" i="1" s="1"/>
  <c r="BQ122" i="1"/>
  <c r="BR122" i="1"/>
  <c r="BS122" i="1"/>
  <c r="BS175" i="1" s="1"/>
  <c r="BT122" i="1"/>
  <c r="BT175" i="1" s="1"/>
  <c r="BU122" i="1"/>
  <c r="BV122" i="1"/>
  <c r="BW122" i="1"/>
  <c r="BW175" i="1" s="1"/>
  <c r="BX122" i="1"/>
  <c r="BX254" i="1" s="1"/>
  <c r="BY122" i="1"/>
  <c r="BZ122" i="1"/>
  <c r="CA122" i="1"/>
  <c r="CA175" i="1" s="1"/>
  <c r="CB122" i="1"/>
  <c r="CB175" i="1" s="1"/>
  <c r="CC122" i="1"/>
  <c r="CD122" i="1"/>
  <c r="CE122" i="1"/>
  <c r="CE175" i="1" s="1"/>
  <c r="CF122" i="1"/>
  <c r="CF175" i="1" s="1"/>
  <c r="CG122" i="1"/>
  <c r="CH122" i="1"/>
  <c r="CI122" i="1"/>
  <c r="CI175" i="1" s="1"/>
  <c r="CJ122" i="1"/>
  <c r="CJ254" i="1" s="1"/>
  <c r="CK122" i="1"/>
  <c r="CL122" i="1"/>
  <c r="CM122" i="1"/>
  <c r="CM175" i="1" s="1"/>
  <c r="CN122" i="1"/>
  <c r="CN175" i="1" s="1"/>
  <c r="CO122" i="1"/>
  <c r="CP122" i="1"/>
  <c r="C126" i="1"/>
  <c r="D126" i="1"/>
  <c r="I126" i="1"/>
  <c r="L126" i="1"/>
  <c r="L39" i="1" s="1"/>
  <c r="O126" i="1"/>
  <c r="P126" i="1" s="1"/>
  <c r="U126" i="1"/>
  <c r="U39" i="1" s="1"/>
  <c r="U189" i="1" s="1"/>
  <c r="Z126" i="1"/>
  <c r="Z39" i="1" s="1"/>
  <c r="Z189" i="1" s="1"/>
  <c r="AE126" i="1"/>
  <c r="AF126" i="1" s="1"/>
  <c r="AJ126" i="1"/>
  <c r="AJ39" i="1" s="1"/>
  <c r="AO126" i="1"/>
  <c r="AP126" i="1" s="1"/>
  <c r="AT126" i="1"/>
  <c r="AT39" i="1" s="1"/>
  <c r="AY126" i="1"/>
  <c r="AZ126" i="1" s="1"/>
  <c r="CA126" i="1"/>
  <c r="CF126" i="1"/>
  <c r="CK126" i="1"/>
  <c r="CP126" i="1"/>
  <c r="I127" i="1"/>
  <c r="N127" i="1"/>
  <c r="S127" i="1"/>
  <c r="X127" i="1"/>
  <c r="AC127" i="1"/>
  <c r="AH127" i="1"/>
  <c r="AI127" i="1"/>
  <c r="AI39" i="1" s="1"/>
  <c r="AK127" i="1"/>
  <c r="AO127" i="1"/>
  <c r="AW127" i="1"/>
  <c r="AX127" i="1"/>
  <c r="AX39" i="1" s="1"/>
  <c r="AX189" i="1" s="1"/>
  <c r="AY127" i="1"/>
  <c r="BD127" i="1" s="1"/>
  <c r="AZ127" i="1"/>
  <c r="BE127" i="1" s="1"/>
  <c r="BA127" i="1"/>
  <c r="F128" i="1"/>
  <c r="G128" i="1"/>
  <c r="H128" i="1"/>
  <c r="K128" i="1"/>
  <c r="P128" i="1"/>
  <c r="Q128" i="1" s="1"/>
  <c r="U128" i="1"/>
  <c r="V128" i="1" s="1"/>
  <c r="W128" i="1" s="1"/>
  <c r="X128" i="1" s="1"/>
  <c r="Y128" i="1"/>
  <c r="Z128" i="1" s="1"/>
  <c r="AA128" i="1"/>
  <c r="AE128" i="1"/>
  <c r="AF128" i="1" s="1"/>
  <c r="AG128" i="1" s="1"/>
  <c r="AJ128" i="1"/>
  <c r="AO128" i="1"/>
  <c r="AU128" i="1"/>
  <c r="AV128" i="1" s="1"/>
  <c r="AW128" i="1" s="1"/>
  <c r="AY128" i="1"/>
  <c r="AZ128" i="1"/>
  <c r="BA128" i="1"/>
  <c r="BC128" i="1"/>
  <c r="BD128" i="1"/>
  <c r="BE128" i="1"/>
  <c r="BF128" i="1"/>
  <c r="BH128" i="1"/>
  <c r="BI128" i="1"/>
  <c r="E131" i="1"/>
  <c r="F131" i="1"/>
  <c r="G131" i="1"/>
  <c r="H131" i="1"/>
  <c r="K131" i="1"/>
  <c r="L131" i="1" s="1"/>
  <c r="M131" i="1"/>
  <c r="O131" i="1"/>
  <c r="P131" i="1"/>
  <c r="Q131" i="1"/>
  <c r="R131" i="1"/>
  <c r="U131" i="1"/>
  <c r="V131" i="1"/>
  <c r="W131" i="1"/>
  <c r="Y131" i="1"/>
  <c r="Z131" i="1"/>
  <c r="AA131" i="1"/>
  <c r="AB131" i="1"/>
  <c r="AD131" i="1"/>
  <c r="AE131" i="1"/>
  <c r="AF131" i="1"/>
  <c r="AG131" i="1"/>
  <c r="AI131" i="1"/>
  <c r="AJ131" i="1"/>
  <c r="AK131" i="1"/>
  <c r="AL131" i="1"/>
  <c r="AO131" i="1"/>
  <c r="AP131" i="1"/>
  <c r="AQ131" i="1"/>
  <c r="AS131" i="1"/>
  <c r="AT131" i="1"/>
  <c r="AU131" i="1"/>
  <c r="AV131" i="1"/>
  <c r="AX131" i="1"/>
  <c r="AY131" i="1"/>
  <c r="AZ131" i="1"/>
  <c r="BA131" i="1"/>
  <c r="BC131" i="1"/>
  <c r="BD131" i="1"/>
  <c r="BE131" i="1"/>
  <c r="BF131" i="1"/>
  <c r="BI131" i="1"/>
  <c r="E132" i="1"/>
  <c r="F132" i="1"/>
  <c r="G132" i="1"/>
  <c r="H132" i="1"/>
  <c r="K132" i="1"/>
  <c r="L132" i="1" s="1"/>
  <c r="M132" i="1"/>
  <c r="O132" i="1"/>
  <c r="P132" i="1"/>
  <c r="Q132" i="1"/>
  <c r="R132" i="1"/>
  <c r="T132" i="1"/>
  <c r="U132" i="1"/>
  <c r="V132" i="1"/>
  <c r="W132" i="1"/>
  <c r="Y132" i="1"/>
  <c r="Z132" i="1"/>
  <c r="AA132" i="1"/>
  <c r="AB132" i="1"/>
  <c r="AD132" i="1"/>
  <c r="AE132" i="1"/>
  <c r="AF132" i="1"/>
  <c r="AG132" i="1"/>
  <c r="AI132" i="1"/>
  <c r="AJ132" i="1"/>
  <c r="AK132" i="1"/>
  <c r="AL132" i="1"/>
  <c r="AN132" i="1"/>
  <c r="AO132" i="1"/>
  <c r="AP132" i="1"/>
  <c r="AQ132" i="1"/>
  <c r="AT132" i="1"/>
  <c r="AU132" i="1"/>
  <c r="AV132" i="1"/>
  <c r="AX132" i="1"/>
  <c r="AY132" i="1"/>
  <c r="AZ132" i="1"/>
  <c r="BA132" i="1"/>
  <c r="BC132" i="1"/>
  <c r="BD132" i="1"/>
  <c r="BE132" i="1"/>
  <c r="BF132" i="1"/>
  <c r="BH132" i="1"/>
  <c r="BI132" i="1"/>
  <c r="F133" i="1"/>
  <c r="G133" i="1"/>
  <c r="H133" i="1"/>
  <c r="K133" i="1"/>
  <c r="P133" i="1"/>
  <c r="Q133" i="1"/>
  <c r="V133" i="1"/>
  <c r="W133" i="1"/>
  <c r="Z133" i="1"/>
  <c r="AA133" i="1"/>
  <c r="AB133" i="1"/>
  <c r="AE133" i="1"/>
  <c r="AF133" i="1"/>
  <c r="AG133" i="1"/>
  <c r="AI133" i="1"/>
  <c r="AJ133" i="1"/>
  <c r="AK133" i="1"/>
  <c r="AL133" i="1"/>
  <c r="AN133" i="1"/>
  <c r="AO133" i="1"/>
  <c r="AP133" i="1"/>
  <c r="AQ133" i="1"/>
  <c r="AS133" i="1"/>
  <c r="AT133" i="1"/>
  <c r="AU133" i="1"/>
  <c r="AV133" i="1"/>
  <c r="AX133" i="1"/>
  <c r="AY133" i="1"/>
  <c r="AZ133" i="1"/>
  <c r="BA133" i="1"/>
  <c r="BC133" i="1"/>
  <c r="BD133" i="1"/>
  <c r="BE133" i="1"/>
  <c r="BF133" i="1"/>
  <c r="BH133" i="1"/>
  <c r="BI133" i="1"/>
  <c r="E134" i="1"/>
  <c r="F134" i="1"/>
  <c r="G134" i="1"/>
  <c r="H134" i="1"/>
  <c r="K134" i="1"/>
  <c r="M134" i="1"/>
  <c r="O134" i="1"/>
  <c r="P134" i="1"/>
  <c r="Q134" i="1"/>
  <c r="R134" i="1"/>
  <c r="T134" i="1"/>
  <c r="U134" i="1"/>
  <c r="V134" i="1"/>
  <c r="W134" i="1"/>
  <c r="Y134" i="1"/>
  <c r="Z134" i="1"/>
  <c r="AA134" i="1"/>
  <c r="AB134" i="1"/>
  <c r="AD134" i="1"/>
  <c r="AE134" i="1"/>
  <c r="AF134" i="1"/>
  <c r="AG134" i="1"/>
  <c r="AI134" i="1"/>
  <c r="AJ134" i="1"/>
  <c r="AK134" i="1"/>
  <c r="AL134" i="1"/>
  <c r="AN134" i="1"/>
  <c r="AO134" i="1"/>
  <c r="AP134" i="1"/>
  <c r="AQ134" i="1"/>
  <c r="AS134" i="1"/>
  <c r="AT134" i="1"/>
  <c r="AU134" i="1"/>
  <c r="AV134" i="1"/>
  <c r="AX134" i="1"/>
  <c r="AY134" i="1"/>
  <c r="AZ134" i="1"/>
  <c r="BA134" i="1"/>
  <c r="BC134" i="1"/>
  <c r="BD134" i="1"/>
  <c r="BE134" i="1"/>
  <c r="BF134" i="1"/>
  <c r="BH134" i="1"/>
  <c r="BI134" i="1"/>
  <c r="E135" i="1"/>
  <c r="F135" i="1"/>
  <c r="G135" i="1"/>
  <c r="H135" i="1"/>
  <c r="K135" i="1"/>
  <c r="L135" i="1"/>
  <c r="M135" i="1"/>
  <c r="O135" i="1"/>
  <c r="P135" i="1"/>
  <c r="Q135" i="1"/>
  <c r="R135" i="1"/>
  <c r="U135" i="1"/>
  <c r="V135" i="1"/>
  <c r="W135" i="1"/>
  <c r="Z135" i="1"/>
  <c r="AA135" i="1"/>
  <c r="AB135" i="1"/>
  <c r="AE135" i="1"/>
  <c r="AF135" i="1"/>
  <c r="AG135" i="1"/>
  <c r="AI135" i="1"/>
  <c r="AJ135" i="1"/>
  <c r="AK135" i="1"/>
  <c r="AL135" i="1"/>
  <c r="AO135" i="1"/>
  <c r="AP135" i="1"/>
  <c r="AQ135" i="1"/>
  <c r="AU135" i="1"/>
  <c r="AV135" i="1"/>
  <c r="AZ135" i="1"/>
  <c r="BA135" i="1"/>
  <c r="BC135" i="1"/>
  <c r="BD135" i="1"/>
  <c r="BE135" i="1"/>
  <c r="BF135" i="1"/>
  <c r="BI135" i="1"/>
  <c r="BK135" i="1"/>
  <c r="E136" i="1"/>
  <c r="F136" i="1"/>
  <c r="G136" i="1"/>
  <c r="L136" i="1"/>
  <c r="M136" i="1"/>
  <c r="P136" i="1"/>
  <c r="Q136" i="1"/>
  <c r="R136" i="1"/>
  <c r="U136" i="1"/>
  <c r="V136" i="1"/>
  <c r="W136" i="1"/>
  <c r="Z136" i="1"/>
  <c r="AA136" i="1"/>
  <c r="AB136" i="1"/>
  <c r="AE136" i="1"/>
  <c r="AF136" i="1"/>
  <c r="AG136" i="1"/>
  <c r="AI136" i="1"/>
  <c r="AJ136" i="1"/>
  <c r="AK136" i="1"/>
  <c r="AL136" i="1"/>
  <c r="AO136" i="1"/>
  <c r="AP136" i="1"/>
  <c r="AQ136" i="1"/>
  <c r="AT136" i="1"/>
  <c r="AU136" i="1"/>
  <c r="AV136" i="1"/>
  <c r="AY136" i="1"/>
  <c r="AZ136" i="1"/>
  <c r="BA136" i="1"/>
  <c r="BC136" i="1"/>
  <c r="BD136" i="1"/>
  <c r="BE136" i="1"/>
  <c r="BF136" i="1"/>
  <c r="BI136" i="1"/>
  <c r="K137" i="1"/>
  <c r="K163" i="1" s="1"/>
  <c r="P137" i="1"/>
  <c r="U137" i="1"/>
  <c r="V137" i="1" s="1"/>
  <c r="Y137" i="1"/>
  <c r="Y163" i="1" s="1"/>
  <c r="Y165" i="1" s="1"/>
  <c r="Y166" i="1" s="1"/>
  <c r="AE137" i="1"/>
  <c r="AJ137" i="1"/>
  <c r="AO137" i="1"/>
  <c r="AP137" i="1" s="1"/>
  <c r="AQ137" i="1" s="1"/>
  <c r="AT137" i="1"/>
  <c r="AU137" i="1" s="1"/>
  <c r="AY137" i="1"/>
  <c r="BD137" i="1"/>
  <c r="BE137" i="1" s="1"/>
  <c r="BI137" i="1"/>
  <c r="BJ137" i="1" s="1"/>
  <c r="F140" i="1"/>
  <c r="K140" i="1"/>
  <c r="L140" i="1" s="1"/>
  <c r="O140" i="1"/>
  <c r="P140" i="1" s="1"/>
  <c r="U140" i="1"/>
  <c r="Z140" i="1"/>
  <c r="Z164" i="1" s="1"/>
  <c r="AE140" i="1"/>
  <c r="AJ140" i="1"/>
  <c r="AJ164" i="1" s="1"/>
  <c r="AO140" i="1"/>
  <c r="AO164" i="1" s="1"/>
  <c r="AT140" i="1"/>
  <c r="AU140" i="1" s="1"/>
  <c r="AV140" i="1" s="1"/>
  <c r="AY140" i="1"/>
  <c r="AY143" i="1" s="1"/>
  <c r="BD140" i="1"/>
  <c r="BE140" i="1" s="1"/>
  <c r="BF140" i="1" s="1"/>
  <c r="BI140" i="1"/>
  <c r="I141" i="1"/>
  <c r="M141" i="1"/>
  <c r="Q141" i="1"/>
  <c r="R141" i="1" s="1"/>
  <c r="V141" i="1"/>
  <c r="W141" i="1" s="1"/>
  <c r="AC141" i="1"/>
  <c r="AH141" i="1"/>
  <c r="AJ141" i="1"/>
  <c r="AR141" i="1"/>
  <c r="AW141" i="1"/>
  <c r="BB141" i="1"/>
  <c r="BG141" i="1"/>
  <c r="BL141" i="1"/>
  <c r="CA141" i="1"/>
  <c r="CF141" i="1"/>
  <c r="CK141" i="1"/>
  <c r="CP141" i="1"/>
  <c r="C142" i="1"/>
  <c r="C143" i="1" s="1"/>
  <c r="F142" i="1"/>
  <c r="G142" i="1" s="1"/>
  <c r="G239" i="1" s="1"/>
  <c r="I142" i="1"/>
  <c r="K142" i="1"/>
  <c r="N142" i="1"/>
  <c r="O142" i="1"/>
  <c r="T142" i="1"/>
  <c r="U142" i="1" s="1"/>
  <c r="Z142" i="1"/>
  <c r="AA142" i="1" s="1"/>
  <c r="AA239" i="1" s="1"/>
  <c r="AE142" i="1"/>
  <c r="AF142" i="1" s="1"/>
  <c r="AJ142" i="1"/>
  <c r="AK142" i="1" s="1"/>
  <c r="AN142" i="1"/>
  <c r="AN143" i="1" s="1"/>
  <c r="AT142" i="1"/>
  <c r="AU142" i="1" s="1"/>
  <c r="AZ142" i="1"/>
  <c r="BA142" i="1" s="1"/>
  <c r="BD142" i="1"/>
  <c r="BE142" i="1" s="1"/>
  <c r="BI142" i="1"/>
  <c r="BI239" i="1" s="1"/>
  <c r="BQ142" i="1"/>
  <c r="BV142" i="1"/>
  <c r="CA142" i="1"/>
  <c r="CA239" i="1" s="1"/>
  <c r="CF142" i="1"/>
  <c r="CF239" i="1" s="1"/>
  <c r="CK142" i="1"/>
  <c r="CP142" i="1"/>
  <c r="D143" i="1"/>
  <c r="E143" i="1"/>
  <c r="J143" i="1"/>
  <c r="Y143" i="1"/>
  <c r="AD143" i="1"/>
  <c r="AI143" i="1"/>
  <c r="AS143" i="1"/>
  <c r="AX143" i="1"/>
  <c r="BC143" i="1"/>
  <c r="BH143" i="1"/>
  <c r="F146" i="1"/>
  <c r="K146" i="1"/>
  <c r="L146" i="1" s="1"/>
  <c r="P146" i="1"/>
  <c r="Q146" i="1" s="1"/>
  <c r="T146" i="1"/>
  <c r="U146" i="1"/>
  <c r="V146" i="1" s="1"/>
  <c r="W146" i="1" s="1"/>
  <c r="Y146" i="1"/>
  <c r="Z146" i="1" s="1"/>
  <c r="AE146" i="1"/>
  <c r="AF146" i="1" s="1"/>
  <c r="AJ146" i="1"/>
  <c r="AO146" i="1"/>
  <c r="AP146" i="1" s="1"/>
  <c r="AQ146" i="1" s="1"/>
  <c r="AT146" i="1"/>
  <c r="AT152" i="1" s="1"/>
  <c r="AY146" i="1"/>
  <c r="AZ146" i="1" s="1"/>
  <c r="BD146" i="1"/>
  <c r="BI146" i="1"/>
  <c r="BJ146" i="1" s="1"/>
  <c r="BK146" i="1" s="1"/>
  <c r="F148" i="1"/>
  <c r="M148" i="1"/>
  <c r="S148" i="1"/>
  <c r="U148" i="1"/>
  <c r="AB148" i="1"/>
  <c r="AC148" i="1" s="1"/>
  <c r="AF148" i="1"/>
  <c r="AG148" i="1" s="1"/>
  <c r="AH148" i="1" s="1"/>
  <c r="AK148" i="1"/>
  <c r="AL148" i="1" s="1"/>
  <c r="AM148" i="1" s="1"/>
  <c r="AQ148" i="1"/>
  <c r="AR148" i="1" s="1"/>
  <c r="AU148" i="1"/>
  <c r="AV148" i="1" s="1"/>
  <c r="AW148" i="1" s="1"/>
  <c r="AZ148" i="1"/>
  <c r="BA148" i="1" s="1"/>
  <c r="BB148" i="1" s="1"/>
  <c r="BG148" i="1"/>
  <c r="BH148" i="1"/>
  <c r="BI148" i="1" s="1"/>
  <c r="BJ148" i="1" s="1"/>
  <c r="BK148" i="1" s="1"/>
  <c r="F149" i="1"/>
  <c r="G149" i="1" s="1"/>
  <c r="I149" i="1"/>
  <c r="I152" i="1" s="1"/>
  <c r="K149" i="1"/>
  <c r="L149" i="1" s="1"/>
  <c r="N149" i="1"/>
  <c r="N152" i="1" s="1"/>
  <c r="P149" i="1"/>
  <c r="Q149" i="1" s="1"/>
  <c r="R149" i="1" s="1"/>
  <c r="T149" i="1"/>
  <c r="U149" i="1" s="1"/>
  <c r="Y149" i="1"/>
  <c r="Z149" i="1" s="1"/>
  <c r="AD149" i="1"/>
  <c r="AE149" i="1" s="1"/>
  <c r="AI149" i="1"/>
  <c r="AI152" i="1" s="1"/>
  <c r="AI155" i="1" s="1"/>
  <c r="AN149" i="1"/>
  <c r="AO149" i="1" s="1"/>
  <c r="AT149" i="1"/>
  <c r="AY149" i="1"/>
  <c r="BC149" i="1"/>
  <c r="BD149" i="1" s="1"/>
  <c r="BH149" i="1"/>
  <c r="F151" i="1"/>
  <c r="G151" i="1" s="1"/>
  <c r="K151" i="1"/>
  <c r="L151" i="1" s="1"/>
  <c r="P151" i="1"/>
  <c r="T151" i="1"/>
  <c r="U151" i="1" s="1"/>
  <c r="Z151" i="1"/>
  <c r="AA151" i="1" s="1"/>
  <c r="AE151" i="1"/>
  <c r="AF151" i="1" s="1"/>
  <c r="AJ151" i="1"/>
  <c r="AK151" i="1" s="1"/>
  <c r="AO151" i="1"/>
  <c r="AP151" i="1" s="1"/>
  <c r="AT151" i="1"/>
  <c r="AU151" i="1" s="1"/>
  <c r="AY151" i="1"/>
  <c r="AZ151" i="1" s="1"/>
  <c r="BD151" i="1"/>
  <c r="BE151" i="1" s="1"/>
  <c r="BI151" i="1"/>
  <c r="BJ151" i="1" s="1"/>
  <c r="C152" i="1"/>
  <c r="D152" i="1"/>
  <c r="E152" i="1"/>
  <c r="J152" i="1"/>
  <c r="O152" i="1"/>
  <c r="AS152" i="1"/>
  <c r="AX152" i="1"/>
  <c r="AX155" i="1" s="1"/>
  <c r="S154" i="1"/>
  <c r="U154" i="1"/>
  <c r="V154" i="1"/>
  <c r="W154" i="1"/>
  <c r="Z154" i="1"/>
  <c r="AA154" i="1"/>
  <c r="AB154" i="1"/>
  <c r="AE154" i="1"/>
  <c r="AF154" i="1" s="1"/>
  <c r="AG154" i="1" s="1"/>
  <c r="AJ154" i="1"/>
  <c r="AK154" i="1" s="1"/>
  <c r="AL154" i="1" s="1"/>
  <c r="AO154" i="1"/>
  <c r="AP154" i="1" s="1"/>
  <c r="AT154" i="1"/>
  <c r="AU154" i="1" s="1"/>
  <c r="AV154" i="1" s="1"/>
  <c r="AY154" i="1"/>
  <c r="AZ154" i="1" s="1"/>
  <c r="BD154" i="1"/>
  <c r="BE154" i="1" s="1"/>
  <c r="BI154" i="1"/>
  <c r="BJ154" i="1" s="1"/>
  <c r="BK154" i="1" s="1"/>
  <c r="BZ154" i="1"/>
  <c r="CE154" i="1"/>
  <c r="CJ154" i="1"/>
  <c r="CO154" i="1"/>
  <c r="AS155" i="1"/>
  <c r="E156" i="1"/>
  <c r="I156" i="1"/>
  <c r="N156" i="1"/>
  <c r="C157" i="1"/>
  <c r="D156" i="1" s="1"/>
  <c r="D155" i="1" s="1"/>
  <c r="E157" i="1"/>
  <c r="F156" i="1" s="1"/>
  <c r="F157" i="1"/>
  <c r="G157" i="1"/>
  <c r="H156" i="1" s="1"/>
  <c r="H157" i="1"/>
  <c r="I157" i="1"/>
  <c r="D163" i="1"/>
  <c r="D165" i="1" s="1"/>
  <c r="I163" i="1"/>
  <c r="I165" i="1" s="1"/>
  <c r="I166" i="1" s="1"/>
  <c r="J163" i="1"/>
  <c r="J165" i="1" s="1"/>
  <c r="N163" i="1"/>
  <c r="N165" i="1" s="1"/>
  <c r="N166" i="1" s="1"/>
  <c r="O163" i="1"/>
  <c r="P163" i="1"/>
  <c r="T163" i="1"/>
  <c r="T165" i="1" s="1"/>
  <c r="T166" i="1" s="1"/>
  <c r="AD163" i="1"/>
  <c r="AD165" i="1" s="1"/>
  <c r="AD166" i="1" s="1"/>
  <c r="AE163" i="1"/>
  <c r="AI163" i="1"/>
  <c r="AI165" i="1" s="1"/>
  <c r="AI166" i="1" s="1"/>
  <c r="AJ163" i="1"/>
  <c r="AJ165" i="1" s="1"/>
  <c r="AJ166" i="1" s="1"/>
  <c r="AN163" i="1"/>
  <c r="AN165" i="1" s="1"/>
  <c r="AS163" i="1"/>
  <c r="AS165" i="1" s="1"/>
  <c r="AS166" i="1" s="1"/>
  <c r="AX163" i="1"/>
  <c r="AX165" i="1" s="1"/>
  <c r="AY163" i="1"/>
  <c r="BC163" i="1"/>
  <c r="BD163" i="1"/>
  <c r="BH163" i="1"/>
  <c r="BH165" i="1" s="1"/>
  <c r="C164" i="1"/>
  <c r="D164" i="1"/>
  <c r="I164" i="1"/>
  <c r="N164" i="1"/>
  <c r="T164" i="1"/>
  <c r="Y164" i="1"/>
  <c r="AD164" i="1"/>
  <c r="AE164" i="1"/>
  <c r="AI164" i="1"/>
  <c r="AN164" i="1"/>
  <c r="AS164" i="1"/>
  <c r="AX164" i="1"/>
  <c r="AY164" i="1"/>
  <c r="BC164" i="1"/>
  <c r="BH164" i="1"/>
  <c r="BI164" i="1"/>
  <c r="O165" i="1"/>
  <c r="O166" i="1" s="1"/>
  <c r="BC165" i="1"/>
  <c r="C168" i="1"/>
  <c r="D168" i="1"/>
  <c r="N168" i="1"/>
  <c r="O168" i="1"/>
  <c r="AS168" i="1"/>
  <c r="AW171" i="1"/>
  <c r="AZ171" i="1"/>
  <c r="BB171" i="1" s="1"/>
  <c r="BD171" i="1"/>
  <c r="BE171" i="1" s="1"/>
  <c r="BE173" i="1" s="1"/>
  <c r="BI171" i="1"/>
  <c r="BA172" i="1"/>
  <c r="BH172" i="1"/>
  <c r="AW173" i="1"/>
  <c r="AY173" i="1"/>
  <c r="BB173" i="1"/>
  <c r="BC173" i="1"/>
  <c r="BD173" i="1"/>
  <c r="E175" i="1"/>
  <c r="F175" i="1"/>
  <c r="I175" i="1"/>
  <c r="J175" i="1"/>
  <c r="M175" i="1"/>
  <c r="N175" i="1"/>
  <c r="Q175" i="1"/>
  <c r="R175" i="1"/>
  <c r="U175" i="1"/>
  <c r="V175" i="1"/>
  <c r="Y175" i="1"/>
  <c r="Z175" i="1"/>
  <c r="AC175" i="1"/>
  <c r="AD175" i="1"/>
  <c r="AG175" i="1"/>
  <c r="AH175" i="1"/>
  <c r="AK175" i="1"/>
  <c r="AL175" i="1"/>
  <c r="AO175" i="1"/>
  <c r="AP175" i="1"/>
  <c r="AS175" i="1"/>
  <c r="AT175" i="1"/>
  <c r="AW175" i="1"/>
  <c r="AX175" i="1"/>
  <c r="BA175" i="1"/>
  <c r="BB175" i="1"/>
  <c r="BE175" i="1"/>
  <c r="BF175" i="1"/>
  <c r="BI175" i="1"/>
  <c r="BJ175" i="1"/>
  <c r="BM175" i="1"/>
  <c r="BN175" i="1"/>
  <c r="BQ175" i="1"/>
  <c r="BR175" i="1"/>
  <c r="BU175" i="1"/>
  <c r="BV175" i="1"/>
  <c r="BY175" i="1"/>
  <c r="BZ175" i="1"/>
  <c r="CC175" i="1"/>
  <c r="CD175" i="1"/>
  <c r="CG175" i="1"/>
  <c r="CH175" i="1"/>
  <c r="CK175" i="1"/>
  <c r="CL175" i="1"/>
  <c r="CO175" i="1"/>
  <c r="CP175" i="1"/>
  <c r="J176" i="1"/>
  <c r="K176" i="1"/>
  <c r="L176" i="1"/>
  <c r="M176" i="1"/>
  <c r="O176" i="1"/>
  <c r="P176" i="1"/>
  <c r="Q176" i="1"/>
  <c r="R176" i="1"/>
  <c r="T176" i="1"/>
  <c r="U176" i="1"/>
  <c r="V176" i="1"/>
  <c r="W176" i="1"/>
  <c r="Y176" i="1"/>
  <c r="Z176" i="1"/>
  <c r="AA176" i="1"/>
  <c r="AB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BI176" i="1"/>
  <c r="BX176" i="1" s="1"/>
  <c r="CC176" i="1" s="1"/>
  <c r="CH176" i="1" s="1"/>
  <c r="CM176" i="1" s="1"/>
  <c r="C178" i="1"/>
  <c r="D178" i="1"/>
  <c r="F178" i="1"/>
  <c r="G178" i="1"/>
  <c r="J178" i="1"/>
  <c r="M178" i="1"/>
  <c r="O178" i="1"/>
  <c r="R178" i="1"/>
  <c r="U178" i="1"/>
  <c r="V178" i="1"/>
  <c r="W178" i="1"/>
  <c r="AA178" i="1"/>
  <c r="AB178" i="1"/>
  <c r="AD178" i="1"/>
  <c r="AF178" i="1"/>
  <c r="AG178" i="1"/>
  <c r="AI178" i="1"/>
  <c r="AK178" i="1"/>
  <c r="AL178" i="1"/>
  <c r="AN178" i="1"/>
  <c r="AP178" i="1"/>
  <c r="AQ178" i="1"/>
  <c r="AS178" i="1"/>
  <c r="AU178" i="1"/>
  <c r="AV178" i="1"/>
  <c r="AY178" i="1"/>
  <c r="AZ178" i="1"/>
  <c r="BA178" i="1"/>
  <c r="BC178" i="1"/>
  <c r="BD178" i="1"/>
  <c r="BE178" i="1"/>
  <c r="BF178" i="1"/>
  <c r="BH178" i="1"/>
  <c r="BI178" i="1"/>
  <c r="C179" i="1"/>
  <c r="D179" i="1"/>
  <c r="E179" i="1"/>
  <c r="F179" i="1"/>
  <c r="G179" i="1"/>
  <c r="H179" i="1"/>
  <c r="I179" i="1"/>
  <c r="J179" i="1"/>
  <c r="L179" i="1"/>
  <c r="M179" i="1"/>
  <c r="O179" i="1"/>
  <c r="Q179" i="1"/>
  <c r="R179" i="1"/>
  <c r="T179" i="1"/>
  <c r="U179" i="1"/>
  <c r="V179" i="1"/>
  <c r="Y179" i="1"/>
  <c r="Z179" i="1"/>
  <c r="AA179" i="1"/>
  <c r="AD179" i="1"/>
  <c r="AE179" i="1"/>
  <c r="AF179" i="1"/>
  <c r="AG179" i="1"/>
  <c r="AI179" i="1"/>
  <c r="AK179" i="1"/>
  <c r="AP179" i="1"/>
  <c r="AQ179" i="1"/>
  <c r="AS179" i="1"/>
  <c r="AT179" i="1"/>
  <c r="AU179" i="1"/>
  <c r="AV179" i="1"/>
  <c r="AW179" i="1"/>
  <c r="AX179" i="1"/>
  <c r="AY179" i="1"/>
  <c r="AZ179" i="1"/>
  <c r="BA179" i="1"/>
  <c r="BB179" i="1"/>
  <c r="BC179" i="1"/>
  <c r="BD179" i="1"/>
  <c r="BE179" i="1"/>
  <c r="BF179" i="1"/>
  <c r="BG179" i="1"/>
  <c r="BH179" i="1"/>
  <c r="BI179" i="1"/>
  <c r="C180" i="1"/>
  <c r="D180" i="1"/>
  <c r="E180" i="1"/>
  <c r="F180" i="1"/>
  <c r="G180" i="1"/>
  <c r="H180" i="1"/>
  <c r="J180" i="1"/>
  <c r="L180" i="1"/>
  <c r="M180" i="1"/>
  <c r="O180" i="1"/>
  <c r="P180" i="1"/>
  <c r="Q180" i="1"/>
  <c r="R180" i="1"/>
  <c r="T180" i="1"/>
  <c r="U180" i="1"/>
  <c r="V180" i="1"/>
  <c r="W180" i="1"/>
  <c r="Y180" i="1"/>
  <c r="Z180" i="1"/>
  <c r="AA180" i="1"/>
  <c r="AB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S180" i="1"/>
  <c r="AT180" i="1"/>
  <c r="AU180" i="1"/>
  <c r="AV180" i="1"/>
  <c r="AX180" i="1"/>
  <c r="AY180" i="1"/>
  <c r="AZ180" i="1"/>
  <c r="BA180" i="1"/>
  <c r="BB180" i="1"/>
  <c r="BC180" i="1"/>
  <c r="BD180" i="1"/>
  <c r="BE180" i="1"/>
  <c r="BF180" i="1"/>
  <c r="BG180" i="1"/>
  <c r="BH180" i="1"/>
  <c r="BI180" i="1"/>
  <c r="E181" i="1"/>
  <c r="F181" i="1"/>
  <c r="J181" i="1"/>
  <c r="K181" i="1"/>
  <c r="L181" i="1"/>
  <c r="M181" i="1"/>
  <c r="P181" i="1"/>
  <c r="Q181" i="1"/>
  <c r="AG181" i="1"/>
  <c r="AL181" i="1"/>
  <c r="AQ181" i="1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W182" i="1"/>
  <c r="AX182" i="1"/>
  <c r="AY182" i="1"/>
  <c r="AZ182" i="1"/>
  <c r="BA182" i="1"/>
  <c r="BB182" i="1"/>
  <c r="BC182" i="1"/>
  <c r="BD182" i="1"/>
  <c r="BE182" i="1"/>
  <c r="BF182" i="1"/>
  <c r="BG182" i="1"/>
  <c r="BH182" i="1"/>
  <c r="BI182" i="1"/>
  <c r="C183" i="1"/>
  <c r="D183" i="1" s="1"/>
  <c r="I183" i="1" s="1"/>
  <c r="E183" i="1"/>
  <c r="F183" i="1"/>
  <c r="G183" i="1"/>
  <c r="H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S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BU183" i="1" s="1"/>
  <c r="BZ183" i="1" s="1"/>
  <c r="CE183" i="1" s="1"/>
  <c r="CJ183" i="1" s="1"/>
  <c r="CO183" i="1" s="1"/>
  <c r="BG183" i="1"/>
  <c r="BH183" i="1"/>
  <c r="BW183" i="1" s="1"/>
  <c r="CB183" i="1" s="1"/>
  <c r="CG183" i="1" s="1"/>
  <c r="BI183" i="1"/>
  <c r="C184" i="1"/>
  <c r="D184" i="1"/>
  <c r="F184" i="1"/>
  <c r="G184" i="1"/>
  <c r="J184" i="1"/>
  <c r="M184" i="1"/>
  <c r="O184" i="1"/>
  <c r="R184" i="1"/>
  <c r="U184" i="1"/>
  <c r="V184" i="1"/>
  <c r="W184" i="1"/>
  <c r="AA184" i="1"/>
  <c r="AB184" i="1"/>
  <c r="AD184" i="1"/>
  <c r="AF184" i="1"/>
  <c r="AG184" i="1"/>
  <c r="AI184" i="1"/>
  <c r="AK184" i="1"/>
  <c r="AL184" i="1"/>
  <c r="AN184" i="1"/>
  <c r="AP184" i="1"/>
  <c r="AQ184" i="1"/>
  <c r="AS184" i="1"/>
  <c r="AU184" i="1"/>
  <c r="AV184" i="1"/>
  <c r="AX184" i="1"/>
  <c r="AZ184" i="1"/>
  <c r="BA184" i="1"/>
  <c r="BC184" i="1"/>
  <c r="BE184" i="1"/>
  <c r="BF184" i="1"/>
  <c r="BH184" i="1"/>
  <c r="BW184" i="1" s="1"/>
  <c r="CB184" i="1" s="1"/>
  <c r="CG184" i="1" s="1"/>
  <c r="CL184" i="1" s="1"/>
  <c r="C185" i="1"/>
  <c r="D185" i="1"/>
  <c r="E185" i="1"/>
  <c r="F185" i="1"/>
  <c r="G185" i="1"/>
  <c r="J185" i="1"/>
  <c r="L185" i="1"/>
  <c r="M185" i="1"/>
  <c r="O185" i="1"/>
  <c r="R185" i="1"/>
  <c r="T185" i="1"/>
  <c r="U185" i="1"/>
  <c r="V185" i="1"/>
  <c r="W185" i="1"/>
  <c r="Z185" i="1"/>
  <c r="AA185" i="1"/>
  <c r="AB185" i="1"/>
  <c r="AD185" i="1"/>
  <c r="AE185" i="1"/>
  <c r="AF185" i="1"/>
  <c r="AG185" i="1"/>
  <c r="AI185" i="1"/>
  <c r="AJ185" i="1"/>
  <c r="AK185" i="1"/>
  <c r="AL185" i="1"/>
  <c r="AN185" i="1"/>
  <c r="AO185" i="1"/>
  <c r="AP185" i="1"/>
  <c r="AQ185" i="1"/>
  <c r="AS185" i="1"/>
  <c r="AT185" i="1"/>
  <c r="AU185" i="1"/>
  <c r="AV185" i="1"/>
  <c r="AZ185" i="1"/>
  <c r="BE185" i="1"/>
  <c r="C186" i="1"/>
  <c r="E186" i="1"/>
  <c r="F186" i="1"/>
  <c r="G186" i="1"/>
  <c r="H186" i="1"/>
  <c r="J186" i="1"/>
  <c r="K186" i="1"/>
  <c r="L186" i="1"/>
  <c r="M186" i="1"/>
  <c r="O186" i="1"/>
  <c r="P186" i="1"/>
  <c r="Q186" i="1"/>
  <c r="U186" i="1"/>
  <c r="V186" i="1"/>
  <c r="W186" i="1"/>
  <c r="X186" i="1"/>
  <c r="Y186" i="1"/>
  <c r="Z186" i="1"/>
  <c r="AA186" i="1"/>
  <c r="AB186" i="1"/>
  <c r="AD186" i="1"/>
  <c r="AE186" i="1"/>
  <c r="AF186" i="1"/>
  <c r="AG186" i="1"/>
  <c r="AH186" i="1"/>
  <c r="AI186" i="1"/>
  <c r="AJ186" i="1"/>
  <c r="AK186" i="1"/>
  <c r="AL186" i="1"/>
  <c r="AN186" i="1"/>
  <c r="AO186" i="1"/>
  <c r="AP186" i="1"/>
  <c r="AQ186" i="1"/>
  <c r="AS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BU186" i="1" s="1"/>
  <c r="BZ186" i="1" s="1"/>
  <c r="CE186" i="1" s="1"/>
  <c r="CJ186" i="1" s="1"/>
  <c r="CO186" i="1" s="1"/>
  <c r="BH186" i="1"/>
  <c r="BW186" i="1" s="1"/>
  <c r="CB186" i="1" s="1"/>
  <c r="CG186" i="1" s="1"/>
  <c r="CL186" i="1" s="1"/>
  <c r="BI186" i="1"/>
  <c r="C187" i="1"/>
  <c r="D187" i="1"/>
  <c r="E187" i="1"/>
  <c r="F187" i="1"/>
  <c r="I187" i="1"/>
  <c r="J187" i="1"/>
  <c r="N187" i="1"/>
  <c r="O187" i="1"/>
  <c r="T187" i="1"/>
  <c r="U187" i="1"/>
  <c r="Y187" i="1"/>
  <c r="Z187" i="1"/>
  <c r="AD187" i="1"/>
  <c r="AI187" i="1"/>
  <c r="AJ187" i="1"/>
  <c r="AN187" i="1"/>
  <c r="AO187" i="1"/>
  <c r="AR187" i="1"/>
  <c r="AS187" i="1"/>
  <c r="AU187" i="1"/>
  <c r="AX187" i="1"/>
  <c r="AY187" i="1"/>
  <c r="BC187" i="1"/>
  <c r="BH187" i="1"/>
  <c r="BI187" i="1"/>
  <c r="C188" i="1"/>
  <c r="D188" i="1"/>
  <c r="E188" i="1"/>
  <c r="F188" i="1"/>
  <c r="I188" i="1"/>
  <c r="J188" i="1"/>
  <c r="K188" i="1"/>
  <c r="N188" i="1"/>
  <c r="T188" i="1"/>
  <c r="U188" i="1"/>
  <c r="Y188" i="1"/>
  <c r="AD188" i="1"/>
  <c r="AE188" i="1"/>
  <c r="AI188" i="1"/>
  <c r="AN188" i="1"/>
  <c r="AO188" i="1"/>
  <c r="AR188" i="1"/>
  <c r="AS188" i="1"/>
  <c r="AT188" i="1"/>
  <c r="AU188" i="1"/>
  <c r="AX188" i="1"/>
  <c r="BC188" i="1"/>
  <c r="BH188" i="1"/>
  <c r="BI188" i="1"/>
  <c r="C189" i="1"/>
  <c r="D189" i="1"/>
  <c r="H189" i="1"/>
  <c r="T189" i="1"/>
  <c r="AI189" i="1"/>
  <c r="AJ189" i="1"/>
  <c r="C190" i="1"/>
  <c r="D190" i="1"/>
  <c r="F190" i="1"/>
  <c r="G190" i="1"/>
  <c r="H190" i="1"/>
  <c r="K190" i="1"/>
  <c r="L190" i="1"/>
  <c r="M190" i="1"/>
  <c r="P190" i="1"/>
  <c r="Q190" i="1"/>
  <c r="R190" i="1"/>
  <c r="U190" i="1"/>
  <c r="V190" i="1"/>
  <c r="Z190" i="1"/>
  <c r="AA190" i="1"/>
  <c r="AB190" i="1"/>
  <c r="AD190" i="1"/>
  <c r="AE190" i="1"/>
  <c r="AF190" i="1"/>
  <c r="AG190" i="1"/>
  <c r="AI190" i="1"/>
  <c r="AJ190" i="1"/>
  <c r="AK190" i="1"/>
  <c r="AL190" i="1"/>
  <c r="AM190" i="1"/>
  <c r="AN190" i="1"/>
  <c r="AO190" i="1"/>
  <c r="AP190" i="1"/>
  <c r="AQ190" i="1"/>
  <c r="AS190" i="1"/>
  <c r="AT190" i="1"/>
  <c r="AU190" i="1"/>
  <c r="AV190" i="1"/>
  <c r="AX190" i="1"/>
  <c r="AY190" i="1"/>
  <c r="AZ190" i="1"/>
  <c r="BA190" i="1"/>
  <c r="BC190" i="1"/>
  <c r="BD190" i="1"/>
  <c r="BE190" i="1"/>
  <c r="BF190" i="1"/>
  <c r="BU190" i="1" s="1"/>
  <c r="BZ190" i="1" s="1"/>
  <c r="CE190" i="1" s="1"/>
  <c r="CJ190" i="1" s="1"/>
  <c r="CO190" i="1" s="1"/>
  <c r="BG190" i="1"/>
  <c r="BH190" i="1"/>
  <c r="BW190" i="1" s="1"/>
  <c r="CB190" i="1" s="1"/>
  <c r="CG190" i="1" s="1"/>
  <c r="CL190" i="1" s="1"/>
  <c r="BI190" i="1"/>
  <c r="C191" i="1"/>
  <c r="D191" i="1"/>
  <c r="F191" i="1"/>
  <c r="G191" i="1"/>
  <c r="J191" i="1"/>
  <c r="M191" i="1"/>
  <c r="O191" i="1"/>
  <c r="R191" i="1"/>
  <c r="U191" i="1"/>
  <c r="V191" i="1"/>
  <c r="W191" i="1"/>
  <c r="AA191" i="1"/>
  <c r="AB191" i="1"/>
  <c r="AD191" i="1"/>
  <c r="AF191" i="1"/>
  <c r="AG191" i="1"/>
  <c r="AI191" i="1"/>
  <c r="AK191" i="1"/>
  <c r="AL191" i="1"/>
  <c r="AN191" i="1"/>
  <c r="AP191" i="1"/>
  <c r="AQ191" i="1"/>
  <c r="AS191" i="1"/>
  <c r="AU191" i="1"/>
  <c r="AV191" i="1"/>
  <c r="AY191" i="1"/>
  <c r="AZ191" i="1"/>
  <c r="BA191" i="1"/>
  <c r="BC191" i="1"/>
  <c r="BD191" i="1"/>
  <c r="BE191" i="1"/>
  <c r="BF191" i="1"/>
  <c r="BH191" i="1"/>
  <c r="BI191" i="1"/>
  <c r="F192" i="1"/>
  <c r="M192" i="1"/>
  <c r="U192" i="1"/>
  <c r="AA192" i="1"/>
  <c r="AF192" i="1"/>
  <c r="AK192" i="1"/>
  <c r="AP192" i="1"/>
  <c r="AU192" i="1"/>
  <c r="AZ192" i="1"/>
  <c r="BE192" i="1"/>
  <c r="C193" i="1"/>
  <c r="D193" i="1"/>
  <c r="O193" i="1"/>
  <c r="R193" i="1"/>
  <c r="T193" i="1"/>
  <c r="W193" i="1"/>
  <c r="Y193" i="1"/>
  <c r="Z193" i="1"/>
  <c r="AA193" i="1"/>
  <c r="AD193" i="1"/>
  <c r="AE193" i="1"/>
  <c r="AF193" i="1"/>
  <c r="AI193" i="1"/>
  <c r="AJ193" i="1"/>
  <c r="AK193" i="1"/>
  <c r="AU193" i="1"/>
  <c r="AV193" i="1"/>
  <c r="AX193" i="1"/>
  <c r="AY193" i="1"/>
  <c r="AZ193" i="1"/>
  <c r="BA193" i="1"/>
  <c r="BB193" i="1"/>
  <c r="BC193" i="1"/>
  <c r="BD193" i="1"/>
  <c r="BE193" i="1"/>
  <c r="BF193" i="1"/>
  <c r="BG193" i="1"/>
  <c r="BH193" i="1"/>
  <c r="BW193" i="1" s="1"/>
  <c r="CB193" i="1" s="1"/>
  <c r="CG193" i="1" s="1"/>
  <c r="CL193" i="1" s="1"/>
  <c r="BI193" i="1"/>
  <c r="BX193" i="1" s="1"/>
  <c r="CC193" i="1" s="1"/>
  <c r="CH193" i="1" s="1"/>
  <c r="CM193" i="1" s="1"/>
  <c r="BT193" i="1"/>
  <c r="BY193" i="1" s="1"/>
  <c r="E194" i="1"/>
  <c r="F194" i="1"/>
  <c r="G194" i="1"/>
  <c r="H194" i="1"/>
  <c r="J194" i="1"/>
  <c r="K194" i="1"/>
  <c r="L194" i="1"/>
  <c r="M194" i="1"/>
  <c r="N194" i="1"/>
  <c r="P194" i="1"/>
  <c r="Q194" i="1"/>
  <c r="R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J194" i="1"/>
  <c r="AK194" i="1"/>
  <c r="AL194" i="1"/>
  <c r="AO194" i="1"/>
  <c r="AP194" i="1"/>
  <c r="AQ194" i="1"/>
  <c r="AR194" i="1"/>
  <c r="AS194" i="1"/>
  <c r="AT194" i="1"/>
  <c r="AU194" i="1"/>
  <c r="AV194" i="1"/>
  <c r="AW194" i="1"/>
  <c r="AX194" i="1"/>
  <c r="AY194" i="1"/>
  <c r="AZ194" i="1"/>
  <c r="BA194" i="1"/>
  <c r="BB194" i="1"/>
  <c r="BD194" i="1"/>
  <c r="BE194" i="1"/>
  <c r="BF194" i="1"/>
  <c r="BI194" i="1"/>
  <c r="BJ194" i="1"/>
  <c r="C195" i="1"/>
  <c r="D195" i="1"/>
  <c r="E195" i="1"/>
  <c r="F195" i="1"/>
  <c r="G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Y195" i="1"/>
  <c r="Z195" i="1"/>
  <c r="AA195" i="1"/>
  <c r="AB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S195" i="1"/>
  <c r="AT195" i="1"/>
  <c r="AU195" i="1"/>
  <c r="AV195" i="1"/>
  <c r="AX195" i="1"/>
  <c r="AY195" i="1"/>
  <c r="AZ195" i="1"/>
  <c r="BA195" i="1"/>
  <c r="BB195" i="1"/>
  <c r="BC195" i="1"/>
  <c r="BD195" i="1"/>
  <c r="BE195" i="1"/>
  <c r="BF195" i="1"/>
  <c r="BG195" i="1"/>
  <c r="BH195" i="1"/>
  <c r="BI195" i="1"/>
  <c r="BG197" i="1"/>
  <c r="E198" i="1"/>
  <c r="J198" i="1"/>
  <c r="O198" i="1"/>
  <c r="P198" i="1"/>
  <c r="T198" i="1"/>
  <c r="Y198" i="1"/>
  <c r="Z198" i="1"/>
  <c r="AD198" i="1"/>
  <c r="AE198" i="1"/>
  <c r="AI198" i="1"/>
  <c r="AN198" i="1"/>
  <c r="AO198" i="1"/>
  <c r="AS198" i="1"/>
  <c r="AT198" i="1"/>
  <c r="AX198" i="1"/>
  <c r="AY198" i="1"/>
  <c r="BC198" i="1"/>
  <c r="BH198" i="1"/>
  <c r="BI198" i="1"/>
  <c r="C199" i="1"/>
  <c r="C201" i="1"/>
  <c r="D201" i="1"/>
  <c r="D215" i="1" s="1"/>
  <c r="E201" i="1"/>
  <c r="E215" i="1" s="1"/>
  <c r="F201" i="1"/>
  <c r="G201" i="1"/>
  <c r="H201" i="1"/>
  <c r="H215" i="1" s="1"/>
  <c r="I201" i="1"/>
  <c r="I215" i="1" s="1"/>
  <c r="J201" i="1"/>
  <c r="K201" i="1"/>
  <c r="K215" i="1" s="1"/>
  <c r="L201" i="1"/>
  <c r="L215" i="1" s="1"/>
  <c r="M201" i="1"/>
  <c r="M215" i="1" s="1"/>
  <c r="O201" i="1"/>
  <c r="O215" i="1" s="1"/>
  <c r="P201" i="1"/>
  <c r="P215" i="1" s="1"/>
  <c r="Q201" i="1"/>
  <c r="Q215" i="1" s="1"/>
  <c r="R201" i="1"/>
  <c r="R215" i="1" s="1"/>
  <c r="T201" i="1"/>
  <c r="T215" i="1" s="1"/>
  <c r="U201" i="1"/>
  <c r="U215" i="1" s="1"/>
  <c r="V201" i="1"/>
  <c r="V215" i="1" s="1"/>
  <c r="Z201" i="1"/>
  <c r="Z215" i="1" s="1"/>
  <c r="AA201" i="1"/>
  <c r="AB201" i="1"/>
  <c r="AB215" i="1" s="1"/>
  <c r="AE201" i="1"/>
  <c r="AE215" i="1" s="1"/>
  <c r="AF201" i="1"/>
  <c r="AF215" i="1" s="1"/>
  <c r="AG201" i="1"/>
  <c r="AG215" i="1" s="1"/>
  <c r="AI201" i="1"/>
  <c r="AJ201" i="1"/>
  <c r="AJ215" i="1" s="1"/>
  <c r="AK201" i="1"/>
  <c r="AK215" i="1" s="1"/>
  <c r="AL201" i="1"/>
  <c r="AL215" i="1" s="1"/>
  <c r="AN201" i="1"/>
  <c r="AN215" i="1" s="1"/>
  <c r="AO201" i="1"/>
  <c r="AO215" i="1" s="1"/>
  <c r="AP201" i="1"/>
  <c r="AQ201" i="1"/>
  <c r="AQ215" i="1" s="1"/>
  <c r="AS201" i="1"/>
  <c r="AS215" i="1" s="1"/>
  <c r="AT201" i="1"/>
  <c r="AT215" i="1" s="1"/>
  <c r="AU201" i="1"/>
  <c r="AU215" i="1" s="1"/>
  <c r="AV201" i="1"/>
  <c r="AV215" i="1" s="1"/>
  <c r="AX201" i="1"/>
  <c r="AX215" i="1" s="1"/>
  <c r="AY201" i="1"/>
  <c r="AZ201" i="1"/>
  <c r="BA201" i="1"/>
  <c r="BA215" i="1" s="1"/>
  <c r="BC201" i="1"/>
  <c r="BC215" i="1" s="1"/>
  <c r="BD201" i="1"/>
  <c r="BD215" i="1" s="1"/>
  <c r="BE201" i="1"/>
  <c r="BE215" i="1" s="1"/>
  <c r="BH201" i="1"/>
  <c r="BH215" i="1" s="1"/>
  <c r="A202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X202" i="1"/>
  <c r="AY202" i="1"/>
  <c r="AZ202" i="1"/>
  <c r="BA202" i="1"/>
  <c r="BB202" i="1"/>
  <c r="BC202" i="1"/>
  <c r="BD202" i="1"/>
  <c r="BE202" i="1"/>
  <c r="BF202" i="1"/>
  <c r="BG202" i="1"/>
  <c r="BH202" i="1"/>
  <c r="BI202" i="1"/>
  <c r="A203" i="1"/>
  <c r="C203" i="1"/>
  <c r="D203" i="1"/>
  <c r="E203" i="1"/>
  <c r="F203" i="1"/>
  <c r="G203" i="1"/>
  <c r="H203" i="1"/>
  <c r="J203" i="1"/>
  <c r="K203" i="1"/>
  <c r="L203" i="1"/>
  <c r="M203" i="1"/>
  <c r="O203" i="1"/>
  <c r="O206" i="1" s="1"/>
  <c r="P203" i="1"/>
  <c r="Q203" i="1"/>
  <c r="R203" i="1"/>
  <c r="S203" i="1"/>
  <c r="T203" i="1"/>
  <c r="U203" i="1"/>
  <c r="V203" i="1"/>
  <c r="W203" i="1"/>
  <c r="Y203" i="1"/>
  <c r="Z203" i="1"/>
  <c r="AA203" i="1"/>
  <c r="AB203" i="1"/>
  <c r="AD203" i="1"/>
  <c r="AE203" i="1"/>
  <c r="AF203" i="1"/>
  <c r="AG203" i="1"/>
  <c r="AI203" i="1"/>
  <c r="AJ203" i="1"/>
  <c r="AK203" i="1"/>
  <c r="AL203" i="1"/>
  <c r="AM203" i="1"/>
  <c r="AN203" i="1"/>
  <c r="AO203" i="1"/>
  <c r="AP203" i="1"/>
  <c r="AQ203" i="1"/>
  <c r="AS203" i="1"/>
  <c r="AT203" i="1"/>
  <c r="AU203" i="1"/>
  <c r="AX203" i="1"/>
  <c r="AY203" i="1"/>
  <c r="AZ203" i="1"/>
  <c r="BA203" i="1"/>
  <c r="BC203" i="1"/>
  <c r="BD203" i="1"/>
  <c r="BE203" i="1"/>
  <c r="BF203" i="1"/>
  <c r="BG203" i="1"/>
  <c r="BH203" i="1"/>
  <c r="BI203" i="1"/>
  <c r="BJ203" i="1"/>
  <c r="A204" i="1"/>
  <c r="C204" i="1"/>
  <c r="D204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Y204" i="1"/>
  <c r="Z204" i="1"/>
  <c r="AA204" i="1"/>
  <c r="AB204" i="1"/>
  <c r="AC204" i="1"/>
  <c r="AD204" i="1"/>
  <c r="AE204" i="1"/>
  <c r="AF204" i="1"/>
  <c r="AG204" i="1"/>
  <c r="AH204" i="1"/>
  <c r="AI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A205" i="1"/>
  <c r="C205" i="1"/>
  <c r="D205" i="1"/>
  <c r="E205" i="1"/>
  <c r="F205" i="1"/>
  <c r="G205" i="1"/>
  <c r="H205" i="1"/>
  <c r="I205" i="1"/>
  <c r="J205" i="1"/>
  <c r="K205" i="1"/>
  <c r="L205" i="1"/>
  <c r="M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I205" i="1"/>
  <c r="AJ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X205" i="1"/>
  <c r="AY205" i="1"/>
  <c r="AZ205" i="1"/>
  <c r="BA205" i="1"/>
  <c r="BC205" i="1"/>
  <c r="BD205" i="1"/>
  <c r="BE205" i="1"/>
  <c r="BF205" i="1"/>
  <c r="BG205" i="1"/>
  <c r="BH205" i="1"/>
  <c r="BI205" i="1"/>
  <c r="BJ205" i="1"/>
  <c r="C207" i="1"/>
  <c r="G207" i="1"/>
  <c r="N214" i="1"/>
  <c r="Y214" i="1"/>
  <c r="Z214" i="1"/>
  <c r="AA214" i="1"/>
  <c r="F215" i="1"/>
  <c r="J215" i="1"/>
  <c r="AA215" i="1"/>
  <c r="AI215" i="1"/>
  <c r="AY215" i="1"/>
  <c r="AZ215" i="1"/>
  <c r="AZ216" i="1" s="1"/>
  <c r="AZ217" i="1" s="1"/>
  <c r="N217" i="1"/>
  <c r="Y217" i="1"/>
  <c r="Z217" i="1"/>
  <c r="AA217" i="1"/>
  <c r="L221" i="1"/>
  <c r="Q221" i="1"/>
  <c r="AP221" i="1"/>
  <c r="F226" i="1"/>
  <c r="M226" i="1"/>
  <c r="U226" i="1"/>
  <c r="AA226" i="1"/>
  <c r="AF226" i="1"/>
  <c r="AK226" i="1"/>
  <c r="AP226" i="1"/>
  <c r="AU226" i="1"/>
  <c r="AZ226" i="1"/>
  <c r="BA226" i="1"/>
  <c r="BE226" i="1"/>
  <c r="BF226" i="1"/>
  <c r="C227" i="1"/>
  <c r="D227" i="1"/>
  <c r="E227" i="1"/>
  <c r="F227" i="1"/>
  <c r="G227" i="1"/>
  <c r="H227" i="1"/>
  <c r="J227" i="1"/>
  <c r="K227" i="1"/>
  <c r="L227" i="1"/>
  <c r="M227" i="1"/>
  <c r="O227" i="1"/>
  <c r="P227" i="1"/>
  <c r="Q227" i="1"/>
  <c r="R227" i="1"/>
  <c r="T227" i="1"/>
  <c r="U227" i="1"/>
  <c r="V227" i="1"/>
  <c r="W227" i="1"/>
  <c r="X227" i="1"/>
  <c r="Y227" i="1"/>
  <c r="Z227" i="1"/>
  <c r="AA227" i="1"/>
  <c r="AB227" i="1"/>
  <c r="AD227" i="1"/>
  <c r="AE227" i="1"/>
  <c r="AF227" i="1"/>
  <c r="AG227" i="1"/>
  <c r="AI227" i="1"/>
  <c r="AJ227" i="1"/>
  <c r="AK227" i="1"/>
  <c r="AL227" i="1"/>
  <c r="AN227" i="1"/>
  <c r="AO227" i="1"/>
  <c r="AP227" i="1"/>
  <c r="AQ227" i="1"/>
  <c r="AR227" i="1"/>
  <c r="AS227" i="1"/>
  <c r="AT227" i="1"/>
  <c r="AU227" i="1"/>
  <c r="AV227" i="1"/>
  <c r="AX227" i="1"/>
  <c r="AY227" i="1"/>
  <c r="AZ227" i="1"/>
  <c r="BA227" i="1"/>
  <c r="BC227" i="1"/>
  <c r="BD227" i="1"/>
  <c r="BE227" i="1"/>
  <c r="BF227" i="1"/>
  <c r="BH227" i="1"/>
  <c r="BI227" i="1"/>
  <c r="C228" i="1"/>
  <c r="D228" i="1"/>
  <c r="E228" i="1"/>
  <c r="F228" i="1"/>
  <c r="G228" i="1"/>
  <c r="J228" i="1"/>
  <c r="L228" i="1"/>
  <c r="M228" i="1"/>
  <c r="O228" i="1"/>
  <c r="R228" i="1"/>
  <c r="T228" i="1"/>
  <c r="U228" i="1"/>
  <c r="V228" i="1"/>
  <c r="W228" i="1"/>
  <c r="Z228" i="1"/>
  <c r="AA228" i="1"/>
  <c r="AB228" i="1"/>
  <c r="AD228" i="1"/>
  <c r="AE228" i="1"/>
  <c r="AF228" i="1"/>
  <c r="AG228" i="1"/>
  <c r="AI228" i="1"/>
  <c r="AJ228" i="1"/>
  <c r="AK228" i="1"/>
  <c r="AL228" i="1"/>
  <c r="AN228" i="1"/>
  <c r="AO228" i="1"/>
  <c r="AP228" i="1"/>
  <c r="AQ228" i="1"/>
  <c r="AS228" i="1"/>
  <c r="AT228" i="1"/>
  <c r="AU228" i="1"/>
  <c r="AV228" i="1"/>
  <c r="AZ228" i="1"/>
  <c r="BE228" i="1"/>
  <c r="AK234" i="1"/>
  <c r="AS234" i="1"/>
  <c r="AT234" i="1"/>
  <c r="AU234" i="1"/>
  <c r="AV234" i="1"/>
  <c r="AX234" i="1"/>
  <c r="AY234" i="1"/>
  <c r="AZ234" i="1"/>
  <c r="BA234" i="1"/>
  <c r="BC234" i="1"/>
  <c r="BD234" i="1"/>
  <c r="BE234" i="1"/>
  <c r="BF234" i="1"/>
  <c r="BH234" i="1"/>
  <c r="BI234" i="1"/>
  <c r="BJ234" i="1"/>
  <c r="BM234" i="1"/>
  <c r="BN234" i="1"/>
  <c r="BO234" i="1"/>
  <c r="BQ234" i="1"/>
  <c r="BR234" i="1"/>
  <c r="BT234" i="1"/>
  <c r="BV234" i="1"/>
  <c r="BW234" i="1"/>
  <c r="CA234" i="1"/>
  <c r="CB234" i="1"/>
  <c r="CD234" i="1"/>
  <c r="CF234" i="1"/>
  <c r="CG234" i="1"/>
  <c r="CH234" i="1"/>
  <c r="CI234" i="1"/>
  <c r="CK234" i="1"/>
  <c r="CL234" i="1"/>
  <c r="CP234" i="1"/>
  <c r="U235" i="1"/>
  <c r="W235" i="1"/>
  <c r="X235" i="1"/>
  <c r="Y235" i="1"/>
  <c r="AA235" i="1"/>
  <c r="AB235" i="1"/>
  <c r="AC235" i="1"/>
  <c r="AE235" i="1"/>
  <c r="AF235" i="1"/>
  <c r="AG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Z235" i="1"/>
  <c r="BA235" i="1"/>
  <c r="BC235" i="1"/>
  <c r="BD235" i="1"/>
  <c r="BE235" i="1"/>
  <c r="BF235" i="1"/>
  <c r="BG235" i="1"/>
  <c r="BH235" i="1"/>
  <c r="BI235" i="1"/>
  <c r="BJ235" i="1"/>
  <c r="BM235" i="1"/>
  <c r="BR235" i="1"/>
  <c r="BS235" i="1"/>
  <c r="BT235" i="1"/>
  <c r="BW235" i="1"/>
  <c r="BX235" i="1"/>
  <c r="BY235" i="1"/>
  <c r="CB235" i="1"/>
  <c r="CC235" i="1"/>
  <c r="CD235" i="1"/>
  <c r="CF235" i="1"/>
  <c r="CG235" i="1"/>
  <c r="CH235" i="1"/>
  <c r="CI235" i="1"/>
  <c r="CK235" i="1"/>
  <c r="CL235" i="1"/>
  <c r="CM235" i="1"/>
  <c r="CN235" i="1"/>
  <c r="CP235" i="1"/>
  <c r="E239" i="1"/>
  <c r="F239" i="1"/>
  <c r="I239" i="1"/>
  <c r="J239" i="1"/>
  <c r="K239" i="1"/>
  <c r="N239" i="1"/>
  <c r="O239" i="1"/>
  <c r="Y239" i="1"/>
  <c r="Z239" i="1"/>
  <c r="AD239" i="1"/>
  <c r="AI239" i="1"/>
  <c r="AJ239" i="1"/>
  <c r="AN239" i="1"/>
  <c r="AS239" i="1"/>
  <c r="AT239" i="1"/>
  <c r="AX239" i="1"/>
  <c r="AY239" i="1"/>
  <c r="BC239" i="1"/>
  <c r="BD239" i="1"/>
  <c r="BH239" i="1"/>
  <c r="BM239" i="1"/>
  <c r="BN239" i="1"/>
  <c r="BO239" i="1"/>
  <c r="BP239" i="1"/>
  <c r="BQ239" i="1"/>
  <c r="BR239" i="1"/>
  <c r="BS239" i="1"/>
  <c r="BT239" i="1"/>
  <c r="BU239" i="1"/>
  <c r="BV239" i="1"/>
  <c r="BW239" i="1"/>
  <c r="BX239" i="1"/>
  <c r="BY239" i="1"/>
  <c r="BZ239" i="1"/>
  <c r="CB239" i="1"/>
  <c r="CC239" i="1"/>
  <c r="CD239" i="1"/>
  <c r="CE239" i="1"/>
  <c r="CG239" i="1"/>
  <c r="CH239" i="1"/>
  <c r="CI239" i="1"/>
  <c r="CJ239" i="1"/>
  <c r="CK239" i="1"/>
  <c r="CL239" i="1"/>
  <c r="CM239" i="1"/>
  <c r="CN239" i="1"/>
  <c r="CO239" i="1"/>
  <c r="CP239" i="1"/>
  <c r="AT248" i="1"/>
  <c r="AG249" i="1"/>
  <c r="AL249" i="1"/>
  <c r="AN249" i="1"/>
  <c r="AO249" i="1"/>
  <c r="AQ249" i="1"/>
  <c r="AS249" i="1"/>
  <c r="AT249" i="1"/>
  <c r="E254" i="1"/>
  <c r="F254" i="1"/>
  <c r="I254" i="1"/>
  <c r="J254" i="1"/>
  <c r="M254" i="1"/>
  <c r="N254" i="1"/>
  <c r="Q254" i="1"/>
  <c r="R254" i="1"/>
  <c r="U254" i="1"/>
  <c r="V254" i="1"/>
  <c r="Y254" i="1"/>
  <c r="Z254" i="1"/>
  <c r="AC254" i="1"/>
  <c r="AD254" i="1"/>
  <c r="AG254" i="1"/>
  <c r="AH254" i="1"/>
  <c r="AK254" i="1"/>
  <c r="AL254" i="1"/>
  <c r="AO254" i="1"/>
  <c r="AP254" i="1"/>
  <c r="AS254" i="1"/>
  <c r="AT254" i="1"/>
  <c r="AW254" i="1"/>
  <c r="AX254" i="1"/>
  <c r="BA254" i="1"/>
  <c r="BB254" i="1"/>
  <c r="BE254" i="1"/>
  <c r="BF254" i="1"/>
  <c r="BI254" i="1"/>
  <c r="BJ254" i="1"/>
  <c r="BM254" i="1"/>
  <c r="BN254" i="1"/>
  <c r="BQ254" i="1"/>
  <c r="BR254" i="1"/>
  <c r="BU254" i="1"/>
  <c r="BV254" i="1"/>
  <c r="BY254" i="1"/>
  <c r="BZ254" i="1"/>
  <c r="CC254" i="1"/>
  <c r="CD254" i="1"/>
  <c r="CG254" i="1"/>
  <c r="CH254" i="1"/>
  <c r="CK254" i="1"/>
  <c r="CL254" i="1"/>
  <c r="CO254" i="1"/>
  <c r="CP254" i="1"/>
  <c r="AQ256" i="1"/>
  <c r="AV256" i="1"/>
  <c r="BA256" i="1"/>
  <c r="AQ260" i="1"/>
  <c r="AV260" i="1"/>
  <c r="BA260" i="1"/>
  <c r="AQ261" i="1"/>
  <c r="AV261" i="1"/>
  <c r="BA261" i="1"/>
  <c r="AM264" i="1"/>
  <c r="AN264" i="1"/>
  <c r="AO264" i="1"/>
  <c r="AP264" i="1"/>
  <c r="AR264" i="1"/>
  <c r="AS264" i="1"/>
  <c r="AT264" i="1"/>
  <c r="AU264" i="1"/>
  <c r="AW264" i="1"/>
  <c r="AX264" i="1"/>
  <c r="AY264" i="1"/>
  <c r="AZ264" i="1"/>
  <c r="BB264" i="1"/>
  <c r="AM265" i="1"/>
  <c r="AN265" i="1"/>
  <c r="AO265" i="1"/>
  <c r="AP265" i="1"/>
  <c r="AR265" i="1"/>
  <c r="AS265" i="1"/>
  <c r="AT265" i="1"/>
  <c r="AU265" i="1"/>
  <c r="AW265" i="1"/>
  <c r="AX265" i="1"/>
  <c r="AY265" i="1"/>
  <c r="AZ265" i="1"/>
  <c r="BB265" i="1"/>
  <c r="AM266" i="1"/>
  <c r="AN266" i="1"/>
  <c r="AO266" i="1"/>
  <c r="AP266" i="1"/>
  <c r="AR266" i="1"/>
  <c r="AS266" i="1"/>
  <c r="AT266" i="1"/>
  <c r="AU266" i="1"/>
  <c r="AW266" i="1"/>
  <c r="AX266" i="1"/>
  <c r="AY266" i="1"/>
  <c r="AZ266" i="1"/>
  <c r="BB266" i="1"/>
  <c r="AM267" i="1"/>
  <c r="AN267" i="1"/>
  <c r="AO267" i="1"/>
  <c r="AP267" i="1"/>
  <c r="AR267" i="1"/>
  <c r="AS267" i="1"/>
  <c r="AT267" i="1"/>
  <c r="AU267" i="1"/>
  <c r="AW267" i="1"/>
  <c r="AX267" i="1"/>
  <c r="AY267" i="1"/>
  <c r="AZ267" i="1"/>
  <c r="BB267" i="1"/>
  <c r="AQ270" i="1"/>
  <c r="AV270" i="1"/>
  <c r="BA270" i="1"/>
  <c r="AQ271" i="1"/>
  <c r="AQ266" i="1" s="1"/>
  <c r="AV271" i="1"/>
  <c r="AV266" i="1" s="1"/>
  <c r="BA271" i="1"/>
  <c r="BA266" i="1" s="1"/>
  <c r="AQ272" i="1"/>
  <c r="AQ267" i="1" s="1"/>
  <c r="AV272" i="1"/>
  <c r="AV267" i="1" s="1"/>
  <c r="BA272" i="1"/>
  <c r="BA267" i="1" s="1"/>
  <c r="AQ273" i="1"/>
  <c r="AQ265" i="1" s="1"/>
  <c r="AV273" i="1"/>
  <c r="AV265" i="1" s="1"/>
  <c r="BA273" i="1"/>
  <c r="BA265" i="1" s="1"/>
  <c r="AQ274" i="1"/>
  <c r="AV274" i="1"/>
  <c r="BA274" i="1"/>
  <c r="AQ275" i="1"/>
  <c r="AV275" i="1"/>
  <c r="BA275" i="1"/>
  <c r="AQ276" i="1"/>
  <c r="AQ264" i="1" s="1"/>
  <c r="AV276" i="1"/>
  <c r="AV264" i="1" s="1"/>
  <c r="BA276" i="1"/>
  <c r="BA264" i="1" s="1"/>
  <c r="AQ277" i="1"/>
  <c r="AV277" i="1"/>
  <c r="BA277" i="1"/>
  <c r="AQ278" i="1"/>
  <c r="AV278" i="1"/>
  <c r="BA278" i="1"/>
  <c r="AQ279" i="1"/>
  <c r="AV279" i="1"/>
  <c r="BA279" i="1"/>
  <c r="AQ280" i="1"/>
  <c r="AV280" i="1"/>
  <c r="BA280" i="1"/>
  <c r="AQ281" i="1"/>
  <c r="AV281" i="1"/>
  <c r="BA281" i="1"/>
  <c r="AQ282" i="1"/>
  <c r="AV282" i="1"/>
  <c r="BA282" i="1"/>
  <c r="AQ283" i="1"/>
  <c r="AV283" i="1"/>
  <c r="BA283" i="1"/>
  <c r="AQ284" i="1"/>
  <c r="AV284" i="1"/>
  <c r="BA284" i="1"/>
  <c r="AQ287" i="1"/>
  <c r="AV287" i="1"/>
  <c r="BA287" i="1"/>
  <c r="AQ291" i="1"/>
  <c r="AV291" i="1"/>
  <c r="BA291" i="1"/>
  <c r="AQ292" i="1"/>
  <c r="AV292" i="1"/>
  <c r="BA292" i="1"/>
  <c r="AM295" i="1"/>
  <c r="AN295" i="1"/>
  <c r="AO295" i="1"/>
  <c r="AP295" i="1"/>
  <c r="AR295" i="1"/>
  <c r="AS295" i="1"/>
  <c r="AT295" i="1"/>
  <c r="AU295" i="1"/>
  <c r="AW295" i="1"/>
  <c r="AX295" i="1"/>
  <c r="AY295" i="1"/>
  <c r="AZ295" i="1"/>
  <c r="BB295" i="1"/>
  <c r="AM296" i="1"/>
  <c r="AN296" i="1"/>
  <c r="AO296" i="1"/>
  <c r="AP296" i="1"/>
  <c r="AR296" i="1"/>
  <c r="AS296" i="1"/>
  <c r="AT296" i="1"/>
  <c r="AU296" i="1"/>
  <c r="AW296" i="1"/>
  <c r="AX296" i="1"/>
  <c r="AY296" i="1"/>
  <c r="AZ296" i="1"/>
  <c r="BB296" i="1"/>
  <c r="AM297" i="1"/>
  <c r="AN297" i="1"/>
  <c r="AO297" i="1"/>
  <c r="AP297" i="1"/>
  <c r="AR297" i="1"/>
  <c r="AS297" i="1"/>
  <c r="AT297" i="1"/>
  <c r="AU297" i="1"/>
  <c r="AW297" i="1"/>
  <c r="AX297" i="1"/>
  <c r="AY297" i="1"/>
  <c r="AZ297" i="1"/>
  <c r="BB297" i="1"/>
  <c r="AM298" i="1"/>
  <c r="AN298" i="1"/>
  <c r="AO298" i="1"/>
  <c r="AP298" i="1"/>
  <c r="AR298" i="1"/>
  <c r="AS298" i="1"/>
  <c r="AT298" i="1"/>
  <c r="AU298" i="1"/>
  <c r="AW298" i="1"/>
  <c r="AX298" i="1"/>
  <c r="AY298" i="1"/>
  <c r="AZ298" i="1"/>
  <c r="BB298" i="1"/>
  <c r="AQ301" i="1"/>
  <c r="AV301" i="1"/>
  <c r="BA301" i="1"/>
  <c r="AQ302" i="1"/>
  <c r="AQ297" i="1" s="1"/>
  <c r="AV302" i="1"/>
  <c r="AV297" i="1" s="1"/>
  <c r="BA302" i="1"/>
  <c r="BA297" i="1" s="1"/>
  <c r="AQ303" i="1"/>
  <c r="AQ298" i="1" s="1"/>
  <c r="AV303" i="1"/>
  <c r="AV298" i="1" s="1"/>
  <c r="BA303" i="1"/>
  <c r="BA298" i="1" s="1"/>
  <c r="AQ304" i="1"/>
  <c r="AQ296" i="1" s="1"/>
  <c r="AV304" i="1"/>
  <c r="AV296" i="1" s="1"/>
  <c r="BA304" i="1"/>
  <c r="BA296" i="1" s="1"/>
  <c r="AQ305" i="1"/>
  <c r="AV305" i="1"/>
  <c r="BA305" i="1"/>
  <c r="AQ306" i="1"/>
  <c r="AV306" i="1"/>
  <c r="BA306" i="1"/>
  <c r="AQ307" i="1"/>
  <c r="AQ295" i="1" s="1"/>
  <c r="AV307" i="1"/>
  <c r="AV295" i="1" s="1"/>
  <c r="BA307" i="1"/>
  <c r="BA295" i="1" s="1"/>
  <c r="AQ308" i="1"/>
  <c r="AV308" i="1"/>
  <c r="BA308" i="1"/>
  <c r="AQ309" i="1"/>
  <c r="AV309" i="1"/>
  <c r="BA309" i="1"/>
  <c r="AQ310" i="1"/>
  <c r="AV310" i="1"/>
  <c r="BA310" i="1"/>
  <c r="AQ311" i="1"/>
  <c r="AV311" i="1"/>
  <c r="BA311" i="1"/>
  <c r="AQ312" i="1"/>
  <c r="AV312" i="1"/>
  <c r="BA312" i="1"/>
  <c r="AQ313" i="1"/>
  <c r="AV313" i="1"/>
  <c r="BA313" i="1"/>
  <c r="AQ314" i="1"/>
  <c r="AV314" i="1"/>
  <c r="BA314" i="1"/>
  <c r="AQ315" i="1"/>
  <c r="AV315" i="1"/>
  <c r="BA315" i="1"/>
  <c r="AQ318" i="1"/>
  <c r="AV318" i="1"/>
  <c r="BA318" i="1"/>
  <c r="AQ322" i="1"/>
  <c r="AV322" i="1"/>
  <c r="BA322" i="1"/>
  <c r="AQ323" i="1"/>
  <c r="AV323" i="1"/>
  <c r="BA323" i="1"/>
  <c r="AM326" i="1"/>
  <c r="AN326" i="1"/>
  <c r="AO326" i="1"/>
  <c r="AP326" i="1"/>
  <c r="AR326" i="1"/>
  <c r="AS326" i="1"/>
  <c r="AT326" i="1"/>
  <c r="AU326" i="1"/>
  <c r="AW326" i="1"/>
  <c r="AX326" i="1"/>
  <c r="AY326" i="1"/>
  <c r="AZ326" i="1"/>
  <c r="BB326" i="1"/>
  <c r="AM327" i="1"/>
  <c r="AN327" i="1"/>
  <c r="AO327" i="1"/>
  <c r="AP327" i="1"/>
  <c r="AR327" i="1"/>
  <c r="AS327" i="1"/>
  <c r="AT327" i="1"/>
  <c r="AU327" i="1"/>
  <c r="AW327" i="1"/>
  <c r="AX327" i="1"/>
  <c r="AY327" i="1"/>
  <c r="AZ327" i="1"/>
  <c r="BB327" i="1"/>
  <c r="AM328" i="1"/>
  <c r="AN328" i="1"/>
  <c r="AO328" i="1"/>
  <c r="AP328" i="1"/>
  <c r="AR328" i="1"/>
  <c r="AS328" i="1"/>
  <c r="AT328" i="1"/>
  <c r="AU328" i="1"/>
  <c r="AW328" i="1"/>
  <c r="AX328" i="1"/>
  <c r="AY328" i="1"/>
  <c r="AZ328" i="1"/>
  <c r="BB328" i="1"/>
  <c r="AM329" i="1"/>
  <c r="AN329" i="1"/>
  <c r="AO329" i="1"/>
  <c r="AP329" i="1"/>
  <c r="AR329" i="1"/>
  <c r="AS329" i="1"/>
  <c r="AT329" i="1"/>
  <c r="AU329" i="1"/>
  <c r="AW329" i="1"/>
  <c r="AX329" i="1"/>
  <c r="AY329" i="1"/>
  <c r="AZ329" i="1"/>
  <c r="BB329" i="1"/>
  <c r="AQ332" i="1"/>
  <c r="AV332" i="1"/>
  <c r="BA332" i="1"/>
  <c r="AQ333" i="1"/>
  <c r="AQ328" i="1" s="1"/>
  <c r="AV333" i="1"/>
  <c r="AV328" i="1" s="1"/>
  <c r="BA333" i="1"/>
  <c r="BA328" i="1" s="1"/>
  <c r="AQ334" i="1"/>
  <c r="AQ329" i="1" s="1"/>
  <c r="AV334" i="1"/>
  <c r="AV329" i="1" s="1"/>
  <c r="BA334" i="1"/>
  <c r="BA329" i="1" s="1"/>
  <c r="AQ335" i="1"/>
  <c r="AQ327" i="1" s="1"/>
  <c r="AV335" i="1"/>
  <c r="AV327" i="1" s="1"/>
  <c r="BA335" i="1"/>
  <c r="BA327" i="1" s="1"/>
  <c r="AQ336" i="1"/>
  <c r="AV336" i="1"/>
  <c r="BA336" i="1"/>
  <c r="AQ337" i="1"/>
  <c r="AV337" i="1"/>
  <c r="BA337" i="1"/>
  <c r="AQ338" i="1"/>
  <c r="AQ326" i="1" s="1"/>
  <c r="AV338" i="1"/>
  <c r="AV326" i="1" s="1"/>
  <c r="BA338" i="1"/>
  <c r="BA326" i="1" s="1"/>
  <c r="AQ339" i="1"/>
  <c r="AV339" i="1"/>
  <c r="BA339" i="1"/>
  <c r="AQ340" i="1"/>
  <c r="AV340" i="1"/>
  <c r="BA340" i="1"/>
  <c r="AQ341" i="1"/>
  <c r="AV341" i="1"/>
  <c r="BA341" i="1"/>
  <c r="AQ342" i="1"/>
  <c r="AV342" i="1"/>
  <c r="BA342" i="1"/>
  <c r="AQ343" i="1"/>
  <c r="AV343" i="1"/>
  <c r="BA343" i="1"/>
  <c r="AQ344" i="1"/>
  <c r="AV344" i="1"/>
  <c r="BA344" i="1"/>
  <c r="AQ345" i="1"/>
  <c r="AV345" i="1"/>
  <c r="BA345" i="1"/>
  <c r="AQ346" i="1"/>
  <c r="AV346" i="1"/>
  <c r="BA346" i="1"/>
  <c r="AC361" i="1"/>
  <c r="AD361" i="1"/>
  <c r="AE361" i="1"/>
  <c r="AF361" i="1"/>
  <c r="AG361" i="1"/>
  <c r="AI361" i="1"/>
  <c r="AJ361" i="1"/>
  <c r="AK361" i="1"/>
  <c r="AL361" i="1"/>
  <c r="AM361" i="1"/>
  <c r="AN361" i="1"/>
  <c r="AO361" i="1"/>
  <c r="AP361" i="1"/>
  <c r="AQ361" i="1"/>
  <c r="AS361" i="1"/>
  <c r="AT361" i="1"/>
  <c r="AU361" i="1"/>
  <c r="AV361" i="1"/>
  <c r="AW361" i="1"/>
  <c r="AX361" i="1"/>
  <c r="AY361" i="1"/>
  <c r="AZ361" i="1"/>
  <c r="BA361" i="1"/>
  <c r="BB361" i="1"/>
  <c r="BC361" i="1"/>
  <c r="BD361" i="1"/>
  <c r="BE361" i="1"/>
  <c r="BF361" i="1"/>
  <c r="BG361" i="1"/>
  <c r="BH361" i="1"/>
  <c r="BI361" i="1"/>
  <c r="AT362" i="1"/>
  <c r="AY362" i="1"/>
  <c r="AI366" i="1"/>
  <c r="AU366" i="1"/>
  <c r="BC366" i="1"/>
  <c r="AD367" i="1"/>
  <c r="AE367" i="1"/>
  <c r="AI367" i="1"/>
  <c r="AN367" i="1"/>
  <c r="AO367" i="1"/>
  <c r="AR367" i="1"/>
  <c r="AS367" i="1"/>
  <c r="AT367" i="1"/>
  <c r="AU367" i="1"/>
  <c r="AX367" i="1"/>
  <c r="BC367" i="1"/>
  <c r="BH367" i="1"/>
  <c r="BI367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AZ369" i="1"/>
  <c r="BA369" i="1"/>
  <c r="BB369" i="1"/>
  <c r="BC369" i="1"/>
  <c r="BD369" i="1"/>
  <c r="BE369" i="1"/>
  <c r="BF369" i="1"/>
  <c r="BG369" i="1"/>
  <c r="BH369" i="1"/>
  <c r="BI369" i="1"/>
  <c r="AH370" i="1"/>
  <c r="AM370" i="1"/>
  <c r="BG374" i="1"/>
  <c r="BG375" i="1"/>
  <c r="BG376" i="1"/>
  <c r="BG378" i="1"/>
  <c r="A380" i="1"/>
  <c r="BB380" i="1"/>
  <c r="A381" i="1"/>
  <c r="BB381" i="1"/>
  <c r="A382" i="1"/>
  <c r="BB382" i="1"/>
  <c r="G156" i="1"/>
  <c r="AZ149" i="1"/>
  <c r="BA149" i="1" s="1"/>
  <c r="AC186" i="1"/>
  <c r="BU176" i="1"/>
  <c r="BZ176" i="1" s="1"/>
  <c r="CE176" i="1" s="1"/>
  <c r="CJ176" i="1" s="1"/>
  <c r="CO176" i="1" s="1"/>
  <c r="AM154" i="1"/>
  <c r="AU149" i="1"/>
  <c r="AV149" i="1" s="1"/>
  <c r="P142" i="1"/>
  <c r="Q142" i="1" s="1"/>
  <c r="Q239" i="1" s="1"/>
  <c r="AP163" i="1"/>
  <c r="Y168" i="1"/>
  <c r="G148" i="1"/>
  <c r="H148" i="1" s="1"/>
  <c r="BE146" i="1"/>
  <c r="BF146" i="1" s="1"/>
  <c r="AK146" i="1"/>
  <c r="G146" i="1"/>
  <c r="BO135" i="1"/>
  <c r="I89" i="1"/>
  <c r="AX212" i="1"/>
  <c r="V212" i="1"/>
  <c r="F212" i="1"/>
  <c r="Q151" i="1"/>
  <c r="P168" i="1"/>
  <c r="K143" i="1"/>
  <c r="L142" i="1"/>
  <c r="L239" i="1" s="1"/>
  <c r="BG116" i="1"/>
  <c r="AS135" i="1"/>
  <c r="AS104" i="1"/>
  <c r="AS110" i="1" s="1"/>
  <c r="AX101" i="1"/>
  <c r="AX135" i="1" s="1"/>
  <c r="BL100" i="1"/>
  <c r="BL204" i="1" s="1"/>
  <c r="P152" i="1"/>
  <c r="S141" i="1"/>
  <c r="G140" i="1"/>
  <c r="H140" i="1" s="1"/>
  <c r="H188" i="1" s="1"/>
  <c r="Z137" i="1"/>
  <c r="Z163" i="1" s="1"/>
  <c r="Z165" i="1" s="1"/>
  <c r="Q137" i="1"/>
  <c r="R137" i="1" s="1"/>
  <c r="R163" i="1" s="1"/>
  <c r="BC127" i="1"/>
  <c r="AU126" i="1"/>
  <c r="AV126" i="1" s="1"/>
  <c r="AK126" i="1"/>
  <c r="AL126" i="1" s="1"/>
  <c r="AA126" i="1"/>
  <c r="AA39" i="1" s="1"/>
  <c r="AA189" i="1" s="1"/>
  <c r="S115" i="1"/>
  <c r="I109" i="1"/>
  <c r="I195" i="1" s="1"/>
  <c r="BB104" i="1"/>
  <c r="BB110" i="1" s="1"/>
  <c r="N104" i="1"/>
  <c r="BL102" i="1"/>
  <c r="AW85" i="1"/>
  <c r="AK141" i="1"/>
  <c r="AL141" i="1" s="1"/>
  <c r="AP140" i="1"/>
  <c r="AP164" i="1" s="1"/>
  <c r="AK140" i="1"/>
  <c r="AK164" i="1" s="1"/>
  <c r="AA140" i="1"/>
  <c r="AA188" i="1" s="1"/>
  <c r="V140" i="1"/>
  <c r="V164" i="1" s="1"/>
  <c r="AP128" i="1"/>
  <c r="AQ128" i="1" s="1"/>
  <c r="AR128" i="1" s="1"/>
  <c r="AK128" i="1"/>
  <c r="AL128" i="1" s="1"/>
  <c r="BF127" i="1"/>
  <c r="BF39" i="1" s="1"/>
  <c r="I39" i="1"/>
  <c r="I189" i="1" s="1"/>
  <c r="O39" i="1"/>
  <c r="AV104" i="1"/>
  <c r="AV110" i="1" s="1"/>
  <c r="AN104" i="1"/>
  <c r="AN110" i="1" s="1"/>
  <c r="Y83" i="1"/>
  <c r="AE39" i="1"/>
  <c r="AE189" i="1" s="1"/>
  <c r="Y24" i="1"/>
  <c r="U164" i="1"/>
  <c r="Y152" i="1"/>
  <c r="Y155" i="1" s="1"/>
  <c r="Z143" i="1"/>
  <c r="AZ137" i="1"/>
  <c r="AZ163" i="1" s="1"/>
  <c r="AK137" i="1"/>
  <c r="AK163" i="1" s="1"/>
  <c r="AF137" i="1"/>
  <c r="AG137" i="1" s="1"/>
  <c r="AG163" i="1" s="1"/>
  <c r="AB126" i="1"/>
  <c r="AB39" i="1" s="1"/>
  <c r="AB189" i="1" s="1"/>
  <c r="N126" i="1"/>
  <c r="N39" i="1" s="1"/>
  <c r="N189" i="1" s="1"/>
  <c r="AB89" i="1"/>
  <c r="AB94" i="1" s="1"/>
  <c r="H89" i="1"/>
  <c r="H94" i="1" s="1"/>
  <c r="AC62" i="1"/>
  <c r="AC47" i="1"/>
  <c r="AP1" i="1"/>
  <c r="T29" i="1"/>
  <c r="L29" i="1"/>
  <c r="S25" i="1"/>
  <c r="S180" i="1" s="1"/>
  <c r="K22" i="1"/>
  <c r="AW17" i="1"/>
  <c r="AW178" i="1" s="1"/>
  <c r="Q17" i="1"/>
  <c r="Q178" i="1" s="1"/>
  <c r="BG12" i="1"/>
  <c r="AH9" i="1"/>
  <c r="AQ5" i="1"/>
  <c r="AQ1" i="1" s="1"/>
  <c r="AA5" i="1"/>
  <c r="AA234" i="1" s="1"/>
  <c r="BI34" i="1"/>
  <c r="AS34" i="1"/>
  <c r="AS209" i="1" s="1"/>
  <c r="AS364" i="1" s="1"/>
  <c r="Y34" i="1"/>
  <c r="U34" i="1"/>
  <c r="M34" i="1"/>
  <c r="M35" i="1" s="1"/>
  <c r="BH34" i="1"/>
  <c r="BH35" i="1" s="1"/>
  <c r="BD34" i="1"/>
  <c r="AZ34" i="1"/>
  <c r="AZ35" i="1" s="1"/>
  <c r="AV34" i="1"/>
  <c r="H34" i="1"/>
  <c r="D34" i="1"/>
  <c r="BB29" i="1"/>
  <c r="BB30" i="1" s="1"/>
  <c r="BB32" i="1" s="1"/>
  <c r="AL29" i="1"/>
  <c r="AL30" i="1" s="1"/>
  <c r="AD29" i="1"/>
  <c r="AD30" i="1" s="1"/>
  <c r="V29" i="1"/>
  <c r="V30" i="1" s="1"/>
  <c r="J29" i="1"/>
  <c r="J30" i="1" s="1"/>
  <c r="AH22" i="1"/>
  <c r="AM17" i="1"/>
  <c r="AM178" i="1" s="1"/>
  <c r="AG5" i="1"/>
  <c r="AG234" i="1" s="1"/>
  <c r="AH179" i="1"/>
  <c r="V34" i="1"/>
  <c r="AW184" i="1"/>
  <c r="AW191" i="1"/>
  <c r="N22" i="1"/>
  <c r="AA164" i="1"/>
  <c r="AA187" i="1"/>
  <c r="AU39" i="1"/>
  <c r="BL83" i="1"/>
  <c r="BQ83" i="1" s="1"/>
  <c r="BT83" i="1" s="1"/>
  <c r="BU83" i="1" s="1"/>
  <c r="BV83" i="1" s="1"/>
  <c r="BW83" i="1" s="1"/>
  <c r="BX83" i="1" s="1"/>
  <c r="BY83" i="1" s="1"/>
  <c r="BZ83" i="1" s="1"/>
  <c r="CA83" i="1" s="1"/>
  <c r="CB83" i="1" s="1"/>
  <c r="CC83" i="1" s="1"/>
  <c r="CD83" i="1" s="1"/>
  <c r="CE83" i="1" s="1"/>
  <c r="CF83" i="1" s="1"/>
  <c r="CG83" i="1" s="1"/>
  <c r="CH83" i="1" s="1"/>
  <c r="CI83" i="1" s="1"/>
  <c r="CJ83" i="1" s="1"/>
  <c r="CK83" i="1" s="1"/>
  <c r="CL83" i="1" s="1"/>
  <c r="CM83" i="1" s="1"/>
  <c r="CN83" i="1" s="1"/>
  <c r="CO83" i="1" s="1"/>
  <c r="CP83" i="1" s="1"/>
  <c r="M142" i="1"/>
  <c r="M239" i="1" s="1"/>
  <c r="S149" i="1"/>
  <c r="BD362" i="1"/>
  <c r="AC193" i="1"/>
  <c r="AF163" i="1"/>
  <c r="CD193" i="1"/>
  <c r="CI193" i="1" s="1"/>
  <c r="CN193" i="1" s="1"/>
  <c r="AL146" i="1"/>
  <c r="AQ163" i="1"/>
  <c r="D40" i="1"/>
  <c r="D41" i="1" s="1"/>
  <c r="L31" i="1"/>
  <c r="BU127" i="1"/>
  <c r="BZ127" i="1" s="1"/>
  <c r="AL140" i="1"/>
  <c r="AL188" i="1" s="1"/>
  <c r="BH39" i="1"/>
  <c r="Q163" i="1"/>
  <c r="G188" i="1"/>
  <c r="AL31" i="1"/>
  <c r="M40" i="1"/>
  <c r="M41" i="1" s="1"/>
  <c r="Q191" i="1"/>
  <c r="Q226" i="1"/>
  <c r="T34" i="1"/>
  <c r="BU101" i="1"/>
  <c r="BV101" i="1" s="1"/>
  <c r="BP135" i="1"/>
  <c r="BA137" i="1"/>
  <c r="BA163" i="1" s="1"/>
  <c r="BL92" i="1"/>
  <c r="AP367" i="1"/>
  <c r="AX104" i="1"/>
  <c r="AX110" i="1" s="1"/>
  <c r="BG146" i="1"/>
  <c r="AU189" i="1"/>
  <c r="N179" i="1"/>
  <c r="BM39" i="1"/>
  <c r="BJ369" i="1"/>
  <c r="BP39" i="1"/>
  <c r="BP189" i="1" s="1"/>
  <c r="CL183" i="1"/>
  <c r="BG113" i="1"/>
  <c r="BK194" i="1"/>
  <c r="BL108" i="1"/>
  <c r="X197" i="1"/>
  <c r="AT40" i="1" l="1"/>
  <c r="AT41" i="1" s="1"/>
  <c r="AT189" i="1"/>
  <c r="V187" i="1"/>
  <c r="M209" i="1"/>
  <c r="AP215" i="1"/>
  <c r="AD173" i="1"/>
  <c r="AD172" i="1" s="1"/>
  <c r="AD168" i="1"/>
  <c r="AE143" i="1"/>
  <c r="BI366" i="1"/>
  <c r="R89" i="1"/>
  <c r="S201" i="1"/>
  <c r="BC34" i="1"/>
  <c r="C34" i="1"/>
  <c r="C220" i="1" s="1"/>
  <c r="AK29" i="1"/>
  <c r="AI212" i="1"/>
  <c r="N169" i="1"/>
  <c r="AQ366" i="1"/>
  <c r="AK366" i="1"/>
  <c r="AF366" i="1"/>
  <c r="AJ366" i="1"/>
  <c r="AE366" i="1"/>
  <c r="AJ104" i="1"/>
  <c r="AJ110" i="1" s="1"/>
  <c r="BG87" i="1"/>
  <c r="CK63" i="1"/>
  <c r="BQ63" i="1"/>
  <c r="BC209" i="1"/>
  <c r="BC364" i="1" s="1"/>
  <c r="AP188" i="1"/>
  <c r="J31" i="1"/>
  <c r="AK39" i="1"/>
  <c r="AK189" i="1" s="1"/>
  <c r="AM192" i="1"/>
  <c r="C209" i="1"/>
  <c r="AQ110" i="1"/>
  <c r="AR63" i="1"/>
  <c r="AC63" i="1"/>
  <c r="BX234" i="1"/>
  <c r="BY234" i="1"/>
  <c r="BF137" i="1"/>
  <c r="BF163" i="1" s="1"/>
  <c r="BE163" i="1"/>
  <c r="BE165" i="1" s="1"/>
  <c r="BI45" i="1"/>
  <c r="BI50" i="1" s="1"/>
  <c r="BI124" i="1" s="1"/>
  <c r="BI129" i="1" s="1"/>
  <c r="BI35" i="1"/>
  <c r="AM146" i="1"/>
  <c r="Q152" i="1"/>
  <c r="BF366" i="1"/>
  <c r="BA366" i="1"/>
  <c r="U118" i="1"/>
  <c r="P118" i="1"/>
  <c r="AC201" i="1"/>
  <c r="AC215" i="1" s="1"/>
  <c r="AY45" i="1"/>
  <c r="AY48" i="1" s="1"/>
  <c r="AY181" i="1" s="1"/>
  <c r="AY35" i="1"/>
  <c r="C45" i="1"/>
  <c r="C35" i="1"/>
  <c r="BA34" i="1"/>
  <c r="BA35" i="1" s="1"/>
  <c r="BA30" i="1"/>
  <c r="O34" i="1"/>
  <c r="O35" i="1" s="1"/>
  <c r="O30" i="1"/>
  <c r="AQ34" i="1"/>
  <c r="AQ35" i="1" s="1"/>
  <c r="AQ30" i="1"/>
  <c r="AR180" i="1"/>
  <c r="Z23" i="1"/>
  <c r="BB17" i="1"/>
  <c r="BB19" i="1"/>
  <c r="AH17" i="1"/>
  <c r="K17" i="1"/>
  <c r="K19" i="1"/>
  <c r="BE23" i="1"/>
  <c r="BE24" i="1" s="1"/>
  <c r="BE19" i="1"/>
  <c r="BE26" i="1"/>
  <c r="AZ23" i="1"/>
  <c r="AZ19" i="1"/>
  <c r="AZ26" i="1"/>
  <c r="AV19" i="1"/>
  <c r="AV23" i="1"/>
  <c r="AV26" i="1"/>
  <c r="AV27" i="1" s="1"/>
  <c r="AQ15" i="1"/>
  <c r="AQ23" i="1"/>
  <c r="AQ26" i="1"/>
  <c r="AQ19" i="1"/>
  <c r="AQ20" i="1" s="1"/>
  <c r="AL15" i="1"/>
  <c r="AL26" i="1"/>
  <c r="AL19" i="1"/>
  <c r="AG23" i="1"/>
  <c r="AG19" i="1"/>
  <c r="AG20" i="1" s="1"/>
  <c r="AG26" i="1"/>
  <c r="AB19" i="1"/>
  <c r="AB26" i="1"/>
  <c r="W15" i="1"/>
  <c r="W26" i="1"/>
  <c r="W19" i="1"/>
  <c r="R15" i="1"/>
  <c r="R26" i="1"/>
  <c r="R23" i="1"/>
  <c r="R19" i="1"/>
  <c r="M23" i="1"/>
  <c r="M19" i="1"/>
  <c r="M26" i="1"/>
  <c r="D15" i="1"/>
  <c r="D23" i="1"/>
  <c r="D26" i="1"/>
  <c r="D19" i="1"/>
  <c r="AR183" i="1"/>
  <c r="U45" i="1"/>
  <c r="U35" i="1"/>
  <c r="Y45" i="1"/>
  <c r="Y50" i="1" s="1"/>
  <c r="Y35" i="1"/>
  <c r="BL154" i="1"/>
  <c r="BE366" i="1"/>
  <c r="AZ366" i="1"/>
  <c r="AP366" i="1"/>
  <c r="BD366" i="1"/>
  <c r="AO366" i="1"/>
  <c r="AN94" i="1"/>
  <c r="AN246" i="1" s="1"/>
  <c r="I85" i="1"/>
  <c r="AR370" i="1"/>
  <c r="S89" i="1"/>
  <c r="AU34" i="1"/>
  <c r="BE31" i="1"/>
  <c r="BE30" i="1"/>
  <c r="W31" i="1"/>
  <c r="W30" i="1"/>
  <c r="M31" i="1"/>
  <c r="M30" i="1"/>
  <c r="BG26" i="1"/>
  <c r="BG27" i="1" s="1"/>
  <c r="AD23" i="1"/>
  <c r="AD24" i="1" s="1"/>
  <c r="Y17" i="1"/>
  <c r="Y19" i="1"/>
  <c r="I17" i="1"/>
  <c r="I19" i="1"/>
  <c r="I20" i="1" s="1"/>
  <c r="BE15" i="1"/>
  <c r="BI15" i="1"/>
  <c r="BI23" i="1"/>
  <c r="BI19" i="1"/>
  <c r="BI26" i="1"/>
  <c r="BD15" i="1"/>
  <c r="BD19" i="1"/>
  <c r="BD23" i="1"/>
  <c r="BD26" i="1"/>
  <c r="AY15" i="1"/>
  <c r="AY23" i="1"/>
  <c r="AY26" i="1"/>
  <c r="AY19" i="1"/>
  <c r="AU15" i="1"/>
  <c r="AU23" i="1"/>
  <c r="AU26" i="1"/>
  <c r="AU19" i="1"/>
  <c r="AP15" i="1"/>
  <c r="AP26" i="1"/>
  <c r="AP23" i="1"/>
  <c r="AP19" i="1"/>
  <c r="AK15" i="1"/>
  <c r="AK19" i="1"/>
  <c r="AK26" i="1"/>
  <c r="AF19" i="1"/>
  <c r="AF26" i="1"/>
  <c r="AA15" i="1"/>
  <c r="AA26" i="1"/>
  <c r="AA19" i="1"/>
  <c r="V15" i="1"/>
  <c r="V26" i="1"/>
  <c r="V27" i="1" s="1"/>
  <c r="V19" i="1"/>
  <c r="L15" i="1"/>
  <c r="L23" i="1"/>
  <c r="L26" i="1"/>
  <c r="L19" i="1"/>
  <c r="G26" i="1"/>
  <c r="G23" i="1"/>
  <c r="G19" i="1"/>
  <c r="C26" i="1"/>
  <c r="C23" i="1"/>
  <c r="C19" i="1"/>
  <c r="AM14" i="1"/>
  <c r="AM26" i="1" s="1"/>
  <c r="AM186" i="1"/>
  <c r="H209" i="1"/>
  <c r="AW104" i="1"/>
  <c r="V35" i="1"/>
  <c r="AV45" i="1"/>
  <c r="AV35" i="1"/>
  <c r="L34" i="1"/>
  <c r="L35" i="1" s="1"/>
  <c r="L30" i="1"/>
  <c r="AT212" i="1"/>
  <c r="AP212" i="1"/>
  <c r="AL212" i="1"/>
  <c r="BF171" i="1"/>
  <c r="BG171" i="1" s="1"/>
  <c r="AW154" i="1"/>
  <c r="AC154" i="1"/>
  <c r="H146" i="1"/>
  <c r="BJ140" i="1"/>
  <c r="BK140" i="1" s="1"/>
  <c r="K165" i="1"/>
  <c r="AX366" i="1"/>
  <c r="AS366" i="1"/>
  <c r="BB212" i="1"/>
  <c r="AH212" i="1"/>
  <c r="AI213" i="1" s="1"/>
  <c r="AI214" i="1" s="1"/>
  <c r="N201" i="1"/>
  <c r="N215" i="1" s="1"/>
  <c r="AT45" i="1"/>
  <c r="AT35" i="1"/>
  <c r="BD31" i="1"/>
  <c r="BD30" i="1"/>
  <c r="AJ34" i="1"/>
  <c r="AJ35" i="1" s="1"/>
  <c r="AJ30" i="1"/>
  <c r="K25" i="1"/>
  <c r="K26" i="1" s="1"/>
  <c r="J26" i="1"/>
  <c r="AO23" i="1"/>
  <c r="AJ179" i="1"/>
  <c r="AJ23" i="1"/>
  <c r="AB23" i="1"/>
  <c r="W23" i="1"/>
  <c r="P22" i="1"/>
  <c r="Q23" i="1"/>
  <c r="AR17" i="1"/>
  <c r="BH23" i="1"/>
  <c r="BH19" i="1"/>
  <c r="BH26" i="1"/>
  <c r="BC15" i="1"/>
  <c r="BC23" i="1"/>
  <c r="BC26" i="1"/>
  <c r="BC19" i="1"/>
  <c r="AX26" i="1"/>
  <c r="AX23" i="1"/>
  <c r="AX19" i="1"/>
  <c r="AT15" i="1"/>
  <c r="AT26" i="1"/>
  <c r="AT23" i="1"/>
  <c r="AT19" i="1"/>
  <c r="AO19" i="1"/>
  <c r="AO26" i="1"/>
  <c r="AJ15" i="1"/>
  <c r="AJ19" i="1"/>
  <c r="AJ26" i="1"/>
  <c r="AE15" i="1"/>
  <c r="AE26" i="1"/>
  <c r="AE19" i="1"/>
  <c r="AE20" i="1" s="1"/>
  <c r="Z26" i="1"/>
  <c r="Z19" i="1"/>
  <c r="U19" i="1"/>
  <c r="U26" i="1"/>
  <c r="F26" i="1"/>
  <c r="F19" i="1"/>
  <c r="F23" i="1"/>
  <c r="AL164" i="1"/>
  <c r="T209" i="1"/>
  <c r="T35" i="1"/>
  <c r="Q185" i="1"/>
  <c r="H40" i="1"/>
  <c r="H41" i="1" s="1"/>
  <c r="AM128" i="1"/>
  <c r="AD31" i="1"/>
  <c r="AK165" i="1"/>
  <c r="V188" i="1"/>
  <c r="Q228" i="1"/>
  <c r="Q184" i="1"/>
  <c r="AQ31" i="1"/>
  <c r="G187" i="1"/>
  <c r="AL137" i="1"/>
  <c r="AL163" i="1" s="1"/>
  <c r="AL165" i="1" s="1"/>
  <c r="AL166" i="1" s="1"/>
  <c r="BH362" i="1"/>
  <c r="P239" i="1"/>
  <c r="AW226" i="1"/>
  <c r="D45" i="1"/>
  <c r="D35" i="1"/>
  <c r="BD45" i="1"/>
  <c r="BD35" i="1"/>
  <c r="AS45" i="1"/>
  <c r="AS47" i="1" s="1"/>
  <c r="AS35" i="1"/>
  <c r="K23" i="1"/>
  <c r="K24" i="1" s="1"/>
  <c r="T30" i="1"/>
  <c r="Y32" i="1" s="1"/>
  <c r="BF212" i="1"/>
  <c r="O169" i="1"/>
  <c r="AT168" i="1"/>
  <c r="H142" i="1"/>
  <c r="H239" i="1" s="1"/>
  <c r="U163" i="1"/>
  <c r="AL366" i="1"/>
  <c r="AG366" i="1"/>
  <c r="AV366" i="1"/>
  <c r="I110" i="1"/>
  <c r="O136" i="1"/>
  <c r="BA94" i="1"/>
  <c r="BA246" i="1" s="1"/>
  <c r="E94" i="1"/>
  <c r="AZ94" i="1"/>
  <c r="AZ246" i="1" s="1"/>
  <c r="AU94" i="1"/>
  <c r="AU246" i="1" s="1"/>
  <c r="AO94" i="1"/>
  <c r="AO246" i="1" s="1"/>
  <c r="AH89" i="1"/>
  <c r="AM185" i="1"/>
  <c r="AH201" i="1"/>
  <c r="AH215" i="1" s="1"/>
  <c r="BC45" i="1"/>
  <c r="BC50" i="1" s="1"/>
  <c r="BC35" i="1"/>
  <c r="G45" i="1"/>
  <c r="G35" i="1"/>
  <c r="AE34" i="1"/>
  <c r="AE35" i="1" s="1"/>
  <c r="AE30" i="1"/>
  <c r="R30" i="1"/>
  <c r="R32" i="1" s="1"/>
  <c r="AW26" i="1"/>
  <c r="AC180" i="1"/>
  <c r="I26" i="1"/>
  <c r="I27" i="1" s="1"/>
  <c r="BG23" i="1"/>
  <c r="AF23" i="1"/>
  <c r="BG17" i="1"/>
  <c r="BG19" i="1"/>
  <c r="AM19" i="1"/>
  <c r="P18" i="1"/>
  <c r="Q19" i="1"/>
  <c r="Q20" i="1" s="1"/>
  <c r="BF26" i="1"/>
  <c r="BF23" i="1"/>
  <c r="BF19" i="1"/>
  <c r="BA23" i="1"/>
  <c r="BA19" i="1"/>
  <c r="BA26" i="1"/>
  <c r="BA27" i="1" s="1"/>
  <c r="AS23" i="1"/>
  <c r="AS19" i="1"/>
  <c r="AS26" i="1"/>
  <c r="AN15" i="1"/>
  <c r="AN19" i="1"/>
  <c r="AN26" i="1"/>
  <c r="AI15" i="1"/>
  <c r="AI23" i="1"/>
  <c r="AI24" i="1" s="1"/>
  <c r="AI26" i="1"/>
  <c r="AI19" i="1"/>
  <c r="AD15" i="1"/>
  <c r="AD26" i="1"/>
  <c r="AD19" i="1"/>
  <c r="AD20" i="1" s="1"/>
  <c r="T15" i="1"/>
  <c r="T26" i="1"/>
  <c r="T19" i="1"/>
  <c r="O26" i="1"/>
  <c r="O23" i="1"/>
  <c r="O19" i="1"/>
  <c r="J15" i="1"/>
  <c r="J19" i="1"/>
  <c r="J20" i="1" s="1"/>
  <c r="E23" i="1"/>
  <c r="E19" i="1"/>
  <c r="E26" i="1"/>
  <c r="BG5" i="1"/>
  <c r="AE5" i="1"/>
  <c r="AE234" i="1" s="1"/>
  <c r="BB5" i="1"/>
  <c r="BB234" i="1" s="1"/>
  <c r="AD212" i="1"/>
  <c r="Z212" i="1"/>
  <c r="R212" i="1"/>
  <c r="J212" i="1"/>
  <c r="BI65" i="1"/>
  <c r="BI67" i="1" s="1"/>
  <c r="BI48" i="1"/>
  <c r="BI181" i="1" s="1"/>
  <c r="BZ101" i="1"/>
  <c r="C137" i="1"/>
  <c r="C163" i="1" s="1"/>
  <c r="C165" i="1" s="1"/>
  <c r="BS234" i="1"/>
  <c r="BN235" i="1"/>
  <c r="AW63" i="1"/>
  <c r="Y64" i="1"/>
  <c r="Y66" i="1" s="1"/>
  <c r="Y52" i="1"/>
  <c r="Y124" i="1"/>
  <c r="Y129" i="1" s="1"/>
  <c r="L36" i="1"/>
  <c r="L209" i="1"/>
  <c r="AW126" i="1"/>
  <c r="AV39" i="1"/>
  <c r="H151" i="1"/>
  <c r="H198" i="1" s="1"/>
  <c r="G198" i="1"/>
  <c r="W137" i="1"/>
  <c r="W163" i="1" s="1"/>
  <c r="V163" i="1"/>
  <c r="V165" i="1" s="1"/>
  <c r="V166" i="1" s="1"/>
  <c r="AP39" i="1"/>
  <c r="AQ126" i="1"/>
  <c r="N216" i="1"/>
  <c r="P39" i="1"/>
  <c r="P189" i="1" s="1"/>
  <c r="Q126" i="1"/>
  <c r="AJ45" i="1"/>
  <c r="AJ209" i="1"/>
  <c r="AJ364" i="1" s="1"/>
  <c r="AJ248" i="1"/>
  <c r="AJ362" i="1"/>
  <c r="AJ40" i="1"/>
  <c r="AJ41" i="1" s="1"/>
  <c r="AS50" i="1"/>
  <c r="AS65" i="1" s="1"/>
  <c r="AS67" i="1" s="1"/>
  <c r="AS193" i="1"/>
  <c r="N212" i="1"/>
  <c r="BA146" i="1"/>
  <c r="BB146" i="1" s="1"/>
  <c r="AZ152" i="1"/>
  <c r="BF367" i="1"/>
  <c r="BF187" i="1"/>
  <c r="BF188" i="1"/>
  <c r="BF164" i="1"/>
  <c r="AF39" i="1"/>
  <c r="AF189" i="1" s="1"/>
  <c r="AG126" i="1"/>
  <c r="AG39" i="1" s="1"/>
  <c r="AG189" i="1" s="1"/>
  <c r="M45" i="1"/>
  <c r="M47" i="1" s="1"/>
  <c r="Y169" i="1"/>
  <c r="Z173" i="1"/>
  <c r="Z172" i="1" s="1"/>
  <c r="Z168" i="1"/>
  <c r="Z152" i="1"/>
  <c r="Z155" i="1" s="1"/>
  <c r="BF165" i="1"/>
  <c r="AT366" i="1"/>
  <c r="AW135" i="1"/>
  <c r="X212" i="1"/>
  <c r="AI34" i="1"/>
  <c r="AI35" i="1" s="1"/>
  <c r="AI31" i="1"/>
  <c r="BJ171" i="1"/>
  <c r="BK171" i="1" s="1"/>
  <c r="BK172" i="1" s="1"/>
  <c r="BK137" i="1"/>
  <c r="AL187" i="1"/>
  <c r="AW110" i="1"/>
  <c r="X17" i="1"/>
  <c r="X191" i="1" s="1"/>
  <c r="G40" i="1"/>
  <c r="G41" i="1" s="1"/>
  <c r="BT102" i="1"/>
  <c r="BU102" i="1" s="1"/>
  <c r="BV102" i="1" s="1"/>
  <c r="AJ226" i="1"/>
  <c r="T226" i="1"/>
  <c r="AR201" i="1"/>
  <c r="AR215" i="1" s="1"/>
  <c r="AY192" i="1"/>
  <c r="Z192" i="1"/>
  <c r="E192" i="1"/>
  <c r="BD188" i="1"/>
  <c r="T186" i="1"/>
  <c r="AR164" i="1"/>
  <c r="BH131" i="1"/>
  <c r="BL131" i="1" s="1"/>
  <c r="T131" i="1"/>
  <c r="X131" i="1" s="1"/>
  <c r="AO29" i="1"/>
  <c r="AO30" i="1" s="1"/>
  <c r="R27" i="1"/>
  <c r="L27" i="1"/>
  <c r="J24" i="1"/>
  <c r="BH15" i="1"/>
  <c r="BM100" i="1"/>
  <c r="BN204" i="1" s="1"/>
  <c r="AK367" i="1"/>
  <c r="AK188" i="1"/>
  <c r="BI36" i="1"/>
  <c r="AS362" i="1"/>
  <c r="D36" i="1"/>
  <c r="J136" i="1"/>
  <c r="N136" i="1" s="1"/>
  <c r="AZ45" i="1"/>
  <c r="H14" i="1"/>
  <c r="BD367" i="1"/>
  <c r="AR361" i="1"/>
  <c r="AY228" i="1"/>
  <c r="S227" i="1"/>
  <c r="AO226" i="1"/>
  <c r="AO229" i="1" s="1"/>
  <c r="Z226" i="1"/>
  <c r="L226" i="1"/>
  <c r="V221" i="1"/>
  <c r="G209" i="1"/>
  <c r="AY206" i="1"/>
  <c r="AY368" i="1" s="1"/>
  <c r="I212" i="1"/>
  <c r="J195" i="1"/>
  <c r="BI192" i="1"/>
  <c r="AT192" i="1"/>
  <c r="AJ192" i="1"/>
  <c r="L192" i="1"/>
  <c r="BI185" i="1"/>
  <c r="AY185" i="1"/>
  <c r="AP181" i="1"/>
  <c r="AO179" i="1"/>
  <c r="Y173" i="1"/>
  <c r="Y172" i="1" s="1"/>
  <c r="BD165" i="1"/>
  <c r="BI149" i="1"/>
  <c r="BJ149" i="1" s="1"/>
  <c r="Y48" i="1"/>
  <c r="Q229" i="1"/>
  <c r="AA137" i="1"/>
  <c r="BC39" i="1"/>
  <c r="L32" i="1"/>
  <c r="Y209" i="1"/>
  <c r="AG146" i="1"/>
  <c r="AH146" i="1" s="1"/>
  <c r="AQ234" i="1"/>
  <c r="BB149" i="1"/>
  <c r="AI5" i="1"/>
  <c r="AI234" i="1" s="1"/>
  <c r="AB29" i="1"/>
  <c r="AB30" i="1" s="1"/>
  <c r="Y81" i="1"/>
  <c r="BD37" i="1"/>
  <c r="N110" i="1"/>
  <c r="O143" i="1"/>
  <c r="O155" i="1" s="1"/>
  <c r="G155" i="1"/>
  <c r="CN254" i="1"/>
  <c r="CF254" i="1"/>
  <c r="BT254" i="1"/>
  <c r="BL254" i="1"/>
  <c r="BD254" i="1"/>
  <c r="AR254" i="1"/>
  <c r="AJ254" i="1"/>
  <c r="AB254" i="1"/>
  <c r="T254" i="1"/>
  <c r="P254" i="1"/>
  <c r="H254" i="1"/>
  <c r="D254" i="1"/>
  <c r="BH228" i="1"/>
  <c r="BD226" i="1"/>
  <c r="AS226" i="1"/>
  <c r="AD226" i="1"/>
  <c r="R226" i="1"/>
  <c r="D226" i="1"/>
  <c r="D229" i="1" s="1"/>
  <c r="AP216" i="1"/>
  <c r="AP217" i="1" s="1"/>
  <c r="AY209" i="1"/>
  <c r="AY364" i="1" s="1"/>
  <c r="AM201" i="1"/>
  <c r="AM215" i="1" s="1"/>
  <c r="BD198" i="1"/>
  <c r="F198" i="1"/>
  <c r="AC195" i="1"/>
  <c r="H195" i="1"/>
  <c r="BH194" i="1"/>
  <c r="T194" i="1"/>
  <c r="BH192" i="1"/>
  <c r="BW192" i="1" s="1"/>
  <c r="CB192" i="1" s="1"/>
  <c r="CG192" i="1" s="1"/>
  <c r="CL192" i="1" s="1"/>
  <c r="AX192" i="1"/>
  <c r="AN192" i="1"/>
  <c r="BD187" i="1"/>
  <c r="AE187" i="1"/>
  <c r="K187" i="1"/>
  <c r="BH185" i="1"/>
  <c r="AT181" i="1"/>
  <c r="V181" i="1"/>
  <c r="AW180" i="1"/>
  <c r="AC176" i="1"/>
  <c r="CJ175" i="1"/>
  <c r="BX175" i="1"/>
  <c r="BP175" i="1"/>
  <c r="AZ175" i="1"/>
  <c r="AV175" i="1"/>
  <c r="AN175" i="1"/>
  <c r="AF175" i="1"/>
  <c r="L175" i="1"/>
  <c r="AN168" i="1"/>
  <c r="AN169" i="1" s="1"/>
  <c r="I168" i="1"/>
  <c r="O164" i="1"/>
  <c r="AO163" i="1"/>
  <c r="AO165" i="1" s="1"/>
  <c r="AO166" i="1" s="1"/>
  <c r="AO167" i="1" s="1"/>
  <c r="AE165" i="1"/>
  <c r="AE166" i="1" s="1"/>
  <c r="AJ167" i="1" s="1"/>
  <c r="H149" i="1"/>
  <c r="U133" i="1"/>
  <c r="M133" i="1"/>
  <c r="BJ198" i="1"/>
  <c r="BK151" i="1"/>
  <c r="BK198" i="1" s="1"/>
  <c r="AK94" i="1"/>
  <c r="AK246" i="1" s="1"/>
  <c r="U47" i="1"/>
  <c r="U193" i="1" s="1"/>
  <c r="AS40" i="1"/>
  <c r="AS41" i="1" s="1"/>
  <c r="U209" i="1"/>
  <c r="AA149" i="1"/>
  <c r="BB31" i="1"/>
  <c r="AW34" i="1"/>
  <c r="AW35" i="1" s="1"/>
  <c r="V126" i="1"/>
  <c r="T152" i="1"/>
  <c r="V142" i="1"/>
  <c r="AO168" i="1"/>
  <c r="BI228" i="1"/>
  <c r="BD228" i="1"/>
  <c r="BG227" i="1"/>
  <c r="AM227" i="1"/>
  <c r="AT226" i="1"/>
  <c r="AT229" i="1" s="1"/>
  <c r="AE226" i="1"/>
  <c r="E226" i="1"/>
  <c r="BD216" i="1"/>
  <c r="BD217" i="1" s="1"/>
  <c r="BD192" i="1"/>
  <c r="AO192" i="1"/>
  <c r="AE192" i="1"/>
  <c r="T192" i="1"/>
  <c r="BD185" i="1"/>
  <c r="AN131" i="1"/>
  <c r="AN366" i="1" s="1"/>
  <c r="AY50" i="1"/>
  <c r="AY65" i="1" s="1"/>
  <c r="AY67" i="1" s="1"/>
  <c r="BI52" i="1"/>
  <c r="AL367" i="1"/>
  <c r="AY135" i="1"/>
  <c r="AY366" i="1" s="1"/>
  <c r="AQ140" i="1"/>
  <c r="W140" i="1"/>
  <c r="AV248" i="1"/>
  <c r="J34" i="1"/>
  <c r="J35" i="1" s="1"/>
  <c r="G143" i="1"/>
  <c r="AK143" i="1"/>
  <c r="AK187" i="1"/>
  <c r="BH37" i="1"/>
  <c r="AD34" i="1"/>
  <c r="AD35" i="1" s="1"/>
  <c r="AM226" i="1"/>
  <c r="L137" i="1"/>
  <c r="L163" i="1" s="1"/>
  <c r="C40" i="1"/>
  <c r="C41" i="1" s="1"/>
  <c r="BH152" i="1"/>
  <c r="F152" i="1"/>
  <c r="T168" i="1"/>
  <c r="T133" i="1"/>
  <c r="AU146" i="1"/>
  <c r="AV146" i="1" s="1"/>
  <c r="CB254" i="1"/>
  <c r="BH254" i="1"/>
  <c r="X254" i="1"/>
  <c r="BC228" i="1"/>
  <c r="BC229" i="1" s="1"/>
  <c r="BI226" i="1"/>
  <c r="AY226" i="1"/>
  <c r="AI226" i="1"/>
  <c r="W226" i="1"/>
  <c r="W229" i="1" s="1"/>
  <c r="J226" i="1"/>
  <c r="J229" i="1" s="1"/>
  <c r="BI212" i="1"/>
  <c r="AJ198" i="1"/>
  <c r="AW195" i="1"/>
  <c r="AN194" i="1"/>
  <c r="BC192" i="1"/>
  <c r="AR186" i="1"/>
  <c r="BC185" i="1"/>
  <c r="AO181" i="1"/>
  <c r="AN179" i="1"/>
  <c r="BH175" i="1"/>
  <c r="F120" i="1"/>
  <c r="V118" i="1"/>
  <c r="V120" i="1" s="1"/>
  <c r="AN29" i="1"/>
  <c r="BG29" i="1"/>
  <c r="AW9" i="1"/>
  <c r="AU45" i="1"/>
  <c r="AU48" i="1" s="1"/>
  <c r="AU221" i="1" s="1"/>
  <c r="AR146" i="1"/>
  <c r="BK39" i="1"/>
  <c r="BK189" i="1" s="1"/>
  <c r="BU135" i="1"/>
  <c r="AP187" i="1"/>
  <c r="T31" i="1"/>
  <c r="Q192" i="1"/>
  <c r="M36" i="1"/>
  <c r="AV209" i="1"/>
  <c r="AV364" i="1" s="1"/>
  <c r="AL34" i="1"/>
  <c r="O31" i="1"/>
  <c r="Q168" i="1"/>
  <c r="AM140" i="1"/>
  <c r="AM188" i="1" s="1"/>
  <c r="BI362" i="1"/>
  <c r="AS248" i="1"/>
  <c r="AS250" i="1" s="1"/>
  <c r="D220" i="1"/>
  <c r="AD32" i="1"/>
  <c r="U40" i="1"/>
  <c r="U41" i="1" s="1"/>
  <c r="BD36" i="1"/>
  <c r="AB140" i="1"/>
  <c r="AA143" i="1"/>
  <c r="AZ362" i="1"/>
  <c r="AC22" i="1"/>
  <c r="Z29" i="1"/>
  <c r="Z30" i="1" s="1"/>
  <c r="BH45" i="1"/>
  <c r="BE34" i="1"/>
  <c r="BE35" i="1" s="1"/>
  <c r="W5" i="1"/>
  <c r="W234" i="1" s="1"/>
  <c r="AM5" i="1"/>
  <c r="AM234" i="1" s="1"/>
  <c r="AF29" i="1"/>
  <c r="AF30" i="1" s="1"/>
  <c r="AY36" i="1"/>
  <c r="P63" i="1"/>
  <c r="W104" i="1"/>
  <c r="AT143" i="1"/>
  <c r="AT155" i="1" s="1"/>
  <c r="BC94" i="1"/>
  <c r="BB127" i="1"/>
  <c r="AF140" i="1"/>
  <c r="AF165" i="1" s="1"/>
  <c r="AF166" i="1" s="1"/>
  <c r="AM61" i="1"/>
  <c r="AM63" i="1" s="1"/>
  <c r="AH104" i="1"/>
  <c r="AH110" i="1" s="1"/>
  <c r="AA146" i="1"/>
  <c r="BI172" i="1"/>
  <c r="AY367" i="1"/>
  <c r="AJ367" i="1"/>
  <c r="AH361" i="1"/>
  <c r="CM254" i="1"/>
  <c r="CI254" i="1"/>
  <c r="CE254" i="1"/>
  <c r="CA254" i="1"/>
  <c r="BW254" i="1"/>
  <c r="BS254" i="1"/>
  <c r="BO254" i="1"/>
  <c r="BK254" i="1"/>
  <c r="BG254" i="1"/>
  <c r="BC254" i="1"/>
  <c r="AY254" i="1"/>
  <c r="AU254" i="1"/>
  <c r="AQ254" i="1"/>
  <c r="AM254" i="1"/>
  <c r="AI254" i="1"/>
  <c r="AE254" i="1"/>
  <c r="AA254" i="1"/>
  <c r="W254" i="1"/>
  <c r="S254" i="1"/>
  <c r="O254" i="1"/>
  <c r="K254" i="1"/>
  <c r="G254" i="1"/>
  <c r="C254" i="1"/>
  <c r="AP249" i="1"/>
  <c r="AZ239" i="1"/>
  <c r="AE239" i="1"/>
  <c r="T239" i="1"/>
  <c r="BF228" i="1"/>
  <c r="BF229" i="1" s="1"/>
  <c r="BA228" i="1"/>
  <c r="BH226" i="1"/>
  <c r="BH229" i="1" s="1"/>
  <c r="AV226" i="1"/>
  <c r="AQ226" i="1"/>
  <c r="AL226" i="1"/>
  <c r="AG226" i="1"/>
  <c r="AG229" i="1" s="1"/>
  <c r="AB226" i="1"/>
  <c r="V226" i="1"/>
  <c r="O226" i="1"/>
  <c r="O229" i="1" s="1"/>
  <c r="G226" i="1"/>
  <c r="G229" i="1" s="1"/>
  <c r="C226" i="1"/>
  <c r="AT209" i="1"/>
  <c r="AT364" i="1" s="1"/>
  <c r="AJ204" i="1"/>
  <c r="AV203" i="1"/>
  <c r="AV212" i="1" s="1"/>
  <c r="K198" i="1"/>
  <c r="AR195" i="1"/>
  <c r="X195" i="1"/>
  <c r="BF192" i="1"/>
  <c r="BA192" i="1"/>
  <c r="AT191" i="1"/>
  <c r="AO191" i="1"/>
  <c r="AJ191" i="1"/>
  <c r="AE191" i="1"/>
  <c r="Z191" i="1"/>
  <c r="T191" i="1"/>
  <c r="L191" i="1"/>
  <c r="E191" i="1"/>
  <c r="W190" i="1"/>
  <c r="E190" i="1"/>
  <c r="AY188" i="1"/>
  <c r="AJ188" i="1"/>
  <c r="Z188" i="1"/>
  <c r="O188" i="1"/>
  <c r="AT187" i="1"/>
  <c r="BG186" i="1"/>
  <c r="R186" i="1"/>
  <c r="D186" i="1"/>
  <c r="AT184" i="1"/>
  <c r="AO184" i="1"/>
  <c r="AJ184" i="1"/>
  <c r="AE184" i="1"/>
  <c r="Z184" i="1"/>
  <c r="T184" i="1"/>
  <c r="L184" i="1"/>
  <c r="E184" i="1"/>
  <c r="AS181" i="1"/>
  <c r="AN181" i="1"/>
  <c r="U181" i="1"/>
  <c r="X180" i="1"/>
  <c r="I180" i="1"/>
  <c r="AL179" i="1"/>
  <c r="AB179" i="1"/>
  <c r="W179" i="1"/>
  <c r="BW176" i="1"/>
  <c r="CB176" i="1" s="1"/>
  <c r="CG176" i="1" s="1"/>
  <c r="CL176" i="1" s="1"/>
  <c r="AR176" i="1"/>
  <c r="X176" i="1"/>
  <c r="AN173" i="1"/>
  <c r="AN172" i="1" s="1"/>
  <c r="BD164" i="1"/>
  <c r="AT164" i="1"/>
  <c r="BI163" i="1"/>
  <c r="BI165" i="1" s="1"/>
  <c r="AY165" i="1"/>
  <c r="J155" i="1"/>
  <c r="J157" i="1" s="1"/>
  <c r="X134" i="1"/>
  <c r="E133" i="1"/>
  <c r="G120" i="1"/>
  <c r="R110" i="1"/>
  <c r="F94" i="1"/>
  <c r="AW87" i="1"/>
  <c r="AR85" i="1"/>
  <c r="R34" i="1"/>
  <c r="R35" i="1" s="1"/>
  <c r="BH31" i="1"/>
  <c r="Q29" i="1"/>
  <c r="Q30" i="1" s="1"/>
  <c r="W24" i="1"/>
  <c r="AP24" i="1"/>
  <c r="L20" i="1"/>
  <c r="X14" i="1"/>
  <c r="X26" i="1" s="1"/>
  <c r="AH14" i="1"/>
  <c r="AM15" i="1" s="1"/>
  <c r="Y36" i="1"/>
  <c r="P164" i="1"/>
  <c r="P187" i="1"/>
  <c r="P143" i="1"/>
  <c r="P155" i="1" s="1"/>
  <c r="P188" i="1"/>
  <c r="P165" i="1"/>
  <c r="P166" i="1" s="1"/>
  <c r="P167" i="1" s="1"/>
  <c r="Q140" i="1"/>
  <c r="Q165" i="1" s="1"/>
  <c r="BA45" i="1"/>
  <c r="BA37" i="1"/>
  <c r="AL151" i="1"/>
  <c r="AK198" i="1"/>
  <c r="D120" i="1"/>
  <c r="D207" i="1"/>
  <c r="H143" i="1"/>
  <c r="BB34" i="1"/>
  <c r="U120" i="1"/>
  <c r="U207" i="1"/>
  <c r="P120" i="1"/>
  <c r="P207" i="1"/>
  <c r="H187" i="1"/>
  <c r="AM187" i="1"/>
  <c r="K27" i="1"/>
  <c r="K180" i="1"/>
  <c r="AP165" i="1"/>
  <c r="AP166" i="1" s="1"/>
  <c r="AE206" i="1"/>
  <c r="AE368" i="1" s="1"/>
  <c r="AJ143" i="1"/>
  <c r="AG94" i="1"/>
  <c r="AG246" i="1" s="1"/>
  <c r="AC85" i="1"/>
  <c r="AM28" i="1"/>
  <c r="BA20" i="1"/>
  <c r="M229" i="1"/>
  <c r="Q118" i="1"/>
  <c r="AO27" i="1"/>
  <c r="I24" i="1"/>
  <c r="Y212" i="1"/>
  <c r="Y213" i="1" s="1"/>
  <c r="M212" i="1"/>
  <c r="AC135" i="1"/>
  <c r="Y118" i="1"/>
  <c r="Y207" i="1" s="1"/>
  <c r="C120" i="1"/>
  <c r="Q27" i="1"/>
  <c r="AM22" i="1"/>
  <c r="K179" i="1"/>
  <c r="AJ24" i="1"/>
  <c r="J213" i="1"/>
  <c r="AS229" i="1"/>
  <c r="R229" i="1"/>
  <c r="BE229" i="1"/>
  <c r="AZ229" i="1"/>
  <c r="AJ229" i="1"/>
  <c r="Z229" i="1"/>
  <c r="T229" i="1"/>
  <c r="E229" i="1"/>
  <c r="BA206" i="1"/>
  <c r="BA368" i="1" s="1"/>
  <c r="S212" i="1"/>
  <c r="X213" i="1" s="1"/>
  <c r="AI173" i="1"/>
  <c r="AI172" i="1" s="1"/>
  <c r="AI168" i="1"/>
  <c r="AI169" i="1" s="1"/>
  <c r="AT163" i="1"/>
  <c r="AT165" i="1" s="1"/>
  <c r="AT169" i="1" s="1"/>
  <c r="AD152" i="1"/>
  <c r="AD155" i="1" s="1"/>
  <c r="AR131" i="1"/>
  <c r="BG128" i="1"/>
  <c r="T118" i="1"/>
  <c r="BE94" i="1"/>
  <c r="BE246" i="1" s="1"/>
  <c r="AV94" i="1"/>
  <c r="AV246" i="1" s="1"/>
  <c r="AS94" i="1"/>
  <c r="AS246" i="1" s="1"/>
  <c r="AX31" i="1"/>
  <c r="AA29" i="1"/>
  <c r="AA30" i="1" s="1"/>
  <c r="K28" i="1"/>
  <c r="N28" i="1" s="1"/>
  <c r="AP27" i="1"/>
  <c r="O27" i="1"/>
  <c r="BH24" i="1"/>
  <c r="AO20" i="1"/>
  <c r="BA15" i="1"/>
  <c r="Y15" i="1"/>
  <c r="BH40" i="1"/>
  <c r="BH189" i="1"/>
  <c r="BF189" i="1"/>
  <c r="T45" i="1"/>
  <c r="T40" i="1"/>
  <c r="T41" i="1" s="1"/>
  <c r="L45" i="1"/>
  <c r="L37" i="1"/>
  <c r="AM126" i="1"/>
  <c r="AL39" i="1"/>
  <c r="AM367" i="1"/>
  <c r="Q39" i="1"/>
  <c r="R126" i="1"/>
  <c r="S126" i="1" s="1"/>
  <c r="S39" i="1" s="1"/>
  <c r="S189" i="1" s="1"/>
  <c r="V45" i="1"/>
  <c r="K118" i="1"/>
  <c r="AB151" i="1"/>
  <c r="AA198" i="1"/>
  <c r="BA239" i="1"/>
  <c r="BB142" i="1"/>
  <c r="BB239" i="1" s="1"/>
  <c r="AL45" i="1"/>
  <c r="AL47" i="1" s="1"/>
  <c r="AL193" i="1" s="1"/>
  <c r="AD36" i="1"/>
  <c r="AD362" i="1"/>
  <c r="Z24" i="1"/>
  <c r="AE24" i="1"/>
  <c r="AS216" i="1"/>
  <c r="AS217" i="1" s="1"/>
  <c r="AZ212" i="1"/>
  <c r="AN212" i="1"/>
  <c r="AB206" i="1"/>
  <c r="H212" i="1"/>
  <c r="D206" i="1"/>
  <c r="BA212" i="1"/>
  <c r="AS169" i="1"/>
  <c r="X154" i="1"/>
  <c r="AW136" i="1"/>
  <c r="AC136" i="1"/>
  <c r="AR135" i="1"/>
  <c r="X135" i="1"/>
  <c r="AM228" i="1"/>
  <c r="AM184" i="1"/>
  <c r="AW228" i="1"/>
  <c r="AW185" i="1"/>
  <c r="AZ209" i="1"/>
  <c r="AZ364" i="1" s="1"/>
  <c r="L114" i="1"/>
  <c r="AF229" i="1"/>
  <c r="AU216" i="1"/>
  <c r="AU217" i="1" s="1"/>
  <c r="AQ216" i="1"/>
  <c r="AQ217" i="1" s="1"/>
  <c r="AJ216" i="1"/>
  <c r="AJ217" i="1" s="1"/>
  <c r="AA216" i="1"/>
  <c r="AE212" i="1"/>
  <c r="AS212" i="1"/>
  <c r="AT213" i="1" s="1"/>
  <c r="AT214" i="1" s="1"/>
  <c r="AI206" i="1"/>
  <c r="AI368" i="1" s="1"/>
  <c r="O212" i="1"/>
  <c r="G212" i="1"/>
  <c r="G213" i="1" s="1"/>
  <c r="C212" i="1"/>
  <c r="AZ206" i="1"/>
  <c r="AZ368" i="1" s="1"/>
  <c r="AU206" i="1"/>
  <c r="AU368" i="1" s="1"/>
  <c r="I155" i="1"/>
  <c r="F155" i="1"/>
  <c r="AY216" i="1"/>
  <c r="AY217" i="1" s="1"/>
  <c r="AT216" i="1"/>
  <c r="AT217" i="1" s="1"/>
  <c r="AI216" i="1"/>
  <c r="AI217" i="1" s="1"/>
  <c r="AP206" i="1"/>
  <c r="Z206" i="1"/>
  <c r="V206" i="1"/>
  <c r="R206" i="1"/>
  <c r="J206" i="1"/>
  <c r="F206" i="1"/>
  <c r="F208" i="1" s="1"/>
  <c r="BH209" i="1"/>
  <c r="BH364" i="1" s="1"/>
  <c r="AM141" i="1"/>
  <c r="Y31" i="1"/>
  <c r="AV362" i="1"/>
  <c r="AG24" i="1"/>
  <c r="Y40" i="1"/>
  <c r="Y41" i="1" s="1"/>
  <c r="BH36" i="1"/>
  <c r="D37" i="1"/>
  <c r="AF187" i="1"/>
  <c r="AM191" i="1"/>
  <c r="AC126" i="1"/>
  <c r="AW192" i="1"/>
  <c r="BA362" i="1"/>
  <c r="BA36" i="1"/>
  <c r="AB229" i="1"/>
  <c r="AU212" i="1"/>
  <c r="AU213" i="1" s="1"/>
  <c r="AU214" i="1" s="1"/>
  <c r="AO212" i="1"/>
  <c r="AO213" i="1" s="1"/>
  <c r="AO214" i="1" s="1"/>
  <c r="AC212" i="1"/>
  <c r="AU164" i="1"/>
  <c r="AJ149" i="1"/>
  <c r="S134" i="1"/>
  <c r="AW131" i="1"/>
  <c r="AY94" i="1"/>
  <c r="AY246" i="1" s="1"/>
  <c r="BF31" i="1"/>
  <c r="BF15" i="1"/>
  <c r="AM135" i="1"/>
  <c r="S135" i="1"/>
  <c r="N135" i="1"/>
  <c r="AR134" i="1"/>
  <c r="BG131" i="1"/>
  <c r="AM131" i="1"/>
  <c r="AH131" i="1"/>
  <c r="S131" i="1"/>
  <c r="BB128" i="1"/>
  <c r="AZ39" i="1"/>
  <c r="X81" i="1"/>
  <c r="AC370" i="1" s="1"/>
  <c r="O118" i="1"/>
  <c r="O120" i="1" s="1"/>
  <c r="BD94" i="1"/>
  <c r="BD246" i="1" s="1"/>
  <c r="AH94" i="1"/>
  <c r="AH246" i="1" s="1"/>
  <c r="T94" i="1"/>
  <c r="AF63" i="1"/>
  <c r="BI31" i="1"/>
  <c r="W32" i="1"/>
  <c r="AN31" i="1"/>
  <c r="AR28" i="1"/>
  <c r="AH28" i="1"/>
  <c r="AH29" i="1" s="1"/>
  <c r="AH30" i="1" s="1"/>
  <c r="AI27" i="1"/>
  <c r="BA24" i="1"/>
  <c r="L24" i="1"/>
  <c r="BI20" i="1"/>
  <c r="AZ20" i="1"/>
  <c r="AR9" i="1"/>
  <c r="N132" i="1"/>
  <c r="AM127" i="1"/>
  <c r="L94" i="1"/>
  <c r="D94" i="1"/>
  <c r="AM89" i="1"/>
  <c r="AM94" i="1" s="1"/>
  <c r="AM246" i="1" s="1"/>
  <c r="AL20" i="1"/>
  <c r="N167" i="1"/>
  <c r="H155" i="1"/>
  <c r="BD143" i="1"/>
  <c r="BG133" i="1"/>
  <c r="BB133" i="1"/>
  <c r="AM133" i="1"/>
  <c r="AC133" i="1"/>
  <c r="L128" i="1"/>
  <c r="M128" i="1" s="1"/>
  <c r="N128" i="1" s="1"/>
  <c r="AO39" i="1"/>
  <c r="M118" i="1"/>
  <c r="M207" i="1" s="1"/>
  <c r="R118" i="1"/>
  <c r="AJ94" i="1"/>
  <c r="AJ246" i="1" s="1"/>
  <c r="P94" i="1"/>
  <c r="P121" i="1" s="1"/>
  <c r="K94" i="1"/>
  <c r="BB87" i="1"/>
  <c r="BB85" i="1"/>
  <c r="AH85" i="1"/>
  <c r="N85" i="1"/>
  <c r="W63" i="1"/>
  <c r="BF34" i="1"/>
  <c r="BF35" i="1" s="1"/>
  <c r="W34" i="1"/>
  <c r="W35" i="1" s="1"/>
  <c r="F34" i="1"/>
  <c r="F35" i="1" s="1"/>
  <c r="AY32" i="1"/>
  <c r="AY31" i="1"/>
  <c r="AO31" i="1"/>
  <c r="AX27" i="1"/>
  <c r="N25" i="1"/>
  <c r="Q24" i="1"/>
  <c r="AN24" i="1"/>
  <c r="AX20" i="1"/>
  <c r="AT20" i="1"/>
  <c r="AK20" i="1"/>
  <c r="D20" i="1"/>
  <c r="AX15" i="1"/>
  <c r="Z15" i="1"/>
  <c r="Y5" i="1"/>
  <c r="Y234" i="1" s="1"/>
  <c r="U5" i="1"/>
  <c r="U234" i="1" s="1"/>
  <c r="AH5" i="1"/>
  <c r="AH234" i="1" s="1"/>
  <c r="CA63" i="1"/>
  <c r="CP63" i="1"/>
  <c r="BG234" i="1"/>
  <c r="AD5" i="1"/>
  <c r="AD234" i="1" s="1"/>
  <c r="AS124" i="1"/>
  <c r="AS129" i="1" s="1"/>
  <c r="AS365" i="1" s="1"/>
  <c r="BF151" i="1"/>
  <c r="BE198" i="1"/>
  <c r="BX28" i="1"/>
  <c r="BB24" i="1"/>
  <c r="BG24" i="1"/>
  <c r="BZ39" i="1"/>
  <c r="CE127" i="1"/>
  <c r="BC382" i="1"/>
  <c r="BC380" i="1"/>
  <c r="BC381" i="1"/>
  <c r="AP368" i="1"/>
  <c r="AT166" i="1"/>
  <c r="BF142" i="1"/>
  <c r="BF143" i="1" s="1"/>
  <c r="BE239" i="1"/>
  <c r="L187" i="1"/>
  <c r="L188" i="1"/>
  <c r="L143" i="1"/>
  <c r="M140" i="1"/>
  <c r="BX101" i="1"/>
  <c r="CC101" i="1" s="1"/>
  <c r="CH101" i="1" s="1"/>
  <c r="CM101" i="1" s="1"/>
  <c r="BT135" i="1"/>
  <c r="AE45" i="1"/>
  <c r="AE248" i="1"/>
  <c r="AE362" i="1"/>
  <c r="AJ36" i="1"/>
  <c r="AE40" i="1"/>
  <c r="AE41" i="1" s="1"/>
  <c r="AE209" i="1"/>
  <c r="O45" i="1"/>
  <c r="O48" i="1" s="1"/>
  <c r="O36" i="1"/>
  <c r="O209" i="1"/>
  <c r="T36" i="1"/>
  <c r="N180" i="1"/>
  <c r="L189" i="1"/>
  <c r="L40" i="1"/>
  <c r="L41" i="1" s="1"/>
  <c r="T120" i="1"/>
  <c r="T121" i="1" s="1"/>
  <c r="T207" i="1"/>
  <c r="H152" i="1"/>
  <c r="BL116" i="1"/>
  <c r="AE152" i="1"/>
  <c r="AE155" i="1" s="1"/>
  <c r="AF149" i="1"/>
  <c r="AE168" i="1"/>
  <c r="AE169" i="1" s="1"/>
  <c r="AE173" i="1"/>
  <c r="AE172" i="1" s="1"/>
  <c r="X141" i="1"/>
  <c r="BE39" i="1"/>
  <c r="BE209" i="1"/>
  <c r="BE364" i="1" s="1"/>
  <c r="BQ103" i="1"/>
  <c r="BU103" i="1"/>
  <c r="BA32" i="1"/>
  <c r="AQ362" i="1"/>
  <c r="AV36" i="1"/>
  <c r="AQ45" i="1"/>
  <c r="AQ47" i="1" s="1"/>
  <c r="AQ193" i="1" s="1"/>
  <c r="AQ209" i="1"/>
  <c r="AQ364" i="1" s="1"/>
  <c r="AU220" i="1"/>
  <c r="AQ248" i="1"/>
  <c r="AQ250" i="1" s="1"/>
  <c r="X89" i="1"/>
  <c r="X94" i="1" s="1"/>
  <c r="X201" i="1"/>
  <c r="AO1" i="1"/>
  <c r="AO234" i="1"/>
  <c r="D166" i="1"/>
  <c r="I167" i="1" s="1"/>
  <c r="D169" i="1"/>
  <c r="AV151" i="1"/>
  <c r="AV198" i="1" s="1"/>
  <c r="AU198" i="1"/>
  <c r="AU163" i="1"/>
  <c r="AU165" i="1" s="1"/>
  <c r="AU166" i="1" s="1"/>
  <c r="AV137" i="1"/>
  <c r="AV163" i="1" s="1"/>
  <c r="AV165" i="1" s="1"/>
  <c r="AV166" i="1" s="1"/>
  <c r="AB128" i="1"/>
  <c r="AC128" i="1" s="1"/>
  <c r="BD39" i="1"/>
  <c r="BI365" i="1"/>
  <c r="BD209" i="1"/>
  <c r="BD364" i="1" s="1"/>
  <c r="BG127" i="1"/>
  <c r="BG39" i="1" s="1"/>
  <c r="BG189" i="1" s="1"/>
  <c r="E120" i="1"/>
  <c r="E121" i="1" s="1"/>
  <c r="E207" i="1"/>
  <c r="AM179" i="1"/>
  <c r="AR197" i="1"/>
  <c r="BU39" i="1"/>
  <c r="L165" i="1"/>
  <c r="AH128" i="1"/>
  <c r="X118" i="1"/>
  <c r="L229" i="1"/>
  <c r="BA229" i="1"/>
  <c r="AU229" i="1"/>
  <c r="AP229" i="1"/>
  <c r="AK229" i="1"/>
  <c r="AA229" i="1"/>
  <c r="U229" i="1"/>
  <c r="AV216" i="1"/>
  <c r="AV217" i="1" s="1"/>
  <c r="AM216" i="1"/>
  <c r="BD212" i="1"/>
  <c r="AG206" i="1"/>
  <c r="AG368" i="1" s="1"/>
  <c r="AX206" i="1"/>
  <c r="AL206" i="1"/>
  <c r="AL368" i="1" s="1"/>
  <c r="AH206" i="1"/>
  <c r="W212" i="1"/>
  <c r="W213" i="1" s="1"/>
  <c r="K206" i="1"/>
  <c r="AL216" i="1"/>
  <c r="AL217" i="1" s="1"/>
  <c r="E155" i="1"/>
  <c r="AY152" i="1"/>
  <c r="AY155" i="1" s="1"/>
  <c r="K152" i="1"/>
  <c r="K155" i="1" s="1"/>
  <c r="AZ140" i="1"/>
  <c r="BA140" i="1" s="1"/>
  <c r="BG136" i="1"/>
  <c r="AR136" i="1"/>
  <c r="AM136" i="1"/>
  <c r="X136" i="1"/>
  <c r="S136" i="1"/>
  <c r="I136" i="1"/>
  <c r="BG135" i="1"/>
  <c r="I135" i="1"/>
  <c r="AM134" i="1"/>
  <c r="AH134" i="1"/>
  <c r="I134" i="1"/>
  <c r="L133" i="1"/>
  <c r="N133" i="1" s="1"/>
  <c r="I133" i="1"/>
  <c r="BB132" i="1"/>
  <c r="AH132" i="1"/>
  <c r="AY39" i="1"/>
  <c r="S116" i="1"/>
  <c r="S118" i="1" s="1"/>
  <c r="I118" i="1"/>
  <c r="AD81" i="1"/>
  <c r="BL103" i="1"/>
  <c r="V94" i="1"/>
  <c r="J94" i="1"/>
  <c r="N88" i="1"/>
  <c r="AM87" i="1"/>
  <c r="AR87" i="1"/>
  <c r="X63" i="1"/>
  <c r="CF63" i="1"/>
  <c r="AX34" i="1"/>
  <c r="BA31" i="1"/>
  <c r="BE32" i="1"/>
  <c r="AJ31" i="1"/>
  <c r="I29" i="1"/>
  <c r="I30" i="1" s="1"/>
  <c r="BF27" i="1"/>
  <c r="AY27" i="1"/>
  <c r="AQ27" i="1"/>
  <c r="BD20" i="1"/>
  <c r="AS15" i="1"/>
  <c r="AZ15" i="1"/>
  <c r="AV15" i="1"/>
  <c r="AR14" i="1"/>
  <c r="AR19" i="1" s="1"/>
  <c r="AR20" i="1" s="1"/>
  <c r="AF15" i="1"/>
  <c r="AB15" i="1"/>
  <c r="AB5" i="1"/>
  <c r="AB234" i="1" s="1"/>
  <c r="BY135" i="1"/>
  <c r="BD380" i="1"/>
  <c r="AE229" i="1"/>
  <c r="D208" i="1"/>
  <c r="AS206" i="1"/>
  <c r="AO206" i="1"/>
  <c r="AK206" i="1"/>
  <c r="AK368" i="1" s="1"/>
  <c r="AC206" i="1"/>
  <c r="Q212" i="1"/>
  <c r="BE206" i="1"/>
  <c r="BE368" i="1" s="1"/>
  <c r="BA213" i="1"/>
  <c r="BA214" i="1" s="1"/>
  <c r="AR212" i="1"/>
  <c r="AK212" i="1"/>
  <c r="AL213" i="1" s="1"/>
  <c r="AL214" i="1" s="1"/>
  <c r="AG212" i="1"/>
  <c r="AO216" i="1"/>
  <c r="AO217" i="1" s="1"/>
  <c r="AK216" i="1"/>
  <c r="AK217" i="1" s="1"/>
  <c r="N131" i="1"/>
  <c r="W118" i="1"/>
  <c r="W207" i="1" s="1"/>
  <c r="AX94" i="1"/>
  <c r="AX246" i="1" s="1"/>
  <c r="AI94" i="1"/>
  <c r="AI246" i="1" s="1"/>
  <c r="AE94" i="1"/>
  <c r="AE246" i="1" s="1"/>
  <c r="BG63" i="1"/>
  <c r="AV31" i="1"/>
  <c r="V24" i="1"/>
  <c r="AW229" i="1"/>
  <c r="BB248" i="1"/>
  <c r="AP213" i="1"/>
  <c r="AP214" i="1" s="1"/>
  <c r="I94" i="1"/>
  <c r="S94" i="1"/>
  <c r="C229" i="1"/>
  <c r="AY229" i="1"/>
  <c r="AN229" i="1"/>
  <c r="AI229" i="1"/>
  <c r="AD229" i="1"/>
  <c r="AF216" i="1"/>
  <c r="AF217" i="1" s="1"/>
  <c r="BC206" i="1"/>
  <c r="BC368" i="1" s="1"/>
  <c r="AJ206" i="1"/>
  <c r="AJ368" i="1" s="1"/>
  <c r="AF212" i="1"/>
  <c r="T206" i="1"/>
  <c r="P212" i="1"/>
  <c r="P213" i="1" s="1"/>
  <c r="H206" i="1"/>
  <c r="D212" i="1"/>
  <c r="BH206" i="1"/>
  <c r="AV206" i="1"/>
  <c r="AV368" i="1" s="1"/>
  <c r="AR206" i="1"/>
  <c r="AR368" i="1" s="1"/>
  <c r="AN206" i="1"/>
  <c r="AF206" i="1"/>
  <c r="AQ206" i="1"/>
  <c r="AQ368" i="1" s="1"/>
  <c r="AJ212" i="1"/>
  <c r="AJ213" i="1" s="1"/>
  <c r="AJ214" i="1" s="1"/>
  <c r="AB212" i="1"/>
  <c r="U206" i="1"/>
  <c r="U208" i="1" s="1"/>
  <c r="M206" i="1"/>
  <c r="M208" i="1" s="1"/>
  <c r="I206" i="1"/>
  <c r="E206" i="1"/>
  <c r="BA216" i="1"/>
  <c r="BA217" i="1" s="1"/>
  <c r="BF173" i="1"/>
  <c r="AI167" i="1"/>
  <c r="M149" i="1"/>
  <c r="BJ188" i="1"/>
  <c r="U165" i="1"/>
  <c r="U166" i="1" s="1"/>
  <c r="U167" i="1" s="1"/>
  <c r="AH135" i="1"/>
  <c r="AW134" i="1"/>
  <c r="AW133" i="1"/>
  <c r="AR133" i="1"/>
  <c r="BG132" i="1"/>
  <c r="AM132" i="1"/>
  <c r="S132" i="1"/>
  <c r="BB131" i="1"/>
  <c r="AB118" i="1"/>
  <c r="Z118" i="1"/>
  <c r="Z120" i="1" s="1"/>
  <c r="N118" i="1"/>
  <c r="AA118" i="1"/>
  <c r="AA120" i="1" s="1"/>
  <c r="BC110" i="1"/>
  <c r="J110" i="1"/>
  <c r="AQ94" i="1"/>
  <c r="AQ246" i="1" s="1"/>
  <c r="AL94" i="1"/>
  <c r="AL246" i="1" s="1"/>
  <c r="AA94" i="1"/>
  <c r="O94" i="1"/>
  <c r="C94" i="1"/>
  <c r="X85" i="1"/>
  <c r="AP29" i="1"/>
  <c r="AP30" i="1" s="1"/>
  <c r="AD27" i="1"/>
  <c r="AS24" i="1"/>
  <c r="AA24" i="1"/>
  <c r="O24" i="1"/>
  <c r="AL24" i="1"/>
  <c r="BF20" i="1"/>
  <c r="AO15" i="1"/>
  <c r="H12" i="1"/>
  <c r="AP234" i="1"/>
  <c r="Z213" i="1"/>
  <c r="T169" i="1"/>
  <c r="AU168" i="1"/>
  <c r="AT250" i="1"/>
  <c r="F229" i="1"/>
  <c r="AV229" i="1"/>
  <c r="AQ229" i="1"/>
  <c r="AL229" i="1"/>
  <c r="V229" i="1"/>
  <c r="AN216" i="1"/>
  <c r="AN217" i="1" s="1"/>
  <c r="BE212" i="1"/>
  <c r="BF213" i="1" s="1"/>
  <c r="BF214" i="1" s="1"/>
  <c r="N206" i="1"/>
  <c r="AY212" i="1"/>
  <c r="AY213" i="1" s="1"/>
  <c r="AY214" i="1" s="1"/>
  <c r="AT206" i="1"/>
  <c r="AM212" i="1"/>
  <c r="AA206" i="1"/>
  <c r="T212" i="1"/>
  <c r="P206" i="1"/>
  <c r="P208" i="1" s="1"/>
  <c r="L212" i="1"/>
  <c r="M213" i="1" s="1"/>
  <c r="S206" i="1"/>
  <c r="G206" i="1"/>
  <c r="G208" i="1" s="1"/>
  <c r="C206" i="1"/>
  <c r="C210" i="1" s="1"/>
  <c r="I198" i="1"/>
  <c r="I162" i="1" s="1"/>
  <c r="AD169" i="1"/>
  <c r="BC152" i="1"/>
  <c r="BC155" i="1" s="1"/>
  <c r="V148" i="1"/>
  <c r="W148" i="1" s="1"/>
  <c r="BI143" i="1"/>
  <c r="T143" i="1"/>
  <c r="BJ142" i="1"/>
  <c r="BK142" i="1" s="1"/>
  <c r="BB136" i="1"/>
  <c r="AH136" i="1"/>
  <c r="BG134" i="1"/>
  <c r="BB134" i="1"/>
  <c r="AC134" i="1"/>
  <c r="L134" i="1"/>
  <c r="N134" i="1" s="1"/>
  <c r="AW132" i="1"/>
  <c r="AR132" i="1"/>
  <c r="AC132" i="1"/>
  <c r="X132" i="1"/>
  <c r="I132" i="1"/>
  <c r="AC131" i="1"/>
  <c r="AC366" i="1" s="1"/>
  <c r="I131" i="1"/>
  <c r="I128" i="1"/>
  <c r="AN127" i="1"/>
  <c r="Y120" i="1"/>
  <c r="H118" i="1"/>
  <c r="H110" i="1"/>
  <c r="AR110" i="1"/>
  <c r="AM110" i="1"/>
  <c r="AB104" i="1"/>
  <c r="S110" i="1"/>
  <c r="W81" i="1"/>
  <c r="W201" i="1" s="1"/>
  <c r="W215" i="1" s="1"/>
  <c r="BH94" i="1"/>
  <c r="U94" i="1"/>
  <c r="Q94" i="1"/>
  <c r="G94" i="1"/>
  <c r="G121" i="1" s="1"/>
  <c r="AT94" i="1"/>
  <c r="AT246" i="1" s="1"/>
  <c r="AP94" i="1"/>
  <c r="AP246" i="1" s="1"/>
  <c r="Z94" i="1"/>
  <c r="R94" i="1"/>
  <c r="AR89" i="1"/>
  <c r="AR94" i="1" s="1"/>
  <c r="AR246" i="1" s="1"/>
  <c r="AT47" i="1"/>
  <c r="BC31" i="1"/>
  <c r="BC32" i="1"/>
  <c r="AQ32" i="1"/>
  <c r="AZ32" i="1"/>
  <c r="R31" i="1"/>
  <c r="AG27" i="1"/>
  <c r="AY24" i="1"/>
  <c r="AR22" i="1"/>
  <c r="AR179" i="1" s="1"/>
  <c r="T24" i="1"/>
  <c r="AN20" i="1"/>
  <c r="AF20" i="1"/>
  <c r="T20" i="1"/>
  <c r="AC18" i="1"/>
  <c r="N18" i="1"/>
  <c r="U15" i="1"/>
  <c r="AC14" i="1"/>
  <c r="AC26" i="1" s="1"/>
  <c r="AC27" i="1" s="1"/>
  <c r="BB15" i="1"/>
  <c r="AC9" i="1"/>
  <c r="V5" i="1"/>
  <c r="V234" i="1" s="1"/>
  <c r="BB197" i="1"/>
  <c r="C166" i="1"/>
  <c r="C169" i="1"/>
  <c r="D209" i="1"/>
  <c r="D210" i="1" s="1"/>
  <c r="AX226" i="1"/>
  <c r="AX191" i="1"/>
  <c r="AX185" i="1"/>
  <c r="AX228" i="1"/>
  <c r="BG212" i="1"/>
  <c r="BG110" i="1"/>
  <c r="BK369" i="1"/>
  <c r="BM204" i="1"/>
  <c r="CD101" i="1"/>
  <c r="BK235" i="1"/>
  <c r="BK234" i="1"/>
  <c r="BJ179" i="1"/>
  <c r="M193" i="1"/>
  <c r="M50" i="1"/>
  <c r="BL194" i="1"/>
  <c r="AQ50" i="1"/>
  <c r="AW209" i="1"/>
  <c r="AW39" i="1"/>
  <c r="AW189" i="1" s="1"/>
  <c r="BL113" i="1"/>
  <c r="Z166" i="1"/>
  <c r="Z169" i="1"/>
  <c r="Q189" i="1"/>
  <c r="Y167" i="1"/>
  <c r="AD167" i="1"/>
  <c r="AK166" i="1"/>
  <c r="AB143" i="1"/>
  <c r="G152" i="1"/>
  <c r="U198" i="1"/>
  <c r="V151" i="1"/>
  <c r="AU152" i="1"/>
  <c r="BF154" i="1"/>
  <c r="BG154" i="1" s="1"/>
  <c r="BG151" i="1"/>
  <c r="BF198" i="1"/>
  <c r="AG151" i="1"/>
  <c r="AH151" i="1" s="1"/>
  <c r="AF198" i="1"/>
  <c r="V149" i="1"/>
  <c r="U152" i="1"/>
  <c r="U168" i="1"/>
  <c r="X146" i="1"/>
  <c r="AL142" i="1"/>
  <c r="AM142" i="1" s="1"/>
  <c r="AM239" i="1" s="1"/>
  <c r="AK239" i="1"/>
  <c r="AV188" i="1"/>
  <c r="AV367" i="1"/>
  <c r="AW140" i="1"/>
  <c r="AV164" i="1"/>
  <c r="AV187" i="1"/>
  <c r="AD201" i="1"/>
  <c r="AD215" i="1" s="1"/>
  <c r="AD216" i="1" s="1"/>
  <c r="AD217" i="1" s="1"/>
  <c r="AD89" i="1"/>
  <c r="AD94" i="1" s="1"/>
  <c r="AD246" i="1" s="1"/>
  <c r="BL106" i="1"/>
  <c r="BK205" i="1"/>
  <c r="BL148" i="1"/>
  <c r="AE50" i="1"/>
  <c r="AE48" i="1"/>
  <c r="O50" i="1"/>
  <c r="AG34" i="1"/>
  <c r="AG35" i="1" s="1"/>
  <c r="S22" i="1"/>
  <c r="P179" i="1"/>
  <c r="BG15" i="1"/>
  <c r="H178" i="1"/>
  <c r="H184" i="1"/>
  <c r="H226" i="1"/>
  <c r="H185" i="1"/>
  <c r="H191" i="1"/>
  <c r="H192" i="1"/>
  <c r="H228" i="1"/>
  <c r="AV168" i="1"/>
  <c r="AV169" i="1" s="1"/>
  <c r="AW149" i="1"/>
  <c r="AC368" i="1"/>
  <c r="BL198" i="1"/>
  <c r="T167" i="1"/>
  <c r="O167" i="1"/>
  <c r="AN166" i="1"/>
  <c r="AN167" i="1" s="1"/>
  <c r="BA154" i="1"/>
  <c r="BB154" i="1" s="1"/>
  <c r="J158" i="1"/>
  <c r="K156" i="1"/>
  <c r="K157" i="1" s="1"/>
  <c r="AQ151" i="1"/>
  <c r="AQ198" i="1" s="1"/>
  <c r="AP198" i="1"/>
  <c r="AC151" i="1"/>
  <c r="AB198" i="1"/>
  <c r="M151" i="1"/>
  <c r="M198" i="1" s="1"/>
  <c r="L198" i="1"/>
  <c r="BI152" i="1"/>
  <c r="BI155" i="1" s="1"/>
  <c r="AG142" i="1"/>
  <c r="AH142" i="1" s="1"/>
  <c r="AH239" i="1" s="1"/>
  <c r="AF239" i="1"/>
  <c r="BG140" i="1"/>
  <c r="BE164" i="1"/>
  <c r="BE187" i="1"/>
  <c r="BE367" i="1"/>
  <c r="BE143" i="1"/>
  <c r="BE188" i="1"/>
  <c r="AR366" i="1"/>
  <c r="R207" i="1"/>
  <c r="O207" i="1"/>
  <c r="O208" i="1" s="1"/>
  <c r="AE114" i="1"/>
  <c r="AD118" i="1"/>
  <c r="AC118" i="1"/>
  <c r="G47" i="1"/>
  <c r="G193" i="1" s="1"/>
  <c r="D32" i="1"/>
  <c r="E34" i="1"/>
  <c r="E35" i="1" s="1"/>
  <c r="J32" i="1"/>
  <c r="AQ24" i="1"/>
  <c r="AR185" i="1"/>
  <c r="AR191" i="1"/>
  <c r="AR192" i="1"/>
  <c r="AR228" i="1"/>
  <c r="AR178" i="1"/>
  <c r="AR184" i="1"/>
  <c r="AR226" i="1"/>
  <c r="Y192" i="1"/>
  <c r="Y228" i="1"/>
  <c r="Y178" i="1"/>
  <c r="Y184" i="1"/>
  <c r="Y226" i="1"/>
  <c r="Y185" i="1"/>
  <c r="Y191" i="1"/>
  <c r="K185" i="1"/>
  <c r="K191" i="1"/>
  <c r="K192" i="1"/>
  <c r="K228" i="1"/>
  <c r="K178" i="1"/>
  <c r="K184" i="1"/>
  <c r="K226" i="1"/>
  <c r="AP189" i="1"/>
  <c r="BH368" i="1"/>
  <c r="BA151" i="1"/>
  <c r="BB151" i="1" s="1"/>
  <c r="AZ198" i="1"/>
  <c r="AM151" i="1"/>
  <c r="AL198" i="1"/>
  <c r="AO173" i="1"/>
  <c r="AP149" i="1"/>
  <c r="AO152" i="1"/>
  <c r="R146" i="1"/>
  <c r="S146" i="1" s="1"/>
  <c r="AV142" i="1"/>
  <c r="AU239" i="1"/>
  <c r="AU143" i="1"/>
  <c r="M120" i="1"/>
  <c r="Z207" i="1"/>
  <c r="Z208" i="1" s="1"/>
  <c r="AW203" i="1"/>
  <c r="AC89" i="1"/>
  <c r="AC94" i="1" s="1"/>
  <c r="AD133" i="1"/>
  <c r="BG192" i="1"/>
  <c r="BG228" i="1"/>
  <c r="BG178" i="1"/>
  <c r="BG184" i="1"/>
  <c r="BG226" i="1"/>
  <c r="BG185" i="1"/>
  <c r="BG191" i="1"/>
  <c r="I192" i="1"/>
  <c r="I228" i="1"/>
  <c r="I178" i="1"/>
  <c r="I184" i="1"/>
  <c r="I226" i="1"/>
  <c r="I185" i="1"/>
  <c r="I191" i="1"/>
  <c r="S12" i="1"/>
  <c r="S14" i="1"/>
  <c r="S26" i="1" s="1"/>
  <c r="S176" i="1"/>
  <c r="O189" i="1"/>
  <c r="O40" i="1"/>
  <c r="BE149" i="1"/>
  <c r="BD152" i="1"/>
  <c r="BD155" i="1" s="1"/>
  <c r="AB146" i="1"/>
  <c r="AC146" i="1" s="1"/>
  <c r="L152" i="1"/>
  <c r="M146" i="1"/>
  <c r="U143" i="1"/>
  <c r="U239" i="1"/>
  <c r="BK203" i="1"/>
  <c r="BL98" i="1"/>
  <c r="BL203" i="1" s="1"/>
  <c r="P27" i="1"/>
  <c r="U27" i="1"/>
  <c r="BB178" i="1"/>
  <c r="BB184" i="1"/>
  <c r="BB226" i="1"/>
  <c r="BB185" i="1"/>
  <c r="BB191" i="1"/>
  <c r="BB192" i="1"/>
  <c r="BB228" i="1"/>
  <c r="AH191" i="1"/>
  <c r="AH192" i="1"/>
  <c r="AH228" i="1"/>
  <c r="AH178" i="1"/>
  <c r="AH184" i="1"/>
  <c r="AH226" i="1"/>
  <c r="AH185" i="1"/>
  <c r="AH15" i="1"/>
  <c r="N14" i="1"/>
  <c r="N15" i="1" s="1"/>
  <c r="N176" i="1"/>
  <c r="N12" i="1"/>
  <c r="BJ182" i="1"/>
  <c r="BJ9" i="1"/>
  <c r="BJ361" i="1"/>
  <c r="S215" i="1"/>
  <c r="S216" i="1" s="1"/>
  <c r="G215" i="1"/>
  <c r="C215" i="1"/>
  <c r="BH212" i="1"/>
  <c r="BC212" i="1"/>
  <c r="AQ212" i="1"/>
  <c r="AA212" i="1"/>
  <c r="AA213" i="1" s="1"/>
  <c r="U212" i="1"/>
  <c r="K212" i="1"/>
  <c r="K213" i="1" s="1"/>
  <c r="E212" i="1"/>
  <c r="AM206" i="1"/>
  <c r="L206" i="1"/>
  <c r="AQ154" i="1"/>
  <c r="AR154" i="1" s="1"/>
  <c r="AH154" i="1"/>
  <c r="AZ31" i="1"/>
  <c r="AT31" i="1"/>
  <c r="AF5" i="1"/>
  <c r="AF234" i="1" s="1"/>
  <c r="X5" i="1"/>
  <c r="X234" i="1" s="1"/>
  <c r="AN5" i="1"/>
  <c r="Q198" i="1"/>
  <c r="R151" i="1"/>
  <c r="R198" i="1" s="1"/>
  <c r="R142" i="1"/>
  <c r="BD206" i="1"/>
  <c r="Q206" i="1"/>
  <c r="AN152" i="1"/>
  <c r="AN155" i="1" s="1"/>
  <c r="AO142" i="1"/>
  <c r="J115" i="1"/>
  <c r="J118" i="1" s="1"/>
  <c r="AW92" i="1"/>
  <c r="AW81" i="1" s="1"/>
  <c r="D31" i="1"/>
  <c r="Z5" i="1"/>
  <c r="Z234" i="1" s="1"/>
  <c r="F143" i="1"/>
  <c r="BL135" i="1"/>
  <c r="R128" i="1"/>
  <c r="I169" i="1"/>
  <c r="M94" i="1"/>
  <c r="AL27" i="1"/>
  <c r="X22" i="1"/>
  <c r="X23" i="1" s="1"/>
  <c r="BE20" i="1"/>
  <c r="AR216" i="1"/>
  <c r="AU169" i="1" l="1"/>
  <c r="AI20" i="1"/>
  <c r="AN27" i="1"/>
  <c r="AS20" i="1"/>
  <c r="BC27" i="1"/>
  <c r="R24" i="1"/>
  <c r="AV20" i="1"/>
  <c r="BC362" i="1"/>
  <c r="AA207" i="1"/>
  <c r="AA208" i="1" s="1"/>
  <c r="AD213" i="1"/>
  <c r="AD214" i="1" s="1"/>
  <c r="AK27" i="1"/>
  <c r="AK30" i="1"/>
  <c r="AK34" i="1"/>
  <c r="AC19" i="1"/>
  <c r="M137" i="1"/>
  <c r="M163" i="1" s="1"/>
  <c r="M165" i="1" s="1"/>
  <c r="Z27" i="1"/>
  <c r="AJ27" i="1"/>
  <c r="BC20" i="1"/>
  <c r="BH27" i="1"/>
  <c r="AO24" i="1"/>
  <c r="AU24" i="1"/>
  <c r="BI24" i="1"/>
  <c r="BC48" i="1"/>
  <c r="BC181" i="1" s="1"/>
  <c r="E213" i="1"/>
  <c r="R208" i="1"/>
  <c r="AE213" i="1"/>
  <c r="AE214" i="1" s="1"/>
  <c r="N213" i="1"/>
  <c r="O213" i="1"/>
  <c r="X27" i="1"/>
  <c r="BB152" i="1"/>
  <c r="N17" i="1"/>
  <c r="N19" i="1"/>
  <c r="AX45" i="1"/>
  <c r="AX35" i="1"/>
  <c r="AM23" i="1"/>
  <c r="BB35" i="1"/>
  <c r="V121" i="1"/>
  <c r="BD229" i="1"/>
  <c r="V31" i="1"/>
  <c r="X19" i="1"/>
  <c r="BK188" i="1"/>
  <c r="BK143" i="1"/>
  <c r="V20" i="1"/>
  <c r="AA27" i="1"/>
  <c r="AU27" i="1"/>
  <c r="BD24" i="1"/>
  <c r="AU40" i="1"/>
  <c r="AU41" i="1" s="1"/>
  <c r="AU35" i="1"/>
  <c r="AZ37" i="1" s="1"/>
  <c r="AU248" i="1"/>
  <c r="AZ36" i="1"/>
  <c r="AU209" i="1"/>
  <c r="AU362" i="1"/>
  <c r="W27" i="1"/>
  <c r="BE27" i="1"/>
  <c r="AR26" i="1"/>
  <c r="BI37" i="1"/>
  <c r="S29" i="1"/>
  <c r="S30" i="1" s="1"/>
  <c r="S23" i="1"/>
  <c r="AR23" i="1"/>
  <c r="AA121" i="1"/>
  <c r="AC23" i="1"/>
  <c r="AL35" i="1"/>
  <c r="AM229" i="1"/>
  <c r="M15" i="1"/>
  <c r="H23" i="1"/>
  <c r="M24" i="1" s="1"/>
  <c r="H26" i="1"/>
  <c r="M27" i="1" s="1"/>
  <c r="H19" i="1"/>
  <c r="AG31" i="1"/>
  <c r="W165" i="1"/>
  <c r="W166" i="1" s="1"/>
  <c r="P19" i="1"/>
  <c r="S18" i="1"/>
  <c r="P17" i="1"/>
  <c r="D50" i="1"/>
  <c r="D48" i="1"/>
  <c r="N23" i="1"/>
  <c r="N24" i="1" s="1"/>
  <c r="AJ20" i="1"/>
  <c r="BH20" i="1"/>
  <c r="P23" i="1"/>
  <c r="P29" i="1"/>
  <c r="AH26" i="1"/>
  <c r="AH27" i="1" s="1"/>
  <c r="AV48" i="1"/>
  <c r="AV50" i="1"/>
  <c r="H35" i="1"/>
  <c r="M37" i="1" s="1"/>
  <c r="D27" i="1"/>
  <c r="M20" i="1"/>
  <c r="AZ27" i="1"/>
  <c r="AH19" i="1"/>
  <c r="AM20" i="1" s="1"/>
  <c r="C48" i="1"/>
  <c r="C50" i="1"/>
  <c r="C52" i="1" s="1"/>
  <c r="N29" i="1"/>
  <c r="N30" i="1" s="1"/>
  <c r="N26" i="1"/>
  <c r="S27" i="1" s="1"/>
  <c r="AV213" i="1"/>
  <c r="AV214" i="1" s="1"/>
  <c r="BG30" i="1"/>
  <c r="BG32" i="1" s="1"/>
  <c r="BL31" i="1"/>
  <c r="BI229" i="1"/>
  <c r="R36" i="1"/>
  <c r="BE220" i="1"/>
  <c r="BB135" i="1"/>
  <c r="BF24" i="1"/>
  <c r="AE27" i="1"/>
  <c r="AT24" i="1"/>
  <c r="AX24" i="1"/>
  <c r="BC24" i="1"/>
  <c r="H30" i="1"/>
  <c r="M32" i="1" s="1"/>
  <c r="AF27" i="1"/>
  <c r="Y20" i="1"/>
  <c r="D24" i="1"/>
  <c r="AB27" i="1"/>
  <c r="Z121" i="1"/>
  <c r="BD382" i="1"/>
  <c r="U121" i="1"/>
  <c r="V220" i="1"/>
  <c r="V222" i="1" s="1"/>
  <c r="AN34" i="1"/>
  <c r="AN35" i="1" s="1"/>
  <c r="AN30" i="1"/>
  <c r="AH126" i="1"/>
  <c r="O20" i="1"/>
  <c r="T27" i="1"/>
  <c r="Y27" i="1"/>
  <c r="AS27" i="1"/>
  <c r="BD50" i="1"/>
  <c r="BD48" i="1"/>
  <c r="Z20" i="1"/>
  <c r="AT27" i="1"/>
  <c r="J27" i="1"/>
  <c r="BL140" i="1"/>
  <c r="AH23" i="1"/>
  <c r="AA20" i="1"/>
  <c r="AP20" i="1"/>
  <c r="AU20" i="1"/>
  <c r="AY20" i="1"/>
  <c r="BD27" i="1"/>
  <c r="BI27" i="1"/>
  <c r="R20" i="1"/>
  <c r="W20" i="1"/>
  <c r="AB20" i="1"/>
  <c r="AV24" i="1"/>
  <c r="AZ24" i="1"/>
  <c r="K20" i="1"/>
  <c r="R120" i="1"/>
  <c r="R121" i="1" s="1"/>
  <c r="U50" i="1"/>
  <c r="AU222" i="1"/>
  <c r="BZ135" i="1"/>
  <c r="CA101" i="1"/>
  <c r="CE101" i="1"/>
  <c r="BQ113" i="1"/>
  <c r="BS113" i="1" s="1"/>
  <c r="BW102" i="1"/>
  <c r="BX102" i="1" s="1"/>
  <c r="BY102" i="1" s="1"/>
  <c r="BZ102" i="1" s="1"/>
  <c r="CB102" i="1" s="1"/>
  <c r="CC102" i="1" s="1"/>
  <c r="CD102" i="1" s="1"/>
  <c r="CE102" i="1" s="1"/>
  <c r="CG102" i="1" s="1"/>
  <c r="CH102" i="1" s="1"/>
  <c r="CI102" i="1" s="1"/>
  <c r="CJ102" i="1" s="1"/>
  <c r="BQ135" i="1"/>
  <c r="BK149" i="1"/>
  <c r="BL149" i="1" s="1"/>
  <c r="Q169" i="1"/>
  <c r="Q166" i="1"/>
  <c r="Q167" i="1" s="1"/>
  <c r="W89" i="1"/>
  <c r="W94" i="1" s="1"/>
  <c r="AE32" i="1"/>
  <c r="AM217" i="1"/>
  <c r="AM24" i="1"/>
  <c r="BG34" i="1"/>
  <c r="AQ36" i="1"/>
  <c r="AT167" i="1"/>
  <c r="N197" i="1"/>
  <c r="BM14" i="1"/>
  <c r="AK31" i="1"/>
  <c r="AK32" i="1"/>
  <c r="AF34" i="1"/>
  <c r="AF35" i="1" s="1"/>
  <c r="AE31" i="1"/>
  <c r="Z34" i="1"/>
  <c r="Z35" i="1" s="1"/>
  <c r="Z31" i="1"/>
  <c r="Z32" i="1"/>
  <c r="V32" i="1"/>
  <c r="AB164" i="1"/>
  <c r="AB188" i="1"/>
  <c r="AW45" i="1"/>
  <c r="AU50" i="1"/>
  <c r="AD209" i="1"/>
  <c r="AD364" i="1" s="1"/>
  <c r="AD40" i="1"/>
  <c r="AD41" i="1" s="1"/>
  <c r="AD248" i="1"/>
  <c r="J40" i="1"/>
  <c r="J41" i="1" s="1"/>
  <c r="J36" i="1"/>
  <c r="AW362" i="1"/>
  <c r="AW220" i="1"/>
  <c r="AW248" i="1"/>
  <c r="AA173" i="1"/>
  <c r="AA172" i="1" s="1"/>
  <c r="AA168" i="1"/>
  <c r="AZ50" i="1"/>
  <c r="AZ48" i="1"/>
  <c r="BB27" i="1"/>
  <c r="AB149" i="1"/>
  <c r="X104" i="1"/>
  <c r="X110" i="1" s="1"/>
  <c r="W110" i="1"/>
  <c r="W120" i="1" s="1"/>
  <c r="AF24" i="1"/>
  <c r="AK24" i="1"/>
  <c r="AL248" i="1"/>
  <c r="AL250" i="1" s="1"/>
  <c r="AL209" i="1"/>
  <c r="AL364" i="1" s="1"/>
  <c r="F121" i="1"/>
  <c r="BH155" i="1"/>
  <c r="AY52" i="1"/>
  <c r="AY124" i="1"/>
  <c r="AY129" i="1" s="1"/>
  <c r="AY365" i="1" s="1"/>
  <c r="Y201" i="1"/>
  <c r="Y89" i="1"/>
  <c r="Y94" i="1" s="1"/>
  <c r="Y121" i="1" s="1"/>
  <c r="BC40" i="1"/>
  <c r="BC41" i="1" s="1"/>
  <c r="BC189" i="1"/>
  <c r="BH366" i="1"/>
  <c r="AH39" i="1"/>
  <c r="AH189" i="1" s="1"/>
  <c r="AR126" i="1"/>
  <c r="AQ39" i="1"/>
  <c r="W126" i="1"/>
  <c r="V39" i="1"/>
  <c r="V209" i="1"/>
  <c r="I143" i="1"/>
  <c r="C208" i="1"/>
  <c r="U169" i="1"/>
  <c r="AW146" i="1"/>
  <c r="AK167" i="1"/>
  <c r="BJ239" i="1"/>
  <c r="BK239" i="1"/>
  <c r="T213" i="1"/>
  <c r="T208" i="1"/>
  <c r="BH32" i="1"/>
  <c r="AS52" i="1"/>
  <c r="AB168" i="1"/>
  <c r="AM29" i="1"/>
  <c r="AM30" i="1" s="1"/>
  <c r="AB187" i="1"/>
  <c r="AD45" i="1"/>
  <c r="AD48" i="1" s="1"/>
  <c r="J209" i="1"/>
  <c r="V207" i="1"/>
  <c r="V208" i="1" s="1"/>
  <c r="R37" i="1"/>
  <c r="BC246" i="1"/>
  <c r="BE37" i="1"/>
  <c r="BE36" i="1"/>
  <c r="BE362" i="1"/>
  <c r="BH48" i="1"/>
  <c r="BH50" i="1"/>
  <c r="AC29" i="1"/>
  <c r="AC30" i="1" s="1"/>
  <c r="AH24" i="1"/>
  <c r="AC179" i="1"/>
  <c r="AW5" i="1"/>
  <c r="AW234" i="1" s="1"/>
  <c r="AN45" i="1"/>
  <c r="AN47" i="1" s="1"/>
  <c r="AN248" i="1"/>
  <c r="AN250" i="1" s="1"/>
  <c r="AN36" i="1"/>
  <c r="AN362" i="1"/>
  <c r="AS36" i="1"/>
  <c r="X133" i="1"/>
  <c r="AB24" i="1"/>
  <c r="W187" i="1"/>
  <c r="W164" i="1"/>
  <c r="W188" i="1"/>
  <c r="X140" i="1"/>
  <c r="AO169" i="1"/>
  <c r="AB31" i="1"/>
  <c r="AB32" i="1"/>
  <c r="AB34" i="1"/>
  <c r="AB35" i="1" s="1"/>
  <c r="AB137" i="1"/>
  <c r="AB163" i="1" s="1"/>
  <c r="AB165" i="1" s="1"/>
  <c r="AB166" i="1" s="1"/>
  <c r="AB167" i="1" s="1"/>
  <c r="AA163" i="1"/>
  <c r="AA165" i="1" s="1"/>
  <c r="AA166" i="1" s="1"/>
  <c r="AA167" i="1" s="1"/>
  <c r="AI32" i="1"/>
  <c r="AJ50" i="1"/>
  <c r="AJ48" i="1"/>
  <c r="AQ213" i="1"/>
  <c r="AQ214" i="1" s="1"/>
  <c r="AR229" i="1"/>
  <c r="N27" i="1"/>
  <c r="AM39" i="1"/>
  <c r="AM189" i="1" s="1"/>
  <c r="AC15" i="1"/>
  <c r="T155" i="1"/>
  <c r="E208" i="1"/>
  <c r="D213" i="1"/>
  <c r="AF213" i="1"/>
  <c r="AF214" i="1" s="1"/>
  <c r="R213" i="1"/>
  <c r="AS31" i="1"/>
  <c r="AW217" i="1"/>
  <c r="BG31" i="1"/>
  <c r="O37" i="1"/>
  <c r="AC140" i="1"/>
  <c r="AL362" i="1"/>
  <c r="J45" i="1"/>
  <c r="AI36" i="1"/>
  <c r="P169" i="1"/>
  <c r="AM164" i="1"/>
  <c r="Q32" i="1"/>
  <c r="Q31" i="1"/>
  <c r="AA152" i="1"/>
  <c r="AG140" i="1"/>
  <c r="AF367" i="1"/>
  <c r="AF164" i="1"/>
  <c r="AF188" i="1"/>
  <c r="AF143" i="1"/>
  <c r="Q34" i="1"/>
  <c r="Q35" i="1" s="1"/>
  <c r="BI32" i="1"/>
  <c r="BD32" i="1"/>
  <c r="AQ187" i="1"/>
  <c r="AQ188" i="1"/>
  <c r="AQ367" i="1"/>
  <c r="AQ164" i="1"/>
  <c r="V239" i="1"/>
  <c r="V143" i="1"/>
  <c r="W142" i="1"/>
  <c r="Y181" i="1"/>
  <c r="Y37" i="1"/>
  <c r="AO34" i="1"/>
  <c r="AO35" i="1" s="1"/>
  <c r="AT32" i="1"/>
  <c r="X185" i="1"/>
  <c r="X178" i="1"/>
  <c r="X184" i="1"/>
  <c r="X228" i="1"/>
  <c r="X226" i="1"/>
  <c r="X192" i="1"/>
  <c r="AI45" i="1"/>
  <c r="AI362" i="1"/>
  <c r="AI40" i="1"/>
  <c r="AI41" i="1" s="1"/>
  <c r="AI248" i="1"/>
  <c r="AI209" i="1"/>
  <c r="AI364" i="1" s="1"/>
  <c r="AV40" i="1"/>
  <c r="AV41" i="1" s="1"/>
  <c r="AV189" i="1"/>
  <c r="AQ165" i="1"/>
  <c r="AQ166" i="1" s="1"/>
  <c r="AQ167" i="1" s="1"/>
  <c r="BH41" i="1"/>
  <c r="AU167" i="1"/>
  <c r="Z167" i="1"/>
  <c r="AC198" i="1"/>
  <c r="AS167" i="1"/>
  <c r="AM198" i="1"/>
  <c r="D167" i="1"/>
  <c r="BM179" i="1"/>
  <c r="M152" i="1"/>
  <c r="BJ143" i="1"/>
  <c r="AR213" i="1"/>
  <c r="Q120" i="1"/>
  <c r="Q121" i="1" s="1"/>
  <c r="Q207" i="1"/>
  <c r="AU181" i="1"/>
  <c r="AU249" i="1"/>
  <c r="AU250" i="1" s="1"/>
  <c r="AU251" i="1" s="1"/>
  <c r="AW151" i="1"/>
  <c r="AW168" i="1" s="1"/>
  <c r="AA31" i="1"/>
  <c r="AA34" i="1"/>
  <c r="AA35" i="1" s="1"/>
  <c r="AF31" i="1"/>
  <c r="BW127" i="1"/>
  <c r="BR39" i="1"/>
  <c r="Q188" i="1"/>
  <c r="R140" i="1"/>
  <c r="R143" i="1" s="1"/>
  <c r="S143" i="1" s="1"/>
  <c r="Q143" i="1"/>
  <c r="Q155" i="1" s="1"/>
  <c r="Q164" i="1"/>
  <c r="Q187" i="1"/>
  <c r="S140" i="1"/>
  <c r="AW198" i="1"/>
  <c r="BL142" i="1"/>
  <c r="BL239" i="1" s="1"/>
  <c r="K29" i="1"/>
  <c r="K30" i="1" s="1"/>
  <c r="BB362" i="1"/>
  <c r="BB37" i="1"/>
  <c r="BB220" i="1"/>
  <c r="BB36" i="1"/>
  <c r="BA50" i="1"/>
  <c r="BA48" i="1"/>
  <c r="BB20" i="1"/>
  <c r="BG20" i="1"/>
  <c r="F45" i="1"/>
  <c r="F47" i="1" s="1"/>
  <c r="F193" i="1" s="1"/>
  <c r="F40" i="1"/>
  <c r="F41" i="1" s="1"/>
  <c r="F209" i="1"/>
  <c r="J210" i="1" s="1"/>
  <c r="AH34" i="1"/>
  <c r="AH35" i="1" s="1"/>
  <c r="AH32" i="1"/>
  <c r="AH31" i="1"/>
  <c r="BF32" i="1"/>
  <c r="L115" i="1"/>
  <c r="L118" i="1" s="1"/>
  <c r="AC187" i="1"/>
  <c r="V47" i="1"/>
  <c r="V50" i="1" s="1"/>
  <c r="T48" i="1"/>
  <c r="T50" i="1"/>
  <c r="K229" i="1"/>
  <c r="BG198" i="1"/>
  <c r="W36" i="1"/>
  <c r="W209" i="1"/>
  <c r="AB36" i="1"/>
  <c r="W45" i="1"/>
  <c r="AZ189" i="1"/>
  <c r="AZ40" i="1"/>
  <c r="AZ41" i="1" s="1"/>
  <c r="AK149" i="1"/>
  <c r="AJ173" i="1"/>
  <c r="AJ172" i="1" s="1"/>
  <c r="AJ168" i="1"/>
  <c r="AJ169" i="1" s="1"/>
  <c r="AJ152" i="1"/>
  <c r="AJ155" i="1" s="1"/>
  <c r="AC39" i="1"/>
  <c r="AC189" i="1" s="1"/>
  <c r="H213" i="1"/>
  <c r="J47" i="1"/>
  <c r="K120" i="1"/>
  <c r="K121" i="1" s="1"/>
  <c r="K207" i="1"/>
  <c r="K208" i="1" s="1"/>
  <c r="S198" i="1"/>
  <c r="AO189" i="1"/>
  <c r="AO40" i="1"/>
  <c r="AO41" i="1" s="1"/>
  <c r="AY37" i="1"/>
  <c r="AL50" i="1"/>
  <c r="AM47" i="1"/>
  <c r="AM193" i="1" s="1"/>
  <c r="R39" i="1"/>
  <c r="R209" i="1"/>
  <c r="V210" i="1" s="1"/>
  <c r="AK213" i="1"/>
  <c r="AK214" i="1" s="1"/>
  <c r="AM214" i="1" s="1"/>
  <c r="AM366" i="1"/>
  <c r="X148" i="1"/>
  <c r="AS213" i="1"/>
  <c r="AS214" i="1" s="1"/>
  <c r="AW214" i="1" s="1"/>
  <c r="BF362" i="1"/>
  <c r="BF209" i="1"/>
  <c r="BF36" i="1"/>
  <c r="BF40" i="1"/>
  <c r="R45" i="1"/>
  <c r="AR5" i="1"/>
  <c r="AN37" i="1"/>
  <c r="AW20" i="1"/>
  <c r="BT149" i="1"/>
  <c r="AS37" i="1"/>
  <c r="AL189" i="1"/>
  <c r="AL40" i="1"/>
  <c r="L47" i="1"/>
  <c r="L50" i="1" s="1"/>
  <c r="BL235" i="1"/>
  <c r="BO361" i="1"/>
  <c r="BT4" i="1"/>
  <c r="BO9" i="1"/>
  <c r="S207" i="1"/>
  <c r="S208" i="1" s="1"/>
  <c r="S120" i="1"/>
  <c r="S121" i="1" s="1"/>
  <c r="AY40" i="1"/>
  <c r="AY41" i="1" s="1"/>
  <c r="AY189" i="1"/>
  <c r="AH368" i="1"/>
  <c r="AE216" i="1"/>
  <c r="AE217" i="1" s="1"/>
  <c r="W206" i="1"/>
  <c r="W208" i="1" s="1"/>
  <c r="BG142" i="1"/>
  <c r="BG239" i="1" s="1"/>
  <c r="G50" i="1"/>
  <c r="G124" i="1" s="1"/>
  <c r="N198" i="1"/>
  <c r="AR198" i="1"/>
  <c r="AE167" i="1"/>
  <c r="AT50" i="1"/>
  <c r="AW47" i="1"/>
  <c r="AT193" i="1"/>
  <c r="AC104" i="1"/>
  <c r="AC110" i="1" s="1"/>
  <c r="AB110" i="1"/>
  <c r="AB120" i="1" s="1"/>
  <c r="AB121" i="1" s="1"/>
  <c r="H120" i="1"/>
  <c r="H121" i="1" s="1"/>
  <c r="H207" i="1"/>
  <c r="H208" i="1" s="1"/>
  <c r="AT368" i="1"/>
  <c r="AR217" i="1"/>
  <c r="O32" i="1"/>
  <c r="T32" i="1"/>
  <c r="N120" i="1"/>
  <c r="N207" i="1"/>
  <c r="N208" i="1" s="1"/>
  <c r="BG173" i="1"/>
  <c r="BG172" i="1" s="1"/>
  <c r="BF172" i="1"/>
  <c r="AJ32" i="1"/>
  <c r="AO32" i="1"/>
  <c r="AZ143" i="1"/>
  <c r="AZ155" i="1" s="1"/>
  <c r="AZ165" i="1"/>
  <c r="AZ187" i="1"/>
  <c r="AZ188" i="1"/>
  <c r="AZ367" i="1"/>
  <c r="AZ164" i="1"/>
  <c r="BD40" i="1"/>
  <c r="BD189" i="1"/>
  <c r="X206" i="1"/>
  <c r="X215" i="1"/>
  <c r="BV103" i="1"/>
  <c r="BZ103" i="1"/>
  <c r="BJ39" i="1"/>
  <c r="M187" i="1"/>
  <c r="M188" i="1"/>
  <c r="M143" i="1"/>
  <c r="N143" i="1" s="1"/>
  <c r="N155" i="1" s="1"/>
  <c r="N157" i="1" s="1"/>
  <c r="BE382" i="1"/>
  <c r="BF382" i="1" s="1"/>
  <c r="AC5" i="1"/>
  <c r="AC234" i="1" s="1"/>
  <c r="BH246" i="1"/>
  <c r="AN39" i="1"/>
  <c r="AN209" i="1"/>
  <c r="AN364" i="1" s="1"/>
  <c r="AR127" i="1"/>
  <c r="AR39" i="1" s="1"/>
  <c r="AR189" i="1" s="1"/>
  <c r="AS32" i="1"/>
  <c r="AN32" i="1"/>
  <c r="AH229" i="1"/>
  <c r="L155" i="1"/>
  <c r="BG229" i="1"/>
  <c r="AR151" i="1"/>
  <c r="Q213" i="1"/>
  <c r="BG366" i="1"/>
  <c r="N34" i="1"/>
  <c r="N35" i="1" s="1"/>
  <c r="T37" i="1"/>
  <c r="AP31" i="1"/>
  <c r="AU31" i="1"/>
  <c r="AP34" i="1"/>
  <c r="AP35" i="1" s="1"/>
  <c r="BB366" i="1"/>
  <c r="AF368" i="1"/>
  <c r="AO368" i="1"/>
  <c r="I32" i="1"/>
  <c r="I34" i="1"/>
  <c r="I31" i="1"/>
  <c r="X120" i="1"/>
  <c r="X207" i="1"/>
  <c r="BG248" i="1"/>
  <c r="BG220" i="1"/>
  <c r="BG33" i="1"/>
  <c r="BG36" i="1"/>
  <c r="BG362" i="1"/>
  <c r="BG209" i="1"/>
  <c r="BG364" i="1" s="1"/>
  <c r="AJ37" i="1"/>
  <c r="AW366" i="1"/>
  <c r="BD381" i="1"/>
  <c r="BE381" i="1" s="1"/>
  <c r="BF381" i="1" s="1"/>
  <c r="AW15" i="1"/>
  <c r="AR15" i="1"/>
  <c r="N89" i="1"/>
  <c r="N94" i="1" s="1"/>
  <c r="O133" i="1"/>
  <c r="S133" i="1" s="1"/>
  <c r="N186" i="1"/>
  <c r="N31" i="1"/>
  <c r="BF239" i="1"/>
  <c r="O121" i="1"/>
  <c r="BG143" i="1"/>
  <c r="AZ213" i="1"/>
  <c r="AZ214" i="1" s="1"/>
  <c r="AP167" i="1"/>
  <c r="AC17" i="1"/>
  <c r="AC34" i="1"/>
  <c r="AC35" i="1" s="1"/>
  <c r="AR29" i="1"/>
  <c r="AR30" i="1" s="1"/>
  <c r="AN213" i="1"/>
  <c r="AN214" i="1" s="1"/>
  <c r="AR214" i="1" s="1"/>
  <c r="AM213" i="1"/>
  <c r="BE213" i="1"/>
  <c r="BE214" i="1" s="1"/>
  <c r="BQ92" i="1"/>
  <c r="AB207" i="1"/>
  <c r="AB208" i="1" s="1"/>
  <c r="AN368" i="1"/>
  <c r="AS368" i="1"/>
  <c r="BC36" i="1"/>
  <c r="AX36" i="1"/>
  <c r="AZ220" i="1"/>
  <c r="AX40" i="1"/>
  <c r="AX41" i="1" s="1"/>
  <c r="AX209" i="1"/>
  <c r="AX362" i="1"/>
  <c r="I207" i="1"/>
  <c r="I208" i="1" s="1"/>
  <c r="I120" i="1"/>
  <c r="I121" i="1" s="1"/>
  <c r="AX368" i="1"/>
  <c r="AX210" i="1"/>
  <c r="AM34" i="1"/>
  <c r="AM35" i="1" s="1"/>
  <c r="AM31" i="1"/>
  <c r="AM32" i="1"/>
  <c r="BI39" i="1"/>
  <c r="BL127" i="1"/>
  <c r="BL39" i="1" s="1"/>
  <c r="BI209" i="1"/>
  <c r="BI364" i="1" s="1"/>
  <c r="AQ37" i="1"/>
  <c r="AV37" i="1"/>
  <c r="AV32" i="1"/>
  <c r="BE189" i="1"/>
  <c r="BE40" i="1"/>
  <c r="AF152" i="1"/>
  <c r="AF155" i="1" s="1"/>
  <c r="AG149" i="1"/>
  <c r="AG173" i="1" s="1"/>
  <c r="AG172" i="1" s="1"/>
  <c r="AF173" i="1"/>
  <c r="AF172" i="1" s="1"/>
  <c r="AF168" i="1"/>
  <c r="AF169" i="1" s="1"/>
  <c r="AE364" i="1"/>
  <c r="BE380" i="1"/>
  <c r="BF380" i="1" s="1"/>
  <c r="CJ127" i="1"/>
  <c r="CE39" i="1"/>
  <c r="CC28" i="1"/>
  <c r="CA28" i="1"/>
  <c r="AX229" i="1"/>
  <c r="BN361" i="1"/>
  <c r="BM361" i="1"/>
  <c r="BL369" i="1"/>
  <c r="BO204" i="1"/>
  <c r="CD135" i="1"/>
  <c r="CI101" i="1"/>
  <c r="BJ14" i="1"/>
  <c r="BN143" i="1"/>
  <c r="BN367" i="1"/>
  <c r="AW89" i="1"/>
  <c r="AW94" i="1" s="1"/>
  <c r="AW246" i="1" s="1"/>
  <c r="BB370" i="1"/>
  <c r="AW201" i="1"/>
  <c r="AW215" i="1" s="1"/>
  <c r="J120" i="1"/>
  <c r="J121" i="1" s="1"/>
  <c r="J207" i="1"/>
  <c r="J208" i="1" s="1"/>
  <c r="AW213" i="1"/>
  <c r="BS135" i="1"/>
  <c r="BW101" i="1"/>
  <c r="BR135" i="1"/>
  <c r="BX183" i="1"/>
  <c r="AX48" i="1"/>
  <c r="AX50" i="1"/>
  <c r="BB45" i="1"/>
  <c r="BB48" i="1" s="1"/>
  <c r="BC213" i="1"/>
  <c r="BC214" i="1" s="1"/>
  <c r="BG213" i="1"/>
  <c r="BC124" i="1"/>
  <c r="BC129" i="1" s="1"/>
  <c r="BC365" i="1" s="1"/>
  <c r="BC52" i="1"/>
  <c r="BC65" i="1"/>
  <c r="BC67" i="1" s="1"/>
  <c r="BF149" i="1"/>
  <c r="BE152" i="1"/>
  <c r="BE155" i="1" s="1"/>
  <c r="BT176" i="1"/>
  <c r="F213" i="1"/>
  <c r="AD366" i="1"/>
  <c r="AH133" i="1"/>
  <c r="AV239" i="1"/>
  <c r="AW142" i="1"/>
  <c r="AW239" i="1" s="1"/>
  <c r="AC120" i="1"/>
  <c r="AC121" i="1" s="1"/>
  <c r="AC207" i="1"/>
  <c r="AC208" i="1" s="1"/>
  <c r="AG239" i="1"/>
  <c r="AG143" i="1"/>
  <c r="AH143" i="1" s="1"/>
  <c r="H229" i="1"/>
  <c r="N191" i="1"/>
  <c r="N192" i="1"/>
  <c r="N228" i="1"/>
  <c r="N178" i="1"/>
  <c r="N184" i="1"/>
  <c r="N226" i="1"/>
  <c r="N185" i="1"/>
  <c r="S24" i="1"/>
  <c r="S179" i="1"/>
  <c r="AL32" i="1"/>
  <c r="AG32" i="1"/>
  <c r="O64" i="1"/>
  <c r="O124" i="1"/>
  <c r="O52" i="1"/>
  <c r="BL205" i="1"/>
  <c r="AW367" i="1"/>
  <c r="AW164" i="1"/>
  <c r="AW187" i="1"/>
  <c r="AW188" i="1"/>
  <c r="U155" i="1"/>
  <c r="AG198" i="1"/>
  <c r="AH198" i="1" s="1"/>
  <c r="BT183" i="1"/>
  <c r="BT186" i="1"/>
  <c r="AD206" i="1"/>
  <c r="V198" i="1"/>
  <c r="W151" i="1"/>
  <c r="W198" i="1" s="1"/>
  <c r="BB168" i="1"/>
  <c r="AQ65" i="1"/>
  <c r="AQ67" i="1" s="1"/>
  <c r="AQ124" i="1"/>
  <c r="AQ129" i="1" s="1"/>
  <c r="AQ365" i="1" s="1"/>
  <c r="AQ52" i="1"/>
  <c r="BM194" i="1"/>
  <c r="M124" i="1"/>
  <c r="M129" i="1" s="1"/>
  <c r="M52" i="1"/>
  <c r="X29" i="1"/>
  <c r="X30" i="1" s="1"/>
  <c r="X179" i="1"/>
  <c r="I197" i="1"/>
  <c r="I213" i="1"/>
  <c r="BA187" i="1"/>
  <c r="BA188" i="1"/>
  <c r="BB140" i="1"/>
  <c r="BA367" i="1"/>
  <c r="BA143" i="1"/>
  <c r="BB143" i="1" s="1"/>
  <c r="BA165" i="1"/>
  <c r="BA164" i="1"/>
  <c r="U213" i="1"/>
  <c r="V223" i="1"/>
  <c r="BH213" i="1"/>
  <c r="BH214" i="1" s="1"/>
  <c r="BM182" i="1"/>
  <c r="BJ12" i="1"/>
  <c r="O41" i="1"/>
  <c r="M121" i="1"/>
  <c r="BX190" i="1"/>
  <c r="E45" i="1"/>
  <c r="E40" i="1"/>
  <c r="J37" i="1"/>
  <c r="E209" i="1"/>
  <c r="AD120" i="1"/>
  <c r="AD121" i="1" s="1"/>
  <c r="AD207" i="1"/>
  <c r="BG188" i="1"/>
  <c r="BG164" i="1"/>
  <c r="BG367" i="1"/>
  <c r="BG187" i="1"/>
  <c r="P24" i="1"/>
  <c r="U24" i="1"/>
  <c r="AG362" i="1"/>
  <c r="AG209" i="1"/>
  <c r="AG248" i="1"/>
  <c r="AG250" i="1" s="1"/>
  <c r="AG40" i="1"/>
  <c r="AG36" i="1"/>
  <c r="AK220" i="1"/>
  <c r="AL36" i="1"/>
  <c r="AE249" i="1"/>
  <c r="AE250" i="1" s="1"/>
  <c r="AE181" i="1"/>
  <c r="AL239" i="1"/>
  <c r="AL143" i="1"/>
  <c r="AM143" i="1" s="1"/>
  <c r="V173" i="1"/>
  <c r="V172" i="1" s="1"/>
  <c r="W149" i="1"/>
  <c r="X149" i="1" s="1"/>
  <c r="V152" i="1"/>
  <c r="V168" i="1"/>
  <c r="V169" i="1" s="1"/>
  <c r="BJ85" i="1"/>
  <c r="BJ227" i="1"/>
  <c r="BD213" i="1"/>
  <c r="BD214" i="1" s="1"/>
  <c r="AB142" i="1"/>
  <c r="V167" i="1"/>
  <c r="AC143" i="1"/>
  <c r="AO239" i="1"/>
  <c r="AP142" i="1"/>
  <c r="AO143" i="1"/>
  <c r="AO155" i="1" s="1"/>
  <c r="Q208" i="1"/>
  <c r="R239" i="1"/>
  <c r="S142" i="1"/>
  <c r="S239" i="1" s="1"/>
  <c r="AM368" i="1"/>
  <c r="BX186" i="1"/>
  <c r="L213" i="1"/>
  <c r="AV143" i="1"/>
  <c r="AW143" i="1" s="1"/>
  <c r="AP168" i="1"/>
  <c r="AP169" i="1" s="1"/>
  <c r="AP173" i="1"/>
  <c r="AP172" i="1" s="1"/>
  <c r="AP152" i="1"/>
  <c r="AQ149" i="1"/>
  <c r="AR149" i="1" s="1"/>
  <c r="BI213" i="1"/>
  <c r="AF114" i="1"/>
  <c r="AE118" i="1"/>
  <c r="BJ17" i="1"/>
  <c r="AE65" i="1"/>
  <c r="AE52" i="1"/>
  <c r="AE64" i="1"/>
  <c r="AE124" i="1"/>
  <c r="AE129" i="1" s="1"/>
  <c r="AE365" i="1" s="1"/>
  <c r="AU155" i="1"/>
  <c r="AV152" i="1"/>
  <c r="AW364" i="1"/>
  <c r="BD368" i="1"/>
  <c r="AN234" i="1"/>
  <c r="AN1" i="1"/>
  <c r="P20" i="1"/>
  <c r="U20" i="1"/>
  <c r="BB229" i="1"/>
  <c r="BM203" i="1"/>
  <c r="BQ173" i="1"/>
  <c r="BQ149" i="1"/>
  <c r="BT190" i="1"/>
  <c r="V213" i="1"/>
  <c r="S15" i="1"/>
  <c r="X15" i="1"/>
  <c r="I229" i="1"/>
  <c r="R152" i="1"/>
  <c r="AO172" i="1"/>
  <c r="BA198" i="1"/>
  <c r="BB198" i="1" s="1"/>
  <c r="BB115" i="1"/>
  <c r="H45" i="1"/>
  <c r="Y229" i="1"/>
  <c r="BJ180" i="1"/>
  <c r="BJ29" i="1"/>
  <c r="BJ30" i="1" s="1"/>
  <c r="S128" i="1"/>
  <c r="R168" i="1"/>
  <c r="L156" i="1"/>
  <c r="L157" i="1" s="1"/>
  <c r="K158" i="1"/>
  <c r="O181" i="1"/>
  <c r="AW152" i="1"/>
  <c r="S151" i="1"/>
  <c r="S168" i="1" s="1"/>
  <c r="BA152" i="1"/>
  <c r="BA155" i="1" s="1"/>
  <c r="BB155" i="1" s="1"/>
  <c r="AK35" i="1" l="1"/>
  <c r="AK45" i="1"/>
  <c r="AK209" i="1"/>
  <c r="AK364" i="1" s="1"/>
  <c r="AK248" i="1"/>
  <c r="AK40" i="1"/>
  <c r="AK41" i="1" s="1"/>
  <c r="AK362" i="1"/>
  <c r="G52" i="1"/>
  <c r="BT113" i="1"/>
  <c r="BU113" i="1" s="1"/>
  <c r="BV113" i="1" s="1"/>
  <c r="BW113" i="1" s="1"/>
  <c r="BX113" i="1" s="1"/>
  <c r="BY113" i="1" s="1"/>
  <c r="BZ113" i="1" s="1"/>
  <c r="CA113" i="1" s="1"/>
  <c r="CB113" i="1" s="1"/>
  <c r="CC113" i="1" s="1"/>
  <c r="CD113" i="1" s="1"/>
  <c r="CE113" i="1" s="1"/>
  <c r="CF113" i="1" s="1"/>
  <c r="CG113" i="1" s="1"/>
  <c r="CH113" i="1" s="1"/>
  <c r="CI113" i="1" s="1"/>
  <c r="CJ113" i="1" s="1"/>
  <c r="CK113" i="1" s="1"/>
  <c r="CL113" i="1" s="1"/>
  <c r="CM113" i="1" s="1"/>
  <c r="CN113" i="1" s="1"/>
  <c r="CO113" i="1" s="1"/>
  <c r="CP113" i="1" s="1"/>
  <c r="AV167" i="1"/>
  <c r="AV181" i="1"/>
  <c r="AV249" i="1"/>
  <c r="AV250" i="1" s="1"/>
  <c r="D181" i="1"/>
  <c r="D221" i="1"/>
  <c r="D222" i="1" s="1"/>
  <c r="D223" i="1" s="1"/>
  <c r="BM19" i="1"/>
  <c r="BM26" i="1"/>
  <c r="BM23" i="1"/>
  <c r="BM30" i="1"/>
  <c r="BM35" i="1"/>
  <c r="BM15" i="1"/>
  <c r="BL36" i="1"/>
  <c r="BG35" i="1"/>
  <c r="BD181" i="1"/>
  <c r="C181" i="1"/>
  <c r="C221" i="1"/>
  <c r="C222" i="1" s="1"/>
  <c r="D124" i="1"/>
  <c r="D129" i="1" s="1"/>
  <c r="D199" i="1" s="1"/>
  <c r="D52" i="1"/>
  <c r="D53" i="1" s="1"/>
  <c r="AM27" i="1"/>
  <c r="BJ26" i="1"/>
  <c r="BJ27" i="1" s="1"/>
  <c r="BJ23" i="1"/>
  <c r="BJ24" i="1" s="1"/>
  <c r="BJ19" i="1"/>
  <c r="BJ20" i="1" s="1"/>
  <c r="BR189" i="1"/>
  <c r="BD65" i="1"/>
  <c r="BD67" i="1" s="1"/>
  <c r="BD52" i="1"/>
  <c r="BI53" i="1" s="1"/>
  <c r="BD124" i="1"/>
  <c r="BD129" i="1" s="1"/>
  <c r="BD365" i="1" s="1"/>
  <c r="P30" i="1"/>
  <c r="U32" i="1" s="1"/>
  <c r="P34" i="1"/>
  <c r="U31" i="1"/>
  <c r="P192" i="1"/>
  <c r="P185" i="1"/>
  <c r="P228" i="1"/>
  <c r="P178" i="1"/>
  <c r="P226" i="1"/>
  <c r="S17" i="1"/>
  <c r="P184" i="1"/>
  <c r="P191" i="1"/>
  <c r="AW27" i="1"/>
  <c r="AR27" i="1"/>
  <c r="I45" i="1"/>
  <c r="I35" i="1"/>
  <c r="AA220" i="1"/>
  <c r="AV124" i="1"/>
  <c r="AV129" i="1" s="1"/>
  <c r="AV365" i="1" s="1"/>
  <c r="AV65" i="1"/>
  <c r="AV67" i="1" s="1"/>
  <c r="AV52" i="1"/>
  <c r="S19" i="1"/>
  <c r="X20" i="1" s="1"/>
  <c r="AU364" i="1"/>
  <c r="AU210" i="1"/>
  <c r="AD50" i="1"/>
  <c r="AD64" i="1" s="1"/>
  <c r="AD66" i="1" s="1"/>
  <c r="U64" i="1"/>
  <c r="U66" i="1" s="1"/>
  <c r="U124" i="1"/>
  <c r="U129" i="1" s="1"/>
  <c r="U52" i="1"/>
  <c r="F50" i="1"/>
  <c r="CJ101" i="1"/>
  <c r="CF101" i="1"/>
  <c r="BV135" i="1"/>
  <c r="CE135" i="1"/>
  <c r="CF102" i="1"/>
  <c r="CA102" i="1"/>
  <c r="BN29" i="1"/>
  <c r="AW40" i="1"/>
  <c r="AW41" i="1" s="1"/>
  <c r="BN180" i="1"/>
  <c r="BN187" i="1"/>
  <c r="BN14" i="1"/>
  <c r="O129" i="1"/>
  <c r="R155" i="1"/>
  <c r="S155" i="1" s="1"/>
  <c r="AI48" i="1"/>
  <c r="AI50" i="1"/>
  <c r="AM45" i="1"/>
  <c r="AM48" i="1" s="1"/>
  <c r="AO45" i="1"/>
  <c r="AO362" i="1"/>
  <c r="AO248" i="1"/>
  <c r="AO250" i="1" s="1"/>
  <c r="AT36" i="1"/>
  <c r="AO209" i="1"/>
  <c r="AO36" i="1"/>
  <c r="W239" i="1"/>
  <c r="X142" i="1"/>
  <c r="X239" i="1" s="1"/>
  <c r="AA155" i="1"/>
  <c r="AB152" i="1"/>
  <c r="AB155" i="1" s="1"/>
  <c r="AC367" i="1"/>
  <c r="AC188" i="1"/>
  <c r="AC164" i="1"/>
  <c r="AD37" i="1"/>
  <c r="AF40" i="1"/>
  <c r="AF41" i="1" s="1"/>
  <c r="AF209" i="1"/>
  <c r="AF248" i="1"/>
  <c r="AF362" i="1"/>
  <c r="AK36" i="1"/>
  <c r="AF45" i="1"/>
  <c r="BM180" i="1"/>
  <c r="AJ249" i="1"/>
  <c r="AJ250" i="1" s="1"/>
  <c r="AJ181" i="1"/>
  <c r="AN50" i="1"/>
  <c r="AN193" i="1"/>
  <c r="BH181" i="1"/>
  <c r="AB169" i="1"/>
  <c r="V189" i="1"/>
  <c r="V40" i="1"/>
  <c r="V41" i="1" s="1"/>
  <c r="Y215" i="1"/>
  <c r="Z216" i="1" s="1"/>
  <c r="Y206" i="1"/>
  <c r="Y208" i="1" s="1"/>
  <c r="AZ221" i="1"/>
  <c r="AZ222" i="1" s="1"/>
  <c r="AZ181" i="1"/>
  <c r="AU52" i="1"/>
  <c r="AU124" i="1"/>
  <c r="AU129" i="1" s="1"/>
  <c r="AU365" i="1" s="1"/>
  <c r="AU65" i="1"/>
  <c r="AU67" i="1" s="1"/>
  <c r="V155" i="1"/>
  <c r="N121" i="1"/>
  <c r="X229" i="1"/>
  <c r="Q45" i="1"/>
  <c r="V36" i="1"/>
  <c r="Q209" i="1"/>
  <c r="Q40" i="1"/>
  <c r="Q41" i="1" s="1"/>
  <c r="Q36" i="1"/>
  <c r="W143" i="1"/>
  <c r="X143" i="1" s="1"/>
  <c r="AJ52" i="1"/>
  <c r="AJ64" i="1"/>
  <c r="AJ66" i="1" s="1"/>
  <c r="AJ124" i="1"/>
  <c r="AJ129" i="1" s="1"/>
  <c r="AJ365" i="1" s="1"/>
  <c r="AB209" i="1"/>
  <c r="AB40" i="1"/>
  <c r="AB41" i="1" s="1"/>
  <c r="AF220" i="1"/>
  <c r="X188" i="1"/>
  <c r="X164" i="1"/>
  <c r="X187" i="1"/>
  <c r="X126" i="1"/>
  <c r="X39" i="1" s="1"/>
  <c r="X189" i="1" s="1"/>
  <c r="W39" i="1"/>
  <c r="AZ124" i="1"/>
  <c r="AZ129" i="1" s="1"/>
  <c r="AZ365" i="1" s="1"/>
  <c r="AZ52" i="1"/>
  <c r="AZ53" i="1" s="1"/>
  <c r="AZ65" i="1"/>
  <c r="AZ67" i="1" s="1"/>
  <c r="Z45" i="1"/>
  <c r="Z209" i="1"/>
  <c r="Z36" i="1"/>
  <c r="Z40" i="1"/>
  <c r="Z41" i="1" s="1"/>
  <c r="AE36" i="1"/>
  <c r="W121" i="1"/>
  <c r="AI37" i="1"/>
  <c r="AG164" i="1"/>
  <c r="AG188" i="1"/>
  <c r="AG367" i="1"/>
  <c r="AG187" i="1"/>
  <c r="AG165" i="1"/>
  <c r="AG166" i="1" s="1"/>
  <c r="AH140" i="1"/>
  <c r="BH124" i="1"/>
  <c r="BH129" i="1" s="1"/>
  <c r="BH65" i="1"/>
  <c r="BH67" i="1" s="1"/>
  <c r="BH52" i="1"/>
  <c r="BH53" i="1" s="1"/>
  <c r="AQ189" i="1"/>
  <c r="AQ40" i="1"/>
  <c r="AQ41" i="1" s="1"/>
  <c r="AC149" i="1"/>
  <c r="AB173" i="1"/>
  <c r="AB172" i="1" s="1"/>
  <c r="AA169" i="1"/>
  <c r="BM12" i="1"/>
  <c r="BM17" i="1"/>
  <c r="AF167" i="1"/>
  <c r="X198" i="1"/>
  <c r="BT109" i="1"/>
  <c r="S188" i="1"/>
  <c r="S187" i="1"/>
  <c r="S164" i="1"/>
  <c r="R165" i="1"/>
  <c r="R166" i="1" s="1"/>
  <c r="R164" i="1"/>
  <c r="R187" i="1"/>
  <c r="R188" i="1"/>
  <c r="N32" i="1"/>
  <c r="M155" i="1"/>
  <c r="U210" i="1"/>
  <c r="BA181" i="1"/>
  <c r="K34" i="1"/>
  <c r="K35" i="1" s="1"/>
  <c r="P31" i="1"/>
  <c r="K31" i="1"/>
  <c r="AA45" i="1"/>
  <c r="AA209" i="1"/>
  <c r="AE210" i="1" s="1"/>
  <c r="AF36" i="1"/>
  <c r="AA40" i="1"/>
  <c r="AA36" i="1"/>
  <c r="BA124" i="1"/>
  <c r="BA52" i="1"/>
  <c r="BA53" i="1" s="1"/>
  <c r="BA65" i="1"/>
  <c r="BA67" i="1" s="1"/>
  <c r="BW39" i="1"/>
  <c r="CB127" i="1"/>
  <c r="AA32" i="1"/>
  <c r="AF32" i="1"/>
  <c r="V52" i="1"/>
  <c r="V64" i="1"/>
  <c r="V66" i="1" s="1"/>
  <c r="V124" i="1"/>
  <c r="V129" i="1" s="1"/>
  <c r="L207" i="1"/>
  <c r="L120" i="1"/>
  <c r="L121" i="1" s="1"/>
  <c r="L193" i="1"/>
  <c r="BV173" i="1"/>
  <c r="BU149" i="1"/>
  <c r="BV149" i="1" s="1"/>
  <c r="AR234" i="1"/>
  <c r="BF41" i="1"/>
  <c r="BF364" i="1"/>
  <c r="BH210" i="1"/>
  <c r="R189" i="1"/>
  <c r="R40" i="1"/>
  <c r="R41" i="1" s="1"/>
  <c r="Y210" i="1"/>
  <c r="Z210" i="1"/>
  <c r="T124" i="1"/>
  <c r="T129" i="1" s="1"/>
  <c r="T52" i="1"/>
  <c r="T64" i="1"/>
  <c r="N229" i="1"/>
  <c r="L52" i="1"/>
  <c r="L124" i="1"/>
  <c r="L129" i="1" s="1"/>
  <c r="W50" i="1"/>
  <c r="W48" i="1"/>
  <c r="T181" i="1"/>
  <c r="AL41" i="1"/>
  <c r="AM40" i="1"/>
  <c r="AM41" i="1" s="1"/>
  <c r="AD181" i="1"/>
  <c r="AD249" i="1"/>
  <c r="AD250" i="1" s="1"/>
  <c r="R50" i="1"/>
  <c r="R48" i="1"/>
  <c r="AL124" i="1"/>
  <c r="AL129" i="1" s="1"/>
  <c r="AL64" i="1"/>
  <c r="AL52" i="1"/>
  <c r="AQ53" i="1" s="1"/>
  <c r="J193" i="1"/>
  <c r="J50" i="1"/>
  <c r="AK168" i="1"/>
  <c r="AK169" i="1" s="1"/>
  <c r="AK152" i="1"/>
  <c r="AK155" i="1" s="1"/>
  <c r="AK173" i="1"/>
  <c r="AK172" i="1" s="1"/>
  <c r="AL149" i="1"/>
  <c r="W37" i="1"/>
  <c r="AB37" i="1"/>
  <c r="X45" i="1"/>
  <c r="AH220" i="1"/>
  <c r="AH362" i="1"/>
  <c r="AH209" i="1"/>
  <c r="AH248" i="1"/>
  <c r="S213" i="1"/>
  <c r="S197" i="1"/>
  <c r="BF37" i="1"/>
  <c r="V193" i="1"/>
  <c r="X47" i="1"/>
  <c r="BM178" i="1"/>
  <c r="BY4" i="1"/>
  <c r="BT361" i="1"/>
  <c r="BT9" i="1"/>
  <c r="BS85" i="1"/>
  <c r="BJ192" i="1"/>
  <c r="BJ184" i="1"/>
  <c r="BC37" i="1"/>
  <c r="AX37" i="1"/>
  <c r="AR24" i="1"/>
  <c r="AW24" i="1"/>
  <c r="N158" i="1"/>
  <c r="O156" i="1"/>
  <c r="O157" i="1" s="1"/>
  <c r="S156" i="1"/>
  <c r="S157" i="1" s="1"/>
  <c r="AT52" i="1"/>
  <c r="AT65" i="1"/>
  <c r="AT67" i="1" s="1"/>
  <c r="AT124" i="1"/>
  <c r="AT129" i="1" s="1"/>
  <c r="AW50" i="1"/>
  <c r="AW31" i="1"/>
  <c r="AR34" i="1"/>
  <c r="AR35" i="1" s="1"/>
  <c r="AR31" i="1"/>
  <c r="BB249" i="1"/>
  <c r="BB250" i="1" s="1"/>
  <c r="CJ39" i="1"/>
  <c r="CO127" i="1"/>
  <c r="CO39" i="1" s="1"/>
  <c r="BI40" i="1"/>
  <c r="BI189" i="1"/>
  <c r="AC228" i="1"/>
  <c r="AC185" i="1"/>
  <c r="AC184" i="1"/>
  <c r="AC178" i="1"/>
  <c r="AC191" i="1"/>
  <c r="AC192" i="1"/>
  <c r="AC226" i="1"/>
  <c r="BD41" i="1"/>
  <c r="BG40" i="1"/>
  <c r="BG41" i="1" s="1"/>
  <c r="N209" i="1"/>
  <c r="N210" i="1" s="1"/>
  <c r="M210" i="1" s="1"/>
  <c r="N220" i="1"/>
  <c r="N36" i="1"/>
  <c r="BJ34" i="1"/>
  <c r="BJ35" i="1" s="1"/>
  <c r="X216" i="1"/>
  <c r="AG168" i="1"/>
  <c r="AG169" i="1" s="1"/>
  <c r="CH28" i="1"/>
  <c r="CF28" i="1"/>
  <c r="BE41" i="1"/>
  <c r="AN210" i="1"/>
  <c r="AC362" i="1"/>
  <c r="AH36" i="1"/>
  <c r="AC220" i="1"/>
  <c r="AC209" i="1"/>
  <c r="I37" i="1"/>
  <c r="I220" i="1"/>
  <c r="I209" i="1"/>
  <c r="I210" i="1" s="1"/>
  <c r="H210" i="1" s="1"/>
  <c r="I36" i="1"/>
  <c r="AP32" i="1"/>
  <c r="AU32" i="1"/>
  <c r="N20" i="1"/>
  <c r="S20" i="1"/>
  <c r="AN40" i="1"/>
  <c r="AN189" i="1"/>
  <c r="BT127" i="1"/>
  <c r="BO39" i="1"/>
  <c r="BO189" i="1" s="1"/>
  <c r="X208" i="1"/>
  <c r="AH149" i="1"/>
  <c r="AG152" i="1"/>
  <c r="AG155" i="1" s="1"/>
  <c r="AH155" i="1" s="1"/>
  <c r="BN39" i="1"/>
  <c r="BS127" i="1"/>
  <c r="BV127" i="1" s="1"/>
  <c r="BQ127" i="1"/>
  <c r="BQ39" i="1" s="1"/>
  <c r="AM220" i="1"/>
  <c r="AM36" i="1"/>
  <c r="AM248" i="1"/>
  <c r="AM362" i="1"/>
  <c r="AM209" i="1"/>
  <c r="AY210" i="1"/>
  <c r="AX364" i="1"/>
  <c r="AZ210" i="1"/>
  <c r="AC20" i="1"/>
  <c r="AH20" i="1"/>
  <c r="BG37" i="1"/>
  <c r="AP36" i="1"/>
  <c r="AP209" i="1"/>
  <c r="AP248" i="1"/>
  <c r="AP250" i="1" s="1"/>
  <c r="AP251" i="1" s="1"/>
  <c r="AP362" i="1"/>
  <c r="AP220" i="1"/>
  <c r="AP222" i="1" s="1"/>
  <c r="AU36" i="1"/>
  <c r="AP45" i="1"/>
  <c r="AP40" i="1"/>
  <c r="CA103" i="1"/>
  <c r="CE103" i="1"/>
  <c r="AW193" i="1"/>
  <c r="AW48" i="1"/>
  <c r="BS361" i="1"/>
  <c r="BO133" i="1"/>
  <c r="BX4" i="1"/>
  <c r="BX361" i="1" s="1"/>
  <c r="BO136" i="1"/>
  <c r="BN17" i="1"/>
  <c r="BS9" i="1"/>
  <c r="BL151" i="1"/>
  <c r="BL168" i="1" s="1"/>
  <c r="BS171" i="1"/>
  <c r="BM369" i="1"/>
  <c r="BP204" i="1"/>
  <c r="BQ100" i="1"/>
  <c r="CN101" i="1"/>
  <c r="CJ135" i="1"/>
  <c r="CI135" i="1"/>
  <c r="BM227" i="1"/>
  <c r="BM85" i="1"/>
  <c r="BM367" i="1"/>
  <c r="BJ15" i="1"/>
  <c r="BN85" i="1"/>
  <c r="BN227" i="1"/>
  <c r="BN179" i="1"/>
  <c r="BR9" i="1"/>
  <c r="BS133" i="1"/>
  <c r="BR361" i="1"/>
  <c r="BW4" i="1"/>
  <c r="X173" i="1"/>
  <c r="X172" i="1" s="1"/>
  <c r="BJ31" i="1"/>
  <c r="H47" i="1"/>
  <c r="BY190" i="1"/>
  <c r="BT93" i="1"/>
  <c r="BT129" i="1" s="1"/>
  <c r="AV155" i="1"/>
  <c r="AW155" i="1" s="1"/>
  <c r="AE67" i="1"/>
  <c r="AE66" i="1"/>
  <c r="AE120" i="1"/>
  <c r="AE121" i="1" s="1"/>
  <c r="AE207" i="1"/>
  <c r="AE208" i="1" s="1"/>
  <c r="AQ173" i="1"/>
  <c r="AR173" i="1" s="1"/>
  <c r="AR172" i="1" s="1"/>
  <c r="AQ152" i="1"/>
  <c r="AQ168" i="1"/>
  <c r="AQ169" i="1" s="1"/>
  <c r="AQ142" i="1"/>
  <c r="AP239" i="1"/>
  <c r="AP143" i="1"/>
  <c r="AP155" i="1" s="1"/>
  <c r="AK210" i="1"/>
  <c r="AJ210" i="1"/>
  <c r="AI210" i="1"/>
  <c r="AG364" i="1"/>
  <c r="E47" i="1"/>
  <c r="E193" i="1" s="1"/>
  <c r="BB164" i="1"/>
  <c r="BB367" i="1"/>
  <c r="BB187" i="1"/>
  <c r="BB188" i="1"/>
  <c r="BT88" i="1"/>
  <c r="BT133" i="1" s="1"/>
  <c r="BY186" i="1"/>
  <c r="S152" i="1"/>
  <c r="BO12" i="1"/>
  <c r="BO14" i="1"/>
  <c r="BG214" i="1"/>
  <c r="AX52" i="1"/>
  <c r="BC53" i="1" s="1"/>
  <c r="AX124" i="1"/>
  <c r="AX129" i="1" s="1"/>
  <c r="AX65" i="1"/>
  <c r="AX67" i="1" s="1"/>
  <c r="BB50" i="1"/>
  <c r="L158" i="1"/>
  <c r="M156" i="1"/>
  <c r="M157" i="1" s="1"/>
  <c r="M158" i="1" s="1"/>
  <c r="AF118" i="1"/>
  <c r="AG114" i="1"/>
  <c r="AH40" i="1"/>
  <c r="AH41" i="1" s="1"/>
  <c r="AG41" i="1"/>
  <c r="G210" i="1"/>
  <c r="E210" i="1"/>
  <c r="F210" i="1"/>
  <c r="X34" i="1"/>
  <c r="X35" i="1" s="1"/>
  <c r="AC31" i="1"/>
  <c r="X31" i="1"/>
  <c r="BN194" i="1"/>
  <c r="AD368" i="1"/>
  <c r="AD208" i="1"/>
  <c r="BO227" i="1"/>
  <c r="BO85" i="1"/>
  <c r="BO131" i="1"/>
  <c r="BK361" i="1"/>
  <c r="BK182" i="1"/>
  <c r="BY176" i="1"/>
  <c r="BT11" i="1"/>
  <c r="AX181" i="1"/>
  <c r="AW216" i="1"/>
  <c r="AX216" i="1"/>
  <c r="AX217" i="1" s="1"/>
  <c r="BB217" i="1" s="1"/>
  <c r="BI214" i="1"/>
  <c r="CC186" i="1"/>
  <c r="AC142" i="1"/>
  <c r="AC239" i="1" s="1"/>
  <c r="AB239" i="1"/>
  <c r="W168" i="1"/>
  <c r="W169" i="1" s="1"/>
  <c r="W152" i="1"/>
  <c r="W155" i="1" s="1"/>
  <c r="X155" i="1" s="1"/>
  <c r="W173" i="1"/>
  <c r="W172" i="1" s="1"/>
  <c r="BN182" i="1"/>
  <c r="BT84" i="1"/>
  <c r="BY183" i="1"/>
  <c r="BM205" i="1"/>
  <c r="O66" i="1"/>
  <c r="BO143" i="1"/>
  <c r="BO367" i="1"/>
  <c r="BQ171" i="1"/>
  <c r="BQ172" i="1" s="1"/>
  <c r="BN203" i="1"/>
  <c r="AJ53" i="1"/>
  <c r="BJ178" i="1"/>
  <c r="AR152" i="1"/>
  <c r="AR168" i="1"/>
  <c r="AG37" i="1"/>
  <c r="AL37" i="1"/>
  <c r="I40" i="1"/>
  <c r="I41" i="1" s="1"/>
  <c r="E41" i="1"/>
  <c r="CC190" i="1"/>
  <c r="X24" i="1"/>
  <c r="AC24" i="1"/>
  <c r="AV53" i="1"/>
  <c r="CK102" i="1"/>
  <c r="CL102" i="1"/>
  <c r="CM102" i="1" s="1"/>
  <c r="CN102" i="1" s="1"/>
  <c r="CO102" i="1" s="1"/>
  <c r="CP102" i="1" s="1"/>
  <c r="X151" i="1"/>
  <c r="X168" i="1" s="1"/>
  <c r="S32" i="1"/>
  <c r="S34" i="1"/>
  <c r="S35" i="1" s="1"/>
  <c r="S31" i="1"/>
  <c r="BJ367" i="1"/>
  <c r="BJ187" i="1"/>
  <c r="BJ164" i="1"/>
  <c r="AH366" i="1"/>
  <c r="BF152" i="1"/>
  <c r="BF155" i="1" s="1"/>
  <c r="BG155" i="1" s="1"/>
  <c r="BG149" i="1"/>
  <c r="BB221" i="1"/>
  <c r="BB222" i="1" s="1"/>
  <c r="BB181" i="1"/>
  <c r="CC183" i="1"/>
  <c r="CB101" i="1"/>
  <c r="BX135" i="1"/>
  <c r="BW135" i="1"/>
  <c r="AK50" i="1" l="1"/>
  <c r="AK48" i="1"/>
  <c r="AD52" i="1"/>
  <c r="AD124" i="1"/>
  <c r="AD129" i="1" s="1"/>
  <c r="AD365" i="1" s="1"/>
  <c r="BS14" i="1"/>
  <c r="P35" i="1"/>
  <c r="U37" i="1" s="1"/>
  <c r="P45" i="1"/>
  <c r="U36" i="1"/>
  <c r="P40" i="1"/>
  <c r="P209" i="1"/>
  <c r="Q220" i="1"/>
  <c r="Q222" i="1" s="1"/>
  <c r="Q223" i="1" s="1"/>
  <c r="BM24" i="1"/>
  <c r="BM184" i="1"/>
  <c r="BM192" i="1"/>
  <c r="AA210" i="1"/>
  <c r="S226" i="1"/>
  <c r="S229" i="1" s="1"/>
  <c r="S191" i="1"/>
  <c r="S228" i="1"/>
  <c r="S185" i="1"/>
  <c r="S178" i="1"/>
  <c r="S192" i="1"/>
  <c r="S184" i="1"/>
  <c r="BM27" i="1"/>
  <c r="BO19" i="1"/>
  <c r="BO26" i="1"/>
  <c r="BO23" i="1"/>
  <c r="BN192" i="1"/>
  <c r="BN184" i="1"/>
  <c r="BN26" i="1"/>
  <c r="BN23" i="1"/>
  <c r="BN19" i="1"/>
  <c r="P229" i="1"/>
  <c r="BD53" i="1"/>
  <c r="BM20" i="1"/>
  <c r="R169" i="1"/>
  <c r="BM32" i="1"/>
  <c r="BR12" i="1"/>
  <c r="F124" i="1"/>
  <c r="F52" i="1"/>
  <c r="CK101" i="1"/>
  <c r="CO101" i="1"/>
  <c r="CP101" i="1" s="1"/>
  <c r="BT136" i="1"/>
  <c r="BN34" i="1"/>
  <c r="BN35" i="1" s="1"/>
  <c r="BN30" i="1"/>
  <c r="BO15" i="1"/>
  <c r="BS227" i="1"/>
  <c r="BN15" i="1"/>
  <c r="BN178" i="1"/>
  <c r="BO73" i="1"/>
  <c r="BN73" i="1"/>
  <c r="AD210" i="1"/>
  <c r="AC173" i="1"/>
  <c r="AC172" i="1" s="1"/>
  <c r="AC152" i="1"/>
  <c r="AC168" i="1"/>
  <c r="AH188" i="1"/>
  <c r="AH187" i="1"/>
  <c r="AH164" i="1"/>
  <c r="AH367" i="1"/>
  <c r="Z50" i="1"/>
  <c r="Z48" i="1"/>
  <c r="W189" i="1"/>
  <c r="W40" i="1"/>
  <c r="W41" i="1" s="1"/>
  <c r="AC155" i="1"/>
  <c r="AO47" i="1"/>
  <c r="AO193" i="1" s="1"/>
  <c r="AL167" i="1"/>
  <c r="AG167" i="1"/>
  <c r="Q37" i="1"/>
  <c r="V37" i="1"/>
  <c r="Q47" i="1"/>
  <c r="Q193" i="1" s="1"/>
  <c r="Y216" i="1"/>
  <c r="AF364" i="1"/>
  <c r="AF210" i="1"/>
  <c r="Z37" i="1"/>
  <c r="AE37" i="1"/>
  <c r="AF50" i="1"/>
  <c r="AF48" i="1"/>
  <c r="AO364" i="1"/>
  <c r="AO210" i="1"/>
  <c r="AO37" i="1"/>
  <c r="AT37" i="1"/>
  <c r="AI124" i="1"/>
  <c r="AI129" i="1" s="1"/>
  <c r="AI365" i="1" s="1"/>
  <c r="AI64" i="1"/>
  <c r="AI66" i="1" s="1"/>
  <c r="AI52" i="1"/>
  <c r="AN65" i="1"/>
  <c r="AN67" i="1" s="1"/>
  <c r="AN52" i="1"/>
  <c r="AS53" i="1" s="1"/>
  <c r="AN124" i="1"/>
  <c r="AN129" i="1" s="1"/>
  <c r="AN365" i="1" s="1"/>
  <c r="AK37" i="1"/>
  <c r="AI181" i="1"/>
  <c r="AI249" i="1"/>
  <c r="AI250" i="1" s="1"/>
  <c r="BM87" i="1"/>
  <c r="BM31" i="1"/>
  <c r="CD4" i="1"/>
  <c r="CI4" i="1" s="1"/>
  <c r="BS131" i="1"/>
  <c r="AA50" i="1"/>
  <c r="AA48" i="1"/>
  <c r="K209" i="1"/>
  <c r="L220" i="1"/>
  <c r="L222" i="1" s="1"/>
  <c r="K40" i="1"/>
  <c r="K45" i="1"/>
  <c r="P36" i="1"/>
  <c r="K36" i="1"/>
  <c r="CG127" i="1"/>
  <c r="CB39" i="1"/>
  <c r="K32" i="1"/>
  <c r="P32" i="1"/>
  <c r="AA41" i="1"/>
  <c r="AC40" i="1"/>
  <c r="AC41" i="1" s="1"/>
  <c r="AF37" i="1"/>
  <c r="AA37" i="1"/>
  <c r="R167" i="1"/>
  <c r="W167" i="1"/>
  <c r="X156" i="1"/>
  <c r="S158" i="1"/>
  <c r="J52" i="1"/>
  <c r="O53" i="1" s="1"/>
  <c r="J124" i="1"/>
  <c r="J129" i="1" s="1"/>
  <c r="AH364" i="1"/>
  <c r="AH210" i="1"/>
  <c r="AG210" i="1" s="1"/>
  <c r="W64" i="1"/>
  <c r="W66" i="1" s="1"/>
  <c r="W52" i="1"/>
  <c r="W124" i="1"/>
  <c r="W129" i="1" s="1"/>
  <c r="X129" i="1" s="1"/>
  <c r="X199" i="1" s="1"/>
  <c r="X193" i="1"/>
  <c r="X48" i="1"/>
  <c r="AM181" i="1"/>
  <c r="AM221" i="1"/>
  <c r="AM222" i="1" s="1"/>
  <c r="AM249" i="1"/>
  <c r="AM250" i="1" s="1"/>
  <c r="R181" i="1"/>
  <c r="X50" i="1"/>
  <c r="L208" i="1"/>
  <c r="L223" i="1"/>
  <c r="AL168" i="1"/>
  <c r="AL169" i="1" s="1"/>
  <c r="AM149" i="1"/>
  <c r="AL173" i="1"/>
  <c r="AL172" i="1" s="1"/>
  <c r="AL152" i="1"/>
  <c r="AL155" i="1" s="1"/>
  <c r="AM155" i="1" s="1"/>
  <c r="AL66" i="1"/>
  <c r="R64" i="1"/>
  <c r="R66" i="1" s="1"/>
  <c r="R124" i="1"/>
  <c r="R129" i="1" s="1"/>
  <c r="R52" i="1"/>
  <c r="R53" i="1" s="1"/>
  <c r="W181" i="1"/>
  <c r="Y53" i="1"/>
  <c r="T53" i="1"/>
  <c r="BM228" i="1"/>
  <c r="AL365" i="1"/>
  <c r="L53" i="1"/>
  <c r="AD53" i="1"/>
  <c r="T66" i="1"/>
  <c r="BX173" i="1"/>
  <c r="BW149" i="1"/>
  <c r="BY9" i="1"/>
  <c r="BY109" i="1"/>
  <c r="BY361" i="1"/>
  <c r="BI41" i="1"/>
  <c r="BX88" i="1"/>
  <c r="BX9" i="1"/>
  <c r="BX93" i="1"/>
  <c r="BX84" i="1"/>
  <c r="BX85" i="1" s="1"/>
  <c r="BX109" i="1"/>
  <c r="CC4" i="1"/>
  <c r="CC93" i="1" s="1"/>
  <c r="BX11" i="1"/>
  <c r="BX14" i="1" s="1"/>
  <c r="AT365" i="1"/>
  <c r="AW129" i="1"/>
  <c r="T156" i="1"/>
  <c r="T157" i="1" s="1"/>
  <c r="T158" i="1" s="1"/>
  <c r="AP41" i="1"/>
  <c r="AH173" i="1"/>
  <c r="AH172" i="1" s="1"/>
  <c r="AH168" i="1"/>
  <c r="AH152" i="1"/>
  <c r="BT39" i="1"/>
  <c r="BY127" i="1"/>
  <c r="AH37" i="1"/>
  <c r="CM28" i="1"/>
  <c r="CP28" i="1" s="1"/>
  <c r="CK28" i="1"/>
  <c r="N37" i="1"/>
  <c r="AP364" i="1"/>
  <c r="AP210" i="1"/>
  <c r="AT210" i="1"/>
  <c r="AS210" i="1"/>
  <c r="AN41" i="1"/>
  <c r="AR40" i="1"/>
  <c r="AR41" i="1" s="1"/>
  <c r="AW181" i="1"/>
  <c r="AW249" i="1"/>
  <c r="AW250" i="1" s="1"/>
  <c r="AW221" i="1"/>
  <c r="AW222" i="1" s="1"/>
  <c r="AP47" i="1"/>
  <c r="AR45" i="1"/>
  <c r="BX127" i="1"/>
  <c r="BS39" i="1"/>
  <c r="BV39" i="1"/>
  <c r="AC364" i="1"/>
  <c r="AC210" i="1"/>
  <c r="AB210" i="1" s="1"/>
  <c r="BT92" i="1"/>
  <c r="BU92" i="1" s="1"/>
  <c r="BV92" i="1" s="1"/>
  <c r="BW92" i="1" s="1"/>
  <c r="AY53" i="1"/>
  <c r="CJ103" i="1"/>
  <c r="CF103" i="1"/>
  <c r="AM364" i="1"/>
  <c r="AM210" i="1"/>
  <c r="AL210" i="1" s="1"/>
  <c r="AR32" i="1"/>
  <c r="AW32" i="1"/>
  <c r="AP37" i="1"/>
  <c r="AU37" i="1"/>
  <c r="AM37" i="1"/>
  <c r="AC229" i="1"/>
  <c r="AW36" i="1"/>
  <c r="AR36" i="1"/>
  <c r="AR220" i="1"/>
  <c r="AR362" i="1"/>
  <c r="AR248" i="1"/>
  <c r="AR209" i="1"/>
  <c r="AW52" i="1"/>
  <c r="AW65" i="1"/>
  <c r="AW124" i="1"/>
  <c r="AW137" i="1" s="1"/>
  <c r="AW163" i="1" s="1"/>
  <c r="AW165" i="1" s="1"/>
  <c r="O158" i="1"/>
  <c r="P156" i="1"/>
  <c r="P157" i="1" s="1"/>
  <c r="BS136" i="1"/>
  <c r="BK187" i="1"/>
  <c r="BU172" i="1"/>
  <c r="BT171" i="1"/>
  <c r="BN369" i="1"/>
  <c r="BQ204" i="1"/>
  <c r="CN135" i="1"/>
  <c r="CO135" i="1"/>
  <c r="BJ32" i="1"/>
  <c r="BW361" i="1"/>
  <c r="CB4" i="1"/>
  <c r="BW88" i="1"/>
  <c r="BW9" i="1"/>
  <c r="BW93" i="1"/>
  <c r="BW11" i="1"/>
  <c r="BW12" i="1" s="1"/>
  <c r="BW109" i="1"/>
  <c r="BW84" i="1"/>
  <c r="BR85" i="1"/>
  <c r="BR227" i="1"/>
  <c r="BN209" i="1"/>
  <c r="BN364" i="1" s="1"/>
  <c r="BN31" i="1"/>
  <c r="BR14" i="1"/>
  <c r="BK180" i="1"/>
  <c r="CH190" i="1"/>
  <c r="BJ191" i="1"/>
  <c r="BJ228" i="1"/>
  <c r="BJ134" i="1"/>
  <c r="CH186" i="1"/>
  <c r="BL88" i="1"/>
  <c r="BM133" i="1" s="1"/>
  <c r="BK133" i="1"/>
  <c r="BL133" i="1" s="1"/>
  <c r="AH114" i="1"/>
  <c r="AG118" i="1"/>
  <c r="AX53" i="1"/>
  <c r="CD186" i="1"/>
  <c r="BY88" i="1"/>
  <c r="CC135" i="1"/>
  <c r="CG101" i="1"/>
  <c r="CB135" i="1"/>
  <c r="BO203" i="1"/>
  <c r="BM185" i="1"/>
  <c r="BY84" i="1"/>
  <c r="CD183" i="1"/>
  <c r="BT14" i="1"/>
  <c r="BT12" i="1"/>
  <c r="BL14" i="1"/>
  <c r="X32" i="1"/>
  <c r="AC32" i="1"/>
  <c r="AF120" i="1"/>
  <c r="AF121" i="1" s="1"/>
  <c r="AF207" i="1"/>
  <c r="BB124" i="1"/>
  <c r="BB52" i="1"/>
  <c r="BB65" i="1"/>
  <c r="BB67" i="1" s="1"/>
  <c r="E50" i="1"/>
  <c r="AQ239" i="1"/>
  <c r="AQ143" i="1"/>
  <c r="AR143" i="1" s="1"/>
  <c r="AR142" i="1"/>
  <c r="AR239" i="1" s="1"/>
  <c r="CD190" i="1"/>
  <c r="BY93" i="1"/>
  <c r="X157" i="1"/>
  <c r="X152" i="1"/>
  <c r="BG168" i="1"/>
  <c r="BG152" i="1"/>
  <c r="BK179" i="1"/>
  <c r="BJ226" i="1"/>
  <c r="BJ87" i="1"/>
  <c r="BJ185" i="1"/>
  <c r="BT85" i="1"/>
  <c r="BT131" i="1"/>
  <c r="BT227" i="1"/>
  <c r="CD176" i="1"/>
  <c r="BY11" i="1"/>
  <c r="BK164" i="1"/>
  <c r="BK367" i="1"/>
  <c r="BL143" i="1"/>
  <c r="BL84" i="1"/>
  <c r="BM131" i="1" s="1"/>
  <c r="BK85" i="1"/>
  <c r="BK227" i="1"/>
  <c r="AC36" i="1"/>
  <c r="X209" i="1"/>
  <c r="X210" i="1" s="1"/>
  <c r="W210" i="1" s="1"/>
  <c r="X220" i="1"/>
  <c r="X36" i="1"/>
  <c r="BJ209" i="1"/>
  <c r="BJ364" i="1" s="1"/>
  <c r="BJ40" i="1"/>
  <c r="BJ362" i="1"/>
  <c r="BJ36" i="1"/>
  <c r="BJ220" i="1"/>
  <c r="I47" i="1"/>
  <c r="H193" i="1"/>
  <c r="CH183" i="1"/>
  <c r="S209" i="1"/>
  <c r="S210" i="1" s="1"/>
  <c r="R210" i="1" s="1"/>
  <c r="S220" i="1"/>
  <c r="S36" i="1"/>
  <c r="S37" i="1"/>
  <c r="CA135" i="1"/>
  <c r="BJ189" i="1"/>
  <c r="BN205" i="1"/>
  <c r="BL93" i="1"/>
  <c r="AX365" i="1"/>
  <c r="H50" i="1"/>
  <c r="BS23" i="1" l="1"/>
  <c r="BS24" i="1" s="1"/>
  <c r="BS26" i="1"/>
  <c r="BS27" i="1" s="1"/>
  <c r="BS19" i="1"/>
  <c r="BS20" i="1" s="1"/>
  <c r="AK221" i="1"/>
  <c r="AK222" i="1" s="1"/>
  <c r="AK181" i="1"/>
  <c r="AK249" i="1"/>
  <c r="AK250" i="1" s="1"/>
  <c r="AK64" i="1"/>
  <c r="AK66" i="1" s="1"/>
  <c r="AK124" i="1"/>
  <c r="AK129" i="1" s="1"/>
  <c r="AK365" i="1" s="1"/>
  <c r="AM50" i="1"/>
  <c r="AK52" i="1"/>
  <c r="AM64" i="1"/>
  <c r="BS15" i="1"/>
  <c r="BN20" i="1"/>
  <c r="BO20" i="1"/>
  <c r="BT19" i="1"/>
  <c r="BY19" i="1" s="1"/>
  <c r="CD19" i="1" s="1"/>
  <c r="CI19" i="1" s="1"/>
  <c r="P41" i="1"/>
  <c r="S40" i="1"/>
  <c r="S41" i="1" s="1"/>
  <c r="BL23" i="1"/>
  <c r="BL19" i="1"/>
  <c r="BL26" i="1"/>
  <c r="BL35" i="1"/>
  <c r="BL30" i="1"/>
  <c r="BL32" i="1" s="1"/>
  <c r="BR26" i="1"/>
  <c r="BR23" i="1"/>
  <c r="BR19" i="1"/>
  <c r="BX23" i="1"/>
  <c r="CC23" i="1" s="1"/>
  <c r="CH23" i="1" s="1"/>
  <c r="CM23" i="1" s="1"/>
  <c r="BN24" i="1"/>
  <c r="BN27" i="1"/>
  <c r="BO24" i="1"/>
  <c r="BT23" i="1"/>
  <c r="BY23" i="1" s="1"/>
  <c r="CD23" i="1" s="1"/>
  <c r="S45" i="1"/>
  <c r="P47" i="1"/>
  <c r="BO27" i="1"/>
  <c r="BT26" i="1"/>
  <c r="BY26" i="1" s="1"/>
  <c r="CD26" i="1" s="1"/>
  <c r="CI26" i="1" s="1"/>
  <c r="P210" i="1"/>
  <c r="T210" i="1"/>
  <c r="Q210" i="1"/>
  <c r="AL251" i="1"/>
  <c r="AO50" i="1"/>
  <c r="AM129" i="1"/>
  <c r="AM365" i="1" s="1"/>
  <c r="AW251" i="1"/>
  <c r="AN53" i="1"/>
  <c r="BO17" i="1"/>
  <c r="BR15" i="1"/>
  <c r="BX15" i="1"/>
  <c r="BO29" i="1"/>
  <c r="BT15" i="1"/>
  <c r="X40" i="1"/>
  <c r="X41" i="1" s="1"/>
  <c r="BN228" i="1"/>
  <c r="BN32" i="1"/>
  <c r="BN36" i="1"/>
  <c r="BN40" i="1"/>
  <c r="BN362" i="1"/>
  <c r="BM36" i="1"/>
  <c r="BM40" i="1"/>
  <c r="BM209" i="1"/>
  <c r="BM364" i="1" s="1"/>
  <c r="BM362" i="1"/>
  <c r="BM37" i="1"/>
  <c r="BM226" i="1"/>
  <c r="AF64" i="1"/>
  <c r="AF124" i="1"/>
  <c r="AF129" i="1" s="1"/>
  <c r="AF365" i="1" s="1"/>
  <c r="AF65" i="1"/>
  <c r="AF52" i="1"/>
  <c r="AK53" i="1" s="1"/>
  <c r="BM191" i="1"/>
  <c r="U156" i="1"/>
  <c r="U157" i="1" s="1"/>
  <c r="BX12" i="1"/>
  <c r="BK382" i="1"/>
  <c r="BK380" i="1"/>
  <c r="AF221" i="1"/>
  <c r="AF222" i="1" s="1"/>
  <c r="AF181" i="1"/>
  <c r="AF249" i="1"/>
  <c r="AF250" i="1" s="1"/>
  <c r="Q50" i="1"/>
  <c r="AQ155" i="1"/>
  <c r="AR155" i="1" s="1"/>
  <c r="S47" i="1"/>
  <c r="AI53" i="1"/>
  <c r="Z64" i="1"/>
  <c r="Z66" i="1" s="1"/>
  <c r="Z124" i="1"/>
  <c r="Z129" i="1" s="1"/>
  <c r="Z52" i="1"/>
  <c r="BH365" i="1"/>
  <c r="Z181" i="1"/>
  <c r="CF135" i="1"/>
  <c r="AO52" i="1"/>
  <c r="AO124" i="1"/>
  <c r="AO129" i="1" s="1"/>
  <c r="AO365" i="1" s="1"/>
  <c r="AO65" i="1"/>
  <c r="AO67" i="1" s="1"/>
  <c r="CD109" i="1"/>
  <c r="CD361" i="1"/>
  <c r="CD9" i="1"/>
  <c r="O210" i="1"/>
  <c r="L210" i="1"/>
  <c r="K210" i="1"/>
  <c r="W53" i="1"/>
  <c r="K47" i="1"/>
  <c r="N45" i="1"/>
  <c r="K37" i="1"/>
  <c r="P37" i="1"/>
  <c r="AA181" i="1"/>
  <c r="AA221" i="1"/>
  <c r="AA222" i="1" s="1"/>
  <c r="AA223" i="1" s="1"/>
  <c r="CG39" i="1"/>
  <c r="CL127" i="1"/>
  <c r="CL39" i="1" s="1"/>
  <c r="K41" i="1"/>
  <c r="N40" i="1"/>
  <c r="N41" i="1" s="1"/>
  <c r="AA52" i="1"/>
  <c r="AA124" i="1"/>
  <c r="AA129" i="1" s="1"/>
  <c r="AA64" i="1"/>
  <c r="AA66" i="1" s="1"/>
  <c r="AM251" i="1"/>
  <c r="AQ251" i="1"/>
  <c r="BX92" i="1"/>
  <c r="BY92" i="1" s="1"/>
  <c r="BZ92" i="1" s="1"/>
  <c r="CA92" i="1" s="1"/>
  <c r="CB92" i="1" s="1"/>
  <c r="X64" i="1"/>
  <c r="X66" i="1" s="1"/>
  <c r="X221" i="1"/>
  <c r="X222" i="1" s="1"/>
  <c r="X223" i="1" s="1"/>
  <c r="X181" i="1"/>
  <c r="BB53" i="1"/>
  <c r="AM168" i="1"/>
  <c r="AM173" i="1"/>
  <c r="AM172" i="1" s="1"/>
  <c r="AM152" i="1"/>
  <c r="X52" i="1"/>
  <c r="X124" i="1"/>
  <c r="X137" i="1" s="1"/>
  <c r="X163" i="1" s="1"/>
  <c r="X165" i="1" s="1"/>
  <c r="BX149" i="1"/>
  <c r="BY173" i="1"/>
  <c r="BY136" i="1"/>
  <c r="BX133" i="1"/>
  <c r="BY133" i="1"/>
  <c r="CC9" i="1"/>
  <c r="BX136" i="1"/>
  <c r="BN226" i="1"/>
  <c r="BY129" i="1"/>
  <c r="CH4" i="1"/>
  <c r="CH109" i="1" s="1"/>
  <c r="CC109" i="1"/>
  <c r="BN87" i="1"/>
  <c r="CC361" i="1"/>
  <c r="CC11" i="1"/>
  <c r="CC14" i="1" s="1"/>
  <c r="BN185" i="1"/>
  <c r="CC84" i="1"/>
  <c r="CC85" i="1" s="1"/>
  <c r="CC88" i="1"/>
  <c r="BX129" i="1"/>
  <c r="BX227" i="1"/>
  <c r="BX131" i="1"/>
  <c r="BN191" i="1"/>
  <c r="BK15" i="1"/>
  <c r="BK24" i="1"/>
  <c r="BK20" i="1"/>
  <c r="BK27" i="1"/>
  <c r="AR37" i="1"/>
  <c r="AW37" i="1"/>
  <c r="BY39" i="1"/>
  <c r="CD127" i="1"/>
  <c r="BL248" i="1"/>
  <c r="P158" i="1"/>
  <c r="Q156" i="1"/>
  <c r="Q157" i="1" s="1"/>
  <c r="AW66" i="1"/>
  <c r="AW67" i="1"/>
  <c r="AR210" i="1"/>
  <c r="AQ210" i="1" s="1"/>
  <c r="AR364" i="1"/>
  <c r="AP50" i="1"/>
  <c r="AP193" i="1"/>
  <c r="AR47" i="1"/>
  <c r="AW166" i="1"/>
  <c r="AW169" i="1"/>
  <c r="BJ229" i="1"/>
  <c r="CK103" i="1"/>
  <c r="CO103" i="1"/>
  <c r="CP103" i="1" s="1"/>
  <c r="BX39" i="1"/>
  <c r="CC127" i="1"/>
  <c r="CA127" i="1"/>
  <c r="CA39" i="1" s="1"/>
  <c r="AW199" i="1"/>
  <c r="AW365" i="1"/>
  <c r="BL187" i="1"/>
  <c r="BL367" i="1"/>
  <c r="CI109" i="1"/>
  <c r="CI9" i="1"/>
  <c r="CI361" i="1"/>
  <c r="CN4" i="1"/>
  <c r="BU171" i="1"/>
  <c r="BV171" i="1" s="1"/>
  <c r="BV172" i="1" s="1"/>
  <c r="BW172" i="1"/>
  <c r="BO369" i="1"/>
  <c r="BR204" i="1"/>
  <c r="BJ37" i="1"/>
  <c r="BW85" i="1"/>
  <c r="BW227" i="1"/>
  <c r="CB361" i="1"/>
  <c r="CB11" i="1"/>
  <c r="CB12" i="1" s="1"/>
  <c r="CB84" i="1"/>
  <c r="CG4" i="1"/>
  <c r="CB93" i="1"/>
  <c r="CC129" i="1" s="1"/>
  <c r="CB9" i="1"/>
  <c r="CB88" i="1"/>
  <c r="CB109" i="1"/>
  <c r="BW14" i="1"/>
  <c r="BP194" i="1"/>
  <c r="CD11" i="1"/>
  <c r="CI176" i="1"/>
  <c r="BJ366" i="1"/>
  <c r="BL91" i="1"/>
  <c r="X37" i="1"/>
  <c r="AC37" i="1"/>
  <c r="AC156" i="1"/>
  <c r="AC157" i="1" s="1"/>
  <c r="Y156" i="1"/>
  <c r="Y157" i="1" s="1"/>
  <c r="X158" i="1"/>
  <c r="AF208" i="1"/>
  <c r="AF223" i="1"/>
  <c r="U158" i="1"/>
  <c r="V156" i="1"/>
  <c r="V157" i="1" s="1"/>
  <c r="BK178" i="1"/>
  <c r="BJ41" i="1"/>
  <c r="BY14" i="1"/>
  <c r="BY12" i="1"/>
  <c r="CD93" i="1"/>
  <c r="CD129" i="1" s="1"/>
  <c r="CI190" i="1"/>
  <c r="CD84" i="1"/>
  <c r="CI183" i="1"/>
  <c r="CI186" i="1"/>
  <c r="CD88" i="1"/>
  <c r="E124" i="1"/>
  <c r="E52" i="1"/>
  <c r="J53" i="1" s="1"/>
  <c r="BY131" i="1"/>
  <c r="BY85" i="1"/>
  <c r="BY227" i="1"/>
  <c r="H124" i="1"/>
  <c r="H52" i="1"/>
  <c r="M53" i="1" s="1"/>
  <c r="CM183" i="1"/>
  <c r="S193" i="1"/>
  <c r="I193" i="1"/>
  <c r="I48" i="1"/>
  <c r="I50" i="1"/>
  <c r="CL101" i="1"/>
  <c r="CG135" i="1"/>
  <c r="CH135" i="1"/>
  <c r="AG120" i="1"/>
  <c r="AG121" i="1" s="1"/>
  <c r="AG207" i="1"/>
  <c r="BQ198" i="1"/>
  <c r="BL220" i="1"/>
  <c r="BL209" i="1"/>
  <c r="BL364" i="1" s="1"/>
  <c r="BL362" i="1"/>
  <c r="BK31" i="1"/>
  <c r="BP203" i="1"/>
  <c r="BQ98" i="1"/>
  <c r="BQ203" i="1" s="1"/>
  <c r="BO205" i="1"/>
  <c r="BL85" i="1"/>
  <c r="BM229" i="1"/>
  <c r="AI114" i="1"/>
  <c r="AH118" i="1"/>
  <c r="CM186" i="1"/>
  <c r="CM190" i="1"/>
  <c r="AM52" i="1" l="1"/>
  <c r="AM124" i="1"/>
  <c r="AM137" i="1" s="1"/>
  <c r="AM163" i="1" s="1"/>
  <c r="AM165" i="1" s="1"/>
  <c r="AM166" i="1" s="1"/>
  <c r="AM65" i="1"/>
  <c r="AM67" i="1" s="1"/>
  <c r="AN251" i="1"/>
  <c r="AO251" i="1"/>
  <c r="AK251" i="1"/>
  <c r="AM66" i="1"/>
  <c r="AM199" i="1"/>
  <c r="S48" i="1"/>
  <c r="BT18" i="1"/>
  <c r="BT17" i="1" s="1"/>
  <c r="BT178" i="1" s="1"/>
  <c r="BT25" i="1"/>
  <c r="BT180" i="1" s="1"/>
  <c r="BO226" i="1"/>
  <c r="BO184" i="1"/>
  <c r="BT184" i="1" s="1"/>
  <c r="BY184" i="1" s="1"/>
  <c r="CD184" i="1" s="1"/>
  <c r="CI184" i="1" s="1"/>
  <c r="CN184" i="1" s="1"/>
  <c r="BO192" i="1"/>
  <c r="BT192" i="1" s="1"/>
  <c r="BY192" i="1" s="1"/>
  <c r="CD192" i="1" s="1"/>
  <c r="CI192" i="1" s="1"/>
  <c r="CN192" i="1" s="1"/>
  <c r="BO178" i="1"/>
  <c r="BO191" i="1"/>
  <c r="BO185" i="1"/>
  <c r="BR20" i="1"/>
  <c r="BW19" i="1"/>
  <c r="CB19" i="1" s="1"/>
  <c r="CG19" i="1" s="1"/>
  <c r="CL19" i="1" s="1"/>
  <c r="P50" i="1"/>
  <c r="S50" i="1" s="1"/>
  <c r="P193" i="1"/>
  <c r="BX26" i="1"/>
  <c r="BR24" i="1"/>
  <c r="BW23" i="1"/>
  <c r="CB23" i="1" s="1"/>
  <c r="CG23" i="1" s="1"/>
  <c r="CL23" i="1" s="1"/>
  <c r="BX19" i="1"/>
  <c r="BR27" i="1"/>
  <c r="BW26" i="1"/>
  <c r="CB26" i="1" s="1"/>
  <c r="CG26" i="1" s="1"/>
  <c r="CL26" i="1" s="1"/>
  <c r="BT99" i="1"/>
  <c r="BT191" i="1" s="1"/>
  <c r="CC131" i="1"/>
  <c r="CD136" i="1"/>
  <c r="BO87" i="1"/>
  <c r="CC15" i="1"/>
  <c r="BO132" i="1"/>
  <c r="BW15" i="1"/>
  <c r="BW25" i="1"/>
  <c r="BW180" i="1" s="1"/>
  <c r="BW18" i="1"/>
  <c r="BW17" i="1" s="1"/>
  <c r="BW86" i="1" s="1"/>
  <c r="BO30" i="1"/>
  <c r="BO34" i="1"/>
  <c r="BO31" i="1"/>
  <c r="BY15" i="1"/>
  <c r="BY25" i="1"/>
  <c r="BY180" i="1" s="1"/>
  <c r="BY18" i="1"/>
  <c r="BY17" i="1" s="1"/>
  <c r="BY178" i="1" s="1"/>
  <c r="CN19" i="1"/>
  <c r="BN229" i="1"/>
  <c r="BN41" i="1"/>
  <c r="BN37" i="1"/>
  <c r="BS73" i="1"/>
  <c r="BR73" i="1"/>
  <c r="BP73" i="1"/>
  <c r="BM41" i="1"/>
  <c r="BN366" i="1"/>
  <c r="Q64" i="1"/>
  <c r="Q124" i="1"/>
  <c r="Q129" i="1" s="1"/>
  <c r="Q52" i="1"/>
  <c r="Z53" i="1"/>
  <c r="AE53" i="1"/>
  <c r="AI251" i="1"/>
  <c r="AJ251" i="1"/>
  <c r="AG251" i="1"/>
  <c r="AO53" i="1"/>
  <c r="AT53" i="1"/>
  <c r="AF66" i="1"/>
  <c r="AF67" i="1"/>
  <c r="CH11" i="1"/>
  <c r="CH14" i="1" s="1"/>
  <c r="CK135" i="1"/>
  <c r="AM169" i="1"/>
  <c r="AA53" i="1"/>
  <c r="AF53" i="1"/>
  <c r="K50" i="1"/>
  <c r="K193" i="1"/>
  <c r="N47" i="1"/>
  <c r="CD133" i="1"/>
  <c r="CC133" i="1"/>
  <c r="BY149" i="1"/>
  <c r="BZ173" i="1"/>
  <c r="CA173" i="1" s="1"/>
  <c r="X166" i="1"/>
  <c r="X169" i="1"/>
  <c r="CC227" i="1"/>
  <c r="BK36" i="1"/>
  <c r="CC136" i="1"/>
  <c r="CC12" i="1"/>
  <c r="CH93" i="1"/>
  <c r="CH9" i="1"/>
  <c r="CH88" i="1"/>
  <c r="CM4" i="1"/>
  <c r="CM109" i="1" s="1"/>
  <c r="CH361" i="1"/>
  <c r="CH84" i="1"/>
  <c r="CH85" i="1" s="1"/>
  <c r="BK40" i="1"/>
  <c r="BK209" i="1"/>
  <c r="BK364" i="1" s="1"/>
  <c r="BK362" i="1"/>
  <c r="BK37" i="1"/>
  <c r="CC92" i="1"/>
  <c r="CD92" i="1" s="1"/>
  <c r="CE92" i="1" s="1"/>
  <c r="CF92" i="1" s="1"/>
  <c r="CG92" i="1" s="1"/>
  <c r="CD39" i="1"/>
  <c r="CI127" i="1"/>
  <c r="CC39" i="1"/>
  <c r="CF127" i="1"/>
  <c r="CF39" i="1" s="1"/>
  <c r="CH127" i="1"/>
  <c r="AR193" i="1"/>
  <c r="AR48" i="1"/>
  <c r="AR50" i="1"/>
  <c r="AP124" i="1"/>
  <c r="AP129" i="1" s="1"/>
  <c r="AP52" i="1"/>
  <c r="AP65" i="1"/>
  <c r="AP67" i="1" s="1"/>
  <c r="R156" i="1"/>
  <c r="R157" i="1" s="1"/>
  <c r="R158" i="1" s="1"/>
  <c r="Q158" i="1"/>
  <c r="CN361" i="1"/>
  <c r="CN109" i="1"/>
  <c r="CN9" i="1"/>
  <c r="BX172" i="1"/>
  <c r="BW171" i="1"/>
  <c r="BP369" i="1"/>
  <c r="BS204" i="1"/>
  <c r="BT100" i="1"/>
  <c r="BU235" i="1"/>
  <c r="CB14" i="1"/>
  <c r="CG9" i="1"/>
  <c r="CG88" i="1"/>
  <c r="CG11" i="1"/>
  <c r="CG109" i="1"/>
  <c r="CH136" i="1" s="1"/>
  <c r="CG84" i="1"/>
  <c r="CG361" i="1"/>
  <c r="CL4" i="1"/>
  <c r="CG93" i="1"/>
  <c r="CB85" i="1"/>
  <c r="CB227" i="1"/>
  <c r="CN186" i="1"/>
  <c r="CN88" i="1" s="1"/>
  <c r="CI88" i="1"/>
  <c r="CD85" i="1"/>
  <c r="CD131" i="1"/>
  <c r="CD227" i="1"/>
  <c r="CN190" i="1"/>
  <c r="CN93" i="1" s="1"/>
  <c r="CI93" i="1"/>
  <c r="BL86" i="1"/>
  <c r="BM132" i="1" s="1"/>
  <c r="BK87" i="1"/>
  <c r="BK185" i="1"/>
  <c r="BK226" i="1"/>
  <c r="BK132" i="1"/>
  <c r="BL132" i="1" s="1"/>
  <c r="CN176" i="1"/>
  <c r="CN11" i="1" s="1"/>
  <c r="CI11" i="1"/>
  <c r="AJ114" i="1"/>
  <c r="AI118" i="1"/>
  <c r="BR203" i="1"/>
  <c r="BQ148" i="1"/>
  <c r="BQ106" i="1"/>
  <c r="BP205" i="1"/>
  <c r="CM135" i="1"/>
  <c r="CL135" i="1"/>
  <c r="S181" i="1"/>
  <c r="S221" i="1"/>
  <c r="S222" i="1" s="1"/>
  <c r="S223" i="1" s="1"/>
  <c r="W156" i="1"/>
  <c r="W157" i="1" s="1"/>
  <c r="W158" i="1" s="1"/>
  <c r="V158" i="1"/>
  <c r="CD12" i="1"/>
  <c r="CD14" i="1"/>
  <c r="BQ151" i="1"/>
  <c r="BQ168" i="1" s="1"/>
  <c r="AH207" i="1"/>
  <c r="AH208" i="1" s="1"/>
  <c r="AH120" i="1"/>
  <c r="CI136" i="1"/>
  <c r="CN26" i="1"/>
  <c r="I124" i="1"/>
  <c r="I129" i="1" s="1"/>
  <c r="I52" i="1"/>
  <c r="E129" i="1"/>
  <c r="E137" i="1" s="1"/>
  <c r="BK134" i="1"/>
  <c r="BL134" i="1" s="1"/>
  <c r="BK228" i="1"/>
  <c r="BL99" i="1"/>
  <c r="BM134" i="1" s="1"/>
  <c r="BK191" i="1"/>
  <c r="Y158" i="1"/>
  <c r="Z156" i="1"/>
  <c r="Z157" i="1" s="1"/>
  <c r="BL189" i="1"/>
  <c r="AG208" i="1"/>
  <c r="I221" i="1"/>
  <c r="I222" i="1" s="1"/>
  <c r="I223" i="1" s="1"/>
  <c r="I181" i="1"/>
  <c r="CN183" i="1"/>
  <c r="CN84" i="1" s="1"/>
  <c r="CI84" i="1"/>
  <c r="AH156" i="1"/>
  <c r="AH157" i="1" s="1"/>
  <c r="AC158" i="1"/>
  <c r="AD156" i="1"/>
  <c r="AD157" i="1" s="1"/>
  <c r="BQ194" i="1"/>
  <c r="BS17" i="1" l="1"/>
  <c r="BS180" i="1"/>
  <c r="P64" i="1"/>
  <c r="P66" i="1" s="1"/>
  <c r="P124" i="1"/>
  <c r="P129" i="1" s="1"/>
  <c r="S129" i="1" s="1"/>
  <c r="S199" i="1" s="1"/>
  <c r="P52" i="1"/>
  <c r="U53" i="1" s="1"/>
  <c r="CC19" i="1"/>
  <c r="BX18" i="1"/>
  <c r="BX17" i="1" s="1"/>
  <c r="CC26" i="1"/>
  <c r="BX25" i="1"/>
  <c r="BX180" i="1" s="1"/>
  <c r="BT86" i="1"/>
  <c r="BT228" i="1"/>
  <c r="BT55" i="1"/>
  <c r="BU55" i="1" s="1"/>
  <c r="BW99" i="1"/>
  <c r="BW228" i="1" s="1"/>
  <c r="BY99" i="1"/>
  <c r="BW178" i="1"/>
  <c r="BO220" i="1"/>
  <c r="BY86" i="1"/>
  <c r="BY185" i="1" s="1"/>
  <c r="BO32" i="1"/>
  <c r="BO134" i="1"/>
  <c r="BO366" i="1" s="1"/>
  <c r="BO228" i="1"/>
  <c r="BO229" i="1" s="1"/>
  <c r="CB15" i="1"/>
  <c r="CB25" i="1"/>
  <c r="CB180" i="1" s="1"/>
  <c r="CB18" i="1"/>
  <c r="CB17" i="1" s="1"/>
  <c r="CB86" i="1" s="1"/>
  <c r="CH15" i="1"/>
  <c r="CD15" i="1"/>
  <c r="CD25" i="1"/>
  <c r="CD180" i="1" s="1"/>
  <c r="CD18" i="1"/>
  <c r="CD17" i="1" s="1"/>
  <c r="CD86" i="1" s="1"/>
  <c r="BO35" i="1"/>
  <c r="BO40" i="1"/>
  <c r="BO36" i="1"/>
  <c r="BO209" i="1"/>
  <c r="BO364" i="1" s="1"/>
  <c r="BO362" i="1"/>
  <c r="BQ73" i="1"/>
  <c r="CM88" i="1"/>
  <c r="CN133" i="1" s="1"/>
  <c r="S124" i="1"/>
  <c r="S52" i="1"/>
  <c r="X53" i="1" s="1"/>
  <c r="Q66" i="1"/>
  <c r="Q53" i="1"/>
  <c r="V53" i="1"/>
  <c r="BQ369" i="1"/>
  <c r="CM361" i="1"/>
  <c r="CI133" i="1"/>
  <c r="CI129" i="1"/>
  <c r="CH12" i="1"/>
  <c r="N48" i="1"/>
  <c r="N193" i="1"/>
  <c r="K124" i="1"/>
  <c r="K129" i="1" s="1"/>
  <c r="K52" i="1"/>
  <c r="N50" i="1"/>
  <c r="CB173" i="1"/>
  <c r="BZ149" i="1"/>
  <c r="CA149" i="1" s="1"/>
  <c r="CH129" i="1"/>
  <c r="CH227" i="1"/>
  <c r="BK41" i="1"/>
  <c r="BL40" i="1"/>
  <c r="CM9" i="1"/>
  <c r="CM84" i="1"/>
  <c r="CN131" i="1" s="1"/>
  <c r="CM93" i="1"/>
  <c r="CN129" i="1" s="1"/>
  <c r="CM11" i="1"/>
  <c r="CM14" i="1" s="1"/>
  <c r="CH133" i="1"/>
  <c r="CH131" i="1"/>
  <c r="AU53" i="1"/>
  <c r="AP53" i="1"/>
  <c r="CN127" i="1"/>
  <c r="CN39" i="1" s="1"/>
  <c r="CI39" i="1"/>
  <c r="AR129" i="1"/>
  <c r="AP365" i="1"/>
  <c r="AR124" i="1"/>
  <c r="AR65" i="1"/>
  <c r="AR52" i="1"/>
  <c r="CH92" i="1"/>
  <c r="CI92" i="1" s="1"/>
  <c r="CJ92" i="1" s="1"/>
  <c r="CK92" i="1" s="1"/>
  <c r="CL92" i="1" s="1"/>
  <c r="AR249" i="1"/>
  <c r="AR250" i="1" s="1"/>
  <c r="AR181" i="1"/>
  <c r="AR221" i="1"/>
  <c r="AR222" i="1" s="1"/>
  <c r="CH39" i="1"/>
  <c r="CM127" i="1"/>
  <c r="CK127" i="1"/>
  <c r="CK39" i="1" s="1"/>
  <c r="BY172" i="1"/>
  <c r="BX171" i="1"/>
  <c r="BR369" i="1"/>
  <c r="BU100" i="1"/>
  <c r="BT204" i="1"/>
  <c r="CL11" i="1"/>
  <c r="CL12" i="1" s="1"/>
  <c r="CL109" i="1"/>
  <c r="CM136" i="1" s="1"/>
  <c r="CL361" i="1"/>
  <c r="CL93" i="1"/>
  <c r="CL84" i="1"/>
  <c r="CL9" i="1"/>
  <c r="CL88" i="1"/>
  <c r="CG14" i="1"/>
  <c r="CG12" i="1"/>
  <c r="BW226" i="1"/>
  <c r="BW185" i="1"/>
  <c r="CG85" i="1"/>
  <c r="CG227" i="1"/>
  <c r="E163" i="1"/>
  <c r="E165" i="1" s="1"/>
  <c r="F129" i="1"/>
  <c r="F137" i="1" s="1"/>
  <c r="CN227" i="1"/>
  <c r="CN85" i="1"/>
  <c r="AD158" i="1"/>
  <c r="AE156" i="1"/>
  <c r="AE157" i="1" s="1"/>
  <c r="CI131" i="1"/>
  <c r="CI85" i="1"/>
  <c r="CI227" i="1"/>
  <c r="I53" i="1"/>
  <c r="BQ205" i="1"/>
  <c r="AI120" i="1"/>
  <c r="AI121" i="1" s="1"/>
  <c r="AI207" i="1"/>
  <c r="CI12" i="1"/>
  <c r="CI14" i="1"/>
  <c r="AK114" i="1"/>
  <c r="AJ118" i="1"/>
  <c r="CN12" i="1"/>
  <c r="CN14" i="1"/>
  <c r="CN25" i="1" s="1"/>
  <c r="CN180" i="1" s="1"/>
  <c r="BL87" i="1"/>
  <c r="BM189" i="1"/>
  <c r="I199" i="1"/>
  <c r="AI156" i="1"/>
  <c r="AI157" i="1" s="1"/>
  <c r="AM156" i="1"/>
  <c r="AM157" i="1" s="1"/>
  <c r="AH158" i="1"/>
  <c r="BK229" i="1"/>
  <c r="Z158" i="1"/>
  <c r="AA156" i="1"/>
  <c r="AA157" i="1" s="1"/>
  <c r="CN136" i="1"/>
  <c r="CP135" i="1"/>
  <c r="BS203" i="1"/>
  <c r="BT98" i="1"/>
  <c r="BS192" i="1" l="1"/>
  <c r="BX192" i="1" s="1"/>
  <c r="CC192" i="1" s="1"/>
  <c r="CH192" i="1" s="1"/>
  <c r="CM192" i="1" s="1"/>
  <c r="BS184" i="1"/>
  <c r="BX184" i="1" s="1"/>
  <c r="CC184" i="1" s="1"/>
  <c r="CH184" i="1" s="1"/>
  <c r="CM184" i="1" s="1"/>
  <c r="S137" i="1"/>
  <c r="S163" i="1" s="1"/>
  <c r="S165" i="1" s="1"/>
  <c r="S169" i="1" s="1"/>
  <c r="S64" i="1"/>
  <c r="S66" i="1" s="1"/>
  <c r="BS134" i="1"/>
  <c r="BS185" i="1"/>
  <c r="BS178" i="1"/>
  <c r="CH26" i="1"/>
  <c r="CC25" i="1"/>
  <c r="CC180" i="1" s="1"/>
  <c r="BX178" i="1"/>
  <c r="BX86" i="1"/>
  <c r="BY132" i="1" s="1"/>
  <c r="BX99" i="1"/>
  <c r="BX134" i="1" s="1"/>
  <c r="BS226" i="1"/>
  <c r="BT87" i="1"/>
  <c r="BT185" i="1"/>
  <c r="BT226" i="1"/>
  <c r="BT229" i="1" s="1"/>
  <c r="CH19" i="1"/>
  <c r="CC18" i="1"/>
  <c r="CC17" i="1" s="1"/>
  <c r="BR228" i="1"/>
  <c r="BR226" i="1"/>
  <c r="BR87" i="1"/>
  <c r="BW87" i="1"/>
  <c r="AR137" i="1"/>
  <c r="AR163" i="1" s="1"/>
  <c r="AR165" i="1" s="1"/>
  <c r="AR166" i="1" s="1"/>
  <c r="BT73" i="1"/>
  <c r="BW191" i="1"/>
  <c r="BY228" i="1"/>
  <c r="CD178" i="1"/>
  <c r="BY191" i="1"/>
  <c r="CB226" i="1"/>
  <c r="CD99" i="1"/>
  <c r="CD228" i="1" s="1"/>
  <c r="CB87" i="1"/>
  <c r="BY87" i="1"/>
  <c r="CB185" i="1"/>
  <c r="CB99" i="1"/>
  <c r="CB178" i="1"/>
  <c r="BY226" i="1"/>
  <c r="BO41" i="1"/>
  <c r="BO37" i="1"/>
  <c r="CG15" i="1"/>
  <c r="CG18" i="1"/>
  <c r="CG17" i="1" s="1"/>
  <c r="CG178" i="1" s="1"/>
  <c r="CG25" i="1"/>
  <c r="CG180" i="1" s="1"/>
  <c r="CM85" i="1"/>
  <c r="CM133" i="1"/>
  <c r="CM15" i="1"/>
  <c r="CI15" i="1"/>
  <c r="CI25" i="1"/>
  <c r="CI180" i="1" s="1"/>
  <c r="CI18" i="1"/>
  <c r="CI17" i="1" s="1"/>
  <c r="CI99" i="1" s="1"/>
  <c r="CN18" i="1"/>
  <c r="CN17" i="1" s="1"/>
  <c r="CN86" i="1" s="1"/>
  <c r="CM12" i="1"/>
  <c r="S166" i="1"/>
  <c r="CM129" i="1"/>
  <c r="CM131" i="1"/>
  <c r="K53" i="1"/>
  <c r="P53" i="1"/>
  <c r="N52" i="1"/>
  <c r="N124" i="1"/>
  <c r="N129" i="1" s="1"/>
  <c r="N199" i="1" s="1"/>
  <c r="N221" i="1"/>
  <c r="N222" i="1" s="1"/>
  <c r="N223" i="1" s="1"/>
  <c r="N181" i="1"/>
  <c r="CM92" i="1"/>
  <c r="CN92" i="1" s="1"/>
  <c r="CO92" i="1" s="1"/>
  <c r="CP92" i="1" s="1"/>
  <c r="CB149" i="1"/>
  <c r="CC173" i="1"/>
  <c r="CM227" i="1"/>
  <c r="CM39" i="1"/>
  <c r="CP127" i="1"/>
  <c r="CP39" i="1" s="1"/>
  <c r="AR67" i="1"/>
  <c r="AR66" i="1"/>
  <c r="AR365" i="1"/>
  <c r="AR199" i="1"/>
  <c r="AV251" i="1"/>
  <c r="AT251" i="1"/>
  <c r="AR251" i="1"/>
  <c r="AS251" i="1"/>
  <c r="AR53" i="1"/>
  <c r="AW53" i="1"/>
  <c r="BY171" i="1"/>
  <c r="BZ172" i="1"/>
  <c r="BS369" i="1"/>
  <c r="BT56" i="1"/>
  <c r="BV100" i="1"/>
  <c r="BU204" i="1"/>
  <c r="BW229" i="1"/>
  <c r="CN15" i="1"/>
  <c r="CL14" i="1"/>
  <c r="CL85" i="1"/>
  <c r="CL227" i="1"/>
  <c r="AN156" i="1"/>
  <c r="AN157" i="1" s="1"/>
  <c r="AM158" i="1"/>
  <c r="AR156" i="1"/>
  <c r="AR157" i="1" s="1"/>
  <c r="AA158" i="1"/>
  <c r="AB156" i="1"/>
  <c r="AB157" i="1" s="1"/>
  <c r="AB158" i="1" s="1"/>
  <c r="BW55" i="1"/>
  <c r="BU73" i="1"/>
  <c r="BN189" i="1"/>
  <c r="AK118" i="1"/>
  <c r="AL114" i="1"/>
  <c r="BR205" i="1"/>
  <c r="BU98" i="1"/>
  <c r="BT203" i="1"/>
  <c r="BV55" i="1"/>
  <c r="AI158" i="1"/>
  <c r="AJ156" i="1"/>
  <c r="AJ157" i="1" s="1"/>
  <c r="G129" i="1"/>
  <c r="F163" i="1"/>
  <c r="F165" i="1" s="1"/>
  <c r="BS194" i="1"/>
  <c r="BT108" i="1"/>
  <c r="CD87" i="1"/>
  <c r="CD185" i="1"/>
  <c r="CD226" i="1"/>
  <c r="AJ120" i="1"/>
  <c r="AJ121" i="1" s="1"/>
  <c r="AJ207" i="1"/>
  <c r="AJ208" i="1" s="1"/>
  <c r="AI208" i="1"/>
  <c r="AF156" i="1"/>
  <c r="AF157" i="1" s="1"/>
  <c r="AE158" i="1"/>
  <c r="AR169" i="1" l="1"/>
  <c r="BS191" i="1"/>
  <c r="BS228" i="1"/>
  <c r="BS229" i="1" s="1"/>
  <c r="BT132" i="1"/>
  <c r="BT134" i="1"/>
  <c r="BS132" i="1"/>
  <c r="BS366" i="1" s="1"/>
  <c r="BS87" i="1"/>
  <c r="CG86" i="1"/>
  <c r="CG87" i="1" s="1"/>
  <c r="CC178" i="1"/>
  <c r="CC86" i="1"/>
  <c r="CC99" i="1"/>
  <c r="CD134" i="1" s="1"/>
  <c r="CM26" i="1"/>
  <c r="CM25" i="1" s="1"/>
  <c r="CM180" i="1" s="1"/>
  <c r="CH25" i="1"/>
  <c r="CH180" i="1" s="1"/>
  <c r="BR229" i="1"/>
  <c r="CM19" i="1"/>
  <c r="CM18" i="1" s="1"/>
  <c r="CM17" i="1" s="1"/>
  <c r="CM99" i="1" s="1"/>
  <c r="CM228" i="1" s="1"/>
  <c r="CH18" i="1"/>
  <c r="CH17" i="1" s="1"/>
  <c r="BX191" i="1"/>
  <c r="BX228" i="1"/>
  <c r="BX87" i="1"/>
  <c r="BX185" i="1"/>
  <c r="BX132" i="1"/>
  <c r="BX366" i="1" s="1"/>
  <c r="BX226" i="1"/>
  <c r="BY134" i="1"/>
  <c r="BY366" i="1" s="1"/>
  <c r="BY229" i="1"/>
  <c r="CD191" i="1"/>
  <c r="CI178" i="1"/>
  <c r="CB191" i="1"/>
  <c r="CB228" i="1"/>
  <c r="CB229" i="1" s="1"/>
  <c r="CG99" i="1"/>
  <c r="CG191" i="1" s="1"/>
  <c r="CI86" i="1"/>
  <c r="CI87" i="1" s="1"/>
  <c r="CN99" i="1"/>
  <c r="CN228" i="1" s="1"/>
  <c r="CL15" i="1"/>
  <c r="CL25" i="1"/>
  <c r="CL180" i="1" s="1"/>
  <c r="CL18" i="1"/>
  <c r="CL17" i="1" s="1"/>
  <c r="CL99" i="1" s="1"/>
  <c r="CL191" i="1" s="1"/>
  <c r="CN178" i="1"/>
  <c r="BV73" i="1"/>
  <c r="X167" i="1"/>
  <c r="S167" i="1"/>
  <c r="S53" i="1"/>
  <c r="N53" i="1"/>
  <c r="CC149" i="1"/>
  <c r="CD173" i="1"/>
  <c r="AW167" i="1"/>
  <c r="AR167" i="1"/>
  <c r="BZ171" i="1"/>
  <c r="CA171" i="1" s="1"/>
  <c r="CA172" i="1" s="1"/>
  <c r="CB172" i="1"/>
  <c r="BU56" i="1"/>
  <c r="BU151" i="1" s="1"/>
  <c r="BT369" i="1"/>
  <c r="BV204" i="1"/>
  <c r="BW100" i="1"/>
  <c r="CD229" i="1"/>
  <c r="AJ158" i="1"/>
  <c r="AK156" i="1"/>
  <c r="AK157" i="1" s="1"/>
  <c r="G137" i="1"/>
  <c r="H129" i="1"/>
  <c r="H137" i="1" s="1"/>
  <c r="H163" i="1" s="1"/>
  <c r="H165" i="1" s="1"/>
  <c r="BT151" i="1"/>
  <c r="BS205" i="1"/>
  <c r="BT106" i="1"/>
  <c r="AM114" i="1"/>
  <c r="AL118" i="1"/>
  <c r="AS156" i="1"/>
  <c r="AS157" i="1" s="1"/>
  <c r="AR158" i="1"/>
  <c r="AW156" i="1"/>
  <c r="AW157" i="1" s="1"/>
  <c r="AF158" i="1"/>
  <c r="AG156" i="1"/>
  <c r="AG157" i="1" s="1"/>
  <c r="AG158" i="1" s="1"/>
  <c r="AK120" i="1"/>
  <c r="AK121" i="1" s="1"/>
  <c r="AK207" i="1"/>
  <c r="BX55" i="1"/>
  <c r="BW73" i="1"/>
  <c r="BU108" i="1"/>
  <c r="BT194" i="1"/>
  <c r="CI191" i="1"/>
  <c r="CI228" i="1"/>
  <c r="BU203" i="1"/>
  <c r="BW98" i="1"/>
  <c r="BV98" i="1"/>
  <c r="BV203" i="1" s="1"/>
  <c r="CN185" i="1"/>
  <c r="CN226" i="1"/>
  <c r="AO156" i="1"/>
  <c r="AO157" i="1" s="1"/>
  <c r="AN158" i="1"/>
  <c r="CG226" i="1" l="1"/>
  <c r="CG185" i="1"/>
  <c r="BT366" i="1"/>
  <c r="CM178" i="1"/>
  <c r="CM86" i="1"/>
  <c r="CM226" i="1" s="1"/>
  <c r="CM229" i="1" s="1"/>
  <c r="CM191" i="1"/>
  <c r="BX229" i="1"/>
  <c r="CC228" i="1"/>
  <c r="CC191" i="1"/>
  <c r="CH86" i="1"/>
  <c r="CI132" i="1" s="1"/>
  <c r="CH99" i="1"/>
  <c r="CH134" i="1" s="1"/>
  <c r="CH178" i="1"/>
  <c r="CC185" i="1"/>
  <c r="CC132" i="1"/>
  <c r="CC87" i="1"/>
  <c r="CC226" i="1"/>
  <c r="CC229" i="1" s="1"/>
  <c r="CD132" i="1"/>
  <c r="CD366" i="1" s="1"/>
  <c r="CC134" i="1"/>
  <c r="CN191" i="1"/>
  <c r="CG228" i="1"/>
  <c r="CI226" i="1"/>
  <c r="CI229" i="1" s="1"/>
  <c r="CI185" i="1"/>
  <c r="CN87" i="1"/>
  <c r="CL228" i="1"/>
  <c r="CN134" i="1"/>
  <c r="CM134" i="1"/>
  <c r="CL86" i="1"/>
  <c r="CL178" i="1"/>
  <c r="CE173" i="1"/>
  <c r="CF173" i="1" s="1"/>
  <c r="CD149" i="1"/>
  <c r="CC172" i="1"/>
  <c r="CB171" i="1"/>
  <c r="BV56" i="1"/>
  <c r="BU369" i="1"/>
  <c r="BW56" i="1"/>
  <c r="BX100" i="1"/>
  <c r="BW204" i="1"/>
  <c r="CN229" i="1"/>
  <c r="AP156" i="1"/>
  <c r="AP157" i="1" s="1"/>
  <c r="AO158" i="1"/>
  <c r="BX98" i="1"/>
  <c r="BW203" i="1"/>
  <c r="BV108" i="1"/>
  <c r="BU194" i="1"/>
  <c r="BB156" i="1"/>
  <c r="BB157" i="1" s="1"/>
  <c r="AW158" i="1"/>
  <c r="AX156" i="1"/>
  <c r="AX157" i="1" s="1"/>
  <c r="AM118" i="1"/>
  <c r="AN114" i="1"/>
  <c r="BW198" i="1"/>
  <c r="BV151" i="1"/>
  <c r="BV168" i="1" s="1"/>
  <c r="BV198" i="1"/>
  <c r="AK158" i="1"/>
  <c r="AL156" i="1"/>
  <c r="AL157" i="1" s="1"/>
  <c r="AL158" i="1" s="1"/>
  <c r="BU106" i="1"/>
  <c r="BT205" i="1"/>
  <c r="BT148" i="1"/>
  <c r="AK208" i="1"/>
  <c r="AK223" i="1"/>
  <c r="BX73" i="1"/>
  <c r="BY55" i="1"/>
  <c r="AS158" i="1"/>
  <c r="AT156" i="1"/>
  <c r="AT157" i="1" s="1"/>
  <c r="AL207" i="1"/>
  <c r="AM223" i="1" s="1"/>
  <c r="AL120" i="1"/>
  <c r="AL121" i="1" s="1"/>
  <c r="G163" i="1"/>
  <c r="G165" i="1" s="1"/>
  <c r="G167" i="1"/>
  <c r="CG229" i="1" l="1"/>
  <c r="CM132" i="1"/>
  <c r="CM366" i="1" s="1"/>
  <c r="CM185" i="1"/>
  <c r="CN132" i="1"/>
  <c r="CN366" i="1" s="1"/>
  <c r="CH191" i="1"/>
  <c r="CI134" i="1"/>
  <c r="CI366" i="1" s="1"/>
  <c r="CH228" i="1"/>
  <c r="CC366" i="1"/>
  <c r="CH185" i="1"/>
  <c r="CH87" i="1"/>
  <c r="CH226" i="1"/>
  <c r="CH132" i="1"/>
  <c r="CH366" i="1" s="1"/>
  <c r="CM87" i="1"/>
  <c r="CL226" i="1"/>
  <c r="CL229" i="1" s="1"/>
  <c r="CL87" i="1"/>
  <c r="CL185" i="1"/>
  <c r="BV369" i="1"/>
  <c r="CG173" i="1"/>
  <c r="CE149" i="1"/>
  <c r="CF149" i="1" s="1"/>
  <c r="CC171" i="1"/>
  <c r="CD172" i="1"/>
  <c r="BW369" i="1"/>
  <c r="BX56" i="1"/>
  <c r="BY100" i="1"/>
  <c r="BX204" i="1"/>
  <c r="BZ55" i="1"/>
  <c r="BY73" i="1"/>
  <c r="AX158" i="1"/>
  <c r="AY156" i="1"/>
  <c r="AY157" i="1" s="1"/>
  <c r="BW151" i="1"/>
  <c r="BX198" i="1"/>
  <c r="AL208" i="1"/>
  <c r="AT158" i="1"/>
  <c r="AU156" i="1"/>
  <c r="AU157" i="1" s="1"/>
  <c r="BV106" i="1"/>
  <c r="BU148" i="1"/>
  <c r="BV148" i="1" s="1"/>
  <c r="BU205" i="1"/>
  <c r="AN118" i="1"/>
  <c r="AO114" i="1"/>
  <c r="BC156" i="1"/>
  <c r="BC157" i="1" s="1"/>
  <c r="BG156" i="1"/>
  <c r="BG157" i="1" s="1"/>
  <c r="AM120" i="1"/>
  <c r="AM121" i="1" s="1"/>
  <c r="AM207" i="1"/>
  <c r="AM208" i="1" s="1"/>
  <c r="BW108" i="1"/>
  <c r="BV194" i="1"/>
  <c r="BY98" i="1"/>
  <c r="BX203" i="1"/>
  <c r="AP158" i="1"/>
  <c r="AQ156" i="1"/>
  <c r="AQ157" i="1" s="1"/>
  <c r="AQ158" i="1" s="1"/>
  <c r="CH229" i="1" l="1"/>
  <c r="CG149" i="1"/>
  <c r="CH173" i="1"/>
  <c r="CD171" i="1"/>
  <c r="CE172" i="1"/>
  <c r="BY56" i="1"/>
  <c r="BX369" i="1"/>
  <c r="BY204" i="1"/>
  <c r="BZ100" i="1"/>
  <c r="BC158" i="1"/>
  <c r="BD156" i="1"/>
  <c r="BD157" i="1" s="1"/>
  <c r="BV205" i="1"/>
  <c r="BW106" i="1"/>
  <c r="BY203" i="1"/>
  <c r="BZ98" i="1"/>
  <c r="BH156" i="1"/>
  <c r="BL156" i="1"/>
  <c r="AY158" i="1"/>
  <c r="AZ156" i="1"/>
  <c r="AZ157" i="1" s="1"/>
  <c r="BZ73" i="1"/>
  <c r="CB55" i="1"/>
  <c r="AP114" i="1"/>
  <c r="AO118" i="1"/>
  <c r="BY198" i="1"/>
  <c r="BX151" i="1"/>
  <c r="BW194" i="1"/>
  <c r="BX108" i="1"/>
  <c r="AN207" i="1"/>
  <c r="AN120" i="1"/>
  <c r="AN121" i="1" s="1"/>
  <c r="AV156" i="1"/>
  <c r="AV157" i="1" s="1"/>
  <c r="AV158" i="1" s="1"/>
  <c r="AU158" i="1"/>
  <c r="CA55" i="1"/>
  <c r="CA73" i="1" s="1"/>
  <c r="CH149" i="1" l="1"/>
  <c r="CI173" i="1"/>
  <c r="CG172" i="1"/>
  <c r="CE171" i="1"/>
  <c r="CF171" i="1" s="1"/>
  <c r="CF172" i="1" s="1"/>
  <c r="BY369" i="1"/>
  <c r="BZ56" i="1"/>
  <c r="BZ204" i="1"/>
  <c r="CA100" i="1"/>
  <c r="CA98" i="1"/>
  <c r="CA203" i="1" s="1"/>
  <c r="CB98" i="1"/>
  <c r="BZ203" i="1"/>
  <c r="BE156" i="1"/>
  <c r="BE157" i="1" s="1"/>
  <c r="BD158" i="1"/>
  <c r="BZ198" i="1"/>
  <c r="BY151" i="1"/>
  <c r="AO120" i="1"/>
  <c r="AO121" i="1" s="1"/>
  <c r="AO207" i="1"/>
  <c r="AO208" i="1" s="1"/>
  <c r="CB73" i="1"/>
  <c r="CC55" i="1"/>
  <c r="BA156" i="1"/>
  <c r="BA157" i="1" s="1"/>
  <c r="BA158" i="1" s="1"/>
  <c r="AZ158" i="1"/>
  <c r="AN208" i="1"/>
  <c r="BX194" i="1"/>
  <c r="BY108" i="1"/>
  <c r="AP118" i="1"/>
  <c r="AQ114" i="1"/>
  <c r="BH157" i="1"/>
  <c r="BW148" i="1"/>
  <c r="BX106" i="1"/>
  <c r="BW205" i="1"/>
  <c r="CJ173" i="1" l="1"/>
  <c r="CI149" i="1"/>
  <c r="CH172" i="1"/>
  <c r="CG171" i="1"/>
  <c r="CA56" i="1"/>
  <c r="CA369" i="1" s="1"/>
  <c r="CB56" i="1"/>
  <c r="BZ369" i="1"/>
  <c r="CA204" i="1"/>
  <c r="CB100" i="1"/>
  <c r="BY106" i="1"/>
  <c r="BX148" i="1"/>
  <c r="BX205" i="1"/>
  <c r="CB203" i="1"/>
  <c r="CC98" i="1"/>
  <c r="AR114" i="1"/>
  <c r="AQ118" i="1"/>
  <c r="BE158" i="1"/>
  <c r="BF156" i="1"/>
  <c r="BF157" i="1" s="1"/>
  <c r="BH158" i="1"/>
  <c r="BI156" i="1"/>
  <c r="BI157" i="1" s="1"/>
  <c r="BJ156" i="1" s="1"/>
  <c r="AP120" i="1"/>
  <c r="AP207" i="1"/>
  <c r="BY194" i="1"/>
  <c r="BZ108" i="1"/>
  <c r="CC73" i="1"/>
  <c r="CD55" i="1"/>
  <c r="CB198" i="1"/>
  <c r="BZ151" i="1"/>
  <c r="CA151" i="1" s="1"/>
  <c r="CA168" i="1" s="1"/>
  <c r="CA198" i="1"/>
  <c r="CK173" i="1" l="1"/>
  <c r="CL173" i="1"/>
  <c r="CJ149" i="1"/>
  <c r="CK149" i="1" s="1"/>
  <c r="CI172" i="1"/>
  <c r="CH171" i="1"/>
  <c r="CC56" i="1"/>
  <c r="CB369" i="1"/>
  <c r="CC100" i="1"/>
  <c r="CB204" i="1"/>
  <c r="AQ120" i="1"/>
  <c r="AQ121" i="1" s="1"/>
  <c r="AQ207" i="1"/>
  <c r="CC198" i="1"/>
  <c r="CB151" i="1"/>
  <c r="BZ194" i="1"/>
  <c r="CA108" i="1"/>
  <c r="AS114" i="1"/>
  <c r="AR118" i="1"/>
  <c r="CC203" i="1"/>
  <c r="CD98" i="1"/>
  <c r="BY148" i="1"/>
  <c r="BY205" i="1"/>
  <c r="BZ106" i="1"/>
  <c r="CD73" i="1"/>
  <c r="CE55" i="1"/>
  <c r="CF55" i="1" s="1"/>
  <c r="CF73" i="1" s="1"/>
  <c r="AP208" i="1"/>
  <c r="AR223" i="1"/>
  <c r="AP223" i="1"/>
  <c r="CL149" i="1" l="1"/>
  <c r="CM173" i="1"/>
  <c r="CJ172" i="1"/>
  <c r="CI171" i="1"/>
  <c r="CC369" i="1"/>
  <c r="CD56" i="1"/>
  <c r="CD100" i="1"/>
  <c r="CC204" i="1"/>
  <c r="BZ205" i="1"/>
  <c r="BZ148" i="1"/>
  <c r="CA148" i="1" s="1"/>
  <c r="CA106" i="1"/>
  <c r="AT114" i="1"/>
  <c r="AS118" i="1"/>
  <c r="CB108" i="1"/>
  <c r="CA194" i="1"/>
  <c r="CC151" i="1"/>
  <c r="CD198" i="1"/>
  <c r="CE98" i="1"/>
  <c r="CD203" i="1"/>
  <c r="CG55" i="1"/>
  <c r="CE73" i="1"/>
  <c r="AR120" i="1"/>
  <c r="AR121" i="1" s="1"/>
  <c r="AR207" i="1"/>
  <c r="AR208" i="1" s="1"/>
  <c r="AQ208" i="1"/>
  <c r="CM149" i="1" l="1"/>
  <c r="CN173" i="1"/>
  <c r="CJ171" i="1"/>
  <c r="CK171" i="1" s="1"/>
  <c r="CK172" i="1" s="1"/>
  <c r="CL172" i="1"/>
  <c r="CE56" i="1"/>
  <c r="CD369" i="1"/>
  <c r="CE100" i="1"/>
  <c r="CD204" i="1"/>
  <c r="CA205" i="1"/>
  <c r="CB106" i="1"/>
  <c r="CB194" i="1"/>
  <c r="CC108" i="1"/>
  <c r="CD151" i="1"/>
  <c r="CE198" i="1"/>
  <c r="AS207" i="1"/>
  <c r="AS120" i="1"/>
  <c r="AS121" i="1" s="1"/>
  <c r="CG73" i="1"/>
  <c r="CH55" i="1"/>
  <c r="CF98" i="1"/>
  <c r="CF203" i="1" s="1"/>
  <c r="CE203" i="1"/>
  <c r="CG98" i="1"/>
  <c r="AT118" i="1"/>
  <c r="AU114" i="1"/>
  <c r="CO173" i="1" l="1"/>
  <c r="CO149" i="1" s="1"/>
  <c r="CN149" i="1"/>
  <c r="CM172" i="1"/>
  <c r="CL171" i="1"/>
  <c r="CG56" i="1"/>
  <c r="CE369" i="1"/>
  <c r="CF56" i="1"/>
  <c r="CF369" i="1" s="1"/>
  <c r="CF100" i="1"/>
  <c r="CE204" i="1"/>
  <c r="AT207" i="1"/>
  <c r="AT208" i="1" s="1"/>
  <c r="AT120" i="1"/>
  <c r="AT121" i="1" s="1"/>
  <c r="AS208" i="1"/>
  <c r="CB148" i="1"/>
  <c r="CC106" i="1"/>
  <c r="CB205" i="1"/>
  <c r="CI55" i="1"/>
  <c r="CH73" i="1"/>
  <c r="CE151" i="1"/>
  <c r="CF151" i="1" s="1"/>
  <c r="CF168" i="1" s="1"/>
  <c r="CG198" i="1"/>
  <c r="CF198" i="1"/>
  <c r="AV114" i="1"/>
  <c r="AU118" i="1"/>
  <c r="CG203" i="1"/>
  <c r="CH98" i="1"/>
  <c r="CC194" i="1"/>
  <c r="CD108" i="1"/>
  <c r="CP173" i="1" l="1"/>
  <c r="CP149" i="1"/>
  <c r="CN172" i="1"/>
  <c r="CM171" i="1"/>
  <c r="CG369" i="1"/>
  <c r="CH56" i="1"/>
  <c r="CF204" i="1"/>
  <c r="CG100" i="1"/>
  <c r="CE108" i="1"/>
  <c r="CD194" i="1"/>
  <c r="CH203" i="1"/>
  <c r="CI98" i="1"/>
  <c r="AU120" i="1"/>
  <c r="AU121" i="1" s="1"/>
  <c r="AU207" i="1"/>
  <c r="AU223" i="1" s="1"/>
  <c r="CI73" i="1"/>
  <c r="CJ55" i="1"/>
  <c r="CK55" i="1" s="1"/>
  <c r="CK73" i="1" s="1"/>
  <c r="CD106" i="1"/>
  <c r="CC205" i="1"/>
  <c r="CC148" i="1"/>
  <c r="AV118" i="1"/>
  <c r="AW114" i="1"/>
  <c r="CG151" i="1"/>
  <c r="CH198" i="1"/>
  <c r="CO172" i="1" l="1"/>
  <c r="CO171" i="1" s="1"/>
  <c r="CN171" i="1"/>
  <c r="CI56" i="1"/>
  <c r="CH369" i="1"/>
  <c r="CH100" i="1"/>
  <c r="CG204" i="1"/>
  <c r="CH151" i="1"/>
  <c r="CI198" i="1"/>
  <c r="AW118" i="1"/>
  <c r="AX114" i="1"/>
  <c r="CD148" i="1"/>
  <c r="CD205" i="1"/>
  <c r="CE106" i="1"/>
  <c r="CJ98" i="1"/>
  <c r="CI203" i="1"/>
  <c r="AV120" i="1"/>
  <c r="AV121" i="1" s="1"/>
  <c r="AV207" i="1"/>
  <c r="CL55" i="1"/>
  <c r="CJ73" i="1"/>
  <c r="AU208" i="1"/>
  <c r="AW223" i="1"/>
  <c r="CF108" i="1"/>
  <c r="CE194" i="1"/>
  <c r="CP171" i="1" l="1"/>
  <c r="CP172" i="1" s="1"/>
  <c r="CJ56" i="1"/>
  <c r="CI369" i="1"/>
  <c r="CI100" i="1"/>
  <c r="CH204" i="1"/>
  <c r="CL73" i="1"/>
  <c r="CM55" i="1"/>
  <c r="AW120" i="1"/>
  <c r="AW121" i="1" s="1"/>
  <c r="AW207" i="1"/>
  <c r="AW97" i="1"/>
  <c r="AV208" i="1"/>
  <c r="CL98" i="1"/>
  <c r="CJ203" i="1"/>
  <c r="CK98" i="1"/>
  <c r="CK203" i="1" s="1"/>
  <c r="CI151" i="1"/>
  <c r="CJ198" i="1"/>
  <c r="CK198" i="1" s="1"/>
  <c r="AX118" i="1"/>
  <c r="AY114" i="1"/>
  <c r="CG108" i="1"/>
  <c r="CF194" i="1"/>
  <c r="CF106" i="1"/>
  <c r="CE205" i="1"/>
  <c r="CE148" i="1"/>
  <c r="CF148" i="1" s="1"/>
  <c r="CL56" i="1" l="1"/>
  <c r="CJ369" i="1"/>
  <c r="CK56" i="1"/>
  <c r="CK369" i="1" s="1"/>
  <c r="CJ100" i="1"/>
  <c r="CI204" i="1"/>
  <c r="CG106" i="1"/>
  <c r="CF205" i="1"/>
  <c r="AY118" i="1"/>
  <c r="AZ114" i="1"/>
  <c r="CJ151" i="1"/>
  <c r="CK151" i="1" s="1"/>
  <c r="CK168" i="1" s="1"/>
  <c r="CL198" i="1"/>
  <c r="AX207" i="1"/>
  <c r="AX120" i="1"/>
  <c r="AX121" i="1" s="1"/>
  <c r="CG194" i="1"/>
  <c r="CH108" i="1"/>
  <c r="CM73" i="1"/>
  <c r="CN55" i="1"/>
  <c r="AW202" i="1"/>
  <c r="AW197" i="1"/>
  <c r="CL203" i="1"/>
  <c r="CM98" i="1"/>
  <c r="CL369" i="1" l="1"/>
  <c r="CM56" i="1"/>
  <c r="CJ204" i="1"/>
  <c r="CK100" i="1"/>
  <c r="CM203" i="1"/>
  <c r="CN98" i="1"/>
  <c r="AW206" i="1"/>
  <c r="AW212" i="1"/>
  <c r="CL151" i="1"/>
  <c r="CM198" i="1"/>
  <c r="CO55" i="1"/>
  <c r="CO73" i="1" s="1"/>
  <c r="CN73" i="1"/>
  <c r="AX208" i="1"/>
  <c r="CH106" i="1"/>
  <c r="CG148" i="1"/>
  <c r="CG205" i="1"/>
  <c r="CI108" i="1"/>
  <c r="CH194" i="1"/>
  <c r="BA114" i="1"/>
  <c r="AZ118" i="1"/>
  <c r="AY120" i="1"/>
  <c r="AY121" i="1" s="1"/>
  <c r="AY207" i="1"/>
  <c r="AY208" i="1" s="1"/>
  <c r="CN56" i="1" l="1"/>
  <c r="CM369" i="1"/>
  <c r="CL100" i="1"/>
  <c r="CK204" i="1"/>
  <c r="CP55" i="1"/>
  <c r="CP73" i="1" s="1"/>
  <c r="BB117" i="1"/>
  <c r="BB81" i="1" s="1"/>
  <c r="BB114" i="1"/>
  <c r="AX213" i="1"/>
  <c r="AX214" i="1" s="1"/>
  <c r="BB214" i="1" s="1"/>
  <c r="BB213" i="1"/>
  <c r="CO98" i="1"/>
  <c r="CN203" i="1"/>
  <c r="CM151" i="1"/>
  <c r="CN198" i="1"/>
  <c r="AW210" i="1"/>
  <c r="AV210" i="1" s="1"/>
  <c r="AW208" i="1"/>
  <c r="AW368" i="1"/>
  <c r="AZ120" i="1"/>
  <c r="AZ121" i="1" s="1"/>
  <c r="AZ207" i="1"/>
  <c r="CH205" i="1"/>
  <c r="CI106" i="1"/>
  <c r="CH148" i="1"/>
  <c r="CI194" i="1"/>
  <c r="CJ108" i="1"/>
  <c r="BA118" i="1" l="1"/>
  <c r="BA120" i="1" s="1"/>
  <c r="BA121" i="1" s="1"/>
  <c r="CO56" i="1"/>
  <c r="CN369" i="1"/>
  <c r="CM100" i="1"/>
  <c r="CL204" i="1"/>
  <c r="CK108" i="1"/>
  <c r="CJ194" i="1"/>
  <c r="CO198" i="1"/>
  <c r="CP198" i="1" s="1"/>
  <c r="CN151" i="1"/>
  <c r="BC114" i="1"/>
  <c r="BB118" i="1"/>
  <c r="AZ208" i="1"/>
  <c r="AZ223" i="1"/>
  <c r="CO203" i="1"/>
  <c r="CP98" i="1"/>
  <c r="CP203" i="1" s="1"/>
  <c r="CJ106" i="1"/>
  <c r="CI205" i="1"/>
  <c r="CI148" i="1"/>
  <c r="BB89" i="1"/>
  <c r="BB94" i="1" s="1"/>
  <c r="BB246" i="1" s="1"/>
  <c r="BB201" i="1"/>
  <c r="BG370" i="1"/>
  <c r="BB158" i="1"/>
  <c r="BB251" i="1" l="1"/>
  <c r="BA207" i="1"/>
  <c r="BA208" i="1" s="1"/>
  <c r="CO151" i="1"/>
  <c r="CP151" i="1" s="1"/>
  <c r="CP168" i="1" s="1"/>
  <c r="CO369" i="1"/>
  <c r="CP56" i="1"/>
  <c r="CP369" i="1" s="1"/>
  <c r="CN100" i="1"/>
  <c r="CM204" i="1"/>
  <c r="BD114" i="1"/>
  <c r="BB215" i="1"/>
  <c r="BB206" i="1"/>
  <c r="CJ148" i="1"/>
  <c r="CK148" i="1" s="1"/>
  <c r="CJ205" i="1"/>
  <c r="CK106" i="1"/>
  <c r="CK194" i="1"/>
  <c r="CL108" i="1"/>
  <c r="BB223" i="1"/>
  <c r="BB120" i="1"/>
  <c r="BB121" i="1" s="1"/>
  <c r="BB207" i="1"/>
  <c r="CO100" i="1" l="1"/>
  <c r="CN204" i="1"/>
  <c r="BE114" i="1"/>
  <c r="BF114" i="1" s="1"/>
  <c r="BG114" i="1" s="1"/>
  <c r="BH114" i="1" s="1"/>
  <c r="BI114" i="1" s="1"/>
  <c r="BJ114" i="1" s="1"/>
  <c r="BK114" i="1" s="1"/>
  <c r="BL114" i="1" s="1"/>
  <c r="BD118" i="1"/>
  <c r="CM108" i="1"/>
  <c r="CL194" i="1"/>
  <c r="BC216" i="1"/>
  <c r="BC217" i="1" s="1"/>
  <c r="BB216" i="1"/>
  <c r="CK205" i="1"/>
  <c r="CL106" i="1"/>
  <c r="BB208" i="1"/>
  <c r="BB368" i="1"/>
  <c r="BC118" i="1"/>
  <c r="BP114" i="1" l="1"/>
  <c r="BQ114" i="1" s="1"/>
  <c r="BR114" i="1" s="1"/>
  <c r="BS114" i="1" s="1"/>
  <c r="BT114" i="1" s="1"/>
  <c r="BU114" i="1" s="1"/>
  <c r="BV114" i="1" s="1"/>
  <c r="BW114" i="1" s="1"/>
  <c r="BX114" i="1" s="1"/>
  <c r="BY114" i="1" s="1"/>
  <c r="BZ114" i="1" s="1"/>
  <c r="CA114" i="1" s="1"/>
  <c r="CB114" i="1" s="1"/>
  <c r="CC114" i="1" s="1"/>
  <c r="CD114" i="1" s="1"/>
  <c r="CE114" i="1" s="1"/>
  <c r="CF114" i="1" s="1"/>
  <c r="CG114" i="1" s="1"/>
  <c r="CH114" i="1" s="1"/>
  <c r="CI114" i="1" s="1"/>
  <c r="CJ114" i="1" s="1"/>
  <c r="CK114" i="1" s="1"/>
  <c r="CL114" i="1" s="1"/>
  <c r="CM114" i="1" s="1"/>
  <c r="CN114" i="1" s="1"/>
  <c r="CO114" i="1" s="1"/>
  <c r="CP114" i="1" s="1"/>
  <c r="BN118" i="1"/>
  <c r="CP100" i="1"/>
  <c r="CP204" i="1" s="1"/>
  <c r="CO204" i="1"/>
  <c r="BD207" i="1"/>
  <c r="BD208" i="1" s="1"/>
  <c r="BD120" i="1"/>
  <c r="BD121" i="1" s="1"/>
  <c r="CN108" i="1"/>
  <c r="CM194" i="1"/>
  <c r="CL148" i="1"/>
  <c r="CL205" i="1"/>
  <c r="CM106" i="1"/>
  <c r="BC207" i="1"/>
  <c r="BC208" i="1" s="1"/>
  <c r="BC120" i="1"/>
  <c r="BC121" i="1" l="1"/>
  <c r="CM148" i="1"/>
  <c r="CM205" i="1"/>
  <c r="CN106" i="1"/>
  <c r="CO108" i="1"/>
  <c r="CN194" i="1"/>
  <c r="CN148" i="1" l="1"/>
  <c r="CN205" i="1"/>
  <c r="CO106" i="1"/>
  <c r="CP108" i="1"/>
  <c r="CP194" i="1" s="1"/>
  <c r="CO194" i="1"/>
  <c r="CO148" i="1" l="1"/>
  <c r="CP148" i="1" s="1"/>
  <c r="CO205" i="1"/>
  <c r="CP106" i="1"/>
  <c r="CP205" i="1" s="1"/>
  <c r="BE216" i="1" l="1"/>
  <c r="BE217" i="1" s="1"/>
  <c r="BE45" i="1"/>
  <c r="BE50" i="1" s="1"/>
  <c r="BE118" i="1" l="1"/>
  <c r="BE48" i="1"/>
  <c r="BE65" i="1"/>
  <c r="BE67" i="1" s="1"/>
  <c r="BE124" i="1"/>
  <c r="BE129" i="1" s="1"/>
  <c r="BE52" i="1"/>
  <c r="BE120" i="1" l="1"/>
  <c r="BE121" i="1" s="1"/>
  <c r="BE207" i="1"/>
  <c r="BE208" i="1" s="1"/>
  <c r="BE365" i="1"/>
  <c r="BE181" i="1"/>
  <c r="BE221" i="1"/>
  <c r="BE222" i="1" s="1"/>
  <c r="BE223" i="1" s="1"/>
  <c r="BE53" i="1"/>
  <c r="BF45" i="1"/>
  <c r="BF50" i="1" s="1"/>
  <c r="BF48" i="1" l="1"/>
  <c r="BG117" i="1"/>
  <c r="BG115" i="1"/>
  <c r="BF52" i="1"/>
  <c r="BF65" i="1"/>
  <c r="BF67" i="1" s="1"/>
  <c r="BF124" i="1"/>
  <c r="BF129" i="1" s="1"/>
  <c r="BG45" i="1"/>
  <c r="BG48" i="1" s="1"/>
  <c r="BG50" i="1"/>
  <c r="BF181" i="1" l="1"/>
  <c r="BF53" i="1"/>
  <c r="BG249" i="1"/>
  <c r="BG250" i="1" s="1"/>
  <c r="BG81" i="1"/>
  <c r="BG118" i="1"/>
  <c r="BG129" i="1"/>
  <c r="BF365" i="1"/>
  <c r="BF81" i="1"/>
  <c r="BG65" i="1"/>
  <c r="BG67" i="1" s="1"/>
  <c r="BG52" i="1"/>
  <c r="BG124" i="1"/>
  <c r="BG181" i="1"/>
  <c r="BG221" i="1"/>
  <c r="BG222" i="1" s="1"/>
  <c r="BF118" i="1"/>
  <c r="BG137" i="1" l="1"/>
  <c r="BG163" i="1" s="1"/>
  <c r="BG165" i="1" s="1"/>
  <c r="BG166" i="1" s="1"/>
  <c r="BF207" i="1"/>
  <c r="BF120" i="1"/>
  <c r="BG53" i="1"/>
  <c r="BG365" i="1"/>
  <c r="BG199" i="1"/>
  <c r="BF158" i="1"/>
  <c r="BF201" i="1"/>
  <c r="BF89" i="1"/>
  <c r="BF94" i="1" s="1"/>
  <c r="BF246" i="1" s="1"/>
  <c r="BG207" i="1"/>
  <c r="BG120" i="1"/>
  <c r="BL370" i="1"/>
  <c r="BG158" i="1"/>
  <c r="BG89" i="1"/>
  <c r="BG94" i="1" s="1"/>
  <c r="BG246" i="1" s="1"/>
  <c r="BG251" i="1" s="1"/>
  <c r="BG201" i="1"/>
  <c r="BG169" i="1" l="1"/>
  <c r="BF206" i="1"/>
  <c r="BF215" i="1"/>
  <c r="BF216" i="1" s="1"/>
  <c r="BF217" i="1" s="1"/>
  <c r="BG217" i="1" s="1"/>
  <c r="BF121" i="1"/>
  <c r="BI118" i="1"/>
  <c r="BI81" i="1"/>
  <c r="BG206" i="1"/>
  <c r="BG215" i="1"/>
  <c r="BG121" i="1"/>
  <c r="BH118" i="1"/>
  <c r="BI207" i="1" l="1"/>
  <c r="BI120" i="1"/>
  <c r="BI158" i="1"/>
  <c r="BI89" i="1"/>
  <c r="BI94" i="1" s="1"/>
  <c r="BI246" i="1" s="1"/>
  <c r="BI201" i="1"/>
  <c r="BF208" i="1"/>
  <c r="BF368" i="1"/>
  <c r="BG223" i="1"/>
  <c r="BH207" i="1"/>
  <c r="BH208" i="1" s="1"/>
  <c r="BH120" i="1"/>
  <c r="BH216" i="1"/>
  <c r="BH217" i="1" s="1"/>
  <c r="BG216" i="1"/>
  <c r="BG368" i="1"/>
  <c r="BG208" i="1"/>
  <c r="BG210" i="1"/>
  <c r="BF210" i="1" s="1"/>
  <c r="BH121" i="1" l="1"/>
  <c r="BI121" i="1"/>
  <c r="BI215" i="1"/>
  <c r="BI216" i="1" s="1"/>
  <c r="BI206" i="1"/>
  <c r="BI210" i="1" l="1"/>
  <c r="BI208" i="1"/>
  <c r="BI368" i="1"/>
  <c r="BI217" i="1"/>
  <c r="BJ45" i="1" l="1"/>
  <c r="BJ48" i="1" l="1"/>
  <c r="BJ221" i="1" s="1"/>
  <c r="BJ222" i="1" s="1"/>
  <c r="BJ50" i="1"/>
  <c r="BJ65" i="1" s="1"/>
  <c r="BJ181" i="1" l="1"/>
  <c r="BJ67" i="1"/>
  <c r="BJ52" i="1"/>
  <c r="BJ124" i="1"/>
  <c r="BJ129" i="1" s="1"/>
  <c r="BL117" i="1" l="1"/>
  <c r="BJ118" i="1"/>
  <c r="BJ81" i="1"/>
  <c r="BJ53" i="1"/>
  <c r="BJ89" i="1" l="1"/>
  <c r="BJ94" i="1" s="1"/>
  <c r="BJ246" i="1" s="1"/>
  <c r="BJ201" i="1"/>
  <c r="BJ215" i="1" s="1"/>
  <c r="BJ207" i="1"/>
  <c r="BJ216" i="1" l="1"/>
  <c r="BJ104" i="1"/>
  <c r="BJ110" i="1" s="1"/>
  <c r="BJ120" i="1" s="1"/>
  <c r="BJ121" i="1" s="1"/>
  <c r="BJ202" i="1"/>
  <c r="BJ217" i="1" l="1"/>
  <c r="BJ152" i="1"/>
  <c r="BJ206" i="1"/>
  <c r="BJ212" i="1"/>
  <c r="BJ213" i="1" l="1"/>
  <c r="BJ208" i="1"/>
  <c r="BJ210" i="1"/>
  <c r="BJ223" i="1"/>
  <c r="BJ368" i="1"/>
  <c r="BJ155" i="1"/>
  <c r="BJ157" i="1" s="1"/>
  <c r="BK156" i="1" s="1"/>
  <c r="BJ163" i="1"/>
  <c r="BJ165" i="1" s="1"/>
  <c r="BJ214" i="1" l="1"/>
  <c r="BJ365" i="1"/>
  <c r="BJ158" i="1"/>
  <c r="BB39" i="1" l="1"/>
  <c r="BB189" i="1" s="1"/>
  <c r="BA126" i="1"/>
  <c r="BA39" i="1" s="1"/>
  <c r="BA40" i="1" s="1"/>
  <c r="BB209" i="1"/>
  <c r="BB210" i="1" s="1"/>
  <c r="BA210" i="1" s="1"/>
  <c r="BB364" i="1" l="1"/>
  <c r="BA209" i="1"/>
  <c r="BA129" i="1"/>
  <c r="BB129" i="1" s="1"/>
  <c r="BB137" i="1" s="1"/>
  <c r="BB163" i="1" s="1"/>
  <c r="BB165" i="1" s="1"/>
  <c r="BB169" i="1" s="1"/>
  <c r="BA189" i="1"/>
  <c r="BA41" i="1"/>
  <c r="BB40" i="1"/>
  <c r="BB41" i="1" s="1"/>
  <c r="BB199" i="1" l="1"/>
  <c r="BB166" i="1"/>
  <c r="BG167" i="1" s="1"/>
  <c r="BB365" i="1"/>
  <c r="BA364" i="1"/>
  <c r="BC210" i="1"/>
  <c r="BD210" i="1"/>
  <c r="BE210" i="1"/>
  <c r="BA365" i="1"/>
  <c r="BB167" i="1" l="1"/>
  <c r="BL45" i="1" l="1"/>
  <c r="BK47" i="1" l="1"/>
  <c r="BK181" i="1"/>
  <c r="BK50" i="1" l="1"/>
  <c r="BK193" i="1"/>
  <c r="BU193" i="1" s="1"/>
  <c r="BZ193" i="1" s="1"/>
  <c r="CE193" i="1" s="1"/>
  <c r="CJ193" i="1" s="1"/>
  <c r="CO193" i="1" s="1"/>
  <c r="BK128" i="1"/>
  <c r="BL47" i="1"/>
  <c r="BL48" i="1" s="1"/>
  <c r="BL107" i="1"/>
  <c r="BM128" i="1" s="1"/>
  <c r="BK65" i="1" l="1"/>
  <c r="BK124" i="1" s="1"/>
  <c r="BL128" i="1"/>
  <c r="BK52" i="1"/>
  <c r="BL50" i="1"/>
  <c r="BL221" i="1"/>
  <c r="BL222" i="1" s="1"/>
  <c r="BL249" i="1"/>
  <c r="BL250" i="1" s="1"/>
  <c r="BL181" i="1"/>
  <c r="BL193" i="1"/>
  <c r="BK67" i="1" l="1"/>
  <c r="BK53" i="1"/>
  <c r="BL115" i="1"/>
  <c r="BK118" i="1"/>
  <c r="BL65" i="1"/>
  <c r="BL124" i="1" s="1"/>
  <c r="BL52" i="1"/>
  <c r="BL67" i="1" l="1"/>
  <c r="BL53" i="1"/>
  <c r="BL118" i="1"/>
  <c r="BK207" i="1"/>
  <c r="BL207" i="1" l="1"/>
  <c r="BQ235" i="1" l="1"/>
  <c r="BL5" i="1"/>
  <c r="BL12" i="1"/>
  <c r="BL15" i="1"/>
  <c r="BL17" i="1"/>
  <c r="BL184" i="1" s="1"/>
  <c r="BL27" i="1"/>
  <c r="BL37" i="1"/>
  <c r="BL41" i="1"/>
  <c r="BL164" i="1"/>
  <c r="BL176" i="1"/>
  <c r="BL179" i="1"/>
  <c r="BL180" i="1"/>
  <c r="BL182" i="1"/>
  <c r="BL183" i="1"/>
  <c r="BL185" i="1"/>
  <c r="BL186" i="1"/>
  <c r="BL188" i="1"/>
  <c r="BL190" i="1"/>
  <c r="BL191" i="1"/>
  <c r="BL227" i="1"/>
  <c r="BL228" i="1"/>
  <c r="BL361" i="1"/>
  <c r="BL20" i="1" l="1"/>
  <c r="BP234" i="1"/>
  <c r="BL226" i="1"/>
  <c r="BL229" i="1" s="1"/>
  <c r="BL24" i="1"/>
  <c r="BL178" i="1"/>
  <c r="BL192" i="1"/>
  <c r="BL234" i="1"/>
  <c r="BQ9" i="1" l="1"/>
  <c r="BQ361" i="1"/>
  <c r="BK81" i="1"/>
  <c r="BK136" i="1"/>
  <c r="BL136" i="1" l="1"/>
  <c r="BK129" i="1"/>
  <c r="BP9" i="1"/>
  <c r="BQ84" i="1"/>
  <c r="BP133" i="1"/>
  <c r="BQ133" i="1" s="1"/>
  <c r="BV6" i="1"/>
  <c r="BU7" i="1"/>
  <c r="BU5" i="1"/>
  <c r="BP361" i="1"/>
  <c r="BV8" i="1"/>
  <c r="BV235" i="1" s="1"/>
  <c r="BQ140" i="1"/>
  <c r="BK89" i="1"/>
  <c r="BK94" i="1" s="1"/>
  <c r="BK246" i="1" s="1"/>
  <c r="BK201" i="1"/>
  <c r="BK215" i="1" s="1"/>
  <c r="BK366" i="1"/>
  <c r="BK104" i="1"/>
  <c r="BK202" i="1"/>
  <c r="BU234" i="1" l="1"/>
  <c r="BT140" i="1"/>
  <c r="BP14" i="1"/>
  <c r="BQ11" i="1"/>
  <c r="BP143" i="1"/>
  <c r="BQ143" i="1" s="1"/>
  <c r="BP187" i="1"/>
  <c r="BQ88" i="1"/>
  <c r="BR133" i="1" s="1"/>
  <c r="BP367" i="1"/>
  <c r="BK216" i="1"/>
  <c r="BQ93" i="1"/>
  <c r="BQ190" i="1" s="1"/>
  <c r="BP12" i="1"/>
  <c r="BP227" i="1"/>
  <c r="BQ188" i="1"/>
  <c r="BP131" i="1"/>
  <c r="BQ131" i="1" s="1"/>
  <c r="BP85" i="1"/>
  <c r="BV4" i="1"/>
  <c r="BL146" i="1"/>
  <c r="BL152" i="1" s="1"/>
  <c r="BK152" i="1"/>
  <c r="BK155" i="1" s="1"/>
  <c r="BK157" i="1" s="1"/>
  <c r="BL366" i="1"/>
  <c r="BQ85" i="1"/>
  <c r="BR131" i="1"/>
  <c r="BQ183" i="1"/>
  <c r="BQ227" i="1"/>
  <c r="BL104" i="1"/>
  <c r="BK110" i="1"/>
  <c r="BK120" i="1" s="1"/>
  <c r="BK121" i="1" s="1"/>
  <c r="BK206" i="1"/>
  <c r="BK212" i="1"/>
  <c r="BK213" i="1" s="1"/>
  <c r="BQ17" i="1" l="1"/>
  <c r="BP15" i="1"/>
  <c r="BQ176" i="1"/>
  <c r="BU140" i="1"/>
  <c r="BQ12" i="1"/>
  <c r="BQ14" i="1"/>
  <c r="BQ186" i="1"/>
  <c r="BQ164" i="1"/>
  <c r="BQ367" i="1"/>
  <c r="BQ187" i="1"/>
  <c r="BV361" i="1"/>
  <c r="BV9" i="1"/>
  <c r="BK217" i="1"/>
  <c r="BL217" i="1" s="1"/>
  <c r="BU4" i="1"/>
  <c r="BQ91" i="1"/>
  <c r="BQ189" i="1" s="1"/>
  <c r="BK214" i="1"/>
  <c r="BL214" i="1" s="1"/>
  <c r="BL213" i="1"/>
  <c r="BL223" i="1"/>
  <c r="BK208" i="1"/>
  <c r="BK368" i="1"/>
  <c r="BZ5" i="1" l="1"/>
  <c r="CA8" i="1"/>
  <c r="BQ19" i="1"/>
  <c r="BQ26" i="1"/>
  <c r="BQ15" i="1"/>
  <c r="BZ235" i="1"/>
  <c r="BS367" i="1"/>
  <c r="BV367" i="1"/>
  <c r="BV164" i="1"/>
  <c r="BY140" i="1"/>
  <c r="BV188" i="1"/>
  <c r="BV187" i="1"/>
  <c r="BU187" i="1"/>
  <c r="BU11" i="1"/>
  <c r="BU14" i="1" s="1"/>
  <c r="BU15" i="1" s="1"/>
  <c r="BU361" i="1"/>
  <c r="BU84" i="1"/>
  <c r="BU85" i="1" s="1"/>
  <c r="BZ7" i="1"/>
  <c r="BU93" i="1"/>
  <c r="BV93" i="1" s="1"/>
  <c r="BU9" i="1"/>
  <c r="BU88" i="1"/>
  <c r="BU133" i="1" s="1"/>
  <c r="BV133" i="1" s="1"/>
  <c r="BZ6" i="1"/>
  <c r="BX140" i="1"/>
  <c r="CA187" i="1"/>
  <c r="CA367" i="1"/>
  <c r="BZ234" i="1" l="1"/>
  <c r="CA235" i="1"/>
  <c r="CA4" i="1"/>
  <c r="BQ27" i="1"/>
  <c r="BV26" i="1"/>
  <c r="BQ20" i="1"/>
  <c r="BV19" i="1"/>
  <c r="BQ180" i="1"/>
  <c r="BS143" i="1"/>
  <c r="BW140" i="1"/>
  <c r="BW143" i="1" s="1"/>
  <c r="BS188" i="1"/>
  <c r="BS187" i="1"/>
  <c r="BU12" i="1"/>
  <c r="BT143" i="1"/>
  <c r="BR367" i="1"/>
  <c r="BR143" i="1"/>
  <c r="BT187" i="1"/>
  <c r="BT367" i="1"/>
  <c r="BT188" i="1"/>
  <c r="BV84" i="1"/>
  <c r="BW131" i="1" s="1"/>
  <c r="BV88" i="1"/>
  <c r="BW133" i="1" s="1"/>
  <c r="BV11" i="1"/>
  <c r="BU129" i="1"/>
  <c r="BU227" i="1"/>
  <c r="BU131" i="1"/>
  <c r="BV131" i="1" s="1"/>
  <c r="BU367" i="1"/>
  <c r="BU188" i="1"/>
  <c r="BU143" i="1"/>
  <c r="BX143" i="1"/>
  <c r="BX188" i="1"/>
  <c r="BX187" i="1"/>
  <c r="BX367" i="1"/>
  <c r="BW129" i="1"/>
  <c r="BV190" i="1"/>
  <c r="BY143" i="1"/>
  <c r="BY188" i="1"/>
  <c r="BY187" i="1"/>
  <c r="BY367" i="1"/>
  <c r="CC140" i="1"/>
  <c r="CF187" i="1"/>
  <c r="CD140" i="1"/>
  <c r="CF367" i="1"/>
  <c r="BZ4" i="1" l="1"/>
  <c r="CE5" i="1" s="1"/>
  <c r="CA9" i="1"/>
  <c r="CA361" i="1"/>
  <c r="CF4" i="1"/>
  <c r="CA188" i="1"/>
  <c r="CA164" i="1"/>
  <c r="CA26" i="1"/>
  <c r="CF26" i="1" s="1"/>
  <c r="CK26" i="1" s="1"/>
  <c r="CP26" i="1" s="1"/>
  <c r="CA19" i="1"/>
  <c r="CF19" i="1" s="1"/>
  <c r="CK19" i="1" s="1"/>
  <c r="CP19" i="1" s="1"/>
  <c r="BQ178" i="1"/>
  <c r="BP26" i="1"/>
  <c r="BP180" i="1"/>
  <c r="BP19" i="1"/>
  <c r="BP17" i="1"/>
  <c r="BV176" i="1"/>
  <c r="BW188" i="1"/>
  <c r="CB140" i="1"/>
  <c r="CB188" i="1" s="1"/>
  <c r="BW187" i="1"/>
  <c r="BZ140" i="1"/>
  <c r="BW367" i="1"/>
  <c r="BV143" i="1"/>
  <c r="BV186" i="1"/>
  <c r="BV183" i="1"/>
  <c r="BV85" i="1"/>
  <c r="BV227" i="1"/>
  <c r="BV12" i="1"/>
  <c r="BV14" i="1"/>
  <c r="CC143" i="1"/>
  <c r="CC188" i="1"/>
  <c r="CC187" i="1"/>
  <c r="CC367" i="1"/>
  <c r="CD187" i="1"/>
  <c r="CD143" i="1"/>
  <c r="CD188" i="1"/>
  <c r="CD367" i="1"/>
  <c r="CI140" i="1"/>
  <c r="CH140" i="1"/>
  <c r="CK187" i="1"/>
  <c r="CK367" i="1"/>
  <c r="BT91" i="1"/>
  <c r="BS189" i="1"/>
  <c r="BZ188" i="1" l="1"/>
  <c r="CE6" i="1"/>
  <c r="CE7" i="1"/>
  <c r="BZ88" i="1"/>
  <c r="BZ93" i="1"/>
  <c r="BZ361" i="1"/>
  <c r="BZ11" i="1"/>
  <c r="CE8" i="1"/>
  <c r="CE235" i="1" s="1"/>
  <c r="BZ84" i="1"/>
  <c r="BZ9" i="1"/>
  <c r="CE234" i="1"/>
  <c r="CK4" i="1"/>
  <c r="CF188" i="1"/>
  <c r="CE4" i="1"/>
  <c r="CJ5" i="1" s="1"/>
  <c r="CF9" i="1"/>
  <c r="CF164" i="1"/>
  <c r="CF361" i="1"/>
  <c r="BP192" i="1"/>
  <c r="BU192" i="1" s="1"/>
  <c r="BZ192" i="1" s="1"/>
  <c r="CE192" i="1" s="1"/>
  <c r="CJ192" i="1" s="1"/>
  <c r="CO192" i="1" s="1"/>
  <c r="BP184" i="1"/>
  <c r="BU184" i="1" s="1"/>
  <c r="BZ184" i="1" s="1"/>
  <c r="CE184" i="1" s="1"/>
  <c r="CJ184" i="1" s="1"/>
  <c r="CO184" i="1" s="1"/>
  <c r="BP20" i="1"/>
  <c r="BP27" i="1"/>
  <c r="BV25" i="1"/>
  <c r="BV18" i="1"/>
  <c r="BP178" i="1"/>
  <c r="CE140" i="1"/>
  <c r="CB143" i="1"/>
  <c r="BV15" i="1"/>
  <c r="BZ143" i="1"/>
  <c r="CA143" i="1" s="1"/>
  <c r="BZ187" i="1"/>
  <c r="CB367" i="1"/>
  <c r="CG140" i="1"/>
  <c r="CG187" i="1" s="1"/>
  <c r="CB187" i="1"/>
  <c r="BZ367" i="1"/>
  <c r="CH187" i="1"/>
  <c r="CH143" i="1"/>
  <c r="CH188" i="1"/>
  <c r="CH367" i="1"/>
  <c r="CI188" i="1"/>
  <c r="CI187" i="1"/>
  <c r="CI143" i="1"/>
  <c r="CI367" i="1"/>
  <c r="BU91" i="1"/>
  <c r="BT189" i="1"/>
  <c r="CM140" i="1"/>
  <c r="CP187" i="1"/>
  <c r="CN140" i="1"/>
  <c r="CP367" i="1"/>
  <c r="CE188" i="1" l="1"/>
  <c r="CK361" i="1"/>
  <c r="CK164" i="1"/>
  <c r="CJ4" i="1"/>
  <c r="CO5" i="1" s="1"/>
  <c r="CK9" i="1"/>
  <c r="CK188" i="1"/>
  <c r="CP4" i="1"/>
  <c r="BZ131" i="1"/>
  <c r="CA131" i="1" s="1"/>
  <c r="CA84" i="1"/>
  <c r="BZ227" i="1"/>
  <c r="BZ85" i="1"/>
  <c r="BZ129" i="1"/>
  <c r="CA129" i="1" s="1"/>
  <c r="CA93" i="1"/>
  <c r="CA88" i="1"/>
  <c r="BZ133" i="1"/>
  <c r="CA133" i="1" s="1"/>
  <c r="CJ234" i="1"/>
  <c r="CE11" i="1"/>
  <c r="CE93" i="1"/>
  <c r="CJ7" i="1"/>
  <c r="CE88" i="1"/>
  <c r="CJ6" i="1"/>
  <c r="CJ8" i="1"/>
  <c r="CJ235" i="1" s="1"/>
  <c r="CE361" i="1"/>
  <c r="CE9" i="1"/>
  <c r="CE84" i="1"/>
  <c r="BZ14" i="1"/>
  <c r="BZ15" i="1" s="1"/>
  <c r="BZ12" i="1"/>
  <c r="CA11" i="1"/>
  <c r="BQ99" i="1"/>
  <c r="BP134" i="1"/>
  <c r="BQ134" i="1" s="1"/>
  <c r="BP191" i="1"/>
  <c r="BP228" i="1"/>
  <c r="BU18" i="1"/>
  <c r="BV17" i="1"/>
  <c r="BQ86" i="1"/>
  <c r="BP132" i="1"/>
  <c r="BQ132" i="1" s="1"/>
  <c r="BP226" i="1"/>
  <c r="BP87" i="1"/>
  <c r="BP185" i="1"/>
  <c r="BV180" i="1"/>
  <c r="BU25" i="1"/>
  <c r="CE367" i="1"/>
  <c r="CE143" i="1"/>
  <c r="CF143" i="1" s="1"/>
  <c r="CE187" i="1"/>
  <c r="CG188" i="1"/>
  <c r="CL140" i="1"/>
  <c r="CO140" i="1" s="1"/>
  <c r="CO187" i="1" s="1"/>
  <c r="CJ140" i="1"/>
  <c r="CG367" i="1"/>
  <c r="CG143" i="1"/>
  <c r="CN143" i="1"/>
  <c r="CN188" i="1"/>
  <c r="CN187" i="1"/>
  <c r="CN367" i="1"/>
  <c r="CM188" i="1"/>
  <c r="CM187" i="1"/>
  <c r="CM143" i="1"/>
  <c r="CM367" i="1"/>
  <c r="BV91" i="1"/>
  <c r="BU189" i="1"/>
  <c r="CJ188" i="1" l="1"/>
  <c r="CA14" i="1"/>
  <c r="CA176" i="1"/>
  <c r="CA12" i="1"/>
  <c r="CF88" i="1"/>
  <c r="CE133" i="1"/>
  <c r="CO4" i="1"/>
  <c r="CO188" i="1" s="1"/>
  <c r="CP164" i="1"/>
  <c r="CP188" i="1"/>
  <c r="CP9" i="1"/>
  <c r="CP361" i="1"/>
  <c r="CO8" i="1"/>
  <c r="CO235" i="1" s="1"/>
  <c r="CO234" i="1"/>
  <c r="CJ84" i="1"/>
  <c r="CJ361" i="1"/>
  <c r="CJ11" i="1"/>
  <c r="CJ93" i="1"/>
  <c r="CJ9" i="1"/>
  <c r="CO7" i="1"/>
  <c r="CO6" i="1"/>
  <c r="CJ88" i="1"/>
  <c r="CF93" i="1"/>
  <c r="CE129" i="1"/>
  <c r="CA186" i="1"/>
  <c r="CB133" i="1"/>
  <c r="CE131" i="1"/>
  <c r="CE227" i="1"/>
  <c r="CF84" i="1"/>
  <c r="CE85" i="1"/>
  <c r="CF11" i="1"/>
  <c r="CE12" i="1"/>
  <c r="CE14" i="1"/>
  <c r="CE15" i="1" s="1"/>
  <c r="CB129" i="1"/>
  <c r="CA190" i="1"/>
  <c r="CA183" i="1"/>
  <c r="CA227" i="1"/>
  <c r="CB131" i="1"/>
  <c r="CA85" i="1"/>
  <c r="BP229" i="1"/>
  <c r="CL143" i="1"/>
  <c r="BQ87" i="1"/>
  <c r="BQ184" i="1"/>
  <c r="BQ226" i="1"/>
  <c r="BQ185" i="1"/>
  <c r="BR132" i="1"/>
  <c r="BQ192" i="1"/>
  <c r="BQ228" i="1"/>
  <c r="BQ191" i="1"/>
  <c r="BR134" i="1"/>
  <c r="BU180" i="1"/>
  <c r="BU26" i="1"/>
  <c r="BU27" i="1" s="1"/>
  <c r="BV178" i="1"/>
  <c r="BU19" i="1"/>
  <c r="BU20" i="1" s="1"/>
  <c r="BU17" i="1"/>
  <c r="CL188" i="1"/>
  <c r="CJ143" i="1"/>
  <c r="CK143" i="1" s="1"/>
  <c r="CJ187" i="1"/>
  <c r="CL187" i="1"/>
  <c r="CJ367" i="1"/>
  <c r="CL367" i="1"/>
  <c r="CO143" i="1"/>
  <c r="CO367" i="1"/>
  <c r="BW91" i="1"/>
  <c r="BV189" i="1"/>
  <c r="CF131" i="1" l="1"/>
  <c r="CF14" i="1"/>
  <c r="CF176" i="1"/>
  <c r="CF12" i="1"/>
  <c r="CF190" i="1"/>
  <c r="CG129" i="1"/>
  <c r="CJ85" i="1"/>
  <c r="CJ131" i="1"/>
  <c r="CK84" i="1"/>
  <c r="CJ227" i="1"/>
  <c r="CG133" i="1"/>
  <c r="CF186" i="1"/>
  <c r="CK88" i="1"/>
  <c r="CJ133" i="1"/>
  <c r="CK93" i="1"/>
  <c r="CJ129" i="1"/>
  <c r="CF85" i="1"/>
  <c r="CF183" i="1"/>
  <c r="CF227" i="1"/>
  <c r="CG131" i="1"/>
  <c r="CK131" i="1" s="1"/>
  <c r="CJ14" i="1"/>
  <c r="CJ15" i="1" s="1"/>
  <c r="CJ12" i="1"/>
  <c r="CK11" i="1"/>
  <c r="CO11" i="1"/>
  <c r="CO14" i="1" s="1"/>
  <c r="CO361" i="1"/>
  <c r="CO9" i="1"/>
  <c r="CO93" i="1"/>
  <c r="CO84" i="1"/>
  <c r="CO88" i="1"/>
  <c r="CF129" i="1"/>
  <c r="CF133" i="1"/>
  <c r="CA25" i="1"/>
  <c r="CA15" i="1"/>
  <c r="CA18" i="1"/>
  <c r="CP143" i="1"/>
  <c r="BU99" i="1"/>
  <c r="BU86" i="1"/>
  <c r="BU178" i="1"/>
  <c r="BQ229" i="1"/>
  <c r="BX91" i="1"/>
  <c r="BW189" i="1"/>
  <c r="CO15" i="1" l="1"/>
  <c r="CK129" i="1"/>
  <c r="CK133" i="1"/>
  <c r="BZ18" i="1"/>
  <c r="CA17" i="1"/>
  <c r="CA178" i="1" s="1"/>
  <c r="CO133" i="1"/>
  <c r="CP88" i="1"/>
  <c r="CP186" i="1" s="1"/>
  <c r="CK186" i="1"/>
  <c r="CL133" i="1"/>
  <c r="CK227" i="1"/>
  <c r="CK183" i="1"/>
  <c r="CL131" i="1"/>
  <c r="CK85" i="1"/>
  <c r="CO131" i="1"/>
  <c r="CO85" i="1"/>
  <c r="CO227" i="1"/>
  <c r="CP84" i="1"/>
  <c r="CP11" i="1"/>
  <c r="CO12" i="1"/>
  <c r="BZ25" i="1"/>
  <c r="CA180" i="1"/>
  <c r="CP93" i="1"/>
  <c r="CP190" i="1" s="1"/>
  <c r="CO129" i="1"/>
  <c r="CK176" i="1"/>
  <c r="CK12" i="1"/>
  <c r="CK14" i="1"/>
  <c r="CK190" i="1"/>
  <c r="CL129" i="1"/>
  <c r="CF25" i="1"/>
  <c r="CF18" i="1"/>
  <c r="CF15" i="1"/>
  <c r="BU87" i="1"/>
  <c r="BU132" i="1"/>
  <c r="BV132" i="1" s="1"/>
  <c r="BU185" i="1"/>
  <c r="BV86" i="1"/>
  <c r="BU226" i="1"/>
  <c r="BU191" i="1"/>
  <c r="BU228" i="1"/>
  <c r="BU134" i="1"/>
  <c r="BV134" i="1" s="1"/>
  <c r="BV99" i="1"/>
  <c r="BY91" i="1"/>
  <c r="BX189" i="1"/>
  <c r="CP129" i="1" l="1"/>
  <c r="CE18" i="1"/>
  <c r="CF17" i="1"/>
  <c r="CF178" i="1" s="1"/>
  <c r="CK25" i="1"/>
  <c r="CK18" i="1"/>
  <c r="CK15" i="1"/>
  <c r="CP12" i="1"/>
  <c r="CP176" i="1"/>
  <c r="CP14" i="1"/>
  <c r="CE25" i="1"/>
  <c r="CF180" i="1"/>
  <c r="CP183" i="1"/>
  <c r="CP227" i="1"/>
  <c r="CP85" i="1"/>
  <c r="CP133" i="1"/>
  <c r="BZ180" i="1"/>
  <c r="BZ26" i="1"/>
  <c r="BZ27" i="1" s="1"/>
  <c r="CP131" i="1"/>
  <c r="BZ19" i="1"/>
  <c r="BZ20" i="1" s="1"/>
  <c r="BZ17" i="1"/>
  <c r="BV228" i="1"/>
  <c r="BV192" i="1"/>
  <c r="BV191" i="1"/>
  <c r="BW134" i="1"/>
  <c r="BU229" i="1"/>
  <c r="BW132" i="1"/>
  <c r="BV87" i="1"/>
  <c r="BV185" i="1"/>
  <c r="BV226" i="1"/>
  <c r="BV184" i="1"/>
  <c r="BZ91" i="1"/>
  <c r="BY189" i="1"/>
  <c r="CP18" i="1" l="1"/>
  <c r="CP15" i="1"/>
  <c r="CP25" i="1"/>
  <c r="CJ18" i="1"/>
  <c r="CK17" i="1"/>
  <c r="CK178" i="1" s="1"/>
  <c r="BZ86" i="1"/>
  <c r="BZ178" i="1"/>
  <c r="BZ99" i="1"/>
  <c r="CJ25" i="1"/>
  <c r="CK180" i="1"/>
  <c r="CE26" i="1"/>
  <c r="CE27" i="1" s="1"/>
  <c r="CE180" i="1"/>
  <c r="CE19" i="1"/>
  <c r="CE20" i="1" s="1"/>
  <c r="CE17" i="1"/>
  <c r="BV229" i="1"/>
  <c r="CA91" i="1"/>
  <c r="BZ189" i="1"/>
  <c r="CE99" i="1" l="1"/>
  <c r="CE178" i="1"/>
  <c r="CE86" i="1"/>
  <c r="CA99" i="1"/>
  <c r="BZ228" i="1"/>
  <c r="BZ134" i="1"/>
  <c r="CA134" i="1" s="1"/>
  <c r="BZ191" i="1"/>
  <c r="CJ19" i="1"/>
  <c r="CJ20" i="1" s="1"/>
  <c r="CJ17" i="1"/>
  <c r="CO25" i="1"/>
  <c r="CP180" i="1"/>
  <c r="BZ185" i="1"/>
  <c r="BZ87" i="1"/>
  <c r="BZ226" i="1"/>
  <c r="CA86" i="1"/>
  <c r="BZ132" i="1"/>
  <c r="CA132" i="1" s="1"/>
  <c r="CJ26" i="1"/>
  <c r="CJ27" i="1" s="1"/>
  <c r="CJ180" i="1"/>
  <c r="CP17" i="1"/>
  <c r="CP178" i="1" s="1"/>
  <c r="CO18" i="1"/>
  <c r="CB91" i="1"/>
  <c r="CA189" i="1"/>
  <c r="BZ229" i="1" l="1"/>
  <c r="CO17" i="1"/>
  <c r="CO19" i="1"/>
  <c r="CO20" i="1" s="1"/>
  <c r="CA228" i="1"/>
  <c r="CA191" i="1"/>
  <c r="CB134" i="1"/>
  <c r="CA192" i="1"/>
  <c r="CA185" i="1"/>
  <c r="CA226" i="1"/>
  <c r="CA87" i="1"/>
  <c r="CB132" i="1"/>
  <c r="CA184" i="1"/>
  <c r="CE132" i="1"/>
  <c r="CE226" i="1"/>
  <c r="CE185" i="1"/>
  <c r="CF86" i="1"/>
  <c r="CE87" i="1"/>
  <c r="CO26" i="1"/>
  <c r="CO27" i="1" s="1"/>
  <c r="CO180" i="1"/>
  <c r="CJ86" i="1"/>
  <c r="CJ178" i="1"/>
  <c r="CJ99" i="1"/>
  <c r="CE134" i="1"/>
  <c r="CE191" i="1"/>
  <c r="CE228" i="1"/>
  <c r="CF99" i="1"/>
  <c r="CC91" i="1"/>
  <c r="CB189" i="1"/>
  <c r="CA229" i="1" l="1"/>
  <c r="CJ226" i="1"/>
  <c r="CJ132" i="1"/>
  <c r="CK86" i="1"/>
  <c r="CJ185" i="1"/>
  <c r="CJ87" i="1"/>
  <c r="CF185" i="1"/>
  <c r="CF87" i="1"/>
  <c r="CF184" i="1"/>
  <c r="CF226" i="1"/>
  <c r="CG132" i="1"/>
  <c r="CK132" i="1" s="1"/>
  <c r="CF132" i="1"/>
  <c r="CF228" i="1"/>
  <c r="CG134" i="1"/>
  <c r="CF191" i="1"/>
  <c r="CF192" i="1"/>
  <c r="CJ191" i="1"/>
  <c r="CK99" i="1"/>
  <c r="CJ228" i="1"/>
  <c r="CJ134" i="1"/>
  <c r="CE229" i="1"/>
  <c r="CF134" i="1"/>
  <c r="CO99" i="1"/>
  <c r="CO86" i="1"/>
  <c r="CO178" i="1"/>
  <c r="CD91" i="1"/>
  <c r="CC189" i="1"/>
  <c r="CO132" i="1" l="1"/>
  <c r="CO226" i="1"/>
  <c r="CO87" i="1"/>
  <c r="CO185" i="1"/>
  <c r="CP86" i="1"/>
  <c r="CL132" i="1"/>
  <c r="CK184" i="1"/>
  <c r="CK226" i="1"/>
  <c r="CK87" i="1"/>
  <c r="CK185" i="1"/>
  <c r="CP99" i="1"/>
  <c r="CO228" i="1"/>
  <c r="CO191" i="1"/>
  <c r="CO134" i="1"/>
  <c r="CK191" i="1"/>
  <c r="CK192" i="1"/>
  <c r="CK228" i="1"/>
  <c r="CL134" i="1"/>
  <c r="CP134" i="1" s="1"/>
  <c r="CK134" i="1"/>
  <c r="CF229" i="1"/>
  <c r="CJ229" i="1"/>
  <c r="CE91" i="1"/>
  <c r="CD189" i="1"/>
  <c r="CK229" i="1" l="1"/>
  <c r="CP132" i="1"/>
  <c r="CP228" i="1"/>
  <c r="CP192" i="1"/>
  <c r="CP191" i="1"/>
  <c r="CO229" i="1"/>
  <c r="CP226" i="1"/>
  <c r="CP229" i="1" s="1"/>
  <c r="CP87" i="1"/>
  <c r="CP185" i="1"/>
  <c r="CP184" i="1"/>
  <c r="CF91" i="1"/>
  <c r="CE189" i="1"/>
  <c r="CG91" i="1" l="1"/>
  <c r="CF189" i="1"/>
  <c r="CH91" i="1" l="1"/>
  <c r="CG189" i="1"/>
  <c r="CI91" i="1" l="1"/>
  <c r="CH189" i="1"/>
  <c r="CJ91" i="1" l="1"/>
  <c r="CI189" i="1"/>
  <c r="CK91" i="1" l="1"/>
  <c r="CJ189" i="1"/>
  <c r="CL91" i="1" l="1"/>
  <c r="CK189" i="1"/>
  <c r="CM91" i="1" l="1"/>
  <c r="CL189" i="1"/>
  <c r="CN91" i="1" l="1"/>
  <c r="CM189" i="1"/>
  <c r="CO91" i="1" l="1"/>
  <c r="CN189" i="1"/>
  <c r="CP91" i="1" l="1"/>
  <c r="CO189" i="1"/>
  <c r="CP189" i="1" l="1"/>
  <c r="BL129" i="1"/>
  <c r="BL137" i="1" s="1"/>
  <c r="BK158" i="1"/>
  <c r="BK163" i="1"/>
  <c r="BK165" i="1"/>
  <c r="BL155" i="1" l="1"/>
  <c r="BL157" i="1" s="1"/>
  <c r="BK365" i="1"/>
  <c r="BL163" i="1"/>
  <c r="BL165" i="1" s="1"/>
  <c r="BL169" i="1" s="1"/>
  <c r="BL199" i="1"/>
  <c r="BL365" i="1"/>
  <c r="BQ156" i="1" l="1"/>
  <c r="BM156" i="1"/>
  <c r="BM157" i="1" s="1"/>
  <c r="BM158" i="1" s="1"/>
  <c r="BL166" i="1"/>
  <c r="BL167" i="1" s="1"/>
  <c r="BL197" i="1" l="1"/>
  <c r="BL202" i="1"/>
  <c r="BL212" i="1" s="1"/>
  <c r="BL81" i="1"/>
  <c r="BL89" i="1" s="1"/>
  <c r="BL94" i="1" s="1"/>
  <c r="BL246" i="1" s="1"/>
  <c r="BL110" i="1"/>
  <c r="BL120" i="1" s="1"/>
  <c r="BL195" i="1"/>
  <c r="BM366" i="1"/>
  <c r="BL251" i="1" l="1"/>
  <c r="BL121" i="1"/>
  <c r="BL201" i="1"/>
  <c r="BQ370" i="1"/>
  <c r="BL158" i="1"/>
  <c r="BV195" i="1"/>
  <c r="BL206" i="1" l="1"/>
  <c r="BL215" i="1"/>
  <c r="BL216" i="1" s="1"/>
  <c r="BV109" i="1"/>
  <c r="CA195" i="1"/>
  <c r="BR136" i="1"/>
  <c r="BL210" i="1" l="1"/>
  <c r="BK210" i="1" s="1"/>
  <c r="BL208" i="1"/>
  <c r="BL368" i="1"/>
  <c r="BP136" i="1"/>
  <c r="BP195" i="1"/>
  <c r="BR366" i="1"/>
  <c r="CA109" i="1"/>
  <c r="CF195" i="1"/>
  <c r="BU109" i="1"/>
  <c r="BW136" i="1"/>
  <c r="BW366" i="1" l="1"/>
  <c r="BU136" i="1"/>
  <c r="BV136" i="1" s="1"/>
  <c r="BU195" i="1"/>
  <c r="CF109" i="1"/>
  <c r="CK195" i="1"/>
  <c r="CB136" i="1"/>
  <c r="BZ109" i="1"/>
  <c r="BQ136" i="1"/>
  <c r="BP366" i="1"/>
  <c r="CB366" i="1" l="1"/>
  <c r="BU366" i="1"/>
  <c r="BZ136" i="1"/>
  <c r="BZ195" i="1"/>
  <c r="CK109" i="1"/>
  <c r="CP195" i="1"/>
  <c r="CP109" i="1" s="1"/>
  <c r="CO109" i="1" s="1"/>
  <c r="BQ366" i="1"/>
  <c r="CE109" i="1"/>
  <c r="CG136" i="1"/>
  <c r="CO136" i="1" l="1"/>
  <c r="CO366" i="1" s="1"/>
  <c r="CO195" i="1"/>
  <c r="BV366" i="1"/>
  <c r="CE136" i="1"/>
  <c r="CE195" i="1"/>
  <c r="CJ109" i="1"/>
  <c r="CL136" i="1"/>
  <c r="CG366" i="1"/>
  <c r="BZ366" i="1"/>
  <c r="CA136" i="1"/>
  <c r="CJ136" i="1" l="1"/>
  <c r="CJ195" i="1"/>
  <c r="CE366" i="1"/>
  <c r="CF136" i="1"/>
  <c r="CA366" i="1"/>
  <c r="CP136" i="1"/>
  <c r="CL366" i="1"/>
  <c r="CP366" i="1" l="1"/>
  <c r="CF366" i="1"/>
  <c r="CJ366" i="1"/>
  <c r="CK136" i="1"/>
  <c r="CK366" i="1" l="1"/>
  <c r="BM89" i="1" l="1"/>
  <c r="BM94" i="1" s="1"/>
  <c r="BM246" i="1" s="1"/>
  <c r="BM201" i="1"/>
  <c r="BM215" i="1" s="1"/>
  <c r="BM163" i="1" l="1"/>
  <c r="BM165" i="1" s="1"/>
  <c r="BM118" i="1" l="1"/>
  <c r="BM207" i="1" l="1"/>
  <c r="BM104" i="1" l="1"/>
  <c r="BM202" i="1"/>
  <c r="BM110" i="1" l="1"/>
  <c r="BM120" i="1" s="1"/>
  <c r="BM121" i="1" s="1"/>
  <c r="BM206" i="1"/>
  <c r="BM212" i="1"/>
  <c r="BM213" i="1" l="1"/>
  <c r="BM214" i="1" s="1"/>
  <c r="BM210" i="1"/>
  <c r="BM208" i="1"/>
  <c r="BM368" i="1"/>
  <c r="BN156" i="1" l="1"/>
  <c r="BN89" i="1" l="1"/>
  <c r="BN201" i="1"/>
  <c r="BN215" i="1" s="1"/>
  <c r="BN94" i="1" l="1"/>
  <c r="BN246" i="1" l="1"/>
  <c r="BN104" i="1"/>
  <c r="BN110" i="1" s="1"/>
  <c r="BN202" i="1"/>
  <c r="BN206" i="1" s="1"/>
  <c r="BN210" i="1" s="1"/>
  <c r="BN120" i="1" l="1"/>
  <c r="BN368" i="1"/>
  <c r="BN152" i="1"/>
  <c r="BN212" i="1"/>
  <c r="BN213" i="1" l="1"/>
  <c r="BN214" i="1" s="1"/>
  <c r="BN207" i="1"/>
  <c r="BN208" i="1" s="1"/>
  <c r="BN155" i="1"/>
  <c r="BN163" i="1"/>
  <c r="BN165" i="1" s="1"/>
  <c r="BN121" i="1" l="1"/>
  <c r="BN157" i="1"/>
  <c r="BO156" i="1" s="1"/>
  <c r="BN158" i="1" l="1"/>
  <c r="BP179" i="1" l="1"/>
  <c r="BP23" i="1"/>
  <c r="BP29" i="1"/>
  <c r="BP24" i="1" l="1"/>
  <c r="BP31" i="1"/>
  <c r="BP34" i="1"/>
  <c r="BP30" i="1"/>
  <c r="BP32" i="1" l="1"/>
  <c r="BP35" i="1"/>
  <c r="BP362" i="1"/>
  <c r="BP40" i="1"/>
  <c r="BP36" i="1"/>
  <c r="BP209" i="1"/>
  <c r="BP364" i="1" s="1"/>
  <c r="BP37" i="1" l="1"/>
  <c r="BP41" i="1"/>
  <c r="BQ40" i="1"/>
  <c r="BQ41" i="1" s="1"/>
  <c r="BS29" i="1" l="1"/>
  <c r="BS34" i="1" s="1"/>
  <c r="BR29" i="1"/>
  <c r="BR34" i="1" s="1"/>
  <c r="BS179" i="1"/>
  <c r="BT22" i="1"/>
  <c r="BT179" i="1" s="1"/>
  <c r="BS31" i="1" l="1"/>
  <c r="BS35" i="1"/>
  <c r="BS30" i="1"/>
  <c r="BR40" i="1"/>
  <c r="BR30" i="1"/>
  <c r="BR31" i="1"/>
  <c r="BS362" i="1"/>
  <c r="BR362" i="1"/>
  <c r="BT29" i="1"/>
  <c r="BT30" i="1" s="1"/>
  <c r="BT32" i="1" s="1"/>
  <c r="BS36" i="1"/>
  <c r="BS40" i="1"/>
  <c r="BS209" i="1"/>
  <c r="BS364" i="1" s="1"/>
  <c r="BR35" i="1"/>
  <c r="BR36" i="1"/>
  <c r="BR209" i="1"/>
  <c r="BR364" i="1" s="1"/>
  <c r="BS32" i="1" l="1"/>
  <c r="BS41" i="1"/>
  <c r="BS37" i="1"/>
  <c r="BR37" i="1"/>
  <c r="BR41" i="1"/>
  <c r="BR32" i="1"/>
  <c r="BT34" i="1"/>
  <c r="BT220" i="1" s="1"/>
  <c r="BT31" i="1"/>
  <c r="BT40" i="1" l="1"/>
  <c r="BT41" i="1" s="1"/>
  <c r="BT209" i="1"/>
  <c r="BT364" i="1" s="1"/>
  <c r="BT362" i="1"/>
  <c r="BT35" i="1"/>
  <c r="BT37" i="1" s="1"/>
  <c r="BT36" i="1"/>
  <c r="BW22" i="1" l="1"/>
  <c r="BW29" i="1" s="1"/>
  <c r="BW30" i="1" l="1"/>
  <c r="BW32" i="1" s="1"/>
  <c r="BW31" i="1"/>
  <c r="BW34" i="1"/>
  <c r="BW179" i="1"/>
  <c r="BX22" i="1"/>
  <c r="BX179" i="1" s="1"/>
  <c r="BY22" i="1"/>
  <c r="BY29" i="1" s="1"/>
  <c r="BW35" i="1" l="1"/>
  <c r="BW37" i="1" s="1"/>
  <c r="BW40" i="1"/>
  <c r="BW41" i="1" s="1"/>
  <c r="BW209" i="1"/>
  <c r="BW36" i="1"/>
  <c r="BW362" i="1"/>
  <c r="BX29" i="1"/>
  <c r="BY179" i="1"/>
  <c r="BY31" i="1"/>
  <c r="BY34" i="1"/>
  <c r="BY30" i="1"/>
  <c r="BY32" i="1" s="1"/>
  <c r="BW364" i="1" l="1"/>
  <c r="BX31" i="1"/>
  <c r="BX34" i="1"/>
  <c r="BX30" i="1"/>
  <c r="BX32" i="1" s="1"/>
  <c r="BY35" i="1"/>
  <c r="BY37" i="1" s="1"/>
  <c r="BY40" i="1"/>
  <c r="BY36" i="1"/>
  <c r="BY209" i="1"/>
  <c r="BY362" i="1"/>
  <c r="BY364" i="1" l="1"/>
  <c r="BX36" i="1"/>
  <c r="BX40" i="1"/>
  <c r="BX41" i="1" s="1"/>
  <c r="BX362" i="1"/>
  <c r="BX35" i="1"/>
  <c r="BX37" i="1" s="1"/>
  <c r="BX209" i="1"/>
  <c r="BY41" i="1"/>
  <c r="BX364" i="1" l="1"/>
  <c r="CB22" i="1"/>
  <c r="CB29" i="1" s="1"/>
  <c r="CB31" i="1" s="1"/>
  <c r="CB179" i="1" l="1"/>
  <c r="CB34" i="1"/>
  <c r="CB30" i="1"/>
  <c r="CB32" i="1" s="1"/>
  <c r="CC22" i="1"/>
  <c r="CC29" i="1" s="1"/>
  <c r="CC31" i="1" l="1"/>
  <c r="CC34" i="1"/>
  <c r="CC30" i="1"/>
  <c r="CC32" i="1" s="1"/>
  <c r="CC179" i="1"/>
  <c r="CB40" i="1"/>
  <c r="CB41" i="1" s="1"/>
  <c r="CB362" i="1"/>
  <c r="CB35" i="1"/>
  <c r="CB37" i="1" s="1"/>
  <c r="CB209" i="1"/>
  <c r="CB364" i="1" s="1"/>
  <c r="CB36" i="1"/>
  <c r="CC36" i="1" l="1"/>
  <c r="CC209" i="1"/>
  <c r="CC364" i="1" s="1"/>
  <c r="CC40" i="1"/>
  <c r="CC41" i="1" s="1"/>
  <c r="CC35" i="1"/>
  <c r="CC37" i="1" s="1"/>
  <c r="CC362" i="1"/>
  <c r="CG22" i="1" l="1"/>
  <c r="CG179" i="1" s="1"/>
  <c r="CH22" i="1"/>
  <c r="CH29" i="1" s="1"/>
  <c r="CH30" i="1" s="1"/>
  <c r="CH32" i="1" s="1"/>
  <c r="CG29" i="1" l="1"/>
  <c r="CG30" i="1" s="1"/>
  <c r="CG32" i="1" s="1"/>
  <c r="CH179" i="1"/>
  <c r="CH34" i="1"/>
  <c r="CH35" i="1" s="1"/>
  <c r="CH37" i="1" s="1"/>
  <c r="CH31" i="1"/>
  <c r="CG34" i="1" l="1"/>
  <c r="CG35" i="1" s="1"/>
  <c r="CG37" i="1" s="1"/>
  <c r="CH36" i="1"/>
  <c r="CH40" i="1"/>
  <c r="CH41" i="1" s="1"/>
  <c r="CG31" i="1"/>
  <c r="CH209" i="1"/>
  <c r="CH364" i="1" s="1"/>
  <c r="CH362" i="1"/>
  <c r="CG40" i="1" l="1"/>
  <c r="CG41" i="1" s="1"/>
  <c r="CG209" i="1"/>
  <c r="CG364" i="1" s="1"/>
  <c r="CG362" i="1"/>
  <c r="CG36" i="1"/>
  <c r="CL22" i="1" l="1"/>
  <c r="CL179" i="1" s="1"/>
  <c r="CL29" i="1" l="1"/>
  <c r="CL30" i="1" s="1"/>
  <c r="CL32" i="1" s="1"/>
  <c r="CL31" i="1" l="1"/>
  <c r="CL34" i="1"/>
  <c r="CL35" i="1" s="1"/>
  <c r="CL37" i="1" s="1"/>
  <c r="CM22" i="1"/>
  <c r="CM29" i="1" s="1"/>
  <c r="CL36" i="1" l="1"/>
  <c r="CL362" i="1"/>
  <c r="CL209" i="1"/>
  <c r="CL364" i="1" s="1"/>
  <c r="CL40" i="1"/>
  <c r="CL41" i="1" s="1"/>
  <c r="CM179" i="1"/>
  <c r="CM30" i="1"/>
  <c r="CM32" i="1" s="1"/>
  <c r="CM31" i="1"/>
  <c r="CM34" i="1"/>
  <c r="CM40" i="1" l="1"/>
  <c r="CM35" i="1"/>
  <c r="CM37" i="1" s="1"/>
  <c r="CM36" i="1"/>
  <c r="CM209" i="1"/>
  <c r="CM364" i="1" s="1"/>
  <c r="CM362" i="1"/>
  <c r="CM41" i="1" l="1"/>
  <c r="BM216" i="1" l="1"/>
  <c r="BM217" i="1" s="1"/>
  <c r="BM45" i="1"/>
  <c r="BM48" i="1" l="1"/>
  <c r="BM50" i="1"/>
  <c r="BM181" i="1" l="1"/>
  <c r="BM65" i="1"/>
  <c r="BM67" i="1" s="1"/>
  <c r="BM124" i="1"/>
  <c r="BM129" i="1" s="1"/>
  <c r="BM52" i="1"/>
  <c r="BM53" i="1" l="1"/>
  <c r="BM365" i="1"/>
  <c r="BN45" i="1"/>
  <c r="BN216" i="1"/>
  <c r="BN50" i="1" l="1"/>
  <c r="BN217" i="1"/>
  <c r="BN48" i="1"/>
  <c r="BN65" i="1"/>
  <c r="BN67" i="1" s="1"/>
  <c r="BN124" i="1" l="1"/>
  <c r="BN52" i="1"/>
  <c r="BN129" i="1"/>
  <c r="BN53" i="1"/>
  <c r="BN181" i="1"/>
  <c r="BN365" i="1" l="1"/>
  <c r="BO45" i="1" l="1"/>
  <c r="BO48" i="1" s="1"/>
  <c r="BO128" i="1"/>
  <c r="BO50" i="1" l="1"/>
  <c r="BO52" i="1" s="1"/>
  <c r="BO181" i="1"/>
  <c r="BO221" i="1"/>
  <c r="BO222" i="1" s="1"/>
  <c r="BQ116" i="1"/>
  <c r="BO163" i="1"/>
  <c r="BO165" i="1" s="1"/>
  <c r="BO124" i="1" l="1"/>
  <c r="BO129" i="1" s="1"/>
  <c r="BO365" i="1" s="1"/>
  <c r="BO65" i="1"/>
  <c r="BO67" i="1" s="1"/>
  <c r="BO53" i="1"/>
  <c r="BO118" i="1"/>
  <c r="BO207" i="1" s="1"/>
  <c r="BQ82" i="1" l="1"/>
  <c r="BO89" i="1"/>
  <c r="BO94" i="1" s="1"/>
  <c r="BO246" i="1" s="1"/>
  <c r="BP182" i="1"/>
  <c r="BO201" i="1"/>
  <c r="BO215" i="1" s="1"/>
  <c r="BO216" i="1" s="1"/>
  <c r="BO217" i="1" s="1"/>
  <c r="BQ182" i="1" l="1"/>
  <c r="BO104" i="1"/>
  <c r="BO110" i="1" s="1"/>
  <c r="BO120" i="1" s="1"/>
  <c r="BO121" i="1" s="1"/>
  <c r="BO202" i="1"/>
  <c r="BO206" i="1" l="1"/>
  <c r="BO212" i="1"/>
  <c r="BO152" i="1"/>
  <c r="BO155" i="1" s="1"/>
  <c r="BO213" i="1" l="1"/>
  <c r="BO214" i="1" s="1"/>
  <c r="BO157" i="1"/>
  <c r="BS182" i="1"/>
  <c r="BO208" i="1"/>
  <c r="BO210" i="1"/>
  <c r="BO223" i="1"/>
  <c r="BO368" i="1"/>
  <c r="BO158" i="1" l="1"/>
  <c r="BP156" i="1"/>
  <c r="BQ154" i="1" l="1"/>
  <c r="BP45" i="1" l="1"/>
  <c r="BQ45" i="1" s="1"/>
  <c r="BQ48" i="1" s="1"/>
  <c r="BP48" i="1" l="1"/>
  <c r="BQ221" i="1"/>
  <c r="BQ181" i="1"/>
  <c r="BQ249" i="1"/>
  <c r="BV221" i="1" l="1"/>
  <c r="BV181" i="1"/>
  <c r="BV249" i="1"/>
  <c r="CF48" i="1" l="1"/>
  <c r="CA249" i="1"/>
  <c r="CA221" i="1"/>
  <c r="CA181" i="1"/>
  <c r="BW48" i="1"/>
  <c r="BP50" i="1"/>
  <c r="BW181" i="1" l="1"/>
  <c r="BX48" i="1"/>
  <c r="CK48" i="1"/>
  <c r="CB48" i="1"/>
  <c r="CF181" i="1"/>
  <c r="CF221" i="1"/>
  <c r="BQ107" i="1"/>
  <c r="BP128" i="1"/>
  <c r="BQ50" i="1"/>
  <c r="BP52" i="1"/>
  <c r="BP65" i="1"/>
  <c r="BP67" i="1" s="1"/>
  <c r="BQ117" i="1"/>
  <c r="BS117" i="1" s="1"/>
  <c r="BT117" i="1" s="1"/>
  <c r="BU117" i="1" s="1"/>
  <c r="BV117" i="1" s="1"/>
  <c r="BW117" i="1" s="1"/>
  <c r="BX117" i="1" s="1"/>
  <c r="BY117" i="1" s="1"/>
  <c r="BZ117" i="1" s="1"/>
  <c r="CA117" i="1" s="1"/>
  <c r="CB117" i="1" s="1"/>
  <c r="CC117" i="1" s="1"/>
  <c r="CD117" i="1" s="1"/>
  <c r="CE117" i="1" s="1"/>
  <c r="CF117" i="1" s="1"/>
  <c r="CG117" i="1" s="1"/>
  <c r="CH117" i="1" s="1"/>
  <c r="CI117" i="1" s="1"/>
  <c r="CJ117" i="1" s="1"/>
  <c r="CK117" i="1" s="1"/>
  <c r="CL117" i="1" s="1"/>
  <c r="CM117" i="1" s="1"/>
  <c r="CN117" i="1" s="1"/>
  <c r="CO117" i="1" s="1"/>
  <c r="CP117" i="1" s="1"/>
  <c r="BP124" i="1"/>
  <c r="BP181" i="1"/>
  <c r="BP163" i="1" l="1"/>
  <c r="BP165" i="1" s="1"/>
  <c r="BP129" i="1"/>
  <c r="BQ129" i="1" s="1"/>
  <c r="CB181" i="1"/>
  <c r="CC48" i="1"/>
  <c r="CK181" i="1"/>
  <c r="CG48" i="1"/>
  <c r="CP48" i="1"/>
  <c r="CK221" i="1"/>
  <c r="BY48" i="1"/>
  <c r="BX181" i="1"/>
  <c r="BQ115" i="1"/>
  <c r="BP118" i="1"/>
  <c r="BQ193" i="1"/>
  <c r="BP53" i="1"/>
  <c r="BQ65" i="1"/>
  <c r="BQ67" i="1" s="1"/>
  <c r="BQ52" i="1"/>
  <c r="BQ124" i="1"/>
  <c r="BQ128" i="1"/>
  <c r="BP365" i="1" l="1"/>
  <c r="CP221" i="1"/>
  <c r="CP181" i="1"/>
  <c r="CL48" i="1"/>
  <c r="BY181" i="1"/>
  <c r="BY221" i="1"/>
  <c r="CG181" i="1"/>
  <c r="CH48" i="1"/>
  <c r="CD48" i="1"/>
  <c r="CC181" i="1"/>
  <c r="BQ137" i="1"/>
  <c r="BQ163" i="1" s="1"/>
  <c r="BQ165" i="1" s="1"/>
  <c r="BQ166" i="1" s="1"/>
  <c r="BQ167" i="1" s="1"/>
  <c r="BQ53" i="1"/>
  <c r="BP89" i="1"/>
  <c r="BP94" i="1" s="1"/>
  <c r="BP246" i="1" s="1"/>
  <c r="BP201" i="1"/>
  <c r="BP215" i="1" s="1"/>
  <c r="BQ365" i="1"/>
  <c r="BQ199" i="1"/>
  <c r="BP207" i="1"/>
  <c r="BQ89" i="1"/>
  <c r="BQ94" i="1" s="1"/>
  <c r="BQ246" i="1" s="1"/>
  <c r="BQ201" i="1"/>
  <c r="BQ215" i="1" s="1"/>
  <c r="BV370" i="1"/>
  <c r="BQ118" i="1"/>
  <c r="BP216" i="1" l="1"/>
  <c r="BP217" i="1" s="1"/>
  <c r="BQ217" i="1" s="1"/>
  <c r="BQ216" i="1"/>
  <c r="CM48" i="1"/>
  <c r="CL181" i="1"/>
  <c r="CD221" i="1"/>
  <c r="CD181" i="1"/>
  <c r="CI48" i="1"/>
  <c r="CH181" i="1"/>
  <c r="BQ169" i="1"/>
  <c r="BQ207" i="1"/>
  <c r="BQ97" i="1"/>
  <c r="BP104" i="1"/>
  <c r="BP202" i="1"/>
  <c r="CI181" i="1" l="1"/>
  <c r="CI221" i="1"/>
  <c r="CM181" i="1"/>
  <c r="CN48" i="1"/>
  <c r="BQ202" i="1"/>
  <c r="BQ197" i="1"/>
  <c r="BP212" i="1"/>
  <c r="BP213" i="1" s="1"/>
  <c r="BP206" i="1"/>
  <c r="BQ146" i="1"/>
  <c r="BQ152" i="1" s="1"/>
  <c r="BP152" i="1"/>
  <c r="BP155" i="1" s="1"/>
  <c r="BQ104" i="1"/>
  <c r="BQ110" i="1" s="1"/>
  <c r="BQ120" i="1" s="1"/>
  <c r="BQ121" i="1" s="1"/>
  <c r="BP110" i="1"/>
  <c r="BP120" i="1" s="1"/>
  <c r="BP121" i="1" s="1"/>
  <c r="CN181" i="1" l="1"/>
  <c r="CN221" i="1"/>
  <c r="BP208" i="1"/>
  <c r="BP368" i="1"/>
  <c r="BQ213" i="1"/>
  <c r="BP214" i="1"/>
  <c r="BQ214" i="1" s="1"/>
  <c r="BP157" i="1"/>
  <c r="BQ155" i="1"/>
  <c r="BQ157" i="1" s="1"/>
  <c r="BQ206" i="1"/>
  <c r="BQ212" i="1"/>
  <c r="BP158" i="1" l="1"/>
  <c r="BR156" i="1"/>
  <c r="BV156" i="1"/>
  <c r="BQ158" i="1"/>
  <c r="BQ368" i="1"/>
  <c r="BQ208" i="1"/>
  <c r="BQ23" i="1"/>
  <c r="BV23" i="1" s="1"/>
  <c r="BQ29" i="1"/>
  <c r="BQ179" i="1"/>
  <c r="BQ24" i="1" l="1"/>
  <c r="BQ31" i="1"/>
  <c r="BQ34" i="1"/>
  <c r="BQ30" i="1"/>
  <c r="BV22" i="1"/>
  <c r="CA23" i="1"/>
  <c r="BQ35" i="1" l="1"/>
  <c r="BQ36" i="1"/>
  <c r="BQ220" i="1"/>
  <c r="BQ222" i="1" s="1"/>
  <c r="BQ223" i="1" s="1"/>
  <c r="BQ362" i="1"/>
  <c r="BQ248" i="1"/>
  <c r="BQ250" i="1" s="1"/>
  <c r="BQ251" i="1" s="1"/>
  <c r="BQ209" i="1"/>
  <c r="BQ32" i="1"/>
  <c r="CA22" i="1"/>
  <c r="CF23" i="1"/>
  <c r="BU22" i="1"/>
  <c r="BV29" i="1"/>
  <c r="BV179" i="1"/>
  <c r="BQ37" i="1" l="1"/>
  <c r="BQ210" i="1"/>
  <c r="BP210" i="1" s="1"/>
  <c r="BQ364" i="1"/>
  <c r="BU23" i="1"/>
  <c r="BU24" i="1" s="1"/>
  <c r="BU29" i="1"/>
  <c r="BU179" i="1"/>
  <c r="BZ22" i="1"/>
  <c r="CA29" i="1"/>
  <c r="CA179" i="1"/>
  <c r="CF22" i="1"/>
  <c r="CK23" i="1"/>
  <c r="BV30" i="1"/>
  <c r="BV31" i="1"/>
  <c r="BV34" i="1"/>
  <c r="BV35" i="1" l="1"/>
  <c r="BV36" i="1"/>
  <c r="BV248" i="1"/>
  <c r="BV250" i="1" s="1"/>
  <c r="BV362" i="1"/>
  <c r="BV220" i="1"/>
  <c r="BV222" i="1" s="1"/>
  <c r="BV209" i="1"/>
  <c r="BV364" i="1" s="1"/>
  <c r="CP23" i="1"/>
  <c r="CP22" i="1" s="1"/>
  <c r="CK22" i="1"/>
  <c r="BZ23" i="1"/>
  <c r="BZ24" i="1" s="1"/>
  <c r="BZ29" i="1"/>
  <c r="BZ179" i="1"/>
  <c r="BV32" i="1"/>
  <c r="CF29" i="1"/>
  <c r="CF179" i="1"/>
  <c r="CA31" i="1"/>
  <c r="CA34" i="1"/>
  <c r="CA30" i="1"/>
  <c r="CA32" i="1" s="1"/>
  <c r="BU31" i="1"/>
  <c r="BU34" i="1"/>
  <c r="BU30" i="1"/>
  <c r="BU32" i="1" s="1"/>
  <c r="CP29" i="1" l="1"/>
  <c r="CP179" i="1"/>
  <c r="CA36" i="1"/>
  <c r="CA35" i="1"/>
  <c r="CA37" i="1" s="1"/>
  <c r="CA209" i="1"/>
  <c r="CA364" i="1" s="1"/>
  <c r="CA248" i="1"/>
  <c r="CA250" i="1" s="1"/>
  <c r="CA362" i="1"/>
  <c r="CA220" i="1"/>
  <c r="CA222" i="1" s="1"/>
  <c r="BZ30" i="1"/>
  <c r="BZ32" i="1" s="1"/>
  <c r="BZ31" i="1"/>
  <c r="BZ34" i="1"/>
  <c r="BV37" i="1"/>
  <c r="CK29" i="1"/>
  <c r="CK179" i="1"/>
  <c r="CF30" i="1"/>
  <c r="CF32" i="1" s="1"/>
  <c r="CF31" i="1"/>
  <c r="CF34" i="1"/>
  <c r="BU40" i="1"/>
  <c r="BU36" i="1"/>
  <c r="BU35" i="1"/>
  <c r="BU37" i="1" s="1"/>
  <c r="BU209" i="1"/>
  <c r="BY220" i="1"/>
  <c r="BY222" i="1" s="1"/>
  <c r="BU362" i="1"/>
  <c r="CF35" i="1" l="1"/>
  <c r="CF37" i="1" s="1"/>
  <c r="CF36" i="1"/>
  <c r="CF209" i="1"/>
  <c r="CF364" i="1" s="1"/>
  <c r="CF220" i="1"/>
  <c r="CF222" i="1" s="1"/>
  <c r="CF362" i="1"/>
  <c r="CK30" i="1"/>
  <c r="CK32" i="1" s="1"/>
  <c r="CK31" i="1"/>
  <c r="CK34" i="1"/>
  <c r="CP31" i="1"/>
  <c r="CP34" i="1"/>
  <c r="CP30" i="1"/>
  <c r="BV40" i="1"/>
  <c r="BU41" i="1"/>
  <c r="BZ35" i="1"/>
  <c r="BZ37" i="1" s="1"/>
  <c r="BZ40" i="1"/>
  <c r="BZ36" i="1"/>
  <c r="BZ209" i="1"/>
  <c r="BZ362" i="1"/>
  <c r="BU364" i="1"/>
  <c r="BZ364" i="1" l="1"/>
  <c r="CP32" i="1"/>
  <c r="BV41" i="1"/>
  <c r="CA40" i="1"/>
  <c r="CA41" i="1" s="1"/>
  <c r="BZ41" i="1"/>
  <c r="CK35" i="1"/>
  <c r="CK37" i="1" s="1"/>
  <c r="CK36" i="1"/>
  <c r="CK362" i="1"/>
  <c r="CK209" i="1"/>
  <c r="CK364" i="1" s="1"/>
  <c r="CK220" i="1"/>
  <c r="CK222" i="1" s="1"/>
  <c r="CP36" i="1"/>
  <c r="CP35" i="1"/>
  <c r="CP220" i="1"/>
  <c r="CP222" i="1" s="1"/>
  <c r="CP209" i="1"/>
  <c r="CP364" i="1" s="1"/>
  <c r="CP362" i="1"/>
  <c r="CP37" i="1" l="1"/>
  <c r="CD22" i="1" l="1"/>
  <c r="CD179" i="1" s="1"/>
  <c r="CI23" i="1"/>
  <c r="CI22" i="1" s="1"/>
  <c r="CI179" i="1" s="1"/>
  <c r="CJ22" i="1" l="1"/>
  <c r="CI29" i="1"/>
  <c r="CD29" i="1"/>
  <c r="CE22" i="1"/>
  <c r="CN23" i="1"/>
  <c r="CN22" i="1" s="1"/>
  <c r="CE23" i="1" l="1"/>
  <c r="CE24" i="1" s="1"/>
  <c r="CE29" i="1"/>
  <c r="CE179" i="1"/>
  <c r="CI30" i="1"/>
  <c r="CI31" i="1"/>
  <c r="CI34" i="1"/>
  <c r="CD31" i="1"/>
  <c r="CD34" i="1"/>
  <c r="CD30" i="1"/>
  <c r="CD32" i="1" s="1"/>
  <c r="CN29" i="1"/>
  <c r="CO22" i="1"/>
  <c r="CN179" i="1"/>
  <c r="CJ29" i="1"/>
  <c r="CJ23" i="1"/>
  <c r="CJ179" i="1"/>
  <c r="CI32" i="1" l="1"/>
  <c r="CJ24" i="1"/>
  <c r="CD36" i="1"/>
  <c r="CD40" i="1"/>
  <c r="CD35" i="1"/>
  <c r="CD37" i="1" s="1"/>
  <c r="CD209" i="1"/>
  <c r="CD362" i="1"/>
  <c r="CD220" i="1"/>
  <c r="CD222" i="1" s="1"/>
  <c r="CO23" i="1"/>
  <c r="CO24" i="1" s="1"/>
  <c r="CO29" i="1"/>
  <c r="CO179" i="1"/>
  <c r="CN31" i="1"/>
  <c r="CN34" i="1"/>
  <c r="CN30" i="1"/>
  <c r="CN32" i="1" s="1"/>
  <c r="CI35" i="1"/>
  <c r="CI40" i="1"/>
  <c r="CI36" i="1"/>
  <c r="CI209" i="1"/>
  <c r="CI364" i="1" s="1"/>
  <c r="CI362" i="1"/>
  <c r="CE31" i="1"/>
  <c r="CE34" i="1"/>
  <c r="CE30" i="1"/>
  <c r="CE32" i="1" s="1"/>
  <c r="CJ30" i="1"/>
  <c r="CJ31" i="1"/>
  <c r="CJ34" i="1"/>
  <c r="CD364" i="1" l="1"/>
  <c r="CI37" i="1"/>
  <c r="CJ32" i="1"/>
  <c r="CI41" i="1"/>
  <c r="CN36" i="1"/>
  <c r="CN35" i="1"/>
  <c r="CN37" i="1" s="1"/>
  <c r="CN209" i="1"/>
  <c r="CN364" i="1" s="1"/>
  <c r="CN362" i="1"/>
  <c r="CN40" i="1"/>
  <c r="CD41" i="1"/>
  <c r="CJ40" i="1"/>
  <c r="CJ41" i="1" s="1"/>
  <c r="CJ35" i="1"/>
  <c r="CJ36" i="1"/>
  <c r="CJ209" i="1"/>
  <c r="CJ364" i="1" s="1"/>
  <c r="CN220" i="1"/>
  <c r="CN222" i="1" s="1"/>
  <c r="CJ362" i="1"/>
  <c r="CE36" i="1"/>
  <c r="CE40" i="1"/>
  <c r="CE41" i="1" s="1"/>
  <c r="CE35" i="1"/>
  <c r="CE37" i="1" s="1"/>
  <c r="CI220" i="1"/>
  <c r="CI222" i="1" s="1"/>
  <c r="CE209" i="1"/>
  <c r="CE364" i="1" s="1"/>
  <c r="CE362" i="1"/>
  <c r="CO31" i="1"/>
  <c r="CO34" i="1"/>
  <c r="CO30" i="1"/>
  <c r="CO32" i="1" s="1"/>
  <c r="CJ37" i="1" l="1"/>
  <c r="CF40" i="1"/>
  <c r="CF41" i="1" s="1"/>
  <c r="CN41" i="1"/>
  <c r="CO36" i="1"/>
  <c r="CO35" i="1"/>
  <c r="CO37" i="1" s="1"/>
  <c r="CO40" i="1"/>
  <c r="CO41" i="1" s="1"/>
  <c r="CO209" i="1"/>
  <c r="CO364" i="1" s="1"/>
  <c r="CO362" i="1"/>
  <c r="CK40" i="1"/>
  <c r="CK41" i="1" s="1"/>
  <c r="CP40" i="1" l="1"/>
  <c r="CP41" i="1" s="1"/>
  <c r="BR45" i="1" l="1"/>
  <c r="BR48" i="1" s="1"/>
  <c r="BR50" i="1" l="1"/>
  <c r="BR124" i="1" s="1"/>
  <c r="BR129" i="1" s="1"/>
  <c r="BR365" i="1" s="1"/>
  <c r="BR181" i="1"/>
  <c r="BR163" i="1"/>
  <c r="BR165" i="1" s="1"/>
  <c r="BR65" i="1" l="1"/>
  <c r="BR67" i="1" s="1"/>
  <c r="BR52" i="1"/>
  <c r="BR89" i="1"/>
  <c r="BR94" i="1" s="1"/>
  <c r="BR246" i="1" s="1"/>
  <c r="BR201" i="1"/>
  <c r="BR215" i="1" s="1"/>
  <c r="BR216" i="1" s="1"/>
  <c r="BR53" i="1"/>
  <c r="BR118" i="1" l="1"/>
  <c r="BR207" i="1" s="1"/>
  <c r="BR217" i="1"/>
  <c r="BT181" i="1"/>
  <c r="BT221" i="1"/>
  <c r="BT222" i="1" s="1"/>
  <c r="BR104" i="1"/>
  <c r="BR110" i="1" s="1"/>
  <c r="BR202" i="1"/>
  <c r="BR212" i="1" s="1"/>
  <c r="BR213" i="1" s="1"/>
  <c r="BR120" i="1" l="1"/>
  <c r="BR121" i="1" s="1"/>
  <c r="BR214" i="1"/>
  <c r="BR152" i="1"/>
  <c r="BR155" i="1" s="1"/>
  <c r="BR206" i="1"/>
  <c r="BR208" i="1" l="1"/>
  <c r="BR210" i="1"/>
  <c r="BR368" i="1"/>
  <c r="BR157" i="1"/>
  <c r="BS156" i="1" l="1"/>
  <c r="BR158" i="1"/>
  <c r="BV154" i="1"/>
  <c r="BS45" i="1" l="1"/>
  <c r="BS48" i="1" s="1"/>
  <c r="BS128" i="1"/>
  <c r="BS163" i="1" s="1"/>
  <c r="BS165" i="1" s="1"/>
  <c r="BS181" i="1" l="1"/>
  <c r="BS50" i="1"/>
  <c r="BS65" i="1" s="1"/>
  <c r="BS67" i="1" s="1"/>
  <c r="BS52" i="1" l="1"/>
  <c r="BS115" i="1"/>
  <c r="BS116" i="1" s="1"/>
  <c r="BT116" i="1" s="1"/>
  <c r="BU116" i="1" s="1"/>
  <c r="BV116" i="1" s="1"/>
  <c r="BW116" i="1" s="1"/>
  <c r="BX116" i="1" s="1"/>
  <c r="BY116" i="1" s="1"/>
  <c r="BZ116" i="1" s="1"/>
  <c r="CA116" i="1" s="1"/>
  <c r="CB116" i="1" s="1"/>
  <c r="CC116" i="1" s="1"/>
  <c r="CD116" i="1" s="1"/>
  <c r="CE116" i="1" s="1"/>
  <c r="CF116" i="1" s="1"/>
  <c r="CG116" i="1" s="1"/>
  <c r="CH116" i="1" s="1"/>
  <c r="CI116" i="1" s="1"/>
  <c r="CJ116" i="1" s="1"/>
  <c r="CK116" i="1" s="1"/>
  <c r="CL116" i="1" s="1"/>
  <c r="CM116" i="1" s="1"/>
  <c r="CN116" i="1" s="1"/>
  <c r="CO116" i="1" s="1"/>
  <c r="CP116" i="1" s="1"/>
  <c r="BS124" i="1"/>
  <c r="BS129" i="1" s="1"/>
  <c r="BS89" i="1"/>
  <c r="BS94" i="1" s="1"/>
  <c r="BS246" i="1" s="1"/>
  <c r="BS201" i="1"/>
  <c r="BS215" i="1" s="1"/>
  <c r="BS216" i="1" s="1"/>
  <c r="BS104" i="1"/>
  <c r="BS110" i="1" s="1"/>
  <c r="BS202" i="1"/>
  <c r="BS212" i="1" s="1"/>
  <c r="BS213" i="1" s="1"/>
  <c r="BS214" i="1" l="1"/>
  <c r="BT213" i="1"/>
  <c r="BU213" i="1" s="1"/>
  <c r="BW213" i="1" s="1"/>
  <c r="BX213" i="1" s="1"/>
  <c r="BY213" i="1" s="1"/>
  <c r="BZ213" i="1" s="1"/>
  <c r="CB213" i="1" s="1"/>
  <c r="CC213" i="1" s="1"/>
  <c r="CD213" i="1" s="1"/>
  <c r="CE213" i="1" s="1"/>
  <c r="CG213" i="1" s="1"/>
  <c r="CH213" i="1" s="1"/>
  <c r="CI213" i="1" s="1"/>
  <c r="CJ213" i="1" s="1"/>
  <c r="CL213" i="1" s="1"/>
  <c r="CM213" i="1" s="1"/>
  <c r="CN213" i="1" s="1"/>
  <c r="CO213" i="1" s="1"/>
  <c r="BS217" i="1"/>
  <c r="BT216" i="1"/>
  <c r="BU216" i="1" s="1"/>
  <c r="BW216" i="1" s="1"/>
  <c r="BX216" i="1" s="1"/>
  <c r="BY216" i="1" s="1"/>
  <c r="BZ216" i="1" s="1"/>
  <c r="CB216" i="1" s="1"/>
  <c r="CC216" i="1" s="1"/>
  <c r="CD216" i="1" s="1"/>
  <c r="CE216" i="1" s="1"/>
  <c r="CG216" i="1" s="1"/>
  <c r="CH216" i="1" s="1"/>
  <c r="CI216" i="1" s="1"/>
  <c r="CJ216" i="1" s="1"/>
  <c r="CL216" i="1" s="1"/>
  <c r="CM216" i="1" s="1"/>
  <c r="CN216" i="1" s="1"/>
  <c r="CO216" i="1" s="1"/>
  <c r="BS118" i="1"/>
  <c r="BS207" i="1" s="1"/>
  <c r="BS53" i="1"/>
  <c r="BV129" i="1"/>
  <c r="BS365" i="1"/>
  <c r="BS120" i="1"/>
  <c r="BS121" i="1" s="1"/>
  <c r="BS206" i="1"/>
  <c r="BS152" i="1"/>
  <c r="BS155" i="1" s="1"/>
  <c r="BS157" i="1" l="1"/>
  <c r="BS368" i="1"/>
  <c r="BS208" i="1"/>
  <c r="BS210" i="1"/>
  <c r="BS158" i="1" l="1"/>
  <c r="BT156" i="1"/>
  <c r="BU82" i="1" l="1"/>
  <c r="BU182" i="1" s="1"/>
  <c r="BT182" i="1"/>
  <c r="BV82" i="1" l="1"/>
  <c r="BW82" i="1" l="1"/>
  <c r="BV182" i="1"/>
  <c r="BX82" i="1" l="1"/>
  <c r="BW182" i="1"/>
  <c r="BX182" i="1" l="1"/>
  <c r="BY82" i="1"/>
  <c r="BZ82" i="1" l="1"/>
  <c r="BY182" i="1"/>
  <c r="CA82" i="1" l="1"/>
  <c r="BZ182" i="1"/>
  <c r="CB82" i="1" l="1"/>
  <c r="CA182" i="1"/>
  <c r="CB182" i="1" l="1"/>
  <c r="CC82" i="1"/>
  <c r="CD82" i="1" l="1"/>
  <c r="CC182" i="1"/>
  <c r="CE82" i="1" l="1"/>
  <c r="CD182" i="1"/>
  <c r="CF82" i="1" l="1"/>
  <c r="CE182" i="1"/>
  <c r="CF182" i="1" l="1"/>
  <c r="CG82" i="1"/>
  <c r="CH82" i="1" l="1"/>
  <c r="CG182" i="1"/>
  <c r="CI82" i="1" l="1"/>
  <c r="CH182" i="1"/>
  <c r="CJ82" i="1" l="1"/>
  <c r="CI182" i="1"/>
  <c r="CJ182" i="1" l="1"/>
  <c r="CK82" i="1"/>
  <c r="CL82" i="1" l="1"/>
  <c r="CK182" i="1"/>
  <c r="CM82" i="1" l="1"/>
  <c r="CL182" i="1"/>
  <c r="CN82" i="1" l="1"/>
  <c r="CM182" i="1"/>
  <c r="CN182" i="1" l="1"/>
  <c r="CO82" i="1"/>
  <c r="CP82" i="1" l="1"/>
  <c r="CO182" i="1"/>
  <c r="CP182" i="1" l="1"/>
  <c r="AB43" i="1" l="1"/>
  <c r="AC43" i="1"/>
  <c r="AG43" i="1"/>
  <c r="AH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AB44" i="1"/>
  <c r="AC44" i="1"/>
  <c r="AG44" i="1"/>
  <c r="AH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AB45" i="1"/>
  <c r="AC45" i="1"/>
  <c r="AG45" i="1"/>
  <c r="AH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AG47" i="1"/>
  <c r="AH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AB48" i="1"/>
  <c r="AC48" i="1"/>
  <c r="AH48" i="1"/>
  <c r="BU48" i="1"/>
  <c r="BZ48" i="1"/>
  <c r="CE48" i="1"/>
  <c r="CJ48" i="1"/>
  <c r="CO48" i="1"/>
  <c r="AB50" i="1"/>
  <c r="AC50" i="1"/>
  <c r="AG50" i="1"/>
  <c r="AH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AB52" i="1"/>
  <c r="AC52" i="1"/>
  <c r="AG52" i="1"/>
  <c r="AH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AB53" i="1"/>
  <c r="AC53" i="1"/>
  <c r="AG53" i="1"/>
  <c r="AH53" i="1"/>
  <c r="AL53" i="1"/>
  <c r="AM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AB64" i="1"/>
  <c r="AC64" i="1"/>
  <c r="AG64" i="1"/>
  <c r="AH64" i="1"/>
  <c r="AG65" i="1"/>
  <c r="AH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AB66" i="1"/>
  <c r="AC66" i="1"/>
  <c r="AG66" i="1"/>
  <c r="AH66" i="1"/>
  <c r="AG67" i="1"/>
  <c r="AH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CN110" i="1"/>
  <c r="CO110" i="1"/>
  <c r="CP110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CG115" i="1"/>
  <c r="CH115" i="1"/>
  <c r="CI115" i="1"/>
  <c r="CJ115" i="1"/>
  <c r="CK115" i="1"/>
  <c r="CL115" i="1"/>
  <c r="CM115" i="1"/>
  <c r="CN115" i="1"/>
  <c r="CO115" i="1"/>
  <c r="CP115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CG118" i="1"/>
  <c r="CH118" i="1"/>
  <c r="CI118" i="1"/>
  <c r="CJ118" i="1"/>
  <c r="CK118" i="1"/>
  <c r="CL118" i="1"/>
  <c r="CM118" i="1"/>
  <c r="CN118" i="1"/>
  <c r="CO118" i="1"/>
  <c r="CP118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CG120" i="1"/>
  <c r="CH120" i="1"/>
  <c r="CI120" i="1"/>
  <c r="CJ120" i="1"/>
  <c r="CK120" i="1"/>
  <c r="CL120" i="1"/>
  <c r="CM120" i="1"/>
  <c r="CN120" i="1"/>
  <c r="CO120" i="1"/>
  <c r="CP120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CG121" i="1"/>
  <c r="CH121" i="1"/>
  <c r="CI121" i="1"/>
  <c r="CJ121" i="1"/>
  <c r="CK121" i="1"/>
  <c r="CL121" i="1"/>
  <c r="CM121" i="1"/>
  <c r="CN121" i="1"/>
  <c r="CO121" i="1"/>
  <c r="CP121" i="1"/>
  <c r="AB124" i="1"/>
  <c r="AC124" i="1"/>
  <c r="AG124" i="1"/>
  <c r="AH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CG124" i="1"/>
  <c r="CH124" i="1"/>
  <c r="CI124" i="1"/>
  <c r="CJ124" i="1"/>
  <c r="CK124" i="1"/>
  <c r="CL124" i="1"/>
  <c r="CM124" i="1"/>
  <c r="CN124" i="1"/>
  <c r="CO124" i="1"/>
  <c r="CP124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CG128" i="1"/>
  <c r="CH128" i="1"/>
  <c r="CI128" i="1"/>
  <c r="CJ128" i="1"/>
  <c r="CK128" i="1"/>
  <c r="CL128" i="1"/>
  <c r="CM128" i="1"/>
  <c r="CN128" i="1"/>
  <c r="CO128" i="1"/>
  <c r="CP128" i="1"/>
  <c r="AB129" i="1"/>
  <c r="AC129" i="1"/>
  <c r="AG129" i="1"/>
  <c r="AH129" i="1"/>
  <c r="AC137" i="1"/>
  <c r="AH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CG137" i="1"/>
  <c r="CH137" i="1"/>
  <c r="CI137" i="1"/>
  <c r="CJ137" i="1"/>
  <c r="CK137" i="1"/>
  <c r="CL137" i="1"/>
  <c r="CM137" i="1"/>
  <c r="CN137" i="1"/>
  <c r="CO137" i="1"/>
  <c r="CP137" i="1"/>
  <c r="BT146" i="1"/>
  <c r="BU146" i="1"/>
  <c r="BV146" i="1"/>
  <c r="BW146" i="1"/>
  <c r="BX146" i="1"/>
  <c r="BY146" i="1"/>
  <c r="BZ146" i="1"/>
  <c r="CA146" i="1"/>
  <c r="CB146" i="1"/>
  <c r="CC146" i="1"/>
  <c r="CD146" i="1"/>
  <c r="CE146" i="1"/>
  <c r="CF146" i="1"/>
  <c r="CG146" i="1"/>
  <c r="CH146" i="1"/>
  <c r="CI146" i="1"/>
  <c r="CJ146" i="1"/>
  <c r="CK146" i="1"/>
  <c r="CL146" i="1"/>
  <c r="CM146" i="1"/>
  <c r="CN146" i="1"/>
  <c r="CO146" i="1"/>
  <c r="CP146" i="1"/>
  <c r="BT152" i="1"/>
  <c r="BU152" i="1"/>
  <c r="BV152" i="1"/>
  <c r="BW152" i="1"/>
  <c r="BX152" i="1"/>
  <c r="BY152" i="1"/>
  <c r="BZ152" i="1"/>
  <c r="CA152" i="1"/>
  <c r="CB152" i="1"/>
  <c r="CC152" i="1"/>
  <c r="CD152" i="1"/>
  <c r="CE152" i="1"/>
  <c r="CF152" i="1"/>
  <c r="CG152" i="1"/>
  <c r="CH152" i="1"/>
  <c r="CI152" i="1"/>
  <c r="CJ152" i="1"/>
  <c r="CK152" i="1"/>
  <c r="CL152" i="1"/>
  <c r="CM152" i="1"/>
  <c r="CN152" i="1"/>
  <c r="CO152" i="1"/>
  <c r="CP152" i="1"/>
  <c r="BT155" i="1"/>
  <c r="BU155" i="1"/>
  <c r="BV155" i="1"/>
  <c r="BW155" i="1"/>
  <c r="BX155" i="1"/>
  <c r="BY155" i="1"/>
  <c r="BZ155" i="1"/>
  <c r="CA155" i="1"/>
  <c r="CB155" i="1"/>
  <c r="CC155" i="1"/>
  <c r="CD155" i="1"/>
  <c r="CE155" i="1"/>
  <c r="CF155" i="1"/>
  <c r="CG155" i="1"/>
  <c r="CH155" i="1"/>
  <c r="CI155" i="1"/>
  <c r="CJ155" i="1"/>
  <c r="CK155" i="1"/>
  <c r="CL155" i="1"/>
  <c r="CM155" i="1"/>
  <c r="CN155" i="1"/>
  <c r="CO155" i="1"/>
  <c r="CP155" i="1"/>
  <c r="BU156" i="1"/>
  <c r="BW156" i="1"/>
  <c r="BX156" i="1"/>
  <c r="BY156" i="1"/>
  <c r="BZ156" i="1"/>
  <c r="CA156" i="1"/>
  <c r="CB156" i="1"/>
  <c r="CC156" i="1"/>
  <c r="CD156" i="1"/>
  <c r="CE156" i="1"/>
  <c r="CF156" i="1"/>
  <c r="CG156" i="1"/>
  <c r="CH156" i="1"/>
  <c r="CI156" i="1"/>
  <c r="CJ156" i="1"/>
  <c r="CK156" i="1"/>
  <c r="CL156" i="1"/>
  <c r="CM156" i="1"/>
  <c r="CN156" i="1"/>
  <c r="CO156" i="1"/>
  <c r="CP156" i="1"/>
  <c r="BT157" i="1"/>
  <c r="BU157" i="1"/>
  <c r="BV157" i="1"/>
  <c r="BW157" i="1"/>
  <c r="BX157" i="1"/>
  <c r="BY157" i="1"/>
  <c r="BZ157" i="1"/>
  <c r="CA157" i="1"/>
  <c r="CB157" i="1"/>
  <c r="CC157" i="1"/>
  <c r="CD157" i="1"/>
  <c r="CE157" i="1"/>
  <c r="CF157" i="1"/>
  <c r="CG157" i="1"/>
  <c r="CH157" i="1"/>
  <c r="CI157" i="1"/>
  <c r="CJ157" i="1"/>
  <c r="CK157" i="1"/>
  <c r="CL157" i="1"/>
  <c r="CM157" i="1"/>
  <c r="CN157" i="1"/>
  <c r="CO157" i="1"/>
  <c r="CP157" i="1"/>
  <c r="BT158" i="1"/>
  <c r="BU158" i="1"/>
  <c r="BV158" i="1"/>
  <c r="BW158" i="1"/>
  <c r="BX158" i="1"/>
  <c r="BY158" i="1"/>
  <c r="BZ158" i="1"/>
  <c r="CA158" i="1"/>
  <c r="CB158" i="1"/>
  <c r="CC158" i="1"/>
  <c r="CD158" i="1"/>
  <c r="CE158" i="1"/>
  <c r="CF158" i="1"/>
  <c r="CG158" i="1"/>
  <c r="CH158" i="1"/>
  <c r="CI158" i="1"/>
  <c r="CJ158" i="1"/>
  <c r="CK158" i="1"/>
  <c r="CL158" i="1"/>
  <c r="CM158" i="1"/>
  <c r="CN158" i="1"/>
  <c r="CO158" i="1"/>
  <c r="CP158" i="1"/>
  <c r="AC163" i="1"/>
  <c r="AH163" i="1"/>
  <c r="BT163" i="1"/>
  <c r="BU163" i="1"/>
  <c r="BV163" i="1"/>
  <c r="BW163" i="1"/>
  <c r="BX163" i="1"/>
  <c r="BY163" i="1"/>
  <c r="BZ163" i="1"/>
  <c r="CA163" i="1"/>
  <c r="CB163" i="1"/>
  <c r="CC163" i="1"/>
  <c r="CD163" i="1"/>
  <c r="CE163" i="1"/>
  <c r="CF163" i="1"/>
  <c r="CG163" i="1"/>
  <c r="CH163" i="1"/>
  <c r="CI163" i="1"/>
  <c r="CJ163" i="1"/>
  <c r="CK163" i="1"/>
  <c r="CL163" i="1"/>
  <c r="CM163" i="1"/>
  <c r="CN163" i="1"/>
  <c r="CO163" i="1"/>
  <c r="CP163" i="1"/>
  <c r="AC165" i="1"/>
  <c r="AH165" i="1"/>
  <c r="BT165" i="1"/>
  <c r="BU165" i="1"/>
  <c r="BV165" i="1"/>
  <c r="BW165" i="1"/>
  <c r="BX165" i="1"/>
  <c r="BY165" i="1"/>
  <c r="BZ165" i="1"/>
  <c r="CA165" i="1"/>
  <c r="CB165" i="1"/>
  <c r="CC165" i="1"/>
  <c r="CD165" i="1"/>
  <c r="CE165" i="1"/>
  <c r="CF165" i="1"/>
  <c r="CG165" i="1"/>
  <c r="CH165" i="1"/>
  <c r="CI165" i="1"/>
  <c r="CJ165" i="1"/>
  <c r="CK165" i="1"/>
  <c r="CL165" i="1"/>
  <c r="CM165" i="1"/>
  <c r="CN165" i="1"/>
  <c r="CO165" i="1"/>
  <c r="CP165" i="1"/>
  <c r="AC166" i="1"/>
  <c r="AH166" i="1"/>
  <c r="BV166" i="1"/>
  <c r="CA166" i="1"/>
  <c r="CF166" i="1"/>
  <c r="CK166" i="1"/>
  <c r="CP166" i="1"/>
  <c r="AC167" i="1"/>
  <c r="AH167" i="1"/>
  <c r="AM167" i="1"/>
  <c r="BV167" i="1"/>
  <c r="CA167" i="1"/>
  <c r="CF167" i="1"/>
  <c r="CK167" i="1"/>
  <c r="CP167" i="1"/>
  <c r="AC169" i="1"/>
  <c r="AH169" i="1"/>
  <c r="BV169" i="1"/>
  <c r="CA169" i="1"/>
  <c r="CF169" i="1"/>
  <c r="CK169" i="1"/>
  <c r="CP169" i="1"/>
  <c r="AB181" i="1"/>
  <c r="AC181" i="1"/>
  <c r="AH181" i="1"/>
  <c r="BU181" i="1"/>
  <c r="BZ181" i="1"/>
  <c r="CE181" i="1"/>
  <c r="CJ181" i="1"/>
  <c r="CO181" i="1"/>
  <c r="AG193" i="1"/>
  <c r="AH193" i="1"/>
  <c r="BV193" i="1"/>
  <c r="CA193" i="1"/>
  <c r="CF193" i="1"/>
  <c r="CK193" i="1"/>
  <c r="CP193" i="1"/>
  <c r="AC197" i="1"/>
  <c r="AH197" i="1"/>
  <c r="BV197" i="1"/>
  <c r="CA197" i="1"/>
  <c r="CF197" i="1"/>
  <c r="CK197" i="1"/>
  <c r="CP197" i="1"/>
  <c r="AC199" i="1"/>
  <c r="AH199" i="1"/>
  <c r="BV199" i="1"/>
  <c r="CA199" i="1"/>
  <c r="CF199" i="1"/>
  <c r="CK199" i="1"/>
  <c r="CP199" i="1"/>
  <c r="BT201" i="1"/>
  <c r="BU201" i="1"/>
  <c r="BV201" i="1"/>
  <c r="BW201" i="1"/>
  <c r="BX201" i="1"/>
  <c r="BY201" i="1"/>
  <c r="BZ201" i="1"/>
  <c r="CA201" i="1"/>
  <c r="CB201" i="1"/>
  <c r="CC201" i="1"/>
  <c r="CD201" i="1"/>
  <c r="CE201" i="1"/>
  <c r="CF201" i="1"/>
  <c r="CG201" i="1"/>
  <c r="CH201" i="1"/>
  <c r="CI201" i="1"/>
  <c r="CJ201" i="1"/>
  <c r="CK201" i="1"/>
  <c r="CL201" i="1"/>
  <c r="CM201" i="1"/>
  <c r="CN201" i="1"/>
  <c r="CO201" i="1"/>
  <c r="CP201" i="1"/>
  <c r="BT202" i="1"/>
  <c r="BU202" i="1"/>
  <c r="BV202" i="1"/>
  <c r="BW202" i="1"/>
  <c r="BX202" i="1"/>
  <c r="BY202" i="1"/>
  <c r="BZ202" i="1"/>
  <c r="CA202" i="1"/>
  <c r="CB202" i="1"/>
  <c r="CC202" i="1"/>
  <c r="CD202" i="1"/>
  <c r="CE202" i="1"/>
  <c r="CF202" i="1"/>
  <c r="CG202" i="1"/>
  <c r="CH202" i="1"/>
  <c r="CI202" i="1"/>
  <c r="CJ202" i="1"/>
  <c r="CK202" i="1"/>
  <c r="CL202" i="1"/>
  <c r="CM202" i="1"/>
  <c r="CN202" i="1"/>
  <c r="CO202" i="1"/>
  <c r="CP202" i="1"/>
  <c r="BT206" i="1"/>
  <c r="BU206" i="1"/>
  <c r="BV206" i="1"/>
  <c r="BW206" i="1"/>
  <c r="BX206" i="1"/>
  <c r="BY206" i="1"/>
  <c r="BZ206" i="1"/>
  <c r="CA206" i="1"/>
  <c r="CB206" i="1"/>
  <c r="CC206" i="1"/>
  <c r="CD206" i="1"/>
  <c r="CE206" i="1"/>
  <c r="CF206" i="1"/>
  <c r="CG206" i="1"/>
  <c r="CH206" i="1"/>
  <c r="CI206" i="1"/>
  <c r="CJ206" i="1"/>
  <c r="CK206" i="1"/>
  <c r="CL206" i="1"/>
  <c r="CM206" i="1"/>
  <c r="CN206" i="1"/>
  <c r="CO206" i="1"/>
  <c r="CP206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CG207" i="1"/>
  <c r="CH207" i="1"/>
  <c r="CI207" i="1"/>
  <c r="CJ207" i="1"/>
  <c r="CK207" i="1"/>
  <c r="CL207" i="1"/>
  <c r="CM207" i="1"/>
  <c r="CN207" i="1"/>
  <c r="CO207" i="1"/>
  <c r="CP207" i="1"/>
  <c r="BT208" i="1"/>
  <c r="BU208" i="1"/>
  <c r="BV208" i="1"/>
  <c r="BW208" i="1"/>
  <c r="BX208" i="1"/>
  <c r="BY208" i="1"/>
  <c r="BZ208" i="1"/>
  <c r="CA208" i="1"/>
  <c r="CB208" i="1"/>
  <c r="CC208" i="1"/>
  <c r="CD208" i="1"/>
  <c r="CE208" i="1"/>
  <c r="CF208" i="1"/>
  <c r="CG208" i="1"/>
  <c r="CH208" i="1"/>
  <c r="CI208" i="1"/>
  <c r="CJ208" i="1"/>
  <c r="CK208" i="1"/>
  <c r="CL208" i="1"/>
  <c r="CM208" i="1"/>
  <c r="CN208" i="1"/>
  <c r="CO208" i="1"/>
  <c r="CP208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CG210" i="1"/>
  <c r="CH210" i="1"/>
  <c r="CI210" i="1"/>
  <c r="CJ210" i="1"/>
  <c r="CK210" i="1"/>
  <c r="CL210" i="1"/>
  <c r="CM210" i="1"/>
  <c r="CN210" i="1"/>
  <c r="CO210" i="1"/>
  <c r="CP210" i="1"/>
  <c r="BT212" i="1"/>
  <c r="BU212" i="1"/>
  <c r="BV212" i="1"/>
  <c r="BW212" i="1"/>
  <c r="BX212" i="1"/>
  <c r="BY212" i="1"/>
  <c r="BZ212" i="1"/>
  <c r="CA212" i="1"/>
  <c r="CB212" i="1"/>
  <c r="CC212" i="1"/>
  <c r="CD212" i="1"/>
  <c r="CE212" i="1"/>
  <c r="CF212" i="1"/>
  <c r="CG212" i="1"/>
  <c r="CH212" i="1"/>
  <c r="CI212" i="1"/>
  <c r="CJ212" i="1"/>
  <c r="CK212" i="1"/>
  <c r="CL212" i="1"/>
  <c r="CM212" i="1"/>
  <c r="CN212" i="1"/>
  <c r="CO212" i="1"/>
  <c r="CP212" i="1"/>
  <c r="AB213" i="1"/>
  <c r="AC213" i="1"/>
  <c r="AG213" i="1"/>
  <c r="AH213" i="1"/>
  <c r="BV213" i="1"/>
  <c r="CA213" i="1"/>
  <c r="CF213" i="1"/>
  <c r="CK213" i="1"/>
  <c r="CP213" i="1"/>
  <c r="AB214" i="1"/>
  <c r="AC214" i="1"/>
  <c r="AG214" i="1"/>
  <c r="AH214" i="1"/>
  <c r="BT214" i="1"/>
  <c r="BU214" i="1"/>
  <c r="BV214" i="1"/>
  <c r="BW214" i="1"/>
  <c r="BX214" i="1"/>
  <c r="BY214" i="1"/>
  <c r="BZ214" i="1"/>
  <c r="CA214" i="1"/>
  <c r="CB214" i="1"/>
  <c r="CC214" i="1"/>
  <c r="CD214" i="1"/>
  <c r="CE214" i="1"/>
  <c r="CF214" i="1"/>
  <c r="CG214" i="1"/>
  <c r="CH214" i="1"/>
  <c r="CI214" i="1"/>
  <c r="CJ214" i="1"/>
  <c r="CK214" i="1"/>
  <c r="CL214" i="1"/>
  <c r="CM214" i="1"/>
  <c r="CN214" i="1"/>
  <c r="CO214" i="1"/>
  <c r="CP214" i="1"/>
  <c r="BT215" i="1"/>
  <c r="BU215" i="1"/>
  <c r="BV215" i="1"/>
  <c r="BW215" i="1"/>
  <c r="BX215" i="1"/>
  <c r="BY215" i="1"/>
  <c r="BZ215" i="1"/>
  <c r="CA215" i="1"/>
  <c r="CB215" i="1"/>
  <c r="CC215" i="1"/>
  <c r="CD215" i="1"/>
  <c r="CE215" i="1"/>
  <c r="CF215" i="1"/>
  <c r="CG215" i="1"/>
  <c r="CH215" i="1"/>
  <c r="CI215" i="1"/>
  <c r="CJ215" i="1"/>
  <c r="CK215" i="1"/>
  <c r="CL215" i="1"/>
  <c r="CM215" i="1"/>
  <c r="CN215" i="1"/>
  <c r="CO215" i="1"/>
  <c r="CP215" i="1"/>
  <c r="AB216" i="1"/>
  <c r="AC216" i="1"/>
  <c r="AG216" i="1"/>
  <c r="AH216" i="1"/>
  <c r="BV216" i="1"/>
  <c r="CA216" i="1"/>
  <c r="CF216" i="1"/>
  <c r="CK216" i="1"/>
  <c r="CP216" i="1"/>
  <c r="AB217" i="1"/>
  <c r="AC217" i="1"/>
  <c r="AG217" i="1"/>
  <c r="AH217" i="1"/>
  <c r="BT217" i="1"/>
  <c r="BU217" i="1"/>
  <c r="BV217" i="1"/>
  <c r="BW217" i="1"/>
  <c r="BX217" i="1"/>
  <c r="BY217" i="1"/>
  <c r="BZ217" i="1"/>
  <c r="CA217" i="1"/>
  <c r="CB217" i="1"/>
  <c r="CC217" i="1"/>
  <c r="CD217" i="1"/>
  <c r="CE217" i="1"/>
  <c r="CF217" i="1"/>
  <c r="CG217" i="1"/>
  <c r="CH217" i="1"/>
  <c r="CI217" i="1"/>
  <c r="CJ217" i="1"/>
  <c r="CK217" i="1"/>
  <c r="CL217" i="1"/>
  <c r="CM217" i="1"/>
  <c r="CN217" i="1"/>
  <c r="CO217" i="1"/>
  <c r="CP217" i="1"/>
  <c r="AC221" i="1"/>
  <c r="AH221" i="1"/>
  <c r="AC222" i="1"/>
  <c r="AH222" i="1"/>
  <c r="AC223" i="1"/>
  <c r="AH223" i="1"/>
  <c r="BT223" i="1"/>
  <c r="BV223" i="1"/>
  <c r="BY223" i="1"/>
  <c r="CA223" i="1"/>
  <c r="CD223" i="1"/>
  <c r="CF223" i="1"/>
  <c r="CI223" i="1"/>
  <c r="CK223" i="1"/>
  <c r="CN223" i="1"/>
  <c r="CP223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CK246" i="1"/>
  <c r="AH249" i="1"/>
  <c r="AH250" i="1"/>
  <c r="AH251" i="1"/>
  <c r="BV251" i="1"/>
  <c r="CA251" i="1"/>
  <c r="AC365" i="1"/>
  <c r="AG365" i="1"/>
  <c r="AH365" i="1"/>
  <c r="BT365" i="1"/>
  <c r="BU365" i="1"/>
  <c r="BV365" i="1"/>
  <c r="BW365" i="1"/>
  <c r="BX365" i="1"/>
  <c r="BY365" i="1"/>
  <c r="BZ365" i="1"/>
  <c r="CA365" i="1"/>
  <c r="CB365" i="1"/>
  <c r="CC365" i="1"/>
  <c r="CD365" i="1"/>
  <c r="CE365" i="1"/>
  <c r="CF365" i="1"/>
  <c r="CG365" i="1"/>
  <c r="CH365" i="1"/>
  <c r="CI365" i="1"/>
  <c r="CJ365" i="1"/>
  <c r="CK365" i="1"/>
  <c r="CL365" i="1"/>
  <c r="CM365" i="1"/>
  <c r="CN365" i="1"/>
  <c r="CO365" i="1"/>
  <c r="CP365" i="1"/>
  <c r="BT368" i="1"/>
  <c r="BU368" i="1"/>
  <c r="BV368" i="1"/>
  <c r="BW368" i="1"/>
  <c r="BX368" i="1"/>
  <c r="BY368" i="1"/>
  <c r="BZ368" i="1"/>
  <c r="CA368" i="1"/>
  <c r="CB368" i="1"/>
  <c r="CC368" i="1"/>
  <c r="CD368" i="1"/>
  <c r="CE368" i="1"/>
  <c r="CF368" i="1"/>
  <c r="CG368" i="1"/>
  <c r="CH368" i="1"/>
  <c r="CI368" i="1"/>
  <c r="CJ368" i="1"/>
  <c r="CK368" i="1"/>
  <c r="CL368" i="1"/>
  <c r="CM368" i="1"/>
  <c r="CN368" i="1"/>
  <c r="CO368" i="1"/>
  <c r="CP368" i="1"/>
  <c r="CA370" i="1"/>
  <c r="CF370" i="1"/>
  <c r="CK370" i="1"/>
  <c r="CP370" i="1"/>
</calcChain>
</file>

<file path=xl/comments1.xml><?xml version="1.0" encoding="utf-8"?>
<comments xmlns="http://schemas.openxmlformats.org/spreadsheetml/2006/main">
  <authors>
    <author>ayalavin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䎾乷_x0011_单〱剙偞偟䥒䕃〨착_x0018_＀＀_x0018_＀＀_x0008_＀＀_x0001_＀＀_x0001_＀＀㭤俟鞍䀀깰乞_x0010_䙂幂彐剐䍉⡅低⥗_x0018_＀＀_x0018_＀＀_x0008_＀＀_x0001_＀＀_x0001_＀＀＀＀＀＀䁑䎾乷_x0010_晢幢䝆䵟呋噟䱁䕕_x0018_＀＀_x0018_＀＀_x0008_＀＀_x0001_＀＀_x0001_＀＀ㄧ갈홼䃃䎽乷_x0010_晢幢彐剐䍉⡅低⥗_x0018_＀＀_x0018_＀＀_x0008_＀＀_x0001_＀＀_x0001_＀＀슏⣵齜䁑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128</t>
        </r>
      </text>
    </comment>
  </commentList>
</comments>
</file>

<file path=xl/comments2.xml><?xml version="1.0" encoding="utf-8"?>
<comments xmlns="http://schemas.openxmlformats.org/spreadsheetml/2006/main">
  <authors>
    <author>grunke</author>
    <author>cruzv</author>
    <author>doctobob</author>
    <author>Fitzgerald, Kyle (Research)</author>
    <author>Falorni, Filippo (Research)</author>
    <author>Doctor, Bob (Research)</author>
    <author>R014549</author>
    <author>Ruma Mukerji</author>
    <author>Daniel Suh</author>
    <author>linalis</author>
    <author>RMukerji</author>
    <author>Rotondi, Scott (Research)</author>
    <author>vmitchel</author>
    <author>Scott H. Shapiro</author>
  </authors>
  <commentList>
    <comment ref="AS5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price/mix of 1% </t>
        </r>
      </text>
    </comment>
    <comment ref="AT5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more than 3 pts from price/mix</t>
        </r>
      </text>
    </comment>
    <comment ref="AY5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Global price/mix contributed ~3% in 1H</t>
        </r>
      </text>
    </comment>
    <comment ref="BC5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tough Q1 comps; limited price increases this year in US</t>
        </r>
      </text>
    </comment>
    <comment ref="BE5" authorId="3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Don't expect slowdown from 7% for balance of year</t>
        </r>
      </text>
    </comment>
    <comment ref="BP5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F3Q17 (call): "Similar to Q3" </t>
        </r>
      </text>
    </comment>
    <comment ref="BQ5" authorId="5">
      <text>
        <r>
          <rPr>
            <sz val="9"/>
            <color indexed="81"/>
            <rFont val="Tahoma"/>
            <family val="2"/>
          </rPr>
          <t xml:space="preserve">G at F3Q17: 3-4%
G at F2Q17: 4-5%
G at F1Q17: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F4Q16: 4-6%</t>
        </r>
      </text>
    </comment>
    <comment ref="BV5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F2Q18: 6-7%
G at F1Q18: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F4Q17: 4-5%
G at F3Q17 (call): FY18 More in line with 2H17</t>
        </r>
      </text>
    </comment>
    <comment ref="AQ6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 Hopland wines 
- Agency contract expired in December </t>
        </r>
      </text>
    </comment>
    <comment ref="AS6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absence of agency fees from Hopland agency relationship</t>
        </r>
      </text>
    </comment>
    <comment ref="AT6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absence of agency fees from Hopland agency relationship</t>
        </r>
      </text>
    </comment>
    <comment ref="AU6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absence of agency fees from Hopland agency relationship (ended in December 2011)</t>
        </r>
      </text>
    </comment>
    <comment ref="BP6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One month of Southern Comfort</t>
        </r>
      </text>
    </comment>
    <comment ref="AS7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change in distributor inventory levels (i.e. distributor buy-in ahead of price increases)</t>
        </r>
      </text>
    </comment>
    <comment ref="AT7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reversal of majority of 1Q sell-in</t>
        </r>
      </text>
    </comment>
    <comment ref="AU7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slight negative impact from change in distrib inv levels (1Q impact)</t>
        </r>
      </text>
    </comment>
    <comment ref="AV7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change in distributor inventory</t>
        </r>
      </text>
    </comment>
    <comment ref="AX7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change in distributor inventory</t>
        </r>
      </text>
    </comment>
    <comment ref="AY7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change in distributor inventory</t>
        </r>
      </text>
    </comment>
    <comment ref="AZ7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rounding (-1% reported)</t>
        </r>
      </text>
    </comment>
    <comment ref="BQ7" authorId="3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Distributor inventories worth 5c to EPS</t>
        </r>
      </text>
    </comment>
    <comment ref="BV7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F1Q18 (call): Guidance assumes little additional change from inventory</t>
        </r>
      </text>
    </comment>
    <comment ref="AZ8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rounding (-3% reported)</t>
        </r>
      </text>
    </comment>
    <comment ref="BQ8" authorId="4">
      <text>
        <r>
          <rPr>
            <sz val="9"/>
            <color indexed="81"/>
            <rFont val="Tahoma"/>
            <family val="2"/>
          </rPr>
          <t>G at F1Q17: "10% move in US$ would impact EPS by ~$0.05."</t>
        </r>
      </text>
    </comment>
    <comment ref="Y17" authorId="6">
      <text>
        <r>
          <rPr>
            <sz val="8"/>
            <color indexed="81"/>
            <rFont val="Tahoma"/>
            <family val="2"/>
          </rPr>
          <t>excludes $22M pre-tax charge from agave inventory write-down</t>
        </r>
      </text>
    </comment>
    <comment ref="AO19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includes 70 bps unfavorable impact from agency relationship re: Hopland wines divestiture</t>
        </r>
      </text>
    </comment>
    <comment ref="BG19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expand more modestly v 2014; less price than 14; france improvement</t>
        </r>
      </text>
    </comment>
    <comment ref="AO20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down 30 bps YTD basis ex Hopland impact </t>
        </r>
      </text>
    </comment>
    <comment ref="AT20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includes full qtr benefit from Hopland divestiture</t>
        </r>
      </text>
    </comment>
    <comment ref="AU20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includes 2/3 qtr benefit from Hopland divestiture</t>
        </r>
      </text>
    </comment>
    <comment ref="AV20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down a 'little bit' in 4Q</t>
        </r>
      </text>
    </comment>
    <comment ref="AW20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FY GM % to approx. 3Q YTD results</t>
        </r>
      </text>
    </comment>
    <comment ref="BB20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FY GM % to approx. 3Q YTD results</t>
        </r>
      </text>
    </comment>
    <comment ref="BL20" authorId="3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Modest GM expansion</t>
        </r>
      </text>
    </comment>
    <comment ref="BQ20" authorId="5">
      <text>
        <r>
          <rPr>
            <sz val="9"/>
            <color indexed="81"/>
            <rFont val="Tahoma"/>
            <family val="2"/>
          </rPr>
          <t>G at F2Q17: Lower declines vs. 1H17</t>
        </r>
      </text>
    </comment>
    <comment ref="BT20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 (call): GM down y-o-y in 2H</t>
        </r>
      </text>
    </comment>
    <comment ref="BU20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 (call): GM down y-o-y in 2H</t>
        </r>
      </text>
    </comment>
    <comment ref="BV20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F1Q18 (call): reported gross margin to probably close to flat 
G at F4Q17: Underlying gross margins will likely be down slightly as price-mix is offset by higher costs</t>
        </r>
      </text>
    </comment>
    <comment ref="Q22" authorId="7">
      <text>
        <r>
          <rPr>
            <sz val="8"/>
            <color indexed="81"/>
            <rFont val="Tahoma"/>
            <family val="2"/>
          </rPr>
          <t>Includes ~$3 mn in one-time Herradura transaction costs; $0.02 dilutive to earnings</t>
        </r>
      </text>
    </comment>
    <comment ref="AB2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excludes $12M in workforce reduction charges</t>
        </r>
      </text>
    </comment>
    <comment ref="AV2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guid: making additional P&amp;L investments - reorg in Europe and Asia </t>
        </r>
      </text>
    </comment>
    <comment ref="BA22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Up DD (%)</t>
        </r>
      </text>
    </comment>
    <comment ref="BP22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Adjusted for 1x iems worth ~$0.01, "earnings contribution from acquired &amp; divested brands"</t>
        </r>
      </text>
    </comment>
    <comment ref="BQ22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F3Q17 (call): "Down y/y for the full year"</t>
        </r>
      </text>
    </comment>
    <comment ref="BV22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F2Q18: "Slight increase in underlying SG&amp;A"
G at F1Q18: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F4Q17: "Flattish underlying SG&amp;A" in $ term
3Y cost savings of $100mn (FY18-20), mainly through SG&amp;A line</t>
        </r>
      </text>
    </comment>
    <comment ref="AQ25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'expected to be essentially flat' </t>
        </r>
      </text>
    </comment>
    <comment ref="AV25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guid: mid-teens growth rate in 4Q A&amp;P spending</t>
        </r>
      </text>
    </comment>
    <comment ref="AX27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AD spend shifts into 1Q from 4Q13</t>
        </r>
      </text>
    </comment>
    <comment ref="BV27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F2Q18: Underlying A&amp;P roughly in-line with sales growth
G at F4Q17: Underlying A&amp;P growth at or slightly above our underlying net sales growth rate
G at F3Q17 (call): A&amp;P to grow in line with sales</t>
        </r>
      </text>
    </comment>
    <comment ref="J28" authorId="8">
      <text>
        <r>
          <rPr>
            <sz val="8"/>
            <color indexed="81"/>
            <rFont val="Tahoma"/>
            <family val="2"/>
          </rPr>
          <t>Adjusted for one-time items</t>
        </r>
      </text>
    </comment>
    <comment ref="L28" authorId="8">
      <text>
        <r>
          <rPr>
            <sz val="8"/>
            <color indexed="81"/>
            <rFont val="Tahoma"/>
            <family val="2"/>
          </rPr>
          <t>Adjusted for one-time items</t>
        </r>
      </text>
    </comment>
    <comment ref="P28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adjusting for gain on sale of Italian winery.</t>
        </r>
      </text>
    </comment>
    <comment ref="AA28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(1) Excludes $20.8M gain on sale of Bolla wine assets. 
(2) Higher other expense for the quarter largely driven by losses on FX hedges</t>
        </r>
      </text>
    </comment>
    <comment ref="AF28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excludes non-cash trademark impairment charge on Don Eduardo tequila</t>
        </r>
      </text>
    </comment>
    <comment ref="AL28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excludes Fetzer gain</t>
        </r>
      </text>
    </comment>
    <comment ref="BC28" authorId="3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Intercompany transaction</t>
        </r>
      </text>
    </comment>
    <comment ref="BD28" authorId="3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Revaluation of cash assets overseas</t>
        </r>
      </text>
    </comment>
    <comment ref="Q29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Includes one-time Herradura transaction costs</t>
        </r>
      </text>
    </comment>
    <comment ref="R29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Includes one-time Herradura transaction costs</t>
        </r>
      </text>
    </comment>
    <comment ref="S29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Includes one-time Herradura transaction costs</t>
        </r>
      </text>
    </comment>
    <comment ref="X29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Includes one-time Herradura transaction costs</t>
        </r>
      </text>
    </comment>
    <comment ref="BE31" authorId="3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Expect elevated SG&amp;A growth to remain until 4Q</t>
        </r>
      </text>
    </comment>
    <comment ref="BQ31" authorId="4">
      <text>
        <r>
          <rPr>
            <sz val="9"/>
            <color indexed="81"/>
            <rFont val="Tahoma"/>
            <family val="2"/>
          </rPr>
          <t xml:space="preserve">G at F2Q17: Underlying SG&amp;A flat y-o-y
</t>
        </r>
      </text>
    </comment>
    <comment ref="BB3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LDD % (up from +9-11%) underlying growth, excludes the impact of the inv buyback in France (2% headwind)</t>
        </r>
      </text>
    </comment>
    <comment ref="BG36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9-11%</t>
        </r>
      </text>
    </comment>
    <comment ref="BM36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Underlying growth +6%</t>
        </r>
      </text>
    </comment>
    <comment ref="BN36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Underlying growth +8%</t>
        </r>
      </text>
    </comment>
    <comment ref="BQ36" authorId="4">
      <text>
        <r>
          <rPr>
            <sz val="9"/>
            <color indexed="81"/>
            <rFont val="Tahoma"/>
            <family val="2"/>
          </rPr>
          <t xml:space="preserve">G at F3Q17: Underlying operating income +5-7%
G at F2Q17: Underlying operating income +6-8%
G at F1Q17: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F4Q16: Underlying operating income +7-9%</t>
        </r>
      </text>
    </comment>
    <comment ref="BV36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F2Q18: Underlying operating income +8-9%
G at F1Q18: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F4Q17: Underlying operating income +6-8%</t>
        </r>
      </text>
    </comment>
    <comment ref="AV44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includes $9M charge associated with note redemption</t>
        </r>
      </text>
    </comment>
    <comment ref="BB44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slightly higher yoy ex redemption charge</t>
        </r>
      </text>
    </comment>
    <comment ref="Y47" authorId="6">
      <text>
        <r>
          <rPr>
            <sz val="8"/>
            <color indexed="81"/>
            <rFont val="Tahoma"/>
            <family val="2"/>
          </rPr>
          <t>grossed up for tax impact from agave writedown</t>
        </r>
      </text>
    </comment>
    <comment ref="AB47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grossed up for est. tax impact from employee workforce charge</t>
        </r>
      </text>
    </comment>
    <comment ref="K48" authorId="8">
      <text>
        <r>
          <rPr>
            <sz val="8"/>
            <color indexed="81"/>
            <rFont val="Tahoma"/>
            <family val="2"/>
          </rPr>
          <t>Normalizing to exclude tax benefit</t>
        </r>
      </text>
    </comment>
    <comment ref="L48" authorId="8">
      <text>
        <r>
          <rPr>
            <sz val="8"/>
            <color indexed="81"/>
            <rFont val="Tahoma"/>
            <family val="2"/>
          </rPr>
          <t>Normalizing to exclude tax benefit</t>
        </r>
      </text>
    </comment>
    <comment ref="P48" authorId="8">
      <text>
        <r>
          <rPr>
            <sz val="8"/>
            <color indexed="81"/>
            <rFont val="Tahoma"/>
            <family val="2"/>
          </rPr>
          <t>Normalizing tax rate</t>
        </r>
      </text>
    </comment>
    <comment ref="AH48" authorId="9">
      <text>
        <r>
          <rPr>
            <b/>
            <sz val="8"/>
            <color indexed="81"/>
            <rFont val="Tahoma"/>
            <family val="2"/>
          </rPr>
          <t>linalis:</t>
        </r>
        <r>
          <rPr>
            <sz val="8"/>
            <color indexed="81"/>
            <rFont val="Tahoma"/>
            <family val="2"/>
          </rPr>
          <t xml:space="preserve">
Includes -3 cent EPS due to impact of the healthcare reform bill on the medical subsidy benefit</t>
        </r>
      </text>
    </comment>
    <comment ref="AL48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MS est. </t>
        </r>
      </text>
    </comment>
    <comment ref="AT48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includes rounding to get to $0.80 in EPS</t>
        </r>
      </text>
    </comment>
    <comment ref="BQ48" authorId="5">
      <text>
        <r>
          <rPr>
            <sz val="9"/>
            <color indexed="81"/>
            <rFont val="Tahoma"/>
            <family val="2"/>
          </rPr>
          <t>G at F1Q17: 29-30%</t>
        </r>
      </text>
    </comment>
    <comment ref="BV48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F2Q18: "Slightly below 28%"
G at F1Q18: 28%
G at F4Q17: Higher tax rate at 29-30%</t>
        </r>
      </text>
    </comment>
    <comment ref="Q52" authorId="7">
      <text>
        <r>
          <rPr>
            <sz val="8"/>
            <color indexed="81"/>
            <rFont val="Tahoma"/>
            <family val="2"/>
          </rPr>
          <t>Includes $0.02 of nonoperatign Herrdura dilution</t>
        </r>
      </text>
    </comment>
    <comment ref="AH52" authorId="9">
      <text>
        <r>
          <rPr>
            <b/>
            <sz val="8"/>
            <color indexed="81"/>
            <rFont val="Tahoma"/>
            <family val="2"/>
          </rPr>
          <t>linalis:</t>
        </r>
        <r>
          <rPr>
            <sz val="8"/>
            <color indexed="81"/>
            <rFont val="Tahoma"/>
            <family val="2"/>
          </rPr>
          <t xml:space="preserve">
Includes -3 cent EPS due to impact of the healthcare reform bill on the medical subsidy benefit</t>
        </r>
      </text>
    </comment>
    <comment ref="AL52" authorId="9">
      <text>
        <r>
          <rPr>
            <b/>
            <sz val="8"/>
            <color indexed="81"/>
            <rFont val="Tahoma"/>
            <family val="2"/>
          </rPr>
          <t>linalis:</t>
        </r>
        <r>
          <rPr>
            <sz val="8"/>
            <color indexed="81"/>
            <rFont val="Tahoma"/>
            <family val="2"/>
          </rPr>
          <t xml:space="preserve">
excludes 26-cent gain on the wine sale and 7-cents of one-time tax benefits</t>
        </r>
      </text>
    </comment>
    <comment ref="AM5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includes 16 cents from Fetzer earnings divesed at year end</t>
        </r>
      </text>
    </comment>
    <comment ref="AV5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down 'several cents' YoY in 4Q</t>
        </r>
      </text>
    </comment>
    <comment ref="AW5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guid $$2.60$2.68 (including negative 5 cent impact from $9M in charges from note redemption and FX.</t>
        </r>
      </text>
    </comment>
    <comment ref="BA52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Implied $.50-$.60 guidance</t>
        </r>
      </text>
    </comment>
    <comment ref="BB52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$2.95-$3.05, including -$0.06 impact from buyback of inv in France</t>
        </r>
      </text>
    </comment>
    <comment ref="BG52" authorId="5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3.15-3.25; fx -20 cents</t>
        </r>
      </text>
    </comment>
    <comment ref="BQ52" authorId="5">
      <text>
        <r>
          <rPr>
            <sz val="9"/>
            <color indexed="81"/>
            <rFont val="Tahoma"/>
            <family val="2"/>
          </rPr>
          <t xml:space="preserve">G at F3Q17: $1.71-$1.76 w/FX worth -$0.06
G at F2Q17: </t>
        </r>
        <r>
          <rPr>
            <b/>
            <sz val="9"/>
            <color indexed="81"/>
            <rFont val="Tahoma"/>
            <family val="2"/>
          </rPr>
          <t xml:space="preserve">R </t>
        </r>
        <r>
          <rPr>
            <sz val="9"/>
            <color indexed="81"/>
            <rFont val="Tahoma"/>
            <family val="2"/>
          </rPr>
          <t xml:space="preserve">but w/FX worth -$0.05
G at F1Q17: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but w/FX worth -$0.03
G at F4Q16: $1.71-$1.81 w/FX worth -$0.035 adjusted for 2-to-1 stock split ($3.42-$3.62 w/FX worth -$0.07 original guidance)</t>
        </r>
      </text>
    </comment>
    <comment ref="BV52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F2Q18: $1.90-$1.98
(m/p $1.94)
G at F1Q18: $1.85-$1.95
(m/p $1.90)
G at F4Q17: $1.80-$1.90 (m/p $1.85)</t>
        </r>
      </text>
    </comment>
    <comment ref="AL61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$53M pre-tax gain on Fetzer sale, plus rounding</t>
        </r>
      </text>
    </comment>
    <comment ref="P6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gain on sale of Italian winery and other misc rounding differences</t>
        </r>
      </text>
    </comment>
    <comment ref="W6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misc</t>
        </r>
      </text>
    </comment>
    <comment ref="Y6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non-cash agave charge</t>
        </r>
      </text>
    </comment>
    <comment ref="AA6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gain on sale of Bolla wine assets</t>
        </r>
      </text>
    </comment>
    <comment ref="AB6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workforce reduction charges
</t>
        </r>
      </text>
    </comment>
    <comment ref="AF62" authorId="9">
      <text>
        <r>
          <rPr>
            <b/>
            <sz val="8"/>
            <color indexed="81"/>
            <rFont val="Tahoma"/>
            <family val="2"/>
          </rPr>
          <t>linalis:</t>
        </r>
        <r>
          <rPr>
            <sz val="8"/>
            <color indexed="81"/>
            <rFont val="Tahoma"/>
            <family val="2"/>
          </rPr>
          <t xml:space="preserve">
(1) -$11.6 non-cash trademark impairment charge on Don Eduardo
(2) $1.3 amortization expense</t>
        </r>
      </text>
    </comment>
    <comment ref="J87" authorId="8">
      <text>
        <r>
          <rPr>
            <sz val="8"/>
            <color indexed="81"/>
            <rFont val="Tahoma"/>
            <family val="2"/>
          </rPr>
          <t>Removing last year's inventory from discontinue ops</t>
        </r>
      </text>
    </comment>
    <comment ref="K87" authorId="8">
      <text>
        <r>
          <rPr>
            <sz val="8"/>
            <color indexed="81"/>
            <rFont val="Tahoma"/>
            <family val="2"/>
          </rPr>
          <t>Removing last year's inventory from discontinue ops</t>
        </r>
      </text>
    </comment>
    <comment ref="H88" authorId="10">
      <text>
        <r>
          <rPr>
            <b/>
            <sz val="8"/>
            <color indexed="81"/>
            <rFont val="Tahoma"/>
            <family val="2"/>
          </rPr>
          <t>RMukerji:</t>
        </r>
        <r>
          <rPr>
            <sz val="8"/>
            <color indexed="81"/>
            <rFont val="Tahoma"/>
            <family val="2"/>
          </rPr>
          <t xml:space="preserve">
Includes CA held for sale</t>
        </r>
      </text>
    </comment>
    <comment ref="J88" authorId="10">
      <text>
        <r>
          <rPr>
            <b/>
            <sz val="8"/>
            <color indexed="81"/>
            <rFont val="Tahoma"/>
            <family val="2"/>
          </rPr>
          <t>RMukerji:</t>
        </r>
        <r>
          <rPr>
            <sz val="8"/>
            <color indexed="81"/>
            <rFont val="Tahoma"/>
            <family val="2"/>
          </rPr>
          <t xml:space="preserve">
Includes CA held for sale</t>
        </r>
      </text>
    </comment>
    <comment ref="Q92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Herradura</t>
        </r>
      </text>
    </comment>
    <comment ref="H93" authorId="10">
      <text>
        <r>
          <rPr>
            <b/>
            <sz val="8"/>
            <color indexed="81"/>
            <rFont val="Tahoma"/>
            <family val="2"/>
          </rPr>
          <t>RMukerji:</t>
        </r>
        <r>
          <rPr>
            <sz val="8"/>
            <color indexed="81"/>
            <rFont val="Tahoma"/>
            <family val="2"/>
          </rPr>
          <t xml:space="preserve">
Includes other assets held for sale</t>
        </r>
      </text>
    </comment>
    <comment ref="J93" authorId="10">
      <text>
        <r>
          <rPr>
            <b/>
            <sz val="8"/>
            <color indexed="81"/>
            <rFont val="Tahoma"/>
            <family val="2"/>
          </rPr>
          <t>RMukerji:</t>
        </r>
        <r>
          <rPr>
            <sz val="8"/>
            <color indexed="81"/>
            <rFont val="Tahoma"/>
            <family val="2"/>
          </rPr>
          <t xml:space="preserve">
Includes other assets held for sale</t>
        </r>
      </text>
    </comment>
    <comment ref="AV100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$250M 5% notes paid down on 2/25/13</t>
        </r>
      </text>
    </comment>
    <comment ref="H103" authorId="10">
      <text>
        <r>
          <rPr>
            <sz val="8"/>
            <color indexed="81"/>
            <rFont val="Tahoma"/>
            <family val="2"/>
          </rPr>
          <t>held for sale</t>
        </r>
      </text>
    </comment>
    <comment ref="J103" authorId="10">
      <text>
        <r>
          <rPr>
            <b/>
            <sz val="8"/>
            <color indexed="81"/>
            <rFont val="Tahoma"/>
            <family val="2"/>
          </rPr>
          <t>RMukerji:</t>
        </r>
        <r>
          <rPr>
            <sz val="8"/>
            <color indexed="81"/>
            <rFont val="Tahoma"/>
            <family val="2"/>
          </rPr>
          <t xml:space="preserve">
held for sale</t>
        </r>
      </text>
    </comment>
    <comment ref="H109" authorId="10">
      <text>
        <r>
          <rPr>
            <b/>
            <sz val="8"/>
            <color indexed="81"/>
            <rFont val="Tahoma"/>
            <family val="2"/>
          </rPr>
          <t>RMukerji:</t>
        </r>
        <r>
          <rPr>
            <sz val="8"/>
            <color indexed="81"/>
            <rFont val="Tahoma"/>
            <family val="2"/>
          </rPr>
          <t xml:space="preserve">
Includes other liabilities held for sale</t>
        </r>
      </text>
    </comment>
    <comment ref="J109" authorId="10">
      <text>
        <r>
          <rPr>
            <b/>
            <sz val="8"/>
            <color indexed="81"/>
            <rFont val="Tahoma"/>
            <family val="2"/>
          </rPr>
          <t>RMukerji:</t>
        </r>
        <r>
          <rPr>
            <sz val="8"/>
            <color indexed="81"/>
            <rFont val="Tahoma"/>
            <family val="2"/>
          </rPr>
          <t xml:space="preserve">
Includes other liabilities held for sale</t>
        </r>
      </text>
    </comment>
    <comment ref="K129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discontinued operations</t>
        </r>
      </text>
    </comment>
    <comment ref="BT129" authorId="11">
      <text>
        <r>
          <rPr>
            <b/>
            <sz val="9"/>
            <color indexed="81"/>
            <rFont val="Tahoma"/>
            <family val="2"/>
          </rPr>
          <t>Rotondi, Scott (Research):</t>
        </r>
        <r>
          <rPr>
            <sz val="9"/>
            <color indexed="81"/>
            <rFont val="Tahoma"/>
            <family val="2"/>
          </rPr>
          <t xml:space="preserve">
-120M pension contribution not modeled, nor -60 -70 m charitable contribution</t>
        </r>
      </text>
    </comment>
    <comment ref="AR140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$60-$70M guidance</t>
        </r>
      </text>
    </comment>
    <comment ref="AW140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+$100M guidance</t>
        </r>
      </text>
    </comment>
    <comment ref="BB140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$120-$140, down from $130-$150 given shift to F15</t>
        </r>
      </text>
    </comment>
    <comment ref="BG140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120-140</t>
        </r>
      </text>
    </comment>
    <comment ref="BV140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F2Q18: $120-$130
G at F1Q18: $140M</t>
        </r>
      </text>
    </comment>
    <comment ref="CA140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F2Q18: I would expect next year to be still be in another step-up year.</t>
        </r>
      </text>
    </comment>
    <comment ref="AL141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Fetzer sale</t>
        </r>
      </text>
    </comment>
    <comment ref="O142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Chambord acquisition 250.1</t>
        </r>
      </text>
    </comment>
    <comment ref="P142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Chambord acqn 250.6</t>
        </r>
      </text>
    </comment>
    <comment ref="Q142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Herradura</t>
        </r>
      </text>
    </comment>
    <comment ref="AZ142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Plug</t>
        </r>
      </text>
    </comment>
    <comment ref="G149" authorId="12">
      <text>
        <r>
          <rPr>
            <sz val="8"/>
            <color indexed="81"/>
            <rFont val="Tahoma"/>
            <family val="2"/>
          </rPr>
          <t>Other</t>
        </r>
      </text>
    </comment>
    <comment ref="T151" authorId="7">
      <text>
        <r>
          <rPr>
            <b/>
            <sz val="8"/>
            <color indexed="81"/>
            <rFont val="Tahoma"/>
            <family val="2"/>
          </rPr>
          <t>Ruma Mukerji:</t>
        </r>
        <r>
          <rPr>
            <sz val="8"/>
            <color indexed="81"/>
            <rFont val="Tahoma"/>
            <family val="2"/>
          </rPr>
          <t xml:space="preserve">
special dividend from Lenox proceeds (May 10)</t>
        </r>
      </text>
    </comment>
    <comment ref="BU151" authorId="11">
      <text>
        <r>
          <rPr>
            <b/>
            <sz val="9"/>
            <color indexed="81"/>
            <rFont val="Tahoma"/>
            <family val="2"/>
          </rPr>
          <t>Rotondi, Scott (Research):</t>
        </r>
        <r>
          <rPr>
            <sz val="9"/>
            <color indexed="81"/>
            <rFont val="Tahoma"/>
            <family val="2"/>
          </rPr>
          <t xml:space="preserve">
not including $480M special dividend announced 1/23/18</t>
        </r>
      </text>
    </comment>
    <comment ref="AE171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10-Q</t>
        </r>
      </text>
    </comment>
    <comment ref="AF171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10-Q</t>
        </r>
      </text>
    </comment>
    <comment ref="AP171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10-Q</t>
        </r>
      </text>
    </comment>
    <comment ref="AY171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10Q</t>
        </r>
      </text>
    </comment>
    <comment ref="W172" authorId="6">
      <text>
        <r>
          <rPr>
            <sz val="8"/>
            <color indexed="81"/>
            <rFont val="Tahoma"/>
            <family val="2"/>
          </rPr>
          <t>JPM est.</t>
        </r>
      </text>
    </comment>
    <comment ref="Y172" authorId="6">
      <text>
        <r>
          <rPr>
            <sz val="8"/>
            <color indexed="81"/>
            <rFont val="Tahoma"/>
            <family val="2"/>
          </rPr>
          <t xml:space="preserve">JPM est. </t>
        </r>
      </text>
    </comment>
    <comment ref="AE17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10-Q</t>
        </r>
      </text>
    </comment>
    <comment ref="AF172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10-Q</t>
        </r>
      </text>
    </comment>
    <comment ref="AH173" authorId="9">
      <text>
        <r>
          <rPr>
            <b/>
            <sz val="8"/>
            <color indexed="81"/>
            <rFont val="Tahoma"/>
            <family val="2"/>
          </rPr>
          <t>linalis:</t>
        </r>
        <r>
          <rPr>
            <sz val="8"/>
            <color indexed="81"/>
            <rFont val="Tahoma"/>
            <family val="2"/>
          </rPr>
          <t xml:space="preserve">
10-K: 2010 acquisition of treasury stock $158M</t>
        </r>
      </text>
    </comment>
    <comment ref="AQ173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No BOD Authorization currently in place
3/7/2012</t>
        </r>
      </text>
    </comment>
    <comment ref="AW173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No BOD authorized repo program currently in place</t>
        </r>
      </text>
    </comment>
    <comment ref="BB173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$250M share repo program through 9/30/14</t>
        </r>
      </text>
    </comment>
    <comment ref="CF188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F2Q18: In the 2.5% to 3% of revenue post FY19</t>
        </r>
      </text>
    </comment>
    <comment ref="AK198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$1.00/share special cash dividend declared on 12/1 (paid on 12/28 to shareholders of record 12/10)</t>
        </r>
      </text>
    </comment>
    <comment ref="AU198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reg qtr div $0.255
spec div $4.00</t>
        </r>
      </text>
    </comment>
    <comment ref="AV213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Spike due to charge from note redemption ($9)</t>
        </r>
      </text>
    </comment>
    <comment ref="B246" authorId="13">
      <text>
        <r>
          <rPr>
            <b/>
            <sz val="8"/>
            <color indexed="81"/>
            <rFont val="Tahoma"/>
            <family val="2"/>
          </rPr>
          <t xml:space="preserve">Scott H. Shapiro:
</t>
        </r>
        <r>
          <rPr>
            <sz val="8"/>
            <color indexed="81"/>
            <rFont val="Tahoma"/>
            <family val="2"/>
          </rPr>
          <t>Uses traditional definition.  IC equals total assets less cash minus non-interest bearing current liabilities.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25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YTD</t>
        </r>
      </text>
    </comment>
    <comment ref="AK25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YTD</t>
        </r>
      </text>
    </comment>
    <comment ref="AL25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YTD</t>
        </r>
      </text>
    </comment>
    <comment ref="AO25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YTD</t>
        </r>
      </text>
    </comment>
    <comment ref="AP25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YTD</t>
        </r>
      </text>
    </comment>
    <comment ref="AT25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YTD</t>
        </r>
      </text>
    </comment>
    <comment ref="AU25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YTD</t>
        </r>
      </text>
    </comment>
    <comment ref="A255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Equivalent conversion depletions--represent the conversion of RTD brands to a similar drinks equivalent as the parent brand for various trademark families</t>
        </r>
      </text>
    </comment>
    <comment ref="A259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Includes Gentleman Jack, JD Single Barrel, Sinatra Select, No. 27 Gold, JD Tennessee Fire, JD Master's Collection, JD Rye and JD 1907
</t>
        </r>
      </text>
    </comment>
    <comment ref="A260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Includes JD Tennessee Whiskey, Gentleman Jack, and JD Single Barrel
</t>
        </r>
      </text>
    </comment>
    <comment ref="A261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Refers to all RTD/RTP line extensions of Jack Daniels</t>
        </r>
      </text>
    </comment>
    <comment ref="A267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RTD brand produced with el Jimador tequila</t>
        </r>
      </text>
    </comment>
    <comment ref="A272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RTD brand produced with el Jimador tequila</t>
        </r>
      </text>
    </comment>
    <comment ref="A282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Includes Bonterra, Chambord, Herradura, Sonoma-Cutrer, Tuaca, and Woodford Reserve</t>
        </r>
      </text>
    </comment>
    <comment ref="A283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Excluding discontinued brands</t>
        </r>
      </text>
    </comment>
    <comment ref="A290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Includes Gentleman Jack, JD Single Barrel, Sinatra Select, No. 27 Gold, JD Tennessee Fire, JD Master's Collection, JD Rye and JD 1907
</t>
        </r>
      </text>
    </comment>
    <comment ref="A291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Includes JD Tennessee Whiskey, Gentleman Jack, and JD Single Barrel
</t>
        </r>
      </text>
    </comment>
    <comment ref="A292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Refers to all RTD line extensions of Jack Daniels</t>
        </r>
      </text>
    </comment>
    <comment ref="A298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RTD brand produced with el Jimador tequila</t>
        </r>
      </text>
    </comment>
    <comment ref="A303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RTD brand produced with el Jimador tequila</t>
        </r>
      </text>
    </comment>
    <comment ref="A313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Includes Bonterra, Chambord, Herradura, Sonoma-Cutrer, Tuaca, and Woodford Reserve</t>
        </r>
      </text>
    </comment>
    <comment ref="A31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Excluding discontinued brands</t>
        </r>
      </text>
    </comment>
    <comment ref="A321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Includes Gentleman Jack, JD Single Barrel, Sinatra Select, No. 27 Gold, JD Tennessee Fire, JD Master's Collection, JD Rye and JD 1907
</t>
        </r>
      </text>
    </comment>
    <comment ref="A322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Includes JD Tennessee Whiskey, Gentleman Jack, and JD Single Barrel
</t>
        </r>
      </text>
    </comment>
    <comment ref="A323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Refers to all RTD line extensions of Jack Daniels</t>
        </r>
      </text>
    </comment>
    <comment ref="A329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RTD brand produced with el Jimador tequila</t>
        </r>
      </text>
    </comment>
    <comment ref="A33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RTD brand produced with el Jimador tequila</t>
        </r>
      </text>
    </comment>
    <comment ref="A344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Includes Bonterra, Chambord, Herradura, Sonoma-Cutrer, Tuaca, and Woodford Reserve</t>
        </r>
      </text>
    </comment>
    <comment ref="A345" authorId="1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Excluding discontinued brands</t>
        </r>
      </text>
    </comment>
    <comment ref="BH374" authorId="5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fire added 4 pts</t>
        </r>
      </text>
    </comment>
    <comment ref="BI374" authorId="3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Fire contr. 2 pts</t>
        </r>
      </text>
    </comment>
    <comment ref="BN380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6% from presentation</t>
        </r>
      </text>
    </comment>
    <comment ref="BO380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3% from presentation</t>
        </r>
      </text>
    </comment>
    <comment ref="BP380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From presentation</t>
        </r>
      </text>
    </comment>
    <comment ref="BN381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3% from presentation</t>
        </r>
      </text>
    </comment>
    <comment ref="BO381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5% from presentation</t>
        </r>
      </text>
    </comment>
    <comment ref="BP381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From presentation</t>
        </r>
      </text>
    </comment>
    <comment ref="BN382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0% from presentation</t>
        </r>
      </text>
    </comment>
    <comment ref="BO382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4% from presentation</t>
        </r>
      </text>
    </comment>
    <comment ref="BP382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From presentation</t>
        </r>
      </text>
    </comment>
    <comment ref="BO383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13% from presentation</t>
        </r>
      </text>
    </comment>
    <comment ref="BP383" authorId="4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From presentation</t>
        </r>
      </text>
    </comment>
  </commentList>
</comments>
</file>

<file path=xl/sharedStrings.xml><?xml version="1.0" encoding="utf-8"?>
<sst xmlns="http://schemas.openxmlformats.org/spreadsheetml/2006/main" count="1158" uniqueCount="738">
  <si>
    <t>FY2003</t>
  </si>
  <si>
    <t>% growth</t>
  </si>
  <si>
    <t>Excise Taxes</t>
  </si>
  <si>
    <t>% of sales</t>
  </si>
  <si>
    <t>% of sale</t>
  </si>
  <si>
    <t>Cost of Sales</t>
  </si>
  <si>
    <t>Gross Profit</t>
  </si>
  <si>
    <t>Gross Margin %</t>
  </si>
  <si>
    <t>Gross Margin Bps Change</t>
  </si>
  <si>
    <t>SG&amp;A</t>
  </si>
  <si>
    <t>% of Sales Bps Change</t>
  </si>
  <si>
    <t>Advertising</t>
  </si>
  <si>
    <t>Other Expense</t>
  </si>
  <si>
    <t>Total SG&amp;A</t>
  </si>
  <si>
    <t>Operating Income</t>
  </si>
  <si>
    <t>Operating Margin</t>
  </si>
  <si>
    <t>Operating Margin Bps Change</t>
  </si>
  <si>
    <t>Memo Item:  D&amp;A</t>
  </si>
  <si>
    <t>Memo Item:  EBITDA</t>
  </si>
  <si>
    <t>Memo Item:  EBITDA Margin</t>
  </si>
  <si>
    <t>Interest Income</t>
  </si>
  <si>
    <t>Interest Expense</t>
  </si>
  <si>
    <t>Pretax Income</t>
  </si>
  <si>
    <t>Taxes on Income</t>
  </si>
  <si>
    <t>Tax Rate</t>
  </si>
  <si>
    <t>Net Income</t>
  </si>
  <si>
    <t>EPS Diluted</t>
  </si>
  <si>
    <t>EPS Growth</t>
  </si>
  <si>
    <t>Basic Shares</t>
  </si>
  <si>
    <t>Diluted Shares</t>
  </si>
  <si>
    <t>Assets</t>
  </si>
  <si>
    <t>Excess cash</t>
  </si>
  <si>
    <t>Cash &amp; Equivalents</t>
  </si>
  <si>
    <t>Short Term Inv</t>
  </si>
  <si>
    <t>AR, Net</t>
  </si>
  <si>
    <t>% change</t>
  </si>
  <si>
    <t>Inventories:</t>
  </si>
  <si>
    <t>Other Current Assets</t>
  </si>
  <si>
    <t>Total Current Assets</t>
  </si>
  <si>
    <t>PPE, Net</t>
  </si>
  <si>
    <t>Intangible Assets, Net</t>
  </si>
  <si>
    <t>Other Assets</t>
  </si>
  <si>
    <t>Total Assets</t>
  </si>
  <si>
    <t>Liabilities</t>
  </si>
  <si>
    <t>Short term debt</t>
  </si>
  <si>
    <t>Commercial Paper</t>
  </si>
  <si>
    <t>Accounts Payable &amp; Accrued Exp</t>
  </si>
  <si>
    <t>Current Portion LTD</t>
  </si>
  <si>
    <t>Accrued Taxes on Income</t>
  </si>
  <si>
    <t>Dividends Payable</t>
  </si>
  <si>
    <t>Other</t>
  </si>
  <si>
    <t>Total Current Liabilities</t>
  </si>
  <si>
    <t>Long-Term Debt</t>
  </si>
  <si>
    <t>Deferred Income Taxes</t>
  </si>
  <si>
    <t>Accrued Postretirement Benefits</t>
  </si>
  <si>
    <t>Other Liabilities and Deferred Income</t>
  </si>
  <si>
    <t>Total Liabilities</t>
  </si>
  <si>
    <t>Stockholders' Equity</t>
  </si>
  <si>
    <t>Common Stock</t>
  </si>
  <si>
    <t>Retained Earnings + APIC</t>
  </si>
  <si>
    <t>Accumulated Other Income (Loss)</t>
  </si>
  <si>
    <t>Treasury Stock</t>
  </si>
  <si>
    <t>Total S/E</t>
  </si>
  <si>
    <t>Total Liabilities &amp; S/E</t>
  </si>
  <si>
    <t>Check</t>
  </si>
  <si>
    <t>Cash Flow</t>
  </si>
  <si>
    <t>Adjustments:</t>
  </si>
  <si>
    <t>Amortization</t>
  </si>
  <si>
    <t>Deferred I/T</t>
  </si>
  <si>
    <t>Changes in A/L:</t>
  </si>
  <si>
    <t>Accounts Receivable</t>
  </si>
  <si>
    <t>Inventories</t>
  </si>
  <si>
    <t>AP &amp; Accrued Exp.</t>
  </si>
  <si>
    <t>Cash Flows  from Investing Activities:</t>
  </si>
  <si>
    <t>Additions to PPE</t>
  </si>
  <si>
    <t>Disposals of PPE</t>
  </si>
  <si>
    <t>Cash Used for Investing Activities</t>
  </si>
  <si>
    <t>Cash Flows from Financing Activites:</t>
  </si>
  <si>
    <t>Net Change in Commercial Paper/STD</t>
  </si>
  <si>
    <t>Acquisition of Treasury Stock, Other</t>
  </si>
  <si>
    <t>Redemption of Preferred Stock</t>
  </si>
  <si>
    <t>Dividends Paid</t>
  </si>
  <si>
    <t>Cash Used for Financing Activities</t>
  </si>
  <si>
    <t>Net Increase (Decrease) in Cash and Cash Equivs</t>
  </si>
  <si>
    <t>Cash and Cash Equivs, Beg</t>
  </si>
  <si>
    <t>Cash and Cash Equivs, End</t>
  </si>
  <si>
    <t>Check (Cash on CF = Cash/Surplus on BS?)</t>
  </si>
  <si>
    <t>Cash Flow Statistics</t>
  </si>
  <si>
    <t>Cash Flow From Operations</t>
  </si>
  <si>
    <t>Capex/Sales</t>
  </si>
  <si>
    <t>Free Cash Flow (Cash Flow Oper. Less Capex)</t>
  </si>
  <si>
    <t>Free Cash Flow Per Share</t>
  </si>
  <si>
    <t>Cash Returned to Shareholders</t>
  </si>
  <si>
    <t>Cash Returned to Shareholders as % Available</t>
  </si>
  <si>
    <t>Share Repurchase</t>
  </si>
  <si>
    <t>Shares repurchased</t>
  </si>
  <si>
    <t>Price</t>
  </si>
  <si>
    <t>Cash outflow</t>
  </si>
  <si>
    <t>Ratios</t>
  </si>
  <si>
    <t>Excise Taxes % Sales</t>
  </si>
  <si>
    <t>Excise Taxes % Wine Spirits</t>
  </si>
  <si>
    <t>COGS % Sales</t>
  </si>
  <si>
    <t>SGA % Sales</t>
  </si>
  <si>
    <t>Advertising % Sales</t>
  </si>
  <si>
    <t>Taxes % Pretax Income</t>
  </si>
  <si>
    <t>Cash % of Sales</t>
  </si>
  <si>
    <t>AR % of Sales</t>
  </si>
  <si>
    <t>Inventories % COGS</t>
  </si>
  <si>
    <t>Inventory Days</t>
  </si>
  <si>
    <t>Other CA % Sales</t>
  </si>
  <si>
    <t>Capex, net of dispositions</t>
  </si>
  <si>
    <t>Depreciation% Net PPE</t>
  </si>
  <si>
    <t>Other Assets % Sales</t>
  </si>
  <si>
    <t>AP Days</t>
  </si>
  <si>
    <t>AP % COGS</t>
  </si>
  <si>
    <t>Deferred I/T % Provision</t>
  </si>
  <si>
    <t>Change in Accrued PRB</t>
  </si>
  <si>
    <t>Other Liabilities % Sales</t>
  </si>
  <si>
    <t>Interest Income Rate</t>
  </si>
  <si>
    <t>Interest Expense Rate</t>
  </si>
  <si>
    <t>Working Capital</t>
  </si>
  <si>
    <t>Cash</t>
  </si>
  <si>
    <t>Total Net Debt</t>
  </si>
  <si>
    <t>Shareholders Equity</t>
  </si>
  <si>
    <t>Net Debt/Capital</t>
  </si>
  <si>
    <t>Total Debt</t>
  </si>
  <si>
    <t>Interest Rate</t>
  </si>
  <si>
    <t>Total Cash</t>
  </si>
  <si>
    <t>Cash Interest Rate</t>
  </si>
  <si>
    <t>ROIC</t>
  </si>
  <si>
    <t>Operating Profit</t>
  </si>
  <si>
    <t>Tax rate</t>
  </si>
  <si>
    <t>NOPAT</t>
  </si>
  <si>
    <t>EBITDA</t>
  </si>
  <si>
    <t>Days Inventory</t>
  </si>
  <si>
    <t>Days Recievable</t>
  </si>
  <si>
    <t>Days Payable</t>
  </si>
  <si>
    <t>Cash Conversion Cycle</t>
  </si>
  <si>
    <t>FY2004</t>
  </si>
  <si>
    <t>Jul-04A</t>
  </si>
  <si>
    <t>Oct-04A</t>
  </si>
  <si>
    <t>Jan-05A</t>
  </si>
  <si>
    <t>Apr-05A</t>
  </si>
  <si>
    <t>FY2005</t>
  </si>
  <si>
    <t>Jul-05A</t>
  </si>
  <si>
    <t>Oct-05A</t>
  </si>
  <si>
    <t>Jan-06A</t>
  </si>
  <si>
    <t>Apr-06A</t>
  </si>
  <si>
    <t>FY2006</t>
  </si>
  <si>
    <t>Jul-06A</t>
  </si>
  <si>
    <t>Oct-06A</t>
  </si>
  <si>
    <t>Jan-07A</t>
  </si>
  <si>
    <t>Apr-07A</t>
  </si>
  <si>
    <t>FY2007</t>
  </si>
  <si>
    <t>Jul-07 A</t>
  </si>
  <si>
    <t>Oct-07 A</t>
  </si>
  <si>
    <t>Jan-08 A</t>
  </si>
  <si>
    <t>Apr-08 A</t>
  </si>
  <si>
    <t>FY2008</t>
  </si>
  <si>
    <t>Jul-08A</t>
  </si>
  <si>
    <t>Oct-08</t>
  </si>
  <si>
    <t xml:space="preserve">Goodwill </t>
  </si>
  <si>
    <t>Brown-Forman (BFB)</t>
  </si>
  <si>
    <t>Income Statement</t>
  </si>
  <si>
    <t>Balance Sheet</t>
  </si>
  <si>
    <t>Change in LTD</t>
  </si>
  <si>
    <t>Jan-09</t>
  </si>
  <si>
    <t>ND/LTM_EBITDA</t>
  </si>
  <si>
    <t>Finlandia</t>
  </si>
  <si>
    <t>Total</t>
  </si>
  <si>
    <t>SOS</t>
  </si>
  <si>
    <t>US</t>
  </si>
  <si>
    <t>-</t>
  </si>
  <si>
    <t>Net Sales (net of excise taxes)</t>
  </si>
  <si>
    <t>Apr-09</t>
  </si>
  <si>
    <t>FY2009</t>
  </si>
  <si>
    <t>Jul-09</t>
  </si>
  <si>
    <t xml:space="preserve">US Household Products and Beverages </t>
  </si>
  <si>
    <t>Dara Mohsenian, CFA</t>
  </si>
  <si>
    <t>(212) 761 - 6575</t>
  </si>
  <si>
    <t>dara.mohsenian@morganstanley.com</t>
  </si>
  <si>
    <t>Brown-Forman</t>
  </si>
  <si>
    <t>Jan-18E</t>
  </si>
  <si>
    <t>Apr-18E</t>
  </si>
  <si>
    <t>FY2018E</t>
  </si>
  <si>
    <t>Capex</t>
  </si>
  <si>
    <t>Net Debt</t>
  </si>
  <si>
    <t>FY2019E</t>
  </si>
  <si>
    <t>Jul-18E</t>
  </si>
  <si>
    <t>Oct-18E</t>
  </si>
  <si>
    <t>Jan-19E</t>
  </si>
  <si>
    <t>Apr-19E</t>
  </si>
  <si>
    <t>This sheet contains Factset binary data for use with this workbook's =FDS codes.  Modifying the worksheet's contents may damage the workbook's =FDS functionality.</t>
  </si>
  <si>
    <t>Acquisitions/Divestitures</t>
  </si>
  <si>
    <t>Organic Sales Growth</t>
  </si>
  <si>
    <t>USD</t>
  </si>
  <si>
    <t>BFb.N</t>
  </si>
  <si>
    <t>Brown-Forman Corporation</t>
  </si>
  <si>
    <t>Reported GAAP Net Earnings and EPS</t>
  </si>
  <si>
    <t>Restructuring (after-tax)</t>
  </si>
  <si>
    <t>Discontinued Ops</t>
  </si>
  <si>
    <t>Total One-Time Items</t>
  </si>
  <si>
    <t xml:space="preserve">Calculated Reported Net Earnings </t>
  </si>
  <si>
    <t>Reported GAAP Net Earnings</t>
  </si>
  <si>
    <t>Reported GAAP Diluted EPS</t>
  </si>
  <si>
    <t>Sharecount Rollforward</t>
  </si>
  <si>
    <t>Beginning basic</t>
  </si>
  <si>
    <t>Shares Issued/Other</t>
  </si>
  <si>
    <t>Shares Repurchased</t>
  </si>
  <si>
    <t>Ending basic shares</t>
  </si>
  <si>
    <t>Average basic shares</t>
  </si>
  <si>
    <t>Dilutive Effect of Stock Options</t>
  </si>
  <si>
    <t>Average diluted shares</t>
  </si>
  <si>
    <t xml:space="preserve">Effect of Foreign Exchange Rate Changes on Cash </t>
  </si>
  <si>
    <t>Currency Impact on Revenue</t>
  </si>
  <si>
    <t xml:space="preserve">Unrecored Goodwill from poolings, write-offs, etc. </t>
  </si>
  <si>
    <t>North America Revenue</t>
  </si>
  <si>
    <t>Revenue Europe</t>
  </si>
  <si>
    <t>Acquistions and Disposals</t>
  </si>
  <si>
    <t>NM</t>
  </si>
  <si>
    <t>Reported Growth (%)</t>
  </si>
  <si>
    <t>Acquisitions/Divestitures (%)</t>
  </si>
  <si>
    <t>Other (%)</t>
  </si>
  <si>
    <t>FX (%)</t>
  </si>
  <si>
    <t>Organic Growth (%)</t>
  </si>
  <si>
    <t>Currency</t>
  </si>
  <si>
    <t>Current Stock Price</t>
  </si>
  <si>
    <t>Count</t>
  </si>
  <si>
    <t>BFb.N,mscalc:closePriceCurrencyCalc</t>
  </si>
  <si>
    <t>BFb.N,mscalc:targetPrice,,,,USD</t>
  </si>
  <si>
    <t>BFb.N,mscalc:sedolCodeCalc</t>
  </si>
  <si>
    <t xml:space="preserve"> </t>
  </si>
  <si>
    <t>Oct-09</t>
  </si>
  <si>
    <t>Net Sales (including excise taxes)</t>
  </si>
  <si>
    <t>Jan-10</t>
  </si>
  <si>
    <t>n.m.f.</t>
  </si>
  <si>
    <t>Cash Provided by Operations</t>
  </si>
  <si>
    <t>2146838</t>
  </si>
  <si>
    <t>Apr-10</t>
  </si>
  <si>
    <t>FY2010</t>
  </si>
  <si>
    <t>Jul-19E</t>
  </si>
  <si>
    <t>Oct-19E</t>
  </si>
  <si>
    <t>Jan-20E</t>
  </si>
  <si>
    <t>Apr-20E</t>
  </si>
  <si>
    <t>FY2020E</t>
  </si>
  <si>
    <t>Cap-Ex as % of Sales</t>
  </si>
  <si>
    <t>Alternative ROIC:</t>
  </si>
  <si>
    <t>Invested Capital</t>
  </si>
  <si>
    <t>Jul-10</t>
  </si>
  <si>
    <t>Oct-10</t>
  </si>
  <si>
    <t>Jan-11</t>
  </si>
  <si>
    <t>Jul-20E</t>
  </si>
  <si>
    <t>Oct-20E</t>
  </si>
  <si>
    <t>Jan-21E</t>
  </si>
  <si>
    <t>Apr-21E</t>
  </si>
  <si>
    <t>FY2021E</t>
  </si>
  <si>
    <t>Apr-11</t>
  </si>
  <si>
    <t>FY2011</t>
  </si>
  <si>
    <t>Jul-11</t>
  </si>
  <si>
    <t>NA</t>
  </si>
  <si>
    <t>Oct-11</t>
  </si>
  <si>
    <t>Jan-12</t>
  </si>
  <si>
    <t>,mscalc:sedolCodeCalc</t>
  </si>
  <si>
    <t>,mscalc:closePriceCurrencyCalc</t>
  </si>
  <si>
    <t>,mscalc:targetPrice,,,,USD</t>
  </si>
  <si>
    <t>BFb.N,mscalc:targetPrice</t>
  </si>
  <si>
    <t>$N$2</t>
  </si>
  <si>
    <t>Apr-12</t>
  </si>
  <si>
    <t>FY2012</t>
  </si>
  <si>
    <t>Jul-12</t>
  </si>
  <si>
    <t>Oct-12</t>
  </si>
  <si>
    <t>Jul-21E</t>
  </si>
  <si>
    <t>Oct-21E</t>
  </si>
  <si>
    <t>Jan-22E</t>
  </si>
  <si>
    <t>Apr-22E</t>
  </si>
  <si>
    <t>FY2022E</t>
  </si>
  <si>
    <t>YTD Depletions</t>
  </si>
  <si>
    <t xml:space="preserve">  JD Family of Whiskey Brands</t>
  </si>
  <si>
    <t xml:space="preserve">  JD RTD</t>
  </si>
  <si>
    <t xml:space="preserve">  Southern Comfort</t>
  </si>
  <si>
    <t xml:space="preserve">  Southern Comfort RTD/RTP</t>
  </si>
  <si>
    <t>Southern Comfort Family of Brands</t>
  </si>
  <si>
    <t>el Jimador Family of Brands</t>
  </si>
  <si>
    <t>el Jimador</t>
  </si>
  <si>
    <t>New Mix RTD</t>
  </si>
  <si>
    <t>Fetzer Valley Oaks</t>
  </si>
  <si>
    <t>Canadian Mist</t>
  </si>
  <si>
    <t>Korbel Champagne</t>
  </si>
  <si>
    <t>Super-Premium Other</t>
  </si>
  <si>
    <t>Rest of Brand Portfolio</t>
  </si>
  <si>
    <t>Total Active Brands</t>
  </si>
  <si>
    <t>Jack Daniel's Family of Brands</t>
  </si>
  <si>
    <t>Brand Performance</t>
  </si>
  <si>
    <t>Reported Net Sales Growth</t>
  </si>
  <si>
    <t>Finlandia RTD</t>
  </si>
  <si>
    <t>Jan-13</t>
  </si>
  <si>
    <t>HSD</t>
  </si>
  <si>
    <t>MSD</t>
  </si>
  <si>
    <t>(212) 761 - 7250</t>
  </si>
  <si>
    <t>bob.doctor@morganstanley.com</t>
  </si>
  <si>
    <t>Apr-13</t>
  </si>
  <si>
    <t>FY2013</t>
  </si>
  <si>
    <t>YTD depletions - Jack Daniel's</t>
  </si>
  <si>
    <t>ESTIMATED JD QUARTERLY DEPLETIONS</t>
  </si>
  <si>
    <t>Jul-13</t>
  </si>
  <si>
    <t>Depreciation and amortization</t>
  </si>
  <si>
    <t>Oct-13</t>
  </si>
  <si>
    <t>Jan-14</t>
  </si>
  <si>
    <t>Underlying Sales Growth</t>
  </si>
  <si>
    <t>Apr-14</t>
  </si>
  <si>
    <t>FY2014</t>
  </si>
  <si>
    <t>LBO Model Items</t>
  </si>
  <si>
    <t>Net Sales</t>
  </si>
  <si>
    <t>Other Non-Op Income</t>
  </si>
  <si>
    <t xml:space="preserve">EBITDA </t>
  </si>
  <si>
    <t>Other Adjustments</t>
  </si>
  <si>
    <t>Changes in Working Capital</t>
  </si>
  <si>
    <t>Cash - Beginning Balance</t>
  </si>
  <si>
    <t>Jul-14</t>
  </si>
  <si>
    <t>Bob Doctor, CFA</t>
  </si>
  <si>
    <t>Oct-14</t>
  </si>
  <si>
    <t xml:space="preserve">  JD Tennessee Whiskey</t>
  </si>
  <si>
    <t xml:space="preserve">  JD Tennessee Honey</t>
  </si>
  <si>
    <t xml:space="preserve">  Other JD Whiskey Brands</t>
  </si>
  <si>
    <t>Finlandia Family</t>
  </si>
  <si>
    <t>Herradura</t>
  </si>
  <si>
    <t>Woodford Reserve Family</t>
  </si>
  <si>
    <t>Jan-15</t>
  </si>
  <si>
    <t>Apr-15</t>
  </si>
  <si>
    <t>FY2015</t>
  </si>
  <si>
    <t xml:space="preserve"> Jul-15</t>
  </si>
  <si>
    <t>EM</t>
  </si>
  <si>
    <t>Developed Markets (ex US)</t>
  </si>
  <si>
    <t>Oct-15</t>
  </si>
  <si>
    <t>Travel Retail</t>
  </si>
  <si>
    <t>LDD</t>
  </si>
  <si>
    <t>Jan-16</t>
  </si>
  <si>
    <t>Apr-16</t>
  </si>
  <si>
    <t>SoCo 2 Months:</t>
  </si>
  <si>
    <t>FY2016</t>
  </si>
  <si>
    <t>By Region (Underlying Sales Growth, YTD)</t>
  </si>
  <si>
    <t>Quarterly</t>
  </si>
  <si>
    <t>Jul-16</t>
  </si>
  <si>
    <t>Oct-16</t>
  </si>
  <si>
    <t>Filippo Falorni, CFA</t>
  </si>
  <si>
    <t>(212) 296 - 4965</t>
  </si>
  <si>
    <t>filippo.falorni@morganstanley.com</t>
  </si>
  <si>
    <t>Jan-17</t>
  </si>
  <si>
    <t>Apr-17</t>
  </si>
  <si>
    <t>FY2017</t>
  </si>
  <si>
    <t>Jul-17</t>
  </si>
  <si>
    <t xml:space="preserve">  Gentlemen Jack</t>
  </si>
  <si>
    <t xml:space="preserve">  JD Tennessee Fire</t>
  </si>
  <si>
    <t>Scott Rotondi</t>
  </si>
  <si>
    <t>(212) 761 - 9196</t>
  </si>
  <si>
    <t>scott.rotondi@morganstanley.com</t>
  </si>
  <si>
    <t>47</t>
  </si>
  <si>
    <t>Oct-17</t>
  </si>
  <si>
    <t>Research</t>
  </si>
  <si>
    <t>MSA12783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</si>
  <si>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</si>
  <si>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</si>
  <si>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</si>
  <si>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</si>
  <si>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</si>
  <si>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</si>
  <si>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</si>
  <si>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Dara Mohsenian</t>
  </si>
  <si>
    <t>Date: 28 Feb 2018</t>
  </si>
  <si>
    <t>Ticker: BFb.N</t>
  </si>
  <si>
    <t>Stock Rating: Underweight</t>
  </si>
  <si>
    <t>Industry: Beverages</t>
  </si>
  <si>
    <t>Industry View: In-Line</t>
  </si>
  <si>
    <t>Price as of 28 Feb 2018: 55.81</t>
  </si>
  <si>
    <t>Target Price: 57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</si>
  <si>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</si>
  <si>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</si>
  <si>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</si>
  <si>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</si>
  <si>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Brown-Forman Corporation.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</si>
  <si>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</si>
  <si>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</si>
  <si>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</si>
  <si>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</si>
  <si>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</si>
  <si>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</si>
  <si>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</si>
  <si>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</si>
  <si>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</si>
  <si>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</si>
  <si>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</si>
  <si>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</si>
  <si>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</si>
  <si>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</si>
  <si>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</si>
  <si>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</si>
  <si>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</si>
  <si>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</si>
  <si>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</si>
  <si>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</si>
  <si>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</si>
  <si>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</si>
  <si>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</si>
  <si>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</si>
  <si>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</si>
  <si>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</si>
  <si>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</si>
  <si>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</si>
  <si>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</si>
  <si>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</si>
  <si>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</si>
  <si>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</si>
  <si>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</si>
  <si>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</si>
  <si>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</si>
  <si>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</si>
  <si>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</si>
  <si>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</si>
  <si>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</si>
  <si>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</si>
  <si>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</si>
  <si>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</si>
  <si>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</si>
  <si>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</si>
  <si>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</si>
  <si>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</si>
  <si>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</si>
  <si>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</si>
  <si>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</si>
  <si>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</si>
  <si>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</si>
  <si>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</si>
  <si>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</si>
  <si>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</si>
  <si>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</si>
  <si>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</si>
  <si>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</si>
  <si>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</si>
  <si>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</si>
  <si>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</si>
  <si>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</si>
  <si>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</si>
  <si>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</si>
  <si>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</si>
  <si>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</si>
  <si>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</si>
  <si>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</si>
  <si>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</si>
  <si>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</si>
  <si>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</si>
  <si>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</si>
  <si>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</si>
  <si>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</si>
  <si>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</si>
  <si>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</si>
  <si>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</si>
  <si>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</si>
  <si>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</si>
  <si>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</si>
  <si>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</si>
  <si>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</si>
  <si>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</si>
  <si>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</si>
  <si>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</si>
  <si>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</si>
  <si>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</si>
  <si>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</si>
  <si>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</si>
  <si>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</si>
  <si>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</si>
  <si>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</si>
  <si>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</si>
  <si>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</si>
  <si>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</si>
  <si>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</si>
  <si>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</si>
  <si>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</si>
  <si>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</si>
  <si>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</si>
  <si>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</si>
  <si>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</si>
  <si>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</si>
  <si>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</si>
  <si>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</si>
  <si>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</si>
  <si>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</si>
  <si>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</si>
  <si>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</si>
  <si>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</si>
  <si>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</si>
  <si>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</si>
  <si>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</si>
  <si>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</si>
  <si>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</si>
  <si>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</si>
  <si>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</si>
  <si>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</si>
  <si>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</si>
  <si>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</si>
  <si>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</si>
  <si>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</si>
  <si>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</si>
  <si>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</si>
  <si>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</si>
  <si>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</si>
  <si>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</si>
  <si>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</si>
  <si>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</si>
  <si>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</si>
  <si>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</si>
  <si>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</si>
  <si>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</si>
  <si>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</si>
  <si>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</si>
  <si>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</si>
  <si>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</si>
  <si>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</si>
  <si>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</si>
  <si>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</si>
  <si>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</si>
  <si>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</si>
  <si>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</si>
  <si>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</si>
  <si>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</si>
  <si>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</si>
  <si>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</si>
  <si>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</si>
  <si>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</si>
  <si>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</si>
  <si>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</si>
  <si>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</si>
  <si>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</si>
  <si>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</si>
  <si>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</si>
  <si>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</si>
  <si>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</si>
  <si>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</si>
  <si>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</si>
  <si>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</si>
  <si>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</si>
  <si>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</si>
  <si>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</si>
  <si>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</si>
  <si>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</si>
  <si>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</si>
  <si>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</si>
  <si>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</si>
  <si>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</si>
  <si>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</si>
  <si>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</si>
  <si>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</si>
  <si>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</si>
  <si>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</si>
  <si>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</si>
  <si>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</si>
  <si>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</si>
  <si>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</si>
  <si>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</si>
  <si>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</si>
  <si>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</si>
  <si>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</si>
  <si>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</si>
  <si>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</si>
  <si>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</si>
  <si>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</si>
  <si>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</si>
  <si>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</si>
  <si>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</si>
  <si>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</si>
  <si>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</si>
  <si>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</si>
  <si>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</si>
  <si>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</si>
  <si>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</si>
  <si>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</si>
  <si>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</si>
  <si>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</si>
  <si>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</si>
  <si>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</si>
  <si>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</si>
  <si>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</si>
  <si>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</si>
  <si>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</si>
  <si>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</si>
  <si>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</si>
  <si>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</si>
  <si>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</si>
  <si>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</si>
  <si>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</si>
  <si>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</si>
  <si>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</si>
  <si>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</si>
  <si>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</si>
  <si>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</si>
  <si>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</si>
  <si>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</si>
  <si>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</si>
  <si>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</si>
  <si>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</si>
  <si>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</si>
  <si>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</si>
  <si>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</si>
  <si>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</si>
  <si>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</si>
  <si>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</si>
  <si>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</si>
  <si>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</si>
  <si>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</si>
  <si>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</si>
  <si>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</si>
  <si>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</si>
  <si>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</si>
  <si>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</si>
  <si>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</si>
  <si>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</si>
  <si>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</si>
  <si>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</si>
  <si>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</si>
  <si>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</si>
  <si>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</si>
  <si>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</si>
  <si>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</si>
  <si>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</si>
  <si>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Brown-Forman Corporation.</t>
  </si>
  <si>
    <t>Within the last 12 months, Morgan Stanley has provided or is providing investment banking services to,</t>
  </si>
  <si>
    <t>or has an investment banking client relationship with, the following company: Brown-Forman Corporation.</t>
  </si>
  <si>
    <t>In the next 3 months, Morgan Stanley expects to receive or intends to seek compensation for investment</t>
  </si>
  <si>
    <t>banking services from Brown-Forman Corporation.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</si>
  <si>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</si>
  <si>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</si>
  <si>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</si>
  <si>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</si>
  <si>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</si>
  <si>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Dara Mohsenian, CFA.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</si>
  <si>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</si>
  <si>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</si>
  <si>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</si>
  <si>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</si>
  <si>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</si>
  <si>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</si>
  <si>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</si>
  <si>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</si>
  <si>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</si>
  <si>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</si>
  <si>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</si>
  <si>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</si>
  <si>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</si>
  <si>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</si>
  <si>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</si>
  <si>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</si>
  <si>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</si>
  <si>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</si>
  <si>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</si>
  <si>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</si>
  <si>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</si>
  <si>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</si>
  <si>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</si>
  <si>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</si>
  <si>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</si>
  <si>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</si>
  <si>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</si>
  <si>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</si>
  <si>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</si>
  <si>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</si>
  <si>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</si>
  <si>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</si>
  <si>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</si>
  <si>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</si>
  <si>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</si>
  <si>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</si>
  <si>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</si>
  <si>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</si>
  <si>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</si>
  <si>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</si>
  <si>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</si>
  <si>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</si>
  <si>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</si>
  <si>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</si>
  <si>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</si>
  <si>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</si>
  <si>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</si>
  <si>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</si>
  <si>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</si>
  <si>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</si>
  <si>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</si>
  <si>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</si>
  <si>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</si>
  <si>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</si>
  <si>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</si>
  <si>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</si>
  <si>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</si>
  <si>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</si>
  <si>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</si>
  <si>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</si>
  <si>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</si>
  <si>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</si>
  <si>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</si>
  <si>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</si>
  <si>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</si>
  <si>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</si>
  <si>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</si>
  <si>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</si>
  <si>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Underweight / In-Line</t>
  </si>
  <si>
    <t>News Event</t>
  </si>
  <si>
    <t>NorthAmerica</t>
  </si>
  <si>
    <t>rotonsco</t>
  </si>
  <si>
    <t>L:\CONSUMER\STAPLES\BFB\Model\Published Model\BFB_SplitModel.xlsm</t>
  </si>
  <si>
    <t>[BRO MSA]</t>
  </si>
  <si>
    <t>[PRODUCT MODEL]</t>
  </si>
  <si>
    <t>[EMAIL_ALERT YES]</t>
  </si>
  <si>
    <t>[DISCIPLINE Company]</t>
  </si>
  <si>
    <t>[SUPPRESSED NO]</t>
  </si>
  <si>
    <t>[DOCDAT 2018-02-28]</t>
  </si>
  <si>
    <t>[DOCTIME 20:41]</t>
  </si>
  <si>
    <t>[PSYM BFb.N(S&amp;P) (None)]</t>
  </si>
  <si>
    <t>[COU 1]</t>
  </si>
  <si>
    <t>[ANA ]</t>
  </si>
  <si>
    <t>[HL BFb.N Model]</t>
  </si>
  <si>
    <t>[IND BEVALC]</t>
  </si>
  <si>
    <t>[PANA MSA12783]</t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</si>
  <si>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selecting the Apply Circular Settings button below.</t>
    </r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</si>
  <si>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applying the following settings in the Tools &gt;&gt; Options &gt;&gt; Calculation dialog box:</t>
    </r>
  </si>
  <si>
    <t>Clicking the Apply Circular Settings button will display the model worksheets and make the following settings changes in the Tools &gt;&gt; Options &gt;&gt; Calculation dialog box:</t>
  </si>
  <si>
    <t>1) Select the Iteration check box</t>
  </si>
  <si>
    <t>Failure to apply these settings can result in incorrect calculation or unexpected termination of your Microsoft Excel session.</t>
  </si>
  <si>
    <t>2) Set Maximum Iterations = 100</t>
  </si>
  <si>
    <t>3) Set Maximum Change = 0.001</t>
  </si>
  <si>
    <t>Sheet Name</t>
  </si>
  <si>
    <t>Visible Status</t>
  </si>
  <si>
    <t>ImportantDisclosures</t>
  </si>
  <si>
    <t>SheetVisibilityStatus</t>
  </si>
  <si>
    <t>CircularReferenceAlert</t>
  </si>
  <si>
    <t>CoverSheet</t>
  </si>
  <si>
    <t>__FDSCACHE__</t>
  </si>
  <si>
    <t>Financials</t>
  </si>
  <si>
    <t>IndexInformation</t>
  </si>
  <si>
    <t>ModPubIndex</t>
  </si>
  <si>
    <t>MW-Cache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</si>
</sst>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#,##0.0"/>
    <numFmt numFmtId="166" formatCode="0.0"/>
    <numFmt numFmtId="167" formatCode="&quot;$&quot;#,##0.00"/>
    <numFmt numFmtId="168" formatCode="_(* #,##0_);_(* \(#,##0\);_(* &quot;-&quot;??_);_(@_)"/>
    <numFmt numFmtId="169" formatCode="_(* #,##0.0_);_(* \(#,##0.0\);_(* &quot;-&quot;??_);_(@_)"/>
    <numFmt numFmtId="172" formatCode="0.0_);\(0.0\)"/>
    <numFmt numFmtId="173" formatCode="&quot;$&quot;#,##0.0_);\(&quot;$&quot;#,##0.0\)"/>
    <numFmt numFmtId="182" formatCode="&quot;$&quot;#,##0.0_);[Red]\(&quot;$&quot;#,##0.0\)"/>
    <numFmt numFmtId="186" formatCode="0.000%"/>
    <numFmt numFmtId="187" formatCode="_(&quot;$&quot;* #,##0.000_);_(&quot;$&quot;* \(#,##0.000\);_(&quot;$&quot;* &quot;-&quot;??_);_(@_)"/>
    <numFmt numFmtId="189" formatCode="0.000"/>
    <numFmt numFmtId="190" formatCode="&quot;$&quot;#,##0.000_);[Red]\(&quot;$&quot;#,##0.000\)"/>
    <numFmt numFmtId="196" formatCode="mm/dd/yy\ hh:mm"/>
  </numFmts>
  <fonts count="91" x14ac:knownFonts="1">
    <font>
      <sz val="10"/>
      <name val="Arial"/>
    </font>
    <font>
      <sz val="10"/>
      <name val="Arial"/>
      <family val="2"/>
    </font>
    <font>
      <sz val="10"/>
      <color indexed="8"/>
      <name val="MS Sans Serif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10"/>
      <color indexed="1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12"/>
      <color indexed="9"/>
      <name val="Arial"/>
      <family val="2"/>
    </font>
    <font>
      <sz val="12"/>
      <color indexed="9"/>
      <name val="Arial"/>
      <family val="2"/>
    </font>
    <font>
      <b/>
      <sz val="14"/>
      <color indexed="9"/>
      <name val="Arial"/>
      <family val="2"/>
    </font>
    <font>
      <i/>
      <sz val="10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b/>
      <i/>
      <sz val="11"/>
      <color indexed="9"/>
      <name val="Arial"/>
      <family val="2"/>
    </font>
    <font>
      <b/>
      <i/>
      <sz val="10"/>
      <color indexed="9"/>
      <name val="Arial"/>
      <family val="2"/>
    </font>
    <font>
      <b/>
      <sz val="10"/>
      <color indexed="9"/>
      <name val="Arial"/>
      <family val="2"/>
    </font>
    <font>
      <b/>
      <u/>
      <sz val="10"/>
      <color indexed="9"/>
      <name val="Arial"/>
      <family val="2"/>
    </font>
    <font>
      <i/>
      <sz val="11"/>
      <color indexed="9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name val="Arial"/>
      <family val="2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0"/>
      <color indexed="12"/>
      <name val="Arial"/>
      <family val="2"/>
    </font>
    <font>
      <sz val="11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b/>
      <u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8"/>
      <name val="Arial"/>
      <family val="2"/>
    </font>
    <font>
      <u/>
      <sz val="10"/>
      <color indexed="12"/>
      <name val="Arial"/>
      <family val="2"/>
    </font>
    <font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23"/>
      <name val="Arial"/>
      <family val="2"/>
    </font>
    <font>
      <b/>
      <u/>
      <sz val="10"/>
      <color indexed="8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0"/>
      <color indexed="17"/>
      <name val="Arial"/>
      <family val="2"/>
    </font>
    <font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9"/>
      <name val="Times New Roman"/>
      <family val="1"/>
    </font>
    <font>
      <b/>
      <i/>
      <sz val="10"/>
      <color indexed="12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u/>
      <sz val="10"/>
      <color theme="0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u/>
      <sz val="14"/>
      <color indexed="10"/>
      <name val="Arial"/>
      <family val="2"/>
    </font>
    <font>
      <b/>
      <sz val="1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79">
    <xf numFmtId="0" fontId="0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24" fillId="0" borderId="0"/>
    <xf numFmtId="0" fontId="71" fillId="0" borderId="0"/>
    <xf numFmtId="0" fontId="24" fillId="0" borderId="0"/>
    <xf numFmtId="0" fontId="71" fillId="0" borderId="0"/>
    <xf numFmtId="0" fontId="50" fillId="2" borderId="0" applyNumberFormat="0" applyBorder="0" applyAlignment="0" applyProtection="0"/>
    <xf numFmtId="0" fontId="50" fillId="3" borderId="0" applyNumberFormat="0" applyBorder="0" applyAlignment="0" applyProtection="0"/>
    <xf numFmtId="0" fontId="50" fillId="4" borderId="0" applyNumberFormat="0" applyBorder="0" applyAlignment="0" applyProtection="0"/>
    <xf numFmtId="0" fontId="50" fillId="2" borderId="0" applyNumberFormat="0" applyBorder="0" applyAlignment="0" applyProtection="0"/>
    <xf numFmtId="0" fontId="50" fillId="5" borderId="0" applyNumberFormat="0" applyBorder="0" applyAlignment="0" applyProtection="0"/>
    <xf numFmtId="0" fontId="50" fillId="4" borderId="0" applyNumberFormat="0" applyBorder="0" applyAlignment="0" applyProtection="0"/>
    <xf numFmtId="0" fontId="50" fillId="6" borderId="0" applyNumberFormat="0" applyBorder="0" applyAlignment="0" applyProtection="0"/>
    <xf numFmtId="0" fontId="50" fillId="3" borderId="0" applyNumberFormat="0" applyBorder="0" applyAlignment="0" applyProtection="0"/>
    <xf numFmtId="0" fontId="50" fillId="4" borderId="0" applyNumberFormat="0" applyBorder="0" applyAlignment="0" applyProtection="0"/>
    <xf numFmtId="0" fontId="50" fillId="6" borderId="0" applyNumberFormat="0" applyBorder="0" applyAlignment="0" applyProtection="0"/>
    <xf numFmtId="0" fontId="50" fillId="7" borderId="0" applyNumberFormat="0" applyBorder="0" applyAlignment="0" applyProtection="0"/>
    <xf numFmtId="0" fontId="50" fillId="4" borderId="0" applyNumberFormat="0" applyBorder="0" applyAlignment="0" applyProtection="0"/>
    <xf numFmtId="0" fontId="51" fillId="8" borderId="0" applyNumberFormat="0" applyBorder="0" applyAlignment="0" applyProtection="0"/>
    <xf numFmtId="0" fontId="51" fillId="3" borderId="0" applyNumberFormat="0" applyBorder="0" applyAlignment="0" applyProtection="0"/>
    <xf numFmtId="0" fontId="51" fillId="9" borderId="0" applyNumberFormat="0" applyBorder="0" applyAlignment="0" applyProtection="0"/>
    <xf numFmtId="0" fontId="51" fillId="6" borderId="0" applyNumberFormat="0" applyBorder="0" applyAlignment="0" applyProtection="0"/>
    <xf numFmtId="0" fontId="51" fillId="8" borderId="0" applyNumberFormat="0" applyBorder="0" applyAlignment="0" applyProtection="0"/>
    <xf numFmtId="0" fontId="51" fillId="4" borderId="0" applyNumberFormat="0" applyBorder="0" applyAlignment="0" applyProtection="0"/>
    <xf numFmtId="0" fontId="51" fillId="8" borderId="0" applyNumberFormat="0" applyBorder="0" applyAlignment="0" applyProtection="0"/>
    <xf numFmtId="0" fontId="51" fillId="3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8" borderId="0" applyNumberFormat="0" applyBorder="0" applyAlignment="0" applyProtection="0"/>
    <xf numFmtId="0" fontId="51" fillId="3" borderId="0" applyNumberFormat="0" applyBorder="0" applyAlignment="0" applyProtection="0"/>
    <xf numFmtId="0" fontId="52" fillId="11" borderId="0" applyNumberFormat="0" applyBorder="0" applyAlignment="0" applyProtection="0"/>
    <xf numFmtId="0" fontId="25" fillId="0" borderId="0"/>
    <xf numFmtId="0" fontId="72" fillId="0" borderId="0"/>
    <xf numFmtId="0" fontId="53" fillId="12" borderId="1" applyNumberFormat="0" applyAlignment="0" applyProtection="0"/>
    <xf numFmtId="0" fontId="54" fillId="13" borderId="2" applyNumberFormat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0" fillId="0" borderId="0" applyFont="0" applyFill="0" applyBorder="0" applyAlignment="0" applyProtection="0"/>
    <xf numFmtId="44" fontId="74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77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14" borderId="0" applyNumberFormat="0" applyBorder="0" applyAlignment="0" applyProtection="0"/>
    <xf numFmtId="0" fontId="57" fillId="0" borderId="3" applyNumberFormat="0" applyFill="0" applyAlignment="0" applyProtection="0"/>
    <xf numFmtId="0" fontId="58" fillId="0" borderId="4" applyNumberFormat="0" applyFill="0" applyAlignment="0" applyProtection="0"/>
    <xf numFmtId="0" fontId="59" fillId="0" borderId="5" applyNumberFormat="0" applyFill="0" applyAlignment="0" applyProtection="0"/>
    <xf numFmtId="0" fontId="59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60" fillId="4" borderId="1" applyNumberFormat="0" applyAlignment="0" applyProtection="0"/>
    <xf numFmtId="0" fontId="61" fillId="0" borderId="6" applyNumberFormat="0" applyFill="0" applyAlignment="0" applyProtection="0"/>
    <xf numFmtId="0" fontId="62" fillId="4" borderId="0" applyNumberFormat="0" applyBorder="0" applyAlignment="0" applyProtection="0"/>
    <xf numFmtId="0" fontId="70" fillId="0" borderId="0"/>
    <xf numFmtId="0" fontId="74" fillId="0" borderId="0"/>
    <xf numFmtId="0" fontId="27" fillId="0" borderId="0"/>
    <xf numFmtId="0" fontId="77" fillId="0" borderId="0"/>
    <xf numFmtId="0" fontId="2" fillId="0" borderId="0" applyNumberFormat="0" applyFont="0" applyFill="0" applyBorder="0" applyAlignment="0" applyProtection="0"/>
    <xf numFmtId="0" fontId="1" fillId="0" borderId="0">
      <alignment horizontal="left" vertical="top" wrapText="1"/>
    </xf>
    <xf numFmtId="0" fontId="67" fillId="0" borderId="0"/>
    <xf numFmtId="0" fontId="1" fillId="0" borderId="0"/>
    <xf numFmtId="0" fontId="2" fillId="0" borderId="0" applyNumberFormat="0" applyFont="0" applyFill="0" applyBorder="0" applyAlignment="0" applyProtection="0"/>
    <xf numFmtId="0" fontId="1" fillId="4" borderId="7" applyNumberFormat="0" applyFont="0" applyAlignment="0" applyProtection="0"/>
    <xf numFmtId="0" fontId="63" fillId="12" borderId="8" applyNumberFormat="0" applyAlignment="0" applyProtection="0"/>
    <xf numFmtId="0" fontId="26" fillId="0" borderId="0">
      <alignment vertical="center"/>
    </xf>
    <xf numFmtId="9" fontId="1" fillId="0" borderId="0" applyFont="0" applyFill="0" applyBorder="0" applyAlignment="0" applyProtection="0"/>
    <xf numFmtId="0" fontId="27" fillId="15" borderId="0" applyNumberFormat="0" applyFont="0" applyBorder="0" applyAlignment="0" applyProtection="0"/>
    <xf numFmtId="0" fontId="28" fillId="0" borderId="0"/>
    <xf numFmtId="0" fontId="73" fillId="0" borderId="0"/>
    <xf numFmtId="0" fontId="28" fillId="0" borderId="9">
      <alignment horizontal="centerContinuous"/>
    </xf>
    <xf numFmtId="0" fontId="73" fillId="0" borderId="9">
      <alignment horizontal="centerContinuous"/>
    </xf>
    <xf numFmtId="0" fontId="29" fillId="0" borderId="9"/>
    <xf numFmtId="0" fontId="1" fillId="0" borderId="0">
      <alignment vertical="top"/>
    </xf>
    <xf numFmtId="0" fontId="64" fillId="0" borderId="0" applyNumberFormat="0" applyFill="0" applyBorder="0" applyAlignment="0" applyProtection="0"/>
    <xf numFmtId="0" fontId="65" fillId="0" borderId="10" applyNumberFormat="0" applyFill="0" applyAlignment="0" applyProtection="0"/>
    <xf numFmtId="0" fontId="66" fillId="0" borderId="0" applyNumberFormat="0" applyFill="0" applyBorder="0" applyAlignment="0" applyProtection="0"/>
    <xf numFmtId="0" fontId="1" fillId="0" borderId="0"/>
    <xf numFmtId="0" fontId="1" fillId="15" borderId="0" applyNumberFormat="0" applyFont="0" applyBorder="0" applyAlignment="0" applyProtection="0"/>
    <xf numFmtId="0" fontId="84" fillId="0" borderId="0"/>
  </cellStyleXfs>
  <cellXfs count="465">
    <xf numFmtId="0" fontId="0" fillId="0" borderId="0" xfId="0"/>
    <xf numFmtId="0" fontId="7" fillId="17" borderId="0" xfId="60" applyFont="1" applyFill="1"/>
    <xf numFmtId="0" fontId="1" fillId="17" borderId="0" xfId="0" applyFont="1" applyFill="1"/>
    <xf numFmtId="0" fontId="0" fillId="17" borderId="0" xfId="0" applyFill="1"/>
    <xf numFmtId="0" fontId="8" fillId="17" borderId="0" xfId="60" applyFont="1" applyFill="1"/>
    <xf numFmtId="0" fontId="9" fillId="17" borderId="0" xfId="60" applyFont="1" applyFill="1" applyBorder="1"/>
    <xf numFmtId="0" fontId="10" fillId="17" borderId="0" xfId="60" applyFont="1" applyFill="1" applyBorder="1"/>
    <xf numFmtId="0" fontId="11" fillId="17" borderId="0" xfId="60" applyFont="1" applyFill="1" applyBorder="1"/>
    <xf numFmtId="0" fontId="12" fillId="17" borderId="0" xfId="60" applyFont="1" applyFill="1" applyBorder="1"/>
    <xf numFmtId="0" fontId="13" fillId="17" borderId="0" xfId="60" applyFont="1" applyFill="1" applyBorder="1"/>
    <xf numFmtId="0" fontId="14" fillId="17" borderId="0" xfId="60" applyFont="1" applyFill="1" applyBorder="1"/>
    <xf numFmtId="0" fontId="15" fillId="17" borderId="0" xfId="49" applyFont="1" applyFill="1" applyAlignment="1" applyProtection="1"/>
    <xf numFmtId="0" fontId="17" fillId="17" borderId="0" xfId="60" applyFont="1" applyFill="1" applyBorder="1"/>
    <xf numFmtId="0" fontId="18" fillId="17" borderId="0" xfId="0" applyFont="1" applyFill="1"/>
    <xf numFmtId="0" fontId="19" fillId="17" borderId="0" xfId="60" applyFont="1" applyFill="1" applyBorder="1"/>
    <xf numFmtId="0" fontId="20" fillId="17" borderId="0" xfId="60" applyFont="1" applyFill="1" applyBorder="1"/>
    <xf numFmtId="0" fontId="21" fillId="17" borderId="0" xfId="60" applyFont="1" applyFill="1" applyBorder="1"/>
    <xf numFmtId="0" fontId="22" fillId="17" borderId="0" xfId="49" applyFont="1" applyFill="1" applyAlignment="1" applyProtection="1"/>
    <xf numFmtId="0" fontId="23" fillId="17" borderId="0" xfId="60" applyFont="1" applyFill="1" applyBorder="1"/>
    <xf numFmtId="49" fontId="0" fillId="0" borderId="0" xfId="0" applyNumberFormat="1"/>
    <xf numFmtId="172" fontId="27" fillId="0" borderId="0" xfId="57" applyNumberFormat="1" applyFont="1" applyFill="1"/>
    <xf numFmtId="169" fontId="36" fillId="0" borderId="0" xfId="37" applyNumberFormat="1" applyFont="1" applyFill="1"/>
    <xf numFmtId="164" fontId="36" fillId="0" borderId="0" xfId="65" applyNumberFormat="1" applyFont="1" applyFill="1" applyAlignment="1">
      <alignment horizontal="center"/>
    </xf>
    <xf numFmtId="164" fontId="27" fillId="0" borderId="0" xfId="65" applyNumberFormat="1" applyFont="1" applyFill="1" applyAlignment="1">
      <alignment horizontal="center"/>
    </xf>
    <xf numFmtId="164" fontId="18" fillId="16" borderId="0" xfId="65" applyNumberFormat="1" applyFont="1" applyFill="1" applyAlignment="1">
      <alignment horizontal="center"/>
    </xf>
    <xf numFmtId="164" fontId="27" fillId="16" borderId="0" xfId="65" applyNumberFormat="1" applyFont="1" applyFill="1" applyAlignment="1">
      <alignment horizontal="center"/>
    </xf>
    <xf numFmtId="165" fontId="18" fillId="16" borderId="0" xfId="0" applyNumberFormat="1" applyFont="1" applyFill="1" applyAlignment="1">
      <alignment horizontal="center"/>
    </xf>
    <xf numFmtId="165" fontId="27" fillId="16" borderId="0" xfId="0" applyNumberFormat="1" applyFont="1" applyFill="1" applyAlignment="1">
      <alignment horizontal="center"/>
    </xf>
    <xf numFmtId="166" fontId="27" fillId="16" borderId="0" xfId="0" applyNumberFormat="1" applyFont="1" applyFill="1" applyBorder="1" applyAlignment="1">
      <alignment horizontal="center"/>
    </xf>
    <xf numFmtId="164" fontId="37" fillId="16" borderId="0" xfId="65" applyNumberFormat="1" applyFont="1" applyFill="1" applyAlignment="1">
      <alignment horizontal="center"/>
    </xf>
    <xf numFmtId="166" fontId="27" fillId="16" borderId="0" xfId="0" applyNumberFormat="1" applyFont="1" applyFill="1" applyAlignment="1">
      <alignment horizontal="center"/>
    </xf>
    <xf numFmtId="0" fontId="30" fillId="0" borderId="0" xfId="61" applyFont="1" applyFill="1"/>
    <xf numFmtId="0" fontId="30" fillId="0" borderId="0" xfId="0" applyFont="1" applyFill="1"/>
    <xf numFmtId="0" fontId="18" fillId="0" borderId="0" xfId="0" applyFont="1" applyFill="1"/>
    <xf numFmtId="164" fontId="30" fillId="0" borderId="0" xfId="65" applyNumberFormat="1" applyFont="1" applyFill="1"/>
    <xf numFmtId="169" fontId="18" fillId="0" borderId="0" xfId="37" applyNumberFormat="1" applyFont="1" applyFill="1" applyAlignment="1">
      <alignment horizontal="center"/>
    </xf>
    <xf numFmtId="164" fontId="30" fillId="0" borderId="0" xfId="65" applyNumberFormat="1" applyFont="1" applyFill="1" applyAlignment="1">
      <alignment horizontal="center"/>
    </xf>
    <xf numFmtId="164" fontId="35" fillId="0" borderId="0" xfId="65" applyNumberFormat="1" applyFont="1"/>
    <xf numFmtId="0" fontId="35" fillId="0" borderId="0" xfId="0" applyFont="1"/>
    <xf numFmtId="0" fontId="18" fillId="0" borderId="0" xfId="0" applyFont="1" applyFill="1" applyAlignment="1">
      <alignment horizontal="left"/>
    </xf>
    <xf numFmtId="164" fontId="35" fillId="0" borderId="0" xfId="65" applyNumberFormat="1" applyFont="1" applyFill="1"/>
    <xf numFmtId="0" fontId="35" fillId="0" borderId="0" xfId="0" applyFont="1" applyFill="1"/>
    <xf numFmtId="4" fontId="18" fillId="0" borderId="0" xfId="0" applyNumberFormat="1" applyFont="1" applyBorder="1" applyAlignment="1">
      <alignment horizontal="left"/>
    </xf>
    <xf numFmtId="44" fontId="35" fillId="0" borderId="0" xfId="38" applyNumberFormat="1" applyFont="1" applyBorder="1"/>
    <xf numFmtId="165" fontId="35" fillId="0" borderId="0" xfId="0" applyNumberFormat="1" applyFont="1" applyBorder="1"/>
    <xf numFmtId="4" fontId="35" fillId="0" borderId="0" xfId="0" applyNumberFormat="1" applyFont="1" applyBorder="1"/>
    <xf numFmtId="165" fontId="35" fillId="0" borderId="0" xfId="0" applyNumberFormat="1" applyFont="1" applyAlignment="1">
      <alignment horizontal="center"/>
    </xf>
    <xf numFmtId="165" fontId="35" fillId="0" borderId="0" xfId="0" applyNumberFormat="1" applyFont="1"/>
    <xf numFmtId="0" fontId="30" fillId="0" borderId="0" xfId="0" applyFont="1" applyAlignment="1">
      <alignment horizontal="center"/>
    </xf>
    <xf numFmtId="165" fontId="30" fillId="0" borderId="0" xfId="0" applyNumberFormat="1" applyFont="1" applyAlignment="1">
      <alignment horizontal="center"/>
    </xf>
    <xf numFmtId="4" fontId="35" fillId="0" borderId="0" xfId="0" applyNumberFormat="1" applyFont="1"/>
    <xf numFmtId="164" fontId="30" fillId="0" borderId="0" xfId="65" applyNumberFormat="1" applyFont="1" applyAlignment="1">
      <alignment horizontal="center"/>
    </xf>
    <xf numFmtId="0" fontId="36" fillId="0" borderId="0" xfId="0" applyFont="1"/>
    <xf numFmtId="17" fontId="35" fillId="0" borderId="11" xfId="0" quotePrefix="1" applyNumberFormat="1" applyFont="1" applyBorder="1" applyAlignment="1">
      <alignment horizontal="center"/>
    </xf>
    <xf numFmtId="0" fontId="35" fillId="18" borderId="11" xfId="0" applyFont="1" applyFill="1" applyBorder="1" applyAlignment="1">
      <alignment horizontal="center"/>
    </xf>
    <xf numFmtId="166" fontId="36" fillId="0" borderId="0" xfId="0" applyNumberFormat="1" applyFont="1"/>
    <xf numFmtId="0" fontId="27" fillId="0" borderId="0" xfId="0" applyFont="1" applyAlignment="1">
      <alignment horizontal="center"/>
    </xf>
    <xf numFmtId="165" fontId="35" fillId="18" borderId="0" xfId="0" applyNumberFormat="1" applyFont="1" applyFill="1" applyAlignment="1">
      <alignment horizontal="center"/>
    </xf>
    <xf numFmtId="165" fontId="18" fillId="0" borderId="0" xfId="0" applyNumberFormat="1" applyFont="1" applyAlignment="1">
      <alignment horizontal="center"/>
    </xf>
    <xf numFmtId="165" fontId="18" fillId="18" borderId="0" xfId="0" applyNumberFormat="1" applyFont="1" applyFill="1" applyAlignment="1">
      <alignment horizontal="center"/>
    </xf>
    <xf numFmtId="164" fontId="36" fillId="0" borderId="0" xfId="65" applyNumberFormat="1" applyFont="1" applyAlignment="1">
      <alignment horizontal="center"/>
    </xf>
    <xf numFmtId="164" fontId="35" fillId="0" borderId="0" xfId="0" applyNumberFormat="1" applyFont="1"/>
    <xf numFmtId="165" fontId="18" fillId="0" borderId="0" xfId="0" applyNumberFormat="1" applyFont="1" applyFill="1" applyAlignment="1">
      <alignment horizontal="center"/>
    </xf>
    <xf numFmtId="164" fontId="35" fillId="18" borderId="0" xfId="0" applyNumberFormat="1" applyFont="1" applyFill="1" applyAlignment="1">
      <alignment horizontal="center"/>
    </xf>
    <xf numFmtId="164" fontId="35" fillId="0" borderId="0" xfId="0" quotePrefix="1" applyNumberFormat="1" applyFont="1" applyAlignment="1">
      <alignment horizontal="center"/>
    </xf>
    <xf numFmtId="164" fontId="35" fillId="18" borderId="0" xfId="0" quotePrefix="1" applyNumberFormat="1" applyFont="1" applyFill="1" applyAlignment="1">
      <alignment horizontal="center"/>
    </xf>
    <xf numFmtId="164" fontId="35" fillId="0" borderId="0" xfId="0" applyNumberFormat="1" applyFont="1" applyAlignment="1">
      <alignment horizontal="center"/>
    </xf>
    <xf numFmtId="164" fontId="18" fillId="0" borderId="0" xfId="65" applyNumberFormat="1" applyFont="1" applyAlignment="1">
      <alignment horizontal="center"/>
    </xf>
    <xf numFmtId="164" fontId="30" fillId="18" borderId="0" xfId="65" applyNumberFormat="1" applyFont="1" applyFill="1" applyAlignment="1">
      <alignment horizontal="center"/>
    </xf>
    <xf numFmtId="164" fontId="27" fillId="0" borderId="0" xfId="65" applyNumberFormat="1" applyFont="1" applyAlignment="1">
      <alignment horizontal="center"/>
    </xf>
    <xf numFmtId="164" fontId="36" fillId="18" borderId="0" xfId="0" applyNumberFormat="1" applyFont="1" applyFill="1" applyAlignment="1">
      <alignment horizontal="center"/>
    </xf>
    <xf numFmtId="164" fontId="36" fillId="0" borderId="0" xfId="0" quotePrefix="1" applyNumberFormat="1" applyFont="1" applyAlignment="1">
      <alignment horizontal="center"/>
    </xf>
    <xf numFmtId="164" fontId="36" fillId="18" borderId="0" xfId="0" quotePrefix="1" applyNumberFormat="1" applyFont="1" applyFill="1" applyAlignment="1">
      <alignment horizontal="center"/>
    </xf>
    <xf numFmtId="164" fontId="36" fillId="0" borderId="0" xfId="0" applyNumberFormat="1" applyFont="1" applyAlignment="1">
      <alignment horizontal="center"/>
    </xf>
    <xf numFmtId="164" fontId="32" fillId="0" borderId="0" xfId="65" applyNumberFormat="1" applyFont="1" applyAlignment="1">
      <alignment horizontal="center"/>
    </xf>
    <xf numFmtId="164" fontId="32" fillId="18" borderId="0" xfId="65" applyNumberFormat="1" applyFont="1" applyFill="1" applyAlignment="1">
      <alignment horizontal="center"/>
    </xf>
    <xf numFmtId="164" fontId="36" fillId="0" borderId="0" xfId="65" applyNumberFormat="1" applyFont="1"/>
    <xf numFmtId="0" fontId="36" fillId="18" borderId="0" xfId="0" applyFont="1" applyFill="1"/>
    <xf numFmtId="164" fontId="40" fillId="18" borderId="0" xfId="0" quotePrefix="1" applyNumberFormat="1" applyFont="1" applyFill="1" applyAlignment="1">
      <alignment horizontal="center"/>
    </xf>
    <xf numFmtId="164" fontId="40" fillId="0" borderId="0" xfId="0" quotePrefix="1" applyNumberFormat="1" applyFont="1" applyAlignment="1">
      <alignment horizontal="center"/>
    </xf>
    <xf numFmtId="164" fontId="40" fillId="0" borderId="0" xfId="0" applyNumberFormat="1" applyFont="1" applyAlignment="1">
      <alignment horizontal="center"/>
    </xf>
    <xf numFmtId="164" fontId="40" fillId="18" borderId="0" xfId="0" applyNumberFormat="1" applyFont="1" applyFill="1" applyAlignment="1">
      <alignment horizontal="center"/>
    </xf>
    <xf numFmtId="164" fontId="41" fillId="0" borderId="0" xfId="65" applyNumberFormat="1" applyFont="1" applyAlignment="1">
      <alignment horizontal="center"/>
    </xf>
    <xf numFmtId="164" fontId="37" fillId="0" borderId="0" xfId="65" applyNumberFormat="1" applyFont="1" applyAlignment="1">
      <alignment horizontal="center"/>
    </xf>
    <xf numFmtId="164" fontId="41" fillId="18" borderId="0" xfId="65" applyNumberFormat="1" applyFont="1" applyFill="1" applyAlignment="1">
      <alignment horizontal="center"/>
    </xf>
    <xf numFmtId="164" fontId="18" fillId="0" borderId="0" xfId="0" applyNumberFormat="1" applyFont="1" applyAlignment="1">
      <alignment horizontal="center"/>
    </xf>
    <xf numFmtId="164" fontId="35" fillId="0" borderId="0" xfId="0" applyNumberFormat="1" applyFont="1" applyFill="1" applyAlignment="1">
      <alignment horizontal="center"/>
    </xf>
    <xf numFmtId="164" fontId="35" fillId="16" borderId="0" xfId="0" applyNumberFormat="1" applyFont="1" applyFill="1" applyAlignment="1">
      <alignment horizontal="center"/>
    </xf>
    <xf numFmtId="164" fontId="27" fillId="0" borderId="0" xfId="0" applyNumberFormat="1" applyFont="1" applyAlignment="1">
      <alignment horizontal="center"/>
    </xf>
    <xf numFmtId="164" fontId="30" fillId="0" borderId="0" xfId="0" applyNumberFormat="1" applyFont="1" applyAlignment="1">
      <alignment horizontal="center"/>
    </xf>
    <xf numFmtId="164" fontId="30" fillId="18" borderId="0" xfId="0" applyNumberFormat="1" applyFont="1" applyFill="1" applyAlignment="1">
      <alignment horizontal="center"/>
    </xf>
    <xf numFmtId="164" fontId="39" fillId="0" borderId="0" xfId="0" applyNumberFormat="1" applyFont="1" applyAlignment="1">
      <alignment horizontal="center"/>
    </xf>
    <xf numFmtId="164" fontId="39" fillId="18" borderId="0" xfId="0" applyNumberFormat="1" applyFont="1" applyFill="1" applyAlignment="1">
      <alignment horizontal="center"/>
    </xf>
    <xf numFmtId="164" fontId="27" fillId="0" borderId="0" xfId="0" applyNumberFormat="1" applyFont="1" applyFill="1" applyAlignment="1">
      <alignment horizontal="center"/>
    </xf>
    <xf numFmtId="165" fontId="36" fillId="18" borderId="0" xfId="0" applyNumberFormat="1" applyFont="1" applyFill="1" applyAlignment="1">
      <alignment horizontal="center"/>
    </xf>
    <xf numFmtId="165" fontId="36" fillId="0" borderId="0" xfId="0" applyNumberFormat="1" applyFont="1" applyAlignment="1">
      <alignment horizontal="center"/>
    </xf>
    <xf numFmtId="165" fontId="27" fillId="0" borderId="0" xfId="0" applyNumberFormat="1" applyFont="1" applyAlignment="1">
      <alignment horizontal="center"/>
    </xf>
    <xf numFmtId="165" fontId="27" fillId="0" borderId="0" xfId="0" applyNumberFormat="1" applyFont="1" applyFill="1" applyAlignment="1">
      <alignment horizontal="center"/>
    </xf>
    <xf numFmtId="0" fontId="36" fillId="18" borderId="0" xfId="0" applyFont="1" applyFill="1" applyAlignment="1">
      <alignment horizontal="center"/>
    </xf>
    <xf numFmtId="9" fontId="36" fillId="0" borderId="0" xfId="0" applyNumberFormat="1" applyFont="1" applyAlignment="1">
      <alignment horizontal="center"/>
    </xf>
    <xf numFmtId="9" fontId="27" fillId="0" borderId="0" xfId="0" applyNumberFormat="1" applyFont="1" applyAlignment="1">
      <alignment horizontal="center"/>
    </xf>
    <xf numFmtId="43" fontId="36" fillId="0" borderId="0" xfId="37" applyFont="1" applyAlignment="1">
      <alignment horizontal="center"/>
    </xf>
    <xf numFmtId="165" fontId="35" fillId="16" borderId="0" xfId="0" applyNumberFormat="1" applyFont="1" applyFill="1" applyAlignment="1">
      <alignment horizontal="center"/>
    </xf>
    <xf numFmtId="164" fontId="36" fillId="0" borderId="0" xfId="0" applyNumberFormat="1" applyFont="1" applyFill="1" applyAlignment="1">
      <alignment horizontal="center"/>
    </xf>
    <xf numFmtId="164" fontId="27" fillId="18" borderId="0" xfId="65" applyNumberFormat="1" applyFont="1" applyFill="1" applyAlignment="1">
      <alignment horizontal="center"/>
    </xf>
    <xf numFmtId="1" fontId="36" fillId="0" borderId="0" xfId="0" applyNumberFormat="1" applyFont="1" applyAlignment="1">
      <alignment horizontal="center"/>
    </xf>
    <xf numFmtId="0" fontId="36" fillId="0" borderId="0" xfId="0" applyFont="1" applyFill="1"/>
    <xf numFmtId="3" fontId="27" fillId="18" borderId="0" xfId="0" applyNumberFormat="1" applyFont="1" applyFill="1" applyAlignment="1">
      <alignment horizontal="center"/>
    </xf>
    <xf numFmtId="3" fontId="36" fillId="0" borderId="0" xfId="0" applyNumberFormat="1" applyFont="1" applyAlignment="1">
      <alignment horizontal="center"/>
    </xf>
    <xf numFmtId="3" fontId="36" fillId="0" borderId="0" xfId="0" applyNumberFormat="1" applyFont="1" applyFill="1" applyAlignment="1">
      <alignment horizontal="center"/>
    </xf>
    <xf numFmtId="3" fontId="32" fillId="0" borderId="0" xfId="0" applyNumberFormat="1" applyFont="1" applyAlignment="1">
      <alignment horizontal="center"/>
    </xf>
    <xf numFmtId="3" fontId="32" fillId="18" borderId="0" xfId="0" applyNumberFormat="1" applyFont="1" applyFill="1" applyAlignment="1">
      <alignment horizontal="center"/>
    </xf>
    <xf numFmtId="0" fontId="30" fillId="18" borderId="0" xfId="0" applyFont="1" applyFill="1" applyAlignment="1">
      <alignment horizontal="center"/>
    </xf>
    <xf numFmtId="166" fontId="30" fillId="0" borderId="0" xfId="0" applyNumberFormat="1" applyFont="1" applyAlignment="1">
      <alignment horizontal="center"/>
    </xf>
    <xf numFmtId="168" fontId="30" fillId="0" borderId="0" xfId="37" applyNumberFormat="1" applyFont="1" applyAlignment="1">
      <alignment horizontal="center"/>
    </xf>
    <xf numFmtId="169" fontId="30" fillId="18" borderId="0" xfId="37" applyNumberFormat="1" applyFont="1" applyFill="1" applyAlignment="1">
      <alignment horizontal="center"/>
    </xf>
    <xf numFmtId="43" fontId="30" fillId="0" borderId="0" xfId="37" applyNumberFormat="1" applyFont="1" applyAlignment="1">
      <alignment horizontal="center"/>
    </xf>
    <xf numFmtId="43" fontId="30" fillId="18" borderId="0" xfId="37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5" fontId="36" fillId="0" borderId="0" xfId="0" applyNumberFormat="1" applyFont="1" applyFill="1" applyAlignment="1">
      <alignment horizontal="center"/>
    </xf>
    <xf numFmtId="164" fontId="27" fillId="18" borderId="0" xfId="0" applyNumberFormat="1" applyFont="1" applyFill="1" applyAlignment="1">
      <alignment horizontal="center"/>
    </xf>
    <xf numFmtId="165" fontId="32" fillId="0" borderId="0" xfId="0" applyNumberFormat="1" applyFont="1" applyAlignment="1">
      <alignment horizontal="center"/>
    </xf>
    <xf numFmtId="165" fontId="27" fillId="18" borderId="0" xfId="0" applyNumberFormat="1" applyFont="1" applyFill="1" applyAlignment="1">
      <alignment horizontal="center"/>
    </xf>
    <xf numFmtId="9" fontId="36" fillId="0" borderId="0" xfId="65" applyFont="1"/>
    <xf numFmtId="166" fontId="36" fillId="18" borderId="0" xfId="0" applyNumberFormat="1" applyFont="1" applyFill="1" applyBorder="1" applyAlignment="1">
      <alignment horizontal="center"/>
    </xf>
    <xf numFmtId="166" fontId="36" fillId="0" borderId="0" xfId="0" applyNumberFormat="1" applyFont="1" applyBorder="1" applyAlignment="1">
      <alignment horizontal="center"/>
    </xf>
    <xf numFmtId="44" fontId="36" fillId="0" borderId="0" xfId="38" applyFont="1" applyBorder="1" applyAlignment="1">
      <alignment horizontal="center"/>
    </xf>
    <xf numFmtId="164" fontId="36" fillId="18" borderId="0" xfId="65" applyNumberFormat="1" applyFont="1" applyFill="1" applyBorder="1" applyAlignment="1">
      <alignment horizontal="center"/>
    </xf>
    <xf numFmtId="166" fontId="27" fillId="0" borderId="0" xfId="0" applyNumberFormat="1" applyFont="1" applyFill="1" applyBorder="1" applyAlignment="1">
      <alignment horizontal="center"/>
    </xf>
    <xf numFmtId="0" fontId="42" fillId="0" borderId="0" xfId="0" applyFont="1"/>
    <xf numFmtId="164" fontId="36" fillId="0" borderId="0" xfId="65" applyNumberFormat="1" applyFont="1" applyFill="1"/>
    <xf numFmtId="166" fontId="33" fillId="18" borderId="0" xfId="0" applyNumberFormat="1" applyFont="1" applyFill="1" applyBorder="1" applyAlignment="1">
      <alignment horizontal="center"/>
    </xf>
    <xf numFmtId="9" fontId="35" fillId="0" borderId="0" xfId="0" applyNumberFormat="1" applyFont="1" applyAlignment="1">
      <alignment horizontal="center"/>
    </xf>
    <xf numFmtId="9" fontId="18" fillId="0" borderId="0" xfId="0" applyNumberFormat="1" applyFont="1" applyAlignment="1">
      <alignment horizontal="center"/>
    </xf>
    <xf numFmtId="9" fontId="36" fillId="18" borderId="0" xfId="0" applyNumberFormat="1" applyFont="1" applyFill="1" applyAlignment="1">
      <alignment horizontal="center"/>
    </xf>
    <xf numFmtId="44" fontId="35" fillId="0" borderId="0" xfId="38" applyFont="1" applyAlignment="1">
      <alignment horizontal="center"/>
    </xf>
    <xf numFmtId="165" fontId="36" fillId="16" borderId="0" xfId="0" applyNumberFormat="1" applyFont="1" applyFill="1" applyAlignment="1">
      <alignment horizontal="center"/>
    </xf>
    <xf numFmtId="166" fontId="36" fillId="18" borderId="0" xfId="0" applyNumberFormat="1" applyFont="1" applyFill="1" applyAlignment="1">
      <alignment horizontal="center"/>
    </xf>
    <xf numFmtId="166" fontId="36" fillId="0" borderId="0" xfId="0" applyNumberFormat="1" applyFont="1" applyAlignment="1">
      <alignment horizontal="center"/>
    </xf>
    <xf numFmtId="166" fontId="27" fillId="0" borderId="0" xfId="0" applyNumberFormat="1" applyFont="1" applyAlignment="1">
      <alignment horizontal="center"/>
    </xf>
    <xf numFmtId="166" fontId="27" fillId="0" borderId="0" xfId="0" applyNumberFormat="1" applyFont="1" applyFill="1" applyAlignment="1">
      <alignment horizontal="center"/>
    </xf>
    <xf numFmtId="166" fontId="27" fillId="18" borderId="0" xfId="0" applyNumberFormat="1" applyFont="1" applyFill="1" applyBorder="1" applyAlignment="1">
      <alignment horizontal="center"/>
    </xf>
    <xf numFmtId="0" fontId="36" fillId="0" borderId="0" xfId="0" applyFont="1" applyBorder="1"/>
    <xf numFmtId="166" fontId="27" fillId="0" borderId="0" xfId="0" applyNumberFormat="1" applyFont="1" applyBorder="1" applyAlignment="1">
      <alignment horizontal="center"/>
    </xf>
    <xf numFmtId="166" fontId="35" fillId="18" borderId="0" xfId="0" applyNumberFormat="1" applyFont="1" applyFill="1" applyAlignment="1">
      <alignment horizontal="center"/>
    </xf>
    <xf numFmtId="166" fontId="35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166" fontId="35" fillId="0" borderId="0" xfId="0" applyNumberFormat="1" applyFont="1" applyFill="1" applyAlignment="1">
      <alignment horizontal="center"/>
    </xf>
    <xf numFmtId="8" fontId="30" fillId="0" borderId="0" xfId="0" applyNumberFormat="1" applyFont="1" applyAlignment="1">
      <alignment horizontal="center"/>
    </xf>
    <xf numFmtId="8" fontId="43" fillId="18" borderId="0" xfId="38" applyNumberFormat="1" applyFont="1" applyFill="1" applyAlignment="1">
      <alignment horizontal="center"/>
    </xf>
    <xf numFmtId="8" fontId="35" fillId="18" borderId="0" xfId="0" applyNumberFormat="1" applyFont="1" applyFill="1" applyAlignment="1">
      <alignment horizontal="center"/>
    </xf>
    <xf numFmtId="8" fontId="35" fillId="0" borderId="0" xfId="0" applyNumberFormat="1" applyFont="1" applyAlignment="1">
      <alignment horizontal="center"/>
    </xf>
    <xf numFmtId="8" fontId="18" fillId="0" borderId="0" xfId="0" applyNumberFormat="1" applyFont="1" applyAlignment="1">
      <alignment horizontal="center"/>
    </xf>
    <xf numFmtId="164" fontId="36" fillId="16" borderId="0" xfId="0" applyNumberFormat="1" applyFont="1" applyFill="1" applyAlignment="1">
      <alignment horizontal="center"/>
    </xf>
    <xf numFmtId="9" fontId="36" fillId="0" borderId="0" xfId="65" applyFont="1" applyFill="1"/>
    <xf numFmtId="9" fontId="36" fillId="18" borderId="0" xfId="65" applyFont="1" applyFill="1"/>
    <xf numFmtId="164" fontId="36" fillId="18" borderId="0" xfId="65" applyNumberFormat="1" applyFont="1" applyFill="1" applyAlignment="1">
      <alignment horizontal="center"/>
    </xf>
    <xf numFmtId="166" fontId="33" fillId="0" borderId="0" xfId="0" applyNumberFormat="1" applyFont="1" applyAlignment="1">
      <alignment horizontal="center"/>
    </xf>
    <xf numFmtId="166" fontId="32" fillId="0" borderId="0" xfId="0" applyNumberFormat="1" applyFont="1" applyAlignment="1">
      <alignment horizontal="center"/>
    </xf>
    <xf numFmtId="164" fontId="39" fillId="0" borderId="0" xfId="65" applyNumberFormat="1" applyFont="1" applyAlignment="1">
      <alignment horizontal="center"/>
    </xf>
    <xf numFmtId="172" fontId="35" fillId="0" borderId="0" xfId="57" applyNumberFormat="1" applyFont="1"/>
    <xf numFmtId="172" fontId="36" fillId="0" borderId="0" xfId="57" applyNumberFormat="1" applyFont="1"/>
    <xf numFmtId="172" fontId="27" fillId="16" borderId="0" xfId="57" applyNumberFormat="1" applyFont="1" applyFill="1" applyAlignment="1">
      <alignment horizontal="center"/>
    </xf>
    <xf numFmtId="172" fontId="27" fillId="18" borderId="0" xfId="57" applyNumberFormat="1" applyFont="1" applyFill="1" applyAlignment="1">
      <alignment horizontal="center"/>
    </xf>
    <xf numFmtId="172" fontId="37" fillId="16" borderId="0" xfId="57" applyNumberFormat="1" applyFont="1" applyFill="1" applyAlignment="1">
      <alignment horizontal="center"/>
    </xf>
    <xf numFmtId="172" fontId="37" fillId="18" borderId="0" xfId="57" applyNumberFormat="1" applyFont="1" applyFill="1" applyAlignment="1">
      <alignment horizontal="center"/>
    </xf>
    <xf numFmtId="172" fontId="18" fillId="16" borderId="0" xfId="57" applyNumberFormat="1" applyFont="1" applyFill="1" applyAlignment="1">
      <alignment horizontal="center"/>
    </xf>
    <xf numFmtId="172" fontId="18" fillId="18" borderId="0" xfId="57" applyNumberFormat="1" applyFont="1" applyFill="1" applyAlignment="1">
      <alignment horizontal="center"/>
    </xf>
    <xf numFmtId="172" fontId="18" fillId="0" borderId="0" xfId="57" applyNumberFormat="1" applyFont="1" applyFill="1" applyAlignment="1">
      <alignment horizontal="center"/>
    </xf>
    <xf numFmtId="172" fontId="32" fillId="0" borderId="0" xfId="57" applyNumberFormat="1" applyFont="1" applyFill="1" applyAlignment="1">
      <alignment horizontal="center"/>
    </xf>
    <xf numFmtId="7" fontId="18" fillId="16" borderId="0" xfId="38" applyNumberFormat="1" applyFont="1" applyFill="1" applyAlignment="1">
      <alignment horizontal="center"/>
    </xf>
    <xf numFmtId="7" fontId="18" fillId="18" borderId="0" xfId="38" applyNumberFormat="1" applyFont="1" applyFill="1" applyAlignment="1">
      <alignment horizontal="center"/>
    </xf>
    <xf numFmtId="7" fontId="18" fillId="0" borderId="0" xfId="38" applyNumberFormat="1" applyFont="1" applyFill="1" applyAlignment="1">
      <alignment horizontal="center"/>
    </xf>
    <xf numFmtId="172" fontId="27" fillId="0" borderId="0" xfId="57" applyNumberFormat="1" applyFont="1" applyFill="1" applyAlignment="1">
      <alignment horizontal="center"/>
    </xf>
    <xf numFmtId="17" fontId="35" fillId="0" borderId="11" xfId="0" applyNumberFormat="1" applyFont="1" applyBorder="1" applyAlignment="1">
      <alignment horizontal="center"/>
    </xf>
    <xf numFmtId="0" fontId="27" fillId="0" borderId="0" xfId="0" applyFont="1" applyFill="1"/>
    <xf numFmtId="165" fontId="32" fillId="0" borderId="0" xfId="0" applyNumberFormat="1" applyFont="1" applyFill="1" applyAlignment="1">
      <alignment horizontal="center"/>
    </xf>
    <xf numFmtId="165" fontId="36" fillId="18" borderId="12" xfId="0" applyNumberFormat="1" applyFont="1" applyFill="1" applyBorder="1" applyAlignment="1">
      <alignment horizontal="center"/>
    </xf>
    <xf numFmtId="165" fontId="27" fillId="0" borderId="12" xfId="0" applyNumberFormat="1" applyFont="1" applyBorder="1" applyAlignment="1">
      <alignment horizontal="center"/>
    </xf>
    <xf numFmtId="165" fontId="36" fillId="0" borderId="12" xfId="0" applyNumberFormat="1" applyFont="1" applyBorder="1" applyAlignment="1">
      <alignment horizontal="center"/>
    </xf>
    <xf numFmtId="165" fontId="27" fillId="0" borderId="12" xfId="0" applyNumberFormat="1" applyFont="1" applyFill="1" applyBorder="1" applyAlignment="1">
      <alignment horizontal="center"/>
    </xf>
    <xf numFmtId="165" fontId="32" fillId="0" borderId="12" xfId="0" applyNumberFormat="1" applyFont="1" applyFill="1" applyBorder="1" applyAlignment="1">
      <alignment horizontal="center"/>
    </xf>
    <xf numFmtId="165" fontId="32" fillId="16" borderId="0" xfId="0" applyNumberFormat="1" applyFont="1" applyFill="1" applyAlignment="1">
      <alignment horizontal="center"/>
    </xf>
    <xf numFmtId="165" fontId="33" fillId="0" borderId="0" xfId="0" applyNumberFormat="1" applyFont="1" applyAlignment="1">
      <alignment horizontal="center"/>
    </xf>
    <xf numFmtId="0" fontId="14" fillId="0" borderId="0" xfId="0" applyFont="1"/>
    <xf numFmtId="1" fontId="14" fillId="18" borderId="0" xfId="0" applyNumberFormat="1" applyFont="1" applyFill="1" applyAlignment="1">
      <alignment horizontal="center"/>
    </xf>
    <xf numFmtId="2" fontId="27" fillId="18" borderId="0" xfId="0" applyNumberFormat="1" applyFont="1" applyFill="1" applyAlignment="1">
      <alignment horizontal="center"/>
    </xf>
    <xf numFmtId="2" fontId="27" fillId="0" borderId="0" xfId="0" applyNumberFormat="1" applyFont="1" applyAlignment="1">
      <alignment horizontal="center"/>
    </xf>
    <xf numFmtId="9" fontId="36" fillId="18" borderId="0" xfId="65" applyFont="1" applyFill="1" applyAlignment="1">
      <alignment horizontal="center"/>
    </xf>
    <xf numFmtId="166" fontId="36" fillId="18" borderId="12" xfId="0" applyNumberFormat="1" applyFont="1" applyFill="1" applyBorder="1" applyAlignment="1">
      <alignment horizontal="center"/>
    </xf>
    <xf numFmtId="166" fontId="36" fillId="0" borderId="12" xfId="0" applyNumberFormat="1" applyFont="1" applyBorder="1" applyAlignment="1">
      <alignment horizontal="center"/>
    </xf>
    <xf numFmtId="166" fontId="27" fillId="0" borderId="12" xfId="0" applyNumberFormat="1" applyFont="1" applyBorder="1" applyAlignment="1">
      <alignment horizontal="center"/>
    </xf>
    <xf numFmtId="166" fontId="35" fillId="18" borderId="0" xfId="0" applyNumberFormat="1" applyFont="1" applyFill="1" applyBorder="1" applyAlignment="1">
      <alignment horizontal="center"/>
    </xf>
    <xf numFmtId="166" fontId="35" fillId="0" borderId="0" xfId="0" applyNumberFormat="1" applyFont="1" applyBorder="1" applyAlignment="1">
      <alignment horizontal="center"/>
    </xf>
    <xf numFmtId="166" fontId="27" fillId="18" borderId="0" xfId="0" applyNumberFormat="1" applyFont="1" applyFill="1" applyAlignment="1">
      <alignment horizontal="center"/>
    </xf>
    <xf numFmtId="166" fontId="27" fillId="0" borderId="0" xfId="65" applyNumberFormat="1" applyFont="1" applyAlignment="1">
      <alignment horizontal="center"/>
    </xf>
    <xf numFmtId="166" fontId="32" fillId="18" borderId="0" xfId="0" applyNumberFormat="1" applyFont="1" applyFill="1" applyAlignment="1">
      <alignment horizontal="center"/>
    </xf>
    <xf numFmtId="165" fontId="36" fillId="0" borderId="12" xfId="0" applyNumberFormat="1" applyFont="1" applyFill="1" applyBorder="1" applyAlignment="1">
      <alignment horizontal="center"/>
    </xf>
    <xf numFmtId="2" fontId="36" fillId="0" borderId="0" xfId="0" applyNumberFormat="1" applyFont="1"/>
    <xf numFmtId="166" fontId="36" fillId="0" borderId="0" xfId="0" applyNumberFormat="1" applyFont="1" applyFill="1" applyAlignment="1">
      <alignment horizontal="center"/>
    </xf>
    <xf numFmtId="2" fontId="36" fillId="0" borderId="0" xfId="0" applyNumberFormat="1" applyFont="1" applyAlignment="1">
      <alignment horizontal="center"/>
    </xf>
    <xf numFmtId="43" fontId="36" fillId="18" borderId="0" xfId="37" quotePrefix="1" applyFont="1" applyFill="1" applyAlignment="1">
      <alignment horizontal="center"/>
    </xf>
    <xf numFmtId="43" fontId="36" fillId="18" borderId="0" xfId="37" applyFont="1" applyFill="1" applyAlignment="1">
      <alignment horizontal="center"/>
    </xf>
    <xf numFmtId="166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43" fontId="44" fillId="0" borderId="0" xfId="37" applyFont="1" applyAlignment="1">
      <alignment horizontal="center"/>
    </xf>
    <xf numFmtId="43" fontId="44" fillId="18" borderId="0" xfId="37" applyFont="1" applyFill="1" applyAlignment="1">
      <alignment horizontal="center"/>
    </xf>
    <xf numFmtId="2" fontId="36" fillId="18" borderId="0" xfId="0" applyNumberFormat="1" applyFont="1" applyFill="1" applyAlignment="1">
      <alignment horizontal="center"/>
    </xf>
    <xf numFmtId="0" fontId="45" fillId="0" borderId="0" xfId="0" applyFont="1"/>
    <xf numFmtId="1" fontId="36" fillId="18" borderId="0" xfId="0" applyNumberFormat="1" applyFont="1" applyFill="1" applyAlignment="1">
      <alignment horizontal="center"/>
    </xf>
    <xf numFmtId="0" fontId="36" fillId="0" borderId="0" xfId="0" applyFont="1" applyAlignment="1">
      <alignment horizontal="left"/>
    </xf>
    <xf numFmtId="1" fontId="36" fillId="0" borderId="0" xfId="0" applyNumberFormat="1" applyFont="1"/>
    <xf numFmtId="167" fontId="36" fillId="18" borderId="0" xfId="0" applyNumberFormat="1" applyFont="1" applyFill="1" applyAlignment="1">
      <alignment horizontal="center"/>
    </xf>
    <xf numFmtId="0" fontId="34" fillId="0" borderId="0" xfId="0" applyFont="1"/>
    <xf numFmtId="8" fontId="27" fillId="0" borderId="0" xfId="37" applyNumberFormat="1" applyFont="1" applyFill="1" applyAlignment="1">
      <alignment horizontal="center"/>
    </xf>
    <xf numFmtId="8" fontId="27" fillId="18" borderId="0" xfId="37" applyNumberFormat="1" applyFont="1" applyFill="1" applyAlignment="1">
      <alignment horizontal="center"/>
    </xf>
    <xf numFmtId="8" fontId="32" fillId="0" borderId="0" xfId="37" applyNumberFormat="1" applyFont="1" applyFill="1" applyAlignment="1">
      <alignment horizontal="center"/>
    </xf>
    <xf numFmtId="0" fontId="35" fillId="0" borderId="11" xfId="0" applyFont="1" applyBorder="1"/>
    <xf numFmtId="0" fontId="36" fillId="0" borderId="11" xfId="0" applyFont="1" applyBorder="1"/>
    <xf numFmtId="164" fontId="32" fillId="0" borderId="0" xfId="65" applyNumberFormat="1" applyFont="1" applyFill="1" applyAlignment="1">
      <alignment horizontal="center"/>
    </xf>
    <xf numFmtId="164" fontId="33" fillId="0" borderId="0" xfId="65" applyNumberFormat="1" applyFont="1" applyFill="1" applyAlignment="1">
      <alignment horizontal="center"/>
    </xf>
    <xf numFmtId="10" fontId="36" fillId="0" borderId="0" xfId="0" applyNumberFormat="1" applyFont="1"/>
    <xf numFmtId="166" fontId="36" fillId="18" borderId="0" xfId="37" applyNumberFormat="1" applyFont="1" applyFill="1" applyAlignment="1">
      <alignment horizontal="center"/>
    </xf>
    <xf numFmtId="166" fontId="36" fillId="0" borderId="0" xfId="37" applyNumberFormat="1" applyFont="1" applyFill="1" applyAlignment="1">
      <alignment horizontal="center"/>
    </xf>
    <xf numFmtId="166" fontId="36" fillId="0" borderId="0" xfId="37" applyNumberFormat="1" applyFont="1" applyAlignment="1">
      <alignment horizontal="center"/>
    </xf>
    <xf numFmtId="0" fontId="36" fillId="0" borderId="0" xfId="0" applyNumberFormat="1" applyFont="1"/>
    <xf numFmtId="168" fontId="36" fillId="0" borderId="0" xfId="37" applyNumberFormat="1" applyFont="1"/>
    <xf numFmtId="164" fontId="32" fillId="18" borderId="0" xfId="0" applyNumberFormat="1" applyFont="1" applyFill="1" applyAlignment="1">
      <alignment horizontal="center"/>
    </xf>
    <xf numFmtId="10" fontId="36" fillId="18" borderId="0" xfId="0" applyNumberFormat="1" applyFont="1" applyFill="1" applyAlignment="1">
      <alignment horizontal="center"/>
    </xf>
    <xf numFmtId="10" fontId="36" fillId="0" borderId="0" xfId="0" applyNumberFormat="1" applyFont="1" applyFill="1" applyAlignment="1">
      <alignment horizontal="center"/>
    </xf>
    <xf numFmtId="10" fontId="36" fillId="0" borderId="0" xfId="0" applyNumberFormat="1" applyFont="1" applyAlignment="1">
      <alignment horizontal="center"/>
    </xf>
    <xf numFmtId="167" fontId="27" fillId="18" borderId="0" xfId="38" applyNumberFormat="1" applyFont="1" applyFill="1" applyAlignment="1">
      <alignment horizontal="center"/>
    </xf>
    <xf numFmtId="167" fontId="36" fillId="0" borderId="0" xfId="38" applyNumberFormat="1" applyFont="1" applyAlignment="1">
      <alignment horizontal="center"/>
    </xf>
    <xf numFmtId="167" fontId="32" fillId="0" borderId="0" xfId="38" applyNumberFormat="1" applyFont="1" applyAlignment="1">
      <alignment horizontal="center"/>
    </xf>
    <xf numFmtId="169" fontId="36" fillId="0" borderId="0" xfId="37" applyNumberFormat="1" applyFont="1" applyAlignment="1">
      <alignment horizontal="center"/>
    </xf>
    <xf numFmtId="10" fontId="35" fillId="0" borderId="0" xfId="0" applyNumberFormat="1" applyFont="1"/>
    <xf numFmtId="173" fontId="27" fillId="0" borderId="0" xfId="57" applyNumberFormat="1" applyFont="1" applyAlignment="1">
      <alignment horizontal="center"/>
    </xf>
    <xf numFmtId="9" fontId="36" fillId="0" borderId="0" xfId="0" applyNumberFormat="1" applyFont="1" applyFill="1" applyAlignment="1">
      <alignment horizontal="center"/>
    </xf>
    <xf numFmtId="172" fontId="27" fillId="16" borderId="0" xfId="57" applyNumberFormat="1" applyFont="1" applyFill="1"/>
    <xf numFmtId="0" fontId="36" fillId="0" borderId="0" xfId="0" applyFont="1" applyFill="1" applyAlignment="1">
      <alignment horizontal="center"/>
    </xf>
    <xf numFmtId="0" fontId="46" fillId="0" borderId="0" xfId="61" applyFont="1"/>
    <xf numFmtId="0" fontId="47" fillId="0" borderId="0" xfId="61" applyFont="1"/>
    <xf numFmtId="165" fontId="36" fillId="0" borderId="0" xfId="0" applyNumberFormat="1" applyFont="1" applyFill="1"/>
    <xf numFmtId="164" fontId="36" fillId="0" borderId="0" xfId="0" applyNumberFormat="1" applyFont="1" applyFill="1"/>
    <xf numFmtId="166" fontId="36" fillId="0" borderId="0" xfId="0" applyNumberFormat="1" applyFont="1" applyFill="1"/>
    <xf numFmtId="164" fontId="47" fillId="0" borderId="0" xfId="61" applyNumberFormat="1" applyFont="1" applyAlignment="1">
      <alignment horizontal="center"/>
    </xf>
    <xf numFmtId="164" fontId="47" fillId="0" borderId="0" xfId="65" applyNumberFormat="1" applyFont="1" applyFill="1" applyAlignment="1">
      <alignment horizontal="center"/>
    </xf>
    <xf numFmtId="169" fontId="39" fillId="0" borderId="0" xfId="37" applyNumberFormat="1" applyFont="1" applyAlignment="1">
      <alignment horizontal="left"/>
    </xf>
    <xf numFmtId="17" fontId="18" fillId="0" borderId="11" xfId="0" applyNumberFormat="1" applyFont="1" applyBorder="1" applyAlignment="1">
      <alignment horizontal="center"/>
    </xf>
    <xf numFmtId="164" fontId="18" fillId="18" borderId="0" xfId="65" applyNumberFormat="1" applyFont="1" applyFill="1" applyAlignment="1">
      <alignment horizontal="center"/>
    </xf>
    <xf numFmtId="186" fontId="30" fillId="0" borderId="0" xfId="65" applyNumberFormat="1" applyFont="1" applyAlignment="1">
      <alignment horizontal="center"/>
    </xf>
    <xf numFmtId="164" fontId="33" fillId="0" borderId="0" xfId="65" applyNumberFormat="1" applyFont="1" applyAlignment="1">
      <alignment horizontal="center"/>
    </xf>
    <xf numFmtId="166" fontId="39" fillId="18" borderId="0" xfId="0" applyNumberFormat="1" applyFont="1" applyFill="1" applyBorder="1" applyAlignment="1">
      <alignment horizontal="center"/>
    </xf>
    <xf numFmtId="164" fontId="36" fillId="0" borderId="0" xfId="65" applyNumberFormat="1" applyFont="1" applyBorder="1" applyAlignment="1">
      <alignment horizontal="center"/>
    </xf>
    <xf numFmtId="9" fontId="30" fillId="18" borderId="0" xfId="65" applyFont="1" applyFill="1" applyAlignment="1">
      <alignment horizontal="center"/>
    </xf>
    <xf numFmtId="164" fontId="39" fillId="0" borderId="0" xfId="65" applyNumberFormat="1" applyFont="1" applyAlignment="1">
      <alignment horizontal="left"/>
    </xf>
    <xf numFmtId="43" fontId="18" fillId="0" borderId="0" xfId="37" applyNumberFormat="1" applyFont="1" applyFill="1" applyAlignment="1">
      <alignment horizontal="center"/>
    </xf>
    <xf numFmtId="43" fontId="35" fillId="0" borderId="0" xfId="37" applyFont="1"/>
    <xf numFmtId="164" fontId="33" fillId="18" borderId="0" xfId="65" applyNumberFormat="1" applyFont="1" applyFill="1" applyAlignment="1">
      <alignment horizontal="center"/>
    </xf>
    <xf numFmtId="169" fontId="36" fillId="18" borderId="0" xfId="37" applyNumberFormat="1" applyFont="1" applyFill="1" applyAlignment="1">
      <alignment horizontal="center"/>
    </xf>
    <xf numFmtId="43" fontId="30" fillId="0" borderId="0" xfId="37" applyFont="1" applyAlignment="1">
      <alignment horizontal="center"/>
    </xf>
    <xf numFmtId="8" fontId="39" fillId="0" borderId="0" xfId="0" applyNumberFormat="1" applyFont="1" applyAlignment="1">
      <alignment horizontal="center"/>
    </xf>
    <xf numFmtId="166" fontId="48" fillId="0" borderId="0" xfId="0" applyNumberFormat="1" applyFont="1" applyBorder="1" applyAlignment="1">
      <alignment horizontal="center"/>
    </xf>
    <xf numFmtId="166" fontId="49" fillId="0" borderId="0" xfId="0" applyNumberFormat="1" applyFont="1" applyAlignment="1">
      <alignment horizontal="center"/>
    </xf>
    <xf numFmtId="164" fontId="39" fillId="18" borderId="0" xfId="65" applyNumberFormat="1" applyFont="1" applyFill="1" applyAlignment="1">
      <alignment horizontal="right"/>
    </xf>
    <xf numFmtId="8" fontId="32" fillId="0" borderId="0" xfId="0" applyNumberFormat="1" applyFont="1" applyAlignment="1">
      <alignment horizontal="center"/>
    </xf>
    <xf numFmtId="8" fontId="27" fillId="18" borderId="0" xfId="0" applyNumberFormat="1" applyFont="1" applyFill="1" applyAlignment="1">
      <alignment horizontal="center"/>
    </xf>
    <xf numFmtId="43" fontId="30" fillId="0" borderId="0" xfId="37" applyFont="1" applyFill="1"/>
    <xf numFmtId="168" fontId="35" fillId="0" borderId="0" xfId="37" applyNumberFormat="1" applyFont="1"/>
    <xf numFmtId="8" fontId="39" fillId="18" borderId="0" xfId="65" applyNumberFormat="1" applyFont="1" applyFill="1" applyAlignment="1">
      <alignment horizontal="center"/>
    </xf>
    <xf numFmtId="10" fontId="36" fillId="0" borderId="0" xfId="0" applyNumberFormat="1" applyFont="1" applyFill="1"/>
    <xf numFmtId="9" fontId="36" fillId="0" borderId="0" xfId="0" applyNumberFormat="1" applyFont="1" applyFill="1"/>
    <xf numFmtId="8" fontId="32" fillId="16" borderId="0" xfId="37" applyNumberFormat="1" applyFont="1" applyFill="1" applyAlignment="1">
      <alignment horizontal="center"/>
    </xf>
    <xf numFmtId="166" fontId="36" fillId="16" borderId="0" xfId="0" applyNumberFormat="1" applyFont="1" applyFill="1" applyAlignment="1">
      <alignment horizontal="center"/>
    </xf>
    <xf numFmtId="8" fontId="27" fillId="16" borderId="0" xfId="37" applyNumberFormat="1" applyFont="1" applyFill="1" applyAlignment="1">
      <alignment horizontal="center"/>
    </xf>
    <xf numFmtId="164" fontId="37" fillId="0" borderId="0" xfId="65" applyNumberFormat="1" applyFont="1" applyFill="1" applyAlignment="1">
      <alignment horizontal="center"/>
    </xf>
    <xf numFmtId="164" fontId="39" fillId="0" borderId="0" xfId="0" applyNumberFormat="1" applyFont="1" applyFill="1" applyAlignment="1">
      <alignment horizontal="center"/>
    </xf>
    <xf numFmtId="165" fontId="35" fillId="0" borderId="0" xfId="0" applyNumberFormat="1" applyFont="1" applyFill="1" applyAlignment="1">
      <alignment horizontal="center"/>
    </xf>
    <xf numFmtId="166" fontId="36" fillId="0" borderId="0" xfId="0" applyNumberFormat="1" applyFont="1" applyFill="1" applyBorder="1" applyAlignment="1">
      <alignment horizontal="center"/>
    </xf>
    <xf numFmtId="9" fontId="35" fillId="0" borderId="0" xfId="0" applyNumberFormat="1" applyFont="1" applyFill="1" applyAlignment="1">
      <alignment horizontal="center"/>
    </xf>
    <xf numFmtId="8" fontId="35" fillId="0" borderId="0" xfId="0" applyNumberFormat="1" applyFont="1" applyFill="1" applyAlignment="1">
      <alignment horizontal="center"/>
    </xf>
    <xf numFmtId="43" fontId="27" fillId="18" borderId="0" xfId="37" applyFont="1" applyFill="1" applyAlignment="1">
      <alignment horizontal="center"/>
    </xf>
    <xf numFmtId="169" fontId="27" fillId="0" borderId="0" xfId="37" applyNumberFormat="1" applyFont="1" applyAlignment="1">
      <alignment horizontal="center"/>
    </xf>
    <xf numFmtId="169" fontId="27" fillId="0" borderId="0" xfId="37" applyNumberFormat="1" applyFont="1" applyFill="1" applyAlignment="1">
      <alignment horizontal="center"/>
    </xf>
    <xf numFmtId="169" fontId="27" fillId="18" borderId="0" xfId="37" applyNumberFormat="1" applyFont="1" applyFill="1" applyAlignment="1">
      <alignment horizontal="center"/>
    </xf>
    <xf numFmtId="169" fontId="30" fillId="0" borderId="0" xfId="37" applyNumberFormat="1" applyFont="1" applyAlignment="1">
      <alignment horizontal="center"/>
    </xf>
    <xf numFmtId="169" fontId="39" fillId="0" borderId="0" xfId="37" applyNumberFormat="1" applyFont="1" applyAlignment="1">
      <alignment horizontal="center"/>
    </xf>
    <xf numFmtId="169" fontId="39" fillId="18" borderId="0" xfId="37" applyNumberFormat="1" applyFont="1" applyFill="1" applyAlignment="1">
      <alignment horizontal="center"/>
    </xf>
    <xf numFmtId="169" fontId="33" fillId="0" borderId="0" xfId="37" applyNumberFormat="1" applyFont="1" applyAlignment="1">
      <alignment horizontal="center"/>
    </xf>
    <xf numFmtId="169" fontId="43" fillId="18" borderId="0" xfId="37" applyNumberFormat="1" applyFont="1" applyFill="1" applyAlignment="1">
      <alignment horizontal="center"/>
    </xf>
    <xf numFmtId="169" fontId="43" fillId="0" borderId="0" xfId="37" applyNumberFormat="1" applyFont="1" applyAlignment="1">
      <alignment horizontal="center"/>
    </xf>
    <xf numFmtId="169" fontId="35" fillId="18" borderId="0" xfId="37" applyNumberFormat="1" applyFont="1" applyFill="1" applyAlignment="1">
      <alignment horizontal="center"/>
    </xf>
    <xf numFmtId="169" fontId="18" fillId="0" borderId="0" xfId="37" applyNumberFormat="1" applyFont="1" applyAlignment="1">
      <alignment horizontal="center"/>
    </xf>
    <xf numFmtId="169" fontId="18" fillId="18" borderId="0" xfId="37" applyNumberFormat="1" applyFont="1" applyFill="1" applyAlignment="1">
      <alignment horizontal="center"/>
    </xf>
    <xf numFmtId="4" fontId="32" fillId="0" borderId="0" xfId="0" applyNumberFormat="1" applyFont="1" applyAlignment="1">
      <alignment horizontal="center"/>
    </xf>
    <xf numFmtId="43" fontId="36" fillId="18" borderId="0" xfId="37" applyNumberFormat="1" applyFont="1" applyFill="1" applyAlignment="1">
      <alignment horizontal="center"/>
    </xf>
    <xf numFmtId="43" fontId="30" fillId="18" borderId="0" xfId="37" applyFont="1" applyFill="1" applyAlignment="1">
      <alignment horizontal="center"/>
    </xf>
    <xf numFmtId="43" fontId="30" fillId="16" borderId="0" xfId="37" applyFont="1" applyFill="1" applyAlignment="1">
      <alignment horizontal="center"/>
    </xf>
    <xf numFmtId="43" fontId="30" fillId="0" borderId="0" xfId="37" applyFont="1" applyAlignment="1">
      <alignment horizontal="left"/>
    </xf>
    <xf numFmtId="43" fontId="30" fillId="0" borderId="0" xfId="37" applyFont="1" applyFill="1" applyAlignment="1">
      <alignment horizontal="center"/>
    </xf>
    <xf numFmtId="9" fontId="30" fillId="0" borderId="0" xfId="65" applyFont="1" applyAlignment="1">
      <alignment horizontal="center"/>
    </xf>
    <xf numFmtId="9" fontId="30" fillId="0" borderId="0" xfId="65" applyFont="1" applyAlignment="1"/>
    <xf numFmtId="9" fontId="30" fillId="16" borderId="0" xfId="65" applyFont="1" applyFill="1" applyAlignment="1">
      <alignment horizontal="center"/>
    </xf>
    <xf numFmtId="43" fontId="39" fillId="0" borderId="0" xfId="37" applyFont="1" applyFill="1" applyAlignment="1">
      <alignment horizontal="left"/>
    </xf>
    <xf numFmtId="168" fontId="39" fillId="0" borderId="0" xfId="37" applyNumberFormat="1" applyFont="1" applyAlignment="1">
      <alignment horizontal="left"/>
    </xf>
    <xf numFmtId="3" fontId="27" fillId="0" borderId="0" xfId="0" applyNumberFormat="1" applyFont="1" applyAlignment="1">
      <alignment horizontal="center"/>
    </xf>
    <xf numFmtId="164" fontId="30" fillId="0" borderId="0" xfId="0" applyNumberFormat="1" applyFont="1" applyFill="1"/>
    <xf numFmtId="187" fontId="27" fillId="18" borderId="0" xfId="38" applyNumberFormat="1" applyFont="1" applyFill="1" applyAlignment="1">
      <alignment horizontal="center"/>
    </xf>
    <xf numFmtId="164" fontId="37" fillId="18" borderId="0" xfId="65" applyNumberFormat="1" applyFont="1" applyFill="1" applyAlignment="1">
      <alignment horizontal="center"/>
    </xf>
    <xf numFmtId="3" fontId="36" fillId="16" borderId="0" xfId="0" applyNumberFormat="1" applyFont="1" applyFill="1" applyAlignment="1">
      <alignment horizontal="center"/>
    </xf>
    <xf numFmtId="44" fontId="39" fillId="0" borderId="0" xfId="38" applyFont="1" applyAlignment="1">
      <alignment horizontal="right"/>
    </xf>
    <xf numFmtId="44" fontId="39" fillId="18" borderId="0" xfId="38" applyFont="1" applyFill="1" applyAlignment="1">
      <alignment horizontal="right"/>
    </xf>
    <xf numFmtId="0" fontId="36" fillId="0" borderId="0" xfId="0" applyFont="1" applyAlignment="1">
      <alignment horizontal="left" indent="1"/>
    </xf>
    <xf numFmtId="9" fontId="35" fillId="0" borderId="0" xfId="65" applyFont="1"/>
    <xf numFmtId="9" fontId="35" fillId="0" borderId="0" xfId="65" applyFont="1" applyFill="1"/>
    <xf numFmtId="9" fontId="35" fillId="0" borderId="0" xfId="0" applyNumberFormat="1" applyFont="1" applyAlignment="1">
      <alignment horizontal="right"/>
    </xf>
    <xf numFmtId="9" fontId="36" fillId="0" borderId="0" xfId="65" applyNumberFormat="1" applyFont="1" applyFill="1"/>
    <xf numFmtId="9" fontId="35" fillId="0" borderId="0" xfId="65" applyNumberFormat="1" applyFont="1" applyFill="1"/>
    <xf numFmtId="9" fontId="36" fillId="0" borderId="0" xfId="65" applyFont="1" applyFill="1" applyAlignment="1">
      <alignment horizontal="right"/>
    </xf>
    <xf numFmtId="9" fontId="36" fillId="0" borderId="0" xfId="65" applyNumberFormat="1" applyFont="1" applyFill="1" applyAlignment="1">
      <alignment horizontal="right"/>
    </xf>
    <xf numFmtId="9" fontId="35" fillId="0" borderId="0" xfId="65" applyFont="1" applyFill="1" applyAlignment="1">
      <alignment horizontal="right"/>
    </xf>
    <xf numFmtId="9" fontId="35" fillId="0" borderId="0" xfId="65" applyNumberFormat="1" applyFont="1" applyFill="1" applyAlignment="1">
      <alignment horizontal="right"/>
    </xf>
    <xf numFmtId="9" fontId="36" fillId="0" borderId="0" xfId="0" applyNumberFormat="1" applyFont="1" applyAlignment="1">
      <alignment horizontal="right"/>
    </xf>
    <xf numFmtId="10" fontId="39" fillId="0" borderId="0" xfId="65" applyNumberFormat="1" applyFont="1" applyAlignment="1">
      <alignment horizontal="left"/>
    </xf>
    <xf numFmtId="164" fontId="39" fillId="0" borderId="0" xfId="0" applyNumberFormat="1" applyFont="1"/>
    <xf numFmtId="44" fontId="39" fillId="0" borderId="0" xfId="38" applyFont="1" applyAlignment="1">
      <alignment horizontal="center"/>
    </xf>
    <xf numFmtId="9" fontId="36" fillId="18" borderId="0" xfId="65" applyFont="1" applyFill="1" applyAlignment="1">
      <alignment horizontal="right"/>
    </xf>
    <xf numFmtId="9" fontId="35" fillId="18" borderId="0" xfId="65" applyFont="1" applyFill="1" applyAlignment="1">
      <alignment horizontal="right"/>
    </xf>
    <xf numFmtId="9" fontId="35" fillId="18" borderId="0" xfId="65" applyFont="1" applyFill="1"/>
    <xf numFmtId="8" fontId="30" fillId="0" borderId="0" xfId="38" applyNumberFormat="1" applyFont="1" applyAlignment="1">
      <alignment horizontal="center"/>
    </xf>
    <xf numFmtId="44" fontId="39" fillId="18" borderId="0" xfId="38" applyFont="1" applyFill="1" applyAlignment="1">
      <alignment horizontal="center"/>
    </xf>
    <xf numFmtId="44" fontId="36" fillId="0" borderId="0" xfId="38" applyFont="1" applyAlignment="1">
      <alignment horizontal="center"/>
    </xf>
    <xf numFmtId="44" fontId="36" fillId="0" borderId="0" xfId="0" applyNumberFormat="1" applyFont="1" applyAlignment="1">
      <alignment horizontal="center"/>
    </xf>
    <xf numFmtId="8" fontId="39" fillId="0" borderId="0" xfId="38" applyNumberFormat="1" applyFont="1" applyAlignment="1">
      <alignment horizontal="right"/>
    </xf>
    <xf numFmtId="0" fontId="34" fillId="16" borderId="0" xfId="58" applyFont="1" applyFill="1" applyBorder="1" applyAlignment="1">
      <alignment horizontal="left" vertical="center"/>
    </xf>
    <xf numFmtId="0" fontId="27" fillId="16" borderId="0" xfId="58" applyFont="1" applyFill="1" applyBorder="1" applyAlignment="1">
      <alignment horizontal="left" vertical="center"/>
    </xf>
    <xf numFmtId="0" fontId="27" fillId="0" borderId="13" xfId="59" applyFont="1" applyBorder="1"/>
    <xf numFmtId="164" fontId="68" fillId="0" borderId="0" xfId="0" applyNumberFormat="1" applyFont="1" applyAlignment="1">
      <alignment horizontal="center"/>
    </xf>
    <xf numFmtId="0" fontId="69" fillId="17" borderId="0" xfId="0" applyFont="1" applyFill="1"/>
    <xf numFmtId="44" fontId="78" fillId="0" borderId="0" xfId="38" applyFont="1" applyAlignment="1">
      <alignment horizontal="center"/>
    </xf>
    <xf numFmtId="44" fontId="78" fillId="18" borderId="0" xfId="38" applyFont="1" applyFill="1" applyAlignment="1">
      <alignment horizontal="center"/>
    </xf>
    <xf numFmtId="2" fontId="36" fillId="0" borderId="0" xfId="0" applyNumberFormat="1" applyFont="1" applyBorder="1" applyAlignment="1">
      <alignment horizontal="center"/>
    </xf>
    <xf numFmtId="165" fontId="36" fillId="18" borderId="0" xfId="65" applyNumberFormat="1" applyFont="1" applyFill="1" applyAlignment="1">
      <alignment horizontal="center"/>
    </xf>
    <xf numFmtId="44" fontId="78" fillId="0" borderId="0" xfId="38" applyFont="1" applyAlignment="1">
      <alignment horizontal="right"/>
    </xf>
    <xf numFmtId="0" fontId="8" fillId="17" borderId="0" xfId="60" applyFont="1" applyFill="1" applyBorder="1"/>
    <xf numFmtId="164" fontId="36" fillId="18" borderId="0" xfId="0" applyNumberFormat="1" applyFont="1" applyFill="1" applyBorder="1" applyAlignment="1">
      <alignment horizontal="center"/>
    </xf>
    <xf numFmtId="0" fontId="35" fillId="19" borderId="11" xfId="0" applyFont="1" applyFill="1" applyBorder="1" applyAlignment="1">
      <alignment horizontal="center"/>
    </xf>
    <xf numFmtId="0" fontId="36" fillId="19" borderId="0" xfId="0" applyFont="1" applyFill="1"/>
    <xf numFmtId="9" fontId="36" fillId="19" borderId="0" xfId="65" applyFont="1" applyFill="1"/>
    <xf numFmtId="9" fontId="35" fillId="19" borderId="0" xfId="65" applyFont="1" applyFill="1"/>
    <xf numFmtId="167" fontId="27" fillId="18" borderId="0" xfId="41" applyNumberFormat="1" applyFont="1" applyFill="1" applyAlignment="1">
      <alignment horizontal="center"/>
    </xf>
    <xf numFmtId="9" fontId="36" fillId="0" borderId="0" xfId="0" applyNumberFormat="1" applyFont="1" applyFill="1" applyAlignment="1">
      <alignment horizontal="right"/>
    </xf>
    <xf numFmtId="0" fontId="36" fillId="0" borderId="0" xfId="0" applyFont="1" applyFill="1" applyAlignment="1">
      <alignment horizontal="right"/>
    </xf>
    <xf numFmtId="8" fontId="39" fillId="18" borderId="0" xfId="38" applyNumberFormat="1" applyFont="1" applyFill="1" applyAlignment="1">
      <alignment horizontal="center"/>
    </xf>
    <xf numFmtId="9" fontId="78" fillId="0" borderId="0" xfId="65" applyFont="1" applyAlignment="1">
      <alignment horizontal="center"/>
    </xf>
    <xf numFmtId="43" fontId="27" fillId="18" borderId="0" xfId="37" applyNumberFormat="1" applyFont="1" applyFill="1" applyAlignment="1">
      <alignment horizontal="center"/>
    </xf>
    <xf numFmtId="10" fontId="27" fillId="18" borderId="0" xfId="65" applyNumberFormat="1" applyFont="1" applyFill="1" applyAlignment="1">
      <alignment horizontal="center"/>
    </xf>
    <xf numFmtId="168" fontId="0" fillId="0" borderId="0" xfId="37" applyNumberFormat="1" applyFont="1"/>
    <xf numFmtId="0" fontId="79" fillId="0" borderId="0" xfId="0" applyFont="1"/>
    <xf numFmtId="9" fontId="79" fillId="0" borderId="0" xfId="65" applyFont="1"/>
    <xf numFmtId="168" fontId="0" fillId="0" borderId="0" xfId="0" applyNumberFormat="1"/>
    <xf numFmtId="43" fontId="36" fillId="0" borderId="0" xfId="37" applyNumberFormat="1" applyFont="1" applyFill="1"/>
    <xf numFmtId="8" fontId="36" fillId="0" borderId="0" xfId="0" applyNumberFormat="1" applyFont="1" applyBorder="1" applyAlignment="1">
      <alignment horizontal="center"/>
    </xf>
    <xf numFmtId="9" fontId="80" fillId="0" borderId="0" xfId="0" applyNumberFormat="1" applyFont="1" applyFill="1"/>
    <xf numFmtId="168" fontId="30" fillId="18" borderId="0" xfId="37" applyNumberFormat="1" applyFont="1" applyFill="1" applyAlignment="1">
      <alignment horizontal="center"/>
    </xf>
    <xf numFmtId="3" fontId="30" fillId="0" borderId="0" xfId="0" applyNumberFormat="1" applyFont="1" applyFill="1"/>
    <xf numFmtId="0" fontId="1" fillId="0" borderId="0" xfId="76"/>
    <xf numFmtId="164" fontId="30" fillId="19" borderId="0" xfId="0" applyNumberFormat="1" applyFont="1" applyFill="1" applyAlignment="1">
      <alignment horizontal="center"/>
    </xf>
    <xf numFmtId="164" fontId="1" fillId="0" borderId="0" xfId="65" applyNumberFormat="1" applyFont="1" applyAlignment="1">
      <alignment horizontal="center"/>
    </xf>
    <xf numFmtId="8" fontId="78" fillId="0" borderId="0" xfId="0" applyNumberFormat="1" applyFont="1" applyAlignment="1">
      <alignment horizontal="center"/>
    </xf>
    <xf numFmtId="8" fontId="78" fillId="18" borderId="0" xfId="0" applyNumberFormat="1" applyFont="1" applyFill="1" applyAlignment="1">
      <alignment horizontal="center"/>
    </xf>
    <xf numFmtId="8" fontId="78" fillId="0" borderId="0" xfId="38" applyNumberFormat="1" applyFont="1" applyAlignment="1">
      <alignment horizontal="center"/>
    </xf>
    <xf numFmtId="8" fontId="78" fillId="18" borderId="0" xfId="38" applyNumberFormat="1" applyFont="1" applyFill="1" applyAlignment="1">
      <alignment horizontal="center"/>
    </xf>
    <xf numFmtId="165" fontId="1" fillId="0" borderId="0" xfId="0" applyNumberFormat="1" applyFont="1" applyAlignment="1">
      <alignment horizontal="center"/>
    </xf>
    <xf numFmtId="4" fontId="78" fillId="18" borderId="0" xfId="38" applyNumberFormat="1" applyFont="1" applyFill="1" applyAlignment="1">
      <alignment horizontal="right"/>
    </xf>
    <xf numFmtId="165" fontId="1" fillId="18" borderId="0" xfId="0" applyNumberFormat="1" applyFont="1" applyFill="1" applyAlignment="1">
      <alignment horizontal="center"/>
    </xf>
    <xf numFmtId="172" fontId="82" fillId="0" borderId="0" xfId="57" applyNumberFormat="1" applyFont="1" applyFill="1" applyAlignment="1">
      <alignment horizontal="center"/>
    </xf>
    <xf numFmtId="164" fontId="30" fillId="18" borderId="0" xfId="37" applyNumberFormat="1" applyFont="1" applyFill="1" applyAlignment="1">
      <alignment horizontal="center"/>
    </xf>
    <xf numFmtId="8" fontId="35" fillId="0" borderId="0" xfId="65" applyNumberFormat="1" applyFont="1"/>
    <xf numFmtId="165" fontId="1" fillId="0" borderId="0" xfId="0" applyNumberFormat="1" applyFont="1" applyFill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12" xfId="0" applyNumberFormat="1" applyFont="1" applyBorder="1" applyAlignment="1">
      <alignment horizontal="center"/>
    </xf>
    <xf numFmtId="165" fontId="1" fillId="0" borderId="12" xfId="0" applyNumberFormat="1" applyFont="1" applyFill="1" applyBorder="1" applyAlignment="1">
      <alignment horizontal="center"/>
    </xf>
    <xf numFmtId="165" fontId="1" fillId="16" borderId="0" xfId="0" applyNumberFormat="1" applyFont="1" applyFill="1" applyAlignment="1">
      <alignment horizontal="center"/>
    </xf>
    <xf numFmtId="166" fontId="1" fillId="0" borderId="0" xfId="0" applyNumberFormat="1" applyFont="1" applyAlignment="1">
      <alignment horizontal="center"/>
    </xf>
    <xf numFmtId="9" fontId="36" fillId="0" borderId="0" xfId="65" applyFont="1" applyBorder="1" applyAlignment="1">
      <alignment horizontal="center"/>
    </xf>
    <xf numFmtId="0" fontId="83" fillId="17" borderId="0" xfId="49" applyFont="1" applyFill="1" applyAlignment="1" applyProtection="1"/>
    <xf numFmtId="165" fontId="32" fillId="20" borderId="0" xfId="0" applyNumberFormat="1" applyFont="1" applyFill="1" applyAlignment="1">
      <alignment horizontal="center"/>
    </xf>
    <xf numFmtId="17" fontId="35" fillId="20" borderId="11" xfId="0" quotePrefix="1" applyNumberFormat="1" applyFont="1" applyFill="1" applyBorder="1" applyAlignment="1">
      <alignment horizontal="center"/>
    </xf>
    <xf numFmtId="165" fontId="18" fillId="20" borderId="0" xfId="0" applyNumberFormat="1" applyFont="1" applyFill="1" applyAlignment="1">
      <alignment horizontal="center"/>
    </xf>
    <xf numFmtId="164" fontId="18" fillId="20" borderId="0" xfId="65" applyNumberFormat="1" applyFont="1" applyFill="1" applyAlignment="1">
      <alignment horizontal="center"/>
    </xf>
    <xf numFmtId="164" fontId="27" fillId="20" borderId="0" xfId="65" applyNumberFormat="1" applyFont="1" applyFill="1" applyAlignment="1">
      <alignment horizontal="center"/>
    </xf>
    <xf numFmtId="164" fontId="37" fillId="20" borderId="0" xfId="65" applyNumberFormat="1" applyFont="1" applyFill="1" applyAlignment="1">
      <alignment horizontal="center"/>
    </xf>
    <xf numFmtId="164" fontId="30" fillId="20" borderId="0" xfId="0" applyNumberFormat="1" applyFont="1" applyFill="1" applyAlignment="1">
      <alignment horizontal="center"/>
    </xf>
    <xf numFmtId="165" fontId="36" fillId="20" borderId="0" xfId="0" applyNumberFormat="1" applyFont="1" applyFill="1" applyAlignment="1">
      <alignment horizontal="center"/>
    </xf>
    <xf numFmtId="164" fontId="36" fillId="20" borderId="0" xfId="0" applyNumberFormat="1" applyFont="1" applyFill="1" applyAlignment="1">
      <alignment horizontal="center"/>
    </xf>
    <xf numFmtId="165" fontId="35" fillId="20" borderId="0" xfId="0" applyNumberFormat="1" applyFont="1" applyFill="1" applyAlignment="1">
      <alignment horizontal="center"/>
    </xf>
    <xf numFmtId="9" fontId="36" fillId="20" borderId="0" xfId="0" applyNumberFormat="1" applyFont="1" applyFill="1" applyAlignment="1">
      <alignment horizontal="center"/>
    </xf>
    <xf numFmtId="3" fontId="36" fillId="20" borderId="0" xfId="0" applyNumberFormat="1" applyFont="1" applyFill="1" applyAlignment="1">
      <alignment horizontal="center"/>
    </xf>
    <xf numFmtId="168" fontId="30" fillId="20" borderId="0" xfId="37" applyNumberFormat="1" applyFont="1" applyFill="1" applyAlignment="1">
      <alignment horizontal="center"/>
    </xf>
    <xf numFmtId="164" fontId="27" fillId="20" borderId="0" xfId="0" applyNumberFormat="1" applyFont="1" applyFill="1" applyAlignment="1">
      <alignment horizontal="center"/>
    </xf>
    <xf numFmtId="165" fontId="27" fillId="20" borderId="0" xfId="0" applyNumberFormat="1" applyFont="1" applyFill="1" applyAlignment="1">
      <alignment horizontal="center"/>
    </xf>
    <xf numFmtId="166" fontId="36" fillId="20" borderId="0" xfId="0" applyNumberFormat="1" applyFont="1" applyFill="1" applyBorder="1" applyAlignment="1">
      <alignment horizontal="center"/>
    </xf>
    <xf numFmtId="9" fontId="35" fillId="20" borderId="0" xfId="0" applyNumberFormat="1" applyFont="1" applyFill="1" applyAlignment="1">
      <alignment horizontal="center"/>
    </xf>
    <xf numFmtId="166" fontId="36" fillId="20" borderId="0" xfId="0" applyNumberFormat="1" applyFont="1" applyFill="1" applyAlignment="1">
      <alignment horizontal="center"/>
    </xf>
    <xf numFmtId="0" fontId="36" fillId="20" borderId="0" xfId="0" applyFont="1" applyFill="1" applyAlignment="1">
      <alignment horizontal="center"/>
    </xf>
    <xf numFmtId="166" fontId="27" fillId="20" borderId="0" xfId="0" applyNumberFormat="1" applyFont="1" applyFill="1" applyBorder="1" applyAlignment="1">
      <alignment horizontal="center"/>
    </xf>
    <xf numFmtId="166" fontId="35" fillId="20" borderId="0" xfId="0" applyNumberFormat="1" applyFont="1" applyFill="1" applyAlignment="1">
      <alignment horizontal="center"/>
    </xf>
    <xf numFmtId="8" fontId="78" fillId="20" borderId="0" xfId="38" applyNumberFormat="1" applyFont="1" applyFill="1" applyAlignment="1">
      <alignment horizontal="center"/>
    </xf>
    <xf numFmtId="8" fontId="35" fillId="20" borderId="0" xfId="0" applyNumberFormat="1" applyFont="1" applyFill="1" applyAlignment="1">
      <alignment horizontal="center"/>
    </xf>
    <xf numFmtId="166" fontId="27" fillId="20" borderId="0" xfId="0" applyNumberFormat="1" applyFont="1" applyFill="1" applyAlignment="1">
      <alignment horizontal="center"/>
    </xf>
    <xf numFmtId="172" fontId="18" fillId="20" borderId="0" xfId="57" applyNumberFormat="1" applyFont="1" applyFill="1" applyAlignment="1">
      <alignment horizontal="center"/>
    </xf>
    <xf numFmtId="172" fontId="32" fillId="20" borderId="0" xfId="57" applyNumberFormat="1" applyFont="1" applyFill="1" applyAlignment="1">
      <alignment horizontal="center"/>
    </xf>
    <xf numFmtId="7" fontId="18" fillId="20" borderId="0" xfId="38" applyNumberFormat="1" applyFont="1" applyFill="1" applyAlignment="1">
      <alignment horizontal="center"/>
    </xf>
    <xf numFmtId="9" fontId="32" fillId="18" borderId="0" xfId="65" applyFont="1" applyFill="1" applyAlignment="1">
      <alignment horizontal="center"/>
    </xf>
    <xf numFmtId="164" fontId="78" fillId="18" borderId="0" xfId="0" applyNumberFormat="1" applyFont="1" applyFill="1" applyAlignment="1">
      <alignment horizontal="center"/>
    </xf>
    <xf numFmtId="164" fontId="78" fillId="0" borderId="0" xfId="0" applyNumberFormat="1" applyFont="1" applyAlignment="1">
      <alignment horizontal="center"/>
    </xf>
    <xf numFmtId="164" fontId="30" fillId="20" borderId="0" xfId="65" applyNumberFormat="1" applyFont="1" applyFill="1" applyAlignment="1">
      <alignment horizontal="center"/>
    </xf>
    <xf numFmtId="164" fontId="1" fillId="18" borderId="0" xfId="65" applyNumberFormat="1" applyFont="1" applyFill="1" applyAlignment="1">
      <alignment horizontal="center"/>
    </xf>
    <xf numFmtId="3" fontId="1" fillId="18" borderId="0" xfId="0" applyNumberFormat="1" applyFont="1" applyFill="1" applyAlignment="1">
      <alignment horizontal="center"/>
    </xf>
    <xf numFmtId="166" fontId="1" fillId="18" borderId="0" xfId="0" applyNumberFormat="1" applyFont="1" applyFill="1" applyAlignment="1">
      <alignment horizontal="center"/>
    </xf>
    <xf numFmtId="182" fontId="27" fillId="18" borderId="0" xfId="37" applyNumberFormat="1" applyFont="1" applyFill="1" applyAlignment="1">
      <alignment horizontal="center"/>
    </xf>
    <xf numFmtId="172" fontId="27" fillId="20" borderId="0" xfId="57" applyNumberFormat="1" applyFont="1" applyFill="1" applyAlignment="1">
      <alignment horizontal="center"/>
    </xf>
    <xf numFmtId="172" fontId="37" fillId="20" borderId="0" xfId="57" applyNumberFormat="1" applyFont="1" applyFill="1" applyAlignment="1">
      <alignment horizontal="center"/>
    </xf>
    <xf numFmtId="8" fontId="1" fillId="0" borderId="0" xfId="37" applyNumberFormat="1" applyFont="1" applyFill="1" applyAlignment="1">
      <alignment horizontal="center"/>
    </xf>
    <xf numFmtId="165" fontId="81" fillId="0" borderId="0" xfId="0" applyNumberFormat="1" applyFont="1" applyAlignment="1">
      <alignment horizontal="center"/>
    </xf>
    <xf numFmtId="189" fontId="36" fillId="0" borderId="0" xfId="0" applyNumberFormat="1" applyFont="1"/>
    <xf numFmtId="8" fontId="7" fillId="0" borderId="0" xfId="37" applyNumberFormat="1" applyFont="1" applyFill="1" applyAlignment="1">
      <alignment horizontal="center"/>
    </xf>
    <xf numFmtId="4" fontId="27" fillId="18" borderId="0" xfId="0" applyNumberFormat="1" applyFont="1" applyFill="1" applyAlignment="1">
      <alignment horizontal="center"/>
    </xf>
    <xf numFmtId="44" fontId="32" fillId="0" borderId="0" xfId="38" applyFont="1" applyAlignment="1">
      <alignment horizontal="center"/>
    </xf>
    <xf numFmtId="44" fontId="27" fillId="18" borderId="0" xfId="38" applyFont="1" applyFill="1" applyAlignment="1">
      <alignment horizontal="center"/>
    </xf>
    <xf numFmtId="187" fontId="32" fillId="0" borderId="0" xfId="38" applyNumberFormat="1" applyFont="1" applyAlignment="1">
      <alignment horizontal="center"/>
    </xf>
    <xf numFmtId="190" fontId="35" fillId="0" borderId="0" xfId="0" applyNumberFormat="1" applyFont="1" applyAlignment="1">
      <alignment horizontal="center"/>
    </xf>
    <xf numFmtId="190" fontId="35" fillId="18" borderId="0" xfId="0" applyNumberFormat="1" applyFont="1" applyFill="1" applyAlignment="1">
      <alignment horizontal="center"/>
    </xf>
    <xf numFmtId="167" fontId="1" fillId="0" borderId="0" xfId="38" applyNumberFormat="1" applyFont="1" applyFill="1" applyAlignment="1">
      <alignment horizontal="center"/>
    </xf>
    <xf numFmtId="0" fontId="1" fillId="21" borderId="0" xfId="78" applyFont="1" applyFill="1" applyAlignment="1">
      <alignment vertical="top"/>
    </xf>
    <xf numFmtId="0" fontId="1" fillId="21" borderId="0" xfId="76" applyFill="1" applyAlignment="1">
      <alignment vertical="top"/>
    </xf>
    <xf numFmtId="0" fontId="1" fillId="21" borderId="0" xfId="76" applyFill="1"/>
    <xf numFmtId="0" fontId="31" fillId="21" borderId="0" xfId="78" applyFont="1" applyFill="1" applyAlignment="1">
      <alignment horizontal="left" vertical="top"/>
    </xf>
    <xf numFmtId="0" fontId="1" fillId="21" borderId="0" xfId="76" applyFont="1" applyFill="1" applyAlignment="1">
      <alignment vertical="top"/>
    </xf>
    <xf numFmtId="0" fontId="38" fillId="21" borderId="0" xfId="78" applyFont="1" applyFill="1" applyAlignment="1">
      <alignment vertical="top"/>
    </xf>
    <xf numFmtId="0" fontId="0" fillId="21" borderId="0" xfId="0" applyFill="1" applyAlignment="1">
      <alignment vertical="top"/>
    </xf>
    <xf numFmtId="0" fontId="85" fillId="21" borderId="0" xfId="0" applyFont="1" applyFill="1" applyAlignment="1">
      <alignment vertical="top"/>
    </xf>
    <xf numFmtId="0" fontId="86" fillId="21" borderId="0" xfId="0" applyFont="1" applyFill="1" applyAlignment="1">
      <alignment vertical="top"/>
    </xf>
    <xf numFmtId="0" fontId="86" fillId="21" borderId="0" xfId="0" applyFont="1" applyFill="1" applyAlignment="1">
      <alignment vertical="top"/>
    </xf>
    <xf numFmtId="0" fontId="85" fillId="21" borderId="0" xfId="0" applyFont="1" applyFill="1" applyAlignment="1">
      <alignment vertical="top"/>
    </xf>
    <xf numFmtId="0" fontId="0" fillId="21" borderId="0" xfId="0" applyFill="1" applyAlignment="1">
      <alignment vertical="top"/>
    </xf>
    <xf numFmtId="0" fontId="0" fillId="21" borderId="18" xfId="0" applyFill="1" applyBorder="1" applyAlignment="1">
      <alignment vertical="top"/>
    </xf>
    <xf numFmtId="0" fontId="85" fillId="21" borderId="14" xfId="0" applyFont="1" applyFill="1" applyBorder="1" applyAlignment="1">
      <alignment vertical="top"/>
    </xf>
    <xf numFmtId="0" fontId="85" fillId="21" borderId="15" xfId="0" applyFont="1" applyFill="1" applyBorder="1" applyAlignment="1">
      <alignment vertical="top"/>
    </xf>
    <xf numFmtId="0" fontId="85" fillId="21" borderId="16" xfId="0" applyFont="1" applyFill="1" applyBorder="1" applyAlignment="1">
      <alignment vertical="top"/>
    </xf>
    <xf numFmtId="0" fontId="85" fillId="21" borderId="17" xfId="0" applyFont="1" applyFill="1" applyBorder="1" applyAlignment="1">
      <alignment vertical="top"/>
    </xf>
    <xf numFmtId="9" fontId="85" fillId="21" borderId="14" xfId="0" applyNumberFormat="1" applyFont="1" applyFill="1" applyBorder="1" applyAlignment="1">
      <alignment vertical="top"/>
    </xf>
    <xf numFmtId="3" fontId="85" fillId="21" borderId="14" xfId="0" applyNumberFormat="1" applyFont="1" applyFill="1" applyBorder="1" applyAlignment="1">
      <alignment vertical="top"/>
    </xf>
    <xf numFmtId="0" fontId="0" fillId="21" borderId="19" xfId="0" applyFill="1" applyBorder="1" applyAlignment="1">
      <alignment vertical="top"/>
    </xf>
    <xf numFmtId="2" fontId="1" fillId="0" borderId="0" xfId="76" applyNumberFormat="1" applyAlignment="1">
      <alignment horizontal="left"/>
    </xf>
    <xf numFmtId="0" fontId="1" fillId="0" borderId="0" xfId="76" applyNumberFormat="1" applyAlignment="1">
      <alignment horizontal="left"/>
    </xf>
    <xf numFmtId="1" fontId="1" fillId="0" borderId="0" xfId="76" applyNumberFormat="1" applyAlignment="1">
      <alignment horizontal="left"/>
    </xf>
    <xf numFmtId="0" fontId="1" fillId="0" borderId="0" xfId="76" applyFont="1"/>
    <xf numFmtId="196" fontId="1" fillId="0" borderId="0" xfId="76" applyNumberFormat="1" applyAlignment="1">
      <alignment horizontal="left"/>
    </xf>
    <xf numFmtId="49" fontId="1" fillId="0" borderId="0" xfId="76" applyNumberFormat="1"/>
    <xf numFmtId="0" fontId="87" fillId="0" borderId="0" xfId="76" applyFont="1" applyAlignment="1">
      <alignment wrapText="1"/>
    </xf>
    <xf numFmtId="0" fontId="87" fillId="0" borderId="0" xfId="76" applyFont="1" applyAlignment="1">
      <alignment horizontal="left" wrapText="1" indent="3"/>
    </xf>
    <xf numFmtId="0" fontId="87" fillId="0" borderId="0" xfId="76" applyFont="1" applyAlignment="1">
      <alignment horizontal="left" wrapText="1" indent="1"/>
    </xf>
    <xf numFmtId="0" fontId="89" fillId="0" borderId="0" xfId="76" applyFont="1" applyAlignment="1">
      <alignment wrapText="1"/>
    </xf>
  </cellXfs>
  <cellStyles count="79">
    <cellStyle name="%" xfId="1"/>
    <cellStyle name="_SUMMARY " xfId="2"/>
    <cellStyle name="=C:\WINNT35\SYSTEM32\COMMAND.COM" xfId="3"/>
    <cellStyle name="0_Capex &amp; Depreciation " xfId="4"/>
    <cellStyle name="0_Capex &amp; Depreciation _RRST1" xfId="5"/>
    <cellStyle name="0_Valuing BP " xfId="6"/>
    <cellStyle name="0_Valuing BP _RRST1" xfId="7"/>
    <cellStyle name="20% - Accent1" xfId="8" builtinId="30" customBuiltin="1"/>
    <cellStyle name="20% - Accent2" xfId="9" builtinId="34" customBuiltin="1"/>
    <cellStyle name="20% - Accent3" xfId="10" builtinId="38" customBuiltin="1"/>
    <cellStyle name="20% - Accent4" xfId="11" builtinId="42" customBuiltin="1"/>
    <cellStyle name="20% - Accent5" xfId="12" builtinId="46" customBuiltin="1"/>
    <cellStyle name="20% - Accent6" xfId="13" builtinId="50" customBuiltin="1"/>
    <cellStyle name="40% - Accent1" xfId="14" builtinId="31" customBuiltin="1"/>
    <cellStyle name="40% - Accent2" xfId="15" builtinId="35" customBuiltin="1"/>
    <cellStyle name="40% - Accent3" xfId="16" builtinId="39" customBuiltin="1"/>
    <cellStyle name="40% - Accent4" xfId="17" builtinId="43" customBuiltin="1"/>
    <cellStyle name="40% - Accent5" xfId="18" builtinId="47" customBuiltin="1"/>
    <cellStyle name="40% - Accent6" xfId="19" builtinId="51" customBuiltin="1"/>
    <cellStyle name="60% - Accent1" xfId="20" builtinId="32" customBuiltin="1"/>
    <cellStyle name="60% - Accent2" xfId="21" builtinId="36" customBuiltin="1"/>
    <cellStyle name="60% - Accent3" xfId="22" builtinId="40" customBuiltin="1"/>
    <cellStyle name="60% - Accent4" xfId="23" builtinId="44" customBuiltin="1"/>
    <cellStyle name="60% - Accent5" xfId="24" builtinId="48" customBuiltin="1"/>
    <cellStyle name="60% - Accent6" xfId="25" builtinId="52" customBuiltin="1"/>
    <cellStyle name="Accent1" xfId="26" builtinId="29" customBuiltin="1"/>
    <cellStyle name="Accent2" xfId="27" builtinId="33" customBuiltin="1"/>
    <cellStyle name="Accent3" xfId="28" builtinId="37" customBuiltin="1"/>
    <cellStyle name="Accent4" xfId="29" builtinId="41" customBuiltin="1"/>
    <cellStyle name="Accent5" xfId="30" builtinId="45" customBuiltin="1"/>
    <cellStyle name="Accent6" xfId="31" builtinId="49" customBuiltin="1"/>
    <cellStyle name="Bad" xfId="32" builtinId="27" customBuiltin="1"/>
    <cellStyle name="c_HardInc " xfId="33"/>
    <cellStyle name="c_HardInc _RRST1" xfId="34"/>
    <cellStyle name="Calculation" xfId="35" builtinId="22" customBuiltin="1"/>
    <cellStyle name="Check Cell" xfId="36" builtinId="23" customBuiltin="1"/>
    <cellStyle name="Comma" xfId="37" builtinId="3"/>
    <cellStyle name="Currency" xfId="38" builtinId="4"/>
    <cellStyle name="Currency 2" xfId="39"/>
    <cellStyle name="Currency 3" xfId="40"/>
    <cellStyle name="Currency 4" xfId="41"/>
    <cellStyle name="Currency 5" xfId="42"/>
    <cellStyle name="Explanatory Text" xfId="43" builtinId="53" customBuiltin="1"/>
    <cellStyle name="Good" xfId="44" builtinId="26" customBuiltin="1"/>
    <cellStyle name="Heading 1" xfId="45" builtinId="16" customBuiltin="1"/>
    <cellStyle name="Heading 2" xfId="46" builtinId="17" customBuiltin="1"/>
    <cellStyle name="Heading 3" xfId="47" builtinId="18" customBuiltin="1"/>
    <cellStyle name="Heading 4" xfId="48" builtinId="19" customBuiltin="1"/>
    <cellStyle name="Hyperlink" xfId="49" builtinId="8"/>
    <cellStyle name="Input" xfId="50" builtinId="20" customBuiltin="1"/>
    <cellStyle name="Linked Cell" xfId="51" builtinId="24" customBuiltin="1"/>
    <cellStyle name="Neutral" xfId="52" builtinId="28" customBuiltin="1"/>
    <cellStyle name="Normal" xfId="0" builtinId="0"/>
    <cellStyle name="Normal 2" xfId="53"/>
    <cellStyle name="Normal 3" xfId="54"/>
    <cellStyle name="Normal 4" xfId="55"/>
    <cellStyle name="Normal 5" xfId="56"/>
    <cellStyle name="Normal 6" xfId="76"/>
    <cellStyle name="Normal_AlbertoCulver_Model_BASE" xfId="57"/>
    <cellStyle name="Normal_DisclaimerSheet Samples" xfId="78"/>
    <cellStyle name="Normal_DPS" xfId="58"/>
    <cellStyle name="Normal_ETM LBO Model" xfId="59"/>
    <cellStyle name="Normal_Morgan Stanley_Global Wireless Comps" xfId="60"/>
    <cellStyle name="Normal_Newell_Model_BASE" xfId="61"/>
    <cellStyle name="Note" xfId="62" builtinId="10" customBuiltin="1"/>
    <cellStyle name="Output" xfId="63" builtinId="21" customBuiltin="1"/>
    <cellStyle name="p " xfId="64"/>
    <cellStyle name="Percent" xfId="65" builtinId="5"/>
    <cellStyle name="RRSInstruction" xfId="66"/>
    <cellStyle name="RRSInstruction 2" xfId="77"/>
    <cellStyle name="s_HardInc " xfId="67"/>
    <cellStyle name="s_HardInc _RRST1" xfId="68"/>
    <cellStyle name="s_Valuation " xfId="69"/>
    <cellStyle name="s_Valuation _RRST1" xfId="70"/>
    <cellStyle name="ssp " xfId="71"/>
    <cellStyle name="Style 1" xfId="72"/>
    <cellStyle name="Title" xfId="73" builtinId="15" customBuiltin="1"/>
    <cellStyle name="Total" xfId="74" builtinId="25" customBuiltin="1"/>
    <cellStyle name="Warning Text" xfId="75" builtinId="11" customBuilti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theme/theme1.xml" Type="http://schemas.openxmlformats.org/officeDocument/2006/relationships/theme"/>
<Relationship Id="rId12" Target="styles.xml" Type="http://schemas.openxmlformats.org/officeDocument/2006/relationships/styles"/>
<Relationship Id="rId13" Target="sharedStrings.xml" Type="http://schemas.openxmlformats.org/officeDocument/2006/relationships/sharedStrings"/>
<Relationship Id="rId14" Target="calcChain.xml" Type="http://schemas.openxmlformats.org/officeDocument/2006/relationships/calcChain"/>
<Relationship Id="rId15" Target="../customXml/item1.xml" Type="http://schemas.openxmlformats.org/officeDocument/2006/relationships/customXml"/>
<Relationship Id="rId16" Target="../customXml/item2.xml" Type="http://schemas.openxmlformats.org/officeDocument/2006/relationships/customXml"/>
<Relationship Id="rId17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0</xdr:row>
      <xdr:rowOff>30480</xdr:rowOff>
    </xdr:from>
    <xdr:to>
      <xdr:col>0</xdr:col>
      <xdr:colOff>1630680</xdr:colOff>
      <xdr:row>0</xdr:row>
      <xdr:rowOff>327660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" y="30480"/>
          <a:ext cx="160782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</xdr:colOff>
      <xdr:row>0</xdr:row>
      <xdr:rowOff>91440</xdr:rowOff>
    </xdr:from>
    <xdr:to>
      <xdr:col>1</xdr:col>
      <xdr:colOff>533400</xdr:colOff>
      <xdr:row>0</xdr:row>
      <xdr:rowOff>312420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" y="91440"/>
          <a:ext cx="2278380" cy="2209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7</xdr:col>
      <xdr:colOff>297180</xdr:colOff>
      <xdr:row>193</xdr:row>
      <xdr:rowOff>144780</xdr:rowOff>
    </xdr:to>
    <xdr:pic>
      <xdr:nvPicPr>
        <xdr:cNvPr id="751617" name="Picture 1" descr="C:\Users\rotonsco\AppData\Local\Temp\MercuryPriceRatingHistoryChart\BFb.N_2018_02_28_18_33_11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035760"/>
          <a:ext cx="6400800" cy="3832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160020</xdr:rowOff>
        </xdr:from>
        <xdr:to>
          <xdr:col>1</xdr:col>
          <xdr:colOff>2895600</xdr:colOff>
          <xdr:row>15</xdr:row>
          <xdr:rowOff>0</xdr:rowOff>
        </xdr:to>
        <xdr:sp macro="" textlink="">
          <xdr:nvSpPr>
            <xdr:cNvPr id="752641" name="Button 1" hidden="1">
              <a:extLst>
                <a:ext uri="{63B3BB69-23CF-44E3-9099-C40C66FF867C}">
                  <a14:compatExt spid="_x0000_s75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Circular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3147060</xdr:colOff>
          <xdr:row>11</xdr:row>
          <xdr:rowOff>160020</xdr:rowOff>
        </xdr:from>
        <xdr:to>
          <xdr:col>1</xdr:col>
          <xdr:colOff>6042660</xdr:colOff>
          <xdr:row>15</xdr:row>
          <xdr:rowOff>0</xdr:rowOff>
        </xdr:to>
        <xdr:sp macro="" textlink="">
          <xdr:nvSpPr>
            <xdr:cNvPr id="752642" name="Button 2" hidden="1">
              <a:extLst>
                <a:ext uri="{63B3BB69-23CF-44E3-9099-C40C66FF867C}">
                  <a14:compatExt spid="_x0000_s752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Just Display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1</xdr:row>
      <xdr:rowOff>66675</xdr:rowOff>
    </xdr:from>
    <xdr:to>
      <xdr:col>4</xdr:col>
      <xdr:colOff>333375</xdr:colOff>
      <xdr:row>10</xdr:row>
      <xdr:rowOff>66675</xdr:rowOff>
    </xdr:to>
    <xdr:pic>
      <xdr:nvPicPr>
        <xdr:cNvPr id="1153280" name="Picture 1" descr="banner0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09550"/>
          <a:ext cx="2228850" cy="1285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CONSUMER/CHD/Model/Church&amp;Dwight_Model_BASE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s"/>
      <sheetName val="SegmentBreakdown"/>
      <sheetName val="OldSegmentBreakdown"/>
      <sheetName val="SpinBrush&amp;OrangeGlo"/>
      <sheetName val="Orajel_Assumptions"/>
      <sheetName val="2009_AnalystDa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1.vml" Type="http://schemas.openxmlformats.org/officeDocument/2006/relationships/vmlDrawing"/>
<Relationship Id="rId4" Target="../ctrlProps/ctrlProp1.xml" Type="http://schemas.openxmlformats.org/officeDocument/2006/relationships/ctrlProp"/>
<Relationship Id="rId5" Target="../ctrlProps/ctrlProp2.xml" Type="http://schemas.openxmlformats.org/officeDocument/2006/relationships/ctrlProp"/>
</Relationships>

</file>

<file path=xl/worksheets/_rels/sheet4.xml.rels><?xml version="1.0" encoding="UTF-8" standalone="yes"?>
<Relationships xmlns="http://schemas.openxmlformats.org/package/2006/relationships">
<Relationship Id="rId1" Target="mailto:bob.doctor@morganstanley.com" TargetMode="External" Type="http://schemas.openxmlformats.org/officeDocument/2006/relationships/hyperlink"/>
<Relationship Id="rId2" Target="mailto:brandon.hoffman@morganstanley.com" TargetMode="External" Type="http://schemas.openxmlformats.org/officeDocument/2006/relationships/hyperlink"/>
<Relationship Id="rId3" Target="mailto:scott.rotondi@morganstanley.com" TargetMode="External" Type="http://schemas.openxmlformats.org/officeDocument/2006/relationships/hyperlink"/>
<Relationship Id="rId4" Target="../printerSettings/printerSettings3.bin" Type="http://schemas.openxmlformats.org/officeDocument/2006/relationships/printerSettings"/>
<Relationship Id="rId5" Target="../drawings/drawing3.xml" Type="http://schemas.openxmlformats.org/officeDocument/2006/relationships/drawing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84"/>
  <sheetViews>
    <sheetView showGridLines="0" tabSelected="1" workbookViewId="0">
      <selection activeCell="Z1" sqref="Z1"/>
    </sheetView>
  </sheetViews>
  <sheetFormatPr defaultRowHeight="13.2" x14ac:dyDescent="0.25"/>
  <cols>
    <col min="1" max="1" width="25.77734375" style="437" customWidth="1"/>
    <col min="2" max="5" width="8.88671875" style="437"/>
    <col min="6" max="6" width="18.77734375" style="437" customWidth="1"/>
    <col min="7" max="256" width="8.88671875" style="437"/>
    <col min="257" max="257" width="100.6640625" style="437" customWidth="1"/>
    <col min="258" max="512" width="8.88671875" style="437"/>
    <col min="513" max="513" width="100.6640625" style="437" customWidth="1"/>
    <col min="514" max="768" width="8.88671875" style="437"/>
    <col min="769" max="769" width="100.6640625" style="437" customWidth="1"/>
    <col min="770" max="1024" width="8.88671875" style="437"/>
    <col min="1025" max="1025" width="100.6640625" style="437" customWidth="1"/>
    <col min="1026" max="1280" width="8.88671875" style="437"/>
    <col min="1281" max="1281" width="100.6640625" style="437" customWidth="1"/>
    <col min="1282" max="1536" width="8.88671875" style="437"/>
    <col min="1537" max="1537" width="100.6640625" style="437" customWidth="1"/>
    <col min="1538" max="1792" width="8.88671875" style="437"/>
    <col min="1793" max="1793" width="100.6640625" style="437" customWidth="1"/>
    <col min="1794" max="2048" width="8.88671875" style="437"/>
    <col min="2049" max="2049" width="100.6640625" style="437" customWidth="1"/>
    <col min="2050" max="2304" width="8.88671875" style="437"/>
    <col min="2305" max="2305" width="100.6640625" style="437" customWidth="1"/>
    <col min="2306" max="2560" width="8.88671875" style="437"/>
    <col min="2561" max="2561" width="100.6640625" style="437" customWidth="1"/>
    <col min="2562" max="2816" width="8.88671875" style="437"/>
    <col min="2817" max="2817" width="100.6640625" style="437" customWidth="1"/>
    <col min="2818" max="3072" width="8.88671875" style="437"/>
    <col min="3073" max="3073" width="100.6640625" style="437" customWidth="1"/>
    <col min="3074" max="3328" width="8.88671875" style="437"/>
    <col min="3329" max="3329" width="100.6640625" style="437" customWidth="1"/>
    <col min="3330" max="3584" width="8.88671875" style="437"/>
    <col min="3585" max="3585" width="100.6640625" style="437" customWidth="1"/>
    <col min="3586" max="3840" width="8.88671875" style="437"/>
    <col min="3841" max="3841" width="100.6640625" style="437" customWidth="1"/>
    <col min="3842" max="4096" width="8.88671875" style="437"/>
    <col min="4097" max="4097" width="100.6640625" style="437" customWidth="1"/>
    <col min="4098" max="4352" width="8.88671875" style="437"/>
    <col min="4353" max="4353" width="100.6640625" style="437" customWidth="1"/>
    <col min="4354" max="4608" width="8.88671875" style="437"/>
    <col min="4609" max="4609" width="100.6640625" style="437" customWidth="1"/>
    <col min="4610" max="4864" width="8.88671875" style="437"/>
    <col min="4865" max="4865" width="100.6640625" style="437" customWidth="1"/>
    <col min="4866" max="5120" width="8.88671875" style="437"/>
    <col min="5121" max="5121" width="100.6640625" style="437" customWidth="1"/>
    <col min="5122" max="5376" width="8.88671875" style="437"/>
    <col min="5377" max="5377" width="100.6640625" style="437" customWidth="1"/>
    <col min="5378" max="5632" width="8.88671875" style="437"/>
    <col min="5633" max="5633" width="100.6640625" style="437" customWidth="1"/>
    <col min="5634" max="5888" width="8.88671875" style="437"/>
    <col min="5889" max="5889" width="100.6640625" style="437" customWidth="1"/>
    <col min="5890" max="6144" width="8.88671875" style="437"/>
    <col min="6145" max="6145" width="100.6640625" style="437" customWidth="1"/>
    <col min="6146" max="6400" width="8.88671875" style="437"/>
    <col min="6401" max="6401" width="100.6640625" style="437" customWidth="1"/>
    <col min="6402" max="6656" width="8.88671875" style="437"/>
    <col min="6657" max="6657" width="100.6640625" style="437" customWidth="1"/>
    <col min="6658" max="6912" width="8.88671875" style="437"/>
    <col min="6913" max="6913" width="100.6640625" style="437" customWidth="1"/>
    <col min="6914" max="7168" width="8.88671875" style="437"/>
    <col min="7169" max="7169" width="100.6640625" style="437" customWidth="1"/>
    <col min="7170" max="7424" width="8.88671875" style="437"/>
    <col min="7425" max="7425" width="100.6640625" style="437" customWidth="1"/>
    <col min="7426" max="7680" width="8.88671875" style="437"/>
    <col min="7681" max="7681" width="100.6640625" style="437" customWidth="1"/>
    <col min="7682" max="7936" width="8.88671875" style="437"/>
    <col min="7937" max="7937" width="100.6640625" style="437" customWidth="1"/>
    <col min="7938" max="8192" width="8.88671875" style="437"/>
    <col min="8193" max="8193" width="100.6640625" style="437" customWidth="1"/>
    <col min="8194" max="8448" width="8.88671875" style="437"/>
    <col min="8449" max="8449" width="100.6640625" style="437" customWidth="1"/>
    <col min="8450" max="8704" width="8.88671875" style="437"/>
    <col min="8705" max="8705" width="100.6640625" style="437" customWidth="1"/>
    <col min="8706" max="8960" width="8.88671875" style="437"/>
    <col min="8961" max="8961" width="100.6640625" style="437" customWidth="1"/>
    <col min="8962" max="9216" width="8.88671875" style="437"/>
    <col min="9217" max="9217" width="100.6640625" style="437" customWidth="1"/>
    <col min="9218" max="9472" width="8.88671875" style="437"/>
    <col min="9473" max="9473" width="100.6640625" style="437" customWidth="1"/>
    <col min="9474" max="9728" width="8.88671875" style="437"/>
    <col min="9729" max="9729" width="100.6640625" style="437" customWidth="1"/>
    <col min="9730" max="9984" width="8.88671875" style="437"/>
    <col min="9985" max="9985" width="100.6640625" style="437" customWidth="1"/>
    <col min="9986" max="10240" width="8.88671875" style="437"/>
    <col min="10241" max="10241" width="100.6640625" style="437" customWidth="1"/>
    <col min="10242" max="10496" width="8.88671875" style="437"/>
    <col min="10497" max="10497" width="100.6640625" style="437" customWidth="1"/>
    <col min="10498" max="10752" width="8.88671875" style="437"/>
    <col min="10753" max="10753" width="100.6640625" style="437" customWidth="1"/>
    <col min="10754" max="11008" width="8.88671875" style="437"/>
    <col min="11009" max="11009" width="100.6640625" style="437" customWidth="1"/>
    <col min="11010" max="11264" width="8.88671875" style="437"/>
    <col min="11265" max="11265" width="100.6640625" style="437" customWidth="1"/>
    <col min="11266" max="11520" width="8.88671875" style="437"/>
    <col min="11521" max="11521" width="100.6640625" style="437" customWidth="1"/>
    <col min="11522" max="11776" width="8.88671875" style="437"/>
    <col min="11777" max="11777" width="100.6640625" style="437" customWidth="1"/>
    <col min="11778" max="12032" width="8.88671875" style="437"/>
    <col min="12033" max="12033" width="100.6640625" style="437" customWidth="1"/>
    <col min="12034" max="12288" width="8.88671875" style="437"/>
    <col min="12289" max="12289" width="100.6640625" style="437" customWidth="1"/>
    <col min="12290" max="12544" width="8.88671875" style="437"/>
    <col min="12545" max="12545" width="100.6640625" style="437" customWidth="1"/>
    <col min="12546" max="12800" width="8.88671875" style="437"/>
    <col min="12801" max="12801" width="100.6640625" style="437" customWidth="1"/>
    <col min="12802" max="13056" width="8.88671875" style="437"/>
    <col min="13057" max="13057" width="100.6640625" style="437" customWidth="1"/>
    <col min="13058" max="13312" width="8.88671875" style="437"/>
    <col min="13313" max="13313" width="100.6640625" style="437" customWidth="1"/>
    <col min="13314" max="13568" width="8.88671875" style="437"/>
    <col min="13569" max="13569" width="100.6640625" style="437" customWidth="1"/>
    <col min="13570" max="13824" width="8.88671875" style="437"/>
    <col min="13825" max="13825" width="100.6640625" style="437" customWidth="1"/>
    <col min="13826" max="14080" width="8.88671875" style="437"/>
    <col min="14081" max="14081" width="100.6640625" style="437" customWidth="1"/>
    <col min="14082" max="14336" width="8.88671875" style="437"/>
    <col min="14337" max="14337" width="100.6640625" style="437" customWidth="1"/>
    <col min="14338" max="14592" width="8.88671875" style="437"/>
    <col min="14593" max="14593" width="100.6640625" style="437" customWidth="1"/>
    <col min="14594" max="14848" width="8.88671875" style="437"/>
    <col min="14849" max="14849" width="100.6640625" style="437" customWidth="1"/>
    <col min="14850" max="15104" width="8.88671875" style="437"/>
    <col min="15105" max="15105" width="100.6640625" style="437" customWidth="1"/>
    <col min="15106" max="15360" width="8.88671875" style="437"/>
    <col min="15361" max="15361" width="100.6640625" style="437" customWidth="1"/>
    <col min="15362" max="15616" width="8.88671875" style="437"/>
    <col min="15617" max="15617" width="100.6640625" style="437" customWidth="1"/>
    <col min="15618" max="15872" width="8.88671875" style="437"/>
    <col min="15873" max="15873" width="100.6640625" style="437" customWidth="1"/>
    <col min="15874" max="16128" width="8.88671875" style="437"/>
    <col min="16129" max="16129" width="100.6640625" style="437" customWidth="1"/>
    <col min="16130" max="16384" width="8.88671875" style="437"/>
  </cols>
  <sheetData>
    <row r="1" spans="1:8" ht="30" customHeight="1" x14ac:dyDescent="0.25">
      <c r="A1" s="435"/>
      <c r="B1" s="436"/>
      <c r="C1" s="436"/>
      <c r="D1" s="436"/>
      <c r="E1" s="436"/>
      <c r="F1" s="436"/>
      <c r="G1" s="436"/>
      <c r="H1" s="436"/>
    </row>
    <row r="2" spans="1:8" ht="13.8" x14ac:dyDescent="0.25">
      <c r="A2" s="438" t="s">
        <v>363</v>
      </c>
      <c r="B2" s="436"/>
      <c r="C2" s="436"/>
      <c r="D2" s="436"/>
      <c r="E2" s="436"/>
      <c r="F2" s="436"/>
      <c r="G2" s="436"/>
      <c r="H2" s="436"/>
    </row>
    <row r="3" spans="1:8" ht="13.8" x14ac:dyDescent="0.25">
      <c r="A3" s="438" t="s">
        <v>364</v>
      </c>
      <c r="B3" s="436"/>
      <c r="C3" s="436"/>
      <c r="D3" s="436"/>
      <c r="E3" s="436"/>
      <c r="F3" s="436"/>
      <c r="G3" s="436"/>
      <c r="H3" s="436"/>
    </row>
    <row r="4" spans="1:8" ht="13.8" x14ac:dyDescent="0.25">
      <c r="A4" s="438" t="s">
        <v>365</v>
      </c>
      <c r="B4" s="436"/>
      <c r="C4" s="436"/>
      <c r="D4" s="436"/>
      <c r="E4" s="436"/>
      <c r="F4" s="436"/>
      <c r="G4" s="436"/>
      <c r="H4" s="436"/>
    </row>
    <row r="5" spans="1:8" ht="13.8" x14ac:dyDescent="0.25">
      <c r="A5" s="438" t="s">
        <v>366</v>
      </c>
      <c r="B5" s="436"/>
      <c r="C5" s="436"/>
      <c r="D5" s="436"/>
      <c r="E5" s="436"/>
      <c r="F5" s="436"/>
      <c r="G5" s="436"/>
      <c r="H5" s="436"/>
    </row>
    <row r="6" spans="1:8" ht="13.8" x14ac:dyDescent="0.25">
      <c r="A6" s="438"/>
      <c r="B6" s="436"/>
      <c r="C6" s="436"/>
      <c r="D6" s="436"/>
      <c r="E6" s="436"/>
      <c r="F6" s="436"/>
      <c r="G6" s="436"/>
      <c r="H6" s="436"/>
    </row>
    <row r="7" spans="1:8" x14ac:dyDescent="0.25">
      <c r="A7" s="435" t="s">
        <v>367</v>
      </c>
      <c r="B7" s="436"/>
      <c r="C7" s="436"/>
      <c r="D7" s="436"/>
      <c r="E7" s="436"/>
      <c r="F7" s="436"/>
      <c r="G7" s="436"/>
      <c r="H7" s="436"/>
    </row>
    <row r="8" spans="1:8" x14ac:dyDescent="0.25">
      <c r="A8" s="435" t="s">
        <v>368</v>
      </c>
      <c r="B8" s="436"/>
      <c r="C8" s="436"/>
      <c r="D8" s="436"/>
      <c r="E8" s="436"/>
      <c r="F8" s="436"/>
      <c r="G8" s="436"/>
      <c r="H8" s="436"/>
    </row>
    <row r="9" spans="1:8" x14ac:dyDescent="0.25">
      <c r="A9" s="435"/>
      <c r="B9" s="436"/>
      <c r="C9" s="436"/>
      <c r="D9" s="436"/>
      <c r="E9" s="436"/>
      <c r="F9" s="436"/>
      <c r="G9" s="436"/>
      <c r="H9" s="436"/>
    </row>
    <row r="10" spans="1:8" x14ac:dyDescent="0.25">
      <c r="A10" s="439" t="s">
        <v>369</v>
      </c>
      <c r="B10" s="436"/>
      <c r="C10" s="436"/>
      <c r="D10" s="436"/>
      <c r="E10" s="436"/>
      <c r="F10" s="436"/>
      <c r="G10" s="436"/>
      <c r="H10" s="436"/>
    </row>
    <row r="11" spans="1:8" x14ac:dyDescent="0.25">
      <c r="A11" s="439" t="s">
        <v>370</v>
      </c>
      <c r="B11" s="436"/>
      <c r="C11" s="436"/>
      <c r="D11" s="436"/>
      <c r="E11" s="436"/>
      <c r="F11" s="436"/>
      <c r="G11" s="436"/>
      <c r="H11" s="436"/>
    </row>
    <row r="12" spans="1:8" x14ac:dyDescent="0.25">
      <c r="A12" s="439" t="s">
        <v>371</v>
      </c>
      <c r="B12" s="436"/>
      <c r="C12" s="436"/>
      <c r="D12" s="436"/>
      <c r="E12" s="436"/>
      <c r="F12" s="436"/>
      <c r="G12" s="436"/>
      <c r="H12" s="436"/>
    </row>
    <row r="13" spans="1:8" x14ac:dyDescent="0.25">
      <c r="A13" s="439" t="s">
        <v>372</v>
      </c>
      <c r="B13" s="436"/>
      <c r="C13" s="436"/>
      <c r="D13" s="436"/>
      <c r="E13" s="436"/>
      <c r="F13" s="436"/>
      <c r="G13" s="436"/>
      <c r="H13" s="436"/>
    </row>
    <row r="14" spans="1:8" x14ac:dyDescent="0.25">
      <c r="A14" s="439" t="s">
        <v>373</v>
      </c>
      <c r="B14" s="436"/>
      <c r="C14" s="436"/>
      <c r="D14" s="436"/>
      <c r="E14" s="436"/>
      <c r="F14" s="436"/>
      <c r="G14" s="436"/>
      <c r="H14" s="436"/>
    </row>
    <row r="15" spans="1:8" x14ac:dyDescent="0.25">
      <c r="A15" s="439" t="s">
        <v>374</v>
      </c>
      <c r="B15" s="436"/>
      <c r="C15" s="436"/>
      <c r="D15" s="436"/>
      <c r="E15" s="436"/>
      <c r="F15" s="436"/>
      <c r="G15" s="436"/>
      <c r="H15" s="436"/>
    </row>
    <row r="16" spans="1:8" x14ac:dyDescent="0.25">
      <c r="A16" s="439"/>
      <c r="B16" s="436"/>
      <c r="C16" s="436"/>
      <c r="D16" s="436"/>
      <c r="E16" s="436"/>
      <c r="F16" s="436"/>
      <c r="G16" s="436"/>
      <c r="H16" s="436"/>
    </row>
    <row r="17" spans="1:8" x14ac:dyDescent="0.25">
      <c r="A17" s="439" t="s">
        <v>360</v>
      </c>
      <c r="B17" s="436"/>
      <c r="C17" s="436"/>
      <c r="D17" s="436"/>
      <c r="E17" s="436"/>
      <c r="F17" s="436"/>
      <c r="G17" s="436"/>
      <c r="H17" s="436"/>
    </row>
    <row r="18" spans="1:8" x14ac:dyDescent="0.25">
      <c r="A18" s="439"/>
      <c r="B18" s="436"/>
      <c r="C18" s="436"/>
      <c r="D18" s="436"/>
      <c r="E18" s="436"/>
      <c r="F18" s="436"/>
      <c r="G18" s="436"/>
      <c r="H18" s="436"/>
    </row>
    <row r="19" spans="1:8" x14ac:dyDescent="0.25">
      <c r="A19" s="439" t="s">
        <v>361</v>
      </c>
      <c r="B19" s="436"/>
      <c r="C19" s="436"/>
      <c r="D19" s="436"/>
      <c r="E19" s="436"/>
      <c r="F19" s="436"/>
      <c r="G19" s="436"/>
      <c r="H19" s="436"/>
    </row>
    <row r="20" spans="1:8" x14ac:dyDescent="0.25">
      <c r="A20" s="435"/>
      <c r="B20" s="436"/>
      <c r="C20" s="436"/>
      <c r="D20" s="436"/>
      <c r="E20" s="436"/>
      <c r="F20" s="436"/>
      <c r="G20" s="436"/>
      <c r="H20" s="436"/>
    </row>
    <row r="21" spans="1:8" x14ac:dyDescent="0.25">
      <c r="A21" s="440" t="s">
        <v>362</v>
      </c>
      <c r="B21" s="436"/>
      <c r="C21" s="436"/>
      <c r="D21" s="436"/>
      <c r="E21" s="436"/>
      <c r="F21" s="436"/>
      <c r="G21" s="436"/>
      <c r="H21" s="436"/>
    </row>
    <row r="22" spans="1:8" x14ac:dyDescent="0.25">
      <c r="A22" s="441"/>
      <c r="B22" s="441"/>
      <c r="C22" s="441"/>
      <c r="D22" s="441"/>
      <c r="E22" s="441"/>
      <c r="F22" s="441"/>
      <c r="G22" s="441"/>
      <c r="H22" s="441"/>
    </row>
    <row r="23" spans="1:8" x14ac:dyDescent="0.25">
      <c r="A23" s="442" t="s">
        <v>649</v>
      </c>
      <c r="B23" s="441"/>
      <c r="C23" s="441"/>
      <c r="D23" s="441"/>
      <c r="E23" s="441"/>
      <c r="F23" s="441"/>
      <c r="G23" s="441"/>
      <c r="H23" s="441"/>
    </row>
    <row r="24" spans="1:8" x14ac:dyDescent="0.25">
      <c r="A24" s="442" t="s">
        <v>650</v>
      </c>
      <c r="B24" s="441"/>
      <c r="C24" s="441"/>
      <c r="D24" s="441"/>
      <c r="E24" s="441"/>
      <c r="F24" s="441"/>
      <c r="G24" s="441"/>
      <c r="H24" s="441"/>
    </row>
    <row r="25" spans="1:8" x14ac:dyDescent="0.25">
      <c r="A25" s="442" t="s">
        <v>651</v>
      </c>
      <c r="B25" s="441"/>
      <c r="C25" s="441"/>
      <c r="D25" s="441"/>
      <c r="E25" s="441"/>
      <c r="F25" s="441"/>
      <c r="G25" s="441"/>
      <c r="H25" s="441"/>
    </row>
    <row r="26" spans="1:8" x14ac:dyDescent="0.25">
      <c r="A26" s="442" t="s">
        <v>652</v>
      </c>
      <c r="B26" s="441"/>
      <c r="C26" s="441"/>
      <c r="D26" s="441"/>
      <c r="E26" s="441"/>
      <c r="F26" s="441"/>
      <c r="G26" s="441"/>
      <c r="H26" s="441"/>
    </row>
    <row r="27" spans="1:8" x14ac:dyDescent="0.25">
      <c r="A27" s="441"/>
      <c r="B27" s="441"/>
      <c r="C27" s="441"/>
      <c r="D27" s="441"/>
      <c r="E27" s="441"/>
      <c r="F27" s="441"/>
      <c r="G27" s="441"/>
      <c r="H27" s="441"/>
    </row>
    <row r="28" spans="1:8" x14ac:dyDescent="0.25">
      <c r="A28" s="441"/>
      <c r="B28" s="441"/>
      <c r="C28" s="441"/>
      <c r="D28" s="441"/>
      <c r="E28" s="441"/>
      <c r="F28" s="441"/>
      <c r="G28" s="441"/>
      <c r="H28" s="441"/>
    </row>
    <row r="29" spans="1:8" x14ac:dyDescent="0.25">
      <c r="A29" s="442" t="s">
        <v>644</v>
      </c>
      <c r="B29" s="441"/>
      <c r="C29" s="441"/>
      <c r="D29" s="441"/>
      <c r="E29" s="441"/>
      <c r="F29" s="441"/>
      <c r="G29" s="441"/>
      <c r="H29" s="441"/>
    </row>
    <row r="30" spans="1:8" x14ac:dyDescent="0.25">
      <c r="A30" s="442" t="s">
        <v>645</v>
      </c>
      <c r="B30" s="441"/>
      <c r="C30" s="441"/>
      <c r="D30" s="441"/>
      <c r="E30" s="441"/>
      <c r="F30" s="441"/>
      <c r="G30" s="441"/>
      <c r="H30" s="441"/>
    </row>
    <row r="31" spans="1:8" x14ac:dyDescent="0.25">
      <c r="A31" s="442" t="s">
        <v>646</v>
      </c>
      <c r="B31" s="441"/>
      <c r="C31" s="441"/>
      <c r="D31" s="441"/>
      <c r="E31" s="441"/>
      <c r="F31" s="441"/>
      <c r="G31" s="441"/>
      <c r="H31" s="441"/>
    </row>
    <row r="32" spans="1:8" x14ac:dyDescent="0.25">
      <c r="A32" s="442" t="s">
        <v>647</v>
      </c>
      <c r="B32" s="441"/>
      <c r="C32" s="441"/>
      <c r="D32" s="441"/>
      <c r="E32" s="441"/>
      <c r="F32" s="441"/>
      <c r="G32" s="441"/>
      <c r="H32" s="441"/>
    </row>
    <row r="33" spans="1:8" x14ac:dyDescent="0.25">
      <c r="A33" s="442" t="s">
        <v>648</v>
      </c>
      <c r="B33" s="441"/>
      <c r="C33" s="441"/>
      <c r="D33" s="441"/>
      <c r="E33" s="441"/>
      <c r="F33" s="441"/>
      <c r="G33" s="441"/>
      <c r="H33" s="441"/>
    </row>
    <row r="34" spans="1:8" x14ac:dyDescent="0.25">
      <c r="A34" s="441"/>
      <c r="B34" s="441"/>
      <c r="C34" s="441"/>
      <c r="D34" s="441"/>
      <c r="E34" s="441"/>
      <c r="F34" s="441"/>
      <c r="G34" s="441"/>
      <c r="H34" s="441"/>
    </row>
    <row r="35" spans="1:8" x14ac:dyDescent="0.25">
      <c r="A35" s="442" t="s">
        <v>640</v>
      </c>
      <c r="B35" s="441"/>
      <c r="C35" s="441"/>
      <c r="D35" s="441"/>
      <c r="E35" s="441"/>
      <c r="F35" s="441"/>
      <c r="G35" s="441"/>
      <c r="H35" s="441"/>
    </row>
    <row r="36" spans="1:8" x14ac:dyDescent="0.25">
      <c r="A36" s="442" t="s">
        <v>641</v>
      </c>
      <c r="B36" s="441"/>
      <c r="C36" s="441"/>
      <c r="D36" s="441"/>
      <c r="E36" s="441"/>
      <c r="F36" s="441"/>
      <c r="G36" s="441"/>
      <c r="H36" s="441"/>
    </row>
    <row r="37" spans="1:8" x14ac:dyDescent="0.25">
      <c r="A37" s="442" t="s">
        <v>642</v>
      </c>
      <c r="B37" s="441"/>
      <c r="C37" s="441"/>
      <c r="D37" s="441"/>
      <c r="E37" s="441"/>
      <c r="F37" s="441"/>
      <c r="G37" s="441"/>
      <c r="H37" s="441"/>
    </row>
    <row r="38" spans="1:8" x14ac:dyDescent="0.25">
      <c r="A38" s="442" t="s">
        <v>643</v>
      </c>
      <c r="B38" s="441"/>
      <c r="C38" s="441"/>
      <c r="D38" s="441"/>
      <c r="E38" s="441"/>
      <c r="F38" s="441"/>
      <c r="G38" s="441"/>
      <c r="H38" s="441"/>
    </row>
    <row r="39" spans="1:8" x14ac:dyDescent="0.25">
      <c r="A39" s="441"/>
      <c r="B39" s="441"/>
      <c r="C39" s="441"/>
      <c r="D39" s="441"/>
      <c r="E39" s="441"/>
      <c r="F39" s="441"/>
      <c r="G39" s="441"/>
      <c r="H39" s="441"/>
    </row>
    <row r="40" spans="1:8" x14ac:dyDescent="0.25">
      <c r="A40" s="442" t="s">
        <v>634</v>
      </c>
      <c r="B40" s="441"/>
      <c r="C40" s="441"/>
      <c r="D40" s="441"/>
      <c r="E40" s="441"/>
      <c r="F40" s="441"/>
      <c r="G40" s="441"/>
      <c r="H40" s="441"/>
    </row>
    <row r="41" spans="1:8" x14ac:dyDescent="0.25">
      <c r="A41" s="442" t="s">
        <v>635</v>
      </c>
      <c r="B41" s="441"/>
      <c r="C41" s="441"/>
      <c r="D41" s="441"/>
      <c r="E41" s="441"/>
      <c r="F41" s="441"/>
      <c r="G41" s="441"/>
      <c r="H41" s="441"/>
    </row>
    <row r="42" spans="1:8" x14ac:dyDescent="0.25">
      <c r="A42" s="442" t="s">
        <v>636</v>
      </c>
      <c r="B42" s="441"/>
      <c r="C42" s="441"/>
      <c r="D42" s="441"/>
      <c r="E42" s="441"/>
      <c r="F42" s="441"/>
      <c r="G42" s="441"/>
      <c r="H42" s="441"/>
    </row>
    <row r="43" spans="1:8" x14ac:dyDescent="0.25">
      <c r="A43" s="442" t="s">
        <v>637</v>
      </c>
      <c r="B43" s="441"/>
      <c r="C43" s="441"/>
      <c r="D43" s="441"/>
      <c r="E43" s="441"/>
      <c r="F43" s="441"/>
      <c r="G43" s="441"/>
      <c r="H43" s="441"/>
    </row>
    <row r="44" spans="1:8" x14ac:dyDescent="0.25">
      <c r="A44" s="442" t="s">
        <v>638</v>
      </c>
      <c r="B44" s="441"/>
      <c r="C44" s="441"/>
      <c r="D44" s="441"/>
      <c r="E44" s="441"/>
      <c r="F44" s="441"/>
      <c r="G44" s="441"/>
      <c r="H44" s="441"/>
    </row>
    <row r="45" spans="1:8" x14ac:dyDescent="0.25">
      <c r="A45" s="442" t="s">
        <v>639</v>
      </c>
      <c r="B45" s="441"/>
      <c r="C45" s="441"/>
      <c r="D45" s="441"/>
      <c r="E45" s="441"/>
      <c r="F45" s="441"/>
      <c r="G45" s="441"/>
      <c r="H45" s="441"/>
    </row>
    <row r="46" spans="1:8" x14ac:dyDescent="0.25">
      <c r="A46" s="441"/>
      <c r="B46" s="441"/>
      <c r="C46" s="441"/>
      <c r="D46" s="441"/>
      <c r="E46" s="441"/>
      <c r="F46" s="441"/>
      <c r="G46" s="441"/>
      <c r="H46" s="441"/>
    </row>
    <row r="47" spans="1:8" ht="15.6" x14ac:dyDescent="0.25">
      <c r="A47" s="443" t="s">
        <v>375</v>
      </c>
      <c r="B47" s="441"/>
      <c r="C47" s="441"/>
      <c r="D47" s="441"/>
      <c r="E47" s="441"/>
      <c r="F47" s="441"/>
      <c r="G47" s="441"/>
      <c r="H47" s="441"/>
    </row>
    <row r="48" spans="1:8" x14ac:dyDescent="0.25">
      <c r="A48" s="441"/>
      <c r="B48" s="441"/>
      <c r="C48" s="441"/>
      <c r="D48" s="441"/>
      <c r="E48" s="441"/>
      <c r="F48" s="441"/>
      <c r="G48" s="441"/>
      <c r="H48" s="441"/>
    </row>
    <row r="49" spans="1:8" x14ac:dyDescent="0.25">
      <c r="A49" s="442" t="s">
        <v>630</v>
      </c>
      <c r="B49" s="441"/>
      <c r="C49" s="441"/>
      <c r="D49" s="441"/>
      <c r="E49" s="441"/>
      <c r="F49" s="441"/>
      <c r="G49" s="441"/>
      <c r="H49" s="441"/>
    </row>
    <row r="50" spans="1:8" x14ac:dyDescent="0.25">
      <c r="A50" s="442" t="s">
        <v>631</v>
      </c>
      <c r="B50" s="441"/>
      <c r="C50" s="441"/>
      <c r="D50" s="441"/>
      <c r="E50" s="441"/>
      <c r="F50" s="441"/>
      <c r="G50" s="441"/>
      <c r="H50" s="441"/>
    </row>
    <row r="51" spans="1:8" x14ac:dyDescent="0.25">
      <c r="A51" s="442" t="s">
        <v>632</v>
      </c>
      <c r="B51" s="441"/>
      <c r="C51" s="441"/>
      <c r="D51" s="441"/>
      <c r="E51" s="441"/>
      <c r="F51" s="441"/>
      <c r="G51" s="441"/>
      <c r="H51" s="441"/>
    </row>
    <row r="52" spans="1:8" x14ac:dyDescent="0.25">
      <c r="A52" s="442" t="s">
        <v>633</v>
      </c>
      <c r="B52" s="441"/>
      <c r="C52" s="441"/>
      <c r="D52" s="441"/>
      <c r="E52" s="441"/>
      <c r="F52" s="441"/>
      <c r="G52" s="441"/>
      <c r="H52" s="441"/>
    </row>
    <row r="53" spans="1:8" x14ac:dyDescent="0.25">
      <c r="A53" s="441"/>
      <c r="B53" s="441"/>
      <c r="C53" s="441"/>
      <c r="D53" s="441"/>
      <c r="E53" s="441"/>
      <c r="F53" s="441"/>
      <c r="G53" s="441"/>
      <c r="H53" s="441"/>
    </row>
    <row r="54" spans="1:8" x14ac:dyDescent="0.25">
      <c r="A54" s="442" t="s">
        <v>376</v>
      </c>
      <c r="B54" s="441"/>
      <c r="C54" s="441"/>
      <c r="D54" s="441"/>
      <c r="E54" s="441"/>
      <c r="F54" s="441"/>
      <c r="G54" s="441"/>
      <c r="H54" s="441"/>
    </row>
    <row r="55" spans="1:8" x14ac:dyDescent="0.25">
      <c r="A55" s="441"/>
      <c r="B55" s="441"/>
      <c r="C55" s="441"/>
      <c r="D55" s="441"/>
      <c r="E55" s="441"/>
      <c r="F55" s="441"/>
      <c r="G55" s="441"/>
      <c r="H55" s="441"/>
    </row>
    <row r="56" spans="1:8" ht="15.6" x14ac:dyDescent="0.25">
      <c r="A56" s="443" t="s">
        <v>377</v>
      </c>
      <c r="B56" s="441"/>
      <c r="C56" s="441"/>
      <c r="D56" s="441"/>
      <c r="E56" s="441"/>
      <c r="F56" s="441"/>
      <c r="G56" s="441"/>
      <c r="H56" s="441"/>
    </row>
    <row r="57" spans="1:8" x14ac:dyDescent="0.25">
      <c r="A57" s="441"/>
      <c r="B57" s="441"/>
      <c r="C57" s="441"/>
      <c r="D57" s="441"/>
      <c r="E57" s="441"/>
      <c r="F57" s="441"/>
      <c r="G57" s="441"/>
      <c r="H57" s="441"/>
    </row>
    <row r="58" spans="1:8" x14ac:dyDescent="0.25">
      <c r="A58" s="442" t="s">
        <v>628</v>
      </c>
      <c r="B58" s="441"/>
      <c r="C58" s="441"/>
      <c r="D58" s="441"/>
      <c r="E58" s="441"/>
      <c r="F58" s="441"/>
      <c r="G58" s="441"/>
      <c r="H58" s="441"/>
    </row>
    <row r="59" spans="1:8" x14ac:dyDescent="0.25">
      <c r="A59" s="442" t="s">
        <v>629</v>
      </c>
      <c r="B59" s="441"/>
      <c r="C59" s="441"/>
      <c r="D59" s="441"/>
      <c r="E59" s="441"/>
      <c r="F59" s="441"/>
      <c r="G59" s="441"/>
      <c r="H59" s="441"/>
    </row>
    <row r="60" spans="1:8" x14ac:dyDescent="0.25">
      <c r="A60" s="441"/>
      <c r="B60" s="441"/>
      <c r="C60" s="441"/>
      <c r="D60" s="441"/>
      <c r="E60" s="441"/>
      <c r="F60" s="441"/>
      <c r="G60" s="441"/>
      <c r="H60" s="441"/>
    </row>
    <row r="61" spans="1:8" ht="15.6" x14ac:dyDescent="0.25">
      <c r="A61" s="443" t="s">
        <v>378</v>
      </c>
      <c r="B61" s="441"/>
      <c r="C61" s="441"/>
      <c r="D61" s="441"/>
      <c r="E61" s="441"/>
      <c r="F61" s="441"/>
      <c r="G61" s="441"/>
      <c r="H61" s="441"/>
    </row>
    <row r="62" spans="1:8" x14ac:dyDescent="0.25">
      <c r="A62" s="441"/>
      <c r="B62" s="441"/>
      <c r="C62" s="441"/>
      <c r="D62" s="441"/>
      <c r="E62" s="441"/>
      <c r="F62" s="441"/>
      <c r="G62" s="441"/>
      <c r="H62" s="441"/>
    </row>
    <row r="63" spans="1:8" x14ac:dyDescent="0.25">
      <c r="A63" s="442" t="s">
        <v>626</v>
      </c>
      <c r="B63" s="441"/>
      <c r="C63" s="441"/>
      <c r="D63" s="441"/>
      <c r="E63" s="441"/>
      <c r="F63" s="441"/>
      <c r="G63" s="441"/>
      <c r="H63" s="441"/>
    </row>
    <row r="64" spans="1:8" x14ac:dyDescent="0.25">
      <c r="A64" s="442" t="s">
        <v>627</v>
      </c>
      <c r="B64" s="441"/>
      <c r="C64" s="441"/>
      <c r="D64" s="441"/>
      <c r="E64" s="441"/>
      <c r="F64" s="441"/>
      <c r="G64" s="441"/>
      <c r="H64" s="441"/>
    </row>
    <row r="65" spans="1:8" x14ac:dyDescent="0.25">
      <c r="A65" s="441"/>
      <c r="B65" s="441"/>
      <c r="C65" s="441"/>
      <c r="D65" s="441"/>
      <c r="E65" s="441"/>
      <c r="F65" s="441"/>
      <c r="G65" s="441"/>
      <c r="H65" s="441"/>
    </row>
    <row r="66" spans="1:8" x14ac:dyDescent="0.25">
      <c r="A66" s="442" t="s">
        <v>624</v>
      </c>
      <c r="B66" s="441"/>
      <c r="C66" s="441"/>
      <c r="D66" s="441"/>
      <c r="E66" s="441"/>
      <c r="F66" s="441"/>
      <c r="G66" s="441"/>
      <c r="H66" s="441"/>
    </row>
    <row r="67" spans="1:8" x14ac:dyDescent="0.25">
      <c r="A67" s="442" t="s">
        <v>625</v>
      </c>
      <c r="B67" s="441"/>
      <c r="C67" s="441"/>
      <c r="D67" s="441"/>
      <c r="E67" s="441"/>
      <c r="F67" s="441"/>
      <c r="G67" s="441"/>
      <c r="H67" s="441"/>
    </row>
    <row r="68" spans="1:8" x14ac:dyDescent="0.25">
      <c r="A68" s="441"/>
      <c r="B68" s="441"/>
      <c r="C68" s="441"/>
      <c r="D68" s="441"/>
      <c r="E68" s="441"/>
      <c r="F68" s="441"/>
      <c r="G68" s="441"/>
      <c r="H68" s="441"/>
    </row>
    <row r="69" spans="1:8" x14ac:dyDescent="0.25">
      <c r="A69" s="442" t="s">
        <v>621</v>
      </c>
      <c r="B69" s="441"/>
      <c r="C69" s="441"/>
      <c r="D69" s="441"/>
      <c r="E69" s="441"/>
      <c r="F69" s="441"/>
      <c r="G69" s="441"/>
      <c r="H69" s="441"/>
    </row>
    <row r="70" spans="1:8" x14ac:dyDescent="0.25">
      <c r="A70" s="442" t="s">
        <v>622</v>
      </c>
      <c r="B70" s="441"/>
      <c r="C70" s="441"/>
      <c r="D70" s="441"/>
      <c r="E70" s="441"/>
      <c r="F70" s="441"/>
      <c r="G70" s="441"/>
      <c r="H70" s="441"/>
    </row>
    <row r="71" spans="1:8" x14ac:dyDescent="0.25">
      <c r="A71" s="442" t="s">
        <v>623</v>
      </c>
      <c r="B71" s="441"/>
      <c r="C71" s="441"/>
      <c r="D71" s="441"/>
      <c r="E71" s="441"/>
      <c r="F71" s="441"/>
      <c r="G71" s="441"/>
      <c r="H71" s="441"/>
    </row>
    <row r="72" spans="1:8" x14ac:dyDescent="0.25">
      <c r="A72" s="441"/>
      <c r="B72" s="441"/>
      <c r="C72" s="441"/>
      <c r="D72" s="441"/>
      <c r="E72" s="441"/>
      <c r="F72" s="441"/>
      <c r="G72" s="441"/>
      <c r="H72" s="441"/>
    </row>
    <row r="73" spans="1:8" x14ac:dyDescent="0.25">
      <c r="A73" s="442" t="s">
        <v>379</v>
      </c>
      <c r="B73" s="441"/>
      <c r="C73" s="441"/>
      <c r="D73" s="441"/>
      <c r="E73" s="441"/>
      <c r="F73" s="441"/>
      <c r="G73" s="441"/>
      <c r="H73" s="441"/>
    </row>
    <row r="74" spans="1:8" x14ac:dyDescent="0.25">
      <c r="A74" s="441"/>
      <c r="B74" s="441"/>
      <c r="C74" s="441"/>
      <c r="D74" s="441"/>
      <c r="E74" s="441"/>
      <c r="F74" s="441"/>
      <c r="G74" s="441"/>
      <c r="H74" s="441"/>
    </row>
    <row r="75" spans="1:8" x14ac:dyDescent="0.25">
      <c r="A75" s="442" t="s">
        <v>616</v>
      </c>
      <c r="B75" s="441"/>
      <c r="C75" s="441"/>
      <c r="D75" s="441"/>
      <c r="E75" s="441"/>
      <c r="F75" s="441"/>
      <c r="G75" s="441"/>
      <c r="H75" s="441"/>
    </row>
    <row r="76" spans="1:8" x14ac:dyDescent="0.25">
      <c r="A76" s="442" t="s">
        <v>617</v>
      </c>
      <c r="B76" s="441"/>
      <c r="C76" s="441"/>
      <c r="D76" s="441"/>
      <c r="E76" s="441"/>
      <c r="F76" s="441"/>
      <c r="G76" s="441"/>
      <c r="H76" s="441"/>
    </row>
    <row r="77" spans="1:8" x14ac:dyDescent="0.25">
      <c r="A77" s="442" t="s">
        <v>618</v>
      </c>
      <c r="B77" s="441"/>
      <c r="C77" s="441"/>
      <c r="D77" s="441"/>
      <c r="E77" s="441"/>
      <c r="F77" s="441"/>
      <c r="G77" s="441"/>
      <c r="H77" s="441"/>
    </row>
    <row r="78" spans="1:8" x14ac:dyDescent="0.25">
      <c r="A78" s="442" t="s">
        <v>619</v>
      </c>
      <c r="B78" s="441"/>
      <c r="C78" s="441"/>
      <c r="D78" s="441"/>
      <c r="E78" s="441"/>
      <c r="F78" s="441"/>
      <c r="G78" s="441"/>
      <c r="H78" s="441"/>
    </row>
    <row r="79" spans="1:8" x14ac:dyDescent="0.25">
      <c r="A79" s="442" t="s">
        <v>620</v>
      </c>
      <c r="B79" s="441"/>
      <c r="C79" s="441"/>
      <c r="D79" s="441"/>
      <c r="E79" s="441"/>
      <c r="F79" s="441"/>
      <c r="G79" s="441"/>
      <c r="H79" s="441"/>
    </row>
    <row r="80" spans="1:8" x14ac:dyDescent="0.25">
      <c r="A80" s="442" t="s">
        <v>505</v>
      </c>
      <c r="B80" s="441"/>
      <c r="C80" s="441"/>
      <c r="D80" s="441"/>
      <c r="E80" s="441"/>
      <c r="F80" s="441"/>
      <c r="G80" s="441"/>
      <c r="H80" s="441"/>
    </row>
    <row r="81" spans="1:8" x14ac:dyDescent="0.25">
      <c r="A81" s="441"/>
      <c r="B81" s="441"/>
      <c r="C81" s="441"/>
      <c r="D81" s="441"/>
      <c r="E81" s="441"/>
      <c r="F81" s="441"/>
      <c r="G81" s="441"/>
      <c r="H81" s="441"/>
    </row>
    <row r="82" spans="1:8" x14ac:dyDescent="0.25">
      <c r="A82" s="442" t="s">
        <v>609</v>
      </c>
      <c r="B82" s="441"/>
      <c r="C82" s="441"/>
      <c r="D82" s="441"/>
      <c r="E82" s="441"/>
      <c r="F82" s="441"/>
      <c r="G82" s="441"/>
      <c r="H82" s="441"/>
    </row>
    <row r="83" spans="1:8" x14ac:dyDescent="0.25">
      <c r="A83" s="442" t="s">
        <v>610</v>
      </c>
      <c r="B83" s="441"/>
      <c r="C83" s="441"/>
      <c r="D83" s="441"/>
      <c r="E83" s="441"/>
      <c r="F83" s="441"/>
      <c r="G83" s="441"/>
      <c r="H83" s="441"/>
    </row>
    <row r="84" spans="1:8" x14ac:dyDescent="0.25">
      <c r="A84" s="442" t="s">
        <v>611</v>
      </c>
      <c r="B84" s="441"/>
      <c r="C84" s="441"/>
      <c r="D84" s="441"/>
      <c r="E84" s="441"/>
      <c r="F84" s="441"/>
      <c r="G84" s="441"/>
      <c r="H84" s="441"/>
    </row>
    <row r="85" spans="1:8" x14ac:dyDescent="0.25">
      <c r="A85" s="442" t="s">
        <v>612</v>
      </c>
      <c r="B85" s="441"/>
      <c r="C85" s="441"/>
      <c r="D85" s="441"/>
      <c r="E85" s="441"/>
      <c r="F85" s="441"/>
      <c r="G85" s="441"/>
      <c r="H85" s="441"/>
    </row>
    <row r="86" spans="1:8" x14ac:dyDescent="0.25">
      <c r="A86" s="442" t="s">
        <v>613</v>
      </c>
      <c r="B86" s="441"/>
      <c r="C86" s="441"/>
      <c r="D86" s="441"/>
      <c r="E86" s="441"/>
      <c r="F86" s="441"/>
      <c r="G86" s="441"/>
      <c r="H86" s="441"/>
    </row>
    <row r="87" spans="1:8" x14ac:dyDescent="0.25">
      <c r="A87" s="442" t="s">
        <v>614</v>
      </c>
      <c r="B87" s="441"/>
      <c r="C87" s="441"/>
      <c r="D87" s="441"/>
      <c r="E87" s="441"/>
      <c r="F87" s="441"/>
      <c r="G87" s="441"/>
      <c r="H87" s="441"/>
    </row>
    <row r="88" spans="1:8" x14ac:dyDescent="0.25">
      <c r="A88" s="442" t="s">
        <v>615</v>
      </c>
      <c r="B88" s="441"/>
      <c r="C88" s="441"/>
      <c r="D88" s="441"/>
      <c r="E88" s="441"/>
      <c r="F88" s="441"/>
      <c r="G88" s="441"/>
      <c r="H88" s="441"/>
    </row>
    <row r="89" spans="1:8" x14ac:dyDescent="0.25">
      <c r="A89" s="441"/>
      <c r="B89" s="441"/>
      <c r="C89" s="441"/>
      <c r="D89" s="441"/>
      <c r="E89" s="441"/>
      <c r="F89" s="441"/>
      <c r="G89" s="441"/>
      <c r="H89" s="441"/>
    </row>
    <row r="90" spans="1:8" x14ac:dyDescent="0.25">
      <c r="A90" s="442" t="s">
        <v>607</v>
      </c>
      <c r="B90" s="441"/>
      <c r="C90" s="441"/>
      <c r="D90" s="441"/>
      <c r="E90" s="441"/>
      <c r="F90" s="441"/>
      <c r="G90" s="441"/>
      <c r="H90" s="441"/>
    </row>
    <row r="91" spans="1:8" x14ac:dyDescent="0.25">
      <c r="A91" s="442" t="s">
        <v>608</v>
      </c>
      <c r="B91" s="441"/>
      <c r="C91" s="441"/>
      <c r="D91" s="441"/>
      <c r="E91" s="441"/>
      <c r="F91" s="441"/>
      <c r="G91" s="441"/>
      <c r="H91" s="441"/>
    </row>
    <row r="92" spans="1:8" x14ac:dyDescent="0.25">
      <c r="A92" s="441"/>
      <c r="B92" s="441"/>
      <c r="C92" s="441"/>
      <c r="D92" s="441"/>
      <c r="E92" s="441"/>
      <c r="F92" s="441"/>
      <c r="G92" s="441"/>
      <c r="H92" s="441"/>
    </row>
    <row r="93" spans="1:8" ht="15.6" x14ac:dyDescent="0.25">
      <c r="A93" s="443" t="s">
        <v>380</v>
      </c>
      <c r="B93" s="441"/>
      <c r="C93" s="441"/>
      <c r="D93" s="441"/>
      <c r="E93" s="441"/>
      <c r="F93" s="441"/>
      <c r="G93" s="441"/>
      <c r="H93" s="441"/>
    </row>
    <row r="94" spans="1:8" x14ac:dyDescent="0.25">
      <c r="A94" s="441"/>
      <c r="B94" s="441"/>
      <c r="C94" s="441"/>
      <c r="D94" s="441"/>
      <c r="E94" s="441"/>
      <c r="F94" s="441"/>
      <c r="G94" s="441"/>
      <c r="H94" s="441"/>
    </row>
    <row r="95" spans="1:8" x14ac:dyDescent="0.25">
      <c r="A95" s="442" t="s">
        <v>598</v>
      </c>
      <c r="B95" s="441"/>
      <c r="C95" s="441"/>
      <c r="D95" s="441"/>
      <c r="E95" s="441"/>
      <c r="F95" s="441"/>
      <c r="G95" s="441"/>
      <c r="H95" s="441"/>
    </row>
    <row r="96" spans="1:8" x14ac:dyDescent="0.25">
      <c r="A96" s="442" t="s">
        <v>599</v>
      </c>
      <c r="B96" s="441"/>
      <c r="C96" s="441"/>
      <c r="D96" s="441"/>
      <c r="E96" s="441"/>
      <c r="F96" s="441"/>
      <c r="G96" s="441"/>
      <c r="H96" s="441"/>
    </row>
    <row r="97" spans="1:8" x14ac:dyDescent="0.25">
      <c r="A97" s="442" t="s">
        <v>600</v>
      </c>
      <c r="B97" s="441"/>
      <c r="C97" s="441"/>
      <c r="D97" s="441"/>
      <c r="E97" s="441"/>
      <c r="F97" s="441"/>
      <c r="G97" s="441"/>
      <c r="H97" s="441"/>
    </row>
    <row r="98" spans="1:8" x14ac:dyDescent="0.25">
      <c r="A98" s="442" t="s">
        <v>601</v>
      </c>
      <c r="B98" s="441"/>
      <c r="C98" s="441"/>
      <c r="D98" s="441"/>
      <c r="E98" s="441"/>
      <c r="F98" s="441"/>
      <c r="G98" s="441"/>
      <c r="H98" s="441"/>
    </row>
    <row r="99" spans="1:8" x14ac:dyDescent="0.25">
      <c r="A99" s="442" t="s">
        <v>602</v>
      </c>
      <c r="B99" s="441"/>
      <c r="C99" s="441"/>
      <c r="D99" s="441"/>
      <c r="E99" s="441"/>
      <c r="F99" s="441"/>
      <c r="G99" s="441"/>
      <c r="H99" s="441"/>
    </row>
    <row r="100" spans="1:8" x14ac:dyDescent="0.25">
      <c r="A100" s="442" t="s">
        <v>603</v>
      </c>
      <c r="B100" s="441"/>
      <c r="C100" s="441"/>
      <c r="D100" s="441"/>
      <c r="E100" s="441"/>
      <c r="F100" s="441"/>
      <c r="G100" s="441"/>
      <c r="H100" s="441"/>
    </row>
    <row r="101" spans="1:8" x14ac:dyDescent="0.25">
      <c r="A101" s="442" t="s">
        <v>604</v>
      </c>
      <c r="B101" s="441"/>
      <c r="C101" s="441"/>
      <c r="D101" s="441"/>
      <c r="E101" s="441"/>
      <c r="F101" s="441"/>
      <c r="G101" s="441"/>
      <c r="H101" s="441"/>
    </row>
    <row r="102" spans="1:8" x14ac:dyDescent="0.25">
      <c r="A102" s="442" t="s">
        <v>605</v>
      </c>
      <c r="B102" s="441"/>
      <c r="C102" s="441"/>
      <c r="D102" s="441"/>
      <c r="E102" s="441"/>
      <c r="F102" s="441"/>
      <c r="G102" s="441"/>
      <c r="H102" s="441"/>
    </row>
    <row r="103" spans="1:8" x14ac:dyDescent="0.25">
      <c r="A103" s="442" t="s">
        <v>606</v>
      </c>
      <c r="B103" s="441"/>
      <c r="C103" s="441"/>
      <c r="D103" s="441"/>
      <c r="E103" s="441"/>
      <c r="F103" s="441"/>
      <c r="G103" s="441"/>
      <c r="H103" s="441"/>
    </row>
    <row r="104" spans="1:8" x14ac:dyDescent="0.25">
      <c r="A104" s="441"/>
      <c r="B104" s="441"/>
      <c r="C104" s="441"/>
      <c r="D104" s="441"/>
      <c r="E104" s="441"/>
      <c r="F104" s="441"/>
      <c r="G104" s="441"/>
      <c r="H104" s="441"/>
    </row>
    <row r="105" spans="1:8" ht="15.6" x14ac:dyDescent="0.25">
      <c r="A105" s="444" t="s">
        <v>381</v>
      </c>
      <c r="B105" s="444"/>
      <c r="C105" s="444"/>
      <c r="D105" s="444"/>
      <c r="E105" s="444"/>
      <c r="F105" s="444"/>
      <c r="G105" s="444"/>
      <c r="H105" s="444"/>
    </row>
    <row r="106" spans="1:8" x14ac:dyDescent="0.25">
      <c r="A106" s="445" t="s">
        <v>382</v>
      </c>
      <c r="B106" s="445"/>
      <c r="C106" s="445"/>
      <c r="D106" s="445"/>
      <c r="E106" s="445"/>
      <c r="F106" s="445"/>
      <c r="G106" s="445"/>
      <c r="H106" s="445"/>
    </row>
    <row r="107" spans="1:8" x14ac:dyDescent="0.25">
      <c r="A107" s="446"/>
      <c r="B107" s="446"/>
      <c r="C107" s="446"/>
      <c r="D107" s="446"/>
      <c r="E107" s="446"/>
      <c r="F107" s="446"/>
      <c r="G107" s="446"/>
      <c r="H107" s="446"/>
    </row>
    <row r="108" spans="1:8" x14ac:dyDescent="0.25">
      <c r="A108" s="445" t="s">
        <v>596</v>
      </c>
      <c r="B108" s="445"/>
      <c r="C108" s="445"/>
      <c r="D108" s="445"/>
      <c r="E108" s="445"/>
      <c r="F108" s="445"/>
      <c r="G108" s="445"/>
      <c r="H108" s="445"/>
    </row>
    <row r="109" spans="1:8" x14ac:dyDescent="0.25">
      <c r="A109" s="442" t="s">
        <v>597</v>
      </c>
      <c r="B109" s="442"/>
      <c r="C109" s="442"/>
      <c r="D109" s="442"/>
      <c r="E109" s="442"/>
      <c r="F109" s="442"/>
      <c r="G109" s="442"/>
      <c r="H109" s="442"/>
    </row>
    <row r="110" spans="1:8" x14ac:dyDescent="0.25">
      <c r="A110" s="446"/>
      <c r="B110" s="446"/>
      <c r="C110" s="446"/>
      <c r="D110" s="446"/>
      <c r="E110" s="446"/>
      <c r="F110" s="446"/>
      <c r="G110" s="446"/>
      <c r="H110" s="446"/>
    </row>
    <row r="111" spans="1:8" x14ac:dyDescent="0.25">
      <c r="A111" s="445" t="s">
        <v>589</v>
      </c>
      <c r="B111" s="445"/>
      <c r="C111" s="445"/>
      <c r="D111" s="445"/>
      <c r="E111" s="445"/>
      <c r="F111" s="445"/>
      <c r="G111" s="445"/>
      <c r="H111" s="445"/>
    </row>
    <row r="112" spans="1:8" x14ac:dyDescent="0.25">
      <c r="A112" s="442" t="s">
        <v>590</v>
      </c>
      <c r="B112" s="442"/>
      <c r="C112" s="442"/>
      <c r="D112" s="442"/>
      <c r="E112" s="442"/>
      <c r="F112" s="442"/>
      <c r="G112" s="442"/>
      <c r="H112" s="442"/>
    </row>
    <row r="113" spans="1:8" x14ac:dyDescent="0.25">
      <c r="A113" s="442" t="s">
        <v>591</v>
      </c>
      <c r="B113" s="442"/>
      <c r="C113" s="442"/>
      <c r="D113" s="442"/>
      <c r="E113" s="442"/>
      <c r="F113" s="442"/>
      <c r="G113" s="442"/>
      <c r="H113" s="442"/>
    </row>
    <row r="114" spans="1:8" x14ac:dyDescent="0.25">
      <c r="A114" s="442" t="s">
        <v>592</v>
      </c>
      <c r="B114" s="442"/>
      <c r="C114" s="442"/>
      <c r="D114" s="442"/>
      <c r="E114" s="442"/>
      <c r="F114" s="442"/>
      <c r="G114" s="442"/>
      <c r="H114" s="442"/>
    </row>
    <row r="115" spans="1:8" x14ac:dyDescent="0.25">
      <c r="A115" s="442" t="s">
        <v>593</v>
      </c>
      <c r="B115" s="442"/>
      <c r="C115" s="442"/>
      <c r="D115" s="442"/>
      <c r="E115" s="442"/>
      <c r="F115" s="442"/>
      <c r="G115" s="442"/>
      <c r="H115" s="442"/>
    </row>
    <row r="116" spans="1:8" x14ac:dyDescent="0.25">
      <c r="A116" s="442" t="s">
        <v>594</v>
      </c>
      <c r="B116" s="442"/>
      <c r="C116" s="442"/>
      <c r="D116" s="442"/>
      <c r="E116" s="442"/>
      <c r="F116" s="442"/>
      <c r="G116" s="442"/>
      <c r="H116" s="442"/>
    </row>
    <row r="117" spans="1:8" x14ac:dyDescent="0.25">
      <c r="A117" s="442" t="s">
        <v>595</v>
      </c>
      <c r="B117" s="442"/>
      <c r="C117" s="442"/>
      <c r="D117" s="442"/>
      <c r="E117" s="442"/>
      <c r="F117" s="442"/>
      <c r="G117" s="442"/>
      <c r="H117" s="442"/>
    </row>
    <row r="118" spans="1:8" x14ac:dyDescent="0.25">
      <c r="A118" s="447"/>
      <c r="B118" s="447"/>
      <c r="C118" s="447"/>
      <c r="D118" s="447"/>
      <c r="E118" s="447"/>
      <c r="F118" s="447"/>
      <c r="G118" s="447"/>
      <c r="H118" s="447"/>
    </row>
    <row r="119" spans="1:8" x14ac:dyDescent="0.25">
      <c r="A119" s="448"/>
      <c r="B119" s="449" t="s">
        <v>383</v>
      </c>
      <c r="C119" s="450"/>
      <c r="D119" s="449" t="s">
        <v>384</v>
      </c>
      <c r="E119" s="451"/>
      <c r="F119" s="450"/>
      <c r="G119" s="449" t="s">
        <v>385</v>
      </c>
      <c r="H119" s="450"/>
    </row>
    <row r="120" spans="1:8" x14ac:dyDescent="0.25">
      <c r="A120" s="448" t="s">
        <v>386</v>
      </c>
      <c r="B120" s="448" t="s">
        <v>227</v>
      </c>
      <c r="C120" s="448" t="s">
        <v>387</v>
      </c>
      <c r="D120" s="448" t="s">
        <v>227</v>
      </c>
      <c r="E120" s="448" t="s">
        <v>388</v>
      </c>
      <c r="F120" s="448" t="s">
        <v>389</v>
      </c>
      <c r="G120" s="448" t="s">
        <v>227</v>
      </c>
      <c r="H120" s="448" t="s">
        <v>390</v>
      </c>
    </row>
    <row r="121" spans="1:8" x14ac:dyDescent="0.25">
      <c r="A121" s="448" t="s">
        <v>391</v>
      </c>
      <c r="B121" s="448">
        <v>1175</v>
      </c>
      <c r="C121" s="452">
        <v>0.37</v>
      </c>
      <c r="D121" s="448">
        <v>315</v>
      </c>
      <c r="E121" s="452">
        <v>0.41</v>
      </c>
      <c r="F121" s="452">
        <v>0.27</v>
      </c>
      <c r="G121" s="448">
        <v>555</v>
      </c>
      <c r="H121" s="452">
        <v>0.39</v>
      </c>
    </row>
    <row r="122" spans="1:8" x14ac:dyDescent="0.25">
      <c r="A122" s="448" t="s">
        <v>392</v>
      </c>
      <c r="B122" s="448">
        <v>1369</v>
      </c>
      <c r="C122" s="452">
        <v>0.43</v>
      </c>
      <c r="D122" s="448">
        <v>357</v>
      </c>
      <c r="E122" s="452">
        <v>0.47</v>
      </c>
      <c r="F122" s="452">
        <v>0.26</v>
      </c>
      <c r="G122" s="448">
        <v>643</v>
      </c>
      <c r="H122" s="452">
        <v>0.45</v>
      </c>
    </row>
    <row r="123" spans="1:8" x14ac:dyDescent="0.25">
      <c r="A123" s="448" t="s">
        <v>393</v>
      </c>
      <c r="B123" s="448">
        <v>53</v>
      </c>
      <c r="C123" s="452">
        <v>0.02</v>
      </c>
      <c r="D123" s="448">
        <v>5</v>
      </c>
      <c r="E123" s="452">
        <v>0.01</v>
      </c>
      <c r="F123" s="452">
        <v>0.09</v>
      </c>
      <c r="G123" s="448">
        <v>7</v>
      </c>
      <c r="H123" s="452">
        <v>0</v>
      </c>
    </row>
    <row r="124" spans="1:8" x14ac:dyDescent="0.25">
      <c r="A124" s="448" t="s">
        <v>394</v>
      </c>
      <c r="B124" s="448">
        <v>552</v>
      </c>
      <c r="C124" s="452">
        <v>0.18</v>
      </c>
      <c r="D124" s="448">
        <v>87</v>
      </c>
      <c r="E124" s="452">
        <v>0.11</v>
      </c>
      <c r="F124" s="452">
        <v>0.16</v>
      </c>
      <c r="G124" s="448">
        <v>222</v>
      </c>
      <c r="H124" s="452">
        <v>0.16</v>
      </c>
    </row>
    <row r="125" spans="1:8" x14ac:dyDescent="0.25">
      <c r="A125" s="448" t="s">
        <v>169</v>
      </c>
      <c r="B125" s="453">
        <v>3149</v>
      </c>
      <c r="C125" s="448"/>
      <c r="D125" s="448">
        <v>764</v>
      </c>
      <c r="E125" s="448"/>
      <c r="F125" s="448"/>
      <c r="G125" s="448">
        <v>1427</v>
      </c>
      <c r="H125" s="448"/>
    </row>
    <row r="126" spans="1:8" x14ac:dyDescent="0.25">
      <c r="A126" s="454"/>
      <c r="B126" s="454"/>
      <c r="C126" s="454"/>
      <c r="D126" s="454"/>
      <c r="E126" s="454"/>
      <c r="F126" s="454"/>
      <c r="G126" s="454"/>
      <c r="H126" s="454"/>
    </row>
    <row r="127" spans="1:8" x14ac:dyDescent="0.25">
      <c r="A127" s="445" t="s">
        <v>585</v>
      </c>
      <c r="B127" s="445"/>
      <c r="C127" s="445"/>
      <c r="D127" s="445"/>
      <c r="E127" s="445"/>
      <c r="F127" s="445"/>
      <c r="G127" s="445"/>
      <c r="H127" s="445"/>
    </row>
    <row r="128" spans="1:8" x14ac:dyDescent="0.25">
      <c r="A128" s="442" t="s">
        <v>586</v>
      </c>
      <c r="B128" s="442"/>
      <c r="C128" s="442"/>
      <c r="D128" s="442"/>
      <c r="E128" s="442"/>
      <c r="F128" s="442"/>
      <c r="G128" s="442"/>
      <c r="H128" s="442"/>
    </row>
    <row r="129" spans="1:8" x14ac:dyDescent="0.25">
      <c r="A129" s="442" t="s">
        <v>587</v>
      </c>
      <c r="B129" s="442"/>
      <c r="C129" s="442"/>
      <c r="D129" s="442"/>
      <c r="E129" s="442"/>
      <c r="F129" s="442"/>
      <c r="G129" s="442"/>
      <c r="H129" s="442"/>
    </row>
    <row r="130" spans="1:8" x14ac:dyDescent="0.25">
      <c r="A130" s="442" t="s">
        <v>588</v>
      </c>
      <c r="B130" s="442"/>
      <c r="C130" s="442"/>
      <c r="D130" s="442"/>
      <c r="E130" s="442"/>
      <c r="F130" s="442"/>
      <c r="G130" s="442"/>
      <c r="H130" s="442"/>
    </row>
    <row r="131" spans="1:8" x14ac:dyDescent="0.25">
      <c r="A131" s="441"/>
      <c r="B131" s="441"/>
      <c r="C131" s="441"/>
      <c r="D131" s="441"/>
      <c r="E131" s="441"/>
      <c r="F131" s="441"/>
      <c r="G131" s="441"/>
      <c r="H131" s="441"/>
    </row>
    <row r="132" spans="1:8" ht="15.6" x14ac:dyDescent="0.25">
      <c r="A132" s="443" t="s">
        <v>395</v>
      </c>
      <c r="B132" s="441"/>
      <c r="C132" s="441"/>
      <c r="D132" s="441"/>
      <c r="E132" s="441"/>
      <c r="F132" s="441"/>
      <c r="G132" s="441"/>
      <c r="H132" s="441"/>
    </row>
    <row r="133" spans="1:8" x14ac:dyDescent="0.25">
      <c r="A133" s="441"/>
      <c r="B133" s="441"/>
      <c r="C133" s="441"/>
      <c r="D133" s="441"/>
      <c r="E133" s="441"/>
      <c r="F133" s="441"/>
      <c r="G133" s="441"/>
      <c r="H133" s="441"/>
    </row>
    <row r="134" spans="1:8" x14ac:dyDescent="0.25">
      <c r="A134" s="442" t="s">
        <v>583</v>
      </c>
      <c r="B134" s="441"/>
      <c r="C134" s="441"/>
      <c r="D134" s="441"/>
      <c r="E134" s="441"/>
      <c r="F134" s="441"/>
      <c r="G134" s="441"/>
      <c r="H134" s="441"/>
    </row>
    <row r="135" spans="1:8" x14ac:dyDescent="0.25">
      <c r="A135" s="442" t="s">
        <v>584</v>
      </c>
      <c r="B135" s="441"/>
      <c r="C135" s="441"/>
      <c r="D135" s="441"/>
      <c r="E135" s="441"/>
      <c r="F135" s="441"/>
      <c r="G135" s="441"/>
      <c r="H135" s="441"/>
    </row>
    <row r="136" spans="1:8" x14ac:dyDescent="0.25">
      <c r="A136" s="441"/>
      <c r="B136" s="441"/>
      <c r="C136" s="441"/>
      <c r="D136" s="441"/>
      <c r="E136" s="441"/>
      <c r="F136" s="441"/>
      <c r="G136" s="441"/>
      <c r="H136" s="441"/>
    </row>
    <row r="137" spans="1:8" x14ac:dyDescent="0.25">
      <c r="A137" s="442" t="s">
        <v>580</v>
      </c>
      <c r="B137" s="441"/>
      <c r="C137" s="441"/>
      <c r="D137" s="441"/>
      <c r="E137" s="441"/>
      <c r="F137" s="441"/>
      <c r="G137" s="441"/>
      <c r="H137" s="441"/>
    </row>
    <row r="138" spans="1:8" x14ac:dyDescent="0.25">
      <c r="A138" s="442" t="s">
        <v>581</v>
      </c>
      <c r="B138" s="441"/>
      <c r="C138" s="441"/>
      <c r="D138" s="441"/>
      <c r="E138" s="441"/>
      <c r="F138" s="441"/>
      <c r="G138" s="441"/>
      <c r="H138" s="441"/>
    </row>
    <row r="139" spans="1:8" x14ac:dyDescent="0.25">
      <c r="A139" s="442" t="s">
        <v>582</v>
      </c>
      <c r="B139" s="441"/>
      <c r="C139" s="441"/>
      <c r="D139" s="441"/>
      <c r="E139" s="441"/>
      <c r="F139" s="441"/>
      <c r="G139" s="441"/>
      <c r="H139" s="441"/>
    </row>
    <row r="140" spans="1:8" x14ac:dyDescent="0.25">
      <c r="A140" s="441"/>
      <c r="B140" s="441"/>
      <c r="C140" s="441"/>
      <c r="D140" s="441"/>
      <c r="E140" s="441"/>
      <c r="F140" s="441"/>
      <c r="G140" s="441"/>
      <c r="H140" s="441"/>
    </row>
    <row r="141" spans="1:8" x14ac:dyDescent="0.25">
      <c r="A141" s="442" t="s">
        <v>577</v>
      </c>
      <c r="B141" s="441"/>
      <c r="C141" s="441"/>
      <c r="D141" s="441"/>
      <c r="E141" s="441"/>
      <c r="F141" s="441"/>
      <c r="G141" s="441"/>
      <c r="H141" s="441"/>
    </row>
    <row r="142" spans="1:8" x14ac:dyDescent="0.25">
      <c r="A142" s="442" t="s">
        <v>578</v>
      </c>
      <c r="B142" s="441"/>
      <c r="C142" s="441"/>
      <c r="D142" s="441"/>
      <c r="E142" s="441"/>
      <c r="F142" s="441"/>
      <c r="G142" s="441"/>
      <c r="H142" s="441"/>
    </row>
    <row r="143" spans="1:8" x14ac:dyDescent="0.25">
      <c r="A143" s="442" t="s">
        <v>579</v>
      </c>
      <c r="B143" s="441"/>
      <c r="C143" s="441"/>
      <c r="D143" s="441"/>
      <c r="E143" s="441"/>
      <c r="F143" s="441"/>
      <c r="G143" s="441"/>
      <c r="H143" s="441"/>
    </row>
    <row r="144" spans="1:8" x14ac:dyDescent="0.25">
      <c r="A144" s="441"/>
      <c r="B144" s="441"/>
      <c r="C144" s="441"/>
      <c r="D144" s="441"/>
      <c r="E144" s="441"/>
      <c r="F144" s="441"/>
      <c r="G144" s="441"/>
      <c r="H144" s="441"/>
    </row>
    <row r="145" spans="1:8" x14ac:dyDescent="0.25">
      <c r="A145" s="442" t="s">
        <v>574</v>
      </c>
      <c r="B145" s="441"/>
      <c r="C145" s="441"/>
      <c r="D145" s="441"/>
      <c r="E145" s="441"/>
      <c r="F145" s="441"/>
      <c r="G145" s="441"/>
      <c r="H145" s="441"/>
    </row>
    <row r="146" spans="1:8" x14ac:dyDescent="0.25">
      <c r="A146" s="442" t="s">
        <v>575</v>
      </c>
      <c r="B146" s="441"/>
      <c r="C146" s="441"/>
      <c r="D146" s="441"/>
      <c r="E146" s="441"/>
      <c r="F146" s="441"/>
      <c r="G146" s="441"/>
      <c r="H146" s="441"/>
    </row>
    <row r="147" spans="1:8" x14ac:dyDescent="0.25">
      <c r="A147" s="442" t="s">
        <v>576</v>
      </c>
      <c r="B147" s="441"/>
      <c r="C147" s="441"/>
      <c r="D147" s="441"/>
      <c r="E147" s="441"/>
      <c r="F147" s="441"/>
      <c r="G147" s="441"/>
      <c r="H147" s="441"/>
    </row>
    <row r="148" spans="1:8" x14ac:dyDescent="0.25">
      <c r="A148" s="441"/>
      <c r="B148" s="441"/>
      <c r="C148" s="441"/>
      <c r="D148" s="441"/>
      <c r="E148" s="441"/>
      <c r="F148" s="441"/>
      <c r="G148" s="441"/>
      <c r="H148" s="441"/>
    </row>
    <row r="149" spans="1:8" x14ac:dyDescent="0.25">
      <c r="A149" s="442" t="s">
        <v>572</v>
      </c>
      <c r="B149" s="441"/>
      <c r="C149" s="441"/>
      <c r="D149" s="441"/>
      <c r="E149" s="441"/>
      <c r="F149" s="441"/>
      <c r="G149" s="441"/>
      <c r="H149" s="441"/>
    </row>
    <row r="150" spans="1:8" x14ac:dyDescent="0.25">
      <c r="A150" s="442" t="s">
        <v>573</v>
      </c>
      <c r="B150" s="441"/>
      <c r="C150" s="441"/>
      <c r="D150" s="441"/>
      <c r="E150" s="441"/>
      <c r="F150" s="441"/>
      <c r="G150" s="441"/>
      <c r="H150" s="441"/>
    </row>
    <row r="151" spans="1:8" x14ac:dyDescent="0.25">
      <c r="A151" s="441"/>
      <c r="B151" s="441"/>
      <c r="C151" s="441"/>
      <c r="D151" s="441"/>
      <c r="E151" s="441"/>
      <c r="F151" s="441"/>
      <c r="G151" s="441"/>
      <c r="H151" s="441"/>
    </row>
    <row r="152" spans="1:8" ht="15.6" x14ac:dyDescent="0.25">
      <c r="A152" s="443" t="s">
        <v>396</v>
      </c>
      <c r="B152" s="441"/>
      <c r="C152" s="441"/>
      <c r="D152" s="441"/>
      <c r="E152" s="441"/>
      <c r="F152" s="441"/>
      <c r="G152" s="441"/>
      <c r="H152" s="441"/>
    </row>
    <row r="153" spans="1:8" x14ac:dyDescent="0.25">
      <c r="A153" s="441"/>
      <c r="B153" s="441"/>
      <c r="C153" s="441"/>
      <c r="D153" s="441"/>
      <c r="E153" s="441"/>
      <c r="F153" s="441"/>
      <c r="G153" s="441"/>
      <c r="H153" s="441"/>
    </row>
    <row r="154" spans="1:8" x14ac:dyDescent="0.25">
      <c r="A154" s="442" t="s">
        <v>570</v>
      </c>
      <c r="B154" s="441"/>
      <c r="C154" s="441"/>
      <c r="D154" s="441"/>
      <c r="E154" s="441"/>
      <c r="F154" s="441"/>
      <c r="G154" s="441"/>
      <c r="H154" s="441"/>
    </row>
    <row r="155" spans="1:8" x14ac:dyDescent="0.25">
      <c r="A155" s="442" t="s">
        <v>571</v>
      </c>
      <c r="B155" s="441"/>
      <c r="C155" s="441"/>
      <c r="D155" s="441"/>
      <c r="E155" s="441"/>
      <c r="F155" s="441"/>
      <c r="G155" s="441"/>
      <c r="H155" s="441"/>
    </row>
    <row r="156" spans="1:8" x14ac:dyDescent="0.25">
      <c r="A156" s="441"/>
      <c r="B156" s="441"/>
      <c r="C156" s="441"/>
      <c r="D156" s="441"/>
      <c r="E156" s="441"/>
      <c r="F156" s="441"/>
      <c r="G156" s="441"/>
      <c r="H156" s="441"/>
    </row>
    <row r="157" spans="1:8" x14ac:dyDescent="0.25">
      <c r="A157" s="442" t="s">
        <v>568</v>
      </c>
      <c r="B157" s="441"/>
      <c r="C157" s="441"/>
      <c r="D157" s="441"/>
      <c r="E157" s="441"/>
      <c r="F157" s="441"/>
      <c r="G157" s="441"/>
      <c r="H157" s="441"/>
    </row>
    <row r="158" spans="1:8" x14ac:dyDescent="0.25">
      <c r="A158" s="442" t="s">
        <v>569</v>
      </c>
      <c r="B158" s="441"/>
      <c r="C158" s="441"/>
      <c r="D158" s="441"/>
      <c r="E158" s="441"/>
      <c r="F158" s="441"/>
      <c r="G158" s="441"/>
      <c r="H158" s="441"/>
    </row>
    <row r="159" spans="1:8" x14ac:dyDescent="0.25">
      <c r="A159" s="441"/>
      <c r="B159" s="441"/>
      <c r="C159" s="441"/>
      <c r="D159" s="441"/>
      <c r="E159" s="441"/>
      <c r="F159" s="441"/>
      <c r="G159" s="441"/>
      <c r="H159" s="441"/>
    </row>
    <row r="160" spans="1:8" x14ac:dyDescent="0.25">
      <c r="A160" s="442" t="s">
        <v>566</v>
      </c>
      <c r="B160" s="441"/>
      <c r="C160" s="441"/>
      <c r="D160" s="441"/>
      <c r="E160" s="441"/>
      <c r="F160" s="441"/>
      <c r="G160" s="441"/>
      <c r="H160" s="441"/>
    </row>
    <row r="161" spans="1:8" x14ac:dyDescent="0.25">
      <c r="A161" s="442" t="s">
        <v>567</v>
      </c>
      <c r="B161" s="441"/>
      <c r="C161" s="441"/>
      <c r="D161" s="441"/>
      <c r="E161" s="441"/>
      <c r="F161" s="441"/>
      <c r="G161" s="441"/>
      <c r="H161" s="441"/>
    </row>
    <row r="162" spans="1:8" x14ac:dyDescent="0.25">
      <c r="A162" s="441"/>
      <c r="B162" s="441"/>
      <c r="C162" s="441"/>
      <c r="D162" s="441"/>
      <c r="E162" s="441"/>
      <c r="F162" s="441"/>
      <c r="G162" s="441"/>
      <c r="H162" s="441"/>
    </row>
    <row r="163" spans="1:8" x14ac:dyDescent="0.25">
      <c r="A163" s="442" t="s">
        <v>563</v>
      </c>
      <c r="B163" s="441"/>
      <c r="C163" s="441"/>
      <c r="D163" s="441"/>
      <c r="E163" s="441"/>
      <c r="F163" s="441"/>
      <c r="G163" s="441"/>
      <c r="H163" s="441"/>
    </row>
    <row r="164" spans="1:8" x14ac:dyDescent="0.25">
      <c r="A164" s="442" t="s">
        <v>564</v>
      </c>
      <c r="B164" s="441"/>
      <c r="C164" s="441"/>
      <c r="D164" s="441"/>
      <c r="E164" s="441"/>
      <c r="F164" s="441"/>
      <c r="G164" s="441"/>
      <c r="H164" s="441"/>
    </row>
    <row r="165" spans="1:8" x14ac:dyDescent="0.25">
      <c r="A165" s="442" t="s">
        <v>565</v>
      </c>
      <c r="B165" s="441"/>
      <c r="C165" s="441"/>
      <c r="D165" s="441"/>
      <c r="E165" s="441"/>
      <c r="F165" s="441"/>
      <c r="G165" s="441"/>
      <c r="H165" s="441"/>
    </row>
    <row r="166" spans="1:8" x14ac:dyDescent="0.25">
      <c r="A166" s="441"/>
      <c r="B166" s="441"/>
      <c r="C166" s="441"/>
      <c r="D166" s="441"/>
      <c r="E166" s="441"/>
      <c r="F166" s="441"/>
      <c r="G166" s="441"/>
      <c r="H166" s="441"/>
    </row>
    <row r="167" spans="1:8" x14ac:dyDescent="0.25">
      <c r="A167" s="441"/>
      <c r="B167" s="441"/>
      <c r="C167" s="441"/>
      <c r="D167" s="441"/>
      <c r="E167" s="441"/>
      <c r="F167" s="441"/>
      <c r="G167" s="441"/>
      <c r="H167" s="441"/>
    </row>
    <row r="168" spans="1:8" x14ac:dyDescent="0.25">
      <c r="A168" s="442" t="s">
        <v>397</v>
      </c>
      <c r="B168" s="441"/>
      <c r="C168" s="441"/>
      <c r="D168" s="441"/>
      <c r="E168" s="441"/>
      <c r="F168" s="441"/>
      <c r="G168" s="441"/>
      <c r="H168" s="441"/>
    </row>
    <row r="169" spans="1:8" x14ac:dyDescent="0.25">
      <c r="A169" s="441"/>
      <c r="B169" s="441"/>
      <c r="C169" s="441"/>
      <c r="D169" s="441"/>
      <c r="E169" s="441"/>
      <c r="F169" s="441"/>
      <c r="G169" s="441"/>
      <c r="H169" s="441"/>
    </row>
    <row r="170" spans="1:8" ht="15.6" x14ac:dyDescent="0.25">
      <c r="A170" s="443" t="s">
        <v>398</v>
      </c>
      <c r="B170" s="441"/>
      <c r="C170" s="441"/>
      <c r="D170" s="441"/>
      <c r="E170" s="441"/>
      <c r="F170" s="441"/>
      <c r="G170" s="441"/>
      <c r="H170" s="441"/>
    </row>
    <row r="171" spans="1:8" x14ac:dyDescent="0.25">
      <c r="A171" s="441"/>
      <c r="B171" s="441"/>
      <c r="C171" s="441"/>
      <c r="D171" s="441"/>
      <c r="E171" s="441"/>
      <c r="F171" s="441"/>
      <c r="G171" s="441"/>
      <c r="H171" s="441"/>
    </row>
    <row r="172" spans="1:8" x14ac:dyDescent="0.25">
      <c r="A172" s="441"/>
      <c r="B172" s="441"/>
      <c r="C172" s="441"/>
      <c r="D172" s="441"/>
      <c r="E172" s="441"/>
      <c r="F172" s="441"/>
      <c r="G172" s="441"/>
      <c r="H172" s="441"/>
    </row>
    <row r="173" spans="1:8" x14ac:dyDescent="0.25">
      <c r="A173" s="441"/>
      <c r="B173" s="441"/>
      <c r="C173" s="441"/>
      <c r="D173" s="441"/>
      <c r="E173" s="441"/>
      <c r="F173" s="441"/>
      <c r="G173" s="441"/>
      <c r="H173" s="441"/>
    </row>
    <row r="174" spans="1:8" x14ac:dyDescent="0.25">
      <c r="A174" s="441"/>
      <c r="B174" s="441"/>
      <c r="C174" s="441"/>
      <c r="D174" s="441"/>
      <c r="E174" s="441"/>
      <c r="F174" s="441"/>
      <c r="G174" s="441"/>
      <c r="H174" s="441"/>
    </row>
    <row r="175" spans="1:8" x14ac:dyDescent="0.25">
      <c r="A175" s="441"/>
      <c r="B175" s="441"/>
      <c r="C175" s="441"/>
      <c r="D175" s="441"/>
      <c r="E175" s="441"/>
      <c r="F175" s="441"/>
      <c r="G175" s="441"/>
      <c r="H175" s="441"/>
    </row>
    <row r="176" spans="1:8" x14ac:dyDescent="0.25">
      <c r="A176" s="441"/>
      <c r="B176" s="441"/>
      <c r="C176" s="441"/>
      <c r="D176" s="441"/>
      <c r="E176" s="441"/>
      <c r="F176" s="441"/>
      <c r="G176" s="441"/>
      <c r="H176" s="441"/>
    </row>
    <row r="177" spans="1:8" x14ac:dyDescent="0.25">
      <c r="A177" s="441"/>
      <c r="B177" s="441"/>
      <c r="C177" s="441"/>
      <c r="D177" s="441"/>
      <c r="E177" s="441"/>
      <c r="F177" s="441"/>
      <c r="G177" s="441"/>
      <c r="H177" s="441"/>
    </row>
    <row r="178" spans="1:8" x14ac:dyDescent="0.25">
      <c r="A178" s="441"/>
      <c r="B178" s="441"/>
      <c r="C178" s="441"/>
      <c r="D178" s="441"/>
      <c r="E178" s="441"/>
      <c r="F178" s="441"/>
      <c r="G178" s="441"/>
      <c r="H178" s="441"/>
    </row>
    <row r="179" spans="1:8" x14ac:dyDescent="0.25">
      <c r="A179" s="441"/>
      <c r="B179" s="441"/>
      <c r="C179" s="441"/>
      <c r="D179" s="441"/>
      <c r="E179" s="441"/>
      <c r="F179" s="441"/>
      <c r="G179" s="441"/>
      <c r="H179" s="441"/>
    </row>
    <row r="180" spans="1:8" x14ac:dyDescent="0.25">
      <c r="A180" s="441"/>
      <c r="B180" s="441"/>
      <c r="C180" s="441"/>
      <c r="D180" s="441"/>
      <c r="E180" s="441"/>
      <c r="F180" s="441"/>
      <c r="G180" s="441"/>
      <c r="H180" s="441"/>
    </row>
    <row r="181" spans="1:8" x14ac:dyDescent="0.25">
      <c r="A181" s="441"/>
      <c r="B181" s="441"/>
      <c r="C181" s="441"/>
      <c r="D181" s="441"/>
      <c r="E181" s="441"/>
      <c r="F181" s="441"/>
      <c r="G181" s="441"/>
      <c r="H181" s="441"/>
    </row>
    <row r="182" spans="1:8" x14ac:dyDescent="0.25">
      <c r="A182" s="441"/>
      <c r="B182" s="441"/>
      <c r="C182" s="441"/>
      <c r="D182" s="441"/>
      <c r="E182" s="441"/>
      <c r="F182" s="441"/>
      <c r="G182" s="441"/>
      <c r="H182" s="441"/>
    </row>
    <row r="183" spans="1:8" x14ac:dyDescent="0.25">
      <c r="A183" s="441"/>
      <c r="B183" s="441"/>
      <c r="C183" s="441"/>
      <c r="D183" s="441"/>
      <c r="E183" s="441"/>
      <c r="F183" s="441"/>
      <c r="G183" s="441"/>
      <c r="H183" s="441"/>
    </row>
    <row r="184" spans="1:8" x14ac:dyDescent="0.25">
      <c r="A184" s="441"/>
      <c r="B184" s="441"/>
      <c r="C184" s="441"/>
      <c r="D184" s="441"/>
      <c r="E184" s="441"/>
      <c r="F184" s="441"/>
      <c r="G184" s="441"/>
      <c r="H184" s="441"/>
    </row>
    <row r="185" spans="1:8" x14ac:dyDescent="0.25">
      <c r="A185" s="441"/>
      <c r="B185" s="441"/>
      <c r="C185" s="441"/>
      <c r="D185" s="441"/>
      <c r="E185" s="441"/>
      <c r="F185" s="441"/>
      <c r="G185" s="441"/>
      <c r="H185" s="441"/>
    </row>
    <row r="186" spans="1:8" x14ac:dyDescent="0.25">
      <c r="A186" s="441"/>
      <c r="B186" s="441"/>
      <c r="C186" s="441"/>
      <c r="D186" s="441"/>
      <c r="E186" s="441"/>
      <c r="F186" s="441"/>
      <c r="G186" s="441"/>
      <c r="H186" s="441"/>
    </row>
    <row r="187" spans="1:8" x14ac:dyDescent="0.25">
      <c r="A187" s="441"/>
      <c r="B187" s="441"/>
      <c r="C187" s="441"/>
      <c r="D187" s="441"/>
      <c r="E187" s="441"/>
      <c r="F187" s="441"/>
      <c r="G187" s="441"/>
      <c r="H187" s="441"/>
    </row>
    <row r="188" spans="1:8" x14ac:dyDescent="0.25">
      <c r="A188" s="441"/>
      <c r="B188" s="441"/>
      <c r="C188" s="441"/>
      <c r="D188" s="441"/>
      <c r="E188" s="441"/>
      <c r="F188" s="441"/>
      <c r="G188" s="441"/>
      <c r="H188" s="441"/>
    </row>
    <row r="189" spans="1:8" x14ac:dyDescent="0.25">
      <c r="A189" s="441"/>
      <c r="B189" s="441"/>
      <c r="C189" s="441"/>
      <c r="D189" s="441"/>
      <c r="E189" s="441"/>
      <c r="F189" s="441"/>
      <c r="G189" s="441"/>
      <c r="H189" s="441"/>
    </row>
    <row r="190" spans="1:8" x14ac:dyDescent="0.25">
      <c r="A190" s="441"/>
      <c r="B190" s="441"/>
      <c r="C190" s="441"/>
      <c r="D190" s="441"/>
      <c r="E190" s="441"/>
      <c r="F190" s="441"/>
      <c r="G190" s="441"/>
      <c r="H190" s="441"/>
    </row>
    <row r="191" spans="1:8" x14ac:dyDescent="0.25">
      <c r="A191" s="441"/>
      <c r="B191" s="441"/>
      <c r="C191" s="441"/>
      <c r="D191" s="441"/>
      <c r="E191" s="441"/>
      <c r="F191" s="441"/>
      <c r="G191" s="441"/>
      <c r="H191" s="441"/>
    </row>
    <row r="192" spans="1:8" x14ac:dyDescent="0.25">
      <c r="A192" s="441"/>
      <c r="B192" s="441"/>
      <c r="C192" s="441"/>
      <c r="D192" s="441"/>
      <c r="E192" s="441"/>
      <c r="F192" s="441"/>
      <c r="G192" s="441"/>
      <c r="H192" s="441"/>
    </row>
    <row r="193" spans="1:8" x14ac:dyDescent="0.25">
      <c r="A193" s="441"/>
      <c r="B193" s="441"/>
      <c r="C193" s="441"/>
      <c r="D193" s="441"/>
      <c r="E193" s="441"/>
      <c r="F193" s="441"/>
      <c r="G193" s="441"/>
      <c r="H193" s="441"/>
    </row>
    <row r="194" spans="1:8" x14ac:dyDescent="0.25">
      <c r="A194" s="441"/>
      <c r="B194" s="441"/>
      <c r="C194" s="441"/>
      <c r="D194" s="441"/>
      <c r="E194" s="441"/>
      <c r="F194" s="441"/>
      <c r="G194" s="441"/>
      <c r="H194" s="441"/>
    </row>
    <row r="195" spans="1:8" x14ac:dyDescent="0.25">
      <c r="A195" s="441"/>
      <c r="B195" s="441"/>
      <c r="C195" s="441"/>
      <c r="D195" s="441"/>
      <c r="E195" s="441"/>
      <c r="F195" s="441"/>
      <c r="G195" s="441"/>
      <c r="H195" s="441"/>
    </row>
    <row r="196" spans="1:8" ht="15.6" x14ac:dyDescent="0.25">
      <c r="A196" s="443" t="s">
        <v>399</v>
      </c>
      <c r="B196" s="441"/>
      <c r="C196" s="441"/>
      <c r="D196" s="441"/>
      <c r="E196" s="441"/>
      <c r="F196" s="441"/>
      <c r="G196" s="441"/>
      <c r="H196" s="441"/>
    </row>
    <row r="197" spans="1:8" x14ac:dyDescent="0.25">
      <c r="A197" s="441"/>
      <c r="B197" s="441"/>
      <c r="C197" s="441"/>
      <c r="D197" s="441"/>
      <c r="E197" s="441"/>
      <c r="F197" s="441"/>
      <c r="G197" s="441"/>
      <c r="H197" s="441"/>
    </row>
    <row r="198" spans="1:8" x14ac:dyDescent="0.25">
      <c r="A198" s="442" t="s">
        <v>558</v>
      </c>
      <c r="B198" s="441"/>
      <c r="C198" s="441"/>
      <c r="D198" s="441"/>
      <c r="E198" s="441"/>
      <c r="F198" s="441"/>
      <c r="G198" s="441"/>
      <c r="H198" s="441"/>
    </row>
    <row r="199" spans="1:8" x14ac:dyDescent="0.25">
      <c r="A199" s="442" t="s">
        <v>559</v>
      </c>
      <c r="B199" s="441"/>
      <c r="C199" s="441"/>
      <c r="D199" s="441"/>
      <c r="E199" s="441"/>
      <c r="F199" s="441"/>
      <c r="G199" s="441"/>
      <c r="H199" s="441"/>
    </row>
    <row r="200" spans="1:8" x14ac:dyDescent="0.25">
      <c r="A200" s="442" t="s">
        <v>560</v>
      </c>
      <c r="B200" s="441"/>
      <c r="C200" s="441"/>
      <c r="D200" s="441"/>
      <c r="E200" s="441"/>
      <c r="F200" s="441"/>
      <c r="G200" s="441"/>
      <c r="H200" s="441"/>
    </row>
    <row r="201" spans="1:8" x14ac:dyDescent="0.25">
      <c r="A201" s="442" t="s">
        <v>561</v>
      </c>
      <c r="B201" s="441"/>
      <c r="C201" s="441"/>
      <c r="D201" s="441"/>
      <c r="E201" s="441"/>
      <c r="F201" s="441"/>
      <c r="G201" s="441"/>
      <c r="H201" s="441"/>
    </row>
    <row r="202" spans="1:8" x14ac:dyDescent="0.25">
      <c r="A202" s="442" t="s">
        <v>562</v>
      </c>
      <c r="B202" s="441"/>
      <c r="C202" s="441"/>
      <c r="D202" s="441"/>
      <c r="E202" s="441"/>
      <c r="F202" s="441"/>
      <c r="G202" s="441"/>
      <c r="H202" s="441"/>
    </row>
    <row r="203" spans="1:8" x14ac:dyDescent="0.25">
      <c r="A203" s="441"/>
      <c r="B203" s="441"/>
      <c r="C203" s="441"/>
      <c r="D203" s="441"/>
      <c r="E203" s="441"/>
      <c r="F203" s="441"/>
      <c r="G203" s="441"/>
      <c r="H203" s="441"/>
    </row>
    <row r="204" spans="1:8" x14ac:dyDescent="0.25">
      <c r="A204" s="442" t="s">
        <v>555</v>
      </c>
      <c r="B204" s="441"/>
      <c r="C204" s="441"/>
      <c r="D204" s="441"/>
      <c r="E204" s="441"/>
      <c r="F204" s="441"/>
      <c r="G204" s="441"/>
      <c r="H204" s="441"/>
    </row>
    <row r="205" spans="1:8" x14ac:dyDescent="0.25">
      <c r="A205" s="442" t="s">
        <v>556</v>
      </c>
      <c r="B205" s="441"/>
      <c r="C205" s="441"/>
      <c r="D205" s="441"/>
      <c r="E205" s="441"/>
      <c r="F205" s="441"/>
      <c r="G205" s="441"/>
      <c r="H205" s="441"/>
    </row>
    <row r="206" spans="1:8" x14ac:dyDescent="0.25">
      <c r="A206" s="442" t="s">
        <v>557</v>
      </c>
      <c r="B206" s="441"/>
      <c r="C206" s="441"/>
      <c r="D206" s="441"/>
      <c r="E206" s="441"/>
      <c r="F206" s="441"/>
      <c r="G206" s="441"/>
      <c r="H206" s="441"/>
    </row>
    <row r="207" spans="1:8" ht="15.6" x14ac:dyDescent="0.25">
      <c r="A207" s="443" t="s">
        <v>400</v>
      </c>
      <c r="B207" s="441"/>
      <c r="C207" s="441"/>
      <c r="D207" s="441"/>
      <c r="E207" s="441"/>
      <c r="F207" s="441"/>
      <c r="G207" s="441"/>
      <c r="H207" s="441"/>
    </row>
    <row r="208" spans="1:8" x14ac:dyDescent="0.25">
      <c r="A208" s="441"/>
      <c r="B208" s="441"/>
      <c r="C208" s="441"/>
      <c r="D208" s="441"/>
      <c r="E208" s="441"/>
      <c r="F208" s="441"/>
      <c r="G208" s="441"/>
      <c r="H208" s="441"/>
    </row>
    <row r="209" spans="1:8" x14ac:dyDescent="0.25">
      <c r="A209" s="442" t="s">
        <v>548</v>
      </c>
      <c r="B209" s="441"/>
      <c r="C209" s="441"/>
      <c r="D209" s="441"/>
      <c r="E209" s="441"/>
      <c r="F209" s="441"/>
      <c r="G209" s="441"/>
      <c r="H209" s="441"/>
    </row>
    <row r="210" spans="1:8" x14ac:dyDescent="0.25">
      <c r="A210" s="442" t="s">
        <v>549</v>
      </c>
      <c r="B210" s="441"/>
      <c r="C210" s="441"/>
      <c r="D210" s="441"/>
      <c r="E210" s="441"/>
      <c r="F210" s="441"/>
      <c r="G210" s="441"/>
      <c r="H210" s="441"/>
    </row>
    <row r="211" spans="1:8" x14ac:dyDescent="0.25">
      <c r="A211" s="442" t="s">
        <v>550</v>
      </c>
      <c r="B211" s="441"/>
      <c r="C211" s="441"/>
      <c r="D211" s="441"/>
      <c r="E211" s="441"/>
      <c r="F211" s="441"/>
      <c r="G211" s="441"/>
      <c r="H211" s="441"/>
    </row>
    <row r="212" spans="1:8" x14ac:dyDescent="0.25">
      <c r="A212" s="442" t="s">
        <v>551</v>
      </c>
      <c r="B212" s="441"/>
      <c r="C212" s="441"/>
      <c r="D212" s="441"/>
      <c r="E212" s="441"/>
      <c r="F212" s="441"/>
      <c r="G212" s="441"/>
      <c r="H212" s="441"/>
    </row>
    <row r="213" spans="1:8" x14ac:dyDescent="0.25">
      <c r="A213" s="442" t="s">
        <v>552</v>
      </c>
      <c r="B213" s="441"/>
      <c r="C213" s="441"/>
      <c r="D213" s="441"/>
      <c r="E213" s="441"/>
      <c r="F213" s="441"/>
      <c r="G213" s="441"/>
      <c r="H213" s="441"/>
    </row>
    <row r="214" spans="1:8" x14ac:dyDescent="0.25">
      <c r="A214" s="442" t="s">
        <v>553</v>
      </c>
      <c r="B214" s="441"/>
      <c r="C214" s="441"/>
      <c r="D214" s="441"/>
      <c r="E214" s="441"/>
      <c r="F214" s="441"/>
      <c r="G214" s="441"/>
      <c r="H214" s="441"/>
    </row>
    <row r="215" spans="1:8" x14ac:dyDescent="0.25">
      <c r="A215" s="442" t="s">
        <v>554</v>
      </c>
      <c r="B215" s="441"/>
      <c r="C215" s="441"/>
      <c r="D215" s="441"/>
      <c r="E215" s="441"/>
      <c r="F215" s="441"/>
      <c r="G215" s="441"/>
      <c r="H215" s="441"/>
    </row>
    <row r="216" spans="1:8" x14ac:dyDescent="0.25">
      <c r="A216" s="441"/>
      <c r="B216" s="441"/>
      <c r="C216" s="441"/>
      <c r="D216" s="441"/>
      <c r="E216" s="441"/>
      <c r="F216" s="441"/>
      <c r="G216" s="441"/>
      <c r="H216" s="441"/>
    </row>
    <row r="217" spans="1:8" x14ac:dyDescent="0.25">
      <c r="A217" s="442" t="s">
        <v>545</v>
      </c>
      <c r="B217" s="441"/>
      <c r="C217" s="441"/>
      <c r="D217" s="441"/>
      <c r="E217" s="441"/>
      <c r="F217" s="441"/>
      <c r="G217" s="441"/>
      <c r="H217" s="441"/>
    </row>
    <row r="218" spans="1:8" x14ac:dyDescent="0.25">
      <c r="A218" s="442" t="s">
        <v>546</v>
      </c>
      <c r="B218" s="441"/>
      <c r="C218" s="441"/>
      <c r="D218" s="441"/>
      <c r="E218" s="441"/>
      <c r="F218" s="441"/>
      <c r="G218" s="441"/>
      <c r="H218" s="441"/>
    </row>
    <row r="219" spans="1:8" x14ac:dyDescent="0.25">
      <c r="A219" s="442" t="s">
        <v>547</v>
      </c>
      <c r="B219" s="441"/>
      <c r="C219" s="441"/>
      <c r="D219" s="441"/>
      <c r="E219" s="441"/>
      <c r="F219" s="441"/>
      <c r="G219" s="441"/>
      <c r="H219" s="441"/>
    </row>
    <row r="220" spans="1:8" x14ac:dyDescent="0.25">
      <c r="A220" s="441"/>
      <c r="B220" s="441"/>
      <c r="C220" s="441"/>
      <c r="D220" s="441"/>
      <c r="E220" s="441"/>
      <c r="F220" s="441"/>
      <c r="G220" s="441"/>
      <c r="H220" s="441"/>
    </row>
    <row r="221" spans="1:8" x14ac:dyDescent="0.25">
      <c r="A221" s="442" t="s">
        <v>540</v>
      </c>
      <c r="B221" s="441"/>
      <c r="C221" s="441"/>
      <c r="D221" s="441"/>
      <c r="E221" s="441"/>
      <c r="F221" s="441"/>
      <c r="G221" s="441"/>
      <c r="H221" s="441"/>
    </row>
    <row r="222" spans="1:8" x14ac:dyDescent="0.25">
      <c r="A222" s="442" t="s">
        <v>541</v>
      </c>
      <c r="B222" s="441"/>
      <c r="C222" s="441"/>
      <c r="D222" s="441"/>
      <c r="E222" s="441"/>
      <c r="F222" s="441"/>
      <c r="G222" s="441"/>
      <c r="H222" s="441"/>
    </row>
    <row r="223" spans="1:8" x14ac:dyDescent="0.25">
      <c r="A223" s="442" t="s">
        <v>542</v>
      </c>
      <c r="B223" s="441"/>
      <c r="C223" s="441"/>
      <c r="D223" s="441"/>
      <c r="E223" s="441"/>
      <c r="F223" s="441"/>
      <c r="G223" s="441"/>
      <c r="H223" s="441"/>
    </row>
    <row r="224" spans="1:8" x14ac:dyDescent="0.25">
      <c r="A224" s="442" t="s">
        <v>543</v>
      </c>
      <c r="B224" s="441"/>
      <c r="C224" s="441"/>
      <c r="D224" s="441"/>
      <c r="E224" s="441"/>
      <c r="F224" s="441"/>
      <c r="G224" s="441"/>
      <c r="H224" s="441"/>
    </row>
    <row r="225" spans="1:8" x14ac:dyDescent="0.25">
      <c r="A225" s="442" t="s">
        <v>544</v>
      </c>
      <c r="B225" s="441"/>
      <c r="C225" s="441"/>
      <c r="D225" s="441"/>
      <c r="E225" s="441"/>
      <c r="F225" s="441"/>
      <c r="G225" s="441"/>
      <c r="H225" s="441"/>
    </row>
    <row r="226" spans="1:8" x14ac:dyDescent="0.25">
      <c r="A226" s="441"/>
      <c r="B226" s="441"/>
      <c r="C226" s="441"/>
      <c r="D226" s="441"/>
      <c r="E226" s="441"/>
      <c r="F226" s="441"/>
      <c r="G226" s="441"/>
      <c r="H226" s="441"/>
    </row>
    <row r="227" spans="1:8" x14ac:dyDescent="0.25">
      <c r="A227" s="442" t="s">
        <v>534</v>
      </c>
      <c r="B227" s="441"/>
      <c r="C227" s="441"/>
      <c r="D227" s="441"/>
      <c r="E227" s="441"/>
      <c r="F227" s="441"/>
      <c r="G227" s="441"/>
      <c r="H227" s="441"/>
    </row>
    <row r="228" spans="1:8" x14ac:dyDescent="0.25">
      <c r="A228" s="442" t="s">
        <v>535</v>
      </c>
      <c r="B228" s="441"/>
      <c r="C228" s="441"/>
      <c r="D228" s="441"/>
      <c r="E228" s="441"/>
      <c r="F228" s="441"/>
      <c r="G228" s="441"/>
      <c r="H228" s="441"/>
    </row>
    <row r="229" spans="1:8" x14ac:dyDescent="0.25">
      <c r="A229" s="442" t="s">
        <v>536</v>
      </c>
      <c r="B229" s="441"/>
      <c r="C229" s="441"/>
      <c r="D229" s="441"/>
      <c r="E229" s="441"/>
      <c r="F229" s="441"/>
      <c r="G229" s="441"/>
      <c r="H229" s="441"/>
    </row>
    <row r="230" spans="1:8" x14ac:dyDescent="0.25">
      <c r="A230" s="442" t="s">
        <v>537</v>
      </c>
      <c r="B230" s="441"/>
      <c r="C230" s="441"/>
      <c r="D230" s="441"/>
      <c r="E230" s="441"/>
      <c r="F230" s="441"/>
      <c r="G230" s="441"/>
      <c r="H230" s="441"/>
    </row>
    <row r="231" spans="1:8" x14ac:dyDescent="0.25">
      <c r="A231" s="442" t="s">
        <v>538</v>
      </c>
      <c r="B231" s="441"/>
      <c r="C231" s="441"/>
      <c r="D231" s="441"/>
      <c r="E231" s="441"/>
      <c r="F231" s="441"/>
      <c r="G231" s="441"/>
      <c r="H231" s="441"/>
    </row>
    <row r="232" spans="1:8" x14ac:dyDescent="0.25">
      <c r="A232" s="442" t="s">
        <v>539</v>
      </c>
      <c r="B232" s="441"/>
      <c r="C232" s="441"/>
      <c r="D232" s="441"/>
      <c r="E232" s="441"/>
      <c r="F232" s="441"/>
      <c r="G232" s="441"/>
      <c r="H232" s="441"/>
    </row>
    <row r="233" spans="1:8" x14ac:dyDescent="0.25">
      <c r="A233" s="441"/>
      <c r="B233" s="441"/>
      <c r="C233" s="441"/>
      <c r="D233" s="441"/>
      <c r="E233" s="441"/>
      <c r="F233" s="441"/>
      <c r="G233" s="441"/>
      <c r="H233" s="441"/>
    </row>
    <row r="234" spans="1:8" x14ac:dyDescent="0.25">
      <c r="A234" s="442" t="s">
        <v>524</v>
      </c>
      <c r="B234" s="441"/>
      <c r="C234" s="441"/>
      <c r="D234" s="441"/>
      <c r="E234" s="441"/>
      <c r="F234" s="441"/>
      <c r="G234" s="441"/>
      <c r="H234" s="441"/>
    </row>
    <row r="235" spans="1:8" x14ac:dyDescent="0.25">
      <c r="A235" s="442" t="s">
        <v>525</v>
      </c>
      <c r="B235" s="441"/>
      <c r="C235" s="441"/>
      <c r="D235" s="441"/>
      <c r="E235" s="441"/>
      <c r="F235" s="441"/>
      <c r="G235" s="441"/>
      <c r="H235" s="441"/>
    </row>
    <row r="236" spans="1:8" x14ac:dyDescent="0.25">
      <c r="A236" s="442" t="s">
        <v>526</v>
      </c>
      <c r="B236" s="441"/>
      <c r="C236" s="441"/>
      <c r="D236" s="441"/>
      <c r="E236" s="441"/>
      <c r="F236" s="441"/>
      <c r="G236" s="441"/>
      <c r="H236" s="441"/>
    </row>
    <row r="237" spans="1:8" x14ac:dyDescent="0.25">
      <c r="A237" s="442" t="s">
        <v>527</v>
      </c>
      <c r="B237" s="441"/>
      <c r="C237" s="441"/>
      <c r="D237" s="441"/>
      <c r="E237" s="441"/>
      <c r="F237" s="441"/>
      <c r="G237" s="441"/>
      <c r="H237" s="441"/>
    </row>
    <row r="238" spans="1:8" x14ac:dyDescent="0.25">
      <c r="A238" s="442" t="s">
        <v>528</v>
      </c>
      <c r="B238" s="441"/>
      <c r="C238" s="441"/>
      <c r="D238" s="441"/>
      <c r="E238" s="441"/>
      <c r="F238" s="441"/>
      <c r="G238" s="441"/>
      <c r="H238" s="441"/>
    </row>
    <row r="239" spans="1:8" x14ac:dyDescent="0.25">
      <c r="A239" s="442" t="s">
        <v>529</v>
      </c>
      <c r="B239" s="441"/>
      <c r="C239" s="441"/>
      <c r="D239" s="441"/>
      <c r="E239" s="441"/>
      <c r="F239" s="441"/>
      <c r="G239" s="441"/>
      <c r="H239" s="441"/>
    </row>
    <row r="240" spans="1:8" x14ac:dyDescent="0.25">
      <c r="A240" s="442" t="s">
        <v>530</v>
      </c>
      <c r="B240" s="441"/>
      <c r="C240" s="441"/>
      <c r="D240" s="441"/>
      <c r="E240" s="441"/>
      <c r="F240" s="441"/>
      <c r="G240" s="441"/>
      <c r="H240" s="441"/>
    </row>
    <row r="241" spans="1:8" x14ac:dyDescent="0.25">
      <c r="A241" s="442" t="s">
        <v>531</v>
      </c>
      <c r="B241" s="441"/>
      <c r="C241" s="441"/>
      <c r="D241" s="441"/>
      <c r="E241" s="441"/>
      <c r="F241" s="441"/>
      <c r="G241" s="441"/>
      <c r="H241" s="441"/>
    </row>
    <row r="242" spans="1:8" x14ac:dyDescent="0.25">
      <c r="A242" s="442" t="s">
        <v>532</v>
      </c>
      <c r="B242" s="441"/>
      <c r="C242" s="441"/>
      <c r="D242" s="441"/>
      <c r="E242" s="441"/>
      <c r="F242" s="441"/>
      <c r="G242" s="441"/>
      <c r="H242" s="441"/>
    </row>
    <row r="243" spans="1:8" x14ac:dyDescent="0.25">
      <c r="A243" s="442" t="s">
        <v>533</v>
      </c>
      <c r="B243" s="441"/>
      <c r="C243" s="441"/>
      <c r="D243" s="441"/>
      <c r="E243" s="441"/>
      <c r="F243" s="441"/>
      <c r="G243" s="441"/>
      <c r="H243" s="441"/>
    </row>
    <row r="244" spans="1:8" x14ac:dyDescent="0.25">
      <c r="A244" s="441"/>
      <c r="B244" s="441"/>
      <c r="C244" s="441"/>
      <c r="D244" s="441"/>
      <c r="E244" s="441"/>
      <c r="F244" s="441"/>
      <c r="G244" s="441"/>
      <c r="H244" s="441"/>
    </row>
    <row r="245" spans="1:8" x14ac:dyDescent="0.25">
      <c r="A245" s="442" t="s">
        <v>522</v>
      </c>
      <c r="B245" s="441"/>
      <c r="C245" s="441"/>
      <c r="D245" s="441"/>
      <c r="E245" s="441"/>
      <c r="F245" s="441"/>
      <c r="G245" s="441"/>
      <c r="H245" s="441"/>
    </row>
    <row r="246" spans="1:8" x14ac:dyDescent="0.25">
      <c r="A246" s="442" t="s">
        <v>523</v>
      </c>
      <c r="B246" s="441"/>
      <c r="C246" s="441"/>
      <c r="D246" s="441"/>
      <c r="E246" s="441"/>
      <c r="F246" s="441"/>
      <c r="G246" s="441"/>
      <c r="H246" s="441"/>
    </row>
    <row r="247" spans="1:8" x14ac:dyDescent="0.25">
      <c r="A247" s="441"/>
      <c r="B247" s="441"/>
      <c r="C247" s="441"/>
      <c r="D247" s="441"/>
      <c r="E247" s="441"/>
      <c r="F247" s="441"/>
      <c r="G247" s="441"/>
      <c r="H247" s="441"/>
    </row>
    <row r="248" spans="1:8" x14ac:dyDescent="0.25">
      <c r="A248" s="442" t="s">
        <v>506</v>
      </c>
      <c r="B248" s="441"/>
      <c r="C248" s="441"/>
      <c r="D248" s="441"/>
      <c r="E248" s="441"/>
      <c r="F248" s="441"/>
      <c r="G248" s="441"/>
      <c r="H248" s="441"/>
    </row>
    <row r="249" spans="1:8" x14ac:dyDescent="0.25">
      <c r="A249" s="442" t="s">
        <v>507</v>
      </c>
      <c r="B249" s="441"/>
      <c r="C249" s="441"/>
      <c r="D249" s="441"/>
      <c r="E249" s="441"/>
      <c r="F249" s="441"/>
      <c r="G249" s="441"/>
      <c r="H249" s="441"/>
    </row>
    <row r="250" spans="1:8" x14ac:dyDescent="0.25">
      <c r="A250" s="442" t="s">
        <v>508</v>
      </c>
      <c r="B250" s="441"/>
      <c r="C250" s="441"/>
      <c r="D250" s="441"/>
      <c r="E250" s="441"/>
      <c r="F250" s="441"/>
      <c r="G250" s="441"/>
      <c r="H250" s="441"/>
    </row>
    <row r="251" spans="1:8" x14ac:dyDescent="0.25">
      <c r="A251" s="442" t="s">
        <v>509</v>
      </c>
      <c r="B251" s="441"/>
      <c r="C251" s="441"/>
      <c r="D251" s="441"/>
      <c r="E251" s="441"/>
      <c r="F251" s="441"/>
      <c r="G251" s="441"/>
      <c r="H251" s="441"/>
    </row>
    <row r="252" spans="1:8" x14ac:dyDescent="0.25">
      <c r="A252" s="442" t="s">
        <v>510</v>
      </c>
      <c r="B252" s="441"/>
      <c r="C252" s="441"/>
      <c r="D252" s="441"/>
      <c r="E252" s="441"/>
      <c r="F252" s="441"/>
      <c r="G252" s="441"/>
      <c r="H252" s="441"/>
    </row>
    <row r="253" spans="1:8" x14ac:dyDescent="0.25">
      <c r="A253" s="442" t="s">
        <v>511</v>
      </c>
      <c r="B253" s="441"/>
      <c r="C253" s="441"/>
      <c r="D253" s="441"/>
      <c r="E253" s="441"/>
      <c r="F253" s="441"/>
      <c r="G253" s="441"/>
      <c r="H253" s="441"/>
    </row>
    <row r="254" spans="1:8" x14ac:dyDescent="0.25">
      <c r="A254" s="442" t="s">
        <v>512</v>
      </c>
      <c r="B254" s="441"/>
      <c r="C254" s="441"/>
      <c r="D254" s="441"/>
      <c r="E254" s="441"/>
      <c r="F254" s="441"/>
      <c r="G254" s="441"/>
      <c r="H254" s="441"/>
    </row>
    <row r="255" spans="1:8" x14ac:dyDescent="0.25">
      <c r="A255" s="442" t="s">
        <v>513</v>
      </c>
      <c r="B255" s="441"/>
      <c r="C255" s="441"/>
      <c r="D255" s="441"/>
      <c r="E255" s="441"/>
      <c r="F255" s="441"/>
      <c r="G255" s="441"/>
      <c r="H255" s="441"/>
    </row>
    <row r="256" spans="1:8" x14ac:dyDescent="0.25">
      <c r="A256" s="442" t="s">
        <v>514</v>
      </c>
      <c r="B256" s="441"/>
      <c r="C256" s="441"/>
      <c r="D256" s="441"/>
      <c r="E256" s="441"/>
      <c r="F256" s="441"/>
      <c r="G256" s="441"/>
      <c r="H256" s="441"/>
    </row>
    <row r="257" spans="1:8" x14ac:dyDescent="0.25">
      <c r="A257" s="442" t="s">
        <v>515</v>
      </c>
      <c r="B257" s="441"/>
      <c r="C257" s="441"/>
      <c r="D257" s="441"/>
      <c r="E257" s="441"/>
      <c r="F257" s="441"/>
      <c r="G257" s="441"/>
      <c r="H257" s="441"/>
    </row>
    <row r="258" spans="1:8" x14ac:dyDescent="0.25">
      <c r="A258" s="442" t="s">
        <v>516</v>
      </c>
      <c r="B258" s="441"/>
      <c r="C258" s="441"/>
      <c r="D258" s="441"/>
      <c r="E258" s="441"/>
      <c r="F258" s="441"/>
      <c r="G258" s="441"/>
      <c r="H258" s="441"/>
    </row>
    <row r="259" spans="1:8" x14ac:dyDescent="0.25">
      <c r="A259" s="442" t="s">
        <v>517</v>
      </c>
      <c r="B259" s="441"/>
      <c r="C259" s="441"/>
      <c r="D259" s="441"/>
      <c r="E259" s="441"/>
      <c r="F259" s="441"/>
      <c r="G259" s="441"/>
      <c r="H259" s="441"/>
    </row>
    <row r="260" spans="1:8" x14ac:dyDescent="0.25">
      <c r="A260" s="442" t="s">
        <v>518</v>
      </c>
      <c r="B260" s="441"/>
      <c r="C260" s="441"/>
      <c r="D260" s="441"/>
      <c r="E260" s="441"/>
      <c r="F260" s="441"/>
      <c r="G260" s="441"/>
      <c r="H260" s="441"/>
    </row>
    <row r="261" spans="1:8" x14ac:dyDescent="0.25">
      <c r="A261" s="442" t="s">
        <v>519</v>
      </c>
      <c r="B261" s="441"/>
      <c r="C261" s="441"/>
      <c r="D261" s="441"/>
      <c r="E261" s="441"/>
      <c r="F261" s="441"/>
      <c r="G261" s="441"/>
      <c r="H261" s="441"/>
    </row>
    <row r="262" spans="1:8" x14ac:dyDescent="0.25">
      <c r="A262" s="442" t="s">
        <v>520</v>
      </c>
      <c r="B262" s="441"/>
      <c r="C262" s="441"/>
      <c r="D262" s="441"/>
      <c r="E262" s="441"/>
      <c r="F262" s="441"/>
      <c r="G262" s="441"/>
      <c r="H262" s="441"/>
    </row>
    <row r="263" spans="1:8" x14ac:dyDescent="0.25">
      <c r="A263" s="442" t="s">
        <v>521</v>
      </c>
      <c r="B263" s="441"/>
      <c r="C263" s="441"/>
      <c r="D263" s="441"/>
      <c r="E263" s="441"/>
      <c r="F263" s="441"/>
      <c r="G263" s="441"/>
      <c r="H263" s="441"/>
    </row>
    <row r="264" spans="1:8" x14ac:dyDescent="0.25">
      <c r="A264" s="441"/>
      <c r="B264" s="441"/>
      <c r="C264" s="441"/>
      <c r="D264" s="441"/>
      <c r="E264" s="441"/>
      <c r="F264" s="441"/>
      <c r="G264" s="441"/>
      <c r="H264" s="441"/>
    </row>
    <row r="265" spans="1:8" x14ac:dyDescent="0.25">
      <c r="A265" s="442" t="s">
        <v>499</v>
      </c>
      <c r="B265" s="441"/>
      <c r="C265" s="441"/>
      <c r="D265" s="441"/>
      <c r="E265" s="441"/>
      <c r="F265" s="441"/>
      <c r="G265" s="441"/>
      <c r="H265" s="441"/>
    </row>
    <row r="266" spans="1:8" x14ac:dyDescent="0.25">
      <c r="A266" s="442" t="s">
        <v>500</v>
      </c>
      <c r="B266" s="441"/>
      <c r="C266" s="441"/>
      <c r="D266" s="441"/>
      <c r="E266" s="441"/>
      <c r="F266" s="441"/>
      <c r="G266" s="441"/>
      <c r="H266" s="441"/>
    </row>
    <row r="267" spans="1:8" x14ac:dyDescent="0.25">
      <c r="A267" s="442" t="s">
        <v>501</v>
      </c>
      <c r="B267" s="441"/>
      <c r="C267" s="441"/>
      <c r="D267" s="441"/>
      <c r="E267" s="441"/>
      <c r="F267" s="441"/>
      <c r="G267" s="441"/>
      <c r="H267" s="441"/>
    </row>
    <row r="268" spans="1:8" x14ac:dyDescent="0.25">
      <c r="A268" s="442" t="s">
        <v>502</v>
      </c>
      <c r="B268" s="441"/>
      <c r="C268" s="441"/>
      <c r="D268" s="441"/>
      <c r="E268" s="441"/>
      <c r="F268" s="441"/>
      <c r="G268" s="441"/>
      <c r="H268" s="441"/>
    </row>
    <row r="269" spans="1:8" x14ac:dyDescent="0.25">
      <c r="A269" s="442" t="s">
        <v>503</v>
      </c>
      <c r="B269" s="441"/>
      <c r="C269" s="441"/>
      <c r="D269" s="441"/>
      <c r="E269" s="441"/>
      <c r="F269" s="441"/>
      <c r="G269" s="441"/>
      <c r="H269" s="441"/>
    </row>
    <row r="270" spans="1:8" x14ac:dyDescent="0.25">
      <c r="A270" s="442" t="s">
        <v>504</v>
      </c>
      <c r="B270" s="441"/>
      <c r="C270" s="441"/>
      <c r="D270" s="441"/>
      <c r="E270" s="441"/>
      <c r="F270" s="441"/>
      <c r="G270" s="441"/>
      <c r="H270" s="441"/>
    </row>
    <row r="271" spans="1:8" x14ac:dyDescent="0.25">
      <c r="A271" s="442" t="s">
        <v>505</v>
      </c>
      <c r="B271" s="441"/>
      <c r="C271" s="441"/>
      <c r="D271" s="441"/>
      <c r="E271" s="441"/>
      <c r="F271" s="441"/>
      <c r="G271" s="441"/>
      <c r="H271" s="441"/>
    </row>
    <row r="272" spans="1:8" x14ac:dyDescent="0.25">
      <c r="A272" s="441"/>
      <c r="B272" s="441"/>
      <c r="C272" s="441"/>
      <c r="D272" s="441"/>
      <c r="E272" s="441"/>
      <c r="F272" s="441"/>
      <c r="G272" s="441"/>
      <c r="H272" s="441"/>
    </row>
    <row r="273" spans="1:8" x14ac:dyDescent="0.25">
      <c r="A273" s="442" t="s">
        <v>490</v>
      </c>
      <c r="B273" s="441"/>
      <c r="C273" s="441"/>
      <c r="D273" s="441"/>
      <c r="E273" s="441"/>
      <c r="F273" s="441"/>
      <c r="G273" s="441"/>
      <c r="H273" s="441"/>
    </row>
    <row r="274" spans="1:8" x14ac:dyDescent="0.25">
      <c r="A274" s="442" t="s">
        <v>491</v>
      </c>
      <c r="B274" s="441"/>
      <c r="C274" s="441"/>
      <c r="D274" s="441"/>
      <c r="E274" s="441"/>
      <c r="F274" s="441"/>
      <c r="G274" s="441"/>
      <c r="H274" s="441"/>
    </row>
    <row r="275" spans="1:8" x14ac:dyDescent="0.25">
      <c r="A275" s="442" t="s">
        <v>492</v>
      </c>
      <c r="B275" s="441"/>
      <c r="C275" s="441"/>
      <c r="D275" s="441"/>
      <c r="E275" s="441"/>
      <c r="F275" s="441"/>
      <c r="G275" s="441"/>
      <c r="H275" s="441"/>
    </row>
    <row r="276" spans="1:8" x14ac:dyDescent="0.25">
      <c r="A276" s="442" t="s">
        <v>493</v>
      </c>
      <c r="B276" s="441"/>
      <c r="C276" s="441"/>
      <c r="D276" s="441"/>
      <c r="E276" s="441"/>
      <c r="F276" s="441"/>
      <c r="G276" s="441"/>
      <c r="H276" s="441"/>
    </row>
    <row r="277" spans="1:8" x14ac:dyDescent="0.25">
      <c r="A277" s="442" t="s">
        <v>494</v>
      </c>
      <c r="B277" s="441"/>
      <c r="C277" s="441"/>
      <c r="D277" s="441"/>
      <c r="E277" s="441"/>
      <c r="F277" s="441"/>
      <c r="G277" s="441"/>
      <c r="H277" s="441"/>
    </row>
    <row r="278" spans="1:8" x14ac:dyDescent="0.25">
      <c r="A278" s="442" t="s">
        <v>495</v>
      </c>
      <c r="B278" s="441"/>
      <c r="C278" s="441"/>
      <c r="D278" s="441"/>
      <c r="E278" s="441"/>
      <c r="F278" s="441"/>
      <c r="G278" s="441"/>
      <c r="H278" s="441"/>
    </row>
    <row r="279" spans="1:8" x14ac:dyDescent="0.25">
      <c r="A279" s="442" t="s">
        <v>496</v>
      </c>
      <c r="B279" s="441"/>
      <c r="C279" s="441"/>
      <c r="D279" s="441"/>
      <c r="E279" s="441"/>
      <c r="F279" s="441"/>
      <c r="G279" s="441"/>
      <c r="H279" s="441"/>
    </row>
    <row r="280" spans="1:8" x14ac:dyDescent="0.25">
      <c r="A280" s="442" t="s">
        <v>497</v>
      </c>
      <c r="B280" s="441"/>
      <c r="C280" s="441"/>
      <c r="D280" s="441"/>
      <c r="E280" s="441"/>
      <c r="F280" s="441"/>
      <c r="G280" s="441"/>
      <c r="H280" s="441"/>
    </row>
    <row r="281" spans="1:8" x14ac:dyDescent="0.25">
      <c r="A281" s="442" t="s">
        <v>498</v>
      </c>
      <c r="B281" s="441"/>
      <c r="C281" s="441"/>
      <c r="D281" s="441"/>
      <c r="E281" s="441"/>
      <c r="F281" s="441"/>
      <c r="G281" s="441"/>
      <c r="H281" s="441"/>
    </row>
    <row r="282" spans="1:8" x14ac:dyDescent="0.25">
      <c r="A282" s="441"/>
      <c r="B282" s="441"/>
      <c r="C282" s="441"/>
      <c r="D282" s="441"/>
      <c r="E282" s="441"/>
      <c r="F282" s="441"/>
      <c r="G282" s="441"/>
      <c r="H282" s="441"/>
    </row>
    <row r="283" spans="1:8" x14ac:dyDescent="0.25">
      <c r="A283" s="442" t="s">
        <v>483</v>
      </c>
      <c r="B283" s="441"/>
      <c r="C283" s="441"/>
      <c r="D283" s="441"/>
      <c r="E283" s="441"/>
      <c r="F283" s="441"/>
      <c r="G283" s="441"/>
      <c r="H283" s="441"/>
    </row>
    <row r="284" spans="1:8" x14ac:dyDescent="0.25">
      <c r="A284" s="442" t="s">
        <v>484</v>
      </c>
      <c r="B284" s="441"/>
      <c r="C284" s="441"/>
      <c r="D284" s="441"/>
      <c r="E284" s="441"/>
      <c r="F284" s="441"/>
      <c r="G284" s="441"/>
      <c r="H284" s="441"/>
    </row>
    <row r="285" spans="1:8" x14ac:dyDescent="0.25">
      <c r="A285" s="442" t="s">
        <v>485</v>
      </c>
      <c r="B285" s="441"/>
      <c r="C285" s="441"/>
      <c r="D285" s="441"/>
      <c r="E285" s="441"/>
      <c r="F285" s="441"/>
      <c r="G285" s="441"/>
      <c r="H285" s="441"/>
    </row>
    <row r="286" spans="1:8" x14ac:dyDescent="0.25">
      <c r="A286" s="442" t="s">
        <v>486</v>
      </c>
      <c r="B286" s="441"/>
      <c r="C286" s="441"/>
      <c r="D286" s="441"/>
      <c r="E286" s="441"/>
      <c r="F286" s="441"/>
      <c r="G286" s="441"/>
      <c r="H286" s="441"/>
    </row>
    <row r="287" spans="1:8" x14ac:dyDescent="0.25">
      <c r="A287" s="442" t="s">
        <v>487</v>
      </c>
      <c r="B287" s="441"/>
      <c r="C287" s="441"/>
      <c r="D287" s="441"/>
      <c r="E287" s="441"/>
      <c r="F287" s="441"/>
      <c r="G287" s="441"/>
      <c r="H287" s="441"/>
    </row>
    <row r="288" spans="1:8" x14ac:dyDescent="0.25">
      <c r="A288" s="442" t="s">
        <v>488</v>
      </c>
      <c r="B288" s="441"/>
      <c r="C288" s="441"/>
      <c r="D288" s="441"/>
      <c r="E288" s="441"/>
      <c r="F288" s="441"/>
      <c r="G288" s="441"/>
      <c r="H288" s="441"/>
    </row>
    <row r="289" spans="1:8" x14ac:dyDescent="0.25">
      <c r="A289" s="442" t="s">
        <v>489</v>
      </c>
      <c r="B289" s="441"/>
      <c r="C289" s="441"/>
      <c r="D289" s="441"/>
      <c r="E289" s="441"/>
      <c r="F289" s="441"/>
      <c r="G289" s="441"/>
      <c r="H289" s="441"/>
    </row>
    <row r="290" spans="1:8" x14ac:dyDescent="0.25">
      <c r="A290" s="441"/>
      <c r="B290" s="441"/>
      <c r="C290" s="441"/>
      <c r="D290" s="441"/>
      <c r="E290" s="441"/>
      <c r="F290" s="441"/>
      <c r="G290" s="441"/>
      <c r="H290" s="441"/>
    </row>
    <row r="291" spans="1:8" x14ac:dyDescent="0.25">
      <c r="A291" s="442" t="s">
        <v>480</v>
      </c>
      <c r="B291" s="441"/>
      <c r="C291" s="441"/>
      <c r="D291" s="441"/>
      <c r="E291" s="441"/>
      <c r="F291" s="441"/>
      <c r="G291" s="441"/>
      <c r="H291" s="441"/>
    </row>
    <row r="292" spans="1:8" x14ac:dyDescent="0.25">
      <c r="A292" s="442" t="s">
        <v>481</v>
      </c>
      <c r="B292" s="441"/>
      <c r="C292" s="441"/>
      <c r="D292" s="441"/>
      <c r="E292" s="441"/>
      <c r="F292" s="441"/>
      <c r="G292" s="441"/>
      <c r="H292" s="441"/>
    </row>
    <row r="293" spans="1:8" x14ac:dyDescent="0.25">
      <c r="A293" s="442" t="s">
        <v>482</v>
      </c>
      <c r="B293" s="441"/>
      <c r="C293" s="441"/>
      <c r="D293" s="441"/>
      <c r="E293" s="441"/>
      <c r="F293" s="441"/>
      <c r="G293" s="441"/>
      <c r="H293" s="441"/>
    </row>
    <row r="294" spans="1:8" x14ac:dyDescent="0.25">
      <c r="A294" s="441"/>
      <c r="B294" s="441"/>
      <c r="C294" s="441"/>
      <c r="D294" s="441"/>
      <c r="E294" s="441"/>
      <c r="F294" s="441"/>
      <c r="G294" s="441"/>
      <c r="H294" s="441"/>
    </row>
    <row r="295" spans="1:8" x14ac:dyDescent="0.25">
      <c r="A295" s="442" t="s">
        <v>478</v>
      </c>
      <c r="B295" s="441"/>
      <c r="C295" s="441"/>
      <c r="D295" s="441"/>
      <c r="E295" s="441"/>
      <c r="F295" s="441"/>
      <c r="G295" s="441"/>
      <c r="H295" s="441"/>
    </row>
    <row r="296" spans="1:8" x14ac:dyDescent="0.25">
      <c r="A296" s="442" t="s">
        <v>479</v>
      </c>
      <c r="B296" s="441"/>
      <c r="C296" s="441"/>
      <c r="D296" s="441"/>
      <c r="E296" s="441"/>
      <c r="F296" s="441"/>
      <c r="G296" s="441"/>
      <c r="H296" s="441"/>
    </row>
    <row r="297" spans="1:8" x14ac:dyDescent="0.25">
      <c r="A297" s="441"/>
      <c r="B297" s="441"/>
      <c r="C297" s="441"/>
      <c r="D297" s="441"/>
      <c r="E297" s="441"/>
      <c r="F297" s="441"/>
      <c r="G297" s="441"/>
      <c r="H297" s="441"/>
    </row>
    <row r="298" spans="1:8" x14ac:dyDescent="0.25">
      <c r="A298" s="442" t="s">
        <v>465</v>
      </c>
      <c r="B298" s="441"/>
      <c r="C298" s="441"/>
      <c r="D298" s="441"/>
      <c r="E298" s="441"/>
      <c r="F298" s="441"/>
      <c r="G298" s="441"/>
      <c r="H298" s="441"/>
    </row>
    <row r="299" spans="1:8" x14ac:dyDescent="0.25">
      <c r="A299" s="442" t="s">
        <v>466</v>
      </c>
      <c r="B299" s="441"/>
      <c r="C299" s="441"/>
      <c r="D299" s="441"/>
      <c r="E299" s="441"/>
      <c r="F299" s="441"/>
      <c r="G299" s="441"/>
      <c r="H299" s="441"/>
    </row>
    <row r="300" spans="1:8" x14ac:dyDescent="0.25">
      <c r="A300" s="442" t="s">
        <v>467</v>
      </c>
      <c r="B300" s="441"/>
      <c r="C300" s="441"/>
      <c r="D300" s="441"/>
      <c r="E300" s="441"/>
      <c r="F300" s="441"/>
      <c r="G300" s="441"/>
      <c r="H300" s="441"/>
    </row>
    <row r="301" spans="1:8" x14ac:dyDescent="0.25">
      <c r="A301" s="442" t="s">
        <v>468</v>
      </c>
      <c r="B301" s="441"/>
      <c r="C301" s="441"/>
      <c r="D301" s="441"/>
      <c r="E301" s="441"/>
      <c r="F301" s="441"/>
      <c r="G301" s="441"/>
      <c r="H301" s="441"/>
    </row>
    <row r="302" spans="1:8" x14ac:dyDescent="0.25">
      <c r="A302" s="442" t="s">
        <v>469</v>
      </c>
      <c r="B302" s="441"/>
      <c r="C302" s="441"/>
      <c r="D302" s="441"/>
      <c r="E302" s="441"/>
      <c r="F302" s="441"/>
      <c r="G302" s="441"/>
      <c r="H302" s="441"/>
    </row>
    <row r="303" spans="1:8" x14ac:dyDescent="0.25">
      <c r="A303" s="442" t="s">
        <v>470</v>
      </c>
      <c r="B303" s="441"/>
      <c r="C303" s="441"/>
      <c r="D303" s="441"/>
      <c r="E303" s="441"/>
      <c r="F303" s="441"/>
      <c r="G303" s="441"/>
      <c r="H303" s="441"/>
    </row>
    <row r="304" spans="1:8" x14ac:dyDescent="0.25">
      <c r="A304" s="442" t="s">
        <v>471</v>
      </c>
      <c r="B304" s="441"/>
      <c r="C304" s="441"/>
      <c r="D304" s="441"/>
      <c r="E304" s="441"/>
      <c r="F304" s="441"/>
      <c r="G304" s="441"/>
      <c r="H304" s="441"/>
    </row>
    <row r="305" spans="1:8" x14ac:dyDescent="0.25">
      <c r="A305" s="442" t="s">
        <v>472</v>
      </c>
      <c r="B305" s="441"/>
      <c r="C305" s="441"/>
      <c r="D305" s="441"/>
      <c r="E305" s="441"/>
      <c r="F305" s="441"/>
      <c r="G305" s="441"/>
      <c r="H305" s="441"/>
    </row>
    <row r="306" spans="1:8" x14ac:dyDescent="0.25">
      <c r="A306" s="442" t="s">
        <v>473</v>
      </c>
      <c r="B306" s="441"/>
      <c r="C306" s="441"/>
      <c r="D306" s="441"/>
      <c r="E306" s="441"/>
      <c r="F306" s="441"/>
      <c r="G306" s="441"/>
      <c r="H306" s="441"/>
    </row>
    <row r="307" spans="1:8" x14ac:dyDescent="0.25">
      <c r="A307" s="442" t="s">
        <v>474</v>
      </c>
      <c r="B307" s="441"/>
      <c r="C307" s="441"/>
      <c r="D307" s="441"/>
      <c r="E307" s="441"/>
      <c r="F307" s="441"/>
      <c r="G307" s="441"/>
      <c r="H307" s="441"/>
    </row>
    <row r="308" spans="1:8" x14ac:dyDescent="0.25">
      <c r="A308" s="442" t="s">
        <v>475</v>
      </c>
      <c r="B308" s="441"/>
      <c r="C308" s="441"/>
      <c r="D308" s="441"/>
      <c r="E308" s="441"/>
      <c r="F308" s="441"/>
      <c r="G308" s="441"/>
      <c r="H308" s="441"/>
    </row>
    <row r="309" spans="1:8" x14ac:dyDescent="0.25">
      <c r="A309" s="442" t="s">
        <v>476</v>
      </c>
      <c r="B309" s="441"/>
      <c r="C309" s="441"/>
      <c r="D309" s="441"/>
      <c r="E309" s="441"/>
      <c r="F309" s="441"/>
      <c r="G309" s="441"/>
      <c r="H309" s="441"/>
    </row>
    <row r="310" spans="1:8" x14ac:dyDescent="0.25">
      <c r="A310" s="442" t="s">
        <v>477</v>
      </c>
      <c r="B310" s="441"/>
      <c r="C310" s="441"/>
      <c r="D310" s="441"/>
      <c r="E310" s="441"/>
      <c r="F310" s="441"/>
      <c r="G310" s="441"/>
      <c r="H310" s="441"/>
    </row>
    <row r="311" spans="1:8" x14ac:dyDescent="0.25">
      <c r="A311" s="441"/>
      <c r="B311" s="441"/>
      <c r="C311" s="441"/>
      <c r="D311" s="441"/>
      <c r="E311" s="441"/>
      <c r="F311" s="441"/>
      <c r="G311" s="441"/>
      <c r="H311" s="441"/>
    </row>
    <row r="312" spans="1:8" x14ac:dyDescent="0.25">
      <c r="A312" s="442" t="s">
        <v>457</v>
      </c>
      <c r="B312" s="441"/>
      <c r="C312" s="441"/>
      <c r="D312" s="441"/>
      <c r="E312" s="441"/>
      <c r="F312" s="441"/>
      <c r="G312" s="441"/>
      <c r="H312" s="441"/>
    </row>
    <row r="313" spans="1:8" x14ac:dyDescent="0.25">
      <c r="A313" s="442" t="s">
        <v>458</v>
      </c>
      <c r="B313" s="441"/>
      <c r="C313" s="441"/>
      <c r="D313" s="441"/>
      <c r="E313" s="441"/>
      <c r="F313" s="441"/>
      <c r="G313" s="441"/>
      <c r="H313" s="441"/>
    </row>
    <row r="314" spans="1:8" x14ac:dyDescent="0.25">
      <c r="A314" s="442" t="s">
        <v>459</v>
      </c>
      <c r="B314" s="441"/>
      <c r="C314" s="441"/>
      <c r="D314" s="441"/>
      <c r="E314" s="441"/>
      <c r="F314" s="441"/>
      <c r="G314" s="441"/>
      <c r="H314" s="441"/>
    </row>
    <row r="315" spans="1:8" x14ac:dyDescent="0.25">
      <c r="A315" s="442" t="s">
        <v>460</v>
      </c>
      <c r="B315" s="441"/>
      <c r="C315" s="441"/>
      <c r="D315" s="441"/>
      <c r="E315" s="441"/>
      <c r="F315" s="441"/>
      <c r="G315" s="441"/>
      <c r="H315" s="441"/>
    </row>
    <row r="316" spans="1:8" x14ac:dyDescent="0.25">
      <c r="A316" s="442" t="s">
        <v>461</v>
      </c>
      <c r="B316" s="441"/>
      <c r="C316" s="441"/>
      <c r="D316" s="441"/>
      <c r="E316" s="441"/>
      <c r="F316" s="441"/>
      <c r="G316" s="441"/>
      <c r="H316" s="441"/>
    </row>
    <row r="317" spans="1:8" x14ac:dyDescent="0.25">
      <c r="A317" s="442" t="s">
        <v>462</v>
      </c>
      <c r="B317" s="441"/>
      <c r="C317" s="441"/>
      <c r="D317" s="441"/>
      <c r="E317" s="441"/>
      <c r="F317" s="441"/>
      <c r="G317" s="441"/>
      <c r="H317" s="441"/>
    </row>
    <row r="318" spans="1:8" x14ac:dyDescent="0.25">
      <c r="A318" s="442" t="s">
        <v>463</v>
      </c>
      <c r="B318" s="441"/>
      <c r="C318" s="441"/>
      <c r="D318" s="441"/>
      <c r="E318" s="441"/>
      <c r="F318" s="441"/>
      <c r="G318" s="441"/>
      <c r="H318" s="441"/>
    </row>
    <row r="319" spans="1:8" x14ac:dyDescent="0.25">
      <c r="A319" s="442" t="s">
        <v>464</v>
      </c>
      <c r="B319" s="441"/>
      <c r="C319" s="441"/>
      <c r="D319" s="441"/>
      <c r="E319" s="441"/>
      <c r="F319" s="441"/>
      <c r="G319" s="441"/>
      <c r="H319" s="441"/>
    </row>
    <row r="320" spans="1:8" x14ac:dyDescent="0.25">
      <c r="A320" s="441"/>
      <c r="B320" s="441"/>
      <c r="C320" s="441"/>
      <c r="D320" s="441"/>
      <c r="E320" s="441"/>
      <c r="F320" s="441"/>
      <c r="G320" s="441"/>
      <c r="H320" s="441"/>
    </row>
    <row r="321" spans="1:8" x14ac:dyDescent="0.25">
      <c r="A321" s="442" t="s">
        <v>422</v>
      </c>
      <c r="B321" s="441"/>
      <c r="C321" s="441"/>
      <c r="D321" s="441"/>
      <c r="E321" s="441"/>
      <c r="F321" s="441"/>
      <c r="G321" s="441"/>
      <c r="H321" s="441"/>
    </row>
    <row r="322" spans="1:8" x14ac:dyDescent="0.25">
      <c r="A322" s="442" t="s">
        <v>423</v>
      </c>
      <c r="B322" s="441"/>
      <c r="C322" s="441"/>
      <c r="D322" s="441"/>
      <c r="E322" s="441"/>
      <c r="F322" s="441"/>
      <c r="G322" s="441"/>
      <c r="H322" s="441"/>
    </row>
    <row r="323" spans="1:8" x14ac:dyDescent="0.25">
      <c r="A323" s="442" t="s">
        <v>424</v>
      </c>
      <c r="B323" s="441"/>
      <c r="C323" s="441"/>
      <c r="D323" s="441"/>
      <c r="E323" s="441"/>
      <c r="F323" s="441"/>
      <c r="G323" s="441"/>
      <c r="H323" s="441"/>
    </row>
    <row r="324" spans="1:8" x14ac:dyDescent="0.25">
      <c r="A324" s="442" t="s">
        <v>425</v>
      </c>
      <c r="B324" s="441"/>
      <c r="C324" s="441"/>
      <c r="D324" s="441"/>
      <c r="E324" s="441"/>
      <c r="F324" s="441"/>
      <c r="G324" s="441"/>
      <c r="H324" s="441"/>
    </row>
    <row r="325" spans="1:8" x14ac:dyDescent="0.25">
      <c r="A325" s="442" t="s">
        <v>426</v>
      </c>
      <c r="B325" s="441"/>
      <c r="C325" s="441"/>
      <c r="D325" s="441"/>
      <c r="E325" s="441"/>
      <c r="F325" s="441"/>
      <c r="G325" s="441"/>
      <c r="H325" s="441"/>
    </row>
    <row r="326" spans="1:8" x14ac:dyDescent="0.25">
      <c r="A326" s="442" t="s">
        <v>427</v>
      </c>
      <c r="B326" s="441"/>
      <c r="C326" s="441"/>
      <c r="D326" s="441"/>
      <c r="E326" s="441"/>
      <c r="F326" s="441"/>
      <c r="G326" s="441"/>
      <c r="H326" s="441"/>
    </row>
    <row r="327" spans="1:8" x14ac:dyDescent="0.25">
      <c r="A327" s="442" t="s">
        <v>428</v>
      </c>
      <c r="B327" s="441"/>
      <c r="C327" s="441"/>
      <c r="D327" s="441"/>
      <c r="E327" s="441"/>
      <c r="F327" s="441"/>
      <c r="G327" s="441"/>
      <c r="H327" s="441"/>
    </row>
    <row r="328" spans="1:8" x14ac:dyDescent="0.25">
      <c r="A328" s="442" t="s">
        <v>429</v>
      </c>
      <c r="B328" s="441"/>
      <c r="C328" s="441"/>
      <c r="D328" s="441"/>
      <c r="E328" s="441"/>
      <c r="F328" s="441"/>
      <c r="G328" s="441"/>
      <c r="H328" s="441"/>
    </row>
    <row r="329" spans="1:8" x14ac:dyDescent="0.25">
      <c r="A329" s="442" t="s">
        <v>430</v>
      </c>
      <c r="B329" s="441"/>
      <c r="C329" s="441"/>
      <c r="D329" s="441"/>
      <c r="E329" s="441"/>
      <c r="F329" s="441"/>
      <c r="G329" s="441"/>
      <c r="H329" s="441"/>
    </row>
    <row r="330" spans="1:8" x14ac:dyDescent="0.25">
      <c r="A330" s="442" t="s">
        <v>431</v>
      </c>
      <c r="B330" s="441"/>
      <c r="C330" s="441"/>
      <c r="D330" s="441"/>
      <c r="E330" s="441"/>
      <c r="F330" s="441"/>
      <c r="G330" s="441"/>
      <c r="H330" s="441"/>
    </row>
    <row r="331" spans="1:8" x14ac:dyDescent="0.25">
      <c r="A331" s="442" t="s">
        <v>432</v>
      </c>
      <c r="B331" s="441"/>
      <c r="C331" s="441"/>
      <c r="D331" s="441"/>
      <c r="E331" s="441"/>
      <c r="F331" s="441"/>
      <c r="G331" s="441"/>
      <c r="H331" s="441"/>
    </row>
    <row r="332" spans="1:8" x14ac:dyDescent="0.25">
      <c r="A332" s="442" t="s">
        <v>433</v>
      </c>
      <c r="B332" s="441"/>
      <c r="C332" s="441"/>
      <c r="D332" s="441"/>
      <c r="E332" s="441"/>
      <c r="F332" s="441"/>
      <c r="G332" s="441"/>
      <c r="H332" s="441"/>
    </row>
    <row r="333" spans="1:8" x14ac:dyDescent="0.25">
      <c r="A333" s="442" t="s">
        <v>434</v>
      </c>
      <c r="B333" s="441"/>
      <c r="C333" s="441"/>
      <c r="D333" s="441"/>
      <c r="E333" s="441"/>
      <c r="F333" s="441"/>
      <c r="G333" s="441"/>
      <c r="H333" s="441"/>
    </row>
    <row r="334" spans="1:8" x14ac:dyDescent="0.25">
      <c r="A334" s="442" t="s">
        <v>435</v>
      </c>
      <c r="B334" s="441"/>
      <c r="C334" s="441"/>
      <c r="D334" s="441"/>
      <c r="E334" s="441"/>
      <c r="F334" s="441"/>
      <c r="G334" s="441"/>
      <c r="H334" s="441"/>
    </row>
    <row r="335" spans="1:8" x14ac:dyDescent="0.25">
      <c r="A335" s="442" t="s">
        <v>436</v>
      </c>
      <c r="B335" s="441"/>
      <c r="C335" s="441"/>
      <c r="D335" s="441"/>
      <c r="E335" s="441"/>
      <c r="F335" s="441"/>
      <c r="G335" s="441"/>
      <c r="H335" s="441"/>
    </row>
    <row r="336" spans="1:8" x14ac:dyDescent="0.25">
      <c r="A336" s="442" t="s">
        <v>437</v>
      </c>
      <c r="B336" s="441"/>
      <c r="C336" s="441"/>
      <c r="D336" s="441"/>
      <c r="E336" s="441"/>
      <c r="F336" s="441"/>
      <c r="G336" s="441"/>
      <c r="H336" s="441"/>
    </row>
    <row r="337" spans="1:8" x14ac:dyDescent="0.25">
      <c r="A337" s="442" t="s">
        <v>438</v>
      </c>
      <c r="B337" s="441"/>
      <c r="C337" s="441"/>
      <c r="D337" s="441"/>
      <c r="E337" s="441"/>
      <c r="F337" s="441"/>
      <c r="G337" s="441"/>
      <c r="H337" s="441"/>
    </row>
    <row r="338" spans="1:8" x14ac:dyDescent="0.25">
      <c r="A338" s="442" t="s">
        <v>439</v>
      </c>
      <c r="B338" s="441"/>
      <c r="C338" s="441"/>
      <c r="D338" s="441"/>
      <c r="E338" s="441"/>
      <c r="F338" s="441"/>
      <c r="G338" s="441"/>
      <c r="H338" s="441"/>
    </row>
    <row r="339" spans="1:8" x14ac:dyDescent="0.25">
      <c r="A339" s="442" t="s">
        <v>440</v>
      </c>
      <c r="B339" s="441"/>
      <c r="C339" s="441"/>
      <c r="D339" s="441"/>
      <c r="E339" s="441"/>
      <c r="F339" s="441"/>
      <c r="G339" s="441"/>
      <c r="H339" s="441"/>
    </row>
    <row r="340" spans="1:8" x14ac:dyDescent="0.25">
      <c r="A340" s="442" t="s">
        <v>441</v>
      </c>
      <c r="B340" s="441"/>
      <c r="C340" s="441"/>
      <c r="D340" s="441"/>
      <c r="E340" s="441"/>
      <c r="F340" s="441"/>
      <c r="G340" s="441"/>
      <c r="H340" s="441"/>
    </row>
    <row r="341" spans="1:8" x14ac:dyDescent="0.25">
      <c r="A341" s="442" t="s">
        <v>442</v>
      </c>
      <c r="B341" s="441"/>
      <c r="C341" s="441"/>
      <c r="D341" s="441"/>
      <c r="E341" s="441"/>
      <c r="F341" s="441"/>
      <c r="G341" s="441"/>
      <c r="H341" s="441"/>
    </row>
    <row r="342" spans="1:8" x14ac:dyDescent="0.25">
      <c r="A342" s="442" t="s">
        <v>443</v>
      </c>
      <c r="B342" s="441"/>
      <c r="C342" s="441"/>
      <c r="D342" s="441"/>
      <c r="E342" s="441"/>
      <c r="F342" s="441"/>
      <c r="G342" s="441"/>
      <c r="H342" s="441"/>
    </row>
    <row r="343" spans="1:8" x14ac:dyDescent="0.25">
      <c r="A343" s="442" t="s">
        <v>444</v>
      </c>
      <c r="B343" s="441"/>
      <c r="C343" s="441"/>
      <c r="D343" s="441"/>
      <c r="E343" s="441"/>
      <c r="F343" s="441"/>
      <c r="G343" s="441"/>
      <c r="H343" s="441"/>
    </row>
    <row r="344" spans="1:8" x14ac:dyDescent="0.25">
      <c r="A344" s="442" t="s">
        <v>445</v>
      </c>
      <c r="B344" s="441"/>
      <c r="C344" s="441"/>
      <c r="D344" s="441"/>
      <c r="E344" s="441"/>
      <c r="F344" s="441"/>
      <c r="G344" s="441"/>
      <c r="H344" s="441"/>
    </row>
    <row r="345" spans="1:8" x14ac:dyDescent="0.25">
      <c r="A345" s="442" t="s">
        <v>446</v>
      </c>
      <c r="B345" s="441"/>
      <c r="C345" s="441"/>
      <c r="D345" s="441"/>
      <c r="E345" s="441"/>
      <c r="F345" s="441"/>
      <c r="G345" s="441"/>
      <c r="H345" s="441"/>
    </row>
    <row r="346" spans="1:8" x14ac:dyDescent="0.25">
      <c r="A346" s="442" t="s">
        <v>447</v>
      </c>
      <c r="B346" s="441"/>
      <c r="C346" s="441"/>
      <c r="D346" s="441"/>
      <c r="E346" s="441"/>
      <c r="F346" s="441"/>
      <c r="G346" s="441"/>
      <c r="H346" s="441"/>
    </row>
    <row r="347" spans="1:8" x14ac:dyDescent="0.25">
      <c r="A347" s="442" t="s">
        <v>448</v>
      </c>
      <c r="B347" s="441"/>
      <c r="C347" s="441"/>
      <c r="D347" s="441"/>
      <c r="E347" s="441"/>
      <c r="F347" s="441"/>
      <c r="G347" s="441"/>
      <c r="H347" s="441"/>
    </row>
    <row r="348" spans="1:8" x14ac:dyDescent="0.25">
      <c r="A348" s="442" t="s">
        <v>449</v>
      </c>
      <c r="B348" s="441"/>
      <c r="C348" s="441"/>
      <c r="D348" s="441"/>
      <c r="E348" s="441"/>
      <c r="F348" s="441"/>
      <c r="G348" s="441"/>
      <c r="H348" s="441"/>
    </row>
    <row r="349" spans="1:8" x14ac:dyDescent="0.25">
      <c r="A349" s="442" t="s">
        <v>450</v>
      </c>
      <c r="B349" s="441"/>
      <c r="C349" s="441"/>
      <c r="D349" s="441"/>
      <c r="E349" s="441"/>
      <c r="F349" s="441"/>
      <c r="G349" s="441"/>
      <c r="H349" s="441"/>
    </row>
    <row r="350" spans="1:8" x14ac:dyDescent="0.25">
      <c r="A350" s="442" t="s">
        <v>451</v>
      </c>
      <c r="B350" s="441"/>
      <c r="C350" s="441"/>
      <c r="D350" s="441"/>
      <c r="E350" s="441"/>
      <c r="F350" s="441"/>
      <c r="G350" s="441"/>
      <c r="H350" s="441"/>
    </row>
    <row r="351" spans="1:8" x14ac:dyDescent="0.25">
      <c r="A351" s="442" t="s">
        <v>452</v>
      </c>
      <c r="B351" s="441"/>
      <c r="C351" s="441"/>
      <c r="D351" s="441"/>
      <c r="E351" s="441"/>
      <c r="F351" s="441"/>
      <c r="G351" s="441"/>
      <c r="H351" s="441"/>
    </row>
    <row r="352" spans="1:8" x14ac:dyDescent="0.25">
      <c r="A352" s="442" t="s">
        <v>453</v>
      </c>
      <c r="B352" s="441"/>
      <c r="C352" s="441"/>
      <c r="D352" s="441"/>
      <c r="E352" s="441"/>
      <c r="F352" s="441"/>
      <c r="G352" s="441"/>
      <c r="H352" s="441"/>
    </row>
    <row r="353" spans="1:8" x14ac:dyDescent="0.25">
      <c r="A353" s="442" t="s">
        <v>454</v>
      </c>
      <c r="B353" s="441"/>
      <c r="C353" s="441"/>
      <c r="D353" s="441"/>
      <c r="E353" s="441"/>
      <c r="F353" s="441"/>
      <c r="G353" s="441"/>
      <c r="H353" s="441"/>
    </row>
    <row r="354" spans="1:8" x14ac:dyDescent="0.25">
      <c r="A354" s="442" t="s">
        <v>455</v>
      </c>
      <c r="B354" s="441"/>
      <c r="C354" s="441"/>
      <c r="D354" s="441"/>
      <c r="E354" s="441"/>
      <c r="F354" s="441"/>
      <c r="G354" s="441"/>
      <c r="H354" s="441"/>
    </row>
    <row r="355" spans="1:8" x14ac:dyDescent="0.25">
      <c r="A355" s="442" t="s">
        <v>456</v>
      </c>
      <c r="B355" s="441"/>
      <c r="C355" s="441"/>
      <c r="D355" s="441"/>
      <c r="E355" s="441"/>
      <c r="F355" s="441"/>
      <c r="G355" s="441"/>
      <c r="H355" s="441"/>
    </row>
    <row r="356" spans="1:8" x14ac:dyDescent="0.25">
      <c r="A356" s="441"/>
      <c r="B356" s="441"/>
      <c r="C356" s="441"/>
      <c r="D356" s="441"/>
      <c r="E356" s="441"/>
      <c r="F356" s="441"/>
      <c r="G356" s="441"/>
      <c r="H356" s="441"/>
    </row>
    <row r="357" spans="1:8" x14ac:dyDescent="0.25">
      <c r="A357" s="442" t="s">
        <v>414</v>
      </c>
      <c r="B357" s="441"/>
      <c r="C357" s="441"/>
      <c r="D357" s="441"/>
      <c r="E357" s="441"/>
      <c r="F357" s="441"/>
      <c r="G357" s="441"/>
      <c r="H357" s="441"/>
    </row>
    <row r="358" spans="1:8" x14ac:dyDescent="0.25">
      <c r="A358" s="442" t="s">
        <v>418</v>
      </c>
      <c r="B358" s="441"/>
      <c r="C358" s="441"/>
      <c r="D358" s="441"/>
      <c r="E358" s="441"/>
      <c r="F358" s="441"/>
      <c r="G358" s="441"/>
      <c r="H358" s="441"/>
    </row>
    <row r="359" spans="1:8" x14ac:dyDescent="0.25">
      <c r="A359" s="442" t="s">
        <v>419</v>
      </c>
      <c r="B359" s="441"/>
      <c r="C359" s="441"/>
      <c r="D359" s="441"/>
      <c r="E359" s="441"/>
      <c r="F359" s="441"/>
      <c r="G359" s="441"/>
      <c r="H359" s="441"/>
    </row>
    <row r="360" spans="1:8" x14ac:dyDescent="0.25">
      <c r="A360" s="442" t="s">
        <v>420</v>
      </c>
      <c r="B360" s="441"/>
      <c r="C360" s="441"/>
      <c r="D360" s="441"/>
      <c r="E360" s="441"/>
      <c r="F360" s="441"/>
      <c r="G360" s="441"/>
      <c r="H360" s="441"/>
    </row>
    <row r="361" spans="1:8" x14ac:dyDescent="0.25">
      <c r="A361" s="442" t="s">
        <v>421</v>
      </c>
      <c r="B361" s="441"/>
      <c r="C361" s="441"/>
      <c r="D361" s="441"/>
      <c r="E361" s="441"/>
      <c r="F361" s="441"/>
      <c r="G361" s="441"/>
      <c r="H361" s="441"/>
    </row>
    <row r="362" spans="1:8" x14ac:dyDescent="0.25">
      <c r="A362" s="441"/>
      <c r="B362" s="441"/>
      <c r="C362" s="441"/>
      <c r="D362" s="441"/>
      <c r="E362" s="441"/>
      <c r="F362" s="441"/>
      <c r="G362" s="441"/>
      <c r="H362" s="441"/>
    </row>
    <row r="363" spans="1:8" x14ac:dyDescent="0.25">
      <c r="A363" s="442" t="s">
        <v>414</v>
      </c>
      <c r="B363" s="441"/>
      <c r="C363" s="441"/>
      <c r="D363" s="441"/>
      <c r="E363" s="441"/>
      <c r="F363" s="441"/>
      <c r="G363" s="441"/>
      <c r="H363" s="441"/>
    </row>
    <row r="364" spans="1:8" x14ac:dyDescent="0.25">
      <c r="A364" s="442" t="s">
        <v>415</v>
      </c>
      <c r="B364" s="441"/>
      <c r="C364" s="441"/>
      <c r="D364" s="441"/>
      <c r="E364" s="441"/>
      <c r="F364" s="441"/>
      <c r="G364" s="441"/>
      <c r="H364" s="441"/>
    </row>
    <row r="365" spans="1:8" x14ac:dyDescent="0.25">
      <c r="A365" s="442" t="s">
        <v>416</v>
      </c>
      <c r="B365" s="441"/>
      <c r="C365" s="441"/>
      <c r="D365" s="441"/>
      <c r="E365" s="441"/>
      <c r="F365" s="441"/>
      <c r="G365" s="441"/>
      <c r="H365" s="441"/>
    </row>
    <row r="366" spans="1:8" x14ac:dyDescent="0.25">
      <c r="A366" s="442" t="s">
        <v>417</v>
      </c>
      <c r="B366" s="441"/>
      <c r="C366" s="441"/>
      <c r="D366" s="441"/>
      <c r="E366" s="441"/>
      <c r="F366" s="441"/>
      <c r="G366" s="441"/>
      <c r="H366" s="441"/>
    </row>
    <row r="367" spans="1:8" x14ac:dyDescent="0.25">
      <c r="A367" s="441"/>
      <c r="B367" s="441"/>
      <c r="C367" s="441"/>
      <c r="D367" s="441"/>
      <c r="E367" s="441"/>
      <c r="F367" s="441"/>
      <c r="G367" s="441"/>
      <c r="H367" s="441"/>
    </row>
    <row r="368" spans="1:8" x14ac:dyDescent="0.25">
      <c r="A368" s="442" t="s">
        <v>408</v>
      </c>
      <c r="B368" s="441"/>
      <c r="C368" s="441"/>
      <c r="D368" s="441"/>
      <c r="E368" s="441"/>
      <c r="F368" s="441"/>
      <c r="G368" s="441"/>
      <c r="H368" s="441"/>
    </row>
    <row r="369" spans="1:8" x14ac:dyDescent="0.25">
      <c r="A369" s="442" t="s">
        <v>409</v>
      </c>
      <c r="B369" s="441"/>
      <c r="C369" s="441"/>
      <c r="D369" s="441"/>
      <c r="E369" s="441"/>
      <c r="F369" s="441"/>
      <c r="G369" s="441"/>
      <c r="H369" s="441"/>
    </row>
    <row r="370" spans="1:8" x14ac:dyDescent="0.25">
      <c r="A370" s="442" t="s">
        <v>410</v>
      </c>
      <c r="B370" s="441"/>
      <c r="C370" s="441"/>
      <c r="D370" s="441"/>
      <c r="E370" s="441"/>
      <c r="F370" s="441"/>
      <c r="G370" s="441"/>
      <c r="H370" s="441"/>
    </row>
    <row r="371" spans="1:8" x14ac:dyDescent="0.25">
      <c r="A371" s="442" t="s">
        <v>411</v>
      </c>
      <c r="B371" s="441"/>
      <c r="C371" s="441"/>
      <c r="D371" s="441"/>
      <c r="E371" s="441"/>
      <c r="F371" s="441"/>
      <c r="G371" s="441"/>
      <c r="H371" s="441"/>
    </row>
    <row r="372" spans="1:8" x14ac:dyDescent="0.25">
      <c r="A372" s="442" t="s">
        <v>412</v>
      </c>
      <c r="B372" s="441"/>
      <c r="C372" s="441"/>
      <c r="D372" s="441"/>
      <c r="E372" s="441"/>
      <c r="F372" s="441"/>
      <c r="G372" s="441"/>
      <c r="H372" s="441"/>
    </row>
    <row r="373" spans="1:8" x14ac:dyDescent="0.25">
      <c r="A373" s="442" t="s">
        <v>413</v>
      </c>
      <c r="B373" s="441"/>
      <c r="C373" s="441"/>
      <c r="D373" s="441"/>
      <c r="E373" s="441"/>
      <c r="F373" s="441"/>
      <c r="G373" s="441"/>
      <c r="H373" s="441"/>
    </row>
    <row r="374" spans="1:8" x14ac:dyDescent="0.25">
      <c r="A374" s="441"/>
      <c r="B374" s="441"/>
      <c r="C374" s="441"/>
      <c r="D374" s="441"/>
      <c r="E374" s="441"/>
      <c r="F374" s="441"/>
      <c r="G374" s="441"/>
      <c r="H374" s="441"/>
    </row>
    <row r="375" spans="1:8" x14ac:dyDescent="0.25">
      <c r="A375" s="442" t="s">
        <v>403</v>
      </c>
      <c r="B375" s="441"/>
      <c r="C375" s="441"/>
      <c r="D375" s="441"/>
      <c r="E375" s="441"/>
      <c r="F375" s="441"/>
      <c r="G375" s="441"/>
      <c r="H375" s="441"/>
    </row>
    <row r="376" spans="1:8" x14ac:dyDescent="0.25">
      <c r="A376" s="442" t="s">
        <v>404</v>
      </c>
      <c r="B376" s="441"/>
      <c r="C376" s="441"/>
      <c r="D376" s="441"/>
      <c r="E376" s="441"/>
      <c r="F376" s="441"/>
      <c r="G376" s="441"/>
      <c r="H376" s="441"/>
    </row>
    <row r="377" spans="1:8" x14ac:dyDescent="0.25">
      <c r="A377" s="442" t="s">
        <v>405</v>
      </c>
      <c r="B377" s="441"/>
      <c r="C377" s="441"/>
      <c r="D377" s="441"/>
      <c r="E377" s="441"/>
      <c r="F377" s="441"/>
      <c r="G377" s="441"/>
      <c r="H377" s="441"/>
    </row>
    <row r="378" spans="1:8" x14ac:dyDescent="0.25">
      <c r="A378" s="442" t="s">
        <v>406</v>
      </c>
      <c r="B378" s="441"/>
      <c r="C378" s="441"/>
      <c r="D378" s="441"/>
      <c r="E378" s="441"/>
      <c r="F378" s="441"/>
      <c r="G378" s="441"/>
      <c r="H378" s="441"/>
    </row>
    <row r="379" spans="1:8" x14ac:dyDescent="0.25">
      <c r="A379" s="442" t="s">
        <v>407</v>
      </c>
      <c r="B379" s="441"/>
      <c r="C379" s="441"/>
      <c r="D379" s="441"/>
      <c r="E379" s="441"/>
      <c r="F379" s="441"/>
      <c r="G379" s="441"/>
      <c r="H379" s="441"/>
    </row>
    <row r="380" spans="1:8" x14ac:dyDescent="0.25">
      <c r="A380" s="441"/>
      <c r="B380" s="441"/>
      <c r="C380" s="441"/>
      <c r="D380" s="441"/>
      <c r="E380" s="441"/>
      <c r="F380" s="441"/>
      <c r="G380" s="441"/>
      <c r="H380" s="441"/>
    </row>
    <row r="381" spans="1:8" x14ac:dyDescent="0.25">
      <c r="A381" s="442" t="s">
        <v>401</v>
      </c>
      <c r="B381" s="441"/>
      <c r="C381" s="441"/>
      <c r="D381" s="441"/>
      <c r="E381" s="441"/>
      <c r="F381" s="441"/>
      <c r="G381" s="441"/>
      <c r="H381" s="441"/>
    </row>
    <row r="382" spans="1:8" x14ac:dyDescent="0.25">
      <c r="A382" s="442" t="s">
        <v>402</v>
      </c>
      <c r="B382" s="441"/>
      <c r="C382" s="441"/>
      <c r="D382" s="441"/>
      <c r="E382" s="441"/>
      <c r="F382" s="441"/>
      <c r="G382" s="441"/>
      <c r="H382" s="441"/>
    </row>
    <row r="384" spans="1:8" x14ac:dyDescent="0.25">
      <c r="A384" s="437" t="s">
        <v>653</v>
      </c>
    </row>
  </sheetData>
  <mergeCells count="12">
    <mergeCell ref="A126:H126"/>
    <mergeCell ref="A127:H127"/>
    <mergeCell ref="B119:C119"/>
    <mergeCell ref="D119:F119"/>
    <mergeCell ref="G119:H119"/>
    <mergeCell ref="A105:H105"/>
    <mergeCell ref="A106:H106"/>
    <mergeCell ref="A107:H107"/>
    <mergeCell ref="A108:H108"/>
    <mergeCell ref="A110:H110"/>
    <mergeCell ref="A111:H111"/>
    <mergeCell ref="A118:H11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0"/>
  <sheetViews>
    <sheetView workbookViewId="0"/>
  </sheetViews>
  <sheetFormatPr defaultRowHeight="13.2" x14ac:dyDescent="0.25"/>
  <sheetData>
    <row r="1" spans="1:2" x14ac:dyDescent="0.25">
      <c r="A1" t="s">
        <v>727</v>
      </c>
      <c r="B1" t="s">
        <v>728</v>
      </c>
    </row>
    <row r="2" spans="1:2" x14ac:dyDescent="0.25">
      <c r="A2" s="19" t="s">
        <v>729</v>
      </c>
      <c r="B2">
        <v>-1</v>
      </c>
    </row>
    <row r="3" spans="1:2" x14ac:dyDescent="0.25">
      <c r="A3" s="19" t="s">
        <v>730</v>
      </c>
      <c r="B3">
        <v>2</v>
      </c>
    </row>
    <row r="4" spans="1:2" x14ac:dyDescent="0.25">
      <c r="A4" s="19" t="s">
        <v>731</v>
      </c>
      <c r="B4">
        <v>-1</v>
      </c>
    </row>
    <row r="5" spans="1:2" x14ac:dyDescent="0.25">
      <c r="A5" s="19" t="s">
        <v>732</v>
      </c>
      <c r="B5">
        <v>-1</v>
      </c>
    </row>
    <row r="6" spans="1:2" x14ac:dyDescent="0.25">
      <c r="A6" s="19" t="s">
        <v>733</v>
      </c>
      <c r="B6">
        <v>2</v>
      </c>
    </row>
    <row r="7" spans="1:2" x14ac:dyDescent="0.25">
      <c r="A7" s="19" t="s">
        <v>734</v>
      </c>
      <c r="B7">
        <v>-1</v>
      </c>
    </row>
    <row r="8" spans="1:2" x14ac:dyDescent="0.25">
      <c r="A8" s="19" t="s">
        <v>735</v>
      </c>
      <c r="B8">
        <v>-1</v>
      </c>
    </row>
    <row r="9" spans="1:2" x14ac:dyDescent="0.25">
      <c r="A9" s="19" t="s">
        <v>736</v>
      </c>
      <c r="B9">
        <v>-1</v>
      </c>
    </row>
    <row r="10" spans="1:2" x14ac:dyDescent="0.25">
      <c r="A10" s="19" t="s">
        <v>737</v>
      </c>
      <c r="B10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11"/>
  <sheetViews>
    <sheetView showGridLines="0" showRowColHeaders="0" workbookViewId="0">
      <selection activeCell="N1" sqref="N1"/>
    </sheetView>
  </sheetViews>
  <sheetFormatPr defaultRowHeight="13.2" x14ac:dyDescent="0.25"/>
  <cols>
    <col min="1" max="1" width="8.88671875" style="366"/>
    <col min="2" max="2" width="88.33203125" style="366" customWidth="1"/>
    <col min="3" max="257" width="8.88671875" style="366"/>
    <col min="258" max="258" width="88.33203125" style="366" customWidth="1"/>
    <col min="259" max="513" width="8.88671875" style="366"/>
    <col min="514" max="514" width="88.33203125" style="366" customWidth="1"/>
    <col min="515" max="769" width="8.88671875" style="366"/>
    <col min="770" max="770" width="88.33203125" style="366" customWidth="1"/>
    <col min="771" max="1025" width="8.88671875" style="366"/>
    <col min="1026" max="1026" width="88.33203125" style="366" customWidth="1"/>
    <col min="1027" max="1281" width="8.88671875" style="366"/>
    <col min="1282" max="1282" width="88.33203125" style="366" customWidth="1"/>
    <col min="1283" max="1537" width="8.88671875" style="366"/>
    <col min="1538" max="1538" width="88.33203125" style="366" customWidth="1"/>
    <col min="1539" max="1793" width="8.88671875" style="366"/>
    <col min="1794" max="1794" width="88.33203125" style="366" customWidth="1"/>
    <col min="1795" max="2049" width="8.88671875" style="366"/>
    <col min="2050" max="2050" width="88.33203125" style="366" customWidth="1"/>
    <col min="2051" max="2305" width="8.88671875" style="366"/>
    <col min="2306" max="2306" width="88.33203125" style="366" customWidth="1"/>
    <col min="2307" max="2561" width="8.88671875" style="366"/>
    <col min="2562" max="2562" width="88.33203125" style="366" customWidth="1"/>
    <col min="2563" max="2817" width="8.88671875" style="366"/>
    <col min="2818" max="2818" width="88.33203125" style="366" customWidth="1"/>
    <col min="2819" max="3073" width="8.88671875" style="366"/>
    <col min="3074" max="3074" width="88.33203125" style="366" customWidth="1"/>
    <col min="3075" max="3329" width="8.88671875" style="366"/>
    <col min="3330" max="3330" width="88.33203125" style="366" customWidth="1"/>
    <col min="3331" max="3585" width="8.88671875" style="366"/>
    <col min="3586" max="3586" width="88.33203125" style="366" customWidth="1"/>
    <col min="3587" max="3841" width="8.88671875" style="366"/>
    <col min="3842" max="3842" width="88.33203125" style="366" customWidth="1"/>
    <col min="3843" max="4097" width="8.88671875" style="366"/>
    <col min="4098" max="4098" width="88.33203125" style="366" customWidth="1"/>
    <col min="4099" max="4353" width="8.88671875" style="366"/>
    <col min="4354" max="4354" width="88.33203125" style="366" customWidth="1"/>
    <col min="4355" max="4609" width="8.88671875" style="366"/>
    <col min="4610" max="4610" width="88.33203125" style="366" customWidth="1"/>
    <col min="4611" max="4865" width="8.88671875" style="366"/>
    <col min="4866" max="4866" width="88.33203125" style="366" customWidth="1"/>
    <col min="4867" max="5121" width="8.88671875" style="366"/>
    <col min="5122" max="5122" width="88.33203125" style="366" customWidth="1"/>
    <col min="5123" max="5377" width="8.88671875" style="366"/>
    <col min="5378" max="5378" width="88.33203125" style="366" customWidth="1"/>
    <col min="5379" max="5633" width="8.88671875" style="366"/>
    <col min="5634" max="5634" width="88.33203125" style="366" customWidth="1"/>
    <col min="5635" max="5889" width="8.88671875" style="366"/>
    <col min="5890" max="5890" width="88.33203125" style="366" customWidth="1"/>
    <col min="5891" max="6145" width="8.88671875" style="366"/>
    <col min="6146" max="6146" width="88.33203125" style="366" customWidth="1"/>
    <col min="6147" max="6401" width="8.88671875" style="366"/>
    <col min="6402" max="6402" width="88.33203125" style="366" customWidth="1"/>
    <col min="6403" max="6657" width="8.88671875" style="366"/>
    <col min="6658" max="6658" width="88.33203125" style="366" customWidth="1"/>
    <col min="6659" max="6913" width="8.88671875" style="366"/>
    <col min="6914" max="6914" width="88.33203125" style="366" customWidth="1"/>
    <col min="6915" max="7169" width="8.88671875" style="366"/>
    <col min="7170" max="7170" width="88.33203125" style="366" customWidth="1"/>
    <col min="7171" max="7425" width="8.88671875" style="366"/>
    <col min="7426" max="7426" width="88.33203125" style="366" customWidth="1"/>
    <col min="7427" max="7681" width="8.88671875" style="366"/>
    <col min="7682" max="7682" width="88.33203125" style="366" customWidth="1"/>
    <col min="7683" max="7937" width="8.88671875" style="366"/>
    <col min="7938" max="7938" width="88.33203125" style="366" customWidth="1"/>
    <col min="7939" max="8193" width="8.88671875" style="366"/>
    <col min="8194" max="8194" width="88.33203125" style="366" customWidth="1"/>
    <col min="8195" max="8449" width="8.88671875" style="366"/>
    <col min="8450" max="8450" width="88.33203125" style="366" customWidth="1"/>
    <col min="8451" max="8705" width="8.88671875" style="366"/>
    <col min="8706" max="8706" width="88.33203125" style="366" customWidth="1"/>
    <col min="8707" max="8961" width="8.88671875" style="366"/>
    <col min="8962" max="8962" width="88.33203125" style="366" customWidth="1"/>
    <col min="8963" max="9217" width="8.88671875" style="366"/>
    <col min="9218" max="9218" width="88.33203125" style="366" customWidth="1"/>
    <col min="9219" max="9473" width="8.88671875" style="366"/>
    <col min="9474" max="9474" width="88.33203125" style="366" customWidth="1"/>
    <col min="9475" max="9729" width="8.88671875" style="366"/>
    <col min="9730" max="9730" width="88.33203125" style="366" customWidth="1"/>
    <col min="9731" max="9985" width="8.88671875" style="366"/>
    <col min="9986" max="9986" width="88.33203125" style="366" customWidth="1"/>
    <col min="9987" max="10241" width="8.88671875" style="366"/>
    <col min="10242" max="10242" width="88.33203125" style="366" customWidth="1"/>
    <col min="10243" max="10497" width="8.88671875" style="366"/>
    <col min="10498" max="10498" width="88.33203125" style="366" customWidth="1"/>
    <col min="10499" max="10753" width="8.88671875" style="366"/>
    <col min="10754" max="10754" width="88.33203125" style="366" customWidth="1"/>
    <col min="10755" max="11009" width="8.88671875" style="366"/>
    <col min="11010" max="11010" width="88.33203125" style="366" customWidth="1"/>
    <col min="11011" max="11265" width="8.88671875" style="366"/>
    <col min="11266" max="11266" width="88.33203125" style="366" customWidth="1"/>
    <col min="11267" max="11521" width="8.88671875" style="366"/>
    <col min="11522" max="11522" width="88.33203125" style="366" customWidth="1"/>
    <col min="11523" max="11777" width="8.88671875" style="366"/>
    <col min="11778" max="11778" width="88.33203125" style="366" customWidth="1"/>
    <col min="11779" max="12033" width="8.88671875" style="366"/>
    <col min="12034" max="12034" width="88.33203125" style="366" customWidth="1"/>
    <col min="12035" max="12289" width="8.88671875" style="366"/>
    <col min="12290" max="12290" width="88.33203125" style="366" customWidth="1"/>
    <col min="12291" max="12545" width="8.88671875" style="366"/>
    <col min="12546" max="12546" width="88.33203125" style="366" customWidth="1"/>
    <col min="12547" max="12801" width="8.88671875" style="366"/>
    <col min="12802" max="12802" width="88.33203125" style="366" customWidth="1"/>
    <col min="12803" max="13057" width="8.88671875" style="366"/>
    <col min="13058" max="13058" width="88.33203125" style="366" customWidth="1"/>
    <col min="13059" max="13313" width="8.88671875" style="366"/>
    <col min="13314" max="13314" width="88.33203125" style="366" customWidth="1"/>
    <col min="13315" max="13569" width="8.88671875" style="366"/>
    <col min="13570" max="13570" width="88.33203125" style="366" customWidth="1"/>
    <col min="13571" max="13825" width="8.88671875" style="366"/>
    <col min="13826" max="13826" width="88.33203125" style="366" customWidth="1"/>
    <col min="13827" max="14081" width="8.88671875" style="366"/>
    <col min="14082" max="14082" width="88.33203125" style="366" customWidth="1"/>
    <col min="14083" max="14337" width="8.88671875" style="366"/>
    <col min="14338" max="14338" width="88.33203125" style="366" customWidth="1"/>
    <col min="14339" max="14593" width="8.88671875" style="366"/>
    <col min="14594" max="14594" width="88.33203125" style="366" customWidth="1"/>
    <col min="14595" max="14849" width="8.88671875" style="366"/>
    <col min="14850" max="14850" width="88.33203125" style="366" customWidth="1"/>
    <col min="14851" max="15105" width="8.88671875" style="366"/>
    <col min="15106" max="15106" width="88.33203125" style="366" customWidth="1"/>
    <col min="15107" max="15361" width="8.88671875" style="366"/>
    <col min="15362" max="15362" width="88.33203125" style="366" customWidth="1"/>
    <col min="15363" max="15617" width="8.88671875" style="366"/>
    <col min="15618" max="15618" width="88.33203125" style="366" customWidth="1"/>
    <col min="15619" max="15873" width="8.88671875" style="366"/>
    <col min="15874" max="15874" width="88.33203125" style="366" customWidth="1"/>
    <col min="15875" max="16129" width="8.88671875" style="366"/>
    <col min="16130" max="16130" width="88.33203125" style="366" customWidth="1"/>
    <col min="16131" max="16384" width="8.88671875" style="366"/>
  </cols>
  <sheetData>
    <row r="1" spans="2:2" ht="32.25" customHeight="1" x14ac:dyDescent="0.25"/>
    <row r="2" spans="2:2" ht="52.2" x14ac:dyDescent="0.3">
      <c r="B2" s="461" t="s">
        <v>720</v>
      </c>
    </row>
    <row r="3" spans="2:2" ht="69.599999999999994" hidden="1" x14ac:dyDescent="0.3">
      <c r="B3" s="461" t="s">
        <v>721</v>
      </c>
    </row>
    <row r="4" spans="2:2" ht="17.399999999999999" x14ac:dyDescent="0.3">
      <c r="B4" s="461"/>
    </row>
    <row r="5" spans="2:2" ht="52.2" x14ac:dyDescent="0.3">
      <c r="B5" s="461" t="s">
        <v>722</v>
      </c>
    </row>
    <row r="6" spans="2:2" ht="7.5" customHeight="1" x14ac:dyDescent="0.3">
      <c r="B6" s="461"/>
    </row>
    <row r="7" spans="2:2" ht="17.399999999999999" x14ac:dyDescent="0.3">
      <c r="B7" s="462" t="s">
        <v>723</v>
      </c>
    </row>
    <row r="8" spans="2:2" ht="17.399999999999999" x14ac:dyDescent="0.3">
      <c r="B8" s="462" t="s">
        <v>725</v>
      </c>
    </row>
    <row r="9" spans="2:2" ht="17.399999999999999" x14ac:dyDescent="0.3">
      <c r="B9" s="462" t="s">
        <v>726</v>
      </c>
    </row>
    <row r="10" spans="2:2" ht="17.399999999999999" x14ac:dyDescent="0.3">
      <c r="B10" s="463"/>
    </row>
    <row r="11" spans="2:2" ht="34.799999999999997" x14ac:dyDescent="0.3">
      <c r="B11" s="464" t="s">
        <v>724</v>
      </c>
    </row>
  </sheetData>
  <dataConsolidate/>
  <pageMargins left="0.75" right="0.75" top="1" bottom="1" header="0.5" footer="0.5"/>
  <pageSetup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2641" r:id="rId4" name="Button 1">
              <controlPr defaultSize="0" print="0" autoFill="0" autoPict="0" macro="[0]!ApplyCircRefs">
                <anchor moveWithCells="1" sizeWithCells="1">
                  <from>
                    <xdr:col>1</xdr:col>
                    <xdr:colOff>0</xdr:colOff>
                    <xdr:row>11</xdr:row>
                    <xdr:rowOff>160020</xdr:rowOff>
                  </from>
                  <to>
                    <xdr:col>1</xdr:col>
                    <xdr:colOff>2895600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42" r:id="rId5" name="Button 2">
              <controlPr defaultSize="0" print="0" autoFill="0" autoPict="0" macro="[0]!JustUnhideSheets">
                <anchor moveWithCells="1" sizeWithCells="1">
                  <from>
                    <xdr:col>1</xdr:col>
                    <xdr:colOff>3147060</xdr:colOff>
                    <xdr:row>11</xdr:row>
                    <xdr:rowOff>160020</xdr:rowOff>
                  </from>
                  <to>
                    <xdr:col>1</xdr:col>
                    <xdr:colOff>6042660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23"/>
  <sheetViews>
    <sheetView showGridLines="0" zoomScaleNormal="100" workbookViewId="0"/>
  </sheetViews>
  <sheetFormatPr defaultColWidth="9.109375" defaultRowHeight="11.25" customHeight="1" x14ac:dyDescent="0.25"/>
  <cols>
    <col min="1" max="1" width="6.5546875" style="3" customWidth="1"/>
    <col min="2" max="2" width="3.109375" style="3" customWidth="1"/>
    <col min="3" max="3" width="15.33203125" style="3" customWidth="1"/>
    <col min="4" max="7" width="9.109375" style="3"/>
    <col min="8" max="8" width="8.33203125" style="3" customWidth="1"/>
    <col min="9" max="10" width="9.109375" style="3"/>
    <col min="11" max="11" width="25" style="3" customWidth="1"/>
    <col min="12" max="16384" width="9.109375" style="3"/>
  </cols>
  <sheetData>
    <row r="1" spans="1:12" ht="11.25" customHeight="1" x14ac:dyDescent="0.25">
      <c r="A1" s="1"/>
      <c r="B1" s="1"/>
      <c r="C1" s="1"/>
      <c r="D1" s="1"/>
      <c r="E1" s="1"/>
      <c r="F1" s="1"/>
      <c r="G1" s="2"/>
      <c r="H1" s="2"/>
      <c r="I1" s="2"/>
      <c r="J1" s="2"/>
      <c r="K1" s="2"/>
      <c r="L1" s="2"/>
    </row>
    <row r="2" spans="1:12" ht="11.25" customHeight="1" x14ac:dyDescent="0.25">
      <c r="A2" s="1"/>
      <c r="B2" s="1"/>
      <c r="C2" s="1"/>
      <c r="D2" s="1"/>
      <c r="E2" s="1"/>
      <c r="F2" s="1"/>
      <c r="G2" s="2"/>
      <c r="H2" s="2"/>
      <c r="I2" s="2"/>
      <c r="J2" s="2"/>
      <c r="K2" s="2"/>
      <c r="L2" s="2"/>
    </row>
    <row r="3" spans="1:12" ht="11.25" customHeight="1" x14ac:dyDescent="0.25">
      <c r="A3" s="1"/>
      <c r="B3" s="1"/>
      <c r="C3" s="1"/>
      <c r="D3" s="1"/>
      <c r="E3" s="1"/>
      <c r="F3" s="1"/>
      <c r="G3" s="2"/>
      <c r="H3" s="2"/>
      <c r="I3" s="2"/>
      <c r="J3" s="2"/>
      <c r="K3" s="2"/>
      <c r="L3" s="2"/>
    </row>
    <row r="4" spans="1:12" ht="11.25" customHeight="1" x14ac:dyDescent="0.25">
      <c r="A4" s="1"/>
      <c r="B4" s="1"/>
      <c r="C4" s="1"/>
      <c r="D4" s="1"/>
      <c r="E4" s="1"/>
      <c r="F4" s="1"/>
      <c r="G4" s="2"/>
      <c r="H4" s="2"/>
      <c r="I4" s="2"/>
      <c r="J4" s="2"/>
      <c r="K4" s="2"/>
      <c r="L4" s="2"/>
    </row>
    <row r="5" spans="1:12" ht="11.25" customHeight="1" x14ac:dyDescent="0.25">
      <c r="A5" s="1"/>
      <c r="B5" s="1"/>
      <c r="C5" s="1"/>
      <c r="D5" s="1"/>
      <c r="E5" s="1"/>
      <c r="F5" s="1"/>
      <c r="G5" s="2"/>
      <c r="H5" s="2"/>
      <c r="I5" s="2"/>
      <c r="J5" s="2"/>
      <c r="K5" s="2"/>
      <c r="L5" s="2"/>
    </row>
    <row r="6" spans="1:12" ht="11.25" customHeight="1" x14ac:dyDescent="0.25">
      <c r="A6" s="1"/>
      <c r="B6" s="1"/>
      <c r="C6" s="1"/>
      <c r="D6" s="1"/>
      <c r="E6" s="1"/>
      <c r="F6" s="1"/>
      <c r="G6" s="2"/>
      <c r="H6" s="2"/>
      <c r="I6" s="2"/>
      <c r="J6" s="338"/>
      <c r="K6" s="2"/>
      <c r="L6" s="2"/>
    </row>
    <row r="7" spans="1:12" ht="11.25" customHeight="1" x14ac:dyDescent="0.25">
      <c r="A7" s="1"/>
      <c r="B7" s="1"/>
      <c r="C7" s="1"/>
      <c r="D7" s="1"/>
      <c r="E7" s="1"/>
      <c r="F7" s="1"/>
      <c r="G7" s="2"/>
      <c r="H7" s="2"/>
      <c r="I7" s="2"/>
      <c r="J7" s="338"/>
      <c r="K7" s="2"/>
      <c r="L7" s="2"/>
    </row>
    <row r="8" spans="1:12" ht="11.25" customHeight="1" x14ac:dyDescent="0.25">
      <c r="A8" s="1"/>
      <c r="B8" s="1"/>
      <c r="C8" s="1"/>
      <c r="D8" s="1"/>
      <c r="E8" s="1"/>
      <c r="F8" s="1"/>
      <c r="G8" s="2"/>
      <c r="H8" s="2"/>
      <c r="I8" s="2"/>
      <c r="J8" s="338"/>
      <c r="K8" s="2"/>
      <c r="L8" s="2"/>
    </row>
    <row r="9" spans="1:12" ht="11.25" customHeight="1" x14ac:dyDescent="0.25">
      <c r="A9" s="1"/>
      <c r="B9" s="1"/>
      <c r="C9" s="1"/>
      <c r="D9" s="1"/>
      <c r="E9" s="1"/>
      <c r="F9" s="4"/>
      <c r="G9" s="2"/>
      <c r="H9" s="2"/>
      <c r="I9" s="2"/>
      <c r="J9" s="338"/>
      <c r="K9" s="2"/>
      <c r="L9" s="2"/>
    </row>
    <row r="10" spans="1:12" ht="11.25" customHeight="1" x14ac:dyDescent="0.3">
      <c r="A10" s="1"/>
      <c r="B10" s="5"/>
      <c r="C10" s="5"/>
      <c r="D10" s="5"/>
      <c r="E10" s="5"/>
      <c r="F10" s="5"/>
      <c r="G10" s="2"/>
      <c r="H10" s="2"/>
      <c r="I10" s="2"/>
      <c r="J10" s="338"/>
      <c r="K10" s="2"/>
      <c r="L10" s="2"/>
    </row>
    <row r="11" spans="1:12" ht="11.25" customHeight="1" x14ac:dyDescent="0.25">
      <c r="A11" s="1"/>
      <c r="B11" s="4"/>
      <c r="C11" s="6"/>
      <c r="D11" s="6"/>
      <c r="E11" s="6"/>
      <c r="F11" s="7"/>
      <c r="G11" s="2"/>
      <c r="H11" s="2"/>
      <c r="I11" s="2"/>
      <c r="J11" s="338"/>
      <c r="K11" s="2"/>
      <c r="L11" s="2"/>
    </row>
    <row r="12" spans="1:12" ht="21" customHeight="1" x14ac:dyDescent="0.3">
      <c r="A12" s="1"/>
      <c r="B12" s="8" t="s">
        <v>181</v>
      </c>
      <c r="C12" s="9"/>
      <c r="D12" s="10"/>
      <c r="E12" s="10"/>
      <c r="F12" s="11"/>
      <c r="G12" s="2"/>
      <c r="H12" s="2"/>
      <c r="I12" s="2"/>
      <c r="J12" s="2"/>
      <c r="K12" s="2"/>
      <c r="L12" s="2"/>
    </row>
    <row r="13" spans="1:12" ht="11.25" customHeight="1" x14ac:dyDescent="0.25">
      <c r="A13" s="1"/>
      <c r="B13" s="9"/>
      <c r="C13" s="9"/>
      <c r="D13" s="10"/>
      <c r="E13" s="10"/>
      <c r="F13" s="11"/>
      <c r="G13" s="2"/>
      <c r="H13" s="2"/>
      <c r="I13" s="2"/>
      <c r="J13" s="2"/>
      <c r="K13" s="2"/>
      <c r="L13" s="2"/>
    </row>
    <row r="14" spans="1:12" ht="11.2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ht="11.2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ht="5.2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ht="13.2" x14ac:dyDescent="0.25">
      <c r="A17" s="2"/>
      <c r="B17" s="12" t="s">
        <v>177</v>
      </c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ht="5.25" customHeight="1" x14ac:dyDescent="0.3">
      <c r="A18" s="2"/>
      <c r="B18" s="5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s="13" customFormat="1" ht="11.25" customHeight="1" x14ac:dyDescent="0.25">
      <c r="B19" s="14" t="s">
        <v>178</v>
      </c>
      <c r="C19" s="15"/>
      <c r="D19" s="16"/>
      <c r="E19" s="16" t="s">
        <v>179</v>
      </c>
      <c r="F19" s="16"/>
      <c r="G19" s="17" t="s">
        <v>180</v>
      </c>
    </row>
    <row r="20" spans="1:12" ht="3.75" customHeight="1" x14ac:dyDescent="0.3">
      <c r="A20" s="2"/>
      <c r="B20" s="18"/>
      <c r="C20" s="9"/>
      <c r="D20" s="10"/>
      <c r="E20" s="10"/>
      <c r="F20" s="10"/>
      <c r="G20" s="11"/>
      <c r="H20" s="2"/>
      <c r="I20" s="2"/>
      <c r="J20" s="2"/>
      <c r="K20" s="2"/>
      <c r="L20" s="2"/>
    </row>
    <row r="21" spans="1:12" ht="11.25" customHeight="1" x14ac:dyDescent="0.25">
      <c r="A21" s="2"/>
      <c r="B21" s="9" t="s">
        <v>319</v>
      </c>
      <c r="C21" s="9"/>
      <c r="D21" s="10"/>
      <c r="E21" s="10" t="s">
        <v>298</v>
      </c>
      <c r="F21" s="10"/>
      <c r="G21" s="11" t="s">
        <v>299</v>
      </c>
      <c r="H21" s="2"/>
      <c r="I21" s="2"/>
      <c r="J21" s="2"/>
      <c r="K21" s="2"/>
      <c r="L21" s="2"/>
    </row>
    <row r="22" spans="1:12" ht="11.25" customHeight="1" x14ac:dyDescent="0.25">
      <c r="A22" s="2"/>
      <c r="B22" s="9" t="s">
        <v>344</v>
      </c>
      <c r="E22" s="344" t="s">
        <v>345</v>
      </c>
      <c r="G22" s="386" t="s">
        <v>346</v>
      </c>
      <c r="H22" s="2"/>
      <c r="I22" s="2"/>
      <c r="J22" s="2"/>
      <c r="K22" s="2"/>
      <c r="L22" s="2"/>
    </row>
    <row r="23" spans="1:12" ht="11.25" customHeight="1" x14ac:dyDescent="0.25">
      <c r="A23" s="2"/>
      <c r="B23" s="9" t="s">
        <v>353</v>
      </c>
      <c r="E23" s="344" t="s">
        <v>354</v>
      </c>
      <c r="G23" s="386" t="s">
        <v>355</v>
      </c>
      <c r="H23" s="2"/>
    </row>
  </sheetData>
  <phoneticPr fontId="3" type="noConversion"/>
  <hyperlinks>
    <hyperlink ref="G21" r:id="rId1"/>
    <hyperlink ref="G22" r:id="rId2" display="brandon.hoffman@morganstanley.com"/>
    <hyperlink ref="G23" r:id="rId3"/>
  </hyperlinks>
  <pageMargins left="0.75" right="0.75" top="1" bottom="1" header="0.5" footer="0.5"/>
  <pageSetup fitToHeight="99" orientation="landscape" r:id="rId4"/>
  <headerFooter alignWithMargins="0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"/>
  <sheetViews>
    <sheetView workbookViewId="0"/>
  </sheetViews>
  <sheetFormatPr defaultRowHeight="13.2" x14ac:dyDescent="0.25"/>
  <sheetData>
    <row r="1" spans="1:2" x14ac:dyDescent="0.25">
      <c r="B1" t="s">
        <v>192</v>
      </c>
    </row>
  </sheetData>
  <phoneticPr fontId="3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L413"/>
  <sheetViews>
    <sheetView showGridLines="0" zoomScale="85" zoomScaleNormal="85" workbookViewId="0">
      <pane xSplit="2" ySplit="3" topLeftCell="S89" activePane="bottomRight" state="frozen"/>
      <selection pane="topRight" activeCell="C1" sqref="C1"/>
      <selection pane="bottomLeft" activeCell="A4" sqref="A4"/>
      <selection pane="bottomRight" activeCell="S4" sqref="S4"/>
    </sheetView>
  </sheetViews>
  <sheetFormatPr defaultColWidth="9.109375" defaultRowHeight="13.2" outlineLevelRow="1" outlineLevelCol="2" x14ac:dyDescent="0.25"/>
  <cols>
    <col min="1" max="1" width="6.6640625" style="52" customWidth="1"/>
    <col min="2" max="2" width="32.5546875" style="52" customWidth="1"/>
    <col min="3" max="4" width="8.6640625" style="106" hidden="1" customWidth="1" outlineLevel="1"/>
    <col min="5" max="5" width="9.5546875" style="106" hidden="1" customWidth="1" outlineLevel="2"/>
    <col min="6" max="8" width="8.6640625" style="106" hidden="1" customWidth="1" outlineLevel="2"/>
    <col min="9" max="9" width="8.6640625" style="106" hidden="1" customWidth="1" outlineLevel="1" collapsed="1"/>
    <col min="10" max="10" width="8.6640625" style="106" hidden="1" customWidth="1" outlineLevel="2"/>
    <col min="11" max="11" width="9.44140625" style="106" hidden="1" customWidth="1" outlineLevel="2"/>
    <col min="12" max="13" width="8.6640625" style="106" hidden="1" customWidth="1" outlineLevel="2"/>
    <col min="14" max="14" width="8.6640625" style="106" hidden="1" customWidth="1" outlineLevel="1" collapsed="1"/>
    <col min="15" max="16" width="8.6640625" style="106" hidden="1" customWidth="1" outlineLevel="1"/>
    <col min="17" max="17" width="10.33203125" style="106" hidden="1" customWidth="1" outlineLevel="1"/>
    <col min="18" max="18" width="8.6640625" style="106" hidden="1" customWidth="1" outlineLevel="1"/>
    <col min="19" max="19" width="8.6640625" style="106" customWidth="1" collapsed="1"/>
    <col min="20" max="23" width="8.6640625" style="106" hidden="1" customWidth="1" outlineLevel="1"/>
    <col min="24" max="24" width="8.6640625" style="106" customWidth="1" collapsed="1"/>
    <col min="25" max="28" width="8.6640625" style="106" hidden="1" customWidth="1" outlineLevel="1"/>
    <col min="29" max="29" width="8.6640625" style="106" customWidth="1" collapsed="1"/>
    <col min="30" max="33" width="8.6640625" style="106" hidden="1" customWidth="1" outlineLevel="1"/>
    <col min="34" max="34" width="8.6640625" style="106" customWidth="1" collapsed="1"/>
    <col min="35" max="38" width="8.6640625" style="106" hidden="1" customWidth="1" outlineLevel="1"/>
    <col min="39" max="39" width="8.6640625" style="106" customWidth="1" collapsed="1"/>
    <col min="40" max="43" width="8.6640625" style="106" hidden="1" customWidth="1" outlineLevel="1"/>
    <col min="44" max="44" width="8.6640625" style="106" customWidth="1" collapsed="1"/>
    <col min="45" max="48" width="8.6640625" style="106" hidden="1" customWidth="1" outlineLevel="1"/>
    <col min="49" max="49" width="8.6640625" style="106" customWidth="1" collapsed="1"/>
    <col min="50" max="52" width="8.6640625" style="106" hidden="1" customWidth="1" outlineLevel="1"/>
    <col min="53" max="53" width="10.33203125" style="106" hidden="1" customWidth="1" outlineLevel="1"/>
    <col min="54" max="54" width="8.6640625" style="106" customWidth="1" collapsed="1"/>
    <col min="55" max="56" width="8.6640625" style="106" hidden="1" customWidth="1" outlineLevel="2"/>
    <col min="57" max="57" width="9.5546875" style="106" hidden="1" customWidth="1" outlineLevel="2"/>
    <col min="58" max="58" width="8.6640625" style="106" hidden="1" customWidth="1" outlineLevel="2"/>
    <col min="59" max="59" width="10" style="106" customWidth="1" collapsed="1"/>
    <col min="60" max="63" width="8.6640625" style="106" hidden="1" customWidth="1" outlineLevel="1"/>
    <col min="64" max="64" width="8.6640625" style="106" customWidth="1" collapsed="1"/>
    <col min="65" max="68" width="8.6640625" style="106" customWidth="1" outlineLevel="1"/>
    <col min="69" max="69" width="8.6640625" style="106" customWidth="1"/>
    <col min="70" max="73" width="8.6640625" style="106" customWidth="1" outlineLevel="1"/>
    <col min="74" max="74" width="8.6640625" style="106" customWidth="1"/>
    <col min="75" max="78" width="8.6640625" style="106" hidden="1" customWidth="1" outlineLevel="1"/>
    <col min="79" max="79" width="8.6640625" style="106" customWidth="1" collapsed="1"/>
    <col min="80" max="83" width="8.6640625" style="106" hidden="1" customWidth="1" outlineLevel="2"/>
    <col min="84" max="84" width="8.6640625" style="106" hidden="1" customWidth="1" outlineLevel="1" collapsed="1"/>
    <col min="85" max="88" width="8.6640625" style="106" hidden="1" customWidth="1" outlineLevel="2"/>
    <col min="89" max="89" width="8.6640625" style="106" hidden="1" customWidth="1" outlineLevel="1" collapsed="1"/>
    <col min="90" max="93" width="8.6640625" style="106" hidden="1" customWidth="1" outlineLevel="2"/>
    <col min="94" max="94" width="8.6640625" style="106" hidden="1" customWidth="1" outlineLevel="1" collapsed="1"/>
    <col min="95" max="95" width="17" bestFit="1" customWidth="1" collapsed="1"/>
    <col min="96" max="98" width="9.33203125" customWidth="1"/>
    <col min="99" max="99" width="10.44140625" bestFit="1" customWidth="1"/>
    <col min="101" max="101" width="10.44140625" bestFit="1" customWidth="1"/>
    <col min="104" max="109" width="9.109375" outlineLevel="1"/>
    <col min="110" max="16384" width="9.109375" style="52"/>
  </cols>
  <sheetData>
    <row r="1" spans="1:116" s="32" customFormat="1" x14ac:dyDescent="0.25">
      <c r="A1" s="31" t="s">
        <v>162</v>
      </c>
      <c r="H1" s="33"/>
      <c r="Q1" s="34"/>
      <c r="AG1" s="35"/>
      <c r="AH1" s="256"/>
      <c r="AI1" s="267"/>
      <c r="AJ1" s="267"/>
      <c r="AK1" s="267"/>
      <c r="AL1" s="267"/>
      <c r="AM1" s="306"/>
      <c r="AN1" s="306">
        <f>AVERAGE(AN5,AI5)</f>
        <v>4.877863113295635E-2</v>
      </c>
      <c r="AO1" s="306">
        <f>AVERAGE(AO5,AJ5)</f>
        <v>6.1403606046364426E-2</v>
      </c>
      <c r="AP1" s="306">
        <f>AVERAGE(AP5,AK5)</f>
        <v>6.6664591181517796E-2</v>
      </c>
      <c r="AQ1" s="306">
        <f>AVERAGE(AQ5,AL5)</f>
        <v>6.6086792435264136E-2</v>
      </c>
      <c r="AR1" s="306"/>
      <c r="AS1" s="306"/>
      <c r="AT1" s="306"/>
      <c r="AU1" s="306"/>
      <c r="AV1" s="306"/>
      <c r="AW1" s="306"/>
      <c r="AX1" s="306"/>
      <c r="AY1" s="306"/>
      <c r="AZ1" s="306"/>
      <c r="BA1" s="306"/>
      <c r="BB1" s="306"/>
      <c r="BC1" s="306"/>
      <c r="BD1" s="306"/>
      <c r="BE1" s="306" t="s">
        <v>338</v>
      </c>
      <c r="BF1" s="365">
        <v>20</v>
      </c>
      <c r="BG1"/>
      <c r="BH1"/>
      <c r="BI1"/>
      <c r="BJ1"/>
      <c r="BK1"/>
      <c r="BL1"/>
      <c r="BM1" s="306"/>
      <c r="BN1" s="306"/>
      <c r="BO1" s="306"/>
      <c r="BP1" s="306"/>
      <c r="BQ1" s="306"/>
      <c r="BR1" s="306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</row>
    <row r="2" spans="1:116" s="38" customFormat="1" x14ac:dyDescent="0.25">
      <c r="A2" s="37"/>
      <c r="E2" s="39"/>
      <c r="F2" s="40"/>
      <c r="G2" s="41"/>
      <c r="H2" s="41"/>
      <c r="I2" s="42"/>
      <c r="J2" s="42"/>
      <c r="K2" s="43"/>
      <c r="L2" s="44"/>
      <c r="M2" s="44"/>
      <c r="N2" s="45"/>
      <c r="O2" s="45"/>
      <c r="P2" s="45"/>
      <c r="Q2" s="45"/>
      <c r="R2" s="37"/>
      <c r="S2" s="37"/>
      <c r="T2" s="46"/>
      <c r="U2" s="46"/>
      <c r="V2" s="46"/>
      <c r="W2" s="46"/>
      <c r="X2" s="46"/>
      <c r="Y2" s="46"/>
      <c r="Z2" s="46"/>
      <c r="AA2" s="47"/>
      <c r="AB2" s="48"/>
      <c r="AC2" s="49"/>
      <c r="AD2" s="47"/>
      <c r="AE2" s="47"/>
      <c r="AF2" s="50"/>
      <c r="AG2" s="37"/>
      <c r="AH2" s="49"/>
      <c r="AI2" s="257"/>
      <c r="AJ2" s="257"/>
      <c r="AK2" s="37"/>
      <c r="AL2" s="37"/>
      <c r="AM2" s="61"/>
      <c r="AN2" s="61"/>
      <c r="AO2" s="61"/>
      <c r="AP2" s="61"/>
      <c r="AQ2" s="61"/>
      <c r="AR2" s="324"/>
      <c r="AS2" s="324"/>
      <c r="AT2" s="324"/>
      <c r="AU2" s="324"/>
      <c r="AV2" s="324"/>
      <c r="AW2" s="324"/>
      <c r="AX2" s="324"/>
      <c r="AY2" s="324"/>
      <c r="AZ2" s="324"/>
      <c r="BA2" s="324"/>
      <c r="BB2" s="324"/>
      <c r="BC2" s="61"/>
      <c r="BD2" s="61"/>
      <c r="BE2" s="61"/>
      <c r="BG2" s="61"/>
      <c r="BH2" s="37"/>
      <c r="BI2" s="37"/>
      <c r="BJ2" s="37"/>
      <c r="BK2" s="37"/>
      <c r="BL2" s="37"/>
      <c r="BM2" s="37"/>
      <c r="BN2" s="37"/>
      <c r="BO2" s="37"/>
      <c r="BP2" s="37"/>
      <c r="BQ2" s="378"/>
      <c r="BR2" s="268"/>
      <c r="BS2" s="268"/>
      <c r="BT2" s="268"/>
      <c r="BU2" s="268"/>
      <c r="BV2" s="268"/>
      <c r="BW2" s="268"/>
      <c r="BX2" s="268"/>
      <c r="BY2" s="268"/>
      <c r="BZ2" s="268"/>
      <c r="CA2" s="268"/>
      <c r="CB2" s="268"/>
      <c r="CC2" s="268"/>
      <c r="CD2" s="268"/>
      <c r="CE2" s="268"/>
      <c r="CF2" s="268"/>
      <c r="CG2" s="268"/>
      <c r="CH2" s="268"/>
      <c r="CI2" s="268"/>
      <c r="CJ2" s="268"/>
      <c r="CK2" s="268"/>
      <c r="CL2" s="268"/>
      <c r="CM2" s="268"/>
      <c r="CN2" s="268"/>
      <c r="CO2" s="268"/>
      <c r="CP2" s="268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I2"/>
      <c r="DJ2"/>
      <c r="DK2"/>
      <c r="DL2"/>
    </row>
    <row r="3" spans="1:116" s="38" customFormat="1" x14ac:dyDescent="0.25">
      <c r="A3" s="217" t="s">
        <v>163</v>
      </c>
      <c r="B3" s="217"/>
      <c r="C3" s="54" t="s">
        <v>0</v>
      </c>
      <c r="D3" s="54" t="s">
        <v>138</v>
      </c>
      <c r="E3" s="174" t="s">
        <v>139</v>
      </c>
      <c r="F3" s="174" t="s">
        <v>140</v>
      </c>
      <c r="G3" s="174" t="s">
        <v>141</v>
      </c>
      <c r="H3" s="248" t="s">
        <v>142</v>
      </c>
      <c r="I3" s="54" t="s">
        <v>143</v>
      </c>
      <c r="J3" s="174" t="s">
        <v>144</v>
      </c>
      <c r="K3" s="174" t="s">
        <v>145</v>
      </c>
      <c r="L3" s="174" t="s">
        <v>146</v>
      </c>
      <c r="M3" s="248" t="s">
        <v>147</v>
      </c>
      <c r="N3" s="54" t="s">
        <v>148</v>
      </c>
      <c r="O3" s="174" t="s">
        <v>149</v>
      </c>
      <c r="P3" s="174" t="s">
        <v>150</v>
      </c>
      <c r="Q3" s="174" t="s">
        <v>151</v>
      </c>
      <c r="R3" s="248" t="s">
        <v>152</v>
      </c>
      <c r="S3" s="54" t="s">
        <v>153</v>
      </c>
      <c r="T3" s="174" t="s">
        <v>154</v>
      </c>
      <c r="U3" s="174" t="s">
        <v>155</v>
      </c>
      <c r="V3" s="174" t="s">
        <v>156</v>
      </c>
      <c r="W3" s="248" t="s">
        <v>157</v>
      </c>
      <c r="X3" s="54" t="s">
        <v>158</v>
      </c>
      <c r="Y3" s="53" t="s">
        <v>159</v>
      </c>
      <c r="Z3" s="53" t="s">
        <v>160</v>
      </c>
      <c r="AA3" s="53" t="s">
        <v>166</v>
      </c>
      <c r="AB3" s="53" t="s">
        <v>174</v>
      </c>
      <c r="AC3" s="54" t="s">
        <v>175</v>
      </c>
      <c r="AD3" s="53" t="s">
        <v>176</v>
      </c>
      <c r="AE3" s="53" t="s">
        <v>232</v>
      </c>
      <c r="AF3" s="53" t="s">
        <v>234</v>
      </c>
      <c r="AG3" s="53" t="s">
        <v>238</v>
      </c>
      <c r="AH3" s="54" t="s">
        <v>239</v>
      </c>
      <c r="AI3" s="53" t="s">
        <v>248</v>
      </c>
      <c r="AJ3" s="53" t="s">
        <v>249</v>
      </c>
      <c r="AK3" s="53" t="s">
        <v>250</v>
      </c>
      <c r="AL3" s="53" t="s">
        <v>256</v>
      </c>
      <c r="AM3" s="54" t="s">
        <v>257</v>
      </c>
      <c r="AN3" s="53" t="s">
        <v>258</v>
      </c>
      <c r="AO3" s="53" t="s">
        <v>260</v>
      </c>
      <c r="AP3" s="53" t="s">
        <v>261</v>
      </c>
      <c r="AQ3" s="53" t="s">
        <v>267</v>
      </c>
      <c r="AR3" s="54" t="s">
        <v>268</v>
      </c>
      <c r="AS3" s="53" t="s">
        <v>269</v>
      </c>
      <c r="AT3" s="53" t="s">
        <v>270</v>
      </c>
      <c r="AU3" s="53" t="s">
        <v>295</v>
      </c>
      <c r="AV3" s="53" t="s">
        <v>300</v>
      </c>
      <c r="AW3" s="54" t="s">
        <v>301</v>
      </c>
      <c r="AX3" s="53" t="s">
        <v>304</v>
      </c>
      <c r="AY3" s="53" t="s">
        <v>306</v>
      </c>
      <c r="AZ3" s="53" t="s">
        <v>307</v>
      </c>
      <c r="BA3" s="53" t="s">
        <v>309</v>
      </c>
      <c r="BB3" s="54" t="s">
        <v>310</v>
      </c>
      <c r="BC3" s="53" t="s">
        <v>318</v>
      </c>
      <c r="BD3" s="53" t="s">
        <v>320</v>
      </c>
      <c r="BE3" s="53" t="s">
        <v>327</v>
      </c>
      <c r="BF3" s="53" t="s">
        <v>328</v>
      </c>
      <c r="BG3" s="54" t="s">
        <v>329</v>
      </c>
      <c r="BH3" s="53" t="s">
        <v>330</v>
      </c>
      <c r="BI3" s="53" t="s">
        <v>333</v>
      </c>
      <c r="BJ3" s="53" t="s">
        <v>336</v>
      </c>
      <c r="BK3" s="53" t="s">
        <v>337</v>
      </c>
      <c r="BL3" s="54" t="s">
        <v>339</v>
      </c>
      <c r="BM3" s="388" t="s">
        <v>342</v>
      </c>
      <c r="BN3" s="53" t="s">
        <v>343</v>
      </c>
      <c r="BO3" s="53" t="s">
        <v>347</v>
      </c>
      <c r="BP3" s="53" t="s">
        <v>348</v>
      </c>
      <c r="BQ3" s="54" t="s">
        <v>349</v>
      </c>
      <c r="BR3" s="53" t="s">
        <v>350</v>
      </c>
      <c r="BS3" s="53" t="s">
        <v>357</v>
      </c>
      <c r="BT3" s="53" t="s">
        <v>182</v>
      </c>
      <c r="BU3" s="53" t="s">
        <v>183</v>
      </c>
      <c r="BV3" s="54" t="s">
        <v>184</v>
      </c>
      <c r="BW3" s="53" t="s">
        <v>188</v>
      </c>
      <c r="BX3" s="53" t="s">
        <v>189</v>
      </c>
      <c r="BY3" s="53" t="s">
        <v>190</v>
      </c>
      <c r="BZ3" s="53" t="s">
        <v>191</v>
      </c>
      <c r="CA3" s="54" t="s">
        <v>187</v>
      </c>
      <c r="CB3" s="53" t="s">
        <v>240</v>
      </c>
      <c r="CC3" s="53" t="s">
        <v>241</v>
      </c>
      <c r="CD3" s="53" t="s">
        <v>242</v>
      </c>
      <c r="CE3" s="53" t="s">
        <v>243</v>
      </c>
      <c r="CF3" s="54" t="s">
        <v>244</v>
      </c>
      <c r="CG3" s="53" t="s">
        <v>251</v>
      </c>
      <c r="CH3" s="53" t="s">
        <v>252</v>
      </c>
      <c r="CI3" s="53" t="s">
        <v>253</v>
      </c>
      <c r="CJ3" s="53" t="s">
        <v>254</v>
      </c>
      <c r="CK3" s="54" t="s">
        <v>255</v>
      </c>
      <c r="CL3" s="53" t="s">
        <v>271</v>
      </c>
      <c r="CM3" s="53" t="s">
        <v>272</v>
      </c>
      <c r="CN3" s="53" t="s">
        <v>273</v>
      </c>
      <c r="CO3" s="53" t="s">
        <v>274</v>
      </c>
      <c r="CP3" s="54" t="s">
        <v>275</v>
      </c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I3"/>
      <c r="DJ3"/>
      <c r="DK3"/>
      <c r="DL3"/>
    </row>
    <row r="4" spans="1:116" s="38" customFormat="1" x14ac:dyDescent="0.25">
      <c r="A4" s="38" t="s">
        <v>233</v>
      </c>
      <c r="C4" s="57">
        <v>1850.6</v>
      </c>
      <c r="D4" s="57">
        <v>2054.8000000000002</v>
      </c>
      <c r="E4" s="46">
        <v>481.3</v>
      </c>
      <c r="F4" s="46">
        <v>627.20000000000005</v>
      </c>
      <c r="G4" s="46">
        <v>606.79999999999995</v>
      </c>
      <c r="H4" s="58">
        <v>511.4</v>
      </c>
      <c r="I4" s="57">
        <v>2226.6999999999998</v>
      </c>
      <c r="J4" s="46">
        <v>542</v>
      </c>
      <c r="K4" s="46">
        <v>657.5</v>
      </c>
      <c r="L4" s="46">
        <v>627.6</v>
      </c>
      <c r="M4" s="58">
        <v>585.1</v>
      </c>
      <c r="N4" s="57">
        <v>2412.1999999999998</v>
      </c>
      <c r="O4" s="46">
        <v>633.4</v>
      </c>
      <c r="P4" s="46">
        <v>727.2</v>
      </c>
      <c r="Q4" s="46">
        <v>754.8</v>
      </c>
      <c r="R4" s="58">
        <v>690.8</v>
      </c>
      <c r="S4" s="57">
        <v>2806.2</v>
      </c>
      <c r="T4" s="46">
        <v>739.1</v>
      </c>
      <c r="U4" s="46">
        <v>893.4</v>
      </c>
      <c r="V4" s="46">
        <v>877.4</v>
      </c>
      <c r="W4" s="58">
        <v>772.3</v>
      </c>
      <c r="X4" s="57">
        <v>3282.2</v>
      </c>
      <c r="Y4" s="58">
        <v>790</v>
      </c>
      <c r="Z4" s="58">
        <v>934.7</v>
      </c>
      <c r="AA4" s="58">
        <v>784.1</v>
      </c>
      <c r="AB4" s="58">
        <v>683.3</v>
      </c>
      <c r="AC4" s="59">
        <f>SUM(Y4:AB4)</f>
        <v>3192.1000000000004</v>
      </c>
      <c r="AD4" s="58">
        <v>737.9</v>
      </c>
      <c r="AE4" s="58">
        <v>892.9</v>
      </c>
      <c r="AF4" s="58">
        <v>861.7</v>
      </c>
      <c r="AG4" s="58">
        <v>733</v>
      </c>
      <c r="AH4" s="59">
        <f>SUM(AD4:AG4)</f>
        <v>3225.5</v>
      </c>
      <c r="AI4" s="58">
        <v>744.9</v>
      </c>
      <c r="AJ4" s="58">
        <v>905.7</v>
      </c>
      <c r="AK4" s="58">
        <v>962.4</v>
      </c>
      <c r="AL4" s="58">
        <v>791.3</v>
      </c>
      <c r="AM4" s="59">
        <f>SUM(AI4:AL4)</f>
        <v>3404.3</v>
      </c>
      <c r="AN4" s="58">
        <v>840.3</v>
      </c>
      <c r="AO4" s="58">
        <v>1013</v>
      </c>
      <c r="AP4" s="58">
        <v>959</v>
      </c>
      <c r="AQ4" s="62">
        <v>801.3</v>
      </c>
      <c r="AR4" s="59">
        <f>SUM(AN4:AQ4)</f>
        <v>3613.6000000000004</v>
      </c>
      <c r="AS4" s="58">
        <v>878.1</v>
      </c>
      <c r="AT4" s="26">
        <v>1013.8</v>
      </c>
      <c r="AU4" s="26">
        <v>1026.9000000000001</v>
      </c>
      <c r="AV4" s="26">
        <v>866</v>
      </c>
      <c r="AW4" s="59">
        <f>SUM(AS4:AV4)</f>
        <v>3784.8</v>
      </c>
      <c r="AX4" s="62">
        <v>896</v>
      </c>
      <c r="AY4" s="58">
        <v>1079</v>
      </c>
      <c r="AZ4" s="58">
        <v>1078</v>
      </c>
      <c r="BA4" s="62">
        <v>893</v>
      </c>
      <c r="BB4" s="59">
        <v>3946</v>
      </c>
      <c r="BC4" s="62">
        <v>921</v>
      </c>
      <c r="BD4" s="62">
        <v>1135</v>
      </c>
      <c r="BE4" s="62">
        <v>1093</v>
      </c>
      <c r="BF4" s="62">
        <v>947</v>
      </c>
      <c r="BG4" s="59">
        <f>SUM(BC4:BF4)</f>
        <v>4096</v>
      </c>
      <c r="BH4" s="62">
        <v>900</v>
      </c>
      <c r="BI4" s="62">
        <v>1096</v>
      </c>
      <c r="BJ4" s="62">
        <v>1083</v>
      </c>
      <c r="BK4" s="62">
        <v>933</v>
      </c>
      <c r="BL4" s="59">
        <f>SUM(BH4:BK4)</f>
        <v>4012</v>
      </c>
      <c r="BM4" s="389">
        <v>856</v>
      </c>
      <c r="BN4" s="389">
        <v>1055</v>
      </c>
      <c r="BO4" s="389">
        <v>1059</v>
      </c>
      <c r="BP4" s="62">
        <v>887</v>
      </c>
      <c r="BQ4" s="59">
        <f>SUM(BM4:BP4)</f>
        <v>3857</v>
      </c>
      <c r="BR4" s="389">
        <v>929</v>
      </c>
      <c r="BS4" s="389">
        <v>1166</v>
      </c>
      <c r="BT4" s="58">
        <f>BO4*(1+SUM(BT5:BT8))</f>
        <v>1166.9139235298867</v>
      </c>
      <c r="BU4" s="58">
        <f>BV4-BT4-BS4-BR4</f>
        <v>949.48775987032377</v>
      </c>
      <c r="BV4" s="59">
        <f>BQ4*(1+SUM(BV5:BV8))</f>
        <v>4211.4016834002105</v>
      </c>
      <c r="BW4" s="58">
        <f>BR4*(1+SUM(BW5:BW8))</f>
        <v>991.94044109801541</v>
      </c>
      <c r="BX4" s="58">
        <f>BS4*(1+SUM(BX5:BX8))</f>
        <v>1203.778013073392</v>
      </c>
      <c r="BY4" s="58">
        <f>BT4*(1+SUM(BY5:BY8))</f>
        <v>1233.5926554537916</v>
      </c>
      <c r="BZ4" s="58">
        <f>CA4-BY4-BX4-BW4</f>
        <v>1002.8056643226604</v>
      </c>
      <c r="CA4" s="59">
        <f>BV4*(1+SUM(CA5:CA8))</f>
        <v>4432.1167739478597</v>
      </c>
      <c r="CB4" s="58">
        <f>BW4*(1+SUM(CB5:CB8))</f>
        <v>1041.5374631529162</v>
      </c>
      <c r="CC4" s="58">
        <f>BX4*(1+SUM(CC5:CC8))</f>
        <v>1263.9669137270616</v>
      </c>
      <c r="CD4" s="58">
        <f>BY4*(1+SUM(CD5:CD8))</f>
        <v>1295.2722882264814</v>
      </c>
      <c r="CE4" s="58">
        <f>CF4-CD4-CC4-CB4</f>
        <v>1052.945947538793</v>
      </c>
      <c r="CF4" s="59">
        <f>CA4*(1+SUM(CF5:CF8))</f>
        <v>4653.7226126452524</v>
      </c>
      <c r="CG4" s="58">
        <f>CB4*(1+SUM(CG5:CG8))</f>
        <v>1093.6143363105621</v>
      </c>
      <c r="CH4" s="58">
        <f>CC4*(1+SUM(CH5:CH8))</f>
        <v>1327.1652594134148</v>
      </c>
      <c r="CI4" s="58">
        <f>CD4*(1+SUM(CI5:CI8))</f>
        <v>1360.0359026378055</v>
      </c>
      <c r="CJ4" s="58">
        <f>CK4-CI4-CH4-CG4</f>
        <v>1105.5932449157326</v>
      </c>
      <c r="CK4" s="59">
        <f>CF4*(1+SUM(CK5:CK8))</f>
        <v>4886.408743277515</v>
      </c>
      <c r="CL4" s="58">
        <f>CG4*(1+SUM(CL5:CL8))</f>
        <v>1148.2950531260901</v>
      </c>
      <c r="CM4" s="58">
        <f>CH4*(1+SUM(CM5:CM8))</f>
        <v>1393.5235223840855</v>
      </c>
      <c r="CN4" s="58">
        <f>CI4*(1+SUM(CN5:CN8))</f>
        <v>1428.0376977696958</v>
      </c>
      <c r="CO4" s="58">
        <f>CP4-CN4-CM4-CL4</f>
        <v>1160.8729071615192</v>
      </c>
      <c r="CP4" s="59">
        <f>CK4*(1+SUM(CP5:CP8))</f>
        <v>5130.7291804413908</v>
      </c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I4"/>
      <c r="DJ4"/>
      <c r="DK4"/>
      <c r="DL4"/>
    </row>
    <row r="5" spans="1:116" s="38" customFormat="1" x14ac:dyDescent="0.25">
      <c r="B5" s="38" t="s">
        <v>224</v>
      </c>
      <c r="C5" s="63"/>
      <c r="D5" s="63"/>
      <c r="E5" s="64" t="s">
        <v>172</v>
      </c>
      <c r="F5" s="64" t="s">
        <v>172</v>
      </c>
      <c r="G5" s="64" t="s">
        <v>172</v>
      </c>
      <c r="H5" s="64" t="s">
        <v>172</v>
      </c>
      <c r="I5" s="65" t="s">
        <v>172</v>
      </c>
      <c r="J5" s="64" t="s">
        <v>172</v>
      </c>
      <c r="K5" s="64" t="s">
        <v>172</v>
      </c>
      <c r="L5" s="64" t="s">
        <v>172</v>
      </c>
      <c r="M5" s="64" t="s">
        <v>172</v>
      </c>
      <c r="N5" s="65" t="s">
        <v>172</v>
      </c>
      <c r="O5" s="64" t="s">
        <v>172</v>
      </c>
      <c r="P5" s="64" t="s">
        <v>172</v>
      </c>
      <c r="Q5" s="64" t="s">
        <v>172</v>
      </c>
      <c r="R5" s="64" t="s">
        <v>172</v>
      </c>
      <c r="S5" s="63">
        <f>S9-S6-S7-S8</f>
        <v>6.333637343503859E-2</v>
      </c>
      <c r="T5" s="64" t="s">
        <v>172</v>
      </c>
      <c r="U5" s="66">
        <f t="shared" ref="U5:AE5" si="0">U9-U6-U7-U8</f>
        <v>6.8547854785478451E-2</v>
      </c>
      <c r="V5" s="66">
        <f t="shared" si="0"/>
        <v>4.2427133015368372E-2</v>
      </c>
      <c r="W5" s="66">
        <f t="shared" si="0"/>
        <v>6.7979154603358391E-2</v>
      </c>
      <c r="X5" s="63">
        <f t="shared" si="0"/>
        <v>5.9624403107405001E-2</v>
      </c>
      <c r="Y5" s="66">
        <f t="shared" si="0"/>
        <v>3.8867541604654249E-2</v>
      </c>
      <c r="Z5" s="66">
        <f t="shared" si="0"/>
        <v>5.6227893440788032E-2</v>
      </c>
      <c r="AA5" s="66">
        <f t="shared" si="0"/>
        <v>1.366309550945978E-2</v>
      </c>
      <c r="AB5" s="66">
        <f t="shared" si="0"/>
        <v>4.7598083646250844E-3</v>
      </c>
      <c r="AC5" s="63">
        <f t="shared" si="0"/>
        <v>3.2548900127963139E-2</v>
      </c>
      <c r="AD5" s="66">
        <f t="shared" si="0"/>
        <v>2.4050632911392346E-2</v>
      </c>
      <c r="AE5" s="66">
        <f t="shared" si="0"/>
        <v>-1.4720231090189412E-2</v>
      </c>
      <c r="AF5" s="66">
        <f t="shared" ref="AF5:AQ5" si="1">AF9-AF6-AF7-AF8</f>
        <v>1.8966968498916062E-2</v>
      </c>
      <c r="AG5" s="66">
        <f t="shared" si="1"/>
        <v>3.2735255378311151E-2</v>
      </c>
      <c r="AH5" s="63">
        <f t="shared" si="1"/>
        <v>1.0463331349268357E-2</v>
      </c>
      <c r="AI5" s="66">
        <f t="shared" si="1"/>
        <v>2.9486380268329157E-2</v>
      </c>
      <c r="AJ5" s="66">
        <f t="shared" si="1"/>
        <v>2.4335311905028682E-2</v>
      </c>
      <c r="AK5" s="66">
        <f t="shared" si="1"/>
        <v>6.6862016943251709E-2</v>
      </c>
      <c r="AL5" s="66">
        <f t="shared" si="1"/>
        <v>2.9536152796725765E-2</v>
      </c>
      <c r="AM5" s="63">
        <f>AM9-AM6-AM7-AM8</f>
        <v>3.5433266160285207E-2</v>
      </c>
      <c r="AN5" s="66">
        <f t="shared" si="1"/>
        <v>6.8070881997583543E-2</v>
      </c>
      <c r="AO5" s="66">
        <f t="shared" si="1"/>
        <v>9.8471900187700162E-2</v>
      </c>
      <c r="AP5" s="66">
        <f t="shared" si="1"/>
        <v>6.6467165419783869E-2</v>
      </c>
      <c r="AQ5" s="86">
        <f t="shared" si="1"/>
        <v>0.10263743207380252</v>
      </c>
      <c r="AR5" s="63">
        <f>AR9-AR6-AR7-AR8</f>
        <v>9.1481068060981857E-2</v>
      </c>
      <c r="AS5" s="86">
        <v>0.1</v>
      </c>
      <c r="AT5" s="24">
        <v>0.06</v>
      </c>
      <c r="AU5" s="24">
        <v>0.08</v>
      </c>
      <c r="AV5" s="24">
        <v>7.0000000000000007E-2</v>
      </c>
      <c r="AW5" s="249">
        <f>AW9-AW6-AW7-AW8</f>
        <v>6.7376577374363519E-2</v>
      </c>
      <c r="AX5" s="67">
        <v>0.05</v>
      </c>
      <c r="AY5" s="24">
        <v>0.08</v>
      </c>
      <c r="AZ5" s="24">
        <v>0.08</v>
      </c>
      <c r="BA5" s="24">
        <v>0.03</v>
      </c>
      <c r="BB5" s="249">
        <f>BB9-BB6-BB7-BB8</f>
        <v>6.2591418304798183E-2</v>
      </c>
      <c r="BC5" s="67">
        <v>0.03</v>
      </c>
      <c r="BD5" s="67">
        <v>7.0000000000000007E-2</v>
      </c>
      <c r="BE5" s="67">
        <v>0.05</v>
      </c>
      <c r="BF5" s="67">
        <v>0.1</v>
      </c>
      <c r="BG5" s="249">
        <f>BG9-BG6-BG7-BG8</f>
        <v>5.8013177901672576E-2</v>
      </c>
      <c r="BH5" s="67">
        <v>7.0000000000000007E-2</v>
      </c>
      <c r="BI5" s="67">
        <v>0.05</v>
      </c>
      <c r="BJ5" s="67">
        <v>0.04</v>
      </c>
      <c r="BK5" s="67">
        <v>0.04</v>
      </c>
      <c r="BL5" s="249">
        <f>BL9-BL6-BL7-BL8</f>
        <v>4.94921875E-2</v>
      </c>
      <c r="BM5" s="390">
        <v>0.02</v>
      </c>
      <c r="BN5" s="390">
        <v>0.03</v>
      </c>
      <c r="BO5" s="390">
        <v>0.04</v>
      </c>
      <c r="BP5" s="67">
        <v>0.04</v>
      </c>
      <c r="BQ5" s="249">
        <v>0.03</v>
      </c>
      <c r="BR5" s="390">
        <v>0.06</v>
      </c>
      <c r="BS5" s="390">
        <v>0.08</v>
      </c>
      <c r="BT5" s="51">
        <v>6.5000000000000002E-2</v>
      </c>
      <c r="BU5" s="67">
        <f>((BV5*BQ4)-SUMPRODUCT(BM4:BO4,BR5:BT5))/BP4</f>
        <v>6.2855129650507352E-2</v>
      </c>
      <c r="BV5" s="68">
        <v>6.7500000000000004E-2</v>
      </c>
      <c r="BW5" s="51">
        <v>5.5E-2</v>
      </c>
      <c r="BX5" s="51">
        <v>3.5000000000000003E-2</v>
      </c>
      <c r="BY5" s="51">
        <v>5.6000000000000001E-2</v>
      </c>
      <c r="BZ5" s="67">
        <f>((CA5*BV4)-SUMPRODUCT(BR4:BT4,BW5:BY5))/BU4</f>
        <v>5.6154388403720751E-2</v>
      </c>
      <c r="CA5" s="68">
        <v>0.05</v>
      </c>
      <c r="CB5" s="51">
        <f>CF5</f>
        <v>0.05</v>
      </c>
      <c r="CC5" s="51">
        <f>CF5</f>
        <v>0.05</v>
      </c>
      <c r="CD5" s="51">
        <f>CF5</f>
        <v>0.05</v>
      </c>
      <c r="CE5" s="67">
        <f>((CF5*CA4)-SUMPRODUCT(BW4:BY4,CB5:CD5))/BZ4</f>
        <v>4.9999999999999996E-2</v>
      </c>
      <c r="CF5" s="68">
        <v>0.05</v>
      </c>
      <c r="CG5" s="51">
        <f>CK5</f>
        <v>0.05</v>
      </c>
      <c r="CH5" s="51">
        <f>CK5</f>
        <v>0.05</v>
      </c>
      <c r="CI5" s="51">
        <f>CK5</f>
        <v>0.05</v>
      </c>
      <c r="CJ5" s="67">
        <f>((CK5*CF4)-SUMPRODUCT(CB4:CD4,CG5:CI5))/CE4</f>
        <v>5.000000000000001E-2</v>
      </c>
      <c r="CK5" s="68">
        <v>0.05</v>
      </c>
      <c r="CL5" s="51">
        <f>CP5</f>
        <v>0.05</v>
      </c>
      <c r="CM5" s="51">
        <f>CP5</f>
        <v>0.05</v>
      </c>
      <c r="CN5" s="51">
        <f>CP5</f>
        <v>0.05</v>
      </c>
      <c r="CO5" s="67">
        <f>((CP5*CK4)-SUMPRODUCT(CG4:CI4,CL5:CN5))/CJ4</f>
        <v>5.0000000000000024E-2</v>
      </c>
      <c r="CP5" s="68">
        <v>0.05</v>
      </c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I5"/>
      <c r="DJ5"/>
      <c r="DK5"/>
      <c r="DL5"/>
    </row>
    <row r="6" spans="1:116" x14ac:dyDescent="0.25">
      <c r="B6" s="52" t="s">
        <v>221</v>
      </c>
      <c r="C6" s="70"/>
      <c r="D6" s="70"/>
      <c r="E6" s="71" t="s">
        <v>172</v>
      </c>
      <c r="F6" s="71" t="s">
        <v>172</v>
      </c>
      <c r="G6" s="71" t="s">
        <v>172</v>
      </c>
      <c r="H6" s="71" t="s">
        <v>172</v>
      </c>
      <c r="I6" s="72" t="s">
        <v>172</v>
      </c>
      <c r="J6" s="71" t="s">
        <v>172</v>
      </c>
      <c r="K6" s="71" t="s">
        <v>172</v>
      </c>
      <c r="L6" s="71" t="s">
        <v>172</v>
      </c>
      <c r="M6" s="71" t="s">
        <v>172</v>
      </c>
      <c r="N6" s="72" t="s">
        <v>172</v>
      </c>
      <c r="O6" s="71" t="s">
        <v>172</v>
      </c>
      <c r="P6" s="71" t="s">
        <v>172</v>
      </c>
      <c r="Q6" s="71" t="s">
        <v>172</v>
      </c>
      <c r="R6" s="71" t="s">
        <v>172</v>
      </c>
      <c r="S6" s="72">
        <v>0.03</v>
      </c>
      <c r="T6" s="71" t="s">
        <v>172</v>
      </c>
      <c r="U6" s="73">
        <v>0.09</v>
      </c>
      <c r="V6" s="73">
        <v>0.1</v>
      </c>
      <c r="W6" s="73">
        <v>0</v>
      </c>
      <c r="X6" s="70">
        <v>7.0000000000000007E-2</v>
      </c>
      <c r="Y6" s="73">
        <v>0</v>
      </c>
      <c r="Z6" s="73">
        <v>0</v>
      </c>
      <c r="AA6" s="73">
        <v>0</v>
      </c>
      <c r="AB6" s="73">
        <v>-0.01</v>
      </c>
      <c r="AC6" s="70">
        <v>0</v>
      </c>
      <c r="AD6" s="73">
        <v>0</v>
      </c>
      <c r="AE6" s="73">
        <v>0</v>
      </c>
      <c r="AF6" s="73">
        <v>0</v>
      </c>
      <c r="AG6" s="73">
        <v>0</v>
      </c>
      <c r="AH6" s="70">
        <v>0</v>
      </c>
      <c r="AI6" s="73">
        <v>0</v>
      </c>
      <c r="AJ6" s="73">
        <v>0</v>
      </c>
      <c r="AK6" s="73">
        <v>0</v>
      </c>
      <c r="AL6" s="69">
        <v>0</v>
      </c>
      <c r="AM6" s="70">
        <v>0</v>
      </c>
      <c r="AN6" s="69">
        <v>-0.01</v>
      </c>
      <c r="AO6" s="69">
        <v>-0.01</v>
      </c>
      <c r="AP6" s="69">
        <v>-0.02</v>
      </c>
      <c r="AQ6" s="23">
        <v>-0.04</v>
      </c>
      <c r="AR6" s="70">
        <v>-0.02</v>
      </c>
      <c r="AS6" s="23">
        <v>-0.04</v>
      </c>
      <c r="AT6" s="25">
        <v>-0.03</v>
      </c>
      <c r="AU6" s="25">
        <v>-0.02</v>
      </c>
      <c r="AV6" s="25">
        <v>0</v>
      </c>
      <c r="AW6" s="120">
        <v>-0.02</v>
      </c>
      <c r="AX6" s="368">
        <v>0</v>
      </c>
      <c r="AY6" s="25">
        <v>0</v>
      </c>
      <c r="AZ6" s="25">
        <v>0</v>
      </c>
      <c r="BA6" s="25">
        <v>0</v>
      </c>
      <c r="BB6" s="120">
        <v>0</v>
      </c>
      <c r="BC6" s="368">
        <v>0</v>
      </c>
      <c r="BD6" s="25">
        <v>0</v>
      </c>
      <c r="BE6" s="25">
        <v>0</v>
      </c>
      <c r="BF6" s="25">
        <v>0</v>
      </c>
      <c r="BG6" s="120">
        <v>0</v>
      </c>
      <c r="BH6" s="368">
        <v>0</v>
      </c>
      <c r="BI6" s="25">
        <v>0</v>
      </c>
      <c r="BJ6" s="25">
        <v>0</v>
      </c>
      <c r="BK6" s="25">
        <v>-0.02</v>
      </c>
      <c r="BL6" s="120">
        <v>-0.01</v>
      </c>
      <c r="BM6" s="391">
        <v>-0.03</v>
      </c>
      <c r="BN6" s="391">
        <v>-0.02</v>
      </c>
      <c r="BO6" s="391">
        <v>-0.04</v>
      </c>
      <c r="BP6" s="25">
        <v>-0.02</v>
      </c>
      <c r="BQ6" s="120">
        <v>-0.03</v>
      </c>
      <c r="BR6" s="391">
        <v>-0.01</v>
      </c>
      <c r="BS6" s="391">
        <v>-0.01</v>
      </c>
      <c r="BT6" s="74">
        <v>0</v>
      </c>
      <c r="BU6" s="74">
        <v>0</v>
      </c>
      <c r="BV6" s="120">
        <f>SUMPRODUCT(BR6:BU6,BM4:BP4)/BQ4</f>
        <v>-4.9546279491833028E-3</v>
      </c>
      <c r="BW6" s="74">
        <v>0</v>
      </c>
      <c r="BX6" s="74">
        <v>0</v>
      </c>
      <c r="BY6" s="74">
        <v>0</v>
      </c>
      <c r="BZ6" s="69">
        <f>((CA6*BV4)-SUMPRODUCT(BR4:BT4,BW6:BY6))/BU4</f>
        <v>0</v>
      </c>
      <c r="CA6" s="75">
        <v>0</v>
      </c>
      <c r="CB6" s="74">
        <v>0</v>
      </c>
      <c r="CC6" s="74">
        <v>0</v>
      </c>
      <c r="CD6" s="74">
        <v>0</v>
      </c>
      <c r="CE6" s="69">
        <f>((CF6*CA4)-SUMPRODUCT(BW4:BY4,CB6:CD6))/BZ4</f>
        <v>0</v>
      </c>
      <c r="CF6" s="75">
        <v>0</v>
      </c>
      <c r="CG6" s="74">
        <v>0</v>
      </c>
      <c r="CH6" s="74">
        <v>0</v>
      </c>
      <c r="CI6" s="74">
        <v>0</v>
      </c>
      <c r="CJ6" s="69">
        <f>((CK6*CF4)-SUMPRODUCT(CB4:CD4,CG6:CI6))/CE4</f>
        <v>0</v>
      </c>
      <c r="CK6" s="75">
        <v>0</v>
      </c>
      <c r="CL6" s="74">
        <v>0</v>
      </c>
      <c r="CM6" s="74">
        <v>0</v>
      </c>
      <c r="CN6" s="74">
        <v>0</v>
      </c>
      <c r="CO6" s="69">
        <f>((CP6*CK4)-SUMPRODUCT(CG4:CI4,CL6:CN6))/CJ4</f>
        <v>0</v>
      </c>
      <c r="CP6" s="75">
        <v>0</v>
      </c>
      <c r="DI6"/>
      <c r="DJ6"/>
      <c r="DK6"/>
      <c r="DL6"/>
    </row>
    <row r="7" spans="1:116" x14ac:dyDescent="0.25">
      <c r="B7" s="52" t="s">
        <v>222</v>
      </c>
      <c r="C7" s="70"/>
      <c r="D7" s="70"/>
      <c r="E7" s="71" t="s">
        <v>172</v>
      </c>
      <c r="F7" s="71" t="s">
        <v>172</v>
      </c>
      <c r="G7" s="71" t="s">
        <v>172</v>
      </c>
      <c r="H7" s="71" t="s">
        <v>172</v>
      </c>
      <c r="I7" s="72" t="s">
        <v>172</v>
      </c>
      <c r="J7" s="71" t="s">
        <v>172</v>
      </c>
      <c r="K7" s="71" t="s">
        <v>172</v>
      </c>
      <c r="L7" s="71" t="s">
        <v>172</v>
      </c>
      <c r="M7" s="71" t="s">
        <v>172</v>
      </c>
      <c r="N7" s="72" t="s">
        <v>172</v>
      </c>
      <c r="O7" s="71" t="s">
        <v>172</v>
      </c>
      <c r="P7" s="71" t="s">
        <v>172</v>
      </c>
      <c r="Q7" s="71" t="s">
        <v>172</v>
      </c>
      <c r="R7" s="71" t="s">
        <v>172</v>
      </c>
      <c r="S7" s="72">
        <v>0.04</v>
      </c>
      <c r="T7" s="71" t="s">
        <v>172</v>
      </c>
      <c r="U7" s="73">
        <v>0.02</v>
      </c>
      <c r="V7" s="73">
        <v>-0.02</v>
      </c>
      <c r="W7" s="73">
        <v>0</v>
      </c>
      <c r="X7" s="70">
        <v>0</v>
      </c>
      <c r="Y7" s="73">
        <v>-0.02</v>
      </c>
      <c r="Z7" s="73">
        <v>0.02</v>
      </c>
      <c r="AA7" s="73">
        <v>-0.02</v>
      </c>
      <c r="AB7" s="73">
        <v>-0.01</v>
      </c>
      <c r="AC7" s="70">
        <v>-0.01</v>
      </c>
      <c r="AD7" s="73">
        <v>-0.01</v>
      </c>
      <c r="AE7" s="73">
        <v>-0.03</v>
      </c>
      <c r="AF7" s="73">
        <v>0.03</v>
      </c>
      <c r="AG7" s="73">
        <v>0.02</v>
      </c>
      <c r="AH7" s="70">
        <v>0</v>
      </c>
      <c r="AI7" s="73">
        <v>-0.01</v>
      </c>
      <c r="AJ7" s="73">
        <v>-0.01</v>
      </c>
      <c r="AK7" s="73">
        <v>0.03</v>
      </c>
      <c r="AL7" s="69">
        <v>-0.01</v>
      </c>
      <c r="AM7" s="70">
        <v>0</v>
      </c>
      <c r="AN7" s="69">
        <v>0</v>
      </c>
      <c r="AO7" s="69">
        <v>0.03</v>
      </c>
      <c r="AP7" s="69">
        <v>-0.03</v>
      </c>
      <c r="AQ7" s="23">
        <v>-0.02</v>
      </c>
      <c r="AR7" s="70">
        <v>-0.01</v>
      </c>
      <c r="AS7" s="23">
        <v>0.04</v>
      </c>
      <c r="AT7" s="25">
        <v>-0.02</v>
      </c>
      <c r="AU7" s="25">
        <v>-0.01</v>
      </c>
      <c r="AV7" s="25">
        <v>0.02</v>
      </c>
      <c r="AW7" s="120">
        <v>0.01</v>
      </c>
      <c r="AX7" s="368">
        <v>-0.02</v>
      </c>
      <c r="AY7" s="25">
        <v>-0.01</v>
      </c>
      <c r="AZ7" s="25">
        <v>-5.0000000000000001E-3</v>
      </c>
      <c r="BA7" s="25">
        <v>0.01</v>
      </c>
      <c r="BB7" s="120">
        <v>-0.01</v>
      </c>
      <c r="BC7" s="368">
        <v>-0.01</v>
      </c>
      <c r="BD7" s="25">
        <v>0.01</v>
      </c>
      <c r="BE7" s="25">
        <v>0.01</v>
      </c>
      <c r="BF7" s="25">
        <v>0.02</v>
      </c>
      <c r="BG7" s="120">
        <v>0.01</v>
      </c>
      <c r="BH7" s="368">
        <v>-0.01</v>
      </c>
      <c r="BI7" s="25">
        <v>0</v>
      </c>
      <c r="BJ7" s="25">
        <v>0.01</v>
      </c>
      <c r="BK7" s="25">
        <v>0</v>
      </c>
      <c r="BL7" s="120">
        <v>0</v>
      </c>
      <c r="BM7" s="391">
        <v>-0.02</v>
      </c>
      <c r="BN7" s="391">
        <v>-0.01</v>
      </c>
      <c r="BO7" s="391">
        <v>0.01</v>
      </c>
      <c r="BP7" s="25">
        <v>-0.04</v>
      </c>
      <c r="BQ7" s="120">
        <v>-0.01</v>
      </c>
      <c r="BR7" s="391">
        <v>0.03</v>
      </c>
      <c r="BS7" s="391">
        <v>0.02</v>
      </c>
      <c r="BT7" s="74">
        <v>0</v>
      </c>
      <c r="BU7" s="69">
        <f>((BV7*BQ4)-SUMPRODUCT(BM4:BO4,BR7:BT7))/BP4</f>
        <v>-2.404036076662909E-2</v>
      </c>
      <c r="BV7" s="75">
        <v>6.6E-3</v>
      </c>
      <c r="BW7" s="74">
        <v>0</v>
      </c>
      <c r="BX7" s="74">
        <v>0</v>
      </c>
      <c r="BY7" s="74">
        <v>0</v>
      </c>
      <c r="BZ7" s="69">
        <f>((CA7*BV4)-SUMPRODUCT(BR4:BT4,BW7:BY7))/BU4</f>
        <v>0</v>
      </c>
      <c r="CA7" s="75">
        <v>0</v>
      </c>
      <c r="CB7" s="74">
        <v>0</v>
      </c>
      <c r="CC7" s="74">
        <v>0</v>
      </c>
      <c r="CD7" s="74">
        <v>0</v>
      </c>
      <c r="CE7" s="69">
        <f>((CF7*CA4)-SUMPRODUCT(BW4:BY4,CB7:CD7))/BZ4</f>
        <v>0</v>
      </c>
      <c r="CF7" s="75">
        <v>0</v>
      </c>
      <c r="CG7" s="74">
        <v>0</v>
      </c>
      <c r="CH7" s="74">
        <v>0</v>
      </c>
      <c r="CI7" s="74">
        <v>0</v>
      </c>
      <c r="CJ7" s="69">
        <f>((CK7*CF4)-SUMPRODUCT(CB4:CD4,CG7:CI7))/CE4</f>
        <v>0</v>
      </c>
      <c r="CK7" s="75">
        <v>0</v>
      </c>
      <c r="CL7" s="74">
        <v>0</v>
      </c>
      <c r="CM7" s="74">
        <v>0</v>
      </c>
      <c r="CN7" s="74">
        <v>0</v>
      </c>
      <c r="CO7" s="69">
        <f>((CP7*CK4)-SUMPRODUCT(CG4:CI4,CL7:CN7))/CJ4</f>
        <v>0</v>
      </c>
      <c r="CP7" s="75">
        <v>0</v>
      </c>
      <c r="DI7"/>
      <c r="DJ7"/>
      <c r="DK7"/>
      <c r="DL7"/>
    </row>
    <row r="8" spans="1:116" x14ac:dyDescent="0.25">
      <c r="B8" s="52" t="s">
        <v>223</v>
      </c>
      <c r="C8" s="70"/>
      <c r="D8" s="70"/>
      <c r="E8" s="71" t="s">
        <v>172</v>
      </c>
      <c r="F8" s="71" t="s">
        <v>172</v>
      </c>
      <c r="G8" s="71" t="s">
        <v>172</v>
      </c>
      <c r="H8" s="71" t="s">
        <v>172</v>
      </c>
      <c r="I8" s="72" t="s">
        <v>172</v>
      </c>
      <c r="J8" s="71" t="s">
        <v>172</v>
      </c>
      <c r="K8" s="71" t="s">
        <v>172</v>
      </c>
      <c r="L8" s="71" t="s">
        <v>172</v>
      </c>
      <c r="M8" s="71" t="s">
        <v>172</v>
      </c>
      <c r="N8" s="72" t="s">
        <v>172</v>
      </c>
      <c r="O8" s="71" t="s">
        <v>172</v>
      </c>
      <c r="P8" s="71" t="s">
        <v>172</v>
      </c>
      <c r="Q8" s="71" t="s">
        <v>172</v>
      </c>
      <c r="R8" s="71" t="s">
        <v>172</v>
      </c>
      <c r="S8" s="78">
        <v>0.03</v>
      </c>
      <c r="T8" s="79" t="s">
        <v>172</v>
      </c>
      <c r="U8" s="80">
        <v>0.05</v>
      </c>
      <c r="V8" s="80">
        <v>0.04</v>
      </c>
      <c r="W8" s="80">
        <v>0.05</v>
      </c>
      <c r="X8" s="81">
        <v>0.04</v>
      </c>
      <c r="Y8" s="80">
        <v>0.05</v>
      </c>
      <c r="Z8" s="80">
        <v>-0.03</v>
      </c>
      <c r="AA8" s="80">
        <v>-0.1</v>
      </c>
      <c r="AB8" s="80">
        <v>-0.1</v>
      </c>
      <c r="AC8" s="81">
        <v>-0.05</v>
      </c>
      <c r="AD8" s="80">
        <v>-0.08</v>
      </c>
      <c r="AE8" s="80">
        <v>0</v>
      </c>
      <c r="AF8" s="80">
        <v>0.05</v>
      </c>
      <c r="AG8" s="80">
        <v>0.02</v>
      </c>
      <c r="AH8" s="81">
        <v>0</v>
      </c>
      <c r="AI8" s="80">
        <v>-0.01</v>
      </c>
      <c r="AJ8" s="80">
        <v>0</v>
      </c>
      <c r="AK8" s="80">
        <v>0.02</v>
      </c>
      <c r="AL8" s="80">
        <v>0.06</v>
      </c>
      <c r="AM8" s="81">
        <v>0.02</v>
      </c>
      <c r="AN8" s="80">
        <v>7.0000000000000007E-2</v>
      </c>
      <c r="AO8" s="80">
        <v>0</v>
      </c>
      <c r="AP8" s="80">
        <v>-0.02</v>
      </c>
      <c r="AQ8" s="275">
        <v>-0.03</v>
      </c>
      <c r="AR8" s="81">
        <v>0</v>
      </c>
      <c r="AS8" s="275">
        <v>-0.06</v>
      </c>
      <c r="AT8" s="29">
        <v>-0.01</v>
      </c>
      <c r="AU8" s="29">
        <v>0.02</v>
      </c>
      <c r="AV8" s="29">
        <v>-0.01</v>
      </c>
      <c r="AW8" s="81">
        <v>-0.01</v>
      </c>
      <c r="AX8" s="83">
        <v>-0.01</v>
      </c>
      <c r="AY8" s="29">
        <v>-0.01</v>
      </c>
      <c r="AZ8" s="29">
        <v>-2.5000000000000001E-2</v>
      </c>
      <c r="BA8" s="29">
        <v>-0.01</v>
      </c>
      <c r="BB8" s="81">
        <v>-0.01</v>
      </c>
      <c r="BC8" s="83">
        <v>0.01</v>
      </c>
      <c r="BD8" s="29">
        <v>-0.03</v>
      </c>
      <c r="BE8" s="29">
        <v>-0.05</v>
      </c>
      <c r="BF8" s="29">
        <v>-0.06</v>
      </c>
      <c r="BG8" s="81">
        <v>-0.03</v>
      </c>
      <c r="BH8" s="83">
        <v>-0.09</v>
      </c>
      <c r="BI8" s="29">
        <v>-0.08</v>
      </c>
      <c r="BJ8" s="29">
        <v>-0.06</v>
      </c>
      <c r="BK8" s="29">
        <v>-0.03</v>
      </c>
      <c r="BL8" s="81">
        <v>-0.06</v>
      </c>
      <c r="BM8" s="392">
        <v>-0.02</v>
      </c>
      <c r="BN8" s="392">
        <v>-0.03</v>
      </c>
      <c r="BO8" s="392">
        <v>-0.01</v>
      </c>
      <c r="BP8" s="29">
        <v>-0.03</v>
      </c>
      <c r="BQ8" s="81">
        <v>-0.02</v>
      </c>
      <c r="BR8" s="392">
        <v>0.01</v>
      </c>
      <c r="BS8" s="392">
        <v>0.01</v>
      </c>
      <c r="BT8" s="82">
        <v>3.6901721935681482E-2</v>
      </c>
      <c r="BU8" s="82">
        <v>3.3279661635088387E-2</v>
      </c>
      <c r="BV8" s="308">
        <f>SUMPRODUCT(BR8:BU8,BM4:BP4)/BQ4</f>
        <v>2.2739949027796236E-2</v>
      </c>
      <c r="BW8" s="82">
        <v>1.2750743916055461E-2</v>
      </c>
      <c r="BX8" s="82">
        <v>-2.6003318410017227E-3</v>
      </c>
      <c r="BY8" s="82">
        <v>1.1410886264888018E-3</v>
      </c>
      <c r="BZ8" s="82">
        <v>0</v>
      </c>
      <c r="CA8" s="308">
        <f>SUMPRODUCT(BW8:BZ8,BR4:BU4)/BV4</f>
        <v>2.4089381969017009E-3</v>
      </c>
      <c r="CB8" s="82">
        <v>0</v>
      </c>
      <c r="CC8" s="82">
        <v>0</v>
      </c>
      <c r="CD8" s="82">
        <v>0</v>
      </c>
      <c r="CE8" s="83">
        <f>((CF8*CA4)-SUMPRODUCT(BW4:BY4,CB8:CD8))/BZ4</f>
        <v>0</v>
      </c>
      <c r="CF8" s="84">
        <v>0</v>
      </c>
      <c r="CG8" s="82">
        <v>0</v>
      </c>
      <c r="CH8" s="82">
        <v>0</v>
      </c>
      <c r="CI8" s="82">
        <v>0</v>
      </c>
      <c r="CJ8" s="83">
        <f>((CK8*CF4)-SUMPRODUCT(CB4:CD4,CG8:CI8))/CE4</f>
        <v>0</v>
      </c>
      <c r="CK8" s="84">
        <v>0</v>
      </c>
      <c r="CL8" s="82">
        <v>0</v>
      </c>
      <c r="CM8" s="82">
        <v>0</v>
      </c>
      <c r="CN8" s="82">
        <v>0</v>
      </c>
      <c r="CO8" s="83">
        <f>((CP8*CK4)-SUMPRODUCT(CG4:CI4,CL8:CN8))/CJ4</f>
        <v>0</v>
      </c>
      <c r="CP8" s="84">
        <v>0</v>
      </c>
      <c r="DI8"/>
      <c r="DJ8"/>
      <c r="DK8"/>
      <c r="DL8"/>
    </row>
    <row r="9" spans="1:116" s="38" customFormat="1" x14ac:dyDescent="0.25">
      <c r="B9" s="38" t="s">
        <v>220</v>
      </c>
      <c r="C9" s="63"/>
      <c r="D9" s="63">
        <f>+D4/C4-1</f>
        <v>0.11034259159191628</v>
      </c>
      <c r="E9" s="66"/>
      <c r="F9" s="66"/>
      <c r="G9" s="66"/>
      <c r="H9" s="85"/>
      <c r="I9" s="63">
        <f t="shared" ref="I9:AN9" si="2">+I4/D4-1</f>
        <v>8.3657776912594795E-2</v>
      </c>
      <c r="J9" s="66">
        <f t="shared" si="2"/>
        <v>0.12611676708913366</v>
      </c>
      <c r="K9" s="66">
        <f t="shared" si="2"/>
        <v>4.8309948979591733E-2</v>
      </c>
      <c r="L9" s="66">
        <f t="shared" si="2"/>
        <v>3.4278180619644161E-2</v>
      </c>
      <c r="M9" s="85">
        <f t="shared" si="2"/>
        <v>0.14411419632381706</v>
      </c>
      <c r="N9" s="63">
        <f t="shared" si="2"/>
        <v>8.3307136120716718E-2</v>
      </c>
      <c r="O9" s="66">
        <f t="shared" si="2"/>
        <v>0.16863468634686352</v>
      </c>
      <c r="P9" s="66">
        <f t="shared" si="2"/>
        <v>0.10600760456273761</v>
      </c>
      <c r="Q9" s="66">
        <f t="shared" si="2"/>
        <v>0.20267686424474185</v>
      </c>
      <c r="R9" s="85">
        <f t="shared" si="2"/>
        <v>0.18065287984959832</v>
      </c>
      <c r="S9" s="63">
        <f t="shared" si="2"/>
        <v>0.1633363734350386</v>
      </c>
      <c r="T9" s="66">
        <f t="shared" si="2"/>
        <v>0.1668771708241239</v>
      </c>
      <c r="U9" s="66">
        <f t="shared" si="2"/>
        <v>0.22854785478547845</v>
      </c>
      <c r="V9" s="66">
        <f t="shared" si="2"/>
        <v>0.16242713301536837</v>
      </c>
      <c r="W9" s="85">
        <f t="shared" si="2"/>
        <v>0.11797915460335839</v>
      </c>
      <c r="X9" s="63">
        <f t="shared" si="2"/>
        <v>0.16962440310740501</v>
      </c>
      <c r="Y9" s="86">
        <f t="shared" si="2"/>
        <v>6.8867541604654248E-2</v>
      </c>
      <c r="Z9" s="86">
        <f t="shared" si="2"/>
        <v>4.6227893440788037E-2</v>
      </c>
      <c r="AA9" s="86">
        <f t="shared" si="2"/>
        <v>-0.10633690449054023</v>
      </c>
      <c r="AB9" s="67">
        <f t="shared" si="2"/>
        <v>-0.11524019163537491</v>
      </c>
      <c r="AC9" s="63">
        <f t="shared" si="2"/>
        <v>-2.7451099872036866E-2</v>
      </c>
      <c r="AD9" s="86">
        <f t="shared" si="2"/>
        <v>-6.5949367088607658E-2</v>
      </c>
      <c r="AE9" s="86">
        <f t="shared" si="2"/>
        <v>-4.4720231090189411E-2</v>
      </c>
      <c r="AF9" s="86">
        <f t="shared" si="2"/>
        <v>9.8966968498916064E-2</v>
      </c>
      <c r="AG9" s="86">
        <f t="shared" si="2"/>
        <v>7.2735255378311159E-2</v>
      </c>
      <c r="AH9" s="63">
        <f t="shared" si="2"/>
        <v>1.0463331349268357E-2</v>
      </c>
      <c r="AI9" s="87">
        <f t="shared" si="2"/>
        <v>9.4863802683291532E-3</v>
      </c>
      <c r="AJ9" s="86">
        <f t="shared" si="2"/>
        <v>1.433531190502868E-2</v>
      </c>
      <c r="AK9" s="86">
        <f t="shared" si="2"/>
        <v>0.11686201694325171</v>
      </c>
      <c r="AL9" s="86">
        <f t="shared" si="2"/>
        <v>7.9536152796725768E-2</v>
      </c>
      <c r="AM9" s="63">
        <f t="shared" si="2"/>
        <v>5.5433266160285211E-2</v>
      </c>
      <c r="AN9" s="86">
        <f t="shared" si="2"/>
        <v>0.12807088199758354</v>
      </c>
      <c r="AO9" s="86">
        <f>+AO4/AJ4-1</f>
        <v>0.11847190018770015</v>
      </c>
      <c r="AP9" s="86">
        <f t="shared" ref="AP9:BT9" si="3">+AP4/AK4-1</f>
        <v>-3.5328345802161376E-3</v>
      </c>
      <c r="AQ9" s="86">
        <f t="shared" si="3"/>
        <v>1.2637432073802524E-2</v>
      </c>
      <c r="AR9" s="63">
        <f t="shared" si="3"/>
        <v>6.1481068060981858E-2</v>
      </c>
      <c r="AS9" s="86">
        <f t="shared" si="3"/>
        <v>4.4983934309175355E-2</v>
      </c>
      <c r="AT9" s="86">
        <f t="shared" si="3"/>
        <v>7.8973346495558872E-4</v>
      </c>
      <c r="AU9" s="86">
        <f t="shared" si="3"/>
        <v>7.0802919708029322E-2</v>
      </c>
      <c r="AV9" s="67">
        <f t="shared" si="3"/>
        <v>8.0743791339074056E-2</v>
      </c>
      <c r="AW9" s="63">
        <f>+AW4/AR4-1</f>
        <v>4.7376577374363515E-2</v>
      </c>
      <c r="AX9" s="67">
        <f t="shared" si="3"/>
        <v>2.0384921990661553E-2</v>
      </c>
      <c r="AY9" s="67">
        <f t="shared" si="3"/>
        <v>6.4312487670151963E-2</v>
      </c>
      <c r="AZ9" s="86">
        <f>+AZ4/AU4-1</f>
        <v>4.9761417859577328E-2</v>
      </c>
      <c r="BA9" s="67">
        <f>+BA4/AV4-1</f>
        <v>3.1177829099307219E-2</v>
      </c>
      <c r="BB9" s="63">
        <f t="shared" si="3"/>
        <v>4.2591418304798179E-2</v>
      </c>
      <c r="BC9" s="86">
        <f>+BC4/AX4-1</f>
        <v>2.7901785714285809E-2</v>
      </c>
      <c r="BD9" s="86">
        <f>+BD4/AY4-1</f>
        <v>5.1899907321593997E-2</v>
      </c>
      <c r="BE9" s="86">
        <f>+BE4/AZ4-1</f>
        <v>1.3914656771799594E-2</v>
      </c>
      <c r="BF9" s="86">
        <f t="shared" si="3"/>
        <v>6.0470324748040261E-2</v>
      </c>
      <c r="BG9" s="63">
        <f t="shared" si="3"/>
        <v>3.8013177901672579E-2</v>
      </c>
      <c r="BH9" s="86">
        <f t="shared" si="3"/>
        <v>-2.2801302931596101E-2</v>
      </c>
      <c r="BI9" s="86">
        <f t="shared" si="3"/>
        <v>-3.4361233480176168E-2</v>
      </c>
      <c r="BJ9" s="86">
        <f t="shared" si="3"/>
        <v>-9.1491308325708509E-3</v>
      </c>
      <c r="BK9" s="67">
        <f>+BK4/BF4-1</f>
        <v>-1.4783526927138357E-2</v>
      </c>
      <c r="BL9" s="63">
        <f>+BL4/BG4-1</f>
        <v>-2.05078125E-2</v>
      </c>
      <c r="BM9" s="390">
        <f>+BM4/BH4-1</f>
        <v>-4.8888888888888871E-2</v>
      </c>
      <c r="BN9" s="390">
        <f>+BN4/BI4-1</f>
        <v>-3.7408759124087587E-2</v>
      </c>
      <c r="BO9" s="86">
        <f t="shared" si="3"/>
        <v>-2.2160664819944609E-2</v>
      </c>
      <c r="BP9" s="67">
        <f t="shared" si="3"/>
        <v>-4.9303322615219747E-2</v>
      </c>
      <c r="BQ9" s="63">
        <f>+BQ4/BL4-1</f>
        <v>-3.8634097706879311E-2</v>
      </c>
      <c r="BR9" s="390">
        <f t="shared" si="3"/>
        <v>8.528037383177578E-2</v>
      </c>
      <c r="BS9" s="86">
        <f t="shared" si="3"/>
        <v>0.10521327014218018</v>
      </c>
      <c r="BT9" s="86">
        <f t="shared" si="3"/>
        <v>0.10190172193568148</v>
      </c>
      <c r="BU9" s="67">
        <f t="shared" ref="BU9:CA9" si="4">+BU4/BP4-1</f>
        <v>7.0448432773758451E-2</v>
      </c>
      <c r="BV9" s="63">
        <f t="shared" si="4"/>
        <v>9.1885321078613025E-2</v>
      </c>
      <c r="BW9" s="86">
        <f t="shared" si="4"/>
        <v>6.77507439160554E-2</v>
      </c>
      <c r="BX9" s="86">
        <f t="shared" si="4"/>
        <v>3.2399668158998196E-2</v>
      </c>
      <c r="BY9" s="86">
        <f t="shared" si="4"/>
        <v>5.7141088626488701E-2</v>
      </c>
      <c r="BZ9" s="67">
        <f t="shared" si="4"/>
        <v>5.6154388403720557E-2</v>
      </c>
      <c r="CA9" s="63">
        <f t="shared" si="4"/>
        <v>5.2408938196901733E-2</v>
      </c>
      <c r="CB9" s="86">
        <f t="shared" ref="CB9:CK9" si="5">+CB4/BW4-1</f>
        <v>5.0000000000000044E-2</v>
      </c>
      <c r="CC9" s="86">
        <f t="shared" si="5"/>
        <v>5.0000000000000044E-2</v>
      </c>
      <c r="CD9" s="86">
        <f t="shared" si="5"/>
        <v>5.0000000000000044E-2</v>
      </c>
      <c r="CE9" s="67">
        <f t="shared" si="5"/>
        <v>4.99999999999996E-2</v>
      </c>
      <c r="CF9" s="63">
        <f t="shared" si="5"/>
        <v>5.0000000000000044E-2</v>
      </c>
      <c r="CG9" s="86">
        <f t="shared" si="5"/>
        <v>5.0000000000000044E-2</v>
      </c>
      <c r="CH9" s="86">
        <f t="shared" si="5"/>
        <v>5.0000000000000044E-2</v>
      </c>
      <c r="CI9" s="86">
        <f t="shared" si="5"/>
        <v>5.0000000000000044E-2</v>
      </c>
      <c r="CJ9" s="67">
        <f t="shared" si="5"/>
        <v>5.0000000000000044E-2</v>
      </c>
      <c r="CK9" s="63">
        <f t="shared" si="5"/>
        <v>5.0000000000000044E-2</v>
      </c>
      <c r="CL9" s="86">
        <f>+CL4/CG4-1</f>
        <v>5.0000000000000044E-2</v>
      </c>
      <c r="CM9" s="86">
        <f>+CM4/CH4-1</f>
        <v>5.0000000000000044E-2</v>
      </c>
      <c r="CN9" s="86">
        <f>+CN4/CI4-1</f>
        <v>5.0000000000000044E-2</v>
      </c>
      <c r="CO9" s="67">
        <f>+CO4/CJ4-1</f>
        <v>4.9999999999999822E-2</v>
      </c>
      <c r="CP9" s="63">
        <f>+CP4/CK4-1</f>
        <v>5.0000000000000044E-2</v>
      </c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I9"/>
      <c r="DJ9"/>
      <c r="DK9"/>
      <c r="DL9"/>
    </row>
    <row r="10" spans="1:116" x14ac:dyDescent="0.25">
      <c r="C10" s="70"/>
      <c r="D10" s="70"/>
      <c r="E10" s="73"/>
      <c r="F10" s="73"/>
      <c r="G10" s="73"/>
      <c r="H10" s="88"/>
      <c r="I10" s="70"/>
      <c r="J10" s="73"/>
      <c r="K10" s="73"/>
      <c r="L10" s="73"/>
      <c r="M10" s="88"/>
      <c r="N10" s="70"/>
      <c r="O10" s="73"/>
      <c r="P10" s="73"/>
      <c r="Q10" s="73"/>
      <c r="R10" s="88"/>
      <c r="S10" s="70"/>
      <c r="T10" s="73"/>
      <c r="U10" s="73"/>
      <c r="V10" s="73"/>
      <c r="W10" s="88"/>
      <c r="X10" s="70"/>
      <c r="Y10" s="73"/>
      <c r="Z10" s="91"/>
      <c r="AA10" s="91"/>
      <c r="AB10" s="91"/>
      <c r="AC10" s="90"/>
      <c r="AD10" s="91"/>
      <c r="AE10" s="91"/>
      <c r="AF10" s="91"/>
      <c r="AG10" s="91"/>
      <c r="AH10" s="92"/>
      <c r="AI10" s="91"/>
      <c r="AJ10" s="91"/>
      <c r="AK10" s="91"/>
      <c r="AL10" s="91"/>
      <c r="AM10" s="92"/>
      <c r="AN10" s="91"/>
      <c r="AO10" s="91"/>
      <c r="AP10" s="91"/>
      <c r="AQ10" s="276"/>
      <c r="AR10" s="92"/>
      <c r="AS10" s="91"/>
      <c r="AT10" s="91"/>
      <c r="AU10" s="91"/>
      <c r="AV10" s="91"/>
      <c r="AW10" s="92"/>
      <c r="AX10" s="337"/>
      <c r="AY10" s="337"/>
      <c r="AZ10" s="337"/>
      <c r="BA10" s="337"/>
      <c r="BB10" s="92"/>
      <c r="BC10" s="89"/>
      <c r="BD10" s="89"/>
      <c r="BE10" s="89"/>
      <c r="BF10" s="89"/>
      <c r="BG10" s="367"/>
      <c r="BH10" s="89"/>
      <c r="BI10" s="89"/>
      <c r="BJ10" s="89"/>
      <c r="BK10" s="89"/>
      <c r="BL10" s="367"/>
      <c r="BM10" s="393"/>
      <c r="BN10" s="89"/>
      <c r="BO10" s="89"/>
      <c r="BP10" s="89"/>
      <c r="BQ10" s="367"/>
      <c r="BR10" s="393"/>
      <c r="BS10" s="89"/>
      <c r="BT10" s="89"/>
      <c r="BU10" s="89"/>
      <c r="BV10" s="367"/>
      <c r="BW10" s="393"/>
      <c r="BX10" s="89"/>
      <c r="BY10" s="89"/>
      <c r="BZ10" s="89"/>
      <c r="CA10" s="367"/>
      <c r="CB10" s="89"/>
      <c r="CC10" s="89"/>
      <c r="CD10" s="89"/>
      <c r="CE10" s="89"/>
      <c r="CF10" s="90"/>
      <c r="CG10" s="89"/>
      <c r="CH10" s="89"/>
      <c r="CI10" s="89"/>
      <c r="CJ10" s="89"/>
      <c r="CK10" s="90"/>
      <c r="CL10" s="89"/>
      <c r="CM10" s="89"/>
      <c r="CN10" s="89"/>
      <c r="CO10" s="89"/>
      <c r="CP10" s="90"/>
      <c r="DI10"/>
      <c r="DJ10"/>
      <c r="DK10"/>
      <c r="DL10"/>
    </row>
    <row r="11" spans="1:116" x14ac:dyDescent="0.25">
      <c r="A11" s="52" t="s">
        <v>2</v>
      </c>
      <c r="C11" s="94">
        <v>317.5</v>
      </c>
      <c r="D11" s="94">
        <v>363.7</v>
      </c>
      <c r="E11" s="95">
        <v>82</v>
      </c>
      <c r="F11" s="95">
        <v>109.6</v>
      </c>
      <c r="G11" s="95">
        <v>127.8</v>
      </c>
      <c r="H11" s="96">
        <f>+I11-E11-F11-G11</f>
        <v>97.200000000000031</v>
      </c>
      <c r="I11" s="94">
        <v>416.6</v>
      </c>
      <c r="J11" s="95">
        <v>97.7</v>
      </c>
      <c r="K11" s="95">
        <f>345.9-L11-J11</f>
        <v>115.39999999999996</v>
      </c>
      <c r="L11" s="95">
        <v>132.80000000000001</v>
      </c>
      <c r="M11" s="96">
        <v>122.5</v>
      </c>
      <c r="N11" s="94">
        <f>+J11+K11+L11+M11</f>
        <v>468.4</v>
      </c>
      <c r="O11" s="95">
        <v>128.4</v>
      </c>
      <c r="P11" s="95">
        <f>446.1-Q11-O11</f>
        <v>145.00000000000003</v>
      </c>
      <c r="Q11" s="95">
        <v>172.7</v>
      </c>
      <c r="R11" s="96">
        <v>142.4</v>
      </c>
      <c r="S11" s="94">
        <f>O11+P11+Q11+R11</f>
        <v>588.5</v>
      </c>
      <c r="T11" s="95">
        <v>152</v>
      </c>
      <c r="U11" s="95">
        <v>177.8</v>
      </c>
      <c r="V11" s="95">
        <v>205</v>
      </c>
      <c r="W11" s="96">
        <v>165.9</v>
      </c>
      <c r="X11" s="94">
        <f>+T11+U11+V11+W11</f>
        <v>700.69999999999993</v>
      </c>
      <c r="Y11" s="95">
        <v>176.2</v>
      </c>
      <c r="Z11" s="95">
        <v>196.8</v>
      </c>
      <c r="AA11" s="95">
        <v>191.7</v>
      </c>
      <c r="AB11" s="95">
        <v>146.30000000000001</v>
      </c>
      <c r="AC11" s="94">
        <f>+Y11+Z11+AA11+AB11</f>
        <v>711</v>
      </c>
      <c r="AD11" s="95">
        <v>167.1</v>
      </c>
      <c r="AE11" s="95">
        <v>194.1</v>
      </c>
      <c r="AF11" s="95">
        <v>224.3</v>
      </c>
      <c r="AG11" s="95">
        <v>171.1</v>
      </c>
      <c r="AH11" s="94">
        <f>+AD11+AE11+AF11+AG11</f>
        <v>756.6</v>
      </c>
      <c r="AI11" s="95">
        <v>175.5</v>
      </c>
      <c r="AJ11" s="95">
        <v>207.3</v>
      </c>
      <c r="AK11" s="95">
        <v>254.4</v>
      </c>
      <c r="AL11" s="95">
        <v>180.6</v>
      </c>
      <c r="AM11" s="94">
        <f>+AI11+AJ11+AK11+AL11</f>
        <v>817.80000000000007</v>
      </c>
      <c r="AN11" s="95">
        <v>202.5</v>
      </c>
      <c r="AO11" s="95">
        <v>232.6</v>
      </c>
      <c r="AP11" s="95">
        <v>257.39999999999998</v>
      </c>
      <c r="AQ11" s="119">
        <v>198.4</v>
      </c>
      <c r="AR11" s="94">
        <f>+AN11+AO11+AP11+AQ11</f>
        <v>890.9</v>
      </c>
      <c r="AS11" s="95">
        <v>212.3</v>
      </c>
      <c r="AT11" s="95">
        <v>237.1</v>
      </c>
      <c r="AU11" s="95">
        <v>280</v>
      </c>
      <c r="AV11" s="95">
        <v>206</v>
      </c>
      <c r="AW11" s="94">
        <f>+AS11+AT11+AU11+AV11</f>
        <v>935.4</v>
      </c>
      <c r="AX11" s="95">
        <v>210</v>
      </c>
      <c r="AY11" s="95">
        <v>246</v>
      </c>
      <c r="AZ11" s="95">
        <v>296</v>
      </c>
      <c r="BA11" s="95">
        <v>204</v>
      </c>
      <c r="BB11" s="94">
        <f>+AX11+AY11+AZ11+BA11</f>
        <v>956</v>
      </c>
      <c r="BC11" s="95">
        <v>216</v>
      </c>
      <c r="BD11" s="95">
        <v>258</v>
      </c>
      <c r="BE11" s="95">
        <v>280</v>
      </c>
      <c r="BF11" s="95">
        <v>207</v>
      </c>
      <c r="BG11" s="94">
        <f>+BC11+BD11+BE11+BF11</f>
        <v>961</v>
      </c>
      <c r="BH11" s="95">
        <v>201</v>
      </c>
      <c r="BI11" s="95">
        <v>242</v>
      </c>
      <c r="BJ11" s="95">
        <v>274</v>
      </c>
      <c r="BK11" s="95">
        <v>204</v>
      </c>
      <c r="BL11" s="94">
        <f>+BH11+BI11+BJ11+BK11</f>
        <v>921</v>
      </c>
      <c r="BM11" s="394">
        <v>195</v>
      </c>
      <c r="BN11" s="394">
        <v>225</v>
      </c>
      <c r="BO11" s="394">
        <v>251</v>
      </c>
      <c r="BP11" s="394">
        <v>193</v>
      </c>
      <c r="BQ11" s="94">
        <f>+BM11+BN11+BO11+BP11</f>
        <v>864</v>
      </c>
      <c r="BR11" s="95">
        <v>206</v>
      </c>
      <c r="BS11" s="95">
        <v>252</v>
      </c>
      <c r="BT11" s="95">
        <f>BT176*BT4</f>
        <v>276.57733220585607</v>
      </c>
      <c r="BU11" s="95">
        <f>BU176*BU4</f>
        <v>206.59654752533538</v>
      </c>
      <c r="BV11" s="94">
        <f>+BR11+BS11+BT11+BU11</f>
        <v>941.17387973119139</v>
      </c>
      <c r="BW11" s="95">
        <f>BW176*BW4</f>
        <v>219.95665324670742</v>
      </c>
      <c r="BX11" s="95">
        <f>BX176*BX4</f>
        <v>260.16471637606753</v>
      </c>
      <c r="BY11" s="95">
        <f>BY176*BY4</f>
        <v>292.38126205750871</v>
      </c>
      <c r="BZ11" s="95">
        <f>BZ176*BZ4</f>
        <v>218.19785029794076</v>
      </c>
      <c r="CA11" s="94">
        <f>+BW11+BX11+BY11+BZ11</f>
        <v>990.70048197822439</v>
      </c>
      <c r="CB11" s="95">
        <f>CB176*CB4</f>
        <v>230.95448590904277</v>
      </c>
      <c r="CC11" s="95">
        <f>CC176*CC4</f>
        <v>273.17295219487096</v>
      </c>
      <c r="CD11" s="95">
        <f>CD176*CD4</f>
        <v>307.00032516038414</v>
      </c>
      <c r="CE11" s="95">
        <f>CE176*CE4</f>
        <v>229.1077428128377</v>
      </c>
      <c r="CF11" s="94">
        <f>+CB11+CC11+CD11+CE11</f>
        <v>1040.2355060771356</v>
      </c>
      <c r="CG11" s="95">
        <f>CG176*CG4</f>
        <v>242.50221020449493</v>
      </c>
      <c r="CH11" s="95">
        <f>CH176*CH4</f>
        <v>286.83159980461448</v>
      </c>
      <c r="CI11" s="95">
        <f>CI176*CI4</f>
        <v>322.35034141840339</v>
      </c>
      <c r="CJ11" s="95">
        <f>CJ176*CJ4</f>
        <v>240.56312995347957</v>
      </c>
      <c r="CK11" s="94">
        <f>+CG11+CH11+CI11+CJ11</f>
        <v>1092.2472813809923</v>
      </c>
      <c r="CL11" s="95">
        <f>CL176*CL4</f>
        <v>254.62732071471967</v>
      </c>
      <c r="CM11" s="95">
        <f>CM176*CM4</f>
        <v>301.17317979484523</v>
      </c>
      <c r="CN11" s="95">
        <f>CN176*CN4</f>
        <v>338.46785848932353</v>
      </c>
      <c r="CO11" s="95">
        <f>CO176*CO4</f>
        <v>252.59128645115354</v>
      </c>
      <c r="CP11" s="94">
        <f>+CL11+CM11+CN11+CO11</f>
        <v>1146.8596454500421</v>
      </c>
      <c r="DI11"/>
      <c r="DJ11"/>
      <c r="DK11"/>
      <c r="DL11"/>
    </row>
    <row r="12" spans="1:116" x14ac:dyDescent="0.25">
      <c r="B12" s="52" t="s">
        <v>4</v>
      </c>
      <c r="C12" s="70">
        <f t="shared" ref="C12:AH12" si="6">+C11/C4</f>
        <v>0.17156597860153464</v>
      </c>
      <c r="D12" s="70">
        <f t="shared" si="6"/>
        <v>0.17700019466614753</v>
      </c>
      <c r="E12" s="73">
        <f t="shared" si="6"/>
        <v>0.17037190941200914</v>
      </c>
      <c r="F12" s="73">
        <f t="shared" si="6"/>
        <v>0.17474489795918366</v>
      </c>
      <c r="G12" s="73">
        <f t="shared" si="6"/>
        <v>0.21061305207646672</v>
      </c>
      <c r="H12" s="88">
        <f t="shared" si="6"/>
        <v>0.1900664841611264</v>
      </c>
      <c r="I12" s="70">
        <f t="shared" si="6"/>
        <v>0.18709300758970676</v>
      </c>
      <c r="J12" s="73">
        <f t="shared" si="6"/>
        <v>0.18025830258302583</v>
      </c>
      <c r="K12" s="73">
        <f t="shared" si="6"/>
        <v>0.17551330798479081</v>
      </c>
      <c r="L12" s="73">
        <f t="shared" si="6"/>
        <v>0.21159974506054813</v>
      </c>
      <c r="M12" s="88">
        <f t="shared" si="6"/>
        <v>0.20936592035549478</v>
      </c>
      <c r="N12" s="70">
        <f t="shared" si="6"/>
        <v>0.19417958709891386</v>
      </c>
      <c r="O12" s="73">
        <f t="shared" si="6"/>
        <v>0.20271550363119673</v>
      </c>
      <c r="P12" s="73">
        <f t="shared" si="6"/>
        <v>0.19939493949394943</v>
      </c>
      <c r="Q12" s="73">
        <f t="shared" si="6"/>
        <v>0.22880233174350822</v>
      </c>
      <c r="R12" s="88">
        <f t="shared" si="6"/>
        <v>0.20613781123335265</v>
      </c>
      <c r="S12" s="70">
        <f t="shared" si="6"/>
        <v>0.2097142042619913</v>
      </c>
      <c r="T12" s="73">
        <f t="shared" si="6"/>
        <v>0.20565552699228792</v>
      </c>
      <c r="U12" s="73">
        <f t="shared" si="6"/>
        <v>0.19901499888068055</v>
      </c>
      <c r="V12" s="73">
        <f t="shared" si="6"/>
        <v>0.23364485981308411</v>
      </c>
      <c r="W12" s="88">
        <f t="shared" si="6"/>
        <v>0.21481289654279426</v>
      </c>
      <c r="X12" s="70">
        <f t="shared" si="6"/>
        <v>0.21348485771738468</v>
      </c>
      <c r="Y12" s="73">
        <f t="shared" si="6"/>
        <v>0.22303797468354428</v>
      </c>
      <c r="Z12" s="73">
        <f t="shared" si="6"/>
        <v>0.21054883919974324</v>
      </c>
      <c r="AA12" s="73">
        <f t="shared" si="6"/>
        <v>0.24448412192322405</v>
      </c>
      <c r="AB12" s="73">
        <f t="shared" si="6"/>
        <v>0.21410800526854973</v>
      </c>
      <c r="AC12" s="70">
        <f t="shared" si="6"/>
        <v>0.22273738291406908</v>
      </c>
      <c r="AD12" s="73">
        <f t="shared" si="6"/>
        <v>0.22645344897682612</v>
      </c>
      <c r="AE12" s="73">
        <f t="shared" si="6"/>
        <v>0.21738156568484712</v>
      </c>
      <c r="AF12" s="73">
        <f t="shared" si="6"/>
        <v>0.26029940814668678</v>
      </c>
      <c r="AG12" s="73">
        <f t="shared" si="6"/>
        <v>0.23342428376534788</v>
      </c>
      <c r="AH12" s="70">
        <f t="shared" si="6"/>
        <v>0.23456828398697877</v>
      </c>
      <c r="AI12" s="73">
        <f t="shared" ref="AI12:BL12" si="7">+AI11/AI4</f>
        <v>0.2356020942408377</v>
      </c>
      <c r="AJ12" s="73">
        <f t="shared" si="7"/>
        <v>0.22888373633653528</v>
      </c>
      <c r="AK12" s="73">
        <f t="shared" si="7"/>
        <v>0.26433915211970077</v>
      </c>
      <c r="AL12" s="73">
        <f t="shared" si="7"/>
        <v>0.22823202325287503</v>
      </c>
      <c r="AM12" s="70">
        <f t="shared" si="7"/>
        <v>0.24022559703903887</v>
      </c>
      <c r="AN12" s="73">
        <f t="shared" si="7"/>
        <v>0.24098536237058193</v>
      </c>
      <c r="AO12" s="73">
        <f t="shared" si="7"/>
        <v>0.22961500493583414</v>
      </c>
      <c r="AP12" s="73">
        <f t="shared" si="7"/>
        <v>0.2684045881126173</v>
      </c>
      <c r="AQ12" s="103">
        <f t="shared" si="7"/>
        <v>0.24759765381255461</v>
      </c>
      <c r="AR12" s="70">
        <f t="shared" si="7"/>
        <v>0.24654084569404469</v>
      </c>
      <c r="AS12" s="73">
        <f t="shared" si="7"/>
        <v>0.24177200774399271</v>
      </c>
      <c r="AT12" s="73">
        <f t="shared" si="7"/>
        <v>0.23387255869007695</v>
      </c>
      <c r="AU12" s="73">
        <f t="shared" si="7"/>
        <v>0.27266530334014993</v>
      </c>
      <c r="AV12" s="73">
        <f t="shared" si="7"/>
        <v>0.23787528868360278</v>
      </c>
      <c r="AW12" s="70">
        <f t="shared" si="7"/>
        <v>0.24714648065948</v>
      </c>
      <c r="AX12" s="73">
        <f t="shared" si="7"/>
        <v>0.234375</v>
      </c>
      <c r="AY12" s="73">
        <f t="shared" si="7"/>
        <v>0.22798887859128822</v>
      </c>
      <c r="AZ12" s="73">
        <f>+AZ11/AZ4</f>
        <v>0.27458256029684602</v>
      </c>
      <c r="BA12" s="73">
        <f>+BA11/BA4</f>
        <v>0.22844344904815231</v>
      </c>
      <c r="BB12" s="70">
        <f t="shared" si="7"/>
        <v>0.24227065382665991</v>
      </c>
      <c r="BC12" s="73">
        <f>+BC11/BC4</f>
        <v>0.23452768729641693</v>
      </c>
      <c r="BD12" s="73">
        <f>+BD11/BD4</f>
        <v>0.22731277533039648</v>
      </c>
      <c r="BE12" s="73">
        <f>+BE11/BE4</f>
        <v>0.25617566331198538</v>
      </c>
      <c r="BF12" s="73">
        <f t="shared" si="7"/>
        <v>0.21858500527983105</v>
      </c>
      <c r="BG12" s="70">
        <f t="shared" si="7"/>
        <v>0.234619140625</v>
      </c>
      <c r="BH12" s="73">
        <f t="shared" si="7"/>
        <v>0.22333333333333333</v>
      </c>
      <c r="BI12" s="73">
        <f t="shared" si="7"/>
        <v>0.2208029197080292</v>
      </c>
      <c r="BJ12" s="73">
        <f t="shared" si="7"/>
        <v>0.25300092336103419</v>
      </c>
      <c r="BK12" s="73">
        <f>+BK11/BK4</f>
        <v>0.21864951768488747</v>
      </c>
      <c r="BL12" s="70">
        <f t="shared" si="7"/>
        <v>0.22956131605184446</v>
      </c>
      <c r="BM12" s="395">
        <f>+BM11/BM4</f>
        <v>0.22780373831775702</v>
      </c>
      <c r="BN12" s="395">
        <f>+BN11/BN4</f>
        <v>0.2132701421800948</v>
      </c>
      <c r="BO12" s="73">
        <f t="shared" ref="BO12:CA12" si="8">+BO11/BO4</f>
        <v>0.23701605288007555</v>
      </c>
      <c r="BP12" s="73">
        <f t="shared" si="8"/>
        <v>0.21758737316798196</v>
      </c>
      <c r="BQ12" s="70">
        <f>+BQ11/BQ4</f>
        <v>0.22400829660357791</v>
      </c>
      <c r="BR12" s="73">
        <f t="shared" si="8"/>
        <v>0.2217438105489774</v>
      </c>
      <c r="BS12" s="73">
        <f t="shared" ref="BS12" si="9">+BS11/BS4</f>
        <v>0.21612349914236706</v>
      </c>
      <c r="BT12" s="73">
        <f t="shared" si="8"/>
        <v>0.23701605288007555</v>
      </c>
      <c r="BU12" s="73">
        <f t="shared" si="8"/>
        <v>0.21758737316798196</v>
      </c>
      <c r="BV12" s="70">
        <f t="shared" si="8"/>
        <v>0.2234823345018242</v>
      </c>
      <c r="BW12" s="73">
        <f t="shared" si="8"/>
        <v>0.2217438105489774</v>
      </c>
      <c r="BX12" s="73">
        <f t="shared" si="8"/>
        <v>0.21612349914236703</v>
      </c>
      <c r="BY12" s="73">
        <f t="shared" si="8"/>
        <v>0.23701605288007557</v>
      </c>
      <c r="BZ12" s="73">
        <f t="shared" si="8"/>
        <v>0.21758737316798196</v>
      </c>
      <c r="CA12" s="70">
        <f t="shared" si="8"/>
        <v>0.22352761276543912</v>
      </c>
      <c r="CB12" s="73">
        <f t="shared" ref="CB12:CK12" si="10">+CB11/CB4</f>
        <v>0.2217438105489774</v>
      </c>
      <c r="CC12" s="73">
        <f t="shared" si="10"/>
        <v>0.21612349914236706</v>
      </c>
      <c r="CD12" s="73">
        <f t="shared" si="10"/>
        <v>0.23701605288007552</v>
      </c>
      <c r="CE12" s="73">
        <f t="shared" si="10"/>
        <v>0.21758737316798196</v>
      </c>
      <c r="CF12" s="70">
        <f t="shared" si="10"/>
        <v>0.22352761276543912</v>
      </c>
      <c r="CG12" s="73">
        <f t="shared" si="10"/>
        <v>0.2217438105489774</v>
      </c>
      <c r="CH12" s="73">
        <f t="shared" si="10"/>
        <v>0.21612349914236703</v>
      </c>
      <c r="CI12" s="73">
        <f t="shared" si="10"/>
        <v>0.23701605288007555</v>
      </c>
      <c r="CJ12" s="73">
        <f t="shared" si="10"/>
        <v>0.21758737316798196</v>
      </c>
      <c r="CK12" s="70">
        <f t="shared" si="10"/>
        <v>0.22352761276543909</v>
      </c>
      <c r="CL12" s="73">
        <f>+CL11/CL4</f>
        <v>0.2217438105489774</v>
      </c>
      <c r="CM12" s="73">
        <f>+CM11/CM4</f>
        <v>0.21612349914236706</v>
      </c>
      <c r="CN12" s="73">
        <f>+CN11/CN4</f>
        <v>0.23701605288007552</v>
      </c>
      <c r="CO12" s="73">
        <f>+CO11/CO4</f>
        <v>0.21758737316798196</v>
      </c>
      <c r="CP12" s="70">
        <f>+CP11/CP4</f>
        <v>0.22352761276543914</v>
      </c>
      <c r="DI12"/>
      <c r="DJ12"/>
      <c r="DK12"/>
      <c r="DL12"/>
    </row>
    <row r="13" spans="1:116" x14ac:dyDescent="0.25">
      <c r="C13" s="70"/>
      <c r="D13" s="70"/>
      <c r="E13" s="73"/>
      <c r="F13" s="73"/>
      <c r="G13" s="73"/>
      <c r="H13" s="88"/>
      <c r="I13" s="70"/>
      <c r="J13" s="73"/>
      <c r="K13" s="73"/>
      <c r="L13" s="73"/>
      <c r="M13" s="88"/>
      <c r="N13" s="70"/>
      <c r="O13" s="73"/>
      <c r="P13" s="73"/>
      <c r="Q13" s="73"/>
      <c r="R13" s="88"/>
      <c r="S13" s="70"/>
      <c r="T13" s="73"/>
      <c r="U13" s="73"/>
      <c r="V13" s="73"/>
      <c r="W13" s="88"/>
      <c r="X13" s="70"/>
      <c r="Y13" s="73"/>
      <c r="Z13" s="73"/>
      <c r="AA13" s="73"/>
      <c r="AB13" s="49"/>
      <c r="AC13" s="70"/>
      <c r="AD13" s="73"/>
      <c r="AE13" s="73"/>
      <c r="AF13" s="73"/>
      <c r="AG13" s="73"/>
      <c r="AH13" s="70"/>
      <c r="AI13" s="73"/>
      <c r="AJ13" s="73"/>
      <c r="AK13" s="73"/>
      <c r="AL13" s="73"/>
      <c r="AM13" s="70"/>
      <c r="AN13" s="73"/>
      <c r="AO13" s="73"/>
      <c r="AP13" s="73"/>
      <c r="AQ13" s="103"/>
      <c r="AR13" s="259"/>
      <c r="AS13" s="73"/>
      <c r="AT13" s="73"/>
      <c r="AU13" s="73"/>
      <c r="AV13" s="73"/>
      <c r="AW13" s="70"/>
      <c r="AX13" s="73"/>
      <c r="AY13" s="73"/>
      <c r="AZ13" s="73"/>
      <c r="BA13" s="73"/>
      <c r="BB13" s="70"/>
      <c r="BC13" s="73"/>
      <c r="BD13" s="73"/>
      <c r="BE13" s="73"/>
      <c r="BF13" s="73"/>
      <c r="BG13" s="70"/>
      <c r="BH13" s="73"/>
      <c r="BI13" s="73"/>
      <c r="BJ13" s="73"/>
      <c r="BK13" s="73"/>
      <c r="BL13" s="70"/>
      <c r="BM13" s="404"/>
      <c r="BN13" s="138"/>
      <c r="BO13" s="138"/>
      <c r="BP13" s="138"/>
      <c r="BQ13" s="137"/>
      <c r="BR13" s="138"/>
      <c r="BS13" s="138"/>
      <c r="BT13" s="138"/>
      <c r="BU13" s="138"/>
      <c r="BV13" s="137"/>
      <c r="BW13" s="138"/>
      <c r="BX13" s="138"/>
      <c r="BY13" s="138"/>
      <c r="BZ13" s="138"/>
      <c r="CA13" s="137"/>
      <c r="CB13" s="138"/>
      <c r="CC13" s="138"/>
      <c r="CD13" s="138"/>
      <c r="CE13" s="138"/>
      <c r="CF13" s="137"/>
      <c r="CG13" s="138"/>
      <c r="CH13" s="138"/>
      <c r="CI13" s="138"/>
      <c r="CJ13" s="138"/>
      <c r="CK13" s="137"/>
      <c r="CL13" s="138"/>
      <c r="CM13" s="138"/>
      <c r="CN13" s="138"/>
      <c r="CO13" s="138"/>
      <c r="CP13" s="137"/>
    </row>
    <row r="14" spans="1:116" s="38" customFormat="1" x14ac:dyDescent="0.25">
      <c r="A14" s="38" t="s">
        <v>173</v>
      </c>
      <c r="C14" s="57">
        <f t="shared" ref="C14:AH14" si="11">C4-C11</f>
        <v>1533.1</v>
      </c>
      <c r="D14" s="57">
        <f t="shared" si="11"/>
        <v>1691.1000000000001</v>
      </c>
      <c r="E14" s="46">
        <f t="shared" si="11"/>
        <v>399.3</v>
      </c>
      <c r="F14" s="46">
        <f t="shared" si="11"/>
        <v>517.6</v>
      </c>
      <c r="G14" s="46">
        <f t="shared" si="11"/>
        <v>478.99999999999994</v>
      </c>
      <c r="H14" s="58">
        <f t="shared" si="11"/>
        <v>414.19999999999993</v>
      </c>
      <c r="I14" s="57">
        <f t="shared" si="11"/>
        <v>1810.1</v>
      </c>
      <c r="J14" s="46">
        <f t="shared" si="11"/>
        <v>444.3</v>
      </c>
      <c r="K14" s="46">
        <f t="shared" si="11"/>
        <v>542.1</v>
      </c>
      <c r="L14" s="46">
        <f t="shared" si="11"/>
        <v>494.8</v>
      </c>
      <c r="M14" s="58">
        <f t="shared" si="11"/>
        <v>462.6</v>
      </c>
      <c r="N14" s="57">
        <f t="shared" si="11"/>
        <v>1943.7999999999997</v>
      </c>
      <c r="O14" s="46">
        <f t="shared" si="11"/>
        <v>505</v>
      </c>
      <c r="P14" s="46">
        <f t="shared" si="11"/>
        <v>582.20000000000005</v>
      </c>
      <c r="Q14" s="46">
        <f t="shared" si="11"/>
        <v>582.09999999999991</v>
      </c>
      <c r="R14" s="58">
        <f t="shared" si="11"/>
        <v>548.4</v>
      </c>
      <c r="S14" s="57">
        <f t="shared" si="11"/>
        <v>2217.6999999999998</v>
      </c>
      <c r="T14" s="46">
        <f t="shared" si="11"/>
        <v>587.1</v>
      </c>
      <c r="U14" s="46">
        <f t="shared" si="11"/>
        <v>715.59999999999991</v>
      </c>
      <c r="V14" s="46">
        <f t="shared" si="11"/>
        <v>672.4</v>
      </c>
      <c r="W14" s="58">
        <f t="shared" si="11"/>
        <v>606.4</v>
      </c>
      <c r="X14" s="57">
        <f t="shared" si="11"/>
        <v>2581.5</v>
      </c>
      <c r="Y14" s="46">
        <f t="shared" si="11"/>
        <v>613.79999999999995</v>
      </c>
      <c r="Z14" s="46">
        <f t="shared" si="11"/>
        <v>737.90000000000009</v>
      </c>
      <c r="AA14" s="46">
        <f t="shared" si="11"/>
        <v>592.40000000000009</v>
      </c>
      <c r="AB14" s="46">
        <f t="shared" si="11"/>
        <v>537</v>
      </c>
      <c r="AC14" s="57">
        <f t="shared" si="11"/>
        <v>2481.1000000000004</v>
      </c>
      <c r="AD14" s="46">
        <f t="shared" si="11"/>
        <v>570.79999999999995</v>
      </c>
      <c r="AE14" s="46">
        <f t="shared" si="11"/>
        <v>698.8</v>
      </c>
      <c r="AF14" s="46">
        <f t="shared" si="11"/>
        <v>637.40000000000009</v>
      </c>
      <c r="AG14" s="46">
        <f t="shared" si="11"/>
        <v>561.9</v>
      </c>
      <c r="AH14" s="57">
        <f t="shared" si="11"/>
        <v>2468.9</v>
      </c>
      <c r="AI14" s="46">
        <f t="shared" ref="AI14:BN14" si="12">AI4-AI11</f>
        <v>569.4</v>
      </c>
      <c r="AJ14" s="46">
        <f t="shared" si="12"/>
        <v>698.40000000000009</v>
      </c>
      <c r="AK14" s="46">
        <f t="shared" si="12"/>
        <v>708</v>
      </c>
      <c r="AL14" s="46">
        <f t="shared" si="12"/>
        <v>610.69999999999993</v>
      </c>
      <c r="AM14" s="57">
        <f t="shared" si="12"/>
        <v>2586.5</v>
      </c>
      <c r="AN14" s="46">
        <f t="shared" si="12"/>
        <v>637.79999999999995</v>
      </c>
      <c r="AO14" s="46">
        <f t="shared" si="12"/>
        <v>780.4</v>
      </c>
      <c r="AP14" s="46">
        <f t="shared" si="12"/>
        <v>701.6</v>
      </c>
      <c r="AQ14" s="277">
        <f t="shared" si="12"/>
        <v>602.9</v>
      </c>
      <c r="AR14" s="57">
        <f t="shared" si="12"/>
        <v>2722.7000000000003</v>
      </c>
      <c r="AS14" s="46">
        <f t="shared" si="12"/>
        <v>665.8</v>
      </c>
      <c r="AT14" s="46">
        <f t="shared" si="12"/>
        <v>776.69999999999993</v>
      </c>
      <c r="AU14" s="46">
        <f t="shared" si="12"/>
        <v>746.90000000000009</v>
      </c>
      <c r="AV14" s="46">
        <f t="shared" si="12"/>
        <v>660</v>
      </c>
      <c r="AW14" s="57">
        <f>AW4-AW11</f>
        <v>2849.4</v>
      </c>
      <c r="AX14" s="46">
        <f>AX4-AX11</f>
        <v>686</v>
      </c>
      <c r="AY14" s="46">
        <f>AY4-AY11</f>
        <v>833</v>
      </c>
      <c r="AZ14" s="46">
        <f>AZ4-AZ11</f>
        <v>782</v>
      </c>
      <c r="BA14" s="46">
        <f>BA4-BA11</f>
        <v>689</v>
      </c>
      <c r="BB14" s="57">
        <f t="shared" si="12"/>
        <v>2990</v>
      </c>
      <c r="BC14" s="46">
        <f>BC4-BC11</f>
        <v>705</v>
      </c>
      <c r="BD14" s="46">
        <f>BD4-BD11</f>
        <v>877</v>
      </c>
      <c r="BE14" s="46">
        <f>BE4-BE11</f>
        <v>813</v>
      </c>
      <c r="BF14" s="46">
        <f t="shared" si="12"/>
        <v>740</v>
      </c>
      <c r="BG14" s="57">
        <f t="shared" si="12"/>
        <v>3135</v>
      </c>
      <c r="BH14" s="46">
        <f t="shared" si="12"/>
        <v>699</v>
      </c>
      <c r="BI14" s="46">
        <f t="shared" si="12"/>
        <v>854</v>
      </c>
      <c r="BJ14" s="46">
        <f t="shared" si="12"/>
        <v>809</v>
      </c>
      <c r="BK14" s="46">
        <f>BK4-BK11</f>
        <v>729</v>
      </c>
      <c r="BL14" s="57">
        <f>BL4-BL11</f>
        <v>3091</v>
      </c>
      <c r="BM14" s="396">
        <f>BM4-BM11</f>
        <v>661</v>
      </c>
      <c r="BN14" s="46">
        <f t="shared" si="12"/>
        <v>830</v>
      </c>
      <c r="BO14" s="46">
        <f t="shared" ref="BO14:CA14" si="13">BO4-BO11</f>
        <v>808</v>
      </c>
      <c r="BP14" s="46">
        <f t="shared" si="13"/>
        <v>694</v>
      </c>
      <c r="BQ14" s="57">
        <f>BQ4-BQ11</f>
        <v>2993</v>
      </c>
      <c r="BR14" s="46">
        <f t="shared" si="13"/>
        <v>723</v>
      </c>
      <c r="BS14" s="46">
        <f t="shared" si="13"/>
        <v>914</v>
      </c>
      <c r="BT14" s="46">
        <f t="shared" si="13"/>
        <v>890.33659132403068</v>
      </c>
      <c r="BU14" s="46">
        <f t="shared" si="13"/>
        <v>742.89121234498839</v>
      </c>
      <c r="BV14" s="57">
        <f t="shared" si="13"/>
        <v>3270.2278036690191</v>
      </c>
      <c r="BW14" s="46">
        <f t="shared" si="13"/>
        <v>771.98378785130797</v>
      </c>
      <c r="BX14" s="46">
        <f t="shared" si="13"/>
        <v>943.61329669732447</v>
      </c>
      <c r="BY14" s="46">
        <f t="shared" si="13"/>
        <v>941.21139339628292</v>
      </c>
      <c r="BZ14" s="46">
        <f t="shared" si="13"/>
        <v>784.60781402471957</v>
      </c>
      <c r="CA14" s="57">
        <f t="shared" si="13"/>
        <v>3441.4162919696355</v>
      </c>
      <c r="CB14" s="46">
        <f t="shared" ref="CB14:CK14" si="14">CB4-CB11</f>
        <v>810.58297724387342</v>
      </c>
      <c r="CC14" s="46">
        <f t="shared" si="14"/>
        <v>990.79396153219068</v>
      </c>
      <c r="CD14" s="46">
        <f t="shared" si="14"/>
        <v>988.27196306609721</v>
      </c>
      <c r="CE14" s="46">
        <f t="shared" si="14"/>
        <v>823.83820472595528</v>
      </c>
      <c r="CF14" s="57">
        <f t="shared" si="14"/>
        <v>3613.4871065681168</v>
      </c>
      <c r="CG14" s="46">
        <f t="shared" si="14"/>
        <v>851.11212610606708</v>
      </c>
      <c r="CH14" s="46">
        <f t="shared" si="14"/>
        <v>1040.3336596088002</v>
      </c>
      <c r="CI14" s="46">
        <f t="shared" si="14"/>
        <v>1037.6855612194022</v>
      </c>
      <c r="CJ14" s="46">
        <f t="shared" si="14"/>
        <v>865.03011496225304</v>
      </c>
      <c r="CK14" s="57">
        <f t="shared" si="14"/>
        <v>3794.1614618965227</v>
      </c>
      <c r="CL14" s="46">
        <f>CL4-CL11</f>
        <v>893.66773241137048</v>
      </c>
      <c r="CM14" s="46">
        <f>CM4-CM11</f>
        <v>1092.3503425892402</v>
      </c>
      <c r="CN14" s="46">
        <f>CN4-CN11</f>
        <v>1089.5698392803722</v>
      </c>
      <c r="CO14" s="46">
        <f>CO4-CO11</f>
        <v>908.28162071036559</v>
      </c>
      <c r="CP14" s="57">
        <f>CP4-CP11</f>
        <v>3983.8695349913487</v>
      </c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</row>
    <row r="15" spans="1:116" x14ac:dyDescent="0.25">
      <c r="B15" s="52" t="s">
        <v>1</v>
      </c>
      <c r="C15" s="98"/>
      <c r="D15" s="70">
        <f>+D14/C14-1</f>
        <v>0.10305916117670089</v>
      </c>
      <c r="E15" s="73"/>
      <c r="F15" s="73"/>
      <c r="G15" s="73"/>
      <c r="H15" s="88"/>
      <c r="I15" s="70">
        <f t="shared" ref="I15:AB15" si="15">+I14/D14-1</f>
        <v>7.0368399266749204E-2</v>
      </c>
      <c r="J15" s="73">
        <f t="shared" si="15"/>
        <v>0.11269722013523675</v>
      </c>
      <c r="K15" s="73">
        <f t="shared" si="15"/>
        <v>4.7333848531684763E-2</v>
      </c>
      <c r="L15" s="73">
        <f t="shared" si="15"/>
        <v>3.2985386221294544E-2</v>
      </c>
      <c r="M15" s="88">
        <f t="shared" si="15"/>
        <v>0.11685176243360718</v>
      </c>
      <c r="N15" s="70">
        <f t="shared" si="15"/>
        <v>7.3863322468371795E-2</v>
      </c>
      <c r="O15" s="73">
        <f t="shared" si="15"/>
        <v>0.13661940130542427</v>
      </c>
      <c r="P15" s="73">
        <f t="shared" si="15"/>
        <v>7.3971591957203486E-2</v>
      </c>
      <c r="Q15" s="73">
        <f t="shared" si="15"/>
        <v>0.17643492320129317</v>
      </c>
      <c r="R15" s="88">
        <f t="shared" si="15"/>
        <v>0.18547341115434479</v>
      </c>
      <c r="S15" s="70">
        <f t="shared" si="15"/>
        <v>0.1409095585965634</v>
      </c>
      <c r="T15" s="73">
        <f t="shared" si="15"/>
        <v>0.16257425742574272</v>
      </c>
      <c r="U15" s="73">
        <f t="shared" si="15"/>
        <v>0.229130882858124</v>
      </c>
      <c r="V15" s="73">
        <f t="shared" si="15"/>
        <v>0.15512798488232282</v>
      </c>
      <c r="W15" s="88">
        <f t="shared" si="15"/>
        <v>0.10576221735959157</v>
      </c>
      <c r="X15" s="70">
        <f t="shared" si="15"/>
        <v>0.16404382919240668</v>
      </c>
      <c r="Y15" s="73">
        <f t="shared" si="15"/>
        <v>4.5477772100153135E-2</v>
      </c>
      <c r="Z15" s="73">
        <f t="shared" si="15"/>
        <v>3.116266070430429E-2</v>
      </c>
      <c r="AA15" s="73">
        <f t="shared" si="15"/>
        <v>-0.11897679952409268</v>
      </c>
      <c r="AB15" s="88">
        <f t="shared" si="15"/>
        <v>-0.11444591029023743</v>
      </c>
      <c r="AC15" s="70">
        <f t="shared" ref="AC15:BG15" si="16">+AC14/X14-1</f>
        <v>-3.8892116986248171E-2</v>
      </c>
      <c r="AD15" s="73">
        <f t="shared" si="16"/>
        <v>-7.0055392636037772E-2</v>
      </c>
      <c r="AE15" s="73">
        <f t="shared" si="16"/>
        <v>-5.2988209784523788E-2</v>
      </c>
      <c r="AF15" s="73">
        <f t="shared" si="16"/>
        <v>7.5962187711006157E-2</v>
      </c>
      <c r="AG15" s="88">
        <f t="shared" si="16"/>
        <v>4.6368715083798806E-2</v>
      </c>
      <c r="AH15" s="70">
        <f t="shared" si="16"/>
        <v>-4.9171738341865501E-3</v>
      </c>
      <c r="AI15" s="73">
        <f t="shared" si="16"/>
        <v>-2.4526979677644833E-3</v>
      </c>
      <c r="AJ15" s="73">
        <f t="shared" si="16"/>
        <v>-5.7240984544915108E-4</v>
      </c>
      <c r="AK15" s="73">
        <f t="shared" si="16"/>
        <v>0.11076247254471272</v>
      </c>
      <c r="AL15" s="73">
        <f t="shared" si="16"/>
        <v>8.6848193628759507E-2</v>
      </c>
      <c r="AM15" s="70">
        <f t="shared" si="16"/>
        <v>4.7632548908420613E-2</v>
      </c>
      <c r="AN15" s="73">
        <f t="shared" si="16"/>
        <v>0.12012644889357205</v>
      </c>
      <c r="AO15" s="73">
        <f t="shared" si="16"/>
        <v>0.11741122565864814</v>
      </c>
      <c r="AP15" s="73">
        <f t="shared" si="16"/>
        <v>-9.0395480225988756E-3</v>
      </c>
      <c r="AQ15" s="93">
        <f t="shared" si="16"/>
        <v>-1.2772228590142376E-2</v>
      </c>
      <c r="AR15" s="70">
        <f t="shared" si="16"/>
        <v>5.2658032089696549E-2</v>
      </c>
      <c r="AS15" s="73">
        <f t="shared" si="16"/>
        <v>4.3900909375979902E-2</v>
      </c>
      <c r="AT15" s="73">
        <f t="shared" si="16"/>
        <v>-4.7411583803178559E-3</v>
      </c>
      <c r="AU15" s="73">
        <f t="shared" si="16"/>
        <v>6.4566704675028674E-2</v>
      </c>
      <c r="AV15" s="88">
        <f t="shared" si="16"/>
        <v>9.4708906949742877E-2</v>
      </c>
      <c r="AW15" s="70">
        <f t="shared" si="16"/>
        <v>4.6534689829948128E-2</v>
      </c>
      <c r="AX15" s="88">
        <f t="shared" si="16"/>
        <v>3.0339441273655732E-2</v>
      </c>
      <c r="AY15" s="73">
        <f t="shared" ref="AY15:BE15" si="17">+AY14/AT14-1</f>
        <v>7.2486159392300964E-2</v>
      </c>
      <c r="AZ15" s="73">
        <f t="shared" si="17"/>
        <v>4.6994242870531444E-2</v>
      </c>
      <c r="BA15" s="88">
        <f t="shared" si="17"/>
        <v>4.3939393939393945E-2</v>
      </c>
      <c r="BB15" s="70">
        <f t="shared" si="17"/>
        <v>4.9343721485225034E-2</v>
      </c>
      <c r="BC15" s="73">
        <f t="shared" si="17"/>
        <v>2.7696793002915499E-2</v>
      </c>
      <c r="BD15" s="73">
        <f t="shared" si="17"/>
        <v>5.282112845138065E-2</v>
      </c>
      <c r="BE15" s="73">
        <f t="shared" si="17"/>
        <v>3.9641943734015417E-2</v>
      </c>
      <c r="BF15" s="73">
        <f t="shared" si="16"/>
        <v>7.4020319303338189E-2</v>
      </c>
      <c r="BG15" s="70">
        <f t="shared" si="16"/>
        <v>4.8494983277592052E-2</v>
      </c>
      <c r="BH15" s="73">
        <f t="shared" ref="BH15:CA15" si="18">+BH14/BC14-1</f>
        <v>-8.5106382978723527E-3</v>
      </c>
      <c r="BI15" s="73">
        <f t="shared" si="18"/>
        <v>-2.6225769669327215E-2</v>
      </c>
      <c r="BJ15" s="73">
        <f t="shared" si="18"/>
        <v>-4.9200492004920493E-3</v>
      </c>
      <c r="BK15" s="88">
        <f t="shared" si="18"/>
        <v>-1.4864864864864824E-2</v>
      </c>
      <c r="BL15" s="70">
        <f t="shared" si="18"/>
        <v>-1.4035087719298289E-2</v>
      </c>
      <c r="BM15" s="395">
        <f>+BM14/BH14-1</f>
        <v>-5.436337625178822E-2</v>
      </c>
      <c r="BN15" s="73">
        <f t="shared" si="18"/>
        <v>-2.8103044496487151E-2</v>
      </c>
      <c r="BO15" s="73">
        <f t="shared" si="18"/>
        <v>-1.2360939431397266E-3</v>
      </c>
      <c r="BP15" s="88">
        <f t="shared" si="18"/>
        <v>-4.8010973936899903E-2</v>
      </c>
      <c r="BQ15" s="70">
        <f t="shared" si="18"/>
        <v>-3.1704949854416076E-2</v>
      </c>
      <c r="BR15" s="73">
        <f t="shared" si="18"/>
        <v>9.3797276853252676E-2</v>
      </c>
      <c r="BS15" s="73">
        <f t="shared" si="18"/>
        <v>0.10120481927710845</v>
      </c>
      <c r="BT15" s="73">
        <f t="shared" si="18"/>
        <v>0.10190172193568148</v>
      </c>
      <c r="BU15" s="88">
        <f t="shared" si="18"/>
        <v>7.0448432773758451E-2</v>
      </c>
      <c r="BV15" s="70">
        <f t="shared" si="18"/>
        <v>9.2625393808559719E-2</v>
      </c>
      <c r="BW15" s="73">
        <f t="shared" si="18"/>
        <v>6.7750743916055178E-2</v>
      </c>
      <c r="BX15" s="73">
        <f t="shared" si="18"/>
        <v>3.2399668158998418E-2</v>
      </c>
      <c r="BY15" s="73">
        <f t="shared" si="18"/>
        <v>5.7141088626488701E-2</v>
      </c>
      <c r="BZ15" s="88">
        <f t="shared" si="18"/>
        <v>5.6154388403720334E-2</v>
      </c>
      <c r="CA15" s="70">
        <f t="shared" si="18"/>
        <v>5.2347572884235305E-2</v>
      </c>
      <c r="CB15" s="73">
        <f t="shared" ref="CB15:CK15" si="19">+CB14/BW14-1</f>
        <v>5.0000000000000044E-2</v>
      </c>
      <c r="CC15" s="73">
        <f t="shared" si="19"/>
        <v>5.0000000000000044E-2</v>
      </c>
      <c r="CD15" s="73">
        <f t="shared" si="19"/>
        <v>5.0000000000000266E-2</v>
      </c>
      <c r="CE15" s="88">
        <f t="shared" si="19"/>
        <v>4.99999999999996E-2</v>
      </c>
      <c r="CF15" s="70">
        <f t="shared" si="19"/>
        <v>4.9999999999999822E-2</v>
      </c>
      <c r="CG15" s="73">
        <f t="shared" si="19"/>
        <v>5.0000000000000044E-2</v>
      </c>
      <c r="CH15" s="73">
        <f t="shared" si="19"/>
        <v>5.0000000000000044E-2</v>
      </c>
      <c r="CI15" s="73">
        <f t="shared" si="19"/>
        <v>5.0000000000000044E-2</v>
      </c>
      <c r="CJ15" s="88">
        <f t="shared" si="19"/>
        <v>5.0000000000000044E-2</v>
      </c>
      <c r="CK15" s="70">
        <f t="shared" si="19"/>
        <v>5.0000000000000044E-2</v>
      </c>
      <c r="CL15" s="73">
        <f>+CL14/CG14-1</f>
        <v>5.0000000000000044E-2</v>
      </c>
      <c r="CM15" s="73">
        <f>+CM14/CH14-1</f>
        <v>5.0000000000000044E-2</v>
      </c>
      <c r="CN15" s="73">
        <f>+CN14/CI14-1</f>
        <v>4.9999999999999822E-2</v>
      </c>
      <c r="CO15" s="88">
        <f>+CO14/CJ14-1</f>
        <v>4.9999999999999822E-2</v>
      </c>
      <c r="CP15" s="70">
        <f>+CP14/CK14-1</f>
        <v>5.0000000000000044E-2</v>
      </c>
    </row>
    <row r="16" spans="1:116" x14ac:dyDescent="0.25">
      <c r="C16" s="98"/>
      <c r="D16" s="98"/>
      <c r="E16" s="99"/>
      <c r="F16" s="99"/>
      <c r="G16" s="99"/>
      <c r="H16" s="100"/>
      <c r="I16" s="98"/>
      <c r="J16" s="99"/>
      <c r="K16" s="99"/>
      <c r="L16" s="99"/>
      <c r="M16" s="100"/>
      <c r="N16" s="98"/>
      <c r="O16" s="99"/>
      <c r="P16" s="99"/>
      <c r="Q16" s="99"/>
      <c r="R16" s="100"/>
      <c r="S16" s="98"/>
      <c r="T16" s="99"/>
      <c r="U16" s="99"/>
      <c r="V16" s="99"/>
      <c r="W16" s="100"/>
      <c r="X16" s="98"/>
      <c r="Y16" s="99"/>
      <c r="Z16" s="99"/>
      <c r="AA16" s="99"/>
      <c r="AB16" s="101"/>
      <c r="AC16" s="98"/>
      <c r="AD16" s="99"/>
      <c r="AE16" s="99"/>
      <c r="AF16" s="99"/>
      <c r="AG16" s="99"/>
      <c r="AH16" s="98"/>
      <c r="AI16" s="99"/>
      <c r="AJ16" s="99"/>
      <c r="AK16" s="99"/>
      <c r="AL16" s="99"/>
      <c r="AM16" s="98"/>
      <c r="AN16" s="99"/>
      <c r="AO16" s="99"/>
      <c r="AP16" s="99"/>
      <c r="AQ16" s="237"/>
      <c r="AR16" s="156"/>
      <c r="AS16" s="251"/>
      <c r="AT16" s="99"/>
      <c r="AU16" s="99"/>
      <c r="AV16" s="99"/>
      <c r="AW16" s="70"/>
      <c r="AX16" s="95"/>
      <c r="AY16" s="95"/>
      <c r="AZ16" s="95"/>
      <c r="BA16" s="95"/>
      <c r="BB16" s="342"/>
      <c r="BC16" s="46"/>
      <c r="BD16" s="46"/>
      <c r="BE16" s="47"/>
      <c r="BF16" s="47"/>
      <c r="BG16" s="94"/>
      <c r="BH16" s="47"/>
      <c r="BI16" s="99"/>
      <c r="BJ16" s="99"/>
      <c r="BK16" s="99"/>
      <c r="BL16" s="98"/>
      <c r="BM16" s="397"/>
      <c r="BN16" s="99"/>
      <c r="BO16" s="99"/>
      <c r="BP16" s="99"/>
      <c r="BQ16" s="98"/>
      <c r="BR16" s="99"/>
      <c r="BS16" s="99"/>
      <c r="BT16" s="99"/>
      <c r="BU16" s="99"/>
      <c r="BV16" s="98"/>
      <c r="BW16" s="99"/>
      <c r="BX16" s="99"/>
      <c r="BY16" s="99"/>
      <c r="BZ16" s="99"/>
      <c r="CA16" s="98"/>
      <c r="CB16" s="99"/>
      <c r="CC16" s="99"/>
      <c r="CD16" s="99"/>
      <c r="CE16" s="99"/>
      <c r="CF16" s="98"/>
      <c r="CG16" s="99"/>
      <c r="CH16" s="99"/>
      <c r="CI16" s="99"/>
      <c r="CJ16" s="99"/>
      <c r="CK16" s="98"/>
      <c r="CL16" s="99"/>
      <c r="CM16" s="99"/>
      <c r="CN16" s="99"/>
      <c r="CO16" s="99"/>
      <c r="CP16" s="98"/>
    </row>
    <row r="17" spans="1:109" x14ac:dyDescent="0.25">
      <c r="A17" s="52" t="s">
        <v>5</v>
      </c>
      <c r="C17" s="94">
        <f t="shared" ref="C17:R17" si="20">C4-C18-C11</f>
        <v>602.59999999999991</v>
      </c>
      <c r="D17" s="94">
        <f t="shared" si="20"/>
        <v>631.20000000000005</v>
      </c>
      <c r="E17" s="95">
        <f t="shared" si="20"/>
        <v>145.9</v>
      </c>
      <c r="F17" s="95">
        <f t="shared" si="20"/>
        <v>187.10000000000005</v>
      </c>
      <c r="G17" s="95">
        <f t="shared" si="20"/>
        <v>173.99999999999994</v>
      </c>
      <c r="H17" s="96">
        <f t="shared" si="20"/>
        <v>133.19999999999993</v>
      </c>
      <c r="I17" s="94">
        <f t="shared" si="20"/>
        <v>640.1999999999997</v>
      </c>
      <c r="J17" s="95">
        <f t="shared" si="20"/>
        <v>143.30000000000001</v>
      </c>
      <c r="K17" s="95">
        <f t="shared" si="20"/>
        <v>188.50000000000011</v>
      </c>
      <c r="L17" s="95">
        <f t="shared" si="20"/>
        <v>164</v>
      </c>
      <c r="M17" s="96">
        <f t="shared" si="20"/>
        <v>139.60000000000002</v>
      </c>
      <c r="N17" s="94">
        <f t="shared" si="20"/>
        <v>635.4</v>
      </c>
      <c r="O17" s="95">
        <f t="shared" si="20"/>
        <v>156.1</v>
      </c>
      <c r="P17" s="95">
        <f t="shared" si="20"/>
        <v>199.49999999999986</v>
      </c>
      <c r="Q17" s="95">
        <f t="shared" si="20"/>
        <v>194.79999999999995</v>
      </c>
      <c r="R17" s="96">
        <f t="shared" si="20"/>
        <v>186.49999999999997</v>
      </c>
      <c r="S17" s="94">
        <f>O17+P17+Q17+R17</f>
        <v>736.89999999999986</v>
      </c>
      <c r="T17" s="95">
        <f t="shared" ref="T17:AV17" si="21">T4-T18-T11</f>
        <v>196.10000000000002</v>
      </c>
      <c r="U17" s="95">
        <f t="shared" si="21"/>
        <v>245.59999999999997</v>
      </c>
      <c r="V17" s="95">
        <f t="shared" si="21"/>
        <v>239.79999999999995</v>
      </c>
      <c r="W17" s="96">
        <f t="shared" si="21"/>
        <v>205.39999999999995</v>
      </c>
      <c r="X17" s="94">
        <f t="shared" si="21"/>
        <v>886.9</v>
      </c>
      <c r="Y17" s="95">
        <f t="shared" si="21"/>
        <v>211</v>
      </c>
      <c r="Z17" s="95">
        <f t="shared" si="21"/>
        <v>271.20000000000005</v>
      </c>
      <c r="AA17" s="95">
        <f t="shared" si="21"/>
        <v>221.8</v>
      </c>
      <c r="AB17" s="95">
        <f t="shared" si="21"/>
        <v>178.39999999999992</v>
      </c>
      <c r="AC17" s="94">
        <f t="shared" si="21"/>
        <v>882.40000000000055</v>
      </c>
      <c r="AD17" s="95">
        <f t="shared" si="21"/>
        <v>190.69999999999996</v>
      </c>
      <c r="AE17" s="95">
        <f t="shared" si="21"/>
        <v>255.79999999999998</v>
      </c>
      <c r="AF17" s="95">
        <f t="shared" si="21"/>
        <v>226.50000000000006</v>
      </c>
      <c r="AG17" s="95">
        <f t="shared" si="21"/>
        <v>184.6</v>
      </c>
      <c r="AH17" s="94">
        <f t="shared" si="21"/>
        <v>857.6</v>
      </c>
      <c r="AI17" s="95">
        <f t="shared" si="21"/>
        <v>190.59999999999997</v>
      </c>
      <c r="AJ17" s="95">
        <f t="shared" si="21"/>
        <v>239.60000000000002</v>
      </c>
      <c r="AK17" s="95">
        <f t="shared" si="21"/>
        <v>244.49999999999997</v>
      </c>
      <c r="AL17" s="95">
        <f t="shared" si="21"/>
        <v>187.39999999999995</v>
      </c>
      <c r="AM17" s="94">
        <f>AM4-AM18-AM11</f>
        <v>862.10000000000025</v>
      </c>
      <c r="AN17" s="95">
        <f t="shared" si="21"/>
        <v>217.49999999999994</v>
      </c>
      <c r="AO17" s="95">
        <f t="shared" si="21"/>
        <v>278.5</v>
      </c>
      <c r="AP17" s="95">
        <f t="shared" si="21"/>
        <v>250.70000000000005</v>
      </c>
      <c r="AQ17" s="119">
        <f t="shared" si="21"/>
        <v>181.09999999999994</v>
      </c>
      <c r="AR17" s="94">
        <f t="shared" si="21"/>
        <v>927.80000000000052</v>
      </c>
      <c r="AS17" s="95">
        <f t="shared" si="21"/>
        <v>201.7</v>
      </c>
      <c r="AT17" s="95">
        <f t="shared" si="21"/>
        <v>252.19999999999996</v>
      </c>
      <c r="AU17" s="95">
        <f t="shared" si="21"/>
        <v>240.20000000000005</v>
      </c>
      <c r="AV17" s="95">
        <f t="shared" si="21"/>
        <v>200</v>
      </c>
      <c r="AW17" s="94">
        <f>AW4-AW18-AW11</f>
        <v>894.10000000000025</v>
      </c>
      <c r="AX17" s="95">
        <f>AX4-AX18-AX11</f>
        <v>209</v>
      </c>
      <c r="AY17" s="95">
        <f>AY4-AY18-AY11</f>
        <v>257</v>
      </c>
      <c r="AZ17" s="95">
        <f>AZ4-AZ18-AZ11</f>
        <v>250</v>
      </c>
      <c r="BA17" s="95">
        <f>BA4-BA18-BA11</f>
        <v>196</v>
      </c>
      <c r="BB17" s="94">
        <f t="shared" ref="BB17:CA17" si="22">BB4-BB18-BB11</f>
        <v>912</v>
      </c>
      <c r="BC17" s="95">
        <f>BC4-BC18-BC11</f>
        <v>210</v>
      </c>
      <c r="BD17" s="95">
        <f>BD4-BD18-BD11</f>
        <v>268</v>
      </c>
      <c r="BE17" s="95">
        <f>BE4-BE18-BE11</f>
        <v>260</v>
      </c>
      <c r="BF17" s="95">
        <f t="shared" si="22"/>
        <v>213</v>
      </c>
      <c r="BG17" s="94">
        <f t="shared" si="22"/>
        <v>951</v>
      </c>
      <c r="BH17" s="95">
        <f t="shared" si="22"/>
        <v>208</v>
      </c>
      <c r="BI17" s="95">
        <f t="shared" si="22"/>
        <v>268</v>
      </c>
      <c r="BJ17" s="95">
        <f t="shared" si="22"/>
        <v>254</v>
      </c>
      <c r="BK17" s="95">
        <f>BK4-BK18-BK11</f>
        <v>216</v>
      </c>
      <c r="BL17" s="94">
        <f t="shared" ref="BL17" si="23">BL4-BL18-BL11</f>
        <v>946</v>
      </c>
      <c r="BM17" s="394">
        <f>BM4-BM18-BM11</f>
        <v>208</v>
      </c>
      <c r="BN17" s="95">
        <f t="shared" si="22"/>
        <v>278</v>
      </c>
      <c r="BO17" s="95">
        <f t="shared" si="22"/>
        <v>272</v>
      </c>
      <c r="BP17" s="95">
        <f t="shared" si="22"/>
        <v>214</v>
      </c>
      <c r="BQ17" s="94">
        <f t="shared" si="22"/>
        <v>972</v>
      </c>
      <c r="BR17" s="394">
        <f>BR4-BR18-BR11</f>
        <v>230</v>
      </c>
      <c r="BS17" s="95">
        <f t="shared" si="22"/>
        <v>304</v>
      </c>
      <c r="BT17" s="95">
        <f t="shared" si="22"/>
        <v>300.60760495782932</v>
      </c>
      <c r="BU17" s="95">
        <f t="shared" si="22"/>
        <v>230.69450562775978</v>
      </c>
      <c r="BV17" s="94">
        <f t="shared" si="22"/>
        <v>1065.3021105855892</v>
      </c>
      <c r="BW17" s="95">
        <f t="shared" si="22"/>
        <v>244.42469541891583</v>
      </c>
      <c r="BX17" s="95">
        <f t="shared" si="22"/>
        <v>312.43407917528953</v>
      </c>
      <c r="BY17" s="95">
        <f t="shared" si="22"/>
        <v>316.37283366442682</v>
      </c>
      <c r="BZ17" s="95">
        <f t="shared" si="22"/>
        <v>242.67435776661119</v>
      </c>
      <c r="CA17" s="94">
        <f t="shared" si="22"/>
        <v>1115.9059660252435</v>
      </c>
      <c r="CB17" s="95">
        <f t="shared" ref="CB17:CK17" si="24">CB4-CB18-CB11</f>
        <v>255.43005572399579</v>
      </c>
      <c r="CC17" s="95">
        <f t="shared" si="24"/>
        <v>326.56959219175576</v>
      </c>
      <c r="CD17" s="95">
        <f t="shared" si="24"/>
        <v>330.70906740304918</v>
      </c>
      <c r="CE17" s="95">
        <f t="shared" si="24"/>
        <v>253.57231834785276</v>
      </c>
      <c r="CF17" s="94">
        <f t="shared" si="24"/>
        <v>1166.2810336666539</v>
      </c>
      <c r="CG17" s="95">
        <f t="shared" si="24"/>
        <v>266.92489032103657</v>
      </c>
      <c r="CH17" s="95">
        <f t="shared" si="24"/>
        <v>341.33757131193056</v>
      </c>
      <c r="CI17" s="95">
        <f t="shared" si="24"/>
        <v>345.68799243137249</v>
      </c>
      <c r="CJ17" s="95">
        <f t="shared" si="24"/>
        <v>264.95338909280213</v>
      </c>
      <c r="CK17" s="94">
        <f t="shared" si="24"/>
        <v>1218.9038431571416</v>
      </c>
      <c r="CL17" s="95">
        <f>CL4-CL18-CL11</f>
        <v>279.37746710467707</v>
      </c>
      <c r="CM17" s="95">
        <f>CM4-CM18-CM11</f>
        <v>357.31209953493777</v>
      </c>
      <c r="CN17" s="95">
        <f>CN4-CN18-CN11</f>
        <v>361.88282221366086</v>
      </c>
      <c r="CO17" s="95">
        <f>CO4-CO18-CO11</f>
        <v>277.29277692673168</v>
      </c>
      <c r="CP17" s="94">
        <f>CP4-CP18-CP11</f>
        <v>1275.8651657800074</v>
      </c>
    </row>
    <row r="18" spans="1:109" s="38" customFormat="1" x14ac:dyDescent="0.25">
      <c r="A18" s="38" t="s">
        <v>6</v>
      </c>
      <c r="C18" s="57">
        <v>930.5</v>
      </c>
      <c r="D18" s="57">
        <v>1059.9000000000001</v>
      </c>
      <c r="E18" s="46">
        <v>253.4</v>
      </c>
      <c r="F18" s="46">
        <v>330.5</v>
      </c>
      <c r="G18" s="46">
        <v>305</v>
      </c>
      <c r="H18" s="58">
        <v>281</v>
      </c>
      <c r="I18" s="57">
        <f>+SUM(E18:H18)</f>
        <v>1169.9000000000001</v>
      </c>
      <c r="J18" s="46">
        <v>301</v>
      </c>
      <c r="K18" s="46">
        <f>985.4-L18-J18</f>
        <v>353.59999999999991</v>
      </c>
      <c r="L18" s="46">
        <v>330.8</v>
      </c>
      <c r="M18" s="58">
        <v>323</v>
      </c>
      <c r="N18" s="57">
        <f>J18+K18+L18+M18</f>
        <v>1308.3999999999999</v>
      </c>
      <c r="O18" s="46">
        <v>348.9</v>
      </c>
      <c r="P18" s="46">
        <f>1118.9-Q18-O18</f>
        <v>382.70000000000016</v>
      </c>
      <c r="Q18" s="46">
        <f>387.3</f>
        <v>387.3</v>
      </c>
      <c r="R18" s="58">
        <v>361.9</v>
      </c>
      <c r="S18" s="57">
        <f>O18+P18+Q18+R18</f>
        <v>1480.8000000000002</v>
      </c>
      <c r="T18" s="46">
        <v>391</v>
      </c>
      <c r="U18" s="46">
        <v>470</v>
      </c>
      <c r="V18" s="46">
        <v>432.6</v>
      </c>
      <c r="W18" s="58">
        <v>401</v>
      </c>
      <c r="X18" s="57">
        <f>+T18+U18+V18+W18</f>
        <v>1694.6</v>
      </c>
      <c r="Y18" s="46">
        <f>380.8+22</f>
        <v>402.8</v>
      </c>
      <c r="Z18" s="46">
        <v>466.7</v>
      </c>
      <c r="AA18" s="46">
        <v>370.6</v>
      </c>
      <c r="AB18" s="102">
        <v>358.6</v>
      </c>
      <c r="AC18" s="57">
        <f>+Y18+Z18+AA18+AB18</f>
        <v>1598.6999999999998</v>
      </c>
      <c r="AD18" s="46">
        <v>380.1</v>
      </c>
      <c r="AE18" s="46">
        <v>443</v>
      </c>
      <c r="AF18" s="46">
        <v>410.9</v>
      </c>
      <c r="AG18" s="46">
        <v>377.3</v>
      </c>
      <c r="AH18" s="57">
        <f>+AD18+AE18+AF18+AG18</f>
        <v>1611.3</v>
      </c>
      <c r="AI18" s="46">
        <v>378.8</v>
      </c>
      <c r="AJ18" s="46">
        <v>458.8</v>
      </c>
      <c r="AK18" s="46">
        <v>463.5</v>
      </c>
      <c r="AL18" s="46">
        <v>423.3</v>
      </c>
      <c r="AM18" s="57">
        <f>+AI18+AJ18+AK18+AL18</f>
        <v>1724.3999999999999</v>
      </c>
      <c r="AN18" s="46">
        <v>420.3</v>
      </c>
      <c r="AO18" s="46">
        <v>501.9</v>
      </c>
      <c r="AP18" s="46">
        <v>450.9</v>
      </c>
      <c r="AQ18" s="277">
        <v>421.8</v>
      </c>
      <c r="AR18" s="57">
        <f>SUM(AN18:AQ18)</f>
        <v>1794.8999999999999</v>
      </c>
      <c r="AS18" s="46">
        <v>464.1</v>
      </c>
      <c r="AT18" s="46">
        <v>524.5</v>
      </c>
      <c r="AU18" s="46">
        <v>506.7</v>
      </c>
      <c r="AV18" s="46">
        <v>460</v>
      </c>
      <c r="AW18" s="57">
        <f>SUM(AS18:AV18)</f>
        <v>1955.3</v>
      </c>
      <c r="AX18" s="46">
        <v>477</v>
      </c>
      <c r="AY18" s="46">
        <v>576</v>
      </c>
      <c r="AZ18" s="46">
        <v>532</v>
      </c>
      <c r="BA18" s="46">
        <v>493</v>
      </c>
      <c r="BB18" s="57">
        <f>SUM(AX18:BA18)</f>
        <v>2078</v>
      </c>
      <c r="BC18" s="46">
        <v>495</v>
      </c>
      <c r="BD18" s="46">
        <v>609</v>
      </c>
      <c r="BE18" s="46">
        <v>553</v>
      </c>
      <c r="BF18" s="46">
        <v>527</v>
      </c>
      <c r="BG18" s="57">
        <f>SUM(BC18:BF18)</f>
        <v>2184</v>
      </c>
      <c r="BH18" s="46">
        <v>491</v>
      </c>
      <c r="BI18" s="46">
        <v>586</v>
      </c>
      <c r="BJ18" s="46">
        <v>555</v>
      </c>
      <c r="BK18" s="46">
        <v>513</v>
      </c>
      <c r="BL18" s="57">
        <f>SUM(BH18:BK18)</f>
        <v>2145</v>
      </c>
      <c r="BM18" s="396">
        <v>453</v>
      </c>
      <c r="BN18" s="396">
        <v>552</v>
      </c>
      <c r="BO18" s="396">
        <v>536</v>
      </c>
      <c r="BP18" s="396">
        <v>480</v>
      </c>
      <c r="BQ18" s="57">
        <f>SUM(BM18:BP18)</f>
        <v>2021</v>
      </c>
      <c r="BR18" s="396">
        <v>493</v>
      </c>
      <c r="BS18" s="396">
        <v>610</v>
      </c>
      <c r="BT18" s="46">
        <f>BT19*BT$14</f>
        <v>589.7289863662013</v>
      </c>
      <c r="BU18" s="46">
        <f>BV18-BR18-BS18-BT18</f>
        <v>512.19670671722861</v>
      </c>
      <c r="BV18" s="57">
        <f>BV19*BV$14</f>
        <v>2204.9256930834299</v>
      </c>
      <c r="BW18" s="46">
        <f>BW19*BW$14</f>
        <v>527.55909243239216</v>
      </c>
      <c r="BX18" s="46">
        <f>BX19*BX$14</f>
        <v>631.17921752203495</v>
      </c>
      <c r="BY18" s="46">
        <f>BY19*BY$14</f>
        <v>624.83855973185609</v>
      </c>
      <c r="BZ18" s="46">
        <f>CA18-BW18-BX18-BY18</f>
        <v>541.93345625810844</v>
      </c>
      <c r="CA18" s="57">
        <f>CA19*CA$14</f>
        <v>2325.5103259443918</v>
      </c>
      <c r="CB18" s="46">
        <f>CB19*CB$14</f>
        <v>555.15292151987762</v>
      </c>
      <c r="CC18" s="46">
        <f>CC19*CC$14</f>
        <v>664.22436934043492</v>
      </c>
      <c r="CD18" s="46">
        <f>CD19*CD$14</f>
        <v>657.56289566304804</v>
      </c>
      <c r="CE18" s="46">
        <f>CF18-CB18-CC18-CD18</f>
        <v>570.26588637810255</v>
      </c>
      <c r="CF18" s="57">
        <f>CF19*CF$14</f>
        <v>2447.2060729014629</v>
      </c>
      <c r="CG18" s="46">
        <f>CG19*CG$14</f>
        <v>584.18723578503057</v>
      </c>
      <c r="CH18" s="46">
        <f>CH19*CH$14</f>
        <v>698.99608829686974</v>
      </c>
      <c r="CI18" s="46">
        <f>CI19*CI$14</f>
        <v>691.99756878802964</v>
      </c>
      <c r="CJ18" s="46">
        <f>CK18-CG18-CH18-CI18</f>
        <v>600.07672586945091</v>
      </c>
      <c r="CK18" s="57">
        <f>CK19*CK$14</f>
        <v>2575.2576187393811</v>
      </c>
      <c r="CL18" s="46">
        <f>CL19*CL$14</f>
        <v>614.29026530669341</v>
      </c>
      <c r="CM18" s="46">
        <f>CM19*CM$14</f>
        <v>735.03824305430248</v>
      </c>
      <c r="CN18" s="46">
        <f>CN19*CN$14</f>
        <v>727.68701706671141</v>
      </c>
      <c r="CO18" s="46">
        <f>CP18-CL18-CM18-CN18</f>
        <v>630.98884378363391</v>
      </c>
      <c r="CP18" s="57">
        <f>CP19*CP$14</f>
        <v>2708.0043692113413</v>
      </c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</row>
    <row r="19" spans="1:109" x14ac:dyDescent="0.25">
      <c r="B19" s="52" t="s">
        <v>7</v>
      </c>
      <c r="C19" s="70">
        <f t="shared" ref="C19:AH19" si="25">+C18/C14</f>
        <v>0.60694018655012727</v>
      </c>
      <c r="D19" s="70">
        <f t="shared" si="25"/>
        <v>0.62675181834309035</v>
      </c>
      <c r="E19" s="73">
        <f t="shared" si="25"/>
        <v>0.63461056849486597</v>
      </c>
      <c r="F19" s="73">
        <f t="shared" si="25"/>
        <v>0.6385239567233385</v>
      </c>
      <c r="G19" s="73">
        <f t="shared" si="25"/>
        <v>0.63674321503131537</v>
      </c>
      <c r="H19" s="88">
        <f t="shared" si="25"/>
        <v>0.67841622404635449</v>
      </c>
      <c r="I19" s="70">
        <f t="shared" si="25"/>
        <v>0.64631788298989012</v>
      </c>
      <c r="J19" s="73">
        <f t="shared" si="25"/>
        <v>0.67747017780778751</v>
      </c>
      <c r="K19" s="73">
        <f t="shared" si="25"/>
        <v>0.6522781774580334</v>
      </c>
      <c r="L19" s="73">
        <f t="shared" si="25"/>
        <v>0.66855295068714637</v>
      </c>
      <c r="M19" s="88">
        <f t="shared" si="25"/>
        <v>0.69822741028966706</v>
      </c>
      <c r="N19" s="70">
        <f t="shared" si="25"/>
        <v>0.67311451795452204</v>
      </c>
      <c r="O19" s="73">
        <f t="shared" si="25"/>
        <v>0.69089108910891084</v>
      </c>
      <c r="P19" s="73">
        <f t="shared" si="25"/>
        <v>0.65733424939883223</v>
      </c>
      <c r="Q19" s="73">
        <f t="shared" si="25"/>
        <v>0.66534959628929746</v>
      </c>
      <c r="R19" s="88">
        <f t="shared" si="25"/>
        <v>0.6599197665937272</v>
      </c>
      <c r="S19" s="70">
        <f t="shared" si="25"/>
        <v>0.66771880777381987</v>
      </c>
      <c r="T19" s="73">
        <f t="shared" si="25"/>
        <v>0.66598535172883666</v>
      </c>
      <c r="U19" s="73">
        <f t="shared" si="25"/>
        <v>0.65679150363331473</v>
      </c>
      <c r="V19" s="73">
        <f t="shared" si="25"/>
        <v>0.64336704342653184</v>
      </c>
      <c r="W19" s="88">
        <f t="shared" si="25"/>
        <v>0.66127968337730869</v>
      </c>
      <c r="X19" s="70">
        <f t="shared" si="25"/>
        <v>0.65644005423203555</v>
      </c>
      <c r="Y19" s="103">
        <f t="shared" si="25"/>
        <v>0.65623981753014016</v>
      </c>
      <c r="Z19" s="103">
        <f t="shared" si="25"/>
        <v>0.63247052446130902</v>
      </c>
      <c r="AA19" s="103">
        <f t="shared" si="25"/>
        <v>0.62559081701552999</v>
      </c>
      <c r="AB19" s="69">
        <f t="shared" si="25"/>
        <v>0.66778398510242087</v>
      </c>
      <c r="AC19" s="70">
        <f t="shared" si="25"/>
        <v>0.6443512957962193</v>
      </c>
      <c r="AD19" s="69">
        <f t="shared" si="25"/>
        <v>0.66590749824807294</v>
      </c>
      <c r="AE19" s="69">
        <f t="shared" si="25"/>
        <v>0.63394390383514598</v>
      </c>
      <c r="AF19" s="69">
        <f t="shared" si="25"/>
        <v>0.6446501411986193</v>
      </c>
      <c r="AG19" s="69">
        <f t="shared" si="25"/>
        <v>0.67147179213383168</v>
      </c>
      <c r="AH19" s="70">
        <f t="shared" si="25"/>
        <v>0.65263882700797926</v>
      </c>
      <c r="AI19" s="69">
        <f t="shared" ref="AI19:BN19" si="26">+AI18/AI14</f>
        <v>0.66526167896030919</v>
      </c>
      <c r="AJ19" s="69">
        <f t="shared" si="26"/>
        <v>0.65693012600229084</v>
      </c>
      <c r="AK19" s="69">
        <f t="shared" si="26"/>
        <v>0.65466101694915257</v>
      </c>
      <c r="AL19" s="69">
        <f t="shared" si="26"/>
        <v>0.69313902079580814</v>
      </c>
      <c r="AM19" s="70">
        <f t="shared" si="26"/>
        <v>0.66669244152329399</v>
      </c>
      <c r="AN19" s="69">
        <f t="shared" si="26"/>
        <v>0.65898400752587027</v>
      </c>
      <c r="AO19" s="69">
        <f t="shared" si="26"/>
        <v>0.64313172731932344</v>
      </c>
      <c r="AP19" s="69">
        <f t="shared" si="26"/>
        <v>0.64267388825541616</v>
      </c>
      <c r="AQ19" s="23">
        <f t="shared" si="26"/>
        <v>0.69961851053242663</v>
      </c>
      <c r="AR19" s="70">
        <f t="shared" si="26"/>
        <v>0.65923531788298373</v>
      </c>
      <c r="AS19" s="23">
        <f t="shared" si="26"/>
        <v>0.6970561730249325</v>
      </c>
      <c r="AT19" s="69">
        <f t="shared" si="26"/>
        <v>0.6752929058838677</v>
      </c>
      <c r="AU19" s="69">
        <f t="shared" si="26"/>
        <v>0.67840407015664739</v>
      </c>
      <c r="AV19" s="69">
        <f t="shared" si="26"/>
        <v>0.69696969696969702</v>
      </c>
      <c r="AW19" s="104">
        <f t="shared" si="26"/>
        <v>0.68621464167894997</v>
      </c>
      <c r="AX19" s="69">
        <f t="shared" si="26"/>
        <v>0.69533527696793007</v>
      </c>
      <c r="AY19" s="69">
        <f t="shared" si="26"/>
        <v>0.69147659063625455</v>
      </c>
      <c r="AZ19" s="69">
        <f t="shared" si="26"/>
        <v>0.68030690537084404</v>
      </c>
      <c r="BA19" s="69">
        <f t="shared" si="26"/>
        <v>0.71552975326560231</v>
      </c>
      <c r="BB19" s="104">
        <f t="shared" si="26"/>
        <v>0.6949832775919732</v>
      </c>
      <c r="BC19" s="69">
        <f t="shared" si="26"/>
        <v>0.7021276595744681</v>
      </c>
      <c r="BD19" s="69">
        <f t="shared" si="26"/>
        <v>0.69441277080957808</v>
      </c>
      <c r="BE19" s="69">
        <f t="shared" si="26"/>
        <v>0.68019680196801968</v>
      </c>
      <c r="BF19" s="69">
        <f t="shared" si="26"/>
        <v>0.71216216216216222</v>
      </c>
      <c r="BG19" s="104">
        <f t="shared" si="26"/>
        <v>0.6966507177033493</v>
      </c>
      <c r="BH19" s="69">
        <f t="shared" si="26"/>
        <v>0.70243204577968521</v>
      </c>
      <c r="BI19" s="69">
        <f t="shared" si="26"/>
        <v>0.68618266978922715</v>
      </c>
      <c r="BJ19" s="69">
        <f t="shared" si="26"/>
        <v>0.68603213844252164</v>
      </c>
      <c r="BK19" s="69">
        <f t="shared" si="26"/>
        <v>0.70370370370370372</v>
      </c>
      <c r="BL19" s="104">
        <f t="shared" si="26"/>
        <v>0.69395017793594305</v>
      </c>
      <c r="BM19" s="391">
        <f t="shared" si="26"/>
        <v>0.68532526475037825</v>
      </c>
      <c r="BN19" s="391">
        <f t="shared" si="26"/>
        <v>0.66506024096385541</v>
      </c>
      <c r="BO19" s="391">
        <f t="shared" ref="BO19" si="27">+BO18/BO14</f>
        <v>0.6633663366336634</v>
      </c>
      <c r="BP19" s="69">
        <f>+BP18/BP14</f>
        <v>0.69164265129683</v>
      </c>
      <c r="BQ19" s="418">
        <f t="shared" ref="BQ19:BR19" si="28">+BQ18/BQ14</f>
        <v>0.67524223187437349</v>
      </c>
      <c r="BR19" s="391">
        <f t="shared" si="28"/>
        <v>0.681881051175657</v>
      </c>
      <c r="BS19" s="391">
        <f t="shared" ref="BS19" si="29">+BS18/BS14</f>
        <v>0.66739606126914663</v>
      </c>
      <c r="BT19" s="69">
        <f>+BO19+BT20/10000</f>
        <v>0.6623663366336634</v>
      </c>
      <c r="BU19" s="69">
        <f>+BU18/BU14</f>
        <v>0.68946394600690408</v>
      </c>
      <c r="BV19" s="104">
        <f>+BQ19+BV20/10000</f>
        <v>0.67424223187437349</v>
      </c>
      <c r="BW19" s="69">
        <f>+BR19+BW20/10000</f>
        <v>0.68338105117565695</v>
      </c>
      <c r="BX19" s="69">
        <f>+BS19+BX20/10000</f>
        <v>0.66889606126914658</v>
      </c>
      <c r="BY19" s="69">
        <f>+BT19+BY20/10000</f>
        <v>0.66386633663366335</v>
      </c>
      <c r="BZ19" s="69">
        <f>+BZ18/BZ14</f>
        <v>0.69070616755422021</v>
      </c>
      <c r="CA19" s="104">
        <f>+BV19+CA20/10000</f>
        <v>0.67574223187437343</v>
      </c>
      <c r="CB19" s="69">
        <f>+BW19+CB20/10000</f>
        <v>0.6848810511756569</v>
      </c>
      <c r="CC19" s="69">
        <f>+BX19+CC20/10000</f>
        <v>0.67039606126914653</v>
      </c>
      <c r="CD19" s="69">
        <f>+BY19+CD20/10000</f>
        <v>0.66536633663366329</v>
      </c>
      <c r="CE19" s="69">
        <f>+CE18/CE14</f>
        <v>0.69220616755422015</v>
      </c>
      <c r="CF19" s="104">
        <f>+CA19+CF20/10000</f>
        <v>0.67724223187437338</v>
      </c>
      <c r="CG19" s="69">
        <f>+CB19+CG20/10000</f>
        <v>0.68638105117565684</v>
      </c>
      <c r="CH19" s="69">
        <f>+CC19+CH20/10000</f>
        <v>0.67189606126914647</v>
      </c>
      <c r="CI19" s="69">
        <f>+CD19+CI20/10000</f>
        <v>0.66686633663366324</v>
      </c>
      <c r="CJ19" s="69">
        <f>+CJ18/CJ14</f>
        <v>0.69370616755421999</v>
      </c>
      <c r="CK19" s="104">
        <f>+CF19+CK20/10000</f>
        <v>0.67874223187437333</v>
      </c>
      <c r="CL19" s="69">
        <f>+CG19+CL20/10000</f>
        <v>0.68738105117565684</v>
      </c>
      <c r="CM19" s="69">
        <f>+CH19+CM20/10000</f>
        <v>0.67289606126914647</v>
      </c>
      <c r="CN19" s="69">
        <f>+CI19+CN20/10000</f>
        <v>0.66786633663366324</v>
      </c>
      <c r="CO19" s="69">
        <f>+CO18/CO14</f>
        <v>0.69470616755422021</v>
      </c>
      <c r="CP19" s="104">
        <f>+CK19+CP20/10000</f>
        <v>0.67974223187437333</v>
      </c>
    </row>
    <row r="20" spans="1:109" x14ac:dyDescent="0.25">
      <c r="B20" s="52" t="s">
        <v>8</v>
      </c>
      <c r="C20" s="107"/>
      <c r="D20" s="107">
        <f>(D19-C19)*10000</f>
        <v>198.11631792963081</v>
      </c>
      <c r="E20" s="108"/>
      <c r="F20" s="108"/>
      <c r="G20" s="108"/>
      <c r="H20" s="108"/>
      <c r="I20" s="107">
        <f t="shared" ref="I20:U20" si="30">(I19-D19)*10000</f>
        <v>195.66064646799774</v>
      </c>
      <c r="J20" s="108">
        <f t="shared" si="30"/>
        <v>428.59609312921543</v>
      </c>
      <c r="K20" s="108">
        <f t="shared" si="30"/>
        <v>137.542207346949</v>
      </c>
      <c r="L20" s="108">
        <f>(L19-G19)*10000</f>
        <v>318.09735655831008</v>
      </c>
      <c r="M20" s="108">
        <f t="shared" si="30"/>
        <v>198.11186243312574</v>
      </c>
      <c r="N20" s="107">
        <f t="shared" si="30"/>
        <v>267.96634964631914</v>
      </c>
      <c r="O20" s="108">
        <f t="shared" si="30"/>
        <v>134.20911301123328</v>
      </c>
      <c r="P20" s="108">
        <f>(P19-K19)*10000</f>
        <v>50.560719407988231</v>
      </c>
      <c r="Q20" s="108">
        <f>(Q19-L19)*10000</f>
        <v>-32.033543978489121</v>
      </c>
      <c r="R20" s="108">
        <f t="shared" si="30"/>
        <v>-383.07643695939862</v>
      </c>
      <c r="S20" s="107">
        <f>(S19-N19)*10000</f>
        <v>-53.957101807021736</v>
      </c>
      <c r="T20" s="108">
        <f t="shared" si="30"/>
        <v>-249.05737380074177</v>
      </c>
      <c r="U20" s="108">
        <f t="shared" si="30"/>
        <v>-5.4274576551749387</v>
      </c>
      <c r="V20" s="108">
        <f t="shared" ref="V20:AH20" si="31">(V19-Q19)*10000</f>
        <v>-219.82552862765624</v>
      </c>
      <c r="W20" s="108">
        <f t="shared" si="31"/>
        <v>13.59916783581494</v>
      </c>
      <c r="X20" s="107">
        <f t="shared" si="31"/>
        <v>-112.78753541784315</v>
      </c>
      <c r="Y20" s="109">
        <f t="shared" si="31"/>
        <v>-97.455341986965038</v>
      </c>
      <c r="Z20" s="109">
        <f t="shared" si="31"/>
        <v>-243.20979172005707</v>
      </c>
      <c r="AA20" s="109">
        <f t="shared" si="31"/>
        <v>-177.76226411001849</v>
      </c>
      <c r="AB20" s="108">
        <f t="shared" si="31"/>
        <v>65.043017251121825</v>
      </c>
      <c r="AC20" s="107">
        <f t="shared" si="31"/>
        <v>-120.88758435816248</v>
      </c>
      <c r="AD20" s="108">
        <f t="shared" si="31"/>
        <v>96.67680717932781</v>
      </c>
      <c r="AE20" s="108">
        <f t="shared" si="31"/>
        <v>14.733793738369583</v>
      </c>
      <c r="AF20" s="108">
        <f t="shared" si="31"/>
        <v>190.59324183089311</v>
      </c>
      <c r="AG20" s="108">
        <f>(AG19-AB19)*10000</f>
        <v>36.878070314108058</v>
      </c>
      <c r="AH20" s="107">
        <f t="shared" si="31"/>
        <v>82.875312117599577</v>
      </c>
      <c r="AI20" s="108">
        <f t="shared" ref="AI20:AR20" si="32">(AI19-AD19)*10000</f>
        <v>-6.4581928776374919</v>
      </c>
      <c r="AJ20" s="108">
        <f t="shared" si="32"/>
        <v>229.86222167144854</v>
      </c>
      <c r="AK20" s="108">
        <f t="shared" si="32"/>
        <v>100.10875750533276</v>
      </c>
      <c r="AL20" s="108">
        <f t="shared" si="32"/>
        <v>216.67228661976458</v>
      </c>
      <c r="AM20" s="107">
        <f t="shared" si="32"/>
        <v>140.53614515314729</v>
      </c>
      <c r="AN20" s="108">
        <f t="shared" si="32"/>
        <v>-62.776714344389141</v>
      </c>
      <c r="AO20" s="108">
        <f t="shared" si="32"/>
        <v>-137.98398682967394</v>
      </c>
      <c r="AP20" s="108">
        <f t="shared" si="32"/>
        <v>-119.87128693736415</v>
      </c>
      <c r="AQ20" s="109">
        <f>(AQ19-AL19)*10000</f>
        <v>64.794897366184927</v>
      </c>
      <c r="AR20" s="107">
        <f t="shared" si="32"/>
        <v>-74.571236403102588</v>
      </c>
      <c r="AS20" s="109">
        <f t="shared" ref="AS20:BB20" si="33">(AS19-AN19)*10000</f>
        <v>380.72165499062226</v>
      </c>
      <c r="AT20" s="109">
        <f t="shared" si="33"/>
        <v>321.61178564544258</v>
      </c>
      <c r="AU20" s="109">
        <f t="shared" si="33"/>
        <v>357.30181901231231</v>
      </c>
      <c r="AV20" s="309">
        <f t="shared" si="33"/>
        <v>-26.488135627296128</v>
      </c>
      <c r="AW20" s="107">
        <f t="shared" si="33"/>
        <v>269.79323795966235</v>
      </c>
      <c r="AX20" s="309">
        <f t="shared" si="33"/>
        <v>-17.208960570024303</v>
      </c>
      <c r="AY20" s="309">
        <f t="shared" si="33"/>
        <v>161.8368475238685</v>
      </c>
      <c r="AZ20" s="309">
        <f>(AZ19-AU19)*10000</f>
        <v>19.028352141966522</v>
      </c>
      <c r="BA20" s="108">
        <f>(BA19-AV19)*10000</f>
        <v>185.60056295905292</v>
      </c>
      <c r="BB20" s="107">
        <f t="shared" si="33"/>
        <v>87.686359130232375</v>
      </c>
      <c r="BC20" s="108">
        <f t="shared" ref="BC20:BL20" si="34">(BC19-AX19)*10000</f>
        <v>67.923826065380283</v>
      </c>
      <c r="BD20" s="108">
        <f t="shared" si="34"/>
        <v>29.361801733235325</v>
      </c>
      <c r="BE20" s="108">
        <f t="shared" si="34"/>
        <v>-1.1010340282435749</v>
      </c>
      <c r="BF20" s="108">
        <f t="shared" si="34"/>
        <v>-33.675911034400926</v>
      </c>
      <c r="BG20" s="107">
        <f t="shared" si="34"/>
        <v>16.67440111376095</v>
      </c>
      <c r="BH20" s="108">
        <f t="shared" si="34"/>
        <v>3.0438620521711091</v>
      </c>
      <c r="BI20" s="108">
        <f t="shared" si="34"/>
        <v>-82.301010203509321</v>
      </c>
      <c r="BJ20" s="108">
        <f t="shared" si="34"/>
        <v>58.353364745019618</v>
      </c>
      <c r="BK20" s="108">
        <f>(BK19-BF19)*10000</f>
        <v>-84.58458458458496</v>
      </c>
      <c r="BL20" s="107">
        <f t="shared" si="34"/>
        <v>-27.005397674062515</v>
      </c>
      <c r="BM20" s="398">
        <f>(BM19-BH19)*10000</f>
        <v>-171.06781029306961</v>
      </c>
      <c r="BN20" s="398">
        <f>(BN19-BI19)*10000</f>
        <v>-211.22428825371742</v>
      </c>
      <c r="BO20" s="398">
        <f>(BO19-BJ19)*10000</f>
        <v>-226.65801808858242</v>
      </c>
      <c r="BP20" s="108">
        <f>(BP19-BK19)*10000</f>
        <v>-120.61052406873718</v>
      </c>
      <c r="BQ20" s="419">
        <f t="shared" ref="BQ20" si="35">(BQ19-BL19)*10000</f>
        <v>-187.07946061569558</v>
      </c>
      <c r="BR20" s="398">
        <f>(BR19-BM19)*10000</f>
        <v>-34.442135747212447</v>
      </c>
      <c r="BS20" s="398">
        <f>(BS19-BN19)*10000</f>
        <v>23.358203052912252</v>
      </c>
      <c r="BT20" s="110">
        <v>-10</v>
      </c>
      <c r="BU20" s="108">
        <f>(BU19-BP19)*10000</f>
        <v>-21.787052899259194</v>
      </c>
      <c r="BV20" s="111">
        <v>-10</v>
      </c>
      <c r="BW20" s="110">
        <f>CA20</f>
        <v>15</v>
      </c>
      <c r="BX20" s="110">
        <f>CA20</f>
        <v>15</v>
      </c>
      <c r="BY20" s="110">
        <f>CA20</f>
        <v>15</v>
      </c>
      <c r="BZ20" s="108">
        <f>(BZ19-BU19)*10000</f>
        <v>12.422215473161247</v>
      </c>
      <c r="CA20" s="111">
        <v>15</v>
      </c>
      <c r="CB20" s="110">
        <f>CF20</f>
        <v>15</v>
      </c>
      <c r="CC20" s="110">
        <f>CF20</f>
        <v>15</v>
      </c>
      <c r="CD20" s="110">
        <f>CF20</f>
        <v>15</v>
      </c>
      <c r="CE20" s="108">
        <f>(CE19-BZ19)*10000</f>
        <v>14.999999999999458</v>
      </c>
      <c r="CF20" s="111">
        <v>15</v>
      </c>
      <c r="CG20" s="110">
        <f>CK20</f>
        <v>15</v>
      </c>
      <c r="CH20" s="110">
        <f>CK20</f>
        <v>15</v>
      </c>
      <c r="CI20" s="110">
        <f>CK20</f>
        <v>15</v>
      </c>
      <c r="CJ20" s="108">
        <f>(CJ19-CE19)*10000</f>
        <v>14.999999999998348</v>
      </c>
      <c r="CK20" s="111">
        <v>15</v>
      </c>
      <c r="CL20" s="110">
        <f>CP20</f>
        <v>10</v>
      </c>
      <c r="CM20" s="110">
        <f>CP20</f>
        <v>10</v>
      </c>
      <c r="CN20" s="110">
        <f>CP20</f>
        <v>10</v>
      </c>
      <c r="CO20" s="108">
        <f>(CO19-CJ19)*10000</f>
        <v>10.000000000002229</v>
      </c>
      <c r="CP20" s="111">
        <v>10</v>
      </c>
    </row>
    <row r="21" spans="1:109" x14ac:dyDescent="0.25">
      <c r="C21" s="112"/>
      <c r="D21" s="112"/>
      <c r="E21" s="113"/>
      <c r="F21" s="48"/>
      <c r="G21" s="48"/>
      <c r="H21" s="48"/>
      <c r="I21" s="112"/>
      <c r="J21" s="113"/>
      <c r="K21" s="48"/>
      <c r="L21" s="48"/>
      <c r="M21" s="48"/>
      <c r="N21" s="112"/>
      <c r="O21" s="113"/>
      <c r="P21" s="48"/>
      <c r="Q21" s="48"/>
      <c r="R21" s="48"/>
      <c r="S21" s="112"/>
      <c r="T21" s="113"/>
      <c r="U21" s="48"/>
      <c r="V21" s="48"/>
      <c r="W21" s="48"/>
      <c r="X21" s="112"/>
      <c r="Y21" s="114"/>
      <c r="Z21" s="114"/>
      <c r="AA21" s="114"/>
      <c r="AB21" s="114"/>
      <c r="AC21" s="112"/>
      <c r="AD21" s="114"/>
      <c r="AE21" s="114"/>
      <c r="AF21" s="250"/>
      <c r="AG21" s="51"/>
      <c r="AH21" s="115"/>
      <c r="AI21" s="51"/>
      <c r="AJ21" s="51"/>
      <c r="AK21" s="51"/>
      <c r="AL21" s="260"/>
      <c r="AM21" s="264"/>
      <c r="AN21" s="247"/>
      <c r="AO21" s="247"/>
      <c r="AP21" s="247"/>
      <c r="AQ21" s="303"/>
      <c r="AR21" s="264"/>
      <c r="AS21" s="304"/>
      <c r="AT21" s="116"/>
      <c r="AU21" s="323"/>
      <c r="AV21" s="255"/>
      <c r="AW21" s="94"/>
      <c r="AX21" s="114"/>
      <c r="AY21" s="114"/>
      <c r="AZ21" s="114"/>
      <c r="BA21" s="114"/>
      <c r="BB21" s="68"/>
      <c r="BC21" s="114"/>
      <c r="BD21" s="114"/>
      <c r="BE21" s="114"/>
      <c r="BF21" s="114"/>
      <c r="BG21" s="117"/>
      <c r="BH21" s="114"/>
      <c r="BI21" s="114"/>
      <c r="BJ21" s="116"/>
      <c r="BK21" s="114"/>
      <c r="BL21" s="364"/>
      <c r="BM21" s="399"/>
      <c r="BN21" s="399"/>
      <c r="BO21" s="399"/>
      <c r="BP21" s="417"/>
      <c r="BQ21" s="377"/>
      <c r="BR21" s="116"/>
      <c r="BS21" s="116"/>
      <c r="BT21" s="116"/>
      <c r="BU21" s="116"/>
      <c r="BV21" s="68"/>
      <c r="BW21" s="116"/>
      <c r="BX21" s="116"/>
      <c r="BY21" s="116"/>
      <c r="BZ21" s="116"/>
      <c r="CA21" s="117"/>
      <c r="CB21" s="116"/>
      <c r="CC21" s="116"/>
      <c r="CD21" s="116"/>
      <c r="CE21" s="116"/>
      <c r="CF21" s="117"/>
      <c r="CG21" s="116"/>
      <c r="CH21" s="116"/>
      <c r="CI21" s="116"/>
      <c r="CJ21" s="116"/>
      <c r="CK21" s="117"/>
      <c r="CL21" s="116"/>
      <c r="CM21" s="116"/>
      <c r="CN21" s="116"/>
      <c r="CO21" s="116"/>
      <c r="CP21" s="117"/>
    </row>
    <row r="22" spans="1:109" x14ac:dyDescent="0.25">
      <c r="A22" s="52" t="s">
        <v>9</v>
      </c>
      <c r="C22" s="94">
        <v>353.1</v>
      </c>
      <c r="D22" s="94">
        <v>390.4</v>
      </c>
      <c r="E22" s="119">
        <v>96.3</v>
      </c>
      <c r="F22" s="119">
        <v>105.5</v>
      </c>
      <c r="G22" s="119">
        <v>109.3</v>
      </c>
      <c r="H22" s="96">
        <v>119.1</v>
      </c>
      <c r="I22" s="94">
        <f>+E22+F22+G22+H22</f>
        <v>430.20000000000005</v>
      </c>
      <c r="J22" s="119">
        <f>110.3-2.4</f>
        <v>107.89999999999999</v>
      </c>
      <c r="K22" s="119">
        <f>328.5-L22-J22</f>
        <v>107.3</v>
      </c>
      <c r="L22" s="119">
        <v>113.3</v>
      </c>
      <c r="M22" s="96">
        <v>140.80000000000001</v>
      </c>
      <c r="N22" s="94">
        <f>+J22+K22+L22+M22</f>
        <v>469.3</v>
      </c>
      <c r="O22" s="119">
        <v>127.9</v>
      </c>
      <c r="P22" s="119">
        <f>378.1-Q22-O22</f>
        <v>121.00000000000003</v>
      </c>
      <c r="Q22" s="119">
        <f>129.2</f>
        <v>129.19999999999999</v>
      </c>
      <c r="R22" s="96">
        <v>158.9</v>
      </c>
      <c r="S22" s="94">
        <f>O22+P22+Q22+R22</f>
        <v>537</v>
      </c>
      <c r="T22" s="119">
        <f>143.1+1.3</f>
        <v>144.4</v>
      </c>
      <c r="U22" s="119">
        <f>146.7+1.3</f>
        <v>148</v>
      </c>
      <c r="V22" s="119">
        <f>143.3+1.3</f>
        <v>144.60000000000002</v>
      </c>
      <c r="W22" s="96">
        <f>158.4+1.2</f>
        <v>159.6</v>
      </c>
      <c r="X22" s="94">
        <f>+T22+U22+V22+W22</f>
        <v>596.6</v>
      </c>
      <c r="Y22" s="95">
        <f>144.3+1.3</f>
        <v>145.60000000000002</v>
      </c>
      <c r="Z22" s="95">
        <f>139.9+1.3</f>
        <v>141.20000000000002</v>
      </c>
      <c r="AA22" s="95">
        <f>113.1+1.3</f>
        <v>114.39999999999999</v>
      </c>
      <c r="AB22" s="95">
        <f>150.2+1.2-12</f>
        <v>139.39999999999998</v>
      </c>
      <c r="AC22" s="94">
        <f>+Y22+Z22+AA22+AB22</f>
        <v>540.6</v>
      </c>
      <c r="AD22" s="95">
        <f>117.2+1.3</f>
        <v>118.5</v>
      </c>
      <c r="AE22" s="95">
        <f>125.1+1.3</f>
        <v>126.39999999999999</v>
      </c>
      <c r="AF22" s="95">
        <f>131.5+1.3</f>
        <v>132.80000000000001</v>
      </c>
      <c r="AG22" s="95">
        <v>165.7</v>
      </c>
      <c r="AH22" s="94">
        <f>+AD22+AE22+AF22+AG22</f>
        <v>543.4</v>
      </c>
      <c r="AI22" s="95">
        <v>131.9</v>
      </c>
      <c r="AJ22" s="95">
        <f>132.9+1.3</f>
        <v>134.20000000000002</v>
      </c>
      <c r="AK22" s="95">
        <f>142.3+1.3</f>
        <v>143.60000000000002</v>
      </c>
      <c r="AL22" s="95">
        <f>166.9+1.3</f>
        <v>168.20000000000002</v>
      </c>
      <c r="AM22" s="94">
        <f>+AI22+AJ22+AK22+AL22</f>
        <v>577.90000000000009</v>
      </c>
      <c r="AN22" s="95">
        <f>139+1.3</f>
        <v>140.30000000000001</v>
      </c>
      <c r="AO22" s="95">
        <f>146.8+1.3</f>
        <v>148.10000000000002</v>
      </c>
      <c r="AP22" s="95">
        <v>148</v>
      </c>
      <c r="AQ22" s="119">
        <v>175.2</v>
      </c>
      <c r="AR22" s="94">
        <f>+AN22+AO22+AP22+AQ22</f>
        <v>611.6</v>
      </c>
      <c r="AS22" s="95">
        <v>148.5</v>
      </c>
      <c r="AT22" s="95">
        <v>159.1</v>
      </c>
      <c r="AU22" s="95">
        <v>162.4</v>
      </c>
      <c r="AV22" s="95">
        <v>180</v>
      </c>
      <c r="AW22" s="94">
        <f>+AS22+AT22+AU22+AV22</f>
        <v>650</v>
      </c>
      <c r="AX22" s="95">
        <v>156</v>
      </c>
      <c r="AY22" s="95">
        <v>162</v>
      </c>
      <c r="AZ22" s="95">
        <v>161</v>
      </c>
      <c r="BA22" s="95">
        <v>207</v>
      </c>
      <c r="BB22" s="94">
        <f>+AX22+AY22+AZ22+BA22</f>
        <v>686</v>
      </c>
      <c r="BC22" s="95">
        <v>170</v>
      </c>
      <c r="BD22" s="95">
        <v>178</v>
      </c>
      <c r="BE22" s="95">
        <v>163</v>
      </c>
      <c r="BF22" s="95">
        <v>186</v>
      </c>
      <c r="BG22" s="94">
        <f>+BC22+BD22+BE22+BF22</f>
        <v>697</v>
      </c>
      <c r="BH22" s="95">
        <v>169</v>
      </c>
      <c r="BI22" s="95">
        <v>171</v>
      </c>
      <c r="BJ22" s="95">
        <v>167</v>
      </c>
      <c r="BK22" s="95">
        <v>181</v>
      </c>
      <c r="BL22" s="94">
        <f>+BH22+BI22+BJ22+BK22</f>
        <v>688</v>
      </c>
      <c r="BM22" s="394">
        <v>163</v>
      </c>
      <c r="BN22" s="394">
        <v>163</v>
      </c>
      <c r="BO22" s="394">
        <v>162</v>
      </c>
      <c r="BP22" s="394">
        <f>179-2</f>
        <v>177</v>
      </c>
      <c r="BQ22" s="94">
        <f>+BM22+BN22+BO22+BP22</f>
        <v>665</v>
      </c>
      <c r="BR22" s="394">
        <v>161</v>
      </c>
      <c r="BS22" s="394">
        <v>163</v>
      </c>
      <c r="BT22" s="95">
        <f>BT23*BT$14</f>
        <v>176.72740577093236</v>
      </c>
      <c r="BU22" s="95">
        <f>BV22-BR22-BS22-BT22</f>
        <v>183.35551966406251</v>
      </c>
      <c r="BV22" s="94">
        <f>BV23*BV$14</f>
        <v>684.08292543499488</v>
      </c>
      <c r="BW22" s="95">
        <f>BW23*BW$14</f>
        <v>164.18803189197183</v>
      </c>
      <c r="BX22" s="95">
        <f>BX23*BX$14</f>
        <v>158.84501294294347</v>
      </c>
      <c r="BY22" s="95">
        <f>BY23*BY$14</f>
        <v>177.41368819285577</v>
      </c>
      <c r="BZ22" s="95">
        <f>CA22-BW22-BX22-BY22</f>
        <v>185.03211028559667</v>
      </c>
      <c r="CA22" s="94">
        <f>CA23*CA$14</f>
        <v>685.47884331336775</v>
      </c>
      <c r="CB22" s="95">
        <f>CB23*CB$14</f>
        <v>170.77626753208267</v>
      </c>
      <c r="CC22" s="95">
        <f>CC23*CC$14</f>
        <v>164.80567566702626</v>
      </c>
      <c r="CD22" s="95">
        <f>CD23*CD$14</f>
        <v>184.3078286763664</v>
      </c>
      <c r="CE22" s="95">
        <f>CF22-CB22-CC22-CD22</f>
        <v>192.6360393904244</v>
      </c>
      <c r="CF22" s="94">
        <f>CF23*CF$14</f>
        <v>712.52581126589973</v>
      </c>
      <c r="CG22" s="95">
        <f>CG23*CG$14</f>
        <v>177.61285665647466</v>
      </c>
      <c r="CH22" s="95">
        <f>CH23*CH$14</f>
        <v>170.96529213115997</v>
      </c>
      <c r="CI22" s="95">
        <f>CI23*CI$14</f>
        <v>191.44784898774594</v>
      </c>
      <c r="CJ22" s="95">
        <f>CK22-CG22-CH22-CI22</f>
        <v>200.53778113002119</v>
      </c>
      <c r="CK22" s="94">
        <f>CK23*CK$14</f>
        <v>740.5637789054017</v>
      </c>
      <c r="CL22" s="95">
        <f>CL23*CL$14</f>
        <v>185.15299789068135</v>
      </c>
      <c r="CM22" s="95">
        <f>CM23*CM$14</f>
        <v>177.8750312238341</v>
      </c>
      <c r="CN22" s="95">
        <f>CN23*CN$14</f>
        <v>199.38588667821267</v>
      </c>
      <c r="CO22" s="95">
        <f>CP22-CL22-CM22-CN22</f>
        <v>209.20224775545665</v>
      </c>
      <c r="CP22" s="94">
        <f>CP23*CP$14</f>
        <v>771.61616354818477</v>
      </c>
    </row>
    <row r="23" spans="1:109" x14ac:dyDescent="0.25">
      <c r="B23" s="52" t="s">
        <v>3</v>
      </c>
      <c r="C23" s="70">
        <f t="shared" ref="C23:AH23" si="36">C22/C14</f>
        <v>0.2303176570347662</v>
      </c>
      <c r="D23" s="70">
        <f t="shared" si="36"/>
        <v>0.23085565608184019</v>
      </c>
      <c r="E23" s="73">
        <f t="shared" si="36"/>
        <v>0.24117205108940645</v>
      </c>
      <c r="F23" s="73">
        <f t="shared" si="36"/>
        <v>0.20382534775888717</v>
      </c>
      <c r="G23" s="73">
        <f t="shared" si="36"/>
        <v>0.22818371607515658</v>
      </c>
      <c r="H23" s="88">
        <f t="shared" si="36"/>
        <v>0.28754225012071466</v>
      </c>
      <c r="I23" s="70">
        <f t="shared" si="36"/>
        <v>0.23766642726921169</v>
      </c>
      <c r="J23" s="73">
        <f t="shared" si="36"/>
        <v>0.24285392752644608</v>
      </c>
      <c r="K23" s="73">
        <f t="shared" si="36"/>
        <v>0.19793396052388856</v>
      </c>
      <c r="L23" s="73">
        <f t="shared" si="36"/>
        <v>0.22898140662894098</v>
      </c>
      <c r="M23" s="88">
        <f t="shared" si="36"/>
        <v>0.30436662343277132</v>
      </c>
      <c r="N23" s="70">
        <f t="shared" si="36"/>
        <v>0.24143430394073467</v>
      </c>
      <c r="O23" s="73">
        <f t="shared" si="36"/>
        <v>0.25326732673267327</v>
      </c>
      <c r="P23" s="73">
        <f t="shared" si="36"/>
        <v>0.207832360013741</v>
      </c>
      <c r="Q23" s="73">
        <f t="shared" si="36"/>
        <v>0.22195499055145165</v>
      </c>
      <c r="R23" s="88">
        <f t="shared" si="36"/>
        <v>0.28975200583515687</v>
      </c>
      <c r="S23" s="70">
        <f t="shared" si="36"/>
        <v>0.24214276051765343</v>
      </c>
      <c r="T23" s="73">
        <f t="shared" si="36"/>
        <v>0.2459546925566343</v>
      </c>
      <c r="U23" s="73">
        <f t="shared" si="36"/>
        <v>0.20681945220793743</v>
      </c>
      <c r="V23" s="73">
        <f t="shared" si="36"/>
        <v>0.21505056513979778</v>
      </c>
      <c r="W23" s="88">
        <f t="shared" si="36"/>
        <v>0.26319261213720319</v>
      </c>
      <c r="X23" s="70">
        <f t="shared" si="36"/>
        <v>0.23110594615533606</v>
      </c>
      <c r="Y23" s="103">
        <f t="shared" si="36"/>
        <v>0.23721081785597919</v>
      </c>
      <c r="Z23" s="103">
        <f t="shared" si="36"/>
        <v>0.19135384198400868</v>
      </c>
      <c r="AA23" s="103">
        <f t="shared" si="36"/>
        <v>0.19311276164753541</v>
      </c>
      <c r="AB23" s="88">
        <f t="shared" si="36"/>
        <v>0.25959031657355675</v>
      </c>
      <c r="AC23" s="70">
        <f t="shared" si="36"/>
        <v>0.21788722743944217</v>
      </c>
      <c r="AD23" s="88">
        <f t="shared" si="36"/>
        <v>0.2076033637000701</v>
      </c>
      <c r="AE23" s="88">
        <f t="shared" si="36"/>
        <v>0.180881511161992</v>
      </c>
      <c r="AF23" s="88">
        <f t="shared" si="36"/>
        <v>0.20834640727957326</v>
      </c>
      <c r="AG23" s="88">
        <f t="shared" si="36"/>
        <v>0.29489232959601352</v>
      </c>
      <c r="AH23" s="70">
        <f t="shared" si="36"/>
        <v>0.22009801936084894</v>
      </c>
      <c r="AI23" s="88">
        <f t="shared" ref="AI23:BN23" si="37">AI22/AI14</f>
        <v>0.23164734808570428</v>
      </c>
      <c r="AJ23" s="88">
        <f t="shared" si="37"/>
        <v>0.19215349369988546</v>
      </c>
      <c r="AK23" s="88">
        <f t="shared" si="37"/>
        <v>0.20282485875706219</v>
      </c>
      <c r="AL23" s="88">
        <f t="shared" si="37"/>
        <v>0.27542164728999513</v>
      </c>
      <c r="AM23" s="70">
        <f t="shared" si="37"/>
        <v>0.22342934467427028</v>
      </c>
      <c r="AN23" s="88">
        <f t="shared" si="37"/>
        <v>0.2199749137660709</v>
      </c>
      <c r="AO23" s="88">
        <f t="shared" si="37"/>
        <v>0.18977447462839572</v>
      </c>
      <c r="AP23" s="88">
        <f t="shared" si="37"/>
        <v>0.21094640820980615</v>
      </c>
      <c r="AQ23" s="93">
        <f t="shared" si="37"/>
        <v>0.2905954552993863</v>
      </c>
      <c r="AR23" s="70">
        <f t="shared" si="37"/>
        <v>0.22462996290446982</v>
      </c>
      <c r="AS23" s="88">
        <f t="shared" si="37"/>
        <v>0.2230399519375188</v>
      </c>
      <c r="AT23" s="88">
        <f t="shared" si="37"/>
        <v>0.20484099394875757</v>
      </c>
      <c r="AU23" s="88">
        <f t="shared" si="37"/>
        <v>0.21743205248359887</v>
      </c>
      <c r="AV23" s="88">
        <f t="shared" si="37"/>
        <v>0.27272727272727271</v>
      </c>
      <c r="AW23" s="120">
        <f t="shared" si="37"/>
        <v>0.228118200322875</v>
      </c>
      <c r="AX23" s="88">
        <f t="shared" si="37"/>
        <v>0.22740524781341107</v>
      </c>
      <c r="AY23" s="88">
        <f t="shared" si="37"/>
        <v>0.19447779111644659</v>
      </c>
      <c r="AZ23" s="88">
        <f t="shared" si="37"/>
        <v>0.20588235294117646</v>
      </c>
      <c r="BA23" s="88">
        <f t="shared" si="37"/>
        <v>0.30043541364296084</v>
      </c>
      <c r="BB23" s="120">
        <f t="shared" si="37"/>
        <v>0.2294314381270903</v>
      </c>
      <c r="BC23" s="88">
        <f t="shared" si="37"/>
        <v>0.24113475177304963</v>
      </c>
      <c r="BD23" s="88">
        <f t="shared" si="37"/>
        <v>0.20296465222348917</v>
      </c>
      <c r="BE23" s="88">
        <f t="shared" si="37"/>
        <v>0.2004920049200492</v>
      </c>
      <c r="BF23" s="88">
        <f t="shared" si="37"/>
        <v>0.25135135135135134</v>
      </c>
      <c r="BG23" s="120">
        <f t="shared" si="37"/>
        <v>0.22232854864433813</v>
      </c>
      <c r="BH23" s="88">
        <f t="shared" si="37"/>
        <v>0.24177396280400573</v>
      </c>
      <c r="BI23" s="88">
        <f t="shared" si="37"/>
        <v>0.20023419203747073</v>
      </c>
      <c r="BJ23" s="88">
        <f t="shared" si="37"/>
        <v>0.20642768850432633</v>
      </c>
      <c r="BK23" s="88">
        <f t="shared" si="37"/>
        <v>0.24828532235939643</v>
      </c>
      <c r="BL23" s="120">
        <f>BL22/BL14</f>
        <v>0.22258168877385959</v>
      </c>
      <c r="BM23" s="400">
        <f t="shared" si="37"/>
        <v>0.24659606656580937</v>
      </c>
      <c r="BN23" s="400">
        <f t="shared" si="37"/>
        <v>0.19638554216867471</v>
      </c>
      <c r="BO23" s="400">
        <f t="shared" ref="BO23" si="38">BO22/BO14</f>
        <v>0.20049504950495051</v>
      </c>
      <c r="BP23" s="400">
        <f>BP22/BP14</f>
        <v>0.25504322766570603</v>
      </c>
      <c r="BQ23" s="120">
        <f>BQ22/BQ14</f>
        <v>0.22218509856331439</v>
      </c>
      <c r="BR23" s="400">
        <f t="shared" ref="BR23:BS23" si="39">BR22/BR14</f>
        <v>0.22268326417704012</v>
      </c>
      <c r="BS23" s="400">
        <f t="shared" si="39"/>
        <v>0.17833698030634573</v>
      </c>
      <c r="BT23" s="88">
        <f>+BO23+BT24/10000</f>
        <v>0.1984950495049505</v>
      </c>
      <c r="BU23" s="88">
        <f>BU22/BU14</f>
        <v>0.24681341846175284</v>
      </c>
      <c r="BV23" s="120">
        <f>+BQ23+BV24/10000</f>
        <v>0.20918509856331438</v>
      </c>
      <c r="BW23" s="88">
        <f>+BR23+BW24/10000</f>
        <v>0.21268326417704012</v>
      </c>
      <c r="BX23" s="88">
        <f>+BS23+BX24/10000</f>
        <v>0.16833698030634572</v>
      </c>
      <c r="BY23" s="88">
        <f>+BT23+BY24/10000</f>
        <v>0.1884950495049505</v>
      </c>
      <c r="BZ23" s="88">
        <f>BZ22/BZ14</f>
        <v>0.2358275140499265</v>
      </c>
      <c r="CA23" s="120">
        <f>+BV23+CA24/10000</f>
        <v>0.19918509856331437</v>
      </c>
      <c r="CB23" s="88">
        <f>+BW23+CB24/10000</f>
        <v>0.21068326417704011</v>
      </c>
      <c r="CC23" s="88">
        <f>+BX23+CC24/10000</f>
        <v>0.16633698030634572</v>
      </c>
      <c r="CD23" s="88">
        <f>+BY23+CD24/10000</f>
        <v>0.18649504950495049</v>
      </c>
      <c r="CE23" s="88">
        <f>CE22/CE14</f>
        <v>0.23382751404992633</v>
      </c>
      <c r="CF23" s="120">
        <f>+CA23+CF24/10000</f>
        <v>0.19718509856331437</v>
      </c>
      <c r="CG23" s="88">
        <f>+CB23+CG24/10000</f>
        <v>0.20868326417704011</v>
      </c>
      <c r="CH23" s="88">
        <f>+CC23+CH24/10000</f>
        <v>0.16433698030634572</v>
      </c>
      <c r="CI23" s="88">
        <f>+CD23+CI24/10000</f>
        <v>0.18449504950495049</v>
      </c>
      <c r="CJ23" s="88">
        <f>CJ22/CJ14</f>
        <v>0.23182751404992644</v>
      </c>
      <c r="CK23" s="120">
        <f>+CF23+CK24/10000</f>
        <v>0.19518509856331437</v>
      </c>
      <c r="CL23" s="88">
        <f>+CG23+CL24/10000</f>
        <v>0.20718326417704011</v>
      </c>
      <c r="CM23" s="88">
        <f>+CH23+CM24/10000</f>
        <v>0.16283698030634572</v>
      </c>
      <c r="CN23" s="88">
        <f>+CI23+CN24/10000</f>
        <v>0.18299504950495049</v>
      </c>
      <c r="CO23" s="88">
        <f>CO22/CO14</f>
        <v>0.23032751404992641</v>
      </c>
      <c r="CP23" s="120">
        <f>+CK23+CP24/10000</f>
        <v>0.19368509856331437</v>
      </c>
    </row>
    <row r="24" spans="1:109" x14ac:dyDescent="0.25">
      <c r="B24" s="106" t="s">
        <v>10</v>
      </c>
      <c r="C24" s="107"/>
      <c r="D24" s="107">
        <f>(D23-C23)*10000</f>
        <v>5.3799904707399477</v>
      </c>
      <c r="E24" s="108"/>
      <c r="F24" s="108"/>
      <c r="G24" s="108"/>
      <c r="H24" s="108"/>
      <c r="I24" s="107">
        <f t="shared" ref="I24:W24" si="40">(I23-D23)*10000</f>
        <v>68.107711873715004</v>
      </c>
      <c r="J24" s="108">
        <f t="shared" si="40"/>
        <v>16.818764370396256</v>
      </c>
      <c r="K24" s="108">
        <f t="shared" si="40"/>
        <v>-58.913872349986022</v>
      </c>
      <c r="L24" s="108">
        <f t="shared" si="40"/>
        <v>7.9769055378439706</v>
      </c>
      <c r="M24" s="108">
        <f t="shared" si="40"/>
        <v>168.24373312056662</v>
      </c>
      <c r="N24" s="107">
        <f t="shared" si="40"/>
        <v>37.678766715229791</v>
      </c>
      <c r="O24" s="108">
        <f t="shared" si="40"/>
        <v>104.13399206227191</v>
      </c>
      <c r="P24" s="108">
        <f t="shared" si="40"/>
        <v>98.983994898524386</v>
      </c>
      <c r="Q24" s="108">
        <f t="shared" si="40"/>
        <v>-70.264160774893284</v>
      </c>
      <c r="R24" s="108">
        <f t="shared" si="40"/>
        <v>-146.14617597614455</v>
      </c>
      <c r="S24" s="107">
        <f t="shared" si="40"/>
        <v>7.0845657691875896</v>
      </c>
      <c r="T24" s="108">
        <f t="shared" si="40"/>
        <v>-73.126341760389735</v>
      </c>
      <c r="U24" s="108">
        <f t="shared" si="40"/>
        <v>-10.1290780580357</v>
      </c>
      <c r="V24" s="108">
        <f t="shared" si="40"/>
        <v>-69.044254116538696</v>
      </c>
      <c r="W24" s="108">
        <f t="shared" si="40"/>
        <v>-265.59393697953681</v>
      </c>
      <c r="X24" s="107">
        <f t="shared" ref="X24:AH24" si="41">(X23-S23)*10000</f>
        <v>-110.36814362317376</v>
      </c>
      <c r="Y24" s="109">
        <f t="shared" si="41"/>
        <v>-87.438747006551026</v>
      </c>
      <c r="Z24" s="109">
        <f t="shared" si="41"/>
        <v>-154.65610223928755</v>
      </c>
      <c r="AA24" s="109">
        <f t="shared" si="41"/>
        <v>-219.37803492262375</v>
      </c>
      <c r="AB24" s="108">
        <f t="shared" si="41"/>
        <v>-36.022955636464403</v>
      </c>
      <c r="AC24" s="107">
        <f t="shared" si="41"/>
        <v>-132.18718715893891</v>
      </c>
      <c r="AD24" s="108">
        <f t="shared" si="41"/>
        <v>-296.07454155909096</v>
      </c>
      <c r="AE24" s="108">
        <f t="shared" si="41"/>
        <v>-104.72330822016679</v>
      </c>
      <c r="AF24" s="108">
        <f t="shared" si="41"/>
        <v>152.33645632037857</v>
      </c>
      <c r="AG24" s="108">
        <f>(AG23-AB23)*10000</f>
        <v>353.02013022456782</v>
      </c>
      <c r="AH24" s="107">
        <f t="shared" si="41"/>
        <v>22.107919214067739</v>
      </c>
      <c r="AI24" s="108">
        <f t="shared" ref="AI24:AW24" si="42">(AI23-AD23)*10000</f>
        <v>240.43984385634181</v>
      </c>
      <c r="AJ24" s="108">
        <f t="shared" si="42"/>
        <v>112.71982537893466</v>
      </c>
      <c r="AK24" s="108">
        <f t="shared" si="42"/>
        <v>-55.215485225110768</v>
      </c>
      <c r="AL24" s="108">
        <f t="shared" si="42"/>
        <v>-194.70682306018395</v>
      </c>
      <c r="AM24" s="107">
        <f t="shared" si="42"/>
        <v>33.313253134213404</v>
      </c>
      <c r="AN24" s="108">
        <f t="shared" si="42"/>
        <v>-116.72434319633385</v>
      </c>
      <c r="AO24" s="108">
        <f t="shared" si="42"/>
        <v>-23.790190714897406</v>
      </c>
      <c r="AP24" s="108">
        <f t="shared" si="42"/>
        <v>81.215494527439589</v>
      </c>
      <c r="AQ24" s="109">
        <f>(AQ23-AL23)*10000</f>
        <v>151.73808009391166</v>
      </c>
      <c r="AR24" s="107">
        <f t="shared" si="42"/>
        <v>12.006182301995405</v>
      </c>
      <c r="AS24" s="108">
        <f t="shared" si="42"/>
        <v>30.650381714479035</v>
      </c>
      <c r="AT24" s="108">
        <f t="shared" si="42"/>
        <v>150.66519320361849</v>
      </c>
      <c r="AU24" s="108">
        <f t="shared" si="42"/>
        <v>64.856442737927239</v>
      </c>
      <c r="AV24" s="108">
        <f>(AV23-AQ23)*10000</f>
        <v>-178.68182572113588</v>
      </c>
      <c r="AW24" s="107">
        <f t="shared" si="42"/>
        <v>34.88237418405177</v>
      </c>
      <c r="AX24" s="108">
        <f t="shared" ref="AX24:BG24" si="43">(AX23-AS23)*10000</f>
        <v>43.652958758922665</v>
      </c>
      <c r="AY24" s="108">
        <f t="shared" si="43"/>
        <v>-103.63202832310986</v>
      </c>
      <c r="AZ24" s="108">
        <f t="shared" si="43"/>
        <v>-115.4969954242241</v>
      </c>
      <c r="BA24" s="108">
        <f t="shared" si="43"/>
        <v>277.08140915688131</v>
      </c>
      <c r="BB24" s="107">
        <f t="shared" si="43"/>
        <v>13.132378042153004</v>
      </c>
      <c r="BC24" s="108">
        <f t="shared" si="43"/>
        <v>137.29503959638566</v>
      </c>
      <c r="BD24" s="108">
        <f t="shared" si="43"/>
        <v>84.868611070425814</v>
      </c>
      <c r="BE24" s="108">
        <f t="shared" si="43"/>
        <v>-53.903480211272559</v>
      </c>
      <c r="BF24" s="108">
        <f>(BF23-BA23)*10000</f>
        <v>-490.84062291609496</v>
      </c>
      <c r="BG24" s="107">
        <f t="shared" si="43"/>
        <v>-71.028894827521725</v>
      </c>
      <c r="BH24" s="108">
        <f>(BH23-BC23)*10000</f>
        <v>6.3921103095609944</v>
      </c>
      <c r="BI24" s="108">
        <f>(BI23-BD23)*10000</f>
        <v>-27.304601860184409</v>
      </c>
      <c r="BJ24" s="108">
        <f>(BJ23-BE23)*10000</f>
        <v>59.35683584277124</v>
      </c>
      <c r="BK24" s="108">
        <f>(BK23-BF23)*10000</f>
        <v>-30.660289919549054</v>
      </c>
      <c r="BL24" s="107">
        <f t="shared" ref="BL24" si="44">(BL23-BG23)*10000</f>
        <v>2.5314012952146192</v>
      </c>
      <c r="BM24" s="398">
        <f>(BM23-BH23)*10000</f>
        <v>48.221037618036419</v>
      </c>
      <c r="BN24" s="398">
        <f>(BN23-BI23)*10000</f>
        <v>-38.486498687960172</v>
      </c>
      <c r="BO24" s="398">
        <f>(BO23-BJ23)*10000</f>
        <v>-59.32638999375822</v>
      </c>
      <c r="BP24" s="108">
        <f>(BP23-BK23)*10000</f>
        <v>67.579053063095969</v>
      </c>
      <c r="BQ24" s="107">
        <f t="shared" ref="BQ24" si="45">(BQ23-BL23)*10000</f>
        <v>-3.9659021054519461</v>
      </c>
      <c r="BR24" s="398">
        <f>(BR23-BM23)*10000</f>
        <v>-239.12802388769251</v>
      </c>
      <c r="BS24" s="398">
        <f>(BS23-BN23)*10000</f>
        <v>-180.48561862328978</v>
      </c>
      <c r="BT24" s="110">
        <v>-20</v>
      </c>
      <c r="BU24" s="108">
        <f>(BU23-BP23)*10000</f>
        <v>-82.298092039531923</v>
      </c>
      <c r="BV24" s="111">
        <v>-130</v>
      </c>
      <c r="BW24" s="110">
        <f>CA24</f>
        <v>-100</v>
      </c>
      <c r="BX24" s="110">
        <f>CA24</f>
        <v>-100</v>
      </c>
      <c r="BY24" s="110">
        <f>CA24</f>
        <v>-100</v>
      </c>
      <c r="BZ24" s="108">
        <f>(BZ23-BU23)*10000</f>
        <v>-109.85904411826341</v>
      </c>
      <c r="CA24" s="111">
        <v>-100</v>
      </c>
      <c r="CB24" s="110">
        <f>CF24</f>
        <v>-20</v>
      </c>
      <c r="CC24" s="110">
        <f>CF24</f>
        <v>-20</v>
      </c>
      <c r="CD24" s="110">
        <f>CF24</f>
        <v>-20</v>
      </c>
      <c r="CE24" s="108">
        <f>(CE23-BZ23)*10000</f>
        <v>-20.000000000001684</v>
      </c>
      <c r="CF24" s="111">
        <v>-20</v>
      </c>
      <c r="CG24" s="110">
        <f>CK24</f>
        <v>-20</v>
      </c>
      <c r="CH24" s="110">
        <f>CK24</f>
        <v>-20</v>
      </c>
      <c r="CI24" s="110">
        <f>CK24</f>
        <v>-20</v>
      </c>
      <c r="CJ24" s="108">
        <f>(CJ23-CE23)*10000</f>
        <v>-19.999999999998906</v>
      </c>
      <c r="CK24" s="111">
        <v>-20</v>
      </c>
      <c r="CL24" s="110">
        <f>CP24</f>
        <v>-15</v>
      </c>
      <c r="CM24" s="110">
        <f>CP24</f>
        <v>-15</v>
      </c>
      <c r="CN24" s="110">
        <f>CP24</f>
        <v>-15</v>
      </c>
      <c r="CO24" s="108">
        <f>(CO23-CJ23)*10000</f>
        <v>-15.000000000000291</v>
      </c>
      <c r="CP24" s="111">
        <v>-15</v>
      </c>
    </row>
    <row r="25" spans="1:109" x14ac:dyDescent="0.25">
      <c r="A25" s="52" t="s">
        <v>11</v>
      </c>
      <c r="C25" s="94">
        <v>243.4</v>
      </c>
      <c r="D25" s="94">
        <v>279.89999999999998</v>
      </c>
      <c r="E25" s="95">
        <v>61.6</v>
      </c>
      <c r="F25" s="95">
        <v>81.5</v>
      </c>
      <c r="G25" s="95">
        <v>76.8</v>
      </c>
      <c r="H25" s="97">
        <v>75.5</v>
      </c>
      <c r="I25" s="94">
        <f>+SUM(E25:H25)</f>
        <v>295.39999999999998</v>
      </c>
      <c r="J25" s="95">
        <f>72.3-0.4</f>
        <v>71.899999999999991</v>
      </c>
      <c r="K25" s="95">
        <f>243.2-L25-J25</f>
        <v>86.600000000000009</v>
      </c>
      <c r="L25" s="95">
        <v>84.7</v>
      </c>
      <c r="M25" s="97">
        <v>80.099999999999994</v>
      </c>
      <c r="N25" s="94">
        <f>+J25+K25+L25+M25</f>
        <v>323.29999999999995</v>
      </c>
      <c r="O25" s="95">
        <v>80.7</v>
      </c>
      <c r="P25" s="95">
        <f>267.2-Q25-O25</f>
        <v>92.3</v>
      </c>
      <c r="Q25" s="95">
        <v>94.2</v>
      </c>
      <c r="R25" s="97">
        <v>93.9</v>
      </c>
      <c r="S25" s="94">
        <f>O25+P25+Q25+R25</f>
        <v>361.1</v>
      </c>
      <c r="T25" s="95">
        <v>94</v>
      </c>
      <c r="U25" s="95">
        <v>112.6</v>
      </c>
      <c r="V25" s="95">
        <v>107.6</v>
      </c>
      <c r="W25" s="97">
        <v>101</v>
      </c>
      <c r="X25" s="94">
        <f>+T25+U25+V25+W25</f>
        <v>415.2</v>
      </c>
      <c r="Y25" s="95">
        <v>97</v>
      </c>
      <c r="Z25" s="95">
        <v>110</v>
      </c>
      <c r="AA25" s="95">
        <v>87</v>
      </c>
      <c r="AB25" s="95">
        <v>88.9</v>
      </c>
      <c r="AC25" s="94">
        <f>+Y25+Z25+AA25+AB25</f>
        <v>382.9</v>
      </c>
      <c r="AD25" s="95">
        <v>76</v>
      </c>
      <c r="AE25" s="95">
        <v>92.1</v>
      </c>
      <c r="AF25" s="95">
        <v>92</v>
      </c>
      <c r="AG25" s="95">
        <v>89.7</v>
      </c>
      <c r="AH25" s="94">
        <f>+AD25+AE25+AF25+AG25</f>
        <v>349.8</v>
      </c>
      <c r="AI25" s="95">
        <v>76.3</v>
      </c>
      <c r="AJ25" s="95">
        <v>93.5</v>
      </c>
      <c r="AK25" s="95">
        <v>96.8</v>
      </c>
      <c r="AL25" s="95">
        <v>99.7</v>
      </c>
      <c r="AM25" s="94">
        <f>+AI25+AJ25+AK25+AL25</f>
        <v>366.3</v>
      </c>
      <c r="AN25" s="95">
        <v>90.8</v>
      </c>
      <c r="AO25" s="95">
        <v>106.7</v>
      </c>
      <c r="AP25" s="95">
        <v>98.8</v>
      </c>
      <c r="AQ25" s="119">
        <v>98.6</v>
      </c>
      <c r="AR25" s="94">
        <f>+AN25+AO25+AP25+AQ25</f>
        <v>394.9</v>
      </c>
      <c r="AS25" s="95">
        <v>92.1</v>
      </c>
      <c r="AT25" s="95">
        <v>106.6</v>
      </c>
      <c r="AU25" s="95">
        <v>110.5</v>
      </c>
      <c r="AV25" s="95">
        <v>99</v>
      </c>
      <c r="AW25" s="94">
        <f>+AS25+AT25+AU25+AV25</f>
        <v>408.2</v>
      </c>
      <c r="AX25" s="95">
        <v>103</v>
      </c>
      <c r="AY25" s="95">
        <v>111</v>
      </c>
      <c r="AZ25" s="95">
        <v>116</v>
      </c>
      <c r="BA25" s="95">
        <v>106</v>
      </c>
      <c r="BB25" s="94">
        <f>+AX25+AY25+AZ25+BA25</f>
        <v>436</v>
      </c>
      <c r="BC25" s="95">
        <v>99</v>
      </c>
      <c r="BD25" s="95">
        <v>123</v>
      </c>
      <c r="BE25" s="95">
        <v>112</v>
      </c>
      <c r="BF25" s="95">
        <v>103</v>
      </c>
      <c r="BG25" s="94">
        <f>+BC25+BD25+BE25+BF25</f>
        <v>437</v>
      </c>
      <c r="BH25" s="95">
        <v>95</v>
      </c>
      <c r="BI25" s="95">
        <v>115</v>
      </c>
      <c r="BJ25" s="95">
        <v>107</v>
      </c>
      <c r="BK25" s="95">
        <v>101</v>
      </c>
      <c r="BL25" s="94">
        <f>+BH25+BI25+BJ25+BK25</f>
        <v>418</v>
      </c>
      <c r="BM25" s="394">
        <v>82</v>
      </c>
      <c r="BN25" s="394">
        <v>107</v>
      </c>
      <c r="BO25" s="394">
        <v>102</v>
      </c>
      <c r="BP25" s="394">
        <v>91</v>
      </c>
      <c r="BQ25" s="94">
        <f>+BM25+BN25+BO25+BP25</f>
        <v>382</v>
      </c>
      <c r="BR25" s="394">
        <v>89</v>
      </c>
      <c r="BS25" s="394">
        <v>111</v>
      </c>
      <c r="BT25" s="95">
        <f>BT26*BT$14</f>
        <v>116.84565859405967</v>
      </c>
      <c r="BU25" s="95">
        <f>BV25-BR25-BS25-BT25</f>
        <v>102.17235574264458</v>
      </c>
      <c r="BV25" s="94">
        <f>BV26*BV$14</f>
        <v>419.01801433670425</v>
      </c>
      <c r="BW25" s="95">
        <f>BW26*BW$14</f>
        <v>95.029816208528928</v>
      </c>
      <c r="BX25" s="95">
        <f>BX26*BX$14</f>
        <v>114.59636316564881</v>
      </c>
      <c r="BY25" s="95">
        <f>BY26*BY$14</f>
        <v>123.52234672740327</v>
      </c>
      <c r="BZ25" s="95">
        <f>CA25-BW25-BX25-BY25</f>
        <v>107.8040642804214</v>
      </c>
      <c r="CA25" s="94">
        <f>CA26*CA$14</f>
        <v>440.95259038200243</v>
      </c>
      <c r="CB25" s="95">
        <f>CB26*CB$14</f>
        <v>99.781307018955374</v>
      </c>
      <c r="CC25" s="95">
        <f>CC26*CC$14</f>
        <v>120.32618132393125</v>
      </c>
      <c r="CD25" s="95">
        <f>CD26*CD$14</f>
        <v>129.69846406377346</v>
      </c>
      <c r="CE25" s="95">
        <f>CF25-CB25-CC25-CD25</f>
        <v>113.19426749444239</v>
      </c>
      <c r="CF25" s="94">
        <f>CF26*CF$14</f>
        <v>463.00021990110247</v>
      </c>
      <c r="CG25" s="95">
        <f>CG26*CG$14</f>
        <v>104.77037236990314</v>
      </c>
      <c r="CH25" s="95">
        <f>CH26*CH$14</f>
        <v>126.34249039012781</v>
      </c>
      <c r="CI25" s="95">
        <f>CI26*CI$14</f>
        <v>136.18338726696214</v>
      </c>
      <c r="CJ25" s="95">
        <f>CK25-CG25-CH25-CI25</f>
        <v>118.8539808691645</v>
      </c>
      <c r="CK25" s="94">
        <f>CK26*CK$14</f>
        <v>486.15023089615761</v>
      </c>
      <c r="CL25" s="95">
        <f>CL26*CL$14</f>
        <v>110.00889098839831</v>
      </c>
      <c r="CM25" s="95">
        <f>CM26*CM$14</f>
        <v>132.6596149096342</v>
      </c>
      <c r="CN25" s="95">
        <f>CN26*CN$14</f>
        <v>142.99255663031025</v>
      </c>
      <c r="CO25" s="95">
        <f>CP25-CL25-CM25-CN25</f>
        <v>124.79667991262269</v>
      </c>
      <c r="CP25" s="94">
        <f>CP26*CP$14</f>
        <v>510.45774244096549</v>
      </c>
    </row>
    <row r="26" spans="1:109" x14ac:dyDescent="0.25">
      <c r="B26" s="52" t="s">
        <v>3</v>
      </c>
      <c r="C26" s="70">
        <f t="shared" ref="C26:AH26" si="46">C25/C14</f>
        <v>0.15876329006587961</v>
      </c>
      <c r="D26" s="70">
        <f t="shared" si="46"/>
        <v>0.16551357104842998</v>
      </c>
      <c r="E26" s="73">
        <f t="shared" si="46"/>
        <v>0.15426997245179064</v>
      </c>
      <c r="F26" s="73">
        <f t="shared" si="46"/>
        <v>0.15745749613601237</v>
      </c>
      <c r="G26" s="73">
        <f t="shared" si="46"/>
        <v>0.16033402922755743</v>
      </c>
      <c r="H26" s="88">
        <f t="shared" si="46"/>
        <v>0.18227909222597782</v>
      </c>
      <c r="I26" s="70">
        <f t="shared" si="46"/>
        <v>0.16319540356886358</v>
      </c>
      <c r="J26" s="73">
        <f t="shared" si="46"/>
        <v>0.16182759396803958</v>
      </c>
      <c r="K26" s="73">
        <f t="shared" si="46"/>
        <v>0.15974912377790076</v>
      </c>
      <c r="L26" s="73">
        <f t="shared" si="46"/>
        <v>0.17118027485852871</v>
      </c>
      <c r="M26" s="88">
        <f t="shared" si="46"/>
        <v>0.17315175097276261</v>
      </c>
      <c r="N26" s="70">
        <f t="shared" si="46"/>
        <v>0.16632369585348286</v>
      </c>
      <c r="O26" s="73">
        <f t="shared" si="46"/>
        <v>0.15980198019801981</v>
      </c>
      <c r="P26" s="73">
        <f t="shared" si="46"/>
        <v>0.15853658536585363</v>
      </c>
      <c r="Q26" s="73">
        <f t="shared" si="46"/>
        <v>0.16182786462807081</v>
      </c>
      <c r="R26" s="88">
        <f t="shared" si="46"/>
        <v>0.17122538293216633</v>
      </c>
      <c r="S26" s="70">
        <f t="shared" si="46"/>
        <v>0.16282635162555803</v>
      </c>
      <c r="T26" s="73">
        <f t="shared" si="46"/>
        <v>0.16010901039005279</v>
      </c>
      <c r="U26" s="73">
        <f t="shared" si="46"/>
        <v>0.15735047512576861</v>
      </c>
      <c r="V26" s="73">
        <f t="shared" si="46"/>
        <v>0.16002379535990482</v>
      </c>
      <c r="W26" s="88">
        <f t="shared" si="46"/>
        <v>0.16655672823218998</v>
      </c>
      <c r="X26" s="70">
        <f t="shared" si="46"/>
        <v>0.16083672283556072</v>
      </c>
      <c r="Y26" s="103">
        <f t="shared" si="46"/>
        <v>0.15803193222548062</v>
      </c>
      <c r="Z26" s="103">
        <f t="shared" si="46"/>
        <v>0.14907168993088493</v>
      </c>
      <c r="AA26" s="103">
        <f t="shared" si="46"/>
        <v>0.14686022957461173</v>
      </c>
      <c r="AB26" s="73">
        <f t="shared" si="46"/>
        <v>0.1655493482309125</v>
      </c>
      <c r="AC26" s="70">
        <f t="shared" si="46"/>
        <v>0.15432670992704844</v>
      </c>
      <c r="AD26" s="73">
        <f t="shared" si="46"/>
        <v>0.13314646110721795</v>
      </c>
      <c r="AE26" s="73">
        <f t="shared" si="46"/>
        <v>0.13179736691471095</v>
      </c>
      <c r="AF26" s="73">
        <f t="shared" si="46"/>
        <v>0.14433636648886097</v>
      </c>
      <c r="AG26" s="73">
        <f t="shared" si="46"/>
        <v>0.15963694607581422</v>
      </c>
      <c r="AH26" s="70">
        <f t="shared" si="46"/>
        <v>0.1416825306816801</v>
      </c>
      <c r="AI26" s="73">
        <f t="shared" ref="AI26:BN26" si="47">AI25/AI14</f>
        <v>0.13400070249385318</v>
      </c>
      <c r="AJ26" s="73">
        <f t="shared" si="47"/>
        <v>0.13387743413516609</v>
      </c>
      <c r="AK26" s="73">
        <f t="shared" si="47"/>
        <v>0.13672316384180791</v>
      </c>
      <c r="AL26" s="73">
        <f t="shared" si="47"/>
        <v>0.16325528082528248</v>
      </c>
      <c r="AM26" s="70">
        <f t="shared" si="47"/>
        <v>0.14161994973902958</v>
      </c>
      <c r="AN26" s="73">
        <f t="shared" si="47"/>
        <v>0.14236437754782064</v>
      </c>
      <c r="AO26" s="73">
        <f t="shared" si="47"/>
        <v>0.13672475653511021</v>
      </c>
      <c r="AP26" s="73">
        <f t="shared" si="47"/>
        <v>0.14082098061573545</v>
      </c>
      <c r="AQ26" s="103">
        <f t="shared" si="47"/>
        <v>0.16354287609885554</v>
      </c>
      <c r="AR26" s="70">
        <f t="shared" si="47"/>
        <v>0.14503985014874937</v>
      </c>
      <c r="AS26" s="73">
        <f t="shared" si="47"/>
        <v>0.13832982877741062</v>
      </c>
      <c r="AT26" s="73">
        <f t="shared" si="47"/>
        <v>0.13724732844083945</v>
      </c>
      <c r="AU26" s="73">
        <f t="shared" si="47"/>
        <v>0.14794483866648814</v>
      </c>
      <c r="AV26" s="73">
        <f t="shared" si="47"/>
        <v>0.15</v>
      </c>
      <c r="AW26" s="70">
        <f t="shared" si="47"/>
        <v>0.14325822980276548</v>
      </c>
      <c r="AX26" s="73">
        <f t="shared" si="47"/>
        <v>0.15014577259475217</v>
      </c>
      <c r="AY26" s="73">
        <f t="shared" si="47"/>
        <v>0.13325330132052821</v>
      </c>
      <c r="AZ26" s="73">
        <f t="shared" si="47"/>
        <v>0.14833759590792839</v>
      </c>
      <c r="BA26" s="73">
        <f t="shared" si="47"/>
        <v>0.15384615384615385</v>
      </c>
      <c r="BB26" s="70">
        <f t="shared" si="47"/>
        <v>0.14581939799331103</v>
      </c>
      <c r="BC26" s="73">
        <f t="shared" si="47"/>
        <v>0.14042553191489363</v>
      </c>
      <c r="BD26" s="73">
        <f t="shared" si="47"/>
        <v>0.1402508551881414</v>
      </c>
      <c r="BE26" s="73">
        <f t="shared" si="47"/>
        <v>0.13776137761377613</v>
      </c>
      <c r="BF26" s="73">
        <f t="shared" si="47"/>
        <v>0.13918918918918918</v>
      </c>
      <c r="BG26" s="70">
        <f t="shared" si="47"/>
        <v>0.1393939393939394</v>
      </c>
      <c r="BH26" s="73">
        <f t="shared" si="47"/>
        <v>0.13590844062947066</v>
      </c>
      <c r="BI26" s="73">
        <f t="shared" si="47"/>
        <v>0.13466042154566746</v>
      </c>
      <c r="BJ26" s="73">
        <f t="shared" si="47"/>
        <v>0.13226205191594562</v>
      </c>
      <c r="BK26" s="73">
        <f t="shared" si="47"/>
        <v>0.13854595336076816</v>
      </c>
      <c r="BL26" s="70">
        <f t="shared" si="47"/>
        <v>0.13523131672597866</v>
      </c>
      <c r="BM26" s="395">
        <f t="shared" si="47"/>
        <v>0.12405446293494705</v>
      </c>
      <c r="BN26" s="395">
        <f t="shared" si="47"/>
        <v>0.12891566265060242</v>
      </c>
      <c r="BO26" s="395">
        <f t="shared" ref="BO26" si="48">BO25/BO14</f>
        <v>0.12623762376237624</v>
      </c>
      <c r="BP26" s="395">
        <f>BP25/BP14</f>
        <v>0.13112391930835735</v>
      </c>
      <c r="BQ26" s="70">
        <f t="shared" ref="BQ26:BR26" si="49">BQ25/BQ14</f>
        <v>0.12763113932509187</v>
      </c>
      <c r="BR26" s="395">
        <f t="shared" si="49"/>
        <v>0.12309820193637622</v>
      </c>
      <c r="BS26" s="395">
        <f t="shared" ref="BS26" si="50">BS25/BS14</f>
        <v>0.12144420131291028</v>
      </c>
      <c r="BT26" s="73">
        <f>+BO26+BT27/10000</f>
        <v>0.13123762376237624</v>
      </c>
      <c r="BU26" s="73">
        <f>BU25/BU14</f>
        <v>0.13753340199048841</v>
      </c>
      <c r="BV26" s="70">
        <f>+BQ26+BV27/10000</f>
        <v>0.12813113932509188</v>
      </c>
      <c r="BW26" s="73">
        <f>+BR26+BW27/10000</f>
        <v>0.12309820193637622</v>
      </c>
      <c r="BX26" s="73">
        <f>+BS26+BX27/10000</f>
        <v>0.12144420131291028</v>
      </c>
      <c r="BY26" s="73">
        <f>+BT26+BY27/10000</f>
        <v>0.13123762376237624</v>
      </c>
      <c r="BZ26" s="73">
        <f>BZ25/BZ14</f>
        <v>0.13739866255910749</v>
      </c>
      <c r="CA26" s="70">
        <f>+BV26+CA27/10000</f>
        <v>0.12813113932509188</v>
      </c>
      <c r="CB26" s="73">
        <f>+BW26+CB27/10000</f>
        <v>0.12309820193637622</v>
      </c>
      <c r="CC26" s="73">
        <f>+BX26+CC27/10000</f>
        <v>0.12144420131291028</v>
      </c>
      <c r="CD26" s="73">
        <f>+BY26+CD27/10000</f>
        <v>0.13123762376237624</v>
      </c>
      <c r="CE26" s="73">
        <f>CE25/CE14</f>
        <v>0.13739866255910743</v>
      </c>
      <c r="CF26" s="70">
        <f>+CA26+CF27/10000</f>
        <v>0.12813113932509188</v>
      </c>
      <c r="CG26" s="73">
        <f>+CB26+CG27/10000</f>
        <v>0.12309820193637622</v>
      </c>
      <c r="CH26" s="73">
        <f>+CC26+CH27/10000</f>
        <v>0.12144420131291028</v>
      </c>
      <c r="CI26" s="73">
        <f>+CD26+CI27/10000</f>
        <v>0.13123762376237624</v>
      </c>
      <c r="CJ26" s="73">
        <f>CJ25/CJ14</f>
        <v>0.13739866255910743</v>
      </c>
      <c r="CK26" s="70">
        <f>+CF26+CK27/10000</f>
        <v>0.12813113932509188</v>
      </c>
      <c r="CL26" s="73">
        <f>+CG26+CL27/10000</f>
        <v>0.12309820193637622</v>
      </c>
      <c r="CM26" s="73">
        <f>+CH26+CM27/10000</f>
        <v>0.12144420131291028</v>
      </c>
      <c r="CN26" s="73">
        <f>+CI26+CN27/10000</f>
        <v>0.13123762376237624</v>
      </c>
      <c r="CO26" s="73">
        <f>CO25/CO14</f>
        <v>0.1373986625591074</v>
      </c>
      <c r="CP26" s="70">
        <f>+CK26+CP27/10000</f>
        <v>0.12813113932509188</v>
      </c>
    </row>
    <row r="27" spans="1:109" x14ac:dyDescent="0.25">
      <c r="B27" s="106" t="s">
        <v>10</v>
      </c>
      <c r="C27" s="107"/>
      <c r="D27" s="107">
        <f>(D26-C26)*10000</f>
        <v>67.502809825503718</v>
      </c>
      <c r="E27" s="108"/>
      <c r="F27" s="108"/>
      <c r="G27" s="108"/>
      <c r="H27" s="108"/>
      <c r="I27" s="107">
        <f t="shared" ref="I27:W27" si="51">(I26-D26)*10000</f>
        <v>-23.181674795663966</v>
      </c>
      <c r="J27" s="108">
        <f>(J26-E26)*10000</f>
        <v>75.576215162489461</v>
      </c>
      <c r="K27" s="108">
        <f t="shared" si="51"/>
        <v>22.916276418883939</v>
      </c>
      <c r="L27" s="108">
        <f t="shared" si="51"/>
        <v>108.46245630971279</v>
      </c>
      <c r="M27" s="108">
        <f t="shared" si="51"/>
        <v>-91.273412532152093</v>
      </c>
      <c r="N27" s="107">
        <f t="shared" si="51"/>
        <v>31.282922846192772</v>
      </c>
      <c r="O27" s="108">
        <f t="shared" si="51"/>
        <v>-20.256137700197797</v>
      </c>
      <c r="P27" s="108">
        <f t="shared" si="51"/>
        <v>-12.125384120471317</v>
      </c>
      <c r="Q27" s="108">
        <f t="shared" si="51"/>
        <v>-93.524102304579088</v>
      </c>
      <c r="R27" s="108">
        <f t="shared" si="51"/>
        <v>-19.26368040596288</v>
      </c>
      <c r="S27" s="107">
        <f t="shared" si="51"/>
        <v>-34.97344227924831</v>
      </c>
      <c r="T27" s="108">
        <f t="shared" si="51"/>
        <v>3.0703019203298654</v>
      </c>
      <c r="U27" s="108">
        <f t="shared" si="51"/>
        <v>-11.861102400850253</v>
      </c>
      <c r="V27" s="108">
        <f t="shared" si="51"/>
        <v>-18.040692681659809</v>
      </c>
      <c r="W27" s="108">
        <f t="shared" si="51"/>
        <v>-46.686546999763493</v>
      </c>
      <c r="X27" s="107">
        <f t="shared" ref="X27:AH27" si="52">(X26-S26)*10000</f>
        <v>-19.89628789997311</v>
      </c>
      <c r="Y27" s="109">
        <f t="shared" si="52"/>
        <v>-20.770781645721716</v>
      </c>
      <c r="Z27" s="109">
        <f t="shared" si="52"/>
        <v>-82.78785194883676</v>
      </c>
      <c r="AA27" s="109">
        <f t="shared" si="52"/>
        <v>-131.63565785293096</v>
      </c>
      <c r="AB27" s="108">
        <f t="shared" si="52"/>
        <v>-10.073800012774804</v>
      </c>
      <c r="AC27" s="107">
        <f t="shared" si="52"/>
        <v>-65.100129085122745</v>
      </c>
      <c r="AD27" s="108">
        <f t="shared" si="52"/>
        <v>-248.85471118262669</v>
      </c>
      <c r="AE27" s="108">
        <f t="shared" si="52"/>
        <v>-172.74323016173986</v>
      </c>
      <c r="AF27" s="108">
        <f t="shared" si="52"/>
        <v>-25.238630857507548</v>
      </c>
      <c r="AG27" s="108">
        <f>(AG26-AB26)*10000</f>
        <v>-59.124021550982789</v>
      </c>
      <c r="AH27" s="107">
        <f t="shared" si="52"/>
        <v>-126.44179245368342</v>
      </c>
      <c r="AI27" s="108">
        <f t="shared" ref="AI27:AW27" si="53">(AI26-AD26)*10000</f>
        <v>8.5424138663522946</v>
      </c>
      <c r="AJ27" s="108">
        <f t="shared" si="53"/>
        <v>20.80067220455145</v>
      </c>
      <c r="AK27" s="108">
        <f t="shared" si="53"/>
        <v>-76.132026470530633</v>
      </c>
      <c r="AL27" s="108">
        <f t="shared" si="53"/>
        <v>36.183347494682664</v>
      </c>
      <c r="AM27" s="107">
        <f t="shared" si="53"/>
        <v>-0.62580942650519722</v>
      </c>
      <c r="AN27" s="108">
        <f t="shared" si="53"/>
        <v>83.636750539674566</v>
      </c>
      <c r="AO27" s="108">
        <f t="shared" si="53"/>
        <v>28.473223999441188</v>
      </c>
      <c r="AP27" s="108">
        <f t="shared" si="53"/>
        <v>40.978167739275371</v>
      </c>
      <c r="AQ27" s="109">
        <f>(AQ26-AL26)*10000</f>
        <v>2.875952735730547</v>
      </c>
      <c r="AR27" s="107">
        <f t="shared" si="53"/>
        <v>34.199004097197893</v>
      </c>
      <c r="AS27" s="108">
        <f t="shared" si="53"/>
        <v>-40.345487704100123</v>
      </c>
      <c r="AT27" s="305">
        <f t="shared" si="53"/>
        <v>5.2257190572924106</v>
      </c>
      <c r="AU27" s="305">
        <f t="shared" si="53"/>
        <v>71.238580507526905</v>
      </c>
      <c r="AV27" s="108">
        <f>(AV26-AQ26)*10000</f>
        <v>-135.42876098855544</v>
      </c>
      <c r="AW27" s="107">
        <f t="shared" si="53"/>
        <v>-17.816203459838921</v>
      </c>
      <c r="AX27" s="108">
        <f t="shared" ref="AX27:BC27" si="54">(AX26-AS26)*10000</f>
        <v>118.15943817341551</v>
      </c>
      <c r="AY27" s="108">
        <f t="shared" si="54"/>
        <v>-39.940271203112445</v>
      </c>
      <c r="AZ27" s="108">
        <f t="shared" si="54"/>
        <v>3.9275724144025026</v>
      </c>
      <c r="BA27" s="108">
        <f t="shared" si="54"/>
        <v>38.461538461538602</v>
      </c>
      <c r="BB27" s="107">
        <f t="shared" si="54"/>
        <v>25.611681905455541</v>
      </c>
      <c r="BC27" s="108">
        <f t="shared" si="54"/>
        <v>-97.2024067985855</v>
      </c>
      <c r="BD27" s="108">
        <f t="shared" ref="BD27:BL27" si="55">(BD26-AY26)*10000</f>
        <v>69.975538676131933</v>
      </c>
      <c r="BE27" s="108">
        <f t="shared" si="55"/>
        <v>-105.76218294152257</v>
      </c>
      <c r="BF27" s="108">
        <f t="shared" si="55"/>
        <v>-146.56964656964672</v>
      </c>
      <c r="BG27" s="107">
        <f t="shared" si="55"/>
        <v>-64.254585993716304</v>
      </c>
      <c r="BH27" s="108">
        <f t="shared" si="55"/>
        <v>-45.170912854229641</v>
      </c>
      <c r="BI27" s="108">
        <f t="shared" si="55"/>
        <v>-55.904336424739412</v>
      </c>
      <c r="BJ27" s="108">
        <f t="shared" si="55"/>
        <v>-54.993256978305148</v>
      </c>
      <c r="BK27" s="108">
        <f>(BK26-BF26)*10000</f>
        <v>-6.4323582842101823</v>
      </c>
      <c r="BL27" s="107">
        <f t="shared" si="55"/>
        <v>-41.62622667960747</v>
      </c>
      <c r="BM27" s="398">
        <f>(BM26-BH26)*10000</f>
        <v>-118.53977694523607</v>
      </c>
      <c r="BN27" s="398">
        <f>(BN26-BI26)*10000</f>
        <v>-57.447588950650385</v>
      </c>
      <c r="BO27" s="398">
        <f>(BO26-BJ26)*10000</f>
        <v>-60.24428153569378</v>
      </c>
      <c r="BP27" s="108">
        <f>(BP26-BK26)*10000</f>
        <v>-74.220340524108195</v>
      </c>
      <c r="BQ27" s="107">
        <f t="shared" ref="BQ27" si="56">(BQ26-BL26)*10000</f>
        <v>-76.001774008867812</v>
      </c>
      <c r="BR27" s="398">
        <f>(BR26-BM26)*10000</f>
        <v>-9.5626099857083755</v>
      </c>
      <c r="BS27" s="398">
        <f>(BS26-BN26)*10000</f>
        <v>-74.714613376921363</v>
      </c>
      <c r="BT27" s="110">
        <v>50</v>
      </c>
      <c r="BU27" s="108">
        <f>(BU26-BP26)*10000</f>
        <v>64.094826821310676</v>
      </c>
      <c r="BV27" s="111">
        <v>5</v>
      </c>
      <c r="BW27" s="110">
        <f>CA27</f>
        <v>0</v>
      </c>
      <c r="BX27" s="110">
        <f>CA27</f>
        <v>0</v>
      </c>
      <c r="BY27" s="110">
        <f>CA27</f>
        <v>0</v>
      </c>
      <c r="BZ27" s="108">
        <f>(BZ26-BU26)*10000</f>
        <v>-1.3473943138092581</v>
      </c>
      <c r="CA27" s="111">
        <v>0</v>
      </c>
      <c r="CB27" s="110">
        <f>CF27</f>
        <v>0</v>
      </c>
      <c r="CC27" s="110">
        <f>CF27</f>
        <v>0</v>
      </c>
      <c r="CD27" s="110">
        <f>CF27</f>
        <v>0</v>
      </c>
      <c r="CE27" s="108">
        <f>(CE26-BZ26)*10000</f>
        <v>-5.5511151231257827E-13</v>
      </c>
      <c r="CF27" s="111">
        <v>0</v>
      </c>
      <c r="CG27" s="110">
        <f>CK27</f>
        <v>0</v>
      </c>
      <c r="CH27" s="110">
        <f>CK27</f>
        <v>0</v>
      </c>
      <c r="CI27" s="110">
        <f>CK27</f>
        <v>0</v>
      </c>
      <c r="CJ27" s="108">
        <f>(CJ26-CE26)*10000</f>
        <v>0</v>
      </c>
      <c r="CK27" s="111">
        <v>0</v>
      </c>
      <c r="CL27" s="110">
        <f>CP27</f>
        <v>0</v>
      </c>
      <c r="CM27" s="110">
        <f>CP27</f>
        <v>0</v>
      </c>
      <c r="CN27" s="110">
        <f>CP27</f>
        <v>0</v>
      </c>
      <c r="CO27" s="108">
        <f>(CO26-CJ26)*10000</f>
        <v>-2.7755575615628914E-13</v>
      </c>
      <c r="CP27" s="111">
        <v>0</v>
      </c>
    </row>
    <row r="28" spans="1:109" x14ac:dyDescent="0.25">
      <c r="A28" s="52" t="s">
        <v>12</v>
      </c>
      <c r="C28" s="94">
        <v>-7.2</v>
      </c>
      <c r="D28" s="94">
        <v>4.2</v>
      </c>
      <c r="E28" s="95">
        <f>+I28-H28-G28-F28</f>
        <v>-1.699999999999986</v>
      </c>
      <c r="F28" s="95">
        <v>-0.4</v>
      </c>
      <c r="G28" s="95">
        <v>1.4999999999999858</v>
      </c>
      <c r="H28" s="96">
        <v>-1.2</v>
      </c>
      <c r="I28" s="94">
        <v>-1.8</v>
      </c>
      <c r="J28" s="95">
        <f>-13.7+13.5</f>
        <v>-0.19999999999999929</v>
      </c>
      <c r="K28" s="95">
        <f>-46.7-L28-J28+27.8+13.5</f>
        <v>-0.49999999999999645</v>
      </c>
      <c r="L28" s="95">
        <f>-32.5+27.8</f>
        <v>-4.6999999999999993</v>
      </c>
      <c r="M28" s="96">
        <v>-0.6</v>
      </c>
      <c r="N28" s="94">
        <f>+J28+K28+L28+M28</f>
        <v>-5.9999999999999947</v>
      </c>
      <c r="O28" s="95">
        <v>-2</v>
      </c>
      <c r="P28" s="95">
        <f>-20.1-Q28-O28+10.2</f>
        <v>-3.0000000000000018</v>
      </c>
      <c r="Q28" s="95">
        <v>-4.9000000000000004</v>
      </c>
      <c r="R28" s="96">
        <v>0.5</v>
      </c>
      <c r="S28" s="94">
        <f>O28+P28+Q28+R28</f>
        <v>-9.4000000000000021</v>
      </c>
      <c r="T28" s="95">
        <v>-2.8</v>
      </c>
      <c r="U28" s="95">
        <v>-3.2</v>
      </c>
      <c r="V28" s="95">
        <v>-1.2</v>
      </c>
      <c r="W28" s="96">
        <v>5</v>
      </c>
      <c r="X28" s="94">
        <f>+T28+U28+V28+W28</f>
        <v>-2.2000000000000002</v>
      </c>
      <c r="Y28" s="96">
        <v>-2.4</v>
      </c>
      <c r="Z28" s="96">
        <v>-6.2</v>
      </c>
      <c r="AA28" s="97">
        <f>-8+20.8</f>
        <v>12.8</v>
      </c>
      <c r="AB28" s="96">
        <v>-3.2</v>
      </c>
      <c r="AC28" s="94">
        <f>+Y28+Z28+AA28+AB28</f>
        <v>1.0000000000000009</v>
      </c>
      <c r="AD28" s="96">
        <v>-6.4</v>
      </c>
      <c r="AE28" s="96">
        <v>-1.1000000000000001</v>
      </c>
      <c r="AF28" s="96">
        <f>12.2-11.6</f>
        <v>0.59999999999999964</v>
      </c>
      <c r="AG28" s="96">
        <f>1.3+2.1</f>
        <v>3.4000000000000004</v>
      </c>
      <c r="AH28" s="94">
        <f>+AD28+AE28+AF28+AG28</f>
        <v>-3.5</v>
      </c>
      <c r="AI28" s="96">
        <f>1.3-3.4</f>
        <v>-2.0999999999999996</v>
      </c>
      <c r="AJ28" s="96">
        <v>-3.9</v>
      </c>
      <c r="AK28" s="96">
        <v>-2.4</v>
      </c>
      <c r="AL28" s="27">
        <f>-66.5+53</f>
        <v>-13.5</v>
      </c>
      <c r="AM28" s="94">
        <f>+AI28+AJ28+AK28+AL28</f>
        <v>-21.9</v>
      </c>
      <c r="AN28" s="96">
        <v>3.3</v>
      </c>
      <c r="AO28" s="96">
        <v>0.8</v>
      </c>
      <c r="AP28" s="96">
        <f>0.8-2.9</f>
        <v>-2.0999999999999996</v>
      </c>
      <c r="AQ28" s="97">
        <f>0.1-2.2</f>
        <v>-2.1</v>
      </c>
      <c r="AR28" s="94">
        <f>+AN28+AO28+AP28+AQ28</f>
        <v>-0.10000000000000009</v>
      </c>
      <c r="AS28" s="97">
        <v>1.8</v>
      </c>
      <c r="AT28" s="96">
        <v>-3.5</v>
      </c>
      <c r="AU28" s="96">
        <v>-3.2</v>
      </c>
      <c r="AV28" s="96">
        <v>4</v>
      </c>
      <c r="AW28" s="122">
        <f>+AS28+AT28+AU28+AV28</f>
        <v>-0.90000000000000036</v>
      </c>
      <c r="AX28" s="96">
        <v>1</v>
      </c>
      <c r="AY28" s="96">
        <v>-8</v>
      </c>
      <c r="AZ28" s="96">
        <v>0</v>
      </c>
      <c r="BA28" s="96">
        <v>-9</v>
      </c>
      <c r="BB28" s="122">
        <f>+AX28+AY28+AZ28+BA28</f>
        <v>-16</v>
      </c>
      <c r="BC28" s="96">
        <v>5</v>
      </c>
      <c r="BD28" s="96">
        <v>5</v>
      </c>
      <c r="BE28" s="96">
        <v>6</v>
      </c>
      <c r="BF28" s="96">
        <v>6</v>
      </c>
      <c r="BG28" s="122">
        <f>+BC28+BD28+BE28+BF28</f>
        <v>22</v>
      </c>
      <c r="BH28" s="96">
        <v>0</v>
      </c>
      <c r="BI28" s="96">
        <v>-2</v>
      </c>
      <c r="BJ28" s="96">
        <v>3</v>
      </c>
      <c r="BK28" s="96">
        <v>-10</v>
      </c>
      <c r="BL28" s="122">
        <f>+BH28+BI28+BJ28+BK28</f>
        <v>-9</v>
      </c>
      <c r="BM28" s="96">
        <v>-5</v>
      </c>
      <c r="BN28" s="96">
        <v>-9</v>
      </c>
      <c r="BO28" s="96">
        <v>-1</v>
      </c>
      <c r="BP28" s="96">
        <v>-2</v>
      </c>
      <c r="BQ28" s="122">
        <f>BM28+BN28+BO28+BP28</f>
        <v>-17</v>
      </c>
      <c r="BR28" s="96">
        <v>-1</v>
      </c>
      <c r="BS28" s="96">
        <v>-10</v>
      </c>
      <c r="BT28" s="96">
        <v>0</v>
      </c>
      <c r="BU28" s="96">
        <v>0</v>
      </c>
      <c r="BV28" s="122">
        <f>BR28+BS28+BT28+BU28</f>
        <v>-11</v>
      </c>
      <c r="BW28" s="96">
        <f>BR28</f>
        <v>-1</v>
      </c>
      <c r="BX28" s="96">
        <f>BS28</f>
        <v>-10</v>
      </c>
      <c r="BY28" s="96">
        <f>BT28</f>
        <v>0</v>
      </c>
      <c r="BZ28" s="96">
        <f>BU28</f>
        <v>0</v>
      </c>
      <c r="CA28" s="122">
        <f>BW28+BX28+BY28+BZ28</f>
        <v>-11</v>
      </c>
      <c r="CB28" s="96">
        <f>BW28</f>
        <v>-1</v>
      </c>
      <c r="CC28" s="96">
        <f>BX28</f>
        <v>-10</v>
      </c>
      <c r="CD28" s="96">
        <f>BY28</f>
        <v>0</v>
      </c>
      <c r="CE28" s="96">
        <f>BZ28</f>
        <v>0</v>
      </c>
      <c r="CF28" s="122">
        <f>CB28+CC28+CD28+CE28</f>
        <v>-11</v>
      </c>
      <c r="CG28" s="96">
        <f>CB28</f>
        <v>-1</v>
      </c>
      <c r="CH28" s="96">
        <f>CC28</f>
        <v>-10</v>
      </c>
      <c r="CI28" s="96">
        <f>CD28</f>
        <v>0</v>
      </c>
      <c r="CJ28" s="96">
        <f>CE28</f>
        <v>0</v>
      </c>
      <c r="CK28" s="122">
        <f>CG28+CH28+CI28+CJ28</f>
        <v>-11</v>
      </c>
      <c r="CL28" s="96">
        <f>CG28</f>
        <v>-1</v>
      </c>
      <c r="CM28" s="96">
        <f>CH28</f>
        <v>-10</v>
      </c>
      <c r="CN28" s="96">
        <f>CI28</f>
        <v>0</v>
      </c>
      <c r="CO28" s="96">
        <f>CJ28</f>
        <v>0</v>
      </c>
      <c r="CP28" s="122">
        <f>CL28+CM28+CN28+CO28</f>
        <v>-11</v>
      </c>
    </row>
    <row r="29" spans="1:109" s="38" customFormat="1" x14ac:dyDescent="0.25">
      <c r="A29" s="38" t="s">
        <v>13</v>
      </c>
      <c r="C29" s="57">
        <f>C22+C25+C28</f>
        <v>589.29999999999995</v>
      </c>
      <c r="D29" s="57">
        <f t="shared" ref="D29:AH29" si="57">D22+D25+D28</f>
        <v>674.5</v>
      </c>
      <c r="E29" s="46">
        <f t="shared" si="57"/>
        <v>156.20000000000002</v>
      </c>
      <c r="F29" s="46">
        <f t="shared" si="57"/>
        <v>186.6</v>
      </c>
      <c r="G29" s="46">
        <f t="shared" si="57"/>
        <v>187.59999999999997</v>
      </c>
      <c r="H29" s="58">
        <f t="shared" si="57"/>
        <v>193.4</v>
      </c>
      <c r="I29" s="57">
        <f t="shared" si="57"/>
        <v>723.80000000000007</v>
      </c>
      <c r="J29" s="46">
        <f>J22+J25+J28</f>
        <v>179.6</v>
      </c>
      <c r="K29" s="46">
        <f t="shared" si="57"/>
        <v>193.4</v>
      </c>
      <c r="L29" s="46">
        <f>L22+L25+L28</f>
        <v>193.3</v>
      </c>
      <c r="M29" s="58">
        <f t="shared" si="57"/>
        <v>220.3</v>
      </c>
      <c r="N29" s="57">
        <f t="shared" si="57"/>
        <v>786.59999999999991</v>
      </c>
      <c r="O29" s="46">
        <f t="shared" si="57"/>
        <v>206.60000000000002</v>
      </c>
      <c r="P29" s="46">
        <f t="shared" si="57"/>
        <v>210.3</v>
      </c>
      <c r="Q29" s="46">
        <f t="shared" si="57"/>
        <v>218.49999999999997</v>
      </c>
      <c r="R29" s="58">
        <f t="shared" si="57"/>
        <v>253.3</v>
      </c>
      <c r="S29" s="57">
        <f>S22+S25+S28</f>
        <v>888.7</v>
      </c>
      <c r="T29" s="46">
        <f t="shared" si="57"/>
        <v>235.6</v>
      </c>
      <c r="U29" s="46">
        <f t="shared" si="57"/>
        <v>257.40000000000003</v>
      </c>
      <c r="V29" s="46">
        <f>V22+V25+V28</f>
        <v>251.00000000000003</v>
      </c>
      <c r="W29" s="58">
        <f t="shared" si="57"/>
        <v>265.60000000000002</v>
      </c>
      <c r="X29" s="57">
        <f t="shared" si="57"/>
        <v>1009.5999999999999</v>
      </c>
      <c r="Y29" s="46">
        <f t="shared" si="57"/>
        <v>240.20000000000002</v>
      </c>
      <c r="Z29" s="46">
        <f t="shared" si="57"/>
        <v>245.00000000000003</v>
      </c>
      <c r="AA29" s="46">
        <f t="shared" si="57"/>
        <v>214.2</v>
      </c>
      <c r="AB29" s="46">
        <f t="shared" si="57"/>
        <v>225.1</v>
      </c>
      <c r="AC29" s="57">
        <f t="shared" si="57"/>
        <v>924.5</v>
      </c>
      <c r="AD29" s="46">
        <f t="shared" si="57"/>
        <v>188.1</v>
      </c>
      <c r="AE29" s="46">
        <f>AE22+AE25+AE28</f>
        <v>217.4</v>
      </c>
      <c r="AF29" s="46">
        <f t="shared" si="57"/>
        <v>225.4</v>
      </c>
      <c r="AG29" s="46">
        <f t="shared" si="57"/>
        <v>258.79999999999995</v>
      </c>
      <c r="AH29" s="57">
        <f t="shared" si="57"/>
        <v>889.7</v>
      </c>
      <c r="AI29" s="46">
        <f t="shared" ref="AI29:BG29" si="58">AI22+AI25+AI28</f>
        <v>206.1</v>
      </c>
      <c r="AJ29" s="46">
        <f t="shared" si="58"/>
        <v>223.8</v>
      </c>
      <c r="AK29" s="46">
        <f t="shared" si="58"/>
        <v>238.00000000000003</v>
      </c>
      <c r="AL29" s="46">
        <f t="shared" si="58"/>
        <v>254.40000000000003</v>
      </c>
      <c r="AM29" s="57">
        <f t="shared" si="58"/>
        <v>922.30000000000007</v>
      </c>
      <c r="AN29" s="46">
        <f t="shared" si="58"/>
        <v>234.40000000000003</v>
      </c>
      <c r="AO29" s="46">
        <f t="shared" si="58"/>
        <v>255.60000000000002</v>
      </c>
      <c r="AP29" s="46">
        <f t="shared" si="58"/>
        <v>244.70000000000002</v>
      </c>
      <c r="AQ29" s="277">
        <f t="shared" si="58"/>
        <v>271.69999999999993</v>
      </c>
      <c r="AR29" s="57">
        <f t="shared" si="58"/>
        <v>1006.4</v>
      </c>
      <c r="AS29" s="46">
        <f t="shared" si="58"/>
        <v>242.4</v>
      </c>
      <c r="AT29" s="46">
        <f t="shared" si="58"/>
        <v>262.2</v>
      </c>
      <c r="AU29" s="46">
        <f t="shared" si="58"/>
        <v>269.7</v>
      </c>
      <c r="AV29" s="46">
        <f t="shared" si="58"/>
        <v>283</v>
      </c>
      <c r="AW29" s="57">
        <f t="shared" si="58"/>
        <v>1057.3</v>
      </c>
      <c r="AX29" s="46">
        <f>AX22+AX25+AX28</f>
        <v>260</v>
      </c>
      <c r="AY29" s="46">
        <f t="shared" si="58"/>
        <v>265</v>
      </c>
      <c r="AZ29" s="46">
        <f>AZ22+AZ25+AZ28</f>
        <v>277</v>
      </c>
      <c r="BA29" s="46">
        <f>BA22+BA25+BA28</f>
        <v>304</v>
      </c>
      <c r="BB29" s="57">
        <f t="shared" si="58"/>
        <v>1106</v>
      </c>
      <c r="BC29" s="46">
        <f>BC22+BC25+BC28</f>
        <v>274</v>
      </c>
      <c r="BD29" s="46">
        <f>BD22+BD25+BD28</f>
        <v>306</v>
      </c>
      <c r="BE29" s="46">
        <f>BE22+BE25+BE28</f>
        <v>281</v>
      </c>
      <c r="BF29" s="46">
        <f>BF22+BF25+BF28</f>
        <v>295</v>
      </c>
      <c r="BG29" s="57">
        <f t="shared" si="58"/>
        <v>1156</v>
      </c>
      <c r="BH29" s="46">
        <f t="shared" ref="BH29:CA29" si="59">BH22+BH25+BH28</f>
        <v>264</v>
      </c>
      <c r="BI29" s="46">
        <f t="shared" si="59"/>
        <v>284</v>
      </c>
      <c r="BJ29" s="46">
        <f t="shared" si="59"/>
        <v>277</v>
      </c>
      <c r="BK29" s="46">
        <f t="shared" ref="BK29:BP29" si="60">BK22+BK25+BK28</f>
        <v>272</v>
      </c>
      <c r="BL29" s="57">
        <f t="shared" si="60"/>
        <v>1097</v>
      </c>
      <c r="BM29" s="396">
        <f>BM22+BM25+BM28</f>
        <v>240</v>
      </c>
      <c r="BN29" s="46">
        <f>BN22+BN25+BN28</f>
        <v>261</v>
      </c>
      <c r="BO29" s="46">
        <f t="shared" si="60"/>
        <v>263</v>
      </c>
      <c r="BP29" s="46">
        <f t="shared" si="60"/>
        <v>266</v>
      </c>
      <c r="BQ29" s="57">
        <f>BQ22+BQ25+BQ28</f>
        <v>1030</v>
      </c>
      <c r="BR29" s="46">
        <f t="shared" si="59"/>
        <v>249</v>
      </c>
      <c r="BS29" s="46">
        <f t="shared" si="59"/>
        <v>264</v>
      </c>
      <c r="BT29" s="46">
        <f t="shared" si="59"/>
        <v>293.57306436499204</v>
      </c>
      <c r="BU29" s="46">
        <f t="shared" si="59"/>
        <v>285.5278754067071</v>
      </c>
      <c r="BV29" s="57">
        <f>BV22+BV25+BV28</f>
        <v>1092.1009397716991</v>
      </c>
      <c r="BW29" s="46">
        <f t="shared" si="59"/>
        <v>258.21784810050076</v>
      </c>
      <c r="BX29" s="46">
        <f t="shared" si="59"/>
        <v>263.44137610859229</v>
      </c>
      <c r="BY29" s="46">
        <f t="shared" si="59"/>
        <v>300.93603492025903</v>
      </c>
      <c r="BZ29" s="46">
        <f t="shared" si="59"/>
        <v>292.83617456601809</v>
      </c>
      <c r="CA29" s="57">
        <f t="shared" si="59"/>
        <v>1115.4314336953703</v>
      </c>
      <c r="CB29" s="46">
        <f t="shared" ref="CB29:CK29" si="61">CB22+CB25+CB28</f>
        <v>269.55757455103804</v>
      </c>
      <c r="CC29" s="46">
        <f t="shared" si="61"/>
        <v>275.13185699095754</v>
      </c>
      <c r="CD29" s="46">
        <f t="shared" si="61"/>
        <v>314.00629274013988</v>
      </c>
      <c r="CE29" s="46">
        <f t="shared" si="61"/>
        <v>305.83030688486679</v>
      </c>
      <c r="CF29" s="57">
        <f t="shared" si="61"/>
        <v>1164.5260311670022</v>
      </c>
      <c r="CG29" s="46">
        <f t="shared" si="61"/>
        <v>281.38322902637782</v>
      </c>
      <c r="CH29" s="46">
        <f t="shared" si="61"/>
        <v>287.30778252128778</v>
      </c>
      <c r="CI29" s="46">
        <f t="shared" si="61"/>
        <v>327.63123625470809</v>
      </c>
      <c r="CJ29" s="46">
        <f t="shared" si="61"/>
        <v>319.39176199918569</v>
      </c>
      <c r="CK29" s="57">
        <f t="shared" si="61"/>
        <v>1215.7140098015593</v>
      </c>
      <c r="CL29" s="46">
        <f>CL22+CL25+CL28</f>
        <v>294.16188887907964</v>
      </c>
      <c r="CM29" s="46">
        <f>CM22+CM25+CM28</f>
        <v>300.5346461334683</v>
      </c>
      <c r="CN29" s="46">
        <f>CN22+CN25+CN28</f>
        <v>342.37844330852295</v>
      </c>
      <c r="CO29" s="46">
        <f>CO22+CO25+CO28</f>
        <v>333.99892766807932</v>
      </c>
      <c r="CP29" s="57">
        <f>CP22+CP25+CP28</f>
        <v>1271.0739059891503</v>
      </c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</row>
    <row r="30" spans="1:109" x14ac:dyDescent="0.25">
      <c r="B30" s="52" t="s">
        <v>3</v>
      </c>
      <c r="C30" s="70">
        <f t="shared" ref="C30:AH30" si="62">C29/C14</f>
        <v>0.38438458026221378</v>
      </c>
      <c r="D30" s="70">
        <f t="shared" si="62"/>
        <v>0.39885281769262609</v>
      </c>
      <c r="E30" s="73">
        <f t="shared" si="62"/>
        <v>0.39118457300275483</v>
      </c>
      <c r="F30" s="73">
        <f t="shared" si="62"/>
        <v>0.36051004636785161</v>
      </c>
      <c r="G30" s="73">
        <f t="shared" si="62"/>
        <v>0.3916492693110647</v>
      </c>
      <c r="H30" s="88">
        <f t="shared" si="62"/>
        <v>0.46692419121197498</v>
      </c>
      <c r="I30" s="70">
        <f t="shared" si="62"/>
        <v>0.39986741064029618</v>
      </c>
      <c r="J30" s="73">
        <f t="shared" si="62"/>
        <v>0.40423137519693897</v>
      </c>
      <c r="K30" s="73">
        <f t="shared" si="62"/>
        <v>0.35676074524995388</v>
      </c>
      <c r="L30" s="73">
        <f t="shared" si="62"/>
        <v>0.3906628940986257</v>
      </c>
      <c r="M30" s="88">
        <f t="shared" si="62"/>
        <v>0.47622135754431472</v>
      </c>
      <c r="N30" s="70">
        <f t="shared" si="62"/>
        <v>0.40467126247556334</v>
      </c>
      <c r="O30" s="73">
        <f t="shared" si="62"/>
        <v>0.40910891089108914</v>
      </c>
      <c r="P30" s="73">
        <f t="shared" si="62"/>
        <v>0.36121607694950186</v>
      </c>
      <c r="Q30" s="73">
        <f t="shared" si="62"/>
        <v>0.37536505755024913</v>
      </c>
      <c r="R30" s="88">
        <f t="shared" si="62"/>
        <v>0.46188913202042309</v>
      </c>
      <c r="S30" s="70">
        <f>S29/S14</f>
        <v>0.40073048654010918</v>
      </c>
      <c r="T30" s="73">
        <f t="shared" si="62"/>
        <v>0.40129449838187697</v>
      </c>
      <c r="U30" s="73">
        <f t="shared" si="62"/>
        <v>0.35969815539407501</v>
      </c>
      <c r="V30" s="73">
        <f t="shared" si="62"/>
        <v>0.37328970850684123</v>
      </c>
      <c r="W30" s="88">
        <f t="shared" si="62"/>
        <v>0.43799472295514519</v>
      </c>
      <c r="X30" s="70">
        <f t="shared" si="62"/>
        <v>0.39109045128801079</v>
      </c>
      <c r="Y30" s="73">
        <f t="shared" si="62"/>
        <v>0.39133268165526236</v>
      </c>
      <c r="Z30" s="73">
        <f t="shared" si="62"/>
        <v>0.33202330939151647</v>
      </c>
      <c r="AA30" s="73">
        <f t="shared" si="62"/>
        <v>0.36158001350438884</v>
      </c>
      <c r="AB30" s="73">
        <f t="shared" si="62"/>
        <v>0.41918063314711357</v>
      </c>
      <c r="AC30" s="70">
        <f t="shared" si="62"/>
        <v>0.37261698440207969</v>
      </c>
      <c r="AD30" s="73">
        <f t="shared" si="62"/>
        <v>0.32953749124036441</v>
      </c>
      <c r="AE30" s="73">
        <f t="shared" si="62"/>
        <v>0.31110475100171725</v>
      </c>
      <c r="AF30" s="73">
        <f t="shared" si="62"/>
        <v>0.35362409789770938</v>
      </c>
      <c r="AG30" s="73">
        <f t="shared" si="62"/>
        <v>0.46058017440825766</v>
      </c>
      <c r="AH30" s="70">
        <f t="shared" si="62"/>
        <v>0.36036291465834985</v>
      </c>
      <c r="AI30" s="73">
        <f t="shared" ref="AI30:BN30" si="63">AI29/AI14</f>
        <v>0.36195995785036883</v>
      </c>
      <c r="AJ30" s="73">
        <f t="shared" si="63"/>
        <v>0.32044673539518898</v>
      </c>
      <c r="AK30" s="73">
        <f t="shared" si="63"/>
        <v>0.33615819209039555</v>
      </c>
      <c r="AL30" s="73">
        <f t="shared" si="63"/>
        <v>0.416571147863108</v>
      </c>
      <c r="AM30" s="70">
        <f t="shared" si="63"/>
        <v>0.35658225401121207</v>
      </c>
      <c r="AN30" s="73">
        <f t="shared" si="63"/>
        <v>0.36751332706177492</v>
      </c>
      <c r="AO30" s="73">
        <f t="shared" si="63"/>
        <v>0.32752434648898004</v>
      </c>
      <c r="AP30" s="73">
        <f t="shared" si="63"/>
        <v>0.34877423033067279</v>
      </c>
      <c r="AQ30" s="103">
        <f t="shared" si="63"/>
        <v>0.45065516669431072</v>
      </c>
      <c r="AR30" s="70">
        <f t="shared" si="63"/>
        <v>0.36963308480552387</v>
      </c>
      <c r="AS30" s="73">
        <f t="shared" si="63"/>
        <v>0.36407329528386906</v>
      </c>
      <c r="AT30" s="73">
        <f t="shared" si="63"/>
        <v>0.33758207802240248</v>
      </c>
      <c r="AU30" s="73">
        <f t="shared" si="63"/>
        <v>0.36109251573169093</v>
      </c>
      <c r="AV30" s="73">
        <f t="shared" si="63"/>
        <v>0.42878787878787877</v>
      </c>
      <c r="AW30" s="70">
        <f t="shared" si="63"/>
        <v>0.37106057415596261</v>
      </c>
      <c r="AX30" s="73">
        <f t="shared" si="63"/>
        <v>0.37900874635568516</v>
      </c>
      <c r="AY30" s="73">
        <f t="shared" si="63"/>
        <v>0.31812725090036015</v>
      </c>
      <c r="AZ30" s="73">
        <f t="shared" si="63"/>
        <v>0.35421994884910485</v>
      </c>
      <c r="BA30" s="73">
        <f t="shared" si="63"/>
        <v>0.44121915820029028</v>
      </c>
      <c r="BB30" s="70">
        <f t="shared" si="63"/>
        <v>0.36989966555183945</v>
      </c>
      <c r="BC30" s="73">
        <f t="shared" si="63"/>
        <v>0.38865248226950355</v>
      </c>
      <c r="BD30" s="73">
        <f t="shared" si="63"/>
        <v>0.34891676168757124</v>
      </c>
      <c r="BE30" s="73">
        <f t="shared" si="63"/>
        <v>0.34563345633456333</v>
      </c>
      <c r="BF30" s="73">
        <f t="shared" si="63"/>
        <v>0.39864864864864863</v>
      </c>
      <c r="BG30" s="70">
        <f t="shared" si="63"/>
        <v>0.36874003189792665</v>
      </c>
      <c r="BH30" s="73">
        <f t="shared" si="63"/>
        <v>0.37768240343347642</v>
      </c>
      <c r="BI30" s="73">
        <f t="shared" si="63"/>
        <v>0.33255269320843089</v>
      </c>
      <c r="BJ30" s="73">
        <f t="shared" si="63"/>
        <v>0.34239802224969096</v>
      </c>
      <c r="BK30" s="73">
        <f t="shared" si="63"/>
        <v>0.37311385459533608</v>
      </c>
      <c r="BL30" s="70">
        <f t="shared" si="63"/>
        <v>0.35490132643157551</v>
      </c>
      <c r="BM30" s="395">
        <f t="shared" si="63"/>
        <v>0.36308623298033282</v>
      </c>
      <c r="BN30" s="73">
        <f t="shared" si="63"/>
        <v>0.3144578313253012</v>
      </c>
      <c r="BO30" s="73">
        <f t="shared" ref="BO30:CP30" si="64">BO29/BO14</f>
        <v>0.32549504950495051</v>
      </c>
      <c r="BP30" s="73">
        <f t="shared" si="64"/>
        <v>0.38328530259365995</v>
      </c>
      <c r="BQ30" s="70">
        <f t="shared" si="64"/>
        <v>0.34413631807550954</v>
      </c>
      <c r="BR30" s="73">
        <f t="shared" si="64"/>
        <v>0.34439834024896265</v>
      </c>
      <c r="BS30" s="73">
        <f t="shared" si="64"/>
        <v>0.28884026258205692</v>
      </c>
      <c r="BT30" s="73">
        <f t="shared" si="64"/>
        <v>0.32973267326732675</v>
      </c>
      <c r="BU30" s="73">
        <f t="shared" si="64"/>
        <v>0.38434682045224128</v>
      </c>
      <c r="BV30" s="70">
        <f t="shared" si="64"/>
        <v>0.33395255784518157</v>
      </c>
      <c r="BW30" s="73">
        <f t="shared" si="64"/>
        <v>0.33448610212295826</v>
      </c>
      <c r="BX30" s="73">
        <f t="shared" si="64"/>
        <v>0.2791836200598754</v>
      </c>
      <c r="BY30" s="73">
        <f t="shared" si="64"/>
        <v>0.31973267326732674</v>
      </c>
      <c r="BZ30" s="73">
        <f t="shared" si="64"/>
        <v>0.37322617660903401</v>
      </c>
      <c r="CA30" s="70">
        <f t="shared" si="64"/>
        <v>0.32411987945142556</v>
      </c>
      <c r="CB30" s="73">
        <f t="shared" si="64"/>
        <v>0.33254778612250385</v>
      </c>
      <c r="CC30" s="73">
        <f t="shared" si="64"/>
        <v>0.27768826584841733</v>
      </c>
      <c r="CD30" s="73">
        <f t="shared" si="64"/>
        <v>0.31773267326732674</v>
      </c>
      <c r="CE30" s="73">
        <f t="shared" si="64"/>
        <v>0.37122617660903379</v>
      </c>
      <c r="CF30" s="70">
        <f t="shared" si="64"/>
        <v>0.32227208699604365</v>
      </c>
      <c r="CG30" s="73">
        <f t="shared" si="64"/>
        <v>0.33060653278873781</v>
      </c>
      <c r="CH30" s="73">
        <f t="shared" si="64"/>
        <v>0.27616888088512392</v>
      </c>
      <c r="CI30" s="73">
        <f t="shared" si="64"/>
        <v>0.31573267326732674</v>
      </c>
      <c r="CJ30" s="73">
        <f t="shared" si="64"/>
        <v>0.36922617660903384</v>
      </c>
      <c r="CK30" s="70">
        <f t="shared" si="64"/>
        <v>0.32041704656234665</v>
      </c>
      <c r="CL30" s="73">
        <f t="shared" si="64"/>
        <v>0.32916248199467485</v>
      </c>
      <c r="CM30" s="73">
        <f t="shared" si="64"/>
        <v>0.27512660949151113</v>
      </c>
      <c r="CN30" s="73">
        <f t="shared" si="64"/>
        <v>0.31423267326732679</v>
      </c>
      <c r="CO30" s="73">
        <f t="shared" si="64"/>
        <v>0.36772617660903378</v>
      </c>
      <c r="CP30" s="70">
        <f t="shared" si="64"/>
        <v>0.31905510329215903</v>
      </c>
    </row>
    <row r="31" spans="1:109" x14ac:dyDescent="0.25">
      <c r="B31" s="52" t="s">
        <v>1</v>
      </c>
      <c r="C31" s="70"/>
      <c r="D31" s="70">
        <f>+D29/C29-1</f>
        <v>0.14457831325301207</v>
      </c>
      <c r="E31" s="73"/>
      <c r="F31" s="73"/>
      <c r="G31" s="73"/>
      <c r="H31" s="88"/>
      <c r="I31" s="70">
        <f t="shared" ref="I31:W31" si="65">+I29/D29-1</f>
        <v>7.3091178650852573E-2</v>
      </c>
      <c r="J31" s="73">
        <f t="shared" si="65"/>
        <v>0.14980793854033281</v>
      </c>
      <c r="K31" s="73">
        <f t="shared" si="65"/>
        <v>3.6441586280814731E-2</v>
      </c>
      <c r="L31" s="73">
        <f t="shared" si="65"/>
        <v>3.0383795309168793E-2</v>
      </c>
      <c r="M31" s="88">
        <f t="shared" si="65"/>
        <v>0.13908996897621506</v>
      </c>
      <c r="N31" s="70">
        <f t="shared" si="65"/>
        <v>8.6764299530256661E-2</v>
      </c>
      <c r="O31" s="73">
        <f t="shared" si="65"/>
        <v>0.15033407572383095</v>
      </c>
      <c r="P31" s="73">
        <f t="shared" si="65"/>
        <v>8.7383660806618524E-2</v>
      </c>
      <c r="Q31" s="73">
        <f t="shared" si="65"/>
        <v>0.13036730470770808</v>
      </c>
      <c r="R31" s="88">
        <f t="shared" si="65"/>
        <v>0.14979573309123917</v>
      </c>
      <c r="S31" s="70">
        <f t="shared" si="65"/>
        <v>0.12979913551995947</v>
      </c>
      <c r="T31" s="73">
        <f t="shared" si="65"/>
        <v>0.14036786060019346</v>
      </c>
      <c r="U31" s="73">
        <f t="shared" si="65"/>
        <v>0.22396576319543526</v>
      </c>
      <c r="V31" s="73">
        <f t="shared" si="65"/>
        <v>0.14874141876430236</v>
      </c>
      <c r="W31" s="88">
        <f t="shared" si="65"/>
        <v>4.8559020923805818E-2</v>
      </c>
      <c r="X31" s="70">
        <f t="shared" ref="X31:AH31" si="66">+X29/S29-1</f>
        <v>0.13604140879936977</v>
      </c>
      <c r="Y31" s="73">
        <f t="shared" si="66"/>
        <v>1.9524617996604432E-2</v>
      </c>
      <c r="Z31" s="73">
        <f t="shared" si="66"/>
        <v>-4.8174048174048245E-2</v>
      </c>
      <c r="AA31" s="73">
        <f t="shared" si="66"/>
        <v>-0.14661354581673325</v>
      </c>
      <c r="AB31" s="73">
        <f t="shared" si="66"/>
        <v>-0.15248493975903621</v>
      </c>
      <c r="AC31" s="70">
        <f t="shared" si="66"/>
        <v>-8.4290808240887416E-2</v>
      </c>
      <c r="AD31" s="73">
        <f t="shared" si="66"/>
        <v>-0.21690258118234818</v>
      </c>
      <c r="AE31" s="73">
        <f t="shared" si="66"/>
        <v>-0.11265306122448993</v>
      </c>
      <c r="AF31" s="73">
        <f t="shared" si="66"/>
        <v>5.2287581699346442E-2</v>
      </c>
      <c r="AG31" s="73">
        <f t="shared" si="66"/>
        <v>0.14971123944913356</v>
      </c>
      <c r="AH31" s="70">
        <f t="shared" si="66"/>
        <v>-3.7641968631692779E-2</v>
      </c>
      <c r="AI31" s="73">
        <f t="shared" ref="AI31:BG31" si="67">+AI29/AD29-1</f>
        <v>9.5693779904306275E-2</v>
      </c>
      <c r="AJ31" s="73">
        <f t="shared" si="67"/>
        <v>2.9438822447102053E-2</v>
      </c>
      <c r="AK31" s="73">
        <f t="shared" si="67"/>
        <v>5.5900621118012417E-2</v>
      </c>
      <c r="AL31" s="73">
        <f t="shared" si="67"/>
        <v>-1.7001545595053846E-2</v>
      </c>
      <c r="AM31" s="70">
        <f t="shared" si="67"/>
        <v>3.6641564572327701E-2</v>
      </c>
      <c r="AN31" s="73">
        <f t="shared" si="67"/>
        <v>0.13731198447355664</v>
      </c>
      <c r="AO31" s="73">
        <f t="shared" si="67"/>
        <v>0.1420911528150135</v>
      </c>
      <c r="AP31" s="73">
        <f t="shared" si="67"/>
        <v>2.8151260504201581E-2</v>
      </c>
      <c r="AQ31" s="103">
        <f t="shared" si="67"/>
        <v>6.8003144654087633E-2</v>
      </c>
      <c r="AR31" s="70">
        <f t="shared" si="67"/>
        <v>9.1185080776319927E-2</v>
      </c>
      <c r="AS31" s="73">
        <f t="shared" si="67"/>
        <v>3.4129692832764347E-2</v>
      </c>
      <c r="AT31" s="73">
        <f t="shared" si="67"/>
        <v>2.5821596244131273E-2</v>
      </c>
      <c r="AU31" s="73">
        <f t="shared" si="67"/>
        <v>0.10216591744993853</v>
      </c>
      <c r="AV31" s="73">
        <f t="shared" si="67"/>
        <v>4.1589988958410373E-2</v>
      </c>
      <c r="AW31" s="70">
        <f t="shared" si="67"/>
        <v>5.0576311605723401E-2</v>
      </c>
      <c r="AX31" s="73">
        <f t="shared" si="67"/>
        <v>7.2607260726072598E-2</v>
      </c>
      <c r="AY31" s="73">
        <f t="shared" si="67"/>
        <v>1.067887109077037E-2</v>
      </c>
      <c r="AZ31" s="73">
        <f>+AZ29/AU29-1</f>
        <v>2.7067111605487693E-2</v>
      </c>
      <c r="BA31" s="73">
        <f>+BA29/AV29-1</f>
        <v>7.4204946996466514E-2</v>
      </c>
      <c r="BB31" s="70">
        <f t="shared" si="67"/>
        <v>4.606072070367917E-2</v>
      </c>
      <c r="BC31" s="73">
        <f t="shared" si="67"/>
        <v>5.3846153846153877E-2</v>
      </c>
      <c r="BD31" s="73">
        <f>+BD29/AY29-1</f>
        <v>0.15471698113207544</v>
      </c>
      <c r="BE31" s="73">
        <f>+BE29/AZ29-1</f>
        <v>1.4440433212996373E-2</v>
      </c>
      <c r="BF31" s="73">
        <f>+BF29/BA29-1</f>
        <v>-2.960526315789469E-2</v>
      </c>
      <c r="BG31" s="70">
        <f t="shared" si="67"/>
        <v>4.5207956600361587E-2</v>
      </c>
      <c r="BH31" s="73">
        <f t="shared" ref="BH31:CA31" si="68">+BH29/BC29-1</f>
        <v>-3.6496350364963459E-2</v>
      </c>
      <c r="BI31" s="73">
        <f t="shared" si="68"/>
        <v>-7.1895424836601274E-2</v>
      </c>
      <c r="BJ31" s="73">
        <f t="shared" si="68"/>
        <v>-1.4234875444839812E-2</v>
      </c>
      <c r="BK31" s="73">
        <f t="shared" si="68"/>
        <v>-7.7966101694915246E-2</v>
      </c>
      <c r="BL31" s="70">
        <f>+BL29/BG29-1</f>
        <v>-5.1038062283736974E-2</v>
      </c>
      <c r="BM31" s="395">
        <f t="shared" si="68"/>
        <v>-9.0909090909090939E-2</v>
      </c>
      <c r="BN31" s="73">
        <f t="shared" si="68"/>
        <v>-8.098591549295775E-2</v>
      </c>
      <c r="BO31" s="73">
        <f t="shared" si="68"/>
        <v>-5.0541516245487417E-2</v>
      </c>
      <c r="BP31" s="73">
        <f t="shared" si="68"/>
        <v>-2.2058823529411797E-2</v>
      </c>
      <c r="BQ31" s="70">
        <f>+BQ29/BL29-1</f>
        <v>-6.1075660893345485E-2</v>
      </c>
      <c r="BR31" s="73">
        <f t="shared" si="68"/>
        <v>3.7500000000000089E-2</v>
      </c>
      <c r="BS31" s="73">
        <f t="shared" si="68"/>
        <v>1.1494252873563315E-2</v>
      </c>
      <c r="BT31" s="73">
        <f t="shared" si="68"/>
        <v>0.11624739302278342</v>
      </c>
      <c r="BU31" s="73">
        <f t="shared" si="68"/>
        <v>7.3413065438748593E-2</v>
      </c>
      <c r="BV31" s="70">
        <f t="shared" si="68"/>
        <v>6.0292174535630183E-2</v>
      </c>
      <c r="BW31" s="73">
        <f t="shared" si="68"/>
        <v>3.701947028313568E-2</v>
      </c>
      <c r="BX31" s="73">
        <f t="shared" si="68"/>
        <v>-2.1159995886655958E-3</v>
      </c>
      <c r="BY31" s="73">
        <f t="shared" si="68"/>
        <v>2.5080538540527719E-2</v>
      </c>
      <c r="BZ31" s="73">
        <f t="shared" si="68"/>
        <v>2.5595746646106088E-2</v>
      </c>
      <c r="CA31" s="70">
        <f t="shared" si="68"/>
        <v>2.1362946476859879E-2</v>
      </c>
      <c r="CB31" s="73">
        <f t="shared" ref="CB31:CK31" si="69">+CB29/BW29-1</f>
        <v>4.391534719212653E-2</v>
      </c>
      <c r="CC31" s="73">
        <f t="shared" si="69"/>
        <v>4.4376024203374831E-2</v>
      </c>
      <c r="CD31" s="73">
        <f t="shared" si="69"/>
        <v>4.3432013129780733E-2</v>
      </c>
      <c r="CE31" s="73">
        <f t="shared" si="69"/>
        <v>4.4373385009915278E-2</v>
      </c>
      <c r="CF31" s="70">
        <f t="shared" si="69"/>
        <v>4.4013998519822906E-2</v>
      </c>
      <c r="CG31" s="73">
        <f t="shared" si="69"/>
        <v>4.387060721642122E-2</v>
      </c>
      <c r="CH31" s="73">
        <f t="shared" si="69"/>
        <v>4.4254873512268089E-2</v>
      </c>
      <c r="CI31" s="73">
        <f t="shared" si="69"/>
        <v>4.3390670281387322E-2</v>
      </c>
      <c r="CJ31" s="73">
        <f t="shared" si="69"/>
        <v>4.4343071334078887E-2</v>
      </c>
      <c r="CK31" s="70">
        <f t="shared" si="69"/>
        <v>4.395606217858461E-2</v>
      </c>
      <c r="CL31" s="73">
        <f>+CL29/CG29-1</f>
        <v>4.5413722405978518E-2</v>
      </c>
      <c r="CM31" s="73">
        <f>+CM29/CH29-1</f>
        <v>4.6037261838532073E-2</v>
      </c>
      <c r="CN31" s="73">
        <f>+CN29/CI29-1</f>
        <v>4.5011602747028867E-2</v>
      </c>
      <c r="CO31" s="73">
        <f>+CO29/CJ29-1</f>
        <v>4.5734321942000777E-2</v>
      </c>
      <c r="CP31" s="70">
        <f>+CP29/CK29-1</f>
        <v>4.5536940218882105E-2</v>
      </c>
    </row>
    <row r="32" spans="1:109" x14ac:dyDescent="0.25">
      <c r="B32" s="106" t="s">
        <v>10</v>
      </c>
      <c r="C32" s="107"/>
      <c r="D32" s="107">
        <f>(D30-C30)*10000</f>
        <v>144.68237430412313</v>
      </c>
      <c r="E32" s="108"/>
      <c r="F32" s="108"/>
      <c r="G32" s="108"/>
      <c r="H32" s="108"/>
      <c r="I32" s="107">
        <f t="shared" ref="I32:W32" si="70">(I30-D30)*10000</f>
        <v>10.1459294767009</v>
      </c>
      <c r="J32" s="108">
        <f t="shared" si="70"/>
        <v>130.46802194184139</v>
      </c>
      <c r="K32" s="108">
        <f t="shared" si="70"/>
        <v>-37.493011178977298</v>
      </c>
      <c r="L32" s="108">
        <f t="shared" si="70"/>
        <v>-9.8637521243899471</v>
      </c>
      <c r="M32" s="108">
        <f t="shared" si="70"/>
        <v>92.971663323397351</v>
      </c>
      <c r="N32" s="107">
        <f t="shared" si="70"/>
        <v>48.038518352671588</v>
      </c>
      <c r="O32" s="108">
        <f t="shared" si="70"/>
        <v>48.775356941501698</v>
      </c>
      <c r="P32" s="108">
        <f t="shared" si="70"/>
        <v>44.553316995479818</v>
      </c>
      <c r="Q32" s="108">
        <f t="shared" si="70"/>
        <v>-152.97836548376574</v>
      </c>
      <c r="R32" s="108">
        <f t="shared" si="70"/>
        <v>-143.32225523891628</v>
      </c>
      <c r="S32" s="107">
        <f t="shared" si="70"/>
        <v>-39.40775935454166</v>
      </c>
      <c r="T32" s="108">
        <f t="shared" si="70"/>
        <v>-78.144125092121655</v>
      </c>
      <c r="U32" s="108">
        <f t="shared" si="70"/>
        <v>-15.179215554268488</v>
      </c>
      <c r="V32" s="108">
        <f t="shared" si="70"/>
        <v>-20.753490434078927</v>
      </c>
      <c r="W32" s="108">
        <f t="shared" si="70"/>
        <v>-238.94409065277898</v>
      </c>
      <c r="X32" s="107">
        <f t="shared" ref="X32:AH32" si="71">(X30-S30)*10000</f>
        <v>-96.400352520983887</v>
      </c>
      <c r="Y32" s="108">
        <f t="shared" si="71"/>
        <v>-99.618167266146145</v>
      </c>
      <c r="Z32" s="108">
        <f t="shared" si="71"/>
        <v>-276.74846002558542</v>
      </c>
      <c r="AA32" s="108">
        <f t="shared" si="71"/>
        <v>-117.09695002452392</v>
      </c>
      <c r="AB32" s="108">
        <f t="shared" si="71"/>
        <v>-188.14089808031619</v>
      </c>
      <c r="AC32" s="107">
        <f t="shared" si="71"/>
        <v>-184.734668859311</v>
      </c>
      <c r="AD32" s="108">
        <f t="shared" si="71"/>
        <v>-617.95190414897945</v>
      </c>
      <c r="AE32" s="108">
        <f t="shared" si="71"/>
        <v>-209.18558389799225</v>
      </c>
      <c r="AF32" s="108">
        <f t="shared" si="71"/>
        <v>-79.559156066794642</v>
      </c>
      <c r="AG32" s="108">
        <f t="shared" si="71"/>
        <v>413.99541261144088</v>
      </c>
      <c r="AH32" s="107">
        <f t="shared" si="71"/>
        <v>-122.54069743729833</v>
      </c>
      <c r="AI32" s="108">
        <f t="shared" ref="AI32:BG32" si="72">(AI30-AD30)*10000</f>
        <v>324.2246661000442</v>
      </c>
      <c r="AJ32" s="108">
        <f t="shared" si="72"/>
        <v>93.41984393471725</v>
      </c>
      <c r="AK32" s="108">
        <f t="shared" si="72"/>
        <v>-174.65905807313831</v>
      </c>
      <c r="AL32" s="108">
        <f t="shared" si="72"/>
        <v>-440.09026545149652</v>
      </c>
      <c r="AM32" s="107">
        <f t="shared" si="72"/>
        <v>-37.806606471377791</v>
      </c>
      <c r="AN32" s="108">
        <f t="shared" si="72"/>
        <v>55.533692114060898</v>
      </c>
      <c r="AO32" s="108">
        <f t="shared" si="72"/>
        <v>70.776110937910701</v>
      </c>
      <c r="AP32" s="108">
        <f t="shared" si="72"/>
        <v>126.16038240277238</v>
      </c>
      <c r="AQ32" s="109">
        <f t="shared" si="72"/>
        <v>340.84018831202712</v>
      </c>
      <c r="AR32" s="107">
        <f t="shared" si="72"/>
        <v>130.50830794311796</v>
      </c>
      <c r="AS32" s="108">
        <f t="shared" si="72"/>
        <v>-34.400317779058611</v>
      </c>
      <c r="AT32" s="108">
        <f t="shared" si="72"/>
        <v>100.57731533422431</v>
      </c>
      <c r="AU32" s="108">
        <f t="shared" si="72"/>
        <v>123.18285401018147</v>
      </c>
      <c r="AV32" s="108">
        <f t="shared" si="72"/>
        <v>-218.67287906431943</v>
      </c>
      <c r="AW32" s="107">
        <f t="shared" si="72"/>
        <v>14.274893504387375</v>
      </c>
      <c r="AX32" s="108">
        <f t="shared" si="72"/>
        <v>149.35451071816098</v>
      </c>
      <c r="AY32" s="108">
        <f t="shared" si="72"/>
        <v>-194.54827122042329</v>
      </c>
      <c r="AZ32" s="108">
        <f>(AZ30-AU30)*10000</f>
        <v>-68.725668825860836</v>
      </c>
      <c r="BA32" s="108">
        <f>(BA30-AV30)*10000</f>
        <v>124.31279412411511</v>
      </c>
      <c r="BB32" s="107">
        <f t="shared" si="72"/>
        <v>-11.609086041231564</v>
      </c>
      <c r="BC32" s="108">
        <f t="shared" si="72"/>
        <v>96.437359138183965</v>
      </c>
      <c r="BD32" s="108">
        <f>(BD30-AY30)*10000</f>
        <v>307.89510787211094</v>
      </c>
      <c r="BE32" s="108">
        <f>(BE30-AZ30)*10000</f>
        <v>-85.864925145415214</v>
      </c>
      <c r="BF32" s="108">
        <f t="shared" si="72"/>
        <v>-425.70509551641658</v>
      </c>
      <c r="BG32" s="107">
        <f t="shared" si="72"/>
        <v>-11.59633653912806</v>
      </c>
      <c r="BH32" s="108">
        <f t="shared" ref="BH32:CA32" si="73">(BH30-BC30)*10000</f>
        <v>-109.7007883602713</v>
      </c>
      <c r="BI32" s="108">
        <f t="shared" si="73"/>
        <v>-163.64068479140349</v>
      </c>
      <c r="BJ32" s="108">
        <f t="shared" si="73"/>
        <v>-32.35434084872368</v>
      </c>
      <c r="BK32" s="108">
        <f t="shared" ref="BK32:BQ32" si="74">(BK30-BF30)*10000</f>
        <v>-255.3479405331255</v>
      </c>
      <c r="BL32" s="107">
        <f t="shared" si="74"/>
        <v>-138.38705466351132</v>
      </c>
      <c r="BM32" s="398">
        <f t="shared" si="74"/>
        <v>-145.96170453143597</v>
      </c>
      <c r="BN32" s="108">
        <f t="shared" si="74"/>
        <v>-180.94861883129698</v>
      </c>
      <c r="BO32" s="108">
        <f t="shared" si="74"/>
        <v>-169.02972744740453</v>
      </c>
      <c r="BP32" s="108">
        <f t="shared" si="74"/>
        <v>101.71447998323868</v>
      </c>
      <c r="BQ32" s="107">
        <f t="shared" si="74"/>
        <v>-107.65008356065975</v>
      </c>
      <c r="BR32" s="108">
        <f t="shared" si="73"/>
        <v>-186.87892731370169</v>
      </c>
      <c r="BS32" s="108">
        <f t="shared" si="73"/>
        <v>-256.17568743244277</v>
      </c>
      <c r="BT32" s="108">
        <f t="shared" si="73"/>
        <v>42.376237623762414</v>
      </c>
      <c r="BU32" s="108">
        <f t="shared" si="73"/>
        <v>10.61517858581329</v>
      </c>
      <c r="BV32" s="107">
        <f t="shared" si="73"/>
        <v>-101.83760230327965</v>
      </c>
      <c r="BW32" s="108">
        <f t="shared" si="73"/>
        <v>-99.122381260043909</v>
      </c>
      <c r="BX32" s="108">
        <f t="shared" si="73"/>
        <v>-96.566425221815138</v>
      </c>
      <c r="BY32" s="108">
        <f t="shared" si="73"/>
        <v>-100.00000000000009</v>
      </c>
      <c r="BZ32" s="108">
        <f t="shared" si="73"/>
        <v>-111.20643843207267</v>
      </c>
      <c r="CA32" s="107">
        <f t="shared" si="73"/>
        <v>-98.326783937560108</v>
      </c>
      <c r="CB32" s="108">
        <f t="shared" ref="CB32:CK32" si="75">(CB30-BW30)*10000</f>
        <v>-19.383160004544099</v>
      </c>
      <c r="CC32" s="108">
        <f t="shared" si="75"/>
        <v>-14.953542114580776</v>
      </c>
      <c r="CD32" s="108">
        <f t="shared" si="75"/>
        <v>-20.000000000000018</v>
      </c>
      <c r="CE32" s="108">
        <f t="shared" si="75"/>
        <v>-20.000000000002238</v>
      </c>
      <c r="CF32" s="107">
        <f t="shared" si="75"/>
        <v>-18.477924553819136</v>
      </c>
      <c r="CG32" s="108">
        <f t="shared" si="75"/>
        <v>-19.412533337660463</v>
      </c>
      <c r="CH32" s="108">
        <f t="shared" si="75"/>
        <v>-15.19384963293402</v>
      </c>
      <c r="CI32" s="108">
        <f t="shared" si="75"/>
        <v>-20.000000000000018</v>
      </c>
      <c r="CJ32" s="108">
        <f t="shared" si="75"/>
        <v>-19.999999999999464</v>
      </c>
      <c r="CK32" s="107">
        <f t="shared" si="75"/>
        <v>-18.550404336969972</v>
      </c>
      <c r="CL32" s="108">
        <f>(CL30-CG30)*10000</f>
        <v>-14.440507940629566</v>
      </c>
      <c r="CM32" s="108">
        <f>(CM30-CH30)*10000</f>
        <v>-10.422713936127925</v>
      </c>
      <c r="CN32" s="108">
        <f>(CN30-CI30)*10000</f>
        <v>-14.999999999999458</v>
      </c>
      <c r="CO32" s="108">
        <f>(CO30-CJ30)*10000</f>
        <v>-15.000000000000568</v>
      </c>
      <c r="CP32" s="107">
        <f>(CP30-CK30)*10000</f>
        <v>-13.619432701876267</v>
      </c>
    </row>
    <row r="33" spans="1:109" x14ac:dyDescent="0.25">
      <c r="C33" s="124"/>
      <c r="D33" s="124"/>
      <c r="E33" s="73"/>
      <c r="F33" s="73"/>
      <c r="G33" s="73"/>
      <c r="H33" s="88"/>
      <c r="I33" s="70"/>
      <c r="J33" s="73"/>
      <c r="K33" s="73"/>
      <c r="L33" s="73"/>
      <c r="M33" s="88"/>
      <c r="N33" s="70"/>
      <c r="O33" s="73"/>
      <c r="P33" s="73"/>
      <c r="Q33" s="73"/>
      <c r="R33" s="88"/>
      <c r="S33" s="70"/>
      <c r="T33" s="73"/>
      <c r="U33" s="73"/>
      <c r="V33" s="73"/>
      <c r="W33" s="88"/>
      <c r="X33" s="70"/>
      <c r="Y33" s="125"/>
      <c r="Z33" s="125"/>
      <c r="AA33" s="126"/>
      <c r="AB33" s="125"/>
      <c r="AC33" s="124"/>
      <c r="AD33" s="125"/>
      <c r="AE33" s="125"/>
      <c r="AF33" s="125"/>
      <c r="AG33" s="125"/>
      <c r="AH33" s="124"/>
      <c r="AI33" s="125"/>
      <c r="AJ33" s="125"/>
      <c r="AK33" s="262"/>
      <c r="AL33" s="253"/>
      <c r="AM33" s="252"/>
      <c r="AN33" s="125"/>
      <c r="AO33" s="125"/>
      <c r="AP33" s="262"/>
      <c r="AQ33" s="278"/>
      <c r="AR33" s="252"/>
      <c r="AS33" s="253"/>
      <c r="AT33" s="125"/>
      <c r="AU33" s="262"/>
      <c r="AV33" s="125"/>
      <c r="AW33" s="124"/>
      <c r="AX33" s="125"/>
      <c r="AY33" s="125"/>
      <c r="AZ33" s="125"/>
      <c r="BA33" s="253"/>
      <c r="BB33" s="127"/>
      <c r="BC33" s="341"/>
      <c r="BD33" s="341"/>
      <c r="BE33" s="125"/>
      <c r="BF33" s="125"/>
      <c r="BG33" s="345">
        <f>(BG34+60)/BB34-1</f>
        <v>0.11934156378600824</v>
      </c>
      <c r="BH33" s="125"/>
      <c r="BI33" s="125"/>
      <c r="BJ33" s="125"/>
      <c r="BK33" s="362"/>
      <c r="BL33" s="124"/>
      <c r="BM33" s="402"/>
      <c r="BN33" s="125"/>
      <c r="BO33" s="125"/>
      <c r="BP33" s="125"/>
      <c r="BQ33" s="124"/>
      <c r="BR33" s="385"/>
      <c r="BS33" s="125"/>
      <c r="BT33" s="125"/>
      <c r="BU33" s="125"/>
      <c r="BV33" s="124"/>
      <c r="BW33" s="125"/>
      <c r="BX33" s="125"/>
      <c r="BY33" s="125"/>
      <c r="BZ33" s="125"/>
      <c r="CA33" s="124"/>
      <c r="CB33" s="125"/>
      <c r="CC33" s="125"/>
      <c r="CD33" s="125"/>
      <c r="CE33" s="125"/>
      <c r="CF33" s="124"/>
      <c r="CG33" s="125"/>
      <c r="CH33" s="125"/>
      <c r="CI33" s="125"/>
      <c r="CJ33" s="125"/>
      <c r="CK33" s="124"/>
      <c r="CL33" s="125"/>
      <c r="CM33" s="125"/>
      <c r="CN33" s="125"/>
      <c r="CO33" s="125"/>
      <c r="CP33" s="124"/>
    </row>
    <row r="34" spans="1:109" s="38" customFormat="1" x14ac:dyDescent="0.25">
      <c r="A34" s="38" t="s">
        <v>14</v>
      </c>
      <c r="C34" s="57">
        <f t="shared" ref="C34:AH34" si="76">C18-C29</f>
        <v>341.20000000000005</v>
      </c>
      <c r="D34" s="57">
        <f t="shared" si="76"/>
        <v>385.40000000000009</v>
      </c>
      <c r="E34" s="46">
        <f t="shared" si="76"/>
        <v>97.199999999999989</v>
      </c>
      <c r="F34" s="46">
        <f t="shared" si="76"/>
        <v>143.9</v>
      </c>
      <c r="G34" s="46">
        <f t="shared" si="76"/>
        <v>117.40000000000003</v>
      </c>
      <c r="H34" s="58">
        <f t="shared" si="76"/>
        <v>87.6</v>
      </c>
      <c r="I34" s="57">
        <f t="shared" si="76"/>
        <v>446.1</v>
      </c>
      <c r="J34" s="46">
        <f t="shared" si="76"/>
        <v>121.4</v>
      </c>
      <c r="K34" s="46">
        <f t="shared" si="76"/>
        <v>160.1999999999999</v>
      </c>
      <c r="L34" s="46">
        <f t="shared" si="76"/>
        <v>137.5</v>
      </c>
      <c r="M34" s="58">
        <f t="shared" si="76"/>
        <v>102.69999999999999</v>
      </c>
      <c r="N34" s="57">
        <f t="shared" si="76"/>
        <v>521.79999999999995</v>
      </c>
      <c r="O34" s="46">
        <f t="shared" si="76"/>
        <v>142.29999999999995</v>
      </c>
      <c r="P34" s="46">
        <f t="shared" si="76"/>
        <v>172.40000000000015</v>
      </c>
      <c r="Q34" s="46">
        <f t="shared" si="76"/>
        <v>168.80000000000004</v>
      </c>
      <c r="R34" s="58">
        <f t="shared" si="76"/>
        <v>108.59999999999997</v>
      </c>
      <c r="S34" s="57">
        <f t="shared" si="76"/>
        <v>592.10000000000014</v>
      </c>
      <c r="T34" s="46">
        <f t="shared" si="76"/>
        <v>155.4</v>
      </c>
      <c r="U34" s="46">
        <f t="shared" si="76"/>
        <v>212.59999999999997</v>
      </c>
      <c r="V34" s="46">
        <f t="shared" si="76"/>
        <v>181.6</v>
      </c>
      <c r="W34" s="58">
        <f t="shared" si="76"/>
        <v>135.39999999999998</v>
      </c>
      <c r="X34" s="57">
        <f t="shared" si="76"/>
        <v>685</v>
      </c>
      <c r="Y34" s="46">
        <f t="shared" si="76"/>
        <v>162.6</v>
      </c>
      <c r="Z34" s="46">
        <f t="shared" si="76"/>
        <v>221.69999999999996</v>
      </c>
      <c r="AA34" s="46">
        <f t="shared" si="76"/>
        <v>156.40000000000003</v>
      </c>
      <c r="AB34" s="102">
        <f t="shared" si="76"/>
        <v>133.50000000000003</v>
      </c>
      <c r="AC34" s="57">
        <f t="shared" si="76"/>
        <v>674.19999999999982</v>
      </c>
      <c r="AD34" s="46">
        <f t="shared" si="76"/>
        <v>192.00000000000003</v>
      </c>
      <c r="AE34" s="46">
        <f>AE18-AE29</f>
        <v>225.6</v>
      </c>
      <c r="AF34" s="46">
        <f t="shared" si="76"/>
        <v>185.49999999999997</v>
      </c>
      <c r="AG34" s="46">
        <f t="shared" si="76"/>
        <v>118.50000000000006</v>
      </c>
      <c r="AH34" s="57">
        <f t="shared" si="76"/>
        <v>721.59999999999991</v>
      </c>
      <c r="AI34" s="46">
        <f t="shared" ref="AI34:BJ34" si="77">AI18-AI29</f>
        <v>172.70000000000002</v>
      </c>
      <c r="AJ34" s="46">
        <f t="shared" si="77"/>
        <v>235</v>
      </c>
      <c r="AK34" s="46">
        <f t="shared" si="77"/>
        <v>225.49999999999997</v>
      </c>
      <c r="AL34" s="46">
        <f t="shared" si="77"/>
        <v>168.89999999999998</v>
      </c>
      <c r="AM34" s="57">
        <f t="shared" si="77"/>
        <v>802.0999999999998</v>
      </c>
      <c r="AN34" s="46">
        <f t="shared" si="77"/>
        <v>185.89999999999998</v>
      </c>
      <c r="AO34" s="46">
        <f t="shared" si="77"/>
        <v>246.29999999999995</v>
      </c>
      <c r="AP34" s="46">
        <f t="shared" si="77"/>
        <v>206.19999999999996</v>
      </c>
      <c r="AQ34" s="277">
        <f t="shared" si="77"/>
        <v>150.10000000000008</v>
      </c>
      <c r="AR34" s="57">
        <f>AR18-AR29</f>
        <v>788.49999999999989</v>
      </c>
      <c r="AS34" s="46">
        <f t="shared" si="77"/>
        <v>221.70000000000002</v>
      </c>
      <c r="AT34" s="46">
        <f t="shared" si="77"/>
        <v>262.3</v>
      </c>
      <c r="AU34" s="46">
        <f t="shared" si="77"/>
        <v>237</v>
      </c>
      <c r="AV34" s="46">
        <f t="shared" si="77"/>
        <v>177</v>
      </c>
      <c r="AW34" s="57">
        <f>AW18-AW29</f>
        <v>898</v>
      </c>
      <c r="AX34" s="46">
        <f>AX18-AX29</f>
        <v>217</v>
      </c>
      <c r="AY34" s="46">
        <f t="shared" si="77"/>
        <v>311</v>
      </c>
      <c r="AZ34" s="46">
        <f>AZ18-AZ29</f>
        <v>255</v>
      </c>
      <c r="BA34" s="46">
        <f>BA18-BA29</f>
        <v>189</v>
      </c>
      <c r="BB34" s="57">
        <f t="shared" si="77"/>
        <v>972</v>
      </c>
      <c r="BC34" s="46">
        <f>BC18-BC29</f>
        <v>221</v>
      </c>
      <c r="BD34" s="46">
        <f>BD18-BD29</f>
        <v>303</v>
      </c>
      <c r="BE34" s="46">
        <f>BE18-BE29</f>
        <v>272</v>
      </c>
      <c r="BF34" s="46">
        <f t="shared" si="77"/>
        <v>232</v>
      </c>
      <c r="BG34" s="57">
        <f>BG18-BG29</f>
        <v>1028</v>
      </c>
      <c r="BH34" s="46">
        <f t="shared" si="77"/>
        <v>227</v>
      </c>
      <c r="BI34" s="46">
        <f t="shared" si="77"/>
        <v>302</v>
      </c>
      <c r="BJ34" s="46">
        <f t="shared" si="77"/>
        <v>278</v>
      </c>
      <c r="BK34" s="46">
        <f>BK18-BK29</f>
        <v>241</v>
      </c>
      <c r="BL34" s="57">
        <f>BL18-BL29</f>
        <v>1048</v>
      </c>
      <c r="BM34" s="396">
        <f>BM18-BM29</f>
        <v>213</v>
      </c>
      <c r="BN34" s="46">
        <f>BN18-BN29</f>
        <v>291</v>
      </c>
      <c r="BO34" s="46">
        <f t="shared" ref="BO34:CA34" si="78">BO18-BO29</f>
        <v>273</v>
      </c>
      <c r="BP34" s="46">
        <f t="shared" si="78"/>
        <v>214</v>
      </c>
      <c r="BQ34" s="57">
        <f>BQ18-BQ29</f>
        <v>991</v>
      </c>
      <c r="BR34" s="46">
        <f t="shared" si="78"/>
        <v>244</v>
      </c>
      <c r="BS34" s="46">
        <f t="shared" si="78"/>
        <v>346</v>
      </c>
      <c r="BT34" s="46">
        <f t="shared" si="78"/>
        <v>296.15592200120926</v>
      </c>
      <c r="BU34" s="46">
        <f t="shared" si="78"/>
        <v>226.66883131052151</v>
      </c>
      <c r="BV34" s="57">
        <f t="shared" si="78"/>
        <v>1112.8247533117308</v>
      </c>
      <c r="BW34" s="46">
        <f t="shared" si="78"/>
        <v>269.3412443318914</v>
      </c>
      <c r="BX34" s="46">
        <f t="shared" si="78"/>
        <v>367.73784141344265</v>
      </c>
      <c r="BY34" s="46">
        <f t="shared" si="78"/>
        <v>323.90252481159706</v>
      </c>
      <c r="BZ34" s="46">
        <f t="shared" si="78"/>
        <v>249.09728169209035</v>
      </c>
      <c r="CA34" s="57">
        <f t="shared" si="78"/>
        <v>1210.0788922490215</v>
      </c>
      <c r="CB34" s="46">
        <f t="shared" ref="CB34:CK34" si="79">CB18-CB29</f>
        <v>285.59534696883958</v>
      </c>
      <c r="CC34" s="46">
        <f t="shared" si="79"/>
        <v>389.09251234947737</v>
      </c>
      <c r="CD34" s="46">
        <f t="shared" si="79"/>
        <v>343.55660292290816</v>
      </c>
      <c r="CE34" s="46">
        <f t="shared" si="79"/>
        <v>264.43557949323576</v>
      </c>
      <c r="CF34" s="57">
        <f t="shared" si="79"/>
        <v>1282.6800417344607</v>
      </c>
      <c r="CG34" s="46">
        <f t="shared" si="79"/>
        <v>302.80400675865275</v>
      </c>
      <c r="CH34" s="46">
        <f t="shared" si="79"/>
        <v>411.68830577558197</v>
      </c>
      <c r="CI34" s="46">
        <f t="shared" si="79"/>
        <v>364.36633253332155</v>
      </c>
      <c r="CJ34" s="46">
        <f t="shared" si="79"/>
        <v>280.68496387026522</v>
      </c>
      <c r="CK34" s="57">
        <f t="shared" si="79"/>
        <v>1359.5436089378218</v>
      </c>
      <c r="CL34" s="46">
        <f>CL18-CL29</f>
        <v>320.12837642761377</v>
      </c>
      <c r="CM34" s="46">
        <f>CM18-CM29</f>
        <v>434.50359692083418</v>
      </c>
      <c r="CN34" s="46">
        <f>CN18-CN29</f>
        <v>385.30857375818846</v>
      </c>
      <c r="CO34" s="46">
        <f>CO18-CO29</f>
        <v>296.98991611555459</v>
      </c>
      <c r="CP34" s="57">
        <f>CP18-CP29</f>
        <v>1436.9304632221911</v>
      </c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</row>
    <row r="35" spans="1:109" s="129" customFormat="1" x14ac:dyDescent="0.25">
      <c r="B35" s="52" t="s">
        <v>15</v>
      </c>
      <c r="C35" s="70">
        <f>+C34/C14</f>
        <v>0.22255560628791343</v>
      </c>
      <c r="D35" s="70">
        <f t="shared" ref="D35:BO35" si="80">+D34/D14</f>
        <v>0.22789900065046423</v>
      </c>
      <c r="E35" s="73">
        <f t="shared" si="80"/>
        <v>0.24342599549211116</v>
      </c>
      <c r="F35" s="73">
        <f t="shared" si="80"/>
        <v>0.27801391035548684</v>
      </c>
      <c r="G35" s="73">
        <f t="shared" si="80"/>
        <v>0.24509394572025062</v>
      </c>
      <c r="H35" s="88">
        <f t="shared" si="80"/>
        <v>0.21149203283437953</v>
      </c>
      <c r="I35" s="70">
        <f t="shared" si="80"/>
        <v>0.24645047234959397</v>
      </c>
      <c r="J35" s="73">
        <f t="shared" si="80"/>
        <v>0.27323880261084854</v>
      </c>
      <c r="K35" s="73">
        <f t="shared" si="80"/>
        <v>0.29551743220807952</v>
      </c>
      <c r="L35" s="73">
        <f t="shared" si="80"/>
        <v>0.27789005658852062</v>
      </c>
      <c r="M35" s="88">
        <f t="shared" si="80"/>
        <v>0.22200605274535232</v>
      </c>
      <c r="N35" s="70">
        <f t="shared" si="80"/>
        <v>0.26844325547895875</v>
      </c>
      <c r="O35" s="73">
        <f t="shared" si="80"/>
        <v>0.2817821782178217</v>
      </c>
      <c r="P35" s="73">
        <f t="shared" si="80"/>
        <v>0.29611817244933036</v>
      </c>
      <c r="Q35" s="73">
        <f t="shared" si="80"/>
        <v>0.28998453873904839</v>
      </c>
      <c r="R35" s="88">
        <f t="shared" si="80"/>
        <v>0.19803063457330411</v>
      </c>
      <c r="S35" s="70">
        <f t="shared" si="80"/>
        <v>0.26698832123371069</v>
      </c>
      <c r="T35" s="73">
        <f t="shared" si="80"/>
        <v>0.26469085334695963</v>
      </c>
      <c r="U35" s="73">
        <f t="shared" si="80"/>
        <v>0.29709334823923977</v>
      </c>
      <c r="V35" s="73">
        <f t="shared" si="80"/>
        <v>0.27007733491969066</v>
      </c>
      <c r="W35" s="88">
        <f t="shared" si="80"/>
        <v>0.22328496042216356</v>
      </c>
      <c r="X35" s="70">
        <f t="shared" si="80"/>
        <v>0.26534960294402476</v>
      </c>
      <c r="Y35" s="73">
        <f t="shared" si="80"/>
        <v>0.2649071358748778</v>
      </c>
      <c r="Z35" s="73">
        <f t="shared" si="80"/>
        <v>0.30044721506979255</v>
      </c>
      <c r="AA35" s="73">
        <f t="shared" si="80"/>
        <v>0.26401080351114115</v>
      </c>
      <c r="AB35" s="73">
        <f t="shared" si="80"/>
        <v>0.24860335195530731</v>
      </c>
      <c r="AC35" s="70">
        <f t="shared" si="80"/>
        <v>0.27173431139413956</v>
      </c>
      <c r="AD35" s="73">
        <f t="shared" si="80"/>
        <v>0.33637000700770858</v>
      </c>
      <c r="AE35" s="73">
        <f t="shared" si="80"/>
        <v>0.32283915283342873</v>
      </c>
      <c r="AF35" s="73">
        <f t="shared" si="80"/>
        <v>0.29102604330090986</v>
      </c>
      <c r="AG35" s="73">
        <f t="shared" si="80"/>
        <v>0.21089161772557405</v>
      </c>
      <c r="AH35" s="70">
        <f t="shared" si="80"/>
        <v>0.29227591234962935</v>
      </c>
      <c r="AI35" s="73">
        <f t="shared" si="80"/>
        <v>0.3033017211099403</v>
      </c>
      <c r="AJ35" s="73">
        <f t="shared" si="80"/>
        <v>0.33648339060710192</v>
      </c>
      <c r="AK35" s="73">
        <f t="shared" si="80"/>
        <v>0.31850282485875703</v>
      </c>
      <c r="AL35" s="73">
        <f t="shared" si="80"/>
        <v>0.27656787293270019</v>
      </c>
      <c r="AM35" s="70">
        <f t="shared" si="80"/>
        <v>0.31011018751208186</v>
      </c>
      <c r="AN35" s="73">
        <f t="shared" si="80"/>
        <v>0.2914706804640953</v>
      </c>
      <c r="AO35" s="73">
        <f t="shared" si="80"/>
        <v>0.31560738083034334</v>
      </c>
      <c r="AP35" s="73">
        <f t="shared" si="80"/>
        <v>0.29389965792474337</v>
      </c>
      <c r="AQ35" s="103">
        <f t="shared" si="80"/>
        <v>0.24896334383811591</v>
      </c>
      <c r="AR35" s="70">
        <f t="shared" si="80"/>
        <v>0.2896022330774598</v>
      </c>
      <c r="AS35" s="73">
        <f t="shared" si="80"/>
        <v>0.33298287774106344</v>
      </c>
      <c r="AT35" s="73">
        <f t="shared" si="80"/>
        <v>0.33771082786146522</v>
      </c>
      <c r="AU35" s="73">
        <f t="shared" si="80"/>
        <v>0.31731155442495645</v>
      </c>
      <c r="AV35" s="73">
        <f t="shared" si="80"/>
        <v>0.26818181818181819</v>
      </c>
      <c r="AW35" s="70">
        <f t="shared" si="80"/>
        <v>0.3151540675229873</v>
      </c>
      <c r="AX35" s="73">
        <f t="shared" si="80"/>
        <v>0.31632653061224492</v>
      </c>
      <c r="AY35" s="73">
        <f t="shared" si="80"/>
        <v>0.37334933973589435</v>
      </c>
      <c r="AZ35" s="73">
        <f t="shared" si="80"/>
        <v>0.32608695652173914</v>
      </c>
      <c r="BA35" s="73">
        <f t="shared" si="80"/>
        <v>0.27431059506531202</v>
      </c>
      <c r="BB35" s="70">
        <f t="shared" si="80"/>
        <v>0.32508361204013381</v>
      </c>
      <c r="BC35" s="73">
        <f t="shared" si="80"/>
        <v>0.31347517730496455</v>
      </c>
      <c r="BD35" s="73">
        <f t="shared" si="80"/>
        <v>0.34549600912200684</v>
      </c>
      <c r="BE35" s="73">
        <f t="shared" si="80"/>
        <v>0.33456334563345635</v>
      </c>
      <c r="BF35" s="73">
        <f t="shared" si="80"/>
        <v>0.31351351351351353</v>
      </c>
      <c r="BG35" s="70">
        <f t="shared" si="80"/>
        <v>0.32791068580542265</v>
      </c>
      <c r="BH35" s="73">
        <f t="shared" si="80"/>
        <v>0.32474964234620884</v>
      </c>
      <c r="BI35" s="73">
        <f t="shared" si="80"/>
        <v>0.35362997658079626</v>
      </c>
      <c r="BJ35" s="73">
        <f t="shared" si="80"/>
        <v>0.34363411619283063</v>
      </c>
      <c r="BK35" s="73">
        <f t="shared" si="80"/>
        <v>0.33058984910836764</v>
      </c>
      <c r="BL35" s="70">
        <f t="shared" si="80"/>
        <v>0.33904885150436753</v>
      </c>
      <c r="BM35" s="395">
        <f t="shared" si="80"/>
        <v>0.32223903177004537</v>
      </c>
      <c r="BN35" s="73">
        <f t="shared" si="80"/>
        <v>0.35060240963855421</v>
      </c>
      <c r="BO35" s="73">
        <f t="shared" si="80"/>
        <v>0.33787128712871289</v>
      </c>
      <c r="BP35" s="73">
        <f t="shared" ref="BP35:CP35" si="81">+BP34/BP14</f>
        <v>0.30835734870317005</v>
      </c>
      <c r="BQ35" s="70">
        <f t="shared" si="81"/>
        <v>0.331105913798864</v>
      </c>
      <c r="BR35" s="73">
        <f t="shared" si="81"/>
        <v>0.33748271092669435</v>
      </c>
      <c r="BS35" s="73">
        <f t="shared" si="81"/>
        <v>0.37855579868708972</v>
      </c>
      <c r="BT35" s="73">
        <f t="shared" si="81"/>
        <v>0.33263366336633665</v>
      </c>
      <c r="BU35" s="73">
        <f t="shared" si="81"/>
        <v>0.30511712555466286</v>
      </c>
      <c r="BV35" s="70">
        <f t="shared" si="81"/>
        <v>0.34028967402919191</v>
      </c>
      <c r="BW35" s="73">
        <f t="shared" si="81"/>
        <v>0.34889494905269863</v>
      </c>
      <c r="BX35" s="73">
        <f t="shared" si="81"/>
        <v>0.38971244120927123</v>
      </c>
      <c r="BY35" s="73">
        <f t="shared" si="81"/>
        <v>0.34413366336633661</v>
      </c>
      <c r="BZ35" s="73">
        <f t="shared" si="81"/>
        <v>0.31747999094518625</v>
      </c>
      <c r="CA35" s="70">
        <f t="shared" si="81"/>
        <v>0.35162235242294781</v>
      </c>
      <c r="CB35" s="73">
        <f t="shared" si="81"/>
        <v>0.35233326505315304</v>
      </c>
      <c r="CC35" s="73">
        <f t="shared" si="81"/>
        <v>0.3927077954207292</v>
      </c>
      <c r="CD35" s="73">
        <f t="shared" si="81"/>
        <v>0.3476336633663365</v>
      </c>
      <c r="CE35" s="73">
        <f t="shared" si="81"/>
        <v>0.32097999094518642</v>
      </c>
      <c r="CF35" s="70">
        <f t="shared" si="81"/>
        <v>0.35497014487832967</v>
      </c>
      <c r="CG35" s="73">
        <f t="shared" si="81"/>
        <v>0.35577451838691909</v>
      </c>
      <c r="CH35" s="73">
        <f t="shared" si="81"/>
        <v>0.39572718038402255</v>
      </c>
      <c r="CI35" s="73">
        <f t="shared" si="81"/>
        <v>0.3511336633663365</v>
      </c>
      <c r="CJ35" s="73">
        <f t="shared" si="81"/>
        <v>0.32447999094518615</v>
      </c>
      <c r="CK35" s="70">
        <f t="shared" si="81"/>
        <v>0.35832518531202673</v>
      </c>
      <c r="CL35" s="73">
        <f t="shared" si="81"/>
        <v>0.35821856918098194</v>
      </c>
      <c r="CM35" s="73">
        <f t="shared" si="81"/>
        <v>0.39776945177763529</v>
      </c>
      <c r="CN35" s="73">
        <f t="shared" si="81"/>
        <v>0.35363366336633645</v>
      </c>
      <c r="CO35" s="73">
        <f t="shared" si="81"/>
        <v>0.32697999094518643</v>
      </c>
      <c r="CP35" s="70">
        <f t="shared" si="81"/>
        <v>0.36068712858221436</v>
      </c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</row>
    <row r="36" spans="1:109" s="76" customFormat="1" x14ac:dyDescent="0.25">
      <c r="B36" s="52" t="s">
        <v>1</v>
      </c>
      <c r="C36" s="70"/>
      <c r="D36" s="70">
        <f>D34/C34-1</f>
        <v>0.12954279015240333</v>
      </c>
      <c r="E36" s="73"/>
      <c r="F36" s="73"/>
      <c r="G36" s="73"/>
      <c r="H36" s="88"/>
      <c r="I36" s="70">
        <f>I34/D34-1</f>
        <v>0.15749870264660082</v>
      </c>
      <c r="J36" s="73">
        <f>+(J34-19)/95.9-1</f>
        <v>6.7778936392075106E-2</v>
      </c>
      <c r="K36" s="73">
        <f>+K34/F34-1</f>
        <v>0.11327310632383525</v>
      </c>
      <c r="L36" s="73">
        <f>+L34/G34-1</f>
        <v>0.17120954003407118</v>
      </c>
      <c r="M36" s="88">
        <f>+M34/H34-1</f>
        <v>0.17237442922374413</v>
      </c>
      <c r="N36" s="70">
        <f>N34/I34-1</f>
        <v>0.16969289396996179</v>
      </c>
      <c r="O36" s="73">
        <f>+O34/J34-1</f>
        <v>0.17215815485996666</v>
      </c>
      <c r="P36" s="73">
        <f>+P34/K34-1</f>
        <v>7.6154806491886662E-2</v>
      </c>
      <c r="Q36" s="73">
        <f>+Q34/L34-1</f>
        <v>0.22763636363636386</v>
      </c>
      <c r="R36" s="88">
        <f>+R34/M34-1</f>
        <v>5.7448880233690103E-2</v>
      </c>
      <c r="S36" s="70">
        <f>S34/N34-1</f>
        <v>0.13472594863932574</v>
      </c>
      <c r="T36" s="73">
        <f>+T34/O34-1</f>
        <v>9.2059030217850113E-2</v>
      </c>
      <c r="U36" s="73">
        <f>+U34/P34-1</f>
        <v>0.23317865429234219</v>
      </c>
      <c r="V36" s="73">
        <f>+V34/Q34-1</f>
        <v>7.5829383886255597E-2</v>
      </c>
      <c r="W36" s="88">
        <f>+W34/R34-1</f>
        <v>0.24677716390423599</v>
      </c>
      <c r="X36" s="70">
        <f>X34/S34-1</f>
        <v>0.15689917243708806</v>
      </c>
      <c r="Y36" s="73">
        <f>+Y34/T34-1</f>
        <v>4.6332046332046239E-2</v>
      </c>
      <c r="Z36" s="73">
        <f>+Z34/U34-1</f>
        <v>4.2803386641580454E-2</v>
      </c>
      <c r="AA36" s="73">
        <f>+AA34/V34-1</f>
        <v>-0.13876651982378829</v>
      </c>
      <c r="AB36" s="73">
        <f>+AB34/W34-1</f>
        <v>-1.4032496307237463E-2</v>
      </c>
      <c r="AC36" s="70">
        <f>AC34/X34-1</f>
        <v>-1.5766423357664539E-2</v>
      </c>
      <c r="AD36" s="73">
        <f>+AD34/Y34-1</f>
        <v>0.1808118081180814</v>
      </c>
      <c r="AE36" s="73">
        <f>+AE34/Z34-1</f>
        <v>1.7591339648173276E-2</v>
      </c>
      <c r="AF36" s="73">
        <f>+AF34/AA34-1</f>
        <v>0.18606138107416825</v>
      </c>
      <c r="AG36" s="73">
        <f>+AG34/AB34-1</f>
        <v>-0.11235955056179747</v>
      </c>
      <c r="AH36" s="70">
        <f>AH34/AC34-1</f>
        <v>7.0305547315336892E-2</v>
      </c>
      <c r="AI36" s="73">
        <f>+AI34/AD34-1</f>
        <v>-0.10052083333333339</v>
      </c>
      <c r="AJ36" s="73">
        <f>+AJ34/AE34-1</f>
        <v>4.1666666666666741E-2</v>
      </c>
      <c r="AK36" s="73">
        <f>+AK34/AF34-1</f>
        <v>0.21563342318059298</v>
      </c>
      <c r="AL36" s="73">
        <f>+AL34/AG34-1</f>
        <v>0.42531645569620169</v>
      </c>
      <c r="AM36" s="70">
        <f>AM34/AH34-1</f>
        <v>0.11155764966740556</v>
      </c>
      <c r="AN36" s="73">
        <f>+AN34/AI34-1</f>
        <v>7.6433121019108041E-2</v>
      </c>
      <c r="AO36" s="73">
        <f>+AO34/AJ34-1</f>
        <v>4.8085106382978582E-2</v>
      </c>
      <c r="AP36" s="73">
        <f>+AP34/AK34-1</f>
        <v>-8.5587583148558855E-2</v>
      </c>
      <c r="AQ36" s="103">
        <f>+AQ34/AL34-1</f>
        <v>-0.11130846654825277</v>
      </c>
      <c r="AR36" s="70">
        <f>AR34/AM34-1</f>
        <v>-1.6955491833935854E-2</v>
      </c>
      <c r="AS36" s="73">
        <f>+AS34/AN34-1</f>
        <v>0.19257665411511593</v>
      </c>
      <c r="AT36" s="73">
        <f>+AT34/AO34-1</f>
        <v>6.4961429151441541E-2</v>
      </c>
      <c r="AU36" s="73">
        <f>+AU34/AP34-1</f>
        <v>0.14936954413191095</v>
      </c>
      <c r="AV36" s="73">
        <f>+AV34/AQ34-1</f>
        <v>0.17921385742838036</v>
      </c>
      <c r="AW36" s="70">
        <f>AW34/AR34-1</f>
        <v>0.13887127457197224</v>
      </c>
      <c r="AX36" s="73">
        <f>+AX34/AS34-1</f>
        <v>-2.1199819576003698E-2</v>
      </c>
      <c r="AY36" s="73">
        <f>+AY34/AT34-1</f>
        <v>0.18566526877621037</v>
      </c>
      <c r="AZ36" s="73">
        <f>+AZ34/AU34-1</f>
        <v>7.5949367088607556E-2</v>
      </c>
      <c r="BA36" s="73">
        <f>+BA34/AV34-1</f>
        <v>6.7796610169491567E-2</v>
      </c>
      <c r="BB36" s="70">
        <f>BB34/AW34-1</f>
        <v>8.2405345211581382E-2</v>
      </c>
      <c r="BC36" s="73">
        <f>+BC34/AX34-1</f>
        <v>1.8433179723502224E-2</v>
      </c>
      <c r="BD36" s="73">
        <f>+BD34/AY34-1</f>
        <v>-2.5723472668810254E-2</v>
      </c>
      <c r="BE36" s="73">
        <f>+BE34/AZ34-1</f>
        <v>6.6666666666666652E-2</v>
      </c>
      <c r="BF36" s="73">
        <f>+BF34/BA34-1</f>
        <v>0.22751322751322745</v>
      </c>
      <c r="BG36" s="70">
        <f>BG34/BB34-1</f>
        <v>5.7613168724279795E-2</v>
      </c>
      <c r="BH36" s="73">
        <f>+BH34/BC34-1</f>
        <v>2.7149321266968229E-2</v>
      </c>
      <c r="BI36" s="73">
        <f>+BI34/BD34-1</f>
        <v>-3.3003300330033403E-3</v>
      </c>
      <c r="BJ36" s="73">
        <f>+BJ34/BE34-1</f>
        <v>2.2058823529411686E-2</v>
      </c>
      <c r="BK36" s="73">
        <f>+BK34/BF34-1</f>
        <v>3.8793103448275801E-2</v>
      </c>
      <c r="BL36" s="70">
        <f>BL34/BG34-1</f>
        <v>1.9455252918287869E-2</v>
      </c>
      <c r="BM36" s="395">
        <f>+BM34/BH34-1</f>
        <v>-6.1674008810572722E-2</v>
      </c>
      <c r="BN36" s="73">
        <f>+BN34/BI34-1</f>
        <v>-3.6423841059602613E-2</v>
      </c>
      <c r="BO36" s="73">
        <f>+BO34/BJ34-1</f>
        <v>-1.7985611510791366E-2</v>
      </c>
      <c r="BP36" s="73">
        <f>+BP34/BK34-1</f>
        <v>-0.11203319502074693</v>
      </c>
      <c r="BQ36" s="70">
        <f>BQ34/BL34-1</f>
        <v>-5.4389312977099258E-2</v>
      </c>
      <c r="BR36" s="73">
        <f>+BR34/BM34-1</f>
        <v>0.14553990610328649</v>
      </c>
      <c r="BS36" s="73">
        <f>+BS34/BN34-1</f>
        <v>0.18900343642611683</v>
      </c>
      <c r="BT36" s="73">
        <f>+BT34/BO34-1</f>
        <v>8.4820227110656621E-2</v>
      </c>
      <c r="BU36" s="73">
        <f>+BU34/BP34-1</f>
        <v>5.9200146310848245E-2</v>
      </c>
      <c r="BV36" s="70">
        <f>BV34/BQ34-1</f>
        <v>0.12293113351335094</v>
      </c>
      <c r="BW36" s="73">
        <f>+BW34/BR34-1</f>
        <v>0.10385755873725988</v>
      </c>
      <c r="BX36" s="73">
        <f>+BX34/BS34-1</f>
        <v>6.2826131252724515E-2</v>
      </c>
      <c r="BY36" s="73">
        <f>+BY34/BT34-1</f>
        <v>9.3689170970805424E-2</v>
      </c>
      <c r="BZ36" s="73">
        <f>+BZ34/BU34-1</f>
        <v>9.8948100856633969E-2</v>
      </c>
      <c r="CA36" s="70">
        <f>CA34/BV34-1</f>
        <v>8.7393939295352219E-2</v>
      </c>
      <c r="CB36" s="73">
        <f>+CB34/BW34-1</f>
        <v>6.0347618417175397E-2</v>
      </c>
      <c r="CC36" s="73">
        <f>+CC34/BX34-1</f>
        <v>5.8070365709320448E-2</v>
      </c>
      <c r="CD36" s="73">
        <f>+CD34/BY34-1</f>
        <v>6.0678990146011413E-2</v>
      </c>
      <c r="CE36" s="73">
        <f>+CE34/BZ34-1</f>
        <v>6.1575532647141218E-2</v>
      </c>
      <c r="CF36" s="70">
        <f>CF34/CA34-1</f>
        <v>5.9997038168730255E-2</v>
      </c>
      <c r="CG36" s="73">
        <f>+CG34/CB34-1</f>
        <v>6.0255392717202705E-2</v>
      </c>
      <c r="CH36" s="73">
        <f>+CH34/CC34-1</f>
        <v>5.8073061570019124E-2</v>
      </c>
      <c r="CI36" s="73">
        <f>+CI34/CD34-1</f>
        <v>6.0571473327447389E-2</v>
      </c>
      <c r="CJ36" s="73">
        <f>+CJ34/CE34-1</f>
        <v>6.1449311806564655E-2</v>
      </c>
      <c r="CK36" s="70">
        <f>CK34/CF34-1</f>
        <v>5.9924193643353885E-2</v>
      </c>
      <c r="CL36" s="73">
        <f>+CL34/CG34-1</f>
        <v>5.7213145408506083E-2</v>
      </c>
      <c r="CM36" s="73">
        <f>+CM34/CH34-1</f>
        <v>5.54188467954424E-2</v>
      </c>
      <c r="CN36" s="73">
        <f>+CN34/CI34-1</f>
        <v>5.7475785644799382E-2</v>
      </c>
      <c r="CO36" s="73">
        <f>+CO34/CJ34-1</f>
        <v>5.8089867089658798E-2</v>
      </c>
      <c r="CP36" s="70">
        <f>CP34/CK34-1</f>
        <v>5.6921200449634446E-2</v>
      </c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</row>
    <row r="37" spans="1:109" s="76" customFormat="1" x14ac:dyDescent="0.25">
      <c r="B37" s="52" t="s">
        <v>16</v>
      </c>
      <c r="C37" s="107"/>
      <c r="D37" s="107">
        <f>(D35-C35)*10000</f>
        <v>53.433943625507965</v>
      </c>
      <c r="E37" s="108"/>
      <c r="F37" s="108"/>
      <c r="G37" s="108"/>
      <c r="H37" s="108"/>
      <c r="I37" s="107">
        <f t="shared" ref="I37:W37" si="82">(I35-D35)*10000</f>
        <v>185.51471699129741</v>
      </c>
      <c r="J37" s="108">
        <f t="shared" si="82"/>
        <v>298.12807118737379</v>
      </c>
      <c r="K37" s="108">
        <f t="shared" si="82"/>
        <v>175.03521852592684</v>
      </c>
      <c r="L37" s="108">
        <f t="shared" si="82"/>
        <v>327.9611086827</v>
      </c>
      <c r="M37" s="108">
        <f t="shared" si="82"/>
        <v>105.14019910972783</v>
      </c>
      <c r="N37" s="107">
        <f t="shared" si="82"/>
        <v>219.92783129364784</v>
      </c>
      <c r="O37" s="108">
        <f t="shared" si="82"/>
        <v>85.433756069731587</v>
      </c>
      <c r="P37" s="108">
        <f t="shared" si="82"/>
        <v>6.0074024125084113</v>
      </c>
      <c r="Q37" s="108">
        <f t="shared" si="82"/>
        <v>120.94482150527774</v>
      </c>
      <c r="R37" s="108">
        <f t="shared" si="82"/>
        <v>-239.75418172048208</v>
      </c>
      <c r="S37" s="107">
        <f t="shared" si="82"/>
        <v>-14.54934245248063</v>
      </c>
      <c r="T37" s="108">
        <f t="shared" si="82"/>
        <v>-170.91324870862067</v>
      </c>
      <c r="U37" s="108">
        <f t="shared" si="82"/>
        <v>9.7517578990941054</v>
      </c>
      <c r="V37" s="108">
        <f t="shared" si="82"/>
        <v>-199.07203819357733</v>
      </c>
      <c r="W37" s="108">
        <f t="shared" si="82"/>
        <v>252.54325848859449</v>
      </c>
      <c r="X37" s="107">
        <f t="shared" ref="X37:AH37" si="83">(X35-S35)*10000</f>
        <v>-16.387182896859255</v>
      </c>
      <c r="Y37" s="108">
        <f t="shared" si="83"/>
        <v>2.1628252791816571</v>
      </c>
      <c r="Z37" s="108">
        <f t="shared" si="83"/>
        <v>33.538668305527764</v>
      </c>
      <c r="AA37" s="108">
        <f t="shared" si="83"/>
        <v>-60.66531408549514</v>
      </c>
      <c r="AB37" s="108">
        <f t="shared" si="83"/>
        <v>253.18391533143748</v>
      </c>
      <c r="AC37" s="107">
        <f t="shared" si="83"/>
        <v>63.847084501147954</v>
      </c>
      <c r="AD37" s="108">
        <f t="shared" si="83"/>
        <v>714.62871132830787</v>
      </c>
      <c r="AE37" s="108">
        <f t="shared" si="83"/>
        <v>223.91937763636182</v>
      </c>
      <c r="AF37" s="108">
        <f t="shared" si="83"/>
        <v>270.15239789768719</v>
      </c>
      <c r="AG37" s="108">
        <f t="shared" si="83"/>
        <v>-377.11734229733258</v>
      </c>
      <c r="AH37" s="107">
        <f t="shared" si="83"/>
        <v>205.41600955489793</v>
      </c>
      <c r="AI37" s="108">
        <f t="shared" ref="AI37:BG37" si="84">(AI35-AD35)*10000</f>
        <v>-330.68285897768277</v>
      </c>
      <c r="AJ37" s="108">
        <f t="shared" si="84"/>
        <v>136.44237773673186</v>
      </c>
      <c r="AK37" s="108">
        <f t="shared" si="84"/>
        <v>274.76781557847164</v>
      </c>
      <c r="AL37" s="108">
        <f t="shared" si="84"/>
        <v>656.76255207126144</v>
      </c>
      <c r="AM37" s="107">
        <f t="shared" si="84"/>
        <v>178.34275162452508</v>
      </c>
      <c r="AN37" s="108">
        <f t="shared" si="84"/>
        <v>-118.31040645845003</v>
      </c>
      <c r="AO37" s="108">
        <f t="shared" si="84"/>
        <v>-208.76009776758576</v>
      </c>
      <c r="AP37" s="108">
        <f t="shared" si="84"/>
        <v>-246.03166934013655</v>
      </c>
      <c r="AQ37" s="109">
        <f t="shared" si="84"/>
        <v>-276.04529094584274</v>
      </c>
      <c r="AR37" s="107">
        <f t="shared" si="84"/>
        <v>-205.07954434622056</v>
      </c>
      <c r="AS37" s="108">
        <f t="shared" si="84"/>
        <v>415.12197276968146</v>
      </c>
      <c r="AT37" s="108">
        <f t="shared" si="84"/>
        <v>221.0344703112188</v>
      </c>
      <c r="AU37" s="108">
        <f t="shared" si="84"/>
        <v>234.11896500213081</v>
      </c>
      <c r="AV37" s="108">
        <f t="shared" si="84"/>
        <v>192.18474343702275</v>
      </c>
      <c r="AW37" s="107">
        <f t="shared" si="84"/>
        <v>255.51834445527498</v>
      </c>
      <c r="AX37" s="108">
        <f t="shared" si="84"/>
        <v>-166.56347128818527</v>
      </c>
      <c r="AY37" s="108">
        <f t="shared" si="84"/>
        <v>356.38511874429122</v>
      </c>
      <c r="AZ37" s="108">
        <f>(AZ35-AU35)*10000</f>
        <v>87.754020967826804</v>
      </c>
      <c r="BA37" s="108">
        <f>(BA35-AV35)*10000</f>
        <v>61.287768834938362</v>
      </c>
      <c r="BB37" s="107">
        <f t="shared" si="84"/>
        <v>99.295445171465047</v>
      </c>
      <c r="BC37" s="108">
        <f t="shared" si="84"/>
        <v>-28.513533072803689</v>
      </c>
      <c r="BD37" s="108">
        <f>(BD35-AY35)*10000</f>
        <v>-278.53330613887505</v>
      </c>
      <c r="BE37" s="108">
        <f>(BE35-AZ35)*10000</f>
        <v>84.763891117172193</v>
      </c>
      <c r="BF37" s="108">
        <f t="shared" si="84"/>
        <v>392.02918448201507</v>
      </c>
      <c r="BG37" s="107">
        <f t="shared" si="84"/>
        <v>28.270737652888457</v>
      </c>
      <c r="BH37" s="108">
        <f t="shared" ref="BH37:CA37" si="85">(BH35-BC35)*10000</f>
        <v>112.74465041244297</v>
      </c>
      <c r="BI37" s="108">
        <f t="shared" si="85"/>
        <v>81.339674587894152</v>
      </c>
      <c r="BJ37" s="108">
        <f t="shared" si="85"/>
        <v>90.707705593742745</v>
      </c>
      <c r="BK37" s="108">
        <f t="shared" si="85"/>
        <v>170.76335594854109</v>
      </c>
      <c r="BL37" s="107">
        <f t="shared" si="85"/>
        <v>111.3816569894488</v>
      </c>
      <c r="BM37" s="398">
        <f t="shared" si="85"/>
        <v>-25.106105761634744</v>
      </c>
      <c r="BN37" s="108">
        <f t="shared" si="85"/>
        <v>-30.275669422420435</v>
      </c>
      <c r="BO37" s="108">
        <f t="shared" si="85"/>
        <v>-57.628290641177358</v>
      </c>
      <c r="BP37" s="108">
        <f t="shared" si="85"/>
        <v>-222.32500405197587</v>
      </c>
      <c r="BQ37" s="107">
        <f>(BQ35-BL35)*10000</f>
        <v>-79.429377055035275</v>
      </c>
      <c r="BR37" s="108">
        <f t="shared" si="85"/>
        <v>152.4367915664898</v>
      </c>
      <c r="BS37" s="108">
        <f t="shared" si="85"/>
        <v>279.53389048535502</v>
      </c>
      <c r="BT37" s="108">
        <f t="shared" si="85"/>
        <v>-52.376237623762421</v>
      </c>
      <c r="BU37" s="108">
        <f t="shared" si="85"/>
        <v>-32.40223148507193</v>
      </c>
      <c r="BV37" s="107">
        <f t="shared" si="85"/>
        <v>91.837602303279084</v>
      </c>
      <c r="BW37" s="108">
        <f t="shared" si="85"/>
        <v>114.12238126004281</v>
      </c>
      <c r="BX37" s="108">
        <f t="shared" si="85"/>
        <v>111.56642522181515</v>
      </c>
      <c r="BY37" s="108">
        <f t="shared" si="85"/>
        <v>114.99999999999955</v>
      </c>
      <c r="BZ37" s="108">
        <f t="shared" si="85"/>
        <v>123.62865390523392</v>
      </c>
      <c r="CA37" s="107">
        <f t="shared" si="85"/>
        <v>113.32678393755901</v>
      </c>
      <c r="CB37" s="108">
        <f t="shared" ref="CB37:CK37" si="86">(CB35-BW35)*10000</f>
        <v>34.383160004544109</v>
      </c>
      <c r="CC37" s="108">
        <f t="shared" si="86"/>
        <v>29.95354211457968</v>
      </c>
      <c r="CD37" s="108">
        <f t="shared" si="86"/>
        <v>34.99999999999892</v>
      </c>
      <c r="CE37" s="108">
        <f t="shared" si="86"/>
        <v>35.000000000001698</v>
      </c>
      <c r="CF37" s="107">
        <f t="shared" si="86"/>
        <v>33.477924553818596</v>
      </c>
      <c r="CG37" s="108">
        <f t="shared" si="86"/>
        <v>34.412533337660477</v>
      </c>
      <c r="CH37" s="108">
        <f t="shared" si="86"/>
        <v>30.193849632933478</v>
      </c>
      <c r="CI37" s="108">
        <f t="shared" si="86"/>
        <v>35.000000000000028</v>
      </c>
      <c r="CJ37" s="108">
        <f t="shared" si="86"/>
        <v>34.999999999997257</v>
      </c>
      <c r="CK37" s="107">
        <f t="shared" si="86"/>
        <v>33.550404336970544</v>
      </c>
      <c r="CL37" s="108">
        <f>(CL35-CG35)*10000</f>
        <v>24.440507940628464</v>
      </c>
      <c r="CM37" s="108">
        <f>(CM35-CH35)*10000</f>
        <v>20.42271393612738</v>
      </c>
      <c r="CN37" s="108">
        <f>(CN35-CI35)*10000</f>
        <v>24.999999999999467</v>
      </c>
      <c r="CO37" s="108">
        <f>(CO35-CJ35)*10000</f>
        <v>25.0000000000028</v>
      </c>
      <c r="CP37" s="107">
        <f>(CP35-CK35)*10000</f>
        <v>23.619432701876274</v>
      </c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</row>
    <row r="38" spans="1:109" ht="3.75" customHeight="1" x14ac:dyDescent="0.25">
      <c r="C38" s="131"/>
      <c r="D38" s="131"/>
      <c r="E38" s="99"/>
      <c r="F38" s="132"/>
      <c r="G38" s="132"/>
      <c r="H38" s="133"/>
      <c r="I38" s="134"/>
      <c r="J38" s="99"/>
      <c r="K38" s="132"/>
      <c r="L38" s="132"/>
      <c r="M38" s="133"/>
      <c r="N38" s="134"/>
      <c r="O38" s="99"/>
      <c r="P38" s="132"/>
      <c r="Q38" s="132"/>
      <c r="R38" s="133"/>
      <c r="S38" s="134"/>
      <c r="T38" s="99"/>
      <c r="U38" s="132"/>
      <c r="V38" s="132"/>
      <c r="W38" s="133"/>
      <c r="X38" s="134"/>
      <c r="Y38" s="101"/>
      <c r="Z38" s="135"/>
      <c r="AA38" s="132"/>
      <c r="AB38" s="132"/>
      <c r="AC38" s="134"/>
      <c r="AD38" s="132"/>
      <c r="AE38" s="132"/>
      <c r="AF38" s="132"/>
      <c r="AG38" s="132"/>
      <c r="AH38" s="134"/>
      <c r="AI38" s="132"/>
      <c r="AJ38" s="132"/>
      <c r="AK38" s="132"/>
      <c r="AL38" s="132"/>
      <c r="AM38" s="134"/>
      <c r="AN38" s="132"/>
      <c r="AO38" s="132"/>
      <c r="AP38" s="132"/>
      <c r="AQ38" s="279"/>
      <c r="AR38" s="134"/>
      <c r="AS38" s="132"/>
      <c r="AT38" s="132"/>
      <c r="AU38" s="132"/>
      <c r="AV38" s="132"/>
      <c r="AW38" s="134"/>
      <c r="AX38" s="132"/>
      <c r="AY38" s="132"/>
      <c r="AZ38" s="132"/>
      <c r="BA38" s="132"/>
      <c r="BB38" s="134"/>
      <c r="BC38" s="132"/>
      <c r="BD38" s="132"/>
      <c r="BE38" s="132"/>
      <c r="BF38" s="132"/>
      <c r="BG38" s="134"/>
      <c r="BH38" s="132"/>
      <c r="BI38" s="132"/>
      <c r="BJ38" s="132"/>
      <c r="BK38" s="132"/>
      <c r="BL38" s="134"/>
      <c r="BM38" s="403"/>
      <c r="BN38" s="132"/>
      <c r="BO38" s="132"/>
      <c r="BP38" s="132"/>
      <c r="BQ38" s="134"/>
      <c r="BR38" s="132"/>
      <c r="BS38" s="132"/>
      <c r="BT38" s="132"/>
      <c r="BU38" s="132"/>
      <c r="BV38" s="134"/>
      <c r="BW38" s="132"/>
      <c r="BX38" s="132"/>
      <c r="BY38" s="132"/>
      <c r="BZ38" s="132"/>
      <c r="CA38" s="134"/>
      <c r="CB38" s="132"/>
      <c r="CC38" s="132"/>
      <c r="CD38" s="132"/>
      <c r="CE38" s="132"/>
      <c r="CF38" s="134"/>
      <c r="CG38" s="132"/>
      <c r="CH38" s="132"/>
      <c r="CI38" s="132"/>
      <c r="CJ38" s="132"/>
      <c r="CK38" s="134"/>
      <c r="CL38" s="132"/>
      <c r="CM38" s="132"/>
      <c r="CN38" s="132"/>
      <c r="CO38" s="132"/>
      <c r="CP38" s="134"/>
    </row>
    <row r="39" spans="1:109" hidden="1" outlineLevel="1" x14ac:dyDescent="0.25">
      <c r="A39" s="52" t="s">
        <v>17</v>
      </c>
      <c r="C39" s="94">
        <v>55</v>
      </c>
      <c r="D39" s="94">
        <v>56</v>
      </c>
      <c r="E39" s="119">
        <f t="shared" ref="E39:X39" si="87">E126+E127</f>
        <v>10.7</v>
      </c>
      <c r="F39" s="119">
        <f t="shared" si="87"/>
        <v>10.7</v>
      </c>
      <c r="G39" s="119">
        <f t="shared" si="87"/>
        <v>11.7</v>
      </c>
      <c r="H39" s="97">
        <f t="shared" si="87"/>
        <v>11.3</v>
      </c>
      <c r="I39" s="94">
        <f t="shared" si="87"/>
        <v>44.399999999999991</v>
      </c>
      <c r="J39" s="119">
        <f t="shared" si="87"/>
        <v>10.199999999999999</v>
      </c>
      <c r="K39" s="119">
        <f t="shared" si="87"/>
        <v>10.9</v>
      </c>
      <c r="L39" s="119">
        <f t="shared" si="87"/>
        <v>10.6</v>
      </c>
      <c r="M39" s="97">
        <f t="shared" si="87"/>
        <v>11.2</v>
      </c>
      <c r="N39" s="94">
        <f t="shared" si="87"/>
        <v>42.900000000000006</v>
      </c>
      <c r="O39" s="119">
        <f t="shared" si="87"/>
        <v>10.199999999999999</v>
      </c>
      <c r="P39" s="119">
        <f t="shared" si="87"/>
        <v>10.5</v>
      </c>
      <c r="Q39" s="119">
        <f t="shared" si="87"/>
        <v>11.100000000000001</v>
      </c>
      <c r="R39" s="97">
        <f t="shared" si="87"/>
        <v>12.199999999999996</v>
      </c>
      <c r="S39" s="94">
        <f t="shared" si="87"/>
        <v>44</v>
      </c>
      <c r="T39" s="119">
        <f t="shared" si="87"/>
        <v>10</v>
      </c>
      <c r="U39" s="119">
        <f t="shared" si="87"/>
        <v>15.7</v>
      </c>
      <c r="V39" s="119">
        <f t="shared" si="87"/>
        <v>12.7</v>
      </c>
      <c r="W39" s="97">
        <f t="shared" si="87"/>
        <v>13.599999999999998</v>
      </c>
      <c r="X39" s="94">
        <f t="shared" si="87"/>
        <v>52</v>
      </c>
      <c r="Y39" s="97">
        <f t="shared" ref="Y39:AH39" si="88">Y126+Y127</f>
        <v>13.3</v>
      </c>
      <c r="Z39" s="95">
        <f t="shared" si="88"/>
        <v>13.3</v>
      </c>
      <c r="AA39" s="95">
        <f t="shared" si="88"/>
        <v>13.5</v>
      </c>
      <c r="AB39" s="136">
        <f t="shared" si="88"/>
        <v>14.900000000000002</v>
      </c>
      <c r="AC39" s="94">
        <f t="shared" si="88"/>
        <v>55</v>
      </c>
      <c r="AD39" s="95">
        <f t="shared" si="88"/>
        <v>14.4</v>
      </c>
      <c r="AE39" s="95">
        <f t="shared" si="88"/>
        <v>14.200000000000001</v>
      </c>
      <c r="AF39" s="95">
        <f t="shared" si="88"/>
        <v>15.199999999999994</v>
      </c>
      <c r="AG39" s="95">
        <f t="shared" si="88"/>
        <v>15.200000000000005</v>
      </c>
      <c r="AH39" s="94">
        <f t="shared" si="88"/>
        <v>59</v>
      </c>
      <c r="AI39" s="95">
        <f t="shared" ref="AI39:BH39" si="89">AI126+AI127</f>
        <v>14.5</v>
      </c>
      <c r="AJ39" s="95">
        <f t="shared" si="89"/>
        <v>14.2</v>
      </c>
      <c r="AK39" s="95">
        <f t="shared" si="89"/>
        <v>14.2</v>
      </c>
      <c r="AL39" s="95">
        <f t="shared" si="89"/>
        <v>13.099999999999998</v>
      </c>
      <c r="AM39" s="94">
        <f t="shared" si="89"/>
        <v>56</v>
      </c>
      <c r="AN39" s="95">
        <f t="shared" si="89"/>
        <v>13</v>
      </c>
      <c r="AO39" s="95">
        <f t="shared" si="89"/>
        <v>12.8</v>
      </c>
      <c r="AP39" s="95">
        <f t="shared" si="89"/>
        <v>11.900000000000002</v>
      </c>
      <c r="AQ39" s="119">
        <f t="shared" si="89"/>
        <v>11.299999999999994</v>
      </c>
      <c r="AR39" s="94">
        <f t="shared" si="89"/>
        <v>49</v>
      </c>
      <c r="AS39" s="95">
        <f t="shared" si="89"/>
        <v>11.5</v>
      </c>
      <c r="AT39" s="95">
        <f t="shared" si="89"/>
        <v>14.3</v>
      </c>
      <c r="AU39" s="95">
        <f t="shared" si="89"/>
        <v>10.3</v>
      </c>
      <c r="AV39" s="95">
        <f t="shared" si="89"/>
        <v>14.900000000000002</v>
      </c>
      <c r="AW39" s="94">
        <f>AW126+AW127</f>
        <v>51</v>
      </c>
      <c r="AX39" s="95">
        <f>AX126+AX127</f>
        <v>12</v>
      </c>
      <c r="AY39" s="95">
        <f t="shared" si="89"/>
        <v>12</v>
      </c>
      <c r="AZ39" s="95">
        <f t="shared" si="89"/>
        <v>12</v>
      </c>
      <c r="BA39" s="95">
        <f t="shared" si="89"/>
        <v>14</v>
      </c>
      <c r="BB39" s="94">
        <f t="shared" si="89"/>
        <v>50</v>
      </c>
      <c r="BC39" s="95">
        <f t="shared" si="89"/>
        <v>13</v>
      </c>
      <c r="BD39" s="95">
        <f t="shared" si="89"/>
        <v>12</v>
      </c>
      <c r="BE39" s="95">
        <f t="shared" si="89"/>
        <v>11</v>
      </c>
      <c r="BF39" s="95">
        <f t="shared" si="89"/>
        <v>15</v>
      </c>
      <c r="BG39" s="94">
        <f t="shared" si="89"/>
        <v>51</v>
      </c>
      <c r="BH39" s="95">
        <f t="shared" si="89"/>
        <v>13</v>
      </c>
      <c r="BI39" s="95">
        <f t="shared" ref="BI39:CA39" si="90">BI126+BI127</f>
        <v>14</v>
      </c>
      <c r="BJ39" s="95">
        <f t="shared" si="90"/>
        <v>13</v>
      </c>
      <c r="BK39" s="95">
        <f t="shared" si="90"/>
        <v>16</v>
      </c>
      <c r="BL39" s="94">
        <f t="shared" si="90"/>
        <v>56</v>
      </c>
      <c r="BM39" s="394">
        <f t="shared" si="90"/>
        <v>15</v>
      </c>
      <c r="BN39" s="95">
        <f t="shared" si="90"/>
        <v>13</v>
      </c>
      <c r="BO39" s="95">
        <f t="shared" si="90"/>
        <v>14</v>
      </c>
      <c r="BP39" s="95">
        <f t="shared" si="90"/>
        <v>16</v>
      </c>
      <c r="BQ39" s="94">
        <f t="shared" si="90"/>
        <v>58</v>
      </c>
      <c r="BR39" s="95">
        <f t="shared" si="90"/>
        <v>15</v>
      </c>
      <c r="BS39" s="95">
        <f t="shared" si="90"/>
        <v>15</v>
      </c>
      <c r="BT39" s="95">
        <f t="shared" si="90"/>
        <v>15</v>
      </c>
      <c r="BU39" s="95">
        <f t="shared" si="90"/>
        <v>15</v>
      </c>
      <c r="BV39" s="94">
        <f t="shared" si="90"/>
        <v>60</v>
      </c>
      <c r="BW39" s="95">
        <f t="shared" si="90"/>
        <v>15</v>
      </c>
      <c r="BX39" s="95">
        <f t="shared" si="90"/>
        <v>15</v>
      </c>
      <c r="BY39" s="95">
        <f t="shared" si="90"/>
        <v>15</v>
      </c>
      <c r="BZ39" s="95">
        <f t="shared" si="90"/>
        <v>15</v>
      </c>
      <c r="CA39" s="94">
        <f t="shared" si="90"/>
        <v>60</v>
      </c>
      <c r="CB39" s="95">
        <f t="shared" ref="CB39:CK39" si="91">CB126+CB127</f>
        <v>15</v>
      </c>
      <c r="CC39" s="95">
        <f t="shared" si="91"/>
        <v>15</v>
      </c>
      <c r="CD39" s="95">
        <f t="shared" si="91"/>
        <v>15</v>
      </c>
      <c r="CE39" s="95">
        <f t="shared" si="91"/>
        <v>15</v>
      </c>
      <c r="CF39" s="94">
        <f t="shared" si="91"/>
        <v>60</v>
      </c>
      <c r="CG39" s="95">
        <f t="shared" si="91"/>
        <v>15</v>
      </c>
      <c r="CH39" s="95">
        <f t="shared" si="91"/>
        <v>15</v>
      </c>
      <c r="CI39" s="95">
        <f t="shared" si="91"/>
        <v>15</v>
      </c>
      <c r="CJ39" s="95">
        <f t="shared" si="91"/>
        <v>15</v>
      </c>
      <c r="CK39" s="94">
        <f t="shared" si="91"/>
        <v>60</v>
      </c>
      <c r="CL39" s="95">
        <f>CL126+CL127</f>
        <v>15</v>
      </c>
      <c r="CM39" s="95">
        <f>CM126+CM127</f>
        <v>15</v>
      </c>
      <c r="CN39" s="95">
        <f>CN126+CN127</f>
        <v>15</v>
      </c>
      <c r="CO39" s="95">
        <f>CO126+CO127</f>
        <v>15</v>
      </c>
      <c r="CP39" s="94">
        <f>CP126+CP127</f>
        <v>60</v>
      </c>
    </row>
    <row r="40" spans="1:109" hidden="1" outlineLevel="1" x14ac:dyDescent="0.25">
      <c r="A40" s="52" t="s">
        <v>18</v>
      </c>
      <c r="C40" s="137">
        <f>C34+C39</f>
        <v>396.20000000000005</v>
      </c>
      <c r="D40" s="137">
        <f>D34+D39</f>
        <v>441.40000000000009</v>
      </c>
      <c r="E40" s="138">
        <f>+E34+E39</f>
        <v>107.89999999999999</v>
      </c>
      <c r="F40" s="138">
        <f>+F34+F39</f>
        <v>154.6</v>
      </c>
      <c r="G40" s="138">
        <f>+G34+G39</f>
        <v>129.10000000000002</v>
      </c>
      <c r="H40" s="139">
        <f>+H34+H39</f>
        <v>98.899999999999991</v>
      </c>
      <c r="I40" s="137">
        <f>+SUM(E40:H40)</f>
        <v>490.5</v>
      </c>
      <c r="J40" s="138">
        <f>+J34+J39</f>
        <v>131.6</v>
      </c>
      <c r="K40" s="138">
        <f>+K34+K39</f>
        <v>171.09999999999991</v>
      </c>
      <c r="L40" s="138">
        <f>+L34+L39</f>
        <v>148.1</v>
      </c>
      <c r="M40" s="139">
        <f>+M34+M39</f>
        <v>113.89999999999999</v>
      </c>
      <c r="N40" s="137">
        <f>+SUM(J40:M40)</f>
        <v>564.69999999999993</v>
      </c>
      <c r="O40" s="138">
        <f>+O34+O39</f>
        <v>152.49999999999994</v>
      </c>
      <c r="P40" s="138">
        <f>+P34+P39</f>
        <v>182.90000000000015</v>
      </c>
      <c r="Q40" s="138">
        <f>+Q34+Q39</f>
        <v>179.90000000000003</v>
      </c>
      <c r="R40" s="139">
        <f>+R34+R39</f>
        <v>120.79999999999995</v>
      </c>
      <c r="S40" s="137">
        <f>+SUM(O40:R40)</f>
        <v>636.10000000000014</v>
      </c>
      <c r="T40" s="138">
        <f>+T34+T39</f>
        <v>165.4</v>
      </c>
      <c r="U40" s="138">
        <f>+U34+U39</f>
        <v>228.29999999999995</v>
      </c>
      <c r="V40" s="138">
        <f>+V34+V39</f>
        <v>194.29999999999998</v>
      </c>
      <c r="W40" s="139">
        <f>+W34+W39</f>
        <v>148.99999999999997</v>
      </c>
      <c r="X40" s="137">
        <f>+SUM(T40:W40)</f>
        <v>736.99999999999989</v>
      </c>
      <c r="Y40" s="140">
        <f>+Y34+Y39</f>
        <v>175.9</v>
      </c>
      <c r="Z40" s="138">
        <f>+Z34+Z39</f>
        <v>234.99999999999997</v>
      </c>
      <c r="AA40" s="138">
        <f>+AA34+AA39</f>
        <v>169.90000000000003</v>
      </c>
      <c r="AB40" s="138">
        <f>+AB34+AB39</f>
        <v>148.40000000000003</v>
      </c>
      <c r="AC40" s="137">
        <f>+SUM(Y40:AB40)</f>
        <v>729.2</v>
      </c>
      <c r="AD40" s="138">
        <f>+AD34+AD39</f>
        <v>206.40000000000003</v>
      </c>
      <c r="AE40" s="138">
        <f>+AE34+AE39</f>
        <v>239.79999999999998</v>
      </c>
      <c r="AF40" s="138">
        <f>+AF34+AF39</f>
        <v>200.69999999999996</v>
      </c>
      <c r="AG40" s="138">
        <f>+AG34+AG39</f>
        <v>133.70000000000007</v>
      </c>
      <c r="AH40" s="137">
        <f>+SUM(AD40:AG40)</f>
        <v>780.6</v>
      </c>
      <c r="AI40" s="138">
        <f>+AI34+AI39</f>
        <v>187.20000000000002</v>
      </c>
      <c r="AJ40" s="138">
        <f>+AJ34+AJ39</f>
        <v>249.2</v>
      </c>
      <c r="AK40" s="138">
        <f>+AK34+AK39</f>
        <v>239.69999999999996</v>
      </c>
      <c r="AL40" s="138">
        <f>+AL34+AL39</f>
        <v>181.99999999999997</v>
      </c>
      <c r="AM40" s="137">
        <f>+SUM(AI40:AL40)</f>
        <v>858.09999999999991</v>
      </c>
      <c r="AN40" s="138">
        <f>+AN34+AN39</f>
        <v>198.89999999999998</v>
      </c>
      <c r="AO40" s="138">
        <f>+AO34+AO39</f>
        <v>259.09999999999997</v>
      </c>
      <c r="AP40" s="138">
        <f>+AP34+AP39</f>
        <v>218.09999999999997</v>
      </c>
      <c r="AQ40" s="199">
        <f>+AQ34+AQ39</f>
        <v>161.40000000000006</v>
      </c>
      <c r="AR40" s="137">
        <f>+SUM(AN40:AQ40)</f>
        <v>837.5</v>
      </c>
      <c r="AS40" s="138">
        <f>+AS34+AS39</f>
        <v>233.20000000000002</v>
      </c>
      <c r="AT40" s="138">
        <f>+AT34+AT39</f>
        <v>276.60000000000002</v>
      </c>
      <c r="AU40" s="138">
        <f>+AU34+AU39</f>
        <v>247.3</v>
      </c>
      <c r="AV40" s="138">
        <f>+AV34+AV39</f>
        <v>191.9</v>
      </c>
      <c r="AW40" s="137">
        <f>+SUM(AS40:AV40)</f>
        <v>949.00000000000011</v>
      </c>
      <c r="AX40" s="138">
        <f>+AX34+AX39</f>
        <v>229</v>
      </c>
      <c r="AY40" s="138">
        <f>+AY34+AY39</f>
        <v>323</v>
      </c>
      <c r="AZ40" s="138">
        <f>+AZ34+AZ39</f>
        <v>267</v>
      </c>
      <c r="BA40" s="138">
        <f>+BA34+BA39</f>
        <v>203</v>
      </c>
      <c r="BB40" s="137">
        <f>+SUM(AX40:BA40)</f>
        <v>1022</v>
      </c>
      <c r="BC40" s="138">
        <f>+BC34+BC39</f>
        <v>234</v>
      </c>
      <c r="BD40" s="138">
        <f>+BD34+BD39</f>
        <v>315</v>
      </c>
      <c r="BE40" s="138">
        <f>+BE34+BE39</f>
        <v>283</v>
      </c>
      <c r="BF40" s="138">
        <f>+BF34+BF39</f>
        <v>247</v>
      </c>
      <c r="BG40" s="137">
        <f>+SUM(BC40:BF40)</f>
        <v>1079</v>
      </c>
      <c r="BH40" s="138">
        <f>+BH34+BH39</f>
        <v>240</v>
      </c>
      <c r="BI40" s="138">
        <f>+BI34+BI39</f>
        <v>316</v>
      </c>
      <c r="BJ40" s="138">
        <f>+BJ34+BJ39</f>
        <v>291</v>
      </c>
      <c r="BK40" s="138">
        <f>+BK34+BK39</f>
        <v>257</v>
      </c>
      <c r="BL40" s="137">
        <f>+SUM(BH40:BK40)</f>
        <v>1104</v>
      </c>
      <c r="BM40" s="404">
        <f>+BM34+BM39</f>
        <v>228</v>
      </c>
      <c r="BN40" s="138">
        <f>+BN34+BN39</f>
        <v>304</v>
      </c>
      <c r="BO40" s="138">
        <f>+BO34+BO39</f>
        <v>287</v>
      </c>
      <c r="BP40" s="138">
        <f>+BP34+BP39</f>
        <v>230</v>
      </c>
      <c r="BQ40" s="137">
        <f>+SUM(BM40:BP40)</f>
        <v>1049</v>
      </c>
      <c r="BR40" s="138">
        <f>+BR34+BR39</f>
        <v>259</v>
      </c>
      <c r="BS40" s="138">
        <f>+BS34+BS39</f>
        <v>361</v>
      </c>
      <c r="BT40" s="138">
        <f>+BT34+BT39</f>
        <v>311.15592200120926</v>
      </c>
      <c r="BU40" s="138">
        <f>+BU34+BU39</f>
        <v>241.66883131052151</v>
      </c>
      <c r="BV40" s="137">
        <f>+SUM(BR40:BU40)</f>
        <v>1172.8247533117308</v>
      </c>
      <c r="BW40" s="138">
        <f>+BW34+BW39</f>
        <v>284.3412443318914</v>
      </c>
      <c r="BX40" s="138">
        <f>+BX34+BX39</f>
        <v>382.73784141344265</v>
      </c>
      <c r="BY40" s="138">
        <f>+BY34+BY39</f>
        <v>338.90252481159706</v>
      </c>
      <c r="BZ40" s="138">
        <f>+BZ34+BZ39</f>
        <v>264.09728169209035</v>
      </c>
      <c r="CA40" s="137">
        <f>+SUM(BW40:BZ40)</f>
        <v>1270.0788922490215</v>
      </c>
      <c r="CB40" s="138">
        <f>+CB34+CB39</f>
        <v>300.59534696883958</v>
      </c>
      <c r="CC40" s="138">
        <f>+CC34+CC39</f>
        <v>404.09251234947737</v>
      </c>
      <c r="CD40" s="138">
        <f>+CD34+CD39</f>
        <v>358.55660292290816</v>
      </c>
      <c r="CE40" s="138">
        <f>+CE34+CE39</f>
        <v>279.43557949323576</v>
      </c>
      <c r="CF40" s="137">
        <f>+SUM(CB40:CE40)</f>
        <v>1342.6800417344607</v>
      </c>
      <c r="CG40" s="138">
        <f>+CG34+CG39</f>
        <v>317.80400675865275</v>
      </c>
      <c r="CH40" s="138">
        <f>+CH34+CH39</f>
        <v>426.68830577558197</v>
      </c>
      <c r="CI40" s="138">
        <f>+CI34+CI39</f>
        <v>379.36633253332155</v>
      </c>
      <c r="CJ40" s="138">
        <f>+CJ34+CJ39</f>
        <v>295.68496387026522</v>
      </c>
      <c r="CK40" s="137">
        <f>+SUM(CG40:CJ40)</f>
        <v>1419.5436089378215</v>
      </c>
      <c r="CL40" s="138">
        <f>+CL34+CL39</f>
        <v>335.12837642761377</v>
      </c>
      <c r="CM40" s="138">
        <f>+CM34+CM39</f>
        <v>449.50359692083418</v>
      </c>
      <c r="CN40" s="138">
        <f>+CN34+CN39</f>
        <v>400.30857375818846</v>
      </c>
      <c r="CO40" s="138">
        <f>+CO34+CO39</f>
        <v>311.98991611555459</v>
      </c>
      <c r="CP40" s="137">
        <f>+SUM(CL40:CO40)</f>
        <v>1496.9304632221911</v>
      </c>
    </row>
    <row r="41" spans="1:109" s="129" customFormat="1" hidden="1" outlineLevel="1" x14ac:dyDescent="0.25">
      <c r="A41" s="129" t="s">
        <v>19</v>
      </c>
      <c r="C41" s="70">
        <f t="shared" ref="C41:AH41" si="92">+C40/C4</f>
        <v>0.21409272668323789</v>
      </c>
      <c r="D41" s="70">
        <f t="shared" si="92"/>
        <v>0.21481409382908315</v>
      </c>
      <c r="E41" s="73">
        <f t="shared" si="92"/>
        <v>0.2241845003116559</v>
      </c>
      <c r="F41" s="73">
        <f t="shared" si="92"/>
        <v>0.24649234693877548</v>
      </c>
      <c r="G41" s="73">
        <f t="shared" si="92"/>
        <v>0.2127554383651945</v>
      </c>
      <c r="H41" s="88">
        <f t="shared" si="92"/>
        <v>0.19339069221744232</v>
      </c>
      <c r="I41" s="70">
        <f t="shared" si="92"/>
        <v>0.22028113351596534</v>
      </c>
      <c r="J41" s="73">
        <f t="shared" si="92"/>
        <v>0.24280442804428043</v>
      </c>
      <c r="K41" s="73">
        <f t="shared" si="92"/>
        <v>0.26022813688212915</v>
      </c>
      <c r="L41" s="73">
        <f t="shared" si="92"/>
        <v>0.23597833014659017</v>
      </c>
      <c r="M41" s="88">
        <f t="shared" si="92"/>
        <v>0.19466757819176206</v>
      </c>
      <c r="N41" s="70">
        <f t="shared" si="92"/>
        <v>0.23410164994610727</v>
      </c>
      <c r="O41" s="73">
        <f t="shared" si="92"/>
        <v>0.24076413009156922</v>
      </c>
      <c r="P41" s="73">
        <f t="shared" si="92"/>
        <v>0.25151265126512667</v>
      </c>
      <c r="Q41" s="73">
        <f t="shared" si="92"/>
        <v>0.23834128245892958</v>
      </c>
      <c r="R41" s="88">
        <f t="shared" si="92"/>
        <v>0.1748697162709901</v>
      </c>
      <c r="S41" s="70">
        <f t="shared" si="92"/>
        <v>0.22667664457273187</v>
      </c>
      <c r="T41" s="73">
        <f t="shared" si="92"/>
        <v>0.22378568529292384</v>
      </c>
      <c r="U41" s="73">
        <f t="shared" si="92"/>
        <v>0.25554063129617188</v>
      </c>
      <c r="V41" s="73">
        <f t="shared" si="92"/>
        <v>0.22144973786186459</v>
      </c>
      <c r="W41" s="88">
        <f t="shared" si="92"/>
        <v>0.19293020846821182</v>
      </c>
      <c r="X41" s="70">
        <f t="shared" si="92"/>
        <v>0.22454451282676252</v>
      </c>
      <c r="Y41" s="93">
        <f t="shared" si="92"/>
        <v>0.22265822784810127</v>
      </c>
      <c r="Z41" s="73">
        <f t="shared" si="92"/>
        <v>0.25141756713383967</v>
      </c>
      <c r="AA41" s="73">
        <f t="shared" si="92"/>
        <v>0.21668154572120907</v>
      </c>
      <c r="AB41" s="73">
        <f t="shared" si="92"/>
        <v>0.21718132591833755</v>
      </c>
      <c r="AC41" s="70">
        <f t="shared" si="92"/>
        <v>0.22843895867923936</v>
      </c>
      <c r="AD41" s="73">
        <f t="shared" si="92"/>
        <v>0.27971269819758782</v>
      </c>
      <c r="AE41" s="73">
        <f t="shared" si="92"/>
        <v>0.2685631089707694</v>
      </c>
      <c r="AF41" s="73">
        <f t="shared" si="92"/>
        <v>0.23291168620169428</v>
      </c>
      <c r="AG41" s="73">
        <f t="shared" si="92"/>
        <v>0.18240109140518426</v>
      </c>
      <c r="AH41" s="70">
        <f t="shared" si="92"/>
        <v>0.24200899085413116</v>
      </c>
      <c r="AI41" s="73">
        <f t="shared" ref="AI41:BN41" si="93">+AI40/AI4</f>
        <v>0.25130890052356025</v>
      </c>
      <c r="AJ41" s="73">
        <f t="shared" si="93"/>
        <v>0.27514629568289717</v>
      </c>
      <c r="AK41" s="73">
        <f t="shared" si="93"/>
        <v>0.24906483790523687</v>
      </c>
      <c r="AL41" s="73">
        <f t="shared" si="93"/>
        <v>0.23000126374320737</v>
      </c>
      <c r="AM41" s="70">
        <f t="shared" si="93"/>
        <v>0.25206356666568747</v>
      </c>
      <c r="AN41" s="73">
        <f t="shared" si="93"/>
        <v>0.23670117815066047</v>
      </c>
      <c r="AO41" s="73">
        <f t="shared" si="93"/>
        <v>0.25577492596248763</v>
      </c>
      <c r="AP41" s="73">
        <f t="shared" si="93"/>
        <v>0.2274244004171011</v>
      </c>
      <c r="AQ41" s="103">
        <f t="shared" si="93"/>
        <v>0.20142268813178593</v>
      </c>
      <c r="AR41" s="70">
        <f t="shared" si="93"/>
        <v>0.23176333849900374</v>
      </c>
      <c r="AS41" s="73">
        <f t="shared" si="93"/>
        <v>0.26557339710739097</v>
      </c>
      <c r="AT41" s="73">
        <f t="shared" si="93"/>
        <v>0.27283487867429479</v>
      </c>
      <c r="AU41" s="73">
        <f t="shared" si="93"/>
        <v>0.24082189112863958</v>
      </c>
      <c r="AV41" s="73">
        <f t="shared" si="93"/>
        <v>0.22159353348729793</v>
      </c>
      <c r="AW41" s="70">
        <f t="shared" si="93"/>
        <v>0.25073980131050522</v>
      </c>
      <c r="AX41" s="73">
        <f t="shared" si="93"/>
        <v>0.25558035714285715</v>
      </c>
      <c r="AY41" s="73">
        <f t="shared" si="93"/>
        <v>0.29935125115848005</v>
      </c>
      <c r="AZ41" s="73">
        <f t="shared" si="93"/>
        <v>0.24768089053803338</v>
      </c>
      <c r="BA41" s="73">
        <f t="shared" si="93"/>
        <v>0.22732362821948487</v>
      </c>
      <c r="BB41" s="70">
        <f t="shared" si="93"/>
        <v>0.25899645210339584</v>
      </c>
      <c r="BC41" s="73">
        <f t="shared" si="93"/>
        <v>0.25407166123778502</v>
      </c>
      <c r="BD41" s="73">
        <f t="shared" si="93"/>
        <v>0.27753303964757708</v>
      </c>
      <c r="BE41" s="73">
        <f t="shared" si="93"/>
        <v>0.25892040256175664</v>
      </c>
      <c r="BF41" s="73">
        <f t="shared" si="93"/>
        <v>0.26082365364308341</v>
      </c>
      <c r="BG41" s="70">
        <f>+BG40/BG4</f>
        <v>0.263427734375</v>
      </c>
      <c r="BH41" s="73">
        <f>+BH40/BH4</f>
        <v>0.26666666666666666</v>
      </c>
      <c r="BI41" s="73">
        <f t="shared" si="93"/>
        <v>0.28832116788321166</v>
      </c>
      <c r="BJ41" s="73">
        <f t="shared" si="93"/>
        <v>0.26869806094182824</v>
      </c>
      <c r="BK41" s="73">
        <f t="shared" si="93"/>
        <v>0.27545551982851019</v>
      </c>
      <c r="BL41" s="70">
        <f>+BL40/BL4</f>
        <v>0.27517447657028915</v>
      </c>
      <c r="BM41" s="395">
        <f t="shared" si="93"/>
        <v>0.26635514018691586</v>
      </c>
      <c r="BN41" s="73">
        <f t="shared" si="93"/>
        <v>0.28815165876777249</v>
      </c>
      <c r="BO41" s="73">
        <f t="shared" ref="BO41:CA41" si="94">+BO40/BO4</f>
        <v>0.27101038715769593</v>
      </c>
      <c r="BP41" s="73">
        <f t="shared" si="94"/>
        <v>0.2593010146561443</v>
      </c>
      <c r="BQ41" s="70">
        <f t="shared" si="94"/>
        <v>0.27197303603837181</v>
      </c>
      <c r="BR41" s="73">
        <f t="shared" si="94"/>
        <v>0.27879440258342303</v>
      </c>
      <c r="BS41" s="73">
        <f t="shared" si="94"/>
        <v>0.30960548885077188</v>
      </c>
      <c r="BT41" s="73">
        <f t="shared" si="94"/>
        <v>0.26664856398316855</v>
      </c>
      <c r="BU41" s="73">
        <f t="shared" si="94"/>
        <v>0.25452548366029215</v>
      </c>
      <c r="BV41" s="70">
        <f t="shared" si="94"/>
        <v>0.27848798131381591</v>
      </c>
      <c r="BW41" s="73">
        <f t="shared" si="94"/>
        <v>0.28665152921595133</v>
      </c>
      <c r="BX41" s="73">
        <f t="shared" si="94"/>
        <v>0.31794719396499549</v>
      </c>
      <c r="BY41" s="73">
        <f t="shared" si="94"/>
        <v>0.27472806628126994</v>
      </c>
      <c r="BZ41" s="73">
        <f t="shared" si="94"/>
        <v>0.26335838646311738</v>
      </c>
      <c r="CA41" s="70">
        <f t="shared" si="94"/>
        <v>0.28656259684189517</v>
      </c>
      <c r="CB41" s="73">
        <f t="shared" ref="CB41:CK41" si="95">+CB40/CB4</f>
        <v>0.28860733060804633</v>
      </c>
      <c r="CC41" s="73">
        <f t="shared" si="95"/>
        <v>0.31970181178076018</v>
      </c>
      <c r="CD41" s="73">
        <f t="shared" si="95"/>
        <v>0.27681948126432371</v>
      </c>
      <c r="CE41" s="73">
        <f t="shared" si="95"/>
        <v>0.26538454338173961</v>
      </c>
      <c r="CF41" s="70">
        <f t="shared" si="95"/>
        <v>0.28851742002973813</v>
      </c>
      <c r="CG41" s="73">
        <f t="shared" si="95"/>
        <v>0.29059970796542622</v>
      </c>
      <c r="CH41" s="73">
        <f t="shared" si="95"/>
        <v>0.32150352245067898</v>
      </c>
      <c r="CI41" s="73">
        <f t="shared" si="95"/>
        <v>0.27893846904889502</v>
      </c>
      <c r="CJ41" s="73">
        <f t="shared" si="95"/>
        <v>0.26744461874204206</v>
      </c>
      <c r="CK41" s="70">
        <f t="shared" si="95"/>
        <v>0.29050856846365158</v>
      </c>
      <c r="CL41" s="73">
        <f>+CL40/CL4</f>
        <v>0.2918486633860074</v>
      </c>
      <c r="CM41" s="73">
        <f>+CM40/CM4</f>
        <v>0.32256620695702987</v>
      </c>
      <c r="CN41" s="73">
        <f>+CN40/CN4</f>
        <v>0.28032073269731533</v>
      </c>
      <c r="CO41" s="73">
        <f>+CO40/CO4</f>
        <v>0.26875458475330372</v>
      </c>
      <c r="CP41" s="70">
        <f>+CP40/CP4</f>
        <v>0.29175783998277838</v>
      </c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</row>
    <row r="42" spans="1:109" ht="6" customHeight="1" collapsed="1" x14ac:dyDescent="0.25">
      <c r="C42" s="137"/>
      <c r="D42" s="137"/>
      <c r="E42" s="118"/>
      <c r="F42" s="118"/>
      <c r="G42" s="118"/>
      <c r="H42" s="56"/>
      <c r="I42" s="98"/>
      <c r="J42" s="118"/>
      <c r="K42" s="118"/>
      <c r="L42" s="118"/>
      <c r="M42" s="56"/>
      <c r="N42" s="98"/>
      <c r="O42" s="118"/>
      <c r="P42" s="118"/>
      <c r="Q42" s="118"/>
      <c r="R42" s="56"/>
      <c r="S42" s="98"/>
      <c r="T42" s="118"/>
      <c r="U42" s="118"/>
      <c r="V42" s="118"/>
      <c r="W42" s="56"/>
      <c r="X42" s="98"/>
      <c r="Y42" s="118"/>
      <c r="Z42" s="118"/>
      <c r="AA42" s="118"/>
      <c r="AB42" s="118"/>
      <c r="AC42" s="98"/>
      <c r="AD42" s="118"/>
      <c r="AE42" s="118"/>
      <c r="AF42" s="118"/>
      <c r="AG42" s="95"/>
      <c r="AH42" s="98"/>
      <c r="AI42" s="118"/>
      <c r="AJ42" s="118"/>
      <c r="AK42" s="118"/>
      <c r="AL42" s="118"/>
      <c r="AM42" s="98"/>
      <c r="AN42" s="118"/>
      <c r="AO42" s="118"/>
      <c r="AP42" s="118"/>
      <c r="AQ42" s="239"/>
      <c r="AR42" s="98"/>
      <c r="AS42" s="118"/>
      <c r="AT42" s="118"/>
      <c r="AU42" s="118"/>
      <c r="AV42" s="118"/>
      <c r="AW42" s="98"/>
      <c r="AX42" s="118"/>
      <c r="AY42" s="118"/>
      <c r="AZ42" s="118"/>
      <c r="BA42" s="118"/>
      <c r="BB42" s="98"/>
      <c r="BC42" s="118"/>
      <c r="BD42" s="118"/>
      <c r="BE42" s="118"/>
      <c r="BF42" s="118"/>
      <c r="BG42" s="98"/>
      <c r="BH42" s="118"/>
      <c r="BI42" s="118"/>
      <c r="BJ42" s="118"/>
      <c r="BK42" s="118"/>
      <c r="BL42" s="98"/>
      <c r="BM42" s="405"/>
      <c r="BN42" s="118"/>
      <c r="BO42" s="118"/>
      <c r="BP42" s="118"/>
      <c r="BQ42" s="98"/>
      <c r="BR42" s="118"/>
      <c r="BS42" s="118"/>
      <c r="BT42" s="118"/>
      <c r="BU42" s="118"/>
      <c r="BV42" s="98"/>
      <c r="BW42" s="118"/>
      <c r="BX42" s="118"/>
      <c r="BY42" s="118"/>
      <c r="BZ42" s="118"/>
      <c r="CA42" s="98"/>
      <c r="CB42" s="118"/>
      <c r="CC42" s="118"/>
      <c r="CD42" s="118"/>
      <c r="CE42" s="118"/>
      <c r="CF42" s="98"/>
      <c r="CG42" s="118"/>
      <c r="CH42" s="118"/>
      <c r="CI42" s="118"/>
      <c r="CJ42" s="118"/>
      <c r="CK42" s="98"/>
      <c r="CL42" s="118"/>
      <c r="CM42" s="118"/>
      <c r="CN42" s="118"/>
      <c r="CO42" s="118"/>
      <c r="CP42" s="98"/>
    </row>
    <row r="43" spans="1:109" x14ac:dyDescent="0.25">
      <c r="A43" s="52" t="s">
        <v>20</v>
      </c>
      <c r="C43" s="122">
        <v>0</v>
      </c>
      <c r="D43" s="122">
        <v>0</v>
      </c>
      <c r="E43" s="96">
        <v>0.3</v>
      </c>
      <c r="F43" s="96">
        <v>0.4</v>
      </c>
      <c r="G43" s="96">
        <v>3</v>
      </c>
      <c r="H43" s="139">
        <f>-2.3-H44</f>
        <v>2.8</v>
      </c>
      <c r="I43" s="141">
        <f>E43+F43+G43+H43</f>
        <v>6.5</v>
      </c>
      <c r="J43" s="96">
        <v>1.9</v>
      </c>
      <c r="K43" s="96">
        <v>3.2</v>
      </c>
      <c r="L43" s="96">
        <v>4.5999999999999996</v>
      </c>
      <c r="M43" s="139">
        <f>0.3-M44</f>
        <v>4.5999999999999996</v>
      </c>
      <c r="N43" s="141">
        <f>J43+K43+L43+M43</f>
        <v>14.299999999999999</v>
      </c>
      <c r="O43" s="96">
        <v>4.8</v>
      </c>
      <c r="P43" s="96">
        <v>3.8</v>
      </c>
      <c r="Q43" s="96">
        <v>5.6</v>
      </c>
      <c r="R43" s="139">
        <f>18-O43-P43-Q43</f>
        <v>3.7999999999999989</v>
      </c>
      <c r="S43" s="141">
        <f>O43+P43+Q43+R43</f>
        <v>18</v>
      </c>
      <c r="T43" s="96">
        <v>2</v>
      </c>
      <c r="U43" s="96">
        <v>2.2000000000000002</v>
      </c>
      <c r="V43" s="96">
        <v>1.9</v>
      </c>
      <c r="W43" s="139">
        <f>8-V43-U43-T43</f>
        <v>1.8999999999999995</v>
      </c>
      <c r="X43" s="141">
        <f>T43+U43+V43+W43</f>
        <v>7.9999999999999991</v>
      </c>
      <c r="Y43" s="96">
        <v>1.7</v>
      </c>
      <c r="Z43" s="97">
        <v>1.7</v>
      </c>
      <c r="AA43" s="96">
        <v>1.3</v>
      </c>
      <c r="AB43" s="27">
        <f ca="1">AB217</f>
        <v>0</v>
      </c>
      <c r="AC43" s="141">
        <f ca="1">Y43+Z43+AA43+AB43</f>
        <v>4.7</v>
      </c>
      <c r="AD43" s="96">
        <v>1</v>
      </c>
      <c r="AE43" s="96">
        <v>0.4</v>
      </c>
      <c r="AF43" s="27">
        <v>0.5</v>
      </c>
      <c r="AG43" s="27">
        <f ca="1">AG217</f>
        <v>0</v>
      </c>
      <c r="AH43" s="141">
        <f ca="1">AD43+AE43+AF43+AG43</f>
        <v>1.9</v>
      </c>
      <c r="AI43" s="96">
        <v>0.5</v>
      </c>
      <c r="AJ43" s="96">
        <v>0.6</v>
      </c>
      <c r="AK43" s="96">
        <v>0.6</v>
      </c>
      <c r="AL43" s="96">
        <f>3-AK43-AJ43-AI43</f>
        <v>1.2999999999999998</v>
      </c>
      <c r="AM43" s="141">
        <f>AI43+AJ43+AK43+AL43</f>
        <v>3</v>
      </c>
      <c r="AN43" s="96">
        <v>1.8</v>
      </c>
      <c r="AO43" s="96">
        <v>0.7</v>
      </c>
      <c r="AP43" s="96">
        <v>0.6</v>
      </c>
      <c r="AQ43" s="97">
        <f>3-AP43-AO43-AN43</f>
        <v>-0.10000000000000009</v>
      </c>
      <c r="AR43" s="141">
        <f>AN43+AO43+AP43+AQ43</f>
        <v>3</v>
      </c>
      <c r="AS43" s="27">
        <v>0.6</v>
      </c>
      <c r="AT43" s="27">
        <v>0.7</v>
      </c>
      <c r="AU43" s="96">
        <v>0.7</v>
      </c>
      <c r="AV43" s="96">
        <v>1</v>
      </c>
      <c r="AW43" s="141">
        <f>AS43+AT43+AU43+AV43</f>
        <v>3</v>
      </c>
      <c r="AX43" s="96">
        <v>0.5</v>
      </c>
      <c r="AY43" s="96">
        <v>0.51759151484353694</v>
      </c>
      <c r="AZ43" s="96">
        <v>0.54200294417811501</v>
      </c>
      <c r="BA43" s="96">
        <v>0.54200294417811501</v>
      </c>
      <c r="BB43" s="141">
        <f>AX43+AY43+AZ43+BA43</f>
        <v>2.1015974031997668</v>
      </c>
      <c r="BC43" s="96">
        <v>0.54200294417811501</v>
      </c>
      <c r="BD43" s="96">
        <v>0</v>
      </c>
      <c r="BE43" s="96">
        <v>0</v>
      </c>
      <c r="BF43" s="96">
        <v>0</v>
      </c>
      <c r="BG43" s="141">
        <f>BC43+BD43+BE43+BF43</f>
        <v>0.54200294417811501</v>
      </c>
      <c r="BH43" s="96">
        <v>0</v>
      </c>
      <c r="BI43" s="96">
        <v>0</v>
      </c>
      <c r="BJ43" s="96">
        <v>0</v>
      </c>
      <c r="BK43" s="96">
        <v>0</v>
      </c>
      <c r="BL43" s="141">
        <f>BH43+BI43+BJ43+BK43</f>
        <v>0</v>
      </c>
      <c r="BM43" s="401">
        <v>0</v>
      </c>
      <c r="BN43" s="96">
        <v>0</v>
      </c>
      <c r="BO43" s="96">
        <v>0</v>
      </c>
      <c r="BP43" s="96">
        <v>0</v>
      </c>
      <c r="BQ43" s="141">
        <f>BM43+BN43+BO43+BP43</f>
        <v>0</v>
      </c>
      <c r="BR43" s="401">
        <v>0</v>
      </c>
      <c r="BS43" s="401">
        <v>0</v>
      </c>
      <c r="BT43" s="96">
        <f ca="1">BT217</f>
        <v>0</v>
      </c>
      <c r="BU43" s="96">
        <f ca="1">BU217</f>
        <v>0</v>
      </c>
      <c r="BV43" s="141">
        <f ca="1">BR43+BS43+BT43+BU43</f>
        <v>0</v>
      </c>
      <c r="BW43" s="96">
        <f ca="1">BW217</f>
        <v>0</v>
      </c>
      <c r="BX43" s="96">
        <f ca="1">BX217</f>
        <v>0</v>
      </c>
      <c r="BY43" s="96">
        <f ca="1">BY217</f>
        <v>0</v>
      </c>
      <c r="BZ43" s="96">
        <f ca="1">BZ217</f>
        <v>0</v>
      </c>
      <c r="CA43" s="141">
        <f ca="1">BW43+BX43+BY43+BZ43</f>
        <v>0</v>
      </c>
      <c r="CB43" s="96">
        <f ca="1">CB217</f>
        <v>0</v>
      </c>
      <c r="CC43" s="96">
        <f ca="1">CC217</f>
        <v>0</v>
      </c>
      <c r="CD43" s="96">
        <f ca="1">CD217</f>
        <v>0</v>
      </c>
      <c r="CE43" s="96">
        <f ca="1">CD43</f>
        <v>0</v>
      </c>
      <c r="CF43" s="141">
        <f ca="1">CB43+CC43+CD43+CE43</f>
        <v>0</v>
      </c>
      <c r="CG43" s="96">
        <f ca="1">CE43</f>
        <v>0</v>
      </c>
      <c r="CH43" s="96">
        <f t="shared" ref="CH43:CJ44" ca="1" si="96">CG43</f>
        <v>0</v>
      </c>
      <c r="CI43" s="96">
        <f t="shared" ca="1" si="96"/>
        <v>0</v>
      </c>
      <c r="CJ43" s="96">
        <f t="shared" ca="1" si="96"/>
        <v>0</v>
      </c>
      <c r="CK43" s="141">
        <f ca="1">CG43+CH43+CI43+CJ43</f>
        <v>0</v>
      </c>
      <c r="CL43" s="96">
        <f ca="1">CJ43</f>
        <v>0</v>
      </c>
      <c r="CM43" s="96">
        <f t="shared" ref="CM43:CO44" ca="1" si="97">CL43</f>
        <v>0</v>
      </c>
      <c r="CN43" s="96">
        <f t="shared" ca="1" si="97"/>
        <v>0</v>
      </c>
      <c r="CO43" s="96">
        <f t="shared" ca="1" si="97"/>
        <v>0</v>
      </c>
      <c r="CP43" s="141">
        <f ca="1">CL43+CM43+CN43+CO43</f>
        <v>0</v>
      </c>
    </row>
    <row r="44" spans="1:109" s="142" customFormat="1" x14ac:dyDescent="0.25">
      <c r="A44" s="142" t="s">
        <v>21</v>
      </c>
      <c r="C44" s="141">
        <f>2-7.8</f>
        <v>-5.8</v>
      </c>
      <c r="D44" s="141">
        <f>1.8-21.6</f>
        <v>-19.8</v>
      </c>
      <c r="E44" s="143">
        <v>-5.2</v>
      </c>
      <c r="F44" s="143">
        <v>-5.0999999999999996</v>
      </c>
      <c r="G44" s="143">
        <v>-5</v>
      </c>
      <c r="H44" s="143">
        <f>G44-0.1</f>
        <v>-5.0999999999999996</v>
      </c>
      <c r="I44" s="141">
        <f>E44+F44+G44+H44</f>
        <v>-20.399999999999999</v>
      </c>
      <c r="J44" s="143">
        <v>-4.5</v>
      </c>
      <c r="K44" s="143">
        <v>-4.5</v>
      </c>
      <c r="L44" s="143">
        <v>-4.3</v>
      </c>
      <c r="M44" s="143">
        <f>L44</f>
        <v>-4.3</v>
      </c>
      <c r="N44" s="141">
        <f>J44+K44+L44+M44</f>
        <v>-17.600000000000001</v>
      </c>
      <c r="O44" s="143">
        <v>-5.9</v>
      </c>
      <c r="P44" s="143">
        <v>-5.7</v>
      </c>
      <c r="Q44" s="143">
        <v>-8.1</v>
      </c>
      <c r="R44" s="143">
        <f>-10.9-R43</f>
        <v>-14.7</v>
      </c>
      <c r="S44" s="141">
        <f>O44+P44+Q44+R44</f>
        <v>-34.400000000000006</v>
      </c>
      <c r="T44" s="143">
        <v>-13.1</v>
      </c>
      <c r="U44" s="143">
        <v>-14.4</v>
      </c>
      <c r="V44" s="143">
        <v>-11</v>
      </c>
      <c r="W44" s="143">
        <f>-49-V44-U44-T44</f>
        <v>-10.500000000000002</v>
      </c>
      <c r="X44" s="141">
        <f>T44+U44+V44+W44</f>
        <v>-49</v>
      </c>
      <c r="Y44" s="143">
        <v>-9.1999999999999993</v>
      </c>
      <c r="Z44" s="128">
        <v>-9.6</v>
      </c>
      <c r="AA44" s="143">
        <f>-8.1-AA43</f>
        <v>-9.4</v>
      </c>
      <c r="AB44" s="28">
        <f ca="1">-7.5-AB43</f>
        <v>-7.5</v>
      </c>
      <c r="AC44" s="141">
        <f ca="1">Y44+Z44+AA44+AB44</f>
        <v>-35.699999999999996</v>
      </c>
      <c r="AD44" s="143">
        <v>-8.1</v>
      </c>
      <c r="AE44" s="143">
        <v>-7.8</v>
      </c>
      <c r="AF44" s="28">
        <v>-7.6</v>
      </c>
      <c r="AG44" s="128">
        <f ca="1">-6.3-AG43</f>
        <v>-6.3</v>
      </c>
      <c r="AH44" s="141">
        <f ca="1">AD44+AE44+AF44+AG44</f>
        <v>-29.8</v>
      </c>
      <c r="AI44" s="143">
        <v>-6.7</v>
      </c>
      <c r="AJ44" s="143">
        <v>-6.7</v>
      </c>
      <c r="AK44" s="143">
        <v>-7.5</v>
      </c>
      <c r="AL44" s="143">
        <f>-29-AK44-AJ44-AI44</f>
        <v>-8.1000000000000014</v>
      </c>
      <c r="AM44" s="141">
        <f>AI44+AJ44+AK44+AL44</f>
        <v>-29</v>
      </c>
      <c r="AN44" s="143">
        <f>-7.1-AN43</f>
        <v>-8.9</v>
      </c>
      <c r="AO44" s="143">
        <v>-7.8</v>
      </c>
      <c r="AP44" s="143">
        <f>-7.3-AP43</f>
        <v>-7.8999999999999995</v>
      </c>
      <c r="AQ44" s="128">
        <f>-31-AP44-AO44-AN44</f>
        <v>-6.4</v>
      </c>
      <c r="AR44" s="141">
        <f>AN44+AO44+AP44+AQ44</f>
        <v>-31</v>
      </c>
      <c r="AS44" s="28">
        <v>-5.2</v>
      </c>
      <c r="AT44" s="28">
        <v>-5.5</v>
      </c>
      <c r="AU44" s="143">
        <f>-7.6-AU43</f>
        <v>-8.2999999999999989</v>
      </c>
      <c r="AV44" s="143">
        <f>-16-AV43</f>
        <v>-17</v>
      </c>
      <c r="AW44" s="141">
        <f>AS44+AT44+AU44+AV44</f>
        <v>-36</v>
      </c>
      <c r="AX44" s="143">
        <f>-6-AX43</f>
        <v>-6.5</v>
      </c>
      <c r="AY44" s="143">
        <f>-6-AY43</f>
        <v>-6.517591514843537</v>
      </c>
      <c r="AZ44" s="143">
        <f>-6-AZ43</f>
        <v>-6.5420029441781153</v>
      </c>
      <c r="BA44" s="143">
        <v>-7</v>
      </c>
      <c r="BB44" s="141">
        <f>AX44+AY44+AZ44+BA44</f>
        <v>-26.559594459021653</v>
      </c>
      <c r="BC44" s="143">
        <v>-7</v>
      </c>
      <c r="BD44" s="143">
        <v>-7</v>
      </c>
      <c r="BE44" s="143">
        <v>-6</v>
      </c>
      <c r="BF44" s="143">
        <v>-6</v>
      </c>
      <c r="BG44" s="141">
        <f>BC44+BD44+BE44+BF44</f>
        <v>-26</v>
      </c>
      <c r="BH44" s="143">
        <v>-9</v>
      </c>
      <c r="BI44" s="143">
        <v>-12</v>
      </c>
      <c r="BJ44" s="143">
        <v>-12</v>
      </c>
      <c r="BK44" s="143">
        <v>-11</v>
      </c>
      <c r="BL44" s="141">
        <f>BH44+BI44+BJ44+BK44</f>
        <v>-44</v>
      </c>
      <c r="BM44" s="406">
        <v>-11</v>
      </c>
      <c r="BN44" s="406">
        <v>-15</v>
      </c>
      <c r="BO44" s="406">
        <v>-15</v>
      </c>
      <c r="BP44" s="406">
        <v>-15</v>
      </c>
      <c r="BQ44" s="141">
        <f>BM44+BN44+BO44+BP44</f>
        <v>-56</v>
      </c>
      <c r="BR44" s="406">
        <v>-15</v>
      </c>
      <c r="BS44" s="406">
        <v>-15</v>
      </c>
      <c r="BT44" s="143">
        <f ca="1">BT214</f>
        <v>-15.139410795846265</v>
      </c>
      <c r="BU44" s="128">
        <f ca="1">BU214</f>
        <v>-15.154960360794355</v>
      </c>
      <c r="BV44" s="141">
        <f ca="1">BR44+BS44+BT44+BU44</f>
        <v>-60.294371156640622</v>
      </c>
      <c r="BW44" s="143">
        <f ca="1">BW214</f>
        <v>-15.516222085413638</v>
      </c>
      <c r="BX44" s="143">
        <f ca="1">BX214</f>
        <v>-16.262977996470703</v>
      </c>
      <c r="BY44" s="143">
        <f ca="1">BY214</f>
        <v>-16.574680315783365</v>
      </c>
      <c r="BZ44" s="143">
        <f ca="1">BZ214</f>
        <v>-16.342452543984621</v>
      </c>
      <c r="CA44" s="141">
        <f ca="1">BW44+BX44+BY44+BZ44</f>
        <v>-64.696332941652329</v>
      </c>
      <c r="CB44" s="143">
        <f ca="1">CB214</f>
        <v>-16.52281482962454</v>
      </c>
      <c r="CC44" s="143">
        <f ca="1">CC214</f>
        <v>-17.231289167817156</v>
      </c>
      <c r="CD44" s="143">
        <f ca="1">CD214</f>
        <v>-17.506588759357172</v>
      </c>
      <c r="CE44" s="143">
        <f ca="1">CD44</f>
        <v>-17.506588759357172</v>
      </c>
      <c r="CF44" s="141">
        <f ca="1">CB44+CC44+CD44+CE44</f>
        <v>-68.767281516156032</v>
      </c>
      <c r="CG44" s="143">
        <f ca="1">CE44</f>
        <v>-17.506588759357172</v>
      </c>
      <c r="CH44" s="143">
        <f t="shared" ca="1" si="96"/>
        <v>-17.506588759357172</v>
      </c>
      <c r="CI44" s="143">
        <f t="shared" ca="1" si="96"/>
        <v>-17.506588759357172</v>
      </c>
      <c r="CJ44" s="143">
        <f t="shared" ca="1" si="96"/>
        <v>-17.506588759357172</v>
      </c>
      <c r="CK44" s="141">
        <f ca="1">CG44+CH44+CI44+CJ44</f>
        <v>-70.026355037428687</v>
      </c>
      <c r="CL44" s="143">
        <f ca="1">CJ44</f>
        <v>-17.506588759357172</v>
      </c>
      <c r="CM44" s="143">
        <f t="shared" ca="1" si="97"/>
        <v>-17.506588759357172</v>
      </c>
      <c r="CN44" s="143">
        <f t="shared" ca="1" si="97"/>
        <v>-17.506588759357172</v>
      </c>
      <c r="CO44" s="143">
        <f t="shared" ca="1" si="97"/>
        <v>-17.506588759357172</v>
      </c>
      <c r="CP44" s="141">
        <f ca="1">CL44+CM44+CN44+CO44</f>
        <v>-70.026355037428687</v>
      </c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</row>
    <row r="45" spans="1:109" s="38" customFormat="1" x14ac:dyDescent="0.25">
      <c r="B45" s="38" t="s">
        <v>22</v>
      </c>
      <c r="C45" s="144">
        <f>+C34+C43+C44</f>
        <v>335.40000000000003</v>
      </c>
      <c r="D45" s="144">
        <f t="shared" ref="D45:M45" si="98">+D34+D43+D44</f>
        <v>365.60000000000008</v>
      </c>
      <c r="E45" s="145">
        <f t="shared" si="98"/>
        <v>92.299999999999983</v>
      </c>
      <c r="F45" s="145">
        <f t="shared" si="98"/>
        <v>139.20000000000002</v>
      </c>
      <c r="G45" s="145">
        <f t="shared" si="98"/>
        <v>115.40000000000003</v>
      </c>
      <c r="H45" s="146">
        <f t="shared" si="98"/>
        <v>85.3</v>
      </c>
      <c r="I45" s="144">
        <f t="shared" si="98"/>
        <v>432.20000000000005</v>
      </c>
      <c r="J45" s="145">
        <f t="shared" si="98"/>
        <v>118.80000000000001</v>
      </c>
      <c r="K45" s="145">
        <f t="shared" si="98"/>
        <v>158.89999999999989</v>
      </c>
      <c r="L45" s="145">
        <f>+L34+L43+L44</f>
        <v>137.79999999999998</v>
      </c>
      <c r="M45" s="146">
        <f t="shared" si="98"/>
        <v>102.99999999999999</v>
      </c>
      <c r="N45" s="144">
        <f>+SUM(J45:M45)</f>
        <v>518.49999999999989</v>
      </c>
      <c r="O45" s="145">
        <f>+O34+O43+O44</f>
        <v>141.19999999999996</v>
      </c>
      <c r="P45" s="145">
        <f>+P34+P43+P44</f>
        <v>170.50000000000017</v>
      </c>
      <c r="Q45" s="145">
        <f>+Q34+Q43+Q44</f>
        <v>166.30000000000004</v>
      </c>
      <c r="R45" s="146">
        <f>+R34+R43+R44</f>
        <v>97.69999999999996</v>
      </c>
      <c r="S45" s="144">
        <f>+SUM(O45:R45)</f>
        <v>575.70000000000016</v>
      </c>
      <c r="T45" s="145">
        <f>+T34+T43+T44</f>
        <v>144.30000000000001</v>
      </c>
      <c r="U45" s="145">
        <f>+U34+U43+U44</f>
        <v>200.39999999999995</v>
      </c>
      <c r="V45" s="145">
        <f>+V34+V43+V44</f>
        <v>172.5</v>
      </c>
      <c r="W45" s="146">
        <f>+W34+W43+W44</f>
        <v>126.79999999999998</v>
      </c>
      <c r="X45" s="144">
        <f>+SUM(T45:W45)</f>
        <v>643.99999999999989</v>
      </c>
      <c r="Y45" s="145">
        <f>+Y34+Y43+Y44</f>
        <v>155.1</v>
      </c>
      <c r="Z45" s="145">
        <f>+Z34+Z43+Z44</f>
        <v>213.79999999999995</v>
      </c>
      <c r="AA45" s="145">
        <f>+AA34+AA43+AA44</f>
        <v>148.30000000000004</v>
      </c>
      <c r="AB45" s="145">
        <f ca="1">+AB34+AB43+AB44</f>
        <v>126.00000000000003</v>
      </c>
      <c r="AC45" s="144">
        <f ca="1">+SUM(Y45:AB45)</f>
        <v>643.20000000000005</v>
      </c>
      <c r="AD45" s="145">
        <f>+AD34+AD43+AD44</f>
        <v>184.90000000000003</v>
      </c>
      <c r="AE45" s="145">
        <f>+AE34+AE43+AE44</f>
        <v>218.2</v>
      </c>
      <c r="AF45" s="145">
        <f>+AF34+AF43+AF44</f>
        <v>178.39999999999998</v>
      </c>
      <c r="AG45" s="147">
        <f ca="1">+AG34+AG43+AG44</f>
        <v>112.20000000000006</v>
      </c>
      <c r="AH45" s="144">
        <f ca="1">+SUM(AD45:AG45)</f>
        <v>693.7</v>
      </c>
      <c r="AI45" s="145">
        <f>+AI34+AI43+AI44</f>
        <v>166.50000000000003</v>
      </c>
      <c r="AJ45" s="145">
        <f>+AJ34+AJ43+AJ44</f>
        <v>228.9</v>
      </c>
      <c r="AK45" s="145">
        <f>+AK34+AK43+AK44</f>
        <v>218.59999999999997</v>
      </c>
      <c r="AL45" s="145">
        <f>+AL34+AL43+AL44</f>
        <v>162.1</v>
      </c>
      <c r="AM45" s="144">
        <f>+SUM(AI45:AL45)</f>
        <v>776.1</v>
      </c>
      <c r="AN45" s="145">
        <f>+AN34+AN43+AN44</f>
        <v>178.79999999999998</v>
      </c>
      <c r="AO45" s="145">
        <f>+AO34+AO43+AO44</f>
        <v>239.19999999999993</v>
      </c>
      <c r="AP45" s="145">
        <f>+AP34+AP43+AP44</f>
        <v>198.89999999999995</v>
      </c>
      <c r="AQ45" s="147">
        <f>+AQ34+AQ43+AQ44</f>
        <v>143.60000000000008</v>
      </c>
      <c r="AR45" s="144">
        <f>+SUM(AN45:AQ45)</f>
        <v>760.5</v>
      </c>
      <c r="AS45" s="145">
        <f>+AS34+AS43+AS44</f>
        <v>217.10000000000002</v>
      </c>
      <c r="AT45" s="145">
        <f>+AT34+AT43+AT44</f>
        <v>257.5</v>
      </c>
      <c r="AU45" s="145">
        <f>+AU34+AU43+AU44</f>
        <v>229.39999999999998</v>
      </c>
      <c r="AV45" s="145">
        <f>+AV34+AV43+AV44</f>
        <v>161</v>
      </c>
      <c r="AW45" s="144">
        <f>+SUM(AS45:AV45)</f>
        <v>865</v>
      </c>
      <c r="AX45" s="145">
        <f>+AX34+AX43+AX44</f>
        <v>211</v>
      </c>
      <c r="AY45" s="145">
        <f>+AY34+AY43+AY44</f>
        <v>305</v>
      </c>
      <c r="AZ45" s="145">
        <f>+AZ34+AZ43+AZ44</f>
        <v>249</v>
      </c>
      <c r="BA45" s="145">
        <f>+BA34+BA43+BA44</f>
        <v>182.54200294417811</v>
      </c>
      <c r="BB45" s="144">
        <f>+SUM(AX45:BA45)</f>
        <v>947.54200294417808</v>
      </c>
      <c r="BC45" s="145">
        <f>+BC34+BC43+BC44</f>
        <v>214.54200294417811</v>
      </c>
      <c r="BD45" s="145">
        <f>+BD34+BD43+BD44</f>
        <v>296</v>
      </c>
      <c r="BE45" s="145">
        <f>+BE34+BE43+BE44</f>
        <v>266</v>
      </c>
      <c r="BF45" s="145">
        <f>+BF34+BF43+BF44</f>
        <v>226</v>
      </c>
      <c r="BG45" s="144">
        <f>+SUM(BC45:BF45)</f>
        <v>1002.5420029441781</v>
      </c>
      <c r="BH45" s="145">
        <f>+BH34+BH43+BH44</f>
        <v>218</v>
      </c>
      <c r="BI45" s="145">
        <f>+BI34+BI43+BI44</f>
        <v>290</v>
      </c>
      <c r="BJ45" s="145">
        <f>+BJ34+BJ43+BJ44</f>
        <v>266</v>
      </c>
      <c r="BK45" s="145">
        <f>+BK34+BK43+BK44</f>
        <v>230</v>
      </c>
      <c r="BL45" s="144">
        <f>+SUM(BH45:BK45)</f>
        <v>1004</v>
      </c>
      <c r="BM45" s="407">
        <f>+BM34+BM43+BM44</f>
        <v>202</v>
      </c>
      <c r="BN45" s="145">
        <f>+BN34+BN43+BN44</f>
        <v>276</v>
      </c>
      <c r="BO45" s="145">
        <f>+BO34+BO43+BO44</f>
        <v>258</v>
      </c>
      <c r="BP45" s="145">
        <f>+BP34+BP43+BP44</f>
        <v>199</v>
      </c>
      <c r="BQ45" s="144">
        <f>+SUM(BM45:BP45)</f>
        <v>935</v>
      </c>
      <c r="BR45" s="145">
        <f>+BR34+BR43+BR44</f>
        <v>229</v>
      </c>
      <c r="BS45" s="145">
        <f>+BS34+BS43+BS44</f>
        <v>331</v>
      </c>
      <c r="BT45" s="145">
        <f ca="1">+BT34+BT43+BT44</f>
        <v>281.01651120536297</v>
      </c>
      <c r="BU45" s="145">
        <f ca="1">+BU34+BU43+BU44</f>
        <v>211.51387094972716</v>
      </c>
      <c r="BV45" s="144">
        <f ca="1">+SUM(BR45:BU45)</f>
        <v>1052.5303821550901</v>
      </c>
      <c r="BW45" s="145">
        <f ca="1">+BW34+BW43+BW44</f>
        <v>253.82502224647777</v>
      </c>
      <c r="BX45" s="145">
        <f ca="1">+BX34+BX43+BX44</f>
        <v>351.47486341697197</v>
      </c>
      <c r="BY45" s="145">
        <f ca="1">+BY34+BY43+BY44</f>
        <v>307.32784449581368</v>
      </c>
      <c r="BZ45" s="145">
        <f ca="1">+BZ34+BZ43+BZ44</f>
        <v>232.75482914810573</v>
      </c>
      <c r="CA45" s="144">
        <f ca="1">+SUM(BW45:BZ45)</f>
        <v>1145.3825593073691</v>
      </c>
      <c r="CB45" s="145">
        <f ca="1">+CB34+CB43+CB44</f>
        <v>269.07253213921501</v>
      </c>
      <c r="CC45" s="145">
        <f ca="1">+CC34+CC43+CC44</f>
        <v>371.86122318166019</v>
      </c>
      <c r="CD45" s="145">
        <f ca="1">+CD34+CD43+CD44</f>
        <v>326.050014163551</v>
      </c>
      <c r="CE45" s="145">
        <f ca="1">+CE34+CE43+CE44</f>
        <v>246.92899073387861</v>
      </c>
      <c r="CF45" s="144">
        <f ca="1">+SUM(CB45:CE45)</f>
        <v>1213.9127602183048</v>
      </c>
      <c r="CG45" s="145">
        <f ca="1">+CG34+CG43+CG44</f>
        <v>285.29741799929559</v>
      </c>
      <c r="CH45" s="145">
        <f ca="1">+CH34+CH43+CH44</f>
        <v>394.18171701622481</v>
      </c>
      <c r="CI45" s="145">
        <f ca="1">+CI34+CI43+CI44</f>
        <v>346.8597437739644</v>
      </c>
      <c r="CJ45" s="145">
        <f ca="1">+CJ34+CJ43+CJ44</f>
        <v>263.17837511090806</v>
      </c>
      <c r="CK45" s="144">
        <f ca="1">+SUM(CG45:CJ45)</f>
        <v>1289.5172539003927</v>
      </c>
      <c r="CL45" s="145">
        <f ca="1">+CL34+CL43+CL44</f>
        <v>302.62178766825662</v>
      </c>
      <c r="CM45" s="145">
        <f ca="1">+CM34+CM43+CM44</f>
        <v>416.99700816147703</v>
      </c>
      <c r="CN45" s="145">
        <f ca="1">+CN34+CN43+CN44</f>
        <v>367.8019849988313</v>
      </c>
      <c r="CO45" s="145">
        <f ca="1">+CO34+CO43+CO44</f>
        <v>279.48332735619744</v>
      </c>
      <c r="CP45" s="144">
        <f ca="1">+SUM(CL45:CO45)</f>
        <v>1366.9041081847624</v>
      </c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</row>
    <row r="46" spans="1:109" ht="3.75" customHeight="1" x14ac:dyDescent="0.25">
      <c r="C46" s="98"/>
      <c r="D46" s="98"/>
      <c r="E46" s="118"/>
      <c r="F46" s="118"/>
      <c r="G46" s="118"/>
      <c r="H46" s="56"/>
      <c r="I46" s="98"/>
      <c r="J46" s="118"/>
      <c r="K46" s="118"/>
      <c r="L46" s="118"/>
      <c r="M46" s="56"/>
      <c r="N46" s="98"/>
      <c r="O46" s="118"/>
      <c r="P46" s="118"/>
      <c r="Q46" s="118"/>
      <c r="R46" s="56"/>
      <c r="S46" s="98"/>
      <c r="T46" s="118"/>
      <c r="U46" s="118"/>
      <c r="V46" s="118"/>
      <c r="W46" s="56"/>
      <c r="X46" s="98"/>
      <c r="Y46" s="118"/>
      <c r="Z46" s="118"/>
      <c r="AA46" s="118"/>
      <c r="AB46" s="118"/>
      <c r="AC46" s="98"/>
      <c r="AD46" s="118"/>
      <c r="AE46" s="118"/>
      <c r="AF46" s="118"/>
      <c r="AG46" s="118"/>
      <c r="AH46" s="98"/>
      <c r="AI46" s="118"/>
      <c r="AJ46" s="118"/>
      <c r="AK46" s="118"/>
      <c r="AL46" s="118"/>
      <c r="AM46" s="98"/>
      <c r="AN46" s="118"/>
      <c r="AO46" s="118"/>
      <c r="AP46" s="118"/>
      <c r="AQ46" s="239"/>
      <c r="AR46" s="98"/>
      <c r="AS46" s="118"/>
      <c r="AT46" s="118"/>
      <c r="AU46" s="118"/>
      <c r="AV46" s="118"/>
      <c r="AW46" s="98"/>
      <c r="AX46" s="118"/>
      <c r="AY46" s="118"/>
      <c r="AZ46" s="118"/>
      <c r="BA46" s="118"/>
      <c r="BB46" s="98"/>
      <c r="BC46" s="118"/>
      <c r="BD46" s="118"/>
      <c r="BE46" s="118"/>
      <c r="BF46" s="118"/>
      <c r="BG46" s="98"/>
      <c r="BH46" s="118"/>
      <c r="BI46" s="118"/>
      <c r="BJ46" s="118"/>
      <c r="BK46" s="118"/>
      <c r="BL46" s="98"/>
      <c r="BM46" s="405"/>
      <c r="BN46" s="118"/>
      <c r="BO46" s="118"/>
      <c r="BP46" s="118"/>
      <c r="BQ46" s="98"/>
      <c r="BR46" s="118"/>
      <c r="BS46" s="118"/>
      <c r="BT46" s="118"/>
      <c r="BU46" s="118"/>
      <c r="BV46" s="98"/>
      <c r="BW46" s="118"/>
      <c r="BX46" s="118"/>
      <c r="BY46" s="118"/>
      <c r="BZ46" s="118"/>
      <c r="CA46" s="98"/>
      <c r="CB46" s="118"/>
      <c r="CC46" s="118"/>
      <c r="CD46" s="118"/>
      <c r="CE46" s="118"/>
      <c r="CF46" s="98"/>
      <c r="CG46" s="118"/>
      <c r="CH46" s="118"/>
      <c r="CI46" s="118"/>
      <c r="CJ46" s="118"/>
      <c r="CK46" s="98"/>
      <c r="CL46" s="118"/>
      <c r="CM46" s="118"/>
      <c r="CN46" s="118"/>
      <c r="CO46" s="118"/>
      <c r="CP46" s="98"/>
    </row>
    <row r="47" spans="1:109" x14ac:dyDescent="0.25">
      <c r="A47" s="52" t="s">
        <v>23</v>
      </c>
      <c r="C47" s="94">
        <v>112.9</v>
      </c>
      <c r="D47" s="94">
        <v>121.3</v>
      </c>
      <c r="E47" s="95">
        <f>+E45*E48</f>
        <v>31.645714285714281</v>
      </c>
      <c r="F47" s="95">
        <f>+F45*F48</f>
        <v>45.800000000000004</v>
      </c>
      <c r="G47" s="95">
        <f>+G45*G48</f>
        <v>39.403388035997892</v>
      </c>
      <c r="H47" s="95">
        <f>+H45*H48</f>
        <v>23.099999999999998</v>
      </c>
      <c r="I47" s="94">
        <f>H47+G47+F47+E47</f>
        <v>139.94910232171219</v>
      </c>
      <c r="J47" s="95">
        <f>+J45*J48</f>
        <v>39.38920152091255</v>
      </c>
      <c r="K47" s="95">
        <f>+K45*K48</f>
        <v>52.436999999999969</v>
      </c>
      <c r="L47" s="95">
        <f>+L45*L48</f>
        <v>45.473999999999997</v>
      </c>
      <c r="M47" s="95">
        <f>+M45*M48</f>
        <v>27.326530612244895</v>
      </c>
      <c r="N47" s="94">
        <f>M47+L47+K47+J47</f>
        <v>164.62673213315742</v>
      </c>
      <c r="O47" s="95">
        <v>46.6</v>
      </c>
      <c r="P47" s="95">
        <f>+P45*P48</f>
        <v>56.265000000000057</v>
      </c>
      <c r="Q47" s="95">
        <f>+Q45*Q48</f>
        <v>54.7</v>
      </c>
      <c r="R47" s="95">
        <v>28.4</v>
      </c>
      <c r="S47" s="94">
        <f>R47+Q47+P47+O47</f>
        <v>185.96500000000006</v>
      </c>
      <c r="T47" s="95">
        <v>48.9</v>
      </c>
      <c r="U47" s="95">
        <f>+U45*U48</f>
        <v>70.899999999999991</v>
      </c>
      <c r="V47" s="95">
        <f>+V45*V48</f>
        <v>56.6</v>
      </c>
      <c r="W47" s="95">
        <v>27.7</v>
      </c>
      <c r="X47" s="94">
        <f>W47+V47+U47+T47</f>
        <v>204.1</v>
      </c>
      <c r="Y47" s="95">
        <f>44.9+(22-16)</f>
        <v>50.9</v>
      </c>
      <c r="Z47" s="95">
        <v>70.599999999999994</v>
      </c>
      <c r="AA47" s="95">
        <v>45.7</v>
      </c>
      <c r="AB47" s="95">
        <f>34.4+(12*0.35)</f>
        <v>38.599999999999994</v>
      </c>
      <c r="AC47" s="94">
        <f>AB47+AA47+Z47+Y47</f>
        <v>205.79999999999998</v>
      </c>
      <c r="AD47" s="95">
        <v>63.5</v>
      </c>
      <c r="AE47" s="95">
        <f>70.9</f>
        <v>70.900000000000006</v>
      </c>
      <c r="AF47" s="95">
        <f>58.9+(11.6*0.18)</f>
        <v>60.988</v>
      </c>
      <c r="AG47" s="95">
        <f ca="1">AG45*AG48</f>
        <v>39.500000000000021</v>
      </c>
      <c r="AH47" s="94">
        <f ca="1">AG47+AF47+AE47+AD47</f>
        <v>234.88800000000003</v>
      </c>
      <c r="AI47" s="95">
        <v>55.1</v>
      </c>
      <c r="AJ47" s="95">
        <v>74.900000000000006</v>
      </c>
      <c r="AK47" s="95">
        <v>77.900000000000006</v>
      </c>
      <c r="AL47" s="95">
        <f>AL48*AL45</f>
        <v>45.388000000000005</v>
      </c>
      <c r="AM47" s="94">
        <f>AL47+AK47+AJ47+AI47</f>
        <v>253.28800000000001</v>
      </c>
      <c r="AN47" s="95">
        <f>+AN45*AN48</f>
        <v>60.699999999999996</v>
      </c>
      <c r="AO47" s="95">
        <f>+AO45*AO48</f>
        <v>81.59999999999998</v>
      </c>
      <c r="AP47" s="95">
        <f>+AP45*AP48</f>
        <v>65.799999999999983</v>
      </c>
      <c r="AQ47" s="119">
        <f>+AQ45*AQ48</f>
        <v>38.881228192602947</v>
      </c>
      <c r="AR47" s="94">
        <f>AQ47+AP47+AO47+AN47</f>
        <v>246.98122819260288</v>
      </c>
      <c r="AS47" s="95">
        <f>+AS45*AS48</f>
        <v>69.600000000000009</v>
      </c>
      <c r="AT47" s="95">
        <f>+AT45*AT48</f>
        <v>84.6</v>
      </c>
      <c r="AU47" s="95">
        <v>71.8</v>
      </c>
      <c r="AV47" s="95">
        <v>48</v>
      </c>
      <c r="AW47" s="94">
        <f>AV47+AU47+AT47+AS47</f>
        <v>274</v>
      </c>
      <c r="AX47" s="95">
        <v>68</v>
      </c>
      <c r="AY47" s="95">
        <v>99</v>
      </c>
      <c r="AZ47" s="95">
        <v>72</v>
      </c>
      <c r="BA47" s="95">
        <v>50</v>
      </c>
      <c r="BB47" s="94">
        <f>BA47+AZ47+AY47+AX47</f>
        <v>289</v>
      </c>
      <c r="BC47" s="95">
        <v>64</v>
      </c>
      <c r="BD47" s="95">
        <v>88</v>
      </c>
      <c r="BE47" s="95">
        <v>80</v>
      </c>
      <c r="BF47" s="95">
        <v>86</v>
      </c>
      <c r="BG47" s="94">
        <f>BF47+BE47+BD47+BC47</f>
        <v>318</v>
      </c>
      <c r="BH47" s="95">
        <v>62</v>
      </c>
      <c r="BI47" s="95">
        <v>90</v>
      </c>
      <c r="BJ47" s="95">
        <v>76</v>
      </c>
      <c r="BK47" s="95">
        <f>+BK45*BK48</f>
        <v>69</v>
      </c>
      <c r="BL47" s="94">
        <f>BK47+BJ47+BI47+BH47</f>
        <v>297</v>
      </c>
      <c r="BM47" s="394">
        <v>57</v>
      </c>
      <c r="BN47" s="394">
        <v>79</v>
      </c>
      <c r="BO47" s="394">
        <v>76</v>
      </c>
      <c r="BP47" s="394">
        <v>53</v>
      </c>
      <c r="BQ47" s="375">
        <f>BP47+BO47+BN47+BM47</f>
        <v>265</v>
      </c>
      <c r="BR47" s="394">
        <v>51</v>
      </c>
      <c r="BS47" s="394">
        <v>92</v>
      </c>
      <c r="BT47" s="95">
        <f ca="1">+BT45*BT48</f>
        <v>84.304953361608895</v>
      </c>
      <c r="BU47" s="95">
        <f ca="1">BV47-BR47-BS47-BT47</f>
        <v>63.246058632303757</v>
      </c>
      <c r="BV47" s="94">
        <f ca="1">+BV45*BV48</f>
        <v>290.55101199391265</v>
      </c>
      <c r="BW47" s="95">
        <f ca="1">+BW45*BW48</f>
        <v>73.609256451478544</v>
      </c>
      <c r="BX47" s="95">
        <f ca="1">+BX45*BX48</f>
        <v>101.92771039092186</v>
      </c>
      <c r="BY47" s="95">
        <f ca="1">+BY45*BY48</f>
        <v>89.125074903785958</v>
      </c>
      <c r="BZ47" s="95">
        <f ca="1">CA47-BW47-BX47-BY47</f>
        <v>67.498900452950693</v>
      </c>
      <c r="CA47" s="94">
        <f ca="1">+CA45*CA48</f>
        <v>332.16094219913703</v>
      </c>
      <c r="CB47" s="95">
        <f ca="1">+CB45*CB48</f>
        <v>78.031034320372342</v>
      </c>
      <c r="CC47" s="95">
        <f ca="1">+CC45*CC48</f>
        <v>107.83975472268145</v>
      </c>
      <c r="CD47" s="95">
        <f ca="1">+CD45*CD48</f>
        <v>94.554504107429779</v>
      </c>
      <c r="CE47" s="95">
        <f ca="1">CF47-CB47-CC47-CD47</f>
        <v>71.6094073128248</v>
      </c>
      <c r="CF47" s="94">
        <f ca="1">+CF45*CF48</f>
        <v>352.03470046330835</v>
      </c>
      <c r="CG47" s="95">
        <f ca="1">+CG45*CG48</f>
        <v>82.736251219795719</v>
      </c>
      <c r="CH47" s="95">
        <f ca="1">+CH45*CH48</f>
        <v>114.31269793470518</v>
      </c>
      <c r="CI47" s="95">
        <f ca="1">+CI45*CI48</f>
        <v>100.58932569444967</v>
      </c>
      <c r="CJ47" s="95">
        <f ca="1">CK47-CG47-CH47-CI47</f>
        <v>76.321728782163333</v>
      </c>
      <c r="CK47" s="94">
        <f ca="1">+CK45*CK48</f>
        <v>373.96000363111386</v>
      </c>
      <c r="CL47" s="95">
        <f ca="1">+CL45*CL48</f>
        <v>87.760318423794416</v>
      </c>
      <c r="CM47" s="95">
        <f ca="1">+CM45*CM48</f>
        <v>120.92913236682833</v>
      </c>
      <c r="CN47" s="95">
        <f ca="1">+CN45*CN48</f>
        <v>106.66257564966106</v>
      </c>
      <c r="CO47" s="95">
        <f ca="1">CP47-CL47-CM47-CN47</f>
        <v>81.050164933297324</v>
      </c>
      <c r="CP47" s="94">
        <f ca="1">+CP45*CP48</f>
        <v>396.4021913735811</v>
      </c>
    </row>
    <row r="48" spans="1:109" x14ac:dyDescent="0.25">
      <c r="B48" s="52" t="s">
        <v>24</v>
      </c>
      <c r="C48" s="120">
        <f>C47/C45</f>
        <v>0.33661299940369704</v>
      </c>
      <c r="D48" s="120">
        <f>D47/D45</f>
        <v>0.33178336980306339</v>
      </c>
      <c r="E48" s="88">
        <f>31.2/91</f>
        <v>0.34285714285714286</v>
      </c>
      <c r="F48" s="88">
        <f>45.8/139.2</f>
        <v>0.32902298850574713</v>
      </c>
      <c r="G48" s="88">
        <f>64.5/188.9</f>
        <v>0.3414505029115934</v>
      </c>
      <c r="H48" s="88">
        <f>23.1/85.3</f>
        <v>0.27080890973036342</v>
      </c>
      <c r="I48" s="120">
        <f>+I47/I45</f>
        <v>0.32380634502941269</v>
      </c>
      <c r="J48" s="88">
        <f>43.6/131.5</f>
        <v>0.33155893536121672</v>
      </c>
      <c r="K48" s="88">
        <v>0.33</v>
      </c>
      <c r="L48" s="88">
        <v>0.33</v>
      </c>
      <c r="M48" s="88">
        <f>27.3/102.9</f>
        <v>0.26530612244897961</v>
      </c>
      <c r="N48" s="120">
        <f>+N47/N45</f>
        <v>0.31750575146221305</v>
      </c>
      <c r="O48" s="88">
        <f>O47/O45</f>
        <v>0.33002832861189813</v>
      </c>
      <c r="P48" s="88">
        <v>0.33</v>
      </c>
      <c r="Q48" s="88">
        <v>0.32892363199037877</v>
      </c>
      <c r="R48" s="88">
        <f>+R47/R45</f>
        <v>0.29068577277379742</v>
      </c>
      <c r="S48" s="120">
        <f>+S47/S45</f>
        <v>0.32302414451971512</v>
      </c>
      <c r="T48" s="88">
        <f>T47/T45</f>
        <v>0.33887733887733884</v>
      </c>
      <c r="U48" s="88">
        <f>70.9/200.4</f>
        <v>0.3537924151696607</v>
      </c>
      <c r="V48" s="88">
        <f>56.6/172.5</f>
        <v>0.32811594202898553</v>
      </c>
      <c r="W48" s="88">
        <f>W47/W45</f>
        <v>0.21845425867507889</v>
      </c>
      <c r="X48" s="120">
        <f>+X47/X45</f>
        <v>0.31692546583850939</v>
      </c>
      <c r="Y48" s="93">
        <f>Y47/Y45</f>
        <v>0.32817537072856223</v>
      </c>
      <c r="Z48" s="93">
        <f>Z47/Z45</f>
        <v>0.33021515434985971</v>
      </c>
      <c r="AA48" s="93">
        <f>AA47/AA45</f>
        <v>0.30815913688469315</v>
      </c>
      <c r="AB48" s="69">
        <f ca="1">AB47/AB45</f>
        <v>0.30634920634920626</v>
      </c>
      <c r="AC48" s="120">
        <f ca="1">+AC47/AC45</f>
        <v>0.31996268656716415</v>
      </c>
      <c r="AD48" s="69">
        <f>AD47/AD45</f>
        <v>0.3434288804759329</v>
      </c>
      <c r="AE48" s="69">
        <f>AE47/AE45</f>
        <v>0.32493125572868931</v>
      </c>
      <c r="AF48" s="69">
        <f>AF47/AF45</f>
        <v>0.34186098654708524</v>
      </c>
      <c r="AG48" s="69">
        <f>39.5/112.2</f>
        <v>0.35204991087344029</v>
      </c>
      <c r="AH48" s="120">
        <f ca="1">+AH47/AH45</f>
        <v>0.33860170102349724</v>
      </c>
      <c r="AI48" s="69">
        <f>AI47/AI45</f>
        <v>0.3309309309309309</v>
      </c>
      <c r="AJ48" s="69">
        <f>AJ47/AJ45</f>
        <v>0.327217125382263</v>
      </c>
      <c r="AK48" s="69">
        <f>AK47/AK45</f>
        <v>0.35635864592863686</v>
      </c>
      <c r="AL48" s="69">
        <v>0.28000000000000003</v>
      </c>
      <c r="AM48" s="120">
        <f>+AM47/AM45</f>
        <v>0.32636000515397501</v>
      </c>
      <c r="AN48" s="69">
        <f>60.7/178.8</f>
        <v>0.33948545861297541</v>
      </c>
      <c r="AO48" s="69">
        <f>81.6/239.2</f>
        <v>0.34113712374581939</v>
      </c>
      <c r="AP48" s="69">
        <f>65.8/198.9</f>
        <v>0.33081950729009552</v>
      </c>
      <c r="AQ48" s="23">
        <f>38.8/143.3</f>
        <v>0.27076064200976968</v>
      </c>
      <c r="AR48" s="120">
        <f>+AR47/AR45</f>
        <v>0.32476164127889928</v>
      </c>
      <c r="AS48" s="69">
        <f>69.6/217.1</f>
        <v>0.32058959005066789</v>
      </c>
      <c r="AT48" s="69">
        <f>(84.5+0.1)/257.5</f>
        <v>0.32854368932038835</v>
      </c>
      <c r="AU48" s="69">
        <f>AU47/AU45</f>
        <v>0.31299040976460335</v>
      </c>
      <c r="AV48" s="69">
        <f t="shared" ref="AV48:BB48" si="99">+AV47/AV45</f>
        <v>0.29813664596273293</v>
      </c>
      <c r="AW48" s="120">
        <f t="shared" si="99"/>
        <v>0.31676300578034683</v>
      </c>
      <c r="AX48" s="69">
        <f t="shared" si="99"/>
        <v>0.32227488151658767</v>
      </c>
      <c r="AY48" s="69">
        <f t="shared" si="99"/>
        <v>0.32459016393442625</v>
      </c>
      <c r="AZ48" s="69">
        <f>+AZ47/AZ45</f>
        <v>0.28915662650602408</v>
      </c>
      <c r="BA48" s="69">
        <f>+BA47/BA45</f>
        <v>0.27390956159985902</v>
      </c>
      <c r="BB48" s="120">
        <f t="shared" si="99"/>
        <v>0.30499967189003407</v>
      </c>
      <c r="BC48" s="69">
        <f t="shared" ref="BC48:BJ48" si="100">+BC47/BC45</f>
        <v>0.29830988394683822</v>
      </c>
      <c r="BD48" s="69">
        <f t="shared" si="100"/>
        <v>0.29729729729729731</v>
      </c>
      <c r="BE48" s="69">
        <f t="shared" si="100"/>
        <v>0.3007518796992481</v>
      </c>
      <c r="BF48" s="69">
        <f t="shared" si="100"/>
        <v>0.38053097345132741</v>
      </c>
      <c r="BG48" s="120">
        <f t="shared" si="100"/>
        <v>0.31719369269928371</v>
      </c>
      <c r="BH48" s="69">
        <f t="shared" si="100"/>
        <v>0.28440366972477066</v>
      </c>
      <c r="BI48" s="69">
        <f t="shared" si="100"/>
        <v>0.31034482758620691</v>
      </c>
      <c r="BJ48" s="69">
        <f t="shared" si="100"/>
        <v>0.2857142857142857</v>
      </c>
      <c r="BK48" s="368">
        <v>0.3</v>
      </c>
      <c r="BL48" s="120">
        <f t="shared" ref="BL48" si="101">+BL47/BL45</f>
        <v>0.2958167330677291</v>
      </c>
      <c r="BM48" s="391">
        <f>+BM47/BM45</f>
        <v>0.28217821782178215</v>
      </c>
      <c r="BN48" s="391">
        <f>+BN47/BN45</f>
        <v>0.28623188405797101</v>
      </c>
      <c r="BO48" s="391">
        <f>+BO47/BO45</f>
        <v>0.29457364341085274</v>
      </c>
      <c r="BP48" s="391">
        <f>+BP47/BP45</f>
        <v>0.26633165829145727</v>
      </c>
      <c r="BQ48" s="418">
        <f t="shared" ref="BQ48" si="102">+BQ47/BQ45</f>
        <v>0.28342245989304815</v>
      </c>
      <c r="BR48" s="391">
        <f>+BR47/BR45</f>
        <v>0.22270742358078602</v>
      </c>
      <c r="BS48" s="391">
        <f>+BS47/BS45</f>
        <v>0.27794561933534745</v>
      </c>
      <c r="BT48" s="74">
        <v>0.3</v>
      </c>
      <c r="BU48" s="69">
        <f ca="1">+BU47/BU45</f>
        <v>0.29901612763418312</v>
      </c>
      <c r="BV48" s="75">
        <v>0.27605000000000002</v>
      </c>
      <c r="BW48" s="74">
        <f>CA48</f>
        <v>0.28999999999999998</v>
      </c>
      <c r="BX48" s="74">
        <f>BW48</f>
        <v>0.28999999999999998</v>
      </c>
      <c r="BY48" s="74">
        <f>BX48</f>
        <v>0.28999999999999998</v>
      </c>
      <c r="BZ48" s="69">
        <f ca="1">+BZ47/BZ45</f>
        <v>0.29000000000000015</v>
      </c>
      <c r="CA48" s="75">
        <v>0.28999999999999998</v>
      </c>
      <c r="CB48" s="74">
        <f>CF48</f>
        <v>0.28999999999999998</v>
      </c>
      <c r="CC48" s="74">
        <f>CB48</f>
        <v>0.28999999999999998</v>
      </c>
      <c r="CD48" s="74">
        <f>CC48</f>
        <v>0.28999999999999998</v>
      </c>
      <c r="CE48" s="69">
        <f ca="1">+CE47/CE45</f>
        <v>0.29000000000000004</v>
      </c>
      <c r="CF48" s="75">
        <f>CA48</f>
        <v>0.28999999999999998</v>
      </c>
      <c r="CG48" s="74">
        <f>CK48</f>
        <v>0.28999999999999998</v>
      </c>
      <c r="CH48" s="74">
        <f>CG48</f>
        <v>0.28999999999999998</v>
      </c>
      <c r="CI48" s="74">
        <f>CH48</f>
        <v>0.28999999999999998</v>
      </c>
      <c r="CJ48" s="69">
        <f ca="1">+CJ47/CJ45</f>
        <v>0.28999999999999998</v>
      </c>
      <c r="CK48" s="75">
        <f>CF48</f>
        <v>0.28999999999999998</v>
      </c>
      <c r="CL48" s="74">
        <f>CP48</f>
        <v>0.28999999999999998</v>
      </c>
      <c r="CM48" s="74">
        <f>CL48</f>
        <v>0.28999999999999998</v>
      </c>
      <c r="CN48" s="74">
        <f>CM48</f>
        <v>0.28999999999999998</v>
      </c>
      <c r="CO48" s="69">
        <f ca="1">+CO47/CO45</f>
        <v>0.29000000000000026</v>
      </c>
      <c r="CP48" s="75">
        <f>CK48</f>
        <v>0.28999999999999998</v>
      </c>
    </row>
    <row r="49" spans="1:111" ht="3.75" customHeight="1" x14ac:dyDescent="0.25">
      <c r="C49" s="98"/>
      <c r="D49" s="98"/>
      <c r="E49" s="118"/>
      <c r="F49" s="118"/>
      <c r="G49" s="118"/>
      <c r="H49" s="56"/>
      <c r="I49" s="98"/>
      <c r="J49" s="118"/>
      <c r="K49" s="118"/>
      <c r="L49" s="118"/>
      <c r="M49" s="56"/>
      <c r="N49" s="98"/>
      <c r="O49" s="118"/>
      <c r="P49" s="118"/>
      <c r="Q49" s="118"/>
      <c r="R49" s="56"/>
      <c r="S49" s="98"/>
      <c r="T49" s="118"/>
      <c r="U49" s="118"/>
      <c r="V49" s="118"/>
      <c r="W49" s="56"/>
      <c r="X49" s="98"/>
      <c r="Y49" s="118"/>
      <c r="Z49" s="118"/>
      <c r="AA49" s="118"/>
      <c r="AB49" s="118"/>
      <c r="AC49" s="98"/>
      <c r="AD49" s="118"/>
      <c r="AE49" s="118"/>
      <c r="AF49" s="118"/>
      <c r="AG49" s="118"/>
      <c r="AH49" s="98"/>
      <c r="AI49" s="118"/>
      <c r="AJ49" s="118"/>
      <c r="AK49" s="118"/>
      <c r="AL49" s="118"/>
      <c r="AM49" s="98"/>
      <c r="AN49" s="118"/>
      <c r="AO49" s="118"/>
      <c r="AP49" s="118"/>
      <c r="AQ49" s="239"/>
      <c r="AR49" s="98"/>
      <c r="AS49" s="118"/>
      <c r="AT49" s="118"/>
      <c r="AU49" s="118"/>
      <c r="AV49" s="118"/>
      <c r="AW49" s="98"/>
      <c r="AX49" s="118"/>
      <c r="AY49" s="118"/>
      <c r="AZ49" s="118"/>
      <c r="BA49" s="118"/>
      <c r="BB49" s="98"/>
      <c r="BC49" s="118"/>
      <c r="BD49" s="118"/>
      <c r="BE49" s="118"/>
      <c r="BF49" s="118"/>
      <c r="BG49" s="98"/>
      <c r="BH49" s="118"/>
      <c r="BI49" s="118"/>
      <c r="BJ49" s="118"/>
      <c r="BK49" s="118"/>
      <c r="BL49" s="98"/>
      <c r="BM49" s="405"/>
      <c r="BN49" s="118"/>
      <c r="BO49" s="118"/>
      <c r="BP49" s="118"/>
      <c r="BQ49" s="98"/>
      <c r="BR49" s="118"/>
      <c r="BS49" s="118"/>
      <c r="BT49" s="118"/>
      <c r="BU49" s="118"/>
      <c r="BV49" s="98"/>
      <c r="BW49" s="118"/>
      <c r="BX49" s="118"/>
      <c r="BY49" s="118"/>
      <c r="BZ49" s="118"/>
      <c r="CA49" s="98"/>
      <c r="CB49" s="118"/>
      <c r="CC49" s="118"/>
      <c r="CD49" s="118"/>
      <c r="CE49" s="118"/>
      <c r="CF49" s="98"/>
      <c r="CG49" s="118"/>
      <c r="CH49" s="118"/>
      <c r="CI49" s="118"/>
      <c r="CJ49" s="118"/>
      <c r="CK49" s="98"/>
      <c r="CL49" s="118"/>
      <c r="CM49" s="118"/>
      <c r="CN49" s="118"/>
      <c r="CO49" s="118"/>
      <c r="CP49" s="98"/>
    </row>
    <row r="50" spans="1:111" s="38" customFormat="1" x14ac:dyDescent="0.25">
      <c r="A50" s="38" t="s">
        <v>25</v>
      </c>
      <c r="C50" s="57">
        <f>C45-C47</f>
        <v>222.50000000000003</v>
      </c>
      <c r="D50" s="57">
        <f>D45-D47</f>
        <v>244.30000000000007</v>
      </c>
      <c r="E50" s="46">
        <f t="shared" ref="E50:M50" si="103">+E45-E47</f>
        <v>60.654285714285706</v>
      </c>
      <c r="F50" s="46">
        <f t="shared" si="103"/>
        <v>93.4</v>
      </c>
      <c r="G50" s="46">
        <f t="shared" si="103"/>
        <v>75.996611964002142</v>
      </c>
      <c r="H50" s="58">
        <f t="shared" si="103"/>
        <v>62.2</v>
      </c>
      <c r="I50" s="57">
        <f t="shared" si="103"/>
        <v>292.25089767828786</v>
      </c>
      <c r="J50" s="46">
        <f t="shared" si="103"/>
        <v>79.410798479087461</v>
      </c>
      <c r="K50" s="46">
        <f t="shared" si="103"/>
        <v>106.46299999999992</v>
      </c>
      <c r="L50" s="46">
        <f t="shared" si="103"/>
        <v>92.325999999999993</v>
      </c>
      <c r="M50" s="58">
        <f t="shared" si="103"/>
        <v>75.673469387755091</v>
      </c>
      <c r="N50" s="57">
        <f>+SUM(J50:M50)</f>
        <v>353.87326786684241</v>
      </c>
      <c r="O50" s="46">
        <f>+O45-O47</f>
        <v>94.599999999999966</v>
      </c>
      <c r="P50" s="46">
        <f>+P45-P47</f>
        <v>114.23500000000011</v>
      </c>
      <c r="Q50" s="46">
        <f>+Q45-Q47</f>
        <v>111.60000000000004</v>
      </c>
      <c r="R50" s="58">
        <f>+R45-R47</f>
        <v>69.299999999999955</v>
      </c>
      <c r="S50" s="57">
        <f>+SUM(O50:R50)</f>
        <v>389.73500000000007</v>
      </c>
      <c r="T50" s="46">
        <f>+T45-T47</f>
        <v>95.4</v>
      </c>
      <c r="U50" s="46">
        <f>+U45-U47</f>
        <v>129.49999999999994</v>
      </c>
      <c r="V50" s="46">
        <f>+V45-V47</f>
        <v>115.9</v>
      </c>
      <c r="W50" s="58">
        <f>+W45-W47</f>
        <v>99.09999999999998</v>
      </c>
      <c r="X50" s="57">
        <f>+SUM(T50:W50)</f>
        <v>439.89999999999992</v>
      </c>
      <c r="Y50" s="46">
        <f>+Y45-Y47</f>
        <v>104.19999999999999</v>
      </c>
      <c r="Z50" s="46">
        <f>+Z45-Z47</f>
        <v>143.19999999999996</v>
      </c>
      <c r="AA50" s="46">
        <f>+AA45-AA47</f>
        <v>102.60000000000004</v>
      </c>
      <c r="AB50" s="102">
        <f ca="1">+AB45-AB47</f>
        <v>87.400000000000034</v>
      </c>
      <c r="AC50" s="57">
        <f ca="1">+SUM(Y50:AB50)</f>
        <v>437.40000000000003</v>
      </c>
      <c r="AD50" s="46">
        <f>+AD45-AD47</f>
        <v>121.40000000000003</v>
      </c>
      <c r="AE50" s="46">
        <f>+AE45-AE47</f>
        <v>147.29999999999998</v>
      </c>
      <c r="AF50" s="46">
        <f>+AF45-AF47</f>
        <v>117.41199999999998</v>
      </c>
      <c r="AG50" s="46">
        <f ca="1">+AG45-AG47</f>
        <v>72.700000000000045</v>
      </c>
      <c r="AH50" s="57">
        <f ca="1">+SUM(AD50:AG50)</f>
        <v>458.81200000000007</v>
      </c>
      <c r="AI50" s="46">
        <f>+AI45-AI47</f>
        <v>111.40000000000003</v>
      </c>
      <c r="AJ50" s="46">
        <f>+AJ45-AJ47</f>
        <v>154</v>
      </c>
      <c r="AK50" s="46">
        <f>+AK45-AK47</f>
        <v>140.69999999999996</v>
      </c>
      <c r="AL50" s="46">
        <f>+AL45-AL47</f>
        <v>116.71199999999999</v>
      </c>
      <c r="AM50" s="57">
        <f>+SUM(AI50:AL50)</f>
        <v>522.81200000000001</v>
      </c>
      <c r="AN50" s="46">
        <f>+AN45-AN47</f>
        <v>118.1</v>
      </c>
      <c r="AO50" s="46">
        <f>+AO45-AO47</f>
        <v>157.59999999999997</v>
      </c>
      <c r="AP50" s="46">
        <f>+AP45-AP47</f>
        <v>133.09999999999997</v>
      </c>
      <c r="AQ50" s="277">
        <f>+AQ45-AQ47</f>
        <v>104.71877180739713</v>
      </c>
      <c r="AR50" s="57">
        <f>+SUM(AN50:AQ50)</f>
        <v>513.518771807397</v>
      </c>
      <c r="AS50" s="46">
        <f>+AS45-AS47</f>
        <v>147.5</v>
      </c>
      <c r="AT50" s="46">
        <f>+AT45-AT47</f>
        <v>172.9</v>
      </c>
      <c r="AU50" s="46">
        <f>+AU45-AU47</f>
        <v>157.59999999999997</v>
      </c>
      <c r="AV50" s="46">
        <f>+AV45-AV47</f>
        <v>113</v>
      </c>
      <c r="AW50" s="57">
        <f>+SUM(AS50:AV50)</f>
        <v>591</v>
      </c>
      <c r="AX50" s="46">
        <f>+AX45-AX47</f>
        <v>143</v>
      </c>
      <c r="AY50" s="46">
        <f>+AY45-AY47</f>
        <v>206</v>
      </c>
      <c r="AZ50" s="46">
        <f>+AZ45-AZ47</f>
        <v>177</v>
      </c>
      <c r="BA50" s="46">
        <f>+BA45-BA47</f>
        <v>132.54200294417811</v>
      </c>
      <c r="BB50" s="57">
        <f>+SUM(AX50:BA50)</f>
        <v>658.54200294417808</v>
      </c>
      <c r="BC50" s="46">
        <f>+BC45-BC47</f>
        <v>150.54200294417811</v>
      </c>
      <c r="BD50" s="46">
        <f>+BD45-BD47</f>
        <v>208</v>
      </c>
      <c r="BE50" s="46">
        <f>+BE45-BE47</f>
        <v>186</v>
      </c>
      <c r="BF50" s="46">
        <f>+BF45-BF47</f>
        <v>140</v>
      </c>
      <c r="BG50" s="57">
        <f>+SUM(BC50:BF50)</f>
        <v>684.54200294417808</v>
      </c>
      <c r="BH50" s="46">
        <f>+BH45-BH47</f>
        <v>156</v>
      </c>
      <c r="BI50" s="46">
        <f>+BI45-BI47</f>
        <v>200</v>
      </c>
      <c r="BJ50" s="46">
        <f>+BJ45-BJ47</f>
        <v>190</v>
      </c>
      <c r="BK50" s="46">
        <f>+BK45-BK47</f>
        <v>161</v>
      </c>
      <c r="BL50" s="57">
        <f>+SUM(BH50:BK50)</f>
        <v>707</v>
      </c>
      <c r="BM50" s="396">
        <f>+BM45-BM47</f>
        <v>145</v>
      </c>
      <c r="BN50" s="46">
        <f>+BN45-BN47</f>
        <v>197</v>
      </c>
      <c r="BO50" s="46">
        <f>+BO45-BO47</f>
        <v>182</v>
      </c>
      <c r="BP50" s="46">
        <f>+BP45-BP47</f>
        <v>146</v>
      </c>
      <c r="BQ50" s="57">
        <f>+SUM(BM50:BP50)</f>
        <v>670</v>
      </c>
      <c r="BR50" s="46">
        <f>+BR45-BR47</f>
        <v>178</v>
      </c>
      <c r="BS50" s="46">
        <f>+BS45-BS47</f>
        <v>239</v>
      </c>
      <c r="BT50" s="46">
        <f ca="1">+BT45-BT47</f>
        <v>196.71155784375406</v>
      </c>
      <c r="BU50" s="46">
        <f ca="1">+BU45-BU47</f>
        <v>148.26781231742342</v>
      </c>
      <c r="BV50" s="57">
        <f ca="1">+SUM(BR50:BU50)</f>
        <v>761.97937016117748</v>
      </c>
      <c r="BW50" s="46">
        <f ca="1">+BW45-BW47</f>
        <v>180.21576579499924</v>
      </c>
      <c r="BX50" s="46">
        <f ca="1">+BX45-BX47</f>
        <v>249.54715302605013</v>
      </c>
      <c r="BY50" s="46">
        <f ca="1">+BY45-BY47</f>
        <v>218.20276959202772</v>
      </c>
      <c r="BZ50" s="46">
        <f ca="1">+BZ45-BZ47</f>
        <v>165.25592869515503</v>
      </c>
      <c r="CA50" s="57">
        <f ca="1">+SUM(BW50:BZ50)</f>
        <v>813.22161710823207</v>
      </c>
      <c r="CB50" s="46">
        <f ca="1">+CB45-CB47</f>
        <v>191.04149781884269</v>
      </c>
      <c r="CC50" s="46">
        <f ca="1">+CC45-CC47</f>
        <v>264.02146845897875</v>
      </c>
      <c r="CD50" s="46">
        <f ca="1">+CD45-CD47</f>
        <v>231.49551005612122</v>
      </c>
      <c r="CE50" s="46">
        <f ca="1">+CE45-CE47</f>
        <v>175.31958342105381</v>
      </c>
      <c r="CF50" s="57">
        <f ca="1">+SUM(CB50:CE50)</f>
        <v>861.87805975499646</v>
      </c>
      <c r="CG50" s="46">
        <f ca="1">+CG45-CG47</f>
        <v>202.56116677949987</v>
      </c>
      <c r="CH50" s="46">
        <f ca="1">+CH45-CH47</f>
        <v>279.86901908151964</v>
      </c>
      <c r="CI50" s="46">
        <f ca="1">+CI45-CI47</f>
        <v>246.27041807951474</v>
      </c>
      <c r="CJ50" s="46">
        <f ca="1">+CJ45-CJ47</f>
        <v>186.85664632874472</v>
      </c>
      <c r="CK50" s="57">
        <f ca="1">+SUM(CG50:CJ50)</f>
        <v>915.55725026927894</v>
      </c>
      <c r="CL50" s="46">
        <f ca="1">+CL45-CL47</f>
        <v>214.8614692444622</v>
      </c>
      <c r="CM50" s="46">
        <f ca="1">+CM45-CM47</f>
        <v>296.06787579464867</v>
      </c>
      <c r="CN50" s="46">
        <f ca="1">+CN45-CN47</f>
        <v>261.13940934917025</v>
      </c>
      <c r="CO50" s="46">
        <f ca="1">+CO45-CO47</f>
        <v>198.43316242290012</v>
      </c>
      <c r="CP50" s="57">
        <f ca="1">+SUM(CL50:CO50)</f>
        <v>970.50191681118122</v>
      </c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</row>
    <row r="51" spans="1:111" ht="14.25" customHeight="1" x14ac:dyDescent="0.25">
      <c r="C51" s="296"/>
      <c r="D51" s="296"/>
      <c r="E51" s="260"/>
      <c r="F51" s="260"/>
      <c r="G51" s="260"/>
      <c r="H51" s="260"/>
      <c r="I51" s="296"/>
      <c r="J51" s="260"/>
      <c r="K51" s="260"/>
      <c r="L51" s="260"/>
      <c r="M51" s="260"/>
      <c r="N51" s="296"/>
      <c r="O51" s="260"/>
      <c r="P51" s="260"/>
      <c r="Q51" s="260"/>
      <c r="R51" s="260"/>
      <c r="S51" s="296"/>
      <c r="T51" s="260"/>
      <c r="U51" s="260"/>
      <c r="V51" s="260"/>
      <c r="W51" s="260"/>
      <c r="X51" s="296"/>
      <c r="Y51" s="260"/>
      <c r="Z51" s="260"/>
      <c r="AA51" s="260"/>
      <c r="AB51" s="297"/>
      <c r="AC51" s="296"/>
      <c r="AD51" s="260"/>
      <c r="AE51" s="260"/>
      <c r="AF51" s="260"/>
      <c r="AG51" s="298"/>
      <c r="AH51" s="296"/>
      <c r="AI51" s="260"/>
      <c r="AJ51" s="260"/>
      <c r="AK51" s="260"/>
      <c r="AL51" s="260"/>
      <c r="AM51" s="296"/>
      <c r="AN51" s="260"/>
      <c r="AO51" s="260"/>
      <c r="AP51" s="260"/>
      <c r="AQ51" s="299"/>
      <c r="AR51" s="296"/>
      <c r="AS51" s="310"/>
      <c r="AT51" s="310"/>
      <c r="AU51" s="310"/>
      <c r="AV51" s="310"/>
      <c r="AW51" s="311"/>
      <c r="AX51" s="310"/>
      <c r="AY51" s="310"/>
      <c r="AZ51" s="333"/>
      <c r="BA51" s="310"/>
      <c r="BB51" s="311"/>
      <c r="BC51" s="343"/>
      <c r="BD51" s="343"/>
      <c r="BE51" s="343"/>
      <c r="BF51" s="343"/>
      <c r="BG51" s="340"/>
      <c r="BH51" s="343"/>
      <c r="BI51" s="339"/>
      <c r="BJ51" s="339"/>
      <c r="BK51" s="371"/>
      <c r="BL51" s="374"/>
      <c r="BM51" s="408"/>
      <c r="BN51" s="371"/>
      <c r="BO51" s="371"/>
      <c r="BP51" s="371"/>
      <c r="BQ51" s="372"/>
      <c r="BR51" s="369"/>
      <c r="BS51" s="369"/>
      <c r="BT51" s="369"/>
      <c r="BU51" s="369"/>
      <c r="BV51" s="370"/>
      <c r="BW51" s="369"/>
      <c r="BX51" s="369"/>
      <c r="BY51" s="369"/>
      <c r="BZ51" s="369"/>
      <c r="CA51" s="370"/>
      <c r="CB51" s="369"/>
      <c r="CC51" s="369"/>
      <c r="CD51" s="369"/>
      <c r="CE51" s="369"/>
      <c r="CF51" s="370"/>
      <c r="CG51" s="369"/>
      <c r="CH51" s="369"/>
      <c r="CI51" s="369"/>
      <c r="CJ51" s="369"/>
      <c r="CK51" s="370"/>
      <c r="CL51" s="369"/>
      <c r="CM51" s="369"/>
      <c r="CN51" s="369"/>
      <c r="CO51" s="369"/>
      <c r="CP51" s="370"/>
    </row>
    <row r="52" spans="1:111" s="38" customFormat="1" x14ac:dyDescent="0.25">
      <c r="A52" s="38" t="s">
        <v>26</v>
      </c>
      <c r="C52" s="150">
        <f>+C50/C56</f>
        <v>0.43909634957989824</v>
      </c>
      <c r="D52" s="150">
        <f t="shared" ref="D52:AA52" si="104">+D50/D56</f>
        <v>0.4273585221538212</v>
      </c>
      <c r="E52" s="151">
        <f t="shared" si="104"/>
        <v>0.10570344039391696</v>
      </c>
      <c r="F52" s="151">
        <f t="shared" si="104"/>
        <v>0.16276606462610038</v>
      </c>
      <c r="G52" s="151">
        <f t="shared" si="104"/>
        <v>0.13236729113110871</v>
      </c>
      <c r="H52" s="152">
        <f t="shared" si="104"/>
        <v>0.10812337711721696</v>
      </c>
      <c r="I52" s="150">
        <f t="shared" si="104"/>
        <v>0.5089155159415969</v>
      </c>
      <c r="J52" s="151">
        <f t="shared" si="104"/>
        <v>0.13839079143076222</v>
      </c>
      <c r="K52" s="151">
        <f t="shared" si="104"/>
        <v>0.1842886894619257</v>
      </c>
      <c r="L52" s="151">
        <f t="shared" si="104"/>
        <v>0.15940864479299871</v>
      </c>
      <c r="M52" s="152">
        <f t="shared" si="104"/>
        <v>0.13041493427732923</v>
      </c>
      <c r="N52" s="150">
        <f t="shared" si="104"/>
        <v>0.6125177337294897</v>
      </c>
      <c r="O52" s="151">
        <f t="shared" si="104"/>
        <v>0.16266610782433</v>
      </c>
      <c r="P52" s="151">
        <f t="shared" si="104"/>
        <v>0.19607319382202537</v>
      </c>
      <c r="Q52" s="151">
        <f t="shared" si="104"/>
        <v>0.19164453030668926</v>
      </c>
      <c r="R52" s="152">
        <f t="shared" si="104"/>
        <v>0.11899932386747794</v>
      </c>
      <c r="S52" s="150">
        <f t="shared" si="104"/>
        <v>0.66940110797339647</v>
      </c>
      <c r="T52" s="151">
        <f t="shared" si="104"/>
        <v>0.16404171972982123</v>
      </c>
      <c r="U52" s="151">
        <f t="shared" si="104"/>
        <v>0.22184035417369277</v>
      </c>
      <c r="V52" s="151">
        <f t="shared" si="104"/>
        <v>0.19943902397054017</v>
      </c>
      <c r="W52" s="152">
        <f t="shared" si="104"/>
        <v>0.17361835387769733</v>
      </c>
      <c r="X52" s="150">
        <f t="shared" si="104"/>
        <v>0.75935338336333269</v>
      </c>
      <c r="Y52" s="151">
        <f t="shared" si="104"/>
        <v>0.18304304673570301</v>
      </c>
      <c r="Z52" s="151">
        <f t="shared" si="104"/>
        <v>0.25151267662530402</v>
      </c>
      <c r="AA52" s="151">
        <f t="shared" si="104"/>
        <v>0.18061074950820544</v>
      </c>
      <c r="AB52" s="151">
        <f ca="1">+AB50/AB56</f>
        <v>0.15446130735414326</v>
      </c>
      <c r="AC52" s="150">
        <f ca="1">+AC50/AC56</f>
        <v>0.76990099009900992</v>
      </c>
      <c r="AD52" s="151">
        <f t="shared" ref="AD52:AT52" si="105">+AD50/AD56</f>
        <v>0.21543300659031578</v>
      </c>
      <c r="AE52" s="151">
        <f t="shared" si="105"/>
        <v>0.26416667787536818</v>
      </c>
      <c r="AF52" s="151">
        <f t="shared" si="105"/>
        <v>0.21220985662839503</v>
      </c>
      <c r="AG52" s="151">
        <f ca="1">+AG50/AG56</f>
        <v>0.13139850391868485</v>
      </c>
      <c r="AH52" s="150">
        <f ca="1">+AH50/AH56</f>
        <v>0.82383825325001814</v>
      </c>
      <c r="AI52" s="151">
        <f t="shared" si="105"/>
        <v>0.20155827707478155</v>
      </c>
      <c r="AJ52" s="151">
        <f t="shared" si="105"/>
        <v>0.28031089026010669</v>
      </c>
      <c r="AK52" s="151">
        <f t="shared" si="105"/>
        <v>0.25691591344837023</v>
      </c>
      <c r="AL52" s="151">
        <f t="shared" si="105"/>
        <v>0.21317698308869354</v>
      </c>
      <c r="AM52" s="150">
        <f t="shared" si="105"/>
        <v>0.95155775784794172</v>
      </c>
      <c r="AN52" s="151">
        <f t="shared" si="105"/>
        <v>0.21590444263152961</v>
      </c>
      <c r="AO52" s="151">
        <f t="shared" si="105"/>
        <v>0.29147940594425631</v>
      </c>
      <c r="AP52" s="151">
        <f t="shared" si="105"/>
        <v>0.24820512820512813</v>
      </c>
      <c r="AQ52" s="280">
        <f t="shared" si="105"/>
        <v>0.19518012354047165</v>
      </c>
      <c r="AR52" s="150">
        <f t="shared" si="105"/>
        <v>0.95059761305500801</v>
      </c>
      <c r="AS52" s="151">
        <f t="shared" si="105"/>
        <v>0.27467667296715986</v>
      </c>
      <c r="AT52" s="151">
        <f t="shared" si="105"/>
        <v>0.32183758277452296</v>
      </c>
      <c r="AU52" s="151">
        <f t="shared" ref="AU52:CP52" si="106">+AU50/AU56</f>
        <v>0.29313976684600396</v>
      </c>
      <c r="AV52" s="151">
        <f t="shared" si="106"/>
        <v>0.21002546326413027</v>
      </c>
      <c r="AW52" s="150">
        <f t="shared" si="106"/>
        <v>1.09960648600374</v>
      </c>
      <c r="AX52" s="151">
        <f>+AX50/AX56</f>
        <v>0.26565112390860118</v>
      </c>
      <c r="AY52" s="151">
        <f t="shared" si="106"/>
        <v>0.38289251129161167</v>
      </c>
      <c r="AZ52" s="151">
        <f>+AZ50/AZ56</f>
        <v>0.32962121494282842</v>
      </c>
      <c r="BA52" s="151">
        <f>+BA50/BA56</f>
        <v>0.24666090304027785</v>
      </c>
      <c r="BB52" s="150">
        <f t="shared" si="106"/>
        <v>1.2247273187792156</v>
      </c>
      <c r="BC52" s="151">
        <f>+BC50/BC56</f>
        <v>0.28005339610765206</v>
      </c>
      <c r="BD52" s="151">
        <f>+BD50/BD56</f>
        <v>0.38956964728027005</v>
      </c>
      <c r="BE52" s="151">
        <f t="shared" si="106"/>
        <v>0.34994308721296674</v>
      </c>
      <c r="BF52" s="151">
        <f t="shared" si="106"/>
        <v>0.26504609908937732</v>
      </c>
      <c r="BG52" s="150">
        <f>+BG50/BG56</f>
        <v>1.2850241510475788</v>
      </c>
      <c r="BH52" s="151">
        <f t="shared" si="106"/>
        <v>0.29908262157420984</v>
      </c>
      <c r="BI52" s="151">
        <f t="shared" si="106"/>
        <v>0.38942515978601089</v>
      </c>
      <c r="BJ52" s="151">
        <f t="shared" si="106"/>
        <v>0.37551262414150899</v>
      </c>
      <c r="BK52" s="151">
        <f t="shared" si="106"/>
        <v>0.32118739588840234</v>
      </c>
      <c r="BL52" s="150">
        <f>+BL50/BL56</f>
        <v>1.3843743880947719</v>
      </c>
      <c r="BM52" s="409">
        <f>+BM50/BM56</f>
        <v>0.2929226355966657</v>
      </c>
      <c r="BN52" s="151">
        <f>+BN50/BN56</f>
        <v>0.40219677017619077</v>
      </c>
      <c r="BO52" s="151">
        <f>+BO50/BO56</f>
        <v>0.37606608018266069</v>
      </c>
      <c r="BP52" s="151">
        <f t="shared" si="106"/>
        <v>0.3023251600278512</v>
      </c>
      <c r="BQ52" s="150">
        <f>+BQ50/BQ56</f>
        <v>1.3727363296206279</v>
      </c>
      <c r="BR52" s="151">
        <f t="shared" si="106"/>
        <v>0.36854241990543163</v>
      </c>
      <c r="BS52" s="151">
        <f t="shared" si="106"/>
        <v>0.49453349093570809</v>
      </c>
      <c r="BT52" s="151">
        <f t="shared" ca="1" si="106"/>
        <v>0.40823728129958614</v>
      </c>
      <c r="BU52" s="151">
        <f t="shared" ca="1" si="106"/>
        <v>0.30953822202289355</v>
      </c>
      <c r="BV52" s="150">
        <f t="shared" ca="1" si="106"/>
        <v>1.5815917708269192</v>
      </c>
      <c r="BW52" s="432">
        <f t="shared" ca="1" si="106"/>
        <v>0.37827452799988986</v>
      </c>
      <c r="BX52" s="432">
        <f t="shared" ca="1" si="106"/>
        <v>0.52635160009051862</v>
      </c>
      <c r="BY52" s="432">
        <f t="shared" ca="1" si="106"/>
        <v>0.46245678399624729</v>
      </c>
      <c r="BZ52" s="432">
        <f t="shared" ca="1" si="106"/>
        <v>0.35191208476336727</v>
      </c>
      <c r="CA52" s="150">
        <f t="shared" ca="1" si="106"/>
        <v>1.7193292853691857</v>
      </c>
      <c r="CB52" s="151">
        <f t="shared" ca="1" si="106"/>
        <v>0.40874256160765726</v>
      </c>
      <c r="CC52" s="151">
        <f t="shared" ca="1" si="106"/>
        <v>0.56752539648309042</v>
      </c>
      <c r="CD52" s="151">
        <f t="shared" ca="1" si="106"/>
        <v>0.49990968588889739</v>
      </c>
      <c r="CE52" s="151">
        <f t="shared" ca="1" si="106"/>
        <v>0.3803307651543848</v>
      </c>
      <c r="CF52" s="433">
        <f t="shared" ca="1" si="106"/>
        <v>1.8568512091698688</v>
      </c>
      <c r="CG52" s="151">
        <f t="shared" ca="1" si="106"/>
        <v>0.44141644643166317</v>
      </c>
      <c r="CH52" s="151">
        <f t="shared" ca="1" si="106"/>
        <v>0.61261525061967514</v>
      </c>
      <c r="CI52" s="151">
        <f t="shared" ca="1" si="106"/>
        <v>0.54145874223414614</v>
      </c>
      <c r="CJ52" s="151">
        <f t="shared" ca="1" si="106"/>
        <v>0.41263059328304125</v>
      </c>
      <c r="CK52" s="150">
        <f t="shared" ca="1" si="106"/>
        <v>2.0084592453132797</v>
      </c>
      <c r="CL52" s="151">
        <f t="shared" ca="1" si="106"/>
        <v>0.47653071518336926</v>
      </c>
      <c r="CM52" s="151">
        <f t="shared" ca="1" si="106"/>
        <v>0.65945168768647344</v>
      </c>
      <c r="CN52" s="151">
        <f t="shared" ca="1" si="106"/>
        <v>0.58412182527868073</v>
      </c>
      <c r="CO52" s="151">
        <f t="shared" ca="1" si="106"/>
        <v>0.44572264335996309</v>
      </c>
      <c r="CP52" s="150">
        <f t="shared" ca="1" si="106"/>
        <v>2.1661718454052887</v>
      </c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</row>
    <row r="53" spans="1:111" s="123" customFormat="1" x14ac:dyDescent="0.25">
      <c r="B53" s="123" t="s">
        <v>27</v>
      </c>
      <c r="C53" s="70"/>
      <c r="D53" s="70">
        <f>+D52/C52-1</f>
        <v>-2.6731780934428406E-2</v>
      </c>
      <c r="E53" s="73"/>
      <c r="F53" s="73"/>
      <c r="G53" s="73"/>
      <c r="H53" s="88"/>
      <c r="I53" s="70">
        <f t="shared" ref="I53:W53" si="107">+I52/D52-1</f>
        <v>0.19083975060738467</v>
      </c>
      <c r="J53" s="73">
        <f t="shared" si="107"/>
        <v>0.30923639680063197</v>
      </c>
      <c r="K53" s="73">
        <f t="shared" si="107"/>
        <v>0.13223041845526096</v>
      </c>
      <c r="L53" s="73">
        <f t="shared" si="107"/>
        <v>0.20429030035151041</v>
      </c>
      <c r="M53" s="88">
        <f t="shared" si="107"/>
        <v>0.20616778493651644</v>
      </c>
      <c r="N53" s="70">
        <f t="shared" si="107"/>
        <v>0.20357449231275204</v>
      </c>
      <c r="O53" s="73">
        <f t="shared" si="107"/>
        <v>0.17541135607792868</v>
      </c>
      <c r="P53" s="73">
        <f t="shared" si="107"/>
        <v>6.3945890518334547E-2</v>
      </c>
      <c r="Q53" s="73">
        <f t="shared" si="107"/>
        <v>0.20222168976814725</v>
      </c>
      <c r="R53" s="88">
        <f t="shared" si="107"/>
        <v>-8.7532999752741758E-2</v>
      </c>
      <c r="S53" s="70">
        <f t="shared" si="107"/>
        <v>9.2868126278656593E-2</v>
      </c>
      <c r="T53" s="73">
        <f t="shared" si="107"/>
        <v>8.456659619450857E-3</v>
      </c>
      <c r="U53" s="73">
        <f>+U52/P52-1</f>
        <v>0.13141602811374664</v>
      </c>
      <c r="V53" s="73">
        <f t="shared" si="107"/>
        <v>4.0671620793859109E-2</v>
      </c>
      <c r="W53" s="88">
        <f t="shared" si="107"/>
        <v>0.45898605332451448</v>
      </c>
      <c r="X53" s="70">
        <f t="shared" ref="X53:AF53" si="108">+X52/S52-1</f>
        <v>0.13437724305874776</v>
      </c>
      <c r="Y53" s="73">
        <f t="shared" si="108"/>
        <v>0.11583228362380749</v>
      </c>
      <c r="Z53" s="73">
        <f t="shared" si="108"/>
        <v>0.13375529696629918</v>
      </c>
      <c r="AA53" s="73">
        <f t="shared" si="108"/>
        <v>-9.4406170304543457E-2</v>
      </c>
      <c r="AB53" s="73">
        <f ca="1">+AB52/W52-1</f>
        <v>-0.11033998477516349</v>
      </c>
      <c r="AC53" s="70">
        <f ca="1">+AC52/X52-1</f>
        <v>1.3890247896124031E-2</v>
      </c>
      <c r="AD53" s="73">
        <f t="shared" si="108"/>
        <v>0.17695269190629692</v>
      </c>
      <c r="AE53" s="73">
        <f t="shared" si="108"/>
        <v>5.0311584369624907E-2</v>
      </c>
      <c r="AF53" s="73">
        <f t="shared" si="108"/>
        <v>0.17495695691553514</v>
      </c>
      <c r="AG53" s="73">
        <f t="shared" ref="AG53:BL53" ca="1" si="109">+AG52/AB52-1</f>
        <v>-0.1493112018182059</v>
      </c>
      <c r="AH53" s="70">
        <f t="shared" ca="1" si="109"/>
        <v>7.0057401983691259E-2</v>
      </c>
      <c r="AI53" s="153">
        <f t="shared" si="109"/>
        <v>-6.4403917185816839E-2</v>
      </c>
      <c r="AJ53" s="153">
        <f t="shared" si="109"/>
        <v>6.1113735140944758E-2</v>
      </c>
      <c r="AK53" s="153">
        <f t="shared" si="109"/>
        <v>0.21066908733773326</v>
      </c>
      <c r="AL53" s="153">
        <f t="shared" ca="1" si="109"/>
        <v>0.62236994129413215</v>
      </c>
      <c r="AM53" s="70">
        <f t="shared" ca="1" si="109"/>
        <v>0.15502983030233652</v>
      </c>
      <c r="AN53" s="153">
        <f t="shared" si="109"/>
        <v>7.1176266065349436E-2</v>
      </c>
      <c r="AO53" s="73">
        <f t="shared" si="109"/>
        <v>3.9843317089058194E-2</v>
      </c>
      <c r="AP53" s="73">
        <f t="shared" si="109"/>
        <v>-3.3905199278333575E-2</v>
      </c>
      <c r="AQ53" s="103">
        <f t="shared" si="109"/>
        <v>-8.4422151432428261E-2</v>
      </c>
      <c r="AR53" s="70">
        <f t="shared" si="109"/>
        <v>-1.0090241869344929E-3</v>
      </c>
      <c r="AS53" s="73">
        <f t="shared" si="109"/>
        <v>0.27221408517254586</v>
      </c>
      <c r="AT53" s="73">
        <f t="shared" si="109"/>
        <v>0.1041520471469346</v>
      </c>
      <c r="AU53" s="73">
        <f t="shared" si="109"/>
        <v>0.18103831683823945</v>
      </c>
      <c r="AV53" s="73">
        <f t="shared" si="109"/>
        <v>7.6059690169118843E-2</v>
      </c>
      <c r="AW53" s="70">
        <f t="shared" si="109"/>
        <v>0.156752837270284</v>
      </c>
      <c r="AX53" s="73">
        <f t="shared" si="109"/>
        <v>-3.2858811638648899E-2</v>
      </c>
      <c r="AY53" s="73">
        <f t="shared" si="109"/>
        <v>0.18970726784218783</v>
      </c>
      <c r="AZ53" s="73">
        <f t="shared" si="109"/>
        <v>0.12445069629870242</v>
      </c>
      <c r="BA53" s="73">
        <f t="shared" si="109"/>
        <v>0.17443332444920956</v>
      </c>
      <c r="BB53" s="70">
        <f t="shared" si="109"/>
        <v>0.1137869177456361</v>
      </c>
      <c r="BC53" s="73">
        <f t="shared" si="109"/>
        <v>5.4214986886357286E-2</v>
      </c>
      <c r="BD53" s="73">
        <f t="shared" si="109"/>
        <v>1.7438669578922816E-2</v>
      </c>
      <c r="BE53" s="73">
        <f t="shared" si="109"/>
        <v>6.1652197579767698E-2</v>
      </c>
      <c r="BF53" s="73">
        <f t="shared" si="109"/>
        <v>7.4536320197033046E-2</v>
      </c>
      <c r="BG53" s="70">
        <f t="shared" si="109"/>
        <v>4.9232862975952862E-2</v>
      </c>
      <c r="BH53" s="73">
        <f t="shared" si="109"/>
        <v>6.7948561706578925E-2</v>
      </c>
      <c r="BI53" s="73">
        <f t="shared" si="109"/>
        <v>-3.7089001996915005E-4</v>
      </c>
      <c r="BJ53" s="73">
        <f t="shared" si="109"/>
        <v>7.3067701185882461E-2</v>
      </c>
      <c r="BK53" s="73">
        <f t="shared" si="109"/>
        <v>0.2118171027300928</v>
      </c>
      <c r="BL53" s="70">
        <f t="shared" si="109"/>
        <v>7.7313906486660589E-2</v>
      </c>
      <c r="BM53" s="395">
        <f t="shared" ref="BM53:CP53" si="110">+BM52/BH52-1</f>
        <v>-2.0596268499725179E-2</v>
      </c>
      <c r="BN53" s="73">
        <f t="shared" si="110"/>
        <v>3.2796058675812922E-2</v>
      </c>
      <c r="BO53" s="73">
        <f t="shared" si="110"/>
        <v>1.4738680022197137E-3</v>
      </c>
      <c r="BP53" s="73">
        <f t="shared" si="110"/>
        <v>-5.8726575519497892E-2</v>
      </c>
      <c r="BQ53" s="70">
        <f t="shared" si="110"/>
        <v>-8.4067276700783289E-3</v>
      </c>
      <c r="BR53" s="73">
        <f t="shared" si="110"/>
        <v>0.25815616520974216</v>
      </c>
      <c r="BS53" s="73">
        <f t="shared" si="110"/>
        <v>0.2295809603818233</v>
      </c>
      <c r="BT53" s="73">
        <f t="shared" ca="1" si="110"/>
        <v>8.5546670684310211E-2</v>
      </c>
      <c r="BU53" s="73">
        <f t="shared" ca="1" si="110"/>
        <v>2.3858622928961237E-2</v>
      </c>
      <c r="BV53" s="70">
        <f t="shared" ca="1" si="110"/>
        <v>0.15214534408367486</v>
      </c>
      <c r="BW53" s="73">
        <f t="shared" ca="1" si="110"/>
        <v>2.6407022825094328E-2</v>
      </c>
      <c r="BX53" s="73">
        <f t="shared" ca="1" si="110"/>
        <v>6.4339644812745567E-2</v>
      </c>
      <c r="BY53" s="73">
        <f t="shared" ca="1" si="110"/>
        <v>0.13281369727933301</v>
      </c>
      <c r="BZ53" s="73">
        <f t="shared" ca="1" si="110"/>
        <v>0.13689379768208321</v>
      </c>
      <c r="CA53" s="70">
        <f t="shared" ca="1" si="110"/>
        <v>8.7087905414588773E-2</v>
      </c>
      <c r="CB53" s="73">
        <f t="shared" ca="1" si="110"/>
        <v>8.0544766703869231E-2</v>
      </c>
      <c r="CC53" s="73">
        <f t="shared" ca="1" si="110"/>
        <v>7.8224890710868911E-2</v>
      </c>
      <c r="CD53" s="73">
        <f t="shared" ca="1" si="110"/>
        <v>8.0986814744086422E-2</v>
      </c>
      <c r="CE53" s="73">
        <f t="shared" ca="1" si="110"/>
        <v>8.0755056792456648E-2</v>
      </c>
      <c r="CF53" s="70">
        <f t="shared" ca="1" si="110"/>
        <v>7.9985797351874499E-2</v>
      </c>
      <c r="CG53" s="73">
        <f t="shared" ca="1" si="110"/>
        <v>7.9937564357119406E-2</v>
      </c>
      <c r="CH53" s="73">
        <f t="shared" ca="1" si="110"/>
        <v>7.9449931960759779E-2</v>
      </c>
      <c r="CI53" s="73">
        <f t="shared" ca="1" si="110"/>
        <v>8.3113125266556231E-2</v>
      </c>
      <c r="CJ53" s="73">
        <f t="shared" ca="1" si="110"/>
        <v>8.4925625502699553E-2</v>
      </c>
      <c r="CK53" s="70">
        <f t="shared" ca="1" si="110"/>
        <v>8.1647918473332748E-2</v>
      </c>
      <c r="CL53" s="73">
        <f t="shared" ca="1" si="110"/>
        <v>7.9549072164311063E-2</v>
      </c>
      <c r="CM53" s="73">
        <f t="shared" ca="1" si="110"/>
        <v>7.6453266580324364E-2</v>
      </c>
      <c r="CN53" s="73">
        <f t="shared" ca="1" si="110"/>
        <v>7.8792860317482116E-2</v>
      </c>
      <c r="CO53" s="73">
        <f t="shared" ca="1" si="110"/>
        <v>8.0197761910064003E-2</v>
      </c>
      <c r="CP53" s="70">
        <f t="shared" ca="1" si="110"/>
        <v>7.8524172427212546E-2</v>
      </c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</row>
    <row r="54" spans="1:111" s="123" customFormat="1" x14ac:dyDescent="0.25">
      <c r="C54" s="156"/>
      <c r="D54" s="254"/>
      <c r="E54" s="300"/>
      <c r="F54" s="300"/>
      <c r="G54" s="300"/>
      <c r="H54" s="301"/>
      <c r="I54" s="254"/>
      <c r="J54" s="300"/>
      <c r="K54" s="300"/>
      <c r="L54" s="300"/>
      <c r="M54" s="301"/>
      <c r="N54" s="254"/>
      <c r="O54" s="300"/>
      <c r="P54" s="300"/>
      <c r="Q54" s="300"/>
      <c r="R54" s="301"/>
      <c r="S54" s="254"/>
      <c r="T54" s="300"/>
      <c r="U54" s="300"/>
      <c r="V54" s="300"/>
      <c r="W54" s="301"/>
      <c r="X54" s="254"/>
      <c r="Y54" s="300"/>
      <c r="Z54" s="300"/>
      <c r="AA54" s="300"/>
      <c r="AB54" s="300"/>
      <c r="AC54" s="254"/>
      <c r="AD54" s="300"/>
      <c r="AE54" s="300"/>
      <c r="AF54" s="302"/>
      <c r="AG54" s="302"/>
      <c r="AH54" s="254"/>
      <c r="AI54" s="302"/>
      <c r="AJ54" s="302"/>
      <c r="AK54" s="302"/>
      <c r="AL54" s="302"/>
      <c r="AM54" s="254"/>
      <c r="AN54" s="302"/>
      <c r="AO54" s="51"/>
      <c r="AP54" s="51"/>
      <c r="AQ54" s="36"/>
      <c r="AR54" s="68"/>
      <c r="AS54" s="51"/>
      <c r="AT54" s="51"/>
      <c r="AU54" s="51"/>
      <c r="AV54" s="329"/>
      <c r="AW54" s="68"/>
      <c r="AX54" s="325"/>
      <c r="AY54" s="325"/>
      <c r="AZ54" s="325"/>
      <c r="BA54" s="325"/>
      <c r="BB54" s="330"/>
      <c r="BC54" s="325"/>
      <c r="BD54" s="325"/>
      <c r="BE54" s="325"/>
      <c r="BF54" s="325"/>
      <c r="BG54" s="353"/>
      <c r="BH54" s="159"/>
      <c r="BI54" s="354"/>
      <c r="BJ54" s="339"/>
      <c r="BK54" s="339"/>
      <c r="BL54" s="63"/>
      <c r="BM54" s="409"/>
      <c r="BN54" s="151"/>
      <c r="BO54" s="151"/>
      <c r="BP54" s="151"/>
      <c r="BQ54" s="415"/>
      <c r="BR54" s="369"/>
      <c r="BS54" s="416"/>
      <c r="BT54" s="339"/>
      <c r="BU54" s="339"/>
      <c r="BV54" s="70"/>
      <c r="BW54" s="73"/>
      <c r="BX54" s="73"/>
      <c r="BY54" s="73"/>
      <c r="BZ54" s="73"/>
      <c r="CA54" s="70"/>
      <c r="CB54" s="73"/>
      <c r="CC54" s="73"/>
      <c r="CD54" s="73"/>
      <c r="CE54" s="73"/>
      <c r="CF54" s="70"/>
      <c r="CG54" s="73"/>
      <c r="CH54" s="73"/>
      <c r="CI54" s="73"/>
      <c r="CJ54" s="73"/>
      <c r="CK54" s="70"/>
      <c r="CL54" s="73"/>
      <c r="CM54" s="73"/>
      <c r="CN54" s="73"/>
      <c r="CO54" s="73"/>
      <c r="CP54" s="70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G54" s="426"/>
    </row>
    <row r="55" spans="1:111" x14ac:dyDescent="0.25">
      <c r="A55" s="106" t="s">
        <v>28</v>
      </c>
      <c r="C55" s="137">
        <v>505.125</v>
      </c>
      <c r="D55" s="137">
        <v>455.25</v>
      </c>
      <c r="E55" s="140">
        <v>456.375</v>
      </c>
      <c r="F55" s="140">
        <v>456.375</v>
      </c>
      <c r="G55" s="140">
        <v>456.46125000000006</v>
      </c>
      <c r="H55" s="140">
        <v>456.77625000000006</v>
      </c>
      <c r="I55" s="137">
        <v>456.54750000000001</v>
      </c>
      <c r="J55" s="140">
        <v>456.34875</v>
      </c>
      <c r="K55" s="140">
        <v>457.56000000000006</v>
      </c>
      <c r="L55" s="140">
        <v>457.60125000000005</v>
      </c>
      <c r="M55" s="140">
        <v>458.58000000000004</v>
      </c>
      <c r="N55" s="137">
        <v>457.52250000000004</v>
      </c>
      <c r="O55" s="140">
        <v>573.22500000000002</v>
      </c>
      <c r="P55" s="140">
        <v>573.22500000000002</v>
      </c>
      <c r="Q55" s="140">
        <v>573.22500000000002</v>
      </c>
      <c r="R55" s="140">
        <v>573.22500000000002</v>
      </c>
      <c r="S55" s="137">
        <v>573.22500000000002</v>
      </c>
      <c r="T55" s="140">
        <v>573.22500000000002</v>
      </c>
      <c r="U55" s="140">
        <v>573.22500000000002</v>
      </c>
      <c r="V55" s="140">
        <v>575.79375000000005</v>
      </c>
      <c r="W55" s="140">
        <v>575.79375000000005</v>
      </c>
      <c r="X55" s="137">
        <v>574.50937499999998</v>
      </c>
      <c r="Y55" s="139">
        <v>564.7650000000001</v>
      </c>
      <c r="Z55" s="157">
        <v>564.7650000000001</v>
      </c>
      <c r="AA55" s="140">
        <v>564.54000000000008</v>
      </c>
      <c r="AB55" s="139">
        <v>563.42999999999972</v>
      </c>
      <c r="AC55" s="137">
        <v>564.375</v>
      </c>
      <c r="AD55" s="139">
        <v>561.0150000000001</v>
      </c>
      <c r="AE55" s="139">
        <v>554.97</v>
      </c>
      <c r="AF55" s="139">
        <v>550.34250000000009</v>
      </c>
      <c r="AG55" s="139">
        <v>550.23749999999995</v>
      </c>
      <c r="AH55" s="137">
        <v>554.14125000000001</v>
      </c>
      <c r="AI55" s="139">
        <v>549.63749999999993</v>
      </c>
      <c r="AJ55" s="139">
        <v>546.18375000000003</v>
      </c>
      <c r="AK55" s="139">
        <v>543.9787500000001</v>
      </c>
      <c r="AL55" s="139">
        <v>543.76874999999995</v>
      </c>
      <c r="AM55" s="137">
        <v>546.01125000000002</v>
      </c>
      <c r="AN55" s="139">
        <v>543.10500000000002</v>
      </c>
      <c r="AO55" s="139">
        <v>537.03375000000005</v>
      </c>
      <c r="AP55" s="139">
        <v>532.23</v>
      </c>
      <c r="AQ55" s="140">
        <v>532.55999999999995</v>
      </c>
      <c r="AR55" s="137">
        <v>536.32124999999996</v>
      </c>
      <c r="AS55" s="139">
        <v>532.92000000000007</v>
      </c>
      <c r="AT55" s="139">
        <v>533.19000000000005</v>
      </c>
      <c r="AU55" s="139">
        <v>533.64750000000004</v>
      </c>
      <c r="AV55" s="139">
        <v>533.95249999999999</v>
      </c>
      <c r="AW55" s="137">
        <v>533.42250000000001</v>
      </c>
      <c r="AX55" s="139">
        <v>534.27250000000004</v>
      </c>
      <c r="AY55" s="139">
        <v>533.96749999999997</v>
      </c>
      <c r="AZ55" s="139">
        <v>532.87750000000005</v>
      </c>
      <c r="BA55" s="139">
        <v>533.24</v>
      </c>
      <c r="BB55" s="137">
        <v>533.63499999999999</v>
      </c>
      <c r="BC55" s="139">
        <v>533.61</v>
      </c>
      <c r="BD55" s="139">
        <v>530.21749999999997</v>
      </c>
      <c r="BE55" s="139">
        <v>527.81500000000005</v>
      </c>
      <c r="BF55" s="139">
        <v>524.65249999999992</v>
      </c>
      <c r="BG55" s="194">
        <v>528.98249999999996</v>
      </c>
      <c r="BH55" s="139">
        <v>518.15750000000003</v>
      </c>
      <c r="BI55" s="139">
        <v>510.13750000000005</v>
      </c>
      <c r="BJ55" s="139">
        <v>502.95499999999998</v>
      </c>
      <c r="BK55" s="139">
        <v>498.30950000000001</v>
      </c>
      <c r="BL55" s="194">
        <v>507.4425</v>
      </c>
      <c r="BM55" s="410">
        <v>491.27249999999998</v>
      </c>
      <c r="BN55" s="410">
        <v>486.3125</v>
      </c>
      <c r="BO55" s="410">
        <v>480.65</v>
      </c>
      <c r="BP55" s="410">
        <v>479.7</v>
      </c>
      <c r="BQ55" s="420">
        <v>484.63500000000005</v>
      </c>
      <c r="BR55" s="410">
        <v>480.04750000000001</v>
      </c>
      <c r="BS55" s="410">
        <v>480.15</v>
      </c>
      <c r="BT55" s="158">
        <f>BS55-BS171/2-BT171/2</f>
        <v>478.69718735471872</v>
      </c>
      <c r="BU55" s="158">
        <f>BT55-BT171/2-BU171/2</f>
        <v>475.81303220177119</v>
      </c>
      <c r="BV55" s="196">
        <f>AVERAGE(BR55:BU55)</f>
        <v>478.6769298891225</v>
      </c>
      <c r="BW55" s="158">
        <f>BU55-BU171/2-BW171/2</f>
        <v>473.20653164183375</v>
      </c>
      <c r="BX55" s="158">
        <f>BW55-BW171/2-BX171/2</f>
        <v>470.87358240505898</v>
      </c>
      <c r="BY55" s="158">
        <f>BX55-BX171/2-BY171/2</f>
        <v>468.57511025060109</v>
      </c>
      <c r="BZ55" s="158">
        <f>BY55-BY171/2-BZ171/2</f>
        <v>466.31060566492829</v>
      </c>
      <c r="CA55" s="196">
        <f>AVERAGE(BW55:BZ55)</f>
        <v>469.74145749060551</v>
      </c>
      <c r="CB55" s="158">
        <f>BZ55-BZ171/2-CB171/2</f>
        <v>464.07956666426543</v>
      </c>
      <c r="CC55" s="158">
        <f>CB55-CB171/2-CC171/2</f>
        <v>461.88149868331675</v>
      </c>
      <c r="CD55" s="158">
        <f>CC55-CC171/2-CD171/2</f>
        <v>459.71591446563332</v>
      </c>
      <c r="CE55" s="158">
        <f>CD55-CD171/2-CE171/2</f>
        <v>457.5823339556004</v>
      </c>
      <c r="CF55" s="196">
        <f>AVERAGE(CB55:CE55)</f>
        <v>460.81482844220398</v>
      </c>
      <c r="CG55" s="158">
        <f>CE55-CE171/2-CG171/2</f>
        <v>455.4802841920212</v>
      </c>
      <c r="CH55" s="158">
        <f>CG55-CG171/2-CH171/2</f>
        <v>453.40929920327324</v>
      </c>
      <c r="CI55" s="158">
        <f>CH55-CH171/2-CI171/2</f>
        <v>451.36891990401415</v>
      </c>
      <c r="CJ55" s="158">
        <f>CI55-CI171/2-CJ171/2</f>
        <v>449.35869399341402</v>
      </c>
      <c r="CK55" s="196">
        <f>AVERAGE(CG55:CJ55)</f>
        <v>452.40429932318068</v>
      </c>
      <c r="CL55" s="158">
        <f>CJ55-CJ171/2-CL171/2</f>
        <v>447.37817585489171</v>
      </c>
      <c r="CM55" s="158">
        <f>CL55-CL171/2-CM171/2</f>
        <v>445.4269264573328</v>
      </c>
      <c r="CN55" s="158">
        <f>CM55-CM171/2-CN171/2</f>
        <v>443.50451325776737</v>
      </c>
      <c r="CO55" s="158">
        <f>CN55-CN171/2-CO171/2</f>
        <v>441.61051010548618</v>
      </c>
      <c r="CP55" s="196">
        <f>AVERAGE(CL55:CO55)</f>
        <v>444.48003141886949</v>
      </c>
      <c r="DG55" s="426"/>
    </row>
    <row r="56" spans="1:111" x14ac:dyDescent="0.25">
      <c r="A56" s="106" t="s">
        <v>29</v>
      </c>
      <c r="C56" s="137">
        <v>506.72250000000008</v>
      </c>
      <c r="D56" s="137">
        <v>571.65117187500005</v>
      </c>
      <c r="E56" s="139">
        <v>573.81562499999995</v>
      </c>
      <c r="F56" s="139">
        <v>573.82968750000009</v>
      </c>
      <c r="G56" s="139">
        <v>574.13437499999998</v>
      </c>
      <c r="H56" s="139">
        <v>575.26874999999995</v>
      </c>
      <c r="I56" s="137">
        <v>574.26210937500002</v>
      </c>
      <c r="J56" s="139">
        <v>573.81562499999995</v>
      </c>
      <c r="K56" s="139">
        <v>577.69687500000009</v>
      </c>
      <c r="L56" s="139">
        <v>579.17812499999991</v>
      </c>
      <c r="M56" s="139">
        <v>580.25156249999998</v>
      </c>
      <c r="N56" s="137">
        <v>577.73554687500007</v>
      </c>
      <c r="O56" s="139">
        <v>581.55937500000005</v>
      </c>
      <c r="P56" s="139">
        <v>582.61406250000005</v>
      </c>
      <c r="Q56" s="139">
        <v>582.328125</v>
      </c>
      <c r="R56" s="139">
        <v>582.35625000000005</v>
      </c>
      <c r="S56" s="137">
        <v>582.21445312499998</v>
      </c>
      <c r="T56" s="139">
        <v>581.55937500000005</v>
      </c>
      <c r="U56" s="139">
        <v>583.75312499999995</v>
      </c>
      <c r="V56" s="139">
        <v>581.13</v>
      </c>
      <c r="W56" s="139">
        <v>570.79218750000007</v>
      </c>
      <c r="X56" s="137">
        <v>579.30867187499996</v>
      </c>
      <c r="Y56" s="139">
        <v>569.2650000000001</v>
      </c>
      <c r="Z56" s="139">
        <v>569.35500000000002</v>
      </c>
      <c r="AA56" s="140">
        <v>568.07249999999999</v>
      </c>
      <c r="AB56" s="96">
        <v>565.83749999999998</v>
      </c>
      <c r="AC56" s="122">
        <v>568.125</v>
      </c>
      <c r="AD56" s="96">
        <v>563.51625000000001</v>
      </c>
      <c r="AE56" s="96">
        <v>557.60249999999996</v>
      </c>
      <c r="AF56" s="96">
        <v>553.28250000000003</v>
      </c>
      <c r="AG56" s="96">
        <v>553.27874999999995</v>
      </c>
      <c r="AH56" s="122">
        <v>556.91999999999996</v>
      </c>
      <c r="AI56" s="96">
        <v>552.69374999999991</v>
      </c>
      <c r="AJ56" s="96">
        <v>549.39</v>
      </c>
      <c r="AK56" s="96">
        <v>547.65</v>
      </c>
      <c r="AL56" s="96">
        <v>547.4887500000001</v>
      </c>
      <c r="AM56" s="122">
        <v>549.42750000000001</v>
      </c>
      <c r="AN56" s="96">
        <v>547.00125000000003</v>
      </c>
      <c r="AO56" s="96">
        <v>540.69000000000005</v>
      </c>
      <c r="AP56" s="96">
        <v>536.25</v>
      </c>
      <c r="AQ56" s="97">
        <v>536.52375000000006</v>
      </c>
      <c r="AR56" s="122">
        <v>540.20625000000007</v>
      </c>
      <c r="AS56" s="96">
        <v>536.995</v>
      </c>
      <c r="AT56" s="96">
        <v>537.22749999999996</v>
      </c>
      <c r="AU56" s="96">
        <v>537.62749999999994</v>
      </c>
      <c r="AV56" s="96">
        <v>538.03</v>
      </c>
      <c r="AW56" s="122">
        <v>537.46499999999992</v>
      </c>
      <c r="AX56" s="96">
        <v>538.29999999999995</v>
      </c>
      <c r="AY56" s="96">
        <v>538.01</v>
      </c>
      <c r="AZ56" s="96">
        <v>536.98</v>
      </c>
      <c r="BA56" s="96">
        <v>537.34500000000003</v>
      </c>
      <c r="BB56" s="122">
        <v>537.70499999999993</v>
      </c>
      <c r="BC56" s="96">
        <v>537.54750000000001</v>
      </c>
      <c r="BD56" s="96">
        <v>533.92250000000001</v>
      </c>
      <c r="BE56" s="96">
        <v>531.51499999999999</v>
      </c>
      <c r="BF56" s="96">
        <v>528.21</v>
      </c>
      <c r="BG56" s="122">
        <v>532.70749999999998</v>
      </c>
      <c r="BH56" s="96">
        <v>521.59500000000003</v>
      </c>
      <c r="BI56" s="96">
        <v>513.57749999999999</v>
      </c>
      <c r="BJ56" s="96">
        <v>505.97499999999997</v>
      </c>
      <c r="BK56" s="96">
        <v>501.26499999999999</v>
      </c>
      <c r="BL56" s="122">
        <v>510.7</v>
      </c>
      <c r="BM56" s="401">
        <v>495.01125000000002</v>
      </c>
      <c r="BN56" s="401">
        <v>489.81</v>
      </c>
      <c r="BO56" s="401">
        <v>483.95749999999998</v>
      </c>
      <c r="BP56" s="401">
        <v>482.92374999999998</v>
      </c>
      <c r="BQ56" s="375">
        <v>488.07625000000002</v>
      </c>
      <c r="BR56" s="401">
        <v>482.98374999999999</v>
      </c>
      <c r="BS56" s="401">
        <v>483.28375</v>
      </c>
      <c r="BT56" s="121">
        <f>BS56+0.025-BS171/2-BT171/2</f>
        <v>481.85593735471872</v>
      </c>
      <c r="BU56" s="121">
        <f>BT56+0.025-BT171/2-BU171/2</f>
        <v>478.99678220177117</v>
      </c>
      <c r="BV56" s="122">
        <f>AVERAGE(BR56:BU56)</f>
        <v>481.78005488912243</v>
      </c>
      <c r="BW56" s="121">
        <f>BU56+0.025-BU171/2-BW171/2</f>
        <v>476.4152816418337</v>
      </c>
      <c r="BX56" s="121">
        <f>BW56+0.025-BW171/2-BX171/2</f>
        <v>474.10733240505891</v>
      </c>
      <c r="BY56" s="121">
        <f>BX56+0.025-BX171/2-BY171/2</f>
        <v>471.83386025060099</v>
      </c>
      <c r="BZ56" s="121">
        <f>BY56+0.025-BY171/2-BZ171/2</f>
        <v>469.59435566492817</v>
      </c>
      <c r="CA56" s="122">
        <f>AVERAGE(BW56:BZ56)</f>
        <v>472.98770749060543</v>
      </c>
      <c r="CB56" s="121">
        <f>BZ56+0.025-BZ171/2-CB171/2</f>
        <v>467.38831666426529</v>
      </c>
      <c r="CC56" s="121">
        <f>CB56+0.025-CB171/2-CC171/2</f>
        <v>465.21524868331659</v>
      </c>
      <c r="CD56" s="121">
        <f>CC56+0.025-CC171/2-CD171/2</f>
        <v>463.07466446563313</v>
      </c>
      <c r="CE56" s="121">
        <f>CD56+0.025-CD171/2-CE171/2</f>
        <v>460.9660839556002</v>
      </c>
      <c r="CF56" s="122">
        <f>AVERAGE(CB56:CE56)</f>
        <v>464.1610784422038</v>
      </c>
      <c r="CG56" s="121">
        <f>CE56+0.025-CE171/2-CG171/2</f>
        <v>458.88903419202097</v>
      </c>
      <c r="CH56" s="121">
        <f>CG56+0.025-CG171/2-CH171/2</f>
        <v>456.84304920327298</v>
      </c>
      <c r="CI56" s="121">
        <f>CH56+0.025-CH171/2-CI171/2</f>
        <v>454.82766990401387</v>
      </c>
      <c r="CJ56" s="121">
        <f>CI56+0.025-CI171/2-CJ171/2</f>
        <v>452.84244399341378</v>
      </c>
      <c r="CK56" s="122">
        <f>AVERAGE(CG56:CJ56)</f>
        <v>455.85054932318042</v>
      </c>
      <c r="CL56" s="121">
        <f>CJ56+0.025-CJ171/2-CL171/2</f>
        <v>450.88692585489144</v>
      </c>
      <c r="CM56" s="121">
        <f>CL56+0.025-CL171/2-CM171/2</f>
        <v>448.96067645733251</v>
      </c>
      <c r="CN56" s="121">
        <f>CM56+0.025-CM171/2-CN171/2</f>
        <v>447.06326325776706</v>
      </c>
      <c r="CO56" s="121">
        <f>CN56+0.025-CN171/2-CO171/2</f>
        <v>445.19426010548585</v>
      </c>
      <c r="CP56" s="122">
        <f>AVERAGE(CL56:CO56)</f>
        <v>448.02628141886925</v>
      </c>
    </row>
    <row r="57" spans="1:111" x14ac:dyDescent="0.25">
      <c r="C57" s="259"/>
      <c r="D57" s="259"/>
      <c r="E57" s="282"/>
      <c r="F57" s="282"/>
      <c r="G57" s="282"/>
      <c r="H57" s="282"/>
      <c r="I57" s="259"/>
      <c r="J57" s="282"/>
      <c r="K57" s="282"/>
      <c r="L57" s="282"/>
      <c r="M57" s="282"/>
      <c r="N57" s="259"/>
      <c r="O57" s="282"/>
      <c r="P57" s="282"/>
      <c r="Q57" s="282"/>
      <c r="R57" s="282"/>
      <c r="S57" s="259"/>
      <c r="T57" s="282"/>
      <c r="U57" s="282"/>
      <c r="V57" s="282"/>
      <c r="W57" s="282"/>
      <c r="X57" s="259"/>
      <c r="Y57" s="282"/>
      <c r="Z57" s="282"/>
      <c r="AA57" s="283"/>
      <c r="AB57" s="282"/>
      <c r="AC57" s="284"/>
      <c r="AD57" s="285"/>
      <c r="AE57" s="285"/>
      <c r="AF57" s="286"/>
      <c r="AG57" s="286"/>
      <c r="AH57" s="287"/>
      <c r="AI57" s="285"/>
      <c r="AJ57" s="285"/>
      <c r="AK57" s="285"/>
      <c r="AL57" s="288"/>
      <c r="AM57" s="287"/>
      <c r="AN57" s="285"/>
      <c r="AO57" s="285"/>
      <c r="AP57" s="285"/>
      <c r="AQ57" s="286"/>
      <c r="AR57" s="287"/>
      <c r="AS57" s="265"/>
      <c r="AT57" s="265"/>
      <c r="AU57" s="265"/>
      <c r="AV57" s="265"/>
      <c r="AW57" s="281"/>
      <c r="AX57" s="265"/>
      <c r="AY57" s="265"/>
      <c r="AZ57" s="265"/>
      <c r="BA57" s="265"/>
      <c r="BB57" s="266"/>
      <c r="BC57" s="151"/>
      <c r="BD57" s="151"/>
      <c r="BE57" s="151"/>
      <c r="BF57" s="151"/>
      <c r="BG57" s="150"/>
      <c r="BH57" s="151"/>
      <c r="BI57" s="66"/>
      <c r="BJ57" s="151"/>
      <c r="BK57" s="151"/>
      <c r="BL57" s="150"/>
      <c r="BM57" s="387"/>
      <c r="BN57" s="121"/>
      <c r="BO57" s="121"/>
      <c r="BP57" s="121"/>
      <c r="BQ57" s="355"/>
      <c r="BR57" s="121"/>
      <c r="BS57" s="121"/>
      <c r="BT57" s="294"/>
      <c r="BU57" s="294"/>
      <c r="BV57" s="428"/>
      <c r="BW57" s="294"/>
      <c r="BX57" s="294"/>
      <c r="BY57" s="294"/>
      <c r="BZ57" s="294"/>
      <c r="CA57" s="428"/>
      <c r="CB57" s="294"/>
      <c r="CC57" s="294"/>
      <c r="CD57" s="294"/>
      <c r="CE57" s="294"/>
      <c r="CF57" s="428"/>
      <c r="CG57" s="294"/>
      <c r="CH57" s="294"/>
      <c r="CI57" s="294"/>
      <c r="CJ57" s="294"/>
      <c r="CK57" s="428"/>
      <c r="CL57" s="294"/>
      <c r="CM57" s="294"/>
      <c r="CN57" s="294"/>
      <c r="CO57" s="294"/>
      <c r="CP57" s="428"/>
    </row>
    <row r="58" spans="1:111" hidden="1" outlineLevel="1" x14ac:dyDescent="0.25">
      <c r="A58" s="160" t="s">
        <v>198</v>
      </c>
      <c r="B58" s="161"/>
      <c r="C58" s="144"/>
      <c r="D58" s="291"/>
      <c r="E58" s="292"/>
      <c r="F58" s="292"/>
      <c r="G58" s="292"/>
      <c r="H58" s="292"/>
      <c r="I58" s="291"/>
      <c r="J58" s="292"/>
      <c r="K58" s="292"/>
      <c r="L58" s="292"/>
      <c r="M58" s="292"/>
      <c r="N58" s="291"/>
      <c r="O58" s="292"/>
      <c r="P58" s="292"/>
      <c r="Q58" s="292"/>
      <c r="R58" s="292"/>
      <c r="S58" s="291"/>
      <c r="T58" s="292"/>
      <c r="U58" s="292"/>
      <c r="V58" s="292"/>
      <c r="W58" s="292"/>
      <c r="X58" s="291"/>
      <c r="Y58" s="292"/>
      <c r="Z58" s="292"/>
      <c r="AA58" s="35"/>
      <c r="AB58" s="292"/>
      <c r="AC58" s="293"/>
      <c r="AD58" s="292"/>
      <c r="AE58" s="285"/>
      <c r="AF58" s="285"/>
      <c r="AG58" s="285"/>
      <c r="AH58" s="289"/>
      <c r="AI58" s="290"/>
      <c r="AJ58" s="290"/>
      <c r="AK58" s="290"/>
      <c r="AL58" s="290"/>
      <c r="AM58" s="289"/>
      <c r="AN58" s="290"/>
      <c r="AO58" s="290"/>
      <c r="AP58" s="290"/>
      <c r="AQ58" s="290"/>
      <c r="AR58" s="289"/>
      <c r="AS58" s="148"/>
      <c r="AT58" s="148"/>
      <c r="AU58" s="148"/>
      <c r="AV58" s="148"/>
      <c r="AW58" s="149"/>
      <c r="AX58" s="121"/>
      <c r="AY58" s="121"/>
      <c r="AZ58" s="121"/>
      <c r="BA58" s="121"/>
      <c r="BB58" s="122"/>
      <c r="BC58" s="121"/>
      <c r="BD58" s="121"/>
      <c r="BE58" s="121"/>
      <c r="BF58" s="121"/>
      <c r="BG58" s="122"/>
      <c r="BH58" s="121"/>
      <c r="BI58" s="121"/>
      <c r="BJ58" s="121"/>
      <c r="BK58" s="121"/>
      <c r="BL58" s="122"/>
      <c r="BM58" s="387"/>
      <c r="BN58" s="74"/>
      <c r="BO58" s="121"/>
      <c r="BP58" s="121"/>
      <c r="BQ58" s="122"/>
      <c r="BR58" s="121"/>
      <c r="BS58" s="121"/>
      <c r="BT58" s="431"/>
      <c r="BU58" s="429"/>
      <c r="BV58" s="430"/>
      <c r="BW58" s="429"/>
      <c r="BX58" s="429"/>
      <c r="BY58" s="429"/>
      <c r="BZ58" s="429"/>
      <c r="CA58" s="430"/>
      <c r="CB58" s="429"/>
      <c r="CC58" s="429"/>
      <c r="CD58" s="429"/>
      <c r="CE58" s="429"/>
      <c r="CF58" s="307"/>
      <c r="CG58" s="429"/>
      <c r="CH58" s="429"/>
      <c r="CI58" s="429"/>
      <c r="CJ58" s="429"/>
      <c r="CK58" s="430"/>
      <c r="CL58" s="429"/>
      <c r="CM58" s="429"/>
      <c r="CN58" s="429"/>
      <c r="CO58" s="429"/>
      <c r="CP58" s="430"/>
    </row>
    <row r="59" spans="1:111" hidden="1" outlineLevel="1" x14ac:dyDescent="0.25">
      <c r="A59" s="161" t="s">
        <v>199</v>
      </c>
      <c r="B59" s="161"/>
      <c r="C59" s="137"/>
      <c r="D59" s="137"/>
      <c r="E59" s="139"/>
      <c r="F59" s="139"/>
      <c r="G59" s="139"/>
      <c r="H59" s="139"/>
      <c r="I59" s="137"/>
      <c r="J59" s="139"/>
      <c r="K59" s="139"/>
      <c r="L59" s="139"/>
      <c r="M59" s="139"/>
      <c r="N59" s="137"/>
      <c r="O59" s="162">
        <v>0</v>
      </c>
      <c r="P59" s="162">
        <v>0</v>
      </c>
      <c r="Q59" s="162">
        <v>0</v>
      </c>
      <c r="R59" s="162">
        <v>0</v>
      </c>
      <c r="S59" s="163">
        <f t="shared" ref="S59:S65" si="111">SUM(O59:R59)</f>
        <v>0</v>
      </c>
      <c r="T59" s="162">
        <v>0</v>
      </c>
      <c r="U59" s="162">
        <v>0</v>
      </c>
      <c r="V59" s="162">
        <v>0</v>
      </c>
      <c r="W59" s="162">
        <v>0</v>
      </c>
      <c r="X59" s="163">
        <f t="shared" ref="X59:X65" si="112">SUM(T59:W59)</f>
        <v>0</v>
      </c>
      <c r="Y59" s="162">
        <v>0</v>
      </c>
      <c r="Z59" s="162">
        <v>0</v>
      </c>
      <c r="AA59" s="162">
        <v>0</v>
      </c>
      <c r="AB59" s="162">
        <v>0</v>
      </c>
      <c r="AC59" s="163">
        <f t="shared" ref="AC59:AC65" si="113">SUM(Y59:AB59)</f>
        <v>0</v>
      </c>
      <c r="AD59" s="162">
        <v>0</v>
      </c>
      <c r="AE59" s="162">
        <v>0</v>
      </c>
      <c r="AF59" s="162">
        <v>0</v>
      </c>
      <c r="AG59" s="162">
        <v>0</v>
      </c>
      <c r="AH59" s="163">
        <f>SUM(AD59:AG59)</f>
        <v>0</v>
      </c>
      <c r="AI59" s="162">
        <v>0</v>
      </c>
      <c r="AJ59" s="162">
        <v>0</v>
      </c>
      <c r="AK59" s="162">
        <v>0</v>
      </c>
      <c r="AL59" s="162">
        <v>0</v>
      </c>
      <c r="AM59" s="163">
        <f>SUM(AI59:AL59)</f>
        <v>0</v>
      </c>
      <c r="AN59" s="294"/>
      <c r="AO59" s="294"/>
      <c r="AP59" s="294"/>
      <c r="AQ59" s="294"/>
      <c r="AR59" s="163">
        <f>SUM(AN59:AQ59)</f>
        <v>0</v>
      </c>
      <c r="AS59" s="121"/>
      <c r="AT59" s="121"/>
      <c r="AU59" s="121"/>
      <c r="AV59" s="121"/>
      <c r="AW59" s="163">
        <f>SUM(AS59:AV59)</f>
        <v>0</v>
      </c>
      <c r="AX59" s="121"/>
      <c r="AY59" s="121"/>
      <c r="AZ59" s="121"/>
      <c r="BA59" s="121"/>
      <c r="BB59" s="163">
        <f>SUM(AX59:BA59)</f>
        <v>0</v>
      </c>
      <c r="BC59" s="121"/>
      <c r="BD59" s="121"/>
      <c r="BE59" s="121"/>
      <c r="BF59" s="121"/>
      <c r="BG59" s="163">
        <f>SUM(BC59:BF59)</f>
        <v>0</v>
      </c>
      <c r="BH59" s="121"/>
      <c r="BI59" s="121"/>
      <c r="BJ59" s="121"/>
      <c r="BK59" s="121"/>
      <c r="BL59" s="163">
        <f>SUM(BH59:BK59)</f>
        <v>0</v>
      </c>
      <c r="BM59" s="387"/>
      <c r="BN59" s="121"/>
      <c r="BO59" s="121"/>
      <c r="BP59" s="121"/>
      <c r="BQ59" s="163">
        <f>SUM(BM59:BP59)</f>
        <v>0</v>
      </c>
      <c r="BR59" s="121"/>
      <c r="BS59" s="121"/>
      <c r="BT59" s="121"/>
      <c r="BU59" s="121"/>
      <c r="BV59" s="163">
        <f>SUM(BR59:BU59)</f>
        <v>0</v>
      </c>
      <c r="BW59" s="121"/>
      <c r="BX59" s="121"/>
      <c r="BY59" s="121"/>
      <c r="BZ59" s="121"/>
      <c r="CA59" s="163">
        <f>SUM(BW59:BZ59)</f>
        <v>0</v>
      </c>
      <c r="CB59" s="121"/>
      <c r="CC59" s="121"/>
      <c r="CD59" s="121"/>
      <c r="CE59" s="121"/>
      <c r="CF59" s="163">
        <f>SUM(CB59:CE59)</f>
        <v>0</v>
      </c>
      <c r="CG59" s="121"/>
      <c r="CH59" s="121"/>
      <c r="CI59" s="121"/>
      <c r="CJ59" s="121"/>
      <c r="CK59" s="163">
        <f>SUM(CG59:CJ59)</f>
        <v>0</v>
      </c>
      <c r="CL59" s="121"/>
      <c r="CM59" s="121"/>
      <c r="CN59" s="121"/>
      <c r="CO59" s="121"/>
      <c r="CP59" s="163">
        <f>SUM(CL59:CO59)</f>
        <v>0</v>
      </c>
    </row>
    <row r="60" spans="1:111" hidden="1" outlineLevel="1" x14ac:dyDescent="0.25">
      <c r="A60" s="161" t="s">
        <v>200</v>
      </c>
      <c r="B60" s="161"/>
      <c r="C60" s="137"/>
      <c r="D60" s="137"/>
      <c r="E60" s="139"/>
      <c r="F60" s="139"/>
      <c r="G60" s="139"/>
      <c r="H60" s="139"/>
      <c r="I60" s="137"/>
      <c r="J60" s="139"/>
      <c r="K60" s="139"/>
      <c r="L60" s="139"/>
      <c r="M60" s="139"/>
      <c r="N60" s="137"/>
      <c r="O60" s="162">
        <v>-0.9</v>
      </c>
      <c r="P60" s="162">
        <v>-0.9</v>
      </c>
      <c r="Q60" s="162">
        <v>-6.5</v>
      </c>
      <c r="R60" s="162">
        <v>-2.5</v>
      </c>
      <c r="S60" s="163">
        <f t="shared" si="111"/>
        <v>-10.8</v>
      </c>
      <c r="T60" s="162">
        <v>-0.1</v>
      </c>
      <c r="U60" s="162">
        <v>-0.1</v>
      </c>
      <c r="V60" s="162">
        <v>0.1</v>
      </c>
      <c r="W60" s="162">
        <v>0.4</v>
      </c>
      <c r="X60" s="163">
        <f t="shared" si="112"/>
        <v>0.30000000000000004</v>
      </c>
      <c r="Y60" s="162">
        <v>0</v>
      </c>
      <c r="Z60" s="162">
        <v>0</v>
      </c>
      <c r="AA60" s="162">
        <v>0</v>
      </c>
      <c r="AB60" s="162">
        <v>0</v>
      </c>
      <c r="AC60" s="163">
        <f t="shared" si="113"/>
        <v>0</v>
      </c>
      <c r="AD60" s="162">
        <v>0</v>
      </c>
      <c r="AE60" s="162">
        <v>0</v>
      </c>
      <c r="AF60" s="162">
        <v>0</v>
      </c>
      <c r="AG60" s="162">
        <v>0</v>
      </c>
      <c r="AH60" s="163">
        <f>SUM(AD60:AG60)</f>
        <v>0</v>
      </c>
      <c r="AI60" s="162">
        <v>0</v>
      </c>
      <c r="AJ60" s="162">
        <v>0</v>
      </c>
      <c r="AK60" s="162">
        <v>0</v>
      </c>
      <c r="AL60" s="162">
        <v>0</v>
      </c>
      <c r="AM60" s="163">
        <f>SUM(AI60:AL60)</f>
        <v>0</v>
      </c>
      <c r="AN60" s="121"/>
      <c r="AO60" s="121"/>
      <c r="AP60" s="121"/>
      <c r="AQ60" s="121"/>
      <c r="AR60" s="163">
        <f>SUM(AN60:AQ60)</f>
        <v>0</v>
      </c>
      <c r="AS60" s="121"/>
      <c r="AT60" s="121"/>
      <c r="AU60" s="121"/>
      <c r="AV60" s="121"/>
      <c r="AW60" s="163">
        <f>SUM(AS60:AV60)</f>
        <v>0</v>
      </c>
      <c r="AX60" s="121"/>
      <c r="AY60" s="121"/>
      <c r="AZ60" s="121"/>
      <c r="BA60" s="121"/>
      <c r="BB60" s="163">
        <f>SUM(AX60:BA60)</f>
        <v>0</v>
      </c>
      <c r="BC60" s="121"/>
      <c r="BD60" s="121"/>
      <c r="BE60" s="121"/>
      <c r="BF60" s="121"/>
      <c r="BG60" s="163">
        <f>SUM(BC60:BF60)</f>
        <v>0</v>
      </c>
      <c r="BH60" s="121"/>
      <c r="BI60" s="121"/>
      <c r="BJ60" s="121"/>
      <c r="BK60" s="121"/>
      <c r="BL60" s="163">
        <f>SUM(BH60:BK60)</f>
        <v>0</v>
      </c>
      <c r="BM60" s="387"/>
      <c r="BN60" s="121"/>
      <c r="BO60" s="121"/>
      <c r="BP60" s="121"/>
      <c r="BQ60" s="163">
        <f>SUM(BM60:BP60)</f>
        <v>0</v>
      </c>
      <c r="BR60" s="121"/>
      <c r="BS60" s="121"/>
      <c r="BT60" s="121"/>
      <c r="BU60" s="121"/>
      <c r="BV60" s="163">
        <f>SUM(BR60:BU60)</f>
        <v>0</v>
      </c>
      <c r="BW60" s="121"/>
      <c r="BX60" s="121"/>
      <c r="BY60" s="121"/>
      <c r="BZ60" s="121"/>
      <c r="CA60" s="163">
        <f>SUM(BW60:BZ60)</f>
        <v>0</v>
      </c>
      <c r="CB60" s="121"/>
      <c r="CC60" s="121"/>
      <c r="CD60" s="121"/>
      <c r="CE60" s="121"/>
      <c r="CF60" s="163">
        <f>SUM(CB60:CE60)</f>
        <v>0</v>
      </c>
      <c r="CG60" s="121"/>
      <c r="CH60" s="121"/>
      <c r="CI60" s="121"/>
      <c r="CJ60" s="121"/>
      <c r="CK60" s="163">
        <f>SUM(CG60:CJ60)</f>
        <v>0</v>
      </c>
      <c r="CL60" s="121"/>
      <c r="CM60" s="121"/>
      <c r="CN60" s="121"/>
      <c r="CO60" s="121"/>
      <c r="CP60" s="163">
        <f>SUM(CL60:CO60)</f>
        <v>0</v>
      </c>
    </row>
    <row r="61" spans="1:111" hidden="1" outlineLevel="1" x14ac:dyDescent="0.25">
      <c r="A61" s="161" t="s">
        <v>193</v>
      </c>
      <c r="B61" s="161"/>
      <c r="C61" s="137"/>
      <c r="D61" s="137"/>
      <c r="E61" s="139"/>
      <c r="F61" s="139"/>
      <c r="G61" s="139"/>
      <c r="H61" s="139"/>
      <c r="I61" s="137"/>
      <c r="J61" s="139"/>
      <c r="K61" s="139"/>
      <c r="L61" s="139"/>
      <c r="M61" s="139"/>
      <c r="N61" s="137"/>
      <c r="O61" s="162">
        <v>0</v>
      </c>
      <c r="P61" s="162">
        <v>0</v>
      </c>
      <c r="Q61" s="162">
        <v>0</v>
      </c>
      <c r="R61" s="162">
        <v>0</v>
      </c>
      <c r="S61" s="163">
        <f t="shared" si="111"/>
        <v>0</v>
      </c>
      <c r="T61" s="162">
        <v>0</v>
      </c>
      <c r="U61" s="162">
        <v>0</v>
      </c>
      <c r="V61" s="162">
        <v>0</v>
      </c>
      <c r="W61" s="162">
        <v>0</v>
      </c>
      <c r="X61" s="163">
        <f t="shared" si="112"/>
        <v>0</v>
      </c>
      <c r="Y61" s="162">
        <v>0</v>
      </c>
      <c r="Z61" s="162">
        <v>0</v>
      </c>
      <c r="AA61" s="162">
        <v>0</v>
      </c>
      <c r="AB61" s="162">
        <v>0</v>
      </c>
      <c r="AC61" s="163">
        <f t="shared" si="113"/>
        <v>0</v>
      </c>
      <c r="AD61" s="162">
        <v>0</v>
      </c>
      <c r="AE61" s="162">
        <v>0</v>
      </c>
      <c r="AF61" s="162">
        <v>0</v>
      </c>
      <c r="AG61" s="162">
        <v>0</v>
      </c>
      <c r="AH61" s="163">
        <f>SUM(AD61:AG61)</f>
        <v>0</v>
      </c>
      <c r="AI61" s="162">
        <v>0</v>
      </c>
      <c r="AJ61" s="162">
        <v>0</v>
      </c>
      <c r="AK61" s="162">
        <v>0</v>
      </c>
      <c r="AL61" s="162">
        <f>49-0.312</f>
        <v>48.688000000000002</v>
      </c>
      <c r="AM61" s="163">
        <f>SUM(AI61:AL61)</f>
        <v>48.688000000000002</v>
      </c>
      <c r="AN61" s="121"/>
      <c r="AO61" s="121"/>
      <c r="AP61" s="121"/>
      <c r="AQ61" s="121"/>
      <c r="AR61" s="163">
        <f>SUM(AN61:AQ61)</f>
        <v>0</v>
      </c>
      <c r="AS61" s="121"/>
      <c r="AT61" s="121"/>
      <c r="AU61" s="121"/>
      <c r="AV61" s="121"/>
      <c r="AW61" s="163">
        <f>SUM(AS61:AV61)</f>
        <v>0</v>
      </c>
      <c r="AX61" s="121"/>
      <c r="AY61" s="121"/>
      <c r="AZ61" s="121"/>
      <c r="BA61" s="121"/>
      <c r="BB61" s="163">
        <f>SUM(AX61:BA61)</f>
        <v>0</v>
      </c>
      <c r="BC61" s="121"/>
      <c r="BD61" s="121"/>
      <c r="BE61" s="121"/>
      <c r="BF61" s="121"/>
      <c r="BG61" s="163">
        <f>SUM(BC61:BF61)</f>
        <v>0</v>
      </c>
      <c r="BH61" s="121"/>
      <c r="BI61" s="121"/>
      <c r="BJ61" s="121"/>
      <c r="BK61" s="121"/>
      <c r="BL61" s="163">
        <f>SUM(BH61:BK61)</f>
        <v>0</v>
      </c>
      <c r="BM61" s="387"/>
      <c r="BN61" s="121"/>
      <c r="BO61" s="121"/>
      <c r="BP61" s="121"/>
      <c r="BQ61" s="163">
        <f>SUM(BM61:BP61)</f>
        <v>0</v>
      </c>
      <c r="BR61" s="121"/>
      <c r="BS61" s="121"/>
      <c r="BT61" s="121"/>
      <c r="BU61" s="121"/>
      <c r="BV61" s="163">
        <f>SUM(BR61:BU61)</f>
        <v>0</v>
      </c>
      <c r="BW61" s="121"/>
      <c r="BX61" s="121"/>
      <c r="BY61" s="121"/>
      <c r="BZ61" s="121"/>
      <c r="CA61" s="163">
        <f>SUM(BW61:BZ61)</f>
        <v>0</v>
      </c>
      <c r="CB61" s="121"/>
      <c r="CC61" s="121"/>
      <c r="CD61" s="121"/>
      <c r="CE61" s="121"/>
      <c r="CF61" s="163">
        <f>SUM(CB61:CE61)</f>
        <v>0</v>
      </c>
      <c r="CG61" s="121"/>
      <c r="CH61" s="121"/>
      <c r="CI61" s="121"/>
      <c r="CJ61" s="121"/>
      <c r="CK61" s="163">
        <f>SUM(CG61:CJ61)</f>
        <v>0</v>
      </c>
      <c r="CL61" s="121"/>
      <c r="CM61" s="121"/>
      <c r="CN61" s="121"/>
      <c r="CO61" s="121"/>
      <c r="CP61" s="163">
        <f>SUM(CL61:CO61)</f>
        <v>0</v>
      </c>
    </row>
    <row r="62" spans="1:111" hidden="1" outlineLevel="1" x14ac:dyDescent="0.25">
      <c r="A62" s="161" t="s">
        <v>50</v>
      </c>
      <c r="B62" s="161"/>
      <c r="C62" s="137"/>
      <c r="D62" s="137"/>
      <c r="E62" s="139"/>
      <c r="F62" s="139"/>
      <c r="G62" s="139"/>
      <c r="H62" s="139"/>
      <c r="I62" s="137"/>
      <c r="J62" s="139"/>
      <c r="K62" s="139"/>
      <c r="L62" s="139"/>
      <c r="M62" s="139"/>
      <c r="N62" s="137"/>
      <c r="O62" s="164">
        <v>0</v>
      </c>
      <c r="P62" s="164">
        <f>10.2+0.26</f>
        <v>10.459999999999999</v>
      </c>
      <c r="Q62" s="164">
        <v>0</v>
      </c>
      <c r="R62" s="164">
        <v>0</v>
      </c>
      <c r="S62" s="165">
        <f t="shared" si="111"/>
        <v>10.459999999999999</v>
      </c>
      <c r="T62" s="164">
        <v>0</v>
      </c>
      <c r="U62" s="164">
        <v>0</v>
      </c>
      <c r="V62" s="164">
        <v>0</v>
      </c>
      <c r="W62" s="164">
        <f>-0.4</f>
        <v>-0.4</v>
      </c>
      <c r="X62" s="165">
        <f t="shared" si="112"/>
        <v>-0.4</v>
      </c>
      <c r="Y62" s="164">
        <f>-16</f>
        <v>-16</v>
      </c>
      <c r="Z62" s="164">
        <v>0</v>
      </c>
      <c r="AA62" s="164">
        <v>20.8</v>
      </c>
      <c r="AB62" s="164">
        <v>-7.8</v>
      </c>
      <c r="AC62" s="165">
        <f t="shared" si="113"/>
        <v>-2.9999999999999991</v>
      </c>
      <c r="AD62" s="164">
        <v>0</v>
      </c>
      <c r="AE62" s="164">
        <v>0</v>
      </c>
      <c r="AF62" s="164">
        <f>-11.6+1.3</f>
        <v>-10.299999999999999</v>
      </c>
      <c r="AG62" s="164">
        <v>0</v>
      </c>
      <c r="AH62" s="165">
        <f>SUM(AD62:AG62)</f>
        <v>-10.299999999999999</v>
      </c>
      <c r="AI62" s="164">
        <v>0</v>
      </c>
      <c r="AJ62" s="164">
        <v>0</v>
      </c>
      <c r="AK62" s="164">
        <v>0</v>
      </c>
      <c r="AL62" s="164">
        <v>0</v>
      </c>
      <c r="AM62" s="165">
        <f>SUM(AI62:AL62)</f>
        <v>0</v>
      </c>
      <c r="AN62" s="121"/>
      <c r="AO62" s="121"/>
      <c r="AP62" s="121"/>
      <c r="AQ62" s="121"/>
      <c r="AR62" s="165">
        <f>SUM(AN62:AQ62)</f>
        <v>0</v>
      </c>
      <c r="AS62" s="121"/>
      <c r="AT62" s="121"/>
      <c r="AU62" s="121"/>
      <c r="AV62" s="121"/>
      <c r="AW62" s="165">
        <f>SUM(AS62:AV62)</f>
        <v>0</v>
      </c>
      <c r="AX62" s="121"/>
      <c r="AY62" s="121"/>
      <c r="AZ62" s="121"/>
      <c r="BA62" s="121"/>
      <c r="BB62" s="165">
        <f>SUM(AX62:BA62)</f>
        <v>0</v>
      </c>
      <c r="BC62" s="121"/>
      <c r="BD62" s="121"/>
      <c r="BE62" s="121"/>
      <c r="BF62" s="121"/>
      <c r="BG62" s="165">
        <f>SUM(BC62:BF62)</f>
        <v>0</v>
      </c>
      <c r="BH62" s="121"/>
      <c r="BI62" s="121"/>
      <c r="BJ62" s="121"/>
      <c r="BK62" s="121"/>
      <c r="BL62" s="165">
        <f>SUM(BH62:BK62)</f>
        <v>0</v>
      </c>
      <c r="BM62" s="387"/>
      <c r="BN62" s="121"/>
      <c r="BO62" s="121"/>
      <c r="BP62" s="121"/>
      <c r="BQ62" s="165">
        <f>SUM(BM62:BP62)</f>
        <v>0</v>
      </c>
      <c r="BR62" s="121"/>
      <c r="BS62" s="121"/>
      <c r="BT62" s="121"/>
      <c r="BU62" s="121"/>
      <c r="BV62" s="165">
        <f>SUM(BR62:BU62)</f>
        <v>0</v>
      </c>
      <c r="BW62" s="121"/>
      <c r="BX62" s="121"/>
      <c r="BY62" s="121"/>
      <c r="BZ62" s="121"/>
      <c r="CA62" s="165">
        <f>SUM(BW62:BZ62)</f>
        <v>0</v>
      </c>
      <c r="CB62" s="121"/>
      <c r="CC62" s="121"/>
      <c r="CD62" s="121"/>
      <c r="CE62" s="121"/>
      <c r="CF62" s="165">
        <f>SUM(CB62:CE62)</f>
        <v>0</v>
      </c>
      <c r="CG62" s="121"/>
      <c r="CH62" s="121"/>
      <c r="CI62" s="121"/>
      <c r="CJ62" s="121"/>
      <c r="CK62" s="165">
        <f>SUM(CG62:CJ62)</f>
        <v>0</v>
      </c>
      <c r="CL62" s="121"/>
      <c r="CM62" s="121"/>
      <c r="CN62" s="121"/>
      <c r="CO62" s="121"/>
      <c r="CP62" s="165">
        <f>SUM(CL62:CO62)</f>
        <v>0</v>
      </c>
    </row>
    <row r="63" spans="1:111" hidden="1" outlineLevel="1" x14ac:dyDescent="0.25">
      <c r="A63" s="160" t="s">
        <v>201</v>
      </c>
      <c r="B63" s="160"/>
      <c r="C63" s="137"/>
      <c r="D63" s="137"/>
      <c r="E63" s="139"/>
      <c r="F63" s="139"/>
      <c r="G63" s="139"/>
      <c r="H63" s="139"/>
      <c r="I63" s="137"/>
      <c r="J63" s="139"/>
      <c r="K63" s="139"/>
      <c r="L63" s="139"/>
      <c r="M63" s="139"/>
      <c r="N63" s="137"/>
      <c r="O63" s="166">
        <f t="shared" ref="O63:AT63" si="114">SUM(O59:O62)</f>
        <v>-0.9</v>
      </c>
      <c r="P63" s="166">
        <f t="shared" si="114"/>
        <v>9.5599999999999987</v>
      </c>
      <c r="Q63" s="166">
        <f t="shared" si="114"/>
        <v>-6.5</v>
      </c>
      <c r="R63" s="166">
        <f t="shared" si="114"/>
        <v>-2.5</v>
      </c>
      <c r="S63" s="167">
        <f t="shared" si="114"/>
        <v>-0.34000000000000163</v>
      </c>
      <c r="T63" s="166">
        <f t="shared" si="114"/>
        <v>-0.1</v>
      </c>
      <c r="U63" s="166">
        <f t="shared" si="114"/>
        <v>-0.1</v>
      </c>
      <c r="V63" s="166">
        <f t="shared" si="114"/>
        <v>0.1</v>
      </c>
      <c r="W63" s="166">
        <f t="shared" si="114"/>
        <v>0</v>
      </c>
      <c r="X63" s="167">
        <f t="shared" si="114"/>
        <v>-9.9999999999999978E-2</v>
      </c>
      <c r="Y63" s="166">
        <f t="shared" si="114"/>
        <v>-16</v>
      </c>
      <c r="Z63" s="166">
        <f t="shared" si="114"/>
        <v>0</v>
      </c>
      <c r="AA63" s="166">
        <f t="shared" si="114"/>
        <v>20.8</v>
      </c>
      <c r="AB63" s="166">
        <f t="shared" si="114"/>
        <v>-7.8</v>
      </c>
      <c r="AC63" s="167">
        <f t="shared" si="114"/>
        <v>-2.9999999999999991</v>
      </c>
      <c r="AD63" s="166">
        <f t="shared" si="114"/>
        <v>0</v>
      </c>
      <c r="AE63" s="166">
        <f t="shared" si="114"/>
        <v>0</v>
      </c>
      <c r="AF63" s="168">
        <f t="shared" si="114"/>
        <v>-10.299999999999999</v>
      </c>
      <c r="AG63" s="168">
        <f t="shared" si="114"/>
        <v>0</v>
      </c>
      <c r="AH63" s="167">
        <f t="shared" si="114"/>
        <v>-10.299999999999999</v>
      </c>
      <c r="AI63" s="166">
        <f t="shared" si="114"/>
        <v>0</v>
      </c>
      <c r="AJ63" s="168">
        <f t="shared" si="114"/>
        <v>0</v>
      </c>
      <c r="AK63" s="168">
        <f t="shared" si="114"/>
        <v>0</v>
      </c>
      <c r="AL63" s="168">
        <f t="shared" si="114"/>
        <v>48.688000000000002</v>
      </c>
      <c r="AM63" s="167">
        <f t="shared" si="114"/>
        <v>48.688000000000002</v>
      </c>
      <c r="AN63" s="168">
        <f>SUM(AN59:AN62)</f>
        <v>0</v>
      </c>
      <c r="AO63" s="168">
        <f>SUM(AO59:AO62)</f>
        <v>0</v>
      </c>
      <c r="AP63" s="168">
        <f>SUM(AP59:AP62)</f>
        <v>0</v>
      </c>
      <c r="AQ63" s="168">
        <f>SUM(AQ59:AQ62)</f>
        <v>0</v>
      </c>
      <c r="AR63" s="167">
        <f t="shared" si="114"/>
        <v>0</v>
      </c>
      <c r="AS63" s="168">
        <f t="shared" si="114"/>
        <v>0</v>
      </c>
      <c r="AT63" s="168">
        <f t="shared" si="114"/>
        <v>0</v>
      </c>
      <c r="AU63" s="168">
        <f t="shared" ref="AU63:BZ63" si="115">SUM(AU59:AU62)</f>
        <v>0</v>
      </c>
      <c r="AV63" s="168">
        <f t="shared" si="115"/>
        <v>0</v>
      </c>
      <c r="AW63" s="167">
        <f t="shared" si="115"/>
        <v>0</v>
      </c>
      <c r="AX63" s="168">
        <f t="shared" si="115"/>
        <v>0</v>
      </c>
      <c r="AY63" s="168">
        <f t="shared" si="115"/>
        <v>0</v>
      </c>
      <c r="AZ63" s="168">
        <f t="shared" si="115"/>
        <v>0</v>
      </c>
      <c r="BA63" s="168">
        <f t="shared" si="115"/>
        <v>0</v>
      </c>
      <c r="BB63" s="167">
        <f t="shared" si="115"/>
        <v>0</v>
      </c>
      <c r="BC63" s="168">
        <f t="shared" si="115"/>
        <v>0</v>
      </c>
      <c r="BD63" s="168">
        <f t="shared" si="115"/>
        <v>0</v>
      </c>
      <c r="BE63" s="168">
        <f t="shared" si="115"/>
        <v>0</v>
      </c>
      <c r="BF63" s="168">
        <f t="shared" si="115"/>
        <v>0</v>
      </c>
      <c r="BG63" s="167">
        <f t="shared" si="115"/>
        <v>0</v>
      </c>
      <c r="BH63" s="168">
        <f t="shared" si="115"/>
        <v>0</v>
      </c>
      <c r="BI63" s="168">
        <f t="shared" si="115"/>
        <v>0</v>
      </c>
      <c r="BJ63" s="168">
        <f t="shared" si="115"/>
        <v>0</v>
      </c>
      <c r="BK63" s="376">
        <f>522-161</f>
        <v>361</v>
      </c>
      <c r="BL63" s="167">
        <f>BK63</f>
        <v>361</v>
      </c>
      <c r="BM63" s="411">
        <f t="shared" si="115"/>
        <v>0</v>
      </c>
      <c r="BN63" s="168">
        <f t="shared" si="115"/>
        <v>0</v>
      </c>
      <c r="BO63" s="168">
        <f t="shared" si="115"/>
        <v>0</v>
      </c>
      <c r="BP63" s="168">
        <f t="shared" si="115"/>
        <v>0</v>
      </c>
      <c r="BQ63" s="167">
        <f t="shared" si="115"/>
        <v>0</v>
      </c>
      <c r="BR63" s="168">
        <f t="shared" si="115"/>
        <v>0</v>
      </c>
      <c r="BS63" s="168">
        <f t="shared" si="115"/>
        <v>0</v>
      </c>
      <c r="BT63" s="168">
        <f t="shared" si="115"/>
        <v>0</v>
      </c>
      <c r="BU63" s="168">
        <f t="shared" si="115"/>
        <v>0</v>
      </c>
      <c r="BV63" s="167">
        <f t="shared" si="115"/>
        <v>0</v>
      </c>
      <c r="BW63" s="168">
        <f t="shared" si="115"/>
        <v>0</v>
      </c>
      <c r="BX63" s="168">
        <f t="shared" si="115"/>
        <v>0</v>
      </c>
      <c r="BY63" s="168">
        <f t="shared" si="115"/>
        <v>0</v>
      </c>
      <c r="BZ63" s="168">
        <f t="shared" si="115"/>
        <v>0</v>
      </c>
      <c r="CA63" s="167">
        <f t="shared" ref="CA63:CF63" si="116">SUM(CA59:CA62)</f>
        <v>0</v>
      </c>
      <c r="CB63" s="168">
        <f t="shared" si="116"/>
        <v>0</v>
      </c>
      <c r="CC63" s="168">
        <f t="shared" si="116"/>
        <v>0</v>
      </c>
      <c r="CD63" s="168">
        <f t="shared" si="116"/>
        <v>0</v>
      </c>
      <c r="CE63" s="168">
        <f t="shared" si="116"/>
        <v>0</v>
      </c>
      <c r="CF63" s="167">
        <f t="shared" si="116"/>
        <v>0</v>
      </c>
      <c r="CG63" s="168">
        <f t="shared" ref="CG63:CP63" si="117">SUM(CG59:CG62)</f>
        <v>0</v>
      </c>
      <c r="CH63" s="168">
        <f t="shared" si="117"/>
        <v>0</v>
      </c>
      <c r="CI63" s="168">
        <f t="shared" si="117"/>
        <v>0</v>
      </c>
      <c r="CJ63" s="168">
        <f t="shared" si="117"/>
        <v>0</v>
      </c>
      <c r="CK63" s="167">
        <f t="shared" si="117"/>
        <v>0</v>
      </c>
      <c r="CL63" s="168">
        <f t="shared" si="117"/>
        <v>0</v>
      </c>
      <c r="CM63" s="168">
        <f t="shared" si="117"/>
        <v>0</v>
      </c>
      <c r="CN63" s="168">
        <f t="shared" si="117"/>
        <v>0</v>
      </c>
      <c r="CO63" s="168">
        <f t="shared" si="117"/>
        <v>0</v>
      </c>
      <c r="CP63" s="167">
        <f t="shared" si="117"/>
        <v>0</v>
      </c>
    </row>
    <row r="64" spans="1:111" hidden="1" outlineLevel="1" x14ac:dyDescent="0.25">
      <c r="A64" s="161" t="s">
        <v>202</v>
      </c>
      <c r="B64" s="161"/>
      <c r="C64" s="137"/>
      <c r="D64" s="137"/>
      <c r="E64" s="139"/>
      <c r="F64" s="139"/>
      <c r="G64" s="139"/>
      <c r="H64" s="139"/>
      <c r="I64" s="137"/>
      <c r="J64" s="139"/>
      <c r="K64" s="139"/>
      <c r="L64" s="139"/>
      <c r="M64" s="139"/>
      <c r="N64" s="137"/>
      <c r="O64" s="162">
        <f>O50+O63</f>
        <v>93.69999999999996</v>
      </c>
      <c r="P64" s="162">
        <f>P50+P63</f>
        <v>123.79500000000012</v>
      </c>
      <c r="Q64" s="162">
        <f>Q50+Q63</f>
        <v>105.10000000000004</v>
      </c>
      <c r="R64" s="162">
        <f>R50+R63</f>
        <v>66.799999999999955</v>
      </c>
      <c r="S64" s="163">
        <f t="shared" si="111"/>
        <v>389.39500000000004</v>
      </c>
      <c r="T64" s="162">
        <f>T50+T63</f>
        <v>95.300000000000011</v>
      </c>
      <c r="U64" s="162">
        <f>U50+U63</f>
        <v>129.39999999999995</v>
      </c>
      <c r="V64" s="162">
        <f>V50+V63</f>
        <v>116</v>
      </c>
      <c r="W64" s="162">
        <f>W50+W63</f>
        <v>99.09999999999998</v>
      </c>
      <c r="X64" s="163">
        <f t="shared" si="112"/>
        <v>439.7999999999999</v>
      </c>
      <c r="Y64" s="162">
        <f>Y50+Y63</f>
        <v>88.199999999999989</v>
      </c>
      <c r="Z64" s="162">
        <f>Z50+Z63</f>
        <v>143.19999999999996</v>
      </c>
      <c r="AA64" s="162">
        <f>AA50+AA63</f>
        <v>123.40000000000003</v>
      </c>
      <c r="AB64" s="162">
        <f ca="1">AB50+AB63</f>
        <v>79.600000000000037</v>
      </c>
      <c r="AC64" s="163">
        <f ca="1">SUM(Y64:AB64)</f>
        <v>434.4</v>
      </c>
      <c r="AD64" s="162">
        <f>AD50+AD63</f>
        <v>121.40000000000003</v>
      </c>
      <c r="AE64" s="162">
        <f>AE50+AE63</f>
        <v>147.29999999999998</v>
      </c>
      <c r="AF64" s="162">
        <f>AF50+AF63</f>
        <v>107.11199999999998</v>
      </c>
      <c r="AG64" s="162">
        <f ca="1">AG50+AG63</f>
        <v>72.700000000000045</v>
      </c>
      <c r="AH64" s="163">
        <f ca="1">SUM(AD64:AG64)</f>
        <v>448.51200000000006</v>
      </c>
      <c r="AI64" s="162">
        <f>AI50+AI63</f>
        <v>111.40000000000003</v>
      </c>
      <c r="AJ64" s="162">
        <f>AJ50+AJ63</f>
        <v>154</v>
      </c>
      <c r="AK64" s="162">
        <f>AK50+AK63</f>
        <v>140.69999999999996</v>
      </c>
      <c r="AL64" s="162">
        <f>AL50+AL63</f>
        <v>165.39999999999998</v>
      </c>
      <c r="AM64" s="163">
        <f>SUM(AI64:AL64)</f>
        <v>571.5</v>
      </c>
      <c r="AN64" s="169"/>
      <c r="AO64" s="169"/>
      <c r="AP64" s="169"/>
      <c r="AQ64" s="169"/>
      <c r="AR64" s="163">
        <f>SUM(AN64:AQ64)</f>
        <v>0</v>
      </c>
      <c r="AS64" s="169"/>
      <c r="AT64" s="169"/>
      <c r="AU64" s="169"/>
      <c r="AV64" s="169"/>
      <c r="AW64" s="163">
        <f>SUM(AS64:AV64)</f>
        <v>0</v>
      </c>
      <c r="AX64" s="169"/>
      <c r="AY64" s="169"/>
      <c r="AZ64" s="169"/>
      <c r="BA64" s="169"/>
      <c r="BB64" s="163"/>
      <c r="BC64" s="169"/>
      <c r="BD64" s="169"/>
      <c r="BE64" s="169"/>
      <c r="BF64" s="169"/>
      <c r="BG64" s="163"/>
      <c r="BH64" s="169"/>
      <c r="BI64" s="169"/>
      <c r="BJ64" s="169"/>
      <c r="BK64" s="169"/>
      <c r="BL64" s="163"/>
      <c r="BM64" s="412"/>
      <c r="BN64" s="169"/>
      <c r="BO64" s="169"/>
      <c r="BP64" s="169"/>
      <c r="BQ64" s="163"/>
      <c r="BR64" s="169"/>
      <c r="BS64" s="169"/>
      <c r="BT64" s="169"/>
      <c r="BU64" s="169"/>
      <c r="BV64" s="163"/>
      <c r="BW64" s="169"/>
      <c r="BX64" s="169"/>
      <c r="BY64" s="169"/>
      <c r="BZ64" s="169"/>
      <c r="CA64" s="163"/>
      <c r="CB64" s="169"/>
      <c r="CC64" s="169"/>
      <c r="CD64" s="169"/>
      <c r="CE64" s="169"/>
      <c r="CF64" s="163"/>
      <c r="CG64" s="169"/>
      <c r="CH64" s="169"/>
      <c r="CI64" s="169"/>
      <c r="CJ64" s="169"/>
      <c r="CK64" s="163"/>
      <c r="CL64" s="169"/>
      <c r="CM64" s="169"/>
      <c r="CN64" s="169"/>
      <c r="CO64" s="169"/>
      <c r="CP64" s="163"/>
    </row>
    <row r="65" spans="1:109" hidden="1" outlineLevel="1" x14ac:dyDescent="0.25">
      <c r="A65" s="160" t="s">
        <v>203</v>
      </c>
      <c r="B65" s="160"/>
      <c r="C65" s="137"/>
      <c r="D65" s="137"/>
      <c r="E65" s="139"/>
      <c r="F65" s="139"/>
      <c r="G65" s="139"/>
      <c r="H65" s="139"/>
      <c r="I65" s="137"/>
      <c r="J65" s="139"/>
      <c r="K65" s="139"/>
      <c r="L65" s="139"/>
      <c r="M65" s="139"/>
      <c r="N65" s="137"/>
      <c r="O65" s="166">
        <v>93.7</v>
      </c>
      <c r="P65" s="166">
        <v>123.8</v>
      </c>
      <c r="Q65" s="166">
        <v>105.1</v>
      </c>
      <c r="R65" s="166">
        <v>66.8</v>
      </c>
      <c r="S65" s="167">
        <f t="shared" si="111"/>
        <v>389.40000000000003</v>
      </c>
      <c r="T65" s="166">
        <v>95.3</v>
      </c>
      <c r="U65" s="166">
        <v>129.4</v>
      </c>
      <c r="V65" s="166">
        <v>116</v>
      </c>
      <c r="W65" s="166">
        <v>99.1</v>
      </c>
      <c r="X65" s="167">
        <f t="shared" si="112"/>
        <v>439.79999999999995</v>
      </c>
      <c r="Y65" s="166">
        <v>88.2</v>
      </c>
      <c r="Z65" s="166">
        <v>143.19999999999999</v>
      </c>
      <c r="AA65" s="166">
        <v>123.4</v>
      </c>
      <c r="AB65" s="166">
        <v>79.599999999999994</v>
      </c>
      <c r="AC65" s="167">
        <f t="shared" si="113"/>
        <v>434.4</v>
      </c>
      <c r="AD65" s="166">
        <v>121.4</v>
      </c>
      <c r="AE65" s="168">
        <f>AE50+AE63</f>
        <v>147.29999999999998</v>
      </c>
      <c r="AF65" s="168">
        <f>AF50+AF63</f>
        <v>107.11199999999998</v>
      </c>
      <c r="AG65" s="168">
        <f ca="1">AG50+AG63</f>
        <v>72.700000000000045</v>
      </c>
      <c r="AH65" s="167">
        <f ca="1">AH50+AH63</f>
        <v>448.51200000000006</v>
      </c>
      <c r="AI65" s="166">
        <v>111.4</v>
      </c>
      <c r="AJ65" s="168">
        <v>154</v>
      </c>
      <c r="AK65" s="168">
        <v>140.69999999999999</v>
      </c>
      <c r="AL65" s="168">
        <v>165.4</v>
      </c>
      <c r="AM65" s="167">
        <f t="shared" ref="AM65:AR65" si="118">AM50+AM63</f>
        <v>571.5</v>
      </c>
      <c r="AN65" s="168">
        <f t="shared" si="118"/>
        <v>118.1</v>
      </c>
      <c r="AO65" s="168">
        <f t="shared" si="118"/>
        <v>157.59999999999997</v>
      </c>
      <c r="AP65" s="168">
        <f t="shared" si="118"/>
        <v>133.09999999999997</v>
      </c>
      <c r="AQ65" s="168">
        <f t="shared" si="118"/>
        <v>104.71877180739713</v>
      </c>
      <c r="AR65" s="167">
        <f t="shared" si="118"/>
        <v>513.518771807397</v>
      </c>
      <c r="AS65" s="168">
        <f t="shared" ref="AS65:BX65" si="119">AS50+AS63</f>
        <v>147.5</v>
      </c>
      <c r="AT65" s="168">
        <f t="shared" si="119"/>
        <v>172.9</v>
      </c>
      <c r="AU65" s="168">
        <f t="shared" si="119"/>
        <v>157.59999999999997</v>
      </c>
      <c r="AV65" s="168">
        <f t="shared" si="119"/>
        <v>113</v>
      </c>
      <c r="AW65" s="167">
        <f t="shared" si="119"/>
        <v>591</v>
      </c>
      <c r="AX65" s="168">
        <f t="shared" si="119"/>
        <v>143</v>
      </c>
      <c r="AY65" s="168">
        <f t="shared" si="119"/>
        <v>206</v>
      </c>
      <c r="AZ65" s="168">
        <f t="shared" si="119"/>
        <v>177</v>
      </c>
      <c r="BA65" s="168">
        <f t="shared" si="119"/>
        <v>132.54200294417811</v>
      </c>
      <c r="BB65" s="167">
        <f t="shared" si="119"/>
        <v>658.54200294417808</v>
      </c>
      <c r="BC65" s="168">
        <f t="shared" si="119"/>
        <v>150.54200294417811</v>
      </c>
      <c r="BD65" s="168">
        <f t="shared" si="119"/>
        <v>208</v>
      </c>
      <c r="BE65" s="168">
        <f t="shared" si="119"/>
        <v>186</v>
      </c>
      <c r="BF65" s="168">
        <f t="shared" si="119"/>
        <v>140</v>
      </c>
      <c r="BG65" s="167">
        <f t="shared" si="119"/>
        <v>684.54200294417808</v>
      </c>
      <c r="BH65" s="168">
        <f t="shared" si="119"/>
        <v>156</v>
      </c>
      <c r="BI65" s="168">
        <f t="shared" si="119"/>
        <v>200</v>
      </c>
      <c r="BJ65" s="168">
        <f>BJ50+BJ63</f>
        <v>190</v>
      </c>
      <c r="BK65" s="168">
        <f t="shared" si="119"/>
        <v>522</v>
      </c>
      <c r="BL65" s="167">
        <f t="shared" si="119"/>
        <v>1068</v>
      </c>
      <c r="BM65" s="411">
        <f t="shared" si="119"/>
        <v>145</v>
      </c>
      <c r="BN65" s="168">
        <f t="shared" si="119"/>
        <v>197</v>
      </c>
      <c r="BO65" s="168">
        <f t="shared" si="119"/>
        <v>182</v>
      </c>
      <c r="BP65" s="168">
        <f t="shared" si="119"/>
        <v>146</v>
      </c>
      <c r="BQ65" s="167">
        <f t="shared" si="119"/>
        <v>670</v>
      </c>
      <c r="BR65" s="168">
        <f t="shared" si="119"/>
        <v>178</v>
      </c>
      <c r="BS65" s="168">
        <f t="shared" si="119"/>
        <v>239</v>
      </c>
      <c r="BT65" s="168">
        <f t="shared" ca="1" si="119"/>
        <v>196.71155784375406</v>
      </c>
      <c r="BU65" s="168">
        <f t="shared" ca="1" si="119"/>
        <v>148.26781231742342</v>
      </c>
      <c r="BV65" s="167">
        <f t="shared" ca="1" si="119"/>
        <v>761.97937016117748</v>
      </c>
      <c r="BW65" s="168">
        <f t="shared" ca="1" si="119"/>
        <v>180.21576579499924</v>
      </c>
      <c r="BX65" s="168">
        <f t="shared" ca="1" si="119"/>
        <v>249.54715302605013</v>
      </c>
      <c r="BY65" s="168">
        <f t="shared" ref="BY65:CP65" ca="1" si="120">BY50+BY63</f>
        <v>218.20276959202772</v>
      </c>
      <c r="BZ65" s="168">
        <f t="shared" ca="1" si="120"/>
        <v>165.25592869515503</v>
      </c>
      <c r="CA65" s="167">
        <f t="shared" ca="1" si="120"/>
        <v>813.22161710823207</v>
      </c>
      <c r="CB65" s="168">
        <f t="shared" ca="1" si="120"/>
        <v>191.04149781884269</v>
      </c>
      <c r="CC65" s="168">
        <f t="shared" ca="1" si="120"/>
        <v>264.02146845897875</v>
      </c>
      <c r="CD65" s="168">
        <f t="shared" ca="1" si="120"/>
        <v>231.49551005612122</v>
      </c>
      <c r="CE65" s="168">
        <f t="shared" ca="1" si="120"/>
        <v>175.31958342105381</v>
      </c>
      <c r="CF65" s="167">
        <f t="shared" ca="1" si="120"/>
        <v>861.87805975499646</v>
      </c>
      <c r="CG65" s="168">
        <f t="shared" ca="1" si="120"/>
        <v>202.56116677949987</v>
      </c>
      <c r="CH65" s="168">
        <f t="shared" ca="1" si="120"/>
        <v>279.86901908151964</v>
      </c>
      <c r="CI65" s="168">
        <f t="shared" ca="1" si="120"/>
        <v>246.27041807951474</v>
      </c>
      <c r="CJ65" s="168">
        <f t="shared" ca="1" si="120"/>
        <v>186.85664632874472</v>
      </c>
      <c r="CK65" s="167">
        <f t="shared" ca="1" si="120"/>
        <v>915.55725026927894</v>
      </c>
      <c r="CL65" s="168">
        <f t="shared" ca="1" si="120"/>
        <v>214.8614692444622</v>
      </c>
      <c r="CM65" s="168">
        <f t="shared" ca="1" si="120"/>
        <v>296.06787579464867</v>
      </c>
      <c r="CN65" s="168">
        <f t="shared" ca="1" si="120"/>
        <v>261.13940934917025</v>
      </c>
      <c r="CO65" s="168">
        <f t="shared" ca="1" si="120"/>
        <v>198.43316242290012</v>
      </c>
      <c r="CP65" s="167">
        <f t="shared" ca="1" si="120"/>
        <v>970.50191681118122</v>
      </c>
    </row>
    <row r="66" spans="1:109" hidden="1" outlineLevel="1" x14ac:dyDescent="0.25">
      <c r="A66" s="161" t="s">
        <v>64</v>
      </c>
      <c r="B66" s="161"/>
      <c r="C66" s="137"/>
      <c r="D66" s="137"/>
      <c r="E66" s="139"/>
      <c r="F66" s="139"/>
      <c r="G66" s="139"/>
      <c r="H66" s="139"/>
      <c r="I66" s="137"/>
      <c r="J66" s="139"/>
      <c r="K66" s="139"/>
      <c r="L66" s="139"/>
      <c r="M66" s="139"/>
      <c r="N66" s="137"/>
      <c r="O66" s="162">
        <f t="shared" ref="O66:AE66" si="121">O65-O64</f>
        <v>0</v>
      </c>
      <c r="P66" s="162">
        <f t="shared" si="121"/>
        <v>4.9999999998817657E-3</v>
      </c>
      <c r="Q66" s="162">
        <f t="shared" si="121"/>
        <v>0</v>
      </c>
      <c r="R66" s="162">
        <f t="shared" si="121"/>
        <v>0</v>
      </c>
      <c r="S66" s="163">
        <f t="shared" si="121"/>
        <v>4.9999999999954525E-3</v>
      </c>
      <c r="T66" s="162">
        <f t="shared" si="121"/>
        <v>0</v>
      </c>
      <c r="U66" s="162">
        <f t="shared" si="121"/>
        <v>0</v>
      </c>
      <c r="V66" s="162">
        <f t="shared" si="121"/>
        <v>0</v>
      </c>
      <c r="W66" s="162">
        <f t="shared" si="121"/>
        <v>0</v>
      </c>
      <c r="X66" s="163">
        <f t="shared" si="121"/>
        <v>0</v>
      </c>
      <c r="Y66" s="162">
        <f t="shared" si="121"/>
        <v>0</v>
      </c>
      <c r="Z66" s="162">
        <f t="shared" si="121"/>
        <v>0</v>
      </c>
      <c r="AA66" s="162">
        <f t="shared" si="121"/>
        <v>0</v>
      </c>
      <c r="AB66" s="162">
        <f ca="1">AB65-AB64</f>
        <v>0</v>
      </c>
      <c r="AC66" s="163">
        <f ca="1">AC65-AC64</f>
        <v>0</v>
      </c>
      <c r="AD66" s="162">
        <f t="shared" si="121"/>
        <v>0</v>
      </c>
      <c r="AE66" s="162">
        <f t="shared" si="121"/>
        <v>0</v>
      </c>
      <c r="AF66" s="162">
        <f t="shared" ref="AF66:AL66" si="122">AF65-AF64</f>
        <v>0</v>
      </c>
      <c r="AG66" s="162">
        <f ca="1">AG65-AG64</f>
        <v>0</v>
      </c>
      <c r="AH66" s="163">
        <f ca="1">AH65-AH64</f>
        <v>0</v>
      </c>
      <c r="AI66" s="162">
        <f t="shared" si="122"/>
        <v>0</v>
      </c>
      <c r="AJ66" s="162">
        <f t="shared" si="122"/>
        <v>0</v>
      </c>
      <c r="AK66" s="162">
        <f t="shared" si="122"/>
        <v>0</v>
      </c>
      <c r="AL66" s="162">
        <f t="shared" si="122"/>
        <v>0</v>
      </c>
      <c r="AM66" s="163">
        <f>AM65-AM64</f>
        <v>0</v>
      </c>
      <c r="AN66" s="169"/>
      <c r="AO66" s="169"/>
      <c r="AP66" s="169"/>
      <c r="AQ66" s="169"/>
      <c r="AR66" s="163">
        <f>AR65-AR64</f>
        <v>513.518771807397</v>
      </c>
      <c r="AS66" s="169"/>
      <c r="AT66" s="169"/>
      <c r="AU66" s="169"/>
      <c r="AV66" s="169"/>
      <c r="AW66" s="163">
        <f>AW65-AW64</f>
        <v>591</v>
      </c>
      <c r="AX66" s="169"/>
      <c r="AY66" s="169"/>
      <c r="AZ66" s="169"/>
      <c r="BA66" s="169"/>
      <c r="BB66" s="163"/>
      <c r="BC66" s="169"/>
      <c r="BD66" s="169"/>
      <c r="BE66" s="169"/>
      <c r="BF66" s="169"/>
      <c r="BG66" s="163"/>
      <c r="BH66" s="169"/>
      <c r="BI66" s="169"/>
      <c r="BJ66" s="169"/>
      <c r="BK66" s="169"/>
      <c r="BL66" s="163"/>
      <c r="BM66" s="412"/>
      <c r="BN66" s="169"/>
      <c r="BO66" s="169"/>
      <c r="BP66" s="169"/>
      <c r="BQ66" s="163"/>
      <c r="BR66" s="169"/>
      <c r="BS66" s="169"/>
      <c r="BT66" s="169"/>
      <c r="BU66" s="169"/>
      <c r="BV66" s="163"/>
      <c r="BW66" s="169"/>
      <c r="BX66" s="169"/>
      <c r="BY66" s="169"/>
      <c r="BZ66" s="169"/>
      <c r="CA66" s="163"/>
      <c r="CB66" s="169"/>
      <c r="CC66" s="169"/>
      <c r="CD66" s="169"/>
      <c r="CE66" s="169"/>
      <c r="CF66" s="163"/>
      <c r="CG66" s="169"/>
      <c r="CH66" s="169"/>
      <c r="CI66" s="169"/>
      <c r="CJ66" s="169"/>
      <c r="CK66" s="163"/>
      <c r="CL66" s="169"/>
      <c r="CM66" s="169"/>
      <c r="CN66" s="169"/>
      <c r="CO66" s="169"/>
      <c r="CP66" s="163"/>
    </row>
    <row r="67" spans="1:109" hidden="1" outlineLevel="1" x14ac:dyDescent="0.25">
      <c r="A67" s="160" t="s">
        <v>204</v>
      </c>
      <c r="B67" s="160"/>
      <c r="C67" s="137"/>
      <c r="D67" s="137"/>
      <c r="E67" s="139"/>
      <c r="F67" s="139"/>
      <c r="G67" s="139"/>
      <c r="H67" s="139"/>
      <c r="I67" s="137"/>
      <c r="J67" s="139"/>
      <c r="K67" s="139"/>
      <c r="L67" s="139"/>
      <c r="M67" s="139"/>
      <c r="N67" s="137"/>
      <c r="O67" s="170">
        <f t="shared" ref="O67:AD67" si="123">O65/O56</f>
        <v>0.16111854443065249</v>
      </c>
      <c r="P67" s="170">
        <f t="shared" si="123"/>
        <v>0.21249057990254053</v>
      </c>
      <c r="Q67" s="170">
        <f t="shared" si="123"/>
        <v>0.1804824384877512</v>
      </c>
      <c r="R67" s="170">
        <f t="shared" si="123"/>
        <v>0.11470641896605384</v>
      </c>
      <c r="S67" s="171">
        <f t="shared" si="123"/>
        <v>0.66882571861608675</v>
      </c>
      <c r="T67" s="170">
        <f t="shared" si="123"/>
        <v>0.16386976824163482</v>
      </c>
      <c r="U67" s="170">
        <f t="shared" si="123"/>
        <v>0.22166904888089467</v>
      </c>
      <c r="V67" s="170">
        <f t="shared" si="123"/>
        <v>0.19961110250718428</v>
      </c>
      <c r="W67" s="170">
        <f t="shared" si="123"/>
        <v>0.17361835387769736</v>
      </c>
      <c r="X67" s="171">
        <f t="shared" si="123"/>
        <v>0.75918076381721689</v>
      </c>
      <c r="Y67" s="170">
        <f t="shared" si="123"/>
        <v>0.154936628810835</v>
      </c>
      <c r="Z67" s="170">
        <f t="shared" si="123"/>
        <v>0.25151267662530402</v>
      </c>
      <c r="AA67" s="170">
        <f t="shared" si="123"/>
        <v>0.21722579424281233</v>
      </c>
      <c r="AB67" s="170">
        <f t="shared" si="123"/>
        <v>0.14067643095411669</v>
      </c>
      <c r="AC67" s="171">
        <f t="shared" si="123"/>
        <v>0.7646204620462046</v>
      </c>
      <c r="AD67" s="170">
        <f t="shared" si="123"/>
        <v>0.21543300659031572</v>
      </c>
      <c r="AE67" s="172">
        <f t="shared" ref="AE67:AL67" si="124">AE65/AE56</f>
        <v>0.26416667787536818</v>
      </c>
      <c r="AF67" s="172">
        <f t="shared" si="124"/>
        <v>0.19359368857681197</v>
      </c>
      <c r="AG67" s="172">
        <f ca="1">AG65/AG56</f>
        <v>0.13139850391868485</v>
      </c>
      <c r="AH67" s="171">
        <f ca="1">AH65/AH56</f>
        <v>0.80534367593191136</v>
      </c>
      <c r="AI67" s="170">
        <f t="shared" si="124"/>
        <v>0.20155827707478152</v>
      </c>
      <c r="AJ67" s="172">
        <f t="shared" si="124"/>
        <v>0.28031089026010669</v>
      </c>
      <c r="AK67" s="172">
        <f>AK65/AK56</f>
        <v>0.25691591344837028</v>
      </c>
      <c r="AL67" s="172">
        <f t="shared" si="124"/>
        <v>0.30210666429218863</v>
      </c>
      <c r="AM67" s="171">
        <f t="shared" ref="AM67:AR67" si="125">AM65/AM56</f>
        <v>1.0401736352840001</v>
      </c>
      <c r="AN67" s="172">
        <f t="shared" si="125"/>
        <v>0.21590444263152961</v>
      </c>
      <c r="AO67" s="172">
        <f t="shared" si="125"/>
        <v>0.29147940594425631</v>
      </c>
      <c r="AP67" s="172">
        <f t="shared" si="125"/>
        <v>0.24820512820512813</v>
      </c>
      <c r="AQ67" s="172">
        <f t="shared" si="125"/>
        <v>0.19518012354047165</v>
      </c>
      <c r="AR67" s="171">
        <f t="shared" si="125"/>
        <v>0.95059761305500801</v>
      </c>
      <c r="AS67" s="172">
        <f t="shared" ref="AS67:BX67" si="126">AS65/AS56</f>
        <v>0.27467667296715986</v>
      </c>
      <c r="AT67" s="172">
        <f t="shared" si="126"/>
        <v>0.32183758277452296</v>
      </c>
      <c r="AU67" s="172">
        <f t="shared" si="126"/>
        <v>0.29313976684600396</v>
      </c>
      <c r="AV67" s="172">
        <f t="shared" si="126"/>
        <v>0.21002546326413027</v>
      </c>
      <c r="AW67" s="171">
        <f t="shared" si="126"/>
        <v>1.09960648600374</v>
      </c>
      <c r="AX67" s="172">
        <f t="shared" si="126"/>
        <v>0.26565112390860118</v>
      </c>
      <c r="AY67" s="172">
        <f t="shared" si="126"/>
        <v>0.38289251129161167</v>
      </c>
      <c r="AZ67" s="172">
        <f t="shared" si="126"/>
        <v>0.32962121494282842</v>
      </c>
      <c r="BA67" s="172">
        <f t="shared" si="126"/>
        <v>0.24666090304027785</v>
      </c>
      <c r="BB67" s="171">
        <f t="shared" si="126"/>
        <v>1.2247273187792156</v>
      </c>
      <c r="BC67" s="172">
        <f t="shared" si="126"/>
        <v>0.28005339610765206</v>
      </c>
      <c r="BD67" s="172">
        <f t="shared" si="126"/>
        <v>0.38956964728027005</v>
      </c>
      <c r="BE67" s="172">
        <f t="shared" si="126"/>
        <v>0.34994308721296674</v>
      </c>
      <c r="BF67" s="172">
        <f t="shared" si="126"/>
        <v>0.26504609908937732</v>
      </c>
      <c r="BG67" s="171">
        <f t="shared" si="126"/>
        <v>1.2850241510475788</v>
      </c>
      <c r="BH67" s="172">
        <f t="shared" si="126"/>
        <v>0.29908262157420984</v>
      </c>
      <c r="BI67" s="172">
        <f t="shared" si="126"/>
        <v>0.38942515978601089</v>
      </c>
      <c r="BJ67" s="172">
        <f t="shared" si="126"/>
        <v>0.37551262414150899</v>
      </c>
      <c r="BK67" s="172">
        <f t="shared" si="126"/>
        <v>1.0413653456754413</v>
      </c>
      <c r="BL67" s="171">
        <f t="shared" si="126"/>
        <v>2.0912473076169964</v>
      </c>
      <c r="BM67" s="413">
        <f t="shared" si="126"/>
        <v>0.2929226355966657</v>
      </c>
      <c r="BN67" s="172">
        <f t="shared" si="126"/>
        <v>0.40219677017619077</v>
      </c>
      <c r="BO67" s="172">
        <f t="shared" si="126"/>
        <v>0.37606608018266069</v>
      </c>
      <c r="BP67" s="172">
        <f t="shared" si="126"/>
        <v>0.3023251600278512</v>
      </c>
      <c r="BQ67" s="171">
        <f t="shared" si="126"/>
        <v>1.3727363296206279</v>
      </c>
      <c r="BR67" s="172">
        <f t="shared" si="126"/>
        <v>0.36854241990543163</v>
      </c>
      <c r="BS67" s="172">
        <f t="shared" si="126"/>
        <v>0.49453349093570809</v>
      </c>
      <c r="BT67" s="172">
        <f t="shared" ca="1" si="126"/>
        <v>0.40823728129958614</v>
      </c>
      <c r="BU67" s="172">
        <f t="shared" ca="1" si="126"/>
        <v>0.30953822202289355</v>
      </c>
      <c r="BV67" s="171">
        <f t="shared" ca="1" si="126"/>
        <v>1.5815917708269192</v>
      </c>
      <c r="BW67" s="172">
        <f t="shared" ca="1" si="126"/>
        <v>0.37827452799988986</v>
      </c>
      <c r="BX67" s="172">
        <f t="shared" ca="1" si="126"/>
        <v>0.52635160009051862</v>
      </c>
      <c r="BY67" s="172">
        <f t="shared" ref="BY67:CP67" ca="1" si="127">BY65/BY56</f>
        <v>0.46245678399624729</v>
      </c>
      <c r="BZ67" s="172">
        <f t="shared" ca="1" si="127"/>
        <v>0.35191208476336727</v>
      </c>
      <c r="CA67" s="171">
        <f t="shared" ca="1" si="127"/>
        <v>1.7193292853691857</v>
      </c>
      <c r="CB67" s="172">
        <f t="shared" ca="1" si="127"/>
        <v>0.40874256160765726</v>
      </c>
      <c r="CC67" s="172">
        <f t="shared" ca="1" si="127"/>
        <v>0.56752539648309042</v>
      </c>
      <c r="CD67" s="172">
        <f t="shared" ca="1" si="127"/>
        <v>0.49990968588889739</v>
      </c>
      <c r="CE67" s="172">
        <f t="shared" ca="1" si="127"/>
        <v>0.3803307651543848</v>
      </c>
      <c r="CF67" s="171">
        <f t="shared" ca="1" si="127"/>
        <v>1.8568512091698688</v>
      </c>
      <c r="CG67" s="172">
        <f t="shared" ca="1" si="127"/>
        <v>0.44141644643166317</v>
      </c>
      <c r="CH67" s="172">
        <f t="shared" ca="1" si="127"/>
        <v>0.61261525061967514</v>
      </c>
      <c r="CI67" s="172">
        <f t="shared" ca="1" si="127"/>
        <v>0.54145874223414614</v>
      </c>
      <c r="CJ67" s="172">
        <f t="shared" ca="1" si="127"/>
        <v>0.41263059328304125</v>
      </c>
      <c r="CK67" s="171">
        <f t="shared" ca="1" si="127"/>
        <v>2.0084592453132797</v>
      </c>
      <c r="CL67" s="172">
        <f t="shared" ca="1" si="127"/>
        <v>0.47653071518336926</v>
      </c>
      <c r="CM67" s="172">
        <f t="shared" ca="1" si="127"/>
        <v>0.65945168768647344</v>
      </c>
      <c r="CN67" s="172">
        <f t="shared" ca="1" si="127"/>
        <v>0.58412182527868073</v>
      </c>
      <c r="CO67" s="172">
        <f t="shared" ca="1" si="127"/>
        <v>0.44572264335996309</v>
      </c>
      <c r="CP67" s="171">
        <f t="shared" ca="1" si="127"/>
        <v>2.1661718454052887</v>
      </c>
    </row>
    <row r="68" spans="1:109" hidden="1" outlineLevel="1" x14ac:dyDescent="0.25">
      <c r="A68" s="161"/>
      <c r="B68" s="161"/>
      <c r="C68" s="137"/>
      <c r="D68" s="137"/>
      <c r="E68" s="139"/>
      <c r="F68" s="139"/>
      <c r="G68" s="139"/>
      <c r="H68" s="139"/>
      <c r="I68" s="137"/>
      <c r="J68" s="139"/>
      <c r="K68" s="139"/>
      <c r="L68" s="139"/>
      <c r="M68" s="139"/>
      <c r="N68" s="137"/>
      <c r="O68" s="173"/>
      <c r="P68" s="173"/>
      <c r="Q68" s="139"/>
      <c r="R68" s="139"/>
      <c r="S68" s="137"/>
      <c r="T68" s="139"/>
      <c r="U68" s="139"/>
      <c r="V68" s="139"/>
      <c r="W68" s="139"/>
      <c r="X68" s="137"/>
      <c r="Y68" s="139"/>
      <c r="Z68" s="96"/>
      <c r="AA68" s="140"/>
      <c r="AB68" s="96"/>
      <c r="AC68" s="122"/>
      <c r="AD68" s="96"/>
      <c r="AE68" s="121"/>
      <c r="AF68" s="121"/>
      <c r="AG68" s="121"/>
      <c r="AH68" s="122"/>
      <c r="AI68" s="96"/>
      <c r="AJ68" s="121"/>
      <c r="AK68" s="121"/>
      <c r="AL68" s="121"/>
      <c r="AM68" s="122"/>
      <c r="AN68" s="121"/>
      <c r="AO68" s="121"/>
      <c r="AP68" s="121"/>
      <c r="AQ68" s="121"/>
      <c r="AR68" s="122"/>
      <c r="AS68" s="121"/>
      <c r="AT68" s="121"/>
      <c r="AU68" s="121"/>
      <c r="AV68" s="121"/>
      <c r="AW68" s="122"/>
      <c r="AX68" s="121"/>
      <c r="AY68" s="121"/>
      <c r="AZ68" s="121"/>
      <c r="BA68" s="121"/>
      <c r="BB68" s="122"/>
      <c r="BC68" s="121"/>
      <c r="BD68" s="121"/>
      <c r="BE68" s="121"/>
      <c r="BF68" s="121"/>
      <c r="BG68" s="122"/>
      <c r="BH68" s="121"/>
      <c r="BI68" s="121"/>
      <c r="BJ68" s="121"/>
      <c r="BK68" s="121"/>
      <c r="BL68" s="122"/>
      <c r="BM68" s="387"/>
      <c r="BN68" s="121"/>
      <c r="BO68" s="121"/>
      <c r="BP68" s="121"/>
      <c r="BQ68" s="122"/>
      <c r="BR68" s="121"/>
      <c r="BS68" s="121"/>
      <c r="BT68" s="121"/>
      <c r="BU68" s="121"/>
      <c r="BV68" s="122"/>
      <c r="BW68" s="121"/>
      <c r="BX68" s="121"/>
      <c r="BY68" s="121"/>
      <c r="BZ68" s="121"/>
      <c r="CA68" s="122"/>
      <c r="CB68" s="121"/>
      <c r="CC68" s="121"/>
      <c r="CD68" s="121"/>
      <c r="CE68" s="121"/>
      <c r="CF68" s="122"/>
      <c r="CG68" s="121"/>
      <c r="CH68" s="121"/>
      <c r="CI68" s="121"/>
      <c r="CJ68" s="121"/>
      <c r="CK68" s="122"/>
      <c r="CL68" s="121"/>
      <c r="CM68" s="121"/>
      <c r="CN68" s="121"/>
      <c r="CO68" s="121"/>
      <c r="CP68" s="122"/>
    </row>
    <row r="69" spans="1:109" hidden="1" outlineLevel="1" x14ac:dyDescent="0.25">
      <c r="A69" s="160" t="s">
        <v>205</v>
      </c>
      <c r="B69" s="161"/>
      <c r="C69" s="137"/>
      <c r="D69" s="137"/>
      <c r="E69" s="139"/>
      <c r="F69" s="139"/>
      <c r="G69" s="139"/>
      <c r="H69" s="139"/>
      <c r="I69" s="137"/>
      <c r="J69" s="139"/>
      <c r="K69" s="139"/>
      <c r="L69" s="139"/>
      <c r="M69" s="139"/>
      <c r="N69" s="137"/>
      <c r="O69" s="173"/>
      <c r="P69" s="173"/>
      <c r="Q69" s="139"/>
      <c r="R69" s="139"/>
      <c r="S69" s="137"/>
      <c r="T69" s="139"/>
      <c r="U69" s="139"/>
      <c r="V69" s="139"/>
      <c r="W69" s="139"/>
      <c r="X69" s="137"/>
      <c r="Y69" s="139"/>
      <c r="Z69" s="139"/>
      <c r="AA69" s="140"/>
      <c r="AB69" s="96"/>
      <c r="AC69" s="122"/>
      <c r="AD69" s="96"/>
      <c r="AE69" s="121"/>
      <c r="AF69" s="121"/>
      <c r="AG69" s="121"/>
      <c r="AH69" s="122"/>
      <c r="AI69" s="96"/>
      <c r="AJ69" s="121"/>
      <c r="AK69" s="121"/>
      <c r="AL69" s="121"/>
      <c r="AM69" s="122"/>
      <c r="AN69" s="121"/>
      <c r="AO69" s="121"/>
      <c r="AP69" s="121"/>
      <c r="AQ69" s="121"/>
      <c r="AR69" s="122"/>
      <c r="AS69" s="121"/>
      <c r="AT69" s="121"/>
      <c r="AU69" s="121"/>
      <c r="AV69" s="121"/>
      <c r="AW69" s="122"/>
      <c r="AX69" s="121"/>
      <c r="AY69" s="121"/>
      <c r="AZ69" s="121"/>
      <c r="BA69" s="121"/>
      <c r="BB69" s="122"/>
      <c r="BC69" s="121"/>
      <c r="BD69" s="121"/>
      <c r="BE69" s="121"/>
      <c r="BF69" s="121"/>
      <c r="BG69" s="122"/>
      <c r="BH69" s="121"/>
      <c r="BI69" s="121"/>
      <c r="BJ69" s="121"/>
      <c r="BK69" s="121"/>
      <c r="BL69" s="122"/>
      <c r="BM69" s="387"/>
      <c r="BN69" s="121"/>
      <c r="BO69" s="121"/>
      <c r="BP69" s="121"/>
      <c r="BQ69" s="122"/>
      <c r="BR69" s="121"/>
      <c r="BS69" s="121"/>
      <c r="BT69" s="121"/>
      <c r="BU69" s="121"/>
      <c r="BV69" s="122"/>
      <c r="BW69" s="121"/>
      <c r="BX69" s="121"/>
      <c r="BY69" s="121"/>
      <c r="BZ69" s="121"/>
      <c r="CA69" s="122"/>
      <c r="CB69" s="121"/>
      <c r="CC69" s="121"/>
      <c r="CD69" s="121"/>
      <c r="CE69" s="121"/>
      <c r="CF69" s="122"/>
      <c r="CG69" s="121"/>
      <c r="CH69" s="121"/>
      <c r="CI69" s="121"/>
      <c r="CJ69" s="121"/>
      <c r="CK69" s="122"/>
      <c r="CL69" s="121"/>
      <c r="CM69" s="121"/>
      <c r="CN69" s="121"/>
      <c r="CO69" s="121"/>
      <c r="CP69" s="122"/>
    </row>
    <row r="70" spans="1:109" hidden="1" outlineLevel="1" x14ac:dyDescent="0.25">
      <c r="A70" s="161" t="s">
        <v>206</v>
      </c>
      <c r="B70" s="161"/>
      <c r="C70" s="137"/>
      <c r="D70" s="137"/>
      <c r="E70" s="139"/>
      <c r="F70" s="139"/>
      <c r="G70" s="139"/>
      <c r="H70" s="139"/>
      <c r="I70" s="137"/>
      <c r="J70" s="139"/>
      <c r="K70" s="139"/>
      <c r="L70" s="139"/>
      <c r="M70" s="139"/>
      <c r="N70" s="137"/>
      <c r="O70" s="162"/>
      <c r="P70" s="162"/>
      <c r="Q70" s="139"/>
      <c r="R70" s="139"/>
      <c r="S70" s="137"/>
      <c r="T70" s="139"/>
      <c r="U70" s="139"/>
      <c r="V70" s="139"/>
      <c r="W70" s="139"/>
      <c r="X70" s="137"/>
      <c r="Y70" s="139"/>
      <c r="Z70" s="139"/>
      <c r="AA70" s="140"/>
      <c r="AB70" s="96"/>
      <c r="AC70" s="122"/>
      <c r="AD70" s="96"/>
      <c r="AE70" s="121"/>
      <c r="AF70" s="121"/>
      <c r="AG70" s="121"/>
      <c r="AH70" s="122"/>
      <c r="AI70" s="96"/>
      <c r="AJ70" s="121"/>
      <c r="AK70" s="121"/>
      <c r="AL70" s="121"/>
      <c r="AM70" s="122"/>
      <c r="AN70" s="121"/>
      <c r="AO70" s="121"/>
      <c r="AP70" s="121"/>
      <c r="AQ70" s="121"/>
      <c r="AR70" s="122"/>
      <c r="AS70" s="121"/>
      <c r="AT70" s="121"/>
      <c r="AU70" s="121"/>
      <c r="AV70" s="121"/>
      <c r="AW70" s="122"/>
      <c r="AX70" s="121"/>
      <c r="AY70" s="121"/>
      <c r="AZ70" s="121"/>
      <c r="BA70" s="121"/>
      <c r="BB70" s="122"/>
      <c r="BC70" s="121"/>
      <c r="BD70" s="121"/>
      <c r="BE70" s="121"/>
      <c r="BF70" s="121"/>
      <c r="BG70" s="122"/>
      <c r="BH70" s="121"/>
      <c r="BI70" s="121"/>
      <c r="BJ70" s="121"/>
      <c r="BK70" s="121"/>
      <c r="BL70" s="122"/>
      <c r="BM70" s="387"/>
      <c r="BN70" s="121"/>
      <c r="BO70" s="121"/>
      <c r="BP70" s="121"/>
      <c r="BQ70" s="122"/>
      <c r="BR70" s="121"/>
      <c r="BS70" s="121"/>
      <c r="BT70" s="121"/>
      <c r="BU70" s="121"/>
      <c r="BV70" s="122"/>
      <c r="BW70" s="121"/>
      <c r="BX70" s="121"/>
      <c r="BY70" s="121"/>
      <c r="BZ70" s="121"/>
      <c r="CA70" s="122"/>
      <c r="CB70" s="121"/>
      <c r="CC70" s="121"/>
      <c r="CD70" s="121"/>
      <c r="CE70" s="121"/>
      <c r="CF70" s="122"/>
      <c r="CG70" s="121"/>
      <c r="CH70" s="121"/>
      <c r="CI70" s="121"/>
      <c r="CJ70" s="121"/>
      <c r="CK70" s="122"/>
      <c r="CL70" s="121"/>
      <c r="CM70" s="121"/>
      <c r="CN70" s="121"/>
      <c r="CO70" s="121"/>
      <c r="CP70" s="122"/>
    </row>
    <row r="71" spans="1:109" hidden="1" outlineLevel="1" x14ac:dyDescent="0.25">
      <c r="A71" s="161" t="s">
        <v>207</v>
      </c>
      <c r="B71" s="161"/>
      <c r="C71" s="137"/>
      <c r="D71" s="137"/>
      <c r="E71" s="139"/>
      <c r="F71" s="139"/>
      <c r="G71" s="139"/>
      <c r="H71" s="139"/>
      <c r="I71" s="137"/>
      <c r="J71" s="139"/>
      <c r="K71" s="139"/>
      <c r="L71" s="139"/>
      <c r="M71" s="139"/>
      <c r="N71" s="137"/>
      <c r="O71" s="422"/>
      <c r="P71" s="422"/>
      <c r="Q71" s="139"/>
      <c r="R71" s="139"/>
      <c r="S71" s="137"/>
      <c r="T71" s="139"/>
      <c r="U71" s="139"/>
      <c r="V71" s="139"/>
      <c r="W71" s="139"/>
      <c r="X71" s="137"/>
      <c r="Y71" s="139"/>
      <c r="Z71" s="139"/>
      <c r="AA71" s="140"/>
      <c r="AB71" s="96"/>
      <c r="AC71" s="122"/>
      <c r="AD71" s="96"/>
      <c r="AE71" s="121"/>
      <c r="AF71" s="121"/>
      <c r="AG71" s="121"/>
      <c r="AH71" s="122"/>
      <c r="AI71" s="96"/>
      <c r="AJ71" s="121"/>
      <c r="AK71" s="121"/>
      <c r="AL71" s="121"/>
      <c r="AM71" s="122"/>
      <c r="AN71" s="121"/>
      <c r="AO71" s="121"/>
      <c r="AP71" s="121"/>
      <c r="AQ71" s="121"/>
      <c r="AR71" s="122"/>
      <c r="AS71" s="121"/>
      <c r="AT71" s="121"/>
      <c r="AU71" s="121"/>
      <c r="AV71" s="121"/>
      <c r="AW71" s="122"/>
      <c r="AX71" s="121"/>
      <c r="AY71" s="121"/>
      <c r="AZ71" s="121"/>
      <c r="BA71" s="121"/>
      <c r="BB71" s="122"/>
      <c r="BC71" s="121"/>
      <c r="BD71" s="121"/>
      <c r="BE71" s="121"/>
      <c r="BF71" s="121"/>
      <c r="BG71" s="122"/>
      <c r="BH71" s="121"/>
      <c r="BI71" s="121"/>
      <c r="BJ71" s="121"/>
      <c r="BK71" s="121"/>
      <c r="BL71" s="122"/>
      <c r="BM71" s="387"/>
      <c r="BN71" s="121"/>
      <c r="BO71" s="121"/>
      <c r="BP71" s="121"/>
      <c r="BQ71" s="122"/>
      <c r="BR71" s="121"/>
      <c r="BS71" s="121"/>
      <c r="BT71" s="121"/>
      <c r="BU71" s="121"/>
      <c r="BV71" s="122"/>
      <c r="BW71" s="121"/>
      <c r="BX71" s="121"/>
      <c r="BY71" s="121"/>
      <c r="BZ71" s="121"/>
      <c r="CA71" s="122"/>
      <c r="CB71" s="121"/>
      <c r="CC71" s="121"/>
      <c r="CD71" s="121"/>
      <c r="CE71" s="121"/>
      <c r="CF71" s="122"/>
      <c r="CG71" s="121"/>
      <c r="CH71" s="121"/>
      <c r="CI71" s="121"/>
      <c r="CJ71" s="121"/>
      <c r="CK71" s="122"/>
      <c r="CL71" s="121"/>
      <c r="CM71" s="121"/>
      <c r="CN71" s="121"/>
      <c r="CO71" s="121"/>
      <c r="CP71" s="122"/>
    </row>
    <row r="72" spans="1:109" hidden="1" outlineLevel="1" x14ac:dyDescent="0.25">
      <c r="A72" s="161" t="s">
        <v>208</v>
      </c>
      <c r="B72" s="161"/>
      <c r="C72" s="137"/>
      <c r="D72" s="137"/>
      <c r="E72" s="139"/>
      <c r="F72" s="139"/>
      <c r="G72" s="139"/>
      <c r="H72" s="139"/>
      <c r="I72" s="137"/>
      <c r="J72" s="139"/>
      <c r="K72" s="139"/>
      <c r="L72" s="139"/>
      <c r="M72" s="139"/>
      <c r="N72" s="137"/>
      <c r="O72" s="423"/>
      <c r="P72" s="423"/>
      <c r="Q72" s="139"/>
      <c r="R72" s="139"/>
      <c r="S72" s="137"/>
      <c r="T72" s="139"/>
      <c r="U72" s="139"/>
      <c r="V72" s="139"/>
      <c r="W72" s="139"/>
      <c r="X72" s="137"/>
      <c r="Y72" s="139"/>
      <c r="Z72" s="139"/>
      <c r="AA72" s="140"/>
      <c r="AB72" s="96"/>
      <c r="AC72" s="122"/>
      <c r="AD72" s="96"/>
      <c r="AE72" s="121"/>
      <c r="AF72" s="121"/>
      <c r="AG72" s="121"/>
      <c r="AH72" s="122"/>
      <c r="AI72" s="96"/>
      <c r="AJ72" s="121"/>
      <c r="AK72" s="121"/>
      <c r="AL72" s="121"/>
      <c r="AM72" s="122"/>
      <c r="AN72" s="121"/>
      <c r="AO72" s="121"/>
      <c r="AP72" s="121"/>
      <c r="AQ72" s="121"/>
      <c r="AR72" s="122"/>
      <c r="AS72" s="121"/>
      <c r="AT72" s="121"/>
      <c r="AU72" s="121"/>
      <c r="AV72" s="121"/>
      <c r="AW72" s="122"/>
      <c r="AX72" s="121"/>
      <c r="AY72" s="121"/>
      <c r="AZ72" s="121"/>
      <c r="BA72" s="121"/>
      <c r="BB72" s="122"/>
      <c r="BC72" s="121"/>
      <c r="BD72" s="121"/>
      <c r="BE72" s="121"/>
      <c r="BF72" s="121"/>
      <c r="BG72" s="122"/>
      <c r="BH72" s="121"/>
      <c r="BI72" s="121"/>
      <c r="BJ72" s="121"/>
      <c r="BK72" s="121"/>
      <c r="BL72" s="122"/>
      <c r="BM72" s="387"/>
      <c r="BN72" s="121"/>
      <c r="BO72" s="121"/>
      <c r="BP72" s="121"/>
      <c r="BQ72" s="122"/>
      <c r="BR72" s="121"/>
      <c r="BS72" s="121"/>
      <c r="BT72" s="121"/>
      <c r="BU72" s="121"/>
      <c r="BV72" s="122"/>
      <c r="BW72" s="121"/>
      <c r="BX72" s="121"/>
      <c r="BY72" s="121"/>
      <c r="BZ72" s="121"/>
      <c r="CA72" s="122"/>
      <c r="CB72" s="121"/>
      <c r="CC72" s="121"/>
      <c r="CD72" s="121"/>
      <c r="CE72" s="121"/>
      <c r="CF72" s="122"/>
      <c r="CG72" s="121"/>
      <c r="CH72" s="121"/>
      <c r="CI72" s="121"/>
      <c r="CJ72" s="121"/>
      <c r="CK72" s="122"/>
      <c r="CL72" s="121"/>
      <c r="CM72" s="121"/>
      <c r="CN72" s="121"/>
      <c r="CO72" s="121"/>
      <c r="CP72" s="122"/>
    </row>
    <row r="73" spans="1:109" hidden="1" outlineLevel="1" x14ac:dyDescent="0.25">
      <c r="A73" s="160" t="s">
        <v>209</v>
      </c>
      <c r="B73" s="160"/>
      <c r="C73" s="137"/>
      <c r="D73" s="137"/>
      <c r="E73" s="139"/>
      <c r="F73" s="139"/>
      <c r="G73" s="139"/>
      <c r="H73" s="139"/>
      <c r="I73" s="137"/>
      <c r="J73" s="139"/>
      <c r="K73" s="139"/>
      <c r="L73" s="139"/>
      <c r="M73" s="139"/>
      <c r="N73" s="137"/>
      <c r="O73" s="166"/>
      <c r="P73" s="166"/>
      <c r="Q73" s="30">
        <f t="shared" ref="Q73:AM73" si="128">Q55</f>
        <v>573.22500000000002</v>
      </c>
      <c r="R73" s="30">
        <f t="shared" si="128"/>
        <v>573.22500000000002</v>
      </c>
      <c r="S73" s="137">
        <f t="shared" si="128"/>
        <v>573.22500000000002</v>
      </c>
      <c r="T73" s="30">
        <f t="shared" si="128"/>
        <v>573.22500000000002</v>
      </c>
      <c r="U73" s="30">
        <f t="shared" si="128"/>
        <v>573.22500000000002</v>
      </c>
      <c r="V73" s="30">
        <f t="shared" si="128"/>
        <v>575.79375000000005</v>
      </c>
      <c r="W73" s="30">
        <f t="shared" si="128"/>
        <v>575.79375000000005</v>
      </c>
      <c r="X73" s="137">
        <f t="shared" si="128"/>
        <v>574.50937499999998</v>
      </c>
      <c r="Y73" s="30">
        <f t="shared" si="128"/>
        <v>564.7650000000001</v>
      </c>
      <c r="Z73" s="30">
        <f t="shared" si="128"/>
        <v>564.7650000000001</v>
      </c>
      <c r="AA73" s="30">
        <f t="shared" si="128"/>
        <v>564.54000000000008</v>
      </c>
      <c r="AB73" s="27">
        <f t="shared" si="128"/>
        <v>563.42999999999972</v>
      </c>
      <c r="AC73" s="122">
        <f t="shared" si="128"/>
        <v>564.375</v>
      </c>
      <c r="AD73" s="27">
        <f t="shared" si="128"/>
        <v>561.0150000000001</v>
      </c>
      <c r="AE73" s="27">
        <f t="shared" si="128"/>
        <v>554.97</v>
      </c>
      <c r="AF73" s="27">
        <f t="shared" si="128"/>
        <v>550.34250000000009</v>
      </c>
      <c r="AG73" s="27">
        <f t="shared" si="128"/>
        <v>550.23749999999995</v>
      </c>
      <c r="AH73" s="122">
        <f t="shared" si="128"/>
        <v>554.14125000000001</v>
      </c>
      <c r="AI73" s="27">
        <f>AI55</f>
        <v>549.63749999999993</v>
      </c>
      <c r="AJ73" s="27">
        <f>AJ55</f>
        <v>546.18375000000003</v>
      </c>
      <c r="AK73" s="27">
        <f t="shared" si="128"/>
        <v>543.9787500000001</v>
      </c>
      <c r="AL73" s="27">
        <f t="shared" si="128"/>
        <v>543.76874999999995</v>
      </c>
      <c r="AM73" s="122">
        <f t="shared" si="128"/>
        <v>546.01125000000002</v>
      </c>
      <c r="AN73" s="27">
        <f>AN55</f>
        <v>543.10500000000002</v>
      </c>
      <c r="AO73" s="27">
        <f>AO55</f>
        <v>537.03375000000005</v>
      </c>
      <c r="AP73" s="27">
        <f>AP55</f>
        <v>532.23</v>
      </c>
      <c r="AQ73" s="27">
        <f>AQ55</f>
        <v>532.55999999999995</v>
      </c>
      <c r="AR73" s="122">
        <f>AR55</f>
        <v>536.32124999999996</v>
      </c>
      <c r="AS73" s="27">
        <f t="shared" ref="AS73:CA73" si="129">AS55</f>
        <v>532.92000000000007</v>
      </c>
      <c r="AT73" s="27">
        <f t="shared" si="129"/>
        <v>533.19000000000005</v>
      </c>
      <c r="AU73" s="27">
        <f t="shared" si="129"/>
        <v>533.64750000000004</v>
      </c>
      <c r="AV73" s="27">
        <f t="shared" si="129"/>
        <v>533.95249999999999</v>
      </c>
      <c r="AW73" s="122">
        <f t="shared" si="129"/>
        <v>533.42250000000001</v>
      </c>
      <c r="AX73" s="27">
        <f t="shared" si="129"/>
        <v>534.27250000000004</v>
      </c>
      <c r="AY73" s="27">
        <f t="shared" si="129"/>
        <v>533.96749999999997</v>
      </c>
      <c r="AZ73" s="27">
        <f t="shared" si="129"/>
        <v>532.87750000000005</v>
      </c>
      <c r="BA73" s="27">
        <f t="shared" si="129"/>
        <v>533.24</v>
      </c>
      <c r="BB73" s="122">
        <f t="shared" si="129"/>
        <v>533.63499999999999</v>
      </c>
      <c r="BC73" s="27">
        <f t="shared" si="129"/>
        <v>533.61</v>
      </c>
      <c r="BD73" s="27">
        <f t="shared" si="129"/>
        <v>530.21749999999997</v>
      </c>
      <c r="BE73" s="27">
        <f t="shared" si="129"/>
        <v>527.81500000000005</v>
      </c>
      <c r="BF73" s="27">
        <f t="shared" si="129"/>
        <v>524.65249999999992</v>
      </c>
      <c r="BG73" s="122">
        <f t="shared" si="129"/>
        <v>528.98249999999996</v>
      </c>
      <c r="BH73" s="27">
        <f t="shared" si="129"/>
        <v>518.15750000000003</v>
      </c>
      <c r="BI73" s="27">
        <f t="shared" ref="BI73:BP73" si="130">BI55</f>
        <v>510.13750000000005</v>
      </c>
      <c r="BJ73" s="27">
        <f t="shared" si="130"/>
        <v>502.95499999999998</v>
      </c>
      <c r="BK73" s="27">
        <f t="shared" si="130"/>
        <v>498.30950000000001</v>
      </c>
      <c r="BL73" s="122">
        <f t="shared" si="130"/>
        <v>507.4425</v>
      </c>
      <c r="BM73" s="27">
        <f t="shared" si="130"/>
        <v>491.27249999999998</v>
      </c>
      <c r="BN73" s="27">
        <f t="shared" si="130"/>
        <v>486.3125</v>
      </c>
      <c r="BO73" s="27">
        <f t="shared" si="130"/>
        <v>480.65</v>
      </c>
      <c r="BP73" s="27">
        <f t="shared" si="130"/>
        <v>479.7</v>
      </c>
      <c r="BQ73" s="122">
        <f t="shared" si="129"/>
        <v>484.63500000000005</v>
      </c>
      <c r="BR73" s="27">
        <f t="shared" si="129"/>
        <v>480.04750000000001</v>
      </c>
      <c r="BS73" s="27">
        <f t="shared" si="129"/>
        <v>480.15</v>
      </c>
      <c r="BT73" s="27">
        <f t="shared" si="129"/>
        <v>478.69718735471872</v>
      </c>
      <c r="BU73" s="27">
        <f t="shared" si="129"/>
        <v>475.81303220177119</v>
      </c>
      <c r="BV73" s="122">
        <f t="shared" si="129"/>
        <v>478.6769298891225</v>
      </c>
      <c r="BW73" s="27">
        <f t="shared" si="129"/>
        <v>473.20653164183375</v>
      </c>
      <c r="BX73" s="27">
        <f t="shared" si="129"/>
        <v>470.87358240505898</v>
      </c>
      <c r="BY73" s="27">
        <f t="shared" si="129"/>
        <v>468.57511025060109</v>
      </c>
      <c r="BZ73" s="27">
        <f t="shared" si="129"/>
        <v>466.31060566492829</v>
      </c>
      <c r="CA73" s="122">
        <f t="shared" si="129"/>
        <v>469.74145749060551</v>
      </c>
      <c r="CB73" s="27">
        <f t="shared" ref="CB73:CK73" si="131">CB55</f>
        <v>464.07956666426543</v>
      </c>
      <c r="CC73" s="27">
        <f t="shared" si="131"/>
        <v>461.88149868331675</v>
      </c>
      <c r="CD73" s="27">
        <f t="shared" si="131"/>
        <v>459.71591446563332</v>
      </c>
      <c r="CE73" s="27">
        <f t="shared" si="131"/>
        <v>457.5823339556004</v>
      </c>
      <c r="CF73" s="122">
        <f t="shared" si="131"/>
        <v>460.81482844220398</v>
      </c>
      <c r="CG73" s="27">
        <f t="shared" si="131"/>
        <v>455.4802841920212</v>
      </c>
      <c r="CH73" s="27">
        <f t="shared" si="131"/>
        <v>453.40929920327324</v>
      </c>
      <c r="CI73" s="27">
        <f t="shared" si="131"/>
        <v>451.36891990401415</v>
      </c>
      <c r="CJ73" s="27">
        <f t="shared" si="131"/>
        <v>449.35869399341402</v>
      </c>
      <c r="CK73" s="122">
        <f t="shared" si="131"/>
        <v>452.40429932318068</v>
      </c>
      <c r="CL73" s="27">
        <f>CL55</f>
        <v>447.37817585489171</v>
      </c>
      <c r="CM73" s="27">
        <f>CM55</f>
        <v>445.4269264573328</v>
      </c>
      <c r="CN73" s="27">
        <f>CN55</f>
        <v>443.50451325776737</v>
      </c>
      <c r="CO73" s="27">
        <f>CO55</f>
        <v>441.61051010548618</v>
      </c>
      <c r="CP73" s="122">
        <f>CP55</f>
        <v>444.48003141886949</v>
      </c>
    </row>
    <row r="74" spans="1:109" hidden="1" outlineLevel="1" x14ac:dyDescent="0.25">
      <c r="A74" s="160" t="s">
        <v>210</v>
      </c>
      <c r="B74" s="160"/>
      <c r="C74" s="137"/>
      <c r="D74" s="137"/>
      <c r="E74" s="139"/>
      <c r="F74" s="139"/>
      <c r="G74" s="139"/>
      <c r="H74" s="139"/>
      <c r="I74" s="137"/>
      <c r="J74" s="139"/>
      <c r="K74" s="139"/>
      <c r="L74" s="139"/>
      <c r="M74" s="139"/>
      <c r="N74" s="137"/>
      <c r="O74" s="166"/>
      <c r="P74" s="166"/>
      <c r="Q74" s="139"/>
      <c r="R74" s="139"/>
      <c r="S74" s="137"/>
      <c r="T74" s="139"/>
      <c r="U74" s="139"/>
      <c r="V74" s="139"/>
      <c r="W74" s="139"/>
      <c r="X74" s="137"/>
      <c r="Y74" s="139"/>
      <c r="Z74" s="139"/>
      <c r="AA74" s="140"/>
      <c r="AB74" s="96"/>
      <c r="AC74" s="122"/>
      <c r="AD74" s="96"/>
      <c r="AE74" s="121"/>
      <c r="AF74" s="121"/>
      <c r="AG74" s="121"/>
      <c r="AH74" s="122"/>
      <c r="AI74" s="121"/>
      <c r="AJ74" s="121"/>
      <c r="AK74" s="121"/>
      <c r="AL74" s="121"/>
      <c r="AM74" s="122"/>
      <c r="AN74" s="121"/>
      <c r="AO74" s="121"/>
      <c r="AP74" s="121"/>
      <c r="AQ74" s="121"/>
      <c r="AR74" s="122"/>
      <c r="AS74" s="121"/>
      <c r="AT74" s="121"/>
      <c r="AU74" s="121"/>
      <c r="AV74" s="121"/>
      <c r="AW74" s="122"/>
      <c r="AX74" s="121"/>
      <c r="AY74" s="121"/>
      <c r="AZ74" s="121"/>
      <c r="BA74" s="121"/>
      <c r="BB74" s="122"/>
      <c r="BC74" s="121"/>
      <c r="BD74" s="121"/>
      <c r="BE74" s="121"/>
      <c r="BF74" s="121"/>
      <c r="BG74" s="122"/>
      <c r="BH74" s="121"/>
      <c r="BI74" s="121"/>
      <c r="BJ74" s="121"/>
      <c r="BK74" s="121"/>
      <c r="BL74" s="122"/>
      <c r="BM74" s="121"/>
      <c r="BN74" s="121"/>
      <c r="BO74" s="121"/>
      <c r="BP74" s="121"/>
      <c r="BQ74" s="122"/>
      <c r="BR74" s="121"/>
      <c r="BS74" s="121"/>
      <c r="BT74" s="121"/>
      <c r="BU74" s="121"/>
      <c r="BV74" s="122"/>
      <c r="BW74" s="121"/>
      <c r="BX74" s="121"/>
      <c r="BY74" s="121"/>
      <c r="BZ74" s="121"/>
      <c r="CA74" s="122"/>
      <c r="CB74" s="121"/>
      <c r="CC74" s="121"/>
      <c r="CD74" s="121"/>
      <c r="CE74" s="121"/>
      <c r="CF74" s="122"/>
      <c r="CG74" s="121"/>
      <c r="CH74" s="121"/>
      <c r="CI74" s="121"/>
      <c r="CJ74" s="121"/>
      <c r="CK74" s="122"/>
      <c r="CL74" s="121"/>
      <c r="CM74" s="121"/>
      <c r="CN74" s="121"/>
      <c r="CO74" s="121"/>
      <c r="CP74" s="122"/>
    </row>
    <row r="75" spans="1:109" hidden="1" outlineLevel="1" x14ac:dyDescent="0.25">
      <c r="A75" s="161" t="s">
        <v>211</v>
      </c>
      <c r="B75" s="161"/>
      <c r="C75" s="137"/>
      <c r="D75" s="137"/>
      <c r="E75" s="139"/>
      <c r="F75" s="139"/>
      <c r="G75" s="139"/>
      <c r="H75" s="139"/>
      <c r="I75" s="137"/>
      <c r="J75" s="139"/>
      <c r="K75" s="139"/>
      <c r="L75" s="139"/>
      <c r="M75" s="139"/>
      <c r="N75" s="137"/>
      <c r="O75" s="162"/>
      <c r="P75" s="162"/>
      <c r="Q75" s="139"/>
      <c r="R75" s="139"/>
      <c r="S75" s="137"/>
      <c r="T75" s="139"/>
      <c r="U75" s="139"/>
      <c r="V75" s="139"/>
      <c r="W75" s="139"/>
      <c r="X75" s="137"/>
      <c r="Y75" s="139"/>
      <c r="Z75" s="139"/>
      <c r="AA75" s="140"/>
      <c r="AB75" s="96"/>
      <c r="AC75" s="122"/>
      <c r="AD75" s="96"/>
      <c r="AE75" s="121"/>
      <c r="AF75" s="121"/>
      <c r="AG75" s="121"/>
      <c r="AH75" s="122"/>
      <c r="AI75" s="121"/>
      <c r="AJ75" s="121"/>
      <c r="AK75" s="121"/>
      <c r="AL75" s="121"/>
      <c r="AM75" s="122"/>
      <c r="AN75" s="121"/>
      <c r="AO75" s="121"/>
      <c r="AP75" s="121"/>
      <c r="AQ75" s="121"/>
      <c r="AR75" s="122"/>
      <c r="AS75" s="121"/>
      <c r="AT75" s="121"/>
      <c r="AU75" s="121"/>
      <c r="AV75" s="121"/>
      <c r="AW75" s="122"/>
      <c r="AX75" s="121"/>
      <c r="AY75" s="121"/>
      <c r="AZ75" s="121"/>
      <c r="BA75" s="121"/>
      <c r="BB75" s="122"/>
      <c r="BC75" s="121"/>
      <c r="BD75" s="121"/>
      <c r="BE75" s="121"/>
      <c r="BF75" s="121"/>
      <c r="BG75" s="122"/>
      <c r="BH75" s="121"/>
      <c r="BI75" s="121"/>
      <c r="BJ75" s="121"/>
      <c r="BK75" s="121"/>
      <c r="BL75" s="122"/>
      <c r="BM75" s="121"/>
      <c r="BN75" s="121"/>
      <c r="BO75" s="121"/>
      <c r="BP75" s="121"/>
      <c r="BQ75" s="122"/>
      <c r="BR75" s="121"/>
      <c r="BS75" s="121"/>
      <c r="BT75" s="121"/>
      <c r="BU75" s="121"/>
      <c r="BV75" s="122"/>
      <c r="BW75" s="121"/>
      <c r="BX75" s="121"/>
      <c r="BY75" s="121"/>
      <c r="BZ75" s="121"/>
      <c r="CA75" s="122"/>
      <c r="CB75" s="121"/>
      <c r="CC75" s="121"/>
      <c r="CD75" s="121"/>
      <c r="CE75" s="121"/>
      <c r="CF75" s="122"/>
      <c r="CG75" s="121"/>
      <c r="CH75" s="121"/>
      <c r="CI75" s="121"/>
      <c r="CJ75" s="121"/>
      <c r="CK75" s="122"/>
      <c r="CL75" s="121"/>
      <c r="CM75" s="121"/>
      <c r="CN75" s="121"/>
      <c r="CO75" s="121"/>
      <c r="CP75" s="122"/>
    </row>
    <row r="76" spans="1:109" hidden="1" outlineLevel="1" x14ac:dyDescent="0.25">
      <c r="A76" s="160" t="s">
        <v>212</v>
      </c>
      <c r="B76" s="160"/>
      <c r="C76" s="137"/>
      <c r="D76" s="137"/>
      <c r="E76" s="139"/>
      <c r="F76" s="139"/>
      <c r="G76" s="139"/>
      <c r="H76" s="139"/>
      <c r="I76" s="137"/>
      <c r="J76" s="139"/>
      <c r="K76" s="139"/>
      <c r="L76" s="139"/>
      <c r="M76" s="139"/>
      <c r="N76" s="137"/>
      <c r="O76" s="166"/>
      <c r="P76" s="166"/>
      <c r="Q76" s="139"/>
      <c r="R76" s="139"/>
      <c r="S76" s="137"/>
      <c r="T76" s="139"/>
      <c r="U76" s="139"/>
      <c r="V76" s="139"/>
      <c r="W76" s="139"/>
      <c r="X76" s="137"/>
      <c r="Y76" s="139"/>
      <c r="Z76" s="139"/>
      <c r="AA76" s="140"/>
      <c r="AB76" s="96"/>
      <c r="AC76" s="122"/>
      <c r="AD76" s="96"/>
      <c r="AE76" s="121"/>
      <c r="AF76" s="121"/>
      <c r="AG76" s="121"/>
      <c r="AH76" s="104"/>
      <c r="AI76" s="121"/>
      <c r="AJ76" s="121"/>
      <c r="AK76" s="121"/>
      <c r="AL76" s="121"/>
      <c r="AM76" s="122"/>
      <c r="AN76" s="121"/>
      <c r="AO76" s="121"/>
      <c r="AP76" s="121"/>
      <c r="AQ76" s="121"/>
      <c r="AR76" s="122"/>
      <c r="AS76" s="121"/>
      <c r="AT76" s="121"/>
      <c r="AU76" s="121"/>
      <c r="AV76" s="121"/>
      <c r="AW76" s="307"/>
      <c r="AX76" s="121"/>
      <c r="AY76" s="121"/>
      <c r="AZ76" s="121"/>
      <c r="BA76" s="121"/>
      <c r="BB76" s="122"/>
      <c r="BC76" s="121"/>
      <c r="BD76" s="121"/>
      <c r="BE76" s="121"/>
      <c r="BF76" s="121"/>
      <c r="BG76" s="122"/>
      <c r="BH76" s="121"/>
      <c r="BI76" s="121"/>
      <c r="BJ76" s="121"/>
      <c r="BK76" s="121"/>
      <c r="BL76" s="122"/>
      <c r="BM76" s="121"/>
      <c r="BN76" s="121"/>
      <c r="BO76" s="121"/>
      <c r="BP76" s="121"/>
      <c r="BQ76" s="122"/>
      <c r="BR76" s="121"/>
      <c r="BS76" s="121"/>
      <c r="BT76" s="121"/>
      <c r="BU76" s="121"/>
      <c r="BV76" s="122"/>
      <c r="BW76" s="121"/>
      <c r="BX76" s="121"/>
      <c r="BY76" s="121"/>
      <c r="BZ76" s="121"/>
      <c r="CA76" s="122"/>
      <c r="CB76" s="121"/>
      <c r="CC76" s="121"/>
      <c r="CD76" s="121"/>
      <c r="CE76" s="121"/>
      <c r="CF76" s="122"/>
      <c r="CG76" s="121"/>
      <c r="CH76" s="121"/>
      <c r="CI76" s="121"/>
      <c r="CJ76" s="121"/>
      <c r="CK76" s="122"/>
      <c r="CL76" s="121"/>
      <c r="CM76" s="121"/>
      <c r="CN76" s="121"/>
      <c r="CO76" s="121"/>
      <c r="CP76" s="122"/>
    </row>
    <row r="77" spans="1:109" ht="13.5" customHeight="1" collapsed="1" x14ac:dyDescent="0.25">
      <c r="C77" s="137"/>
      <c r="D77" s="137"/>
      <c r="E77" s="139"/>
      <c r="F77" s="139"/>
      <c r="G77" s="139"/>
      <c r="H77" s="139"/>
      <c r="I77" s="137"/>
      <c r="J77" s="139"/>
      <c r="K77" s="139"/>
      <c r="L77" s="139"/>
      <c r="M77" s="139"/>
      <c r="N77" s="137"/>
      <c r="O77" s="139"/>
      <c r="P77" s="139"/>
      <c r="Q77" s="139"/>
      <c r="R77" s="139"/>
      <c r="S77" s="137"/>
      <c r="T77" s="139"/>
      <c r="U77" s="139"/>
      <c r="V77" s="139"/>
      <c r="W77" s="139"/>
      <c r="X77" s="137"/>
      <c r="Y77" s="139"/>
      <c r="Z77" s="139"/>
      <c r="AA77" s="140"/>
      <c r="AB77" s="96"/>
      <c r="AC77" s="122"/>
      <c r="AD77" s="96"/>
      <c r="AE77" s="121"/>
      <c r="AF77" s="121"/>
      <c r="AG77" s="121"/>
      <c r="AH77" s="122"/>
      <c r="AI77" s="151"/>
      <c r="AJ77" s="151"/>
      <c r="AK77" s="151"/>
      <c r="AL77" s="151"/>
      <c r="AM77" s="150"/>
      <c r="AN77" s="74"/>
      <c r="AO77" s="74"/>
      <c r="AP77" s="74"/>
      <c r="AQ77" s="261"/>
      <c r="AR77" s="269"/>
      <c r="AS77" s="74"/>
      <c r="AT77" s="121"/>
      <c r="AU77" s="121"/>
      <c r="AV77" s="121"/>
      <c r="AW77" s="104"/>
      <c r="AX77" s="121"/>
      <c r="AY77" s="121"/>
      <c r="AZ77" s="121"/>
      <c r="BA77" s="121"/>
      <c r="BB77" s="122"/>
      <c r="BC77" s="121"/>
      <c r="BD77" s="121"/>
      <c r="BE77" s="121"/>
      <c r="BF77" s="121"/>
      <c r="BG77" s="122"/>
      <c r="BH77" s="121"/>
      <c r="BI77" s="121"/>
      <c r="BJ77" s="121"/>
      <c r="BK77" s="121"/>
      <c r="BL77" s="356"/>
      <c r="BM77" s="121"/>
      <c r="BN77" s="121"/>
      <c r="BO77" s="121"/>
      <c r="BP77" s="121"/>
      <c r="BQ77" s="122"/>
      <c r="BR77" s="121"/>
      <c r="BS77" s="121"/>
      <c r="BT77" s="121"/>
      <c r="BU77" s="121"/>
      <c r="BV77" s="122"/>
      <c r="BW77" s="121"/>
      <c r="BX77" s="121"/>
      <c r="BY77" s="121"/>
      <c r="BZ77" s="121"/>
      <c r="CA77" s="122"/>
      <c r="CB77" s="121"/>
      <c r="CC77" s="121"/>
      <c r="CD77" s="121"/>
      <c r="CE77" s="121"/>
      <c r="CF77" s="122"/>
      <c r="CG77" s="121"/>
      <c r="CH77" s="121"/>
      <c r="CI77" s="121"/>
      <c r="CJ77" s="121"/>
      <c r="CK77" s="122"/>
      <c r="CL77" s="121"/>
      <c r="CM77" s="121"/>
      <c r="CN77" s="121"/>
      <c r="CO77" s="121"/>
      <c r="CP77" s="122"/>
    </row>
    <row r="78" spans="1:109" s="38" customFormat="1" ht="18" customHeight="1" x14ac:dyDescent="0.25">
      <c r="A78" s="217" t="s">
        <v>164</v>
      </c>
      <c r="B78" s="217"/>
      <c r="C78" s="54" t="str">
        <f>C3</f>
        <v>FY2003</v>
      </c>
      <c r="D78" s="54" t="str">
        <f t="shared" ref="D78:AC78" si="132">D3</f>
        <v>FY2004</v>
      </c>
      <c r="E78" s="174" t="str">
        <f t="shared" si="132"/>
        <v>Jul-04A</v>
      </c>
      <c r="F78" s="174" t="str">
        <f t="shared" si="132"/>
        <v>Oct-04A</v>
      </c>
      <c r="G78" s="174" t="str">
        <f t="shared" si="132"/>
        <v>Jan-05A</v>
      </c>
      <c r="H78" s="248" t="str">
        <f t="shared" si="132"/>
        <v>Apr-05A</v>
      </c>
      <c r="I78" s="54" t="str">
        <f t="shared" si="132"/>
        <v>FY2005</v>
      </c>
      <c r="J78" s="174" t="str">
        <f t="shared" si="132"/>
        <v>Jul-05A</v>
      </c>
      <c r="K78" s="174" t="str">
        <f t="shared" si="132"/>
        <v>Oct-05A</v>
      </c>
      <c r="L78" s="174" t="str">
        <f t="shared" si="132"/>
        <v>Jan-06A</v>
      </c>
      <c r="M78" s="248" t="str">
        <f t="shared" si="132"/>
        <v>Apr-06A</v>
      </c>
      <c r="N78" s="54" t="str">
        <f t="shared" si="132"/>
        <v>FY2006</v>
      </c>
      <c r="O78" s="174" t="str">
        <f t="shared" si="132"/>
        <v>Jul-06A</v>
      </c>
      <c r="P78" s="174" t="str">
        <f t="shared" si="132"/>
        <v>Oct-06A</v>
      </c>
      <c r="Q78" s="174" t="str">
        <f t="shared" si="132"/>
        <v>Jan-07A</v>
      </c>
      <c r="R78" s="248" t="str">
        <f t="shared" si="132"/>
        <v>Apr-07A</v>
      </c>
      <c r="S78" s="54" t="str">
        <f t="shared" si="132"/>
        <v>FY2007</v>
      </c>
      <c r="T78" s="174" t="str">
        <f t="shared" si="132"/>
        <v>Jul-07 A</v>
      </c>
      <c r="U78" s="174" t="str">
        <f t="shared" si="132"/>
        <v>Oct-07 A</v>
      </c>
      <c r="V78" s="174" t="str">
        <f t="shared" si="132"/>
        <v>Jan-08 A</v>
      </c>
      <c r="W78" s="248" t="str">
        <f t="shared" si="132"/>
        <v>Apr-08 A</v>
      </c>
      <c r="X78" s="54" t="str">
        <f t="shared" si="132"/>
        <v>FY2008</v>
      </c>
      <c r="Y78" s="174" t="str">
        <f t="shared" si="132"/>
        <v>Jul-08A</v>
      </c>
      <c r="Z78" s="174" t="str">
        <f t="shared" si="132"/>
        <v>Oct-08</v>
      </c>
      <c r="AA78" s="174" t="str">
        <f t="shared" si="132"/>
        <v>Jan-09</v>
      </c>
      <c r="AB78" s="174" t="str">
        <f t="shared" si="132"/>
        <v>Apr-09</v>
      </c>
      <c r="AC78" s="54" t="str">
        <f t="shared" si="132"/>
        <v>FY2009</v>
      </c>
      <c r="AD78" s="174" t="str">
        <f t="shared" ref="AD78:BG78" si="133">AD3</f>
        <v>Jul-09</v>
      </c>
      <c r="AE78" s="174" t="str">
        <f t="shared" si="133"/>
        <v>Oct-09</v>
      </c>
      <c r="AF78" s="174" t="str">
        <f t="shared" si="133"/>
        <v>Jan-10</v>
      </c>
      <c r="AG78" s="174" t="str">
        <f t="shared" si="133"/>
        <v>Apr-10</v>
      </c>
      <c r="AH78" s="54" t="str">
        <f t="shared" si="133"/>
        <v>FY2010</v>
      </c>
      <c r="AI78" s="174" t="str">
        <f t="shared" si="133"/>
        <v>Jul-10</v>
      </c>
      <c r="AJ78" s="174" t="str">
        <f t="shared" si="133"/>
        <v>Oct-10</v>
      </c>
      <c r="AK78" s="174" t="str">
        <f t="shared" si="133"/>
        <v>Jan-11</v>
      </c>
      <c r="AL78" s="174" t="str">
        <f t="shared" si="133"/>
        <v>Apr-11</v>
      </c>
      <c r="AM78" s="54" t="str">
        <f t="shared" si="133"/>
        <v>FY2011</v>
      </c>
      <c r="AN78" s="174" t="str">
        <f t="shared" si="133"/>
        <v>Jul-11</v>
      </c>
      <c r="AO78" s="174" t="str">
        <f t="shared" si="133"/>
        <v>Oct-11</v>
      </c>
      <c r="AP78" s="174" t="str">
        <f t="shared" si="133"/>
        <v>Jan-12</v>
      </c>
      <c r="AQ78" s="174" t="str">
        <f t="shared" si="133"/>
        <v>Apr-12</v>
      </c>
      <c r="AR78" s="54" t="str">
        <f t="shared" si="133"/>
        <v>FY2012</v>
      </c>
      <c r="AS78" s="174" t="str">
        <f t="shared" si="133"/>
        <v>Jul-12</v>
      </c>
      <c r="AT78" s="174" t="str">
        <f t="shared" si="133"/>
        <v>Oct-12</v>
      </c>
      <c r="AU78" s="174" t="str">
        <f t="shared" si="133"/>
        <v>Jan-13</v>
      </c>
      <c r="AV78" s="174" t="str">
        <f t="shared" si="133"/>
        <v>Apr-13</v>
      </c>
      <c r="AW78" s="54" t="str">
        <f t="shared" si="133"/>
        <v>FY2013</v>
      </c>
      <c r="AX78" s="174" t="str">
        <f t="shared" si="133"/>
        <v>Jul-13</v>
      </c>
      <c r="AY78" s="174" t="str">
        <f t="shared" si="133"/>
        <v>Oct-13</v>
      </c>
      <c r="AZ78" s="174" t="str">
        <f t="shared" si="133"/>
        <v>Jan-14</v>
      </c>
      <c r="BA78" s="174" t="str">
        <f t="shared" si="133"/>
        <v>Apr-14</v>
      </c>
      <c r="BB78" s="54" t="str">
        <f t="shared" si="133"/>
        <v>FY2014</v>
      </c>
      <c r="BC78" s="174" t="str">
        <f t="shared" si="133"/>
        <v>Jul-14</v>
      </c>
      <c r="BD78" s="174" t="str">
        <f t="shared" si="133"/>
        <v>Oct-14</v>
      </c>
      <c r="BE78" s="174" t="str">
        <f t="shared" si="133"/>
        <v>Jan-15</v>
      </c>
      <c r="BF78" s="174" t="str">
        <f t="shared" si="133"/>
        <v>Apr-15</v>
      </c>
      <c r="BG78" s="54" t="str">
        <f t="shared" si="133"/>
        <v>FY2015</v>
      </c>
      <c r="BH78" s="174" t="str">
        <f t="shared" ref="BH78:CA78" si="134">BH3</f>
        <v xml:space="preserve"> Jul-15</v>
      </c>
      <c r="BI78" s="174" t="str">
        <f t="shared" si="134"/>
        <v>Oct-15</v>
      </c>
      <c r="BJ78" s="174" t="str">
        <f t="shared" si="134"/>
        <v>Jan-16</v>
      </c>
      <c r="BK78" s="174" t="str">
        <f t="shared" si="134"/>
        <v>Apr-16</v>
      </c>
      <c r="BL78" s="54" t="str">
        <f t="shared" si="134"/>
        <v>FY2016</v>
      </c>
      <c r="BM78" s="174" t="str">
        <f t="shared" si="134"/>
        <v>Jul-16</v>
      </c>
      <c r="BN78" s="174" t="str">
        <f t="shared" si="134"/>
        <v>Oct-16</v>
      </c>
      <c r="BO78" s="174" t="str">
        <f t="shared" si="134"/>
        <v>Jan-17</v>
      </c>
      <c r="BP78" s="174" t="str">
        <f t="shared" si="134"/>
        <v>Apr-17</v>
      </c>
      <c r="BQ78" s="54" t="str">
        <f t="shared" si="134"/>
        <v>FY2017</v>
      </c>
      <c r="BR78" s="174" t="str">
        <f t="shared" si="134"/>
        <v>Jul-17</v>
      </c>
      <c r="BS78" s="174" t="str">
        <f t="shared" si="134"/>
        <v>Oct-17</v>
      </c>
      <c r="BT78" s="174" t="str">
        <f t="shared" si="134"/>
        <v>Jan-18E</v>
      </c>
      <c r="BU78" s="174" t="str">
        <f t="shared" si="134"/>
        <v>Apr-18E</v>
      </c>
      <c r="BV78" s="54" t="str">
        <f t="shared" si="134"/>
        <v>FY2018E</v>
      </c>
      <c r="BW78" s="174" t="str">
        <f t="shared" si="134"/>
        <v>Jul-18E</v>
      </c>
      <c r="BX78" s="174" t="str">
        <f t="shared" si="134"/>
        <v>Oct-18E</v>
      </c>
      <c r="BY78" s="174" t="str">
        <f t="shared" si="134"/>
        <v>Jan-19E</v>
      </c>
      <c r="BZ78" s="174" t="str">
        <f t="shared" si="134"/>
        <v>Apr-19E</v>
      </c>
      <c r="CA78" s="54" t="str">
        <f t="shared" si="134"/>
        <v>FY2019E</v>
      </c>
      <c r="CB78" s="174" t="str">
        <f t="shared" ref="CB78:CK78" si="135">CB3</f>
        <v>Jul-19E</v>
      </c>
      <c r="CC78" s="174" t="str">
        <f t="shared" si="135"/>
        <v>Oct-19E</v>
      </c>
      <c r="CD78" s="174" t="str">
        <f t="shared" si="135"/>
        <v>Jan-20E</v>
      </c>
      <c r="CE78" s="174" t="str">
        <f t="shared" si="135"/>
        <v>Apr-20E</v>
      </c>
      <c r="CF78" s="54" t="str">
        <f t="shared" si="135"/>
        <v>FY2020E</v>
      </c>
      <c r="CG78" s="174" t="str">
        <f t="shared" si="135"/>
        <v>Jul-20E</v>
      </c>
      <c r="CH78" s="174" t="str">
        <f t="shared" si="135"/>
        <v>Oct-20E</v>
      </c>
      <c r="CI78" s="174" t="str">
        <f t="shared" si="135"/>
        <v>Jan-21E</v>
      </c>
      <c r="CJ78" s="174" t="str">
        <f t="shared" si="135"/>
        <v>Apr-21E</v>
      </c>
      <c r="CK78" s="54" t="str">
        <f t="shared" si="135"/>
        <v>FY2021E</v>
      </c>
      <c r="CL78" s="174" t="str">
        <f>CL3</f>
        <v>Jul-21E</v>
      </c>
      <c r="CM78" s="174" t="str">
        <f>CM3</f>
        <v>Oct-21E</v>
      </c>
      <c r="CN78" s="174" t="str">
        <f>CN3</f>
        <v>Jan-22E</v>
      </c>
      <c r="CO78" s="174" t="str">
        <f>CO3</f>
        <v>Apr-22E</v>
      </c>
      <c r="CP78" s="54" t="str">
        <f>CP3</f>
        <v>FY2022E</v>
      </c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</row>
    <row r="79" spans="1:109" x14ac:dyDescent="0.25">
      <c r="C79" s="98"/>
      <c r="D79" s="98"/>
      <c r="E79" s="56"/>
      <c r="F79" s="118"/>
      <c r="G79" s="118"/>
      <c r="H79" s="56"/>
      <c r="I79" s="98"/>
      <c r="J79" s="56"/>
      <c r="K79" s="118"/>
      <c r="L79" s="118"/>
      <c r="M79" s="56"/>
      <c r="N79" s="98"/>
      <c r="O79" s="56"/>
      <c r="P79" s="118"/>
      <c r="Q79" s="118"/>
      <c r="R79" s="56"/>
      <c r="S79" s="98"/>
      <c r="T79" s="56"/>
      <c r="U79" s="118"/>
      <c r="V79" s="118"/>
      <c r="W79" s="56"/>
      <c r="X79" s="98"/>
      <c r="Y79" s="60"/>
      <c r="Z79" s="118"/>
      <c r="AA79" s="118"/>
      <c r="AB79" s="118"/>
      <c r="AC79" s="98"/>
      <c r="AD79" s="118"/>
      <c r="AE79" s="118"/>
      <c r="AF79" s="118"/>
      <c r="AG79" s="118"/>
      <c r="AH79" s="98"/>
      <c r="AI79" s="118"/>
      <c r="AJ79" s="118"/>
      <c r="AK79" s="118"/>
      <c r="AL79" s="118"/>
      <c r="AM79" s="98"/>
      <c r="AN79" s="118"/>
      <c r="AO79" s="118"/>
      <c r="AP79" s="118"/>
      <c r="AQ79" s="118"/>
      <c r="AR79" s="98"/>
      <c r="AS79" s="118"/>
      <c r="AT79" s="118"/>
      <c r="AU79" s="118"/>
      <c r="AV79" s="118"/>
      <c r="AW79" s="98"/>
      <c r="AX79" s="118"/>
      <c r="AY79" s="118"/>
      <c r="AZ79" s="118"/>
      <c r="BA79" s="118"/>
      <c r="BB79" s="98"/>
      <c r="BC79" s="118"/>
      <c r="BD79" s="118"/>
      <c r="BE79" s="118"/>
      <c r="BF79" s="118"/>
      <c r="BG79" s="98"/>
      <c r="BH79" s="118"/>
      <c r="BI79" s="118"/>
      <c r="BJ79" s="118"/>
      <c r="BK79" s="118"/>
      <c r="BL79" s="98"/>
      <c r="BM79" s="118"/>
      <c r="BN79" s="118"/>
      <c r="BO79" s="118"/>
      <c r="BP79" s="118"/>
      <c r="BQ79" s="98"/>
      <c r="BR79" s="118"/>
      <c r="BS79" s="118"/>
      <c r="BT79" s="118"/>
      <c r="BU79" s="118"/>
      <c r="BV79" s="98"/>
      <c r="BW79" s="118"/>
      <c r="BX79" s="118"/>
      <c r="BY79" s="118"/>
      <c r="BZ79" s="118"/>
      <c r="CA79" s="98"/>
      <c r="CB79" s="118"/>
      <c r="CC79" s="118"/>
      <c r="CD79" s="118"/>
      <c r="CE79" s="118"/>
      <c r="CF79" s="98"/>
      <c r="CG79" s="118"/>
      <c r="CH79" s="118"/>
      <c r="CI79" s="118"/>
      <c r="CJ79" s="118"/>
      <c r="CK79" s="98"/>
      <c r="CL79" s="118"/>
      <c r="CM79" s="118"/>
      <c r="CN79" s="118"/>
      <c r="CO79" s="118"/>
      <c r="CP79" s="98"/>
    </row>
    <row r="80" spans="1:109" x14ac:dyDescent="0.25">
      <c r="A80" s="38" t="s">
        <v>30</v>
      </c>
      <c r="C80" s="98"/>
      <c r="D80" s="98"/>
      <c r="E80" s="139"/>
      <c r="F80" s="138"/>
      <c r="G80" s="138"/>
      <c r="H80" s="139"/>
      <c r="I80" s="98"/>
      <c r="J80" s="139"/>
      <c r="K80" s="138"/>
      <c r="L80" s="138"/>
      <c r="M80" s="139"/>
      <c r="N80" s="98"/>
      <c r="O80" s="139"/>
      <c r="P80" s="138"/>
      <c r="Q80" s="138"/>
      <c r="R80" s="139"/>
      <c r="S80" s="98"/>
      <c r="T80" s="139"/>
      <c r="U80" s="138"/>
      <c r="V80" s="138"/>
      <c r="W80" s="139"/>
      <c r="X80" s="98"/>
      <c r="Y80" s="138"/>
      <c r="Z80" s="138"/>
      <c r="AA80" s="138"/>
      <c r="AB80" s="138"/>
      <c r="AC80" s="98"/>
      <c r="AD80" s="138"/>
      <c r="AE80" s="138"/>
      <c r="AF80" s="138"/>
      <c r="AG80" s="138"/>
      <c r="AH80" s="98"/>
      <c r="AI80" s="138"/>
      <c r="AJ80" s="138"/>
      <c r="AK80" s="138"/>
      <c r="AL80" s="138"/>
      <c r="AM80" s="98"/>
      <c r="AN80" s="138"/>
      <c r="AO80" s="73"/>
      <c r="AP80" s="138"/>
      <c r="AQ80" s="138"/>
      <c r="AR80" s="98"/>
      <c r="AS80" s="138"/>
      <c r="AT80" s="138"/>
      <c r="AU80" s="138"/>
      <c r="AV80" s="138"/>
      <c r="AW80" s="98"/>
      <c r="AX80" s="138"/>
      <c r="AY80" s="138"/>
      <c r="AZ80" s="138"/>
      <c r="BA80" s="138"/>
      <c r="BB80" s="98"/>
      <c r="BC80" s="138"/>
      <c r="BD80" s="138"/>
      <c r="BE80" s="138"/>
      <c r="BF80" s="138"/>
      <c r="BG80" s="98"/>
      <c r="BH80" s="138"/>
      <c r="BI80" s="138"/>
      <c r="BJ80" s="138"/>
      <c r="BK80" s="138"/>
      <c r="BL80" s="98"/>
      <c r="BM80" s="138"/>
      <c r="BN80" s="138"/>
      <c r="BO80" s="138"/>
      <c r="BP80" s="138"/>
      <c r="BQ80" s="98"/>
      <c r="BR80" s="138"/>
      <c r="BS80" s="138"/>
      <c r="BT80" s="138"/>
      <c r="BU80" s="138"/>
      <c r="BV80" s="98"/>
      <c r="BW80" s="138"/>
      <c r="BX80" s="138"/>
      <c r="BY80" s="138"/>
      <c r="BZ80" s="138"/>
      <c r="CA80" s="98"/>
      <c r="CB80" s="138"/>
      <c r="CC80" s="138"/>
      <c r="CD80" s="138"/>
      <c r="CE80" s="138"/>
      <c r="CF80" s="98"/>
      <c r="CG80" s="138"/>
      <c r="CH80" s="138"/>
      <c r="CI80" s="138"/>
      <c r="CJ80" s="138"/>
      <c r="CK80" s="98"/>
      <c r="CL80" s="138"/>
      <c r="CM80" s="138"/>
      <c r="CN80" s="138"/>
      <c r="CO80" s="138"/>
      <c r="CP80" s="98"/>
    </row>
    <row r="81" spans="1:109" x14ac:dyDescent="0.25">
      <c r="A81" s="52" t="s">
        <v>31</v>
      </c>
      <c r="C81" s="94">
        <v>0</v>
      </c>
      <c r="D81" s="94">
        <v>0</v>
      </c>
      <c r="E81" s="96">
        <v>0</v>
      </c>
      <c r="F81" s="95">
        <v>0</v>
      </c>
      <c r="G81" s="95">
        <v>0</v>
      </c>
      <c r="H81" s="96">
        <v>0</v>
      </c>
      <c r="I81" s="94">
        <v>0</v>
      </c>
      <c r="J81" s="96">
        <v>0</v>
      </c>
      <c r="K81" s="95">
        <v>0</v>
      </c>
      <c r="L81" s="95">
        <v>0</v>
      </c>
      <c r="M81" s="96">
        <v>0</v>
      </c>
      <c r="N81" s="94">
        <f>M81</f>
        <v>0</v>
      </c>
      <c r="O81" s="96">
        <v>0</v>
      </c>
      <c r="P81" s="95">
        <v>0</v>
      </c>
      <c r="Q81" s="95">
        <v>0</v>
      </c>
      <c r="R81" s="96">
        <v>0</v>
      </c>
      <c r="S81" s="94">
        <f>R81</f>
        <v>0</v>
      </c>
      <c r="T81" s="96">
        <v>0</v>
      </c>
      <c r="U81" s="95">
        <v>0</v>
      </c>
      <c r="V81" s="95">
        <v>0</v>
      </c>
      <c r="W81" s="96">
        <f>+MAX(SUM(W98:W103,W106,W107,W108,W109,W113,W115,W116,W117)-SUM(W82,W83,W84,W86,W88,W91,W92,W93),0)</f>
        <v>0</v>
      </c>
      <c r="X81" s="94">
        <f>+MAX(SUM(X98:X103,X106,X107,X108,X109,X113,X115,X116,X117)-SUM(X82,X83,X84,X86,X88,X91,X92,X93),0)</f>
        <v>0</v>
      </c>
      <c r="Y81" s="96">
        <f>+MAX(SUM(Y98:Y103,Y106,Y107,Y108,Y109,Y113,Y115,Y116,Y117)-SUM(Y82,Y83,Y84,Y86,Y88,Y91,Y92,Y93),0)</f>
        <v>4.5474735088646412E-13</v>
      </c>
      <c r="Z81" s="96">
        <v>0</v>
      </c>
      <c r="AA81" s="95">
        <v>0</v>
      </c>
      <c r="AB81" s="95">
        <v>0</v>
      </c>
      <c r="AC81" s="94">
        <f>AB81</f>
        <v>0</v>
      </c>
      <c r="AD81" s="95">
        <f>+MAX(SUM(AD98:AD103,AD106,AD107,AD108,AD109,AD113,AD115,AD116,AD117)-SUM(AD82,AD83,AD84,AD86,AD88,AD91,AD92,AD93),0)</f>
        <v>0</v>
      </c>
      <c r="AE81" s="119">
        <v>0</v>
      </c>
      <c r="AF81" s="119">
        <v>0</v>
      </c>
      <c r="AG81" s="119">
        <v>0</v>
      </c>
      <c r="AH81" s="94">
        <f>AG81</f>
        <v>0</v>
      </c>
      <c r="AI81" s="119">
        <v>0</v>
      </c>
      <c r="AJ81" s="119">
        <v>0</v>
      </c>
      <c r="AK81" s="119">
        <v>0</v>
      </c>
      <c r="AL81" s="119">
        <v>0</v>
      </c>
      <c r="AM81" s="94">
        <f>AL81</f>
        <v>0</v>
      </c>
      <c r="AN81" s="119">
        <v>0</v>
      </c>
      <c r="AO81" s="97">
        <v>0</v>
      </c>
      <c r="AP81" s="97">
        <v>0</v>
      </c>
      <c r="AQ81" s="97">
        <v>0</v>
      </c>
      <c r="AR81" s="94">
        <f>AQ81</f>
        <v>0</v>
      </c>
      <c r="AS81" s="119">
        <v>0</v>
      </c>
      <c r="AT81" s="136">
        <v>0</v>
      </c>
      <c r="AU81" s="136">
        <v>0</v>
      </c>
      <c r="AV81" s="136">
        <v>0</v>
      </c>
      <c r="AW81" s="94">
        <f t="shared" ref="AW81:CP81" si="136">+MAX(SUM(AW98:AW103,AW106,AW107,AW108,AW109,AW113,AW115,AW116,AW117)-SUM(AW82,AW83,AW84,AW86,AW88,AW91,AW92,AW93),0)</f>
        <v>0</v>
      </c>
      <c r="AX81" s="136">
        <v>0</v>
      </c>
      <c r="AY81" s="136">
        <v>0</v>
      </c>
      <c r="AZ81" s="136">
        <v>0</v>
      </c>
      <c r="BA81" s="119">
        <v>0</v>
      </c>
      <c r="BB81" s="94">
        <f t="shared" si="136"/>
        <v>0</v>
      </c>
      <c r="BC81" s="97">
        <v>0</v>
      </c>
      <c r="BD81" s="119">
        <v>0</v>
      </c>
      <c r="BE81" s="97">
        <v>0</v>
      </c>
      <c r="BF81" s="119">
        <f>+MAX(SUM(BF98:BF103,BF106,BF107,BF108,BF109,BF113,BF115,BF116,BF117)-SUM(BF82,BF83,BF84,BF86,BF88,BF91,BF92,BF93),0)</f>
        <v>0</v>
      </c>
      <c r="BG81" s="94">
        <f>+MAX(SUM(BG98:BG103,BG106,BG107,BG108,BG109,BG113,BG115,BG116,BG117)-SUM(BG82,BG83,BG84,BG86,BG88,BG91,BG92,BG93),0)</f>
        <v>0</v>
      </c>
      <c r="BH81" s="119">
        <v>0</v>
      </c>
      <c r="BI81" s="119">
        <f>+MAX(SUM(BI98:BI103,BI106,BI107,BI108,BI109,BI113,BI115,BI116,BI117)-SUM(BI82,BI83,BI84,BI86,BI88,BI91,BI92,BI93),0)</f>
        <v>0</v>
      </c>
      <c r="BJ81" s="119">
        <f t="shared" si="136"/>
        <v>0</v>
      </c>
      <c r="BK81" s="119">
        <f t="shared" si="136"/>
        <v>0</v>
      </c>
      <c r="BL81" s="94">
        <f t="shared" si="136"/>
        <v>0</v>
      </c>
      <c r="BM81" s="379">
        <v>0</v>
      </c>
      <c r="BN81" s="379">
        <v>0</v>
      </c>
      <c r="BO81" s="119">
        <v>0</v>
      </c>
      <c r="BP81" s="119">
        <v>0</v>
      </c>
      <c r="BQ81" s="94">
        <f>BP81</f>
        <v>0</v>
      </c>
      <c r="BR81" s="379">
        <v>0</v>
      </c>
      <c r="BS81" s="379">
        <v>0</v>
      </c>
      <c r="BT81" s="119">
        <f t="shared" ca="1" si="136"/>
        <v>0</v>
      </c>
      <c r="BU81" s="119">
        <f t="shared" ca="1" si="136"/>
        <v>0</v>
      </c>
      <c r="BV81" s="94">
        <f t="shared" ca="1" si="136"/>
        <v>0</v>
      </c>
      <c r="BW81" s="119">
        <f t="shared" ca="1" si="136"/>
        <v>0</v>
      </c>
      <c r="BX81" s="119">
        <f t="shared" ca="1" si="136"/>
        <v>0</v>
      </c>
      <c r="BY81" s="119">
        <f t="shared" ca="1" si="136"/>
        <v>0</v>
      </c>
      <c r="BZ81" s="119">
        <f t="shared" ca="1" si="136"/>
        <v>0</v>
      </c>
      <c r="CA81" s="94">
        <f t="shared" ca="1" si="136"/>
        <v>0</v>
      </c>
      <c r="CB81" s="119">
        <f t="shared" ca="1" si="136"/>
        <v>0</v>
      </c>
      <c r="CC81" s="119">
        <f t="shared" ca="1" si="136"/>
        <v>0</v>
      </c>
      <c r="CD81" s="119">
        <f t="shared" ca="1" si="136"/>
        <v>0</v>
      </c>
      <c r="CE81" s="119">
        <f t="shared" ca="1" si="136"/>
        <v>0</v>
      </c>
      <c r="CF81" s="94">
        <f t="shared" ca="1" si="136"/>
        <v>0</v>
      </c>
      <c r="CG81" s="119">
        <f t="shared" ca="1" si="136"/>
        <v>0</v>
      </c>
      <c r="CH81" s="119">
        <f t="shared" ca="1" si="136"/>
        <v>0</v>
      </c>
      <c r="CI81" s="119">
        <f t="shared" ca="1" si="136"/>
        <v>0</v>
      </c>
      <c r="CJ81" s="119">
        <f t="shared" ca="1" si="136"/>
        <v>0</v>
      </c>
      <c r="CK81" s="94">
        <f t="shared" ca="1" si="136"/>
        <v>0</v>
      </c>
      <c r="CL81" s="119">
        <f t="shared" ca="1" si="136"/>
        <v>0</v>
      </c>
      <c r="CM81" s="119">
        <f t="shared" ca="1" si="136"/>
        <v>0</v>
      </c>
      <c r="CN81" s="119">
        <f t="shared" ca="1" si="136"/>
        <v>0</v>
      </c>
      <c r="CO81" s="119">
        <f t="shared" ca="1" si="136"/>
        <v>0</v>
      </c>
      <c r="CP81" s="94">
        <f t="shared" ca="1" si="136"/>
        <v>0</v>
      </c>
    </row>
    <row r="82" spans="1:109" x14ac:dyDescent="0.25">
      <c r="A82" s="52" t="s">
        <v>32</v>
      </c>
      <c r="C82" s="94">
        <v>72</v>
      </c>
      <c r="D82" s="94">
        <v>68</v>
      </c>
      <c r="E82" s="96">
        <v>84</v>
      </c>
      <c r="F82" s="95">
        <v>85.8</v>
      </c>
      <c r="G82" s="95">
        <v>289.5</v>
      </c>
      <c r="H82" s="96">
        <v>294.89999999999998</v>
      </c>
      <c r="I82" s="94">
        <f>+H82</f>
        <v>294.89999999999998</v>
      </c>
      <c r="J82" s="96">
        <v>265.3</v>
      </c>
      <c r="K82" s="95">
        <v>451.9</v>
      </c>
      <c r="L82" s="95">
        <v>366.2</v>
      </c>
      <c r="M82" s="96">
        <v>475</v>
      </c>
      <c r="N82" s="94">
        <f>M82</f>
        <v>475</v>
      </c>
      <c r="O82" s="96">
        <v>219.9</v>
      </c>
      <c r="P82" s="95">
        <v>222.6</v>
      </c>
      <c r="Q82" s="95">
        <v>253.9</v>
      </c>
      <c r="R82" s="96">
        <v>283</v>
      </c>
      <c r="S82" s="94">
        <f>+R82</f>
        <v>283</v>
      </c>
      <c r="T82" s="96">
        <v>179.8</v>
      </c>
      <c r="U82" s="95">
        <v>192.7</v>
      </c>
      <c r="V82" s="95">
        <v>136.6</v>
      </c>
      <c r="W82" s="96">
        <v>119</v>
      </c>
      <c r="X82" s="94">
        <f>+W82</f>
        <v>119</v>
      </c>
      <c r="Y82" s="96">
        <v>160.19999999999999</v>
      </c>
      <c r="Z82" s="96">
        <v>326.8</v>
      </c>
      <c r="AA82" s="96">
        <v>334.7</v>
      </c>
      <c r="AB82" s="96">
        <v>340.1</v>
      </c>
      <c r="AC82" s="122">
        <f>+AB82</f>
        <v>340.1</v>
      </c>
      <c r="AD82" s="96">
        <v>286.5</v>
      </c>
      <c r="AE82" s="97">
        <v>289.3</v>
      </c>
      <c r="AF82" s="97">
        <v>241.7</v>
      </c>
      <c r="AG82" s="97">
        <v>232</v>
      </c>
      <c r="AH82" s="122">
        <f>+AG82</f>
        <v>232</v>
      </c>
      <c r="AI82" s="97">
        <v>260.8</v>
      </c>
      <c r="AJ82" s="97">
        <v>155.69999999999999</v>
      </c>
      <c r="AK82" s="97">
        <v>278.60000000000002</v>
      </c>
      <c r="AL82" s="97">
        <v>567</v>
      </c>
      <c r="AM82" s="122">
        <f>+AL82</f>
        <v>567</v>
      </c>
      <c r="AN82" s="97">
        <v>552.5</v>
      </c>
      <c r="AO82" s="97">
        <v>380.1</v>
      </c>
      <c r="AP82" s="97">
        <v>494.9</v>
      </c>
      <c r="AQ82" s="97">
        <v>338</v>
      </c>
      <c r="AR82" s="122">
        <f>+AQ82</f>
        <v>338</v>
      </c>
      <c r="AS82" s="97">
        <v>361.5</v>
      </c>
      <c r="AT82" s="27">
        <v>368.5</v>
      </c>
      <c r="AU82" s="27">
        <v>386.8</v>
      </c>
      <c r="AV82" s="27">
        <v>204</v>
      </c>
      <c r="AW82" s="122">
        <f>+AV82</f>
        <v>204</v>
      </c>
      <c r="AX82" s="27">
        <v>217</v>
      </c>
      <c r="AY82" s="27">
        <v>192</v>
      </c>
      <c r="AZ82" s="27">
        <v>287</v>
      </c>
      <c r="BA82" s="97">
        <v>437</v>
      </c>
      <c r="BB82" s="122">
        <f>+BA82</f>
        <v>437</v>
      </c>
      <c r="BC82" s="97">
        <v>460</v>
      </c>
      <c r="BD82" s="97">
        <v>235</v>
      </c>
      <c r="BE82" s="97">
        <v>250</v>
      </c>
      <c r="BF82" s="97">
        <v>370</v>
      </c>
      <c r="BG82" s="122">
        <f>+BF82</f>
        <v>370</v>
      </c>
      <c r="BH82" s="97">
        <v>494</v>
      </c>
      <c r="BI82" s="97">
        <v>195</v>
      </c>
      <c r="BJ82" s="97">
        <v>317</v>
      </c>
      <c r="BK82" s="97">
        <v>263</v>
      </c>
      <c r="BL82" s="122">
        <f>+BK82</f>
        <v>263</v>
      </c>
      <c r="BM82" s="379">
        <v>459</v>
      </c>
      <c r="BN82" s="379">
        <v>211</v>
      </c>
      <c r="BO82" s="379">
        <v>197</v>
      </c>
      <c r="BP82" s="97">
        <v>182</v>
      </c>
      <c r="BQ82" s="122">
        <f t="shared" ref="BQ82:CA82" si="137">+BP82</f>
        <v>182</v>
      </c>
      <c r="BR82" s="379">
        <v>238</v>
      </c>
      <c r="BS82" s="379">
        <v>212</v>
      </c>
      <c r="BT82" s="176">
        <f>BS82</f>
        <v>212</v>
      </c>
      <c r="BU82" s="176">
        <f t="shared" si="137"/>
        <v>212</v>
      </c>
      <c r="BV82" s="122">
        <f t="shared" si="137"/>
        <v>212</v>
      </c>
      <c r="BW82" s="176">
        <f t="shared" si="137"/>
        <v>212</v>
      </c>
      <c r="BX82" s="176">
        <f t="shared" si="137"/>
        <v>212</v>
      </c>
      <c r="BY82" s="176">
        <f t="shared" si="137"/>
        <v>212</v>
      </c>
      <c r="BZ82" s="176">
        <f t="shared" si="137"/>
        <v>212</v>
      </c>
      <c r="CA82" s="122">
        <f t="shared" si="137"/>
        <v>212</v>
      </c>
      <c r="CB82" s="176">
        <f t="shared" ref="CB82:CK82" si="138">+CA82</f>
        <v>212</v>
      </c>
      <c r="CC82" s="176">
        <f t="shared" si="138"/>
        <v>212</v>
      </c>
      <c r="CD82" s="176">
        <f t="shared" si="138"/>
        <v>212</v>
      </c>
      <c r="CE82" s="176">
        <f t="shared" si="138"/>
        <v>212</v>
      </c>
      <c r="CF82" s="122">
        <f t="shared" si="138"/>
        <v>212</v>
      </c>
      <c r="CG82" s="176">
        <f t="shared" si="138"/>
        <v>212</v>
      </c>
      <c r="CH82" s="176">
        <f t="shared" si="138"/>
        <v>212</v>
      </c>
      <c r="CI82" s="176">
        <f t="shared" si="138"/>
        <v>212</v>
      </c>
      <c r="CJ82" s="176">
        <f t="shared" si="138"/>
        <v>212</v>
      </c>
      <c r="CK82" s="122">
        <f t="shared" si="138"/>
        <v>212</v>
      </c>
      <c r="CL82" s="176">
        <f>+CK82</f>
        <v>212</v>
      </c>
      <c r="CM82" s="176">
        <f>+CL82</f>
        <v>212</v>
      </c>
      <c r="CN82" s="176">
        <f>+CM82</f>
        <v>212</v>
      </c>
      <c r="CO82" s="176">
        <f>+CN82</f>
        <v>212</v>
      </c>
      <c r="CP82" s="122">
        <f>+CO82</f>
        <v>212</v>
      </c>
    </row>
    <row r="83" spans="1:109" x14ac:dyDescent="0.25">
      <c r="A83" s="52" t="s">
        <v>33</v>
      </c>
      <c r="C83" s="94">
        <v>0</v>
      </c>
      <c r="D83" s="94">
        <v>0</v>
      </c>
      <c r="E83" s="97">
        <v>0</v>
      </c>
      <c r="F83" s="97">
        <v>0</v>
      </c>
      <c r="G83" s="97">
        <v>0</v>
      </c>
      <c r="H83" s="97">
        <v>0</v>
      </c>
      <c r="I83" s="94">
        <f>H83</f>
        <v>0</v>
      </c>
      <c r="J83" s="97">
        <v>0</v>
      </c>
      <c r="K83" s="97">
        <v>0</v>
      </c>
      <c r="L83" s="97">
        <v>229.7</v>
      </c>
      <c r="M83" s="97">
        <v>160</v>
      </c>
      <c r="N83" s="94">
        <f>M83</f>
        <v>160</v>
      </c>
      <c r="O83" s="97">
        <v>186.3</v>
      </c>
      <c r="P83" s="97">
        <v>190.2</v>
      </c>
      <c r="Q83" s="97">
        <v>149.80000000000001</v>
      </c>
      <c r="R83" s="97">
        <v>86</v>
      </c>
      <c r="S83" s="94">
        <f>R83</f>
        <v>86</v>
      </c>
      <c r="T83" s="97">
        <v>0</v>
      </c>
      <c r="U83" s="97">
        <v>0</v>
      </c>
      <c r="V83" s="97">
        <v>0</v>
      </c>
      <c r="W83" s="97">
        <f>+V83</f>
        <v>0</v>
      </c>
      <c r="X83" s="94">
        <f>W83</f>
        <v>0</v>
      </c>
      <c r="Y83" s="97">
        <f>+W83</f>
        <v>0</v>
      </c>
      <c r="Z83" s="97">
        <v>0</v>
      </c>
      <c r="AA83" s="97">
        <f>+Z83</f>
        <v>0</v>
      </c>
      <c r="AB83" s="96">
        <v>0</v>
      </c>
      <c r="AC83" s="122">
        <f>AB83</f>
        <v>0</v>
      </c>
      <c r="AD83" s="96">
        <v>0</v>
      </c>
      <c r="AE83" s="96">
        <v>0</v>
      </c>
      <c r="AF83" s="96">
        <v>0</v>
      </c>
      <c r="AG83" s="96">
        <v>0</v>
      </c>
      <c r="AH83" s="122">
        <f>AG83</f>
        <v>0</v>
      </c>
      <c r="AI83" s="96">
        <v>0</v>
      </c>
      <c r="AJ83" s="96">
        <v>0</v>
      </c>
      <c r="AK83" s="96">
        <v>0</v>
      </c>
      <c r="AL83" s="96">
        <v>0</v>
      </c>
      <c r="AM83" s="122">
        <f>AL83</f>
        <v>0</v>
      </c>
      <c r="AN83" s="96">
        <v>0</v>
      </c>
      <c r="AO83" s="96">
        <v>0</v>
      </c>
      <c r="AP83" s="96">
        <v>0</v>
      </c>
      <c r="AQ83" s="96">
        <v>0</v>
      </c>
      <c r="AR83" s="122">
        <f>AQ83</f>
        <v>0</v>
      </c>
      <c r="AS83" s="96">
        <v>0</v>
      </c>
      <c r="AT83" s="96">
        <v>0</v>
      </c>
      <c r="AU83" s="96">
        <v>0</v>
      </c>
      <c r="AV83" s="96">
        <v>0</v>
      </c>
      <c r="AW83" s="122">
        <f>AV83</f>
        <v>0</v>
      </c>
      <c r="AX83" s="96">
        <v>0</v>
      </c>
      <c r="AY83" s="96">
        <v>0</v>
      </c>
      <c r="AZ83" s="96">
        <v>0</v>
      </c>
      <c r="BA83" s="96">
        <v>0</v>
      </c>
      <c r="BB83" s="122">
        <f>BA83</f>
        <v>0</v>
      </c>
      <c r="BC83" s="96">
        <v>0</v>
      </c>
      <c r="BD83" s="96">
        <v>0</v>
      </c>
      <c r="BE83" s="96">
        <v>0</v>
      </c>
      <c r="BF83" s="96">
        <v>0</v>
      </c>
      <c r="BG83" s="122">
        <f>BF83</f>
        <v>0</v>
      </c>
      <c r="BH83" s="96">
        <v>0</v>
      </c>
      <c r="BI83" s="96">
        <f>+BH83</f>
        <v>0</v>
      </c>
      <c r="BJ83" s="96">
        <v>0</v>
      </c>
      <c r="BK83" s="96">
        <v>0</v>
      </c>
      <c r="BL83" s="122">
        <f>BK83</f>
        <v>0</v>
      </c>
      <c r="BM83" s="373">
        <v>0</v>
      </c>
      <c r="BN83" s="373">
        <v>0</v>
      </c>
      <c r="BO83" s="379">
        <v>0</v>
      </c>
      <c r="BP83" s="96">
        <v>0</v>
      </c>
      <c r="BQ83" s="122">
        <f>BP83</f>
        <v>0</v>
      </c>
      <c r="BR83" s="373">
        <v>0</v>
      </c>
      <c r="BS83" s="373">
        <v>0</v>
      </c>
      <c r="BT83" s="121">
        <f>+BS83</f>
        <v>0</v>
      </c>
      <c r="BU83" s="121">
        <f>+BT83</f>
        <v>0</v>
      </c>
      <c r="BV83" s="122">
        <f>BU83</f>
        <v>0</v>
      </c>
      <c r="BW83" s="121">
        <f>+BV83</f>
        <v>0</v>
      </c>
      <c r="BX83" s="121">
        <f>+BW83</f>
        <v>0</v>
      </c>
      <c r="BY83" s="121">
        <f>+BX83</f>
        <v>0</v>
      </c>
      <c r="BZ83" s="121">
        <f>+BY83</f>
        <v>0</v>
      </c>
      <c r="CA83" s="122">
        <f>BZ83</f>
        <v>0</v>
      </c>
      <c r="CB83" s="121">
        <f>+CA83</f>
        <v>0</v>
      </c>
      <c r="CC83" s="121">
        <f>+CB83</f>
        <v>0</v>
      </c>
      <c r="CD83" s="121">
        <f>+CC83</f>
        <v>0</v>
      </c>
      <c r="CE83" s="121">
        <f>+CD83</f>
        <v>0</v>
      </c>
      <c r="CF83" s="122">
        <f>CE83</f>
        <v>0</v>
      </c>
      <c r="CG83" s="121">
        <f>+CF83</f>
        <v>0</v>
      </c>
      <c r="CH83" s="121">
        <f>+CG83</f>
        <v>0</v>
      </c>
      <c r="CI83" s="121">
        <f>+CH83</f>
        <v>0</v>
      </c>
      <c r="CJ83" s="121">
        <f>+CI83</f>
        <v>0</v>
      </c>
      <c r="CK83" s="122">
        <f>CJ83</f>
        <v>0</v>
      </c>
      <c r="CL83" s="121">
        <f>+CK83</f>
        <v>0</v>
      </c>
      <c r="CM83" s="121">
        <f>+CL83</f>
        <v>0</v>
      </c>
      <c r="CN83" s="121">
        <f>+CM83</f>
        <v>0</v>
      </c>
      <c r="CO83" s="121">
        <f>+CN83</f>
        <v>0</v>
      </c>
      <c r="CP83" s="122">
        <f>CO83</f>
        <v>0</v>
      </c>
    </row>
    <row r="84" spans="1:109" x14ac:dyDescent="0.25">
      <c r="A84" s="52" t="s">
        <v>34</v>
      </c>
      <c r="C84" s="94">
        <v>325</v>
      </c>
      <c r="D84" s="94">
        <v>348</v>
      </c>
      <c r="E84" s="96">
        <v>324.3</v>
      </c>
      <c r="F84" s="95">
        <v>488.7</v>
      </c>
      <c r="G84" s="95">
        <v>357.1</v>
      </c>
      <c r="H84" s="96">
        <v>295.89999999999998</v>
      </c>
      <c r="I84" s="94">
        <f>+H84</f>
        <v>295.89999999999998</v>
      </c>
      <c r="J84" s="96">
        <v>321</v>
      </c>
      <c r="K84" s="95">
        <v>405</v>
      </c>
      <c r="L84" s="95">
        <v>312.60000000000002</v>
      </c>
      <c r="M84" s="96">
        <v>323</v>
      </c>
      <c r="N84" s="94">
        <f>M84</f>
        <v>323</v>
      </c>
      <c r="O84" s="96">
        <v>331.2</v>
      </c>
      <c r="P84" s="95">
        <v>441.7</v>
      </c>
      <c r="Q84" s="95">
        <v>485.2</v>
      </c>
      <c r="R84" s="96">
        <v>404</v>
      </c>
      <c r="S84" s="94">
        <f>R84</f>
        <v>404</v>
      </c>
      <c r="T84" s="96">
        <v>393.8</v>
      </c>
      <c r="U84" s="95">
        <v>535.1</v>
      </c>
      <c r="V84" s="95">
        <v>473.1</v>
      </c>
      <c r="W84" s="96">
        <v>453</v>
      </c>
      <c r="X84" s="94">
        <f>W84</f>
        <v>453</v>
      </c>
      <c r="Y84" s="96">
        <v>428.8</v>
      </c>
      <c r="Z84" s="96">
        <v>534.4</v>
      </c>
      <c r="AA84" s="95">
        <v>413.5</v>
      </c>
      <c r="AB84" s="95">
        <v>367.1</v>
      </c>
      <c r="AC84" s="94">
        <f>AB84</f>
        <v>367.1</v>
      </c>
      <c r="AD84" s="95">
        <v>392.6</v>
      </c>
      <c r="AE84" s="95">
        <v>519.1</v>
      </c>
      <c r="AF84" s="95">
        <v>454</v>
      </c>
      <c r="AG84" s="95">
        <v>418</v>
      </c>
      <c r="AH84" s="94">
        <f>AG84</f>
        <v>418</v>
      </c>
      <c r="AI84" s="95">
        <v>411.6</v>
      </c>
      <c r="AJ84" s="95">
        <v>544</v>
      </c>
      <c r="AK84" s="95">
        <v>530.29999999999995</v>
      </c>
      <c r="AL84" s="95">
        <v>496</v>
      </c>
      <c r="AM84" s="94">
        <f>AL84</f>
        <v>496</v>
      </c>
      <c r="AN84" s="95">
        <v>523.29999999999995</v>
      </c>
      <c r="AO84" s="96">
        <v>641.9</v>
      </c>
      <c r="AP84" s="96">
        <v>568.70000000000005</v>
      </c>
      <c r="AQ84" s="96">
        <v>475</v>
      </c>
      <c r="AR84" s="94">
        <f>AQ84</f>
        <v>475</v>
      </c>
      <c r="AS84" s="95">
        <v>524.9</v>
      </c>
      <c r="AT84" s="95">
        <v>681.5</v>
      </c>
      <c r="AU84" s="95">
        <v>633.79999999999995</v>
      </c>
      <c r="AV84" s="95">
        <v>548</v>
      </c>
      <c r="AW84" s="94">
        <f>AV84</f>
        <v>548</v>
      </c>
      <c r="AX84" s="95">
        <v>542</v>
      </c>
      <c r="AY84" s="95">
        <v>729</v>
      </c>
      <c r="AZ84" s="95">
        <v>679</v>
      </c>
      <c r="BA84" s="95">
        <v>569</v>
      </c>
      <c r="BB84" s="94">
        <f>BA84</f>
        <v>569</v>
      </c>
      <c r="BC84" s="96">
        <v>547</v>
      </c>
      <c r="BD84" s="95">
        <v>761</v>
      </c>
      <c r="BE84" s="96">
        <v>631</v>
      </c>
      <c r="BF84" s="95">
        <v>583</v>
      </c>
      <c r="BG84" s="94">
        <f>BF84</f>
        <v>583</v>
      </c>
      <c r="BH84" s="95">
        <v>505</v>
      </c>
      <c r="BI84" s="95">
        <v>727</v>
      </c>
      <c r="BJ84" s="95">
        <v>630</v>
      </c>
      <c r="BK84" s="95">
        <v>559</v>
      </c>
      <c r="BL84" s="94">
        <f>BK84</f>
        <v>559</v>
      </c>
      <c r="BM84" s="373">
        <v>501</v>
      </c>
      <c r="BN84" s="373">
        <v>660</v>
      </c>
      <c r="BO84" s="95">
        <v>611</v>
      </c>
      <c r="BP84" s="95">
        <v>557</v>
      </c>
      <c r="BQ84" s="94">
        <f>BP84</f>
        <v>557</v>
      </c>
      <c r="BR84" s="373">
        <v>576</v>
      </c>
      <c r="BS84" s="373">
        <v>753</v>
      </c>
      <c r="BT84" s="95">
        <f>+BT183*4*BT4</f>
        <v>673.26195210270134</v>
      </c>
      <c r="BU84" s="95">
        <f>+BU183*4*BU4</f>
        <v>596.23977705498339</v>
      </c>
      <c r="BV84" s="94">
        <f>BU84</f>
        <v>596.23977705498339</v>
      </c>
      <c r="BW84" s="95">
        <f>+BW183*4*BW4</f>
        <v>615.02442849564784</v>
      </c>
      <c r="BX84" s="95">
        <f>+BX183*4*BX4</f>
        <v>777.39695012372567</v>
      </c>
      <c r="BY84" s="95">
        <f>+BY183*4*BY4</f>
        <v>711.73287297664467</v>
      </c>
      <c r="BZ84" s="95">
        <f>+BZ183*4*BZ4</f>
        <v>629.72125707747671</v>
      </c>
      <c r="CA84" s="94">
        <f>BZ84</f>
        <v>629.72125707747671</v>
      </c>
      <c r="CB84" s="95">
        <f>+CB183*4*CB4</f>
        <v>645.77564992043028</v>
      </c>
      <c r="CC84" s="95">
        <f>+CC183*4*CC4</f>
        <v>816.26679762991205</v>
      </c>
      <c r="CD84" s="95">
        <f>+CD183*4*CD4</f>
        <v>747.31951662547692</v>
      </c>
      <c r="CE84" s="95">
        <f>+CE183*4*CE4</f>
        <v>661.2073199313503</v>
      </c>
      <c r="CF84" s="94">
        <f>CE84</f>
        <v>661.2073199313503</v>
      </c>
      <c r="CG84" s="95">
        <f>+CG183*4*CG4</f>
        <v>678.06443241645184</v>
      </c>
      <c r="CH84" s="95">
        <f>+CH183*4*CH4</f>
        <v>857.08013751140766</v>
      </c>
      <c r="CI84" s="95">
        <f>+CI183*4*CI4</f>
        <v>784.68549245675092</v>
      </c>
      <c r="CJ84" s="95">
        <f>+CJ183*4*CJ4</f>
        <v>694.26768592791768</v>
      </c>
      <c r="CK84" s="94">
        <f>CJ84</f>
        <v>694.26768592791768</v>
      </c>
      <c r="CL84" s="95">
        <f>+CL183*4*CL4</f>
        <v>711.96765403727443</v>
      </c>
      <c r="CM84" s="95">
        <f>+CM183*4*CM4</f>
        <v>899.93414438697801</v>
      </c>
      <c r="CN84" s="95">
        <f>+CN183*4*CN4</f>
        <v>823.91976707958838</v>
      </c>
      <c r="CO84" s="95">
        <f>+CO183*4*CO4</f>
        <v>728.98107022431361</v>
      </c>
      <c r="CP84" s="94">
        <f>CO84</f>
        <v>728.98107022431361</v>
      </c>
    </row>
    <row r="85" spans="1:109" x14ac:dyDescent="0.25">
      <c r="B85" s="52" t="s">
        <v>35</v>
      </c>
      <c r="C85" s="70"/>
      <c r="D85" s="70">
        <f>+D84/C84-1</f>
        <v>7.0769230769230695E-2</v>
      </c>
      <c r="E85" s="88"/>
      <c r="F85" s="73"/>
      <c r="G85" s="73"/>
      <c r="H85" s="88"/>
      <c r="I85" s="70">
        <f>+I84/D84-1</f>
        <v>-0.14971264367816095</v>
      </c>
      <c r="J85" s="88">
        <f t="shared" ref="J85:W85" si="139">J84/E84-1</f>
        <v>-1.0175763182238673E-2</v>
      </c>
      <c r="K85" s="73">
        <f t="shared" si="139"/>
        <v>-0.17127071823204421</v>
      </c>
      <c r="L85" s="73">
        <f t="shared" si="139"/>
        <v>-0.12461495379445531</v>
      </c>
      <c r="M85" s="88">
        <f t="shared" si="139"/>
        <v>9.1584994930719921E-2</v>
      </c>
      <c r="N85" s="70">
        <f t="shared" si="139"/>
        <v>9.1584994930719921E-2</v>
      </c>
      <c r="O85" s="88">
        <f t="shared" si="139"/>
        <v>3.1775700934579376E-2</v>
      </c>
      <c r="P85" s="73">
        <f t="shared" si="139"/>
        <v>9.0617283950617189E-2</v>
      </c>
      <c r="Q85" s="73">
        <f t="shared" si="139"/>
        <v>0.55214331413947515</v>
      </c>
      <c r="R85" s="88">
        <f t="shared" si="139"/>
        <v>0.25077399380804954</v>
      </c>
      <c r="S85" s="70">
        <f t="shared" si="139"/>
        <v>0.25077399380804954</v>
      </c>
      <c r="T85" s="88">
        <f t="shared" si="139"/>
        <v>0.18900966183574885</v>
      </c>
      <c r="U85" s="73">
        <f t="shared" si="139"/>
        <v>0.21145573918949512</v>
      </c>
      <c r="V85" s="73">
        <f t="shared" si="139"/>
        <v>-2.4938169826875467E-2</v>
      </c>
      <c r="W85" s="88">
        <f t="shared" si="139"/>
        <v>0.12128712871287139</v>
      </c>
      <c r="X85" s="70">
        <f t="shared" ref="X85:AH85" si="140">X84/S84-1</f>
        <v>0.12128712871287139</v>
      </c>
      <c r="Y85" s="88">
        <f t="shared" si="140"/>
        <v>8.8877602844083192E-2</v>
      </c>
      <c r="Z85" s="88">
        <f t="shared" si="140"/>
        <v>-1.3081666978135287E-3</v>
      </c>
      <c r="AA85" s="73">
        <f t="shared" si="140"/>
        <v>-0.12597759458888191</v>
      </c>
      <c r="AB85" s="73">
        <f t="shared" si="140"/>
        <v>-0.18962472406181008</v>
      </c>
      <c r="AC85" s="70">
        <f t="shared" si="140"/>
        <v>-0.18962472406181008</v>
      </c>
      <c r="AD85" s="73">
        <f t="shared" si="140"/>
        <v>-8.4421641791044721E-2</v>
      </c>
      <c r="AE85" s="73">
        <f t="shared" si="140"/>
        <v>-2.8630239520958001E-2</v>
      </c>
      <c r="AF85" s="73">
        <f t="shared" si="140"/>
        <v>9.7944377267231042E-2</v>
      </c>
      <c r="AG85" s="73">
        <f t="shared" si="140"/>
        <v>0.13865431762462532</v>
      </c>
      <c r="AH85" s="70">
        <f t="shared" si="140"/>
        <v>0.13865431762462532</v>
      </c>
      <c r="AI85" s="73">
        <f t="shared" ref="AI85:BG85" si="141">AI84/AD84-1</f>
        <v>4.8395313295975573E-2</v>
      </c>
      <c r="AJ85" s="73">
        <f t="shared" si="141"/>
        <v>4.7967636293585025E-2</v>
      </c>
      <c r="AK85" s="73">
        <f t="shared" si="141"/>
        <v>0.16806167400881056</v>
      </c>
      <c r="AL85" s="73">
        <f t="shared" si="141"/>
        <v>0.1866028708133971</v>
      </c>
      <c r="AM85" s="70">
        <f t="shared" si="141"/>
        <v>0.1866028708133971</v>
      </c>
      <c r="AN85" s="73">
        <f t="shared" si="141"/>
        <v>0.27137998056365387</v>
      </c>
      <c r="AO85" s="88">
        <f t="shared" si="141"/>
        <v>0.17996323529411762</v>
      </c>
      <c r="AP85" s="88">
        <f t="shared" si="141"/>
        <v>7.2411842353385047E-2</v>
      </c>
      <c r="AQ85" s="88">
        <f t="shared" si="141"/>
        <v>-4.2338709677419373E-2</v>
      </c>
      <c r="AR85" s="70">
        <f t="shared" si="141"/>
        <v>-4.2338709677419373E-2</v>
      </c>
      <c r="AS85" s="73">
        <f t="shared" si="141"/>
        <v>3.0575195872348804E-3</v>
      </c>
      <c r="AT85" s="73">
        <f t="shared" si="141"/>
        <v>6.1691852313444429E-2</v>
      </c>
      <c r="AU85" s="73">
        <f t="shared" si="141"/>
        <v>0.11447160189906791</v>
      </c>
      <c r="AV85" s="73">
        <f t="shared" si="141"/>
        <v>0.15368421052631587</v>
      </c>
      <c r="AW85" s="70">
        <f t="shared" si="141"/>
        <v>0.15368421052631587</v>
      </c>
      <c r="AX85" s="73">
        <f t="shared" si="141"/>
        <v>3.2577633835016329E-2</v>
      </c>
      <c r="AY85" s="73">
        <f t="shared" si="141"/>
        <v>6.969919295671323E-2</v>
      </c>
      <c r="AZ85" s="73">
        <f t="shared" si="141"/>
        <v>7.1315872514988943E-2</v>
      </c>
      <c r="BA85" s="73">
        <f t="shared" si="141"/>
        <v>3.8321167883211604E-2</v>
      </c>
      <c r="BB85" s="70">
        <f>BB84/AW84-1</f>
        <v>3.8321167883211604E-2</v>
      </c>
      <c r="BC85" s="88">
        <f t="shared" si="141"/>
        <v>9.2250922509224953E-3</v>
      </c>
      <c r="BD85" s="73">
        <f t="shared" si="141"/>
        <v>4.3895747599451251E-2</v>
      </c>
      <c r="BE85" s="88">
        <f t="shared" si="141"/>
        <v>-7.0692194403534581E-2</v>
      </c>
      <c r="BF85" s="73">
        <f t="shared" si="141"/>
        <v>2.4604569420035194E-2</v>
      </c>
      <c r="BG85" s="70">
        <f t="shared" si="141"/>
        <v>2.4604569420035194E-2</v>
      </c>
      <c r="BH85" s="73">
        <f t="shared" ref="BH85:CA85" si="142">BH84/BC84-1</f>
        <v>-7.6782449725776969E-2</v>
      </c>
      <c r="BI85" s="73">
        <f t="shared" si="142"/>
        <v>-4.4678055190538801E-2</v>
      </c>
      <c r="BJ85" s="73">
        <f t="shared" si="142"/>
        <v>-1.5847860538826808E-3</v>
      </c>
      <c r="BK85" s="73">
        <f t="shared" si="142"/>
        <v>-4.116638078902235E-2</v>
      </c>
      <c r="BL85" s="70">
        <f t="shared" si="142"/>
        <v>-4.116638078902235E-2</v>
      </c>
      <c r="BM85" s="380">
        <f t="shared" si="142"/>
        <v>-7.9207920792079278E-3</v>
      </c>
      <c r="BN85" s="73">
        <f t="shared" si="142"/>
        <v>-9.2159559834938065E-2</v>
      </c>
      <c r="BO85" s="73">
        <f t="shared" si="142"/>
        <v>-3.0158730158730163E-2</v>
      </c>
      <c r="BP85" s="73">
        <f t="shared" si="142"/>
        <v>-3.5778175313059268E-3</v>
      </c>
      <c r="BQ85" s="70">
        <f t="shared" si="142"/>
        <v>-3.5778175313059268E-3</v>
      </c>
      <c r="BR85" s="380">
        <f t="shared" si="142"/>
        <v>0.14970059880239517</v>
      </c>
      <c r="BS85" s="380">
        <f t="shared" si="142"/>
        <v>0.14090909090909087</v>
      </c>
      <c r="BT85" s="73">
        <f t="shared" si="142"/>
        <v>0.10190172193568148</v>
      </c>
      <c r="BU85" s="73">
        <f t="shared" si="142"/>
        <v>7.0448432773758229E-2</v>
      </c>
      <c r="BV85" s="70">
        <f t="shared" si="142"/>
        <v>7.0448432773758229E-2</v>
      </c>
      <c r="BW85" s="73">
        <f t="shared" si="142"/>
        <v>6.7750743916055178E-2</v>
      </c>
      <c r="BX85" s="73">
        <f t="shared" si="142"/>
        <v>3.2399668158998196E-2</v>
      </c>
      <c r="BY85" s="73">
        <f t="shared" si="142"/>
        <v>5.7141088626488923E-2</v>
      </c>
      <c r="BZ85" s="73">
        <f t="shared" si="142"/>
        <v>5.6154388403720557E-2</v>
      </c>
      <c r="CA85" s="70">
        <f t="shared" si="142"/>
        <v>5.6154388403720557E-2</v>
      </c>
      <c r="CB85" s="73">
        <f t="shared" ref="CB85:CK85" si="143">CB84/BW84-1</f>
        <v>5.0000000000000044E-2</v>
      </c>
      <c r="CC85" s="73">
        <f t="shared" si="143"/>
        <v>5.0000000000000044E-2</v>
      </c>
      <c r="CD85" s="73">
        <f t="shared" si="143"/>
        <v>5.0000000000000044E-2</v>
      </c>
      <c r="CE85" s="73">
        <f t="shared" si="143"/>
        <v>4.99999999999996E-2</v>
      </c>
      <c r="CF85" s="70">
        <f t="shared" si="143"/>
        <v>4.99999999999996E-2</v>
      </c>
      <c r="CG85" s="73">
        <f t="shared" si="143"/>
        <v>5.0000000000000044E-2</v>
      </c>
      <c r="CH85" s="73">
        <f t="shared" si="143"/>
        <v>5.0000000000000044E-2</v>
      </c>
      <c r="CI85" s="73">
        <f t="shared" si="143"/>
        <v>5.0000000000000266E-2</v>
      </c>
      <c r="CJ85" s="73">
        <f t="shared" si="143"/>
        <v>4.9999999999999822E-2</v>
      </c>
      <c r="CK85" s="70">
        <f t="shared" si="143"/>
        <v>4.9999999999999822E-2</v>
      </c>
      <c r="CL85" s="73">
        <f>CL84/CG84-1</f>
        <v>5.0000000000000044E-2</v>
      </c>
      <c r="CM85" s="73">
        <f>CM84/CH84-1</f>
        <v>5.0000000000000044E-2</v>
      </c>
      <c r="CN85" s="73">
        <f>CN84/CI84-1</f>
        <v>4.9999999999999822E-2</v>
      </c>
      <c r="CO85" s="73">
        <f>CO84/CJ84-1</f>
        <v>5.0000000000000044E-2</v>
      </c>
      <c r="CP85" s="70">
        <f>CP84/CK84-1</f>
        <v>5.0000000000000044E-2</v>
      </c>
    </row>
    <row r="86" spans="1:109" x14ac:dyDescent="0.25">
      <c r="A86" s="52" t="s">
        <v>36</v>
      </c>
      <c r="C86" s="94">
        <v>585</v>
      </c>
      <c r="D86" s="94">
        <v>557</v>
      </c>
      <c r="E86" s="96">
        <v>578.29999999999995</v>
      </c>
      <c r="F86" s="95">
        <v>601.70000000000005</v>
      </c>
      <c r="G86" s="95">
        <v>573.70000000000005</v>
      </c>
      <c r="H86" s="96">
        <v>469.9</v>
      </c>
      <c r="I86" s="94">
        <v>469.9</v>
      </c>
      <c r="J86" s="96">
        <v>488</v>
      </c>
      <c r="K86" s="95">
        <v>522.5</v>
      </c>
      <c r="L86" s="95">
        <v>519.79999999999995</v>
      </c>
      <c r="M86" s="96">
        <v>511</v>
      </c>
      <c r="N86" s="94">
        <v>511</v>
      </c>
      <c r="O86" s="96">
        <v>546.6</v>
      </c>
      <c r="P86" s="95">
        <v>593.70000000000005</v>
      </c>
      <c r="Q86" s="95">
        <v>700.6</v>
      </c>
      <c r="R86" s="96">
        <v>694</v>
      </c>
      <c r="S86" s="94">
        <v>694</v>
      </c>
      <c r="T86" s="96">
        <v>724.8</v>
      </c>
      <c r="U86" s="95">
        <v>733.6</v>
      </c>
      <c r="V86" s="95">
        <v>682.5</v>
      </c>
      <c r="W86" s="96">
        <v>685</v>
      </c>
      <c r="X86" s="94">
        <v>685</v>
      </c>
      <c r="Y86" s="96">
        <v>709</v>
      </c>
      <c r="Z86" s="96">
        <v>683</v>
      </c>
      <c r="AA86" s="95">
        <v>643.20000000000005</v>
      </c>
      <c r="AB86" s="95">
        <v>652</v>
      </c>
      <c r="AC86" s="94">
        <f>AB86</f>
        <v>652</v>
      </c>
      <c r="AD86" s="95">
        <v>685.4</v>
      </c>
      <c r="AE86" s="95">
        <v>690.2</v>
      </c>
      <c r="AF86" s="95">
        <v>658.3</v>
      </c>
      <c r="AG86" s="95">
        <v>651</v>
      </c>
      <c r="AH86" s="94">
        <f>AG86</f>
        <v>651</v>
      </c>
      <c r="AI86" s="95">
        <v>671.9</v>
      </c>
      <c r="AJ86" s="95">
        <v>698.9</v>
      </c>
      <c r="AK86" s="95">
        <v>677</v>
      </c>
      <c r="AL86" s="95">
        <v>647</v>
      </c>
      <c r="AM86" s="94">
        <f>AL86</f>
        <v>647</v>
      </c>
      <c r="AN86" s="95">
        <v>685.5</v>
      </c>
      <c r="AO86" s="96">
        <v>694.5</v>
      </c>
      <c r="AP86" s="96">
        <v>684.2</v>
      </c>
      <c r="AQ86" s="96">
        <v>712</v>
      </c>
      <c r="AR86" s="94">
        <f>AQ86</f>
        <v>712</v>
      </c>
      <c r="AS86" s="95">
        <v>764.4</v>
      </c>
      <c r="AT86" s="95">
        <v>797.5</v>
      </c>
      <c r="AU86" s="95">
        <v>801.9</v>
      </c>
      <c r="AV86" s="95">
        <v>827</v>
      </c>
      <c r="AW86" s="94">
        <f>AV86</f>
        <v>827</v>
      </c>
      <c r="AX86" s="95">
        <v>874</v>
      </c>
      <c r="AY86" s="95">
        <v>901</v>
      </c>
      <c r="AZ86" s="95">
        <v>873</v>
      </c>
      <c r="BA86" s="95">
        <v>882</v>
      </c>
      <c r="BB86" s="94">
        <f>BA86</f>
        <v>882</v>
      </c>
      <c r="BC86" s="96">
        <v>949</v>
      </c>
      <c r="BD86" s="95">
        <v>971</v>
      </c>
      <c r="BE86" s="96">
        <v>920</v>
      </c>
      <c r="BF86" s="95">
        <v>953</v>
      </c>
      <c r="BG86" s="94">
        <f>BF86</f>
        <v>953</v>
      </c>
      <c r="BH86" s="95">
        <v>1035</v>
      </c>
      <c r="BI86" s="95">
        <v>1067</v>
      </c>
      <c r="BJ86" s="95">
        <v>1031</v>
      </c>
      <c r="BK86" s="95">
        <v>1054</v>
      </c>
      <c r="BL86" s="94">
        <f>BK86</f>
        <v>1054</v>
      </c>
      <c r="BM86" s="373">
        <v>1262</v>
      </c>
      <c r="BN86" s="373">
        <v>1286</v>
      </c>
      <c r="BO86" s="95">
        <v>1238</v>
      </c>
      <c r="BP86" s="95">
        <v>1270</v>
      </c>
      <c r="BQ86" s="94">
        <f>BP86</f>
        <v>1270</v>
      </c>
      <c r="BR86" s="373">
        <v>1337</v>
      </c>
      <c r="BS86" s="373">
        <v>1359</v>
      </c>
      <c r="BT86" s="95">
        <f>+BT184*4*BT17</f>
        <v>1368.2066725654145</v>
      </c>
      <c r="BU86" s="95">
        <f>+BU184*4*BU17</f>
        <v>1369.0748698469856</v>
      </c>
      <c r="BV86" s="94">
        <f>BU86</f>
        <v>1369.0748698469856</v>
      </c>
      <c r="BW86" s="95">
        <f>+BW184*4*BW17</f>
        <v>1420.8513816308282</v>
      </c>
      <c r="BX86" s="95">
        <f>+BX184*4*BX17</f>
        <v>1396.703663155324</v>
      </c>
      <c r="BY86" s="95">
        <f>+BY184*4*BY17</f>
        <v>1439.9616473402957</v>
      </c>
      <c r="BZ86" s="95">
        <f>+BZ184*4*BZ17</f>
        <v>1440.1702540354963</v>
      </c>
      <c r="CA86" s="94">
        <f>BZ86</f>
        <v>1440.1702540354963</v>
      </c>
      <c r="CB86" s="95">
        <f>+CB184*4*CB17</f>
        <v>1484.8260195781843</v>
      </c>
      <c r="CC86" s="95">
        <f>+CC184*4*CC17</f>
        <v>1459.8949861466976</v>
      </c>
      <c r="CD86" s="95">
        <f>+CD184*4*CD17</f>
        <v>1505.2125935477018</v>
      </c>
      <c r="CE86" s="95">
        <f>+CE184*4*CE17</f>
        <v>1504.8450668307148</v>
      </c>
      <c r="CF86" s="94">
        <f>CE86</f>
        <v>1504.8450668307148</v>
      </c>
      <c r="CG86" s="95">
        <f>+CG184*4*CG17</f>
        <v>1551.6459928661995</v>
      </c>
      <c r="CH86" s="95">
        <f>+CH184*4*CH17</f>
        <v>1525.9136822793212</v>
      </c>
      <c r="CI86" s="95">
        <f>+CI184*4*CI17</f>
        <v>1573.3887302574969</v>
      </c>
      <c r="CJ86" s="95">
        <f>+CJ184*4*CJ17</f>
        <v>1572.3869352703678</v>
      </c>
      <c r="CK86" s="94">
        <f>CJ86</f>
        <v>1572.3869352703678</v>
      </c>
      <c r="CL86" s="95">
        <f>+CL184*4*CL17</f>
        <v>1624.0333631258836</v>
      </c>
      <c r="CM86" s="95">
        <f>+CM184*4*CM17</f>
        <v>1597.3261291709882</v>
      </c>
      <c r="CN86" s="95">
        <f>+CN184*4*CN17</f>
        <v>1647.0990216930595</v>
      </c>
      <c r="CO86" s="95">
        <f>+CO184*4*CO17</f>
        <v>1645.6160126025663</v>
      </c>
      <c r="CP86" s="94">
        <f>CO86</f>
        <v>1645.6160126025663</v>
      </c>
    </row>
    <row r="87" spans="1:109" x14ac:dyDescent="0.25">
      <c r="B87" s="52" t="s">
        <v>35</v>
      </c>
      <c r="C87" s="70"/>
      <c r="D87" s="70">
        <f>+D86/C86-1</f>
        <v>-4.7863247863247915E-2</v>
      </c>
      <c r="E87" s="88"/>
      <c r="F87" s="73"/>
      <c r="G87" s="73"/>
      <c r="H87" s="88"/>
      <c r="I87" s="70">
        <f>I86/D86-1</f>
        <v>-0.15637342908438068</v>
      </c>
      <c r="J87" s="88">
        <f>J86/(E86-124.2)-1</f>
        <v>7.4653160096894933E-2</v>
      </c>
      <c r="K87" s="73">
        <f>K86/(F86-103.6)-1</f>
        <v>4.8986147359967758E-2</v>
      </c>
      <c r="L87" s="73">
        <f t="shared" ref="L87:AH87" si="144">L86/G86-1</f>
        <v>-9.3951542618093242E-2</v>
      </c>
      <c r="M87" s="88">
        <f t="shared" si="144"/>
        <v>8.7465418174079712E-2</v>
      </c>
      <c r="N87" s="70">
        <f t="shared" si="144"/>
        <v>8.7465418174079712E-2</v>
      </c>
      <c r="O87" s="88">
        <f t="shared" si="144"/>
        <v>0.12008196721311482</v>
      </c>
      <c r="P87" s="73">
        <f t="shared" si="144"/>
        <v>0.13626794258373209</v>
      </c>
      <c r="Q87" s="73">
        <f t="shared" si="144"/>
        <v>0.34782608695652195</v>
      </c>
      <c r="R87" s="88">
        <f>R86/M86-1</f>
        <v>0.35812133072407049</v>
      </c>
      <c r="S87" s="70">
        <f>S86/N86-1</f>
        <v>0.35812133072407049</v>
      </c>
      <c r="T87" s="88">
        <f t="shared" si="144"/>
        <v>0.32601536772777151</v>
      </c>
      <c r="U87" s="73">
        <f t="shared" si="144"/>
        <v>0.23564089607545902</v>
      </c>
      <c r="V87" s="73">
        <f t="shared" si="144"/>
        <v>-2.5834998572652035E-2</v>
      </c>
      <c r="W87" s="88">
        <f t="shared" si="144"/>
        <v>-1.2968299711815567E-2</v>
      </c>
      <c r="X87" s="70">
        <f t="shared" si="144"/>
        <v>-1.2968299711815567E-2</v>
      </c>
      <c r="Y87" s="88">
        <f t="shared" si="144"/>
        <v>-2.1799116997792467E-2</v>
      </c>
      <c r="Z87" s="88">
        <f t="shared" si="144"/>
        <v>-6.8974918211559433E-2</v>
      </c>
      <c r="AA87" s="73">
        <f t="shared" si="144"/>
        <v>-5.7582417582417555E-2</v>
      </c>
      <c r="AB87" s="73">
        <f t="shared" si="144"/>
        <v>-4.8175182481751788E-2</v>
      </c>
      <c r="AC87" s="70">
        <f t="shared" si="144"/>
        <v>-4.8175182481751788E-2</v>
      </c>
      <c r="AD87" s="73">
        <f t="shared" si="144"/>
        <v>-3.328631875881527E-2</v>
      </c>
      <c r="AE87" s="73">
        <f t="shared" si="144"/>
        <v>1.0541727672035206E-2</v>
      </c>
      <c r="AF87" s="73">
        <f t="shared" si="144"/>
        <v>2.3476368159203842E-2</v>
      </c>
      <c r="AG87" s="73">
        <f t="shared" si="144"/>
        <v>-1.5337423312883347E-3</v>
      </c>
      <c r="AH87" s="70">
        <f t="shared" si="144"/>
        <v>-1.5337423312883347E-3</v>
      </c>
      <c r="AI87" s="73">
        <f t="shared" ref="AI87:BG87" si="145">AI86/AD86-1</f>
        <v>-1.9696527575138623E-2</v>
      </c>
      <c r="AJ87" s="73">
        <f t="shared" si="145"/>
        <v>1.2605042016806678E-2</v>
      </c>
      <c r="AK87" s="73">
        <f t="shared" si="145"/>
        <v>2.8406501595017453E-2</v>
      </c>
      <c r="AL87" s="73">
        <f t="shared" si="145"/>
        <v>-6.1443932411674451E-3</v>
      </c>
      <c r="AM87" s="70">
        <f t="shared" si="145"/>
        <v>-6.1443932411674451E-3</v>
      </c>
      <c r="AN87" s="73">
        <f t="shared" si="145"/>
        <v>2.0241107307635176E-2</v>
      </c>
      <c r="AO87" s="88">
        <f t="shared" si="145"/>
        <v>-6.2956073830304771E-3</v>
      </c>
      <c r="AP87" s="88">
        <f t="shared" si="145"/>
        <v>1.0635155096011983E-2</v>
      </c>
      <c r="AQ87" s="88">
        <f t="shared" si="145"/>
        <v>0.10046367851622873</v>
      </c>
      <c r="AR87" s="70">
        <f t="shared" si="145"/>
        <v>0.10046367851622873</v>
      </c>
      <c r="AS87" s="73">
        <f t="shared" si="145"/>
        <v>0.11509846827133474</v>
      </c>
      <c r="AT87" s="73">
        <f t="shared" si="145"/>
        <v>0.14830813534917198</v>
      </c>
      <c r="AU87" s="73">
        <f t="shared" si="145"/>
        <v>0.17202572347266876</v>
      </c>
      <c r="AV87" s="73">
        <f t="shared" si="145"/>
        <v>0.16151685393258419</v>
      </c>
      <c r="AW87" s="70">
        <f t="shared" si="145"/>
        <v>0.16151685393258419</v>
      </c>
      <c r="AX87" s="73">
        <f t="shared" si="145"/>
        <v>0.14338042909471493</v>
      </c>
      <c r="AY87" s="73">
        <f t="shared" si="145"/>
        <v>0.12978056426332296</v>
      </c>
      <c r="AZ87" s="73">
        <f t="shared" si="145"/>
        <v>8.8664421997755261E-2</v>
      </c>
      <c r="BA87" s="73">
        <f t="shared" si="145"/>
        <v>6.6505441354292705E-2</v>
      </c>
      <c r="BB87" s="70">
        <f>BB86/AW86-1</f>
        <v>6.6505441354292705E-2</v>
      </c>
      <c r="BC87" s="88">
        <f t="shared" si="145"/>
        <v>8.5812356979404925E-2</v>
      </c>
      <c r="BD87" s="73">
        <f t="shared" si="145"/>
        <v>7.7691453940066602E-2</v>
      </c>
      <c r="BE87" s="88">
        <f t="shared" si="145"/>
        <v>5.3837342497136342E-2</v>
      </c>
      <c r="BF87" s="73">
        <f t="shared" si="145"/>
        <v>8.0498866213151832E-2</v>
      </c>
      <c r="BG87" s="70">
        <f t="shared" si="145"/>
        <v>8.0498866213151832E-2</v>
      </c>
      <c r="BH87" s="73">
        <f t="shared" ref="BH87:CA87" si="146">BH86/BC86-1</f>
        <v>9.0621707060063228E-2</v>
      </c>
      <c r="BI87" s="73">
        <f t="shared" si="146"/>
        <v>9.8867147270854883E-2</v>
      </c>
      <c r="BJ87" s="73">
        <f t="shared" si="146"/>
        <v>0.1206521739130435</v>
      </c>
      <c r="BK87" s="73">
        <f t="shared" si="146"/>
        <v>0.10598111227702001</v>
      </c>
      <c r="BL87" s="70">
        <f t="shared" si="146"/>
        <v>0.10598111227702001</v>
      </c>
      <c r="BM87" s="380">
        <f t="shared" si="146"/>
        <v>0.21932367149758458</v>
      </c>
      <c r="BN87" s="73">
        <f t="shared" si="146"/>
        <v>0.2052483598875352</v>
      </c>
      <c r="BO87" s="73">
        <f t="shared" si="146"/>
        <v>0.20077594568380208</v>
      </c>
      <c r="BP87" s="73">
        <f t="shared" si="146"/>
        <v>0.20493358633776082</v>
      </c>
      <c r="BQ87" s="70">
        <f t="shared" si="146"/>
        <v>0.20493358633776082</v>
      </c>
      <c r="BR87" s="380">
        <f t="shared" si="146"/>
        <v>5.9429477020602306E-2</v>
      </c>
      <c r="BS87" s="380">
        <f t="shared" si="146"/>
        <v>5.6765163297045174E-2</v>
      </c>
      <c r="BT87" s="73">
        <f t="shared" si="146"/>
        <v>0.10517501822731368</v>
      </c>
      <c r="BU87" s="73">
        <f t="shared" si="146"/>
        <v>7.8011708540933533E-2</v>
      </c>
      <c r="BV87" s="70">
        <f t="shared" si="146"/>
        <v>7.8011708540933533E-2</v>
      </c>
      <c r="BW87" s="73">
        <f t="shared" si="146"/>
        <v>6.2716067038764534E-2</v>
      </c>
      <c r="BX87" s="73">
        <f t="shared" si="146"/>
        <v>2.7743681497663042E-2</v>
      </c>
      <c r="BY87" s="73">
        <f t="shared" si="146"/>
        <v>5.2444543805899801E-2</v>
      </c>
      <c r="BZ87" s="73">
        <f t="shared" si="146"/>
        <v>5.1929507840909217E-2</v>
      </c>
      <c r="CA87" s="70">
        <f t="shared" si="146"/>
        <v>5.1929507840909217E-2</v>
      </c>
      <c r="CB87" s="73">
        <f t="shared" ref="CB87:CK87" si="147">CB86/BW86-1</f>
        <v>4.5025566202375966E-2</v>
      </c>
      <c r="CC87" s="73">
        <f t="shared" si="147"/>
        <v>4.5243185550624787E-2</v>
      </c>
      <c r="CD87" s="73">
        <f t="shared" si="147"/>
        <v>4.5314363981797001E-2</v>
      </c>
      <c r="CE87" s="73">
        <f t="shared" si="147"/>
        <v>4.4907754908833475E-2</v>
      </c>
      <c r="CF87" s="70">
        <f t="shared" si="147"/>
        <v>4.4907754908833475E-2</v>
      </c>
      <c r="CG87" s="73">
        <f t="shared" si="147"/>
        <v>4.5001887363879778E-2</v>
      </c>
      <c r="CH87" s="73">
        <f t="shared" si="147"/>
        <v>4.5221537685306901E-2</v>
      </c>
      <c r="CI87" s="73">
        <f t="shared" si="147"/>
        <v>4.5293360553878781E-2</v>
      </c>
      <c r="CJ87" s="73">
        <f t="shared" si="147"/>
        <v>4.4882938402356354E-2</v>
      </c>
      <c r="CK87" s="70">
        <f t="shared" si="147"/>
        <v>4.4882938402356354E-2</v>
      </c>
      <c r="CL87" s="73">
        <f>CL86/CG86-1</f>
        <v>4.6651988013045598E-2</v>
      </c>
      <c r="CM87" s="73">
        <f>CM86/CH86-1</f>
        <v>4.6799794589295063E-2</v>
      </c>
      <c r="CN87" s="73">
        <f>CN86/CI86-1</f>
        <v>4.6848111987874308E-2</v>
      </c>
      <c r="CO87" s="73">
        <f>CO86/CJ86-1</f>
        <v>4.6571919220129487E-2</v>
      </c>
      <c r="CP87" s="70">
        <f>CP86/CK86-1</f>
        <v>4.6571919220129487E-2</v>
      </c>
    </row>
    <row r="88" spans="1:109" x14ac:dyDescent="0.25">
      <c r="A88" s="52" t="s">
        <v>37</v>
      </c>
      <c r="C88" s="177">
        <f>56+30</f>
        <v>86</v>
      </c>
      <c r="D88" s="177">
        <f>67+43</f>
        <v>110</v>
      </c>
      <c r="E88" s="178">
        <v>99.4</v>
      </c>
      <c r="F88" s="179">
        <v>99.8</v>
      </c>
      <c r="G88" s="179">
        <v>90.6</v>
      </c>
      <c r="H88" s="178">
        <f>96.9+157.6</f>
        <v>254.5</v>
      </c>
      <c r="I88" s="177">
        <f>+H88</f>
        <v>254.5</v>
      </c>
      <c r="J88" s="178">
        <f>89.4+176.6</f>
        <v>266</v>
      </c>
      <c r="K88" s="179">
        <f>9.8+94.5</f>
        <v>104.3</v>
      </c>
      <c r="L88" s="179">
        <f>92.2+9.3</f>
        <v>101.5</v>
      </c>
      <c r="M88" s="178">
        <f>80+26+34</f>
        <v>140</v>
      </c>
      <c r="N88" s="177">
        <f>+M88</f>
        <v>140</v>
      </c>
      <c r="O88" s="178">
        <v>102.5</v>
      </c>
      <c r="P88" s="179">
        <v>107.8</v>
      </c>
      <c r="Q88" s="179">
        <v>124.7</v>
      </c>
      <c r="R88" s="178">
        <f>76+92</f>
        <v>168</v>
      </c>
      <c r="S88" s="177">
        <f>+R88</f>
        <v>168</v>
      </c>
      <c r="T88" s="178">
        <f>76+41</f>
        <v>117</v>
      </c>
      <c r="U88" s="179">
        <v>133.80000000000001</v>
      </c>
      <c r="V88" s="179">
        <f>76.1+75.6</f>
        <v>151.69999999999999</v>
      </c>
      <c r="W88" s="178">
        <v>199</v>
      </c>
      <c r="X88" s="177">
        <f>+W88</f>
        <v>199</v>
      </c>
      <c r="Y88" s="178">
        <v>196.4</v>
      </c>
      <c r="Z88" s="178">
        <v>228.8</v>
      </c>
      <c r="AA88" s="179">
        <v>203.1</v>
      </c>
      <c r="AB88" s="179">
        <f>104.9+109.7</f>
        <v>214.60000000000002</v>
      </c>
      <c r="AC88" s="177">
        <f>+AB88</f>
        <v>214.60000000000002</v>
      </c>
      <c r="AD88" s="179">
        <v>175.5</v>
      </c>
      <c r="AE88" s="179">
        <v>185.8</v>
      </c>
      <c r="AF88" s="179">
        <v>194.4</v>
      </c>
      <c r="AG88" s="179">
        <v>226</v>
      </c>
      <c r="AH88" s="177">
        <f>+AG88</f>
        <v>226</v>
      </c>
      <c r="AI88" s="179">
        <v>200.2</v>
      </c>
      <c r="AJ88" s="179">
        <v>205.1</v>
      </c>
      <c r="AK88" s="179">
        <v>200.8</v>
      </c>
      <c r="AL88" s="179">
        <v>266</v>
      </c>
      <c r="AM88" s="177">
        <f>+AL88</f>
        <v>266</v>
      </c>
      <c r="AN88" s="179">
        <v>250.3</v>
      </c>
      <c r="AO88" s="178">
        <v>229.1</v>
      </c>
      <c r="AP88" s="178">
        <v>205.3</v>
      </c>
      <c r="AQ88" s="178">
        <v>224</v>
      </c>
      <c r="AR88" s="177">
        <f>+AQ88</f>
        <v>224</v>
      </c>
      <c r="AS88" s="179">
        <v>198.7</v>
      </c>
      <c r="AT88" s="179">
        <v>207.5</v>
      </c>
      <c r="AU88" s="179">
        <v>223.9</v>
      </c>
      <c r="AV88" s="179">
        <v>242</v>
      </c>
      <c r="AW88" s="177">
        <f>+AV88</f>
        <v>242</v>
      </c>
      <c r="AX88" s="179">
        <v>228</v>
      </c>
      <c r="AY88" s="179">
        <v>211</v>
      </c>
      <c r="AZ88" s="179">
        <v>264</v>
      </c>
      <c r="BA88" s="179">
        <v>289</v>
      </c>
      <c r="BB88" s="177">
        <f>+BA88</f>
        <v>289</v>
      </c>
      <c r="BC88" s="178">
        <v>303</v>
      </c>
      <c r="BD88" s="179">
        <v>332</v>
      </c>
      <c r="BE88" s="178">
        <v>408</v>
      </c>
      <c r="BF88" s="179">
        <v>348</v>
      </c>
      <c r="BG88" s="177">
        <f>+BF88</f>
        <v>348</v>
      </c>
      <c r="BH88" s="179">
        <v>337</v>
      </c>
      <c r="BI88" s="179">
        <v>359</v>
      </c>
      <c r="BJ88" s="179">
        <f>48+379</f>
        <v>427</v>
      </c>
      <c r="BK88" s="179">
        <v>357</v>
      </c>
      <c r="BL88" s="177">
        <f>+BK88</f>
        <v>357</v>
      </c>
      <c r="BM88" s="381">
        <v>339</v>
      </c>
      <c r="BN88" s="179">
        <v>373</v>
      </c>
      <c r="BO88" s="179">
        <v>331</v>
      </c>
      <c r="BP88" s="179">
        <v>342</v>
      </c>
      <c r="BQ88" s="177">
        <f>+BP88</f>
        <v>342</v>
      </c>
      <c r="BR88" s="381">
        <v>352</v>
      </c>
      <c r="BS88" s="381">
        <v>337</v>
      </c>
      <c r="BT88" s="179">
        <f>+BT186*4*BT4</f>
        <v>364.72946996071056</v>
      </c>
      <c r="BU88" s="179">
        <f>+BU186*4*BU4</f>
        <v>366.09336400862537</v>
      </c>
      <c r="BV88" s="177">
        <f>+BU88</f>
        <v>366.09336400862537</v>
      </c>
      <c r="BW88" s="179">
        <f>+BW186*4*BW4</f>
        <v>375.84826185845145</v>
      </c>
      <c r="BX88" s="179">
        <f>+BX186*4*BX4</f>
        <v>347.91868816958242</v>
      </c>
      <c r="BY88" s="179">
        <f>+BY186*4*BY4</f>
        <v>385.57050892842778</v>
      </c>
      <c r="BZ88" s="179">
        <f>+BZ186*4*BZ4</f>
        <v>386.65111296319037</v>
      </c>
      <c r="CA88" s="177">
        <f>+BZ88</f>
        <v>386.65111296319037</v>
      </c>
      <c r="CB88" s="179">
        <f>+CB186*4*CB4</f>
        <v>394.64067495137402</v>
      </c>
      <c r="CC88" s="179">
        <f>+CC186*4*CC4</f>
        <v>365.31462257806152</v>
      </c>
      <c r="CD88" s="179">
        <f>+CD186*4*CD4</f>
        <v>404.84903437484923</v>
      </c>
      <c r="CE88" s="179">
        <f>+CE186*4*CE4</f>
        <v>405.98366861134974</v>
      </c>
      <c r="CF88" s="177">
        <f>+CE88</f>
        <v>405.98366861134974</v>
      </c>
      <c r="CG88" s="179">
        <f>+CG186*4*CG4</f>
        <v>414.3727086989428</v>
      </c>
      <c r="CH88" s="179">
        <f>+CH186*4*CH4</f>
        <v>383.58035370696462</v>
      </c>
      <c r="CI88" s="179">
        <f>+CI186*4*CI4</f>
        <v>425.0914860935917</v>
      </c>
      <c r="CJ88" s="179">
        <f>+CJ186*4*CJ4</f>
        <v>426.28285204191718</v>
      </c>
      <c r="CK88" s="177">
        <f>+CJ88</f>
        <v>426.28285204191718</v>
      </c>
      <c r="CL88" s="179">
        <f>+CL186*4*CL4</f>
        <v>435.09134413388989</v>
      </c>
      <c r="CM88" s="179">
        <f>+CM186*4*CM4</f>
        <v>402.75937139231286</v>
      </c>
      <c r="CN88" s="179">
        <f>+CN186*4*CN4</f>
        <v>446.34606039827128</v>
      </c>
      <c r="CO88" s="179">
        <f>+CO186*4*CO4</f>
        <v>447.59699464401302</v>
      </c>
      <c r="CP88" s="177">
        <f>+CO88</f>
        <v>447.59699464401302</v>
      </c>
    </row>
    <row r="89" spans="1:109" s="47" customFormat="1" x14ac:dyDescent="0.25">
      <c r="B89" s="47" t="s">
        <v>38</v>
      </c>
      <c r="C89" s="57">
        <f t="shared" ref="C89:AH89" si="148">+C81+C82+C84+C86+C88+C83</f>
        <v>1068</v>
      </c>
      <c r="D89" s="57">
        <f t="shared" si="148"/>
        <v>1083</v>
      </c>
      <c r="E89" s="58">
        <f t="shared" si="148"/>
        <v>1086</v>
      </c>
      <c r="F89" s="46">
        <f t="shared" si="148"/>
        <v>1276</v>
      </c>
      <c r="G89" s="46">
        <f t="shared" si="148"/>
        <v>1310.9</v>
      </c>
      <c r="H89" s="58">
        <f t="shared" si="148"/>
        <v>1315.1999999999998</v>
      </c>
      <c r="I89" s="57">
        <f t="shared" si="148"/>
        <v>1315.1999999999998</v>
      </c>
      <c r="J89" s="58">
        <f t="shared" si="148"/>
        <v>1340.3</v>
      </c>
      <c r="K89" s="46">
        <f t="shared" si="148"/>
        <v>1483.7</v>
      </c>
      <c r="L89" s="46">
        <f t="shared" si="148"/>
        <v>1529.8</v>
      </c>
      <c r="M89" s="58">
        <f t="shared" si="148"/>
        <v>1609</v>
      </c>
      <c r="N89" s="57">
        <f t="shared" si="148"/>
        <v>1609</v>
      </c>
      <c r="O89" s="58">
        <f t="shared" si="148"/>
        <v>1386.5</v>
      </c>
      <c r="P89" s="46">
        <f t="shared" si="148"/>
        <v>1556</v>
      </c>
      <c r="Q89" s="46">
        <f t="shared" si="148"/>
        <v>1714.2</v>
      </c>
      <c r="R89" s="58">
        <f t="shared" si="148"/>
        <v>1635</v>
      </c>
      <c r="S89" s="57">
        <f t="shared" si="148"/>
        <v>1635</v>
      </c>
      <c r="T89" s="58">
        <f t="shared" si="148"/>
        <v>1415.4</v>
      </c>
      <c r="U89" s="46">
        <f t="shared" si="148"/>
        <v>1595.2</v>
      </c>
      <c r="V89" s="46">
        <f t="shared" si="148"/>
        <v>1443.9</v>
      </c>
      <c r="W89" s="58">
        <f t="shared" si="148"/>
        <v>1456</v>
      </c>
      <c r="X89" s="57">
        <f t="shared" si="148"/>
        <v>1456</v>
      </c>
      <c r="Y89" s="58">
        <f t="shared" si="148"/>
        <v>1494.4000000000005</v>
      </c>
      <c r="Z89" s="58">
        <f t="shared" si="148"/>
        <v>1773</v>
      </c>
      <c r="AA89" s="46">
        <f t="shared" si="148"/>
        <v>1594.5</v>
      </c>
      <c r="AB89" s="46">
        <f t="shared" si="148"/>
        <v>1573.8000000000002</v>
      </c>
      <c r="AC89" s="57">
        <f t="shared" si="148"/>
        <v>1573.8000000000002</v>
      </c>
      <c r="AD89" s="46">
        <f t="shared" si="148"/>
        <v>1540</v>
      </c>
      <c r="AE89" s="46">
        <f t="shared" si="148"/>
        <v>1684.4</v>
      </c>
      <c r="AF89" s="46">
        <f t="shared" si="148"/>
        <v>1548.4</v>
      </c>
      <c r="AG89" s="46">
        <f t="shared" si="148"/>
        <v>1527</v>
      </c>
      <c r="AH89" s="57">
        <f t="shared" si="148"/>
        <v>1527</v>
      </c>
      <c r="AI89" s="46">
        <f t="shared" ref="AI89:AT89" si="149">+AI81+AI82+AI84+AI86+AI88+AI83</f>
        <v>1544.5000000000002</v>
      </c>
      <c r="AJ89" s="46">
        <f t="shared" si="149"/>
        <v>1603.6999999999998</v>
      </c>
      <c r="AK89" s="46">
        <f t="shared" si="149"/>
        <v>1686.7</v>
      </c>
      <c r="AL89" s="46">
        <f t="shared" si="149"/>
        <v>1976</v>
      </c>
      <c r="AM89" s="57">
        <f t="shared" si="149"/>
        <v>1976</v>
      </c>
      <c r="AN89" s="46">
        <f t="shared" si="149"/>
        <v>2011.6</v>
      </c>
      <c r="AO89" s="58">
        <f t="shared" si="149"/>
        <v>1945.6</v>
      </c>
      <c r="AP89" s="58">
        <f t="shared" si="149"/>
        <v>1953.1</v>
      </c>
      <c r="AQ89" s="58">
        <f t="shared" si="149"/>
        <v>1749</v>
      </c>
      <c r="AR89" s="57">
        <f t="shared" si="149"/>
        <v>1749</v>
      </c>
      <c r="AS89" s="46">
        <f t="shared" si="149"/>
        <v>1849.5</v>
      </c>
      <c r="AT89" s="46">
        <f t="shared" si="149"/>
        <v>2055</v>
      </c>
      <c r="AU89" s="46">
        <f t="shared" ref="AU89:CP89" si="150">+AU81+AU82+AU84+AU86+AU88+AU83</f>
        <v>2046.4</v>
      </c>
      <c r="AV89" s="46">
        <f t="shared" si="150"/>
        <v>1821</v>
      </c>
      <c r="AW89" s="57">
        <f t="shared" si="150"/>
        <v>1821</v>
      </c>
      <c r="AX89" s="46">
        <f t="shared" si="150"/>
        <v>1861</v>
      </c>
      <c r="AY89" s="46">
        <f t="shared" si="150"/>
        <v>2033</v>
      </c>
      <c r="AZ89" s="46">
        <f t="shared" si="150"/>
        <v>2103</v>
      </c>
      <c r="BA89" s="46">
        <f>+BA81+BA82+BA84+BA86+BA88+BA83</f>
        <v>2177</v>
      </c>
      <c r="BB89" s="57">
        <f>+BB81+BB82+BB84+BB86+BB88+BB83</f>
        <v>2177</v>
      </c>
      <c r="BC89" s="58">
        <f t="shared" si="150"/>
        <v>2259</v>
      </c>
      <c r="BD89" s="46">
        <f t="shared" si="150"/>
        <v>2299</v>
      </c>
      <c r="BE89" s="58">
        <f t="shared" si="150"/>
        <v>2209</v>
      </c>
      <c r="BF89" s="46">
        <f t="shared" si="150"/>
        <v>2254</v>
      </c>
      <c r="BG89" s="57">
        <f t="shared" si="150"/>
        <v>2254</v>
      </c>
      <c r="BH89" s="46">
        <f>+BH81+BH82+BH84+BH86+BH88+BH83</f>
        <v>2371</v>
      </c>
      <c r="BI89" s="46">
        <f>+BI81+BI82+BI84+BI86+BI88+BI83</f>
        <v>2348</v>
      </c>
      <c r="BJ89" s="46">
        <f t="shared" si="150"/>
        <v>2405</v>
      </c>
      <c r="BK89" s="46">
        <f t="shared" si="150"/>
        <v>2233</v>
      </c>
      <c r="BL89" s="57">
        <f t="shared" si="150"/>
        <v>2233</v>
      </c>
      <c r="BM89" s="58">
        <f t="shared" si="150"/>
        <v>2561</v>
      </c>
      <c r="BN89" s="46">
        <f t="shared" si="150"/>
        <v>2530</v>
      </c>
      <c r="BO89" s="46">
        <f t="shared" si="150"/>
        <v>2377</v>
      </c>
      <c r="BP89" s="46">
        <f t="shared" si="150"/>
        <v>2351</v>
      </c>
      <c r="BQ89" s="57">
        <f t="shared" si="150"/>
        <v>2351</v>
      </c>
      <c r="BR89" s="58">
        <f t="shared" si="150"/>
        <v>2503</v>
      </c>
      <c r="BS89" s="58">
        <f t="shared" si="150"/>
        <v>2661</v>
      </c>
      <c r="BT89" s="46">
        <f t="shared" ca="1" si="150"/>
        <v>2618.1980946288263</v>
      </c>
      <c r="BU89" s="46">
        <f t="shared" ca="1" si="150"/>
        <v>2543.4080109105944</v>
      </c>
      <c r="BV89" s="57">
        <f t="shared" ca="1" si="150"/>
        <v>2543.4080109105944</v>
      </c>
      <c r="BW89" s="46">
        <f t="shared" ca="1" si="150"/>
        <v>2623.7240719849278</v>
      </c>
      <c r="BX89" s="46">
        <f t="shared" ca="1" si="150"/>
        <v>2734.0193014486322</v>
      </c>
      <c r="BY89" s="46">
        <f t="shared" ca="1" si="150"/>
        <v>2749.2650292453682</v>
      </c>
      <c r="BZ89" s="46">
        <f t="shared" ca="1" si="150"/>
        <v>2668.5426240761635</v>
      </c>
      <c r="CA89" s="57">
        <f t="shared" ca="1" si="150"/>
        <v>2668.5426240761635</v>
      </c>
      <c r="CB89" s="46">
        <f t="shared" ca="1" si="150"/>
        <v>2737.2423444499887</v>
      </c>
      <c r="CC89" s="46">
        <f t="shared" ca="1" si="150"/>
        <v>2853.4764063546713</v>
      </c>
      <c r="CD89" s="46">
        <f t="shared" ca="1" si="150"/>
        <v>2869.3811445480278</v>
      </c>
      <c r="CE89" s="46">
        <f t="shared" ca="1" si="150"/>
        <v>2784.0360553734149</v>
      </c>
      <c r="CF89" s="57">
        <f t="shared" ca="1" si="150"/>
        <v>2784.0360553734149</v>
      </c>
      <c r="CG89" s="46">
        <f t="shared" ca="1" si="150"/>
        <v>2856.0831339815941</v>
      </c>
      <c r="CH89" s="46">
        <f t="shared" ca="1" si="150"/>
        <v>2978.5741734976932</v>
      </c>
      <c r="CI89" s="46">
        <f t="shared" ca="1" si="150"/>
        <v>2995.1657088078396</v>
      </c>
      <c r="CJ89" s="46">
        <f t="shared" ca="1" si="150"/>
        <v>2904.9374732402025</v>
      </c>
      <c r="CK89" s="57">
        <f t="shared" ca="1" si="150"/>
        <v>2904.9374732402025</v>
      </c>
      <c r="CL89" s="46">
        <f t="shared" ca="1" si="150"/>
        <v>2983.0923612970478</v>
      </c>
      <c r="CM89" s="46">
        <f t="shared" ca="1" si="150"/>
        <v>3112.0196449502791</v>
      </c>
      <c r="CN89" s="46">
        <f t="shared" ca="1" si="150"/>
        <v>3129.3648491709191</v>
      </c>
      <c r="CO89" s="46">
        <f t="shared" ca="1" si="150"/>
        <v>3034.1940774708933</v>
      </c>
      <c r="CP89" s="57">
        <f t="shared" ca="1" si="150"/>
        <v>3034.1940774708933</v>
      </c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</row>
    <row r="90" spans="1:109" x14ac:dyDescent="0.25">
      <c r="C90" s="94"/>
      <c r="D90" s="94"/>
      <c r="E90" s="96"/>
      <c r="F90" s="95"/>
      <c r="G90" s="95"/>
      <c r="H90" s="96"/>
      <c r="I90" s="94"/>
      <c r="J90" s="96"/>
      <c r="K90" s="95"/>
      <c r="L90" s="95"/>
      <c r="M90" s="96"/>
      <c r="N90" s="94"/>
      <c r="O90" s="96"/>
      <c r="P90" s="95"/>
      <c r="Q90" s="95"/>
      <c r="R90" s="96"/>
      <c r="S90" s="94"/>
      <c r="T90" s="96"/>
      <c r="U90" s="95"/>
      <c r="V90" s="95"/>
      <c r="W90" s="96"/>
      <c r="X90" s="94"/>
      <c r="Y90" s="96"/>
      <c r="Z90" s="96"/>
      <c r="AA90" s="95"/>
      <c r="AB90" s="95"/>
      <c r="AC90" s="94"/>
      <c r="AD90" s="95"/>
      <c r="AE90" s="95"/>
      <c r="AF90" s="95"/>
      <c r="AG90" s="95"/>
      <c r="AH90" s="94"/>
      <c r="AI90" s="95"/>
      <c r="AJ90" s="95"/>
      <c r="AK90" s="95"/>
      <c r="AL90" s="95"/>
      <c r="AM90" s="94"/>
      <c r="AN90" s="95"/>
      <c r="AO90" s="96"/>
      <c r="AP90" s="96"/>
      <c r="AQ90" s="96"/>
      <c r="AR90" s="94"/>
      <c r="AS90" s="95"/>
      <c r="AT90" s="95"/>
      <c r="AU90" s="95"/>
      <c r="AV90" s="95"/>
      <c r="AW90" s="94"/>
      <c r="AX90" s="95"/>
      <c r="AY90" s="95"/>
      <c r="AZ90" s="95"/>
      <c r="BA90" s="95"/>
      <c r="BB90" s="94"/>
      <c r="BC90" s="96"/>
      <c r="BD90" s="95"/>
      <c r="BE90" s="96"/>
      <c r="BF90" s="95"/>
      <c r="BG90" s="94"/>
      <c r="BH90" s="95"/>
      <c r="BI90" s="95"/>
      <c r="BJ90" s="95"/>
      <c r="BK90" s="95"/>
      <c r="BL90" s="94"/>
      <c r="BM90" s="373"/>
      <c r="BN90" s="95"/>
      <c r="BO90" s="95"/>
      <c r="BP90" s="95"/>
      <c r="BQ90" s="94"/>
      <c r="BR90" s="373"/>
      <c r="BS90" s="95"/>
      <c r="BT90" s="95"/>
      <c r="BU90" s="95"/>
      <c r="BV90" s="94"/>
      <c r="BW90" s="95"/>
      <c r="BX90" s="95"/>
      <c r="BY90" s="95"/>
      <c r="BZ90" s="95"/>
      <c r="CA90" s="94"/>
      <c r="CB90" s="95"/>
      <c r="CC90" s="95"/>
      <c r="CD90" s="95"/>
      <c r="CE90" s="95"/>
      <c r="CF90" s="94"/>
      <c r="CG90" s="95"/>
      <c r="CH90" s="95"/>
      <c r="CI90" s="95"/>
      <c r="CJ90" s="95"/>
      <c r="CK90" s="94"/>
      <c r="CL90" s="95"/>
      <c r="CM90" s="95"/>
      <c r="CN90" s="95"/>
      <c r="CO90" s="95"/>
      <c r="CP90" s="94"/>
    </row>
    <row r="91" spans="1:109" x14ac:dyDescent="0.25">
      <c r="A91" s="52" t="s">
        <v>39</v>
      </c>
      <c r="C91" s="94">
        <v>506</v>
      </c>
      <c r="D91" s="94">
        <v>515</v>
      </c>
      <c r="E91" s="96">
        <v>511.2</v>
      </c>
      <c r="F91" s="95">
        <v>507.6</v>
      </c>
      <c r="G91" s="95">
        <v>500.5</v>
      </c>
      <c r="H91" s="96">
        <v>417.9</v>
      </c>
      <c r="I91" s="94">
        <f>+H91</f>
        <v>417.9</v>
      </c>
      <c r="J91" s="96">
        <v>414.2</v>
      </c>
      <c r="K91" s="95">
        <v>417.3</v>
      </c>
      <c r="L91" s="95">
        <v>418.1</v>
      </c>
      <c r="M91" s="96">
        <v>425</v>
      </c>
      <c r="N91" s="94">
        <f>+M91</f>
        <v>425</v>
      </c>
      <c r="O91" s="96">
        <v>438.5</v>
      </c>
      <c r="P91" s="95">
        <v>427.5</v>
      </c>
      <c r="Q91" s="95">
        <v>496.7</v>
      </c>
      <c r="R91" s="96">
        <v>506</v>
      </c>
      <c r="S91" s="94">
        <f>+R91</f>
        <v>506</v>
      </c>
      <c r="T91" s="96">
        <v>504.8</v>
      </c>
      <c r="U91" s="95">
        <v>506.2</v>
      </c>
      <c r="V91" s="95">
        <v>502.1</v>
      </c>
      <c r="W91" s="96">
        <v>501</v>
      </c>
      <c r="X91" s="94">
        <f>+W91</f>
        <v>501</v>
      </c>
      <c r="Y91" s="96">
        <v>505.7</v>
      </c>
      <c r="Z91" s="96">
        <v>486.1</v>
      </c>
      <c r="AA91" s="95">
        <v>479.5</v>
      </c>
      <c r="AB91" s="95">
        <v>482.8</v>
      </c>
      <c r="AC91" s="94">
        <f>+AB91</f>
        <v>482.8</v>
      </c>
      <c r="AD91" s="95">
        <v>479.7</v>
      </c>
      <c r="AE91" s="95">
        <v>473.9</v>
      </c>
      <c r="AF91" s="95">
        <v>464.2</v>
      </c>
      <c r="AG91" s="95">
        <v>468</v>
      </c>
      <c r="AH91" s="94">
        <f>+AG91</f>
        <v>468</v>
      </c>
      <c r="AI91" s="95">
        <v>451.8</v>
      </c>
      <c r="AJ91" s="95">
        <v>449.5</v>
      </c>
      <c r="AK91" s="95">
        <v>450.4</v>
      </c>
      <c r="AL91" s="95">
        <v>393</v>
      </c>
      <c r="AM91" s="94">
        <f>+AL91</f>
        <v>393</v>
      </c>
      <c r="AN91" s="95">
        <v>388</v>
      </c>
      <c r="AO91" s="96">
        <v>383</v>
      </c>
      <c r="AP91" s="96">
        <v>385.3</v>
      </c>
      <c r="AQ91" s="96">
        <v>399</v>
      </c>
      <c r="AR91" s="94">
        <f>+AQ91</f>
        <v>399</v>
      </c>
      <c r="AS91" s="95">
        <v>404.6</v>
      </c>
      <c r="AT91" s="95">
        <v>415.9</v>
      </c>
      <c r="AU91" s="95">
        <v>426.6</v>
      </c>
      <c r="AV91" s="95">
        <v>450</v>
      </c>
      <c r="AW91" s="94">
        <f>+AV91</f>
        <v>450</v>
      </c>
      <c r="AX91" s="95">
        <v>459</v>
      </c>
      <c r="AY91" s="95">
        <v>483</v>
      </c>
      <c r="AZ91" s="95">
        <v>497</v>
      </c>
      <c r="BA91" s="95">
        <v>526</v>
      </c>
      <c r="BB91" s="94">
        <f>+BA91</f>
        <v>526</v>
      </c>
      <c r="BC91" s="96">
        <v>538</v>
      </c>
      <c r="BD91" s="95">
        <v>556</v>
      </c>
      <c r="BE91" s="96">
        <v>567</v>
      </c>
      <c r="BF91" s="95">
        <v>586</v>
      </c>
      <c r="BG91" s="94">
        <f>+BF91</f>
        <v>586</v>
      </c>
      <c r="BH91" s="95">
        <v>608</v>
      </c>
      <c r="BI91" s="95">
        <v>619</v>
      </c>
      <c r="BJ91" s="95">
        <v>621</v>
      </c>
      <c r="BK91" s="95">
        <v>629</v>
      </c>
      <c r="BL91" s="94">
        <f>+BK91</f>
        <v>629</v>
      </c>
      <c r="BM91" s="373">
        <v>645</v>
      </c>
      <c r="BN91" s="95">
        <v>651</v>
      </c>
      <c r="BO91" s="95">
        <v>669</v>
      </c>
      <c r="BP91" s="95">
        <v>713</v>
      </c>
      <c r="BQ91" s="94">
        <f>+BP91</f>
        <v>713</v>
      </c>
      <c r="BR91" s="373">
        <v>719</v>
      </c>
      <c r="BS91" s="95">
        <v>740</v>
      </c>
      <c r="BT91" s="95">
        <f>+BS91-BT187-BT126</f>
        <v>764.0625</v>
      </c>
      <c r="BU91" s="95">
        <f>+BT91-BU187-BU126</f>
        <v>771</v>
      </c>
      <c r="BV91" s="94">
        <f>+BU91</f>
        <v>771</v>
      </c>
      <c r="BW91" s="95">
        <f>+BV91-BW187-BW126</f>
        <v>782.88</v>
      </c>
      <c r="BX91" s="95">
        <f>+BW91-BX187-BX126</f>
        <v>802.44</v>
      </c>
      <c r="BY91" s="95">
        <f>+BX91-BY187-BY126</f>
        <v>824.94</v>
      </c>
      <c r="BZ91" s="95">
        <f>+BY91-BZ187-BZ126</f>
        <v>831</v>
      </c>
      <c r="CA91" s="94">
        <f>+BZ91</f>
        <v>831</v>
      </c>
      <c r="CB91" s="95">
        <f>+CA91-CB187-CB126</f>
        <v>841.76</v>
      </c>
      <c r="CC91" s="95">
        <f>+CB91-CC187-CC126</f>
        <v>859.88</v>
      </c>
      <c r="CD91" s="95">
        <f>+CC91-CD187-CD126</f>
        <v>880.8175</v>
      </c>
      <c r="CE91" s="95">
        <f>+CD91-CE187-CE126</f>
        <v>886</v>
      </c>
      <c r="CF91" s="94">
        <f>+CE91</f>
        <v>886</v>
      </c>
      <c r="CG91" s="95">
        <f>+CF91-CG187-CG126</f>
        <v>896.76</v>
      </c>
      <c r="CH91" s="95">
        <f>+CG91-CH187-CH126</f>
        <v>914.88</v>
      </c>
      <c r="CI91" s="95">
        <f>+CH91-CI187-CI126</f>
        <v>935.8175</v>
      </c>
      <c r="CJ91" s="95">
        <f>+CI91-CJ187-CJ126</f>
        <v>941</v>
      </c>
      <c r="CK91" s="94">
        <f>+CJ91</f>
        <v>941</v>
      </c>
      <c r="CL91" s="95">
        <f>+CK91-CL187-CL126</f>
        <v>951.76</v>
      </c>
      <c r="CM91" s="95">
        <f>+CL91-CM187-CM126</f>
        <v>969.88</v>
      </c>
      <c r="CN91" s="95">
        <f>+CM91-CN187-CN126</f>
        <v>990.8175</v>
      </c>
      <c r="CO91" s="95">
        <f>+CN91-CO187-CO126</f>
        <v>996</v>
      </c>
      <c r="CP91" s="94">
        <f>+CO91</f>
        <v>996</v>
      </c>
    </row>
    <row r="92" spans="1:109" x14ac:dyDescent="0.25">
      <c r="A92" s="52" t="s">
        <v>40</v>
      </c>
      <c r="C92" s="94">
        <f>311+235</f>
        <v>546</v>
      </c>
      <c r="D92" s="94">
        <f>315+247</f>
        <v>562</v>
      </c>
      <c r="E92" s="96">
        <v>315.2</v>
      </c>
      <c r="F92" s="95">
        <v>318.39999999999998</v>
      </c>
      <c r="G92" s="95">
        <f>282.8</f>
        <v>282.8</v>
      </c>
      <c r="H92" s="96">
        <f>192.7+334.2</f>
        <v>526.9</v>
      </c>
      <c r="I92" s="94">
        <f>+H92</f>
        <v>526.9</v>
      </c>
      <c r="J92" s="96">
        <f>331.5+188.5</f>
        <v>520</v>
      </c>
      <c r="K92" s="95">
        <f>331.3+188.1</f>
        <v>519.4</v>
      </c>
      <c r="L92" s="95">
        <f>331.7+188.6</f>
        <v>520.29999999999995</v>
      </c>
      <c r="M92" s="96">
        <f>192+325</f>
        <v>517</v>
      </c>
      <c r="N92" s="94">
        <f>+M92</f>
        <v>517</v>
      </c>
      <c r="O92" s="96">
        <f>442.1+324.3</f>
        <v>766.40000000000009</v>
      </c>
      <c r="P92" s="95">
        <f>442.1+324.3</f>
        <v>766.40000000000009</v>
      </c>
      <c r="Q92" s="95">
        <f>664.7+684.6</f>
        <v>1349.3000000000002</v>
      </c>
      <c r="R92" s="96">
        <f>670+684</f>
        <v>1354</v>
      </c>
      <c r="S92" s="94">
        <f>+R92</f>
        <v>1354</v>
      </c>
      <c r="T92" s="96">
        <f>669+695.8</f>
        <v>1364.8</v>
      </c>
      <c r="U92" s="95">
        <v>1382.7</v>
      </c>
      <c r="V92" s="95">
        <f>684.1+698.5</f>
        <v>1382.6</v>
      </c>
      <c r="W92" s="96">
        <f>688+699</f>
        <v>1387</v>
      </c>
      <c r="X92" s="94">
        <f>+W92</f>
        <v>1387</v>
      </c>
      <c r="Y92" s="96">
        <f>688.1+697.6</f>
        <v>1385.7</v>
      </c>
      <c r="Z92" s="96">
        <f>671.7+687.6</f>
        <v>1359.3000000000002</v>
      </c>
      <c r="AA92" s="95">
        <f>673.2+686.4</f>
        <v>1359.6</v>
      </c>
      <c r="AB92" s="95">
        <f>675+686.1</f>
        <v>1361.1</v>
      </c>
      <c r="AC92" s="94">
        <f>+AB92</f>
        <v>1361.1</v>
      </c>
      <c r="AD92" s="95">
        <f>678.2+687.3</f>
        <v>1365.5</v>
      </c>
      <c r="AE92" s="95">
        <f>682.5+688.6</f>
        <v>1371.1</v>
      </c>
      <c r="AF92" s="95">
        <f>677.6+672.9</f>
        <v>1350.5</v>
      </c>
      <c r="AG92" s="95">
        <f>666+669</f>
        <v>1335</v>
      </c>
      <c r="AH92" s="94">
        <f>+AG92</f>
        <v>1335</v>
      </c>
      <c r="AI92" s="95">
        <f>664.9+667.8</f>
        <v>1332.6999999999998</v>
      </c>
      <c r="AJ92" s="95">
        <f>669.3+669.4</f>
        <v>1338.6999999999998</v>
      </c>
      <c r="AK92" s="95">
        <f>667.8+667.3</f>
        <v>1335.1</v>
      </c>
      <c r="AL92" s="95">
        <f>625+670</f>
        <v>1295</v>
      </c>
      <c r="AM92" s="94">
        <f>+AL92</f>
        <v>1295</v>
      </c>
      <c r="AN92" s="95">
        <f>623.2+674.5</f>
        <v>1297.7</v>
      </c>
      <c r="AO92" s="96">
        <f>672.1+621.8</f>
        <v>1293.9000000000001</v>
      </c>
      <c r="AP92" s="96">
        <f>616.6+667.7</f>
        <v>1284.3000000000002</v>
      </c>
      <c r="AQ92" s="96">
        <f>617+668</f>
        <v>1285</v>
      </c>
      <c r="AR92" s="94">
        <f>+AQ92</f>
        <v>1285</v>
      </c>
      <c r="AS92" s="95">
        <f>612.1+664.8</f>
        <v>1276.9000000000001</v>
      </c>
      <c r="AT92" s="95">
        <f>615.8+667.6</f>
        <v>1283.4000000000001</v>
      </c>
      <c r="AU92" s="95">
        <f>618.9+669.9</f>
        <v>1288.8</v>
      </c>
      <c r="AV92" s="95">
        <f>617+668</f>
        <v>1285</v>
      </c>
      <c r="AW92" s="94">
        <f>+AV92</f>
        <v>1285</v>
      </c>
      <c r="AX92" s="95">
        <f>618+669</f>
        <v>1287</v>
      </c>
      <c r="AY92" s="95">
        <f>620+671</f>
        <v>1291</v>
      </c>
      <c r="AZ92" s="95">
        <f>619+670</f>
        <v>1289</v>
      </c>
      <c r="BA92" s="95">
        <f>620+677</f>
        <v>1297</v>
      </c>
      <c r="BB92" s="94">
        <f>+BA92</f>
        <v>1297</v>
      </c>
      <c r="BC92" s="96">
        <f>618+666</f>
        <v>1284</v>
      </c>
      <c r="BD92" s="95">
        <f>614+651</f>
        <v>1265</v>
      </c>
      <c r="BE92" s="96">
        <f>607+619</f>
        <v>1226</v>
      </c>
      <c r="BF92" s="95">
        <f>607+611</f>
        <v>1218</v>
      </c>
      <c r="BG92" s="94">
        <f>+BF92</f>
        <v>1218</v>
      </c>
      <c r="BH92" s="95">
        <f>605+605</f>
        <v>1210</v>
      </c>
      <c r="BI92" s="95">
        <f>606+608</f>
        <v>1214</v>
      </c>
      <c r="BJ92" s="95">
        <f>589+582</f>
        <v>1171</v>
      </c>
      <c r="BK92" s="95">
        <f>590+595</f>
        <v>1185</v>
      </c>
      <c r="BL92" s="94">
        <f>+BK92</f>
        <v>1185</v>
      </c>
      <c r="BM92" s="373">
        <f>756+649</f>
        <v>1405</v>
      </c>
      <c r="BN92" s="95">
        <f>743+640</f>
        <v>1383</v>
      </c>
      <c r="BO92" s="95">
        <f>746+636</f>
        <v>1382</v>
      </c>
      <c r="BP92" s="95">
        <f>753+641</f>
        <v>1394</v>
      </c>
      <c r="BQ92" s="94">
        <f>+BP92</f>
        <v>1394</v>
      </c>
      <c r="BR92" s="373">
        <f>755+661</f>
        <v>1416</v>
      </c>
      <c r="BS92" s="95">
        <f>756+659</f>
        <v>1415</v>
      </c>
      <c r="BT92" s="95">
        <f>+BS92-BT127</f>
        <v>1415</v>
      </c>
      <c r="BU92" s="95">
        <f>+BT92-BU127</f>
        <v>1415</v>
      </c>
      <c r="BV92" s="94">
        <f>+BU92</f>
        <v>1415</v>
      </c>
      <c r="BW92" s="95">
        <f>+BV92-BW127</f>
        <v>1415</v>
      </c>
      <c r="BX92" s="95">
        <f>+BW92-BX127</f>
        <v>1415</v>
      </c>
      <c r="BY92" s="95">
        <f>+BX92-BY127</f>
        <v>1415</v>
      </c>
      <c r="BZ92" s="95">
        <f>+BY92-BZ127</f>
        <v>1415</v>
      </c>
      <c r="CA92" s="94">
        <f>+BZ92</f>
        <v>1415</v>
      </c>
      <c r="CB92" s="95">
        <f>+CA92-CB127</f>
        <v>1415</v>
      </c>
      <c r="CC92" s="95">
        <f>+CB92-CC127</f>
        <v>1415</v>
      </c>
      <c r="CD92" s="95">
        <f>+CC92-CD127</f>
        <v>1415</v>
      </c>
      <c r="CE92" s="95">
        <f>+CD92-CE127</f>
        <v>1415</v>
      </c>
      <c r="CF92" s="94">
        <f>+CE92</f>
        <v>1415</v>
      </c>
      <c r="CG92" s="95">
        <f>+CF92-CG127</f>
        <v>1415</v>
      </c>
      <c r="CH92" s="95">
        <f>+CG92-CH127</f>
        <v>1415</v>
      </c>
      <c r="CI92" s="95">
        <f>+CH92-CI127</f>
        <v>1415</v>
      </c>
      <c r="CJ92" s="95">
        <f>+CI92-CJ127</f>
        <v>1415</v>
      </c>
      <c r="CK92" s="94">
        <f>+CJ92</f>
        <v>1415</v>
      </c>
      <c r="CL92" s="95">
        <f>+CK92-CL127</f>
        <v>1415</v>
      </c>
      <c r="CM92" s="95">
        <f>+CL92-CM127</f>
        <v>1415</v>
      </c>
      <c r="CN92" s="95">
        <f>+CM92-CN127</f>
        <v>1415</v>
      </c>
      <c r="CO92" s="95">
        <f>+CN92-CO127</f>
        <v>1415</v>
      </c>
      <c r="CP92" s="94">
        <f>+CO92</f>
        <v>1415</v>
      </c>
    </row>
    <row r="93" spans="1:109" x14ac:dyDescent="0.25">
      <c r="A93" s="52" t="s">
        <v>41</v>
      </c>
      <c r="C93" s="177">
        <f>39+41+64</f>
        <v>144</v>
      </c>
      <c r="D93" s="177">
        <f>118+45+53</f>
        <v>216</v>
      </c>
      <c r="E93" s="179">
        <f>118.4+247.1+94.8</f>
        <v>460.3</v>
      </c>
      <c r="F93" s="179">
        <f>118.6+249.1+94</f>
        <v>461.7</v>
      </c>
      <c r="G93" s="179">
        <f>129.9+63.7+334.4</f>
        <v>528</v>
      </c>
      <c r="H93" s="178">
        <f>171.2+217.9</f>
        <v>389.1</v>
      </c>
      <c r="I93" s="177">
        <f>H93</f>
        <v>389.1</v>
      </c>
      <c r="J93" s="179">
        <f>128.5+154.9+38.8</f>
        <v>322.2</v>
      </c>
      <c r="K93" s="179">
        <f>7.4+164</f>
        <v>171.4</v>
      </c>
      <c r="L93" s="179">
        <f>7+179.4</f>
        <v>186.4</v>
      </c>
      <c r="M93" s="178">
        <f>146+9+22</f>
        <v>177</v>
      </c>
      <c r="N93" s="177">
        <f>M93</f>
        <v>177</v>
      </c>
      <c r="O93" s="179">
        <f>143.1+22.1</f>
        <v>165.2</v>
      </c>
      <c r="P93" s="179">
        <f>140.1+35.2</f>
        <v>175.3</v>
      </c>
      <c r="Q93" s="179">
        <f>133.4+37.2</f>
        <v>170.60000000000002</v>
      </c>
      <c r="R93" s="178">
        <f>23+33</f>
        <v>56</v>
      </c>
      <c r="S93" s="177">
        <f>R93</f>
        <v>56</v>
      </c>
      <c r="T93" s="179">
        <f>23.3+33.9</f>
        <v>57.2</v>
      </c>
      <c r="U93" s="179">
        <f>24.3+37.9</f>
        <v>62.2</v>
      </c>
      <c r="V93" s="179">
        <f>24.7+38.3</f>
        <v>63</v>
      </c>
      <c r="W93" s="178">
        <f>23+38</f>
        <v>61</v>
      </c>
      <c r="X93" s="177">
        <f>W93</f>
        <v>61</v>
      </c>
      <c r="Y93" s="178">
        <f>25.2+37.9</f>
        <v>63.099999999999994</v>
      </c>
      <c r="Z93" s="178">
        <f>25.7+36.5</f>
        <v>62.2</v>
      </c>
      <c r="AA93" s="179">
        <f>26.3+39.9</f>
        <v>66.2</v>
      </c>
      <c r="AB93" s="179">
        <v>57</v>
      </c>
      <c r="AC93" s="177">
        <f>AB93</f>
        <v>57</v>
      </c>
      <c r="AD93" s="179">
        <v>59</v>
      </c>
      <c r="AE93" s="179">
        <v>55.6</v>
      </c>
      <c r="AF93" s="179">
        <v>55.2</v>
      </c>
      <c r="AG93" s="179">
        <v>53</v>
      </c>
      <c r="AH93" s="177">
        <f>AG93</f>
        <v>53</v>
      </c>
      <c r="AI93" s="179">
        <v>52.9</v>
      </c>
      <c r="AJ93" s="179">
        <v>48.2</v>
      </c>
      <c r="AK93" s="179">
        <v>50.7</v>
      </c>
      <c r="AL93" s="179">
        <v>48</v>
      </c>
      <c r="AM93" s="177">
        <f>AL93</f>
        <v>48</v>
      </c>
      <c r="AN93" s="179">
        <v>51.9</v>
      </c>
      <c r="AO93" s="178">
        <v>51.1</v>
      </c>
      <c r="AP93" s="178">
        <v>53.7</v>
      </c>
      <c r="AQ93" s="178">
        <v>44</v>
      </c>
      <c r="AR93" s="177">
        <f>AQ93</f>
        <v>44</v>
      </c>
      <c r="AS93" s="179">
        <v>52</v>
      </c>
      <c r="AT93" s="179">
        <v>49.6</v>
      </c>
      <c r="AU93" s="179">
        <v>70.5</v>
      </c>
      <c r="AV93" s="179">
        <v>70</v>
      </c>
      <c r="AW93" s="177">
        <f>AV93</f>
        <v>70</v>
      </c>
      <c r="AX93" s="179">
        <v>79</v>
      </c>
      <c r="AY93" s="179">
        <v>75</v>
      </c>
      <c r="AZ93" s="179">
        <v>104</v>
      </c>
      <c r="BA93" s="179">
        <v>103</v>
      </c>
      <c r="BB93" s="177">
        <f>BA93</f>
        <v>103</v>
      </c>
      <c r="BC93" s="178">
        <v>110</v>
      </c>
      <c r="BD93" s="179">
        <v>123</v>
      </c>
      <c r="BE93" s="178">
        <v>159</v>
      </c>
      <c r="BF93" s="179">
        <v>130</v>
      </c>
      <c r="BG93" s="177">
        <f>BF93</f>
        <v>130</v>
      </c>
      <c r="BH93" s="179">
        <v>145</v>
      </c>
      <c r="BI93" s="179">
        <v>138</v>
      </c>
      <c r="BJ93" s="179">
        <v>136</v>
      </c>
      <c r="BK93" s="179">
        <v>136</v>
      </c>
      <c r="BL93" s="177">
        <f>BK93</f>
        <v>136</v>
      </c>
      <c r="BM93" s="381">
        <v>144</v>
      </c>
      <c r="BN93" s="179">
        <v>156</v>
      </c>
      <c r="BO93" s="179">
        <v>172</v>
      </c>
      <c r="BP93" s="179">
        <v>167</v>
      </c>
      <c r="BQ93" s="177">
        <f>BP93</f>
        <v>167</v>
      </c>
      <c r="BR93" s="381">
        <v>164</v>
      </c>
      <c r="BS93" s="179">
        <v>162</v>
      </c>
      <c r="BT93" s="179">
        <f>+BT190*4*BT4</f>
        <v>189.52709617293721</v>
      </c>
      <c r="BU93" s="179">
        <f>+BU190*4*BU4</f>
        <v>178.76488827321768</v>
      </c>
      <c r="BV93" s="177">
        <f>BU93</f>
        <v>178.76488827321768</v>
      </c>
      <c r="BW93" s="179">
        <f>+BW190*4*BW4</f>
        <v>175.11112200223309</v>
      </c>
      <c r="BX93" s="179">
        <f>+BX190*4*BX4</f>
        <v>167.24874624175774</v>
      </c>
      <c r="BY93" s="179">
        <f>+BY190*4*BY4</f>
        <v>200.35688077247607</v>
      </c>
      <c r="BZ93" s="179">
        <f>+BZ190*4*BZ4</f>
        <v>188.80332124225964</v>
      </c>
      <c r="CA93" s="177">
        <f>BZ93</f>
        <v>188.80332124225964</v>
      </c>
      <c r="CB93" s="179">
        <f>+CB190*4*CB4</f>
        <v>183.86667810234474</v>
      </c>
      <c r="CC93" s="179">
        <f>+CC190*4*CC4</f>
        <v>175.61118355384562</v>
      </c>
      <c r="CD93" s="179">
        <f>+CD190*4*CD4</f>
        <v>210.3747248110999</v>
      </c>
      <c r="CE93" s="179">
        <f>+CE190*4*CE4</f>
        <v>198.24348730437254</v>
      </c>
      <c r="CF93" s="177">
        <f>CE93</f>
        <v>198.24348730437254</v>
      </c>
      <c r="CG93" s="179">
        <f>+CG190*4*CG4</f>
        <v>193.06001200746198</v>
      </c>
      <c r="CH93" s="179">
        <f>+CH190*4*CH4</f>
        <v>184.3917427315379</v>
      </c>
      <c r="CI93" s="179">
        <f>+CI190*4*CI4</f>
        <v>220.8934610516549</v>
      </c>
      <c r="CJ93" s="179">
        <f>+CJ190*4*CJ4</f>
        <v>208.15566166959115</v>
      </c>
      <c r="CK93" s="177">
        <f>CJ93</f>
        <v>208.15566166959115</v>
      </c>
      <c r="CL93" s="179">
        <f>+CL190*4*CL4</f>
        <v>202.71301260783508</v>
      </c>
      <c r="CM93" s="179">
        <f>+CM190*4*CM4</f>
        <v>193.61132986811481</v>
      </c>
      <c r="CN93" s="179">
        <f>+CN190*4*CN4</f>
        <v>231.93813410423766</v>
      </c>
      <c r="CO93" s="179">
        <f>+CO190*4*CO4</f>
        <v>218.56344475307068</v>
      </c>
      <c r="CP93" s="177">
        <f>CO93</f>
        <v>218.56344475307068</v>
      </c>
    </row>
    <row r="94" spans="1:109" s="38" customFormat="1" x14ac:dyDescent="0.25">
      <c r="B94" s="38" t="s">
        <v>42</v>
      </c>
      <c r="C94" s="57">
        <f t="shared" ref="C94:AH94" si="151">+C89+C91+C92+C93</f>
        <v>2264</v>
      </c>
      <c r="D94" s="57">
        <f t="shared" si="151"/>
        <v>2376</v>
      </c>
      <c r="E94" s="46">
        <f t="shared" si="151"/>
        <v>2372.7000000000003</v>
      </c>
      <c r="F94" s="46">
        <f t="shared" si="151"/>
        <v>2563.6999999999998</v>
      </c>
      <c r="G94" s="46">
        <f t="shared" si="151"/>
        <v>2622.2000000000003</v>
      </c>
      <c r="H94" s="58">
        <f t="shared" si="151"/>
        <v>2649.1</v>
      </c>
      <c r="I94" s="57">
        <f t="shared" si="151"/>
        <v>2649.1</v>
      </c>
      <c r="J94" s="46">
        <f t="shared" si="151"/>
        <v>2596.6999999999998</v>
      </c>
      <c r="K94" s="46">
        <f t="shared" si="151"/>
        <v>2591.8000000000002</v>
      </c>
      <c r="L94" s="46">
        <f t="shared" si="151"/>
        <v>2654.6</v>
      </c>
      <c r="M94" s="58">
        <f t="shared" si="151"/>
        <v>2728</v>
      </c>
      <c r="N94" s="57">
        <f t="shared" si="151"/>
        <v>2728</v>
      </c>
      <c r="O94" s="46">
        <f t="shared" si="151"/>
        <v>2756.6</v>
      </c>
      <c r="P94" s="46">
        <f t="shared" si="151"/>
        <v>2925.2000000000003</v>
      </c>
      <c r="Q94" s="46">
        <f t="shared" si="151"/>
        <v>3730.8</v>
      </c>
      <c r="R94" s="58">
        <f t="shared" si="151"/>
        <v>3551</v>
      </c>
      <c r="S94" s="57">
        <f t="shared" si="151"/>
        <v>3551</v>
      </c>
      <c r="T94" s="46">
        <f t="shared" si="151"/>
        <v>3342.2</v>
      </c>
      <c r="U94" s="46">
        <f t="shared" si="151"/>
        <v>3546.3</v>
      </c>
      <c r="V94" s="46">
        <f t="shared" si="151"/>
        <v>3391.6</v>
      </c>
      <c r="W94" s="58">
        <f t="shared" si="151"/>
        <v>3405</v>
      </c>
      <c r="X94" s="57">
        <f t="shared" si="151"/>
        <v>3405</v>
      </c>
      <c r="Y94" s="58">
        <f t="shared" si="151"/>
        <v>3448.9000000000005</v>
      </c>
      <c r="Z94" s="58">
        <f t="shared" si="151"/>
        <v>3680.6</v>
      </c>
      <c r="AA94" s="46">
        <f t="shared" si="151"/>
        <v>3499.7999999999997</v>
      </c>
      <c r="AB94" s="46">
        <f t="shared" si="151"/>
        <v>3474.7000000000003</v>
      </c>
      <c r="AC94" s="57">
        <f t="shared" si="151"/>
        <v>3474.7000000000003</v>
      </c>
      <c r="AD94" s="46">
        <f t="shared" si="151"/>
        <v>3444.2</v>
      </c>
      <c r="AE94" s="46">
        <f t="shared" si="151"/>
        <v>3585</v>
      </c>
      <c r="AF94" s="46">
        <f t="shared" si="151"/>
        <v>3418.3</v>
      </c>
      <c r="AG94" s="46">
        <f t="shared" si="151"/>
        <v>3383</v>
      </c>
      <c r="AH94" s="57">
        <f t="shared" si="151"/>
        <v>3383</v>
      </c>
      <c r="AI94" s="46">
        <f t="shared" ref="AI94:AT94" si="152">+AI89+AI91+AI92+AI93</f>
        <v>3381.9</v>
      </c>
      <c r="AJ94" s="46">
        <f t="shared" si="152"/>
        <v>3440.0999999999995</v>
      </c>
      <c r="AK94" s="46">
        <f t="shared" si="152"/>
        <v>3522.8999999999996</v>
      </c>
      <c r="AL94" s="46">
        <f t="shared" si="152"/>
        <v>3712</v>
      </c>
      <c r="AM94" s="57">
        <f t="shared" si="152"/>
        <v>3712</v>
      </c>
      <c r="AN94" s="46">
        <f t="shared" si="152"/>
        <v>3749.2000000000003</v>
      </c>
      <c r="AO94" s="58">
        <f t="shared" si="152"/>
        <v>3673.6</v>
      </c>
      <c r="AP94" s="58">
        <f t="shared" si="152"/>
        <v>3676.4</v>
      </c>
      <c r="AQ94" s="58">
        <f t="shared" si="152"/>
        <v>3477</v>
      </c>
      <c r="AR94" s="57">
        <f t="shared" si="152"/>
        <v>3477</v>
      </c>
      <c r="AS94" s="46">
        <f t="shared" si="152"/>
        <v>3583</v>
      </c>
      <c r="AT94" s="46">
        <f t="shared" si="152"/>
        <v>3803.9</v>
      </c>
      <c r="AU94" s="46">
        <f t="shared" ref="AU94:CP94" si="153">+AU89+AU91+AU92+AU93</f>
        <v>3832.3</v>
      </c>
      <c r="AV94" s="46">
        <f t="shared" si="153"/>
        <v>3626</v>
      </c>
      <c r="AW94" s="57">
        <f t="shared" si="153"/>
        <v>3626</v>
      </c>
      <c r="AX94" s="46">
        <f t="shared" si="153"/>
        <v>3686</v>
      </c>
      <c r="AY94" s="46">
        <f t="shared" si="153"/>
        <v>3882</v>
      </c>
      <c r="AZ94" s="46">
        <f t="shared" si="153"/>
        <v>3993</v>
      </c>
      <c r="BA94" s="46">
        <f t="shared" si="153"/>
        <v>4103</v>
      </c>
      <c r="BB94" s="57">
        <f t="shared" si="153"/>
        <v>4103</v>
      </c>
      <c r="BC94" s="58">
        <f t="shared" si="153"/>
        <v>4191</v>
      </c>
      <c r="BD94" s="46">
        <f t="shared" si="153"/>
        <v>4243</v>
      </c>
      <c r="BE94" s="58">
        <f t="shared" si="153"/>
        <v>4161</v>
      </c>
      <c r="BF94" s="46">
        <f t="shared" si="153"/>
        <v>4188</v>
      </c>
      <c r="BG94" s="57">
        <f t="shared" si="153"/>
        <v>4188</v>
      </c>
      <c r="BH94" s="46">
        <f t="shared" si="153"/>
        <v>4334</v>
      </c>
      <c r="BI94" s="46">
        <f>+BI89+BI91+BI92+BI93</f>
        <v>4319</v>
      </c>
      <c r="BJ94" s="46">
        <f t="shared" si="153"/>
        <v>4333</v>
      </c>
      <c r="BK94" s="46">
        <f t="shared" si="153"/>
        <v>4183</v>
      </c>
      <c r="BL94" s="57">
        <f t="shared" si="153"/>
        <v>4183</v>
      </c>
      <c r="BM94" s="58">
        <f t="shared" si="153"/>
        <v>4755</v>
      </c>
      <c r="BN94" s="46">
        <f t="shared" si="153"/>
        <v>4720</v>
      </c>
      <c r="BO94" s="46">
        <f t="shared" si="153"/>
        <v>4600</v>
      </c>
      <c r="BP94" s="46">
        <f t="shared" si="153"/>
        <v>4625</v>
      </c>
      <c r="BQ94" s="57">
        <f t="shared" si="153"/>
        <v>4625</v>
      </c>
      <c r="BR94" s="58">
        <f t="shared" si="153"/>
        <v>4802</v>
      </c>
      <c r="BS94" s="46">
        <f t="shared" si="153"/>
        <v>4978</v>
      </c>
      <c r="BT94" s="46">
        <f t="shared" ca="1" si="153"/>
        <v>4986.7876908017633</v>
      </c>
      <c r="BU94" s="46">
        <f t="shared" ca="1" si="153"/>
        <v>4908.1728991838118</v>
      </c>
      <c r="BV94" s="57">
        <f t="shared" ca="1" si="153"/>
        <v>4908.1728991838118</v>
      </c>
      <c r="BW94" s="46">
        <f t="shared" ca="1" si="153"/>
        <v>4996.715193987161</v>
      </c>
      <c r="BX94" s="46">
        <f t="shared" ca="1" si="153"/>
        <v>5118.7080476903902</v>
      </c>
      <c r="BY94" s="46">
        <f t="shared" ca="1" si="153"/>
        <v>5189.5619100178437</v>
      </c>
      <c r="BZ94" s="46">
        <f t="shared" ca="1" si="153"/>
        <v>5103.3459453184232</v>
      </c>
      <c r="CA94" s="57">
        <f t="shared" ca="1" si="153"/>
        <v>5103.3459453184232</v>
      </c>
      <c r="CB94" s="46">
        <f t="shared" ca="1" si="153"/>
        <v>5177.8690225523333</v>
      </c>
      <c r="CC94" s="46">
        <f t="shared" ca="1" si="153"/>
        <v>5303.9675899085169</v>
      </c>
      <c r="CD94" s="46">
        <f t="shared" ca="1" si="153"/>
        <v>5375.5733693591283</v>
      </c>
      <c r="CE94" s="46">
        <f t="shared" ca="1" si="153"/>
        <v>5283.2795426777875</v>
      </c>
      <c r="CF94" s="57">
        <f t="shared" ca="1" si="153"/>
        <v>5283.2795426777875</v>
      </c>
      <c r="CG94" s="46">
        <f t="shared" ca="1" si="153"/>
        <v>5360.9031459890566</v>
      </c>
      <c r="CH94" s="46">
        <f t="shared" ca="1" si="153"/>
        <v>5492.845916229232</v>
      </c>
      <c r="CI94" s="46">
        <f t="shared" ca="1" si="153"/>
        <v>5566.8766698594955</v>
      </c>
      <c r="CJ94" s="46">
        <f t="shared" ca="1" si="153"/>
        <v>5469.0931349097937</v>
      </c>
      <c r="CK94" s="57">
        <f t="shared" ca="1" si="153"/>
        <v>5469.0931349097937</v>
      </c>
      <c r="CL94" s="46">
        <f t="shared" ca="1" si="153"/>
        <v>5552.565373904883</v>
      </c>
      <c r="CM94" s="46">
        <f t="shared" ca="1" si="153"/>
        <v>5690.5109748183941</v>
      </c>
      <c r="CN94" s="46">
        <f t="shared" ca="1" si="153"/>
        <v>5767.1204832751573</v>
      </c>
      <c r="CO94" s="46">
        <f t="shared" ca="1" si="153"/>
        <v>5663.7575222239639</v>
      </c>
      <c r="CP94" s="57">
        <f t="shared" ca="1" si="153"/>
        <v>5663.7575222239639</v>
      </c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</row>
    <row r="95" spans="1:109" x14ac:dyDescent="0.25">
      <c r="C95" s="94"/>
      <c r="D95" s="156"/>
      <c r="E95" s="95"/>
      <c r="F95" s="95"/>
      <c r="G95" s="95"/>
      <c r="H95" s="96"/>
      <c r="I95" s="94"/>
      <c r="J95" s="95"/>
      <c r="K95" s="95"/>
      <c r="L95" s="95"/>
      <c r="M95" s="96"/>
      <c r="N95" s="94"/>
      <c r="O95" s="95"/>
      <c r="P95" s="95"/>
      <c r="Q95" s="95"/>
      <c r="R95" s="96"/>
      <c r="S95" s="94"/>
      <c r="T95" s="95"/>
      <c r="U95" s="95"/>
      <c r="V95" s="95"/>
      <c r="W95" s="96"/>
      <c r="X95" s="94"/>
      <c r="Y95" s="96"/>
      <c r="Z95" s="96"/>
      <c r="AA95" s="95"/>
      <c r="AB95" s="95"/>
      <c r="AC95" s="94"/>
      <c r="AD95" s="95"/>
      <c r="AE95" s="95"/>
      <c r="AF95" s="95"/>
      <c r="AG95" s="95"/>
      <c r="AH95" s="94"/>
      <c r="AI95" s="95"/>
      <c r="AJ95" s="95"/>
      <c r="AK95" s="95"/>
      <c r="AL95" s="95"/>
      <c r="AM95" s="94"/>
      <c r="AN95" s="95"/>
      <c r="AO95" s="96"/>
      <c r="AP95" s="95"/>
      <c r="AQ95" s="95"/>
      <c r="AR95" s="94"/>
      <c r="AS95" s="95"/>
      <c r="AT95" s="95"/>
      <c r="AU95" s="95"/>
      <c r="AV95" s="95"/>
      <c r="AW95" s="94"/>
      <c r="AX95" s="95"/>
      <c r="AY95" s="95"/>
      <c r="AZ95" s="95"/>
      <c r="BA95" s="95"/>
      <c r="BB95" s="94"/>
      <c r="BC95" s="96"/>
      <c r="BD95" s="95"/>
      <c r="BE95" s="96"/>
      <c r="BF95" s="95"/>
      <c r="BG95" s="94"/>
      <c r="BH95" s="95"/>
      <c r="BI95" s="95"/>
      <c r="BJ95" s="95"/>
      <c r="BK95" s="95"/>
      <c r="BL95" s="94"/>
      <c r="BM95" s="373"/>
      <c r="BN95" s="95"/>
      <c r="BO95" s="95"/>
      <c r="BP95" s="95"/>
      <c r="BQ95" s="94"/>
      <c r="BR95" s="373"/>
      <c r="BS95" s="95"/>
      <c r="BT95" s="95"/>
      <c r="BU95" s="95"/>
      <c r="BV95" s="94"/>
      <c r="BW95" s="95"/>
      <c r="BX95" s="95"/>
      <c r="BY95" s="95"/>
      <c r="BZ95" s="95"/>
      <c r="CA95" s="94"/>
      <c r="CB95" s="95"/>
      <c r="CC95" s="95"/>
      <c r="CD95" s="95"/>
      <c r="CE95" s="95"/>
      <c r="CF95" s="94"/>
      <c r="CG95" s="95"/>
      <c r="CH95" s="95"/>
      <c r="CI95" s="95"/>
      <c r="CJ95" s="95"/>
      <c r="CK95" s="94"/>
      <c r="CL95" s="95"/>
      <c r="CM95" s="95"/>
      <c r="CN95" s="95"/>
      <c r="CO95" s="95"/>
      <c r="CP95" s="94"/>
    </row>
    <row r="96" spans="1:109" x14ac:dyDescent="0.25">
      <c r="A96" s="38" t="s">
        <v>43</v>
      </c>
      <c r="C96" s="94"/>
      <c r="D96" s="94"/>
      <c r="E96" s="95"/>
      <c r="F96" s="95"/>
      <c r="G96" s="95"/>
      <c r="H96" s="96"/>
      <c r="I96" s="94"/>
      <c r="J96" s="95"/>
      <c r="K96" s="95"/>
      <c r="L96" s="95"/>
      <c r="M96" s="96"/>
      <c r="N96" s="94"/>
      <c r="O96" s="95"/>
      <c r="P96" s="95"/>
      <c r="Q96" s="95"/>
      <c r="R96" s="96"/>
      <c r="S96" s="94"/>
      <c r="T96" s="95"/>
      <c r="U96" s="95"/>
      <c r="V96" s="95"/>
      <c r="W96" s="96"/>
      <c r="X96" s="94"/>
      <c r="Y96" s="96"/>
      <c r="Z96" s="96"/>
      <c r="AA96" s="95"/>
      <c r="AB96" s="95"/>
      <c r="AC96" s="94"/>
      <c r="AD96" s="95"/>
      <c r="AE96" s="95"/>
      <c r="AF96" s="95"/>
      <c r="AG96" s="95"/>
      <c r="AH96" s="94"/>
      <c r="AI96" s="95"/>
      <c r="AJ96" s="95"/>
      <c r="AK96" s="95"/>
      <c r="AL96" s="95"/>
      <c r="AM96" s="94"/>
      <c r="AN96" s="95"/>
      <c r="AO96" s="96"/>
      <c r="AP96" s="95"/>
      <c r="AQ96" s="95"/>
      <c r="AR96" s="94"/>
      <c r="AS96" s="95"/>
      <c r="AT96" s="95"/>
      <c r="AU96" s="95"/>
      <c r="AV96" s="95"/>
      <c r="AW96" s="94"/>
      <c r="AX96" s="95"/>
      <c r="AY96" s="95"/>
      <c r="AZ96" s="95"/>
      <c r="BA96" s="95"/>
      <c r="BB96" s="94"/>
      <c r="BC96" s="96"/>
      <c r="BD96" s="95"/>
      <c r="BE96" s="96"/>
      <c r="BF96" s="95"/>
      <c r="BG96" s="94"/>
      <c r="BH96" s="95"/>
      <c r="BI96" s="95"/>
      <c r="BJ96" s="95"/>
      <c r="BK96" s="95"/>
      <c r="BL96" s="94"/>
      <c r="BM96" s="373"/>
      <c r="BN96" s="95"/>
      <c r="BO96" s="95"/>
      <c r="BP96" s="95"/>
      <c r="BQ96" s="94"/>
      <c r="BR96" s="373"/>
      <c r="BS96" s="95"/>
      <c r="BT96" s="95"/>
      <c r="BU96" s="95"/>
      <c r="BV96" s="94"/>
      <c r="BW96" s="95"/>
      <c r="BX96" s="95"/>
      <c r="BY96" s="95"/>
      <c r="BZ96" s="95"/>
      <c r="CA96" s="94"/>
      <c r="CB96" s="95"/>
      <c r="CC96" s="95"/>
      <c r="CD96" s="95"/>
      <c r="CE96" s="95"/>
      <c r="CF96" s="94"/>
      <c r="CG96" s="95"/>
      <c r="CH96" s="95"/>
      <c r="CI96" s="95"/>
      <c r="CJ96" s="95"/>
      <c r="CK96" s="94"/>
      <c r="CL96" s="95"/>
      <c r="CM96" s="95"/>
      <c r="CN96" s="95"/>
      <c r="CO96" s="95"/>
      <c r="CP96" s="94"/>
    </row>
    <row r="97" spans="1:109" x14ac:dyDescent="0.25">
      <c r="A97" s="52" t="s">
        <v>44</v>
      </c>
      <c r="C97" s="94">
        <v>0</v>
      </c>
      <c r="D97" s="94">
        <v>0</v>
      </c>
      <c r="E97" s="95">
        <v>0</v>
      </c>
      <c r="F97" s="95">
        <v>0</v>
      </c>
      <c r="G97" s="95">
        <v>0</v>
      </c>
      <c r="H97" s="95">
        <v>0</v>
      </c>
      <c r="I97" s="94">
        <f>H97</f>
        <v>0</v>
      </c>
      <c r="J97" s="95">
        <v>0</v>
      </c>
      <c r="K97" s="95">
        <v>0</v>
      </c>
      <c r="L97" s="95">
        <v>0</v>
      </c>
      <c r="M97" s="95">
        <v>0</v>
      </c>
      <c r="N97" s="94">
        <f>M97</f>
        <v>0</v>
      </c>
      <c r="O97" s="95">
        <v>0</v>
      </c>
      <c r="P97" s="95">
        <v>0</v>
      </c>
      <c r="Q97" s="95">
        <v>0</v>
      </c>
      <c r="R97" s="95">
        <v>0</v>
      </c>
      <c r="S97" s="94">
        <f>R97</f>
        <v>0</v>
      </c>
      <c r="T97" s="95">
        <v>0</v>
      </c>
      <c r="U97" s="95">
        <v>0</v>
      </c>
      <c r="V97" s="95">
        <v>0</v>
      </c>
      <c r="W97" s="95">
        <v>0</v>
      </c>
      <c r="X97" s="94">
        <f>W97</f>
        <v>0</v>
      </c>
      <c r="Y97" s="96">
        <v>0</v>
      </c>
      <c r="Z97" s="96">
        <v>0</v>
      </c>
      <c r="AA97" s="95">
        <v>0</v>
      </c>
      <c r="AB97" s="95">
        <v>0</v>
      </c>
      <c r="AC97" s="94">
        <f>AB97</f>
        <v>0</v>
      </c>
      <c r="AD97" s="95">
        <v>0</v>
      </c>
      <c r="AE97" s="95">
        <v>0</v>
      </c>
      <c r="AF97" s="95">
        <v>0</v>
      </c>
      <c r="AG97" s="95">
        <v>0</v>
      </c>
      <c r="AH97" s="94">
        <f>AG97</f>
        <v>0</v>
      </c>
      <c r="AI97" s="95">
        <v>0</v>
      </c>
      <c r="AJ97" s="95">
        <v>0</v>
      </c>
      <c r="AK97" s="95">
        <v>0</v>
      </c>
      <c r="AL97" s="96">
        <v>0</v>
      </c>
      <c r="AM97" s="94">
        <f>AL97</f>
        <v>0</v>
      </c>
      <c r="AN97" s="96">
        <v>0</v>
      </c>
      <c r="AO97" s="96">
        <v>0</v>
      </c>
      <c r="AP97" s="96">
        <v>0</v>
      </c>
      <c r="AQ97" s="96">
        <v>0</v>
      </c>
      <c r="AR97" s="94">
        <f>AQ97</f>
        <v>0</v>
      </c>
      <c r="AS97" s="96">
        <v>0</v>
      </c>
      <c r="AT97" s="96">
        <v>0</v>
      </c>
      <c r="AU97" s="96">
        <v>0</v>
      </c>
      <c r="AV97" s="96">
        <v>3</v>
      </c>
      <c r="AW97" s="94">
        <f t="shared" ref="AW97:CP97" si="154">MAX((AW82+AW83+AW84+AW86+AW88+AW91+AW92+AW93)-(AW98+AW99+AW100+AW101+AW102+AW103+AW106+AW107+AW108+AW109+AW118),0)</f>
        <v>3</v>
      </c>
      <c r="AX97" s="96">
        <v>5</v>
      </c>
      <c r="AY97" s="96">
        <v>6</v>
      </c>
      <c r="AZ97" s="96">
        <v>9</v>
      </c>
      <c r="BA97" s="96">
        <v>8</v>
      </c>
      <c r="BB97" s="94">
        <f>BA97</f>
        <v>8</v>
      </c>
      <c r="BC97" s="96">
        <v>13</v>
      </c>
      <c r="BD97" s="95">
        <v>124</v>
      </c>
      <c r="BE97" s="96">
        <v>8</v>
      </c>
      <c r="BF97" s="96">
        <v>190</v>
      </c>
      <c r="BG97" s="94">
        <f>BF97</f>
        <v>190</v>
      </c>
      <c r="BH97" s="96">
        <v>13</v>
      </c>
      <c r="BI97" s="96">
        <v>303</v>
      </c>
      <c r="BJ97" s="96">
        <v>509</v>
      </c>
      <c r="BK97" s="96">
        <v>271</v>
      </c>
      <c r="BL97" s="94">
        <f>BK97</f>
        <v>271</v>
      </c>
      <c r="BM97" s="373">
        <v>288</v>
      </c>
      <c r="BN97" s="373">
        <v>337</v>
      </c>
      <c r="BO97" s="373">
        <f>308+249</f>
        <v>557</v>
      </c>
      <c r="BP97" s="373">
        <f>211+249</f>
        <v>460</v>
      </c>
      <c r="BQ97" s="94">
        <f t="shared" si="154"/>
        <v>460</v>
      </c>
      <c r="BR97" s="373">
        <f>250+258</f>
        <v>508</v>
      </c>
      <c r="BS97" s="373">
        <f>235+250</f>
        <v>485</v>
      </c>
      <c r="BT97" s="95">
        <f t="shared" ca="1" si="154"/>
        <v>550.19124314604323</v>
      </c>
      <c r="BU97" s="95">
        <f t="shared" ca="1" si="154"/>
        <v>489.59437812332908</v>
      </c>
      <c r="BV97" s="94">
        <f t="shared" ca="1" si="154"/>
        <v>489.59437812332908</v>
      </c>
      <c r="BW97" s="95">
        <f t="shared" ca="1" si="154"/>
        <v>656.93204071355376</v>
      </c>
      <c r="BX97" s="95">
        <f t="shared" ca="1" si="154"/>
        <v>710.23585797698979</v>
      </c>
      <c r="BY97" s="95">
        <f t="shared" ca="1" si="154"/>
        <v>749.02968599313499</v>
      </c>
      <c r="BZ97" s="95">
        <f t="shared" ca="1" si="154"/>
        <v>641.62029233618796</v>
      </c>
      <c r="CA97" s="94">
        <f t="shared" ca="1" si="154"/>
        <v>641.62029233618796</v>
      </c>
      <c r="CB97" s="95">
        <f t="shared" ca="1" si="154"/>
        <v>802.32072932354276</v>
      </c>
      <c r="CC97" s="95">
        <f t="shared" ca="1" si="154"/>
        <v>850.95084346083331</v>
      </c>
      <c r="CD97" s="95">
        <f t="shared" ca="1" si="154"/>
        <v>883.66258197056595</v>
      </c>
      <c r="CE97" s="95">
        <f t="shared" ca="1" si="154"/>
        <v>763.86804537664375</v>
      </c>
      <c r="CF97" s="94">
        <f t="shared" ca="1" si="154"/>
        <v>763.86804537664375</v>
      </c>
      <c r="CG97" s="95">
        <f t="shared" ca="1" si="154"/>
        <v>929.27459556109443</v>
      </c>
      <c r="CH97" s="95">
        <f t="shared" ca="1" si="154"/>
        <v>973.0134140429509</v>
      </c>
      <c r="CI97" s="95">
        <f t="shared" ca="1" si="154"/>
        <v>999.26918509716052</v>
      </c>
      <c r="CJ97" s="95">
        <f t="shared" ca="1" si="154"/>
        <v>865.3096981210474</v>
      </c>
      <c r="CK97" s="94">
        <f t="shared" ca="1" si="154"/>
        <v>865.3096981210474</v>
      </c>
      <c r="CL97" s="95">
        <f t="shared" ca="1" si="154"/>
        <v>1037.4458666451992</v>
      </c>
      <c r="CM97" s="95">
        <f t="shared" ca="1" si="154"/>
        <v>1076.1391235118053</v>
      </c>
      <c r="CN97" s="95">
        <f t="shared" ca="1" si="154"/>
        <v>1095.9882316422863</v>
      </c>
      <c r="CO97" s="95">
        <f t="shared" ca="1" si="154"/>
        <v>947.31262375717688</v>
      </c>
      <c r="CP97" s="94">
        <f t="shared" ca="1" si="154"/>
        <v>947.31262375717688</v>
      </c>
    </row>
    <row r="98" spans="1:109" x14ac:dyDescent="0.25">
      <c r="A98" s="52" t="s">
        <v>45</v>
      </c>
      <c r="C98" s="94">
        <v>167</v>
      </c>
      <c r="D98" s="94">
        <v>50</v>
      </c>
      <c r="E98" s="96">
        <v>16.5</v>
      </c>
      <c r="F98" s="96">
        <v>26.8</v>
      </c>
      <c r="G98" s="95">
        <v>32.5</v>
      </c>
      <c r="H98" s="96">
        <v>0</v>
      </c>
      <c r="I98" s="94">
        <f>+H98</f>
        <v>0</v>
      </c>
      <c r="J98" s="96">
        <v>0</v>
      </c>
      <c r="K98" s="96">
        <v>0</v>
      </c>
      <c r="L98" s="95">
        <v>0</v>
      </c>
      <c r="M98" s="96">
        <v>225</v>
      </c>
      <c r="N98" s="94">
        <f>+M98</f>
        <v>225</v>
      </c>
      <c r="O98" s="96">
        <v>198.1</v>
      </c>
      <c r="P98" s="96">
        <v>197.2</v>
      </c>
      <c r="Q98" s="95">
        <v>875.8</v>
      </c>
      <c r="R98" s="96">
        <v>401</v>
      </c>
      <c r="S98" s="94">
        <f>+R98</f>
        <v>401</v>
      </c>
      <c r="T98" s="96">
        <v>342.8</v>
      </c>
      <c r="U98" s="96">
        <v>345.1</v>
      </c>
      <c r="V98" s="95">
        <v>243</v>
      </c>
      <c r="W98" s="96">
        <v>585</v>
      </c>
      <c r="X98" s="94">
        <f>+W98</f>
        <v>585</v>
      </c>
      <c r="Y98" s="96">
        <v>576.4</v>
      </c>
      <c r="Z98" s="96">
        <v>783.9</v>
      </c>
      <c r="AA98" s="96">
        <v>397.2</v>
      </c>
      <c r="AB98" s="96">
        <v>336.6</v>
      </c>
      <c r="AC98" s="122">
        <f>+AB98</f>
        <v>336.6</v>
      </c>
      <c r="AD98" s="96">
        <v>253.3</v>
      </c>
      <c r="AE98" s="96">
        <v>301.89999999999998</v>
      </c>
      <c r="AF98" s="96">
        <v>105.3</v>
      </c>
      <c r="AG98" s="96">
        <v>188</v>
      </c>
      <c r="AH98" s="122">
        <f>+AG98</f>
        <v>188</v>
      </c>
      <c r="AI98" s="96">
        <v>208.8</v>
      </c>
      <c r="AJ98" s="96">
        <v>129.19999999999999</v>
      </c>
      <c r="AK98" s="96">
        <v>0.1</v>
      </c>
      <c r="AL98" s="96">
        <v>0</v>
      </c>
      <c r="AM98" s="122">
        <f>+AL98</f>
        <v>0</v>
      </c>
      <c r="AN98" s="96">
        <v>0</v>
      </c>
      <c r="AO98" s="96">
        <v>0</v>
      </c>
      <c r="AP98" s="96">
        <v>0</v>
      </c>
      <c r="AQ98" s="96">
        <v>0</v>
      </c>
      <c r="AR98" s="122">
        <f>+AQ98</f>
        <v>0</v>
      </c>
      <c r="AS98" s="96">
        <v>0</v>
      </c>
      <c r="AT98" s="96">
        <v>0</v>
      </c>
      <c r="AU98" s="96">
        <v>0</v>
      </c>
      <c r="AV98" s="96">
        <f>AU98</f>
        <v>0</v>
      </c>
      <c r="AW98" s="122">
        <f>+AV98</f>
        <v>0</v>
      </c>
      <c r="AX98" s="96">
        <v>0</v>
      </c>
      <c r="AY98" s="96">
        <v>0</v>
      </c>
      <c r="AZ98" s="96">
        <v>0</v>
      </c>
      <c r="BA98" s="27">
        <v>0</v>
      </c>
      <c r="BB98" s="122">
        <f>+BA98</f>
        <v>0</v>
      </c>
      <c r="BC98" s="96">
        <v>0</v>
      </c>
      <c r="BD98" s="96">
        <v>0</v>
      </c>
      <c r="BE98" s="96">
        <v>0</v>
      </c>
      <c r="BF98" s="96">
        <v>0</v>
      </c>
      <c r="BG98" s="122">
        <f>+BF98</f>
        <v>0</v>
      </c>
      <c r="BH98" s="96">
        <v>0</v>
      </c>
      <c r="BI98" s="96">
        <v>0</v>
      </c>
      <c r="BJ98" s="96">
        <v>0</v>
      </c>
      <c r="BK98" s="96">
        <v>0</v>
      </c>
      <c r="BL98" s="122">
        <f>+BK98</f>
        <v>0</v>
      </c>
      <c r="BM98" s="373">
        <v>0</v>
      </c>
      <c r="BN98" s="373">
        <v>0</v>
      </c>
      <c r="BO98" s="373">
        <v>0</v>
      </c>
      <c r="BP98" s="373">
        <v>0</v>
      </c>
      <c r="BQ98" s="122">
        <f>+BP98</f>
        <v>0</v>
      </c>
      <c r="BR98" s="373">
        <v>0</v>
      </c>
      <c r="BS98" s="373">
        <v>0</v>
      </c>
      <c r="BT98" s="121">
        <f>+BS98</f>
        <v>0</v>
      </c>
      <c r="BU98" s="121">
        <f>+BT98</f>
        <v>0</v>
      </c>
      <c r="BV98" s="122">
        <f>+BU98</f>
        <v>0</v>
      </c>
      <c r="BW98" s="121">
        <f>+BU98</f>
        <v>0</v>
      </c>
      <c r="BX98" s="121">
        <f>+BW98</f>
        <v>0</v>
      </c>
      <c r="BY98" s="121">
        <f>+BX98</f>
        <v>0</v>
      </c>
      <c r="BZ98" s="121">
        <f>+BY98</f>
        <v>0</v>
      </c>
      <c r="CA98" s="122">
        <f>+BZ98</f>
        <v>0</v>
      </c>
      <c r="CB98" s="121">
        <f>+BZ98</f>
        <v>0</v>
      </c>
      <c r="CC98" s="121">
        <f>+CB98</f>
        <v>0</v>
      </c>
      <c r="CD98" s="121">
        <f>+CC98</f>
        <v>0</v>
      </c>
      <c r="CE98" s="121">
        <f>+CD98</f>
        <v>0</v>
      </c>
      <c r="CF98" s="122">
        <f>+CE98</f>
        <v>0</v>
      </c>
      <c r="CG98" s="121">
        <f>+CE98</f>
        <v>0</v>
      </c>
      <c r="CH98" s="121">
        <f>+CG98</f>
        <v>0</v>
      </c>
      <c r="CI98" s="121">
        <f>+CH98</f>
        <v>0</v>
      </c>
      <c r="CJ98" s="121">
        <f>+CI98</f>
        <v>0</v>
      </c>
      <c r="CK98" s="122">
        <f>+CJ98</f>
        <v>0</v>
      </c>
      <c r="CL98" s="121">
        <f>+CJ98</f>
        <v>0</v>
      </c>
      <c r="CM98" s="121">
        <f>+CL98</f>
        <v>0</v>
      </c>
      <c r="CN98" s="121">
        <f>+CM98</f>
        <v>0</v>
      </c>
      <c r="CO98" s="121">
        <f>+CN98</f>
        <v>0</v>
      </c>
      <c r="CP98" s="122">
        <f>+CO98</f>
        <v>0</v>
      </c>
    </row>
    <row r="99" spans="1:109" x14ac:dyDescent="0.25">
      <c r="A99" s="52" t="s">
        <v>46</v>
      </c>
      <c r="C99" s="94">
        <v>297</v>
      </c>
      <c r="D99" s="94">
        <v>271</v>
      </c>
      <c r="E99" s="96">
        <v>257.7</v>
      </c>
      <c r="F99" s="96">
        <v>344.9</v>
      </c>
      <c r="G99" s="95">
        <v>314.3</v>
      </c>
      <c r="H99" s="96">
        <v>264.2</v>
      </c>
      <c r="I99" s="94">
        <f>H99</f>
        <v>264.2</v>
      </c>
      <c r="J99" s="96">
        <v>227.1</v>
      </c>
      <c r="K99" s="96">
        <v>299.7</v>
      </c>
      <c r="L99" s="95">
        <v>261.2</v>
      </c>
      <c r="M99" s="96">
        <v>289</v>
      </c>
      <c r="N99" s="94">
        <f>M99</f>
        <v>289</v>
      </c>
      <c r="O99" s="96">
        <v>249.1</v>
      </c>
      <c r="P99" s="96">
        <v>341.9</v>
      </c>
      <c r="Q99" s="95">
        <v>363.8</v>
      </c>
      <c r="R99" s="96">
        <v>361</v>
      </c>
      <c r="S99" s="94">
        <f>R99</f>
        <v>361</v>
      </c>
      <c r="T99" s="96">
        <v>334.3</v>
      </c>
      <c r="U99" s="96">
        <v>424</v>
      </c>
      <c r="V99" s="95">
        <v>354.1</v>
      </c>
      <c r="W99" s="96">
        <v>380</v>
      </c>
      <c r="X99" s="94">
        <f>W99</f>
        <v>380</v>
      </c>
      <c r="Y99" s="96">
        <v>343</v>
      </c>
      <c r="Z99" s="96">
        <v>370.9</v>
      </c>
      <c r="AA99" s="95">
        <v>299.5</v>
      </c>
      <c r="AB99" s="95">
        <v>326.39999999999998</v>
      </c>
      <c r="AC99" s="94">
        <f>AB99</f>
        <v>326.39999999999998</v>
      </c>
      <c r="AD99" s="95">
        <v>323</v>
      </c>
      <c r="AE99" s="96">
        <v>392.2</v>
      </c>
      <c r="AF99" s="95">
        <v>361.4</v>
      </c>
      <c r="AG99" s="95">
        <v>342</v>
      </c>
      <c r="AH99" s="94">
        <f>AG99</f>
        <v>342</v>
      </c>
      <c r="AI99" s="95">
        <v>313.8</v>
      </c>
      <c r="AJ99" s="95">
        <v>381.7</v>
      </c>
      <c r="AK99" s="95">
        <v>371.9</v>
      </c>
      <c r="AL99" s="95">
        <v>412</v>
      </c>
      <c r="AM99" s="94">
        <f>AL99</f>
        <v>412</v>
      </c>
      <c r="AN99" s="95">
        <v>404</v>
      </c>
      <c r="AO99" s="96">
        <v>453.3</v>
      </c>
      <c r="AP99" s="96">
        <v>390.8</v>
      </c>
      <c r="AQ99" s="96">
        <v>386</v>
      </c>
      <c r="AR99" s="94">
        <f>AQ99</f>
        <v>386</v>
      </c>
      <c r="AS99" s="96">
        <v>375.7</v>
      </c>
      <c r="AT99" s="96">
        <v>480.7</v>
      </c>
      <c r="AU99" s="96">
        <v>466.4</v>
      </c>
      <c r="AV99" s="96">
        <v>451</v>
      </c>
      <c r="AW99" s="94">
        <f>AV99</f>
        <v>451</v>
      </c>
      <c r="AX99" s="96">
        <v>393</v>
      </c>
      <c r="AY99" s="96">
        <v>513</v>
      </c>
      <c r="AZ99" s="96">
        <v>452</v>
      </c>
      <c r="BA99" s="27">
        <v>474</v>
      </c>
      <c r="BB99" s="94">
        <f>BA99</f>
        <v>474</v>
      </c>
      <c r="BC99" s="96">
        <v>427</v>
      </c>
      <c r="BD99" s="96">
        <v>535</v>
      </c>
      <c r="BE99" s="96">
        <v>511</v>
      </c>
      <c r="BF99" s="96">
        <v>497</v>
      </c>
      <c r="BG99" s="94">
        <f>BF99</f>
        <v>497</v>
      </c>
      <c r="BH99" s="96">
        <v>438</v>
      </c>
      <c r="BI99" s="96">
        <v>549</v>
      </c>
      <c r="BJ99" s="96">
        <v>498</v>
      </c>
      <c r="BK99" s="96">
        <v>501</v>
      </c>
      <c r="BL99" s="94">
        <f>BK99</f>
        <v>501</v>
      </c>
      <c r="BM99" s="373">
        <v>463</v>
      </c>
      <c r="BN99" s="95">
        <v>554</v>
      </c>
      <c r="BO99" s="95">
        <v>478</v>
      </c>
      <c r="BP99" s="95">
        <v>501</v>
      </c>
      <c r="BQ99" s="94">
        <f>BP99</f>
        <v>501</v>
      </c>
      <c r="BR99" s="373">
        <v>454</v>
      </c>
      <c r="BS99" s="373">
        <v>556</v>
      </c>
      <c r="BT99" s="95">
        <f>+BT192*4*BT17</f>
        <v>528.2736587126559</v>
      </c>
      <c r="BU99" s="95">
        <f>+BU192*4*BU17</f>
        <v>540.08386597900767</v>
      </c>
      <c r="BV99" s="94">
        <f>BU99</f>
        <v>540.08386597900767</v>
      </c>
      <c r="BW99" s="95">
        <f>+BW192*4*BW17</f>
        <v>482.47309443559908</v>
      </c>
      <c r="BX99" s="95">
        <f>+BX192*4*BX17</f>
        <v>571.42548691270053</v>
      </c>
      <c r="BY99" s="95">
        <f>+BY192*4*BY17</f>
        <v>555.97872974851475</v>
      </c>
      <c r="BZ99" s="95">
        <f>+BZ192*4*BZ17</f>
        <v>568.13015533211308</v>
      </c>
      <c r="CA99" s="94">
        <f>BZ99</f>
        <v>568.13015533211308</v>
      </c>
      <c r="CB99" s="95">
        <f>+CB192*4*CB17</f>
        <v>504.19671868997426</v>
      </c>
      <c r="CC99" s="95">
        <f>+CC192*4*CC17</f>
        <v>597.27859624544806</v>
      </c>
      <c r="CD99" s="95">
        <f>+CD192*4*CD17</f>
        <v>581.17255227447606</v>
      </c>
      <c r="CE99" s="95">
        <f>+CE192*4*CE17</f>
        <v>593.64360510408517</v>
      </c>
      <c r="CF99" s="94">
        <f>CE99</f>
        <v>593.64360510408517</v>
      </c>
      <c r="CG99" s="95">
        <f>+CG192*4*CG17</f>
        <v>526.88652263369829</v>
      </c>
      <c r="CH99" s="95">
        <f>+CH192*4*CH17</f>
        <v>624.28845279418874</v>
      </c>
      <c r="CI99" s="95">
        <f>+CI192*4*CI17</f>
        <v>607.49581022866198</v>
      </c>
      <c r="CJ99" s="95">
        <f>+CJ192*4*CJ17</f>
        <v>620.28807446492453</v>
      </c>
      <c r="CK99" s="94">
        <f>CJ99</f>
        <v>620.28807446492453</v>
      </c>
      <c r="CL99" s="95">
        <f>+CL192*4*CL17</f>
        <v>551.46682637184085</v>
      </c>
      <c r="CM99" s="95">
        <f>+CM192*4*CM17</f>
        <v>653.50502414942571</v>
      </c>
      <c r="CN99" s="95">
        <f>+CN192*4*CN17</f>
        <v>635.95584197841868</v>
      </c>
      <c r="CO99" s="95">
        <f>+CO192*4*CO17</f>
        <v>649.17608056211475</v>
      </c>
      <c r="CP99" s="94">
        <f>CO99</f>
        <v>649.17608056211475</v>
      </c>
    </row>
    <row r="100" spans="1:109" x14ac:dyDescent="0.25">
      <c r="A100" s="52" t="s">
        <v>47</v>
      </c>
      <c r="C100" s="94">
        <v>40</v>
      </c>
      <c r="D100" s="94">
        <v>0</v>
      </c>
      <c r="E100" s="97">
        <v>0</v>
      </c>
      <c r="F100" s="97">
        <v>30</v>
      </c>
      <c r="G100" s="97">
        <v>0</v>
      </c>
      <c r="H100" s="97">
        <v>279.3</v>
      </c>
      <c r="I100" s="94">
        <f>H100</f>
        <v>279.3</v>
      </c>
      <c r="J100" s="97">
        <v>249.3</v>
      </c>
      <c r="K100" s="97">
        <v>249.7</v>
      </c>
      <c r="L100" s="97">
        <v>249.5</v>
      </c>
      <c r="M100" s="97">
        <v>0</v>
      </c>
      <c r="N100" s="94">
        <f>M100</f>
        <v>0</v>
      </c>
      <c r="O100" s="97">
        <v>0</v>
      </c>
      <c r="P100" s="97">
        <v>0</v>
      </c>
      <c r="Q100" s="97">
        <v>0</v>
      </c>
      <c r="R100" s="97">
        <v>354</v>
      </c>
      <c r="S100" s="94">
        <f>R100</f>
        <v>354</v>
      </c>
      <c r="T100" s="97">
        <v>354</v>
      </c>
      <c r="U100" s="97">
        <v>354</v>
      </c>
      <c r="V100" s="97">
        <v>354</v>
      </c>
      <c r="W100" s="97">
        <v>4</v>
      </c>
      <c r="X100" s="94">
        <f>W100</f>
        <v>4</v>
      </c>
      <c r="Y100" s="97">
        <v>4.3</v>
      </c>
      <c r="Z100" s="97">
        <v>3.2</v>
      </c>
      <c r="AA100" s="97">
        <v>0</v>
      </c>
      <c r="AB100" s="96">
        <v>152.9</v>
      </c>
      <c r="AC100" s="122">
        <f>AB100</f>
        <v>152.9</v>
      </c>
      <c r="AD100" s="96">
        <v>152.9</v>
      </c>
      <c r="AE100" s="96">
        <v>152.80000000000001</v>
      </c>
      <c r="AF100" s="96">
        <v>153.1</v>
      </c>
      <c r="AG100" s="96">
        <v>3</v>
      </c>
      <c r="AH100" s="122">
        <f>AG100</f>
        <v>3</v>
      </c>
      <c r="AI100" s="96">
        <v>0</v>
      </c>
      <c r="AJ100" s="96">
        <f>AI100</f>
        <v>0</v>
      </c>
      <c r="AK100" s="96">
        <v>0</v>
      </c>
      <c r="AL100" s="96">
        <v>255</v>
      </c>
      <c r="AM100" s="122">
        <f>AL100</f>
        <v>255</v>
      </c>
      <c r="AN100" s="96">
        <v>254.4</v>
      </c>
      <c r="AO100" s="96">
        <v>253.5</v>
      </c>
      <c r="AP100" s="96">
        <v>253</v>
      </c>
      <c r="AQ100" s="96">
        <v>3</v>
      </c>
      <c r="AR100" s="122">
        <f>AQ100</f>
        <v>3</v>
      </c>
      <c r="AS100" s="96">
        <v>0</v>
      </c>
      <c r="AT100" s="96">
        <v>0</v>
      </c>
      <c r="AU100" s="96">
        <v>253.7</v>
      </c>
      <c r="AV100" s="96">
        <v>2</v>
      </c>
      <c r="AW100" s="122">
        <f>AV100</f>
        <v>2</v>
      </c>
      <c r="AX100" s="96">
        <v>1</v>
      </c>
      <c r="AY100" s="96">
        <v>1</v>
      </c>
      <c r="AZ100" s="96">
        <v>0</v>
      </c>
      <c r="BA100" s="27">
        <v>0</v>
      </c>
      <c r="BB100" s="122">
        <f>BA100</f>
        <v>0</v>
      </c>
      <c r="BC100" s="96">
        <v>0</v>
      </c>
      <c r="BD100" s="96">
        <v>0</v>
      </c>
      <c r="BE100" s="96">
        <v>250</v>
      </c>
      <c r="BF100" s="96">
        <v>250</v>
      </c>
      <c r="BG100" s="122">
        <f>BF100</f>
        <v>250</v>
      </c>
      <c r="BH100" s="96">
        <v>250</v>
      </c>
      <c r="BI100" s="96">
        <v>250</v>
      </c>
      <c r="BJ100" s="96">
        <v>0</v>
      </c>
      <c r="BK100" s="96">
        <v>0</v>
      </c>
      <c r="BL100" s="122">
        <f>BK100</f>
        <v>0</v>
      </c>
      <c r="BM100" s="373">
        <f>BL100</f>
        <v>0</v>
      </c>
      <c r="BN100" s="373">
        <v>0</v>
      </c>
      <c r="BO100" s="373">
        <v>0</v>
      </c>
      <c r="BP100" s="373">
        <v>0</v>
      </c>
      <c r="BQ100" s="122">
        <f>BP100</f>
        <v>0</v>
      </c>
      <c r="BR100" s="373">
        <v>0</v>
      </c>
      <c r="BS100" s="373">
        <v>0</v>
      </c>
      <c r="BT100" s="121">
        <f>BS100</f>
        <v>0</v>
      </c>
      <c r="BU100" s="121">
        <f>BT100</f>
        <v>0</v>
      </c>
      <c r="BV100" s="122">
        <f>BU100</f>
        <v>0</v>
      </c>
      <c r="BW100" s="121">
        <f>BV100</f>
        <v>0</v>
      </c>
      <c r="BX100" s="121">
        <f>BW100</f>
        <v>0</v>
      </c>
      <c r="BY100" s="121">
        <f>BX100</f>
        <v>0</v>
      </c>
      <c r="BZ100" s="121">
        <f>BY100</f>
        <v>0</v>
      </c>
      <c r="CA100" s="122">
        <f>BZ100</f>
        <v>0</v>
      </c>
      <c r="CB100" s="121">
        <f>CA100</f>
        <v>0</v>
      </c>
      <c r="CC100" s="121">
        <f>CB100</f>
        <v>0</v>
      </c>
      <c r="CD100" s="121">
        <f>CC100</f>
        <v>0</v>
      </c>
      <c r="CE100" s="121">
        <f>CD100</f>
        <v>0</v>
      </c>
      <c r="CF100" s="122">
        <f>CE100</f>
        <v>0</v>
      </c>
      <c r="CG100" s="121">
        <f>CF100</f>
        <v>0</v>
      </c>
      <c r="CH100" s="121">
        <f>CG100</f>
        <v>0</v>
      </c>
      <c r="CI100" s="121">
        <f>CH100</f>
        <v>0</v>
      </c>
      <c r="CJ100" s="121">
        <f>CI100</f>
        <v>0</v>
      </c>
      <c r="CK100" s="122">
        <f>CJ100</f>
        <v>0</v>
      </c>
      <c r="CL100" s="121">
        <f>CK100</f>
        <v>0</v>
      </c>
      <c r="CM100" s="121">
        <f>CL100</f>
        <v>0</v>
      </c>
      <c r="CN100" s="121">
        <f>CM100</f>
        <v>0</v>
      </c>
      <c r="CO100" s="121">
        <f>CN100</f>
        <v>0</v>
      </c>
      <c r="CP100" s="122">
        <f>CO100</f>
        <v>0</v>
      </c>
    </row>
    <row r="101" spans="1:109" x14ac:dyDescent="0.25">
      <c r="A101" s="52" t="s">
        <v>48</v>
      </c>
      <c r="C101" s="94">
        <v>44</v>
      </c>
      <c r="D101" s="94">
        <v>48</v>
      </c>
      <c r="E101" s="96">
        <v>68.099999999999994</v>
      </c>
      <c r="F101" s="96">
        <v>82</v>
      </c>
      <c r="G101" s="96">
        <v>112.6</v>
      </c>
      <c r="H101" s="96">
        <v>41.9</v>
      </c>
      <c r="I101" s="94">
        <f>H101</f>
        <v>41.9</v>
      </c>
      <c r="J101" s="96">
        <v>75.099999999999994</v>
      </c>
      <c r="K101" s="96">
        <v>37.299999999999997</v>
      </c>
      <c r="L101" s="96">
        <v>42.3</v>
      </c>
      <c r="M101" s="96">
        <v>49</v>
      </c>
      <c r="N101" s="94">
        <f>M101</f>
        <v>49</v>
      </c>
      <c r="O101" s="96">
        <v>79.099999999999994</v>
      </c>
      <c r="P101" s="96">
        <v>48.5</v>
      </c>
      <c r="Q101" s="96">
        <v>55</v>
      </c>
      <c r="R101" s="96">
        <v>27</v>
      </c>
      <c r="S101" s="94">
        <f>R101</f>
        <v>27</v>
      </c>
      <c r="T101" s="96">
        <v>7</v>
      </c>
      <c r="U101" s="96">
        <v>0</v>
      </c>
      <c r="V101" s="96">
        <v>15</v>
      </c>
      <c r="W101" s="96">
        <v>15</v>
      </c>
      <c r="X101" s="94">
        <f>W101</f>
        <v>15</v>
      </c>
      <c r="Y101" s="96">
        <v>61.1</v>
      </c>
      <c r="Z101" s="96">
        <v>8.3000000000000007</v>
      </c>
      <c r="AA101" s="96">
        <v>6</v>
      </c>
      <c r="AB101" s="96">
        <v>0</v>
      </c>
      <c r="AC101" s="122">
        <f>AB101</f>
        <v>0</v>
      </c>
      <c r="AD101" s="96">
        <v>0</v>
      </c>
      <c r="AE101" s="96">
        <v>0</v>
      </c>
      <c r="AF101" s="96">
        <v>0</v>
      </c>
      <c r="AG101" s="96">
        <v>4</v>
      </c>
      <c r="AH101" s="122">
        <f>AG101</f>
        <v>4</v>
      </c>
      <c r="AI101" s="96">
        <v>0</v>
      </c>
      <c r="AJ101" s="96">
        <f>AE101</f>
        <v>0</v>
      </c>
      <c r="AK101" s="96">
        <f>AF101</f>
        <v>0</v>
      </c>
      <c r="AL101" s="96">
        <v>32</v>
      </c>
      <c r="AM101" s="122">
        <f>AL101</f>
        <v>32</v>
      </c>
      <c r="AN101" s="96">
        <f>AI101</f>
        <v>0</v>
      </c>
      <c r="AO101" s="96">
        <v>0</v>
      </c>
      <c r="AP101" s="96">
        <v>0</v>
      </c>
      <c r="AQ101" s="96">
        <v>0</v>
      </c>
      <c r="AR101" s="122">
        <f>AQ101</f>
        <v>0</v>
      </c>
      <c r="AS101" s="96">
        <f>AN101</f>
        <v>0</v>
      </c>
      <c r="AT101" s="96">
        <v>0</v>
      </c>
      <c r="AU101" s="96">
        <v>0</v>
      </c>
      <c r="AV101" s="96">
        <v>10</v>
      </c>
      <c r="AW101" s="122">
        <f>AV101</f>
        <v>10</v>
      </c>
      <c r="AX101" s="96">
        <f>AS101</f>
        <v>0</v>
      </c>
      <c r="AY101" s="96">
        <v>0</v>
      </c>
      <c r="AZ101" s="96">
        <v>74</v>
      </c>
      <c r="BA101" s="96">
        <v>71</v>
      </c>
      <c r="BB101" s="122">
        <f>BA101</f>
        <v>71</v>
      </c>
      <c r="BC101" s="96">
        <v>128</v>
      </c>
      <c r="BD101" s="96">
        <v>12</v>
      </c>
      <c r="BE101" s="96">
        <v>16</v>
      </c>
      <c r="BF101" s="96">
        <v>12</v>
      </c>
      <c r="BG101" s="122">
        <f>BF101</f>
        <v>12</v>
      </c>
      <c r="BH101" s="96">
        <v>54</v>
      </c>
      <c r="BI101" s="96">
        <v>16</v>
      </c>
      <c r="BJ101" s="96">
        <v>17</v>
      </c>
      <c r="BK101" s="96">
        <v>19</v>
      </c>
      <c r="BL101" s="122">
        <f>BK101</f>
        <v>19</v>
      </c>
      <c r="BM101" s="373">
        <v>56</v>
      </c>
      <c r="BN101" s="373">
        <v>13</v>
      </c>
      <c r="BO101" s="373">
        <v>25</v>
      </c>
      <c r="BP101" s="373">
        <v>9</v>
      </c>
      <c r="BQ101" s="122">
        <f>BP101</f>
        <v>9</v>
      </c>
      <c r="BR101" s="373">
        <v>57</v>
      </c>
      <c r="BS101" s="373">
        <v>11</v>
      </c>
      <c r="BT101" s="121">
        <f>BO101</f>
        <v>25</v>
      </c>
      <c r="BU101" s="121">
        <f>BP101</f>
        <v>9</v>
      </c>
      <c r="BV101" s="122">
        <f>BU101</f>
        <v>9</v>
      </c>
      <c r="BW101" s="121">
        <f>BR101</f>
        <v>57</v>
      </c>
      <c r="BX101" s="121">
        <f>BS101</f>
        <v>11</v>
      </c>
      <c r="BY101" s="121">
        <f>BT101</f>
        <v>25</v>
      </c>
      <c r="BZ101" s="121">
        <f>BU101</f>
        <v>9</v>
      </c>
      <c r="CA101" s="122">
        <f>BZ101</f>
        <v>9</v>
      </c>
      <c r="CB101" s="121">
        <f>BW101</f>
        <v>57</v>
      </c>
      <c r="CC101" s="121">
        <f>BX101</f>
        <v>11</v>
      </c>
      <c r="CD101" s="121">
        <f>BY101</f>
        <v>25</v>
      </c>
      <c r="CE101" s="121">
        <f>BZ101</f>
        <v>9</v>
      </c>
      <c r="CF101" s="122">
        <f>CE101</f>
        <v>9</v>
      </c>
      <c r="CG101" s="121">
        <f>CB101</f>
        <v>57</v>
      </c>
      <c r="CH101" s="121">
        <f>CC101</f>
        <v>11</v>
      </c>
      <c r="CI101" s="121">
        <f>CD101</f>
        <v>25</v>
      </c>
      <c r="CJ101" s="121">
        <f>CE101</f>
        <v>9</v>
      </c>
      <c r="CK101" s="122">
        <f>CJ101</f>
        <v>9</v>
      </c>
      <c r="CL101" s="121">
        <f>CG101</f>
        <v>57</v>
      </c>
      <c r="CM101" s="121">
        <f>CH101</f>
        <v>11</v>
      </c>
      <c r="CN101" s="121">
        <f>CI101</f>
        <v>25</v>
      </c>
      <c r="CO101" s="121">
        <f>CJ101</f>
        <v>9</v>
      </c>
      <c r="CP101" s="122">
        <f>CO101</f>
        <v>9</v>
      </c>
    </row>
    <row r="102" spans="1:109" x14ac:dyDescent="0.25">
      <c r="A102" s="52" t="s">
        <v>49</v>
      </c>
      <c r="C102" s="94">
        <v>0</v>
      </c>
      <c r="D102" s="94">
        <v>0</v>
      </c>
      <c r="E102" s="97">
        <v>25.9</v>
      </c>
      <c r="F102" s="97">
        <v>0</v>
      </c>
      <c r="G102" s="97">
        <v>29.8</v>
      </c>
      <c r="H102" s="97">
        <v>0</v>
      </c>
      <c r="I102" s="94">
        <f>H102</f>
        <v>0</v>
      </c>
      <c r="J102" s="97">
        <v>29.9</v>
      </c>
      <c r="K102" s="97">
        <v>0</v>
      </c>
      <c r="L102" s="97">
        <v>34.200000000000003</v>
      </c>
      <c r="M102" s="97">
        <v>0</v>
      </c>
      <c r="N102" s="94">
        <f>M102</f>
        <v>0</v>
      </c>
      <c r="O102" s="97">
        <v>34.4</v>
      </c>
      <c r="P102" s="97">
        <v>0</v>
      </c>
      <c r="Q102" s="97">
        <v>37.200000000000003</v>
      </c>
      <c r="R102" s="97">
        <v>204</v>
      </c>
      <c r="S102" s="94">
        <f>R102</f>
        <v>204</v>
      </c>
      <c r="T102" s="97">
        <v>37.4</v>
      </c>
      <c r="U102" s="97">
        <v>0</v>
      </c>
      <c r="V102" s="97">
        <v>41.5</v>
      </c>
      <c r="W102" s="97">
        <v>0</v>
      </c>
      <c r="X102" s="94">
        <f>W102</f>
        <v>0</v>
      </c>
      <c r="Y102" s="97">
        <v>41</v>
      </c>
      <c r="Z102" s="97">
        <v>0</v>
      </c>
      <c r="AA102" s="97">
        <v>43.3</v>
      </c>
      <c r="AB102" s="96">
        <v>0</v>
      </c>
      <c r="AC102" s="122">
        <f>AB102</f>
        <v>0</v>
      </c>
      <c r="AD102" s="96">
        <v>42.8</v>
      </c>
      <c r="AE102" s="96">
        <v>0</v>
      </c>
      <c r="AF102" s="96">
        <v>44.1</v>
      </c>
      <c r="AG102" s="96">
        <v>0</v>
      </c>
      <c r="AH102" s="122">
        <f>AG102</f>
        <v>0</v>
      </c>
      <c r="AI102" s="96">
        <v>43.9</v>
      </c>
      <c r="AJ102" s="96">
        <v>0</v>
      </c>
      <c r="AK102" s="96">
        <v>46.4</v>
      </c>
      <c r="AL102" s="96">
        <v>0</v>
      </c>
      <c r="AM102" s="122">
        <f>AL102</f>
        <v>0</v>
      </c>
      <c r="AN102" s="96">
        <v>46.3</v>
      </c>
      <c r="AO102" s="96">
        <v>0</v>
      </c>
      <c r="AP102" s="96">
        <v>49.7</v>
      </c>
      <c r="AQ102" s="96">
        <v>0</v>
      </c>
      <c r="AR102" s="122">
        <f>AQ102</f>
        <v>0</v>
      </c>
      <c r="AS102" s="96">
        <v>49.8</v>
      </c>
      <c r="AT102" s="96">
        <v>0</v>
      </c>
      <c r="AU102" s="27">
        <v>54.5</v>
      </c>
      <c r="AV102" s="27">
        <v>0</v>
      </c>
      <c r="AW102" s="122">
        <f>AV102</f>
        <v>0</v>
      </c>
      <c r="AX102" s="27">
        <v>55</v>
      </c>
      <c r="AY102" s="27">
        <v>0</v>
      </c>
      <c r="AZ102" s="27">
        <v>62</v>
      </c>
      <c r="BA102" s="96">
        <v>0</v>
      </c>
      <c r="BB102" s="122">
        <f>BA102</f>
        <v>0</v>
      </c>
      <c r="BC102" s="96">
        <v>62</v>
      </c>
      <c r="BD102" s="96">
        <v>0</v>
      </c>
      <c r="BE102" s="96">
        <v>66</v>
      </c>
      <c r="BF102" s="96">
        <v>0</v>
      </c>
      <c r="BG102" s="122">
        <f>BF102</f>
        <v>0</v>
      </c>
      <c r="BH102" s="96">
        <v>65</v>
      </c>
      <c r="BI102" s="96">
        <v>0</v>
      </c>
      <c r="BJ102" s="96">
        <v>68</v>
      </c>
      <c r="BK102" s="96">
        <v>0</v>
      </c>
      <c r="BL102" s="122">
        <f>BK102</f>
        <v>0</v>
      </c>
      <c r="BM102" s="373">
        <v>67</v>
      </c>
      <c r="BN102" s="373">
        <v>0</v>
      </c>
      <c r="BO102" s="373">
        <v>70</v>
      </c>
      <c r="BP102" s="373">
        <v>0</v>
      </c>
      <c r="BQ102" s="122">
        <f>BP102</f>
        <v>0</v>
      </c>
      <c r="BR102" s="373">
        <v>70</v>
      </c>
      <c r="BS102" s="373">
        <v>0</v>
      </c>
      <c r="BT102" s="121">
        <f>+BS102</f>
        <v>0</v>
      </c>
      <c r="BU102" s="121">
        <f>+BT102</f>
        <v>0</v>
      </c>
      <c r="BV102" s="122">
        <f>BU102</f>
        <v>0</v>
      </c>
      <c r="BW102" s="121">
        <f>+BU102</f>
        <v>0</v>
      </c>
      <c r="BX102" s="121">
        <f>+BW102</f>
        <v>0</v>
      </c>
      <c r="BY102" s="121">
        <f>+BX102</f>
        <v>0</v>
      </c>
      <c r="BZ102" s="121">
        <f>+BY102</f>
        <v>0</v>
      </c>
      <c r="CA102" s="122">
        <f>BZ102</f>
        <v>0</v>
      </c>
      <c r="CB102" s="121">
        <f>+BZ102</f>
        <v>0</v>
      </c>
      <c r="CC102" s="121">
        <f>+CB102</f>
        <v>0</v>
      </c>
      <c r="CD102" s="121">
        <f>+CC102</f>
        <v>0</v>
      </c>
      <c r="CE102" s="121">
        <f>+CD102</f>
        <v>0</v>
      </c>
      <c r="CF102" s="122">
        <f>CE102</f>
        <v>0</v>
      </c>
      <c r="CG102" s="121">
        <f>+CE102</f>
        <v>0</v>
      </c>
      <c r="CH102" s="121">
        <f>+CG102</f>
        <v>0</v>
      </c>
      <c r="CI102" s="121">
        <f>+CH102</f>
        <v>0</v>
      </c>
      <c r="CJ102" s="121">
        <f>+CI102</f>
        <v>0</v>
      </c>
      <c r="CK102" s="122">
        <f>CJ102</f>
        <v>0</v>
      </c>
      <c r="CL102" s="121">
        <f>+CJ102</f>
        <v>0</v>
      </c>
      <c r="CM102" s="121">
        <f>+CL102</f>
        <v>0</v>
      </c>
      <c r="CN102" s="121">
        <f>+CM102</f>
        <v>0</v>
      </c>
      <c r="CO102" s="121">
        <f>+CN102</f>
        <v>0</v>
      </c>
      <c r="CP102" s="122">
        <f>CO102</f>
        <v>0</v>
      </c>
    </row>
    <row r="103" spans="1:109" x14ac:dyDescent="0.25">
      <c r="A103" s="52" t="s">
        <v>50</v>
      </c>
      <c r="C103" s="177">
        <v>0</v>
      </c>
      <c r="D103" s="177">
        <v>0</v>
      </c>
      <c r="E103" s="180">
        <v>0</v>
      </c>
      <c r="F103" s="180">
        <v>0</v>
      </c>
      <c r="G103" s="180">
        <v>0</v>
      </c>
      <c r="H103" s="180">
        <v>52.7</v>
      </c>
      <c r="I103" s="177">
        <f>H103</f>
        <v>52.7</v>
      </c>
      <c r="J103" s="180">
        <f>63.8</f>
        <v>63.8</v>
      </c>
      <c r="K103" s="180">
        <v>3.8</v>
      </c>
      <c r="L103" s="180">
        <v>3.8</v>
      </c>
      <c r="M103" s="180">
        <v>6</v>
      </c>
      <c r="N103" s="177">
        <f>M103</f>
        <v>6</v>
      </c>
      <c r="O103" s="180">
        <v>2</v>
      </c>
      <c r="P103" s="180">
        <v>2.7</v>
      </c>
      <c r="Q103" s="180">
        <v>5.9</v>
      </c>
      <c r="R103" s="180">
        <v>0</v>
      </c>
      <c r="S103" s="177">
        <f>R103</f>
        <v>0</v>
      </c>
      <c r="T103" s="180">
        <v>0</v>
      </c>
      <c r="U103" s="180">
        <v>0</v>
      </c>
      <c r="V103" s="180">
        <v>0</v>
      </c>
      <c r="W103" s="180">
        <f>R103</f>
        <v>0</v>
      </c>
      <c r="X103" s="177">
        <f>W103</f>
        <v>0</v>
      </c>
      <c r="Y103" s="180">
        <f>T103</f>
        <v>0</v>
      </c>
      <c r="Z103" s="180">
        <v>0</v>
      </c>
      <c r="AA103" s="180">
        <v>0</v>
      </c>
      <c r="AB103" s="180">
        <f>5.4+14.3</f>
        <v>19.700000000000003</v>
      </c>
      <c r="AC103" s="177">
        <f>AB103</f>
        <v>19.700000000000003</v>
      </c>
      <c r="AD103" s="180">
        <v>39.1</v>
      </c>
      <c r="AE103" s="180">
        <v>22.9</v>
      </c>
      <c r="AF103" s="180">
        <v>20.100000000000001</v>
      </c>
      <c r="AG103" s="180">
        <v>9</v>
      </c>
      <c r="AH103" s="177">
        <f>AG103</f>
        <v>9</v>
      </c>
      <c r="AI103" s="180">
        <v>41.2</v>
      </c>
      <c r="AJ103" s="180">
        <v>31.6</v>
      </c>
      <c r="AK103" s="180">
        <v>19.2</v>
      </c>
      <c r="AL103" s="180">
        <v>8</v>
      </c>
      <c r="AM103" s="177">
        <f>AL103</f>
        <v>8</v>
      </c>
      <c r="AN103" s="180">
        <v>62.2</v>
      </c>
      <c r="AO103" s="180">
        <v>45.9</v>
      </c>
      <c r="AP103" s="180">
        <v>32.1</v>
      </c>
      <c r="AQ103" s="180">
        <v>15</v>
      </c>
      <c r="AR103" s="177">
        <f>AQ103</f>
        <v>15</v>
      </c>
      <c r="AS103" s="180">
        <v>50.8</v>
      </c>
      <c r="AT103" s="180">
        <v>25.2</v>
      </c>
      <c r="AU103" s="180">
        <v>32.700000000000003</v>
      </c>
      <c r="AV103" s="180">
        <v>7</v>
      </c>
      <c r="AW103" s="177">
        <f>AV103</f>
        <v>7</v>
      </c>
      <c r="AX103" s="180">
        <v>61</v>
      </c>
      <c r="AY103" s="180">
        <v>22</v>
      </c>
      <c r="AZ103" s="180">
        <v>7</v>
      </c>
      <c r="BA103" s="180">
        <v>8</v>
      </c>
      <c r="BB103" s="177">
        <f>BA103</f>
        <v>8</v>
      </c>
      <c r="BC103" s="180">
        <v>7</v>
      </c>
      <c r="BD103" s="180">
        <v>7</v>
      </c>
      <c r="BE103" s="180">
        <v>9</v>
      </c>
      <c r="BF103" s="180">
        <v>9</v>
      </c>
      <c r="BG103" s="177">
        <f>BF103</f>
        <v>9</v>
      </c>
      <c r="BH103" s="180">
        <v>13</v>
      </c>
      <c r="BI103" s="180">
        <v>12</v>
      </c>
      <c r="BJ103" s="180">
        <v>8</v>
      </c>
      <c r="BK103" s="180">
        <v>0</v>
      </c>
      <c r="BL103" s="177">
        <f>BK103</f>
        <v>0</v>
      </c>
      <c r="BM103" s="382">
        <v>0</v>
      </c>
      <c r="BN103" s="382">
        <v>0</v>
      </c>
      <c r="BO103" s="382">
        <v>0</v>
      </c>
      <c r="BP103" s="382">
        <v>0</v>
      </c>
      <c r="BQ103" s="177">
        <f>BP103</f>
        <v>0</v>
      </c>
      <c r="BR103" s="382">
        <v>0</v>
      </c>
      <c r="BS103" s="382">
        <v>0</v>
      </c>
      <c r="BT103" s="181">
        <f>BO103</f>
        <v>0</v>
      </c>
      <c r="BU103" s="181">
        <f>BP103</f>
        <v>0</v>
      </c>
      <c r="BV103" s="177">
        <f>BU103</f>
        <v>0</v>
      </c>
      <c r="BW103" s="181">
        <f>BR103</f>
        <v>0</v>
      </c>
      <c r="BX103" s="181">
        <f>BS103</f>
        <v>0</v>
      </c>
      <c r="BY103" s="181">
        <f>BT103</f>
        <v>0</v>
      </c>
      <c r="BZ103" s="181">
        <f>BU103</f>
        <v>0</v>
      </c>
      <c r="CA103" s="177">
        <f>BZ103</f>
        <v>0</v>
      </c>
      <c r="CB103" s="181">
        <f>BW103</f>
        <v>0</v>
      </c>
      <c r="CC103" s="181">
        <f>BX103</f>
        <v>0</v>
      </c>
      <c r="CD103" s="181">
        <f>BY103</f>
        <v>0</v>
      </c>
      <c r="CE103" s="181">
        <f>BZ103</f>
        <v>0</v>
      </c>
      <c r="CF103" s="177">
        <f>CE103</f>
        <v>0</v>
      </c>
      <c r="CG103" s="181">
        <f>CB103</f>
        <v>0</v>
      </c>
      <c r="CH103" s="181">
        <f>CC103</f>
        <v>0</v>
      </c>
      <c r="CI103" s="181">
        <f>CD103</f>
        <v>0</v>
      </c>
      <c r="CJ103" s="181">
        <f>CE103</f>
        <v>0</v>
      </c>
      <c r="CK103" s="177">
        <f>CJ103</f>
        <v>0</v>
      </c>
      <c r="CL103" s="181">
        <f>CG103</f>
        <v>0</v>
      </c>
      <c r="CM103" s="181">
        <f>CH103</f>
        <v>0</v>
      </c>
      <c r="CN103" s="181">
        <f>CI103</f>
        <v>0</v>
      </c>
      <c r="CO103" s="181">
        <f>CJ103</f>
        <v>0</v>
      </c>
      <c r="CP103" s="177">
        <f>CO103</f>
        <v>0</v>
      </c>
    </row>
    <row r="104" spans="1:109" s="38" customFormat="1" x14ac:dyDescent="0.25">
      <c r="B104" s="38" t="s">
        <v>51</v>
      </c>
      <c r="C104" s="57">
        <f t="shared" ref="C104:H104" si="155">SUM(C97:C103)</f>
        <v>548</v>
      </c>
      <c r="D104" s="57">
        <f t="shared" si="155"/>
        <v>369</v>
      </c>
      <c r="E104" s="46">
        <f t="shared" si="155"/>
        <v>368.19999999999993</v>
      </c>
      <c r="F104" s="46">
        <f t="shared" si="155"/>
        <v>483.7</v>
      </c>
      <c r="G104" s="46">
        <f t="shared" si="155"/>
        <v>489.2</v>
      </c>
      <c r="H104" s="58">
        <f t="shared" si="155"/>
        <v>638.1</v>
      </c>
      <c r="I104" s="57">
        <f>+H104</f>
        <v>638.1</v>
      </c>
      <c r="J104" s="46">
        <f>SUM(J97:J103)</f>
        <v>645.19999999999993</v>
      </c>
      <c r="K104" s="46">
        <f>SUM(K97:K103)</f>
        <v>590.49999999999989</v>
      </c>
      <c r="L104" s="46">
        <f>SUM(L97:L103)</f>
        <v>591</v>
      </c>
      <c r="M104" s="58">
        <f>SUM(M97:M103)</f>
        <v>569</v>
      </c>
      <c r="N104" s="57">
        <f>+M104</f>
        <v>569</v>
      </c>
      <c r="O104" s="46">
        <f>SUM(O97:O103)</f>
        <v>562.69999999999993</v>
      </c>
      <c r="P104" s="46">
        <f>SUM(P97:P103)</f>
        <v>590.29999999999995</v>
      </c>
      <c r="Q104" s="46">
        <f>SUM(Q97:Q103)</f>
        <v>1337.7</v>
      </c>
      <c r="R104" s="58">
        <f>SUM(R97:R103)</f>
        <v>1347</v>
      </c>
      <c r="S104" s="57">
        <f>+R104</f>
        <v>1347</v>
      </c>
      <c r="T104" s="46">
        <f>SUM(T97:T103)</f>
        <v>1075.5</v>
      </c>
      <c r="U104" s="46">
        <f>SUM(U97:U103)</f>
        <v>1123.0999999999999</v>
      </c>
      <c r="V104" s="46">
        <f>SUM(V97:V103)</f>
        <v>1007.6</v>
      </c>
      <c r="W104" s="58">
        <f>SUM(W97:W103)</f>
        <v>984</v>
      </c>
      <c r="X104" s="57">
        <f>+W104</f>
        <v>984</v>
      </c>
      <c r="Y104" s="46">
        <f>SUM(Y97:Y103)</f>
        <v>1025.8</v>
      </c>
      <c r="Z104" s="46">
        <f>SUM(Z97:Z103)</f>
        <v>1166.3</v>
      </c>
      <c r="AA104" s="46">
        <f>SUM(AA97:AA103)</f>
        <v>746</v>
      </c>
      <c r="AB104" s="46">
        <f>SUM(AB97:AB103)</f>
        <v>835.6</v>
      </c>
      <c r="AC104" s="57">
        <f>+AB104</f>
        <v>835.6</v>
      </c>
      <c r="AD104" s="46">
        <f>SUM(AD97:AD103)</f>
        <v>811.09999999999991</v>
      </c>
      <c r="AE104" s="46">
        <f>SUM(AE97:AE103)</f>
        <v>869.79999999999984</v>
      </c>
      <c r="AF104" s="46">
        <f>SUM(AF97:AF103)</f>
        <v>684</v>
      </c>
      <c r="AG104" s="46">
        <f>SUM(AG97:AG103)</f>
        <v>546</v>
      </c>
      <c r="AH104" s="57">
        <f>+AG104</f>
        <v>546</v>
      </c>
      <c r="AI104" s="46">
        <f>SUM(AI97:AI103)</f>
        <v>607.70000000000005</v>
      </c>
      <c r="AJ104" s="46">
        <f>SUM(AJ97:AJ103)</f>
        <v>542.5</v>
      </c>
      <c r="AK104" s="46">
        <f>SUM(AK97:AK103)</f>
        <v>437.59999999999997</v>
      </c>
      <c r="AL104" s="46">
        <f>SUM(AL97:AL103)</f>
        <v>707</v>
      </c>
      <c r="AM104" s="57">
        <f>+AL104</f>
        <v>707</v>
      </c>
      <c r="AN104" s="46">
        <f>SUM(AN97:AN103)</f>
        <v>766.9</v>
      </c>
      <c r="AO104" s="58">
        <f>SUM(AO97:AO103)</f>
        <v>752.69999999999993</v>
      </c>
      <c r="AP104" s="58">
        <f>SUM(AP97:AP103)</f>
        <v>725.6</v>
      </c>
      <c r="AQ104" s="58">
        <f>SUM(AQ97:AQ103)</f>
        <v>404</v>
      </c>
      <c r="AR104" s="57">
        <f>+AQ104</f>
        <v>404</v>
      </c>
      <c r="AS104" s="46">
        <f>SUM(AS97:AS103)</f>
        <v>476.3</v>
      </c>
      <c r="AT104" s="46">
        <f>SUM(AT97:AT103)</f>
        <v>505.9</v>
      </c>
      <c r="AU104" s="46">
        <f>SUM(AU97:AU103)</f>
        <v>807.3</v>
      </c>
      <c r="AV104" s="46">
        <f>SUM(AV97:AV103)</f>
        <v>473</v>
      </c>
      <c r="AW104" s="57">
        <f>+AV104</f>
        <v>473</v>
      </c>
      <c r="AX104" s="46">
        <f>SUM(AX97:AX103)</f>
        <v>515</v>
      </c>
      <c r="AY104" s="46">
        <f>SUM(AY97:AY103)</f>
        <v>542</v>
      </c>
      <c r="AZ104" s="46">
        <f>SUM(AZ97:AZ103)</f>
        <v>604</v>
      </c>
      <c r="BA104" s="58">
        <f>SUM(BA97:BA103)</f>
        <v>561</v>
      </c>
      <c r="BB104" s="57">
        <f>+BA104</f>
        <v>561</v>
      </c>
      <c r="BC104" s="58">
        <f>SUM(BC97:BC103)</f>
        <v>637</v>
      </c>
      <c r="BD104" s="46">
        <f>SUM(BD97:BD103)</f>
        <v>678</v>
      </c>
      <c r="BE104" s="58">
        <f>SUM(BE97:BE103)</f>
        <v>860</v>
      </c>
      <c r="BF104" s="58">
        <f>SUM(BF97:BF103)</f>
        <v>958</v>
      </c>
      <c r="BG104" s="57">
        <f>+BF104</f>
        <v>958</v>
      </c>
      <c r="BH104" s="58">
        <f>SUM(BH97:BH103)</f>
        <v>833</v>
      </c>
      <c r="BI104" s="58">
        <f>SUM(BI97:BI103)</f>
        <v>1130</v>
      </c>
      <c r="BJ104" s="58">
        <f>SUM(BJ97:BJ103)</f>
        <v>1100</v>
      </c>
      <c r="BK104" s="58">
        <f>SUM(BK97:BK103)</f>
        <v>791</v>
      </c>
      <c r="BL104" s="57">
        <f>+BK104</f>
        <v>791</v>
      </c>
      <c r="BM104" s="58">
        <f>SUM(BM97:BM103)</f>
        <v>874</v>
      </c>
      <c r="BN104" s="46">
        <f>SUM(BN97:BN103)</f>
        <v>904</v>
      </c>
      <c r="BO104" s="46">
        <f>SUM(BO97:BO103)</f>
        <v>1130</v>
      </c>
      <c r="BP104" s="46">
        <f>SUM(BP97:BP103)</f>
        <v>970</v>
      </c>
      <c r="BQ104" s="57">
        <f>+BP104</f>
        <v>970</v>
      </c>
      <c r="BR104" s="58">
        <f>SUM(BR97:BR103)</f>
        <v>1089</v>
      </c>
      <c r="BS104" s="58">
        <f>SUM(BS97:BS103)</f>
        <v>1052</v>
      </c>
      <c r="BT104" s="46">
        <f ca="1">SUM(BT97:BT103)</f>
        <v>1103.4649018586992</v>
      </c>
      <c r="BU104" s="46">
        <f ca="1">SUM(BU97:BU103)</f>
        <v>1038.6782441023367</v>
      </c>
      <c r="BV104" s="57">
        <f ca="1">+BU104</f>
        <v>1038.6782441023367</v>
      </c>
      <c r="BW104" s="46">
        <f ca="1">SUM(BW97:BW103)</f>
        <v>1196.4051351491528</v>
      </c>
      <c r="BX104" s="46">
        <f ca="1">SUM(BX97:BX103)</f>
        <v>1292.6613448896903</v>
      </c>
      <c r="BY104" s="46">
        <f ca="1">SUM(BY97:BY103)</f>
        <v>1330.0084157416497</v>
      </c>
      <c r="BZ104" s="46">
        <f ca="1">SUM(BZ97:BZ103)</f>
        <v>1218.7504476683011</v>
      </c>
      <c r="CA104" s="57">
        <f ca="1">+BZ104</f>
        <v>1218.7504476683011</v>
      </c>
      <c r="CB104" s="46">
        <f ca="1">SUM(CB97:CB103)</f>
        <v>1363.517448013517</v>
      </c>
      <c r="CC104" s="46">
        <f ca="1">SUM(CC97:CC103)</f>
        <v>1459.2294397062815</v>
      </c>
      <c r="CD104" s="46">
        <f ca="1">SUM(CD97:CD103)</f>
        <v>1489.8351342450419</v>
      </c>
      <c r="CE104" s="46">
        <f ca="1">SUM(CE97:CE103)</f>
        <v>1366.5116504807288</v>
      </c>
      <c r="CF104" s="57">
        <f ca="1">+CE104</f>
        <v>1366.5116504807288</v>
      </c>
      <c r="CG104" s="46">
        <f ca="1">SUM(CG97:CG103)</f>
        <v>1513.1611181947928</v>
      </c>
      <c r="CH104" s="46">
        <f ca="1">SUM(CH97:CH103)</f>
        <v>1608.3018668371396</v>
      </c>
      <c r="CI104" s="46">
        <f ca="1">SUM(CI97:CI103)</f>
        <v>1631.7649953258224</v>
      </c>
      <c r="CJ104" s="46">
        <f ca="1">SUM(CJ97:CJ103)</f>
        <v>1494.5977725859721</v>
      </c>
      <c r="CK104" s="57">
        <f ca="1">+CJ104</f>
        <v>1494.5977725859721</v>
      </c>
      <c r="CL104" s="46">
        <f ca="1">SUM(CL97:CL103)</f>
        <v>1645.9126930170401</v>
      </c>
      <c r="CM104" s="46">
        <f ca="1">SUM(CM97:CM103)</f>
        <v>1740.644147661231</v>
      </c>
      <c r="CN104" s="46">
        <f ca="1">SUM(CN97:CN103)</f>
        <v>1756.944073620705</v>
      </c>
      <c r="CO104" s="46">
        <f ca="1">SUM(CO97:CO103)</f>
        <v>1605.4887043192916</v>
      </c>
      <c r="CP104" s="57">
        <f ca="1">+CO104</f>
        <v>1605.4887043192916</v>
      </c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</row>
    <row r="105" spans="1:109" x14ac:dyDescent="0.25">
      <c r="C105" s="94"/>
      <c r="D105" s="94"/>
      <c r="E105" s="95"/>
      <c r="F105" s="95"/>
      <c r="G105" s="95"/>
      <c r="H105" s="96"/>
      <c r="I105" s="94"/>
      <c r="J105" s="95"/>
      <c r="K105" s="95"/>
      <c r="L105" s="95"/>
      <c r="M105" s="96"/>
      <c r="N105" s="94"/>
      <c r="O105" s="95"/>
      <c r="P105" s="95"/>
      <c r="Q105" s="95"/>
      <c r="R105" s="96"/>
      <c r="S105" s="94"/>
      <c r="T105" s="95"/>
      <c r="U105" s="95"/>
      <c r="V105" s="95"/>
      <c r="W105" s="96"/>
      <c r="X105" s="94"/>
      <c r="Y105" s="95"/>
      <c r="Z105" s="95"/>
      <c r="AA105" s="95"/>
      <c r="AB105" s="95"/>
      <c r="AC105" s="94"/>
      <c r="AD105" s="95"/>
      <c r="AE105" s="95"/>
      <c r="AF105" s="95"/>
      <c r="AG105" s="95"/>
      <c r="AH105" s="94"/>
      <c r="AI105" s="95"/>
      <c r="AJ105" s="95"/>
      <c r="AK105" s="95"/>
      <c r="AL105" s="95"/>
      <c r="AM105" s="94"/>
      <c r="AN105" s="95"/>
      <c r="AO105" s="95"/>
      <c r="AP105" s="95"/>
      <c r="AQ105" s="95"/>
      <c r="AR105" s="94"/>
      <c r="AS105" s="95"/>
      <c r="AT105" s="95"/>
      <c r="AU105" s="95"/>
      <c r="AV105" s="95"/>
      <c r="AW105" s="94"/>
      <c r="AX105" s="95"/>
      <c r="AY105" s="95"/>
      <c r="AZ105" s="95"/>
      <c r="BA105" s="95"/>
      <c r="BB105" s="94"/>
      <c r="BC105" s="96"/>
      <c r="BD105" s="95"/>
      <c r="BE105" s="96"/>
      <c r="BF105" s="96"/>
      <c r="BG105" s="94"/>
      <c r="BH105" s="95"/>
      <c r="BI105" s="95"/>
      <c r="BJ105" s="95"/>
      <c r="BK105" s="95"/>
      <c r="BL105" s="94"/>
      <c r="BM105" s="373"/>
      <c r="BN105" s="95"/>
      <c r="BO105" s="95"/>
      <c r="BP105" s="95"/>
      <c r="BQ105" s="94"/>
      <c r="BR105" s="373"/>
      <c r="BS105" s="95"/>
      <c r="BT105" s="95"/>
      <c r="BU105" s="95"/>
      <c r="BV105" s="94"/>
      <c r="BW105" s="95"/>
      <c r="BX105" s="95"/>
      <c r="BY105" s="95"/>
      <c r="BZ105" s="95"/>
      <c r="CA105" s="94"/>
      <c r="CB105" s="95"/>
      <c r="CC105" s="95"/>
      <c r="CD105" s="95"/>
      <c r="CE105" s="95"/>
      <c r="CF105" s="94"/>
      <c r="CG105" s="95"/>
      <c r="CH105" s="95"/>
      <c r="CI105" s="95"/>
      <c r="CJ105" s="95"/>
      <c r="CK105" s="94"/>
      <c r="CL105" s="95"/>
      <c r="CM105" s="95"/>
      <c r="CN105" s="95"/>
      <c r="CO105" s="95"/>
      <c r="CP105" s="94"/>
    </row>
    <row r="106" spans="1:109" x14ac:dyDescent="0.25">
      <c r="A106" s="52" t="s">
        <v>52</v>
      </c>
      <c r="C106" s="94">
        <v>629</v>
      </c>
      <c r="D106" s="94">
        <v>630</v>
      </c>
      <c r="E106" s="95">
        <v>630.20000000000005</v>
      </c>
      <c r="F106" s="95">
        <v>601.1</v>
      </c>
      <c r="G106" s="95">
        <v>600.79999999999995</v>
      </c>
      <c r="H106" s="96">
        <v>351.5</v>
      </c>
      <c r="I106" s="94">
        <f>+H106</f>
        <v>351.5</v>
      </c>
      <c r="J106" s="95">
        <v>351.6</v>
      </c>
      <c r="K106" s="95">
        <v>351.8</v>
      </c>
      <c r="L106" s="95">
        <v>351.9</v>
      </c>
      <c r="M106" s="96">
        <v>351</v>
      </c>
      <c r="N106" s="94">
        <f>+M106</f>
        <v>351</v>
      </c>
      <c r="O106" s="95">
        <v>353.6</v>
      </c>
      <c r="P106" s="95">
        <v>353.7</v>
      </c>
      <c r="Q106" s="95">
        <v>369.3</v>
      </c>
      <c r="R106" s="96">
        <v>422</v>
      </c>
      <c r="S106" s="94">
        <f>+R106</f>
        <v>422</v>
      </c>
      <c r="T106" s="95">
        <v>421.4</v>
      </c>
      <c r="U106" s="95">
        <v>418.2</v>
      </c>
      <c r="V106" s="95">
        <v>417.3</v>
      </c>
      <c r="W106" s="96">
        <v>417</v>
      </c>
      <c r="X106" s="94">
        <f>+W106</f>
        <v>417</v>
      </c>
      <c r="Y106" s="96">
        <v>416.7</v>
      </c>
      <c r="Z106" s="96">
        <v>412.3</v>
      </c>
      <c r="AA106" s="96">
        <v>660.6</v>
      </c>
      <c r="AB106" s="96">
        <v>509.3</v>
      </c>
      <c r="AC106" s="122">
        <f>+AB106</f>
        <v>509.3</v>
      </c>
      <c r="AD106" s="96">
        <v>509.1</v>
      </c>
      <c r="AE106" s="96">
        <v>508.5</v>
      </c>
      <c r="AF106" s="27">
        <v>508.3</v>
      </c>
      <c r="AG106" s="27">
        <v>508</v>
      </c>
      <c r="AH106" s="122">
        <f>+AG106</f>
        <v>508</v>
      </c>
      <c r="AI106" s="27">
        <v>508.8</v>
      </c>
      <c r="AJ106" s="27">
        <v>508.5</v>
      </c>
      <c r="AK106" s="27">
        <v>756.7</v>
      </c>
      <c r="AL106" s="27">
        <v>504</v>
      </c>
      <c r="AM106" s="94">
        <f>+AL106</f>
        <v>504</v>
      </c>
      <c r="AN106" s="96">
        <v>505.1</v>
      </c>
      <c r="AO106" s="27">
        <v>504.2</v>
      </c>
      <c r="AP106" s="27">
        <v>503.5</v>
      </c>
      <c r="AQ106" s="27">
        <v>503</v>
      </c>
      <c r="AR106" s="94">
        <f>+AQ106</f>
        <v>503</v>
      </c>
      <c r="AS106" s="96">
        <v>502.1</v>
      </c>
      <c r="AT106" s="27">
        <v>501.4</v>
      </c>
      <c r="AU106" s="27">
        <v>996.6</v>
      </c>
      <c r="AV106" s="27">
        <v>997</v>
      </c>
      <c r="AW106" s="94">
        <f>+AV106</f>
        <v>997</v>
      </c>
      <c r="AX106" s="27">
        <v>997</v>
      </c>
      <c r="AY106" s="27">
        <v>997</v>
      </c>
      <c r="AZ106" s="27">
        <v>997</v>
      </c>
      <c r="BA106" s="27">
        <v>997</v>
      </c>
      <c r="BB106" s="122">
        <f>+BA106</f>
        <v>997</v>
      </c>
      <c r="BC106" s="96">
        <v>998</v>
      </c>
      <c r="BD106" s="27">
        <v>998</v>
      </c>
      <c r="BE106" s="27">
        <v>748</v>
      </c>
      <c r="BF106" s="27">
        <v>743</v>
      </c>
      <c r="BG106" s="122">
        <f>+BF106</f>
        <v>743</v>
      </c>
      <c r="BH106" s="96">
        <v>1229</v>
      </c>
      <c r="BI106" s="96">
        <v>1229</v>
      </c>
      <c r="BJ106" s="96">
        <v>1229</v>
      </c>
      <c r="BK106" s="96">
        <v>1230</v>
      </c>
      <c r="BL106" s="122">
        <f t="shared" ref="BL106:CA106" si="156">+BK106</f>
        <v>1230</v>
      </c>
      <c r="BM106" s="383">
        <v>1953</v>
      </c>
      <c r="BN106" s="383">
        <v>1917</v>
      </c>
      <c r="BO106" s="383">
        <v>1669</v>
      </c>
      <c r="BP106" s="96">
        <v>1689</v>
      </c>
      <c r="BQ106" s="122">
        <f t="shared" si="156"/>
        <v>1689</v>
      </c>
      <c r="BR106" s="383">
        <v>1720</v>
      </c>
      <c r="BS106" s="383">
        <v>1719</v>
      </c>
      <c r="BT106" s="182">
        <f t="shared" si="156"/>
        <v>1719</v>
      </c>
      <c r="BU106" s="182">
        <f t="shared" si="156"/>
        <v>1719</v>
      </c>
      <c r="BV106" s="122">
        <f t="shared" si="156"/>
        <v>1719</v>
      </c>
      <c r="BW106" s="182">
        <f t="shared" si="156"/>
        <v>1719</v>
      </c>
      <c r="BX106" s="182">
        <f t="shared" si="156"/>
        <v>1719</v>
      </c>
      <c r="BY106" s="182">
        <f t="shared" si="156"/>
        <v>1719</v>
      </c>
      <c r="BZ106" s="182">
        <f t="shared" si="156"/>
        <v>1719</v>
      </c>
      <c r="CA106" s="122">
        <f t="shared" si="156"/>
        <v>1719</v>
      </c>
      <c r="CB106" s="182">
        <f t="shared" ref="CB106:CK106" si="157">+CA106</f>
        <v>1719</v>
      </c>
      <c r="CC106" s="182">
        <f t="shared" si="157"/>
        <v>1719</v>
      </c>
      <c r="CD106" s="182">
        <f t="shared" si="157"/>
        <v>1719</v>
      </c>
      <c r="CE106" s="182">
        <f t="shared" si="157"/>
        <v>1719</v>
      </c>
      <c r="CF106" s="122">
        <f t="shared" si="157"/>
        <v>1719</v>
      </c>
      <c r="CG106" s="182">
        <f t="shared" si="157"/>
        <v>1719</v>
      </c>
      <c r="CH106" s="182">
        <f t="shared" si="157"/>
        <v>1719</v>
      </c>
      <c r="CI106" s="182">
        <f t="shared" si="157"/>
        <v>1719</v>
      </c>
      <c r="CJ106" s="182">
        <f t="shared" si="157"/>
        <v>1719</v>
      </c>
      <c r="CK106" s="122">
        <f t="shared" si="157"/>
        <v>1719</v>
      </c>
      <c r="CL106" s="182">
        <f>+CK106</f>
        <v>1719</v>
      </c>
      <c r="CM106" s="182">
        <f>+CL106</f>
        <v>1719</v>
      </c>
      <c r="CN106" s="182">
        <f>+CM106</f>
        <v>1719</v>
      </c>
      <c r="CO106" s="182">
        <f>+CN106</f>
        <v>1719</v>
      </c>
      <c r="CP106" s="122">
        <f>+CO106</f>
        <v>1719</v>
      </c>
    </row>
    <row r="107" spans="1:109" x14ac:dyDescent="0.25">
      <c r="A107" s="52" t="s">
        <v>53</v>
      </c>
      <c r="C107" s="94">
        <v>78</v>
      </c>
      <c r="D107" s="94">
        <v>122</v>
      </c>
      <c r="E107" s="95">
        <v>110.2</v>
      </c>
      <c r="F107" s="95">
        <v>100.5</v>
      </c>
      <c r="G107" s="95">
        <v>113.2</v>
      </c>
      <c r="H107" s="96">
        <v>157.80000000000001</v>
      </c>
      <c r="I107" s="94">
        <f>H107</f>
        <v>157.80000000000001</v>
      </c>
      <c r="J107" s="95">
        <v>155.19999999999999</v>
      </c>
      <c r="K107" s="95">
        <v>146.30000000000001</v>
      </c>
      <c r="L107" s="95">
        <v>146.1</v>
      </c>
      <c r="M107" s="96">
        <v>133</v>
      </c>
      <c r="N107" s="94">
        <f>M107</f>
        <v>133</v>
      </c>
      <c r="O107" s="95">
        <v>129.1</v>
      </c>
      <c r="P107" s="95">
        <v>131.30000000000001</v>
      </c>
      <c r="Q107" s="95">
        <v>126.5</v>
      </c>
      <c r="R107" s="96">
        <v>56</v>
      </c>
      <c r="S107" s="94">
        <f>R107</f>
        <v>56</v>
      </c>
      <c r="T107" s="95">
        <v>53</v>
      </c>
      <c r="U107" s="95">
        <v>61.7</v>
      </c>
      <c r="V107" s="95">
        <v>69.7</v>
      </c>
      <c r="W107" s="96">
        <v>89</v>
      </c>
      <c r="X107" s="94">
        <f>W107</f>
        <v>89</v>
      </c>
      <c r="Y107" s="96">
        <v>81.900000000000006</v>
      </c>
      <c r="Z107" s="96">
        <v>105.6</v>
      </c>
      <c r="AA107" s="95">
        <v>108.4</v>
      </c>
      <c r="AB107" s="95">
        <v>79.599999999999994</v>
      </c>
      <c r="AC107" s="94">
        <f>AB107</f>
        <v>79.599999999999994</v>
      </c>
      <c r="AD107" s="95">
        <v>95</v>
      </c>
      <c r="AE107" s="96">
        <v>105.2</v>
      </c>
      <c r="AF107" s="96">
        <v>109.8</v>
      </c>
      <c r="AG107" s="96">
        <v>82</v>
      </c>
      <c r="AH107" s="94">
        <f>AG107</f>
        <v>82</v>
      </c>
      <c r="AI107" s="96">
        <v>81</v>
      </c>
      <c r="AJ107" s="96">
        <v>96.1</v>
      </c>
      <c r="AK107" s="96">
        <v>153.19999999999999</v>
      </c>
      <c r="AL107" s="96">
        <v>150</v>
      </c>
      <c r="AM107" s="122">
        <f>AL107</f>
        <v>150</v>
      </c>
      <c r="AN107" s="96">
        <v>153.6</v>
      </c>
      <c r="AO107" s="96">
        <v>162.30000000000001</v>
      </c>
      <c r="AP107" s="96">
        <v>173.4</v>
      </c>
      <c r="AQ107" s="96">
        <v>158</v>
      </c>
      <c r="AR107" s="122">
        <f>AQ107</f>
        <v>158</v>
      </c>
      <c r="AS107" s="96">
        <v>172.6</v>
      </c>
      <c r="AT107" s="95">
        <v>185.2</v>
      </c>
      <c r="AU107" s="95">
        <v>193.2</v>
      </c>
      <c r="AV107" s="95">
        <v>180</v>
      </c>
      <c r="AW107" s="122">
        <f>AV107</f>
        <v>180</v>
      </c>
      <c r="AX107" s="95">
        <v>185</v>
      </c>
      <c r="AY107" s="95">
        <v>199</v>
      </c>
      <c r="AZ107" s="95">
        <v>97</v>
      </c>
      <c r="BA107" s="96">
        <v>102</v>
      </c>
      <c r="BB107" s="94">
        <f>BA107</f>
        <v>102</v>
      </c>
      <c r="BC107" s="96">
        <v>107</v>
      </c>
      <c r="BD107" s="96">
        <v>113</v>
      </c>
      <c r="BE107" s="96">
        <v>129</v>
      </c>
      <c r="BF107" s="96">
        <v>107</v>
      </c>
      <c r="BG107" s="94">
        <f>BF107</f>
        <v>107</v>
      </c>
      <c r="BH107" s="96">
        <v>112</v>
      </c>
      <c r="BI107" s="96">
        <v>116</v>
      </c>
      <c r="BJ107" s="96">
        <v>138</v>
      </c>
      <c r="BK107" s="96">
        <v>101</v>
      </c>
      <c r="BL107" s="94">
        <f>BK107</f>
        <v>101</v>
      </c>
      <c r="BM107" s="373">
        <v>122</v>
      </c>
      <c r="BN107" s="373">
        <v>150</v>
      </c>
      <c r="BO107" s="373">
        <v>150</v>
      </c>
      <c r="BP107" s="96">
        <v>152</v>
      </c>
      <c r="BQ107" s="94">
        <f>BP107</f>
        <v>152</v>
      </c>
      <c r="BR107" s="373">
        <v>135</v>
      </c>
      <c r="BS107" s="373">
        <v>139</v>
      </c>
      <c r="BT107" s="95">
        <f ca="1">+BT193*4*BT47</f>
        <v>166.39135531896491</v>
      </c>
      <c r="BU107" s="95">
        <f ca="1">+BU193*4*BU47</f>
        <v>181.38492287000321</v>
      </c>
      <c r="BV107" s="94">
        <f ca="1">BU107</f>
        <v>181.38492287000321</v>
      </c>
      <c r="BW107" s="95">
        <f ca="1">+BW193*4*BW47</f>
        <v>194.84803178332555</v>
      </c>
      <c r="BX107" s="95">
        <f ca="1">+BX193*4*BX47</f>
        <v>153.99947548193629</v>
      </c>
      <c r="BY107" s="95">
        <f ca="1">+BY193*4*BY47</f>
        <v>175.90475309957753</v>
      </c>
      <c r="BZ107" s="95">
        <f ca="1">+BZ193*4*BZ47</f>
        <v>193.58175224242461</v>
      </c>
      <c r="CA107" s="94">
        <f ca="1">BZ107</f>
        <v>193.58175224242461</v>
      </c>
      <c r="CB107" s="95">
        <f ca="1">+CB193*4*CB47</f>
        <v>206.55273790686795</v>
      </c>
      <c r="CC107" s="95">
        <f ca="1">+CC193*4*CC47</f>
        <v>162.93180333100784</v>
      </c>
      <c r="CD107" s="95">
        <f ca="1">+CD193*4*CD47</f>
        <v>186.62073179097982</v>
      </c>
      <c r="CE107" s="95">
        <f ca="1">+CE193*4*CE47</f>
        <v>205.37037568961074</v>
      </c>
      <c r="CF107" s="94">
        <f ca="1">CE107</f>
        <v>205.37037568961074</v>
      </c>
      <c r="CG107" s="95">
        <f ca="1">+CG193*4*CG47</f>
        <v>219.0077238171063</v>
      </c>
      <c r="CH107" s="95">
        <f ca="1">+CH193*4*CH47</f>
        <v>172.71157622743502</v>
      </c>
      <c r="CI107" s="95">
        <f ca="1">+CI193*4*CI47</f>
        <v>198.53156387062435</v>
      </c>
      <c r="CJ107" s="95">
        <f ca="1">+CJ193*4*CJ47</f>
        <v>218.8849580167703</v>
      </c>
      <c r="CK107" s="94">
        <f ca="1">CJ107</f>
        <v>218.8849580167703</v>
      </c>
      <c r="CL107" s="95">
        <f ca="1">+CL193*4*CL47</f>
        <v>232.3067252394558</v>
      </c>
      <c r="CM107" s="95">
        <f ca="1">+CM193*4*CM47</f>
        <v>182.70814564118629</v>
      </c>
      <c r="CN107" s="95">
        <f ca="1">+CN193*4*CN47</f>
        <v>210.51824141380473</v>
      </c>
      <c r="CO107" s="95">
        <f ca="1">+CO193*4*CO47</f>
        <v>232.44575603511683</v>
      </c>
      <c r="CP107" s="94">
        <f ca="1">CO107</f>
        <v>232.44575603511683</v>
      </c>
    </row>
    <row r="108" spans="1:109" x14ac:dyDescent="0.25">
      <c r="A108" s="52" t="s">
        <v>54</v>
      </c>
      <c r="C108" s="94">
        <v>143</v>
      </c>
      <c r="D108" s="94">
        <v>137</v>
      </c>
      <c r="E108" s="95">
        <v>139.1</v>
      </c>
      <c r="F108" s="95">
        <v>141.30000000000001</v>
      </c>
      <c r="G108" s="95">
        <v>143.6</v>
      </c>
      <c r="H108" s="96">
        <v>77.599999999999994</v>
      </c>
      <c r="I108" s="94">
        <f>+H108</f>
        <v>77.599999999999994</v>
      </c>
      <c r="J108" s="95">
        <v>79.400000000000006</v>
      </c>
      <c r="K108" s="95">
        <v>80.5</v>
      </c>
      <c r="L108" s="95">
        <v>77.5</v>
      </c>
      <c r="M108" s="96">
        <v>78</v>
      </c>
      <c r="N108" s="94">
        <f>+M108</f>
        <v>78</v>
      </c>
      <c r="O108" s="95">
        <v>79.5</v>
      </c>
      <c r="P108" s="95">
        <v>81</v>
      </c>
      <c r="Q108" s="95">
        <v>82.1</v>
      </c>
      <c r="R108" s="96">
        <v>123</v>
      </c>
      <c r="S108" s="94">
        <f>+R108</f>
        <v>123</v>
      </c>
      <c r="T108" s="95">
        <v>124.9</v>
      </c>
      <c r="U108" s="95">
        <v>127.6</v>
      </c>
      <c r="V108" s="95">
        <v>130</v>
      </c>
      <c r="W108" s="96">
        <v>121</v>
      </c>
      <c r="X108" s="94">
        <f>+W108</f>
        <v>121</v>
      </c>
      <c r="Y108" s="96">
        <v>115.5</v>
      </c>
      <c r="Z108" s="96">
        <v>117.9</v>
      </c>
      <c r="AA108" s="96">
        <v>115.9</v>
      </c>
      <c r="AB108" s="96">
        <v>175.6</v>
      </c>
      <c r="AC108" s="122">
        <f>+AB108</f>
        <v>175.6</v>
      </c>
      <c r="AD108" s="96">
        <v>173.5</v>
      </c>
      <c r="AE108" s="96">
        <v>169.2</v>
      </c>
      <c r="AF108" s="96">
        <v>171.4</v>
      </c>
      <c r="AG108" s="96">
        <v>283</v>
      </c>
      <c r="AH108" s="122">
        <f>+AG108</f>
        <v>283</v>
      </c>
      <c r="AI108" s="96">
        <v>258.60000000000002</v>
      </c>
      <c r="AJ108" s="96">
        <v>254</v>
      </c>
      <c r="AK108" s="96">
        <v>235.3</v>
      </c>
      <c r="AL108" s="96">
        <v>203</v>
      </c>
      <c r="AM108" s="122">
        <f>+AL108</f>
        <v>203</v>
      </c>
      <c r="AN108" s="96">
        <v>176.2</v>
      </c>
      <c r="AO108" s="96">
        <v>171.2</v>
      </c>
      <c r="AP108" s="96">
        <v>173.5</v>
      </c>
      <c r="AQ108" s="96">
        <v>278</v>
      </c>
      <c r="AR108" s="122">
        <f>+AQ108</f>
        <v>278</v>
      </c>
      <c r="AS108" s="96">
        <v>256.60000000000002</v>
      </c>
      <c r="AT108" s="96">
        <v>243.1</v>
      </c>
      <c r="AU108" s="96">
        <v>246.5</v>
      </c>
      <c r="AV108" s="96">
        <v>280</v>
      </c>
      <c r="AW108" s="122">
        <f>+AV108</f>
        <v>280</v>
      </c>
      <c r="AX108" s="96">
        <v>266</v>
      </c>
      <c r="AY108" s="96">
        <v>242</v>
      </c>
      <c r="AZ108" s="96">
        <v>245</v>
      </c>
      <c r="BA108" s="96">
        <v>244</v>
      </c>
      <c r="BB108" s="122">
        <f>+BA108</f>
        <v>244</v>
      </c>
      <c r="BC108" s="96">
        <v>241</v>
      </c>
      <c r="BD108" s="96">
        <v>226</v>
      </c>
      <c r="BE108" s="96">
        <v>229</v>
      </c>
      <c r="BF108" s="96">
        <v>311</v>
      </c>
      <c r="BG108" s="122">
        <f>+BF108</f>
        <v>311</v>
      </c>
      <c r="BH108" s="96">
        <v>304</v>
      </c>
      <c r="BI108" s="96">
        <v>300</v>
      </c>
      <c r="BJ108" s="96">
        <v>305</v>
      </c>
      <c r="BK108" s="96">
        <v>353</v>
      </c>
      <c r="BL108" s="122">
        <f>+BK108</f>
        <v>353</v>
      </c>
      <c r="BM108" s="373">
        <v>344</v>
      </c>
      <c r="BN108" s="373">
        <v>335</v>
      </c>
      <c r="BO108" s="373">
        <v>336</v>
      </c>
      <c r="BP108" s="96">
        <v>314</v>
      </c>
      <c r="BQ108" s="122">
        <f>+BP108</f>
        <v>314</v>
      </c>
      <c r="BR108" s="373">
        <v>298</v>
      </c>
      <c r="BS108" s="373">
        <v>287</v>
      </c>
      <c r="BT108" s="121">
        <f t="shared" ref="BT108:CA108" si="158">+BS108</f>
        <v>287</v>
      </c>
      <c r="BU108" s="121">
        <f t="shared" si="158"/>
        <v>287</v>
      </c>
      <c r="BV108" s="122">
        <f t="shared" si="158"/>
        <v>287</v>
      </c>
      <c r="BW108" s="121">
        <f t="shared" si="158"/>
        <v>287</v>
      </c>
      <c r="BX108" s="121">
        <f t="shared" si="158"/>
        <v>287</v>
      </c>
      <c r="BY108" s="121">
        <f t="shared" si="158"/>
        <v>287</v>
      </c>
      <c r="BZ108" s="121">
        <f t="shared" si="158"/>
        <v>287</v>
      </c>
      <c r="CA108" s="122">
        <f t="shared" si="158"/>
        <v>287</v>
      </c>
      <c r="CB108" s="121">
        <f t="shared" ref="CB108:CK108" si="159">+CA108</f>
        <v>287</v>
      </c>
      <c r="CC108" s="121">
        <f t="shared" si="159"/>
        <v>287</v>
      </c>
      <c r="CD108" s="121">
        <f t="shared" si="159"/>
        <v>287</v>
      </c>
      <c r="CE108" s="121">
        <f t="shared" si="159"/>
        <v>287</v>
      </c>
      <c r="CF108" s="122">
        <f t="shared" si="159"/>
        <v>287</v>
      </c>
      <c r="CG108" s="121">
        <f t="shared" si="159"/>
        <v>287</v>
      </c>
      <c r="CH108" s="121">
        <f t="shared" si="159"/>
        <v>287</v>
      </c>
      <c r="CI108" s="121">
        <f t="shared" si="159"/>
        <v>287</v>
      </c>
      <c r="CJ108" s="121">
        <f t="shared" si="159"/>
        <v>287</v>
      </c>
      <c r="CK108" s="122">
        <f t="shared" si="159"/>
        <v>287</v>
      </c>
      <c r="CL108" s="121">
        <f>+CK108</f>
        <v>287</v>
      </c>
      <c r="CM108" s="121">
        <f>+CL108</f>
        <v>287</v>
      </c>
      <c r="CN108" s="121">
        <f>+CM108</f>
        <v>287</v>
      </c>
      <c r="CO108" s="121">
        <f>+CN108</f>
        <v>287</v>
      </c>
      <c r="CP108" s="122">
        <f>+CO108</f>
        <v>287</v>
      </c>
    </row>
    <row r="109" spans="1:109" x14ac:dyDescent="0.25">
      <c r="A109" s="52" t="s">
        <v>55</v>
      </c>
      <c r="C109" s="177">
        <v>26</v>
      </c>
      <c r="D109" s="177">
        <v>33</v>
      </c>
      <c r="E109" s="179">
        <v>31.7</v>
      </c>
      <c r="F109" s="179">
        <v>34.299999999999997</v>
      </c>
      <c r="G109" s="179">
        <v>34.200000000000003</v>
      </c>
      <c r="H109" s="178">
        <f>31.2+82.9</f>
        <v>114.10000000000001</v>
      </c>
      <c r="I109" s="177">
        <f>+H109</f>
        <v>114.10000000000001</v>
      </c>
      <c r="J109" s="179">
        <f>18.4+84.7</f>
        <v>103.1</v>
      </c>
      <c r="K109" s="179">
        <v>22.7</v>
      </c>
      <c r="L109" s="179">
        <v>26.5</v>
      </c>
      <c r="M109" s="178">
        <v>34</v>
      </c>
      <c r="N109" s="177">
        <f>+M109</f>
        <v>34</v>
      </c>
      <c r="O109" s="179">
        <v>17.899999999999999</v>
      </c>
      <c r="P109" s="179">
        <v>19.3</v>
      </c>
      <c r="Q109" s="179">
        <v>26</v>
      </c>
      <c r="R109" s="178">
        <v>30</v>
      </c>
      <c r="S109" s="177">
        <f>R109</f>
        <v>30</v>
      </c>
      <c r="T109" s="179">
        <v>60.5</v>
      </c>
      <c r="U109" s="179">
        <v>65.7</v>
      </c>
      <c r="V109" s="179">
        <v>72.400000000000006</v>
      </c>
      <c r="W109" s="178">
        <v>69</v>
      </c>
      <c r="X109" s="177">
        <f>W109</f>
        <v>69</v>
      </c>
      <c r="Y109" s="178">
        <v>58</v>
      </c>
      <c r="Z109" s="178">
        <v>66.3</v>
      </c>
      <c r="AA109" s="179">
        <v>57.3</v>
      </c>
      <c r="AB109" s="179">
        <v>58.8</v>
      </c>
      <c r="AC109" s="177">
        <f>AB109</f>
        <v>58.8</v>
      </c>
      <c r="AD109" s="179">
        <v>52.5</v>
      </c>
      <c r="AE109" s="179">
        <v>58.1</v>
      </c>
      <c r="AF109" s="179">
        <v>63</v>
      </c>
      <c r="AG109" s="179">
        <v>69</v>
      </c>
      <c r="AH109" s="177">
        <f>AG109</f>
        <v>69</v>
      </c>
      <c r="AI109" s="179">
        <v>58.9</v>
      </c>
      <c r="AJ109" s="179">
        <v>63.6</v>
      </c>
      <c r="AK109" s="179">
        <v>66.400000000000006</v>
      </c>
      <c r="AL109" s="179">
        <v>88</v>
      </c>
      <c r="AM109" s="177">
        <f>AL109</f>
        <v>88</v>
      </c>
      <c r="AN109" s="179">
        <v>77.2</v>
      </c>
      <c r="AO109" s="178">
        <v>77</v>
      </c>
      <c r="AP109" s="178">
        <v>65.7</v>
      </c>
      <c r="AQ109" s="179">
        <v>65</v>
      </c>
      <c r="AR109" s="177">
        <f>AQ109</f>
        <v>65</v>
      </c>
      <c r="AS109" s="179">
        <v>53.4</v>
      </c>
      <c r="AT109" s="179">
        <v>63.5</v>
      </c>
      <c r="AU109" s="179">
        <v>69.900000000000006</v>
      </c>
      <c r="AV109" s="179">
        <v>68</v>
      </c>
      <c r="AW109" s="177">
        <f>AV109</f>
        <v>68</v>
      </c>
      <c r="AX109" s="179">
        <v>57</v>
      </c>
      <c r="AY109" s="179">
        <v>64</v>
      </c>
      <c r="AZ109" s="179">
        <v>161</v>
      </c>
      <c r="BA109" s="178">
        <v>167</v>
      </c>
      <c r="BB109" s="177">
        <f>+BA109</f>
        <v>167</v>
      </c>
      <c r="BC109" s="178">
        <v>154</v>
      </c>
      <c r="BD109" s="178">
        <v>153</v>
      </c>
      <c r="BE109" s="178">
        <v>154</v>
      </c>
      <c r="BF109" s="178">
        <v>164</v>
      </c>
      <c r="BG109" s="177">
        <f>+BF109</f>
        <v>164</v>
      </c>
      <c r="BH109" s="178">
        <v>149</v>
      </c>
      <c r="BI109" s="178">
        <v>143</v>
      </c>
      <c r="BJ109" s="178">
        <v>144</v>
      </c>
      <c r="BK109" s="178">
        <v>146</v>
      </c>
      <c r="BL109" s="177">
        <f>+BK109</f>
        <v>146</v>
      </c>
      <c r="BM109" s="381">
        <v>132</v>
      </c>
      <c r="BN109" s="381">
        <v>131</v>
      </c>
      <c r="BO109" s="381">
        <v>131</v>
      </c>
      <c r="BP109" s="178">
        <v>130</v>
      </c>
      <c r="BQ109" s="177">
        <f>+BP109</f>
        <v>130</v>
      </c>
      <c r="BR109" s="381">
        <v>140</v>
      </c>
      <c r="BS109" s="381">
        <v>134</v>
      </c>
      <c r="BT109" s="179">
        <f>+BT195*4*BT4</f>
        <v>93.353113882390943</v>
      </c>
      <c r="BU109" s="179">
        <f>+BV109</f>
        <v>141.94509174021971</v>
      </c>
      <c r="BV109" s="177">
        <f>+BV195*BV4</f>
        <v>141.94509174021971</v>
      </c>
      <c r="BW109" s="179">
        <f>+BW195*4*BW4</f>
        <v>79.355235287841239</v>
      </c>
      <c r="BX109" s="179">
        <f>+BX195*4*BX4</f>
        <v>96.302241045871369</v>
      </c>
      <c r="BY109" s="179">
        <f>+BY195*4*BY4</f>
        <v>98.687412436303333</v>
      </c>
      <c r="BZ109" s="179">
        <f>+CA109</f>
        <v>149.38428328058643</v>
      </c>
      <c r="CA109" s="177">
        <f>+CA195*CA4</f>
        <v>149.38428328058643</v>
      </c>
      <c r="CB109" s="179">
        <f>+CB195*4*CB4</f>
        <v>83.322997052233291</v>
      </c>
      <c r="CC109" s="179">
        <f>+CC195*4*CC4</f>
        <v>101.11735309816493</v>
      </c>
      <c r="CD109" s="179">
        <f>+CD195*4*CD4</f>
        <v>103.62178305811851</v>
      </c>
      <c r="CE109" s="179">
        <f>+CF109</f>
        <v>156.85349744461573</v>
      </c>
      <c r="CF109" s="177">
        <f>+CF195*CF4</f>
        <v>156.85349744461573</v>
      </c>
      <c r="CG109" s="179">
        <f>+CG195*4*CG4</f>
        <v>87.489146904844972</v>
      </c>
      <c r="CH109" s="179">
        <f>+CH195*4*CH4</f>
        <v>106.17322075307318</v>
      </c>
      <c r="CI109" s="179">
        <f>+CI195*4*CI4</f>
        <v>108.80287221102445</v>
      </c>
      <c r="CJ109" s="179">
        <f>+CK109</f>
        <v>164.69617231684651</v>
      </c>
      <c r="CK109" s="177">
        <f>+CK195*CK4</f>
        <v>164.69617231684651</v>
      </c>
      <c r="CL109" s="179">
        <f>+CL195*4*CL4</f>
        <v>91.863604250087207</v>
      </c>
      <c r="CM109" s="179">
        <f>+CM195*4*CM4</f>
        <v>111.48188179072685</v>
      </c>
      <c r="CN109" s="179">
        <f>+CN195*4*CN4</f>
        <v>114.24301582157567</v>
      </c>
      <c r="CO109" s="179">
        <f>+CP109</f>
        <v>172.93098093268884</v>
      </c>
      <c r="CP109" s="177">
        <f>+CP195*CP4</f>
        <v>172.93098093268884</v>
      </c>
    </row>
    <row r="110" spans="1:109" s="38" customFormat="1" x14ac:dyDescent="0.25">
      <c r="B110" s="38" t="s">
        <v>56</v>
      </c>
      <c r="C110" s="57">
        <f>SUM(C106:C109)+C104</f>
        <v>1424</v>
      </c>
      <c r="D110" s="57">
        <f>SUM(D106:D109)+D104</f>
        <v>1291</v>
      </c>
      <c r="E110" s="46">
        <f t="shared" ref="E110:AH110" si="160">SUM(E106:E109)+E104</f>
        <v>1279.4000000000001</v>
      </c>
      <c r="F110" s="46">
        <f t="shared" si="160"/>
        <v>1360.9</v>
      </c>
      <c r="G110" s="46">
        <f t="shared" si="160"/>
        <v>1381</v>
      </c>
      <c r="H110" s="58">
        <f t="shared" si="160"/>
        <v>1339.1</v>
      </c>
      <c r="I110" s="57">
        <f t="shared" si="160"/>
        <v>1339.1</v>
      </c>
      <c r="J110" s="46">
        <f t="shared" si="160"/>
        <v>1334.5</v>
      </c>
      <c r="K110" s="46">
        <f t="shared" si="160"/>
        <v>1191.8</v>
      </c>
      <c r="L110" s="46">
        <f t="shared" si="160"/>
        <v>1193</v>
      </c>
      <c r="M110" s="58">
        <f t="shared" si="160"/>
        <v>1165</v>
      </c>
      <c r="N110" s="57">
        <f t="shared" si="160"/>
        <v>1165</v>
      </c>
      <c r="O110" s="46">
        <f t="shared" si="160"/>
        <v>1142.8</v>
      </c>
      <c r="P110" s="46">
        <f t="shared" si="160"/>
        <v>1175.5999999999999</v>
      </c>
      <c r="Q110" s="46">
        <f t="shared" si="160"/>
        <v>1941.6</v>
      </c>
      <c r="R110" s="58">
        <f t="shared" si="160"/>
        <v>1978</v>
      </c>
      <c r="S110" s="57">
        <f t="shared" si="160"/>
        <v>1978</v>
      </c>
      <c r="T110" s="46">
        <f t="shared" si="160"/>
        <v>1735.3</v>
      </c>
      <c r="U110" s="46">
        <f>SUM(U106:U109)+U104</f>
        <v>1796.3</v>
      </c>
      <c r="V110" s="46">
        <f t="shared" si="160"/>
        <v>1697</v>
      </c>
      <c r="W110" s="58">
        <f t="shared" si="160"/>
        <v>1680</v>
      </c>
      <c r="X110" s="57">
        <f t="shared" si="160"/>
        <v>1680</v>
      </c>
      <c r="Y110" s="46">
        <f t="shared" si="160"/>
        <v>1697.9</v>
      </c>
      <c r="Z110" s="46">
        <f t="shared" si="160"/>
        <v>1868.3999999999999</v>
      </c>
      <c r="AA110" s="46">
        <f t="shared" si="160"/>
        <v>1688.1999999999998</v>
      </c>
      <c r="AB110" s="46">
        <f t="shared" si="160"/>
        <v>1658.9</v>
      </c>
      <c r="AC110" s="57">
        <f t="shared" si="160"/>
        <v>1658.9</v>
      </c>
      <c r="AD110" s="46">
        <f t="shared" si="160"/>
        <v>1641.1999999999998</v>
      </c>
      <c r="AE110" s="46">
        <f t="shared" si="160"/>
        <v>1710.8</v>
      </c>
      <c r="AF110" s="46">
        <f t="shared" si="160"/>
        <v>1536.5</v>
      </c>
      <c r="AG110" s="46">
        <f t="shared" si="160"/>
        <v>1488</v>
      </c>
      <c r="AH110" s="57">
        <f t="shared" si="160"/>
        <v>1488</v>
      </c>
      <c r="AI110" s="46">
        <f t="shared" ref="AI110:AT110" si="161">SUM(AI106:AI109)+AI104</f>
        <v>1515</v>
      </c>
      <c r="AJ110" s="46">
        <f t="shared" si="161"/>
        <v>1464.7</v>
      </c>
      <c r="AK110" s="46">
        <f t="shared" si="161"/>
        <v>1649.2</v>
      </c>
      <c r="AL110" s="46">
        <f t="shared" si="161"/>
        <v>1652</v>
      </c>
      <c r="AM110" s="57">
        <f t="shared" si="161"/>
        <v>1652</v>
      </c>
      <c r="AN110" s="46">
        <f t="shared" si="161"/>
        <v>1679</v>
      </c>
      <c r="AO110" s="46">
        <f t="shared" si="161"/>
        <v>1667.4</v>
      </c>
      <c r="AP110" s="46">
        <f t="shared" si="161"/>
        <v>1641.7</v>
      </c>
      <c r="AQ110" s="46">
        <f t="shared" si="161"/>
        <v>1408</v>
      </c>
      <c r="AR110" s="57">
        <f t="shared" si="161"/>
        <v>1408</v>
      </c>
      <c r="AS110" s="46">
        <f t="shared" si="161"/>
        <v>1461</v>
      </c>
      <c r="AT110" s="46">
        <f t="shared" si="161"/>
        <v>1499.1</v>
      </c>
      <c r="AU110" s="46">
        <f t="shared" ref="AU110:CP110" si="162">SUM(AU106:AU109)+AU104</f>
        <v>2313.5</v>
      </c>
      <c r="AV110" s="46">
        <f t="shared" si="162"/>
        <v>1998</v>
      </c>
      <c r="AW110" s="57">
        <f t="shared" si="162"/>
        <v>1998</v>
      </c>
      <c r="AX110" s="46">
        <f t="shared" si="162"/>
        <v>2020</v>
      </c>
      <c r="AY110" s="46">
        <f t="shared" si="162"/>
        <v>2044</v>
      </c>
      <c r="AZ110" s="46">
        <f t="shared" si="162"/>
        <v>2104</v>
      </c>
      <c r="BA110" s="46">
        <f t="shared" si="162"/>
        <v>2071</v>
      </c>
      <c r="BB110" s="57">
        <f t="shared" si="162"/>
        <v>2071</v>
      </c>
      <c r="BC110" s="46">
        <f t="shared" si="162"/>
        <v>2137</v>
      </c>
      <c r="BD110" s="46">
        <f t="shared" si="162"/>
        <v>2168</v>
      </c>
      <c r="BE110" s="58">
        <f t="shared" si="162"/>
        <v>2120</v>
      </c>
      <c r="BF110" s="58">
        <f t="shared" si="162"/>
        <v>2283</v>
      </c>
      <c r="BG110" s="57">
        <f>SUM(BG106:BG109)+BG104</f>
        <v>2283</v>
      </c>
      <c r="BH110" s="58">
        <f t="shared" si="162"/>
        <v>2627</v>
      </c>
      <c r="BI110" s="58">
        <f>SUM(BI106:BI109)+BI104</f>
        <v>2918</v>
      </c>
      <c r="BJ110" s="58">
        <f t="shared" si="162"/>
        <v>2916</v>
      </c>
      <c r="BK110" s="58">
        <f t="shared" si="162"/>
        <v>2621</v>
      </c>
      <c r="BL110" s="57">
        <f t="shared" si="162"/>
        <v>2621</v>
      </c>
      <c r="BM110" s="58">
        <f>SUM(BM106:BM109)+BM104</f>
        <v>3425</v>
      </c>
      <c r="BN110" s="46">
        <f t="shared" si="162"/>
        <v>3437</v>
      </c>
      <c r="BO110" s="46">
        <f t="shared" si="162"/>
        <v>3416</v>
      </c>
      <c r="BP110" s="58">
        <f t="shared" si="162"/>
        <v>3255</v>
      </c>
      <c r="BQ110" s="57">
        <f t="shared" si="162"/>
        <v>3255</v>
      </c>
      <c r="BR110" s="58">
        <f t="shared" si="162"/>
        <v>3382</v>
      </c>
      <c r="BS110" s="58">
        <f t="shared" si="162"/>
        <v>3331</v>
      </c>
      <c r="BT110" s="46">
        <f t="shared" ca="1" si="162"/>
        <v>3369.2093710600552</v>
      </c>
      <c r="BU110" s="46">
        <f t="shared" ca="1" si="162"/>
        <v>3368.0082587125598</v>
      </c>
      <c r="BV110" s="57">
        <f t="shared" ca="1" si="162"/>
        <v>3368.0082587125598</v>
      </c>
      <c r="BW110" s="46">
        <f t="shared" ca="1" si="162"/>
        <v>3476.6084022203195</v>
      </c>
      <c r="BX110" s="46">
        <f t="shared" ca="1" si="162"/>
        <v>3548.9630614174985</v>
      </c>
      <c r="BY110" s="46">
        <f t="shared" ca="1" si="162"/>
        <v>3610.6005812775311</v>
      </c>
      <c r="BZ110" s="46">
        <f t="shared" ca="1" si="162"/>
        <v>3567.7164831913119</v>
      </c>
      <c r="CA110" s="57">
        <f t="shared" ca="1" si="162"/>
        <v>3567.7164831913119</v>
      </c>
      <c r="CB110" s="46">
        <f t="shared" ca="1" si="162"/>
        <v>3659.3931829726184</v>
      </c>
      <c r="CC110" s="46">
        <f t="shared" ca="1" si="162"/>
        <v>3729.2785961354543</v>
      </c>
      <c r="CD110" s="46">
        <f t="shared" ca="1" si="162"/>
        <v>3786.0776490941403</v>
      </c>
      <c r="CE110" s="46">
        <f t="shared" ca="1" si="162"/>
        <v>3734.7355236149551</v>
      </c>
      <c r="CF110" s="57">
        <f t="shared" ca="1" si="162"/>
        <v>3734.7355236149551</v>
      </c>
      <c r="CG110" s="46">
        <f t="shared" ca="1" si="162"/>
        <v>3825.6579889167438</v>
      </c>
      <c r="CH110" s="46">
        <f t="shared" ca="1" si="162"/>
        <v>3893.186663817648</v>
      </c>
      <c r="CI110" s="46">
        <f t="shared" ca="1" si="162"/>
        <v>3945.099431407471</v>
      </c>
      <c r="CJ110" s="46">
        <f t="shared" ca="1" si="162"/>
        <v>3884.1789029195888</v>
      </c>
      <c r="CK110" s="57">
        <f t="shared" ca="1" si="162"/>
        <v>3884.1789029195888</v>
      </c>
      <c r="CL110" s="46">
        <f t="shared" ca="1" si="162"/>
        <v>3976.0830225065829</v>
      </c>
      <c r="CM110" s="46">
        <f t="shared" ca="1" si="162"/>
        <v>4040.834175093144</v>
      </c>
      <c r="CN110" s="46">
        <f t="shared" ca="1" si="162"/>
        <v>4087.7053308560853</v>
      </c>
      <c r="CO110" s="46">
        <f t="shared" ca="1" si="162"/>
        <v>4016.8654412870969</v>
      </c>
      <c r="CP110" s="57">
        <f t="shared" ca="1" si="162"/>
        <v>4016.8654412870969</v>
      </c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</row>
    <row r="111" spans="1:109" x14ac:dyDescent="0.25">
      <c r="C111" s="94"/>
      <c r="D111" s="94"/>
      <c r="E111" s="95"/>
      <c r="F111" s="95"/>
      <c r="G111" s="95"/>
      <c r="H111" s="96"/>
      <c r="I111" s="94"/>
      <c r="J111" s="95"/>
      <c r="K111" s="95"/>
      <c r="L111" s="95"/>
      <c r="M111" s="96"/>
      <c r="N111" s="94"/>
      <c r="O111" s="95"/>
      <c r="P111" s="95"/>
      <c r="Q111" s="95"/>
      <c r="R111" s="96"/>
      <c r="S111" s="94"/>
      <c r="T111" s="95"/>
      <c r="U111" s="95"/>
      <c r="V111" s="95"/>
      <c r="W111" s="96"/>
      <c r="X111" s="94"/>
      <c r="Y111" s="95"/>
      <c r="Z111" s="95"/>
      <c r="AA111" s="95"/>
      <c r="AB111" s="95"/>
      <c r="AC111" s="94"/>
      <c r="AD111" s="95"/>
      <c r="AE111" s="95"/>
      <c r="AF111" s="95"/>
      <c r="AG111" s="95"/>
      <c r="AH111" s="94"/>
      <c r="AI111" s="95"/>
      <c r="AJ111" s="95"/>
      <c r="AK111" s="95"/>
      <c r="AL111" s="95"/>
      <c r="AM111" s="94"/>
      <c r="AN111" s="95"/>
      <c r="AO111" s="95"/>
      <c r="AP111" s="95"/>
      <c r="AQ111" s="95"/>
      <c r="AR111" s="94"/>
      <c r="AS111" s="95"/>
      <c r="AT111" s="95"/>
      <c r="AU111" s="95"/>
      <c r="AV111" s="95"/>
      <c r="AW111" s="94"/>
      <c r="AX111" s="95"/>
      <c r="AY111" s="95"/>
      <c r="AZ111" s="95"/>
      <c r="BA111" s="95"/>
      <c r="BB111" s="94"/>
      <c r="BC111" s="95"/>
      <c r="BD111" s="95"/>
      <c r="BE111" s="95"/>
      <c r="BF111" s="95"/>
      <c r="BG111" s="94"/>
      <c r="BH111" s="95"/>
      <c r="BI111" s="95"/>
      <c r="BJ111" s="95"/>
      <c r="BK111" s="95"/>
      <c r="BL111" s="94"/>
      <c r="BM111" s="95"/>
      <c r="BN111" s="95"/>
      <c r="BO111" s="95"/>
      <c r="BP111" s="95"/>
      <c r="BQ111" s="94"/>
      <c r="BR111" s="95"/>
      <c r="BS111" s="95"/>
      <c r="BT111" s="95"/>
      <c r="BU111" s="95"/>
      <c r="BV111" s="94"/>
      <c r="BW111" s="95"/>
      <c r="BX111" s="95"/>
      <c r="BY111" s="95"/>
      <c r="BZ111" s="95"/>
      <c r="CA111" s="94"/>
      <c r="CB111" s="95"/>
      <c r="CC111" s="95"/>
      <c r="CD111" s="95"/>
      <c r="CE111" s="95"/>
      <c r="CF111" s="94"/>
      <c r="CG111" s="95"/>
      <c r="CH111" s="95"/>
      <c r="CI111" s="95"/>
      <c r="CJ111" s="95"/>
      <c r="CK111" s="94"/>
      <c r="CL111" s="95"/>
      <c r="CM111" s="95"/>
      <c r="CN111" s="95"/>
      <c r="CO111" s="95"/>
      <c r="CP111" s="94"/>
    </row>
    <row r="112" spans="1:109" s="38" customFormat="1" x14ac:dyDescent="0.25">
      <c r="A112" s="38" t="s">
        <v>57</v>
      </c>
      <c r="C112" s="57"/>
      <c r="D112" s="57"/>
      <c r="E112" s="46"/>
      <c r="F112" s="46"/>
      <c r="G112" s="46"/>
      <c r="H112" s="58"/>
      <c r="I112" s="57"/>
      <c r="J112" s="46"/>
      <c r="K112" s="46"/>
      <c r="L112" s="46"/>
      <c r="M112" s="58"/>
      <c r="N112" s="57"/>
      <c r="O112" s="46"/>
      <c r="P112" s="46"/>
      <c r="Q112" s="46"/>
      <c r="R112" s="58"/>
      <c r="S112" s="57"/>
      <c r="T112" s="46"/>
      <c r="U112" s="46"/>
      <c r="V112" s="46"/>
      <c r="W112" s="58"/>
      <c r="X112" s="57"/>
      <c r="Y112" s="46"/>
      <c r="Z112" s="46"/>
      <c r="AA112" s="46"/>
      <c r="AB112" s="46"/>
      <c r="AC112" s="57"/>
      <c r="AD112" s="46"/>
      <c r="AE112" s="46"/>
      <c r="AF112" s="46"/>
      <c r="AG112" s="46"/>
      <c r="AH112" s="57"/>
      <c r="AI112" s="46"/>
      <c r="AJ112" s="46"/>
      <c r="AK112" s="46"/>
      <c r="AL112" s="46"/>
      <c r="AM112" s="57"/>
      <c r="AN112" s="46"/>
      <c r="AO112" s="46"/>
      <c r="AP112" s="46"/>
      <c r="AQ112" s="46"/>
      <c r="AR112" s="57"/>
      <c r="AS112" s="46"/>
      <c r="AT112" s="46"/>
      <c r="AU112" s="46"/>
      <c r="AV112" s="46"/>
      <c r="AW112" s="57"/>
      <c r="AX112" s="46"/>
      <c r="AY112" s="46"/>
      <c r="AZ112" s="46"/>
      <c r="BA112" s="46"/>
      <c r="BB112" s="57"/>
      <c r="BC112" s="46"/>
      <c r="BD112" s="46"/>
      <c r="BE112" s="46"/>
      <c r="BF112" s="46"/>
      <c r="BG112" s="57"/>
      <c r="BH112" s="46"/>
      <c r="BI112" s="46"/>
      <c r="BJ112" s="46"/>
      <c r="BK112" s="46"/>
      <c r="BL112" s="57"/>
      <c r="BM112" s="46"/>
      <c r="BN112" s="46"/>
      <c r="BO112" s="46"/>
      <c r="BP112" s="46"/>
      <c r="BQ112" s="57"/>
      <c r="BR112" s="46"/>
      <c r="BS112" s="46"/>
      <c r="BT112" s="46"/>
      <c r="BU112" s="46"/>
      <c r="BV112" s="57"/>
      <c r="BW112" s="46"/>
      <c r="BX112" s="46"/>
      <c r="BY112" s="46"/>
      <c r="BZ112" s="46"/>
      <c r="CA112" s="57"/>
      <c r="CB112" s="46"/>
      <c r="CC112" s="46"/>
      <c r="CD112" s="46"/>
      <c r="CE112" s="46"/>
      <c r="CF112" s="57"/>
      <c r="CG112" s="46"/>
      <c r="CH112" s="46"/>
      <c r="CI112" s="46"/>
      <c r="CJ112" s="46"/>
      <c r="CK112" s="57"/>
      <c r="CL112" s="46"/>
      <c r="CM112" s="46"/>
      <c r="CN112" s="46"/>
      <c r="CO112" s="46"/>
      <c r="CP112" s="57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</row>
    <row r="113" spans="1:109" x14ac:dyDescent="0.25">
      <c r="A113" s="52" t="s">
        <v>58</v>
      </c>
      <c r="C113" s="94">
        <f>4+6</f>
        <v>10</v>
      </c>
      <c r="D113" s="94">
        <f>9+10</f>
        <v>19</v>
      </c>
      <c r="E113" s="96">
        <v>18.899999999999999</v>
      </c>
      <c r="F113" s="96">
        <v>18.899999999999999</v>
      </c>
      <c r="G113" s="96">
        <v>18.899999999999999</v>
      </c>
      <c r="H113" s="96">
        <v>19</v>
      </c>
      <c r="I113" s="94">
        <f>H113</f>
        <v>19</v>
      </c>
      <c r="J113" s="96">
        <f>8.5+10.4</f>
        <v>18.899999999999999</v>
      </c>
      <c r="K113" s="96">
        <f>8.5+10.4</f>
        <v>18.899999999999999</v>
      </c>
      <c r="L113" s="96">
        <f>8.5+10.4</f>
        <v>18.899999999999999</v>
      </c>
      <c r="M113" s="96">
        <f>9+10</f>
        <v>19</v>
      </c>
      <c r="N113" s="94">
        <f>M113</f>
        <v>19</v>
      </c>
      <c r="O113" s="96">
        <f>8.5+10.4</f>
        <v>18.899999999999999</v>
      </c>
      <c r="P113" s="96">
        <f>8.5+10.4</f>
        <v>18.899999999999999</v>
      </c>
      <c r="Q113" s="96">
        <f>8.5+10.4</f>
        <v>18.899999999999999</v>
      </c>
      <c r="R113" s="96">
        <f>9+10</f>
        <v>19</v>
      </c>
      <c r="S113" s="94">
        <f>R113</f>
        <v>19</v>
      </c>
      <c r="T113" s="96">
        <f>8.5+10.4</f>
        <v>18.899999999999999</v>
      </c>
      <c r="U113" s="96">
        <f>8.5+10.4</f>
        <v>18.899999999999999</v>
      </c>
      <c r="V113" s="96">
        <f>8.5+10.4</f>
        <v>18.899999999999999</v>
      </c>
      <c r="W113" s="96">
        <f>9+10</f>
        <v>19</v>
      </c>
      <c r="X113" s="94">
        <f>W113</f>
        <v>19</v>
      </c>
      <c r="Y113" s="96">
        <f>8.5+10.4</f>
        <v>18.899999999999999</v>
      </c>
      <c r="Z113" s="97">
        <f>8.5+14.9</f>
        <v>23.4</v>
      </c>
      <c r="AA113" s="97">
        <f>8.5+14.9</f>
        <v>23.4</v>
      </c>
      <c r="AB113" s="97">
        <f>8.5+14.9</f>
        <v>23.4</v>
      </c>
      <c r="AC113" s="122">
        <f t="shared" ref="AA113:AC114" si="163">AB113</f>
        <v>23.4</v>
      </c>
      <c r="AD113" s="97">
        <f>8.5+14.9</f>
        <v>23.4</v>
      </c>
      <c r="AE113" s="96">
        <f>8.5+14.9</f>
        <v>23.4</v>
      </c>
      <c r="AF113" s="96">
        <f>8.5+14.9</f>
        <v>23.4</v>
      </c>
      <c r="AG113" s="96">
        <f>9+15</f>
        <v>24</v>
      </c>
      <c r="AH113" s="122">
        <f t="shared" ref="AD113:AH114" si="164">AG113</f>
        <v>24</v>
      </c>
      <c r="AI113" s="96">
        <f>8.5+14.9</f>
        <v>23.4</v>
      </c>
      <c r="AJ113" s="96">
        <f>8.5+14.9</f>
        <v>23.4</v>
      </c>
      <c r="AK113" s="96">
        <f>8.5+14.9</f>
        <v>23.4</v>
      </c>
      <c r="AL113" s="96">
        <f>9+15</f>
        <v>24</v>
      </c>
      <c r="AM113" s="122">
        <f>AL113</f>
        <v>24</v>
      </c>
      <c r="AN113" s="96">
        <f>8.5+14.9</f>
        <v>23.4</v>
      </c>
      <c r="AO113" s="96">
        <f>8.5+14.9</f>
        <v>23.4</v>
      </c>
      <c r="AP113" s="96">
        <v>23.4</v>
      </c>
      <c r="AQ113" s="96">
        <f>9+15</f>
        <v>24</v>
      </c>
      <c r="AR113" s="122">
        <f>AQ113</f>
        <v>24</v>
      </c>
      <c r="AS113" s="96">
        <f>12.8+21.3</f>
        <v>34.1</v>
      </c>
      <c r="AT113" s="96">
        <f>12.8+21.3</f>
        <v>34.1</v>
      </c>
      <c r="AU113" s="96">
        <f>12.8+21.3</f>
        <v>34.1</v>
      </c>
      <c r="AV113" s="96">
        <f>13+21</f>
        <v>34</v>
      </c>
      <c r="AW113" s="122">
        <f>AV113</f>
        <v>34</v>
      </c>
      <c r="AX113" s="96">
        <f>13+21</f>
        <v>34</v>
      </c>
      <c r="AY113" s="96">
        <f>13+21</f>
        <v>34</v>
      </c>
      <c r="AZ113" s="373">
        <f>13+21</f>
        <v>34</v>
      </c>
      <c r="BA113" s="373">
        <f>13+21</f>
        <v>34</v>
      </c>
      <c r="BB113" s="122">
        <f t="shared" ref="BB113:BG113" si="165">BA113</f>
        <v>34</v>
      </c>
      <c r="BC113" s="373">
        <f>13+21</f>
        <v>34</v>
      </c>
      <c r="BD113" s="373">
        <f>13+21</f>
        <v>34</v>
      </c>
      <c r="BE113" s="373">
        <f>13+21</f>
        <v>34</v>
      </c>
      <c r="BF113" s="373">
        <f>13+21</f>
        <v>34</v>
      </c>
      <c r="BG113" s="122">
        <f t="shared" si="165"/>
        <v>34</v>
      </c>
      <c r="BH113" s="373">
        <f>13+21</f>
        <v>34</v>
      </c>
      <c r="BI113" s="373">
        <f>13+21</f>
        <v>34</v>
      </c>
      <c r="BJ113" s="373">
        <f>13+21</f>
        <v>34</v>
      </c>
      <c r="BK113" s="373">
        <f>13+21</f>
        <v>34</v>
      </c>
      <c r="BL113" s="122">
        <f t="shared" ref="BL113:CA113" si="166">BK113</f>
        <v>34</v>
      </c>
      <c r="BM113" s="373">
        <f>25+43</f>
        <v>68</v>
      </c>
      <c r="BN113" s="373">
        <f>25+43</f>
        <v>68</v>
      </c>
      <c r="BO113" s="373">
        <f>25+43</f>
        <v>68</v>
      </c>
      <c r="BP113" s="373">
        <f>25+43</f>
        <v>68</v>
      </c>
      <c r="BQ113" s="122">
        <f t="shared" si="166"/>
        <v>68</v>
      </c>
      <c r="BR113" s="373">
        <f>25+33</f>
        <v>58</v>
      </c>
      <c r="BS113" s="373">
        <f t="shared" si="166"/>
        <v>58</v>
      </c>
      <c r="BT113" s="121">
        <f t="shared" si="166"/>
        <v>58</v>
      </c>
      <c r="BU113" s="121">
        <f t="shared" si="166"/>
        <v>58</v>
      </c>
      <c r="BV113" s="122">
        <f t="shared" si="166"/>
        <v>58</v>
      </c>
      <c r="BW113" s="121">
        <f t="shared" si="166"/>
        <v>58</v>
      </c>
      <c r="BX113" s="121">
        <f t="shared" si="166"/>
        <v>58</v>
      </c>
      <c r="BY113" s="121">
        <f t="shared" si="166"/>
        <v>58</v>
      </c>
      <c r="BZ113" s="121">
        <f t="shared" si="166"/>
        <v>58</v>
      </c>
      <c r="CA113" s="122">
        <f t="shared" si="166"/>
        <v>58</v>
      </c>
      <c r="CB113" s="121">
        <f t="shared" ref="CB113:CF114" si="167">CA113</f>
        <v>58</v>
      </c>
      <c r="CC113" s="121">
        <f t="shared" si="167"/>
        <v>58</v>
      </c>
      <c r="CD113" s="121">
        <f t="shared" si="167"/>
        <v>58</v>
      </c>
      <c r="CE113" s="121">
        <f t="shared" si="167"/>
        <v>58</v>
      </c>
      <c r="CF113" s="122">
        <f t="shared" si="167"/>
        <v>58</v>
      </c>
      <c r="CG113" s="121">
        <f t="shared" ref="CG113:CK114" si="168">CF113</f>
        <v>58</v>
      </c>
      <c r="CH113" s="121">
        <f t="shared" si="168"/>
        <v>58</v>
      </c>
      <c r="CI113" s="121">
        <f t="shared" si="168"/>
        <v>58</v>
      </c>
      <c r="CJ113" s="121">
        <f t="shared" si="168"/>
        <v>58</v>
      </c>
      <c r="CK113" s="122">
        <f t="shared" si="168"/>
        <v>58</v>
      </c>
      <c r="CL113" s="121">
        <f t="shared" ref="CL113:CP114" si="169">CK113</f>
        <v>58</v>
      </c>
      <c r="CM113" s="121">
        <f t="shared" si="169"/>
        <v>58</v>
      </c>
      <c r="CN113" s="121">
        <f t="shared" si="169"/>
        <v>58</v>
      </c>
      <c r="CO113" s="121">
        <f t="shared" si="169"/>
        <v>58</v>
      </c>
      <c r="CP113" s="122">
        <f t="shared" si="169"/>
        <v>58</v>
      </c>
    </row>
    <row r="114" spans="1:109" hidden="1" x14ac:dyDescent="0.25">
      <c r="A114" s="52" t="s">
        <v>161</v>
      </c>
      <c r="C114" s="94">
        <v>0</v>
      </c>
      <c r="D114" s="94">
        <v>0</v>
      </c>
      <c r="E114" s="95">
        <f>D114</f>
        <v>0</v>
      </c>
      <c r="F114" s="96">
        <v>0</v>
      </c>
      <c r="G114" s="96">
        <v>0</v>
      </c>
      <c r="H114" s="96">
        <v>0</v>
      </c>
      <c r="I114" s="94">
        <f>H114</f>
        <v>0</v>
      </c>
      <c r="J114" s="95">
        <f>I114</f>
        <v>0</v>
      </c>
      <c r="K114" s="96">
        <f>J114</f>
        <v>0</v>
      </c>
      <c r="L114" s="96">
        <f>K114</f>
        <v>0</v>
      </c>
      <c r="M114" s="96">
        <v>0</v>
      </c>
      <c r="N114" s="94">
        <f>M114</f>
        <v>0</v>
      </c>
      <c r="O114" s="95">
        <v>0</v>
      </c>
      <c r="P114" s="96">
        <v>0</v>
      </c>
      <c r="Q114" s="96">
        <v>0</v>
      </c>
      <c r="R114" s="96">
        <v>0</v>
      </c>
      <c r="S114" s="94">
        <f>R114</f>
        <v>0</v>
      </c>
      <c r="T114" s="95">
        <v>0</v>
      </c>
      <c r="U114" s="96">
        <v>0</v>
      </c>
      <c r="V114" s="96">
        <v>0</v>
      </c>
      <c r="W114" s="96">
        <v>0</v>
      </c>
      <c r="X114" s="94">
        <f>W114</f>
        <v>0</v>
      </c>
      <c r="Y114" s="96">
        <v>0</v>
      </c>
      <c r="Z114" s="97">
        <v>0</v>
      </c>
      <c r="AA114" s="183">
        <f t="shared" si="163"/>
        <v>0</v>
      </c>
      <c r="AB114" s="183">
        <f t="shared" si="163"/>
        <v>0</v>
      </c>
      <c r="AC114" s="94">
        <f t="shared" si="163"/>
        <v>0</v>
      </c>
      <c r="AD114" s="183">
        <f t="shared" si="164"/>
        <v>0</v>
      </c>
      <c r="AE114" s="183">
        <f t="shared" si="164"/>
        <v>0</v>
      </c>
      <c r="AF114" s="121">
        <f t="shared" si="164"/>
        <v>0</v>
      </c>
      <c r="AG114" s="96">
        <f t="shared" si="164"/>
        <v>0</v>
      </c>
      <c r="AH114" s="94">
        <f t="shared" si="164"/>
        <v>0</v>
      </c>
      <c r="AI114" s="96">
        <f t="shared" ref="AI114:BG114" si="170">AH114</f>
        <v>0</v>
      </c>
      <c r="AJ114" s="96">
        <f t="shared" si="170"/>
        <v>0</v>
      </c>
      <c r="AK114" s="96">
        <f t="shared" si="170"/>
        <v>0</v>
      </c>
      <c r="AL114" s="96">
        <f t="shared" si="170"/>
        <v>0</v>
      </c>
      <c r="AM114" s="94">
        <f t="shared" si="170"/>
        <v>0</v>
      </c>
      <c r="AN114" s="96">
        <f t="shared" si="170"/>
        <v>0</v>
      </c>
      <c r="AO114" s="96">
        <f t="shared" si="170"/>
        <v>0</v>
      </c>
      <c r="AP114" s="96">
        <f t="shared" si="170"/>
        <v>0</v>
      </c>
      <c r="AQ114" s="96">
        <f t="shared" si="170"/>
        <v>0</v>
      </c>
      <c r="AR114" s="94">
        <f>AQ114</f>
        <v>0</v>
      </c>
      <c r="AS114" s="96">
        <f t="shared" si="170"/>
        <v>0</v>
      </c>
      <c r="AT114" s="96">
        <f t="shared" si="170"/>
        <v>0</v>
      </c>
      <c r="AU114" s="96">
        <f t="shared" si="170"/>
        <v>0</v>
      </c>
      <c r="AV114" s="96">
        <f t="shared" si="170"/>
        <v>0</v>
      </c>
      <c r="AW114" s="94">
        <f t="shared" si="170"/>
        <v>0</v>
      </c>
      <c r="AX114" s="96">
        <f t="shared" si="170"/>
        <v>0</v>
      </c>
      <c r="AY114" s="96">
        <f t="shared" si="170"/>
        <v>0</v>
      </c>
      <c r="AZ114" s="373">
        <f t="shared" si="170"/>
        <v>0</v>
      </c>
      <c r="BA114" s="373">
        <f t="shared" si="170"/>
        <v>0</v>
      </c>
      <c r="BB114" s="375">
        <f t="shared" si="170"/>
        <v>0</v>
      </c>
      <c r="BC114" s="373">
        <f t="shared" si="170"/>
        <v>0</v>
      </c>
      <c r="BD114" s="373">
        <f t="shared" si="170"/>
        <v>0</v>
      </c>
      <c r="BE114" s="373">
        <f t="shared" si="170"/>
        <v>0</v>
      </c>
      <c r="BF114" s="373">
        <f t="shared" si="170"/>
        <v>0</v>
      </c>
      <c r="BG114" s="375">
        <f t="shared" si="170"/>
        <v>0</v>
      </c>
      <c r="BH114" s="373">
        <f t="shared" ref="BH114:CA114" si="171">BG114</f>
        <v>0</v>
      </c>
      <c r="BI114" s="373">
        <f t="shared" si="171"/>
        <v>0</v>
      </c>
      <c r="BJ114" s="373">
        <f t="shared" si="171"/>
        <v>0</v>
      </c>
      <c r="BK114" s="373">
        <f t="shared" si="171"/>
        <v>0</v>
      </c>
      <c r="BL114" s="94">
        <f t="shared" si="171"/>
        <v>0</v>
      </c>
      <c r="BM114" s="373">
        <v>0</v>
      </c>
      <c r="BN114" s="373">
        <v>0</v>
      </c>
      <c r="BO114" s="373">
        <v>0</v>
      </c>
      <c r="BP114" s="373">
        <f t="shared" si="171"/>
        <v>0</v>
      </c>
      <c r="BQ114" s="375">
        <f t="shared" si="171"/>
        <v>0</v>
      </c>
      <c r="BR114" s="373">
        <f t="shared" si="171"/>
        <v>0</v>
      </c>
      <c r="BS114" s="373">
        <f t="shared" si="171"/>
        <v>0</v>
      </c>
      <c r="BT114" s="373">
        <f t="shared" si="171"/>
        <v>0</v>
      </c>
      <c r="BU114" s="373">
        <f t="shared" si="171"/>
        <v>0</v>
      </c>
      <c r="BV114" s="375">
        <f t="shared" si="171"/>
        <v>0</v>
      </c>
      <c r="BW114" s="373">
        <f t="shared" si="171"/>
        <v>0</v>
      </c>
      <c r="BX114" s="373">
        <f t="shared" si="171"/>
        <v>0</v>
      </c>
      <c r="BY114" s="373">
        <f t="shared" si="171"/>
        <v>0</v>
      </c>
      <c r="BZ114" s="373">
        <f t="shared" si="171"/>
        <v>0</v>
      </c>
      <c r="CA114" s="375">
        <f t="shared" si="171"/>
        <v>0</v>
      </c>
      <c r="CB114" s="373">
        <f t="shared" si="167"/>
        <v>0</v>
      </c>
      <c r="CC114" s="373">
        <f t="shared" si="167"/>
        <v>0</v>
      </c>
      <c r="CD114" s="373">
        <f t="shared" si="167"/>
        <v>0</v>
      </c>
      <c r="CE114" s="373">
        <f t="shared" si="167"/>
        <v>0</v>
      </c>
      <c r="CF114" s="375">
        <f t="shared" si="167"/>
        <v>0</v>
      </c>
      <c r="CG114" s="373">
        <f t="shared" si="168"/>
        <v>0</v>
      </c>
      <c r="CH114" s="373">
        <f t="shared" si="168"/>
        <v>0</v>
      </c>
      <c r="CI114" s="373">
        <f t="shared" si="168"/>
        <v>0</v>
      </c>
      <c r="CJ114" s="373">
        <f t="shared" si="168"/>
        <v>0</v>
      </c>
      <c r="CK114" s="375">
        <f t="shared" si="168"/>
        <v>0</v>
      </c>
      <c r="CL114" s="373">
        <f t="shared" si="169"/>
        <v>0</v>
      </c>
      <c r="CM114" s="373">
        <f t="shared" si="169"/>
        <v>0</v>
      </c>
      <c r="CN114" s="373">
        <f t="shared" si="169"/>
        <v>0</v>
      </c>
      <c r="CO114" s="373">
        <f t="shared" si="169"/>
        <v>0</v>
      </c>
      <c r="CP114" s="375">
        <f t="shared" si="169"/>
        <v>0</v>
      </c>
    </row>
    <row r="115" spans="1:109" x14ac:dyDescent="0.25">
      <c r="A115" s="52" t="s">
        <v>59</v>
      </c>
      <c r="C115" s="94">
        <v>1506</v>
      </c>
      <c r="D115" s="94">
        <v>1236</v>
      </c>
      <c r="E115" s="95">
        <v>1236.4000000000001</v>
      </c>
      <c r="F115" s="96">
        <v>1340.2</v>
      </c>
      <c r="G115" s="95">
        <v>1376.1</v>
      </c>
      <c r="H115" s="96">
        <f>1415+34</f>
        <v>1449</v>
      </c>
      <c r="I115" s="94">
        <f>+H115</f>
        <v>1449</v>
      </c>
      <c r="J115" s="95">
        <f>1262.2-J113-J114-J116-J117</f>
        <v>1405.2</v>
      </c>
      <c r="K115" s="96">
        <f>1400-K113-K114-K116-K117</f>
        <v>1516.1999999999998</v>
      </c>
      <c r="L115" s="95">
        <f>1461.6-L117-L116-L113-L114</f>
        <v>1570.9999999999998</v>
      </c>
      <c r="M115" s="96">
        <f>1607+47</f>
        <v>1654</v>
      </c>
      <c r="N115" s="94">
        <f>+M115</f>
        <v>1654</v>
      </c>
      <c r="O115" s="95">
        <f>1639.8+48.3</f>
        <v>1688.1</v>
      </c>
      <c r="P115" s="96">
        <f>1765.5+51.1</f>
        <v>1816.6</v>
      </c>
      <c r="Q115" s="95">
        <f>1796.2+52.4</f>
        <v>1848.6000000000001</v>
      </c>
      <c r="R115" s="96">
        <f>1649+64</f>
        <v>1713</v>
      </c>
      <c r="S115" s="94">
        <f>+R115</f>
        <v>1713</v>
      </c>
      <c r="T115" s="95">
        <f>1670.2+73</f>
        <v>1743.2</v>
      </c>
      <c r="U115" s="96">
        <f>1799.5+75.9</f>
        <v>1875.4</v>
      </c>
      <c r="V115" s="95">
        <f>1832.2+75.1</f>
        <v>1907.3</v>
      </c>
      <c r="W115" s="96">
        <f>1931+74</f>
        <v>2005</v>
      </c>
      <c r="X115" s="94">
        <f>+W115</f>
        <v>2005</v>
      </c>
      <c r="Y115" s="96">
        <f>1934.3+69.7</f>
        <v>2004</v>
      </c>
      <c r="Z115" s="97">
        <f>2072.9+70.6</f>
        <v>2143.5</v>
      </c>
      <c r="AA115" s="95">
        <f>2109.6+69.7</f>
        <v>2179.2999999999997</v>
      </c>
      <c r="AB115" s="95">
        <f>67.6+2189.2</f>
        <v>2256.7999999999997</v>
      </c>
      <c r="AC115" s="94">
        <f>+AB115</f>
        <v>2256.7999999999997</v>
      </c>
      <c r="AD115" s="95">
        <f>69.6+2224.6</f>
        <v>2294.1999999999998</v>
      </c>
      <c r="AE115" s="95">
        <f>2372+67.3</f>
        <v>2439.3000000000002</v>
      </c>
      <c r="AF115" s="96">
        <f>63.7+2391.8</f>
        <v>2455.5</v>
      </c>
      <c r="AG115" s="96">
        <f>59+2464</f>
        <v>2523</v>
      </c>
      <c r="AH115" s="94">
        <f>+AG115</f>
        <v>2523</v>
      </c>
      <c r="AI115" s="96">
        <f>60.3+2487.9</f>
        <v>2548.2000000000003</v>
      </c>
      <c r="AJ115" s="96">
        <f>2641.9+60</f>
        <v>2701.9</v>
      </c>
      <c r="AK115" s="96">
        <f>57.1+2544.6</f>
        <v>2601.6999999999998</v>
      </c>
      <c r="AL115" s="96">
        <f>55+2710</f>
        <v>2765</v>
      </c>
      <c r="AM115" s="94">
        <f>+AL115</f>
        <v>2765</v>
      </c>
      <c r="AN115" s="96">
        <f>2735.4+57.3</f>
        <v>2792.7000000000003</v>
      </c>
      <c r="AO115" s="96">
        <f>2893.2+58.8</f>
        <v>2952</v>
      </c>
      <c r="AP115" s="96">
        <f>2034.7-AP113-AP116-AP117</f>
        <v>3000.5</v>
      </c>
      <c r="AQ115" s="96">
        <f>3031+49</f>
        <v>3080</v>
      </c>
      <c r="AR115" s="94">
        <f>+AQ115</f>
        <v>3080</v>
      </c>
      <c r="AS115" s="96">
        <f>59.3+3057</f>
        <v>3116.3</v>
      </c>
      <c r="AT115" s="96">
        <v>3207.8</v>
      </c>
      <c r="AU115" s="96">
        <f>2391.9+70.9</f>
        <v>2462.8000000000002</v>
      </c>
      <c r="AV115" s="96">
        <f>2500+71</f>
        <v>2571</v>
      </c>
      <c r="AW115" s="94">
        <f>+AV115</f>
        <v>2571</v>
      </c>
      <c r="AX115" s="96">
        <f>2527+77</f>
        <v>2604</v>
      </c>
      <c r="AY115" s="96">
        <f>2729+80</f>
        <v>2809</v>
      </c>
      <c r="AZ115" s="95">
        <f>2777+80</f>
        <v>2857</v>
      </c>
      <c r="BA115" s="95">
        <f>2894+81</f>
        <v>2975</v>
      </c>
      <c r="BB115" s="94">
        <f>+BA115</f>
        <v>2975</v>
      </c>
      <c r="BC115" s="95">
        <f>2908+97</f>
        <v>3005</v>
      </c>
      <c r="BD115" s="95">
        <f>3114+99</f>
        <v>3213</v>
      </c>
      <c r="BE115" s="95">
        <f>3166+99</f>
        <v>3265</v>
      </c>
      <c r="BF115" s="95">
        <f>3300+99</f>
        <v>3399</v>
      </c>
      <c r="BG115" s="94">
        <f>+BF115</f>
        <v>3399</v>
      </c>
      <c r="BH115" s="95">
        <f>3309+111</f>
        <v>3420</v>
      </c>
      <c r="BI115" s="95">
        <f>3508+115</f>
        <v>3623</v>
      </c>
      <c r="BJ115" s="95">
        <f>3561+114</f>
        <v>3675</v>
      </c>
      <c r="BK115" s="95">
        <f>114+4065</f>
        <v>4179</v>
      </c>
      <c r="BL115" s="94">
        <f>+BK115</f>
        <v>4179</v>
      </c>
      <c r="BM115" s="95">
        <f>4085+74</f>
        <v>4159</v>
      </c>
      <c r="BN115" s="95">
        <f>4283+74</f>
        <v>4357</v>
      </c>
      <c r="BO115" s="95">
        <f>4326+74</f>
        <v>4400</v>
      </c>
      <c r="BP115" s="95">
        <f>4470+65</f>
        <v>4535</v>
      </c>
      <c r="BQ115" s="94">
        <f>+BP115</f>
        <v>4535</v>
      </c>
      <c r="BR115" s="95">
        <f>1824+47</f>
        <v>1871</v>
      </c>
      <c r="BS115" s="95">
        <f>+BR115+BS50+BS151</f>
        <v>2040</v>
      </c>
      <c r="BT115" s="95">
        <f ca="1">+BS115+BT50+BT151</f>
        <v>2160.5783197417086</v>
      </c>
      <c r="BU115" s="95">
        <f ca="1">+BT115+BU50+BU151</f>
        <v>2233.1646404712519</v>
      </c>
      <c r="BV115" s="94">
        <f ca="1">+BU115</f>
        <v>2233.1646404712519</v>
      </c>
      <c r="BW115" s="95">
        <f ca="1">+BV115+BW50+BW151</f>
        <v>2338.1067917668415</v>
      </c>
      <c r="BX115" s="95">
        <f ca="1">+BW115+BX50+BX151</f>
        <v>2512.7449862728922</v>
      </c>
      <c r="BY115" s="95">
        <f ca="1">+BX115+BY50+BY151</f>
        <v>2646.9613287403131</v>
      </c>
      <c r="BZ115" s="95">
        <f ca="1">+BY115+BZ50+BZ151</f>
        <v>2728.6294621271109</v>
      </c>
      <c r="CA115" s="94">
        <f ca="1">+BZ115</f>
        <v>2728.6294621271109</v>
      </c>
      <c r="CB115" s="95">
        <f ca="1">+CA115+CB50+CB151</f>
        <v>2836.4758395797144</v>
      </c>
      <c r="CC115" s="95">
        <f ca="1">+CB115+CC50+CC151</f>
        <v>3017.6889937730625</v>
      </c>
      <c r="CD115" s="95">
        <f ca="1">+CC115+CD50+CD151</f>
        <v>3157.495720264988</v>
      </c>
      <c r="CE115" s="95">
        <f ca="1">+CD115+CE50+CE151</f>
        <v>3241.5440190628328</v>
      </c>
      <c r="CF115" s="94">
        <f ca="1">+CE115</f>
        <v>3241.5440190628328</v>
      </c>
      <c r="CG115" s="95">
        <f ca="1">+CF115+CG50+CG151</f>
        <v>3353.2451570723124</v>
      </c>
      <c r="CH115" s="95">
        <f ca="1">+CG115+CH50+CH151</f>
        <v>3542.659252411584</v>
      </c>
      <c r="CI115" s="95">
        <f ca="1">+CH115+CI50+CI151</f>
        <v>3689.777238452024</v>
      </c>
      <c r="CJ115" s="95">
        <f ca="1">+CI115+CJ50+CJ151</f>
        <v>3777.9142319902044</v>
      </c>
      <c r="CK115" s="94">
        <f ca="1">+CJ115</f>
        <v>3777.9142319902044</v>
      </c>
      <c r="CL115" s="95">
        <f ca="1">+CK115+CL50+CL151</f>
        <v>3894.4823513983001</v>
      </c>
      <c r="CM115" s="95">
        <f ca="1">+CL115+CM50+CM151</f>
        <v>4092.6767997252505</v>
      </c>
      <c r="CN115" s="95">
        <f ca="1">+CM115+CN50+CN151</f>
        <v>4247.415152419072</v>
      </c>
      <c r="CO115" s="95">
        <f ca="1">+CN115+CO50+CO151</f>
        <v>4339.8920809368665</v>
      </c>
      <c r="CP115" s="94">
        <f ca="1">+CO115</f>
        <v>4339.8920809368665</v>
      </c>
    </row>
    <row r="116" spans="1:109" x14ac:dyDescent="0.25">
      <c r="A116" s="52" t="s">
        <v>60</v>
      </c>
      <c r="C116" s="94">
        <v>-83</v>
      </c>
      <c r="D116" s="94">
        <v>-14</v>
      </c>
      <c r="E116" s="95">
        <v>-12.4</v>
      </c>
      <c r="F116" s="96">
        <v>-4.7</v>
      </c>
      <c r="G116" s="95">
        <v>-3.4</v>
      </c>
      <c r="H116" s="96">
        <f>27-38+0</f>
        <v>-11</v>
      </c>
      <c r="I116" s="94">
        <f>+H116</f>
        <v>-11</v>
      </c>
      <c r="J116" s="95">
        <v>-20.7</v>
      </c>
      <c r="K116" s="96">
        <v>4.9000000000000004</v>
      </c>
      <c r="L116" s="95">
        <v>6</v>
      </c>
      <c r="M116" s="96">
        <f>-5+24-1</f>
        <v>18</v>
      </c>
      <c r="N116" s="94">
        <f>+M116</f>
        <v>18</v>
      </c>
      <c r="O116" s="95">
        <v>21.1</v>
      </c>
      <c r="P116" s="96">
        <v>21.1</v>
      </c>
      <c r="Q116" s="95">
        <v>27</v>
      </c>
      <c r="R116" s="96">
        <f>-99+46-4</f>
        <v>-57</v>
      </c>
      <c r="S116" s="94">
        <f>+R116</f>
        <v>-57</v>
      </c>
      <c r="T116" s="95">
        <v>-54.3</v>
      </c>
      <c r="U116" s="96">
        <v>-33.6</v>
      </c>
      <c r="V116" s="95">
        <v>-23.8</v>
      </c>
      <c r="W116" s="96">
        <f>-88+99-6</f>
        <v>5</v>
      </c>
      <c r="X116" s="94">
        <f>+W116</f>
        <v>5</v>
      </c>
      <c r="Y116" s="96">
        <v>26.8</v>
      </c>
      <c r="Z116" s="97">
        <f>-57.1</f>
        <v>-57.1</v>
      </c>
      <c r="AA116" s="95">
        <v>-73</v>
      </c>
      <c r="AB116" s="95">
        <v>-133</v>
      </c>
      <c r="AC116" s="94">
        <f>+AB116</f>
        <v>-133</v>
      </c>
      <c r="AD116" s="95">
        <v>-132.69999999999999</v>
      </c>
      <c r="AE116" s="96">
        <v>-122.8</v>
      </c>
      <c r="AF116" s="96">
        <v>-117.1</v>
      </c>
      <c r="AG116" s="96">
        <f>-190+11+3</f>
        <v>-176</v>
      </c>
      <c r="AH116" s="94">
        <f>+AG116</f>
        <v>-176</v>
      </c>
      <c r="AI116" s="96">
        <v>-184.9</v>
      </c>
      <c r="AJ116" s="96">
        <v>-173.7</v>
      </c>
      <c r="AK116" s="96">
        <v>-167.6</v>
      </c>
      <c r="AL116" s="96">
        <f>-165+48-14</f>
        <v>-131</v>
      </c>
      <c r="AM116" s="94">
        <f>+AL116</f>
        <v>-131</v>
      </c>
      <c r="AN116" s="96">
        <v>-132</v>
      </c>
      <c r="AO116" s="96">
        <v>-158.4</v>
      </c>
      <c r="AP116" s="96">
        <v>-158.4</v>
      </c>
      <c r="AQ116" s="96">
        <f>-220-7-3</f>
        <v>-230</v>
      </c>
      <c r="AR116" s="94">
        <f>+AQ116</f>
        <v>-230</v>
      </c>
      <c r="AS116" s="96">
        <f>-20.2-215.4+4.1</f>
        <v>-231.5</v>
      </c>
      <c r="AT116" s="96">
        <f>67-7.7-210.6-4.7</f>
        <v>-156</v>
      </c>
      <c r="AU116" s="96">
        <f>6.3-206.1-6.6</f>
        <v>-206.39999999999998</v>
      </c>
      <c r="AV116" s="96">
        <f>-221+10</f>
        <v>-211</v>
      </c>
      <c r="AW116" s="94">
        <f>+AV116</f>
        <v>-211</v>
      </c>
      <c r="AX116" s="96">
        <v>-212</v>
      </c>
      <c r="AY116" s="96">
        <v>-201</v>
      </c>
      <c r="AZ116" s="95">
        <v>-203</v>
      </c>
      <c r="BA116" s="95">
        <v>-188</v>
      </c>
      <c r="BB116" s="94">
        <f>+BA116</f>
        <v>-188</v>
      </c>
      <c r="BC116" s="95">
        <v>-195</v>
      </c>
      <c r="BD116" s="95">
        <v>-191</v>
      </c>
      <c r="BE116" s="95">
        <v>-215</v>
      </c>
      <c r="BF116" s="95">
        <v>-300</v>
      </c>
      <c r="BG116" s="94">
        <f>+BF116</f>
        <v>-300</v>
      </c>
      <c r="BH116" s="95">
        <v>-304</v>
      </c>
      <c r="BI116" s="95">
        <v>-306</v>
      </c>
      <c r="BJ116" s="95">
        <v>-323</v>
      </c>
      <c r="BK116" s="95">
        <v>-350</v>
      </c>
      <c r="BL116" s="94">
        <f>+BK116</f>
        <v>-350</v>
      </c>
      <c r="BM116" s="95">
        <v>-402</v>
      </c>
      <c r="BN116" s="95">
        <v>-407</v>
      </c>
      <c r="BO116" s="95">
        <v>-433</v>
      </c>
      <c r="BP116" s="95">
        <v>-390</v>
      </c>
      <c r="BQ116" s="94">
        <f>+BP116</f>
        <v>-390</v>
      </c>
      <c r="BR116" s="95">
        <f>-376</f>
        <v>-376</v>
      </c>
      <c r="BS116" s="425">
        <f>1647-BS113-BS115-BS117</f>
        <v>-318</v>
      </c>
      <c r="BT116" s="95">
        <f>+BS116</f>
        <v>-318</v>
      </c>
      <c r="BU116" s="95">
        <f>+BT116</f>
        <v>-318</v>
      </c>
      <c r="BV116" s="94">
        <f>+BU116</f>
        <v>-318</v>
      </c>
      <c r="BW116" s="95">
        <f>+BV116</f>
        <v>-318</v>
      </c>
      <c r="BX116" s="95">
        <f>+BW116</f>
        <v>-318</v>
      </c>
      <c r="BY116" s="95">
        <f>+BX116</f>
        <v>-318</v>
      </c>
      <c r="BZ116" s="95">
        <f>+BY116</f>
        <v>-318</v>
      </c>
      <c r="CA116" s="94">
        <f>+BZ116</f>
        <v>-318</v>
      </c>
      <c r="CB116" s="95">
        <f>+CA116</f>
        <v>-318</v>
      </c>
      <c r="CC116" s="95">
        <f>+CB116</f>
        <v>-318</v>
      </c>
      <c r="CD116" s="95">
        <f>+CC116</f>
        <v>-318</v>
      </c>
      <c r="CE116" s="95">
        <f>+CD116</f>
        <v>-318</v>
      </c>
      <c r="CF116" s="94">
        <f>+CE116</f>
        <v>-318</v>
      </c>
      <c r="CG116" s="95">
        <f>+CF116</f>
        <v>-318</v>
      </c>
      <c r="CH116" s="95">
        <f>+CG116</f>
        <v>-318</v>
      </c>
      <c r="CI116" s="95">
        <f>+CH116</f>
        <v>-318</v>
      </c>
      <c r="CJ116" s="95">
        <f>+CI116</f>
        <v>-318</v>
      </c>
      <c r="CK116" s="94">
        <f>+CJ116</f>
        <v>-318</v>
      </c>
      <c r="CL116" s="95">
        <f>+CK116</f>
        <v>-318</v>
      </c>
      <c r="CM116" s="95">
        <f>+CL116</f>
        <v>-318</v>
      </c>
      <c r="CN116" s="95">
        <f>+CM116</f>
        <v>-318</v>
      </c>
      <c r="CO116" s="95">
        <f>+CN116</f>
        <v>-318</v>
      </c>
      <c r="CP116" s="94">
        <f>+CO116</f>
        <v>-318</v>
      </c>
    </row>
    <row r="117" spans="1:109" x14ac:dyDescent="0.25">
      <c r="A117" s="52" t="s">
        <v>61</v>
      </c>
      <c r="C117" s="177">
        <v>-593</v>
      </c>
      <c r="D117" s="177">
        <v>-156</v>
      </c>
      <c r="E117" s="179">
        <v>-149.6</v>
      </c>
      <c r="F117" s="178">
        <v>-151.6</v>
      </c>
      <c r="G117" s="179">
        <v>-150.4</v>
      </c>
      <c r="H117" s="178">
        <v>-147</v>
      </c>
      <c r="I117" s="177">
        <f>+H117</f>
        <v>-147</v>
      </c>
      <c r="J117" s="179">
        <v>-141.19999999999999</v>
      </c>
      <c r="K117" s="178">
        <v>-140</v>
      </c>
      <c r="L117" s="179">
        <v>-134.30000000000001</v>
      </c>
      <c r="M117" s="178">
        <v>-128</v>
      </c>
      <c r="N117" s="177">
        <f>+M117</f>
        <v>-128</v>
      </c>
      <c r="O117" s="179">
        <v>-114.3</v>
      </c>
      <c r="P117" s="178">
        <v>-107</v>
      </c>
      <c r="Q117" s="179">
        <v>-105.3</v>
      </c>
      <c r="R117" s="178">
        <v>-102</v>
      </c>
      <c r="S117" s="177">
        <f>+R117</f>
        <v>-102</v>
      </c>
      <c r="T117" s="179">
        <v>-100.9</v>
      </c>
      <c r="U117" s="178">
        <v>-110.7</v>
      </c>
      <c r="V117" s="179">
        <v>-207.8</v>
      </c>
      <c r="W117" s="178">
        <f>-304</f>
        <v>-304</v>
      </c>
      <c r="X117" s="177">
        <f>+W117</f>
        <v>-304</v>
      </c>
      <c r="Y117" s="178">
        <v>-298.7</v>
      </c>
      <c r="Z117" s="180">
        <v>-297.60000000000002</v>
      </c>
      <c r="AA117" s="179">
        <v>-318.10000000000002</v>
      </c>
      <c r="AB117" s="179">
        <v>-331.4</v>
      </c>
      <c r="AC117" s="177">
        <f>+AB117</f>
        <v>-331.4</v>
      </c>
      <c r="AD117" s="179">
        <v>-381.9</v>
      </c>
      <c r="AE117" s="178">
        <v>-465.7</v>
      </c>
      <c r="AF117" s="178">
        <f>-480</f>
        <v>-480</v>
      </c>
      <c r="AG117" s="178">
        <v>-476</v>
      </c>
      <c r="AH117" s="177">
        <f>+AG117</f>
        <v>-476</v>
      </c>
      <c r="AI117" s="178">
        <v>-519.79999999999995</v>
      </c>
      <c r="AJ117" s="178">
        <v>-576.20000000000005</v>
      </c>
      <c r="AK117" s="178">
        <v>-583.79999999999995</v>
      </c>
      <c r="AL117" s="178">
        <v>-598</v>
      </c>
      <c r="AM117" s="177">
        <f>+AL117</f>
        <v>-598</v>
      </c>
      <c r="AN117" s="178">
        <v>-613.9</v>
      </c>
      <c r="AO117" s="178">
        <v>-810.8</v>
      </c>
      <c r="AP117" s="178">
        <v>-830.8</v>
      </c>
      <c r="AQ117" s="178">
        <v>-805</v>
      </c>
      <c r="AR117" s="177">
        <f>+AQ117</f>
        <v>-805</v>
      </c>
      <c r="AS117" s="178">
        <v>-796.9</v>
      </c>
      <c r="AT117" s="178">
        <v>-781.1</v>
      </c>
      <c r="AU117" s="178">
        <v>-771.7</v>
      </c>
      <c r="AV117" s="178">
        <v>-766</v>
      </c>
      <c r="AW117" s="177">
        <f>+AV117</f>
        <v>-766</v>
      </c>
      <c r="AX117" s="178">
        <v>-760</v>
      </c>
      <c r="AY117" s="178">
        <v>-804</v>
      </c>
      <c r="AZ117" s="179">
        <v>-799</v>
      </c>
      <c r="BA117" s="179">
        <v>-789</v>
      </c>
      <c r="BB117" s="177">
        <f>+BA117</f>
        <v>-789</v>
      </c>
      <c r="BC117" s="179">
        <v>-790</v>
      </c>
      <c r="BD117" s="179">
        <v>-981</v>
      </c>
      <c r="BE117" s="179">
        <v>-1043</v>
      </c>
      <c r="BF117" s="179">
        <v>-1228</v>
      </c>
      <c r="BG117" s="177">
        <f>+BF117</f>
        <v>-1228</v>
      </c>
      <c r="BH117" s="179">
        <v>-1443</v>
      </c>
      <c r="BI117" s="179">
        <v>-1950</v>
      </c>
      <c r="BJ117" s="179">
        <v>-1969</v>
      </c>
      <c r="BK117" s="179">
        <v>-2301</v>
      </c>
      <c r="BL117" s="177">
        <f>+BK117</f>
        <v>-2301</v>
      </c>
      <c r="BM117" s="179">
        <v>-2495</v>
      </c>
      <c r="BN117" s="179">
        <v>-2735</v>
      </c>
      <c r="BO117" s="179">
        <v>-2851</v>
      </c>
      <c r="BP117" s="179">
        <v>-2843</v>
      </c>
      <c r="BQ117" s="177">
        <f>+BP117</f>
        <v>-2843</v>
      </c>
      <c r="BR117" s="179">
        <v>-133</v>
      </c>
      <c r="BS117" s="179">
        <f>+BR117+BS173</f>
        <v>-133</v>
      </c>
      <c r="BT117" s="179">
        <f>+BS117+BT173</f>
        <v>-283</v>
      </c>
      <c r="BU117" s="179">
        <f>+BT117+BU173</f>
        <v>-433</v>
      </c>
      <c r="BV117" s="177">
        <f>+BU117</f>
        <v>-433</v>
      </c>
      <c r="BW117" s="179">
        <f>+BV117+BW173</f>
        <v>-558</v>
      </c>
      <c r="BX117" s="179">
        <f>+BW117+BX173</f>
        <v>-683</v>
      </c>
      <c r="BY117" s="179">
        <f>+BX117+BY173</f>
        <v>-808</v>
      </c>
      <c r="BZ117" s="179">
        <f>+BY117+BZ173</f>
        <v>-933</v>
      </c>
      <c r="CA117" s="177">
        <f>+BZ117</f>
        <v>-933</v>
      </c>
      <c r="CB117" s="179">
        <f>+CA117+CB173</f>
        <v>-1058</v>
      </c>
      <c r="CC117" s="179">
        <f>+CB117+CC173</f>
        <v>-1183</v>
      </c>
      <c r="CD117" s="179">
        <f>+CC117+CD173</f>
        <v>-1308</v>
      </c>
      <c r="CE117" s="179">
        <f>+CD117+CE173</f>
        <v>-1433</v>
      </c>
      <c r="CF117" s="177">
        <f>+CE117</f>
        <v>-1433</v>
      </c>
      <c r="CG117" s="179">
        <f>+CF117+CG173</f>
        <v>-1558</v>
      </c>
      <c r="CH117" s="179">
        <f>+CG117+CH173</f>
        <v>-1683</v>
      </c>
      <c r="CI117" s="179">
        <f>+CH117+CI173</f>
        <v>-1808</v>
      </c>
      <c r="CJ117" s="179">
        <f>+CI117+CJ173</f>
        <v>-1933</v>
      </c>
      <c r="CK117" s="177">
        <f>+CJ117</f>
        <v>-1933</v>
      </c>
      <c r="CL117" s="179">
        <f>+CK117+CL173</f>
        <v>-2058</v>
      </c>
      <c r="CM117" s="179">
        <f>+CL117+CM173</f>
        <v>-2183</v>
      </c>
      <c r="CN117" s="179">
        <f>+CM117+CN173</f>
        <v>-2308</v>
      </c>
      <c r="CO117" s="179">
        <f>+CN117+CO173</f>
        <v>-2433</v>
      </c>
      <c r="CP117" s="177">
        <f>+CO117</f>
        <v>-2433</v>
      </c>
    </row>
    <row r="118" spans="1:109" s="38" customFormat="1" x14ac:dyDescent="0.25">
      <c r="B118" s="38" t="s">
        <v>62</v>
      </c>
      <c r="C118" s="57">
        <f t="shared" ref="C118:AH118" si="172">SUM(C113:C117)</f>
        <v>840</v>
      </c>
      <c r="D118" s="57">
        <f t="shared" si="172"/>
        <v>1085</v>
      </c>
      <c r="E118" s="46">
        <f t="shared" si="172"/>
        <v>1093.3000000000002</v>
      </c>
      <c r="F118" s="46">
        <f t="shared" si="172"/>
        <v>1202.8000000000002</v>
      </c>
      <c r="G118" s="46">
        <f t="shared" si="172"/>
        <v>1241.1999999999998</v>
      </c>
      <c r="H118" s="58">
        <f t="shared" si="172"/>
        <v>1310</v>
      </c>
      <c r="I118" s="57">
        <f t="shared" si="172"/>
        <v>1310</v>
      </c>
      <c r="J118" s="46">
        <f t="shared" si="172"/>
        <v>1262.2</v>
      </c>
      <c r="K118" s="46">
        <f t="shared" si="172"/>
        <v>1400</v>
      </c>
      <c r="L118" s="46">
        <f t="shared" si="172"/>
        <v>1461.6</v>
      </c>
      <c r="M118" s="58">
        <f t="shared" si="172"/>
        <v>1563</v>
      </c>
      <c r="N118" s="57">
        <f t="shared" si="172"/>
        <v>1563</v>
      </c>
      <c r="O118" s="46">
        <f t="shared" si="172"/>
        <v>1613.8</v>
      </c>
      <c r="P118" s="46">
        <f t="shared" si="172"/>
        <v>1749.6</v>
      </c>
      <c r="Q118" s="46">
        <f t="shared" si="172"/>
        <v>1789.2000000000003</v>
      </c>
      <c r="R118" s="58">
        <f t="shared" si="172"/>
        <v>1573</v>
      </c>
      <c r="S118" s="57">
        <f t="shared" si="172"/>
        <v>1573</v>
      </c>
      <c r="T118" s="46">
        <f t="shared" si="172"/>
        <v>1606.9</v>
      </c>
      <c r="U118" s="46">
        <f t="shared" si="172"/>
        <v>1750.0000000000002</v>
      </c>
      <c r="V118" s="46">
        <f t="shared" si="172"/>
        <v>1694.6000000000001</v>
      </c>
      <c r="W118" s="58">
        <f t="shared" si="172"/>
        <v>1725</v>
      </c>
      <c r="X118" s="57">
        <f t="shared" si="172"/>
        <v>1725</v>
      </c>
      <c r="Y118" s="46">
        <f t="shared" si="172"/>
        <v>1751.0000000000002</v>
      </c>
      <c r="Z118" s="46">
        <f t="shared" si="172"/>
        <v>1812.2000000000003</v>
      </c>
      <c r="AA118" s="46">
        <f t="shared" si="172"/>
        <v>1811.6</v>
      </c>
      <c r="AB118" s="46">
        <f t="shared" si="172"/>
        <v>1815.7999999999997</v>
      </c>
      <c r="AC118" s="57">
        <f t="shared" si="172"/>
        <v>1815.7999999999997</v>
      </c>
      <c r="AD118" s="46">
        <f t="shared" si="172"/>
        <v>1803</v>
      </c>
      <c r="AE118" s="46">
        <f t="shared" si="172"/>
        <v>1874.2</v>
      </c>
      <c r="AF118" s="46">
        <f t="shared" si="172"/>
        <v>1881.8000000000002</v>
      </c>
      <c r="AG118" s="46">
        <f t="shared" si="172"/>
        <v>1895</v>
      </c>
      <c r="AH118" s="57">
        <f t="shared" si="172"/>
        <v>1895</v>
      </c>
      <c r="AI118" s="46">
        <f t="shared" ref="AI118:AT118" si="173">SUM(AI113:AI117)</f>
        <v>1866.9000000000003</v>
      </c>
      <c r="AJ118" s="46">
        <f t="shared" si="173"/>
        <v>1975.4000000000003</v>
      </c>
      <c r="AK118" s="46">
        <f t="shared" si="173"/>
        <v>1873.7</v>
      </c>
      <c r="AL118" s="46">
        <f t="shared" si="173"/>
        <v>2060</v>
      </c>
      <c r="AM118" s="57">
        <f t="shared" si="173"/>
        <v>2060</v>
      </c>
      <c r="AN118" s="46">
        <f t="shared" si="173"/>
        <v>2070.2000000000003</v>
      </c>
      <c r="AO118" s="46">
        <f t="shared" si="173"/>
        <v>2006.2</v>
      </c>
      <c r="AP118" s="46">
        <f t="shared" si="173"/>
        <v>2034.7</v>
      </c>
      <c r="AQ118" s="46">
        <f t="shared" si="173"/>
        <v>2069</v>
      </c>
      <c r="AR118" s="57">
        <f t="shared" si="173"/>
        <v>2069</v>
      </c>
      <c r="AS118" s="46">
        <f t="shared" si="173"/>
        <v>2122</v>
      </c>
      <c r="AT118" s="46">
        <f t="shared" si="173"/>
        <v>2304.8000000000002</v>
      </c>
      <c r="AU118" s="46">
        <f t="shared" ref="AU118:CP118" si="174">SUM(AU113:AU117)</f>
        <v>1518.8</v>
      </c>
      <c r="AV118" s="46">
        <f>SUM(AV113:AV117)</f>
        <v>1628</v>
      </c>
      <c r="AW118" s="57">
        <f t="shared" si="174"/>
        <v>1628</v>
      </c>
      <c r="AX118" s="46">
        <f t="shared" si="174"/>
        <v>1666</v>
      </c>
      <c r="AY118" s="46">
        <f t="shared" si="174"/>
        <v>1838</v>
      </c>
      <c r="AZ118" s="46">
        <f t="shared" si="174"/>
        <v>1889</v>
      </c>
      <c r="BA118" s="46">
        <f t="shared" si="174"/>
        <v>2032</v>
      </c>
      <c r="BB118" s="57">
        <f t="shared" si="174"/>
        <v>2032</v>
      </c>
      <c r="BC118" s="46">
        <f t="shared" si="174"/>
        <v>2054</v>
      </c>
      <c r="BD118" s="46">
        <f>SUM(BD113:BD117)</f>
        <v>2075</v>
      </c>
      <c r="BE118" s="46">
        <f t="shared" si="174"/>
        <v>2041</v>
      </c>
      <c r="BF118" s="46">
        <f t="shared" si="174"/>
        <v>1905</v>
      </c>
      <c r="BG118" s="57">
        <f t="shared" si="174"/>
        <v>1905</v>
      </c>
      <c r="BH118" s="46">
        <f>SUM(BH113:BH117)</f>
        <v>1707</v>
      </c>
      <c r="BI118" s="46">
        <f>SUM(BI113:BI117)</f>
        <v>1401</v>
      </c>
      <c r="BJ118" s="46">
        <f t="shared" si="174"/>
        <v>1417</v>
      </c>
      <c r="BK118" s="46">
        <f t="shared" si="174"/>
        <v>1562</v>
      </c>
      <c r="BL118" s="57">
        <f t="shared" si="174"/>
        <v>1562</v>
      </c>
      <c r="BM118" s="46">
        <f t="shared" si="174"/>
        <v>1330</v>
      </c>
      <c r="BN118" s="46">
        <f>SUM(BN113:BN117)</f>
        <v>1283</v>
      </c>
      <c r="BO118" s="46">
        <f t="shared" si="174"/>
        <v>1184</v>
      </c>
      <c r="BP118" s="46">
        <f t="shared" si="174"/>
        <v>1370</v>
      </c>
      <c r="BQ118" s="57">
        <f t="shared" si="174"/>
        <v>1370</v>
      </c>
      <c r="BR118" s="46">
        <f t="shared" si="174"/>
        <v>1420</v>
      </c>
      <c r="BS118" s="46">
        <f t="shared" si="174"/>
        <v>1647</v>
      </c>
      <c r="BT118" s="46">
        <f t="shared" ca="1" si="174"/>
        <v>1617.5783197417086</v>
      </c>
      <c r="BU118" s="46">
        <f t="shared" ca="1" si="174"/>
        <v>1540.1646404712519</v>
      </c>
      <c r="BV118" s="57">
        <f t="shared" ca="1" si="174"/>
        <v>1540.1646404712519</v>
      </c>
      <c r="BW118" s="46">
        <f t="shared" ca="1" si="174"/>
        <v>1520.1067917668415</v>
      </c>
      <c r="BX118" s="46">
        <f t="shared" ca="1" si="174"/>
        <v>1569.7449862728922</v>
      </c>
      <c r="BY118" s="46">
        <f t="shared" ca="1" si="174"/>
        <v>1578.9613287403131</v>
      </c>
      <c r="BZ118" s="46">
        <f t="shared" ca="1" si="174"/>
        <v>1535.6294621271109</v>
      </c>
      <c r="CA118" s="57">
        <f t="shared" ca="1" si="174"/>
        <v>1535.6294621271109</v>
      </c>
      <c r="CB118" s="46">
        <f t="shared" ca="1" si="174"/>
        <v>1518.4758395797144</v>
      </c>
      <c r="CC118" s="46">
        <f t="shared" ca="1" si="174"/>
        <v>1574.6889937730625</v>
      </c>
      <c r="CD118" s="46">
        <f t="shared" ca="1" si="174"/>
        <v>1589.495720264988</v>
      </c>
      <c r="CE118" s="46">
        <f t="shared" ca="1" si="174"/>
        <v>1548.5440190628328</v>
      </c>
      <c r="CF118" s="57">
        <f t="shared" ca="1" si="174"/>
        <v>1548.5440190628328</v>
      </c>
      <c r="CG118" s="46">
        <f t="shared" ca="1" si="174"/>
        <v>1535.2451570723124</v>
      </c>
      <c r="CH118" s="46">
        <f t="shared" ca="1" si="174"/>
        <v>1599.659252411584</v>
      </c>
      <c r="CI118" s="46">
        <f t="shared" ca="1" si="174"/>
        <v>1621.777238452024</v>
      </c>
      <c r="CJ118" s="46">
        <f t="shared" ca="1" si="174"/>
        <v>1584.9142319902044</v>
      </c>
      <c r="CK118" s="57">
        <f t="shared" ca="1" si="174"/>
        <v>1584.9142319902044</v>
      </c>
      <c r="CL118" s="46">
        <f t="shared" ca="1" si="174"/>
        <v>1576.4823513983001</v>
      </c>
      <c r="CM118" s="46">
        <f t="shared" ca="1" si="174"/>
        <v>1649.67679972525</v>
      </c>
      <c r="CN118" s="46">
        <f t="shared" ca="1" si="174"/>
        <v>1679.415152419072</v>
      </c>
      <c r="CO118" s="46">
        <f t="shared" ca="1" si="174"/>
        <v>1646.8920809368665</v>
      </c>
      <c r="CP118" s="57">
        <f t="shared" ca="1" si="174"/>
        <v>1646.8920809368665</v>
      </c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</row>
    <row r="119" spans="1:109" x14ac:dyDescent="0.25">
      <c r="C119" s="94"/>
      <c r="D119" s="94"/>
      <c r="E119" s="95"/>
      <c r="F119" s="95"/>
      <c r="G119" s="95"/>
      <c r="H119" s="96"/>
      <c r="I119" s="94"/>
      <c r="J119" s="95"/>
      <c r="K119" s="95"/>
      <c r="L119" s="95"/>
      <c r="M119" s="96"/>
      <c r="N119" s="94"/>
      <c r="O119" s="95"/>
      <c r="P119" s="95"/>
      <c r="Q119" s="95"/>
      <c r="R119" s="96"/>
      <c r="S119" s="94"/>
      <c r="T119" s="95"/>
      <c r="U119" s="95"/>
      <c r="V119" s="95"/>
      <c r="W119" s="96"/>
      <c r="X119" s="94"/>
      <c r="Y119" s="95"/>
      <c r="Z119" s="95"/>
      <c r="AA119" s="95"/>
      <c r="AB119" s="95"/>
      <c r="AC119" s="94"/>
      <c r="AD119" s="95"/>
      <c r="AE119" s="95"/>
      <c r="AF119" s="95"/>
      <c r="AG119" s="95"/>
      <c r="AH119" s="94"/>
      <c r="AI119" s="95"/>
      <c r="AJ119" s="95"/>
      <c r="AK119" s="95"/>
      <c r="AL119" s="95"/>
      <c r="AM119" s="94"/>
      <c r="AN119" s="95"/>
      <c r="AO119" s="95"/>
      <c r="AP119" s="95"/>
      <c r="AQ119" s="95"/>
      <c r="AR119" s="94"/>
      <c r="AS119" s="95"/>
      <c r="AT119" s="95"/>
      <c r="AU119" s="95"/>
      <c r="AV119" s="95"/>
      <c r="AW119" s="94"/>
      <c r="AX119" s="95"/>
      <c r="AY119" s="95"/>
      <c r="AZ119" s="95"/>
      <c r="BA119" s="95"/>
      <c r="BB119" s="94"/>
      <c r="BC119" s="95"/>
      <c r="BD119" s="95"/>
      <c r="BE119" s="95"/>
      <c r="BF119" s="95"/>
      <c r="BG119" s="94"/>
      <c r="BH119" s="95"/>
      <c r="BI119" s="95"/>
      <c r="BJ119" s="95"/>
      <c r="BK119" s="95"/>
      <c r="BL119" s="94"/>
      <c r="BM119" s="95"/>
      <c r="BN119" s="95"/>
      <c r="BO119" s="95"/>
      <c r="BP119" s="95"/>
      <c r="BQ119" s="94"/>
      <c r="BR119" s="95"/>
      <c r="BS119" s="95"/>
      <c r="BT119" s="95"/>
      <c r="BU119" s="95"/>
      <c r="BV119" s="94"/>
      <c r="BW119" s="95"/>
      <c r="BX119" s="95"/>
      <c r="BY119" s="95"/>
      <c r="BZ119" s="95"/>
      <c r="CA119" s="94"/>
      <c r="CB119" s="95"/>
      <c r="CC119" s="95"/>
      <c r="CD119" s="95"/>
      <c r="CE119" s="95"/>
      <c r="CF119" s="94"/>
      <c r="CG119" s="95"/>
      <c r="CH119" s="95"/>
      <c r="CI119" s="95"/>
      <c r="CJ119" s="95"/>
      <c r="CK119" s="94"/>
      <c r="CL119" s="95"/>
      <c r="CM119" s="95"/>
      <c r="CN119" s="95"/>
      <c r="CO119" s="95"/>
      <c r="CP119" s="94"/>
    </row>
    <row r="120" spans="1:109" s="38" customFormat="1" x14ac:dyDescent="0.25">
      <c r="B120" s="38" t="s">
        <v>63</v>
      </c>
      <c r="C120" s="57">
        <f t="shared" ref="C120:AH120" si="175">+C118+C110</f>
        <v>2264</v>
      </c>
      <c r="D120" s="57">
        <f t="shared" si="175"/>
        <v>2376</v>
      </c>
      <c r="E120" s="46">
        <f t="shared" si="175"/>
        <v>2372.7000000000003</v>
      </c>
      <c r="F120" s="46">
        <f t="shared" si="175"/>
        <v>2563.7000000000003</v>
      </c>
      <c r="G120" s="46">
        <f t="shared" si="175"/>
        <v>2622.2</v>
      </c>
      <c r="H120" s="58">
        <f t="shared" si="175"/>
        <v>2649.1</v>
      </c>
      <c r="I120" s="57">
        <f t="shared" si="175"/>
        <v>2649.1</v>
      </c>
      <c r="J120" s="46">
        <f t="shared" si="175"/>
        <v>2596.6999999999998</v>
      </c>
      <c r="K120" s="46">
        <f t="shared" si="175"/>
        <v>2591.8000000000002</v>
      </c>
      <c r="L120" s="46">
        <f t="shared" si="175"/>
        <v>2654.6</v>
      </c>
      <c r="M120" s="58">
        <f t="shared" si="175"/>
        <v>2728</v>
      </c>
      <c r="N120" s="57">
        <f t="shared" si="175"/>
        <v>2728</v>
      </c>
      <c r="O120" s="46">
        <f t="shared" si="175"/>
        <v>2756.6</v>
      </c>
      <c r="P120" s="46">
        <f t="shared" si="175"/>
        <v>2925.2</v>
      </c>
      <c r="Q120" s="46">
        <f t="shared" si="175"/>
        <v>3730.8</v>
      </c>
      <c r="R120" s="58">
        <f t="shared" si="175"/>
        <v>3551</v>
      </c>
      <c r="S120" s="57">
        <f t="shared" si="175"/>
        <v>3551</v>
      </c>
      <c r="T120" s="46">
        <f t="shared" si="175"/>
        <v>3342.2</v>
      </c>
      <c r="U120" s="46">
        <f t="shared" si="175"/>
        <v>3546.3</v>
      </c>
      <c r="V120" s="46">
        <f t="shared" si="175"/>
        <v>3391.6000000000004</v>
      </c>
      <c r="W120" s="58">
        <f t="shared" si="175"/>
        <v>3405</v>
      </c>
      <c r="X120" s="57">
        <f t="shared" si="175"/>
        <v>3405</v>
      </c>
      <c r="Y120" s="46">
        <f t="shared" si="175"/>
        <v>3448.9000000000005</v>
      </c>
      <c r="Z120" s="46">
        <f t="shared" si="175"/>
        <v>3680.6000000000004</v>
      </c>
      <c r="AA120" s="46">
        <f t="shared" si="175"/>
        <v>3499.7999999999997</v>
      </c>
      <c r="AB120" s="46">
        <f t="shared" si="175"/>
        <v>3474.7</v>
      </c>
      <c r="AC120" s="57">
        <f t="shared" si="175"/>
        <v>3474.7</v>
      </c>
      <c r="AD120" s="46">
        <f t="shared" si="175"/>
        <v>3444.2</v>
      </c>
      <c r="AE120" s="46">
        <f t="shared" si="175"/>
        <v>3585</v>
      </c>
      <c r="AF120" s="46">
        <f t="shared" si="175"/>
        <v>3418.3</v>
      </c>
      <c r="AG120" s="46">
        <f t="shared" si="175"/>
        <v>3383</v>
      </c>
      <c r="AH120" s="57">
        <f t="shared" si="175"/>
        <v>3383</v>
      </c>
      <c r="AI120" s="46">
        <f t="shared" ref="AI120:BM120" si="176">+AI118+AI110</f>
        <v>3381.9000000000005</v>
      </c>
      <c r="AJ120" s="46">
        <f t="shared" si="176"/>
        <v>3440.1000000000004</v>
      </c>
      <c r="AK120" s="46">
        <f t="shared" si="176"/>
        <v>3522.9</v>
      </c>
      <c r="AL120" s="46">
        <f t="shared" si="176"/>
        <v>3712</v>
      </c>
      <c r="AM120" s="57">
        <f t="shared" si="176"/>
        <v>3712</v>
      </c>
      <c r="AN120" s="46">
        <f t="shared" si="176"/>
        <v>3749.2000000000003</v>
      </c>
      <c r="AO120" s="46">
        <f t="shared" si="176"/>
        <v>3673.6000000000004</v>
      </c>
      <c r="AP120" s="46">
        <f t="shared" si="176"/>
        <v>3676.4</v>
      </c>
      <c r="AQ120" s="46">
        <f t="shared" si="176"/>
        <v>3477</v>
      </c>
      <c r="AR120" s="57">
        <f t="shared" si="176"/>
        <v>3477</v>
      </c>
      <c r="AS120" s="46">
        <f t="shared" si="176"/>
        <v>3583</v>
      </c>
      <c r="AT120" s="46">
        <f t="shared" si="176"/>
        <v>3803.9</v>
      </c>
      <c r="AU120" s="46">
        <f t="shared" si="176"/>
        <v>3832.3</v>
      </c>
      <c r="AV120" s="46">
        <f>+AV118+AV110</f>
        <v>3626</v>
      </c>
      <c r="AW120" s="57">
        <f t="shared" si="176"/>
        <v>3626</v>
      </c>
      <c r="AX120" s="46">
        <f t="shared" si="176"/>
        <v>3686</v>
      </c>
      <c r="AY120" s="46">
        <f t="shared" si="176"/>
        <v>3882</v>
      </c>
      <c r="AZ120" s="46">
        <f t="shared" si="176"/>
        <v>3993</v>
      </c>
      <c r="BA120" s="46">
        <f>+BA118+BA110</f>
        <v>4103</v>
      </c>
      <c r="BB120" s="57">
        <f t="shared" si="176"/>
        <v>4103</v>
      </c>
      <c r="BC120" s="46">
        <f t="shared" si="176"/>
        <v>4191</v>
      </c>
      <c r="BD120" s="46">
        <f t="shared" si="176"/>
        <v>4243</v>
      </c>
      <c r="BE120" s="46">
        <f t="shared" si="176"/>
        <v>4161</v>
      </c>
      <c r="BF120" s="46">
        <f t="shared" si="176"/>
        <v>4188</v>
      </c>
      <c r="BG120" s="57">
        <f t="shared" si="176"/>
        <v>4188</v>
      </c>
      <c r="BH120" s="46">
        <f t="shared" si="176"/>
        <v>4334</v>
      </c>
      <c r="BI120" s="46">
        <f>+BI118+BI110</f>
        <v>4319</v>
      </c>
      <c r="BJ120" s="46">
        <f t="shared" si="176"/>
        <v>4333</v>
      </c>
      <c r="BK120" s="46">
        <f t="shared" si="176"/>
        <v>4183</v>
      </c>
      <c r="BL120" s="57">
        <f t="shared" si="176"/>
        <v>4183</v>
      </c>
      <c r="BM120" s="46">
        <f t="shared" si="176"/>
        <v>4755</v>
      </c>
      <c r="BN120" s="46">
        <f>+BN118+BN110</f>
        <v>4720</v>
      </c>
      <c r="BO120" s="46">
        <f t="shared" ref="BO120:CP120" si="177">+BO118+BO110</f>
        <v>4600</v>
      </c>
      <c r="BP120" s="46">
        <f t="shared" si="177"/>
        <v>4625</v>
      </c>
      <c r="BQ120" s="57">
        <f t="shared" si="177"/>
        <v>4625</v>
      </c>
      <c r="BR120" s="46">
        <f t="shared" si="177"/>
        <v>4802</v>
      </c>
      <c r="BS120" s="46">
        <f t="shared" si="177"/>
        <v>4978</v>
      </c>
      <c r="BT120" s="46">
        <f t="shared" ca="1" si="177"/>
        <v>4986.7876908017643</v>
      </c>
      <c r="BU120" s="46">
        <f t="shared" ca="1" si="177"/>
        <v>4908.1728991838118</v>
      </c>
      <c r="BV120" s="57">
        <f t="shared" ca="1" si="177"/>
        <v>4908.1728991838118</v>
      </c>
      <c r="BW120" s="46">
        <f t="shared" ca="1" si="177"/>
        <v>4996.715193987161</v>
      </c>
      <c r="BX120" s="46">
        <f t="shared" ca="1" si="177"/>
        <v>5118.7080476903902</v>
      </c>
      <c r="BY120" s="46">
        <f t="shared" ca="1" si="177"/>
        <v>5189.5619100178446</v>
      </c>
      <c r="BZ120" s="46">
        <f t="shared" ca="1" si="177"/>
        <v>5103.3459453184223</v>
      </c>
      <c r="CA120" s="57">
        <f t="shared" ca="1" si="177"/>
        <v>5103.3459453184223</v>
      </c>
      <c r="CB120" s="46">
        <f t="shared" ca="1" si="177"/>
        <v>5177.8690225523333</v>
      </c>
      <c r="CC120" s="46">
        <f t="shared" ca="1" si="177"/>
        <v>5303.9675899085169</v>
      </c>
      <c r="CD120" s="46">
        <f t="shared" ca="1" si="177"/>
        <v>5375.5733693591283</v>
      </c>
      <c r="CE120" s="46">
        <f t="shared" ca="1" si="177"/>
        <v>5283.2795426777884</v>
      </c>
      <c r="CF120" s="57">
        <f t="shared" ca="1" si="177"/>
        <v>5283.2795426777884</v>
      </c>
      <c r="CG120" s="46">
        <f t="shared" ca="1" si="177"/>
        <v>5360.9031459890557</v>
      </c>
      <c r="CH120" s="46">
        <f t="shared" ca="1" si="177"/>
        <v>5492.845916229232</v>
      </c>
      <c r="CI120" s="46">
        <f t="shared" ca="1" si="177"/>
        <v>5566.8766698594955</v>
      </c>
      <c r="CJ120" s="46">
        <f t="shared" ca="1" si="177"/>
        <v>5469.0931349097937</v>
      </c>
      <c r="CK120" s="57">
        <f t="shared" ca="1" si="177"/>
        <v>5469.0931349097937</v>
      </c>
      <c r="CL120" s="46">
        <f t="shared" ca="1" si="177"/>
        <v>5552.565373904883</v>
      </c>
      <c r="CM120" s="46">
        <f t="shared" ca="1" si="177"/>
        <v>5690.5109748183941</v>
      </c>
      <c r="CN120" s="46">
        <f t="shared" ca="1" si="177"/>
        <v>5767.1204832751573</v>
      </c>
      <c r="CO120" s="46">
        <f t="shared" ca="1" si="177"/>
        <v>5663.757522223963</v>
      </c>
      <c r="CP120" s="57">
        <f t="shared" ca="1" si="177"/>
        <v>5663.757522223963</v>
      </c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</row>
    <row r="121" spans="1:109" s="184" customFormat="1" x14ac:dyDescent="0.25">
      <c r="A121" s="184" t="s">
        <v>64</v>
      </c>
      <c r="C121" s="185"/>
      <c r="D121" s="186"/>
      <c r="E121" s="187" t="str">
        <f t="shared" ref="E121:W121" si="178">IF(ROUND((E120-E94),1)=0,"",(E120-E94))</f>
        <v/>
      </c>
      <c r="F121" s="187" t="str">
        <f t="shared" si="178"/>
        <v/>
      </c>
      <c r="G121" s="187" t="str">
        <f t="shared" si="178"/>
        <v/>
      </c>
      <c r="H121" s="187" t="str">
        <f t="shared" si="178"/>
        <v/>
      </c>
      <c r="I121" s="186" t="str">
        <f t="shared" si="178"/>
        <v/>
      </c>
      <c r="J121" s="187" t="str">
        <f t="shared" si="178"/>
        <v/>
      </c>
      <c r="K121" s="187" t="str">
        <f t="shared" si="178"/>
        <v/>
      </c>
      <c r="L121" s="187" t="str">
        <f t="shared" si="178"/>
        <v/>
      </c>
      <c r="M121" s="187" t="str">
        <f t="shared" si="178"/>
        <v/>
      </c>
      <c r="N121" s="186" t="str">
        <f t="shared" si="178"/>
        <v/>
      </c>
      <c r="O121" s="187" t="str">
        <f t="shared" si="178"/>
        <v/>
      </c>
      <c r="P121" s="187" t="str">
        <f t="shared" si="178"/>
        <v/>
      </c>
      <c r="Q121" s="187" t="str">
        <f t="shared" si="178"/>
        <v/>
      </c>
      <c r="R121" s="187" t="str">
        <f t="shared" si="178"/>
        <v/>
      </c>
      <c r="S121" s="186" t="str">
        <f t="shared" si="178"/>
        <v/>
      </c>
      <c r="T121" s="187" t="str">
        <f t="shared" si="178"/>
        <v/>
      </c>
      <c r="U121" s="187" t="str">
        <f t="shared" si="178"/>
        <v/>
      </c>
      <c r="V121" s="187" t="str">
        <f t="shared" si="178"/>
        <v/>
      </c>
      <c r="W121" s="187" t="str">
        <f t="shared" si="178"/>
        <v/>
      </c>
      <c r="X121" s="186"/>
      <c r="Y121" s="187" t="str">
        <f t="shared" ref="Y121:AT121" si="179">IF(ROUND((Y120-Y94),1)=0,"",(Y120-Y94))</f>
        <v/>
      </c>
      <c r="Z121" s="187" t="str">
        <f t="shared" si="179"/>
        <v/>
      </c>
      <c r="AA121" s="187" t="str">
        <f t="shared" si="179"/>
        <v/>
      </c>
      <c r="AB121" s="187" t="str">
        <f t="shared" si="179"/>
        <v/>
      </c>
      <c r="AC121" s="186" t="str">
        <f t="shared" si="179"/>
        <v/>
      </c>
      <c r="AD121" s="187" t="str">
        <f t="shared" si="179"/>
        <v/>
      </c>
      <c r="AE121" s="187" t="str">
        <f t="shared" si="179"/>
        <v/>
      </c>
      <c r="AF121" s="187" t="str">
        <f t="shared" si="179"/>
        <v/>
      </c>
      <c r="AG121" s="187" t="str">
        <f t="shared" si="179"/>
        <v/>
      </c>
      <c r="AH121" s="186"/>
      <c r="AI121" s="187" t="str">
        <f t="shared" si="179"/>
        <v/>
      </c>
      <c r="AJ121" s="187" t="str">
        <f t="shared" si="179"/>
        <v/>
      </c>
      <c r="AK121" s="187" t="str">
        <f t="shared" si="179"/>
        <v/>
      </c>
      <c r="AL121" s="187" t="str">
        <f t="shared" si="179"/>
        <v/>
      </c>
      <c r="AM121" s="186" t="str">
        <f t="shared" si="179"/>
        <v/>
      </c>
      <c r="AN121" s="187" t="str">
        <f t="shared" si="179"/>
        <v/>
      </c>
      <c r="AO121" s="187" t="str">
        <f t="shared" si="179"/>
        <v/>
      </c>
      <c r="AP121" s="187"/>
      <c r="AQ121" s="187" t="str">
        <f t="shared" si="179"/>
        <v/>
      </c>
      <c r="AR121" s="186" t="str">
        <f t="shared" si="179"/>
        <v/>
      </c>
      <c r="AS121" s="187" t="str">
        <f t="shared" si="179"/>
        <v/>
      </c>
      <c r="AT121" s="187" t="str">
        <f t="shared" si="179"/>
        <v/>
      </c>
      <c r="AU121" s="187" t="str">
        <f t="shared" ref="AU121:CP121" si="180">IF(ROUND((AU120-AU94),1)=0,"",(AU120-AU94))</f>
        <v/>
      </c>
      <c r="AV121" s="187" t="str">
        <f t="shared" si="180"/>
        <v/>
      </c>
      <c r="AW121" s="186" t="str">
        <f t="shared" si="180"/>
        <v/>
      </c>
      <c r="AX121" s="187" t="str">
        <f t="shared" si="180"/>
        <v/>
      </c>
      <c r="AY121" s="187" t="str">
        <f t="shared" si="180"/>
        <v/>
      </c>
      <c r="AZ121" s="187" t="str">
        <f t="shared" si="180"/>
        <v/>
      </c>
      <c r="BA121" s="187" t="str">
        <f t="shared" si="180"/>
        <v/>
      </c>
      <c r="BB121" s="186" t="str">
        <f>IF(ROUND((BB120-BB94),1)=0,"",(BB120-BB94))</f>
        <v/>
      </c>
      <c r="BC121" s="187" t="str">
        <f t="shared" si="180"/>
        <v/>
      </c>
      <c r="BD121" s="187" t="str">
        <f>IF(ROUND((BD120-BD94),1)=0,"",(BD120-BD94))</f>
        <v/>
      </c>
      <c r="BE121" s="187" t="str">
        <f t="shared" si="180"/>
        <v/>
      </c>
      <c r="BF121" s="187" t="str">
        <f t="shared" si="180"/>
        <v/>
      </c>
      <c r="BG121" s="186" t="str">
        <f t="shared" si="180"/>
        <v/>
      </c>
      <c r="BH121" s="187" t="str">
        <f t="shared" si="180"/>
        <v/>
      </c>
      <c r="BI121" s="187" t="str">
        <f t="shared" si="180"/>
        <v/>
      </c>
      <c r="BJ121" s="187" t="str">
        <f t="shared" si="180"/>
        <v/>
      </c>
      <c r="BK121" s="187" t="str">
        <f t="shared" si="180"/>
        <v/>
      </c>
      <c r="BL121" s="186" t="str">
        <f t="shared" si="180"/>
        <v/>
      </c>
      <c r="BM121" s="187" t="str">
        <f t="shared" si="180"/>
        <v/>
      </c>
      <c r="BN121" s="187" t="str">
        <f t="shared" si="180"/>
        <v/>
      </c>
      <c r="BO121" s="187" t="str">
        <f t="shared" si="180"/>
        <v/>
      </c>
      <c r="BP121" s="187" t="str">
        <f t="shared" si="180"/>
        <v/>
      </c>
      <c r="BQ121" s="186" t="str">
        <f t="shared" si="180"/>
        <v/>
      </c>
      <c r="BR121" s="187" t="str">
        <f t="shared" si="180"/>
        <v/>
      </c>
      <c r="BS121" s="187" t="str">
        <f t="shared" si="180"/>
        <v/>
      </c>
      <c r="BT121" s="187" t="str">
        <f t="shared" ca="1" si="180"/>
        <v/>
      </c>
      <c r="BU121" s="187" t="str">
        <f t="shared" ca="1" si="180"/>
        <v/>
      </c>
      <c r="BV121" s="186" t="str">
        <f t="shared" ca="1" si="180"/>
        <v/>
      </c>
      <c r="BW121" s="187" t="str">
        <f t="shared" ca="1" si="180"/>
        <v/>
      </c>
      <c r="BX121" s="187" t="str">
        <f t="shared" ca="1" si="180"/>
        <v/>
      </c>
      <c r="BY121" s="187" t="str">
        <f t="shared" ca="1" si="180"/>
        <v/>
      </c>
      <c r="BZ121" s="187" t="str">
        <f t="shared" ca="1" si="180"/>
        <v/>
      </c>
      <c r="CA121" s="186" t="str">
        <f t="shared" ca="1" si="180"/>
        <v/>
      </c>
      <c r="CB121" s="187" t="str">
        <f t="shared" ca="1" si="180"/>
        <v/>
      </c>
      <c r="CC121" s="187" t="str">
        <f t="shared" ca="1" si="180"/>
        <v/>
      </c>
      <c r="CD121" s="187" t="str">
        <f t="shared" ca="1" si="180"/>
        <v/>
      </c>
      <c r="CE121" s="187" t="str">
        <f t="shared" ca="1" si="180"/>
        <v/>
      </c>
      <c r="CF121" s="186" t="str">
        <f t="shared" ca="1" si="180"/>
        <v/>
      </c>
      <c r="CG121" s="187" t="str">
        <f t="shared" ca="1" si="180"/>
        <v/>
      </c>
      <c r="CH121" s="187" t="str">
        <f t="shared" ca="1" si="180"/>
        <v/>
      </c>
      <c r="CI121" s="187" t="str">
        <f t="shared" ca="1" si="180"/>
        <v/>
      </c>
      <c r="CJ121" s="187" t="str">
        <f t="shared" ca="1" si="180"/>
        <v/>
      </c>
      <c r="CK121" s="186" t="str">
        <f t="shared" ca="1" si="180"/>
        <v/>
      </c>
      <c r="CL121" s="187" t="str">
        <f t="shared" ca="1" si="180"/>
        <v/>
      </c>
      <c r="CM121" s="187" t="str">
        <f t="shared" ca="1" si="180"/>
        <v/>
      </c>
      <c r="CN121" s="187" t="str">
        <f t="shared" ca="1" si="180"/>
        <v/>
      </c>
      <c r="CO121" s="187" t="str">
        <f t="shared" ca="1" si="180"/>
        <v/>
      </c>
      <c r="CP121" s="186" t="str">
        <f t="shared" ca="1" si="180"/>
        <v/>
      </c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</row>
    <row r="122" spans="1:109" s="38" customFormat="1" x14ac:dyDescent="0.25">
      <c r="A122" s="217" t="s">
        <v>65</v>
      </c>
      <c r="B122" s="217"/>
      <c r="C122" s="54" t="str">
        <f>C3</f>
        <v>FY2003</v>
      </c>
      <c r="D122" s="54" t="str">
        <f t="shared" ref="D122:AC122" si="181">D3</f>
        <v>FY2004</v>
      </c>
      <c r="E122" s="174" t="str">
        <f t="shared" si="181"/>
        <v>Jul-04A</v>
      </c>
      <c r="F122" s="174" t="str">
        <f t="shared" si="181"/>
        <v>Oct-04A</v>
      </c>
      <c r="G122" s="174" t="str">
        <f t="shared" si="181"/>
        <v>Jan-05A</v>
      </c>
      <c r="H122" s="174" t="str">
        <f t="shared" si="181"/>
        <v>Apr-05A</v>
      </c>
      <c r="I122" s="54" t="str">
        <f t="shared" si="181"/>
        <v>FY2005</v>
      </c>
      <c r="J122" s="174" t="str">
        <f t="shared" si="181"/>
        <v>Jul-05A</v>
      </c>
      <c r="K122" s="174" t="str">
        <f t="shared" si="181"/>
        <v>Oct-05A</v>
      </c>
      <c r="L122" s="174" t="str">
        <f t="shared" si="181"/>
        <v>Jan-06A</v>
      </c>
      <c r="M122" s="174" t="str">
        <f t="shared" si="181"/>
        <v>Apr-06A</v>
      </c>
      <c r="N122" s="54" t="str">
        <f t="shared" si="181"/>
        <v>FY2006</v>
      </c>
      <c r="O122" s="174" t="str">
        <f t="shared" si="181"/>
        <v>Jul-06A</v>
      </c>
      <c r="P122" s="174" t="str">
        <f t="shared" si="181"/>
        <v>Oct-06A</v>
      </c>
      <c r="Q122" s="174" t="str">
        <f t="shared" si="181"/>
        <v>Jan-07A</v>
      </c>
      <c r="R122" s="174" t="str">
        <f t="shared" si="181"/>
        <v>Apr-07A</v>
      </c>
      <c r="S122" s="54" t="str">
        <f t="shared" si="181"/>
        <v>FY2007</v>
      </c>
      <c r="T122" s="174" t="str">
        <f t="shared" si="181"/>
        <v>Jul-07 A</v>
      </c>
      <c r="U122" s="174" t="str">
        <f t="shared" si="181"/>
        <v>Oct-07 A</v>
      </c>
      <c r="V122" s="174" t="str">
        <f t="shared" si="181"/>
        <v>Jan-08 A</v>
      </c>
      <c r="W122" s="174" t="str">
        <f t="shared" si="181"/>
        <v>Apr-08 A</v>
      </c>
      <c r="X122" s="54" t="str">
        <f t="shared" si="181"/>
        <v>FY2008</v>
      </c>
      <c r="Y122" s="174" t="str">
        <f t="shared" si="181"/>
        <v>Jul-08A</v>
      </c>
      <c r="Z122" s="174" t="str">
        <f t="shared" si="181"/>
        <v>Oct-08</v>
      </c>
      <c r="AA122" s="174" t="str">
        <f t="shared" si="181"/>
        <v>Jan-09</v>
      </c>
      <c r="AB122" s="174" t="str">
        <f t="shared" si="181"/>
        <v>Apr-09</v>
      </c>
      <c r="AC122" s="54" t="str">
        <f t="shared" si="181"/>
        <v>FY2009</v>
      </c>
      <c r="AD122" s="174" t="str">
        <f t="shared" ref="AD122:BG122" si="182">AD3</f>
        <v>Jul-09</v>
      </c>
      <c r="AE122" s="174" t="str">
        <f t="shared" si="182"/>
        <v>Oct-09</v>
      </c>
      <c r="AF122" s="174" t="str">
        <f t="shared" si="182"/>
        <v>Jan-10</v>
      </c>
      <c r="AG122" s="174" t="str">
        <f t="shared" si="182"/>
        <v>Apr-10</v>
      </c>
      <c r="AH122" s="54" t="str">
        <f t="shared" si="182"/>
        <v>FY2010</v>
      </c>
      <c r="AI122" s="174" t="str">
        <f t="shared" si="182"/>
        <v>Jul-10</v>
      </c>
      <c r="AJ122" s="174" t="str">
        <f t="shared" si="182"/>
        <v>Oct-10</v>
      </c>
      <c r="AK122" s="174" t="str">
        <f t="shared" si="182"/>
        <v>Jan-11</v>
      </c>
      <c r="AL122" s="174" t="str">
        <f t="shared" si="182"/>
        <v>Apr-11</v>
      </c>
      <c r="AM122" s="54" t="str">
        <f t="shared" si="182"/>
        <v>FY2011</v>
      </c>
      <c r="AN122" s="174" t="str">
        <f t="shared" si="182"/>
        <v>Jul-11</v>
      </c>
      <c r="AO122" s="174" t="str">
        <f t="shared" si="182"/>
        <v>Oct-11</v>
      </c>
      <c r="AP122" s="174" t="str">
        <f t="shared" si="182"/>
        <v>Jan-12</v>
      </c>
      <c r="AQ122" s="174" t="str">
        <f t="shared" si="182"/>
        <v>Apr-12</v>
      </c>
      <c r="AR122" s="54" t="str">
        <f t="shared" si="182"/>
        <v>FY2012</v>
      </c>
      <c r="AS122" s="174" t="str">
        <f t="shared" si="182"/>
        <v>Jul-12</v>
      </c>
      <c r="AT122" s="174" t="str">
        <f t="shared" si="182"/>
        <v>Oct-12</v>
      </c>
      <c r="AU122" s="174" t="str">
        <f t="shared" si="182"/>
        <v>Jan-13</v>
      </c>
      <c r="AV122" s="174" t="str">
        <f t="shared" si="182"/>
        <v>Apr-13</v>
      </c>
      <c r="AW122" s="54" t="str">
        <f t="shared" si="182"/>
        <v>FY2013</v>
      </c>
      <c r="AX122" s="174" t="str">
        <f t="shared" si="182"/>
        <v>Jul-13</v>
      </c>
      <c r="AY122" s="174" t="str">
        <f t="shared" si="182"/>
        <v>Oct-13</v>
      </c>
      <c r="AZ122" s="174" t="str">
        <f t="shared" si="182"/>
        <v>Jan-14</v>
      </c>
      <c r="BA122" s="174" t="str">
        <f t="shared" si="182"/>
        <v>Apr-14</v>
      </c>
      <c r="BB122" s="54" t="str">
        <f t="shared" si="182"/>
        <v>FY2014</v>
      </c>
      <c r="BC122" s="174" t="str">
        <f t="shared" si="182"/>
        <v>Jul-14</v>
      </c>
      <c r="BD122" s="174" t="str">
        <f t="shared" si="182"/>
        <v>Oct-14</v>
      </c>
      <c r="BE122" s="174" t="str">
        <f t="shared" si="182"/>
        <v>Jan-15</v>
      </c>
      <c r="BF122" s="174" t="str">
        <f t="shared" si="182"/>
        <v>Apr-15</v>
      </c>
      <c r="BG122" s="54" t="str">
        <f t="shared" si="182"/>
        <v>FY2015</v>
      </c>
      <c r="BH122" s="174" t="str">
        <f t="shared" ref="BH122:CA122" si="183">BH3</f>
        <v xml:space="preserve"> Jul-15</v>
      </c>
      <c r="BI122" s="174" t="str">
        <f t="shared" si="183"/>
        <v>Oct-15</v>
      </c>
      <c r="BJ122" s="174" t="str">
        <f t="shared" si="183"/>
        <v>Jan-16</v>
      </c>
      <c r="BK122" s="174" t="str">
        <f t="shared" si="183"/>
        <v>Apr-16</v>
      </c>
      <c r="BL122" s="54" t="str">
        <f t="shared" si="183"/>
        <v>FY2016</v>
      </c>
      <c r="BM122" s="174" t="str">
        <f t="shared" si="183"/>
        <v>Jul-16</v>
      </c>
      <c r="BN122" s="174" t="str">
        <f t="shared" si="183"/>
        <v>Oct-16</v>
      </c>
      <c r="BO122" s="174" t="str">
        <f t="shared" si="183"/>
        <v>Jan-17</v>
      </c>
      <c r="BP122" s="174" t="str">
        <f t="shared" si="183"/>
        <v>Apr-17</v>
      </c>
      <c r="BQ122" s="54" t="str">
        <f t="shared" si="183"/>
        <v>FY2017</v>
      </c>
      <c r="BR122" s="174" t="str">
        <f t="shared" si="183"/>
        <v>Jul-17</v>
      </c>
      <c r="BS122" s="174" t="str">
        <f t="shared" si="183"/>
        <v>Oct-17</v>
      </c>
      <c r="BT122" s="174" t="str">
        <f t="shared" si="183"/>
        <v>Jan-18E</v>
      </c>
      <c r="BU122" s="174" t="str">
        <f t="shared" si="183"/>
        <v>Apr-18E</v>
      </c>
      <c r="BV122" s="54" t="str">
        <f t="shared" si="183"/>
        <v>FY2018E</v>
      </c>
      <c r="BW122" s="174" t="str">
        <f t="shared" si="183"/>
        <v>Jul-18E</v>
      </c>
      <c r="BX122" s="174" t="str">
        <f t="shared" si="183"/>
        <v>Oct-18E</v>
      </c>
      <c r="BY122" s="174" t="str">
        <f t="shared" si="183"/>
        <v>Jan-19E</v>
      </c>
      <c r="BZ122" s="174" t="str">
        <f t="shared" si="183"/>
        <v>Apr-19E</v>
      </c>
      <c r="CA122" s="54" t="str">
        <f t="shared" si="183"/>
        <v>FY2019E</v>
      </c>
      <c r="CB122" s="174" t="str">
        <f t="shared" ref="CB122:CK122" si="184">CB3</f>
        <v>Jul-19E</v>
      </c>
      <c r="CC122" s="174" t="str">
        <f t="shared" si="184"/>
        <v>Oct-19E</v>
      </c>
      <c r="CD122" s="174" t="str">
        <f t="shared" si="184"/>
        <v>Jan-20E</v>
      </c>
      <c r="CE122" s="174" t="str">
        <f t="shared" si="184"/>
        <v>Apr-20E</v>
      </c>
      <c r="CF122" s="54" t="str">
        <f t="shared" si="184"/>
        <v>FY2020E</v>
      </c>
      <c r="CG122" s="174" t="str">
        <f t="shared" si="184"/>
        <v>Jul-20E</v>
      </c>
      <c r="CH122" s="174" t="str">
        <f t="shared" si="184"/>
        <v>Oct-20E</v>
      </c>
      <c r="CI122" s="174" t="str">
        <f t="shared" si="184"/>
        <v>Jan-21E</v>
      </c>
      <c r="CJ122" s="174" t="str">
        <f t="shared" si="184"/>
        <v>Apr-21E</v>
      </c>
      <c r="CK122" s="54" t="str">
        <f t="shared" si="184"/>
        <v>FY2021E</v>
      </c>
      <c r="CL122" s="174" t="str">
        <f>CL3</f>
        <v>Jul-21E</v>
      </c>
      <c r="CM122" s="174" t="str">
        <f>CM3</f>
        <v>Oct-21E</v>
      </c>
      <c r="CN122" s="174" t="str">
        <f>CN3</f>
        <v>Jan-22E</v>
      </c>
      <c r="CO122" s="174" t="str">
        <f>CO3</f>
        <v>Apr-22E</v>
      </c>
      <c r="CP122" s="54" t="str">
        <f>CP3</f>
        <v>FY2022E</v>
      </c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</row>
    <row r="123" spans="1:109" x14ac:dyDescent="0.25">
      <c r="C123" s="98"/>
      <c r="D123" s="98"/>
      <c r="E123" s="118"/>
      <c r="F123" s="118"/>
      <c r="G123" s="118"/>
      <c r="H123" s="118"/>
      <c r="I123" s="98"/>
      <c r="J123" s="118"/>
      <c r="K123" s="118"/>
      <c r="L123" s="118"/>
      <c r="M123" s="118"/>
      <c r="N123" s="98"/>
      <c r="O123" s="118"/>
      <c r="P123" s="118"/>
      <c r="Q123" s="118"/>
      <c r="R123" s="118"/>
      <c r="S123" s="98"/>
      <c r="T123" s="118"/>
      <c r="U123" s="118"/>
      <c r="V123" s="118"/>
      <c r="W123" s="118"/>
      <c r="X123" s="98"/>
      <c r="Y123" s="118"/>
      <c r="Z123" s="118"/>
      <c r="AA123" s="118"/>
      <c r="AB123" s="118"/>
      <c r="AC123" s="98"/>
      <c r="AD123" s="118"/>
      <c r="AE123" s="118"/>
      <c r="AF123" s="118"/>
      <c r="AG123" s="118"/>
      <c r="AH123" s="98"/>
      <c r="AI123" s="118"/>
      <c r="AJ123" s="118"/>
      <c r="AK123" s="118"/>
      <c r="AL123" s="118"/>
      <c r="AM123" s="98"/>
      <c r="AN123" s="118"/>
      <c r="AO123" s="118"/>
      <c r="AP123" s="118"/>
      <c r="AQ123" s="118"/>
      <c r="AR123" s="98"/>
      <c r="AS123" s="118"/>
      <c r="AT123" s="118"/>
      <c r="AU123" s="118"/>
      <c r="AV123" s="118"/>
      <c r="AW123" s="98"/>
      <c r="AX123" s="118"/>
      <c r="AY123" s="118"/>
      <c r="AZ123" s="118"/>
      <c r="BA123" s="118"/>
      <c r="BB123" s="98"/>
      <c r="BC123" s="118"/>
      <c r="BD123" s="118"/>
      <c r="BE123" s="118"/>
      <c r="BF123" s="118"/>
      <c r="BG123" s="98"/>
      <c r="BH123" s="118"/>
      <c r="BI123" s="118"/>
      <c r="BJ123" s="118"/>
      <c r="BK123" s="118"/>
      <c r="BL123" s="98"/>
      <c r="BM123" s="118"/>
      <c r="BN123" s="118"/>
      <c r="BO123" s="118"/>
      <c r="BP123" s="118"/>
      <c r="BQ123" s="98"/>
      <c r="BR123" s="118"/>
      <c r="BS123" s="118"/>
      <c r="BT123" s="118"/>
      <c r="BU123" s="118"/>
      <c r="BV123" s="98"/>
      <c r="BW123" s="118"/>
      <c r="BX123" s="118"/>
      <c r="BY123" s="118"/>
      <c r="BZ123" s="118"/>
      <c r="CA123" s="98"/>
      <c r="CB123" s="118"/>
      <c r="CC123" s="118"/>
      <c r="CD123" s="118"/>
      <c r="CE123" s="118"/>
      <c r="CF123" s="98"/>
      <c r="CG123" s="118"/>
      <c r="CH123" s="118"/>
      <c r="CI123" s="118"/>
      <c r="CJ123" s="118"/>
      <c r="CK123" s="98"/>
      <c r="CL123" s="118"/>
      <c r="CM123" s="118"/>
      <c r="CN123" s="118"/>
      <c r="CO123" s="118"/>
      <c r="CP123" s="98"/>
    </row>
    <row r="124" spans="1:109" x14ac:dyDescent="0.25">
      <c r="A124" s="52" t="s">
        <v>25</v>
      </c>
      <c r="C124" s="137">
        <v>245</v>
      </c>
      <c r="D124" s="137">
        <f t="shared" ref="D124:AA124" si="185">+D50</f>
        <v>244.30000000000007</v>
      </c>
      <c r="E124" s="138">
        <f t="shared" si="185"/>
        <v>60.654285714285706</v>
      </c>
      <c r="F124" s="138">
        <f t="shared" si="185"/>
        <v>93.4</v>
      </c>
      <c r="G124" s="138">
        <f t="shared" si="185"/>
        <v>75.996611964002142</v>
      </c>
      <c r="H124" s="138">
        <f t="shared" si="185"/>
        <v>62.2</v>
      </c>
      <c r="I124" s="137">
        <f t="shared" si="185"/>
        <v>292.25089767828786</v>
      </c>
      <c r="J124" s="138">
        <f t="shared" si="185"/>
        <v>79.410798479087461</v>
      </c>
      <c r="K124" s="138">
        <f t="shared" si="185"/>
        <v>106.46299999999992</v>
      </c>
      <c r="L124" s="138">
        <f t="shared" si="185"/>
        <v>92.325999999999993</v>
      </c>
      <c r="M124" s="138">
        <f t="shared" si="185"/>
        <v>75.673469387755091</v>
      </c>
      <c r="N124" s="137">
        <f t="shared" si="185"/>
        <v>353.87326786684241</v>
      </c>
      <c r="O124" s="138">
        <f t="shared" si="185"/>
        <v>94.599999999999966</v>
      </c>
      <c r="P124" s="138">
        <f t="shared" si="185"/>
        <v>114.23500000000011</v>
      </c>
      <c r="Q124" s="138">
        <f t="shared" si="185"/>
        <v>111.60000000000004</v>
      </c>
      <c r="R124" s="138">
        <f t="shared" si="185"/>
        <v>69.299999999999955</v>
      </c>
      <c r="S124" s="137">
        <f t="shared" si="185"/>
        <v>389.73500000000007</v>
      </c>
      <c r="T124" s="138">
        <f t="shared" si="185"/>
        <v>95.4</v>
      </c>
      <c r="U124" s="138">
        <f t="shared" si="185"/>
        <v>129.49999999999994</v>
      </c>
      <c r="V124" s="138">
        <f t="shared" si="185"/>
        <v>115.9</v>
      </c>
      <c r="W124" s="138">
        <f t="shared" si="185"/>
        <v>99.09999999999998</v>
      </c>
      <c r="X124" s="137">
        <f t="shared" si="185"/>
        <v>439.89999999999992</v>
      </c>
      <c r="Y124" s="138">
        <f t="shared" si="185"/>
        <v>104.19999999999999</v>
      </c>
      <c r="Z124" s="138">
        <f t="shared" si="185"/>
        <v>143.19999999999996</v>
      </c>
      <c r="AA124" s="138">
        <f t="shared" si="185"/>
        <v>102.60000000000004</v>
      </c>
      <c r="AB124" s="138">
        <f t="shared" ref="AB124:BG124" ca="1" si="186">+AB50</f>
        <v>87.400000000000034</v>
      </c>
      <c r="AC124" s="137">
        <f t="shared" ca="1" si="186"/>
        <v>437.40000000000003</v>
      </c>
      <c r="AD124" s="138">
        <f t="shared" si="186"/>
        <v>121.40000000000003</v>
      </c>
      <c r="AE124" s="138">
        <f t="shared" si="186"/>
        <v>147.29999999999998</v>
      </c>
      <c r="AF124" s="138">
        <f t="shared" si="186"/>
        <v>117.41199999999998</v>
      </c>
      <c r="AG124" s="138">
        <f t="shared" ca="1" si="186"/>
        <v>72.700000000000045</v>
      </c>
      <c r="AH124" s="137">
        <f t="shared" ca="1" si="186"/>
        <v>458.81200000000007</v>
      </c>
      <c r="AI124" s="138">
        <f t="shared" si="186"/>
        <v>111.40000000000003</v>
      </c>
      <c r="AJ124" s="138">
        <f t="shared" si="186"/>
        <v>154</v>
      </c>
      <c r="AK124" s="138">
        <f t="shared" si="186"/>
        <v>140.69999999999996</v>
      </c>
      <c r="AL124" s="138">
        <f t="shared" si="186"/>
        <v>116.71199999999999</v>
      </c>
      <c r="AM124" s="137">
        <f t="shared" si="186"/>
        <v>522.81200000000001</v>
      </c>
      <c r="AN124" s="138">
        <f t="shared" si="186"/>
        <v>118.1</v>
      </c>
      <c r="AO124" s="138">
        <f t="shared" si="186"/>
        <v>157.59999999999997</v>
      </c>
      <c r="AP124" s="138">
        <f t="shared" si="186"/>
        <v>133.09999999999997</v>
      </c>
      <c r="AQ124" s="138">
        <f t="shared" si="186"/>
        <v>104.71877180739713</v>
      </c>
      <c r="AR124" s="137">
        <f t="shared" si="186"/>
        <v>513.518771807397</v>
      </c>
      <c r="AS124" s="139">
        <f t="shared" si="186"/>
        <v>147.5</v>
      </c>
      <c r="AT124" s="138">
        <f t="shared" si="186"/>
        <v>172.9</v>
      </c>
      <c r="AU124" s="138">
        <f t="shared" si="186"/>
        <v>157.59999999999997</v>
      </c>
      <c r="AV124" s="138">
        <f>+AV50</f>
        <v>113</v>
      </c>
      <c r="AW124" s="137">
        <f>+AW50</f>
        <v>591</v>
      </c>
      <c r="AX124" s="138">
        <f t="shared" si="186"/>
        <v>143</v>
      </c>
      <c r="AY124" s="138">
        <f t="shared" si="186"/>
        <v>206</v>
      </c>
      <c r="AZ124" s="138">
        <f t="shared" si="186"/>
        <v>177</v>
      </c>
      <c r="BA124" s="138">
        <f t="shared" si="186"/>
        <v>132.54200294417811</v>
      </c>
      <c r="BB124" s="137">
        <f>+BB50</f>
        <v>658.54200294417808</v>
      </c>
      <c r="BC124" s="138">
        <f>+BC50</f>
        <v>150.54200294417811</v>
      </c>
      <c r="BD124" s="138">
        <f t="shared" si="186"/>
        <v>208</v>
      </c>
      <c r="BE124" s="138">
        <f t="shared" si="186"/>
        <v>186</v>
      </c>
      <c r="BF124" s="138">
        <f t="shared" si="186"/>
        <v>140</v>
      </c>
      <c r="BG124" s="137">
        <f t="shared" si="186"/>
        <v>684.54200294417808</v>
      </c>
      <c r="BH124" s="138">
        <f t="shared" ref="BH124:CP124" si="187">+BH50</f>
        <v>156</v>
      </c>
      <c r="BI124" s="138">
        <f>+BI50</f>
        <v>200</v>
      </c>
      <c r="BJ124" s="138">
        <f t="shared" si="187"/>
        <v>190</v>
      </c>
      <c r="BK124" s="138">
        <f>BK65</f>
        <v>522</v>
      </c>
      <c r="BL124" s="137">
        <f>BL65</f>
        <v>1068</v>
      </c>
      <c r="BM124" s="138">
        <f>+BM50</f>
        <v>145</v>
      </c>
      <c r="BN124" s="138">
        <f t="shared" si="187"/>
        <v>197</v>
      </c>
      <c r="BO124" s="138">
        <f t="shared" si="187"/>
        <v>182</v>
      </c>
      <c r="BP124" s="138">
        <f t="shared" si="187"/>
        <v>146</v>
      </c>
      <c r="BQ124" s="137">
        <f t="shared" si="187"/>
        <v>670</v>
      </c>
      <c r="BR124" s="138">
        <f t="shared" si="187"/>
        <v>178</v>
      </c>
      <c r="BS124" s="138">
        <f t="shared" si="187"/>
        <v>239</v>
      </c>
      <c r="BT124" s="138">
        <f t="shared" ca="1" si="187"/>
        <v>196.71155784375406</v>
      </c>
      <c r="BU124" s="138">
        <f t="shared" ca="1" si="187"/>
        <v>148.26781231742342</v>
      </c>
      <c r="BV124" s="137">
        <f ca="1">+BV50</f>
        <v>761.97937016117748</v>
      </c>
      <c r="BW124" s="138">
        <f t="shared" ca="1" si="187"/>
        <v>180.21576579499924</v>
      </c>
      <c r="BX124" s="138">
        <f t="shared" ca="1" si="187"/>
        <v>249.54715302605013</v>
      </c>
      <c r="BY124" s="138">
        <f t="shared" ca="1" si="187"/>
        <v>218.20276959202772</v>
      </c>
      <c r="BZ124" s="138">
        <f t="shared" ca="1" si="187"/>
        <v>165.25592869515503</v>
      </c>
      <c r="CA124" s="137">
        <f t="shared" ca="1" si="187"/>
        <v>813.22161710823207</v>
      </c>
      <c r="CB124" s="138">
        <f t="shared" ca="1" si="187"/>
        <v>191.04149781884269</v>
      </c>
      <c r="CC124" s="138">
        <f t="shared" ca="1" si="187"/>
        <v>264.02146845897875</v>
      </c>
      <c r="CD124" s="138">
        <f t="shared" ca="1" si="187"/>
        <v>231.49551005612122</v>
      </c>
      <c r="CE124" s="138">
        <f t="shared" ca="1" si="187"/>
        <v>175.31958342105381</v>
      </c>
      <c r="CF124" s="137">
        <f t="shared" ca="1" si="187"/>
        <v>861.87805975499646</v>
      </c>
      <c r="CG124" s="138">
        <f t="shared" ca="1" si="187"/>
        <v>202.56116677949987</v>
      </c>
      <c r="CH124" s="138">
        <f t="shared" ca="1" si="187"/>
        <v>279.86901908151964</v>
      </c>
      <c r="CI124" s="138">
        <f t="shared" ca="1" si="187"/>
        <v>246.27041807951474</v>
      </c>
      <c r="CJ124" s="138">
        <f t="shared" ca="1" si="187"/>
        <v>186.85664632874472</v>
      </c>
      <c r="CK124" s="137">
        <f t="shared" ca="1" si="187"/>
        <v>915.55725026927894</v>
      </c>
      <c r="CL124" s="138">
        <f t="shared" ca="1" si="187"/>
        <v>214.8614692444622</v>
      </c>
      <c r="CM124" s="138">
        <f t="shared" ca="1" si="187"/>
        <v>296.06787579464867</v>
      </c>
      <c r="CN124" s="138">
        <f t="shared" ca="1" si="187"/>
        <v>261.13940934917025</v>
      </c>
      <c r="CO124" s="138">
        <f t="shared" ca="1" si="187"/>
        <v>198.43316242290012</v>
      </c>
      <c r="CP124" s="137">
        <f t="shared" ca="1" si="187"/>
        <v>970.50191681118122</v>
      </c>
    </row>
    <row r="125" spans="1:109" x14ac:dyDescent="0.25">
      <c r="A125" s="52" t="s">
        <v>66</v>
      </c>
      <c r="C125" s="137"/>
      <c r="D125" s="137"/>
      <c r="E125" s="138"/>
      <c r="F125" s="138"/>
      <c r="G125" s="138"/>
      <c r="H125" s="138"/>
      <c r="I125" s="137"/>
      <c r="J125" s="138"/>
      <c r="K125" s="138"/>
      <c r="L125" s="138"/>
      <c r="M125" s="138"/>
      <c r="N125" s="137"/>
      <c r="O125" s="138"/>
      <c r="P125" s="138"/>
      <c r="Q125" s="138"/>
      <c r="R125" s="138"/>
      <c r="S125" s="137"/>
      <c r="T125" s="138"/>
      <c r="U125" s="138"/>
      <c r="V125" s="138"/>
      <c r="W125" s="138"/>
      <c r="X125" s="137"/>
      <c r="Y125" s="138"/>
      <c r="Z125" s="138"/>
      <c r="AA125" s="138"/>
      <c r="AB125" s="138"/>
      <c r="AC125" s="137"/>
      <c r="AD125" s="138"/>
      <c r="AE125" s="138"/>
      <c r="AF125" s="138"/>
      <c r="AG125" s="138"/>
      <c r="AH125" s="188"/>
      <c r="AI125" s="138"/>
      <c r="AJ125" s="138"/>
      <c r="AK125" s="138"/>
      <c r="AL125" s="138"/>
      <c r="AM125" s="137"/>
      <c r="AN125" s="138"/>
      <c r="AO125" s="138"/>
      <c r="AP125" s="138"/>
      <c r="AQ125" s="138"/>
      <c r="AR125" s="137"/>
      <c r="AS125" s="139"/>
      <c r="AT125" s="138"/>
      <c r="AU125" s="138"/>
      <c r="AV125" s="138"/>
      <c r="AW125" s="137"/>
      <c r="AX125" s="138"/>
      <c r="AY125" s="138"/>
      <c r="AZ125" s="138"/>
      <c r="BA125" s="138"/>
      <c r="BB125" s="75"/>
      <c r="BC125" s="138"/>
      <c r="BD125" s="138"/>
      <c r="BE125" s="138"/>
      <c r="BF125" s="138"/>
      <c r="BG125" s="75"/>
      <c r="BH125" s="138"/>
      <c r="BI125" s="138"/>
      <c r="BJ125" s="138"/>
      <c r="BK125" s="138"/>
      <c r="BL125" s="137"/>
      <c r="BM125" s="138"/>
      <c r="BN125" s="138"/>
      <c r="BO125" s="138"/>
      <c r="BP125" s="138"/>
      <c r="BQ125" s="137"/>
      <c r="BR125" s="138"/>
      <c r="BS125" s="138"/>
      <c r="BT125" s="138"/>
      <c r="BU125" s="138"/>
      <c r="BV125" s="137"/>
      <c r="BW125" s="138"/>
      <c r="BX125" s="138"/>
      <c r="BY125" s="138"/>
      <c r="BZ125" s="138"/>
      <c r="CA125" s="137"/>
      <c r="CB125" s="138"/>
      <c r="CC125" s="138"/>
      <c r="CD125" s="138"/>
      <c r="CE125" s="138"/>
      <c r="CF125" s="137"/>
      <c r="CG125" s="138"/>
      <c r="CH125" s="138"/>
      <c r="CI125" s="138"/>
      <c r="CJ125" s="138"/>
      <c r="CK125" s="137"/>
      <c r="CL125" s="138"/>
      <c r="CM125" s="138"/>
      <c r="CN125" s="138"/>
      <c r="CO125" s="138"/>
      <c r="CP125" s="137"/>
    </row>
    <row r="126" spans="1:109" x14ac:dyDescent="0.25">
      <c r="B126" s="52" t="s">
        <v>305</v>
      </c>
      <c r="C126" s="137">
        <f>+C39</f>
        <v>55</v>
      </c>
      <c r="D126" s="137">
        <f>+D39</f>
        <v>56</v>
      </c>
      <c r="E126" s="139">
        <v>10.7</v>
      </c>
      <c r="F126" s="139">
        <v>10.7</v>
      </c>
      <c r="G126" s="139">
        <v>11.7</v>
      </c>
      <c r="H126" s="139">
        <v>11.3</v>
      </c>
      <c r="I126" s="137">
        <f>E126+F126+G126+H126</f>
        <v>44.399999999999991</v>
      </c>
      <c r="J126" s="139">
        <v>10.199999999999999</v>
      </c>
      <c r="K126" s="139">
        <v>10.9</v>
      </c>
      <c r="L126" s="139">
        <f>10.6-L127</f>
        <v>10.6</v>
      </c>
      <c r="M126" s="139">
        <v>11.2</v>
      </c>
      <c r="N126" s="137">
        <f>J126+K126+L126+M126</f>
        <v>42.900000000000006</v>
      </c>
      <c r="O126" s="139">
        <f>10.2-O127</f>
        <v>10.199999999999999</v>
      </c>
      <c r="P126" s="139">
        <f>20.7-O126</f>
        <v>10.5</v>
      </c>
      <c r="Q126" s="139">
        <f>31.8-P126-O126</f>
        <v>11.100000000000001</v>
      </c>
      <c r="R126" s="139">
        <f>44-O126-P126-Q126</f>
        <v>12.199999999999996</v>
      </c>
      <c r="S126" s="137">
        <f>O126+P126+Q126+R126</f>
        <v>44</v>
      </c>
      <c r="T126" s="139">
        <v>10</v>
      </c>
      <c r="U126" s="139">
        <f>25.7-T126</f>
        <v>15.7</v>
      </c>
      <c r="V126" s="139">
        <f>38.4-U126-T126</f>
        <v>12.7</v>
      </c>
      <c r="W126" s="139">
        <f>52-V126-U126-T126</f>
        <v>13.599999999999998</v>
      </c>
      <c r="X126" s="137">
        <f>T126+U126+V126+W126</f>
        <v>52</v>
      </c>
      <c r="Y126" s="139">
        <v>13.3</v>
      </c>
      <c r="Z126" s="139">
        <f>26.6-Y126</f>
        <v>13.3</v>
      </c>
      <c r="AA126" s="139">
        <f>40.1-Y126-Z126</f>
        <v>13.5</v>
      </c>
      <c r="AB126" s="96">
        <f>55-Y126-Z126-AA126</f>
        <v>14.900000000000002</v>
      </c>
      <c r="AC126" s="122">
        <f>Y126+Z126+AA126+AB126</f>
        <v>55</v>
      </c>
      <c r="AD126" s="96">
        <v>14.4</v>
      </c>
      <c r="AE126" s="96">
        <f>28.6-AD126</f>
        <v>14.200000000000001</v>
      </c>
      <c r="AF126" s="96">
        <f>43.8-AE126-AD126</f>
        <v>15.199999999999994</v>
      </c>
      <c r="AG126" s="96">
        <f>59-AD126-AE126-AF126</f>
        <v>15.200000000000005</v>
      </c>
      <c r="AH126" s="122">
        <f>AD126+AE126+AF126+AG126</f>
        <v>59</v>
      </c>
      <c r="AI126" s="96">
        <v>14.5</v>
      </c>
      <c r="AJ126" s="96">
        <f>28.7-AI126</f>
        <v>14.2</v>
      </c>
      <c r="AK126" s="96">
        <f>42.9-AJ126-AI126</f>
        <v>14.2</v>
      </c>
      <c r="AL126" s="96">
        <f>56-AK126-AJ126-AI126</f>
        <v>13.099999999999998</v>
      </c>
      <c r="AM126" s="122">
        <f>AI126+AJ126+AK126+AL126</f>
        <v>56</v>
      </c>
      <c r="AN126" s="96">
        <v>13</v>
      </c>
      <c r="AO126" s="96">
        <f>25.8-AN126</f>
        <v>12.8</v>
      </c>
      <c r="AP126" s="96">
        <f>37.7-AO126-AN126</f>
        <v>11.900000000000002</v>
      </c>
      <c r="AQ126" s="96">
        <f>49-AP126-AO126-AN126</f>
        <v>11.299999999999994</v>
      </c>
      <c r="AR126" s="122">
        <f>AN126+AO126+AP126+AQ126</f>
        <v>49</v>
      </c>
      <c r="AS126" s="97">
        <v>11.5</v>
      </c>
      <c r="AT126" s="97">
        <f>25.8-AS126</f>
        <v>14.3</v>
      </c>
      <c r="AU126" s="97">
        <f>36.1-AT126-AS126</f>
        <v>10.3</v>
      </c>
      <c r="AV126" s="97">
        <f>51-AU126-AT126-AS126</f>
        <v>14.900000000000002</v>
      </c>
      <c r="AW126" s="122">
        <f>AS126+AT126+AU126+AV126</f>
        <v>51</v>
      </c>
      <c r="AX126" s="97">
        <v>12</v>
      </c>
      <c r="AY126" s="97">
        <f>24-AX126</f>
        <v>12</v>
      </c>
      <c r="AZ126" s="97">
        <f>36-SUM(AX126:AY126)</f>
        <v>12</v>
      </c>
      <c r="BA126" s="97">
        <f>BB126-SUM(AX126:AZ126)</f>
        <v>14</v>
      </c>
      <c r="BB126" s="122">
        <v>50</v>
      </c>
      <c r="BC126" s="138">
        <v>13</v>
      </c>
      <c r="BD126" s="138">
        <f>25-BC126</f>
        <v>12</v>
      </c>
      <c r="BE126" s="138">
        <f>36-BD126-BC126</f>
        <v>11</v>
      </c>
      <c r="BF126" s="138">
        <f>BG126-SUM(BC126:BE126)</f>
        <v>15</v>
      </c>
      <c r="BG126" s="122">
        <v>51</v>
      </c>
      <c r="BH126" s="138">
        <v>13</v>
      </c>
      <c r="BI126" s="138">
        <f>27-BH126</f>
        <v>14</v>
      </c>
      <c r="BJ126" s="138">
        <f>40-BI126-BH126</f>
        <v>13</v>
      </c>
      <c r="BK126" s="138">
        <f>BL126-SUM(BH126:BJ126)</f>
        <v>16</v>
      </c>
      <c r="BL126" s="122">
        <v>56</v>
      </c>
      <c r="BM126" s="138">
        <v>15</v>
      </c>
      <c r="BN126" s="138">
        <f>28-BM126</f>
        <v>13</v>
      </c>
      <c r="BO126" s="138">
        <f>42-BN126-BM126</f>
        <v>14</v>
      </c>
      <c r="BP126" s="138">
        <f>BQ126-SUM(BM126:BO126)</f>
        <v>16</v>
      </c>
      <c r="BQ126" s="122">
        <v>58</v>
      </c>
      <c r="BR126" s="138">
        <v>15</v>
      </c>
      <c r="BS126" s="121">
        <v>15</v>
      </c>
      <c r="BT126" s="121">
        <v>15</v>
      </c>
      <c r="BU126" s="121">
        <v>15</v>
      </c>
      <c r="BV126" s="122">
        <f>BR126+BS126+BT126+BU126</f>
        <v>60</v>
      </c>
      <c r="BW126" s="121">
        <v>15</v>
      </c>
      <c r="BX126" s="121">
        <v>15</v>
      </c>
      <c r="BY126" s="121">
        <v>15</v>
      </c>
      <c r="BZ126" s="121">
        <v>15</v>
      </c>
      <c r="CA126" s="122">
        <f>BW126+BX126+BY126+BZ126</f>
        <v>60</v>
      </c>
      <c r="CB126" s="121">
        <v>15</v>
      </c>
      <c r="CC126" s="121">
        <v>15</v>
      </c>
      <c r="CD126" s="121">
        <v>15</v>
      </c>
      <c r="CE126" s="121">
        <v>15</v>
      </c>
      <c r="CF126" s="122">
        <f>CB126+CC126+CD126+CE126</f>
        <v>60</v>
      </c>
      <c r="CG126" s="121">
        <v>15</v>
      </c>
      <c r="CH126" s="121">
        <v>15</v>
      </c>
      <c r="CI126" s="121">
        <v>15</v>
      </c>
      <c r="CJ126" s="121">
        <v>15</v>
      </c>
      <c r="CK126" s="122">
        <f>CG126+CH126+CI126+CJ126</f>
        <v>60</v>
      </c>
      <c r="CL126" s="121">
        <v>15</v>
      </c>
      <c r="CM126" s="121">
        <v>15</v>
      </c>
      <c r="CN126" s="121">
        <v>15</v>
      </c>
      <c r="CO126" s="121">
        <v>15</v>
      </c>
      <c r="CP126" s="122">
        <f>CL126+CM126+CN126+CO126</f>
        <v>60</v>
      </c>
    </row>
    <row r="127" spans="1:109" x14ac:dyDescent="0.25">
      <c r="B127" s="52" t="s">
        <v>67</v>
      </c>
      <c r="C127" s="137">
        <v>0</v>
      </c>
      <c r="D127" s="137">
        <v>0</v>
      </c>
      <c r="E127" s="139">
        <v>0</v>
      </c>
      <c r="F127" s="139">
        <v>0</v>
      </c>
      <c r="G127" s="139">
        <v>0</v>
      </c>
      <c r="H127" s="139">
        <v>0</v>
      </c>
      <c r="I127" s="137">
        <f>E127+F127+G127+H127</f>
        <v>0</v>
      </c>
      <c r="J127" s="139">
        <v>0</v>
      </c>
      <c r="K127" s="139">
        <v>0</v>
      </c>
      <c r="L127" s="139">
        <v>0</v>
      </c>
      <c r="M127" s="139">
        <v>0</v>
      </c>
      <c r="N127" s="137">
        <f>J127+K127+L127+M127</f>
        <v>0</v>
      </c>
      <c r="O127" s="139">
        <v>0</v>
      </c>
      <c r="P127" s="139">
        <v>0</v>
      </c>
      <c r="Q127" s="139">
        <v>0</v>
      </c>
      <c r="R127" s="139">
        <v>0</v>
      </c>
      <c r="S127" s="137">
        <f>O127+P127+Q127+R127</f>
        <v>0</v>
      </c>
      <c r="T127" s="139">
        <v>0</v>
      </c>
      <c r="U127" s="139">
        <v>0</v>
      </c>
      <c r="V127" s="139">
        <v>0</v>
      </c>
      <c r="W127" s="139">
        <v>0</v>
      </c>
      <c r="X127" s="137">
        <f>T127+U127+V127+W127</f>
        <v>0</v>
      </c>
      <c r="Y127" s="139">
        <v>0</v>
      </c>
      <c r="Z127" s="139">
        <v>0</v>
      </c>
      <c r="AA127" s="139">
        <v>0</v>
      </c>
      <c r="AB127" s="96">
        <v>0</v>
      </c>
      <c r="AC127" s="122">
        <f>Y127+Z127+AA127+AB127</f>
        <v>0</v>
      </c>
      <c r="AD127" s="96">
        <v>0</v>
      </c>
      <c r="AE127" s="96">
        <v>0</v>
      </c>
      <c r="AF127" s="96">
        <v>0</v>
      </c>
      <c r="AG127" s="96">
        <v>0</v>
      </c>
      <c r="AH127" s="122">
        <f>AD127+AE127+AF127+AG127</f>
        <v>0</v>
      </c>
      <c r="AI127" s="96">
        <f>AD127</f>
        <v>0</v>
      </c>
      <c r="AJ127" s="96">
        <v>0</v>
      </c>
      <c r="AK127" s="96">
        <f>AF127</f>
        <v>0</v>
      </c>
      <c r="AL127" s="96">
        <v>0</v>
      </c>
      <c r="AM127" s="122">
        <f>AI127+AJ127+AK127+AL127</f>
        <v>0</v>
      </c>
      <c r="AN127" s="96">
        <f>AI127</f>
        <v>0</v>
      </c>
      <c r="AO127" s="96">
        <f>AJ127</f>
        <v>0</v>
      </c>
      <c r="AP127" s="96">
        <v>0</v>
      </c>
      <c r="AQ127" s="96">
        <v>0</v>
      </c>
      <c r="AR127" s="122">
        <f>AN127+AO127+AP127+AQ127</f>
        <v>0</v>
      </c>
      <c r="AS127" s="96">
        <v>0</v>
      </c>
      <c r="AT127" s="96">
        <v>0</v>
      </c>
      <c r="AU127" s="96">
        <v>0</v>
      </c>
      <c r="AV127" s="96">
        <v>0</v>
      </c>
      <c r="AW127" s="122">
        <f>AS127+AT127+AU127+AV127</f>
        <v>0</v>
      </c>
      <c r="AX127" s="96">
        <f>AS127</f>
        <v>0</v>
      </c>
      <c r="AY127" s="121">
        <f>AT127</f>
        <v>0</v>
      </c>
      <c r="AZ127" s="121">
        <f>AU127</f>
        <v>0</v>
      </c>
      <c r="BA127" s="121">
        <f>AV127</f>
        <v>0</v>
      </c>
      <c r="BB127" s="122">
        <f>AX127+AY127+AZ127+BA127</f>
        <v>0</v>
      </c>
      <c r="BC127" s="121">
        <f>AX127</f>
        <v>0</v>
      </c>
      <c r="BD127" s="121">
        <f>AY127</f>
        <v>0</v>
      </c>
      <c r="BE127" s="121">
        <f>AZ127</f>
        <v>0</v>
      </c>
      <c r="BF127" s="121">
        <f>BA127</f>
        <v>0</v>
      </c>
      <c r="BG127" s="122">
        <f>BC127+BD127+BE127+BF127</f>
        <v>0</v>
      </c>
      <c r="BH127" s="373">
        <v>0</v>
      </c>
      <c r="BI127" s="373">
        <v>0</v>
      </c>
      <c r="BJ127" s="373">
        <v>0</v>
      </c>
      <c r="BK127" s="373">
        <v>0</v>
      </c>
      <c r="BL127" s="375">
        <f>BH127+BI127+BJ127+BK127</f>
        <v>0</v>
      </c>
      <c r="BM127" s="373">
        <v>0</v>
      </c>
      <c r="BN127" s="373">
        <v>0</v>
      </c>
      <c r="BO127" s="373">
        <v>0</v>
      </c>
      <c r="BP127" s="373">
        <v>0</v>
      </c>
      <c r="BQ127" s="122">
        <f>BM127+BN127+BO127+BP127</f>
        <v>0</v>
      </c>
      <c r="BR127" s="373">
        <v>0</v>
      </c>
      <c r="BS127" s="121">
        <f>BN127</f>
        <v>0</v>
      </c>
      <c r="BT127" s="121">
        <f>BO127</f>
        <v>0</v>
      </c>
      <c r="BU127" s="121">
        <f>BP127</f>
        <v>0</v>
      </c>
      <c r="BV127" s="122">
        <f>BR127+BS127+BT127+BU127</f>
        <v>0</v>
      </c>
      <c r="BW127" s="121">
        <f>BR127</f>
        <v>0</v>
      </c>
      <c r="BX127" s="121">
        <f>BS127</f>
        <v>0</v>
      </c>
      <c r="BY127" s="121">
        <f>BT127</f>
        <v>0</v>
      </c>
      <c r="BZ127" s="121">
        <f>BU127</f>
        <v>0</v>
      </c>
      <c r="CA127" s="122">
        <f>BW127+BX127+BY127+BZ127</f>
        <v>0</v>
      </c>
      <c r="CB127" s="121">
        <f>BW127</f>
        <v>0</v>
      </c>
      <c r="CC127" s="121">
        <f>BX127</f>
        <v>0</v>
      </c>
      <c r="CD127" s="121">
        <f>BY127</f>
        <v>0</v>
      </c>
      <c r="CE127" s="121">
        <f>BZ127</f>
        <v>0</v>
      </c>
      <c r="CF127" s="122">
        <f>CB127+CC127+CD127+CE127</f>
        <v>0</v>
      </c>
      <c r="CG127" s="121">
        <f>CB127</f>
        <v>0</v>
      </c>
      <c r="CH127" s="121">
        <f>CC127</f>
        <v>0</v>
      </c>
      <c r="CI127" s="121">
        <f>CD127</f>
        <v>0</v>
      </c>
      <c r="CJ127" s="121">
        <f>CE127</f>
        <v>0</v>
      </c>
      <c r="CK127" s="122">
        <f>CG127+CH127+CI127+CJ127</f>
        <v>0</v>
      </c>
      <c r="CL127" s="121">
        <f>CG127</f>
        <v>0</v>
      </c>
      <c r="CM127" s="121">
        <f>CH127</f>
        <v>0</v>
      </c>
      <c r="CN127" s="121">
        <f>CI127</f>
        <v>0</v>
      </c>
      <c r="CO127" s="121">
        <f>CJ127</f>
        <v>0</v>
      </c>
      <c r="CP127" s="122">
        <f>CL127+CM127+CN127+CO127</f>
        <v>0</v>
      </c>
    </row>
    <row r="128" spans="1:109" x14ac:dyDescent="0.25">
      <c r="B128" s="52" t="s">
        <v>68</v>
      </c>
      <c r="C128" s="137">
        <v>-15</v>
      </c>
      <c r="D128" s="137">
        <v>-1</v>
      </c>
      <c r="E128" s="138">
        <v>-12</v>
      </c>
      <c r="F128" s="138">
        <f>-21.7-E128</f>
        <v>-9.6999999999999993</v>
      </c>
      <c r="G128" s="138">
        <f>+G107-F107</f>
        <v>12.700000000000003</v>
      </c>
      <c r="H128" s="138">
        <f>+H107-G107</f>
        <v>44.600000000000009</v>
      </c>
      <c r="I128" s="137">
        <f>+SUM(E128:H128)</f>
        <v>35.600000000000009</v>
      </c>
      <c r="J128" s="138">
        <v>-2.5</v>
      </c>
      <c r="K128" s="138">
        <f>-10.8-J128</f>
        <v>-8.3000000000000007</v>
      </c>
      <c r="L128" s="138">
        <f>-11.7-J128-K128</f>
        <v>-0.89999999999999858</v>
      </c>
      <c r="M128" s="138">
        <f>-33-J128-K128-L128</f>
        <v>-21.3</v>
      </c>
      <c r="N128" s="137">
        <f>+SUM(J128:M128)</f>
        <v>-33</v>
      </c>
      <c r="O128" s="138">
        <v>-3.7</v>
      </c>
      <c r="P128" s="138">
        <f>-1.5-O128</f>
        <v>2.2000000000000002</v>
      </c>
      <c r="Q128" s="138">
        <f>-2-O128-P128</f>
        <v>-0.5</v>
      </c>
      <c r="R128" s="138">
        <f>-7-O128-P128-Q128</f>
        <v>-5</v>
      </c>
      <c r="S128" s="137">
        <f>+SUM(O128:R128)</f>
        <v>-7</v>
      </c>
      <c r="T128" s="138">
        <v>-3.6</v>
      </c>
      <c r="U128" s="138">
        <f>5.1-T128</f>
        <v>8.6999999999999993</v>
      </c>
      <c r="V128" s="138">
        <f>14.6-U128-T128</f>
        <v>9.5</v>
      </c>
      <c r="W128" s="138">
        <f>5-V128-U128-T128</f>
        <v>-9.6</v>
      </c>
      <c r="X128" s="137">
        <f>+SUM(T128:W128)</f>
        <v>5</v>
      </c>
      <c r="Y128" s="139">
        <f>-10.6</f>
        <v>-10.6</v>
      </c>
      <c r="Z128" s="139">
        <f>-3.1-Y128</f>
        <v>7.5</v>
      </c>
      <c r="AA128" s="138">
        <f>+AA107-Z107</f>
        <v>2.8000000000000114</v>
      </c>
      <c r="AB128" s="139">
        <f>12-Y128-Z128-AA128</f>
        <v>12.29999999999999</v>
      </c>
      <c r="AC128" s="137">
        <f>+SUM(Y128:AB128)</f>
        <v>12.000000000000002</v>
      </c>
      <c r="AD128" s="138">
        <v>-4.9000000000000004</v>
      </c>
      <c r="AE128" s="139">
        <f>7.8-AD128</f>
        <v>12.7</v>
      </c>
      <c r="AF128" s="139">
        <f>32.5-AE128-AD128</f>
        <v>24.700000000000003</v>
      </c>
      <c r="AG128" s="139">
        <f>11-AD128-AE128-AF128</f>
        <v>-21.5</v>
      </c>
      <c r="AH128" s="137">
        <f>+SUM(AD128:AG128)</f>
        <v>11</v>
      </c>
      <c r="AI128" s="139">
        <v>0.7</v>
      </c>
      <c r="AJ128" s="139">
        <f>10.2-AI128</f>
        <v>9.5</v>
      </c>
      <c r="AK128" s="139">
        <f>65.5-AJ128-AI128</f>
        <v>55.3</v>
      </c>
      <c r="AL128" s="139">
        <f>32-AK128-AJ128-AI128</f>
        <v>-33.5</v>
      </c>
      <c r="AM128" s="137">
        <f>+SUM(AI128:AL128)</f>
        <v>32</v>
      </c>
      <c r="AN128" s="139">
        <v>-2.8</v>
      </c>
      <c r="AO128" s="139">
        <f>16.7-AN128</f>
        <v>19.5</v>
      </c>
      <c r="AP128" s="139">
        <f>36-AO128-AN128</f>
        <v>19.3</v>
      </c>
      <c r="AQ128" s="139">
        <f>53-AP128-AO128-AN128</f>
        <v>17.000000000000004</v>
      </c>
      <c r="AR128" s="137">
        <f>+SUM(AN128:AQ128)</f>
        <v>53</v>
      </c>
      <c r="AS128" s="139">
        <v>28.4</v>
      </c>
      <c r="AT128" s="139">
        <v>16.7</v>
      </c>
      <c r="AU128" s="139">
        <f>28.8-AT128-AS128</f>
        <v>-16.299999999999997</v>
      </c>
      <c r="AV128" s="139">
        <f>26-AU128-AT128-AS128</f>
        <v>-2.8000000000000007</v>
      </c>
      <c r="AW128" s="137">
        <f>+SUM(AS128:AV128)</f>
        <v>25.999999999999996</v>
      </c>
      <c r="AX128" s="139">
        <v>28</v>
      </c>
      <c r="AY128" s="138">
        <f>-6-AX128</f>
        <v>-34</v>
      </c>
      <c r="AZ128" s="138">
        <f>+AZ107-AY107</f>
        <v>-102</v>
      </c>
      <c r="BA128" s="138">
        <f>+BA107-AZ107</f>
        <v>5</v>
      </c>
      <c r="BB128" s="137">
        <f>+SUM(AX128:BA128)</f>
        <v>-103</v>
      </c>
      <c r="BC128" s="138">
        <f>+BC107-BB107</f>
        <v>5</v>
      </c>
      <c r="BD128" s="138">
        <f>+BD107-BC107</f>
        <v>6</v>
      </c>
      <c r="BE128" s="138">
        <f>+BE107-BD107</f>
        <v>16</v>
      </c>
      <c r="BF128" s="138">
        <f>+BF107-BE107</f>
        <v>-22</v>
      </c>
      <c r="BG128" s="137">
        <f>+SUM(BC128:BF128)</f>
        <v>5</v>
      </c>
      <c r="BH128" s="138">
        <f>+BH107-BG107</f>
        <v>5</v>
      </c>
      <c r="BI128" s="138">
        <f>+BI107-BH107</f>
        <v>4</v>
      </c>
      <c r="BJ128" s="138">
        <f>+BJ107-BI107</f>
        <v>22</v>
      </c>
      <c r="BK128" s="138">
        <f>+BK107-BJ107</f>
        <v>-37</v>
      </c>
      <c r="BL128" s="137">
        <f>+SUM(BH128:BK128)</f>
        <v>-6</v>
      </c>
      <c r="BM128" s="138">
        <f>+BM107-BL107</f>
        <v>21</v>
      </c>
      <c r="BN128" s="138">
        <f>+BN107-BM107</f>
        <v>28</v>
      </c>
      <c r="BO128" s="138">
        <f>+BO107-BN107</f>
        <v>0</v>
      </c>
      <c r="BP128" s="138">
        <f>+BP107-BO107</f>
        <v>2</v>
      </c>
      <c r="BQ128" s="137">
        <f>+SUM(BM128:BP128)</f>
        <v>51</v>
      </c>
      <c r="BR128" s="138">
        <v>-3</v>
      </c>
      <c r="BS128" s="138">
        <f>+BS107-BR107</f>
        <v>4</v>
      </c>
      <c r="BT128" s="138">
        <f ca="1">+BT107-BS107</f>
        <v>27.391355318964912</v>
      </c>
      <c r="BU128" s="138">
        <f ca="1">+BU107-BT107</f>
        <v>14.993567551038296</v>
      </c>
      <c r="BV128" s="137">
        <f ca="1">+SUM(BR128:BU128)</f>
        <v>43.384922870003209</v>
      </c>
      <c r="BW128" s="138">
        <f ca="1">+BW107-BV107</f>
        <v>13.463108913322344</v>
      </c>
      <c r="BX128" s="138">
        <f ca="1">+BX107-BW107</f>
        <v>-40.848556301389266</v>
      </c>
      <c r="BY128" s="138">
        <f ca="1">+BY107-BX107</f>
        <v>21.905277617641246</v>
      </c>
      <c r="BZ128" s="138">
        <f ca="1">+BZ107-BY107</f>
        <v>17.67699914284708</v>
      </c>
      <c r="CA128" s="137">
        <f ca="1">+SUM(BW128:BZ128)</f>
        <v>12.196829372421405</v>
      </c>
      <c r="CB128" s="138">
        <f ca="1">+CB107-CA107</f>
        <v>12.970985664443333</v>
      </c>
      <c r="CC128" s="138">
        <f ca="1">+CC107-CB107</f>
        <v>-43.620934575860105</v>
      </c>
      <c r="CD128" s="138">
        <f ca="1">+CD107-CC107</f>
        <v>23.688928459971976</v>
      </c>
      <c r="CE128" s="138">
        <f ca="1">+CE107-CD107</f>
        <v>18.749643898630922</v>
      </c>
      <c r="CF128" s="137">
        <f ca="1">+SUM(CB128:CE128)</f>
        <v>11.788623447186126</v>
      </c>
      <c r="CG128" s="138">
        <f ca="1">+CG107-CF107</f>
        <v>13.637348127495557</v>
      </c>
      <c r="CH128" s="138">
        <f ca="1">+CH107-CG107</f>
        <v>-46.296147589671278</v>
      </c>
      <c r="CI128" s="138">
        <f ca="1">+CI107-CH107</f>
        <v>25.819987643189336</v>
      </c>
      <c r="CJ128" s="138">
        <f ca="1">+CJ107-CI107</f>
        <v>20.353394146145945</v>
      </c>
      <c r="CK128" s="137">
        <f ca="1">+SUM(CG128:CJ128)</f>
        <v>13.514582327159559</v>
      </c>
      <c r="CL128" s="138">
        <f ca="1">+CL107-CK107</f>
        <v>13.421767222685503</v>
      </c>
      <c r="CM128" s="138">
        <f ca="1">+CM107-CL107</f>
        <v>-49.598579598269509</v>
      </c>
      <c r="CN128" s="138">
        <f ca="1">+CN107-CM107</f>
        <v>27.810095772618439</v>
      </c>
      <c r="CO128" s="138">
        <f ca="1">+CO107-CN107</f>
        <v>21.927514621312099</v>
      </c>
      <c r="CP128" s="137">
        <f ca="1">+SUM(CL128:CO128)</f>
        <v>13.560798018346532</v>
      </c>
    </row>
    <row r="129" spans="1:109" x14ac:dyDescent="0.25">
      <c r="B129" s="52" t="s">
        <v>50</v>
      </c>
      <c r="C129" s="137">
        <v>1</v>
      </c>
      <c r="D129" s="137">
        <f>D137-D136-D124-D126-D127-D128-D131-D132-D133-D134-D135</f>
        <v>17.699999999999932</v>
      </c>
      <c r="E129" s="138">
        <f>80.2-E136-E124-E126-E127-E128-E131-E132-E133-E134-E135</f>
        <v>-23.554285714285708</v>
      </c>
      <c r="F129" s="138">
        <f>112.4-E137-F136-F124-F126-F127-F128-F131-F132-F133-F134-F135</f>
        <v>48.200000000000074</v>
      </c>
      <c r="G129" s="138">
        <f>343.3-F137-E137-G136-G124-G126-G127-G128-G131-G132-G133-G134-G135</f>
        <v>-67.996611964002128</v>
      </c>
      <c r="H129" s="138">
        <f>+I129-E129-F129-G129</f>
        <v>4.1999999999998607</v>
      </c>
      <c r="I129" s="137">
        <f t="shared" ref="I129:R129" si="188">+I137-I124-I126-I127-I128-I131-I132-I133-I134-I135-I136</f>
        <v>-39.150897678287905</v>
      </c>
      <c r="J129" s="138">
        <f t="shared" si="188"/>
        <v>-25.610798479087446</v>
      </c>
      <c r="K129" s="138">
        <f t="shared" si="188"/>
        <v>120.63700000000006</v>
      </c>
      <c r="L129" s="138">
        <f t="shared" si="188"/>
        <v>-28.925999999999981</v>
      </c>
      <c r="M129" s="138">
        <f t="shared" si="188"/>
        <v>66.326530612244937</v>
      </c>
      <c r="N129" s="137">
        <f t="shared" si="188"/>
        <v>132.4267321331576</v>
      </c>
      <c r="O129" s="138">
        <f t="shared" si="188"/>
        <v>-26.699999999999946</v>
      </c>
      <c r="P129" s="138">
        <f t="shared" si="188"/>
        <v>36.964999999999918</v>
      </c>
      <c r="Q129" s="138">
        <f t="shared" si="188"/>
        <v>143.59999999999991</v>
      </c>
      <c r="R129" s="138">
        <f t="shared" si="188"/>
        <v>-183.59999999999997</v>
      </c>
      <c r="S129" s="137">
        <f>+SUM(O129:R129)</f>
        <v>-29.73500000000007</v>
      </c>
      <c r="T129" s="138">
        <f>+T137-T124-T126-T127-T128-T131-T132-T133-T134-T135-T136</f>
        <v>12.399999999999956</v>
      </c>
      <c r="U129" s="138">
        <f>+U137-U124-U126-U127-U128-U131-U132-U133-U134-U135-U136</f>
        <v>-5.299999999999855</v>
      </c>
      <c r="V129" s="138">
        <f>+V137-V124-V126-V127-V128-V131-V132-V133-V134-V135-V136</f>
        <v>14.199999999999903</v>
      </c>
      <c r="W129" s="138">
        <f>+W137-W124-W126-W127-W128-W131-W132-W133-W134-W135-W136</f>
        <v>40.800000000000054</v>
      </c>
      <c r="X129" s="137">
        <f>+SUM(T129:W129)</f>
        <v>62.100000000000058</v>
      </c>
      <c r="Y129" s="140">
        <f>+Y137-Y124-Y126-Y127-Y128-Y131-Y132-Y133-Y134-Y135-Y136</f>
        <v>-3.099999999999973</v>
      </c>
      <c r="Z129" s="140">
        <f>+Z137-Z124-Z126-Z127-Z128-Z131-Z132-Z133-Z134-Z135-Z136</f>
        <v>-23.899999999999977</v>
      </c>
      <c r="AA129" s="140">
        <f>+AA137-AA124-AA126-AA127-AA128-AA131-AA132-AA133-AA134-AA135-AA136</f>
        <v>4.0999999999999694</v>
      </c>
      <c r="AB129" s="140">
        <f ca="1">+AB137-AB124-AB126-AB127-AB128-AB131-AB132-AB133-AB134-AB135-AB136</f>
        <v>-14.999999999999979</v>
      </c>
      <c r="AC129" s="137">
        <f ca="1">+SUM(Y129:AB129)</f>
        <v>-37.899999999999963</v>
      </c>
      <c r="AD129" s="140">
        <f>+AD137-AD124-AD126-AD127-AD128-AD131-AD132-AD133-AD134-AD135-AD136</f>
        <v>16.399999999999892</v>
      </c>
      <c r="AE129" s="140">
        <f>+AE137-AE124-AE126-AE127-AE128-AE131-AE132-AE133-AE134-AE135-AE136</f>
        <v>-19.499999999999908</v>
      </c>
      <c r="AF129" s="140">
        <f>+AF137-AF124-AF126-AF127-AF128-AF131-AF132-AF133-AF134-AF135-AF136</f>
        <v>-1.0120000000000644</v>
      </c>
      <c r="AG129" s="139">
        <f ca="1">AG137-SUM(AG124:AG128,AG131:AG136)</f>
        <v>51.799999999999983</v>
      </c>
      <c r="AH129" s="137">
        <f ca="1">+SUM(AD129:AG129)</f>
        <v>47.687999999999903</v>
      </c>
      <c r="AI129" s="139">
        <f>AI137-SUM(AI124:AI128,AI131:AI136)</f>
        <v>0.99999999999994316</v>
      </c>
      <c r="AJ129" s="139">
        <f>AJ137-SUM(AJ124:AJ128,AJ131:AJ136)</f>
        <v>-4.7999999999999687</v>
      </c>
      <c r="AK129" s="139">
        <f>AK137-SUM(AK124:AK128,AK131:AK136)</f>
        <v>-21.399999999999977</v>
      </c>
      <c r="AL129" s="139">
        <f>AL137-SUM(AL124:AL128,AL131:AL136)</f>
        <v>-61.61199999999991</v>
      </c>
      <c r="AM129" s="137">
        <f>+SUM(AI129:AL129)</f>
        <v>-86.811999999999912</v>
      </c>
      <c r="AN129" s="139">
        <f>AN137-SUM(AN124:AN128,AN131:AN136)</f>
        <v>36.59999999999998</v>
      </c>
      <c r="AO129" s="139">
        <f>AO137-SUM(AO124:AO128,AO131:AO136)</f>
        <v>-41.099999999999966</v>
      </c>
      <c r="AP129" s="139">
        <f>AP137-SUM(AP124:AP128,AP131:AP136)</f>
        <v>-11.599999999999852</v>
      </c>
      <c r="AQ129" s="139">
        <f>AQ137-SUM(AQ124:AQ128,AQ131:AQ136)</f>
        <v>-0.41877180739720643</v>
      </c>
      <c r="AR129" s="137">
        <f>+SUM(AN129:AQ129)</f>
        <v>-16.518771807397044</v>
      </c>
      <c r="AS129" s="139">
        <f>AS137-SUM(AS124:AS128,AS131:AS136)</f>
        <v>-0.90000000000006253</v>
      </c>
      <c r="AT129" s="139">
        <f>AT137-SUM(AT124:AT128,AT131:AT136)</f>
        <v>-43.399999999999949</v>
      </c>
      <c r="AU129" s="139">
        <f>AU137-SUM(AU124:AU128,AU131:AU136)</f>
        <v>31.900000000000006</v>
      </c>
      <c r="AV129" s="139">
        <f>AV137-SUM(AV124:AV128,AV131:AV136)</f>
        <v>63.899999999999977</v>
      </c>
      <c r="AW129" s="137">
        <f>+SUM(AS129:AV129)</f>
        <v>51.499999999999972</v>
      </c>
      <c r="AX129" s="139">
        <f>AX137-SUM(AX124:AX128,AX131:AX136)</f>
        <v>16</v>
      </c>
      <c r="AY129" s="139">
        <f>AY137-SUM(AY124:AY128,AY131:AY136)</f>
        <v>-6</v>
      </c>
      <c r="AZ129" s="139">
        <f>AZ137-SUM(AZ124:AZ128,AZ131:AZ136)</f>
        <v>-33</v>
      </c>
      <c r="BA129" s="139">
        <f>BA137-SUM(BA124:BA128,BA131:BA136)</f>
        <v>6.4579970558219202</v>
      </c>
      <c r="BB129" s="137">
        <f>+SUM(AX129:BA129)</f>
        <v>-16.54200294417808</v>
      </c>
      <c r="BC129" s="139">
        <f>BC137-SUM(BC124:BC128,BC131:BC136)</f>
        <v>5.4579970558218918</v>
      </c>
      <c r="BD129" s="138">
        <f>BD137-SUM(BD124:BD128,BD131:BD136)</f>
        <v>6</v>
      </c>
      <c r="BE129" s="138">
        <f>BE137-SUM(BE124:BE128,BE131:BE136)</f>
        <v>6</v>
      </c>
      <c r="BF129" s="139">
        <f>BF137-SUM(BF124:BF128,BF131:BF136)</f>
        <v>33</v>
      </c>
      <c r="BG129" s="137">
        <f>+SUM(BC129:BF129)</f>
        <v>50.457997055821892</v>
      </c>
      <c r="BH129" s="139">
        <f>BH137-SUM(BH124:BH128,BH131:BH136)</f>
        <v>-2</v>
      </c>
      <c r="BI129" s="138">
        <f>BI137-SUM(BI124:BI128,BI131:BI136)</f>
        <v>5</v>
      </c>
      <c r="BJ129" s="138">
        <f>BJ137-SUM(BJ124:BJ128,BJ131:BJ136)</f>
        <v>46</v>
      </c>
      <c r="BK129" s="138">
        <f>BK137-SUM(BK124:BK128,BK131:BK136)</f>
        <v>-550</v>
      </c>
      <c r="BL129" s="137">
        <f>+SUM(BH129:BK129)</f>
        <v>-501</v>
      </c>
      <c r="BM129" s="138">
        <f>BM137-SUM(BM124:BM128,BM131:BM136)</f>
        <v>94</v>
      </c>
      <c r="BN129" s="138">
        <f>BN137-SUM(BN124:BN128,BN131:BN136)</f>
        <v>-27</v>
      </c>
      <c r="BO129" s="138">
        <f>BO137-SUM(BO124:BO128,BO131:BO136)</f>
        <v>5</v>
      </c>
      <c r="BP129" s="138">
        <f>BP137-SUM(BP124:BP128,BP131:BP136)</f>
        <v>13</v>
      </c>
      <c r="BQ129" s="137">
        <f>+SUM(BM129:BP129)</f>
        <v>85</v>
      </c>
      <c r="BR129" s="138">
        <f>BR137-SUM(BR124:BR128,BR131:BR136)</f>
        <v>-3</v>
      </c>
      <c r="BS129" s="138">
        <f>BS137-SUM(BS124:BS128,BS131:BS136)</f>
        <v>-12</v>
      </c>
      <c r="BT129" s="138">
        <f>+-(BT93-BS93)+BT103-BS103</f>
        <v>-27.527096172937206</v>
      </c>
      <c r="BU129" s="138">
        <f>+-(BU93-BT93)+BU103-BT103</f>
        <v>10.762207899719527</v>
      </c>
      <c r="BV129" s="137">
        <f>+SUM(BR129:BU129)</f>
        <v>-31.764888273217679</v>
      </c>
      <c r="BW129" s="138">
        <f>+-(BW93-BV93)+BW103-BV103</f>
        <v>3.6537662709845904</v>
      </c>
      <c r="BX129" s="138">
        <f>+-(BX93-BW93)+BX103-BW103</f>
        <v>7.862375760475345</v>
      </c>
      <c r="BY129" s="138">
        <f>+-(BY93-BX93)+BY103-BX103</f>
        <v>-33.108134530718331</v>
      </c>
      <c r="BZ129" s="138">
        <f>+-(BZ93-BY93)+BZ103-BY103</f>
        <v>11.553559530216432</v>
      </c>
      <c r="CA129" s="137">
        <f>+SUM(BW129:BZ129)</f>
        <v>-10.038432969041963</v>
      </c>
      <c r="CB129" s="138">
        <f>+-(CB93-CA93)+CB103-CA103</f>
        <v>4.9366431399149064</v>
      </c>
      <c r="CC129" s="138">
        <f>+-(CC93-CB93)+CC103-CB103</f>
        <v>8.2554945484991151</v>
      </c>
      <c r="CD129" s="138">
        <f>+-(CD93-CC93)+CD103-CC103</f>
        <v>-34.763541257254275</v>
      </c>
      <c r="CE129" s="138">
        <f>+-(CE93-CD93)+CE103-CD103</f>
        <v>12.131237506727359</v>
      </c>
      <c r="CF129" s="137">
        <f>+SUM(CB129:CE129)</f>
        <v>-9.440166062112894</v>
      </c>
      <c r="CG129" s="138">
        <f>+-(CG93-CF93)+CG103-CF103</f>
        <v>5.183475296910558</v>
      </c>
      <c r="CH129" s="138">
        <f>+-(CH93-CG93)+CH103-CG103</f>
        <v>8.6682692759240751</v>
      </c>
      <c r="CI129" s="138">
        <f>+-(CI93-CH93)+CI103-CH103</f>
        <v>-36.501718320116993</v>
      </c>
      <c r="CJ129" s="138">
        <f>+-(CJ93-CI93)+CJ103-CI103</f>
        <v>12.737799382063741</v>
      </c>
      <c r="CK129" s="137">
        <f>+SUM(CG129:CJ129)</f>
        <v>-9.9121743652186183</v>
      </c>
      <c r="CL129" s="138">
        <f>+-(CL93-CK93)+CL103-CK103</f>
        <v>5.4426490617560717</v>
      </c>
      <c r="CM129" s="138">
        <f>+-(CM93-CL93)+CM103-CL103</f>
        <v>9.1016827397202746</v>
      </c>
      <c r="CN129" s="138">
        <f>+-(CN93-CM93)+CN103-CM103</f>
        <v>-38.326804236122854</v>
      </c>
      <c r="CO129" s="138">
        <f>+-(CO93-CN93)+CO103-CN103</f>
        <v>13.374689351166978</v>
      </c>
      <c r="CP129" s="137">
        <f>+SUM(CL129:CO129)</f>
        <v>-10.407783083479529</v>
      </c>
    </row>
    <row r="130" spans="1:109" x14ac:dyDescent="0.25">
      <c r="A130" s="52" t="s">
        <v>69</v>
      </c>
      <c r="C130" s="137"/>
      <c r="D130" s="137"/>
      <c r="E130" s="138"/>
      <c r="F130" s="138"/>
      <c r="G130" s="138"/>
      <c r="H130" s="138"/>
      <c r="I130" s="137"/>
      <c r="J130" s="138"/>
      <c r="K130" s="138"/>
      <c r="L130" s="138"/>
      <c r="M130" s="138"/>
      <c r="N130" s="137"/>
      <c r="O130" s="138"/>
      <c r="P130" s="138"/>
      <c r="Q130" s="138"/>
      <c r="R130" s="138"/>
      <c r="S130" s="137"/>
      <c r="T130" s="138"/>
      <c r="U130" s="138"/>
      <c r="V130" s="138"/>
      <c r="W130" s="138"/>
      <c r="X130" s="137"/>
      <c r="Y130" s="138"/>
      <c r="Z130" s="138"/>
      <c r="AA130" s="138"/>
      <c r="AB130" s="158"/>
      <c r="AC130" s="137"/>
      <c r="AD130" s="138"/>
      <c r="AE130" s="138"/>
      <c r="AF130" s="138"/>
      <c r="AG130" s="138"/>
      <c r="AH130" s="137"/>
      <c r="AI130" s="138"/>
      <c r="AJ130" s="138"/>
      <c r="AK130" s="138"/>
      <c r="AL130" s="138"/>
      <c r="AM130" s="137"/>
      <c r="AN130" s="138"/>
      <c r="AO130" s="158"/>
      <c r="AP130" s="158"/>
      <c r="AQ130" s="158"/>
      <c r="AR130" s="137"/>
      <c r="AS130" s="138"/>
      <c r="AT130" s="138"/>
      <c r="AU130" s="138"/>
      <c r="AV130" s="138"/>
      <c r="AW130" s="137"/>
      <c r="AX130" s="138"/>
      <c r="AY130" s="138"/>
      <c r="AZ130" s="138"/>
      <c r="BA130" s="138"/>
      <c r="BB130" s="137"/>
      <c r="BC130" s="138"/>
      <c r="BD130" s="138"/>
      <c r="BE130" s="138"/>
      <c r="BF130" s="138"/>
      <c r="BG130" s="137"/>
      <c r="BH130" s="138"/>
      <c r="BI130" s="138"/>
      <c r="BJ130" s="138"/>
      <c r="BK130" s="138"/>
      <c r="BL130" s="137"/>
      <c r="BM130" s="138"/>
      <c r="BN130" s="138"/>
      <c r="BO130" s="138"/>
      <c r="BP130" s="138"/>
      <c r="BQ130" s="137"/>
      <c r="BR130" s="138"/>
      <c r="BS130" s="138"/>
      <c r="BT130" s="138"/>
      <c r="BU130" s="138"/>
      <c r="BV130" s="137"/>
      <c r="BW130" s="138"/>
      <c r="BX130" s="138"/>
      <c r="BY130" s="138"/>
      <c r="BZ130" s="138"/>
      <c r="CA130" s="137"/>
      <c r="CB130" s="138"/>
      <c r="CC130" s="138"/>
      <c r="CD130" s="138"/>
      <c r="CE130" s="138"/>
      <c r="CF130" s="137"/>
      <c r="CG130" s="138"/>
      <c r="CH130" s="138"/>
      <c r="CI130" s="138"/>
      <c r="CJ130" s="138"/>
      <c r="CK130" s="137"/>
      <c r="CL130" s="138"/>
      <c r="CM130" s="138"/>
      <c r="CN130" s="138"/>
      <c r="CO130" s="138"/>
      <c r="CP130" s="137"/>
    </row>
    <row r="131" spans="1:109" x14ac:dyDescent="0.25">
      <c r="B131" s="52" t="s">
        <v>70</v>
      </c>
      <c r="C131" s="137">
        <v>-30</v>
      </c>
      <c r="D131" s="137">
        <v>-23</v>
      </c>
      <c r="E131" s="138">
        <f>+-(E84-D84)</f>
        <v>23.699999999999989</v>
      </c>
      <c r="F131" s="138">
        <f>+-(F84-E84)</f>
        <v>-164.39999999999998</v>
      </c>
      <c r="G131" s="138">
        <f>+-(G84-F84)</f>
        <v>131.59999999999997</v>
      </c>
      <c r="H131" s="138">
        <f>+-(H84-G84)</f>
        <v>61.200000000000045</v>
      </c>
      <c r="I131" s="137">
        <f t="shared" ref="I131:I136" si="189">+SUM(E131:H131)</f>
        <v>52.100000000000023</v>
      </c>
      <c r="J131" s="138">
        <v>-20.9</v>
      </c>
      <c r="K131" s="138">
        <f>-107.3-J131</f>
        <v>-86.4</v>
      </c>
      <c r="L131" s="138">
        <f>-16.7-J131-K131</f>
        <v>90.600000000000009</v>
      </c>
      <c r="M131" s="138">
        <f>+-(M84-L84)</f>
        <v>-10.399999999999977</v>
      </c>
      <c r="N131" s="137">
        <f t="shared" ref="N131:N136" si="190">+SUM(J131:M131)</f>
        <v>-27.09999999999998</v>
      </c>
      <c r="O131" s="138">
        <f>+-(O84-N84)</f>
        <v>-8.1999999999999886</v>
      </c>
      <c r="P131" s="138">
        <f>+-(P84-O84)</f>
        <v>-110.5</v>
      </c>
      <c r="Q131" s="138">
        <f>+-(Q84-P84)</f>
        <v>-43.5</v>
      </c>
      <c r="R131" s="138">
        <f>+-(R84-Q84)</f>
        <v>81.199999999999989</v>
      </c>
      <c r="S131" s="137">
        <f t="shared" ref="S131:S136" si="191">+SUM(O131:R131)</f>
        <v>-81</v>
      </c>
      <c r="T131" s="138">
        <f>+-(T84-S84)</f>
        <v>10.199999999999989</v>
      </c>
      <c r="U131" s="138">
        <f>+-(U84-T84)</f>
        <v>-141.30000000000001</v>
      </c>
      <c r="V131" s="138">
        <f>+-(V84-U84)</f>
        <v>62</v>
      </c>
      <c r="W131" s="138">
        <f>+-(W84-V84)</f>
        <v>20.100000000000023</v>
      </c>
      <c r="X131" s="137">
        <f t="shared" ref="X131:X136" si="192">+SUM(T131:W131)</f>
        <v>-49</v>
      </c>
      <c r="Y131" s="138">
        <f>+-(Y84-X84)</f>
        <v>24.199999999999989</v>
      </c>
      <c r="Z131" s="138">
        <f>+-(Z84-Y84)</f>
        <v>-105.59999999999997</v>
      </c>
      <c r="AA131" s="138">
        <f>+-(AA84-Z84)</f>
        <v>120.89999999999998</v>
      </c>
      <c r="AB131" s="139">
        <f>+-(AB84-AA84)</f>
        <v>46.399999999999977</v>
      </c>
      <c r="AC131" s="137">
        <f t="shared" ref="AC131:AC136" si="193">+SUM(Y131:AB131)</f>
        <v>85.899999999999977</v>
      </c>
      <c r="AD131" s="138">
        <f>+-(AD84-AC84)</f>
        <v>-25.5</v>
      </c>
      <c r="AE131" s="138">
        <f>+-(AE84-AD84)</f>
        <v>-126.5</v>
      </c>
      <c r="AF131" s="138">
        <f>+-(AF84-AE84)</f>
        <v>65.100000000000023</v>
      </c>
      <c r="AG131" s="138">
        <f>+-(AG84-AF84)</f>
        <v>36</v>
      </c>
      <c r="AH131" s="137">
        <f t="shared" ref="AH131:AH136" si="194">+SUM(AD131:AG131)</f>
        <v>-50.899999999999977</v>
      </c>
      <c r="AI131" s="138">
        <f>+-(AI84-AH84)</f>
        <v>6.3999999999999773</v>
      </c>
      <c r="AJ131" s="138">
        <f>+-(AJ84-AI84)</f>
        <v>-132.39999999999998</v>
      </c>
      <c r="AK131" s="138">
        <f>+-(AK84-AJ84)</f>
        <v>13.700000000000045</v>
      </c>
      <c r="AL131" s="138">
        <f>+-(AL84-AK84)</f>
        <v>34.299999999999955</v>
      </c>
      <c r="AM131" s="137">
        <f t="shared" ref="AM131:AM136" si="195">+SUM(AI131:AL131)</f>
        <v>-78</v>
      </c>
      <c r="AN131" s="138">
        <f>+-(AN84-AM84)</f>
        <v>-27.299999999999955</v>
      </c>
      <c r="AO131" s="138">
        <f>+-(AO84-AN84)</f>
        <v>-118.60000000000002</v>
      </c>
      <c r="AP131" s="138">
        <f>+-(AP84-AO84)</f>
        <v>73.199999999999932</v>
      </c>
      <c r="AQ131" s="138">
        <f>+-(AQ84-AP84)</f>
        <v>93.700000000000045</v>
      </c>
      <c r="AR131" s="137">
        <f t="shared" ref="AR131:AR136" si="196">+SUM(AN131:AQ131)</f>
        <v>21</v>
      </c>
      <c r="AS131" s="138">
        <f>+-(AS84-AR84)</f>
        <v>-49.899999999999977</v>
      </c>
      <c r="AT131" s="138">
        <f>+-(AT84-AS84)</f>
        <v>-156.60000000000002</v>
      </c>
      <c r="AU131" s="138">
        <f>+-(AU84-AT84)</f>
        <v>47.700000000000045</v>
      </c>
      <c r="AV131" s="138">
        <f>+-(AV84-AU84)</f>
        <v>85.799999999999955</v>
      </c>
      <c r="AW131" s="137">
        <f t="shared" ref="AW131:AW136" si="197">+SUM(AS131:AV131)</f>
        <v>-73</v>
      </c>
      <c r="AX131" s="138">
        <f>+-(AX84-AW84)</f>
        <v>6</v>
      </c>
      <c r="AY131" s="138">
        <f>+-(AY84-AX84)</f>
        <v>-187</v>
      </c>
      <c r="AZ131" s="138">
        <f>+-(AZ84-AY84)</f>
        <v>50</v>
      </c>
      <c r="BA131" s="138">
        <f>+-(BA84-AZ84)</f>
        <v>110</v>
      </c>
      <c r="BB131" s="137">
        <f t="shared" ref="BB131:BB136" si="198">+SUM(AX131:BA131)</f>
        <v>-21</v>
      </c>
      <c r="BC131" s="138">
        <f>+-(BC84-BB84)</f>
        <v>22</v>
      </c>
      <c r="BD131" s="138">
        <f>+-(BD84-BC84)</f>
        <v>-214</v>
      </c>
      <c r="BE131" s="138">
        <f>+-(BE84-BD84)</f>
        <v>130</v>
      </c>
      <c r="BF131" s="138">
        <f>+-(BF84-BE84)</f>
        <v>48</v>
      </c>
      <c r="BG131" s="137">
        <f t="shared" ref="BG131:BG136" si="199">+SUM(BC131:BF131)</f>
        <v>-14</v>
      </c>
      <c r="BH131" s="138">
        <f>+-(BH84-BG84)</f>
        <v>78</v>
      </c>
      <c r="BI131" s="138">
        <f>+-(BI84-BH84)</f>
        <v>-222</v>
      </c>
      <c r="BJ131" s="138">
        <f>+-(BJ84-BI84)</f>
        <v>97</v>
      </c>
      <c r="BK131" s="138">
        <f>+-(BK84-BJ84)</f>
        <v>71</v>
      </c>
      <c r="BL131" s="137">
        <f>+SUM(BH131:BK131)</f>
        <v>24</v>
      </c>
      <c r="BM131" s="138">
        <f>+-(BM84-BL84)</f>
        <v>58</v>
      </c>
      <c r="BN131" s="138">
        <f>+-(BN84-BM84)</f>
        <v>-159</v>
      </c>
      <c r="BO131" s="138">
        <f>+-(BO84-BN84)</f>
        <v>49</v>
      </c>
      <c r="BP131" s="138">
        <f>+-(BP84-BO84)</f>
        <v>54</v>
      </c>
      <c r="BQ131" s="137">
        <f t="shared" ref="BQ131:BQ136" si="200">+SUM(BM131:BP131)</f>
        <v>2</v>
      </c>
      <c r="BR131" s="138">
        <f>+-(BR84-BQ84)</f>
        <v>-19</v>
      </c>
      <c r="BS131" s="138">
        <f>+-(BS84-BR84)</f>
        <v>-177</v>
      </c>
      <c r="BT131" s="138">
        <f>+-(BT84-BS84)</f>
        <v>79.738047897298657</v>
      </c>
      <c r="BU131" s="138">
        <f>+-(BU84-BT84)</f>
        <v>77.022175047717951</v>
      </c>
      <c r="BV131" s="137">
        <f t="shared" ref="BV131:BV136" si="201">+SUM(BR131:BU131)</f>
        <v>-39.239777054983392</v>
      </c>
      <c r="BW131" s="138">
        <f>+-(BW84-BV84)</f>
        <v>-18.784651440664447</v>
      </c>
      <c r="BX131" s="138">
        <f>+-(BX84-BW84)</f>
        <v>-162.37252162807783</v>
      </c>
      <c r="BY131" s="138">
        <f>+-(BY84-BX84)</f>
        <v>65.664077147081002</v>
      </c>
      <c r="BZ131" s="138">
        <f>+-(BZ84-BY84)</f>
        <v>82.011615899167964</v>
      </c>
      <c r="CA131" s="137">
        <f t="shared" ref="CA131:CA136" si="202">+SUM(BW131:BZ131)</f>
        <v>-33.481480022493315</v>
      </c>
      <c r="CB131" s="138">
        <f>+-(CB84-CA84)</f>
        <v>-16.054392842953575</v>
      </c>
      <c r="CC131" s="138">
        <f>+-(CC84-CB84)</f>
        <v>-170.49114770948177</v>
      </c>
      <c r="CD131" s="138">
        <f>+-(CD84-CC84)</f>
        <v>68.947281004435126</v>
      </c>
      <c r="CE131" s="138">
        <f>+-(CE84-CD84)</f>
        <v>86.112196694126624</v>
      </c>
      <c r="CF131" s="137">
        <f t="shared" ref="CF131:CF136" si="203">+SUM(CB131:CE131)</f>
        <v>-31.486062853873591</v>
      </c>
      <c r="CG131" s="138">
        <f>+-(CG84-CF84)</f>
        <v>-16.857112485101538</v>
      </c>
      <c r="CH131" s="138">
        <f>+-(CH84-CG84)</f>
        <v>-179.01570509495582</v>
      </c>
      <c r="CI131" s="138">
        <f>+-(CI84-CH84)</f>
        <v>72.394645054656735</v>
      </c>
      <c r="CJ131" s="138">
        <f>+-(CJ84-CI84)</f>
        <v>90.417806528833239</v>
      </c>
      <c r="CK131" s="137">
        <f t="shared" ref="CK131:CK136" si="204">+SUM(CG131:CJ131)</f>
        <v>-33.060365996567384</v>
      </c>
      <c r="CL131" s="138">
        <f>+-(CL84-CK84)</f>
        <v>-17.699968109356746</v>
      </c>
      <c r="CM131" s="138">
        <f>+-(CM84-CL84)</f>
        <v>-187.96649034970358</v>
      </c>
      <c r="CN131" s="138">
        <f>+-(CN84-CM84)</f>
        <v>76.014377307389623</v>
      </c>
      <c r="CO131" s="138">
        <f>+-(CO84-CN84)</f>
        <v>94.93869685527477</v>
      </c>
      <c r="CP131" s="137">
        <f t="shared" ref="CP131:CP136" si="205">+SUM(CL131:CO131)</f>
        <v>-34.71338429639593</v>
      </c>
    </row>
    <row r="132" spans="1:109" x14ac:dyDescent="0.25">
      <c r="B132" s="52" t="s">
        <v>71</v>
      </c>
      <c r="C132" s="137">
        <v>2</v>
      </c>
      <c r="D132" s="137">
        <v>25</v>
      </c>
      <c r="E132" s="138">
        <f>+-(E86-D86)</f>
        <v>-21.299999999999955</v>
      </c>
      <c r="F132" s="138">
        <f>+-(F86-E86)</f>
        <v>-23.400000000000091</v>
      </c>
      <c r="G132" s="138">
        <f>+-(G86-F86)</f>
        <v>28</v>
      </c>
      <c r="H132" s="138">
        <f>+-(H86-G86)</f>
        <v>103.80000000000007</v>
      </c>
      <c r="I132" s="137">
        <f t="shared" si="189"/>
        <v>87.100000000000023</v>
      </c>
      <c r="J132" s="138">
        <v>-38.700000000000003</v>
      </c>
      <c r="K132" s="138">
        <f>-77.1-J132</f>
        <v>-38.399999999999991</v>
      </c>
      <c r="L132" s="138">
        <f>-49-J132-K132</f>
        <v>28.099999999999994</v>
      </c>
      <c r="M132" s="138">
        <f>+-(M86-L86)</f>
        <v>8.7999999999999545</v>
      </c>
      <c r="N132" s="137">
        <f t="shared" si="190"/>
        <v>-40.200000000000045</v>
      </c>
      <c r="O132" s="138">
        <f>+-(O86-N86)</f>
        <v>-35.600000000000023</v>
      </c>
      <c r="P132" s="138">
        <f>+-(P86-O86)</f>
        <v>-47.100000000000023</v>
      </c>
      <c r="Q132" s="138">
        <f>+-(Q86-P86)</f>
        <v>-106.89999999999998</v>
      </c>
      <c r="R132" s="138">
        <f>+-(R86-Q86)</f>
        <v>6.6000000000000227</v>
      </c>
      <c r="S132" s="137">
        <f t="shared" si="191"/>
        <v>-183</v>
      </c>
      <c r="T132" s="138">
        <f>+-(T86-S86)</f>
        <v>-30.799999999999955</v>
      </c>
      <c r="U132" s="138">
        <f>+-(U86-T86)</f>
        <v>-8.8000000000000682</v>
      </c>
      <c r="V132" s="138">
        <f>+-(V86-U86)</f>
        <v>51.100000000000023</v>
      </c>
      <c r="W132" s="138">
        <f>+-(W86-V86)</f>
        <v>-2.5</v>
      </c>
      <c r="X132" s="137">
        <f t="shared" si="192"/>
        <v>9</v>
      </c>
      <c r="Y132" s="138">
        <f>+-(Y86-X86)</f>
        <v>-24</v>
      </c>
      <c r="Z132" s="138">
        <f>+-(Z86-Y86)</f>
        <v>26</v>
      </c>
      <c r="AA132" s="138">
        <f>+-(AA86-Z86)</f>
        <v>39.799999999999955</v>
      </c>
      <c r="AB132" s="139">
        <f>+-(AB86-AA86)</f>
        <v>-8.7999999999999545</v>
      </c>
      <c r="AC132" s="137">
        <f t="shared" si="193"/>
        <v>33</v>
      </c>
      <c r="AD132" s="138">
        <f>+-(AD86-AC86)</f>
        <v>-33.399999999999977</v>
      </c>
      <c r="AE132" s="138">
        <f>+-(AE86-AD86)</f>
        <v>-4.8000000000000682</v>
      </c>
      <c r="AF132" s="138">
        <f>+-(AF86-AE86)</f>
        <v>31.900000000000091</v>
      </c>
      <c r="AG132" s="138">
        <f>+-(AG86-AF86)</f>
        <v>7.2999999999999545</v>
      </c>
      <c r="AH132" s="137">
        <f t="shared" si="194"/>
        <v>1</v>
      </c>
      <c r="AI132" s="138">
        <f>+-(AI86-AH86)</f>
        <v>-20.899999999999977</v>
      </c>
      <c r="AJ132" s="138">
        <f>+-(AJ86-AI86)</f>
        <v>-27</v>
      </c>
      <c r="AK132" s="138">
        <f>+-(AK86-AJ86)</f>
        <v>21.899999999999977</v>
      </c>
      <c r="AL132" s="138">
        <f>+-(AL86-AK86)</f>
        <v>30</v>
      </c>
      <c r="AM132" s="137">
        <f>+SUM(AI132:AL132)</f>
        <v>4</v>
      </c>
      <c r="AN132" s="138">
        <f>+-(AN86-AM86)</f>
        <v>-38.5</v>
      </c>
      <c r="AO132" s="138">
        <f>+-(AO86-AN86)</f>
        <v>-9</v>
      </c>
      <c r="AP132" s="138">
        <f>+-(AP86-AO86)</f>
        <v>10.299999999999955</v>
      </c>
      <c r="AQ132" s="138">
        <f>+-(AQ86-AP86)</f>
        <v>-27.799999999999955</v>
      </c>
      <c r="AR132" s="137">
        <f t="shared" si="196"/>
        <v>-65</v>
      </c>
      <c r="AS132" s="138">
        <f>+-(AS86-AR86)</f>
        <v>-52.399999999999977</v>
      </c>
      <c r="AT132" s="138">
        <f>+-(AT86-AS86)</f>
        <v>-33.100000000000023</v>
      </c>
      <c r="AU132" s="138">
        <f>+-(AU86-AT86)</f>
        <v>-4.3999999999999773</v>
      </c>
      <c r="AV132" s="138">
        <f>+-(AV86-AU86)</f>
        <v>-25.100000000000023</v>
      </c>
      <c r="AW132" s="137">
        <f t="shared" si="197"/>
        <v>-115</v>
      </c>
      <c r="AX132" s="138">
        <f>+-(AX86-AW86)</f>
        <v>-47</v>
      </c>
      <c r="AY132" s="138">
        <f>+-(AY86-AX86)</f>
        <v>-27</v>
      </c>
      <c r="AZ132" s="138">
        <f>+-(AZ86-AY86)</f>
        <v>28</v>
      </c>
      <c r="BA132" s="138">
        <f>+-(BA86-AZ86)</f>
        <v>-9</v>
      </c>
      <c r="BB132" s="137">
        <f t="shared" si="198"/>
        <v>-55</v>
      </c>
      <c r="BC132" s="138">
        <f>+-(BC86-BB86)</f>
        <v>-67</v>
      </c>
      <c r="BD132" s="138">
        <f>+-(BD86-BC86)</f>
        <v>-22</v>
      </c>
      <c r="BE132" s="138">
        <f>+-(BE86-BD86)</f>
        <v>51</v>
      </c>
      <c r="BF132" s="138">
        <f>+-(BF86-BE86)</f>
        <v>-33</v>
      </c>
      <c r="BG132" s="137">
        <f t="shared" si="199"/>
        <v>-71</v>
      </c>
      <c r="BH132" s="138">
        <f>+-(BH86-BG86)</f>
        <v>-82</v>
      </c>
      <c r="BI132" s="138">
        <f>+-(BI86-BH86)</f>
        <v>-32</v>
      </c>
      <c r="BJ132" s="138">
        <f>+-(BJ86-BI86)</f>
        <v>36</v>
      </c>
      <c r="BK132" s="138">
        <f>+-(BK86-BJ86)</f>
        <v>-23</v>
      </c>
      <c r="BL132" s="137">
        <f>+SUM(BH132:BK132)</f>
        <v>-101</v>
      </c>
      <c r="BM132" s="138">
        <f>+-(BM86-BL86)</f>
        <v>-208</v>
      </c>
      <c r="BN132" s="138">
        <f>+-(BN86-BM86)</f>
        <v>-24</v>
      </c>
      <c r="BO132" s="138">
        <f>+-(BO86-BN86)</f>
        <v>48</v>
      </c>
      <c r="BP132" s="138">
        <f>+-(BP86-BO86)</f>
        <v>-32</v>
      </c>
      <c r="BQ132" s="137">
        <f t="shared" si="200"/>
        <v>-216</v>
      </c>
      <c r="BR132" s="138">
        <f>+-(BR86-BQ86)</f>
        <v>-67</v>
      </c>
      <c r="BS132" s="138">
        <f>+-(BS86-BR86)</f>
        <v>-22</v>
      </c>
      <c r="BT132" s="138">
        <f>+-(BT86-BS86)</f>
        <v>-9.2066725654144648</v>
      </c>
      <c r="BU132" s="138">
        <f>+-(BU86-BT86)</f>
        <v>-0.86819728157115605</v>
      </c>
      <c r="BV132" s="137">
        <f t="shared" si="201"/>
        <v>-99.074869846985621</v>
      </c>
      <c r="BW132" s="138">
        <f>+-(BW86-BV86)</f>
        <v>-51.776511783842579</v>
      </c>
      <c r="BX132" s="138">
        <f>+-(BX86-BW86)</f>
        <v>24.147718475504234</v>
      </c>
      <c r="BY132" s="138">
        <f>+-(BY86-BX86)</f>
        <v>-43.257984184971747</v>
      </c>
      <c r="BZ132" s="138">
        <f>+-(BZ86-BY86)</f>
        <v>-0.20860669520061492</v>
      </c>
      <c r="CA132" s="137">
        <f t="shared" si="202"/>
        <v>-71.095384188510707</v>
      </c>
      <c r="CB132" s="138">
        <f>+-(CB86-CA86)</f>
        <v>-44.655765542687959</v>
      </c>
      <c r="CC132" s="138">
        <f>+-(CC86-CB86)</f>
        <v>24.93103343148664</v>
      </c>
      <c r="CD132" s="138">
        <f>+-(CD86-CC86)</f>
        <v>-45.317607401004125</v>
      </c>
      <c r="CE132" s="138">
        <f>+-(CE86-CD86)</f>
        <v>0.36752671698695849</v>
      </c>
      <c r="CF132" s="137">
        <f t="shared" si="203"/>
        <v>-64.674812795218486</v>
      </c>
      <c r="CG132" s="138">
        <f>+-(CG86-CF86)</f>
        <v>-46.800926035484736</v>
      </c>
      <c r="CH132" s="138">
        <f>+-(CH86-CG86)</f>
        <v>25.732310586878384</v>
      </c>
      <c r="CI132" s="138">
        <f>+-(CI86-CH86)</f>
        <v>-47.47504797817578</v>
      </c>
      <c r="CJ132" s="138">
        <f>+-(CJ86-CI86)</f>
        <v>1.0017949871291876</v>
      </c>
      <c r="CK132" s="137">
        <f t="shared" si="204"/>
        <v>-67.541868439652944</v>
      </c>
      <c r="CL132" s="138">
        <f>+-(CL86-CK86)</f>
        <v>-51.646427855515867</v>
      </c>
      <c r="CM132" s="138">
        <f>+-(CM86-CL86)</f>
        <v>26.707233954895401</v>
      </c>
      <c r="CN132" s="138">
        <f>+-(CN86-CM86)</f>
        <v>-49.772892522071288</v>
      </c>
      <c r="CO132" s="138">
        <f>+-(CO86-CN86)</f>
        <v>1.4830090904931694</v>
      </c>
      <c r="CP132" s="137">
        <f t="shared" si="205"/>
        <v>-73.229077332198585</v>
      </c>
    </row>
    <row r="133" spans="1:109" x14ac:dyDescent="0.25">
      <c r="B133" s="52" t="s">
        <v>37</v>
      </c>
      <c r="C133" s="137">
        <v>-4</v>
      </c>
      <c r="D133" s="137">
        <v>-13</v>
      </c>
      <c r="E133" s="138">
        <f>+-(E88-D88)</f>
        <v>10.599999999999994</v>
      </c>
      <c r="F133" s="138">
        <f>+-(F88-E88)</f>
        <v>-0.39999999999999147</v>
      </c>
      <c r="G133" s="138">
        <f>+-(G88-F88)</f>
        <v>9.2000000000000028</v>
      </c>
      <c r="H133" s="138">
        <f>+-(H88-G88)</f>
        <v>-163.9</v>
      </c>
      <c r="I133" s="137">
        <f t="shared" si="189"/>
        <v>-144.5</v>
      </c>
      <c r="J133" s="138">
        <v>8.1999999999999993</v>
      </c>
      <c r="K133" s="138">
        <f>7.4-J133</f>
        <v>-0.79999999999999893</v>
      </c>
      <c r="L133" s="138">
        <f>4.7-J133-K133</f>
        <v>-2.7</v>
      </c>
      <c r="M133" s="138">
        <f>+-(M88-L88)</f>
        <v>-38.5</v>
      </c>
      <c r="N133" s="137">
        <f t="shared" si="190"/>
        <v>-33.799999999999997</v>
      </c>
      <c r="O133" s="138">
        <f>+-(O88-N88)</f>
        <v>37.5</v>
      </c>
      <c r="P133" s="138">
        <f>+-(P88-O88)</f>
        <v>-5.2999999999999972</v>
      </c>
      <c r="Q133" s="138">
        <f>+-(Q88-P88)</f>
        <v>-16.900000000000006</v>
      </c>
      <c r="R133" s="138">
        <f>+-(R88-Q88)</f>
        <v>-43.3</v>
      </c>
      <c r="S133" s="137">
        <f t="shared" si="191"/>
        <v>-28</v>
      </c>
      <c r="T133" s="138">
        <f>+-(T88-S88)</f>
        <v>51</v>
      </c>
      <c r="U133" s="138">
        <f>+-(U88-T88)</f>
        <v>-16.800000000000011</v>
      </c>
      <c r="V133" s="138">
        <f>+-(V88-U88)</f>
        <v>-17.899999999999977</v>
      </c>
      <c r="W133" s="138">
        <f>+-(W88-V88)</f>
        <v>-47.300000000000011</v>
      </c>
      <c r="X133" s="137">
        <f t="shared" si="192"/>
        <v>-31</v>
      </c>
      <c r="Y133" s="138">
        <f>+-(Y88-X88)</f>
        <v>2.5999999999999943</v>
      </c>
      <c r="Z133" s="138">
        <f>+-(Z88-Y88)</f>
        <v>-32.400000000000006</v>
      </c>
      <c r="AA133" s="138">
        <f>+-(AA88-Z88)</f>
        <v>25.700000000000017</v>
      </c>
      <c r="AB133" s="139">
        <f>+-(AB88-AA88)</f>
        <v>-11.500000000000028</v>
      </c>
      <c r="AC133" s="137">
        <f t="shared" si="193"/>
        <v>-15.600000000000023</v>
      </c>
      <c r="AD133" s="138">
        <f>+-(AD88-AC88)</f>
        <v>39.100000000000023</v>
      </c>
      <c r="AE133" s="138">
        <f>+-(AE88-AD88)</f>
        <v>-10.300000000000011</v>
      </c>
      <c r="AF133" s="138">
        <f>+-(AF88-AE88)</f>
        <v>-8.5999999999999943</v>
      </c>
      <c r="AG133" s="138">
        <f>+-(AG88-AF88)</f>
        <v>-31.599999999999994</v>
      </c>
      <c r="AH133" s="137">
        <f t="shared" si="194"/>
        <v>-11.399999999999977</v>
      </c>
      <c r="AI133" s="138">
        <f>+-(AI88-AH88)</f>
        <v>25.800000000000011</v>
      </c>
      <c r="AJ133" s="138">
        <f>+-(AJ88-AI88)</f>
        <v>-4.9000000000000057</v>
      </c>
      <c r="AK133" s="138">
        <f>+-(AK88-AJ88)</f>
        <v>4.2999999999999829</v>
      </c>
      <c r="AL133" s="138">
        <f>+-(AL88-AK88)</f>
        <v>-65.199999999999989</v>
      </c>
      <c r="AM133" s="137">
        <f t="shared" si="195"/>
        <v>-40</v>
      </c>
      <c r="AN133" s="138">
        <f>+-(AN88-AM88)</f>
        <v>15.699999999999989</v>
      </c>
      <c r="AO133" s="138">
        <f>+-(AO88-AN88)</f>
        <v>21.200000000000017</v>
      </c>
      <c r="AP133" s="138">
        <f>+-(AP88-AO88)</f>
        <v>23.799999999999983</v>
      </c>
      <c r="AQ133" s="138">
        <f>+-(AQ88-AP88)</f>
        <v>-18.699999999999989</v>
      </c>
      <c r="AR133" s="137">
        <f t="shared" si="196"/>
        <v>42</v>
      </c>
      <c r="AS133" s="138">
        <f>+-(AS88-AR88)</f>
        <v>25.300000000000011</v>
      </c>
      <c r="AT133" s="138">
        <f>+-(AT88-AS88)</f>
        <v>-8.8000000000000114</v>
      </c>
      <c r="AU133" s="138">
        <f>+-(AU88-AT88)</f>
        <v>-16.400000000000006</v>
      </c>
      <c r="AV133" s="138">
        <f>+-(AV88-AU88)</f>
        <v>-18.099999999999994</v>
      </c>
      <c r="AW133" s="137">
        <f t="shared" si="197"/>
        <v>-18</v>
      </c>
      <c r="AX133" s="138">
        <f>+-(AX88-AW88)</f>
        <v>14</v>
      </c>
      <c r="AY133" s="138">
        <f>+-(AY88-AX88)</f>
        <v>17</v>
      </c>
      <c r="AZ133" s="138">
        <f>+-(AZ88-AY88)</f>
        <v>-53</v>
      </c>
      <c r="BA133" s="138">
        <f>+-(BA88-AZ88)</f>
        <v>-25</v>
      </c>
      <c r="BB133" s="137">
        <f t="shared" si="198"/>
        <v>-47</v>
      </c>
      <c r="BC133" s="138">
        <f>+-(BC88-BB88)</f>
        <v>-14</v>
      </c>
      <c r="BD133" s="138">
        <f>+-(BD88-BC88)</f>
        <v>-29</v>
      </c>
      <c r="BE133" s="138">
        <f>+-(BE88-BD88)</f>
        <v>-76</v>
      </c>
      <c r="BF133" s="138">
        <f>+-(BF88-BE88)</f>
        <v>60</v>
      </c>
      <c r="BG133" s="137">
        <f t="shared" si="199"/>
        <v>-59</v>
      </c>
      <c r="BH133" s="138">
        <f>+-(BH88-BG88)</f>
        <v>11</v>
      </c>
      <c r="BI133" s="138">
        <f>+-(BI88-BH88)</f>
        <v>-22</v>
      </c>
      <c r="BJ133" s="138">
        <f>+-(BJ88-BI88)</f>
        <v>-68</v>
      </c>
      <c r="BK133" s="138">
        <f>+-(BK88-BJ88)</f>
        <v>70</v>
      </c>
      <c r="BL133" s="137">
        <f>+SUM(BH133:BK133)</f>
        <v>-9</v>
      </c>
      <c r="BM133" s="138">
        <f>+-(BM88-BL88)</f>
        <v>18</v>
      </c>
      <c r="BN133" s="138">
        <f>+-(BN88-BM88)</f>
        <v>-34</v>
      </c>
      <c r="BO133" s="138">
        <f>+-(BO88-BN88)</f>
        <v>42</v>
      </c>
      <c r="BP133" s="138">
        <f>+-(BP88-BO88)</f>
        <v>-11</v>
      </c>
      <c r="BQ133" s="137">
        <f t="shared" si="200"/>
        <v>15</v>
      </c>
      <c r="BR133" s="138">
        <f>+-(BR88-BQ88)</f>
        <v>-10</v>
      </c>
      <c r="BS133" s="138">
        <f>+-(BS88-BR88)</f>
        <v>15</v>
      </c>
      <c r="BT133" s="138">
        <f>+-(BT88-BS88)</f>
        <v>-27.72946996071056</v>
      </c>
      <c r="BU133" s="138">
        <f>+-(BU88-BT88)</f>
        <v>-1.3638940479148118</v>
      </c>
      <c r="BV133" s="137">
        <f t="shared" si="201"/>
        <v>-24.093364008625372</v>
      </c>
      <c r="BW133" s="138">
        <f>+-(BW88-BV88)</f>
        <v>-9.7548978498260794</v>
      </c>
      <c r="BX133" s="138">
        <f>+-(BX88-BW88)</f>
        <v>27.929573688869027</v>
      </c>
      <c r="BY133" s="138">
        <f>+-(BY88-BX88)</f>
        <v>-37.651820758845361</v>
      </c>
      <c r="BZ133" s="138">
        <f>+-(BZ88-BY88)</f>
        <v>-1.0806040347625867</v>
      </c>
      <c r="CA133" s="137">
        <f t="shared" si="202"/>
        <v>-20.557748954565</v>
      </c>
      <c r="CB133" s="138">
        <f>+-(CB88-CA88)</f>
        <v>-7.9895619881836524</v>
      </c>
      <c r="CC133" s="138">
        <f>+-(CC88-CB88)</f>
        <v>29.326052373312507</v>
      </c>
      <c r="CD133" s="138">
        <f>+-(CD88-CC88)</f>
        <v>-39.534411796787708</v>
      </c>
      <c r="CE133" s="138">
        <f>+-(CE88-CD88)</f>
        <v>-1.1346342365005171</v>
      </c>
      <c r="CF133" s="137">
        <f t="shared" si="203"/>
        <v>-19.332555648159371</v>
      </c>
      <c r="CG133" s="138">
        <f>+-(CG88-CF88)</f>
        <v>-8.3890400875930595</v>
      </c>
      <c r="CH133" s="138">
        <f>+-(CH88-CG88)</f>
        <v>30.792354991978186</v>
      </c>
      <c r="CI133" s="138">
        <f>+-(CI88-CH88)</f>
        <v>-41.511132386627082</v>
      </c>
      <c r="CJ133" s="138">
        <f>+-(CJ88-CI88)</f>
        <v>-1.1913659483254833</v>
      </c>
      <c r="CK133" s="137">
        <f t="shared" si="204"/>
        <v>-20.299183430567439</v>
      </c>
      <c r="CL133" s="138">
        <f>+-(CL88-CK88)</f>
        <v>-8.8084920919727097</v>
      </c>
      <c r="CM133" s="138">
        <f>+-(CM88-CL88)</f>
        <v>32.331972741577033</v>
      </c>
      <c r="CN133" s="138">
        <f>+-(CN88-CM88)</f>
        <v>-43.586689005958419</v>
      </c>
      <c r="CO133" s="138">
        <f>+-(CO88-CN88)</f>
        <v>-1.2509342457417461</v>
      </c>
      <c r="CP133" s="137">
        <f t="shared" si="205"/>
        <v>-21.314142602095842</v>
      </c>
    </row>
    <row r="134" spans="1:109" x14ac:dyDescent="0.25">
      <c r="B134" s="52" t="s">
        <v>72</v>
      </c>
      <c r="C134" s="137">
        <v>-18</v>
      </c>
      <c r="D134" s="137">
        <v>-25</v>
      </c>
      <c r="E134" s="138">
        <f>+E99-D99</f>
        <v>-13.300000000000011</v>
      </c>
      <c r="F134" s="138">
        <f>+F99-E99</f>
        <v>87.199999999999989</v>
      </c>
      <c r="G134" s="138">
        <f>+G99-F99</f>
        <v>-30.599999999999966</v>
      </c>
      <c r="H134" s="138">
        <f>+H99-G99</f>
        <v>-50.100000000000023</v>
      </c>
      <c r="I134" s="137">
        <f t="shared" si="189"/>
        <v>-6.8000000000000114</v>
      </c>
      <c r="J134" s="138">
        <v>-20.399999999999999</v>
      </c>
      <c r="K134" s="138">
        <f>51.6-J134</f>
        <v>72</v>
      </c>
      <c r="L134" s="138">
        <f>-3-J134-K134</f>
        <v>-54.6</v>
      </c>
      <c r="M134" s="138">
        <f>+M99-L99</f>
        <v>27.800000000000011</v>
      </c>
      <c r="N134" s="137">
        <f t="shared" si="190"/>
        <v>24.800000000000011</v>
      </c>
      <c r="O134" s="138">
        <f>+O99-N99</f>
        <v>-39.900000000000006</v>
      </c>
      <c r="P134" s="138">
        <f>+P99-O99</f>
        <v>92.799999999999983</v>
      </c>
      <c r="Q134" s="138">
        <f>+Q99-P99</f>
        <v>21.900000000000034</v>
      </c>
      <c r="R134" s="138">
        <f>+R99-Q99</f>
        <v>-2.8000000000000114</v>
      </c>
      <c r="S134" s="137">
        <f t="shared" si="191"/>
        <v>72</v>
      </c>
      <c r="T134" s="138">
        <f>+T99-S99</f>
        <v>-26.699999999999989</v>
      </c>
      <c r="U134" s="138">
        <f>+U99-T99</f>
        <v>89.699999999999989</v>
      </c>
      <c r="V134" s="138">
        <f>+V99-U99</f>
        <v>-69.899999999999977</v>
      </c>
      <c r="W134" s="138">
        <f>+W99-V99</f>
        <v>25.899999999999977</v>
      </c>
      <c r="X134" s="137">
        <f t="shared" si="192"/>
        <v>19</v>
      </c>
      <c r="Y134" s="138">
        <f>+Y99-X99</f>
        <v>-37</v>
      </c>
      <c r="Z134" s="138">
        <f>+Z99-Y99</f>
        <v>27.899999999999977</v>
      </c>
      <c r="AA134" s="138">
        <f>+AA99-Z99</f>
        <v>-71.399999999999977</v>
      </c>
      <c r="AB134" s="139">
        <f>+AB99-AA99</f>
        <v>26.899999999999977</v>
      </c>
      <c r="AC134" s="137">
        <f t="shared" si="193"/>
        <v>-53.600000000000023</v>
      </c>
      <c r="AD134" s="138">
        <f>+AD99-AC99</f>
        <v>-3.3999999999999773</v>
      </c>
      <c r="AE134" s="138">
        <f>+AE99-AD99</f>
        <v>69.199999999999989</v>
      </c>
      <c r="AF134" s="138">
        <f>+AF99-AE99</f>
        <v>-30.800000000000011</v>
      </c>
      <c r="AG134" s="138">
        <f>+AG99-AF99</f>
        <v>-19.399999999999977</v>
      </c>
      <c r="AH134" s="137">
        <f t="shared" si="194"/>
        <v>15.600000000000023</v>
      </c>
      <c r="AI134" s="138">
        <f>+AI99-AH99</f>
        <v>-28.199999999999989</v>
      </c>
      <c r="AJ134" s="138">
        <f>+AJ99-AI99</f>
        <v>67.899999999999977</v>
      </c>
      <c r="AK134" s="138">
        <f>+AK99-AJ99</f>
        <v>-9.8000000000000114</v>
      </c>
      <c r="AL134" s="138">
        <f>+AL99-AK99</f>
        <v>40.100000000000023</v>
      </c>
      <c r="AM134" s="137">
        <f t="shared" si="195"/>
        <v>70</v>
      </c>
      <c r="AN134" s="138">
        <f>+AN99-AM99</f>
        <v>-8</v>
      </c>
      <c r="AO134" s="138">
        <f>+AO99-AN99</f>
        <v>49.300000000000011</v>
      </c>
      <c r="AP134" s="138">
        <f>+AP99-AO99</f>
        <v>-62.5</v>
      </c>
      <c r="AQ134" s="138">
        <f>+AQ99-AP99</f>
        <v>-4.8000000000000114</v>
      </c>
      <c r="AR134" s="137">
        <f t="shared" si="196"/>
        <v>-26</v>
      </c>
      <c r="AS134" s="138">
        <f>+AS99-AR99</f>
        <v>-10.300000000000011</v>
      </c>
      <c r="AT134" s="138">
        <f>+AT99-AS99</f>
        <v>105</v>
      </c>
      <c r="AU134" s="138">
        <f>+AU99-AT99</f>
        <v>-14.300000000000011</v>
      </c>
      <c r="AV134" s="138">
        <f>+AV99-AU99+AV102-AU102</f>
        <v>-69.899999999999977</v>
      </c>
      <c r="AW134" s="137">
        <f t="shared" si="197"/>
        <v>10.5</v>
      </c>
      <c r="AX134" s="138">
        <f>+AX99-AW99</f>
        <v>-58</v>
      </c>
      <c r="AY134" s="138">
        <f>+AY99-AX99</f>
        <v>120</v>
      </c>
      <c r="AZ134" s="138">
        <f>+AZ99-AY99</f>
        <v>-61</v>
      </c>
      <c r="BA134" s="138">
        <f>+BA99-AZ99</f>
        <v>22</v>
      </c>
      <c r="BB134" s="137">
        <f t="shared" si="198"/>
        <v>23</v>
      </c>
      <c r="BC134" s="138">
        <f>+BC99-BB99</f>
        <v>-47</v>
      </c>
      <c r="BD134" s="138">
        <f>+BD99-BC99</f>
        <v>108</v>
      </c>
      <c r="BE134" s="138">
        <f>+BE99-BD99</f>
        <v>-24</v>
      </c>
      <c r="BF134" s="138">
        <f>+BF99-BE99</f>
        <v>-14</v>
      </c>
      <c r="BG134" s="137">
        <f t="shared" si="199"/>
        <v>23</v>
      </c>
      <c r="BH134" s="138">
        <f>+BH99-BG99</f>
        <v>-59</v>
      </c>
      <c r="BI134" s="138">
        <f>+BI99-BH99</f>
        <v>111</v>
      </c>
      <c r="BJ134" s="138">
        <f>+BJ99-BI99</f>
        <v>-51</v>
      </c>
      <c r="BK134" s="138">
        <f>+BK99-BJ99</f>
        <v>3</v>
      </c>
      <c r="BL134" s="137">
        <f>+SUM(BH134:BK134)</f>
        <v>4</v>
      </c>
      <c r="BM134" s="138">
        <f>+BM99-BL99</f>
        <v>-38</v>
      </c>
      <c r="BN134" s="138">
        <f>+BN99-BM99</f>
        <v>91</v>
      </c>
      <c r="BO134" s="138">
        <f>+BO99-BN99</f>
        <v>-76</v>
      </c>
      <c r="BP134" s="138">
        <f>+BP99-BO99</f>
        <v>23</v>
      </c>
      <c r="BQ134" s="137">
        <f t="shared" si="200"/>
        <v>0</v>
      </c>
      <c r="BR134" s="138">
        <f>+BR99-BQ99</f>
        <v>-47</v>
      </c>
      <c r="BS134" s="138">
        <f>+BS99-BR99</f>
        <v>102</v>
      </c>
      <c r="BT134" s="138">
        <f>+BT99-BS99</f>
        <v>-27.726341287344098</v>
      </c>
      <c r="BU134" s="138">
        <f>+BU99-BT99</f>
        <v>11.810207266351767</v>
      </c>
      <c r="BV134" s="137">
        <f t="shared" si="201"/>
        <v>39.083865979007669</v>
      </c>
      <c r="BW134" s="138">
        <f>+BW99-BV99</f>
        <v>-57.610771543408589</v>
      </c>
      <c r="BX134" s="138">
        <f>+BX99-BW99</f>
        <v>88.952392477101455</v>
      </c>
      <c r="BY134" s="138">
        <f>+BY99-BX99</f>
        <v>-15.446757164185783</v>
      </c>
      <c r="BZ134" s="138">
        <f>+BZ99-BY99</f>
        <v>12.151425583598325</v>
      </c>
      <c r="CA134" s="137">
        <f t="shared" si="202"/>
        <v>28.046289353105408</v>
      </c>
      <c r="CB134" s="138">
        <f>+CB99-CA99</f>
        <v>-63.933436642138815</v>
      </c>
      <c r="CC134" s="138">
        <f>+CC99-CB99</f>
        <v>93.081877555473795</v>
      </c>
      <c r="CD134" s="138">
        <f>+CD99-CC99</f>
        <v>-16.106043970971996</v>
      </c>
      <c r="CE134" s="138">
        <f>+CE99-CD99</f>
        <v>12.471052829609107</v>
      </c>
      <c r="CF134" s="137">
        <f t="shared" si="203"/>
        <v>25.513449771972091</v>
      </c>
      <c r="CG134" s="138">
        <f>+CG99-CF99</f>
        <v>-66.757082470386877</v>
      </c>
      <c r="CH134" s="138">
        <f>+CH99-CG99</f>
        <v>97.401930160490451</v>
      </c>
      <c r="CI134" s="138">
        <f>+CI99-CH99</f>
        <v>-16.792642565526762</v>
      </c>
      <c r="CJ134" s="138">
        <f>+CJ99-CI99</f>
        <v>12.792264236262554</v>
      </c>
      <c r="CK134" s="137">
        <f t="shared" si="204"/>
        <v>26.644469360839366</v>
      </c>
      <c r="CL134" s="138">
        <f>+CL99-CK99</f>
        <v>-68.821248093083682</v>
      </c>
      <c r="CM134" s="138">
        <f>+CM99-CL99</f>
        <v>102.03819777758486</v>
      </c>
      <c r="CN134" s="138">
        <f>+CN99-CM99</f>
        <v>-17.549182171007033</v>
      </c>
      <c r="CO134" s="138">
        <f>+CO99-CN99</f>
        <v>13.220238583696073</v>
      </c>
      <c r="CP134" s="137">
        <f t="shared" si="205"/>
        <v>28.888006097190214</v>
      </c>
    </row>
    <row r="135" spans="1:109" x14ac:dyDescent="0.25">
      <c r="B135" s="52" t="s">
        <v>48</v>
      </c>
      <c r="C135" s="137">
        <v>12</v>
      </c>
      <c r="D135" s="137">
        <v>4</v>
      </c>
      <c r="E135" s="138">
        <f>+E101-D101</f>
        <v>20.099999999999994</v>
      </c>
      <c r="F135" s="138">
        <f>+F101-E101</f>
        <v>13.900000000000006</v>
      </c>
      <c r="G135" s="138">
        <f>+G101-F101</f>
        <v>30.599999999999994</v>
      </c>
      <c r="H135" s="138">
        <f>+H101-G101</f>
        <v>-70.699999999999989</v>
      </c>
      <c r="I135" s="137">
        <f t="shared" si="189"/>
        <v>-6.0999999999999943</v>
      </c>
      <c r="J135" s="138">
        <v>25.1</v>
      </c>
      <c r="K135" s="138">
        <f>-8.5-J135</f>
        <v>-33.6</v>
      </c>
      <c r="L135" s="138">
        <f>+L101-K101</f>
        <v>5</v>
      </c>
      <c r="M135" s="138">
        <f>+M101-L101</f>
        <v>6.7000000000000028</v>
      </c>
      <c r="N135" s="137">
        <f t="shared" si="190"/>
        <v>3.2000000000000028</v>
      </c>
      <c r="O135" s="138">
        <f>+O101-N101</f>
        <v>30.099999999999994</v>
      </c>
      <c r="P135" s="138">
        <f>+P101-O101</f>
        <v>-30.599999999999994</v>
      </c>
      <c r="Q135" s="138">
        <f>+Q101-P101</f>
        <v>6.5</v>
      </c>
      <c r="R135" s="138">
        <f>+R101-Q101</f>
        <v>-28</v>
      </c>
      <c r="S135" s="137">
        <f t="shared" si="191"/>
        <v>-22</v>
      </c>
      <c r="T135" s="138">
        <f>+T101-S101</f>
        <v>-20</v>
      </c>
      <c r="U135" s="138">
        <f>+U101-T101</f>
        <v>-7</v>
      </c>
      <c r="V135" s="138">
        <f>+V101-U101</f>
        <v>15</v>
      </c>
      <c r="W135" s="138">
        <f>+W101-V101</f>
        <v>0</v>
      </c>
      <c r="X135" s="137">
        <f t="shared" si="192"/>
        <v>-12</v>
      </c>
      <c r="Y135" s="138">
        <f>+Y101-X101</f>
        <v>46.1</v>
      </c>
      <c r="Z135" s="138">
        <f>+Z101-Y101</f>
        <v>-52.8</v>
      </c>
      <c r="AA135" s="138">
        <f>+AA101-Z101</f>
        <v>-2.3000000000000007</v>
      </c>
      <c r="AB135" s="139">
        <f>+AB101-AA101</f>
        <v>-6</v>
      </c>
      <c r="AC135" s="137">
        <f t="shared" si="193"/>
        <v>-14.999999999999996</v>
      </c>
      <c r="AD135" s="138">
        <f>+AD101-AC101</f>
        <v>0</v>
      </c>
      <c r="AE135" s="138">
        <f>+AE101-AD101</f>
        <v>0</v>
      </c>
      <c r="AF135" s="138">
        <f>+AF101-AE101</f>
        <v>0</v>
      </c>
      <c r="AG135" s="138">
        <f>+AG101-AF101</f>
        <v>4</v>
      </c>
      <c r="AH135" s="137">
        <f t="shared" si="194"/>
        <v>4</v>
      </c>
      <c r="AI135" s="138">
        <f>+AI101-AH101</f>
        <v>-4</v>
      </c>
      <c r="AJ135" s="138">
        <f>+AJ101-AI101</f>
        <v>0</v>
      </c>
      <c r="AK135" s="138">
        <f>+AK101-AJ101</f>
        <v>0</v>
      </c>
      <c r="AL135" s="138">
        <f>+AL101-AK101</f>
        <v>32</v>
      </c>
      <c r="AM135" s="137">
        <f t="shared" si="195"/>
        <v>28</v>
      </c>
      <c r="AN135" s="138">
        <f>+AN101-AM101</f>
        <v>-32</v>
      </c>
      <c r="AO135" s="138">
        <f>+AO101-AN101</f>
        <v>0</v>
      </c>
      <c r="AP135" s="138">
        <f>+AP101-AO101</f>
        <v>0</v>
      </c>
      <c r="AQ135" s="138">
        <f>+AQ101-AP101</f>
        <v>0</v>
      </c>
      <c r="AR135" s="137">
        <f t="shared" si="196"/>
        <v>-32</v>
      </c>
      <c r="AS135" s="138">
        <f>+AS101-AR101</f>
        <v>0</v>
      </c>
      <c r="AT135" s="138">
        <f>+AT101-AS101</f>
        <v>0</v>
      </c>
      <c r="AU135" s="138">
        <f>+AU101-AT101</f>
        <v>0</v>
      </c>
      <c r="AV135" s="138">
        <f>+AV101-AU101</f>
        <v>10</v>
      </c>
      <c r="AW135" s="137">
        <f t="shared" si="197"/>
        <v>10</v>
      </c>
      <c r="AX135" s="138">
        <f>+AX101-AW101</f>
        <v>-10</v>
      </c>
      <c r="AY135" s="138">
        <f>+AY101-AX101</f>
        <v>0</v>
      </c>
      <c r="AZ135" s="138">
        <f>+AZ101-AY101</f>
        <v>74</v>
      </c>
      <c r="BA135" s="138">
        <f>+BA101-AZ101</f>
        <v>-3</v>
      </c>
      <c r="BB135" s="137">
        <f t="shared" si="198"/>
        <v>61</v>
      </c>
      <c r="BC135" s="138">
        <f>+BC101-BB101</f>
        <v>57</v>
      </c>
      <c r="BD135" s="138">
        <f>+BD101-BC101</f>
        <v>-116</v>
      </c>
      <c r="BE135" s="138">
        <f>+BE101-BD101</f>
        <v>4</v>
      </c>
      <c r="BF135" s="138">
        <f>+BF101-BE101</f>
        <v>-4</v>
      </c>
      <c r="BG135" s="137">
        <f t="shared" si="199"/>
        <v>-59</v>
      </c>
      <c r="BH135" s="138">
        <f>+BH101-BG101</f>
        <v>42</v>
      </c>
      <c r="BI135" s="138">
        <f>+BI101-BH101</f>
        <v>-38</v>
      </c>
      <c r="BJ135" s="138">
        <f>+BJ101-BI101</f>
        <v>1</v>
      </c>
      <c r="BK135" s="138">
        <f>+BK101-BJ101</f>
        <v>2</v>
      </c>
      <c r="BL135" s="137">
        <f t="shared" ref="BL135" si="206">+SUM(BH135:BK135)</f>
        <v>7</v>
      </c>
      <c r="BM135" s="138">
        <f>+BM101-BL101</f>
        <v>37</v>
      </c>
      <c r="BN135" s="138">
        <f>+BN101-BM101</f>
        <v>-43</v>
      </c>
      <c r="BO135" s="138">
        <f>+BO101-BN101</f>
        <v>12</v>
      </c>
      <c r="BP135" s="138">
        <f>+BP101-BO101</f>
        <v>-16</v>
      </c>
      <c r="BQ135" s="137">
        <f t="shared" si="200"/>
        <v>-10</v>
      </c>
      <c r="BR135" s="138">
        <f>+BR101-BQ101</f>
        <v>48</v>
      </c>
      <c r="BS135" s="138">
        <f>+BS101-BR101</f>
        <v>-46</v>
      </c>
      <c r="BT135" s="138">
        <f>+BT101-BS101</f>
        <v>14</v>
      </c>
      <c r="BU135" s="138">
        <f>+BU101-BT101</f>
        <v>-16</v>
      </c>
      <c r="BV135" s="137">
        <f t="shared" si="201"/>
        <v>0</v>
      </c>
      <c r="BW135" s="138">
        <f>+BW101-BV101</f>
        <v>48</v>
      </c>
      <c r="BX135" s="138">
        <f>+BX101-BW101</f>
        <v>-46</v>
      </c>
      <c r="BY135" s="138">
        <f>+BY101-BX101</f>
        <v>14</v>
      </c>
      <c r="BZ135" s="138">
        <f>+BZ101-BY101</f>
        <v>-16</v>
      </c>
      <c r="CA135" s="137">
        <f t="shared" si="202"/>
        <v>0</v>
      </c>
      <c r="CB135" s="138">
        <f>+CB101-CA101</f>
        <v>48</v>
      </c>
      <c r="CC135" s="138">
        <f>+CC101-CB101</f>
        <v>-46</v>
      </c>
      <c r="CD135" s="138">
        <f>+CD101-CC101</f>
        <v>14</v>
      </c>
      <c r="CE135" s="138">
        <f>+CE101-CD101</f>
        <v>-16</v>
      </c>
      <c r="CF135" s="137">
        <f t="shared" si="203"/>
        <v>0</v>
      </c>
      <c r="CG135" s="138">
        <f>+CG101-CF101</f>
        <v>48</v>
      </c>
      <c r="CH135" s="138">
        <f>+CH101-CG101</f>
        <v>-46</v>
      </c>
      <c r="CI135" s="138">
        <f>+CI101-CH101</f>
        <v>14</v>
      </c>
      <c r="CJ135" s="138">
        <f>+CJ101-CI101</f>
        <v>-16</v>
      </c>
      <c r="CK135" s="137">
        <f t="shared" si="204"/>
        <v>0</v>
      </c>
      <c r="CL135" s="138">
        <f>+CL101-CK101</f>
        <v>48</v>
      </c>
      <c r="CM135" s="138">
        <f>+CM101-CL101</f>
        <v>-46</v>
      </c>
      <c r="CN135" s="138">
        <f>+CN101-CM101</f>
        <v>14</v>
      </c>
      <c r="CO135" s="138">
        <f>+CO101-CN101</f>
        <v>-16</v>
      </c>
      <c r="CP135" s="137">
        <f t="shared" si="205"/>
        <v>0</v>
      </c>
    </row>
    <row r="136" spans="1:109" x14ac:dyDescent="0.25">
      <c r="B136" s="52" t="s">
        <v>55</v>
      </c>
      <c r="C136" s="189">
        <v>-5</v>
      </c>
      <c r="D136" s="189">
        <v>21</v>
      </c>
      <c r="E136" s="190">
        <f>+(E109-D109)+(E102-D102)</f>
        <v>24.599999999999998</v>
      </c>
      <c r="F136" s="190">
        <f>+(F109-E109)+(F102-E102)</f>
        <v>-23.3</v>
      </c>
      <c r="G136" s="190">
        <f>+(G109-F109)+(G102-F102)</f>
        <v>29.700000000000006</v>
      </c>
      <c r="H136" s="190">
        <f>+(H109-G109)+(H102-G102)</f>
        <v>50.100000000000009</v>
      </c>
      <c r="I136" s="189">
        <f t="shared" si="189"/>
        <v>81.100000000000009</v>
      </c>
      <c r="J136" s="190">
        <f>+(J109-I109)+(J102-I102)</f>
        <v>18.899999999999984</v>
      </c>
      <c r="K136" s="190">
        <f>+(K109-J109)+(K102-J102)</f>
        <v>-110.29999999999998</v>
      </c>
      <c r="L136" s="190">
        <f>+(L109-K109)+(L102-K102)</f>
        <v>38</v>
      </c>
      <c r="M136" s="190">
        <f>+(M109-L109)+(M102-L102)</f>
        <v>-26.700000000000003</v>
      </c>
      <c r="N136" s="189">
        <f t="shared" si="190"/>
        <v>-80.100000000000009</v>
      </c>
      <c r="O136" s="190">
        <f>+(O109-N109)+(O102-N102)</f>
        <v>18.299999999999997</v>
      </c>
      <c r="P136" s="190">
        <f>+(P109-O109)+(P102-O102)</f>
        <v>-33</v>
      </c>
      <c r="Q136" s="190">
        <f>+(Q109-P109)+(Q102-P102)</f>
        <v>43.900000000000006</v>
      </c>
      <c r="R136" s="190">
        <f>+(R109-Q109)+(R102-Q102)</f>
        <v>170.8</v>
      </c>
      <c r="S136" s="189">
        <f t="shared" si="191"/>
        <v>200</v>
      </c>
      <c r="T136" s="190">
        <f>+(T109-S109)</f>
        <v>30.5</v>
      </c>
      <c r="U136" s="190">
        <f>+(U109-T109)</f>
        <v>5.2000000000000028</v>
      </c>
      <c r="V136" s="190">
        <f>+(V109-U109)</f>
        <v>6.7000000000000028</v>
      </c>
      <c r="W136" s="190">
        <f>+(W109-V109)</f>
        <v>-3.4000000000000057</v>
      </c>
      <c r="X136" s="189">
        <f t="shared" si="192"/>
        <v>39</v>
      </c>
      <c r="Y136" s="190">
        <f>+(Y109-X109)</f>
        <v>-11</v>
      </c>
      <c r="Z136" s="190">
        <f>+(Z109-Y109)</f>
        <v>8.2999999999999972</v>
      </c>
      <c r="AA136" s="190">
        <f>+(AA109-Z109)</f>
        <v>-9</v>
      </c>
      <c r="AB136" s="191">
        <f>+(AB109-AA109)</f>
        <v>1.5</v>
      </c>
      <c r="AC136" s="189">
        <f t="shared" si="193"/>
        <v>-10.200000000000003</v>
      </c>
      <c r="AD136" s="190">
        <f>+(AD109-AC109)</f>
        <v>-6.2999999999999972</v>
      </c>
      <c r="AE136" s="190">
        <f>+(AE109-AD109)</f>
        <v>5.6000000000000014</v>
      </c>
      <c r="AF136" s="190">
        <f>+(AF109-AE109)</f>
        <v>4.8999999999999986</v>
      </c>
      <c r="AG136" s="190">
        <f>+(AG109-AF109)</f>
        <v>6</v>
      </c>
      <c r="AH136" s="189">
        <f t="shared" si="194"/>
        <v>10.200000000000003</v>
      </c>
      <c r="AI136" s="190">
        <f>+(AI109-AH109)</f>
        <v>-10.100000000000001</v>
      </c>
      <c r="AJ136" s="190">
        <f>+(AJ109-AI109)</f>
        <v>4.7000000000000028</v>
      </c>
      <c r="AK136" s="190">
        <f>+(AK109-AJ109)</f>
        <v>2.8000000000000043</v>
      </c>
      <c r="AL136" s="190">
        <f>+(AL109-AK109)</f>
        <v>21.599999999999994</v>
      </c>
      <c r="AM136" s="189">
        <f t="shared" si="195"/>
        <v>19</v>
      </c>
      <c r="AN136" s="190">
        <f>+(AN109-AM109)</f>
        <v>-10.799999999999997</v>
      </c>
      <c r="AO136" s="190">
        <f>+(AO109-AN109)</f>
        <v>-0.20000000000000284</v>
      </c>
      <c r="AP136" s="190">
        <f>+(AP109-AO109)</f>
        <v>-11.299999999999997</v>
      </c>
      <c r="AQ136" s="190">
        <f>+(AQ109-AP109)</f>
        <v>-0.70000000000000284</v>
      </c>
      <c r="AR136" s="189">
        <f t="shared" si="196"/>
        <v>-23</v>
      </c>
      <c r="AS136" s="190">
        <f>+(AS109-AR109)</f>
        <v>-11.600000000000001</v>
      </c>
      <c r="AT136" s="190">
        <f>+(AT109-AS109)</f>
        <v>10.100000000000001</v>
      </c>
      <c r="AU136" s="190">
        <f>+(AU109-AT109)</f>
        <v>6.4000000000000057</v>
      </c>
      <c r="AV136" s="190">
        <f>+(AV109-AU109)</f>
        <v>-1.9000000000000057</v>
      </c>
      <c r="AW136" s="189">
        <f t="shared" si="197"/>
        <v>3</v>
      </c>
      <c r="AX136" s="190">
        <f>+(AX109-AW109)</f>
        <v>-11</v>
      </c>
      <c r="AY136" s="190">
        <f>+(AY109-AX109)</f>
        <v>7</v>
      </c>
      <c r="AZ136" s="190">
        <f>+(AZ109-AY109)</f>
        <v>97</v>
      </c>
      <c r="BA136" s="190">
        <f>+(BA109-AZ109)</f>
        <v>6</v>
      </c>
      <c r="BB136" s="189">
        <f t="shared" si="198"/>
        <v>99</v>
      </c>
      <c r="BC136" s="190">
        <f>+(BC109-BB109)</f>
        <v>-13</v>
      </c>
      <c r="BD136" s="190">
        <f>+(BD109-BC109)</f>
        <v>-1</v>
      </c>
      <c r="BE136" s="190">
        <f>+(BE109-BD109)</f>
        <v>1</v>
      </c>
      <c r="BF136" s="190">
        <f>+(BF109-BE109)</f>
        <v>10</v>
      </c>
      <c r="BG136" s="189">
        <f t="shared" si="199"/>
        <v>-3</v>
      </c>
      <c r="BH136" s="190">
        <f>+(BH109-BG109)</f>
        <v>-15</v>
      </c>
      <c r="BI136" s="190">
        <f>+(BI109-BH109)</f>
        <v>-6</v>
      </c>
      <c r="BJ136" s="190">
        <f>+(BJ109-BI109)</f>
        <v>1</v>
      </c>
      <c r="BK136" s="190">
        <f>+(BK109-BJ109)</f>
        <v>2</v>
      </c>
      <c r="BL136" s="189">
        <f>+SUM(BH136:BK136)</f>
        <v>-18</v>
      </c>
      <c r="BM136" s="190">
        <f>+(BM109-BL109)</f>
        <v>-14</v>
      </c>
      <c r="BN136" s="190">
        <f>+(BN109-BM109)</f>
        <v>-1</v>
      </c>
      <c r="BO136" s="190">
        <f>+(BO109-BN109)</f>
        <v>0</v>
      </c>
      <c r="BP136" s="190">
        <f>+(BP109-BO109)</f>
        <v>-1</v>
      </c>
      <c r="BQ136" s="189">
        <f t="shared" si="200"/>
        <v>-16</v>
      </c>
      <c r="BR136" s="190">
        <f>+(BR109-BQ109)</f>
        <v>10</v>
      </c>
      <c r="BS136" s="190">
        <f>+(BS109-BR109)</f>
        <v>-6</v>
      </c>
      <c r="BT136" s="190">
        <f>+(BT109-BS109)</f>
        <v>-40.646886117609057</v>
      </c>
      <c r="BU136" s="190">
        <f>+(BU109-BT109)</f>
        <v>48.591977857828766</v>
      </c>
      <c r="BV136" s="189">
        <f t="shared" si="201"/>
        <v>11.945091740219709</v>
      </c>
      <c r="BW136" s="190">
        <f>+(BW109-BV109)</f>
        <v>-62.58985645237847</v>
      </c>
      <c r="BX136" s="190">
        <f>+(BX109-BW109)</f>
        <v>16.94700575803013</v>
      </c>
      <c r="BY136" s="190">
        <f>+(BY109-BX109)</f>
        <v>2.3851713904319638</v>
      </c>
      <c r="BZ136" s="190">
        <f>+(BZ109-BY109)</f>
        <v>50.696870844283097</v>
      </c>
      <c r="CA136" s="189">
        <f t="shared" si="202"/>
        <v>7.4391915403667213</v>
      </c>
      <c r="CB136" s="190">
        <f>+(CB109-CA109)</f>
        <v>-66.06128622835314</v>
      </c>
      <c r="CC136" s="190">
        <f>+(CC109-CB109)</f>
        <v>17.794356045931636</v>
      </c>
      <c r="CD136" s="190">
        <f>+(CD109-CC109)</f>
        <v>2.5044299599535833</v>
      </c>
      <c r="CE136" s="190">
        <f>+(CE109-CD109)</f>
        <v>53.231714386497217</v>
      </c>
      <c r="CF136" s="189">
        <f t="shared" si="203"/>
        <v>7.4692141640292959</v>
      </c>
      <c r="CG136" s="190">
        <f>+(CG109-CF109)</f>
        <v>-69.364350539770754</v>
      </c>
      <c r="CH136" s="190">
        <f>+(CH109-CG109)</f>
        <v>18.684073848228209</v>
      </c>
      <c r="CI136" s="190">
        <f>+(CI109-CH109)</f>
        <v>2.6296514579512689</v>
      </c>
      <c r="CJ136" s="190">
        <f>+(CJ109-CI109)</f>
        <v>55.893300105822064</v>
      </c>
      <c r="CK136" s="189">
        <f t="shared" si="204"/>
        <v>7.8426748722307877</v>
      </c>
      <c r="CL136" s="190">
        <f>+(CL109-CK109)</f>
        <v>-72.832568066759308</v>
      </c>
      <c r="CM136" s="190">
        <f>+(CM109-CL109)</f>
        <v>19.618277540639639</v>
      </c>
      <c r="CN136" s="190">
        <f>+(CN109-CM109)</f>
        <v>2.7611340308488224</v>
      </c>
      <c r="CO136" s="190">
        <f>+(CO109-CN109)</f>
        <v>58.687965111113172</v>
      </c>
      <c r="CP136" s="189">
        <f t="shared" si="205"/>
        <v>8.2348086158423257</v>
      </c>
    </row>
    <row r="137" spans="1:109" s="38" customFormat="1" x14ac:dyDescent="0.25">
      <c r="A137" s="38" t="s">
        <v>236</v>
      </c>
      <c r="C137" s="192">
        <f>SUM(C124:C136)</f>
        <v>243</v>
      </c>
      <c r="D137" s="192">
        <v>306</v>
      </c>
      <c r="E137" s="193">
        <f>SUM(E124:E136)</f>
        <v>80.2</v>
      </c>
      <c r="F137" s="193">
        <f>SUM(F124:F136)</f>
        <v>32.200000000000017</v>
      </c>
      <c r="G137" s="193">
        <f>SUM(G124:G136)</f>
        <v>230.90000000000003</v>
      </c>
      <c r="H137" s="193">
        <f>SUM(H124:H136)</f>
        <v>52.699999999999946</v>
      </c>
      <c r="I137" s="192">
        <v>396</v>
      </c>
      <c r="J137" s="193">
        <v>33.700000000000003</v>
      </c>
      <c r="K137" s="193">
        <f>65.9-J137</f>
        <v>32.200000000000003</v>
      </c>
      <c r="L137" s="193">
        <f>243.4-J137-K137</f>
        <v>177.5</v>
      </c>
      <c r="M137" s="193">
        <f>+N137-J137-K137-L137</f>
        <v>99.600000000000023</v>
      </c>
      <c r="N137" s="192">
        <v>343</v>
      </c>
      <c r="O137" s="193">
        <v>76.599999999999994</v>
      </c>
      <c r="P137" s="193">
        <f>106.8-O137</f>
        <v>30.200000000000003</v>
      </c>
      <c r="Q137" s="193">
        <f>277.6-O137-P137</f>
        <v>170.8</v>
      </c>
      <c r="R137" s="193">
        <f>355-O137-P137-Q137</f>
        <v>77.399999999999977</v>
      </c>
      <c r="S137" s="192">
        <f>SUM(S124:S136)</f>
        <v>355</v>
      </c>
      <c r="T137" s="193">
        <v>128.4</v>
      </c>
      <c r="U137" s="193">
        <f>198-T137</f>
        <v>69.599999999999994</v>
      </c>
      <c r="V137" s="193">
        <f>397.3-T137-U137</f>
        <v>199.29999999999998</v>
      </c>
      <c r="W137" s="193">
        <f>534-V137-U137-T137</f>
        <v>136.70000000000002</v>
      </c>
      <c r="X137" s="192">
        <f>SUM(X124:X136)</f>
        <v>534</v>
      </c>
      <c r="Y137" s="193">
        <f>104.7</f>
        <v>104.7</v>
      </c>
      <c r="Z137" s="193">
        <f>116.2-Y137</f>
        <v>11.5</v>
      </c>
      <c r="AA137" s="193">
        <f>342.9-Y137-Z137</f>
        <v>226.7</v>
      </c>
      <c r="AB137" s="193">
        <f>491-AA137-Z137-Y137</f>
        <v>148.10000000000002</v>
      </c>
      <c r="AC137" s="192">
        <f ca="1">SUM(AC124:AC136)</f>
        <v>491.00000000000006</v>
      </c>
      <c r="AD137" s="193">
        <v>117.8</v>
      </c>
      <c r="AE137" s="193">
        <f>205.7-AD137</f>
        <v>87.899999999999991</v>
      </c>
      <c r="AF137" s="193">
        <f>424.5-AE137-AD137</f>
        <v>218.8</v>
      </c>
      <c r="AG137" s="193">
        <f>545-AF137-AE137-AD137</f>
        <v>120.50000000000001</v>
      </c>
      <c r="AH137" s="192">
        <f ca="1">SUM(AH124:AH136)</f>
        <v>545.00000000000011</v>
      </c>
      <c r="AI137" s="193">
        <v>96.6</v>
      </c>
      <c r="AJ137" s="193">
        <f>177.8-AI137</f>
        <v>81.200000000000017</v>
      </c>
      <c r="AK137" s="193">
        <f>399.5-AJ137-AI137</f>
        <v>221.69999999999996</v>
      </c>
      <c r="AL137" s="193">
        <f>527-AK137-AJ137-AI137</f>
        <v>127.50000000000006</v>
      </c>
      <c r="AM137" s="192">
        <f>SUM(AM124:AM136)</f>
        <v>527.00000000000011</v>
      </c>
      <c r="AN137" s="193">
        <v>64</v>
      </c>
      <c r="AO137" s="193">
        <f>155.5-AN137</f>
        <v>91.5</v>
      </c>
      <c r="AP137" s="193">
        <f>341.7-AO137-AN137</f>
        <v>186.2</v>
      </c>
      <c r="AQ137" s="193">
        <f>516-AP137-AO137-AN137</f>
        <v>174.3</v>
      </c>
      <c r="AR137" s="192">
        <f>SUM(AR124:AR136)</f>
        <v>516</v>
      </c>
      <c r="AS137" s="193">
        <v>87.6</v>
      </c>
      <c r="AT137" s="193">
        <f>164.7-AS137</f>
        <v>77.099999999999994</v>
      </c>
      <c r="AU137" s="193">
        <f>367.2-AT137-AS137</f>
        <v>202.50000000000003</v>
      </c>
      <c r="AV137" s="193">
        <f>537-SUM(AS137:AU137)</f>
        <v>169.79999999999995</v>
      </c>
      <c r="AW137" s="192">
        <f>SUM(AW124:AW136)</f>
        <v>537</v>
      </c>
      <c r="AX137" s="193">
        <v>93</v>
      </c>
      <c r="AY137" s="193">
        <f>201-AX137</f>
        <v>108</v>
      </c>
      <c r="AZ137" s="193">
        <f>390-AY137-AX137</f>
        <v>189</v>
      </c>
      <c r="BA137" s="193">
        <f>649-AZ137-AY137-AX137</f>
        <v>259</v>
      </c>
      <c r="BB137" s="192">
        <f t="shared" ref="BB137:CP137" si="207">SUM(BB124:BB136)</f>
        <v>649</v>
      </c>
      <c r="BC137" s="193">
        <v>112</v>
      </c>
      <c r="BD137" s="193">
        <f>70-BC137</f>
        <v>-42</v>
      </c>
      <c r="BE137" s="193">
        <f>375-BD137-BC137</f>
        <v>305</v>
      </c>
      <c r="BF137" s="193">
        <f>608-BE137-BD137-BC137</f>
        <v>233</v>
      </c>
      <c r="BG137" s="192">
        <f t="shared" si="207"/>
        <v>608</v>
      </c>
      <c r="BH137" s="193">
        <v>147</v>
      </c>
      <c r="BI137" s="193">
        <f>161-BH137</f>
        <v>14</v>
      </c>
      <c r="BJ137" s="193">
        <f>448-BI137-BH137</f>
        <v>287</v>
      </c>
      <c r="BK137" s="193">
        <f>524-SUM(BH137:BJ137)</f>
        <v>76</v>
      </c>
      <c r="BL137" s="192">
        <f>SUM(BL124:BL136)</f>
        <v>524</v>
      </c>
      <c r="BM137" s="193">
        <v>128</v>
      </c>
      <c r="BN137" s="193">
        <f>169-BM137</f>
        <v>41</v>
      </c>
      <c r="BO137" s="193">
        <f>445-BN137-BM137</f>
        <v>276</v>
      </c>
      <c r="BP137" s="193">
        <f>639-BO137-BN137-BM137</f>
        <v>194</v>
      </c>
      <c r="BQ137" s="192">
        <f>SUM(BQ124:BQ136)</f>
        <v>639</v>
      </c>
      <c r="BR137" s="193">
        <v>102</v>
      </c>
      <c r="BS137" s="193">
        <f>214-BR137</f>
        <v>112</v>
      </c>
      <c r="BT137" s="193">
        <f t="shared" ca="1" si="207"/>
        <v>200.00449495600222</v>
      </c>
      <c r="BU137" s="193">
        <f t="shared" ca="1" si="207"/>
        <v>308.21585661059373</v>
      </c>
      <c r="BV137" s="192">
        <f ca="1">SUM(BV124:BV136)</f>
        <v>722.22035156659604</v>
      </c>
      <c r="BW137" s="193">
        <f t="shared" ca="1" si="207"/>
        <v>59.815951909186012</v>
      </c>
      <c r="BX137" s="193">
        <f t="shared" ca="1" si="207"/>
        <v>181.16514125656323</v>
      </c>
      <c r="BY137" s="193">
        <f t="shared" ca="1" si="207"/>
        <v>207.69259910846071</v>
      </c>
      <c r="BZ137" s="193">
        <f t="shared" ca="1" si="207"/>
        <v>337.0571889653047</v>
      </c>
      <c r="CA137" s="192">
        <f t="shared" ca="1" si="207"/>
        <v>785.7308812395147</v>
      </c>
      <c r="CB137" s="193">
        <f t="shared" ca="1" si="207"/>
        <v>73.254683378883783</v>
      </c>
      <c r="CC137" s="193">
        <f t="shared" ca="1" si="207"/>
        <v>192.29820012834057</v>
      </c>
      <c r="CD137" s="193">
        <f t="shared" ca="1" si="207"/>
        <v>219.91454505446387</v>
      </c>
      <c r="CE137" s="193">
        <f t="shared" ca="1" si="207"/>
        <v>356.24832121713149</v>
      </c>
      <c r="CF137" s="192">
        <f t="shared" ca="1" si="207"/>
        <v>841.71574977881971</v>
      </c>
      <c r="CG137" s="193">
        <f t="shared" ca="1" si="207"/>
        <v>76.213478585569021</v>
      </c>
      <c r="CH137" s="193">
        <f t="shared" ca="1" si="207"/>
        <v>204.83610526039183</v>
      </c>
      <c r="CI137" s="193">
        <f t="shared" ca="1" si="207"/>
        <v>233.83416098486546</v>
      </c>
      <c r="CJ137" s="193">
        <f t="shared" ca="1" si="207"/>
        <v>377.86163976667592</v>
      </c>
      <c r="CK137" s="192">
        <f t="shared" ca="1" si="207"/>
        <v>892.74538459750227</v>
      </c>
      <c r="CL137" s="193">
        <f t="shared" ca="1" si="207"/>
        <v>76.917181312215462</v>
      </c>
      <c r="CM137" s="193">
        <f t="shared" ca="1" si="207"/>
        <v>217.30017060109279</v>
      </c>
      <c r="CN137" s="193">
        <f t="shared" ca="1" si="207"/>
        <v>247.48944852486756</v>
      </c>
      <c r="CO137" s="193">
        <f t="shared" ca="1" si="207"/>
        <v>399.8143417902146</v>
      </c>
      <c r="CP137" s="192">
        <f t="shared" ca="1" si="207"/>
        <v>941.52114222839054</v>
      </c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</row>
    <row r="138" spans="1:109" x14ac:dyDescent="0.25">
      <c r="C138" s="137"/>
      <c r="D138" s="137"/>
      <c r="E138" s="138"/>
      <c r="F138" s="138"/>
      <c r="G138" s="138"/>
      <c r="H138" s="138"/>
      <c r="I138" s="137"/>
      <c r="J138" s="138"/>
      <c r="K138" s="138"/>
      <c r="L138" s="138"/>
      <c r="M138" s="138"/>
      <c r="N138" s="137"/>
      <c r="O138" s="138"/>
      <c r="P138" s="138"/>
      <c r="Q138" s="138"/>
      <c r="R138" s="138"/>
      <c r="S138" s="194"/>
      <c r="T138" s="139"/>
      <c r="U138" s="139"/>
      <c r="V138" s="139"/>
      <c r="W138" s="139"/>
      <c r="X138" s="194"/>
      <c r="Y138" s="139"/>
      <c r="Z138" s="195"/>
      <c r="AA138" s="139"/>
      <c r="AB138" s="139"/>
      <c r="AC138" s="194"/>
      <c r="AD138" s="139"/>
      <c r="AE138" s="139"/>
      <c r="AF138" s="139"/>
      <c r="AG138" s="139"/>
      <c r="AH138" s="194"/>
      <c r="AI138" s="139"/>
      <c r="AJ138" s="139"/>
      <c r="AK138" s="139"/>
      <c r="AL138" s="139"/>
      <c r="AM138" s="194"/>
      <c r="AN138" s="139"/>
      <c r="AO138" s="139"/>
      <c r="AP138" s="139"/>
      <c r="AQ138" s="139"/>
      <c r="AR138" s="194"/>
      <c r="AS138" s="139"/>
      <c r="AT138" s="139"/>
      <c r="AU138" s="69"/>
      <c r="AV138" s="139"/>
      <c r="AW138" s="194"/>
      <c r="AX138" s="138"/>
      <c r="AY138" s="138"/>
      <c r="AZ138" s="138"/>
      <c r="BA138" s="138"/>
      <c r="BB138" s="137"/>
      <c r="BC138" s="138"/>
      <c r="BD138" s="138"/>
      <c r="BE138" s="138"/>
      <c r="BF138" s="138"/>
      <c r="BG138" s="137"/>
      <c r="BH138" s="158"/>
      <c r="BI138" s="158"/>
      <c r="BJ138" s="158"/>
      <c r="BK138" s="158"/>
      <c r="BL138" s="196"/>
      <c r="BM138" s="158"/>
      <c r="BN138" s="158"/>
      <c r="BO138" s="158"/>
      <c r="BP138" s="158"/>
      <c r="BQ138" s="414"/>
      <c r="BR138" s="158"/>
      <c r="BS138" s="158"/>
      <c r="BT138" s="158"/>
      <c r="BU138" s="158"/>
      <c r="BV138" s="196"/>
      <c r="BW138" s="158"/>
      <c r="BX138" s="158"/>
      <c r="BY138" s="158"/>
      <c r="BZ138" s="158"/>
      <c r="CA138" s="196"/>
      <c r="CB138" s="158"/>
      <c r="CC138" s="158"/>
      <c r="CD138" s="158"/>
      <c r="CE138" s="158"/>
      <c r="CF138" s="196"/>
      <c r="CG138" s="158"/>
      <c r="CH138" s="158"/>
      <c r="CI138" s="158"/>
      <c r="CJ138" s="158"/>
      <c r="CK138" s="196"/>
      <c r="CL138" s="158"/>
      <c r="CM138" s="158"/>
      <c r="CN138" s="158"/>
      <c r="CO138" s="158"/>
      <c r="CP138" s="196"/>
    </row>
    <row r="139" spans="1:109" x14ac:dyDescent="0.25">
      <c r="A139" s="52" t="s">
        <v>73</v>
      </c>
      <c r="C139" s="137"/>
      <c r="D139" s="137"/>
      <c r="E139" s="138"/>
      <c r="F139" s="138"/>
      <c r="G139" s="138"/>
      <c r="H139" s="138"/>
      <c r="I139" s="137"/>
      <c r="J139" s="138"/>
      <c r="K139" s="138"/>
      <c r="L139" s="138"/>
      <c r="M139" s="138"/>
      <c r="N139" s="137"/>
      <c r="O139" s="138"/>
      <c r="P139" s="138"/>
      <c r="Q139" s="138"/>
      <c r="R139" s="138"/>
      <c r="S139" s="156"/>
      <c r="T139" s="60"/>
      <c r="U139" s="60"/>
      <c r="V139" s="60"/>
      <c r="W139" s="60"/>
      <c r="X139" s="156"/>
      <c r="Y139" s="60"/>
      <c r="Z139" s="60"/>
      <c r="AA139" s="60"/>
      <c r="AB139" s="60"/>
      <c r="AC139" s="156"/>
      <c r="AD139" s="251"/>
      <c r="AE139" s="251"/>
      <c r="AF139" s="251"/>
      <c r="AG139" s="251"/>
      <c r="AH139" s="258"/>
      <c r="AI139" s="251"/>
      <c r="AJ139" s="251"/>
      <c r="AK139" s="251"/>
      <c r="AL139" s="251"/>
      <c r="AM139" s="258"/>
      <c r="AN139" s="251"/>
      <c r="AO139" s="251"/>
      <c r="AP139" s="251"/>
      <c r="AQ139" s="251"/>
      <c r="AR139" s="258"/>
      <c r="AS139" s="60"/>
      <c r="AT139" s="60"/>
      <c r="AU139" s="60"/>
      <c r="AV139" s="60"/>
      <c r="AW139" s="156"/>
      <c r="AX139" s="60"/>
      <c r="AY139" s="60"/>
      <c r="AZ139" s="60"/>
      <c r="BA139" s="60"/>
      <c r="BB139" s="156"/>
      <c r="BC139" s="138"/>
      <c r="BD139" s="138"/>
      <c r="BE139" s="138"/>
      <c r="BF139" s="138"/>
      <c r="BG139" s="137"/>
      <c r="BH139" s="138"/>
      <c r="BI139" s="138"/>
      <c r="BJ139" s="138"/>
      <c r="BK139" s="138"/>
      <c r="BL139" s="137"/>
      <c r="BM139" s="384"/>
      <c r="BN139" s="138"/>
      <c r="BO139" s="138"/>
      <c r="BP139" s="138"/>
      <c r="BQ139" s="137"/>
      <c r="BR139" s="138"/>
      <c r="BS139" s="138"/>
      <c r="BT139" s="138"/>
      <c r="BU139" s="138"/>
      <c r="BV139" s="137"/>
      <c r="BW139" s="138"/>
      <c r="BX139" s="138"/>
      <c r="BY139" s="138"/>
      <c r="BZ139" s="138"/>
      <c r="CA139" s="137"/>
      <c r="CB139" s="138"/>
      <c r="CC139" s="138"/>
      <c r="CD139" s="138"/>
      <c r="CE139" s="138"/>
      <c r="CF139" s="137"/>
      <c r="CG139" s="138"/>
      <c r="CH139" s="138"/>
      <c r="CI139" s="138"/>
      <c r="CJ139" s="138"/>
      <c r="CK139" s="137"/>
      <c r="CL139" s="138"/>
      <c r="CM139" s="138"/>
      <c r="CN139" s="138"/>
      <c r="CO139" s="138"/>
      <c r="CP139" s="137"/>
    </row>
    <row r="140" spans="1:109" x14ac:dyDescent="0.25">
      <c r="B140" s="52" t="s">
        <v>74</v>
      </c>
      <c r="C140" s="137">
        <v>-119</v>
      </c>
      <c r="D140" s="194">
        <v>-56</v>
      </c>
      <c r="E140" s="139">
        <v>-9.3000000000000007</v>
      </c>
      <c r="F140" s="139">
        <f>-21.5-E140</f>
        <v>-12.2</v>
      </c>
      <c r="G140" s="139">
        <f>-32.2-E140-F140</f>
        <v>-10.700000000000003</v>
      </c>
      <c r="H140" s="138">
        <f>I140-G140-F140-E140</f>
        <v>-16.799999999999997</v>
      </c>
      <c r="I140" s="194">
        <v>-49</v>
      </c>
      <c r="J140" s="139">
        <v>-8.6</v>
      </c>
      <c r="K140" s="139">
        <f>-22.4-J140</f>
        <v>-13.799999999999999</v>
      </c>
      <c r="L140" s="139">
        <f>-33.6-J140-K140</f>
        <v>-11.200000000000001</v>
      </c>
      <c r="M140" s="138">
        <f>N140-L140-K140-J140</f>
        <v>-17.399999999999999</v>
      </c>
      <c r="N140" s="194">
        <v>-51</v>
      </c>
      <c r="O140" s="139">
        <f>-10.6-0.9</f>
        <v>-11.5</v>
      </c>
      <c r="P140" s="139">
        <f>-21.2-3.3-O140</f>
        <v>-13</v>
      </c>
      <c r="Q140" s="139">
        <f>-39.1-6.4-O140-P140</f>
        <v>-21</v>
      </c>
      <c r="R140" s="138">
        <f>-58-O140-P140-Q140</f>
        <v>-12.5</v>
      </c>
      <c r="S140" s="194">
        <f>+SUM(O140:R140)</f>
        <v>-58</v>
      </c>
      <c r="T140" s="139">
        <v>-11.4</v>
      </c>
      <c r="U140" s="139">
        <f>-24.2-T140</f>
        <v>-12.799999999999999</v>
      </c>
      <c r="V140" s="139">
        <f>-31.6-T140-U140</f>
        <v>-7.4000000000000039</v>
      </c>
      <c r="W140" s="138">
        <f>-41-V140-U140-T140</f>
        <v>-9.3999999999999968</v>
      </c>
      <c r="X140" s="194">
        <f>+SUM(T140:W140)</f>
        <v>-41</v>
      </c>
      <c r="Y140" s="139">
        <v>-13.2</v>
      </c>
      <c r="Z140" s="139">
        <f>-26.3-Y140</f>
        <v>-13.100000000000001</v>
      </c>
      <c r="AA140" s="139">
        <f>-37.1-Y140-Z140</f>
        <v>-10.8</v>
      </c>
      <c r="AB140" s="138">
        <f>-49-SUM(Y140:AA140)</f>
        <v>-11.899999999999999</v>
      </c>
      <c r="AC140" s="194">
        <f>+SUM(Y140:AB140)</f>
        <v>-49</v>
      </c>
      <c r="AD140" s="139">
        <v>-6.8</v>
      </c>
      <c r="AE140" s="139">
        <f>-12.4-AD140</f>
        <v>-5.6000000000000005</v>
      </c>
      <c r="AF140" s="139">
        <f>-17.2-AE140-AD140</f>
        <v>-4.799999999999998</v>
      </c>
      <c r="AG140" s="138">
        <f>-34-AF140-AE140-AD140</f>
        <v>-16.8</v>
      </c>
      <c r="AH140" s="194">
        <f>+SUM(AD140:AG140)</f>
        <v>-34</v>
      </c>
      <c r="AI140" s="139">
        <v>-6.9</v>
      </c>
      <c r="AJ140" s="139">
        <f>-15.1-AI140</f>
        <v>-8.1999999999999993</v>
      </c>
      <c r="AK140" s="139">
        <f>-26.5-AJ140-AI140</f>
        <v>-11.4</v>
      </c>
      <c r="AL140" s="138">
        <f>-39-AK140-AJ140-AI140</f>
        <v>-12.500000000000002</v>
      </c>
      <c r="AM140" s="194">
        <f>+SUM(AI140:AL140)</f>
        <v>-39</v>
      </c>
      <c r="AN140" s="139">
        <v>-6.2</v>
      </c>
      <c r="AO140" s="139">
        <f>-18.8-AN140</f>
        <v>-12.600000000000001</v>
      </c>
      <c r="AP140" s="139">
        <f>-31.1-AO140-AN140</f>
        <v>-12.3</v>
      </c>
      <c r="AQ140" s="273">
        <f>AR140-AP140-AO140-AN140</f>
        <v>-26.900000000000002</v>
      </c>
      <c r="AR140" s="194">
        <v>-58</v>
      </c>
      <c r="AS140" s="139">
        <v>-17.399999999999999</v>
      </c>
      <c r="AT140" s="139">
        <f>-38.7-AS140</f>
        <v>-21.300000000000004</v>
      </c>
      <c r="AU140" s="139">
        <f>-59.1-AT140-AS140</f>
        <v>-20.399999999999999</v>
      </c>
      <c r="AV140" s="139">
        <f>-95-SUM(AS140:AU140)</f>
        <v>-35.9</v>
      </c>
      <c r="AW140" s="194">
        <f>SUM(AS140:AV140)</f>
        <v>-95</v>
      </c>
      <c r="AX140" s="139">
        <v>-25</v>
      </c>
      <c r="AY140" s="139">
        <f>-60-AX140</f>
        <v>-35</v>
      </c>
      <c r="AZ140" s="139">
        <f>-87-AY140-AX140</f>
        <v>-27</v>
      </c>
      <c r="BA140" s="139">
        <f>-126-AZ140-AY140-AX140</f>
        <v>-39</v>
      </c>
      <c r="BB140" s="194">
        <f>SUM(AX140:BA140)</f>
        <v>-126</v>
      </c>
      <c r="BC140" s="139">
        <v>-31</v>
      </c>
      <c r="BD140" s="139">
        <f>-59-BC140</f>
        <v>-28</v>
      </c>
      <c r="BE140" s="139">
        <f>-92-BD140-BC140</f>
        <v>-33</v>
      </c>
      <c r="BF140" s="139">
        <f>-120-BE140-BD140-BC140</f>
        <v>-28</v>
      </c>
      <c r="BG140" s="194">
        <f>SUM(BC140:BF140)</f>
        <v>-120</v>
      </c>
      <c r="BH140" s="139">
        <v>-39</v>
      </c>
      <c r="BI140" s="139">
        <f>-65-BH140</f>
        <v>-26</v>
      </c>
      <c r="BJ140" s="139">
        <f>-88-BI140-BH140</f>
        <v>-23</v>
      </c>
      <c r="BK140" s="139">
        <f>-108-BJ140-BI140-BH140</f>
        <v>-20</v>
      </c>
      <c r="BL140" s="194">
        <f>SUM(BH140:BK140)</f>
        <v>-108</v>
      </c>
      <c r="BM140" s="384">
        <v>-16</v>
      </c>
      <c r="BN140" s="139">
        <f>-36-BM140</f>
        <v>-20</v>
      </c>
      <c r="BO140" s="139">
        <f>-71-BN140-BM140</f>
        <v>-35</v>
      </c>
      <c r="BP140" s="139">
        <f>-112-BO140-BN140-BM140</f>
        <v>-41</v>
      </c>
      <c r="BQ140" s="194">
        <f>SUM(BM140:BP140)</f>
        <v>-112</v>
      </c>
      <c r="BR140" s="384">
        <v>-28</v>
      </c>
      <c r="BS140" s="384">
        <f>-64-BR140</f>
        <v>-36</v>
      </c>
      <c r="BT140" s="158">
        <f>BV140/BQ140*BO140</f>
        <v>-39.0625</v>
      </c>
      <c r="BU140" s="138">
        <f>BV140-BT140-BS140-BR140</f>
        <v>-21.9375</v>
      </c>
      <c r="BV140" s="196">
        <v>-125</v>
      </c>
      <c r="BW140" s="158">
        <f>CA140/BV140*BR140</f>
        <v>-26.88</v>
      </c>
      <c r="BX140" s="158">
        <f>CA140/BV140*BS140</f>
        <v>-34.56</v>
      </c>
      <c r="BY140" s="158">
        <f>CA140/BV140*BT140</f>
        <v>-37.5</v>
      </c>
      <c r="BZ140" s="138">
        <f>CA140-BY140-BX140-BW140</f>
        <v>-21.06</v>
      </c>
      <c r="CA140" s="196">
        <v>-120</v>
      </c>
      <c r="CB140" s="158">
        <f>CF140/CA140*BW140</f>
        <v>-25.76</v>
      </c>
      <c r="CC140" s="158">
        <f>CF140/CA140*BX140</f>
        <v>-33.120000000000005</v>
      </c>
      <c r="CD140" s="158">
        <f>CF140/CA140*BY140</f>
        <v>-35.9375</v>
      </c>
      <c r="CE140" s="138">
        <f>CF140-CD140-CC140-CB140</f>
        <v>-20.182499999999994</v>
      </c>
      <c r="CF140" s="196">
        <v>-115</v>
      </c>
      <c r="CG140" s="158">
        <f>CK140/CF140*CB140</f>
        <v>-25.76</v>
      </c>
      <c r="CH140" s="158">
        <f>CK140/CF140*CC140</f>
        <v>-33.120000000000005</v>
      </c>
      <c r="CI140" s="158">
        <f>CK140/CF140*CD140</f>
        <v>-35.9375</v>
      </c>
      <c r="CJ140" s="138">
        <f>CK140-CI140-CH140-CG140</f>
        <v>-20.182499999999994</v>
      </c>
      <c r="CK140" s="196">
        <v>-115</v>
      </c>
      <c r="CL140" s="158">
        <f>CP140/CK140*CG140</f>
        <v>-25.76</v>
      </c>
      <c r="CM140" s="158">
        <f>CP140/CK140*CH140</f>
        <v>-33.120000000000005</v>
      </c>
      <c r="CN140" s="158">
        <f>CP140/CK140*CI140</f>
        <v>-35.9375</v>
      </c>
      <c r="CO140" s="138">
        <f>CP140-CN140-CM140-CL140</f>
        <v>-20.182499999999994</v>
      </c>
      <c r="CP140" s="196">
        <v>-115</v>
      </c>
    </row>
    <row r="141" spans="1:109" x14ac:dyDescent="0.25">
      <c r="B141" s="52" t="s">
        <v>75</v>
      </c>
      <c r="C141" s="137">
        <v>1</v>
      </c>
      <c r="D141" s="137">
        <v>0</v>
      </c>
      <c r="E141" s="138">
        <v>0</v>
      </c>
      <c r="F141" s="138">
        <v>0</v>
      </c>
      <c r="G141" s="138">
        <v>0</v>
      </c>
      <c r="H141" s="138">
        <v>0</v>
      </c>
      <c r="I141" s="137">
        <f>+SUM(E141:H141)</f>
        <v>0</v>
      </c>
      <c r="J141" s="138">
        <v>0</v>
      </c>
      <c r="K141" s="138">
        <v>196.5</v>
      </c>
      <c r="L141" s="138">
        <v>0</v>
      </c>
      <c r="M141" s="138">
        <f>N141-L141-K141-J141</f>
        <v>-189.5</v>
      </c>
      <c r="N141" s="137">
        <v>7</v>
      </c>
      <c r="O141" s="138">
        <v>0</v>
      </c>
      <c r="P141" s="138">
        <v>14.6</v>
      </c>
      <c r="Q141" s="138">
        <f>14.6-P141-O141</f>
        <v>0</v>
      </c>
      <c r="R141" s="138">
        <f>14-O141-P141-Q141</f>
        <v>-0.59999999999999964</v>
      </c>
      <c r="S141" s="137">
        <f>+SUM(O141:R141)</f>
        <v>14</v>
      </c>
      <c r="T141" s="138">
        <v>0</v>
      </c>
      <c r="U141" s="138">
        <v>0</v>
      </c>
      <c r="V141" s="138">
        <f>5.7</f>
        <v>5.7</v>
      </c>
      <c r="W141" s="138">
        <f>6-V141</f>
        <v>0.29999999999999982</v>
      </c>
      <c r="X141" s="137">
        <f>+SUM(T141:W141)</f>
        <v>6</v>
      </c>
      <c r="Y141" s="139">
        <v>0</v>
      </c>
      <c r="Z141" s="138">
        <v>0</v>
      </c>
      <c r="AA141" s="138">
        <v>0</v>
      </c>
      <c r="AB141" s="96">
        <v>0</v>
      </c>
      <c r="AC141" s="122">
        <f>+SUM(Y141:AB141)</f>
        <v>0</v>
      </c>
      <c r="AD141" s="96">
        <v>0</v>
      </c>
      <c r="AE141" s="96">
        <v>0</v>
      </c>
      <c r="AF141" s="96">
        <v>0</v>
      </c>
      <c r="AG141" s="96">
        <v>0</v>
      </c>
      <c r="AH141" s="122">
        <f>+SUM(AD141:AG141)</f>
        <v>0</v>
      </c>
      <c r="AI141" s="96">
        <v>11</v>
      </c>
      <c r="AJ141" s="96">
        <f>12.1-AI141</f>
        <v>1.0999999999999996</v>
      </c>
      <c r="AK141" s="96">
        <f>12.1-AJ141-AI141</f>
        <v>0</v>
      </c>
      <c r="AL141" s="96">
        <f>234-AK141-AJ141-AI141</f>
        <v>221.9</v>
      </c>
      <c r="AM141" s="122">
        <f>+SUM(AI141:AL141)</f>
        <v>234</v>
      </c>
      <c r="AN141" s="96">
        <v>0</v>
      </c>
      <c r="AO141" s="96">
        <v>0</v>
      </c>
      <c r="AP141" s="96">
        <v>0</v>
      </c>
      <c r="AQ141" s="96">
        <v>0</v>
      </c>
      <c r="AR141" s="122">
        <f>+SUM(AN141:AQ141)</f>
        <v>0</v>
      </c>
      <c r="AS141" s="96">
        <v>0</v>
      </c>
      <c r="AT141" s="96">
        <v>0</v>
      </c>
      <c r="AU141" s="96">
        <v>0</v>
      </c>
      <c r="AV141" s="96">
        <v>0</v>
      </c>
      <c r="AW141" s="122">
        <f>+SUM(AS141:AV141)</f>
        <v>0</v>
      </c>
      <c r="AX141" s="96">
        <v>0</v>
      </c>
      <c r="AY141" s="96">
        <v>0</v>
      </c>
      <c r="AZ141" s="96">
        <v>0</v>
      </c>
      <c r="BA141" s="96">
        <v>0</v>
      </c>
      <c r="BB141" s="122">
        <f>+SUM(AX141:BA141)</f>
        <v>0</v>
      </c>
      <c r="BC141" s="96">
        <v>0</v>
      </c>
      <c r="BD141" s="96">
        <v>0</v>
      </c>
      <c r="BE141" s="96">
        <v>0</v>
      </c>
      <c r="BF141" s="96">
        <v>0</v>
      </c>
      <c r="BG141" s="122">
        <f>+SUM(BC141:BF141)</f>
        <v>0</v>
      </c>
      <c r="BH141" s="96">
        <v>0</v>
      </c>
      <c r="BI141" s="96">
        <v>0</v>
      </c>
      <c r="BJ141" s="96">
        <v>0</v>
      </c>
      <c r="BK141" s="139">
        <f>543-BJ141-BI141-BH141</f>
        <v>543</v>
      </c>
      <c r="BL141" s="122">
        <f>+SUM(BH141:BK141)</f>
        <v>543</v>
      </c>
      <c r="BM141" s="373">
        <v>0</v>
      </c>
      <c r="BN141" s="373">
        <v>0</v>
      </c>
      <c r="BO141" s="373">
        <v>0</v>
      </c>
      <c r="BP141" s="139">
        <v>0</v>
      </c>
      <c r="BQ141" s="122">
        <f>+SUM(BM141:BP141)</f>
        <v>0</v>
      </c>
      <c r="BR141" s="373">
        <v>0</v>
      </c>
      <c r="BS141" s="373">
        <v>0</v>
      </c>
      <c r="BT141" s="121">
        <v>0</v>
      </c>
      <c r="BU141" s="121">
        <v>0</v>
      </c>
      <c r="BV141" s="122">
        <f>+SUM(BR141:BU141)</f>
        <v>0</v>
      </c>
      <c r="BW141" s="121">
        <v>0</v>
      </c>
      <c r="BX141" s="121">
        <v>0</v>
      </c>
      <c r="BY141" s="121">
        <v>0</v>
      </c>
      <c r="BZ141" s="121">
        <v>0</v>
      </c>
      <c r="CA141" s="122">
        <f>+SUM(BW141:BZ141)</f>
        <v>0</v>
      </c>
      <c r="CB141" s="121">
        <v>0</v>
      </c>
      <c r="CC141" s="121">
        <v>0</v>
      </c>
      <c r="CD141" s="121">
        <v>0</v>
      </c>
      <c r="CE141" s="121">
        <v>0</v>
      </c>
      <c r="CF141" s="122">
        <f>+SUM(CB141:CE141)</f>
        <v>0</v>
      </c>
      <c r="CG141" s="121">
        <v>0</v>
      </c>
      <c r="CH141" s="121">
        <v>0</v>
      </c>
      <c r="CI141" s="121">
        <v>0</v>
      </c>
      <c r="CJ141" s="121">
        <v>0</v>
      </c>
      <c r="CK141" s="122">
        <f>+SUM(CG141:CJ141)</f>
        <v>0</v>
      </c>
      <c r="CL141" s="121">
        <v>0</v>
      </c>
      <c r="CM141" s="121">
        <v>0</v>
      </c>
      <c r="CN141" s="121">
        <v>0</v>
      </c>
      <c r="CO141" s="121">
        <v>0</v>
      </c>
      <c r="CP141" s="122">
        <f>+SUM(CL141:CO141)</f>
        <v>0</v>
      </c>
    </row>
    <row r="142" spans="1:109" x14ac:dyDescent="0.25">
      <c r="B142" s="52" t="s">
        <v>50</v>
      </c>
      <c r="C142" s="189">
        <f>-99-8-1</f>
        <v>-108</v>
      </c>
      <c r="D142" s="189">
        <v>-7</v>
      </c>
      <c r="E142" s="191">
        <v>-0.4</v>
      </c>
      <c r="F142" s="191">
        <f>-1.4-0.3-E142</f>
        <v>-1.2999999999999998</v>
      </c>
      <c r="G142" s="191">
        <f>92.7-63.6+6.6-E142-F142</f>
        <v>37.4</v>
      </c>
      <c r="H142" s="191">
        <f>+I142-E142-F142-G142</f>
        <v>-2.7000000000000028</v>
      </c>
      <c r="I142" s="189">
        <f>93-64-5-1+10</f>
        <v>33</v>
      </c>
      <c r="J142" s="191">
        <v>-0.5</v>
      </c>
      <c r="K142" s="191">
        <f>-0.7-J142</f>
        <v>-0.19999999999999996</v>
      </c>
      <c r="L142" s="191">
        <f>4.9-229.7-J142-K142</f>
        <v>-224.1</v>
      </c>
      <c r="M142" s="191">
        <f>N142-L142-K142-J142</f>
        <v>265.8</v>
      </c>
      <c r="N142" s="189">
        <f>205-388+228-1-3</f>
        <v>41</v>
      </c>
      <c r="O142" s="191">
        <f>-250.1-43.1+16.7</f>
        <v>-276.5</v>
      </c>
      <c r="P142" s="191">
        <f>-250.6-112.8+82.5-O142</f>
        <v>-4.3999999999999773</v>
      </c>
      <c r="Q142" s="191">
        <f>-1045.5-25-246.7+256.8-0.5-O142-P142</f>
        <v>-780.00000000000011</v>
      </c>
      <c r="R142" s="191">
        <f>-1045+74+12-21-14-O142-P142-Q142</f>
        <v>66.900000000000091</v>
      </c>
      <c r="S142" s="189">
        <f>+SUM(O142:R142)</f>
        <v>-994</v>
      </c>
      <c r="T142" s="191">
        <f>-12+85.6-1.8</f>
        <v>71.8</v>
      </c>
      <c r="U142" s="191">
        <f>1.6-12+85.6-3-T142</f>
        <v>0.39999999999999147</v>
      </c>
      <c r="V142" s="191">
        <f>1.6-12+85.6-10.9-T142-U142</f>
        <v>-7.9000000000000057</v>
      </c>
      <c r="W142" s="191">
        <f>2-13+86-12-V142-U142-T142</f>
        <v>-1.2999999999999829</v>
      </c>
      <c r="X142" s="189">
        <f>+SUM(T142:W142)</f>
        <v>63</v>
      </c>
      <c r="Y142" s="191">
        <v>-1</v>
      </c>
      <c r="Z142" s="191">
        <f>-1.9-Y142</f>
        <v>-0.89999999999999991</v>
      </c>
      <c r="AA142" s="191">
        <f>16.8-2.5-Y142-Z142</f>
        <v>16.2</v>
      </c>
      <c r="AB142" s="180">
        <f>AB143-AB140-AB141</f>
        <v>-2.3000000000000007</v>
      </c>
      <c r="AC142" s="177">
        <f>+SUM(Y142:AB142)</f>
        <v>11.999999999999998</v>
      </c>
      <c r="AD142" s="180">
        <v>-1.2</v>
      </c>
      <c r="AE142" s="180">
        <f>-1.8-AD142</f>
        <v>-0.60000000000000009</v>
      </c>
      <c r="AF142" s="197">
        <f>-2.2-AE142-AD142</f>
        <v>-0.40000000000000013</v>
      </c>
      <c r="AG142" s="180">
        <f>-1-AF142-AE142-AD142</f>
        <v>1.2000000000000002</v>
      </c>
      <c r="AH142" s="177">
        <f>+SUM(AD142:AG142)</f>
        <v>-1</v>
      </c>
      <c r="AI142" s="180">
        <v>-0.6</v>
      </c>
      <c r="AJ142" s="180">
        <f>-1.3-AI142</f>
        <v>-0.70000000000000007</v>
      </c>
      <c r="AK142" s="180">
        <f>-2.4-AJ142-AI142</f>
        <v>-1.0999999999999996</v>
      </c>
      <c r="AL142" s="180">
        <f>8-AK142-AJ142-AI142</f>
        <v>10.399999999999999</v>
      </c>
      <c r="AM142" s="177">
        <f>+SUM(AI142:AL142)</f>
        <v>7.9999999999999991</v>
      </c>
      <c r="AN142" s="180">
        <f>-7-0.5</f>
        <v>-7.5</v>
      </c>
      <c r="AO142" s="180">
        <f>-7.2-0.7-AN142</f>
        <v>-0.40000000000000036</v>
      </c>
      <c r="AP142" s="180">
        <f>-7.2-2.6-AO142-AN142</f>
        <v>-1.9000000000000004</v>
      </c>
      <c r="AQ142" s="180">
        <f>-10-AP142-AO142-AN142</f>
        <v>-0.19999999999999929</v>
      </c>
      <c r="AR142" s="177">
        <f>+SUM(AN142:AQ142)</f>
        <v>-10</v>
      </c>
      <c r="AS142" s="180">
        <v>-0.1</v>
      </c>
      <c r="AT142" s="180">
        <f>-0.3-AS142</f>
        <v>-0.19999999999999998</v>
      </c>
      <c r="AU142" s="180">
        <f>-0.3-AT142-AS142</f>
        <v>0</v>
      </c>
      <c r="AV142" s="180">
        <f>-2-SUM(AS142:AU142)</f>
        <v>-1.7</v>
      </c>
      <c r="AW142" s="177">
        <f>+SUM(AS142:AV142)</f>
        <v>-2</v>
      </c>
      <c r="AX142" s="180">
        <v>0</v>
      </c>
      <c r="AY142" s="180">
        <v>0</v>
      </c>
      <c r="AZ142" s="180">
        <f>-2-AX142-AY142</f>
        <v>-2</v>
      </c>
      <c r="BA142" s="181">
        <f>-1-AZ142-AY142-AX142</f>
        <v>1</v>
      </c>
      <c r="BB142" s="177">
        <f>+SUM(AX142:BA142)</f>
        <v>-1</v>
      </c>
      <c r="BC142" s="180">
        <v>0</v>
      </c>
      <c r="BD142" s="180">
        <f>-4-BC142</f>
        <v>-4</v>
      </c>
      <c r="BE142" s="180">
        <f>-4-BD142-BC142</f>
        <v>0</v>
      </c>
      <c r="BF142" s="180">
        <f>-5-BE142-BD142-BC142</f>
        <v>-1</v>
      </c>
      <c r="BG142" s="177">
        <f>+SUM(BC142:BF142)</f>
        <v>-5</v>
      </c>
      <c r="BH142" s="180">
        <v>0</v>
      </c>
      <c r="BI142" s="180">
        <f>-1-BH142</f>
        <v>-1</v>
      </c>
      <c r="BJ142" s="180">
        <f>-2-BI142-BH142</f>
        <v>-1</v>
      </c>
      <c r="BK142" s="180">
        <f>-2-BJ142-BI142-BH142</f>
        <v>0</v>
      </c>
      <c r="BL142" s="177">
        <f>+SUM(BH142:BK142)</f>
        <v>-2</v>
      </c>
      <c r="BM142" s="382">
        <f>-307-1</f>
        <v>-308</v>
      </c>
      <c r="BN142" s="180">
        <f>-307-1-BM142</f>
        <v>0</v>
      </c>
      <c r="BO142" s="180">
        <f>-307-2-BN142-BM142</f>
        <v>-1</v>
      </c>
      <c r="BP142" s="180">
        <f>-307-3-BO142-BN142-BM142</f>
        <v>-1</v>
      </c>
      <c r="BQ142" s="177">
        <f>+SUM(BM142:BP142)</f>
        <v>-310</v>
      </c>
      <c r="BR142" s="382">
        <v>0</v>
      </c>
      <c r="BS142" s="382">
        <f>-1-BR142</f>
        <v>-1</v>
      </c>
      <c r="BT142" s="181">
        <v>0</v>
      </c>
      <c r="BU142" s="181">
        <v>0</v>
      </c>
      <c r="BV142" s="177">
        <f>+SUM(BR142:BU142)</f>
        <v>-1</v>
      </c>
      <c r="BW142" s="181">
        <v>0</v>
      </c>
      <c r="BX142" s="181">
        <v>0</v>
      </c>
      <c r="BY142" s="181">
        <v>0</v>
      </c>
      <c r="BZ142" s="181">
        <v>0</v>
      </c>
      <c r="CA142" s="177">
        <f>+SUM(BW142:BZ142)</f>
        <v>0</v>
      </c>
      <c r="CB142" s="181">
        <v>0</v>
      </c>
      <c r="CC142" s="181">
        <v>0</v>
      </c>
      <c r="CD142" s="181">
        <v>0</v>
      </c>
      <c r="CE142" s="181">
        <v>0</v>
      </c>
      <c r="CF142" s="177">
        <f>+SUM(CB142:CE142)</f>
        <v>0</v>
      </c>
      <c r="CG142" s="181">
        <v>0</v>
      </c>
      <c r="CH142" s="181">
        <v>0</v>
      </c>
      <c r="CI142" s="181">
        <v>0</v>
      </c>
      <c r="CJ142" s="181">
        <v>0</v>
      </c>
      <c r="CK142" s="177">
        <f>+SUM(CG142:CJ142)</f>
        <v>0</v>
      </c>
      <c r="CL142" s="181">
        <v>0</v>
      </c>
      <c r="CM142" s="181">
        <v>0</v>
      </c>
      <c r="CN142" s="181">
        <v>0</v>
      </c>
      <c r="CO142" s="181">
        <v>0</v>
      </c>
      <c r="CP142" s="177">
        <f>+SUM(CL142:CO142)</f>
        <v>0</v>
      </c>
    </row>
    <row r="143" spans="1:109" s="38" customFormat="1" x14ac:dyDescent="0.25">
      <c r="A143" s="38" t="s">
        <v>76</v>
      </c>
      <c r="C143" s="144">
        <f>+C142+C141+C140</f>
        <v>-226</v>
      </c>
      <c r="D143" s="144">
        <f>+D142+D141+D140</f>
        <v>-63</v>
      </c>
      <c r="E143" s="145">
        <f>SUM(E140:E142)</f>
        <v>-9.7000000000000011</v>
      </c>
      <c r="F143" s="145">
        <f>SUM(F140:F142)</f>
        <v>-13.5</v>
      </c>
      <c r="G143" s="145">
        <f>SUM(G140:G142)</f>
        <v>26.699999999999996</v>
      </c>
      <c r="H143" s="145">
        <f>SUM(H140:H142)</f>
        <v>-19.5</v>
      </c>
      <c r="I143" s="144">
        <f>+SUM(E143:H143)</f>
        <v>-16.000000000000007</v>
      </c>
      <c r="J143" s="145">
        <f>SUM(J140:J142)</f>
        <v>-9.1</v>
      </c>
      <c r="K143" s="145">
        <f>SUM(K140:K142)</f>
        <v>182.5</v>
      </c>
      <c r="L143" s="145">
        <f>SUM(L140:L142)</f>
        <v>-235.29999999999998</v>
      </c>
      <c r="M143" s="145">
        <f>SUM(M140:M142)</f>
        <v>58.900000000000006</v>
      </c>
      <c r="N143" s="144">
        <f>+SUM(J143:M143)</f>
        <v>-2.9999999999999716</v>
      </c>
      <c r="O143" s="145">
        <f>SUM(O140:O142)</f>
        <v>-288</v>
      </c>
      <c r="P143" s="145">
        <f>SUM(P140:P142)</f>
        <v>-2.7999999999999776</v>
      </c>
      <c r="Q143" s="145">
        <f>SUM(Q140:Q142)</f>
        <v>-801.00000000000011</v>
      </c>
      <c r="R143" s="145">
        <f>SUM(R140:R142)</f>
        <v>53.80000000000009</v>
      </c>
      <c r="S143" s="144">
        <f>+SUM(O143:R143)</f>
        <v>-1038</v>
      </c>
      <c r="T143" s="145">
        <f>SUM(T140:T142)</f>
        <v>60.4</v>
      </c>
      <c r="U143" s="145">
        <f>SUM(U140:U142)</f>
        <v>-12.400000000000007</v>
      </c>
      <c r="V143" s="145">
        <f>SUM(V140:V142)</f>
        <v>-9.6000000000000085</v>
      </c>
      <c r="W143" s="145">
        <f>SUM(W140:W142)</f>
        <v>-10.399999999999981</v>
      </c>
      <c r="X143" s="144">
        <f>+SUM(T143:W143)</f>
        <v>28.000000000000004</v>
      </c>
      <c r="Y143" s="145">
        <f>SUM(Y140:Y142)</f>
        <v>-14.2</v>
      </c>
      <c r="Z143" s="145">
        <f>SUM(Z140:Z142)</f>
        <v>-14.000000000000002</v>
      </c>
      <c r="AA143" s="145">
        <f>SUM(AA140:AA142)</f>
        <v>5.3999999999999986</v>
      </c>
      <c r="AB143" s="145">
        <f>-37-AA143-Z143-Y143</f>
        <v>-14.2</v>
      </c>
      <c r="AC143" s="144">
        <f>+SUM(Y143:AB143)</f>
        <v>-37</v>
      </c>
      <c r="AD143" s="145">
        <f>SUM(AD140:AD142)</f>
        <v>-8</v>
      </c>
      <c r="AE143" s="145">
        <f>SUM(AE140:AE142)</f>
        <v>-6.2000000000000011</v>
      </c>
      <c r="AF143" s="145">
        <f>SUM(AF140:AF142)</f>
        <v>-5.1999999999999984</v>
      </c>
      <c r="AG143" s="145">
        <f>SUM(AG140:AG142)</f>
        <v>-15.600000000000001</v>
      </c>
      <c r="AH143" s="144">
        <f>+SUM(AD143:AG143)</f>
        <v>-35</v>
      </c>
      <c r="AI143" s="145">
        <f>SUM(AI140:AI142)</f>
        <v>3.4999999999999996</v>
      </c>
      <c r="AJ143" s="145">
        <f>SUM(AJ140:AJ142)</f>
        <v>-7.8</v>
      </c>
      <c r="AK143" s="145">
        <f>SUM(AK140:AK142)</f>
        <v>-12.5</v>
      </c>
      <c r="AL143" s="145">
        <f>SUM(AL140:AL142)</f>
        <v>219.8</v>
      </c>
      <c r="AM143" s="144">
        <f>+SUM(AI143:AL143)</f>
        <v>203</v>
      </c>
      <c r="AN143" s="145">
        <f>SUM(AN140:AN142)</f>
        <v>-13.7</v>
      </c>
      <c r="AO143" s="145">
        <f>SUM(AO140:AO142)</f>
        <v>-13.000000000000002</v>
      </c>
      <c r="AP143" s="145">
        <f>SUM(AP140:AP142)</f>
        <v>-14.200000000000001</v>
      </c>
      <c r="AQ143" s="145">
        <f>SUM(AQ140:AQ142)</f>
        <v>-27.1</v>
      </c>
      <c r="AR143" s="144">
        <f>+SUM(AN143:AQ143)</f>
        <v>-68</v>
      </c>
      <c r="AS143" s="145">
        <f>SUM(AS140:AS142)</f>
        <v>-17.5</v>
      </c>
      <c r="AT143" s="145">
        <f>SUM(AT140:AT142)</f>
        <v>-21.500000000000004</v>
      </c>
      <c r="AU143" s="145">
        <f>SUM(AU140:AU142)</f>
        <v>-20.399999999999999</v>
      </c>
      <c r="AV143" s="145">
        <f>-97-SUM(AS143:AU143)</f>
        <v>-37.6</v>
      </c>
      <c r="AW143" s="144">
        <f>+SUM(AS143:AV143)</f>
        <v>-97</v>
      </c>
      <c r="AX143" s="145">
        <f>SUM(AX140:AX142)</f>
        <v>-25</v>
      </c>
      <c r="AY143" s="145">
        <f>SUM(AY140:AY142)</f>
        <v>-35</v>
      </c>
      <c r="AZ143" s="145">
        <f>SUM(AZ140:AZ142)</f>
        <v>-29</v>
      </c>
      <c r="BA143" s="145">
        <f>SUM(BA140:BA142)</f>
        <v>-38</v>
      </c>
      <c r="BB143" s="144">
        <f>+SUM(AX143:BA143)</f>
        <v>-127</v>
      </c>
      <c r="BC143" s="145">
        <f>SUM(BC140:BC142)</f>
        <v>-31</v>
      </c>
      <c r="BD143" s="145">
        <f>SUM(BD140:BD142)</f>
        <v>-32</v>
      </c>
      <c r="BE143" s="145">
        <f>SUM(BE140:BE142)</f>
        <v>-33</v>
      </c>
      <c r="BF143" s="145">
        <f>SUM(BF140:BF142)</f>
        <v>-29</v>
      </c>
      <c r="BG143" s="144">
        <f>+SUM(BC143:BF143)</f>
        <v>-125</v>
      </c>
      <c r="BH143" s="145">
        <f>SUM(BH140:BH142)</f>
        <v>-39</v>
      </c>
      <c r="BI143" s="145">
        <f>SUM(BI140:BI142)</f>
        <v>-27</v>
      </c>
      <c r="BJ143" s="145">
        <f>SUM(BJ140:BJ142)</f>
        <v>-24</v>
      </c>
      <c r="BK143" s="145">
        <f>SUM(BK140:BK142)</f>
        <v>523</v>
      </c>
      <c r="BL143" s="144">
        <f>+SUM(BH143:BK143)</f>
        <v>433</v>
      </c>
      <c r="BM143" s="145">
        <f>SUM(BM140:BM142)</f>
        <v>-324</v>
      </c>
      <c r="BN143" s="145">
        <f>SUM(BN140:BN142)</f>
        <v>-20</v>
      </c>
      <c r="BO143" s="145">
        <f>SUM(BO140:BO142)</f>
        <v>-36</v>
      </c>
      <c r="BP143" s="145">
        <f>SUM(BP140:BP142)</f>
        <v>-42</v>
      </c>
      <c r="BQ143" s="144">
        <f>+SUM(BM143:BP143)</f>
        <v>-422</v>
      </c>
      <c r="BR143" s="145">
        <f>SUM(BR140:BR142)</f>
        <v>-28</v>
      </c>
      <c r="BS143" s="145">
        <f>SUM(BS140:BS142)</f>
        <v>-37</v>
      </c>
      <c r="BT143" s="145">
        <f>SUM(BT140:BT142)</f>
        <v>-39.0625</v>
      </c>
      <c r="BU143" s="145">
        <f>SUM(BU140:BU142)</f>
        <v>-21.9375</v>
      </c>
      <c r="BV143" s="144">
        <f>+SUM(BR143:BU143)</f>
        <v>-126</v>
      </c>
      <c r="BW143" s="145">
        <f>SUM(BW140:BW142)</f>
        <v>-26.88</v>
      </c>
      <c r="BX143" s="145">
        <f>SUM(BX140:BX142)</f>
        <v>-34.56</v>
      </c>
      <c r="BY143" s="145">
        <f>SUM(BY140:BY142)</f>
        <v>-37.5</v>
      </c>
      <c r="BZ143" s="145">
        <f>SUM(BZ140:BZ142)</f>
        <v>-21.06</v>
      </c>
      <c r="CA143" s="144">
        <f>+SUM(BW143:BZ143)</f>
        <v>-120</v>
      </c>
      <c r="CB143" s="145">
        <f>SUM(CB140:CB142)</f>
        <v>-25.76</v>
      </c>
      <c r="CC143" s="145">
        <f>SUM(CC140:CC142)</f>
        <v>-33.120000000000005</v>
      </c>
      <c r="CD143" s="145">
        <f>SUM(CD140:CD142)</f>
        <v>-35.9375</v>
      </c>
      <c r="CE143" s="145">
        <f>SUM(CE140:CE142)</f>
        <v>-20.182499999999994</v>
      </c>
      <c r="CF143" s="144">
        <f>+SUM(CB143:CE143)</f>
        <v>-115</v>
      </c>
      <c r="CG143" s="145">
        <f>SUM(CG140:CG142)</f>
        <v>-25.76</v>
      </c>
      <c r="CH143" s="145">
        <f>SUM(CH140:CH142)</f>
        <v>-33.120000000000005</v>
      </c>
      <c r="CI143" s="145">
        <f>SUM(CI140:CI142)</f>
        <v>-35.9375</v>
      </c>
      <c r="CJ143" s="145">
        <f>SUM(CJ140:CJ142)</f>
        <v>-20.182499999999994</v>
      </c>
      <c r="CK143" s="144">
        <f>+SUM(CG143:CJ143)</f>
        <v>-115</v>
      </c>
      <c r="CL143" s="145">
        <f>SUM(CL140:CL142)</f>
        <v>-25.76</v>
      </c>
      <c r="CM143" s="145">
        <f>SUM(CM140:CM142)</f>
        <v>-33.120000000000005</v>
      </c>
      <c r="CN143" s="145">
        <f>SUM(CN140:CN142)</f>
        <v>-35.9375</v>
      </c>
      <c r="CO143" s="145">
        <f>SUM(CO140:CO142)</f>
        <v>-20.182499999999994</v>
      </c>
      <c r="CP143" s="144">
        <f>+SUM(CL143:CO143)</f>
        <v>-115</v>
      </c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</row>
    <row r="144" spans="1:109" x14ac:dyDescent="0.25">
      <c r="C144" s="137"/>
      <c r="D144" s="137"/>
      <c r="E144" s="138"/>
      <c r="F144" s="138"/>
      <c r="G144" s="138"/>
      <c r="H144" s="138"/>
      <c r="I144" s="137"/>
      <c r="J144" s="138"/>
      <c r="K144" s="138"/>
      <c r="L144" s="138"/>
      <c r="M144" s="138"/>
      <c r="N144" s="137"/>
      <c r="O144" s="138"/>
      <c r="P144" s="138"/>
      <c r="Q144" s="138"/>
      <c r="R144" s="138"/>
      <c r="S144" s="137"/>
      <c r="T144" s="138"/>
      <c r="U144" s="138"/>
      <c r="V144" s="138"/>
      <c r="W144" s="138"/>
      <c r="X144" s="137"/>
      <c r="Y144" s="138"/>
      <c r="Z144" s="138"/>
      <c r="AA144" s="138"/>
      <c r="AB144" s="138"/>
      <c r="AC144" s="137"/>
      <c r="AD144" s="138"/>
      <c r="AE144" s="138"/>
      <c r="AF144" s="138"/>
      <c r="AG144" s="138"/>
      <c r="AH144" s="137"/>
      <c r="AI144" s="138"/>
      <c r="AJ144" s="138"/>
      <c r="AK144" s="138"/>
      <c r="AL144" s="138"/>
      <c r="AM144" s="137"/>
      <c r="AN144" s="138"/>
      <c r="AO144" s="138"/>
      <c r="AP144" s="138"/>
      <c r="AQ144" s="138"/>
      <c r="AR144" s="137"/>
      <c r="AS144" s="138"/>
      <c r="AT144" s="138"/>
      <c r="AU144" s="138"/>
      <c r="AV144" s="138"/>
      <c r="AW144" s="137"/>
      <c r="AX144" s="138"/>
      <c r="AY144" s="138"/>
      <c r="AZ144" s="138"/>
      <c r="BA144" s="138"/>
      <c r="BB144" s="137"/>
      <c r="BC144" s="138"/>
      <c r="BD144" s="138"/>
      <c r="BE144" s="138"/>
      <c r="BF144" s="138"/>
      <c r="BG144" s="137"/>
      <c r="BH144" s="138"/>
      <c r="BI144" s="138"/>
      <c r="BJ144" s="138"/>
      <c r="BK144" s="138"/>
      <c r="BL144" s="137"/>
      <c r="BM144" s="138"/>
      <c r="BN144" s="138"/>
      <c r="BO144" s="138"/>
      <c r="BP144" s="138"/>
      <c r="BQ144" s="137"/>
      <c r="BR144" s="138"/>
      <c r="BS144" s="138"/>
      <c r="BT144" s="138"/>
      <c r="BU144" s="138"/>
      <c r="BV144" s="137"/>
      <c r="BW144" s="138"/>
      <c r="BX144" s="138"/>
      <c r="BY144" s="138"/>
      <c r="BZ144" s="138"/>
      <c r="CA144" s="137"/>
      <c r="CB144" s="138"/>
      <c r="CC144" s="138"/>
      <c r="CD144" s="138"/>
      <c r="CE144" s="138"/>
      <c r="CF144" s="137"/>
      <c r="CG144" s="138"/>
      <c r="CH144" s="138"/>
      <c r="CI144" s="138"/>
      <c r="CJ144" s="138"/>
      <c r="CK144" s="137"/>
      <c r="CL144" s="138"/>
      <c r="CM144" s="138"/>
      <c r="CN144" s="138"/>
      <c r="CO144" s="138"/>
      <c r="CP144" s="137"/>
    </row>
    <row r="145" spans="1:109" x14ac:dyDescent="0.25">
      <c r="A145" s="52" t="s">
        <v>77</v>
      </c>
      <c r="C145" s="137"/>
      <c r="D145" s="137"/>
      <c r="E145" s="138"/>
      <c r="F145" s="138"/>
      <c r="G145" s="138"/>
      <c r="H145" s="138"/>
      <c r="I145" s="137"/>
      <c r="J145" s="138"/>
      <c r="K145" s="138"/>
      <c r="L145" s="138"/>
      <c r="M145" s="138"/>
      <c r="N145" s="137"/>
      <c r="O145" s="138"/>
      <c r="P145" s="138"/>
      <c r="Q145" s="138"/>
      <c r="R145" s="138"/>
      <c r="S145" s="137"/>
      <c r="T145" s="138"/>
      <c r="U145" s="138"/>
      <c r="V145" s="138"/>
      <c r="W145" s="138"/>
      <c r="X145" s="137"/>
      <c r="Y145" s="138"/>
      <c r="Z145" s="138"/>
      <c r="AA145" s="138"/>
      <c r="AB145" s="138"/>
      <c r="AC145" s="137"/>
      <c r="AD145" s="138"/>
      <c r="AE145" s="138"/>
      <c r="AF145" s="138"/>
      <c r="AG145" s="138"/>
      <c r="AH145" s="137"/>
      <c r="AI145" s="138"/>
      <c r="AJ145" s="138"/>
      <c r="AK145" s="138"/>
      <c r="AL145" s="138"/>
      <c r="AM145" s="137"/>
      <c r="AN145" s="138"/>
      <c r="AO145" s="138"/>
      <c r="AP145" s="138"/>
      <c r="AQ145" s="138"/>
      <c r="AR145" s="137"/>
      <c r="AS145" s="138"/>
      <c r="AT145" s="138"/>
      <c r="AU145" s="138"/>
      <c r="AV145" s="138"/>
      <c r="AW145" s="137"/>
      <c r="AX145" s="138"/>
      <c r="AY145" s="138"/>
      <c r="AZ145" s="138"/>
      <c r="BA145" s="138"/>
      <c r="BB145" s="137"/>
      <c r="BC145" s="138"/>
      <c r="BD145" s="138"/>
      <c r="BE145" s="138"/>
      <c r="BF145" s="138"/>
      <c r="BG145" s="137"/>
      <c r="BH145" s="138"/>
      <c r="BI145" s="138"/>
      <c r="BJ145" s="138"/>
      <c r="BK145" s="138"/>
      <c r="BL145" s="137"/>
      <c r="BM145" s="138"/>
      <c r="BN145" s="138"/>
      <c r="BO145" s="138"/>
      <c r="BP145" s="138"/>
      <c r="BQ145" s="137"/>
      <c r="BR145" s="138"/>
      <c r="BS145" s="138"/>
      <c r="BT145" s="138"/>
      <c r="BU145" s="138"/>
      <c r="BV145" s="137"/>
      <c r="BW145" s="138"/>
      <c r="BX145" s="138"/>
      <c r="BY145" s="138"/>
      <c r="BZ145" s="138"/>
      <c r="CA145" s="137"/>
      <c r="CB145" s="138"/>
      <c r="CC145" s="138"/>
      <c r="CD145" s="138"/>
      <c r="CE145" s="138"/>
      <c r="CF145" s="137"/>
      <c r="CG145" s="138"/>
      <c r="CH145" s="138"/>
      <c r="CI145" s="138"/>
      <c r="CJ145" s="138"/>
      <c r="CK145" s="137"/>
      <c r="CL145" s="138"/>
      <c r="CM145" s="138"/>
      <c r="CN145" s="138"/>
      <c r="CO145" s="138"/>
      <c r="CP145" s="137"/>
    </row>
    <row r="146" spans="1:109" x14ac:dyDescent="0.25">
      <c r="B146" s="52" t="s">
        <v>78</v>
      </c>
      <c r="C146" s="137">
        <v>-4</v>
      </c>
      <c r="D146" s="137">
        <v>-117</v>
      </c>
      <c r="E146" s="138">
        <v>-33</v>
      </c>
      <c r="F146" s="138">
        <f>-22.7-E146</f>
        <v>10.3</v>
      </c>
      <c r="G146" s="138">
        <f>-47-E146-F146</f>
        <v>-24.3</v>
      </c>
      <c r="H146" s="138">
        <f>+I146-E146-F146-G146</f>
        <v>-3</v>
      </c>
      <c r="I146" s="137">
        <v>-50</v>
      </c>
      <c r="J146" s="138">
        <v>-30</v>
      </c>
      <c r="K146" s="138">
        <f>-30-J146</f>
        <v>0</v>
      </c>
      <c r="L146" s="138">
        <f>-30-J146-K146</f>
        <v>0</v>
      </c>
      <c r="M146" s="138">
        <f>N146-L146-K146-J146</f>
        <v>255</v>
      </c>
      <c r="N146" s="137">
        <v>225</v>
      </c>
      <c r="O146" s="138">
        <v>-29.3</v>
      </c>
      <c r="P146" s="138">
        <f>-30.2-O146</f>
        <v>-0.89999999999999858</v>
      </c>
      <c r="Q146" s="138">
        <f>666.1-O146-P146</f>
        <v>696.3</v>
      </c>
      <c r="R146" s="138">
        <f>599-O146-P146-Q146</f>
        <v>-67.100000000000023</v>
      </c>
      <c r="S146" s="137">
        <f>+SUM(O146:R146)</f>
        <v>598.99999999999989</v>
      </c>
      <c r="T146" s="138">
        <f>-58.9</f>
        <v>-58.9</v>
      </c>
      <c r="U146" s="138">
        <f>-57.5-T146</f>
        <v>1.3999999999999986</v>
      </c>
      <c r="V146" s="138">
        <f>-159.9-T146-U146</f>
        <v>-102.4</v>
      </c>
      <c r="W146" s="138">
        <f>184-V146-U146-T146</f>
        <v>343.9</v>
      </c>
      <c r="X146" s="137">
        <f>+SUM(T146:W146)</f>
        <v>183.99999999999997</v>
      </c>
      <c r="Y146" s="138">
        <f>-10.3</f>
        <v>-10.3</v>
      </c>
      <c r="Z146" s="138">
        <f>218.2-Y146</f>
        <v>228.5</v>
      </c>
      <c r="AA146" s="138">
        <f>66.5-Y146-Z146</f>
        <v>-151.69999999999999</v>
      </c>
      <c r="AB146" s="138">
        <f>-249-Y146-Z146-AA146</f>
        <v>-315.5</v>
      </c>
      <c r="AC146" s="137">
        <f>+SUM(Y146:AB146)</f>
        <v>-249</v>
      </c>
      <c r="AD146" s="138">
        <v>-84.1</v>
      </c>
      <c r="AE146" s="138">
        <f>-36.3-AD146</f>
        <v>47.8</v>
      </c>
      <c r="AF146" s="139">
        <f>-231.3-AE146-AD146</f>
        <v>-195.00000000000003</v>
      </c>
      <c r="AG146" s="138">
        <f>-149-AD146-AE146-AF146</f>
        <v>82.300000000000026</v>
      </c>
      <c r="AH146" s="137">
        <f>+SUM(AD146:AG146)</f>
        <v>-149</v>
      </c>
      <c r="AI146" s="138">
        <v>21.3</v>
      </c>
      <c r="AJ146" s="138">
        <f>-59.7-AI146</f>
        <v>-81</v>
      </c>
      <c r="AK146" s="138">
        <f>-187.3-AJ146-AI146</f>
        <v>-127.60000000000001</v>
      </c>
      <c r="AL146" s="138">
        <f>-188-AK146-AJ146-AI146</f>
        <v>-0.69999999999999218</v>
      </c>
      <c r="AM146" s="137">
        <f>+SUM(AI146:AL146)</f>
        <v>-188</v>
      </c>
      <c r="AN146" s="263">
        <v>1.1000000000000001</v>
      </c>
      <c r="AO146" s="138">
        <f>1.1-AN146</f>
        <v>0</v>
      </c>
      <c r="AP146" s="138">
        <f>2.9-AO146-AN146</f>
        <v>1.7999999999999998</v>
      </c>
      <c r="AQ146" s="138">
        <f>4-AP146-AO146-AN146</f>
        <v>1.1000000000000001</v>
      </c>
      <c r="AR146" s="137">
        <f>+SUM(AN146:AQ146)</f>
        <v>4</v>
      </c>
      <c r="AS146" s="138">
        <v>1.6</v>
      </c>
      <c r="AT146" s="138">
        <f>2.4-AS146</f>
        <v>0.79999999999999982</v>
      </c>
      <c r="AU146" s="138">
        <f>6.1-AT146-AS146</f>
        <v>3.6999999999999997</v>
      </c>
      <c r="AV146" s="138">
        <f>-7-SUM(AS146:AU146)</f>
        <v>-13.1</v>
      </c>
      <c r="AW146" s="137">
        <f>+SUM(AS146:AV146)</f>
        <v>-7</v>
      </c>
      <c r="AX146" s="138">
        <v>1</v>
      </c>
      <c r="AY146" s="138">
        <f>2-AX146</f>
        <v>1</v>
      </c>
      <c r="AZ146" s="138">
        <f>6-AY146-AX146</f>
        <v>4</v>
      </c>
      <c r="BA146" s="138">
        <f>-9-AZ146-AY146-AX146</f>
        <v>-15</v>
      </c>
      <c r="BB146" s="137">
        <f>+SUM(AX146:BA146)</f>
        <v>-9</v>
      </c>
      <c r="BC146" s="138">
        <v>5</v>
      </c>
      <c r="BD146" s="138">
        <f>117-BC146</f>
        <v>112</v>
      </c>
      <c r="BE146" s="138">
        <f>1-BD146-BC146</f>
        <v>-116</v>
      </c>
      <c r="BF146" s="199">
        <f>183+4-BE146-BD146-BC146</f>
        <v>186</v>
      </c>
      <c r="BG146" s="137">
        <f>+SUM(BC146:BF146)</f>
        <v>187</v>
      </c>
      <c r="BH146" s="138">
        <v>-176</v>
      </c>
      <c r="BI146" s="138">
        <f>113-BH146</f>
        <v>289</v>
      </c>
      <c r="BJ146" s="138">
        <f>319-BI146-BH146</f>
        <v>206</v>
      </c>
      <c r="BK146" s="199">
        <f>80-2-BJ146-BI146-BH146</f>
        <v>-241</v>
      </c>
      <c r="BL146" s="137">
        <f>+SUM(BH146:BK146)</f>
        <v>78</v>
      </c>
      <c r="BM146" s="138">
        <v>-43</v>
      </c>
      <c r="BN146" s="404">
        <f>6-BM146</f>
        <v>49</v>
      </c>
      <c r="BO146" s="138">
        <f>-24-5-35-BN146-BM146</f>
        <v>-70</v>
      </c>
      <c r="BP146" s="138">
        <f>-122-5-BO146-BN146-BM146</f>
        <v>-63</v>
      </c>
      <c r="BQ146" s="137">
        <f>+SUM(BM146:BP146)</f>
        <v>-127</v>
      </c>
      <c r="BR146" s="138">
        <v>45</v>
      </c>
      <c r="BS146" s="138">
        <f>21-BR146</f>
        <v>-24</v>
      </c>
      <c r="BT146" s="138">
        <f ca="1">(BT100-BS100)+(BT98-BS98)+(BT97-BS97)</f>
        <v>65.191243146043234</v>
      </c>
      <c r="BU146" s="138">
        <f ca="1">(BU100-BT100)+(BU98-BT98)+(BU97-BT97)</f>
        <v>-60.596865022714155</v>
      </c>
      <c r="BV146" s="137">
        <f ca="1">+SUM(BR146:BU146)</f>
        <v>25.594378123329079</v>
      </c>
      <c r="BW146" s="138">
        <f ca="1">(BW100-BV100)+(BW98-BV98)+(BW97-BV97)</f>
        <v>167.33766259022468</v>
      </c>
      <c r="BX146" s="138">
        <f ca="1">(BX100-BW100)+(BX98-BW98)+(BX97-BW97)</f>
        <v>53.303817263436031</v>
      </c>
      <c r="BY146" s="138">
        <f ca="1">(BY100-BX100)+(BY98-BX98)+(BY97-BX97)</f>
        <v>38.793828016145198</v>
      </c>
      <c r="BZ146" s="138">
        <f ca="1">(BZ100-BY100)+(BZ98-BY98)+(BZ97-BY97)</f>
        <v>-107.40939365694703</v>
      </c>
      <c r="CA146" s="137">
        <f ca="1">+SUM(BW146:BZ146)</f>
        <v>152.02591421285888</v>
      </c>
      <c r="CB146" s="138">
        <f ca="1">(CB100-CA100)+(CB98-CA98)+(CB97-CA97)</f>
        <v>160.70043698735481</v>
      </c>
      <c r="CC146" s="138">
        <f ca="1">(CC100-CB100)+(CC98-CB98)+(CC97-CB97)</f>
        <v>48.630114137290548</v>
      </c>
      <c r="CD146" s="138">
        <f ca="1">(CD100-CC100)+(CD98-CC98)+(CD97-CC97)</f>
        <v>32.711738509732641</v>
      </c>
      <c r="CE146" s="138">
        <f ca="1">(CE100-CD100)+(CE98-CD98)+(CE97-CD97)</f>
        <v>-119.7945365939222</v>
      </c>
      <c r="CF146" s="137">
        <f ca="1">+SUM(CB146:CE146)</f>
        <v>122.24775304045579</v>
      </c>
      <c r="CG146" s="138">
        <f ca="1">(CG100-CF100)+(CG98-CF98)+(CG97-CF97)</f>
        <v>165.40655018445068</v>
      </c>
      <c r="CH146" s="138">
        <f ca="1">(CH100-CG100)+(CH98-CG98)+(CH97-CG97)</f>
        <v>43.73881848185647</v>
      </c>
      <c r="CI146" s="138">
        <f ca="1">(CI100-CH100)+(CI98-CH98)+(CI97-CH97)</f>
        <v>26.255771054209617</v>
      </c>
      <c r="CJ146" s="138">
        <f ca="1">(CJ100-CI100)+(CJ98-CI98)+(CJ97-CI97)</f>
        <v>-133.95948697611311</v>
      </c>
      <c r="CK146" s="137">
        <f ca="1">+SUM(CG146:CJ146)</f>
        <v>101.44165274440365</v>
      </c>
      <c r="CL146" s="138">
        <f ca="1">(CL100-CK100)+(CL98-CK98)+(CL97-CK97)</f>
        <v>172.1361685241518</v>
      </c>
      <c r="CM146" s="138">
        <f ca="1">(CM100-CL100)+(CM98-CL98)+(CM97-CL97)</f>
        <v>38.693256866606134</v>
      </c>
      <c r="CN146" s="138">
        <f ca="1">(CN100-CM100)+(CN98-CM98)+(CN97-CM97)</f>
        <v>19.849108130481</v>
      </c>
      <c r="CO146" s="138">
        <f ca="1">(CO100-CN100)+(CO98-CN98)+(CO97-CN97)</f>
        <v>-148.67560788510946</v>
      </c>
      <c r="CP146" s="137">
        <f ca="1">+SUM(CL146:CO146)</f>
        <v>82.002925636129476</v>
      </c>
    </row>
    <row r="147" spans="1:109" x14ac:dyDescent="0.25">
      <c r="C147" s="137"/>
      <c r="D147" s="137"/>
      <c r="E147" s="138"/>
      <c r="F147" s="138"/>
      <c r="G147" s="138"/>
      <c r="H147" s="138"/>
      <c r="I147" s="137"/>
      <c r="J147" s="138"/>
      <c r="K147" s="138"/>
      <c r="L147" s="138"/>
      <c r="M147" s="138"/>
      <c r="N147" s="137"/>
      <c r="O147" s="138"/>
      <c r="P147" s="138"/>
      <c r="Q147" s="138"/>
      <c r="R147" s="138"/>
      <c r="S147" s="137"/>
      <c r="T147" s="138"/>
      <c r="U147" s="138"/>
      <c r="V147" s="138"/>
      <c r="W147" s="138"/>
      <c r="X147" s="137"/>
      <c r="Y147" s="138"/>
      <c r="Z147" s="138"/>
      <c r="AA147" s="138"/>
      <c r="AB147" s="138"/>
      <c r="AC147" s="137"/>
      <c r="AD147" s="138"/>
      <c r="AE147" s="138"/>
      <c r="AF147" s="158"/>
      <c r="AG147" s="138"/>
      <c r="AH147" s="137"/>
      <c r="AI147" s="138"/>
      <c r="AJ147" s="138"/>
      <c r="AK147" s="138"/>
      <c r="AL147" s="138"/>
      <c r="AM147" s="137"/>
      <c r="AN147" s="263"/>
      <c r="AO147" s="138"/>
      <c r="AP147" s="138"/>
      <c r="AQ147" s="138"/>
      <c r="AR147" s="137"/>
      <c r="AS147" s="138"/>
      <c r="AT147" s="138"/>
      <c r="AU147" s="138"/>
      <c r="AV147" s="138"/>
      <c r="AW147" s="137"/>
      <c r="AX147" s="138"/>
      <c r="AY147" s="138"/>
      <c r="AZ147" s="138"/>
      <c r="BA147" s="138"/>
      <c r="BB147" s="137"/>
      <c r="BC147" s="138"/>
      <c r="BD147" s="138"/>
      <c r="BE147" s="138"/>
      <c r="BF147" s="138"/>
      <c r="BG147" s="137"/>
      <c r="BH147" s="138"/>
      <c r="BI147" s="138"/>
      <c r="BJ147" s="138"/>
      <c r="BK147" s="138"/>
      <c r="BL147" s="137"/>
      <c r="BM147" s="138"/>
      <c r="BN147" s="138"/>
      <c r="BO147" s="138"/>
      <c r="BP147" s="138"/>
      <c r="BQ147" s="137"/>
      <c r="BR147" s="138"/>
      <c r="BS147" s="138"/>
      <c r="BT147" s="138"/>
      <c r="BU147" s="138"/>
      <c r="BV147" s="137"/>
      <c r="BW147" s="138"/>
      <c r="BX147" s="138"/>
      <c r="BY147" s="138"/>
      <c r="BZ147" s="138"/>
      <c r="CA147" s="137"/>
      <c r="CB147" s="138"/>
      <c r="CC147" s="138"/>
      <c r="CD147" s="138"/>
      <c r="CE147" s="138"/>
      <c r="CF147" s="137"/>
      <c r="CG147" s="138"/>
      <c r="CH147" s="138"/>
      <c r="CI147" s="138"/>
      <c r="CJ147" s="138"/>
      <c r="CK147" s="137"/>
      <c r="CL147" s="138"/>
      <c r="CM147" s="138"/>
      <c r="CN147" s="138"/>
      <c r="CO147" s="138"/>
      <c r="CP147" s="137"/>
    </row>
    <row r="148" spans="1:109" x14ac:dyDescent="0.25">
      <c r="B148" s="52" t="s">
        <v>165</v>
      </c>
      <c r="C148" s="137">
        <v>596</v>
      </c>
      <c r="D148" s="137">
        <v>-45</v>
      </c>
      <c r="E148" s="138">
        <v>0</v>
      </c>
      <c r="F148" s="138">
        <f>0.5-E148</f>
        <v>0.5</v>
      </c>
      <c r="G148" s="138">
        <f>0-E148-F148</f>
        <v>-0.5</v>
      </c>
      <c r="H148" s="138">
        <f>+I148-E148-F148-G148</f>
        <v>0</v>
      </c>
      <c r="I148" s="137">
        <v>0</v>
      </c>
      <c r="J148" s="138">
        <v>0</v>
      </c>
      <c r="K148" s="138">
        <v>0</v>
      </c>
      <c r="L148" s="138">
        <v>0</v>
      </c>
      <c r="M148" s="138">
        <f>N148-J148-K148-L148</f>
        <v>-280</v>
      </c>
      <c r="N148" s="137">
        <v>-280</v>
      </c>
      <c r="O148" s="138">
        <v>0</v>
      </c>
      <c r="P148" s="138">
        <v>0</v>
      </c>
      <c r="Q148" s="138">
        <v>0</v>
      </c>
      <c r="R148" s="138">
        <v>-2</v>
      </c>
      <c r="S148" s="137">
        <f>+SUM(O148:R148)</f>
        <v>-2</v>
      </c>
      <c r="T148" s="138">
        <v>0</v>
      </c>
      <c r="U148" s="138">
        <f>-3.8-T148</f>
        <v>-3.8</v>
      </c>
      <c r="V148" s="138">
        <f>-4.5-T148-U148</f>
        <v>-0.70000000000000018</v>
      </c>
      <c r="W148" s="138">
        <f>-356-V148-U148-T148</f>
        <v>-351.5</v>
      </c>
      <c r="X148" s="137">
        <f>+SUM(T148:W148)</f>
        <v>-356</v>
      </c>
      <c r="Y148" s="138">
        <v>0</v>
      </c>
      <c r="Z148" s="138">
        <v>0</v>
      </c>
      <c r="AA148" s="138">
        <v>0</v>
      </c>
      <c r="AB148" s="140">
        <f>249-4-Y148-Z148-AA148</f>
        <v>245</v>
      </c>
      <c r="AC148" s="137">
        <f>+SUM(Y148:AB148)</f>
        <v>245</v>
      </c>
      <c r="AD148" s="138">
        <v>0</v>
      </c>
      <c r="AE148" s="138">
        <v>0</v>
      </c>
      <c r="AF148" s="139">
        <f>-1.7-AE148-AD148</f>
        <v>-1.7</v>
      </c>
      <c r="AG148" s="140">
        <f>-153-AD148-AE148-AF148</f>
        <v>-151.30000000000001</v>
      </c>
      <c r="AH148" s="137">
        <f>+SUM(AD148:AG148)</f>
        <v>-153</v>
      </c>
      <c r="AI148" s="138">
        <v>0</v>
      </c>
      <c r="AJ148" s="138">
        <v>0</v>
      </c>
      <c r="AK148" s="138">
        <f>-2.1+248.4-1.8-AJ148-AI148</f>
        <v>244.5</v>
      </c>
      <c r="AL148" s="138">
        <f>-3+248-AK148-AJ148-AI148</f>
        <v>0.5</v>
      </c>
      <c r="AM148" s="137">
        <f>+SUM(AI148:AL148)</f>
        <v>245</v>
      </c>
      <c r="AN148" s="263">
        <v>0</v>
      </c>
      <c r="AO148" s="138">
        <v>0</v>
      </c>
      <c r="AP148" s="138">
        <v>0</v>
      </c>
      <c r="AQ148" s="138">
        <f>-252-AP148-AO148-AN148</f>
        <v>-252</v>
      </c>
      <c r="AR148" s="137">
        <f>+SUM(AN148:AQ148)</f>
        <v>-252</v>
      </c>
      <c r="AS148" s="138">
        <v>0</v>
      </c>
      <c r="AT148" s="138">
        <v>0</v>
      </c>
      <c r="AU148" s="138">
        <f>-2.6+747.5-AT148-AS148</f>
        <v>744.9</v>
      </c>
      <c r="AV148" s="199">
        <f>-253+747-SUM(AS148:AU148)</f>
        <v>-250.89999999999998</v>
      </c>
      <c r="AW148" s="137">
        <f>+SUM(AS148:AV148)</f>
        <v>494</v>
      </c>
      <c r="AX148" s="138">
        <v>0</v>
      </c>
      <c r="AY148" s="138">
        <v>0</v>
      </c>
      <c r="AZ148" s="138">
        <f>AZ106-AY106</f>
        <v>0</v>
      </c>
      <c r="BA148" s="199">
        <f>3-AZ148-AY148-AX148</f>
        <v>3</v>
      </c>
      <c r="BB148" s="137">
        <f>+SUM(AX148:BA148)</f>
        <v>3</v>
      </c>
      <c r="BC148" s="138">
        <v>0</v>
      </c>
      <c r="BD148" s="138">
        <v>0</v>
      </c>
      <c r="BE148" s="138">
        <v>0</v>
      </c>
      <c r="BF148" s="199">
        <v>0</v>
      </c>
      <c r="BG148" s="137">
        <f>+SUM(BC148:BF148)</f>
        <v>0</v>
      </c>
      <c r="BH148" s="138">
        <f>490-5</f>
        <v>485</v>
      </c>
      <c r="BI148" s="138">
        <f>490-5-BH148</f>
        <v>0</v>
      </c>
      <c r="BJ148" s="138">
        <f>-250+490-BI148-BH148</f>
        <v>-245</v>
      </c>
      <c r="BK148" s="199">
        <f>-250+490-5-BJ148-BI148-BH148</f>
        <v>-5</v>
      </c>
      <c r="BL148" s="137">
        <f>+SUM(BH148:BK148)</f>
        <v>235</v>
      </c>
      <c r="BM148" s="138">
        <v>717</v>
      </c>
      <c r="BN148" s="138">
        <f>717-BM148</f>
        <v>0</v>
      </c>
      <c r="BO148" s="138">
        <f>717-BN148-BM148</f>
        <v>0</v>
      </c>
      <c r="BP148" s="199">
        <f>717-BO148-BN148-BM148</f>
        <v>0</v>
      </c>
      <c r="BQ148" s="137">
        <f>+SUM(BM148:BP148)</f>
        <v>717</v>
      </c>
      <c r="BR148" s="138">
        <v>0</v>
      </c>
      <c r="BS148" s="138">
        <f>0-BR148</f>
        <v>0</v>
      </c>
      <c r="BT148" s="138">
        <f>BT106-BS106</f>
        <v>0</v>
      </c>
      <c r="BU148" s="199">
        <f>BU106-BT106</f>
        <v>0</v>
      </c>
      <c r="BV148" s="137">
        <f>+SUM(BR148:BU148)</f>
        <v>0</v>
      </c>
      <c r="BW148" s="138">
        <f>BW106-BV106</f>
        <v>0</v>
      </c>
      <c r="BX148" s="138">
        <f>BX106-BW106</f>
        <v>0</v>
      </c>
      <c r="BY148" s="138">
        <f>BY106-BX106</f>
        <v>0</v>
      </c>
      <c r="BZ148" s="199">
        <f>BZ106-BY106</f>
        <v>0</v>
      </c>
      <c r="CA148" s="137">
        <f>+SUM(BW148:BZ148)</f>
        <v>0</v>
      </c>
      <c r="CB148" s="138">
        <f>CB106-CA106</f>
        <v>0</v>
      </c>
      <c r="CC148" s="138">
        <f>CC106-CB106</f>
        <v>0</v>
      </c>
      <c r="CD148" s="138">
        <f>CD106-CC106</f>
        <v>0</v>
      </c>
      <c r="CE148" s="199">
        <f>CE106-CD106</f>
        <v>0</v>
      </c>
      <c r="CF148" s="137">
        <f>+SUM(CB148:CE148)</f>
        <v>0</v>
      </c>
      <c r="CG148" s="138">
        <f>CG106-CF106</f>
        <v>0</v>
      </c>
      <c r="CH148" s="138">
        <f>CH106-CG106</f>
        <v>0</v>
      </c>
      <c r="CI148" s="138">
        <f>CI106-CH106</f>
        <v>0</v>
      </c>
      <c r="CJ148" s="199">
        <f>CJ106-CI106</f>
        <v>0</v>
      </c>
      <c r="CK148" s="137">
        <f>+SUM(CG148:CJ148)</f>
        <v>0</v>
      </c>
      <c r="CL148" s="138">
        <f>CL106-CK106</f>
        <v>0</v>
      </c>
      <c r="CM148" s="138">
        <f>CM106-CL106</f>
        <v>0</v>
      </c>
      <c r="CN148" s="138">
        <f>CN106-CM106</f>
        <v>0</v>
      </c>
      <c r="CO148" s="199">
        <f>CO106-CN106</f>
        <v>0</v>
      </c>
      <c r="CP148" s="137">
        <f>+SUM(CL148:CO148)</f>
        <v>0</v>
      </c>
    </row>
    <row r="149" spans="1:109" x14ac:dyDescent="0.25">
      <c r="B149" s="52" t="s">
        <v>79</v>
      </c>
      <c r="C149" s="137">
        <v>-554</v>
      </c>
      <c r="D149" s="137">
        <v>12</v>
      </c>
      <c r="E149" s="138">
        <v>4.7</v>
      </c>
      <c r="F149" s="138">
        <f>-2.9-E149+5.7</f>
        <v>-1.8999999999999995</v>
      </c>
      <c r="G149" s="138">
        <f>3.6-E149-F149</f>
        <v>0.79999999999999938</v>
      </c>
      <c r="H149" s="138">
        <f>+I149-E149-F149-G149</f>
        <v>4.4000000000000004</v>
      </c>
      <c r="I149" s="137">
        <f>9+2-3</f>
        <v>8</v>
      </c>
      <c r="J149" s="138">
        <v>5.7</v>
      </c>
      <c r="K149" s="138">
        <f>(8.4+2.3-3.2)-J149</f>
        <v>1.7999999999999989</v>
      </c>
      <c r="L149" s="138">
        <f>13.8-J149-K149</f>
        <v>6.3000000000000025</v>
      </c>
      <c r="M149" s="138">
        <f>N149-L149-K149-J149</f>
        <v>9.1999999999999957</v>
      </c>
      <c r="N149" s="137">
        <f>19+7-3</f>
        <v>23</v>
      </c>
      <c r="O149" s="138">
        <v>20.2</v>
      </c>
      <c r="P149" s="138">
        <f>30.3+0.5-O149</f>
        <v>10.600000000000001</v>
      </c>
      <c r="Q149" s="138">
        <f>25.6+6.2+1.5-O149-P149</f>
        <v>2.4999999999999964</v>
      </c>
      <c r="R149" s="138">
        <f>33-O149-P149-Q149</f>
        <v>-0.29999999999999716</v>
      </c>
      <c r="S149" s="137">
        <f>+SUM(O149:R149)</f>
        <v>33</v>
      </c>
      <c r="T149" s="138">
        <f>11.3+3.3-7</f>
        <v>7.6000000000000014</v>
      </c>
      <c r="U149" s="138">
        <f>14.8+5.5-22.6-T149</f>
        <v>-9.9000000000000021</v>
      </c>
      <c r="V149" s="138">
        <f>-122-T149-U149+12.8+6.9</f>
        <v>-99.999999999999986</v>
      </c>
      <c r="W149" s="138">
        <f>-223+21-V149-U149-T149</f>
        <v>-99.700000000000017</v>
      </c>
      <c r="X149" s="137">
        <f>+T149+U149+V149+W149</f>
        <v>-202</v>
      </c>
      <c r="Y149" s="138">
        <f>-0.3-0.7</f>
        <v>-1</v>
      </c>
      <c r="Z149" s="138">
        <f>-0.3-0.8-Y149</f>
        <v>-0.10000000000000009</v>
      </c>
      <c r="AA149" s="138">
        <f>-22.8-Y149-Z149-3.1</f>
        <v>-24.8</v>
      </c>
      <c r="AB149" s="138">
        <f>-2-6+4-39-Y149-Z149-AA149</f>
        <v>-17.099999999999998</v>
      </c>
      <c r="AC149" s="137">
        <f>+Y149+Z149+AA149+AB149</f>
        <v>-43</v>
      </c>
      <c r="AD149" s="138">
        <f>-51.1+0.9-0.2</f>
        <v>-50.400000000000006</v>
      </c>
      <c r="AE149" s="138">
        <f>-139+0.5-AD149</f>
        <v>-88.1</v>
      </c>
      <c r="AF149" s="138">
        <f>-157.5+3-3.8-AE149-AD149</f>
        <v>-19.800000000000011</v>
      </c>
      <c r="AG149" s="138">
        <f>-158-3-AF149-AE149-AD149</f>
        <v>-2.6999999999999886</v>
      </c>
      <c r="AH149" s="137">
        <f>+AD149+AE149+AF149+AG149</f>
        <v>-161</v>
      </c>
      <c r="AI149" s="138">
        <f>-47.8+3.1</f>
        <v>-44.699999999999996</v>
      </c>
      <c r="AJ149" s="138">
        <f>-106.6+3-AI149</f>
        <v>-58.9</v>
      </c>
      <c r="AK149" s="138">
        <f>-118.3-6.4+8.6-AJ149-AI149</f>
        <v>-12.500000000000014</v>
      </c>
      <c r="AL149" s="138">
        <f>-2-7+8-136-AK149-AJ149-AI149</f>
        <v>-20.9</v>
      </c>
      <c r="AM149" s="137">
        <f>+AI149+AJ149+AK149+AL149</f>
        <v>-137</v>
      </c>
      <c r="AN149" s="138">
        <f>-18.4+2.6</f>
        <v>-15.799999999999999</v>
      </c>
      <c r="AO149" s="138">
        <f>-216.1+2.8-AN149</f>
        <v>-197.49999999999997</v>
      </c>
      <c r="AP149" s="138">
        <f>-219.1+0.8-AO149-AN149</f>
        <v>-5.0000000000000124</v>
      </c>
      <c r="AQ149" s="138">
        <f>-220-2-AP149-AO149-AN149</f>
        <v>-3.7000000000000295</v>
      </c>
      <c r="AR149" s="137">
        <f>+AN149+AO149+AP149+AQ149</f>
        <v>-222</v>
      </c>
      <c r="AS149" s="138">
        <v>3.6</v>
      </c>
      <c r="AT149" s="138">
        <f>2.5-AS149</f>
        <v>-1.1000000000000001</v>
      </c>
      <c r="AU149" s="138">
        <f>-6.6-14.8+17.5-AT149-AS149</f>
        <v>-6.3999999999999986</v>
      </c>
      <c r="AV149" s="138">
        <f>0-SUM(AS149:AU149)</f>
        <v>3.8999999999999986</v>
      </c>
      <c r="AW149" s="137">
        <f>+AS149+AT149+AU149+AV149</f>
        <v>0</v>
      </c>
      <c r="AX149" s="138">
        <v>2</v>
      </c>
      <c r="AY149" s="138">
        <f>-49+3-AX149</f>
        <v>-48</v>
      </c>
      <c r="AZ149" s="138">
        <f>-49-AX149-AY149</f>
        <v>-3</v>
      </c>
      <c r="BA149" s="138">
        <f>-49-AZ149-AY149-AX149</f>
        <v>0</v>
      </c>
      <c r="BB149" s="137">
        <f>+AX149+AY149+AZ149+BA149</f>
        <v>-49</v>
      </c>
      <c r="BC149" s="138">
        <f>+-12+12</f>
        <v>0</v>
      </c>
      <c r="BD149" s="138">
        <f>-205+11-BC149</f>
        <v>-194</v>
      </c>
      <c r="BE149" s="138">
        <f>-271+11-BD149-BC149</f>
        <v>-66</v>
      </c>
      <c r="BF149" s="138">
        <f>-462-BE149-BD149-BC149</f>
        <v>-202</v>
      </c>
      <c r="BG149" s="137">
        <f>+BC149+BD149+BE149+BF149</f>
        <v>-462</v>
      </c>
      <c r="BH149" s="138">
        <f>-230+7</f>
        <v>-223</v>
      </c>
      <c r="BI149" s="138">
        <f>-739+7-BH149</f>
        <v>-509</v>
      </c>
      <c r="BJ149" s="138">
        <f>-5-762+7-BI149-BH149</f>
        <v>-28</v>
      </c>
      <c r="BK149" s="199">
        <f>-1107-BJ149-BI149-BH149</f>
        <v>-347</v>
      </c>
      <c r="BL149" s="137">
        <f>+BH149+BI149+BJ149+BK149</f>
        <v>-1107</v>
      </c>
      <c r="BM149" s="138">
        <f>-201-3-5</f>
        <v>-209</v>
      </c>
      <c r="BN149" s="138">
        <f>-442-5-5-BM149</f>
        <v>-243</v>
      </c>
      <c r="BO149" s="138">
        <f>-561-BN149-BM149</f>
        <v>-109</v>
      </c>
      <c r="BP149" s="138">
        <f>-561-40-BO149-BN149-BM149</f>
        <v>-40</v>
      </c>
      <c r="BQ149" s="137">
        <f>+BM149+BN149+BO149+BP149</f>
        <v>-601</v>
      </c>
      <c r="BR149" s="138">
        <f>-1-5</f>
        <v>-6</v>
      </c>
      <c r="BS149" s="138">
        <f>-1-7-BR149</f>
        <v>-2</v>
      </c>
      <c r="BT149" s="138">
        <f>+BT173</f>
        <v>-150</v>
      </c>
      <c r="BU149" s="138">
        <f>+BU173</f>
        <v>-150</v>
      </c>
      <c r="BV149" s="137">
        <f>+BR149+BS149+BT149+BU149</f>
        <v>-308</v>
      </c>
      <c r="BW149" s="138">
        <f>+BW173</f>
        <v>-125</v>
      </c>
      <c r="BX149" s="138">
        <f>+BX173</f>
        <v>-125</v>
      </c>
      <c r="BY149" s="138">
        <f>+BY173</f>
        <v>-125</v>
      </c>
      <c r="BZ149" s="138">
        <f>+BZ173</f>
        <v>-125</v>
      </c>
      <c r="CA149" s="137">
        <f>+BW149+BX149+BY149+BZ149</f>
        <v>-500</v>
      </c>
      <c r="CB149" s="138">
        <f>+CB173</f>
        <v>-125</v>
      </c>
      <c r="CC149" s="138">
        <f>+CC173</f>
        <v>-125</v>
      </c>
      <c r="CD149" s="138">
        <f>+CD173</f>
        <v>-125</v>
      </c>
      <c r="CE149" s="138">
        <f>+CE173</f>
        <v>-125</v>
      </c>
      <c r="CF149" s="137">
        <f>+CB149+CC149+CD149+CE149</f>
        <v>-500</v>
      </c>
      <c r="CG149" s="138">
        <f>+CG173</f>
        <v>-125</v>
      </c>
      <c r="CH149" s="138">
        <f>+CH173</f>
        <v>-125</v>
      </c>
      <c r="CI149" s="138">
        <f>+CI173</f>
        <v>-125</v>
      </c>
      <c r="CJ149" s="138">
        <f>+CJ173</f>
        <v>-125</v>
      </c>
      <c r="CK149" s="137">
        <f>+CG149+CH149+CI149+CJ149</f>
        <v>-500</v>
      </c>
      <c r="CL149" s="138">
        <f>+CL173</f>
        <v>-125</v>
      </c>
      <c r="CM149" s="138">
        <f>+CM173</f>
        <v>-125</v>
      </c>
      <c r="CN149" s="138">
        <f>+CN173</f>
        <v>-125</v>
      </c>
      <c r="CO149" s="138">
        <f>+CO173</f>
        <v>-125</v>
      </c>
      <c r="CP149" s="137">
        <f>+CL149+CM149+CN149+CO149</f>
        <v>-500</v>
      </c>
    </row>
    <row r="150" spans="1:109" x14ac:dyDescent="0.25">
      <c r="B150" s="52" t="s">
        <v>80</v>
      </c>
      <c r="C150" s="137"/>
      <c r="D150" s="137"/>
      <c r="E150" s="138"/>
      <c r="F150" s="138"/>
      <c r="G150" s="138"/>
      <c r="H150" s="138"/>
      <c r="I150" s="137"/>
      <c r="J150" s="138"/>
      <c r="K150" s="138"/>
      <c r="L150" s="138"/>
      <c r="M150" s="138"/>
      <c r="N150" s="137"/>
      <c r="O150" s="138"/>
      <c r="P150" s="138"/>
      <c r="Q150" s="138"/>
      <c r="R150" s="138"/>
      <c r="S150" s="137"/>
      <c r="T150" s="138"/>
      <c r="U150" s="138"/>
      <c r="V150" s="138"/>
      <c r="W150" s="138"/>
      <c r="X150" s="137"/>
      <c r="Y150" s="138"/>
      <c r="Z150" s="138"/>
      <c r="AA150" s="138"/>
      <c r="AB150" s="138"/>
      <c r="AC150" s="137"/>
      <c r="AD150" s="138"/>
      <c r="AE150" s="138"/>
      <c r="AF150" s="138"/>
      <c r="AG150" s="138"/>
      <c r="AH150" s="137"/>
      <c r="AI150" s="138"/>
      <c r="AJ150" s="138"/>
      <c r="AK150" s="138"/>
      <c r="AL150" s="138"/>
      <c r="AM150" s="137"/>
      <c r="AN150" s="138"/>
      <c r="AO150" s="138"/>
      <c r="AP150" s="138"/>
      <c r="AQ150" s="138"/>
      <c r="AR150" s="137"/>
      <c r="AS150" s="138"/>
      <c r="AT150" s="138"/>
      <c r="AU150" s="138"/>
      <c r="AV150" s="138"/>
      <c r="AW150" s="137"/>
      <c r="AX150" s="138"/>
      <c r="AY150" s="138"/>
      <c r="AZ150" s="138"/>
      <c r="BA150" s="138"/>
      <c r="BB150" s="137"/>
      <c r="BC150" s="138"/>
      <c r="BD150" s="138"/>
      <c r="BE150" s="138"/>
      <c r="BF150" s="138"/>
      <c r="BG150" s="137"/>
      <c r="BH150" s="138"/>
      <c r="BI150" s="138"/>
      <c r="BJ150" s="138"/>
      <c r="BK150" s="138"/>
      <c r="BL150" s="137"/>
      <c r="BM150" s="138"/>
      <c r="BN150" s="138"/>
      <c r="BO150" s="138"/>
      <c r="BP150" s="138"/>
      <c r="BQ150" s="137"/>
      <c r="BR150" s="138"/>
      <c r="BS150" s="138"/>
      <c r="BT150" s="138"/>
      <c r="BU150" s="138"/>
      <c r="BV150" s="137"/>
      <c r="BW150" s="138"/>
      <c r="BX150" s="138"/>
      <c r="BY150" s="138"/>
      <c r="BZ150" s="138"/>
      <c r="CA150" s="137"/>
      <c r="CB150" s="138"/>
      <c r="CC150" s="138"/>
      <c r="CD150" s="138"/>
      <c r="CE150" s="138"/>
      <c r="CF150" s="137"/>
      <c r="CG150" s="138"/>
      <c r="CH150" s="138"/>
      <c r="CI150" s="138"/>
      <c r="CJ150" s="138"/>
      <c r="CK150" s="137"/>
      <c r="CL150" s="138"/>
      <c r="CM150" s="138"/>
      <c r="CN150" s="138"/>
      <c r="CO150" s="138"/>
      <c r="CP150" s="137"/>
    </row>
    <row r="151" spans="1:109" x14ac:dyDescent="0.25">
      <c r="B151" s="52" t="s">
        <v>81</v>
      </c>
      <c r="C151" s="189">
        <v>-99</v>
      </c>
      <c r="D151" s="189">
        <v>-97</v>
      </c>
      <c r="E151" s="190">
        <v>-25.9</v>
      </c>
      <c r="F151" s="190">
        <f>-51.7-E151</f>
        <v>-25.800000000000004</v>
      </c>
      <c r="G151" s="190">
        <f>-81.6-E151-F151</f>
        <v>-29.899999999999991</v>
      </c>
      <c r="H151" s="190">
        <f>+I151-E151-F151-G151</f>
        <v>-29.4</v>
      </c>
      <c r="I151" s="189">
        <v>-111</v>
      </c>
      <c r="J151" s="190">
        <v>-29.9</v>
      </c>
      <c r="K151" s="190">
        <f>-59.8-J151</f>
        <v>-29.9</v>
      </c>
      <c r="L151" s="190">
        <f>-94-J151-K151</f>
        <v>-34.199999999999996</v>
      </c>
      <c r="M151" s="190">
        <f>N151-L151-K151-J151</f>
        <v>-34.000000000000014</v>
      </c>
      <c r="N151" s="189">
        <v>-128</v>
      </c>
      <c r="O151" s="190">
        <v>-34.4</v>
      </c>
      <c r="P151" s="190">
        <f>-68.8-O151</f>
        <v>-34.4</v>
      </c>
      <c r="Q151" s="190">
        <f>-106.1-O151-P151</f>
        <v>-37.29999999999999</v>
      </c>
      <c r="R151" s="190">
        <f>-143-O151-P151-Q151</f>
        <v>-36.9</v>
      </c>
      <c r="S151" s="189">
        <f>SUM(O151:R151)</f>
        <v>-143</v>
      </c>
      <c r="T151" s="190">
        <f>-203.7-37.3</f>
        <v>-241</v>
      </c>
      <c r="U151" s="190">
        <f>-203.7-74.7-T151</f>
        <v>-37.399999999999977</v>
      </c>
      <c r="V151" s="190">
        <f>-203.7-116.6-T151-U151</f>
        <v>-41.899999999999977</v>
      </c>
      <c r="W151" s="190">
        <f>-204-158-V151-U151-T151</f>
        <v>-41.700000000000045</v>
      </c>
      <c r="X151" s="189">
        <f>SUM(T151:W151)</f>
        <v>-362</v>
      </c>
      <c r="Y151" s="190">
        <v>-41.1</v>
      </c>
      <c r="Z151" s="190">
        <f>-82.2-Y151</f>
        <v>-41.1</v>
      </c>
      <c r="AA151" s="190">
        <f>-125.6-Y151-Z151</f>
        <v>-43.4</v>
      </c>
      <c r="AB151" s="190">
        <f>-169-AA151-Z151-Y151</f>
        <v>-43.4</v>
      </c>
      <c r="AC151" s="189">
        <f>SUM(Y151:AB151)</f>
        <v>-169</v>
      </c>
      <c r="AD151" s="190">
        <v>-43.2</v>
      </c>
      <c r="AE151" s="190">
        <f>-85.8-AD151</f>
        <v>-42.599999999999994</v>
      </c>
      <c r="AF151" s="190">
        <f>-129.8-AE151-AD151</f>
        <v>-44.000000000000014</v>
      </c>
      <c r="AG151" s="190">
        <f>-174-AF151-AE151-AD151</f>
        <v>-44.2</v>
      </c>
      <c r="AH151" s="189">
        <f>SUM(AD151:AG151)</f>
        <v>-174</v>
      </c>
      <c r="AI151" s="190">
        <v>-44</v>
      </c>
      <c r="AJ151" s="190">
        <f>-87.9-AI151</f>
        <v>-43.900000000000006</v>
      </c>
      <c r="AK151" s="190">
        <f>-279.5-AJ151-AI151</f>
        <v>-191.6</v>
      </c>
      <c r="AL151" s="190">
        <f>-326-AK151-AJ151-AI151</f>
        <v>-46.5</v>
      </c>
      <c r="AM151" s="189">
        <f>SUM(AI151:AL151)</f>
        <v>-326</v>
      </c>
      <c r="AN151" s="190">
        <v>-46.4</v>
      </c>
      <c r="AO151" s="190">
        <f>-92.4-AN151</f>
        <v>-46.000000000000007</v>
      </c>
      <c r="AP151" s="190">
        <f>-142-AO151-AN151</f>
        <v>-49.6</v>
      </c>
      <c r="AQ151" s="190">
        <f>-192-AP151-AO151-AN151</f>
        <v>-50.000000000000007</v>
      </c>
      <c r="AR151" s="189">
        <f>SUM(AN151:AQ151)</f>
        <v>-192</v>
      </c>
      <c r="AS151" s="190">
        <v>-49.8</v>
      </c>
      <c r="AT151" s="190">
        <f>-99.5-AS151</f>
        <v>-49.7</v>
      </c>
      <c r="AU151" s="190">
        <f>-1008-AT151-AS151</f>
        <v>-908.5</v>
      </c>
      <c r="AV151" s="190">
        <f>-1063-SUM(AS151:AU151)</f>
        <v>-55</v>
      </c>
      <c r="AW151" s="189">
        <f>SUM(AS151:AV151)</f>
        <v>-1063</v>
      </c>
      <c r="AX151" s="190">
        <v>-54</v>
      </c>
      <c r="AY151" s="190">
        <f>-109-AX151</f>
        <v>-55</v>
      </c>
      <c r="AZ151" s="190">
        <f>-171-AY151-AX151</f>
        <v>-62</v>
      </c>
      <c r="BA151" s="190">
        <f>-233-AZ151-AY151-AX151</f>
        <v>-62</v>
      </c>
      <c r="BB151" s="189">
        <f>SUM(AX151:BA151)</f>
        <v>-233</v>
      </c>
      <c r="BC151" s="190">
        <v>-62</v>
      </c>
      <c r="BD151" s="190">
        <f>-124-BC151</f>
        <v>-62</v>
      </c>
      <c r="BE151" s="190">
        <f>-190-BD151-BC151</f>
        <v>-66</v>
      </c>
      <c r="BF151" s="190">
        <f>-256-BE151-BD151-BC151</f>
        <v>-66</v>
      </c>
      <c r="BG151" s="189">
        <f>SUM(BC151:BF151)</f>
        <v>-256</v>
      </c>
      <c r="BH151" s="190">
        <v>-65</v>
      </c>
      <c r="BI151" s="190">
        <f>-130-BH151</f>
        <v>-65</v>
      </c>
      <c r="BJ151" s="190">
        <f>-199-BI151-BH151</f>
        <v>-69</v>
      </c>
      <c r="BK151" s="190">
        <f>-266-BJ151-BI151-BH151</f>
        <v>-67</v>
      </c>
      <c r="BL151" s="189">
        <f>SUM(BH151:BK151)</f>
        <v>-266</v>
      </c>
      <c r="BM151" s="190">
        <v>-67</v>
      </c>
      <c r="BN151" s="190">
        <f>-134-BM151</f>
        <v>-67</v>
      </c>
      <c r="BO151" s="190">
        <f>-203-BN151-BM151</f>
        <v>-69</v>
      </c>
      <c r="BP151" s="190">
        <f>-274-BO151-BN151-BM151</f>
        <v>-71</v>
      </c>
      <c r="BQ151" s="189">
        <f>SUM(BM151:BP151)</f>
        <v>-274</v>
      </c>
      <c r="BR151" s="190">
        <v>-70</v>
      </c>
      <c r="BS151" s="190">
        <f>-140-BR151</f>
        <v>-70</v>
      </c>
      <c r="BT151" s="190">
        <f>-BT198*BT56</f>
        <v>-76.133238102045553</v>
      </c>
      <c r="BU151" s="190">
        <f>-BU198*BU56</f>
        <v>-75.681491587879847</v>
      </c>
      <c r="BV151" s="189">
        <f>SUM(BR151:BU151)</f>
        <v>-291.8147296899254</v>
      </c>
      <c r="BW151" s="190">
        <f>-BW198*BW56</f>
        <v>-75.273614499409732</v>
      </c>
      <c r="BX151" s="190">
        <f>-BX198*BX56</f>
        <v>-74.908958519999302</v>
      </c>
      <c r="BY151" s="190">
        <f>-BY198*BY56</f>
        <v>-83.986427124606976</v>
      </c>
      <c r="BZ151" s="190">
        <f>-BZ198*BZ56</f>
        <v>-83.587795308357215</v>
      </c>
      <c r="CA151" s="189">
        <f>SUM(BW151:BZ151)</f>
        <v>-317.75679545237324</v>
      </c>
      <c r="CB151" s="190">
        <f>-CB198*CB56</f>
        <v>-83.195120366239223</v>
      </c>
      <c r="CC151" s="190">
        <f>-CC198*CC56</f>
        <v>-82.808314265630344</v>
      </c>
      <c r="CD151" s="190">
        <f>-CD198*CD56</f>
        <v>-91.688783564195347</v>
      </c>
      <c r="CE151" s="190">
        <f>-CE198*CE56</f>
        <v>-91.271284623208828</v>
      </c>
      <c r="CF151" s="189">
        <f>SUM(CB151:CE151)</f>
        <v>-348.96350281927374</v>
      </c>
      <c r="CG151" s="190">
        <f>-CG198*CG56</f>
        <v>-90.860028770020151</v>
      </c>
      <c r="CH151" s="190">
        <f>-CH198*CH56</f>
        <v>-90.454923742248042</v>
      </c>
      <c r="CI151" s="190">
        <f>-CI198*CI56</f>
        <v>-99.152432039075009</v>
      </c>
      <c r="CJ151" s="190">
        <f>-CJ198*CJ56</f>
        <v>-98.719652790564197</v>
      </c>
      <c r="CK151" s="189">
        <f>SUM(CG151:CJ151)</f>
        <v>-379.1870373419074</v>
      </c>
      <c r="CL151" s="190">
        <f>-CL198*CL56</f>
        <v>-98.293349836366318</v>
      </c>
      <c r="CM151" s="190">
        <f>-CM198*CM56</f>
        <v>-97.873427467698477</v>
      </c>
      <c r="CN151" s="190">
        <f>-CN198*CN56</f>
        <v>-106.40105665534854</v>
      </c>
      <c r="CO151" s="190">
        <f>-CO198*CO56</f>
        <v>-105.95623390510562</v>
      </c>
      <c r="CP151" s="189">
        <f>SUM(CL151:CO151)</f>
        <v>-408.524067864519</v>
      </c>
    </row>
    <row r="152" spans="1:109" s="38" customFormat="1" x14ac:dyDescent="0.25">
      <c r="A152" s="38" t="s">
        <v>82</v>
      </c>
      <c r="C152" s="144">
        <f>+SUM(C146:C151)</f>
        <v>-61</v>
      </c>
      <c r="D152" s="144">
        <f t="shared" ref="D152:AH152" si="208">+SUM(D146:D151)</f>
        <v>-247</v>
      </c>
      <c r="E152" s="145">
        <f t="shared" si="208"/>
        <v>-54.2</v>
      </c>
      <c r="F152" s="145">
        <f t="shared" si="208"/>
        <v>-16.900000000000002</v>
      </c>
      <c r="G152" s="145">
        <f t="shared" si="208"/>
        <v>-53.899999999999991</v>
      </c>
      <c r="H152" s="145">
        <f t="shared" si="208"/>
        <v>-28</v>
      </c>
      <c r="I152" s="144">
        <f t="shared" si="208"/>
        <v>-153</v>
      </c>
      <c r="J152" s="145">
        <f t="shared" si="208"/>
        <v>-54.2</v>
      </c>
      <c r="K152" s="145">
        <f t="shared" si="208"/>
        <v>-28.1</v>
      </c>
      <c r="L152" s="145">
        <f t="shared" si="208"/>
        <v>-27.899999999999991</v>
      </c>
      <c r="M152" s="145">
        <f t="shared" si="208"/>
        <v>-49.800000000000018</v>
      </c>
      <c r="N152" s="144">
        <f t="shared" si="208"/>
        <v>-160</v>
      </c>
      <c r="O152" s="145">
        <f t="shared" si="208"/>
        <v>-43.5</v>
      </c>
      <c r="P152" s="145">
        <f t="shared" si="208"/>
        <v>-24.699999999999996</v>
      </c>
      <c r="Q152" s="145">
        <f t="shared" si="208"/>
        <v>661.5</v>
      </c>
      <c r="R152" s="145">
        <f t="shared" si="208"/>
        <v>-106.30000000000001</v>
      </c>
      <c r="S152" s="144">
        <f t="shared" si="208"/>
        <v>486.99999999999989</v>
      </c>
      <c r="T152" s="145">
        <f t="shared" si="208"/>
        <v>-292.3</v>
      </c>
      <c r="U152" s="145">
        <f t="shared" si="208"/>
        <v>-49.699999999999982</v>
      </c>
      <c r="V152" s="145">
        <f t="shared" si="208"/>
        <v>-244.99999999999997</v>
      </c>
      <c r="W152" s="145">
        <f t="shared" si="208"/>
        <v>-149.00000000000009</v>
      </c>
      <c r="X152" s="144">
        <f t="shared" si="208"/>
        <v>-736</v>
      </c>
      <c r="Y152" s="145">
        <f t="shared" si="208"/>
        <v>-52.400000000000006</v>
      </c>
      <c r="Z152" s="145">
        <f t="shared" si="208"/>
        <v>187.3</v>
      </c>
      <c r="AA152" s="145">
        <f t="shared" si="208"/>
        <v>-219.9</v>
      </c>
      <c r="AB152" s="145">
        <f>-216-AA152-Z152-Y152</f>
        <v>-131</v>
      </c>
      <c r="AC152" s="144">
        <f t="shared" si="208"/>
        <v>-216</v>
      </c>
      <c r="AD152" s="145">
        <f t="shared" si="208"/>
        <v>-177.7</v>
      </c>
      <c r="AE152" s="145">
        <f t="shared" si="208"/>
        <v>-82.899999999999991</v>
      </c>
      <c r="AF152" s="145">
        <f t="shared" si="208"/>
        <v>-260.50000000000006</v>
      </c>
      <c r="AG152" s="145">
        <f t="shared" si="208"/>
        <v>-115.89999999999998</v>
      </c>
      <c r="AH152" s="144">
        <f t="shared" si="208"/>
        <v>-637</v>
      </c>
      <c r="AI152" s="145">
        <f t="shared" ref="AI152:AU152" si="209">+SUM(AI146:AI151)</f>
        <v>-67.399999999999991</v>
      </c>
      <c r="AJ152" s="145">
        <f t="shared" si="209"/>
        <v>-183.8</v>
      </c>
      <c r="AK152" s="145">
        <f t="shared" si="209"/>
        <v>-87.200000000000017</v>
      </c>
      <c r="AL152" s="145">
        <f t="shared" si="209"/>
        <v>-67.599999999999994</v>
      </c>
      <c r="AM152" s="144">
        <f t="shared" si="209"/>
        <v>-406</v>
      </c>
      <c r="AN152" s="145">
        <f t="shared" si="209"/>
        <v>-61.099999999999994</v>
      </c>
      <c r="AO152" s="145">
        <f t="shared" si="209"/>
        <v>-243.49999999999997</v>
      </c>
      <c r="AP152" s="145">
        <f t="shared" si="209"/>
        <v>-52.800000000000011</v>
      </c>
      <c r="AQ152" s="145">
        <f t="shared" si="209"/>
        <v>-304.60000000000002</v>
      </c>
      <c r="AR152" s="144">
        <f t="shared" si="209"/>
        <v>-662</v>
      </c>
      <c r="AS152" s="145">
        <f t="shared" si="209"/>
        <v>-44.599999999999994</v>
      </c>
      <c r="AT152" s="145">
        <f t="shared" si="209"/>
        <v>-50</v>
      </c>
      <c r="AU152" s="145">
        <f t="shared" si="209"/>
        <v>-166.29999999999995</v>
      </c>
      <c r="AV152" s="145">
        <f>-576-SUM(AS152:AU152)</f>
        <v>-315.10000000000002</v>
      </c>
      <c r="AW152" s="144">
        <f t="shared" ref="AW152:CP152" si="210">+SUM(AW146:AW151)</f>
        <v>-576</v>
      </c>
      <c r="AX152" s="145">
        <f t="shared" si="210"/>
        <v>-51</v>
      </c>
      <c r="AY152" s="145">
        <f t="shared" si="210"/>
        <v>-102</v>
      </c>
      <c r="AZ152" s="145">
        <f t="shared" si="210"/>
        <v>-61</v>
      </c>
      <c r="BA152" s="145">
        <f t="shared" si="210"/>
        <v>-74</v>
      </c>
      <c r="BB152" s="144">
        <f t="shared" si="210"/>
        <v>-288</v>
      </c>
      <c r="BC152" s="145">
        <f t="shared" si="210"/>
        <v>-57</v>
      </c>
      <c r="BD152" s="145">
        <f t="shared" si="210"/>
        <v>-144</v>
      </c>
      <c r="BE152" s="145">
        <f>+SUM(BE146:BE151)</f>
        <v>-248</v>
      </c>
      <c r="BF152" s="145">
        <f t="shared" si="210"/>
        <v>-82</v>
      </c>
      <c r="BG152" s="144">
        <f t="shared" si="210"/>
        <v>-531</v>
      </c>
      <c r="BH152" s="145">
        <f t="shared" si="210"/>
        <v>21</v>
      </c>
      <c r="BI152" s="145">
        <f>+SUM(BI146:BI151)</f>
        <v>-285</v>
      </c>
      <c r="BJ152" s="145">
        <f>+SUM(BJ146:BJ151)</f>
        <v>-136</v>
      </c>
      <c r="BK152" s="145">
        <f>+SUM(BK146:BK151)</f>
        <v>-660</v>
      </c>
      <c r="BL152" s="144">
        <f t="shared" si="210"/>
        <v>-1060</v>
      </c>
      <c r="BM152" s="145">
        <f>+SUM(BM146:BM151)</f>
        <v>398</v>
      </c>
      <c r="BN152" s="145">
        <f t="shared" si="210"/>
        <v>-261</v>
      </c>
      <c r="BO152" s="145">
        <f t="shared" si="210"/>
        <v>-248</v>
      </c>
      <c r="BP152" s="145">
        <f t="shared" si="210"/>
        <v>-174</v>
      </c>
      <c r="BQ152" s="144">
        <f t="shared" si="210"/>
        <v>-285</v>
      </c>
      <c r="BR152" s="145">
        <f t="shared" si="210"/>
        <v>-31</v>
      </c>
      <c r="BS152" s="145">
        <f t="shared" si="210"/>
        <v>-96</v>
      </c>
      <c r="BT152" s="145">
        <f t="shared" ca="1" si="210"/>
        <v>-160.9419949560023</v>
      </c>
      <c r="BU152" s="145">
        <f t="shared" ca="1" si="210"/>
        <v>-286.27835661059402</v>
      </c>
      <c r="BV152" s="144">
        <f t="shared" ca="1" si="210"/>
        <v>-574.22035156659626</v>
      </c>
      <c r="BW152" s="145">
        <f t="shared" ca="1" si="210"/>
        <v>-32.93595190918505</v>
      </c>
      <c r="BX152" s="145">
        <f t="shared" ca="1" si="210"/>
        <v>-146.60514125656329</v>
      </c>
      <c r="BY152" s="145">
        <f t="shared" ca="1" si="210"/>
        <v>-170.19259910846176</v>
      </c>
      <c r="BZ152" s="145">
        <f t="shared" ca="1" si="210"/>
        <v>-315.99718896530425</v>
      </c>
      <c r="CA152" s="144">
        <f t="shared" ca="1" si="210"/>
        <v>-665.73088123951436</v>
      </c>
      <c r="CB152" s="145">
        <f t="shared" ca="1" si="210"/>
        <v>-47.494683378884417</v>
      </c>
      <c r="CC152" s="145">
        <f t="shared" ca="1" si="210"/>
        <v>-159.1782001283398</v>
      </c>
      <c r="CD152" s="145">
        <f t="shared" ca="1" si="210"/>
        <v>-183.97704505446271</v>
      </c>
      <c r="CE152" s="145">
        <f t="shared" ca="1" si="210"/>
        <v>-336.06582121713103</v>
      </c>
      <c r="CF152" s="144">
        <f t="shared" ca="1" si="210"/>
        <v>-726.71574977881801</v>
      </c>
      <c r="CG152" s="145">
        <f t="shared" ca="1" si="210"/>
        <v>-50.453478585569471</v>
      </c>
      <c r="CH152" s="145">
        <f t="shared" ca="1" si="210"/>
        <v>-171.71610526039157</v>
      </c>
      <c r="CI152" s="145">
        <f t="shared" ca="1" si="210"/>
        <v>-197.89666098486538</v>
      </c>
      <c r="CJ152" s="145">
        <f t="shared" ca="1" si="210"/>
        <v>-357.67913976667728</v>
      </c>
      <c r="CK152" s="144">
        <f t="shared" ca="1" si="210"/>
        <v>-777.74538459750374</v>
      </c>
      <c r="CL152" s="145">
        <f t="shared" ca="1" si="210"/>
        <v>-51.157181312214519</v>
      </c>
      <c r="CM152" s="145">
        <f t="shared" ca="1" si="210"/>
        <v>-184.18017060109236</v>
      </c>
      <c r="CN152" s="145">
        <f t="shared" ca="1" si="210"/>
        <v>-211.55194852486756</v>
      </c>
      <c r="CO152" s="145">
        <f t="shared" ca="1" si="210"/>
        <v>-379.63184179021505</v>
      </c>
      <c r="CP152" s="144">
        <f t="shared" ca="1" si="210"/>
        <v>-826.52114222838952</v>
      </c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</row>
    <row r="153" spans="1:109" x14ac:dyDescent="0.25">
      <c r="C153" s="296"/>
      <c r="D153" s="296"/>
      <c r="E153" s="260"/>
      <c r="F153" s="260"/>
      <c r="G153" s="260"/>
      <c r="H153" s="260"/>
      <c r="I153" s="296"/>
      <c r="J153" s="260"/>
      <c r="K153" s="260"/>
      <c r="L153" s="260"/>
      <c r="M153" s="260"/>
      <c r="N153" s="296"/>
      <c r="O153" s="260"/>
      <c r="P153" s="260"/>
      <c r="Q153" s="260"/>
      <c r="R153" s="260"/>
      <c r="S153" s="296"/>
      <c r="T153" s="260"/>
      <c r="U153" s="260"/>
      <c r="V153" s="260"/>
      <c r="W153" s="260"/>
      <c r="X153" s="296"/>
      <c r="Y153" s="260"/>
      <c r="Z153" s="260"/>
      <c r="AA153" s="260"/>
      <c r="AB153" s="260"/>
      <c r="AC153" s="296"/>
      <c r="AD153" s="260"/>
      <c r="AE153" s="260"/>
      <c r="AF153" s="260"/>
      <c r="AG153" s="260"/>
      <c r="AH153" s="296"/>
      <c r="AI153" s="260"/>
      <c r="AJ153" s="260"/>
      <c r="AK153" s="260"/>
      <c r="AL153" s="260"/>
      <c r="AM153" s="296"/>
      <c r="AN153" s="260"/>
      <c r="AO153" s="260"/>
      <c r="AP153" s="260"/>
      <c r="AQ153" s="260"/>
      <c r="AR153" s="296"/>
      <c r="AS153" s="260"/>
      <c r="AT153" s="260"/>
      <c r="AU153" s="260"/>
      <c r="AV153" s="260"/>
      <c r="AW153" s="296"/>
      <c r="AX153" s="260"/>
      <c r="AY153" s="260"/>
      <c r="AZ153" s="260"/>
      <c r="BA153" s="260"/>
      <c r="BB153" s="296"/>
      <c r="BC153" s="138"/>
      <c r="BD153" s="138"/>
      <c r="BE153" s="138"/>
      <c r="BF153" s="138"/>
      <c r="BG153" s="137"/>
      <c r="BH153" s="138"/>
      <c r="BI153" s="138"/>
      <c r="BJ153" s="138"/>
      <c r="BK153" s="138"/>
      <c r="BL153" s="137"/>
      <c r="BM153" s="138"/>
      <c r="BN153" s="138"/>
      <c r="BO153" s="138"/>
      <c r="BP153" s="138"/>
      <c r="BQ153" s="137"/>
      <c r="BR153" s="138"/>
      <c r="BS153" s="138"/>
      <c r="BT153" s="138"/>
      <c r="BU153" s="138"/>
      <c r="BV153" s="137"/>
      <c r="BW153" s="138"/>
      <c r="BX153" s="138"/>
      <c r="BY153" s="138"/>
      <c r="BZ153" s="138"/>
      <c r="CA153" s="137"/>
      <c r="CB153" s="138"/>
      <c r="CC153" s="138"/>
      <c r="CD153" s="138"/>
      <c r="CE153" s="138"/>
      <c r="CF153" s="137"/>
      <c r="CG153" s="138"/>
      <c r="CH153" s="138"/>
      <c r="CI153" s="138"/>
      <c r="CJ153" s="138"/>
      <c r="CK153" s="137"/>
      <c r="CL153" s="138"/>
      <c r="CM153" s="138"/>
      <c r="CN153" s="138"/>
      <c r="CO153" s="138"/>
      <c r="CP153" s="137"/>
    </row>
    <row r="154" spans="1:109" x14ac:dyDescent="0.25">
      <c r="A154" s="161" t="s">
        <v>213</v>
      </c>
      <c r="C154" s="201" t="s">
        <v>172</v>
      </c>
      <c r="D154" s="156" t="s">
        <v>172</v>
      </c>
      <c r="E154" s="138" t="s">
        <v>172</v>
      </c>
      <c r="F154" s="138" t="s">
        <v>172</v>
      </c>
      <c r="G154" s="138" t="s">
        <v>172</v>
      </c>
      <c r="H154" s="200" t="s">
        <v>172</v>
      </c>
      <c r="I154" s="137" t="s">
        <v>172</v>
      </c>
      <c r="J154" s="138" t="s">
        <v>172</v>
      </c>
      <c r="K154" s="138" t="s">
        <v>172</v>
      </c>
      <c r="L154" s="138" t="s">
        <v>172</v>
      </c>
      <c r="M154" s="200" t="s">
        <v>172</v>
      </c>
      <c r="N154" s="137" t="s">
        <v>172</v>
      </c>
      <c r="O154" s="101">
        <v>0</v>
      </c>
      <c r="P154" s="101">
        <v>0</v>
      </c>
      <c r="Q154" s="101">
        <v>0</v>
      </c>
      <c r="R154" s="138">
        <v>4</v>
      </c>
      <c r="S154" s="137">
        <f>O154+P154+Q154+R154</f>
        <v>4</v>
      </c>
      <c r="T154" s="138">
        <v>0.5</v>
      </c>
      <c r="U154" s="138">
        <f>5.9-0.5</f>
        <v>5.4</v>
      </c>
      <c r="V154" s="138">
        <f>5.1-5.9</f>
        <v>-0.80000000000000071</v>
      </c>
      <c r="W154" s="138">
        <f>10-5.1</f>
        <v>4.9000000000000004</v>
      </c>
      <c r="X154" s="137">
        <f>T154+U154+V154+W154</f>
        <v>10</v>
      </c>
      <c r="Y154" s="138">
        <v>3.2</v>
      </c>
      <c r="Z154" s="138">
        <f>-15-3.2</f>
        <v>-18.2</v>
      </c>
      <c r="AA154" s="138">
        <f>-19.3+15</f>
        <v>-4.3000000000000007</v>
      </c>
      <c r="AB154" s="138">
        <f>-17+19.3</f>
        <v>2.3000000000000007</v>
      </c>
      <c r="AC154" s="137">
        <f>Y154+Z154+AA154+AB154</f>
        <v>-17</v>
      </c>
      <c r="AD154" s="138">
        <v>14.3</v>
      </c>
      <c r="AE154" s="96">
        <f>18.3-AD154</f>
        <v>4</v>
      </c>
      <c r="AF154" s="96">
        <f>17.6-AE154-AD154</f>
        <v>-0.69999999999999929</v>
      </c>
      <c r="AG154" s="96">
        <f>19-AF154-AE154-AD154</f>
        <v>1.3999999999999986</v>
      </c>
      <c r="AH154" s="194">
        <f>SUM(AD154:AG154)</f>
        <v>19</v>
      </c>
      <c r="AI154" s="96">
        <v>-3.5</v>
      </c>
      <c r="AJ154" s="96">
        <f>1.8-AI154</f>
        <v>5.3</v>
      </c>
      <c r="AK154" s="96">
        <f>2.7-AJ154-AI154</f>
        <v>0.90000000000000036</v>
      </c>
      <c r="AL154" s="139">
        <f>11-AK154-AJ154-AI154</f>
        <v>8.3000000000000007</v>
      </c>
      <c r="AM154" s="122">
        <f>SUM(AI154:AL154)</f>
        <v>11</v>
      </c>
      <c r="AN154" s="139">
        <v>-3.8</v>
      </c>
      <c r="AO154" s="96">
        <f>-11.2-AN154</f>
        <v>-7.3999999999999995</v>
      </c>
      <c r="AP154" s="96">
        <f>-15.6-AO154-AN154</f>
        <v>-4.3999999999999995</v>
      </c>
      <c r="AQ154" s="96">
        <f>-15-AP154-AO154-AN154</f>
        <v>0.59999999999999787</v>
      </c>
      <c r="AR154" s="122">
        <f>SUM(AN154:AQ154)</f>
        <v>-15</v>
      </c>
      <c r="AS154" s="96">
        <v>-2.2999999999999998</v>
      </c>
      <c r="AT154" s="96">
        <f>-0.9-AS154</f>
        <v>1.4</v>
      </c>
      <c r="AU154" s="96">
        <f>1.6-AT154-AS154</f>
        <v>2.5</v>
      </c>
      <c r="AV154" s="139">
        <f>2-SUM(AS154:AU154)</f>
        <v>0.39999999999999991</v>
      </c>
      <c r="AW154" s="122">
        <f>SUM(AS154:AV154)</f>
        <v>2</v>
      </c>
      <c r="AX154" s="96">
        <v>-4</v>
      </c>
      <c r="AY154" s="96">
        <f>0-AX154</f>
        <v>4</v>
      </c>
      <c r="AZ154" s="96">
        <f>-4-AY154-AX154</f>
        <v>-4</v>
      </c>
      <c r="BA154" s="139">
        <f>-1-AZ154-AY154-AX154</f>
        <v>3</v>
      </c>
      <c r="BB154" s="122">
        <f>SUM(AX154:BA154)</f>
        <v>-1</v>
      </c>
      <c r="BC154" s="96">
        <v>-1</v>
      </c>
      <c r="BD154" s="96">
        <f>-8-BC154</f>
        <v>-7</v>
      </c>
      <c r="BE154" s="96">
        <f>-17-BD154-BC154</f>
        <v>-9</v>
      </c>
      <c r="BF154" s="139">
        <f>-19-BE154-BD154-BC154</f>
        <v>-2</v>
      </c>
      <c r="BG154" s="122">
        <f>SUM(BC154:BF154)</f>
        <v>-19</v>
      </c>
      <c r="BH154" s="96">
        <v>-5</v>
      </c>
      <c r="BI154" s="96">
        <f>-6-BH154</f>
        <v>-1</v>
      </c>
      <c r="BJ154" s="96">
        <f>-11-BI154-BH154</f>
        <v>-5</v>
      </c>
      <c r="BK154" s="139">
        <f>-4-BJ154-BI154-BH154</f>
        <v>7</v>
      </c>
      <c r="BL154" s="122">
        <f>SUM(BH154:BK154)</f>
        <v>-4</v>
      </c>
      <c r="BM154" s="96">
        <v>-6</v>
      </c>
      <c r="BN154" s="96">
        <f>-14-BM154</f>
        <v>-8</v>
      </c>
      <c r="BO154" s="96">
        <f>-20-BN154-BM154</f>
        <v>-6</v>
      </c>
      <c r="BP154" s="139">
        <f>-12.9-BO154-BN154-BM154</f>
        <v>7.1</v>
      </c>
      <c r="BQ154" s="122">
        <f>SUM(BM154:BP154)</f>
        <v>-12.9</v>
      </c>
      <c r="BR154" s="96">
        <v>13</v>
      </c>
      <c r="BS154" s="96">
        <f>8-BR154</f>
        <v>-5</v>
      </c>
      <c r="BT154" s="96">
        <v>0</v>
      </c>
      <c r="BU154" s="139">
        <v>0</v>
      </c>
      <c r="BV154" s="122">
        <f>SUM(BR154:BU154)</f>
        <v>8</v>
      </c>
      <c r="BW154" s="96">
        <v>0</v>
      </c>
      <c r="BX154" s="96">
        <v>0</v>
      </c>
      <c r="BY154" s="96">
        <v>0</v>
      </c>
      <c r="BZ154" s="139">
        <f>CA154-BY154-BX154-BW154</f>
        <v>0</v>
      </c>
      <c r="CA154" s="122">
        <v>0</v>
      </c>
      <c r="CB154" s="96">
        <v>0</v>
      </c>
      <c r="CC154" s="96">
        <v>0</v>
      </c>
      <c r="CD154" s="96">
        <v>0</v>
      </c>
      <c r="CE154" s="139">
        <f>CF154-CD154-CC154-CB154</f>
        <v>0</v>
      </c>
      <c r="CF154" s="122">
        <v>0</v>
      </c>
      <c r="CG154" s="96">
        <v>0</v>
      </c>
      <c r="CH154" s="96">
        <v>0</v>
      </c>
      <c r="CI154" s="96">
        <v>0</v>
      </c>
      <c r="CJ154" s="139">
        <f>CK154-CI154-CH154-CG154</f>
        <v>0</v>
      </c>
      <c r="CK154" s="122">
        <v>0</v>
      </c>
      <c r="CL154" s="96">
        <v>0</v>
      </c>
      <c r="CM154" s="96">
        <v>0</v>
      </c>
      <c r="CN154" s="96">
        <v>0</v>
      </c>
      <c r="CO154" s="139">
        <f>CP154-CN154-CM154-CL154</f>
        <v>0</v>
      </c>
      <c r="CP154" s="122">
        <v>0</v>
      </c>
    </row>
    <row r="155" spans="1:109" x14ac:dyDescent="0.25">
      <c r="A155" s="52" t="s">
        <v>83</v>
      </c>
      <c r="C155" s="137">
        <v>-44</v>
      </c>
      <c r="D155" s="137">
        <f t="shared" ref="D155:I155" si="211">+D157-D156</f>
        <v>-4</v>
      </c>
      <c r="E155" s="138">
        <f t="shared" si="211"/>
        <v>16</v>
      </c>
      <c r="F155" s="138">
        <f t="shared" si="211"/>
        <v>1.7999999999999972</v>
      </c>
      <c r="G155" s="138">
        <f t="shared" si="211"/>
        <v>203.7</v>
      </c>
      <c r="H155" s="138">
        <f t="shared" si="211"/>
        <v>5.3999999999999773</v>
      </c>
      <c r="I155" s="137">
        <f t="shared" si="211"/>
        <v>226.89999999999998</v>
      </c>
      <c r="J155" s="138">
        <f>+J152+J143+J137</f>
        <v>-29.6</v>
      </c>
      <c r="K155" s="138">
        <f>+K152+K143+K137</f>
        <v>186.60000000000002</v>
      </c>
      <c r="L155" s="138">
        <f>+L152+L143+L137</f>
        <v>-85.699999999999989</v>
      </c>
      <c r="M155" s="138">
        <f>+M152+M143+M137</f>
        <v>108.70000000000002</v>
      </c>
      <c r="N155" s="137">
        <f>+N152+N143+N137</f>
        <v>180.00000000000003</v>
      </c>
      <c r="O155" s="138">
        <f>+O152+O143+O137+O154</f>
        <v>-254.9</v>
      </c>
      <c r="P155" s="138">
        <f>+P152+P143+P137+P154</f>
        <v>2.7000000000000313</v>
      </c>
      <c r="Q155" s="138">
        <f>+Q152+Q143+Q137+Q154</f>
        <v>31.299999999999898</v>
      </c>
      <c r="R155" s="138">
        <f>+R152+R143+R137+R154</f>
        <v>28.900000000000055</v>
      </c>
      <c r="S155" s="137">
        <f>O155+P155+Q155+R155</f>
        <v>-192.00000000000003</v>
      </c>
      <c r="T155" s="138">
        <f>+T152+T143+T137+T154</f>
        <v>-103</v>
      </c>
      <c r="U155" s="138">
        <f>+U152+U143+U137+U154</f>
        <v>12.900000000000007</v>
      </c>
      <c r="V155" s="138">
        <f>+V152+V143+V137+V154</f>
        <v>-56.09999999999998</v>
      </c>
      <c r="W155" s="138">
        <f>+W152+W143+W137+W154</f>
        <v>-17.800000000000047</v>
      </c>
      <c r="X155" s="137">
        <f>T155+U155+V155+W155</f>
        <v>-164.00000000000003</v>
      </c>
      <c r="Y155" s="138">
        <f>+Y152+Y143+Y137+Y154</f>
        <v>41.3</v>
      </c>
      <c r="Z155" s="138">
        <f>+Z152+Z143+Z137+Z154</f>
        <v>166.60000000000002</v>
      </c>
      <c r="AA155" s="138">
        <f>+AA152+AA143+AA137+AA154</f>
        <v>7.8999999999999879</v>
      </c>
      <c r="AB155" s="138">
        <f>+AB152+AB143+AB137+AB154</f>
        <v>5.2000000000000348</v>
      </c>
      <c r="AC155" s="137">
        <f>Y155+Z155+AA155+AB155</f>
        <v>221.00000000000006</v>
      </c>
      <c r="AD155" s="138">
        <f>+AD152+AD143+AD137+AD154</f>
        <v>-53.599999999999994</v>
      </c>
      <c r="AE155" s="138">
        <f>+AE152+AE143+AE137+AE154</f>
        <v>2.7999999999999972</v>
      </c>
      <c r="AF155" s="138">
        <f>+AF152+AF143+AF137+AF154</f>
        <v>-47.600000000000037</v>
      </c>
      <c r="AG155" s="138">
        <f>+AG152+AG143+AG137+AG154</f>
        <v>-9.5999999999999588</v>
      </c>
      <c r="AH155" s="137">
        <f>AD155+AE155+AF155+AG155</f>
        <v>-108</v>
      </c>
      <c r="AI155" s="138">
        <f>+AI152+AI143+AI137+AI154</f>
        <v>29.200000000000003</v>
      </c>
      <c r="AJ155" s="138">
        <f>+AJ152+AJ143+AJ137+AJ154</f>
        <v>-105.10000000000001</v>
      </c>
      <c r="AK155" s="138">
        <f>+AK152+AK143+AK137+AK154</f>
        <v>122.89999999999995</v>
      </c>
      <c r="AL155" s="138">
        <f>+AL152+AL143+AL137+AL154</f>
        <v>288.00000000000006</v>
      </c>
      <c r="AM155" s="137">
        <f>AI155+AJ155+AK155+AL155</f>
        <v>335</v>
      </c>
      <c r="AN155" s="138">
        <f>+AN152+AN143+AN137+AN154</f>
        <v>-14.599999999999998</v>
      </c>
      <c r="AO155" s="138">
        <f>+AO152+AO143+AO137+AO154</f>
        <v>-172.4</v>
      </c>
      <c r="AP155" s="138">
        <f>+AP152+AP143+AP137+AP154</f>
        <v>114.79999999999997</v>
      </c>
      <c r="AQ155" s="138">
        <f>+AQ152+AQ143+AQ137+AQ154</f>
        <v>-156.80000000000004</v>
      </c>
      <c r="AR155" s="137">
        <f>AN155+AO155+AP155+AQ155</f>
        <v>-229.00000000000006</v>
      </c>
      <c r="AS155" s="138">
        <f>+AS152+AS143+AS137+AS154</f>
        <v>23.2</v>
      </c>
      <c r="AT155" s="138">
        <f>+AT152+AT143+AT137+AT154</f>
        <v>6.9999999999999947</v>
      </c>
      <c r="AU155" s="138">
        <f>+AU152+AU143+AU137+AU154</f>
        <v>18.300000000000068</v>
      </c>
      <c r="AV155" s="138">
        <f>+AV152+AV143+AV137+AV154</f>
        <v>-182.50000000000009</v>
      </c>
      <c r="AW155" s="137">
        <f>AS155+AT155+AU155+AV155</f>
        <v>-134.00000000000003</v>
      </c>
      <c r="AX155" s="138">
        <f>+AX152+AX143+AX137+AX154</f>
        <v>13</v>
      </c>
      <c r="AY155" s="138">
        <f>+AY152+AY143+AY137+AY154</f>
        <v>-25</v>
      </c>
      <c r="AZ155" s="138">
        <f>+AZ152+AZ143+AZ137+AZ154</f>
        <v>95</v>
      </c>
      <c r="BA155" s="138">
        <f>+BA152+BA143+BA137+BA154</f>
        <v>150</v>
      </c>
      <c r="BB155" s="137">
        <f>AX155+AY155+AZ155+BA155</f>
        <v>233</v>
      </c>
      <c r="BC155" s="138">
        <f>+BC152+BC143+BC137+BC154</f>
        <v>23</v>
      </c>
      <c r="BD155" s="138">
        <f>+BD152+BD143+BD137+BD154</f>
        <v>-225</v>
      </c>
      <c r="BE155" s="138">
        <f>+BE152+BE143+BE137+BE154</f>
        <v>15</v>
      </c>
      <c r="BF155" s="138">
        <f>+BF152+BF143+BF137+BF154</f>
        <v>120</v>
      </c>
      <c r="BG155" s="137">
        <f>BC155+BD155+BE155+BF155</f>
        <v>-67</v>
      </c>
      <c r="BH155" s="138">
        <f>+BH152+BH143+BH137+BH154</f>
        <v>124</v>
      </c>
      <c r="BI155" s="138">
        <f>+BI152+BI143+BI137+BI154</f>
        <v>-299</v>
      </c>
      <c r="BJ155" s="138">
        <f>+BJ152+BJ143+BJ137+BJ154</f>
        <v>122</v>
      </c>
      <c r="BK155" s="138">
        <f>+BK152+BK143+BK137+BK154</f>
        <v>-54</v>
      </c>
      <c r="BL155" s="137">
        <f>BH155+BI155+BJ155+BK155</f>
        <v>-107</v>
      </c>
      <c r="BM155" s="138">
        <f>+BM152+BM143+BM137+BM154</f>
        <v>196</v>
      </c>
      <c r="BN155" s="138">
        <f>+BN152+BN143+BN137+BN154</f>
        <v>-248</v>
      </c>
      <c r="BO155" s="138">
        <f>+BO152+BO143+BO137+BO154</f>
        <v>-14</v>
      </c>
      <c r="BP155" s="138">
        <f>+BP152+BP143+BP137+BP154</f>
        <v>-14.9</v>
      </c>
      <c r="BQ155" s="137">
        <f>BM155+BN155+BO155+BP155</f>
        <v>-80.900000000000006</v>
      </c>
      <c r="BR155" s="138">
        <f>+BR152+BR143+BR137+BR154</f>
        <v>56</v>
      </c>
      <c r="BS155" s="138">
        <f>+BS152+BS143+BS137+BS154</f>
        <v>-26</v>
      </c>
      <c r="BT155" s="138">
        <f ca="1">+BT152+BT143+BT137+BT154</f>
        <v>-8.5265128291212022E-14</v>
      </c>
      <c r="BU155" s="138">
        <f ca="1">+BU152+BU143+BU137+BU154</f>
        <v>-2.8421709430404007E-13</v>
      </c>
      <c r="BV155" s="137">
        <f ca="1">BR155+BS155+BT155+BU155</f>
        <v>29.999999999999631</v>
      </c>
      <c r="BW155" s="138">
        <f ca="1">+BW152+BW143+BW137+BW154</f>
        <v>9.6633812063373625E-13</v>
      </c>
      <c r="BX155" s="138">
        <f ca="1">+BX152+BX143+BX137+BX154</f>
        <v>-5.6843418860808015E-14</v>
      </c>
      <c r="BY155" s="138">
        <f ca="1">+BY152+BY143+BY137+BY154</f>
        <v>-1.0516032489249483E-12</v>
      </c>
      <c r="BZ155" s="138">
        <f ca="1">+BZ152+BZ143+BZ137+BZ154</f>
        <v>4.5474735088646412E-13</v>
      </c>
      <c r="CA155" s="137">
        <f ca="1">BW155+BX155+BY155+BZ155</f>
        <v>3.1263880373444408E-13</v>
      </c>
      <c r="CB155" s="138">
        <f ca="1">+CB152+CB143+CB137+CB154</f>
        <v>-6.3948846218409017E-13</v>
      </c>
      <c r="CC155" s="138">
        <f ca="1">+CC152+CC143+CC137+CC154</f>
        <v>7.673861546209082E-13</v>
      </c>
      <c r="CD155" s="138">
        <f ca="1">+CD152+CD143+CD137+CD154</f>
        <v>1.1652900866465643E-12</v>
      </c>
      <c r="CE155" s="138">
        <f ca="1">+CE152+CE143+CE137+CE154</f>
        <v>4.5474735088646412E-13</v>
      </c>
      <c r="CF155" s="137">
        <f ca="1">CB155+CC155+CD155+CE155</f>
        <v>1.7479351299698465E-12</v>
      </c>
      <c r="CG155" s="138">
        <f ca="1">+CG152+CG143+CG137+CG154</f>
        <v>-4.5474735088646412E-13</v>
      </c>
      <c r="CH155" s="138">
        <f ca="1">+CH152+CH143+CH137+CH154</f>
        <v>2.5579538487363607E-13</v>
      </c>
      <c r="CI155" s="138">
        <f ca="1">+CI152+CI143+CI137+CI154</f>
        <v>8.5265128291212022E-14</v>
      </c>
      <c r="CJ155" s="138">
        <f ca="1">+CJ152+CJ143+CJ137+CJ154</f>
        <v>-1.3642420526593924E-12</v>
      </c>
      <c r="CK155" s="137">
        <f ca="1">CG155+CH155+CI155+CJ155</f>
        <v>-1.4779288903810084E-12</v>
      </c>
      <c r="CL155" s="138">
        <f ca="1">+CL152+CL143+CL137+CL154</f>
        <v>9.3791641120333225E-13</v>
      </c>
      <c r="CM155" s="138">
        <f ca="1">+CM152+CM143+CM137+CM154</f>
        <v>4.2632564145606011E-13</v>
      </c>
      <c r="CN155" s="138">
        <f ca="1">+CN152+CN143+CN137+CN154</f>
        <v>0</v>
      </c>
      <c r="CO155" s="138">
        <f ca="1">+CO152+CO143+CO137+CO154</f>
        <v>-4.5474735088646412E-13</v>
      </c>
      <c r="CP155" s="137">
        <f ca="1">CL155+CM155+CN155+CO155</f>
        <v>9.0949470177292824E-13</v>
      </c>
    </row>
    <row r="156" spans="1:109" x14ac:dyDescent="0.25">
      <c r="A156" s="52" t="s">
        <v>84</v>
      </c>
      <c r="C156" s="189">
        <v>116</v>
      </c>
      <c r="D156" s="189">
        <f>+C157</f>
        <v>72</v>
      </c>
      <c r="E156" s="190">
        <f>+D157</f>
        <v>68</v>
      </c>
      <c r="F156" s="190">
        <f>+E157</f>
        <v>84</v>
      </c>
      <c r="G156" s="190">
        <f>+F157</f>
        <v>85.8</v>
      </c>
      <c r="H156" s="190">
        <f>+G157</f>
        <v>289.5</v>
      </c>
      <c r="I156" s="189">
        <f>+D157</f>
        <v>68</v>
      </c>
      <c r="J156" s="190">
        <v>294.89999999999998</v>
      </c>
      <c r="K156" s="190">
        <f>+J157</f>
        <v>265.29999999999995</v>
      </c>
      <c r="L156" s="190">
        <f>+K157</f>
        <v>451.9</v>
      </c>
      <c r="M156" s="190">
        <f>+L157</f>
        <v>366.2</v>
      </c>
      <c r="N156" s="189">
        <f>+J156</f>
        <v>294.89999999999998</v>
      </c>
      <c r="O156" s="190">
        <f>+N157</f>
        <v>474.9</v>
      </c>
      <c r="P156" s="190">
        <f>+O157</f>
        <v>219.99999999999997</v>
      </c>
      <c r="Q156" s="190">
        <f>+P157</f>
        <v>222.7</v>
      </c>
      <c r="R156" s="190">
        <f>+Q157</f>
        <v>253.99999999999989</v>
      </c>
      <c r="S156" s="189">
        <f>+N157</f>
        <v>474.9</v>
      </c>
      <c r="T156" s="190">
        <f>+S157</f>
        <v>282.89999999999998</v>
      </c>
      <c r="U156" s="190">
        <f>+T157</f>
        <v>179.89999999999998</v>
      </c>
      <c r="V156" s="190">
        <f>+U157</f>
        <v>192.79999999999998</v>
      </c>
      <c r="W156" s="190">
        <f>+V157</f>
        <v>136.69999999999999</v>
      </c>
      <c r="X156" s="189">
        <f>+S157</f>
        <v>282.89999999999998</v>
      </c>
      <c r="Y156" s="190">
        <f>+X157</f>
        <v>118.89999999999995</v>
      </c>
      <c r="Z156" s="190">
        <f>+Y157</f>
        <v>160.19999999999993</v>
      </c>
      <c r="AA156" s="190">
        <f>+Z157</f>
        <v>326.79999999999995</v>
      </c>
      <c r="AB156" s="190">
        <f>+AA157</f>
        <v>334.69999999999993</v>
      </c>
      <c r="AC156" s="189">
        <f>+X157</f>
        <v>118.89999999999995</v>
      </c>
      <c r="AD156" s="190">
        <f>+AC157</f>
        <v>339.9</v>
      </c>
      <c r="AE156" s="190">
        <f>+AD157</f>
        <v>286.29999999999995</v>
      </c>
      <c r="AF156" s="190">
        <f>+AE157</f>
        <v>289.09999999999997</v>
      </c>
      <c r="AG156" s="190">
        <f>+AF157</f>
        <v>241.49999999999994</v>
      </c>
      <c r="AH156" s="189">
        <f>+AC157</f>
        <v>339.9</v>
      </c>
      <c r="AI156" s="190">
        <f>+AH157</f>
        <v>231.89999999999998</v>
      </c>
      <c r="AJ156" s="190">
        <f>+AI157</f>
        <v>261.09999999999997</v>
      </c>
      <c r="AK156" s="190">
        <f>+AJ157</f>
        <v>155.99999999999994</v>
      </c>
      <c r="AL156" s="190">
        <f>+AK157</f>
        <v>278.89999999999986</v>
      </c>
      <c r="AM156" s="189">
        <f>+AH157</f>
        <v>231.89999999999998</v>
      </c>
      <c r="AN156" s="190">
        <f>+AM157</f>
        <v>566.9</v>
      </c>
      <c r="AO156" s="190">
        <f>+AN157</f>
        <v>552.29999999999995</v>
      </c>
      <c r="AP156" s="190">
        <f>+AO157</f>
        <v>379.9</v>
      </c>
      <c r="AQ156" s="190">
        <f>+AP157</f>
        <v>494.69999999999993</v>
      </c>
      <c r="AR156" s="189">
        <f>+AM157</f>
        <v>566.9</v>
      </c>
      <c r="AS156" s="190">
        <f>+AR157</f>
        <v>337.89999999999992</v>
      </c>
      <c r="AT156" s="190">
        <f>+AS157</f>
        <v>361.09999999999991</v>
      </c>
      <c r="AU156" s="190">
        <f>+AT157</f>
        <v>368.09999999999991</v>
      </c>
      <c r="AV156" s="190">
        <f>+AU157</f>
        <v>386.4</v>
      </c>
      <c r="AW156" s="189">
        <f>+AR157</f>
        <v>337.89999999999992</v>
      </c>
      <c r="AX156" s="190">
        <f>+AW157</f>
        <v>203.89999999999989</v>
      </c>
      <c r="AY156" s="190">
        <f>+AX157</f>
        <v>216.89999999999989</v>
      </c>
      <c r="AZ156" s="190">
        <f>+AY157</f>
        <v>191.89999999999989</v>
      </c>
      <c r="BA156" s="190">
        <f>+AZ157</f>
        <v>286.89999999999986</v>
      </c>
      <c r="BB156" s="189">
        <f>+AW157</f>
        <v>203.89999999999989</v>
      </c>
      <c r="BC156" s="190">
        <f>+BB157</f>
        <v>436.89999999999986</v>
      </c>
      <c r="BD156" s="190">
        <f>+BC157</f>
        <v>459.89999999999986</v>
      </c>
      <c r="BE156" s="190">
        <f>+BD157</f>
        <v>234.89999999999986</v>
      </c>
      <c r="BF156" s="190">
        <f>+BE157</f>
        <v>249.89999999999986</v>
      </c>
      <c r="BG156" s="189">
        <f>+BB157</f>
        <v>436.89999999999986</v>
      </c>
      <c r="BH156" s="190">
        <f>+BG157</f>
        <v>369.89999999999986</v>
      </c>
      <c r="BI156" s="190">
        <f>+BH157</f>
        <v>493.89999999999986</v>
      </c>
      <c r="BJ156" s="190">
        <f>+BI157</f>
        <v>194.89999999999986</v>
      </c>
      <c r="BK156" s="190">
        <f>+BJ157</f>
        <v>316.89999999999986</v>
      </c>
      <c r="BL156" s="189">
        <f>+BG157</f>
        <v>369.89999999999986</v>
      </c>
      <c r="BM156" s="190">
        <f>+BL157</f>
        <v>262.89999999999986</v>
      </c>
      <c r="BN156" s="190">
        <f>+BM157</f>
        <v>458.89999999999986</v>
      </c>
      <c r="BO156" s="190">
        <f>+BN157</f>
        <v>210.89999999999986</v>
      </c>
      <c r="BP156" s="190">
        <f>+BO157</f>
        <v>196.89999999999986</v>
      </c>
      <c r="BQ156" s="189">
        <f>+BL157</f>
        <v>262.89999999999986</v>
      </c>
      <c r="BR156" s="190">
        <f>+BQ157</f>
        <v>181.99999999999986</v>
      </c>
      <c r="BS156" s="190">
        <f>+BR157</f>
        <v>237.99999999999986</v>
      </c>
      <c r="BT156" s="190">
        <f>+BS157</f>
        <v>211.99999999999986</v>
      </c>
      <c r="BU156" s="190">
        <f ca="1">+BT157</f>
        <v>211.99999999999977</v>
      </c>
      <c r="BV156" s="189">
        <f>+BQ157</f>
        <v>181.99999999999986</v>
      </c>
      <c r="BW156" s="190">
        <f ca="1">+BV157</f>
        <v>211.99999999999949</v>
      </c>
      <c r="BX156" s="190">
        <f ca="1">+BW157</f>
        <v>212.00000000000045</v>
      </c>
      <c r="BY156" s="190">
        <f ca="1">+BX157</f>
        <v>212.0000000000004</v>
      </c>
      <c r="BZ156" s="190">
        <f ca="1">+BY157</f>
        <v>211.99999999999935</v>
      </c>
      <c r="CA156" s="189">
        <f ca="1">+BV157</f>
        <v>211.99999999999949</v>
      </c>
      <c r="CB156" s="190">
        <f ca="1">+CA157</f>
        <v>211.9999999999998</v>
      </c>
      <c r="CC156" s="190">
        <f ca="1">+CB157</f>
        <v>211.99999999999915</v>
      </c>
      <c r="CD156" s="190">
        <f ca="1">+CC157</f>
        <v>211.99999999999991</v>
      </c>
      <c r="CE156" s="190">
        <f ca="1">+CD157</f>
        <v>212.00000000000108</v>
      </c>
      <c r="CF156" s="189">
        <f ca="1">+CA157</f>
        <v>211.9999999999998</v>
      </c>
      <c r="CG156" s="190">
        <f ca="1">+CF157</f>
        <v>212.00000000000153</v>
      </c>
      <c r="CH156" s="190">
        <f ca="1">+CG157</f>
        <v>212.00000000000108</v>
      </c>
      <c r="CI156" s="190">
        <f ca="1">+CH157</f>
        <v>212.00000000000134</v>
      </c>
      <c r="CJ156" s="190">
        <f ca="1">+CI157</f>
        <v>212.00000000000142</v>
      </c>
      <c r="CK156" s="189">
        <f ca="1">+CF157</f>
        <v>212.00000000000153</v>
      </c>
      <c r="CL156" s="190">
        <f ca="1">+CK157</f>
        <v>212.00000000000006</v>
      </c>
      <c r="CM156" s="190">
        <f ca="1">+CL157</f>
        <v>212.00000000000099</v>
      </c>
      <c r="CN156" s="190">
        <f ca="1">+CM157</f>
        <v>212.00000000000142</v>
      </c>
      <c r="CO156" s="190">
        <f ca="1">+CN157</f>
        <v>212.00000000000142</v>
      </c>
      <c r="CP156" s="189">
        <f ca="1">+CK157</f>
        <v>212.00000000000006</v>
      </c>
    </row>
    <row r="157" spans="1:109" s="38" customFormat="1" x14ac:dyDescent="0.25">
      <c r="A157" s="38" t="s">
        <v>85</v>
      </c>
      <c r="C157" s="144">
        <f>+C156+C155</f>
        <v>72</v>
      </c>
      <c r="D157" s="144">
        <v>68</v>
      </c>
      <c r="E157" s="145">
        <f>E82</f>
        <v>84</v>
      </c>
      <c r="F157" s="145">
        <f>F82</f>
        <v>85.8</v>
      </c>
      <c r="G157" s="145">
        <f>G82</f>
        <v>289.5</v>
      </c>
      <c r="H157" s="145">
        <f>H82</f>
        <v>294.89999999999998</v>
      </c>
      <c r="I157" s="144">
        <f>I82</f>
        <v>294.89999999999998</v>
      </c>
      <c r="J157" s="145">
        <f t="shared" ref="J157:AH157" si="212">+J156+J155</f>
        <v>265.29999999999995</v>
      </c>
      <c r="K157" s="145">
        <f t="shared" si="212"/>
        <v>451.9</v>
      </c>
      <c r="L157" s="145">
        <f t="shared" si="212"/>
        <v>366.2</v>
      </c>
      <c r="M157" s="145">
        <f t="shared" si="212"/>
        <v>474.9</v>
      </c>
      <c r="N157" s="144">
        <f t="shared" si="212"/>
        <v>474.9</v>
      </c>
      <c r="O157" s="145">
        <f t="shared" si="212"/>
        <v>219.99999999999997</v>
      </c>
      <c r="P157" s="145">
        <f t="shared" si="212"/>
        <v>222.7</v>
      </c>
      <c r="Q157" s="145">
        <f t="shared" si="212"/>
        <v>253.99999999999989</v>
      </c>
      <c r="R157" s="145">
        <f t="shared" si="212"/>
        <v>282.89999999999992</v>
      </c>
      <c r="S157" s="144">
        <f t="shared" si="212"/>
        <v>282.89999999999998</v>
      </c>
      <c r="T157" s="145">
        <f>+T156+T155</f>
        <v>179.89999999999998</v>
      </c>
      <c r="U157" s="145">
        <f>+U156+U155</f>
        <v>192.79999999999998</v>
      </c>
      <c r="V157" s="145">
        <f>+V156+V155</f>
        <v>136.69999999999999</v>
      </c>
      <c r="W157" s="145">
        <f t="shared" si="212"/>
        <v>118.89999999999995</v>
      </c>
      <c r="X157" s="144">
        <f t="shared" si="212"/>
        <v>118.89999999999995</v>
      </c>
      <c r="Y157" s="145">
        <f t="shared" si="212"/>
        <v>160.19999999999993</v>
      </c>
      <c r="Z157" s="145">
        <f t="shared" si="212"/>
        <v>326.79999999999995</v>
      </c>
      <c r="AA157" s="145">
        <f t="shared" si="212"/>
        <v>334.69999999999993</v>
      </c>
      <c r="AB157" s="145">
        <f t="shared" si="212"/>
        <v>339.9</v>
      </c>
      <c r="AC157" s="144">
        <f t="shared" si="212"/>
        <v>339.9</v>
      </c>
      <c r="AD157" s="145">
        <f t="shared" si="212"/>
        <v>286.29999999999995</v>
      </c>
      <c r="AE157" s="145">
        <f t="shared" si="212"/>
        <v>289.09999999999997</v>
      </c>
      <c r="AF157" s="145">
        <f t="shared" si="212"/>
        <v>241.49999999999994</v>
      </c>
      <c r="AG157" s="145">
        <f t="shared" si="212"/>
        <v>231.89999999999998</v>
      </c>
      <c r="AH157" s="144">
        <f t="shared" si="212"/>
        <v>231.89999999999998</v>
      </c>
      <c r="AI157" s="145">
        <f t="shared" ref="AI157:AU157" si="213">+AI156+AI155</f>
        <v>261.09999999999997</v>
      </c>
      <c r="AJ157" s="145">
        <f t="shared" si="213"/>
        <v>155.99999999999994</v>
      </c>
      <c r="AK157" s="145">
        <f t="shared" si="213"/>
        <v>278.89999999999986</v>
      </c>
      <c r="AL157" s="145">
        <f t="shared" si="213"/>
        <v>566.89999999999986</v>
      </c>
      <c r="AM157" s="144">
        <f t="shared" si="213"/>
        <v>566.9</v>
      </c>
      <c r="AN157" s="145">
        <f t="shared" si="213"/>
        <v>552.29999999999995</v>
      </c>
      <c r="AO157" s="145">
        <f t="shared" si="213"/>
        <v>379.9</v>
      </c>
      <c r="AP157" s="145">
        <f t="shared" si="213"/>
        <v>494.69999999999993</v>
      </c>
      <c r="AQ157" s="145">
        <f t="shared" si="213"/>
        <v>337.89999999999986</v>
      </c>
      <c r="AR157" s="144">
        <f t="shared" si="213"/>
        <v>337.89999999999992</v>
      </c>
      <c r="AS157" s="145">
        <f t="shared" si="213"/>
        <v>361.09999999999991</v>
      </c>
      <c r="AT157" s="145">
        <f t="shared" si="213"/>
        <v>368.09999999999991</v>
      </c>
      <c r="AU157" s="145">
        <f t="shared" si="213"/>
        <v>386.4</v>
      </c>
      <c r="AV157" s="145">
        <f t="shared" ref="AV157:CP157" si="214">+AV156+AV155</f>
        <v>203.89999999999989</v>
      </c>
      <c r="AW157" s="144">
        <f t="shared" si="214"/>
        <v>203.89999999999989</v>
      </c>
      <c r="AX157" s="145">
        <f t="shared" si="214"/>
        <v>216.89999999999989</v>
      </c>
      <c r="AY157" s="145">
        <f t="shared" si="214"/>
        <v>191.89999999999989</v>
      </c>
      <c r="AZ157" s="145">
        <f t="shared" si="214"/>
        <v>286.89999999999986</v>
      </c>
      <c r="BA157" s="145">
        <f t="shared" si="214"/>
        <v>436.89999999999986</v>
      </c>
      <c r="BB157" s="144">
        <f t="shared" si="214"/>
        <v>436.89999999999986</v>
      </c>
      <c r="BC157" s="145">
        <f>+BC156+BC155</f>
        <v>459.89999999999986</v>
      </c>
      <c r="BD157" s="145">
        <f t="shared" si="214"/>
        <v>234.89999999999986</v>
      </c>
      <c r="BE157" s="145">
        <f t="shared" si="214"/>
        <v>249.89999999999986</v>
      </c>
      <c r="BF157" s="145">
        <f>+BF156+BF155</f>
        <v>369.89999999999986</v>
      </c>
      <c r="BG157" s="144">
        <f t="shared" si="214"/>
        <v>369.89999999999986</v>
      </c>
      <c r="BH157" s="145">
        <f t="shared" ref="BH157:BM157" si="215">+BH156+BH155</f>
        <v>493.89999999999986</v>
      </c>
      <c r="BI157" s="145">
        <f t="shared" si="215"/>
        <v>194.89999999999986</v>
      </c>
      <c r="BJ157" s="145">
        <f t="shared" si="215"/>
        <v>316.89999999999986</v>
      </c>
      <c r="BK157" s="145">
        <f t="shared" si="215"/>
        <v>262.89999999999986</v>
      </c>
      <c r="BL157" s="144">
        <f t="shared" si="215"/>
        <v>262.89999999999986</v>
      </c>
      <c r="BM157" s="145">
        <f t="shared" si="215"/>
        <v>458.89999999999986</v>
      </c>
      <c r="BN157" s="145">
        <f t="shared" si="214"/>
        <v>210.89999999999986</v>
      </c>
      <c r="BO157" s="145">
        <f t="shared" si="214"/>
        <v>196.89999999999986</v>
      </c>
      <c r="BP157" s="145">
        <f t="shared" si="214"/>
        <v>181.99999999999986</v>
      </c>
      <c r="BQ157" s="144">
        <f t="shared" si="214"/>
        <v>181.99999999999986</v>
      </c>
      <c r="BR157" s="145">
        <f t="shared" si="214"/>
        <v>237.99999999999986</v>
      </c>
      <c r="BS157" s="145">
        <f t="shared" si="214"/>
        <v>211.99999999999986</v>
      </c>
      <c r="BT157" s="145">
        <f t="shared" ca="1" si="214"/>
        <v>211.99999999999977</v>
      </c>
      <c r="BU157" s="145">
        <f t="shared" ca="1" si="214"/>
        <v>211.99999999999949</v>
      </c>
      <c r="BV157" s="144">
        <f t="shared" ca="1" si="214"/>
        <v>211.99999999999949</v>
      </c>
      <c r="BW157" s="145">
        <f t="shared" ca="1" si="214"/>
        <v>212.00000000000045</v>
      </c>
      <c r="BX157" s="145">
        <f t="shared" ca="1" si="214"/>
        <v>212.0000000000004</v>
      </c>
      <c r="BY157" s="145">
        <f t="shared" ca="1" si="214"/>
        <v>211.99999999999935</v>
      </c>
      <c r="BZ157" s="145">
        <f t="shared" ca="1" si="214"/>
        <v>211.9999999999998</v>
      </c>
      <c r="CA157" s="144">
        <f t="shared" ca="1" si="214"/>
        <v>211.9999999999998</v>
      </c>
      <c r="CB157" s="145">
        <f t="shared" ca="1" si="214"/>
        <v>211.99999999999915</v>
      </c>
      <c r="CC157" s="145">
        <f t="shared" ca="1" si="214"/>
        <v>211.99999999999991</v>
      </c>
      <c r="CD157" s="145">
        <f t="shared" ca="1" si="214"/>
        <v>212.00000000000108</v>
      </c>
      <c r="CE157" s="145">
        <f t="shared" ca="1" si="214"/>
        <v>212.00000000000153</v>
      </c>
      <c r="CF157" s="144">
        <f t="shared" ca="1" si="214"/>
        <v>212.00000000000153</v>
      </c>
      <c r="CG157" s="145">
        <f t="shared" ca="1" si="214"/>
        <v>212.00000000000108</v>
      </c>
      <c r="CH157" s="145">
        <f t="shared" ca="1" si="214"/>
        <v>212.00000000000134</v>
      </c>
      <c r="CI157" s="145">
        <f t="shared" ca="1" si="214"/>
        <v>212.00000000000142</v>
      </c>
      <c r="CJ157" s="145">
        <f t="shared" ca="1" si="214"/>
        <v>212.00000000000006</v>
      </c>
      <c r="CK157" s="144">
        <f t="shared" ca="1" si="214"/>
        <v>212.00000000000006</v>
      </c>
      <c r="CL157" s="145">
        <f t="shared" ca="1" si="214"/>
        <v>212.00000000000099</v>
      </c>
      <c r="CM157" s="145">
        <f t="shared" ca="1" si="214"/>
        <v>212.00000000000142</v>
      </c>
      <c r="CN157" s="145">
        <f t="shared" ca="1" si="214"/>
        <v>212.00000000000142</v>
      </c>
      <c r="CO157" s="145">
        <f t="shared" ca="1" si="214"/>
        <v>212.00000000000097</v>
      </c>
      <c r="CP157" s="144">
        <f t="shared" ca="1" si="214"/>
        <v>212.00000000000097</v>
      </c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</row>
    <row r="158" spans="1:109" x14ac:dyDescent="0.25">
      <c r="C158" s="202"/>
      <c r="D158" s="202"/>
      <c r="E158" s="203"/>
      <c r="F158" s="101"/>
      <c r="G158" s="101"/>
      <c r="H158" s="101"/>
      <c r="I158" s="202"/>
      <c r="J158" s="204" t="str">
        <f t="shared" ref="J158:AO158" si="216">IF(ROUND((J157-J82-J81),0)=0,"OK","Not OK")</f>
        <v>OK</v>
      </c>
      <c r="K158" s="205" t="str">
        <f t="shared" si="216"/>
        <v>OK</v>
      </c>
      <c r="L158" s="205" t="str">
        <f t="shared" si="216"/>
        <v>OK</v>
      </c>
      <c r="M158" s="205" t="str">
        <f t="shared" si="216"/>
        <v>OK</v>
      </c>
      <c r="N158" s="206" t="str">
        <f t="shared" si="216"/>
        <v>OK</v>
      </c>
      <c r="O158" s="204" t="str">
        <f t="shared" si="216"/>
        <v>OK</v>
      </c>
      <c r="P158" s="205" t="str">
        <f t="shared" si="216"/>
        <v>OK</v>
      </c>
      <c r="Q158" s="205" t="str">
        <f t="shared" si="216"/>
        <v>OK</v>
      </c>
      <c r="R158" s="205" t="str">
        <f t="shared" si="216"/>
        <v>OK</v>
      </c>
      <c r="S158" s="206" t="str">
        <f t="shared" si="216"/>
        <v>OK</v>
      </c>
      <c r="T158" s="204" t="str">
        <f t="shared" si="216"/>
        <v>OK</v>
      </c>
      <c r="U158" s="205" t="str">
        <f t="shared" si="216"/>
        <v>OK</v>
      </c>
      <c r="V158" s="205" t="str">
        <f t="shared" si="216"/>
        <v>OK</v>
      </c>
      <c r="W158" s="205" t="str">
        <f t="shared" si="216"/>
        <v>OK</v>
      </c>
      <c r="X158" s="206" t="str">
        <f t="shared" si="216"/>
        <v>OK</v>
      </c>
      <c r="Y158" s="204" t="str">
        <f t="shared" si="216"/>
        <v>OK</v>
      </c>
      <c r="Z158" s="205" t="str">
        <f t="shared" si="216"/>
        <v>OK</v>
      </c>
      <c r="AA158" s="205" t="str">
        <f t="shared" si="216"/>
        <v>OK</v>
      </c>
      <c r="AB158" s="205" t="str">
        <f t="shared" si="216"/>
        <v>OK</v>
      </c>
      <c r="AC158" s="206" t="str">
        <f t="shared" si="216"/>
        <v>OK</v>
      </c>
      <c r="AD158" s="205" t="str">
        <f t="shared" si="216"/>
        <v>OK</v>
      </c>
      <c r="AE158" s="205" t="str">
        <f t="shared" si="216"/>
        <v>OK</v>
      </c>
      <c r="AF158" s="205" t="str">
        <f t="shared" si="216"/>
        <v>OK</v>
      </c>
      <c r="AG158" s="205" t="str">
        <f t="shared" si="216"/>
        <v>OK</v>
      </c>
      <c r="AH158" s="206" t="str">
        <f t="shared" si="216"/>
        <v>OK</v>
      </c>
      <c r="AI158" s="205" t="str">
        <f t="shared" si="216"/>
        <v>OK</v>
      </c>
      <c r="AJ158" s="205" t="str">
        <f t="shared" si="216"/>
        <v>OK</v>
      </c>
      <c r="AK158" s="205" t="str">
        <f>IF(ROUND((AK157-AK82-AK81),0)=0,"OK","Not OK")</f>
        <v>OK</v>
      </c>
      <c r="AL158" s="205" t="str">
        <f t="shared" si="216"/>
        <v>OK</v>
      </c>
      <c r="AM158" s="206" t="str">
        <f t="shared" si="216"/>
        <v>OK</v>
      </c>
      <c r="AN158" s="205" t="str">
        <f t="shared" si="216"/>
        <v>OK</v>
      </c>
      <c r="AO158" s="205" t="str">
        <f t="shared" si="216"/>
        <v>OK</v>
      </c>
      <c r="AP158" s="205" t="str">
        <f t="shared" ref="AP158:BU158" si="217">IF(ROUND((AP157-AP82-AP81),0)=0,"OK","Not OK")</f>
        <v>OK</v>
      </c>
      <c r="AQ158" s="205" t="str">
        <f t="shared" si="217"/>
        <v>OK</v>
      </c>
      <c r="AR158" s="206" t="str">
        <f t="shared" si="217"/>
        <v>OK</v>
      </c>
      <c r="AS158" s="205" t="str">
        <f t="shared" si="217"/>
        <v>OK</v>
      </c>
      <c r="AT158" s="205" t="str">
        <f t="shared" si="217"/>
        <v>OK</v>
      </c>
      <c r="AU158" s="205" t="str">
        <f t="shared" si="217"/>
        <v>OK</v>
      </c>
      <c r="AV158" s="205" t="str">
        <f t="shared" si="217"/>
        <v>OK</v>
      </c>
      <c r="AW158" s="206" t="str">
        <f t="shared" si="217"/>
        <v>OK</v>
      </c>
      <c r="AX158" s="205" t="str">
        <f t="shared" si="217"/>
        <v>OK</v>
      </c>
      <c r="AY158" s="205" t="str">
        <f t="shared" si="217"/>
        <v>OK</v>
      </c>
      <c r="AZ158" s="205" t="str">
        <f t="shared" si="217"/>
        <v>OK</v>
      </c>
      <c r="BA158" s="205" t="str">
        <f t="shared" si="217"/>
        <v>OK</v>
      </c>
      <c r="BB158" s="206" t="str">
        <f t="shared" si="217"/>
        <v>OK</v>
      </c>
      <c r="BC158" s="205" t="str">
        <f t="shared" si="217"/>
        <v>OK</v>
      </c>
      <c r="BD158" s="205" t="str">
        <f t="shared" si="217"/>
        <v>OK</v>
      </c>
      <c r="BE158" s="205" t="str">
        <f t="shared" si="217"/>
        <v>OK</v>
      </c>
      <c r="BF158" s="205" t="str">
        <f>IF(ROUND((BF157-BF82-BF81),0)=0,"OK","Not OK")</f>
        <v>OK</v>
      </c>
      <c r="BG158" s="206" t="str">
        <f t="shared" si="217"/>
        <v>OK</v>
      </c>
      <c r="BH158" s="205" t="str">
        <f>IF(ROUND((BH157-BH82-BH81),0)=0,"OK","Not OK")</f>
        <v>OK</v>
      </c>
      <c r="BI158" s="205" t="str">
        <f>IF(ROUND((BI157-BI82-BI81),0)=0,"OK","Not OK")</f>
        <v>OK</v>
      </c>
      <c r="BJ158" s="205" t="str">
        <f t="shared" si="217"/>
        <v>OK</v>
      </c>
      <c r="BK158" s="205" t="str">
        <f t="shared" si="217"/>
        <v>OK</v>
      </c>
      <c r="BL158" s="206" t="str">
        <f t="shared" si="217"/>
        <v>OK</v>
      </c>
      <c r="BM158" s="205" t="str">
        <f>IF(ROUND((BM157-BM82-BM81),0)=0,"OK","Not OK")</f>
        <v>OK</v>
      </c>
      <c r="BN158" s="205" t="str">
        <f t="shared" si="217"/>
        <v>OK</v>
      </c>
      <c r="BO158" s="205" t="str">
        <f t="shared" si="217"/>
        <v>OK</v>
      </c>
      <c r="BP158" s="205" t="str">
        <f t="shared" si="217"/>
        <v>OK</v>
      </c>
      <c r="BQ158" s="206" t="str">
        <f t="shared" si="217"/>
        <v>OK</v>
      </c>
      <c r="BR158" s="205" t="str">
        <f t="shared" si="217"/>
        <v>OK</v>
      </c>
      <c r="BS158" s="205" t="str">
        <f t="shared" si="217"/>
        <v>OK</v>
      </c>
      <c r="BT158" s="205" t="str">
        <f t="shared" ca="1" si="217"/>
        <v>OK</v>
      </c>
      <c r="BU158" s="205" t="str">
        <f t="shared" ca="1" si="217"/>
        <v>OK</v>
      </c>
      <c r="BV158" s="206" t="str">
        <f t="shared" ref="BV158:CP158" ca="1" si="218">IF(ROUND((BV157-BV82-BV81),0)=0,"OK","Not OK")</f>
        <v>OK</v>
      </c>
      <c r="BW158" s="205" t="str">
        <f t="shared" ca="1" si="218"/>
        <v>OK</v>
      </c>
      <c r="BX158" s="205" t="str">
        <f t="shared" ca="1" si="218"/>
        <v>OK</v>
      </c>
      <c r="BY158" s="205" t="str">
        <f t="shared" ca="1" si="218"/>
        <v>OK</v>
      </c>
      <c r="BZ158" s="205" t="str">
        <f t="shared" ca="1" si="218"/>
        <v>OK</v>
      </c>
      <c r="CA158" s="206" t="str">
        <f t="shared" ca="1" si="218"/>
        <v>OK</v>
      </c>
      <c r="CB158" s="205" t="str">
        <f t="shared" ca="1" si="218"/>
        <v>OK</v>
      </c>
      <c r="CC158" s="205" t="str">
        <f t="shared" ca="1" si="218"/>
        <v>OK</v>
      </c>
      <c r="CD158" s="205" t="str">
        <f t="shared" ca="1" si="218"/>
        <v>OK</v>
      </c>
      <c r="CE158" s="205" t="str">
        <f t="shared" ca="1" si="218"/>
        <v>OK</v>
      </c>
      <c r="CF158" s="206" t="str">
        <f t="shared" ca="1" si="218"/>
        <v>OK</v>
      </c>
      <c r="CG158" s="205" t="str">
        <f t="shared" ca="1" si="218"/>
        <v>OK</v>
      </c>
      <c r="CH158" s="205" t="str">
        <f t="shared" ca="1" si="218"/>
        <v>OK</v>
      </c>
      <c r="CI158" s="205" t="str">
        <f t="shared" ca="1" si="218"/>
        <v>OK</v>
      </c>
      <c r="CJ158" s="205" t="str">
        <f t="shared" ca="1" si="218"/>
        <v>OK</v>
      </c>
      <c r="CK158" s="206" t="str">
        <f t="shared" ca="1" si="218"/>
        <v>OK</v>
      </c>
      <c r="CL158" s="205" t="str">
        <f t="shared" ca="1" si="218"/>
        <v>OK</v>
      </c>
      <c r="CM158" s="205" t="str">
        <f t="shared" ca="1" si="218"/>
        <v>OK</v>
      </c>
      <c r="CN158" s="205" t="str">
        <f t="shared" ca="1" si="218"/>
        <v>OK</v>
      </c>
      <c r="CO158" s="205" t="str">
        <f t="shared" ca="1" si="218"/>
        <v>OK</v>
      </c>
      <c r="CP158" s="206" t="str">
        <f t="shared" ca="1" si="218"/>
        <v>OK</v>
      </c>
    </row>
    <row r="159" spans="1:109" x14ac:dyDescent="0.25">
      <c r="A159" s="52" t="s">
        <v>86</v>
      </c>
      <c r="C159" s="207"/>
      <c r="D159" s="207"/>
      <c r="E159" s="200"/>
      <c r="F159" s="200"/>
      <c r="G159" s="200"/>
      <c r="H159" s="200"/>
      <c r="I159" s="207"/>
      <c r="J159" s="200"/>
      <c r="K159" s="200"/>
      <c r="L159" s="200"/>
      <c r="M159" s="200"/>
      <c r="N159" s="207"/>
      <c r="O159" s="200"/>
      <c r="P159" s="200"/>
      <c r="Q159" s="200"/>
      <c r="R159" s="200"/>
      <c r="S159" s="207"/>
      <c r="T159" s="200"/>
      <c r="U159" s="200"/>
      <c r="V159" s="200"/>
      <c r="W159" s="200"/>
      <c r="X159" s="207"/>
      <c r="Y159" s="200"/>
      <c r="Z159" s="200"/>
      <c r="AA159" s="200"/>
      <c r="AB159" s="200"/>
      <c r="AC159" s="207"/>
      <c r="AD159" s="200"/>
      <c r="AE159" s="200"/>
      <c r="AF159" s="200"/>
      <c r="AG159" s="200"/>
      <c r="AH159" s="207"/>
      <c r="AI159" s="200"/>
      <c r="AJ159" s="200"/>
      <c r="AK159" s="200"/>
      <c r="AL159" s="200"/>
      <c r="AM159" s="207"/>
      <c r="AN159" s="200"/>
      <c r="AO159" s="200"/>
      <c r="AP159" s="200"/>
      <c r="AQ159" s="200"/>
      <c r="AR159" s="207"/>
      <c r="AS159" s="200"/>
      <c r="AT159" s="200"/>
      <c r="AU159" s="200"/>
      <c r="AV159" s="200"/>
      <c r="AW159" s="207"/>
      <c r="AX159" s="200"/>
      <c r="AY159" s="200"/>
      <c r="AZ159" s="200"/>
      <c r="BA159" s="200"/>
      <c r="BB159" s="207"/>
      <c r="BC159" s="200"/>
      <c r="BD159" s="200"/>
      <c r="BE159" s="200"/>
      <c r="BF159" s="200"/>
      <c r="BG159" s="207"/>
      <c r="BH159" s="200"/>
      <c r="BI159" s="200"/>
      <c r="BJ159" s="200"/>
      <c r="BK159" s="200"/>
      <c r="BL159" s="207"/>
      <c r="BM159" s="200"/>
      <c r="BN159" s="105"/>
      <c r="BO159" s="105"/>
      <c r="BP159" s="138"/>
      <c r="BQ159" s="207"/>
      <c r="BR159" s="200"/>
      <c r="BS159" s="200"/>
      <c r="BT159" s="200"/>
      <c r="BU159" s="200"/>
      <c r="BV159" s="207"/>
      <c r="BW159" s="200"/>
      <c r="BX159" s="200"/>
      <c r="BY159" s="200"/>
      <c r="BZ159" s="200"/>
      <c r="CA159" s="207"/>
      <c r="CB159" s="200"/>
      <c r="CC159" s="200"/>
      <c r="CD159" s="200"/>
      <c r="CE159" s="200"/>
      <c r="CF159" s="207"/>
      <c r="CG159" s="200"/>
      <c r="CH159" s="200"/>
      <c r="CI159" s="200"/>
      <c r="CJ159" s="200"/>
      <c r="CK159" s="207"/>
      <c r="CL159" s="200"/>
      <c r="CM159" s="200"/>
      <c r="CN159" s="200"/>
      <c r="CO159" s="200"/>
      <c r="CP159" s="207"/>
    </row>
    <row r="160" spans="1:109" x14ac:dyDescent="0.25">
      <c r="C160" s="137"/>
      <c r="D160" s="137"/>
      <c r="E160" s="138"/>
      <c r="F160" s="138"/>
      <c r="G160" s="138"/>
      <c r="H160" s="138"/>
      <c r="I160" s="137"/>
      <c r="J160" s="138"/>
      <c r="K160" s="138"/>
      <c r="L160" s="138"/>
      <c r="M160" s="138"/>
      <c r="N160" s="137"/>
      <c r="O160" s="138"/>
      <c r="P160" s="138"/>
      <c r="Q160" s="138"/>
      <c r="R160" s="138"/>
      <c r="S160" s="137"/>
      <c r="T160" s="138"/>
      <c r="U160" s="138"/>
      <c r="V160" s="138"/>
      <c r="W160" s="138"/>
      <c r="X160" s="137"/>
      <c r="Y160" s="138"/>
      <c r="Z160" s="138"/>
      <c r="AA160" s="138"/>
      <c r="AB160" s="138"/>
      <c r="AC160" s="137"/>
      <c r="AD160" s="138"/>
      <c r="AE160" s="138"/>
      <c r="AF160" s="138"/>
      <c r="AG160" s="138"/>
      <c r="AH160" s="137"/>
      <c r="AI160" s="138"/>
      <c r="AJ160" s="138"/>
      <c r="AK160" s="138"/>
      <c r="AL160" s="138"/>
      <c r="AM160" s="137"/>
      <c r="AN160" s="138"/>
      <c r="AO160" s="138"/>
      <c r="AP160" s="138"/>
      <c r="AQ160" s="138"/>
      <c r="AR160" s="137"/>
      <c r="AS160" s="138"/>
      <c r="AT160" s="138"/>
      <c r="AU160" s="138"/>
      <c r="AV160" s="138"/>
      <c r="AW160" s="137"/>
      <c r="AX160" s="138"/>
      <c r="AY160" s="138"/>
      <c r="AZ160" s="138"/>
      <c r="BA160" s="138"/>
      <c r="BB160" s="137"/>
      <c r="BC160" s="138"/>
      <c r="BD160" s="138"/>
      <c r="BE160" s="138"/>
      <c r="BF160" s="138"/>
      <c r="BG160" s="137"/>
      <c r="BH160" s="138"/>
      <c r="BI160" s="138"/>
      <c r="BJ160" s="138"/>
      <c r="BK160" s="138"/>
      <c r="BL160" s="137"/>
      <c r="BM160" s="138"/>
      <c r="BN160" s="138"/>
      <c r="BO160" s="138"/>
      <c r="BP160" s="138"/>
      <c r="BQ160" s="137"/>
      <c r="BR160" s="138"/>
      <c r="BS160" s="138"/>
      <c r="BT160" s="138"/>
      <c r="BU160" s="138"/>
      <c r="BV160" s="137"/>
      <c r="BW160" s="138"/>
      <c r="BX160" s="138"/>
      <c r="BY160" s="138"/>
      <c r="BZ160" s="138"/>
      <c r="CA160" s="137"/>
      <c r="CB160" s="138"/>
      <c r="CC160" s="138"/>
      <c r="CD160" s="138"/>
      <c r="CE160" s="138"/>
      <c r="CF160" s="137"/>
      <c r="CG160" s="138"/>
      <c r="CH160" s="138"/>
      <c r="CI160" s="138"/>
      <c r="CJ160" s="138"/>
      <c r="CK160" s="137"/>
      <c r="CL160" s="138"/>
      <c r="CM160" s="138"/>
      <c r="CN160" s="138"/>
      <c r="CO160" s="138"/>
      <c r="CP160" s="137"/>
    </row>
    <row r="161" spans="1:109" x14ac:dyDescent="0.25">
      <c r="C161" s="137"/>
      <c r="D161" s="137"/>
      <c r="E161" s="138"/>
      <c r="F161" s="138"/>
      <c r="G161" s="138"/>
      <c r="H161" s="138"/>
      <c r="I161" s="137"/>
      <c r="J161" s="138"/>
      <c r="K161" s="138"/>
      <c r="L161" s="138"/>
      <c r="M161" s="138"/>
      <c r="N161" s="137"/>
      <c r="O161" s="138"/>
      <c r="P161" s="138"/>
      <c r="Q161" s="138"/>
      <c r="R161" s="138"/>
      <c r="S161" s="137"/>
      <c r="T161" s="138"/>
      <c r="U161" s="138"/>
      <c r="V161" s="138"/>
      <c r="W161" s="138"/>
      <c r="X161" s="137"/>
      <c r="Y161" s="138"/>
      <c r="Z161" s="138"/>
      <c r="AA161" s="138"/>
      <c r="AB161" s="138"/>
      <c r="AC161" s="137"/>
      <c r="AD161" s="138"/>
      <c r="AE161" s="138"/>
      <c r="AF161" s="138"/>
      <c r="AG161" s="138"/>
      <c r="AH161" s="137"/>
      <c r="AI161" s="138"/>
      <c r="AJ161" s="138"/>
      <c r="AK161" s="138"/>
      <c r="AL161" s="138"/>
      <c r="AM161" s="137"/>
      <c r="AN161" s="138"/>
      <c r="AO161" s="138"/>
      <c r="AP161" s="138"/>
      <c r="AQ161" s="138"/>
      <c r="AR161" s="137"/>
      <c r="AS161" s="138"/>
      <c r="AT161" s="138"/>
      <c r="AU161" s="138"/>
      <c r="AV161" s="138"/>
      <c r="AW161" s="137"/>
      <c r="AX161" s="138"/>
      <c r="AY161" s="138"/>
      <c r="AZ161" s="138"/>
      <c r="BA161" s="138"/>
      <c r="BB161" s="137"/>
      <c r="BC161" s="138"/>
      <c r="BD161" s="138"/>
      <c r="BE161" s="138"/>
      <c r="BF161" s="138"/>
      <c r="BG161" s="137"/>
      <c r="BH161" s="138"/>
      <c r="BI161" s="138"/>
      <c r="BJ161" s="138"/>
      <c r="BK161" s="138"/>
      <c r="BL161" s="137"/>
      <c r="BM161" s="138"/>
      <c r="BN161" s="138"/>
      <c r="BO161" s="138"/>
      <c r="BP161" s="138"/>
      <c r="BQ161" s="137"/>
      <c r="BR161" s="138"/>
      <c r="BS161" s="138"/>
      <c r="BT161" s="138"/>
      <c r="BU161" s="138"/>
      <c r="BV161" s="137"/>
      <c r="BW161" s="138"/>
      <c r="BX161" s="138"/>
      <c r="BY161" s="138"/>
      <c r="BZ161" s="138"/>
      <c r="CA161" s="137"/>
      <c r="CB161" s="138"/>
      <c r="CC161" s="138"/>
      <c r="CD161" s="138"/>
      <c r="CE161" s="138"/>
      <c r="CF161" s="137"/>
      <c r="CG161" s="138"/>
      <c r="CH161" s="138"/>
      <c r="CI161" s="138"/>
      <c r="CJ161" s="138"/>
      <c r="CK161" s="137"/>
      <c r="CL161" s="138"/>
      <c r="CM161" s="138"/>
      <c r="CN161" s="138"/>
      <c r="CO161" s="138"/>
      <c r="CP161" s="137"/>
    </row>
    <row r="162" spans="1:109" x14ac:dyDescent="0.25">
      <c r="A162" s="208" t="s">
        <v>87</v>
      </c>
      <c r="C162" s="137"/>
      <c r="D162" s="137"/>
      <c r="E162" s="138"/>
      <c r="F162" s="138"/>
      <c r="G162" s="138"/>
      <c r="H162" s="138"/>
      <c r="I162" s="156">
        <f>+I198/59.28</f>
        <v>3.2605005712624834E-3</v>
      </c>
      <c r="J162" s="138"/>
      <c r="K162" s="138"/>
      <c r="L162" s="138"/>
      <c r="M162" s="138"/>
      <c r="N162" s="156"/>
      <c r="O162" s="138"/>
      <c r="P162" s="138"/>
      <c r="Q162" s="138"/>
      <c r="R162" s="138"/>
      <c r="S162" s="156"/>
      <c r="T162" s="138"/>
      <c r="U162" s="138"/>
      <c r="V162" s="138"/>
      <c r="W162" s="138"/>
      <c r="X162" s="156"/>
      <c r="Y162" s="138"/>
      <c r="Z162" s="138"/>
      <c r="AA162" s="138"/>
      <c r="AB162" s="138"/>
      <c r="AC162" s="137"/>
      <c r="AD162" s="138"/>
      <c r="AE162" s="138"/>
      <c r="AF162" s="138"/>
      <c r="AG162" s="138"/>
      <c r="AH162" s="137"/>
      <c r="AI162" s="138"/>
      <c r="AJ162" s="138"/>
      <c r="AK162" s="138"/>
      <c r="AL162" s="138"/>
      <c r="AM162" s="137"/>
      <c r="AN162" s="138"/>
      <c r="AO162" s="99"/>
      <c r="AP162" s="138"/>
      <c r="AQ162" s="138"/>
      <c r="AR162" s="137"/>
      <c r="AS162" s="138"/>
      <c r="AT162" s="138"/>
      <c r="AU162" s="60"/>
      <c r="AV162" s="138"/>
      <c r="AW162" s="137"/>
      <c r="AX162" s="138"/>
      <c r="AY162" s="138"/>
      <c r="AZ162" s="138"/>
      <c r="BA162" s="138"/>
      <c r="BB162" s="137"/>
      <c r="BC162" s="138"/>
      <c r="BD162" s="138"/>
      <c r="BE162" s="138"/>
      <c r="BF162" s="138"/>
      <c r="BG162" s="137"/>
      <c r="BH162" s="138"/>
      <c r="BI162" s="138"/>
      <c r="BJ162" s="138"/>
      <c r="BK162" s="138"/>
      <c r="BL162" s="137"/>
      <c r="BM162" s="138"/>
      <c r="BN162" s="138"/>
      <c r="BO162" s="138"/>
      <c r="BP162" s="138"/>
      <c r="BQ162" s="137"/>
      <c r="BR162" s="138"/>
      <c r="BS162" s="138"/>
      <c r="BT162" s="138"/>
      <c r="BU162" s="138"/>
      <c r="BV162" s="137"/>
      <c r="BW162" s="138"/>
      <c r="BX162" s="138"/>
      <c r="BY162" s="138"/>
      <c r="BZ162" s="138"/>
      <c r="CA162" s="137"/>
      <c r="CB162" s="138"/>
      <c r="CC162" s="138"/>
      <c r="CD162" s="138"/>
      <c r="CE162" s="138"/>
      <c r="CF162" s="137"/>
      <c r="CG162" s="138"/>
      <c r="CH162" s="138"/>
      <c r="CI162" s="138"/>
      <c r="CJ162" s="138"/>
      <c r="CK162" s="137"/>
      <c r="CL162" s="138"/>
      <c r="CM162" s="138"/>
      <c r="CN162" s="138"/>
      <c r="CO162" s="138"/>
      <c r="CP162" s="137"/>
    </row>
    <row r="163" spans="1:109" x14ac:dyDescent="0.25">
      <c r="A163" s="52" t="s">
        <v>88</v>
      </c>
      <c r="C163" s="209">
        <f>C137</f>
        <v>243</v>
      </c>
      <c r="D163" s="209">
        <f t="shared" ref="D163:AB163" si="219">D137</f>
        <v>306</v>
      </c>
      <c r="E163" s="138">
        <f t="shared" si="219"/>
        <v>80.2</v>
      </c>
      <c r="F163" s="138">
        <f t="shared" si="219"/>
        <v>32.200000000000017</v>
      </c>
      <c r="G163" s="138">
        <f t="shared" si="219"/>
        <v>230.90000000000003</v>
      </c>
      <c r="H163" s="138">
        <f t="shared" si="219"/>
        <v>52.699999999999946</v>
      </c>
      <c r="I163" s="209">
        <f t="shared" si="219"/>
        <v>396</v>
      </c>
      <c r="J163" s="138">
        <f t="shared" si="219"/>
        <v>33.700000000000003</v>
      </c>
      <c r="K163" s="138">
        <f t="shared" si="219"/>
        <v>32.200000000000003</v>
      </c>
      <c r="L163" s="138">
        <f t="shared" si="219"/>
        <v>177.5</v>
      </c>
      <c r="M163" s="138">
        <f t="shared" si="219"/>
        <v>99.600000000000023</v>
      </c>
      <c r="N163" s="209">
        <f t="shared" si="219"/>
        <v>343</v>
      </c>
      <c r="O163" s="138">
        <f t="shared" si="219"/>
        <v>76.599999999999994</v>
      </c>
      <c r="P163" s="138">
        <f t="shared" si="219"/>
        <v>30.200000000000003</v>
      </c>
      <c r="Q163" s="138">
        <f t="shared" si="219"/>
        <v>170.8</v>
      </c>
      <c r="R163" s="138">
        <f t="shared" si="219"/>
        <v>77.399999999999977</v>
      </c>
      <c r="S163" s="209">
        <f t="shared" si="219"/>
        <v>355</v>
      </c>
      <c r="T163" s="138">
        <f t="shared" si="219"/>
        <v>128.4</v>
      </c>
      <c r="U163" s="138">
        <f t="shared" si="219"/>
        <v>69.599999999999994</v>
      </c>
      <c r="V163" s="138">
        <f t="shared" si="219"/>
        <v>199.29999999999998</v>
      </c>
      <c r="W163" s="138">
        <f t="shared" si="219"/>
        <v>136.70000000000002</v>
      </c>
      <c r="X163" s="209">
        <f t="shared" si="219"/>
        <v>534</v>
      </c>
      <c r="Y163" s="138">
        <f t="shared" si="219"/>
        <v>104.7</v>
      </c>
      <c r="Z163" s="138">
        <f t="shared" si="219"/>
        <v>11.5</v>
      </c>
      <c r="AA163" s="138">
        <f t="shared" si="219"/>
        <v>226.7</v>
      </c>
      <c r="AB163" s="138">
        <f t="shared" si="219"/>
        <v>148.10000000000002</v>
      </c>
      <c r="AC163" s="209">
        <f ca="1">AC137</f>
        <v>491.00000000000006</v>
      </c>
      <c r="AD163" s="138">
        <f t="shared" ref="AD163:AT163" si="220">AD137</f>
        <v>117.8</v>
      </c>
      <c r="AE163" s="138">
        <f t="shared" si="220"/>
        <v>87.899999999999991</v>
      </c>
      <c r="AF163" s="138">
        <f t="shared" si="220"/>
        <v>218.8</v>
      </c>
      <c r="AG163" s="138">
        <f t="shared" si="220"/>
        <v>120.50000000000001</v>
      </c>
      <c r="AH163" s="209">
        <f ca="1">AH137</f>
        <v>545.00000000000011</v>
      </c>
      <c r="AI163" s="138">
        <f t="shared" si="220"/>
        <v>96.6</v>
      </c>
      <c r="AJ163" s="138">
        <f t="shared" si="220"/>
        <v>81.200000000000017</v>
      </c>
      <c r="AK163" s="138">
        <f t="shared" si="220"/>
        <v>221.69999999999996</v>
      </c>
      <c r="AL163" s="138">
        <f t="shared" si="220"/>
        <v>127.50000000000006</v>
      </c>
      <c r="AM163" s="209">
        <f t="shared" si="220"/>
        <v>527.00000000000011</v>
      </c>
      <c r="AN163" s="138">
        <f t="shared" si="220"/>
        <v>64</v>
      </c>
      <c r="AO163" s="138">
        <f t="shared" si="220"/>
        <v>91.5</v>
      </c>
      <c r="AP163" s="138">
        <f t="shared" si="220"/>
        <v>186.2</v>
      </c>
      <c r="AQ163" s="138">
        <f t="shared" si="220"/>
        <v>174.3</v>
      </c>
      <c r="AR163" s="209">
        <f t="shared" si="220"/>
        <v>516</v>
      </c>
      <c r="AS163" s="138">
        <f t="shared" si="220"/>
        <v>87.6</v>
      </c>
      <c r="AT163" s="138">
        <f t="shared" si="220"/>
        <v>77.099999999999994</v>
      </c>
      <c r="AU163" s="138">
        <f t="shared" ref="AU163:CP163" si="221">AU137</f>
        <v>202.50000000000003</v>
      </c>
      <c r="AV163" s="138">
        <f t="shared" si="221"/>
        <v>169.79999999999995</v>
      </c>
      <c r="AW163" s="209">
        <f t="shared" si="221"/>
        <v>537</v>
      </c>
      <c r="AX163" s="138">
        <f t="shared" si="221"/>
        <v>93</v>
      </c>
      <c r="AY163" s="138">
        <f t="shared" si="221"/>
        <v>108</v>
      </c>
      <c r="AZ163" s="138">
        <f t="shared" si="221"/>
        <v>189</v>
      </c>
      <c r="BA163" s="138">
        <f t="shared" si="221"/>
        <v>259</v>
      </c>
      <c r="BB163" s="209">
        <f t="shared" si="221"/>
        <v>649</v>
      </c>
      <c r="BC163" s="138">
        <f t="shared" si="221"/>
        <v>112</v>
      </c>
      <c r="BD163" s="138">
        <f t="shared" si="221"/>
        <v>-42</v>
      </c>
      <c r="BE163" s="138">
        <f t="shared" si="221"/>
        <v>305</v>
      </c>
      <c r="BF163" s="138">
        <f t="shared" si="221"/>
        <v>233</v>
      </c>
      <c r="BG163" s="209">
        <f t="shared" si="221"/>
        <v>608</v>
      </c>
      <c r="BH163" s="138">
        <f>BH137</f>
        <v>147</v>
      </c>
      <c r="BI163" s="138">
        <f t="shared" si="221"/>
        <v>14</v>
      </c>
      <c r="BJ163" s="138">
        <f t="shared" si="221"/>
        <v>287</v>
      </c>
      <c r="BK163" s="138">
        <f t="shared" si="221"/>
        <v>76</v>
      </c>
      <c r="BL163" s="209">
        <f t="shared" si="221"/>
        <v>524</v>
      </c>
      <c r="BM163" s="138">
        <f t="shared" si="221"/>
        <v>128</v>
      </c>
      <c r="BN163" s="138">
        <f t="shared" si="221"/>
        <v>41</v>
      </c>
      <c r="BO163" s="138">
        <f t="shared" si="221"/>
        <v>276</v>
      </c>
      <c r="BP163" s="138">
        <f t="shared" si="221"/>
        <v>194</v>
      </c>
      <c r="BQ163" s="209">
        <f t="shared" si="221"/>
        <v>639</v>
      </c>
      <c r="BR163" s="138">
        <f t="shared" si="221"/>
        <v>102</v>
      </c>
      <c r="BS163" s="138">
        <f t="shared" si="221"/>
        <v>112</v>
      </c>
      <c r="BT163" s="138">
        <f t="shared" ca="1" si="221"/>
        <v>200.00449495600222</v>
      </c>
      <c r="BU163" s="138">
        <f t="shared" ca="1" si="221"/>
        <v>308.21585661059373</v>
      </c>
      <c r="BV163" s="209">
        <f t="shared" ca="1" si="221"/>
        <v>722.22035156659604</v>
      </c>
      <c r="BW163" s="138">
        <f t="shared" ca="1" si="221"/>
        <v>59.815951909186012</v>
      </c>
      <c r="BX163" s="138">
        <f t="shared" ca="1" si="221"/>
        <v>181.16514125656323</v>
      </c>
      <c r="BY163" s="138">
        <f t="shared" ca="1" si="221"/>
        <v>207.69259910846071</v>
      </c>
      <c r="BZ163" s="138">
        <f t="shared" ca="1" si="221"/>
        <v>337.0571889653047</v>
      </c>
      <c r="CA163" s="209">
        <f t="shared" ca="1" si="221"/>
        <v>785.7308812395147</v>
      </c>
      <c r="CB163" s="138">
        <f t="shared" ca="1" si="221"/>
        <v>73.254683378883783</v>
      </c>
      <c r="CC163" s="138">
        <f t="shared" ca="1" si="221"/>
        <v>192.29820012834057</v>
      </c>
      <c r="CD163" s="138">
        <f t="shared" ca="1" si="221"/>
        <v>219.91454505446387</v>
      </c>
      <c r="CE163" s="138">
        <f t="shared" ca="1" si="221"/>
        <v>356.24832121713149</v>
      </c>
      <c r="CF163" s="209">
        <f t="shared" ca="1" si="221"/>
        <v>841.71574977881971</v>
      </c>
      <c r="CG163" s="138">
        <f t="shared" ca="1" si="221"/>
        <v>76.213478585569021</v>
      </c>
      <c r="CH163" s="138">
        <f t="shared" ca="1" si="221"/>
        <v>204.83610526039183</v>
      </c>
      <c r="CI163" s="138">
        <f t="shared" ca="1" si="221"/>
        <v>233.83416098486546</v>
      </c>
      <c r="CJ163" s="138">
        <f t="shared" ca="1" si="221"/>
        <v>377.86163976667592</v>
      </c>
      <c r="CK163" s="209">
        <f t="shared" ca="1" si="221"/>
        <v>892.74538459750227</v>
      </c>
      <c r="CL163" s="138">
        <f t="shared" ca="1" si="221"/>
        <v>76.917181312215462</v>
      </c>
      <c r="CM163" s="138">
        <f t="shared" ca="1" si="221"/>
        <v>217.30017060109279</v>
      </c>
      <c r="CN163" s="138">
        <f t="shared" ca="1" si="221"/>
        <v>247.48944852486756</v>
      </c>
      <c r="CO163" s="138">
        <f t="shared" ca="1" si="221"/>
        <v>399.8143417902146</v>
      </c>
      <c r="CP163" s="209">
        <f t="shared" ca="1" si="221"/>
        <v>941.52114222839054</v>
      </c>
    </row>
    <row r="164" spans="1:109" s="76" customFormat="1" x14ac:dyDescent="0.25">
      <c r="A164" s="76" t="s">
        <v>89</v>
      </c>
      <c r="C164" s="156">
        <f>(C140*-1)/C4</f>
        <v>6.4303469145142123E-2</v>
      </c>
      <c r="D164" s="156">
        <f>(D140*-1)/D4</f>
        <v>2.7253260657971578E-2</v>
      </c>
      <c r="E164" s="60"/>
      <c r="F164" s="60"/>
      <c r="G164" s="60"/>
      <c r="H164" s="60"/>
      <c r="I164" s="156">
        <f>(I140*-1)/I4</f>
        <v>2.2005658597925182E-2</v>
      </c>
      <c r="J164" s="60"/>
      <c r="K164" s="60"/>
      <c r="L164" s="60"/>
      <c r="M164" s="60"/>
      <c r="N164" s="156">
        <f t="shared" ref="N164:AC164" si="222">(N140*-1)/N4</f>
        <v>2.1142525495398395E-2</v>
      </c>
      <c r="O164" s="60">
        <f t="shared" si="222"/>
        <v>1.815598358067572E-2</v>
      </c>
      <c r="P164" s="60">
        <f t="shared" si="222"/>
        <v>1.7876787678767877E-2</v>
      </c>
      <c r="Q164" s="60">
        <f t="shared" si="222"/>
        <v>2.7821939586645472E-2</v>
      </c>
      <c r="R164" s="60">
        <f t="shared" si="222"/>
        <v>1.8094962362478286E-2</v>
      </c>
      <c r="S164" s="156">
        <f t="shared" si="222"/>
        <v>2.0668519706364481E-2</v>
      </c>
      <c r="T164" s="60">
        <f t="shared" si="222"/>
        <v>1.5424164524421594E-2</v>
      </c>
      <c r="U164" s="60">
        <f t="shared" si="222"/>
        <v>1.4327289008282963E-2</v>
      </c>
      <c r="V164" s="60">
        <f t="shared" si="222"/>
        <v>8.4340095737406012E-3</v>
      </c>
      <c r="W164" s="60">
        <f t="shared" si="222"/>
        <v>1.217143597047779E-2</v>
      </c>
      <c r="X164" s="156">
        <f t="shared" si="222"/>
        <v>1.2491621473401987E-2</v>
      </c>
      <c r="Y164" s="60">
        <f t="shared" si="222"/>
        <v>1.6708860759493668E-2</v>
      </c>
      <c r="Z164" s="60">
        <f t="shared" si="222"/>
        <v>1.4015192040226812E-2</v>
      </c>
      <c r="AA164" s="60">
        <f t="shared" si="222"/>
        <v>1.3773753347787273E-2</v>
      </c>
      <c r="AB164" s="60">
        <f t="shared" si="222"/>
        <v>1.7415483682130833E-2</v>
      </c>
      <c r="AC164" s="156">
        <f t="shared" si="222"/>
        <v>1.5350396290843017E-2</v>
      </c>
      <c r="AD164" s="60">
        <f t="shared" ref="AD164:BK164" si="223">(AD140*-1)/AD4</f>
        <v>9.2153408320910686E-3</v>
      </c>
      <c r="AE164" s="60">
        <f t="shared" si="223"/>
        <v>6.2716989584499947E-3</v>
      </c>
      <c r="AF164" s="60">
        <f t="shared" si="223"/>
        <v>5.5703841244052425E-3</v>
      </c>
      <c r="AG164" s="60">
        <f t="shared" si="223"/>
        <v>2.2919508867667124E-2</v>
      </c>
      <c r="AH164" s="156">
        <f t="shared" si="223"/>
        <v>1.0541001395132537E-2</v>
      </c>
      <c r="AI164" s="60">
        <f t="shared" si="223"/>
        <v>9.2629883205799443E-3</v>
      </c>
      <c r="AJ164" s="60">
        <f t="shared" si="223"/>
        <v>9.0537705642044809E-3</v>
      </c>
      <c r="AK164" s="60">
        <f t="shared" si="223"/>
        <v>1.1845386533665837E-2</v>
      </c>
      <c r="AL164" s="60">
        <f t="shared" si="223"/>
        <v>1.5796790092253259E-2</v>
      </c>
      <c r="AM164" s="156">
        <f t="shared" si="223"/>
        <v>1.1456099638692242E-2</v>
      </c>
      <c r="AN164" s="60">
        <f t="shared" si="223"/>
        <v>7.3783172676425094E-3</v>
      </c>
      <c r="AO164" s="60">
        <f t="shared" si="223"/>
        <v>1.2438302073050347E-2</v>
      </c>
      <c r="AP164" s="60">
        <f t="shared" si="223"/>
        <v>1.2825860271115746E-2</v>
      </c>
      <c r="AQ164" s="60">
        <f t="shared" si="223"/>
        <v>3.3570448021964315E-2</v>
      </c>
      <c r="AR164" s="156">
        <f t="shared" si="223"/>
        <v>1.6050475979632498E-2</v>
      </c>
      <c r="AS164" s="60">
        <f t="shared" si="223"/>
        <v>1.9815510761872223E-2</v>
      </c>
      <c r="AT164" s="60">
        <f t="shared" si="223"/>
        <v>2.1010061156046561E-2</v>
      </c>
      <c r="AU164" s="60">
        <f t="shared" si="223"/>
        <v>1.9865614957639496E-2</v>
      </c>
      <c r="AV164" s="60">
        <f t="shared" si="223"/>
        <v>4.1454965357967666E-2</v>
      </c>
      <c r="AW164" s="156">
        <f t="shared" si="223"/>
        <v>2.5100401606425703E-2</v>
      </c>
      <c r="AX164" s="60">
        <f t="shared" si="223"/>
        <v>2.7901785714285716E-2</v>
      </c>
      <c r="AY164" s="60">
        <f t="shared" si="223"/>
        <v>3.2437442075996289E-2</v>
      </c>
      <c r="AZ164" s="60">
        <f t="shared" si="223"/>
        <v>2.5046382189239332E-2</v>
      </c>
      <c r="BA164" s="60">
        <f t="shared" si="223"/>
        <v>4.3673012318029114E-2</v>
      </c>
      <c r="BB164" s="156">
        <f>(BB140*-1)/BB4</f>
        <v>3.1931069437404966E-2</v>
      </c>
      <c r="BC164" s="60">
        <f t="shared" si="223"/>
        <v>3.3659066232356136E-2</v>
      </c>
      <c r="BD164" s="60">
        <f t="shared" si="223"/>
        <v>2.4669603524229075E-2</v>
      </c>
      <c r="BE164" s="60">
        <f t="shared" si="223"/>
        <v>3.0192131747483988E-2</v>
      </c>
      <c r="BF164" s="60">
        <f t="shared" si="223"/>
        <v>2.9567053854276663E-2</v>
      </c>
      <c r="BG164" s="156">
        <f>(BG140*-1)/BG4</f>
        <v>2.9296875E-2</v>
      </c>
      <c r="BH164" s="60">
        <f>(BH140*-1)/BH4</f>
        <v>4.3333333333333335E-2</v>
      </c>
      <c r="BI164" s="60">
        <f t="shared" si="223"/>
        <v>2.3722627737226276E-2</v>
      </c>
      <c r="BJ164" s="60">
        <f t="shared" si="223"/>
        <v>2.1237303785780239E-2</v>
      </c>
      <c r="BK164" s="60">
        <f t="shared" si="223"/>
        <v>2.1436227224008574E-2</v>
      </c>
      <c r="BL164" s="156">
        <f>(BL140*-1)/BL4</f>
        <v>2.6919242273180457E-2</v>
      </c>
      <c r="BM164" s="60"/>
      <c r="BN164" s="60"/>
      <c r="BO164" s="60"/>
      <c r="BP164" s="60"/>
      <c r="BQ164" s="156">
        <f>(BQ140*-1)/BQ4</f>
        <v>2.9038112522686024E-2</v>
      </c>
      <c r="BR164" s="60"/>
      <c r="BS164" s="60"/>
      <c r="BT164" s="60"/>
      <c r="BU164" s="60"/>
      <c r="BV164" s="156">
        <f>(BV140*-1)/BV4</f>
        <v>2.9681329257359567E-2</v>
      </c>
      <c r="BW164" s="60"/>
      <c r="BX164" s="60"/>
      <c r="BY164" s="60"/>
      <c r="BZ164" s="60"/>
      <c r="CA164" s="156">
        <f>(CA140*-1)/CA4</f>
        <v>2.7075098902033509E-2</v>
      </c>
      <c r="CB164" s="60"/>
      <c r="CC164" s="60"/>
      <c r="CD164" s="60"/>
      <c r="CE164" s="60"/>
      <c r="CF164" s="156">
        <f>(CF140*-1)/CF4</f>
        <v>2.4711399791538524E-2</v>
      </c>
      <c r="CG164" s="60"/>
      <c r="CH164" s="60"/>
      <c r="CI164" s="60"/>
      <c r="CJ164" s="60"/>
      <c r="CK164" s="156">
        <f>(CK140*-1)/CK4</f>
        <v>2.3534666468131928E-2</v>
      </c>
      <c r="CL164" s="60"/>
      <c r="CM164" s="60"/>
      <c r="CN164" s="60"/>
      <c r="CO164" s="60"/>
      <c r="CP164" s="156">
        <f>(CP140*-1)/CP4</f>
        <v>2.241396806488755E-2</v>
      </c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</row>
    <row r="165" spans="1:109" x14ac:dyDescent="0.25">
      <c r="A165" s="52" t="s">
        <v>90</v>
      </c>
      <c r="C165" s="209">
        <f>C163+C140</f>
        <v>124</v>
      </c>
      <c r="D165" s="209">
        <f t="shared" ref="D165:S165" si="224">D163+D140</f>
        <v>250</v>
      </c>
      <c r="E165" s="138">
        <f t="shared" si="224"/>
        <v>70.900000000000006</v>
      </c>
      <c r="F165" s="138">
        <f t="shared" si="224"/>
        <v>20.000000000000018</v>
      </c>
      <c r="G165" s="138">
        <f t="shared" si="224"/>
        <v>220.20000000000005</v>
      </c>
      <c r="H165" s="138">
        <f t="shared" si="224"/>
        <v>35.899999999999949</v>
      </c>
      <c r="I165" s="209">
        <f t="shared" si="224"/>
        <v>347</v>
      </c>
      <c r="J165" s="138">
        <f t="shared" si="224"/>
        <v>25.1</v>
      </c>
      <c r="K165" s="138">
        <f t="shared" si="224"/>
        <v>18.400000000000006</v>
      </c>
      <c r="L165" s="138">
        <f t="shared" si="224"/>
        <v>166.3</v>
      </c>
      <c r="M165" s="138">
        <f t="shared" si="224"/>
        <v>82.200000000000017</v>
      </c>
      <c r="N165" s="209">
        <f t="shared" si="224"/>
        <v>292</v>
      </c>
      <c r="O165" s="138">
        <f>O163+O140</f>
        <v>65.099999999999994</v>
      </c>
      <c r="P165" s="138">
        <f>P163+P140</f>
        <v>17.200000000000003</v>
      </c>
      <c r="Q165" s="138">
        <f>Q163+Q140</f>
        <v>149.80000000000001</v>
      </c>
      <c r="R165" s="138">
        <f>R163+R140</f>
        <v>64.899999999999977</v>
      </c>
      <c r="S165" s="209">
        <f t="shared" si="224"/>
        <v>297</v>
      </c>
      <c r="T165" s="138">
        <f t="shared" ref="T165:AB165" si="225">T163+T140</f>
        <v>117</v>
      </c>
      <c r="U165" s="138">
        <f t="shared" si="225"/>
        <v>56.8</v>
      </c>
      <c r="V165" s="138">
        <f t="shared" si="225"/>
        <v>191.89999999999998</v>
      </c>
      <c r="W165" s="138">
        <f t="shared" si="225"/>
        <v>127.30000000000003</v>
      </c>
      <c r="X165" s="209">
        <f t="shared" si="225"/>
        <v>493</v>
      </c>
      <c r="Y165" s="138">
        <f t="shared" si="225"/>
        <v>91.5</v>
      </c>
      <c r="Z165" s="138">
        <f t="shared" si="225"/>
        <v>-1.6000000000000014</v>
      </c>
      <c r="AA165" s="138">
        <f t="shared" si="225"/>
        <v>215.89999999999998</v>
      </c>
      <c r="AB165" s="138">
        <f t="shared" si="225"/>
        <v>136.20000000000002</v>
      </c>
      <c r="AC165" s="209">
        <f ca="1">AC163+AC140</f>
        <v>442.00000000000006</v>
      </c>
      <c r="AD165" s="138">
        <f t="shared" ref="AD165:AT165" si="226">AD163+AD140</f>
        <v>111</v>
      </c>
      <c r="AE165" s="138">
        <f t="shared" si="226"/>
        <v>82.3</v>
      </c>
      <c r="AF165" s="138">
        <f t="shared" si="226"/>
        <v>214</v>
      </c>
      <c r="AG165" s="138">
        <f t="shared" si="226"/>
        <v>103.70000000000002</v>
      </c>
      <c r="AH165" s="209">
        <f ca="1">AH163+AH140</f>
        <v>511.00000000000011</v>
      </c>
      <c r="AI165" s="138">
        <f t="shared" si="226"/>
        <v>89.699999999999989</v>
      </c>
      <c r="AJ165" s="138">
        <f t="shared" si="226"/>
        <v>73.000000000000014</v>
      </c>
      <c r="AK165" s="138">
        <f t="shared" si="226"/>
        <v>210.29999999999995</v>
      </c>
      <c r="AL165" s="138">
        <f t="shared" si="226"/>
        <v>115.00000000000006</v>
      </c>
      <c r="AM165" s="209">
        <f t="shared" si="226"/>
        <v>488.00000000000011</v>
      </c>
      <c r="AN165" s="138">
        <f t="shared" si="226"/>
        <v>57.8</v>
      </c>
      <c r="AO165" s="138">
        <f t="shared" si="226"/>
        <v>78.900000000000006</v>
      </c>
      <c r="AP165" s="138">
        <f t="shared" si="226"/>
        <v>173.89999999999998</v>
      </c>
      <c r="AQ165" s="138">
        <f t="shared" si="226"/>
        <v>147.4</v>
      </c>
      <c r="AR165" s="209">
        <f t="shared" si="226"/>
        <v>458</v>
      </c>
      <c r="AS165" s="138">
        <f t="shared" si="226"/>
        <v>70.199999999999989</v>
      </c>
      <c r="AT165" s="138">
        <f t="shared" si="226"/>
        <v>55.79999999999999</v>
      </c>
      <c r="AU165" s="138">
        <f t="shared" ref="AU165:CP165" si="227">AU163+AU140</f>
        <v>182.10000000000002</v>
      </c>
      <c r="AV165" s="138">
        <f t="shared" si="227"/>
        <v>133.89999999999995</v>
      </c>
      <c r="AW165" s="209">
        <f t="shared" si="227"/>
        <v>442</v>
      </c>
      <c r="AX165" s="138">
        <f t="shared" si="227"/>
        <v>68</v>
      </c>
      <c r="AY165" s="138">
        <f t="shared" si="227"/>
        <v>73</v>
      </c>
      <c r="AZ165" s="138">
        <f t="shared" si="227"/>
        <v>162</v>
      </c>
      <c r="BA165" s="138">
        <f t="shared" si="227"/>
        <v>220</v>
      </c>
      <c r="BB165" s="209">
        <f t="shared" si="227"/>
        <v>523</v>
      </c>
      <c r="BC165" s="138">
        <f t="shared" si="227"/>
        <v>81</v>
      </c>
      <c r="BD165" s="138">
        <f t="shared" si="227"/>
        <v>-70</v>
      </c>
      <c r="BE165" s="138">
        <f t="shared" si="227"/>
        <v>272</v>
      </c>
      <c r="BF165" s="138">
        <f t="shared" si="227"/>
        <v>205</v>
      </c>
      <c r="BG165" s="209">
        <f t="shared" si="227"/>
        <v>488</v>
      </c>
      <c r="BH165" s="138">
        <f>BH163+BH140</f>
        <v>108</v>
      </c>
      <c r="BI165" s="138">
        <f t="shared" si="227"/>
        <v>-12</v>
      </c>
      <c r="BJ165" s="138">
        <f t="shared" si="227"/>
        <v>264</v>
      </c>
      <c r="BK165" s="138">
        <f t="shared" si="227"/>
        <v>56</v>
      </c>
      <c r="BL165" s="209">
        <f t="shared" si="227"/>
        <v>416</v>
      </c>
      <c r="BM165" s="138">
        <f t="shared" si="227"/>
        <v>112</v>
      </c>
      <c r="BN165" s="138">
        <f t="shared" si="227"/>
        <v>21</v>
      </c>
      <c r="BO165" s="138">
        <f t="shared" si="227"/>
        <v>241</v>
      </c>
      <c r="BP165" s="138">
        <f t="shared" si="227"/>
        <v>153</v>
      </c>
      <c r="BQ165" s="209">
        <f t="shared" si="227"/>
        <v>527</v>
      </c>
      <c r="BR165" s="138">
        <f t="shared" si="227"/>
        <v>74</v>
      </c>
      <c r="BS165" s="138">
        <f t="shared" si="227"/>
        <v>76</v>
      </c>
      <c r="BT165" s="138">
        <f t="shared" ca="1" si="227"/>
        <v>160.94199495600222</v>
      </c>
      <c r="BU165" s="138">
        <f t="shared" ca="1" si="227"/>
        <v>286.27835661059373</v>
      </c>
      <c r="BV165" s="209">
        <f t="shared" ca="1" si="227"/>
        <v>597.22035156659604</v>
      </c>
      <c r="BW165" s="138">
        <f t="shared" ca="1" si="227"/>
        <v>32.935951909186016</v>
      </c>
      <c r="BX165" s="138">
        <f t="shared" ca="1" si="227"/>
        <v>146.60514125656323</v>
      </c>
      <c r="BY165" s="138">
        <f t="shared" ca="1" si="227"/>
        <v>170.19259910846071</v>
      </c>
      <c r="BZ165" s="138">
        <f t="shared" ca="1" si="227"/>
        <v>315.9971889653047</v>
      </c>
      <c r="CA165" s="209">
        <f t="shared" ca="1" si="227"/>
        <v>665.7308812395147</v>
      </c>
      <c r="CB165" s="138">
        <f t="shared" ca="1" si="227"/>
        <v>47.494683378883778</v>
      </c>
      <c r="CC165" s="138">
        <f t="shared" ca="1" si="227"/>
        <v>159.17820012834056</v>
      </c>
      <c r="CD165" s="138">
        <f t="shared" ca="1" si="227"/>
        <v>183.97704505446387</v>
      </c>
      <c r="CE165" s="138">
        <f t="shared" ca="1" si="227"/>
        <v>336.06582121713149</v>
      </c>
      <c r="CF165" s="209">
        <f t="shared" ca="1" si="227"/>
        <v>726.71574977881971</v>
      </c>
      <c r="CG165" s="138">
        <f t="shared" ca="1" si="227"/>
        <v>50.453478585569016</v>
      </c>
      <c r="CH165" s="138">
        <f t="shared" ca="1" si="227"/>
        <v>171.71610526039183</v>
      </c>
      <c r="CI165" s="138">
        <f t="shared" ca="1" si="227"/>
        <v>197.89666098486546</v>
      </c>
      <c r="CJ165" s="138">
        <f t="shared" ca="1" si="227"/>
        <v>357.67913976667592</v>
      </c>
      <c r="CK165" s="209">
        <f t="shared" ca="1" si="227"/>
        <v>777.74538459750227</v>
      </c>
      <c r="CL165" s="138">
        <f t="shared" ca="1" si="227"/>
        <v>51.157181312215457</v>
      </c>
      <c r="CM165" s="138">
        <f t="shared" ca="1" si="227"/>
        <v>184.18017060109278</v>
      </c>
      <c r="CN165" s="138">
        <f t="shared" ca="1" si="227"/>
        <v>211.55194852486756</v>
      </c>
      <c r="CO165" s="138">
        <f t="shared" ca="1" si="227"/>
        <v>379.63184179021459</v>
      </c>
      <c r="CP165" s="209">
        <f t="shared" ca="1" si="227"/>
        <v>826.52114222839054</v>
      </c>
    </row>
    <row r="166" spans="1:109" x14ac:dyDescent="0.25">
      <c r="A166" s="52" t="s">
        <v>91</v>
      </c>
      <c r="C166" s="212">
        <f>C165/C56</f>
        <v>0.24470987572093203</v>
      </c>
      <c r="D166" s="212">
        <f>D165/D56</f>
        <v>0.43732963789789309</v>
      </c>
      <c r="E166" s="138"/>
      <c r="F166" s="138"/>
      <c r="G166" s="60"/>
      <c r="H166" s="138"/>
      <c r="I166" s="212">
        <f>I165/I56</f>
        <v>0.60425369240826032</v>
      </c>
      <c r="J166" s="138"/>
      <c r="K166" s="138"/>
      <c r="L166" s="60"/>
      <c r="M166" s="138"/>
      <c r="N166" s="212">
        <f t="shared" ref="N166:AB166" si="228">N165/N56</f>
        <v>0.50542155763037666</v>
      </c>
      <c r="O166" s="138">
        <f t="shared" si="228"/>
        <v>0.1119404188093434</v>
      </c>
      <c r="P166" s="138">
        <f t="shared" si="228"/>
        <v>2.9522116109238269E-2</v>
      </c>
      <c r="Q166" s="60">
        <f t="shared" si="228"/>
        <v>0.2572432853041402</v>
      </c>
      <c r="R166" s="138">
        <f t="shared" si="228"/>
        <v>0.11144381124097144</v>
      </c>
      <c r="S166" s="212">
        <f t="shared" si="228"/>
        <v>0.51012131080887968</v>
      </c>
      <c r="T166" s="138">
        <f t="shared" si="228"/>
        <v>0.20118324117808262</v>
      </c>
      <c r="U166" s="138">
        <f t="shared" si="228"/>
        <v>9.7301406309388064E-2</v>
      </c>
      <c r="V166" s="60">
        <f t="shared" si="228"/>
        <v>0.33021871182007467</v>
      </c>
      <c r="W166" s="138">
        <f t="shared" si="228"/>
        <v>0.22302337486004925</v>
      </c>
      <c r="X166" s="212">
        <f t="shared" si="228"/>
        <v>0.85101436235081396</v>
      </c>
      <c r="Y166" s="200">
        <f t="shared" si="228"/>
        <v>0.16073357750783904</v>
      </c>
      <c r="Z166" s="138">
        <f t="shared" si="228"/>
        <v>-2.8101975041933441E-3</v>
      </c>
      <c r="AA166" s="138">
        <f t="shared" si="228"/>
        <v>0.38005712299046335</v>
      </c>
      <c r="AB166" s="138">
        <f t="shared" si="228"/>
        <v>0.24070514944661678</v>
      </c>
      <c r="AC166" s="212">
        <f ca="1">AC165/AC56</f>
        <v>0.77799779977997807</v>
      </c>
      <c r="AD166" s="138">
        <f t="shared" ref="AD166:AT166" si="229">AD165/AD56</f>
        <v>0.19697746072096411</v>
      </c>
      <c r="AE166" s="138">
        <f t="shared" si="229"/>
        <v>0.14759618186790771</v>
      </c>
      <c r="AF166" s="138">
        <f t="shared" si="229"/>
        <v>0.38678252068337604</v>
      </c>
      <c r="AG166" s="138">
        <f t="shared" si="229"/>
        <v>0.18742812732280073</v>
      </c>
      <c r="AH166" s="212">
        <f ca="1">AH165/AH56</f>
        <v>0.91754650578180019</v>
      </c>
      <c r="AI166" s="100">
        <f t="shared" si="229"/>
        <v>0.16229602741120197</v>
      </c>
      <c r="AJ166" s="100">
        <f t="shared" si="229"/>
        <v>0.13287464278563502</v>
      </c>
      <c r="AK166" s="138">
        <f t="shared" si="229"/>
        <v>0.38400438236099693</v>
      </c>
      <c r="AL166" s="138">
        <f t="shared" si="229"/>
        <v>0.21004997819589907</v>
      </c>
      <c r="AM166" s="212">
        <f t="shared" si="229"/>
        <v>0.88819725987505194</v>
      </c>
      <c r="AN166" s="138">
        <f t="shared" si="229"/>
        <v>0.10566703458173084</v>
      </c>
      <c r="AO166" s="138">
        <f t="shared" si="229"/>
        <v>0.14592465183376796</v>
      </c>
      <c r="AP166" s="138">
        <f t="shared" si="229"/>
        <v>0.32428904428904426</v>
      </c>
      <c r="AQ166" s="138">
        <f t="shared" si="229"/>
        <v>0.27473154729869831</v>
      </c>
      <c r="AR166" s="212">
        <f t="shared" si="229"/>
        <v>0.84782432635683125</v>
      </c>
      <c r="AS166" s="138">
        <f t="shared" si="229"/>
        <v>0.13072747418504826</v>
      </c>
      <c r="AT166" s="138">
        <f t="shared" si="229"/>
        <v>0.10386661144487204</v>
      </c>
      <c r="AU166" s="138">
        <f>AU165/AU56</f>
        <v>0.33871035242802877</v>
      </c>
      <c r="AV166" s="138">
        <f>AV165/AV56</f>
        <v>0.24887088080590294</v>
      </c>
      <c r="AW166" s="212">
        <f>AW165/AW56</f>
        <v>0.82237913166438759</v>
      </c>
      <c r="AX166" s="138"/>
      <c r="AY166" s="138"/>
      <c r="AZ166" s="138"/>
      <c r="BA166" s="138"/>
      <c r="BB166" s="212">
        <f>BB165/BB56</f>
        <v>0.9726522907542241</v>
      </c>
      <c r="BC166" s="138"/>
      <c r="BD166" s="138"/>
      <c r="BE166" s="138"/>
      <c r="BF166" s="138"/>
      <c r="BG166" s="212">
        <f>BG165/BG56</f>
        <v>0.91607495670701089</v>
      </c>
      <c r="BH166" s="138"/>
      <c r="BI166" s="138"/>
      <c r="BJ166" s="138"/>
      <c r="BK166" s="138"/>
      <c r="BL166" s="212">
        <f>BL165/BL56</f>
        <v>0.81456823967103975</v>
      </c>
      <c r="BM166" s="138"/>
      <c r="BN166" s="138"/>
      <c r="BO166" s="138"/>
      <c r="BP166" s="138"/>
      <c r="BQ166" s="212">
        <f>BQ165/BQ56</f>
        <v>1.0797493219553298</v>
      </c>
      <c r="BR166" s="138"/>
      <c r="BS166" s="138"/>
      <c r="BT166" s="138"/>
      <c r="BU166" s="138"/>
      <c r="BV166" s="212">
        <f ca="1">BV165/BV56</f>
        <v>1.2396120294021744</v>
      </c>
      <c r="BW166" s="138"/>
      <c r="BX166" s="138"/>
      <c r="BY166" s="138"/>
      <c r="BZ166" s="138"/>
      <c r="CA166" s="212">
        <f ca="1">CA165/CA56</f>
        <v>1.4075014438990205</v>
      </c>
      <c r="CB166" s="138"/>
      <c r="CC166" s="138"/>
      <c r="CD166" s="138"/>
      <c r="CE166" s="138"/>
      <c r="CF166" s="212">
        <f ca="1">CF165/CF56</f>
        <v>1.5656542168890806</v>
      </c>
      <c r="CG166" s="138"/>
      <c r="CH166" s="138"/>
      <c r="CI166" s="138"/>
      <c r="CJ166" s="138"/>
      <c r="CK166" s="212">
        <f ca="1">CK165/CK56</f>
        <v>1.7061411590975419</v>
      </c>
      <c r="CL166" s="138"/>
      <c r="CM166" s="138"/>
      <c r="CN166" s="138"/>
      <c r="CO166" s="138"/>
      <c r="CP166" s="212">
        <f ca="1">CP165/CP56</f>
        <v>1.8448050404785483</v>
      </c>
    </row>
    <row r="167" spans="1:109" x14ac:dyDescent="0.25">
      <c r="B167" s="52" t="s">
        <v>1</v>
      </c>
      <c r="C167" s="188"/>
      <c r="D167" s="188">
        <f>D166/C166-1</f>
        <v>0.7871352212880256</v>
      </c>
      <c r="E167" s="138"/>
      <c r="F167" s="138"/>
      <c r="G167" s="138">
        <f>+(G137+F137+E137)</f>
        <v>343.3</v>
      </c>
      <c r="H167" s="138"/>
      <c r="I167" s="188">
        <f>I166/D166-1</f>
        <v>0.38168932549991119</v>
      </c>
      <c r="J167" s="138"/>
      <c r="K167" s="138"/>
      <c r="L167" s="138"/>
      <c r="M167" s="138"/>
      <c r="N167" s="188">
        <f t="shared" ref="N167:AB167" si="230">N166/I166-1</f>
        <v>-0.16356066337631636</v>
      </c>
      <c r="O167" s="138" t="e">
        <f t="shared" si="230"/>
        <v>#DIV/0!</v>
      </c>
      <c r="P167" s="138" t="e">
        <f t="shared" si="230"/>
        <v>#DIV/0!</v>
      </c>
      <c r="Q167" s="138" t="e">
        <f t="shared" si="230"/>
        <v>#DIV/0!</v>
      </c>
      <c r="R167" s="138" t="e">
        <f t="shared" si="230"/>
        <v>#DIV/0!</v>
      </c>
      <c r="S167" s="188">
        <f t="shared" si="230"/>
        <v>9.2986797012326594E-3</v>
      </c>
      <c r="T167" s="138">
        <f t="shared" si="230"/>
        <v>0.79723502304147487</v>
      </c>
      <c r="U167" s="138">
        <f t="shared" si="230"/>
        <v>2.2958818381904482</v>
      </c>
      <c r="V167" s="138">
        <f t="shared" si="230"/>
        <v>0.28368253200333382</v>
      </c>
      <c r="W167" s="138">
        <f t="shared" si="230"/>
        <v>1.0012181239729214</v>
      </c>
      <c r="X167" s="188">
        <f t="shared" si="230"/>
        <v>0.66825879319057124</v>
      </c>
      <c r="Y167" s="138">
        <f t="shared" si="230"/>
        <v>-0.20105881301732531</v>
      </c>
      <c r="Z167" s="138">
        <f t="shared" si="230"/>
        <v>-1.028881365755987</v>
      </c>
      <c r="AA167" s="138">
        <f t="shared" si="230"/>
        <v>0.15092546057033851</v>
      </c>
      <c r="AB167" s="138">
        <f t="shared" si="230"/>
        <v>7.9282158642174361E-2</v>
      </c>
      <c r="AC167" s="188">
        <f ca="1">AC166/X166-1</f>
        <v>-8.5799448048253124E-2</v>
      </c>
      <c r="AD167" s="138">
        <f t="shared" ref="AD167:AT167" si="231">AD166/Y166-1</f>
        <v>0.22549042816742793</v>
      </c>
      <c r="AE167" s="138">
        <f t="shared" si="231"/>
        <v>-53.521640079626572</v>
      </c>
      <c r="AF167" s="138">
        <f t="shared" si="231"/>
        <v>1.7695754890723281E-2</v>
      </c>
      <c r="AG167" s="138">
        <f t="shared" si="231"/>
        <v>-0.22133727610855181</v>
      </c>
      <c r="AH167" s="188">
        <f ca="1">AH166/AC166-1</f>
        <v>0.17936902397575838</v>
      </c>
      <c r="AI167" s="138">
        <f t="shared" si="231"/>
        <v>-0.17606802921929954</v>
      </c>
      <c r="AJ167" s="138">
        <f t="shared" si="231"/>
        <v>-9.9742004813158647E-2</v>
      </c>
      <c r="AK167" s="138">
        <f t="shared" si="231"/>
        <v>-7.182688394166914E-3</v>
      </c>
      <c r="AL167" s="138">
        <f t="shared" si="231"/>
        <v>0.12069613668036894</v>
      </c>
      <c r="AM167" s="188">
        <f ca="1">AM166/AH166-1</f>
        <v>-3.1986657593710777E-2</v>
      </c>
      <c r="AN167" s="138">
        <f t="shared" si="231"/>
        <v>-0.34892408478978265</v>
      </c>
      <c r="AO167" s="138">
        <f t="shared" si="231"/>
        <v>9.8212937958270574E-2</v>
      </c>
      <c r="AP167" s="138">
        <f t="shared" si="231"/>
        <v>-0.15550691818880114</v>
      </c>
      <c r="AQ167" s="138">
        <f t="shared" si="231"/>
        <v>0.30793418622721891</v>
      </c>
      <c r="AR167" s="188">
        <f t="shared" si="231"/>
        <v>-4.5454917890537239E-2</v>
      </c>
      <c r="AS167" s="138">
        <f t="shared" si="231"/>
        <v>0.23716421779522734</v>
      </c>
      <c r="AT167" s="138">
        <f t="shared" si="231"/>
        <v>-0.28821751404147189</v>
      </c>
      <c r="AU167" s="138">
        <f>AU166/AP166-1</f>
        <v>4.447053760512043E-2</v>
      </c>
      <c r="AV167" s="138">
        <f>AV166/AQ166-1</f>
        <v>-9.4130676826417403E-2</v>
      </c>
      <c r="AW167" s="188">
        <f>AW166/AR166-1</f>
        <v>-3.0012343243067452E-2</v>
      </c>
      <c r="AX167" s="138"/>
      <c r="AY167" s="138"/>
      <c r="AZ167" s="138"/>
      <c r="BA167" s="138"/>
      <c r="BB167" s="188">
        <f>BB166/AW166-1</f>
        <v>0.18272978156158137</v>
      </c>
      <c r="BC167" s="138"/>
      <c r="BD167" s="138"/>
      <c r="BE167" s="138"/>
      <c r="BF167" s="138"/>
      <c r="BG167" s="188">
        <f>BG166/BB166-1</f>
        <v>-5.8168098286533021E-2</v>
      </c>
      <c r="BH167" s="138"/>
      <c r="BI167" s="138"/>
      <c r="BJ167" s="138"/>
      <c r="BK167" s="138"/>
      <c r="BL167" s="188">
        <f>BL166/BG166-1</f>
        <v>-0.11080612595376971</v>
      </c>
      <c r="BM167" s="138"/>
      <c r="BN167" s="138"/>
      <c r="BO167" s="138"/>
      <c r="BP167" s="138"/>
      <c r="BQ167" s="188">
        <f>BQ166/BL166-1</f>
        <v>0.32554802577544928</v>
      </c>
      <c r="BR167" s="138"/>
      <c r="BS167" s="138"/>
      <c r="BT167" s="138"/>
      <c r="BU167" s="138"/>
      <c r="BV167" s="188">
        <f ca="1">BV166/BQ166-1</f>
        <v>0.14805539044687466</v>
      </c>
      <c r="BW167" s="138"/>
      <c r="BX167" s="138"/>
      <c r="BY167" s="138"/>
      <c r="BZ167" s="138"/>
      <c r="CA167" s="188">
        <f ca="1">CA166/BV166-1</f>
        <v>0.13543706459335825</v>
      </c>
      <c r="CB167" s="138"/>
      <c r="CC167" s="138"/>
      <c r="CD167" s="138"/>
      <c r="CE167" s="138"/>
      <c r="CF167" s="188">
        <f ca="1">CF166/CA166-1</f>
        <v>0.11236419946536591</v>
      </c>
      <c r="CG167" s="138"/>
      <c r="CH167" s="138"/>
      <c r="CI167" s="138"/>
      <c r="CJ167" s="138"/>
      <c r="CK167" s="188">
        <f ca="1">CK166/CF166-1</f>
        <v>8.9730504151552593E-2</v>
      </c>
      <c r="CL167" s="138"/>
      <c r="CM167" s="138"/>
      <c r="CN167" s="138"/>
      <c r="CO167" s="138"/>
      <c r="CP167" s="188">
        <f ca="1">CP166/CK166-1</f>
        <v>8.1273393260351545E-2</v>
      </c>
    </row>
    <row r="168" spans="1:109" x14ac:dyDescent="0.25">
      <c r="A168" s="52" t="s">
        <v>92</v>
      </c>
      <c r="C168" s="209">
        <f>(C149+C151)*-1</f>
        <v>653</v>
      </c>
      <c r="D168" s="209">
        <f>(D149+D151)*-1</f>
        <v>85</v>
      </c>
      <c r="E168" s="138"/>
      <c r="F168" s="138"/>
      <c r="G168" s="60"/>
      <c r="H168" s="138"/>
      <c r="I168" s="209">
        <f>(I149+I151)*-1</f>
        <v>103</v>
      </c>
      <c r="J168" s="138"/>
      <c r="K168" s="138"/>
      <c r="L168" s="60"/>
      <c r="M168" s="138"/>
      <c r="N168" s="209">
        <f t="shared" ref="N168:AC168" si="232">(N149+N151)*-1</f>
        <v>105</v>
      </c>
      <c r="O168" s="138">
        <f t="shared" si="232"/>
        <v>14.2</v>
      </c>
      <c r="P168" s="138">
        <f t="shared" si="232"/>
        <v>23.799999999999997</v>
      </c>
      <c r="Q168" s="60">
        <f t="shared" si="232"/>
        <v>34.799999999999997</v>
      </c>
      <c r="R168" s="138">
        <f t="shared" si="232"/>
        <v>37.199999999999996</v>
      </c>
      <c r="S168" s="209">
        <f t="shared" si="232"/>
        <v>110</v>
      </c>
      <c r="T168" s="138">
        <f t="shared" si="232"/>
        <v>233.4</v>
      </c>
      <c r="U168" s="138">
        <f t="shared" si="232"/>
        <v>47.299999999999983</v>
      </c>
      <c r="V168" s="60">
        <f t="shared" si="232"/>
        <v>141.89999999999998</v>
      </c>
      <c r="W168" s="138">
        <f t="shared" si="232"/>
        <v>141.40000000000006</v>
      </c>
      <c r="X168" s="209">
        <f t="shared" si="232"/>
        <v>564</v>
      </c>
      <c r="Y168" s="138">
        <f t="shared" si="232"/>
        <v>42.1</v>
      </c>
      <c r="Z168" s="138">
        <f t="shared" si="232"/>
        <v>41.2</v>
      </c>
      <c r="AA168" s="138">
        <f t="shared" si="232"/>
        <v>68.2</v>
      </c>
      <c r="AB168" s="138">
        <f t="shared" si="232"/>
        <v>60.5</v>
      </c>
      <c r="AC168" s="209">
        <f t="shared" si="232"/>
        <v>212</v>
      </c>
      <c r="AD168" s="138">
        <f t="shared" ref="AD168:AW168" si="233">(AD149+AD151)*-1</f>
        <v>93.600000000000009</v>
      </c>
      <c r="AE168" s="138">
        <f t="shared" si="233"/>
        <v>130.69999999999999</v>
      </c>
      <c r="AF168" s="138">
        <f t="shared" si="233"/>
        <v>63.800000000000026</v>
      </c>
      <c r="AG168" s="138">
        <f t="shared" si="233"/>
        <v>46.899999999999991</v>
      </c>
      <c r="AH168" s="209">
        <f t="shared" si="233"/>
        <v>335</v>
      </c>
      <c r="AI168" s="138">
        <f t="shared" si="233"/>
        <v>88.699999999999989</v>
      </c>
      <c r="AJ168" s="138">
        <f t="shared" si="233"/>
        <v>102.80000000000001</v>
      </c>
      <c r="AK168" s="138">
        <f t="shared" si="233"/>
        <v>204.10000000000002</v>
      </c>
      <c r="AL168" s="138">
        <f t="shared" si="233"/>
        <v>67.400000000000006</v>
      </c>
      <c r="AM168" s="209">
        <f t="shared" si="233"/>
        <v>463</v>
      </c>
      <c r="AN168" s="138">
        <f t="shared" si="233"/>
        <v>62.199999999999996</v>
      </c>
      <c r="AO168" s="138">
        <f t="shared" si="233"/>
        <v>243.49999999999997</v>
      </c>
      <c r="AP168" s="138">
        <f t="shared" si="233"/>
        <v>54.600000000000016</v>
      </c>
      <c r="AQ168" s="138">
        <f t="shared" si="233"/>
        <v>53.700000000000038</v>
      </c>
      <c r="AR168" s="209">
        <f t="shared" si="233"/>
        <v>414</v>
      </c>
      <c r="AS168" s="138">
        <f t="shared" si="233"/>
        <v>46.199999999999996</v>
      </c>
      <c r="AT168" s="138">
        <f t="shared" si="233"/>
        <v>50.800000000000004</v>
      </c>
      <c r="AU168" s="138">
        <f t="shared" si="233"/>
        <v>914.9</v>
      </c>
      <c r="AV168" s="138">
        <f t="shared" si="233"/>
        <v>51.1</v>
      </c>
      <c r="AW168" s="209">
        <f t="shared" si="233"/>
        <v>1063</v>
      </c>
      <c r="AX168" s="138"/>
      <c r="AY168" s="138"/>
      <c r="AZ168" s="138"/>
      <c r="BA168" s="138"/>
      <c r="BB168" s="209">
        <f>(BB149+BB151)*-1</f>
        <v>282</v>
      </c>
      <c r="BC168" s="138"/>
      <c r="BD168" s="138"/>
      <c r="BE168" s="138"/>
      <c r="BF168" s="138"/>
      <c r="BG168" s="209">
        <f>(BG149+BG151)*-1</f>
        <v>718</v>
      </c>
      <c r="BH168" s="138"/>
      <c r="BI168" s="138"/>
      <c r="BJ168" s="138"/>
      <c r="BK168" s="138"/>
      <c r="BL168" s="209">
        <f>(BL149+BL151)*-1</f>
        <v>1373</v>
      </c>
      <c r="BM168" s="138"/>
      <c r="BN168" s="138"/>
      <c r="BO168" s="138"/>
      <c r="BP168" s="138"/>
      <c r="BQ168" s="209">
        <f>(BQ149+BQ151)*-1</f>
        <v>875</v>
      </c>
      <c r="BR168" s="138"/>
      <c r="BS168" s="138"/>
      <c r="BT168" s="138"/>
      <c r="BU168" s="138"/>
      <c r="BV168" s="209">
        <f>(BV149+BV151)*-1</f>
        <v>599.81472968992534</v>
      </c>
      <c r="BW168" s="138"/>
      <c r="BX168" s="138"/>
      <c r="BY168" s="138"/>
      <c r="BZ168" s="138"/>
      <c r="CA168" s="209">
        <f>(CA149+CA151)*-1</f>
        <v>817.75679545237324</v>
      </c>
      <c r="CB168" s="138"/>
      <c r="CC168" s="138"/>
      <c r="CD168" s="138"/>
      <c r="CE168" s="138"/>
      <c r="CF168" s="209">
        <f>(CF149+CF151)*-1</f>
        <v>848.9635028192738</v>
      </c>
      <c r="CG168" s="138"/>
      <c r="CH168" s="138"/>
      <c r="CI168" s="138"/>
      <c r="CJ168" s="138"/>
      <c r="CK168" s="209">
        <f>(CK149+CK151)*-1</f>
        <v>879.1870373419074</v>
      </c>
      <c r="CL168" s="138"/>
      <c r="CM168" s="138"/>
      <c r="CN168" s="138"/>
      <c r="CO168" s="138"/>
      <c r="CP168" s="209">
        <f>(CP149+CP151)*-1</f>
        <v>908.524067864519</v>
      </c>
    </row>
    <row r="169" spans="1:109" x14ac:dyDescent="0.25">
      <c r="A169" s="52" t="s">
        <v>93</v>
      </c>
      <c r="C169" s="188">
        <f>C168/C165</f>
        <v>5.2661290322580649</v>
      </c>
      <c r="D169" s="188">
        <f>D168/D165</f>
        <v>0.34</v>
      </c>
      <c r="E169" s="138"/>
      <c r="F169" s="138"/>
      <c r="G169" s="138"/>
      <c r="H169" s="138"/>
      <c r="I169" s="188">
        <f>I168/I165</f>
        <v>0.29682997118155618</v>
      </c>
      <c r="J169" s="138"/>
      <c r="K169" s="138"/>
      <c r="L169" s="138"/>
      <c r="M169" s="138"/>
      <c r="N169" s="188">
        <f t="shared" ref="N169:AB169" si="234">N168/N165</f>
        <v>0.3595890410958904</v>
      </c>
      <c r="O169" s="138">
        <f t="shared" si="234"/>
        <v>0.21812596006144394</v>
      </c>
      <c r="P169" s="138">
        <f t="shared" si="234"/>
        <v>1.3837209302325577</v>
      </c>
      <c r="Q169" s="138">
        <f t="shared" si="234"/>
        <v>0.23230974632843787</v>
      </c>
      <c r="R169" s="138">
        <f t="shared" si="234"/>
        <v>0.57318952234206488</v>
      </c>
      <c r="S169" s="188">
        <f t="shared" si="234"/>
        <v>0.37037037037037035</v>
      </c>
      <c r="T169" s="138">
        <f t="shared" si="234"/>
        <v>1.9948717948717949</v>
      </c>
      <c r="U169" s="138">
        <f t="shared" si="234"/>
        <v>0.83274647887323916</v>
      </c>
      <c r="V169" s="138">
        <f t="shared" si="234"/>
        <v>0.73944762897342364</v>
      </c>
      <c r="W169" s="138">
        <f t="shared" si="234"/>
        <v>1.1107619795758055</v>
      </c>
      <c r="X169" s="188">
        <f t="shared" si="234"/>
        <v>1.1440162271805274</v>
      </c>
      <c r="Y169" s="138">
        <f t="shared" si="234"/>
        <v>0.46010928961748637</v>
      </c>
      <c r="Z169" s="138">
        <f t="shared" si="234"/>
        <v>-25.749999999999979</v>
      </c>
      <c r="AA169" s="138">
        <f t="shared" si="234"/>
        <v>0.31588698471514592</v>
      </c>
      <c r="AB169" s="138">
        <f t="shared" si="234"/>
        <v>0.44419970631424371</v>
      </c>
      <c r="AC169" s="188">
        <f ca="1">AC168/AC165</f>
        <v>0.47963800904977372</v>
      </c>
      <c r="AD169" s="138">
        <f t="shared" ref="AD169:AT169" si="235">AD168/AD165</f>
        <v>0.84324324324324329</v>
      </c>
      <c r="AE169" s="138">
        <f t="shared" si="235"/>
        <v>1.5880923450789792</v>
      </c>
      <c r="AF169" s="138">
        <f t="shared" si="235"/>
        <v>0.29813084112149546</v>
      </c>
      <c r="AG169" s="138">
        <f t="shared" si="235"/>
        <v>0.45226615236258422</v>
      </c>
      <c r="AH169" s="188">
        <f ca="1">AH168/AH165</f>
        <v>0.65557729941291576</v>
      </c>
      <c r="AI169" s="138">
        <f t="shared" si="235"/>
        <v>0.98885172798216281</v>
      </c>
      <c r="AJ169" s="138">
        <f t="shared" si="235"/>
        <v>1.4082191780821918</v>
      </c>
      <c r="AK169" s="138">
        <f t="shared" si="235"/>
        <v>0.97051830718021903</v>
      </c>
      <c r="AL169" s="138">
        <f t="shared" si="235"/>
        <v>0.58608695652173892</v>
      </c>
      <c r="AM169" s="188">
        <f t="shared" si="235"/>
        <v>0.94877049180327844</v>
      </c>
      <c r="AN169" s="138">
        <f t="shared" si="235"/>
        <v>1.0761245674740485</v>
      </c>
      <c r="AO169" s="138">
        <f t="shared" si="235"/>
        <v>3.0861850443599486</v>
      </c>
      <c r="AP169" s="138">
        <f t="shared" si="235"/>
        <v>0.31397354801610133</v>
      </c>
      <c r="AQ169" s="138">
        <f t="shared" si="235"/>
        <v>0.36431478968792425</v>
      </c>
      <c r="AR169" s="188">
        <f t="shared" si="235"/>
        <v>0.90393013100436681</v>
      </c>
      <c r="AS169" s="138">
        <f t="shared" si="235"/>
        <v>0.65811965811965811</v>
      </c>
      <c r="AT169" s="138">
        <f t="shared" si="235"/>
        <v>0.91039426523297518</v>
      </c>
      <c r="AU169" s="138">
        <f>AU168/AU165</f>
        <v>5.024162548050521</v>
      </c>
      <c r="AV169" s="138">
        <f>AV168/AV165</f>
        <v>0.38162808065720705</v>
      </c>
      <c r="AW169" s="188">
        <f>AW168/AW165</f>
        <v>2.4049773755656108</v>
      </c>
      <c r="AX169" s="138"/>
      <c r="AY169" s="138"/>
      <c r="AZ169" s="138"/>
      <c r="BA169" s="138"/>
      <c r="BB169" s="188">
        <f>BB168/BB165</f>
        <v>0.53919694072657742</v>
      </c>
      <c r="BC169" s="138"/>
      <c r="BD169" s="138"/>
      <c r="BE169" s="138"/>
      <c r="BF169" s="138"/>
      <c r="BG169" s="188">
        <f>BG168/BG165</f>
        <v>1.471311475409836</v>
      </c>
      <c r="BH169" s="138"/>
      <c r="BI169" s="138"/>
      <c r="BJ169" s="138"/>
      <c r="BK169" s="138"/>
      <c r="BL169" s="188">
        <f>BL168/BL165</f>
        <v>3.3004807692307692</v>
      </c>
      <c r="BM169" s="138"/>
      <c r="BN169" s="138"/>
      <c r="BO169" s="138"/>
      <c r="BP169" s="138"/>
      <c r="BQ169" s="188">
        <f>BQ168/BQ165</f>
        <v>1.6603415559772297</v>
      </c>
      <c r="BR169" s="138"/>
      <c r="BS169" s="138"/>
      <c r="BT169" s="138"/>
      <c r="BU169" s="138"/>
      <c r="BV169" s="188">
        <f ca="1">BV168/BV165</f>
        <v>1.00434408860402</v>
      </c>
      <c r="BW169" s="138"/>
      <c r="BX169" s="138"/>
      <c r="BY169" s="138"/>
      <c r="BZ169" s="138"/>
      <c r="CA169" s="188">
        <f ca="1">CA168/CA165</f>
        <v>1.2283594144375634</v>
      </c>
      <c r="CB169" s="138"/>
      <c r="CC169" s="138"/>
      <c r="CD169" s="138"/>
      <c r="CE169" s="138"/>
      <c r="CF169" s="188">
        <f ca="1">CF168/CF165</f>
        <v>1.1682194903270788</v>
      </c>
      <c r="CG169" s="138"/>
      <c r="CH169" s="138"/>
      <c r="CI169" s="138"/>
      <c r="CJ169" s="138"/>
      <c r="CK169" s="188">
        <f ca="1">CK168/CK165</f>
        <v>1.1304304143147093</v>
      </c>
      <c r="CL169" s="138"/>
      <c r="CM169" s="138"/>
      <c r="CN169" s="138"/>
      <c r="CO169" s="138"/>
      <c r="CP169" s="188">
        <f ca="1">CP168/CP165</f>
        <v>1.0992145529575199</v>
      </c>
    </row>
    <row r="170" spans="1:109" x14ac:dyDescent="0.25">
      <c r="A170" s="213" t="s">
        <v>94</v>
      </c>
      <c r="C170" s="137"/>
      <c r="D170" s="137"/>
      <c r="E170" s="138"/>
      <c r="F170" s="138"/>
      <c r="G170" s="138"/>
      <c r="H170" s="138"/>
      <c r="I170" s="137"/>
      <c r="J170" s="138"/>
      <c r="K170" s="138"/>
      <c r="L170" s="138"/>
      <c r="M170" s="138"/>
      <c r="N170" s="137"/>
      <c r="O170" s="138"/>
      <c r="P170" s="138"/>
      <c r="Q170" s="138"/>
      <c r="R170" s="138"/>
      <c r="S170" s="137"/>
      <c r="T170" s="138"/>
      <c r="U170" s="138"/>
      <c r="V170" s="138"/>
      <c r="W170" s="138"/>
      <c r="X170" s="137"/>
      <c r="Y170" s="138"/>
      <c r="Z170" s="138"/>
      <c r="AA170" s="138"/>
      <c r="AB170" s="138"/>
      <c r="AC170" s="137"/>
      <c r="AD170" s="138"/>
      <c r="AE170" s="138"/>
      <c r="AF170" s="138"/>
      <c r="AG170" s="138"/>
      <c r="AH170" s="137"/>
      <c r="AI170" s="138"/>
      <c r="AJ170" s="138"/>
      <c r="AK170" s="138"/>
      <c r="AL170" s="138"/>
      <c r="AM170" s="137"/>
      <c r="AN170" s="138"/>
      <c r="AO170" s="138"/>
      <c r="AP170" s="138"/>
      <c r="AQ170" s="138"/>
      <c r="AR170" s="137"/>
      <c r="AS170" s="138"/>
      <c r="AT170" s="60"/>
      <c r="AU170" s="138"/>
      <c r="AV170" s="138"/>
      <c r="AW170" s="137"/>
      <c r="AX170" s="138"/>
      <c r="AY170" s="138"/>
      <c r="AZ170" s="138"/>
      <c r="BA170" s="138"/>
      <c r="BB170" s="137"/>
      <c r="BC170" s="138"/>
      <c r="BD170" s="138"/>
      <c r="BE170" s="138"/>
      <c r="BF170" s="138"/>
      <c r="BG170" s="137"/>
      <c r="BH170" s="138"/>
      <c r="BI170" s="138"/>
      <c r="BJ170" s="138"/>
      <c r="BK170" s="138"/>
      <c r="BL170" s="137"/>
      <c r="BM170" s="138"/>
      <c r="BN170" s="138"/>
      <c r="BO170" s="138"/>
      <c r="BP170" s="138"/>
      <c r="BQ170" s="137"/>
      <c r="BR170" s="138"/>
      <c r="BS170" s="138"/>
      <c r="BT170" s="138"/>
      <c r="BU170" s="138"/>
      <c r="BV170" s="137"/>
      <c r="BW170" s="138"/>
      <c r="BX170" s="138"/>
      <c r="BY170" s="138"/>
      <c r="BZ170" s="138"/>
      <c r="CA170" s="137"/>
      <c r="CB170" s="138"/>
      <c r="CC170" s="138"/>
      <c r="CD170" s="138"/>
      <c r="CE170" s="138"/>
      <c r="CF170" s="137"/>
      <c r="CG170" s="138"/>
      <c r="CH170" s="138"/>
      <c r="CI170" s="138"/>
      <c r="CJ170" s="138"/>
      <c r="CK170" s="137"/>
      <c r="CL170" s="138"/>
      <c r="CM170" s="138"/>
      <c r="CN170" s="138"/>
      <c r="CO170" s="138"/>
      <c r="CP170" s="137"/>
    </row>
    <row r="171" spans="1:109" x14ac:dyDescent="0.25">
      <c r="B171" s="106" t="s">
        <v>95</v>
      </c>
      <c r="C171" s="137"/>
      <c r="D171" s="137"/>
      <c r="E171" s="138"/>
      <c r="F171" s="138"/>
      <c r="G171" s="138"/>
      <c r="H171" s="138"/>
      <c r="I171" s="137"/>
      <c r="J171" s="138"/>
      <c r="K171" s="138"/>
      <c r="L171" s="138"/>
      <c r="M171" s="138"/>
      <c r="N171" s="137"/>
      <c r="O171" s="138"/>
      <c r="P171" s="138"/>
      <c r="Q171" s="138"/>
      <c r="R171" s="138"/>
      <c r="S171" s="137"/>
      <c r="T171" s="138"/>
      <c r="U171" s="138"/>
      <c r="V171" s="138">
        <v>2.1409965</v>
      </c>
      <c r="W171" s="138">
        <v>4.7785714285714285</v>
      </c>
      <c r="X171" s="137">
        <v>6.9195679285714284</v>
      </c>
      <c r="Y171" s="139">
        <v>5.9210526315789476E-3</v>
      </c>
      <c r="Z171" s="139">
        <v>0</v>
      </c>
      <c r="AA171" s="139">
        <v>0.70118999999999998</v>
      </c>
      <c r="AB171" s="139">
        <v>0.55980600000000003</v>
      </c>
      <c r="AC171" s="194">
        <v>1.2669170526315789</v>
      </c>
      <c r="AD171" s="139">
        <v>1.7826465</v>
      </c>
      <c r="AE171" s="139">
        <v>2.7990495000000002</v>
      </c>
      <c r="AF171" s="139">
        <v>0.55638600000000005</v>
      </c>
      <c r="AG171" s="139">
        <v>0</v>
      </c>
      <c r="AH171" s="194">
        <v>5.1380820000000007</v>
      </c>
      <c r="AI171" s="139">
        <v>1.1986515</v>
      </c>
      <c r="AJ171" s="139">
        <v>1.4705895</v>
      </c>
      <c r="AK171" s="139">
        <v>0.2889465</v>
      </c>
      <c r="AL171" s="139">
        <v>0.38330850000000005</v>
      </c>
      <c r="AM171" s="194">
        <v>3.3414959999999998</v>
      </c>
      <c r="AN171" s="139">
        <v>0.38500200000000001</v>
      </c>
      <c r="AO171" s="140">
        <v>4.2846900000000003</v>
      </c>
      <c r="AP171" s="30">
        <v>7.4325000000000002E-2</v>
      </c>
      <c r="AQ171" s="30">
        <v>0</v>
      </c>
      <c r="AR171" s="194">
        <v>4.7440170000000004</v>
      </c>
      <c r="AS171" s="139">
        <v>0</v>
      </c>
      <c r="AT171" s="30">
        <v>0</v>
      </c>
      <c r="AU171" s="30">
        <v>0</v>
      </c>
      <c r="AV171" s="30">
        <v>0</v>
      </c>
      <c r="AW171" s="194">
        <f>+AS171+AT171+AU171+AV171</f>
        <v>0</v>
      </c>
      <c r="AX171" s="30">
        <v>0</v>
      </c>
      <c r="AY171" s="30">
        <v>0.68627199999999999</v>
      </c>
      <c r="AZ171" s="139">
        <f>-AZ173/AZ172</f>
        <v>0.67567567567567566</v>
      </c>
      <c r="BA171" s="30">
        <v>0</v>
      </c>
      <c r="BB171" s="194">
        <f>+AX171+AY171+AZ171+BA171</f>
        <v>1.3619476756756757</v>
      </c>
      <c r="BC171" s="139">
        <v>0.1</v>
      </c>
      <c r="BD171" s="139">
        <f>2.2-BC171</f>
        <v>2.1</v>
      </c>
      <c r="BE171" s="139">
        <f>3-BD171-BC171</f>
        <v>0.79999999999999993</v>
      </c>
      <c r="BF171" s="139">
        <f>5.1-SUM(BC171:BE171)</f>
        <v>2.0999999999999996</v>
      </c>
      <c r="BG171" s="194">
        <f>+BC171+BD171+BE171+BF171</f>
        <v>5.0999999999999996</v>
      </c>
      <c r="BH171" s="139">
        <v>2.4</v>
      </c>
      <c r="BI171" s="139">
        <f>7.6-BH171</f>
        <v>5.1999999999999993</v>
      </c>
      <c r="BJ171" s="139">
        <f>7.8-SUM(BH171:BI171)</f>
        <v>0.20000000000000018</v>
      </c>
      <c r="BK171" s="139">
        <f>BL171-SUM(BH171:BJ171)</f>
        <v>3.6000000000000005</v>
      </c>
      <c r="BL171" s="194">
        <v>11.4</v>
      </c>
      <c r="BM171" s="139">
        <v>4.2</v>
      </c>
      <c r="BN171" s="139">
        <f>9.3-BM171</f>
        <v>5.1000000000000005</v>
      </c>
      <c r="BO171" s="139">
        <f>11.8-BN171-BM171</f>
        <v>2.5</v>
      </c>
      <c r="BP171" s="139">
        <f>11.9-BO171-BN171-BM171</f>
        <v>9.9999999999999645E-2</v>
      </c>
      <c r="BQ171" s="194">
        <f>+BM171+BN171+BO171+BP171</f>
        <v>11.9</v>
      </c>
      <c r="BR171" s="139">
        <f>-BR173/BR172</f>
        <v>1.998001998001998E-2</v>
      </c>
      <c r="BS171" s="139">
        <f>-BS173/BS172</f>
        <v>0</v>
      </c>
      <c r="BT171" s="139">
        <f>-BT173/BT172</f>
        <v>2.9056252905625288</v>
      </c>
      <c r="BU171" s="139">
        <f>-BU173/BU172</f>
        <v>2.8626850153325409</v>
      </c>
      <c r="BV171" s="194">
        <f>+BR171+BS171+BT171+BU171</f>
        <v>5.7882903258750904</v>
      </c>
      <c r="BW171" s="139">
        <f>-BW173/BW172</f>
        <v>2.3503161045423164</v>
      </c>
      <c r="BX171" s="139">
        <f>-BX173/BX172</f>
        <v>2.3155823690072084</v>
      </c>
      <c r="BY171" s="139">
        <f>-BY173/BY172</f>
        <v>2.2813619399085798</v>
      </c>
      <c r="BZ171" s="139">
        <f>-BZ173/BZ172</f>
        <v>2.2476472314370248</v>
      </c>
      <c r="CA171" s="194">
        <f>+BW171+BX171+BY171+BZ171</f>
        <v>9.1949076448951299</v>
      </c>
      <c r="CB171" s="139">
        <f>-CB173/CB172</f>
        <v>2.2144307698886947</v>
      </c>
      <c r="CC171" s="139">
        <f>-CC173/CC172</f>
        <v>2.1817051920085664</v>
      </c>
      <c r="CD171" s="139">
        <f>-CD173/CD172</f>
        <v>2.1494632433581935</v>
      </c>
      <c r="CE171" s="139">
        <f>-CE173/CE172</f>
        <v>2.1176977767075802</v>
      </c>
      <c r="CF171" s="194">
        <f>+CB171+CC171+CD171+CE171</f>
        <v>8.6632969819630343</v>
      </c>
      <c r="CG171" s="139">
        <f>-CG173/CG172</f>
        <v>2.0864017504508179</v>
      </c>
      <c r="CH171" s="139">
        <f>-CH173/CH172</f>
        <v>2.055568227045141</v>
      </c>
      <c r="CI171" s="139">
        <f>-CI173/CI172</f>
        <v>2.0251903714730455</v>
      </c>
      <c r="CJ171" s="139">
        <f>-CJ173/CJ172</f>
        <v>1.9952614497271384</v>
      </c>
      <c r="CK171" s="194">
        <f>+CG171+CH171+CI171+CJ171</f>
        <v>8.162421798696144</v>
      </c>
      <c r="CL171" s="139">
        <f>-CL173/CL172</f>
        <v>1.9657748273173778</v>
      </c>
      <c r="CM171" s="139">
        <f>-CM173/CM172</f>
        <v>1.9367239678003725</v>
      </c>
      <c r="CN171" s="139">
        <f>-CN173/CN172</f>
        <v>1.9081024313304165</v>
      </c>
      <c r="CO171" s="139">
        <f>-CO173/CO172</f>
        <v>1.8799038732319377</v>
      </c>
      <c r="CP171" s="194">
        <f>+CL171+CM171+CN171+CO171</f>
        <v>7.690505099680105</v>
      </c>
    </row>
    <row r="172" spans="1:109" x14ac:dyDescent="0.25">
      <c r="B172" s="175" t="s">
        <v>96</v>
      </c>
      <c r="C172" s="156"/>
      <c r="D172" s="156"/>
      <c r="E172" s="138"/>
      <c r="F172" s="138"/>
      <c r="G172" s="138"/>
      <c r="H172" s="138"/>
      <c r="I172" s="156"/>
      <c r="J172" s="138"/>
      <c r="K172" s="138"/>
      <c r="L172" s="138"/>
      <c r="M172" s="138"/>
      <c r="N172" s="156"/>
      <c r="O172" s="138"/>
      <c r="P172" s="138"/>
      <c r="Q172" s="138"/>
      <c r="R172" s="138"/>
      <c r="S172" s="156"/>
      <c r="T172" s="138"/>
      <c r="U172" s="138"/>
      <c r="V172" s="138">
        <f>-V173/V171</f>
        <v>46.707222548005092</v>
      </c>
      <c r="W172" s="138">
        <f t="shared" ref="W172:AP172" si="236">-W173/W171</f>
        <v>20.86397608370703</v>
      </c>
      <c r="X172" s="137">
        <f t="shared" si="236"/>
        <v>29.192574173009625</v>
      </c>
      <c r="Y172" s="214">
        <f t="shared" si="236"/>
        <v>168.88888888888889</v>
      </c>
      <c r="Z172" s="214" t="e">
        <f t="shared" si="236"/>
        <v>#DIV/0!</v>
      </c>
      <c r="AA172" s="214">
        <f t="shared" si="236"/>
        <v>35.368445071949118</v>
      </c>
      <c r="AB172" s="214">
        <f t="shared" si="236"/>
        <v>30.54629639553702</v>
      </c>
      <c r="AC172" s="215">
        <f t="shared" si="236"/>
        <v>33.940659264694936</v>
      </c>
      <c r="AD172" s="214">
        <f t="shared" si="236"/>
        <v>28.272571146326545</v>
      </c>
      <c r="AE172" s="214">
        <f t="shared" si="236"/>
        <v>31.474970342610941</v>
      </c>
      <c r="AF172" s="214">
        <f t="shared" si="236"/>
        <v>35.58680484411903</v>
      </c>
      <c r="AG172" s="214" t="e">
        <f t="shared" si="236"/>
        <v>#DIV/0!</v>
      </c>
      <c r="AH172" s="215">
        <f t="shared" si="236"/>
        <v>31.334649777874308</v>
      </c>
      <c r="AI172" s="214">
        <f t="shared" si="236"/>
        <v>37.291906780244297</v>
      </c>
      <c r="AJ172" s="214">
        <f t="shared" si="236"/>
        <v>40.051965555309621</v>
      </c>
      <c r="AK172" s="214">
        <f t="shared" si="236"/>
        <v>43.260603606550049</v>
      </c>
      <c r="AL172" s="214">
        <f t="shared" si="236"/>
        <v>54.525271419757182</v>
      </c>
      <c r="AM172" s="215">
        <f t="shared" si="236"/>
        <v>40.999600179081469</v>
      </c>
      <c r="AN172" s="214">
        <f t="shared" si="236"/>
        <v>41.038747850660513</v>
      </c>
      <c r="AO172" s="214">
        <f t="shared" si="236"/>
        <v>46.094349882955349</v>
      </c>
      <c r="AP172" s="274">
        <f t="shared" si="236"/>
        <v>67.272115708039181</v>
      </c>
      <c r="AQ172" s="274" t="s">
        <v>172</v>
      </c>
      <c r="AR172" s="215">
        <f>-AR173/AR171</f>
        <v>46.795785090989341</v>
      </c>
      <c r="AS172" s="214" t="s">
        <v>172</v>
      </c>
      <c r="AT172" s="272" t="s">
        <v>172</v>
      </c>
      <c r="AU172" s="272" t="s">
        <v>172</v>
      </c>
      <c r="AV172" s="272" t="s">
        <v>172</v>
      </c>
      <c r="AW172" s="215" t="s">
        <v>235</v>
      </c>
      <c r="AX172" s="272" t="s">
        <v>172</v>
      </c>
      <c r="AY172" s="274">
        <v>69</v>
      </c>
      <c r="AZ172" s="216">
        <v>74</v>
      </c>
      <c r="BA172" s="272">
        <f>+AZ172</f>
        <v>74</v>
      </c>
      <c r="BB172" s="215" t="s">
        <v>235</v>
      </c>
      <c r="BC172" s="214">
        <v>90.85</v>
      </c>
      <c r="BD172" s="214">
        <v>92.5</v>
      </c>
      <c r="BE172" s="214">
        <v>90</v>
      </c>
      <c r="BF172" s="214">
        <f>-BF173/BF171</f>
        <v>88.888095238095232</v>
      </c>
      <c r="BG172" s="215">
        <f>-BG173/BG171</f>
        <v>90.588235294117652</v>
      </c>
      <c r="BH172" s="214">
        <f>-BH173/BH171</f>
        <v>94.583333333333343</v>
      </c>
      <c r="BI172" s="214">
        <f>-BI173/BI171</f>
        <v>98.461538461538481</v>
      </c>
      <c r="BJ172" s="424">
        <v>100</v>
      </c>
      <c r="BK172" s="214">
        <f>-BK173/BK171</f>
        <v>95.833333333333314</v>
      </c>
      <c r="BL172" s="215">
        <f>-BL173/BL171</f>
        <v>97.10526315789474</v>
      </c>
      <c r="BM172" s="214">
        <f>-BM173/BM171</f>
        <v>47.857142857142854</v>
      </c>
      <c r="BN172" s="214">
        <f>-BN173/BN171</f>
        <v>47.254901960784309</v>
      </c>
      <c r="BO172" s="214">
        <f>-BO173/BO171</f>
        <v>47.6</v>
      </c>
      <c r="BP172" s="424">
        <v>47.8</v>
      </c>
      <c r="BQ172" s="421">
        <f>-BQ173/BQ171</f>
        <v>47.142857142857139</v>
      </c>
      <c r="BR172" s="424">
        <v>50.05</v>
      </c>
      <c r="BS172" s="424">
        <v>57.25</v>
      </c>
      <c r="BT172" s="427">
        <f>64.53*4/5</f>
        <v>51.624000000000002</v>
      </c>
      <c r="BU172" s="216">
        <f>+BT172*1.015</f>
        <v>52.398359999999997</v>
      </c>
      <c r="BV172" s="215">
        <f>-BV173/BV171</f>
        <v>52.001538114709881</v>
      </c>
      <c r="BW172" s="216">
        <f>+BU172*1.015</f>
        <v>53.184335399999995</v>
      </c>
      <c r="BX172" s="216">
        <f>+BW172*1.015</f>
        <v>53.982100430999992</v>
      </c>
      <c r="BY172" s="216">
        <f>+BX172*1.015</f>
        <v>54.791831937464984</v>
      </c>
      <c r="BZ172" s="216">
        <f>+BY172*1.015</f>
        <v>55.613709416526952</v>
      </c>
      <c r="CA172" s="215">
        <f>-CA173/CA171</f>
        <v>54.377925185316272</v>
      </c>
      <c r="CB172" s="216">
        <f>+BZ172*1.015</f>
        <v>56.44791505777485</v>
      </c>
      <c r="CC172" s="216">
        <f>+CB172*1.015</f>
        <v>57.294633783641466</v>
      </c>
      <c r="CD172" s="216">
        <f>+CC172*1.015</f>
        <v>58.154053290396085</v>
      </c>
      <c r="CE172" s="216">
        <f>+CD172*1.015</f>
        <v>59.026364089752022</v>
      </c>
      <c r="CF172" s="215">
        <f>-CF173/CF171</f>
        <v>57.714747750307872</v>
      </c>
      <c r="CG172" s="216">
        <f>+CE172*1.015</f>
        <v>59.911759551098299</v>
      </c>
      <c r="CH172" s="216">
        <f>+CG172*1.015</f>
        <v>60.81043594436477</v>
      </c>
      <c r="CI172" s="216">
        <f>+CH172*1.015</f>
        <v>61.722592483530235</v>
      </c>
      <c r="CJ172" s="216">
        <f>+CI172*1.015</f>
        <v>62.648431370783186</v>
      </c>
      <c r="CK172" s="215">
        <f>-CK173/CK171</f>
        <v>61.256329595692961</v>
      </c>
      <c r="CL172" s="216">
        <f>+CJ172*1.015</f>
        <v>63.58815784134493</v>
      </c>
      <c r="CM172" s="216">
        <f>+CL172*1.015</f>
        <v>64.5419802089651</v>
      </c>
      <c r="CN172" s="216">
        <f>+CM172*1.015</f>
        <v>65.510109912099566</v>
      </c>
      <c r="CO172" s="216">
        <f>+CN172*1.015</f>
        <v>66.492761560781048</v>
      </c>
      <c r="CP172" s="215">
        <f>-CP173/CP171</f>
        <v>65.015235477939939</v>
      </c>
    </row>
    <row r="173" spans="1:109" x14ac:dyDescent="0.25">
      <c r="B173" s="106" t="s">
        <v>97</v>
      </c>
      <c r="C173" s="70"/>
      <c r="D173" s="70"/>
      <c r="E173" s="73"/>
      <c r="F173" s="73"/>
      <c r="G173" s="73"/>
      <c r="H173" s="73"/>
      <c r="I173" s="70"/>
      <c r="J173" s="73"/>
      <c r="K173" s="73"/>
      <c r="L173" s="73"/>
      <c r="M173" s="73"/>
      <c r="N173" s="70"/>
      <c r="O173" s="73"/>
      <c r="P173" s="73"/>
      <c r="Q173" s="73"/>
      <c r="R173" s="73"/>
      <c r="S173" s="70"/>
      <c r="T173" s="73"/>
      <c r="U173" s="73"/>
      <c r="V173" s="139">
        <f t="shared" ref="V173:AK173" si="237">V149</f>
        <v>-99.999999999999986</v>
      </c>
      <c r="W173" s="139">
        <f t="shared" si="237"/>
        <v>-99.700000000000017</v>
      </c>
      <c r="X173" s="194">
        <f t="shared" si="237"/>
        <v>-202</v>
      </c>
      <c r="Y173" s="139">
        <f t="shared" si="237"/>
        <v>-1</v>
      </c>
      <c r="Z173" s="139">
        <f t="shared" si="237"/>
        <v>-0.10000000000000009</v>
      </c>
      <c r="AA173" s="139">
        <f t="shared" si="237"/>
        <v>-24.8</v>
      </c>
      <c r="AB173" s="139">
        <f t="shared" si="237"/>
        <v>-17.099999999999998</v>
      </c>
      <c r="AC173" s="194">
        <f t="shared" si="237"/>
        <v>-43</v>
      </c>
      <c r="AD173" s="139">
        <f t="shared" si="237"/>
        <v>-50.400000000000006</v>
      </c>
      <c r="AE173" s="139">
        <f t="shared" si="237"/>
        <v>-88.1</v>
      </c>
      <c r="AF173" s="139">
        <f t="shared" si="237"/>
        <v>-19.800000000000011</v>
      </c>
      <c r="AG173" s="139">
        <f t="shared" si="237"/>
        <v>-2.6999999999999886</v>
      </c>
      <c r="AH173" s="194">
        <f t="shared" si="237"/>
        <v>-161</v>
      </c>
      <c r="AI173" s="139">
        <f t="shared" si="237"/>
        <v>-44.699999999999996</v>
      </c>
      <c r="AJ173" s="139">
        <f t="shared" si="237"/>
        <v>-58.9</v>
      </c>
      <c r="AK173" s="139">
        <f t="shared" si="237"/>
        <v>-12.500000000000014</v>
      </c>
      <c r="AL173" s="139">
        <f t="shared" ref="AL173:AQ173" si="238">AL149</f>
        <v>-20.9</v>
      </c>
      <c r="AM173" s="194">
        <f t="shared" si="238"/>
        <v>-137</v>
      </c>
      <c r="AN173" s="139">
        <f t="shared" si="238"/>
        <v>-15.799999999999999</v>
      </c>
      <c r="AO173" s="139">
        <f t="shared" si="238"/>
        <v>-197.49999999999997</v>
      </c>
      <c r="AP173" s="30">
        <f t="shared" si="238"/>
        <v>-5.0000000000000124</v>
      </c>
      <c r="AQ173" s="30">
        <f t="shared" si="238"/>
        <v>-3.7000000000000295</v>
      </c>
      <c r="AR173" s="194">
        <f>+AN173+AO173+AP173+AQ173</f>
        <v>-222</v>
      </c>
      <c r="AS173" s="139">
        <v>0</v>
      </c>
      <c r="AT173" s="30">
        <v>0</v>
      </c>
      <c r="AU173" s="30">
        <v>0</v>
      </c>
      <c r="AV173" s="30">
        <v>0</v>
      </c>
      <c r="AW173" s="194">
        <f>+AS173+AT173+AU173+AV173</f>
        <v>0</v>
      </c>
      <c r="AX173" s="30">
        <v>0</v>
      </c>
      <c r="AY173" s="30">
        <f>-AY171*AY172</f>
        <v>-47.352767999999998</v>
      </c>
      <c r="AZ173" s="158">
        <v>-50</v>
      </c>
      <c r="BA173" s="30">
        <v>0</v>
      </c>
      <c r="BB173" s="194">
        <f>+AX173+AY173+AZ173+BA173</f>
        <v>-97.352767999999998</v>
      </c>
      <c r="BC173" s="30">
        <f>-BC171*BC172</f>
        <v>-9.0849999999999991</v>
      </c>
      <c r="BD173" s="30">
        <f>-BD171*BD172</f>
        <v>-194.25</v>
      </c>
      <c r="BE173" s="30">
        <f>-BE171*BE172</f>
        <v>-72</v>
      </c>
      <c r="BF173" s="139">
        <f>-462-SUM(BC173:BE173)</f>
        <v>-186.66499999999996</v>
      </c>
      <c r="BG173" s="194">
        <f>+BC173+BD173+BE173+BF173</f>
        <v>-462</v>
      </c>
      <c r="BH173" s="30">
        <v>-227</v>
      </c>
      <c r="BI173" s="139">
        <f>-739-BH173</f>
        <v>-512</v>
      </c>
      <c r="BJ173" s="139">
        <f>-762-SUM(BH173:BI173)</f>
        <v>-23</v>
      </c>
      <c r="BK173" s="384">
        <f>BL173-SUM(BH173:BJ173)</f>
        <v>-345</v>
      </c>
      <c r="BL173" s="420">
        <v>-1107</v>
      </c>
      <c r="BM173" s="384">
        <v>-201</v>
      </c>
      <c r="BN173" s="384">
        <f>-442-BM173</f>
        <v>-241</v>
      </c>
      <c r="BO173" s="384">
        <f>-561-BN173-BM173</f>
        <v>-119</v>
      </c>
      <c r="BP173" s="384">
        <f>-561-BO173-BN173-BM173</f>
        <v>0</v>
      </c>
      <c r="BQ173" s="194">
        <f>+BM173+BN173+BO173+BP173</f>
        <v>-561</v>
      </c>
      <c r="BR173" s="384">
        <v>-1</v>
      </c>
      <c r="BS173" s="384">
        <v>0</v>
      </c>
      <c r="BT173" s="158">
        <v>-150</v>
      </c>
      <c r="BU173" s="158">
        <v>-150</v>
      </c>
      <c r="BV173" s="194">
        <f>+BR173+BS173+BT173+BU173</f>
        <v>-301</v>
      </c>
      <c r="BW173" s="158">
        <v>-125</v>
      </c>
      <c r="BX173" s="158">
        <f>BW173</f>
        <v>-125</v>
      </c>
      <c r="BY173" s="158">
        <f>BX173</f>
        <v>-125</v>
      </c>
      <c r="BZ173" s="158">
        <f>BY173</f>
        <v>-125</v>
      </c>
      <c r="CA173" s="194">
        <f>+BW173+BX173+BY173+BZ173</f>
        <v>-500</v>
      </c>
      <c r="CB173" s="158">
        <f>BZ173</f>
        <v>-125</v>
      </c>
      <c r="CC173" s="158">
        <f>CB173</f>
        <v>-125</v>
      </c>
      <c r="CD173" s="158">
        <f>CC173</f>
        <v>-125</v>
      </c>
      <c r="CE173" s="158">
        <f>CD173</f>
        <v>-125</v>
      </c>
      <c r="CF173" s="194">
        <f>+CB173+CC173+CD173+CE173</f>
        <v>-500</v>
      </c>
      <c r="CG173" s="158">
        <f>CE173</f>
        <v>-125</v>
      </c>
      <c r="CH173" s="158">
        <f>CG173</f>
        <v>-125</v>
      </c>
      <c r="CI173" s="158">
        <f>CH173</f>
        <v>-125</v>
      </c>
      <c r="CJ173" s="158">
        <f>CI173</f>
        <v>-125</v>
      </c>
      <c r="CK173" s="194">
        <f>+CG173+CH173+CI173+CJ173</f>
        <v>-500</v>
      </c>
      <c r="CL173" s="158">
        <f>CJ173</f>
        <v>-125</v>
      </c>
      <c r="CM173" s="158">
        <f>CL173</f>
        <v>-125</v>
      </c>
      <c r="CN173" s="158">
        <f>CM173</f>
        <v>-125</v>
      </c>
      <c r="CO173" s="158">
        <f>CN173</f>
        <v>-125</v>
      </c>
      <c r="CP173" s="194">
        <f>+CL173+CM173+CN173+CO173</f>
        <v>-500</v>
      </c>
    </row>
    <row r="174" spans="1:109" x14ac:dyDescent="0.25">
      <c r="C174" s="98"/>
      <c r="D174" s="98"/>
      <c r="E174" s="118"/>
      <c r="F174" s="118"/>
      <c r="G174" s="118"/>
      <c r="H174" s="118"/>
      <c r="I174" s="98"/>
      <c r="J174" s="118"/>
      <c r="K174" s="118"/>
      <c r="L174" s="118"/>
      <c r="M174" s="118"/>
      <c r="N174" s="98"/>
      <c r="O174" s="118"/>
      <c r="P174" s="118"/>
      <c r="Q174" s="118"/>
      <c r="R174" s="118"/>
      <c r="S174" s="98"/>
      <c r="T174" s="118"/>
      <c r="U174" s="118"/>
      <c r="V174" s="118"/>
      <c r="W174" s="118"/>
      <c r="X174" s="98"/>
      <c r="Y174" s="138"/>
      <c r="Z174" s="138"/>
      <c r="AA174" s="138"/>
      <c r="AB174" s="138"/>
      <c r="AC174" s="98"/>
      <c r="AD174" s="138"/>
      <c r="AE174" s="138"/>
      <c r="AF174" s="138"/>
      <c r="AG174" s="138"/>
      <c r="AH174" s="98"/>
      <c r="AI174" s="138"/>
      <c r="AJ174" s="138"/>
      <c r="AK174" s="138"/>
      <c r="AL174" s="138"/>
      <c r="AM174" s="98"/>
      <c r="AN174" s="138"/>
      <c r="AO174" s="138"/>
      <c r="AP174" s="138"/>
      <c r="AQ174" s="138"/>
      <c r="AR174" s="98"/>
      <c r="AS174" s="138"/>
      <c r="AT174" s="138"/>
      <c r="AU174" s="138"/>
      <c r="AV174" s="138"/>
      <c r="AW174" s="98"/>
      <c r="AX174" s="138"/>
      <c r="AY174" s="138"/>
      <c r="AZ174" s="138"/>
      <c r="BA174" s="138"/>
      <c r="BB174" s="98"/>
      <c r="BC174" s="138"/>
      <c r="BD174" s="138"/>
      <c r="BE174" s="138"/>
      <c r="BF174" s="138"/>
      <c r="BG174" s="98"/>
      <c r="BH174" s="138"/>
      <c r="BI174" s="138"/>
      <c r="BJ174" s="138"/>
      <c r="BK174" s="138"/>
      <c r="BL174" s="98"/>
      <c r="BM174" s="138"/>
      <c r="BN174" s="138"/>
      <c r="BO174" s="138"/>
      <c r="BP174" s="138"/>
      <c r="BQ174" s="98"/>
      <c r="BR174" s="138"/>
      <c r="BS174" s="138"/>
      <c r="BT174" s="138"/>
      <c r="BU174" s="138"/>
      <c r="BV174" s="98"/>
      <c r="BW174" s="138"/>
      <c r="BX174" s="138"/>
      <c r="BY174" s="138"/>
      <c r="BZ174" s="138"/>
      <c r="CA174" s="98"/>
      <c r="CB174" s="138"/>
      <c r="CC174" s="138"/>
      <c r="CD174" s="138"/>
      <c r="CE174" s="138"/>
      <c r="CF174" s="98"/>
      <c r="CG174" s="138"/>
      <c r="CH174" s="138"/>
      <c r="CI174" s="138"/>
      <c r="CJ174" s="138"/>
      <c r="CK174" s="98"/>
      <c r="CL174" s="138"/>
      <c r="CM174" s="138"/>
      <c r="CN174" s="138"/>
      <c r="CO174" s="138"/>
      <c r="CP174" s="98"/>
    </row>
    <row r="175" spans="1:109" x14ac:dyDescent="0.25">
      <c r="A175" s="217" t="s">
        <v>98</v>
      </c>
      <c r="B175" s="218"/>
      <c r="C175" s="54" t="str">
        <f>+C122</f>
        <v>FY2003</v>
      </c>
      <c r="D175" s="54" t="str">
        <f t="shared" ref="D175:AC175" si="239">+D122</f>
        <v>FY2004</v>
      </c>
      <c r="E175" s="174" t="str">
        <f t="shared" si="239"/>
        <v>Jul-04A</v>
      </c>
      <c r="F175" s="174" t="str">
        <f t="shared" si="239"/>
        <v>Oct-04A</v>
      </c>
      <c r="G175" s="174" t="str">
        <f t="shared" si="239"/>
        <v>Jan-05A</v>
      </c>
      <c r="H175" s="174" t="str">
        <f t="shared" si="239"/>
        <v>Apr-05A</v>
      </c>
      <c r="I175" s="54" t="str">
        <f t="shared" si="239"/>
        <v>FY2005</v>
      </c>
      <c r="J175" s="174" t="str">
        <f t="shared" si="239"/>
        <v>Jul-05A</v>
      </c>
      <c r="K175" s="174" t="str">
        <f t="shared" si="239"/>
        <v>Oct-05A</v>
      </c>
      <c r="L175" s="174" t="str">
        <f t="shared" si="239"/>
        <v>Jan-06A</v>
      </c>
      <c r="M175" s="174" t="str">
        <f t="shared" si="239"/>
        <v>Apr-06A</v>
      </c>
      <c r="N175" s="54" t="str">
        <f t="shared" si="239"/>
        <v>FY2006</v>
      </c>
      <c r="O175" s="174" t="str">
        <f t="shared" si="239"/>
        <v>Jul-06A</v>
      </c>
      <c r="P175" s="174" t="str">
        <f t="shared" si="239"/>
        <v>Oct-06A</v>
      </c>
      <c r="Q175" s="174" t="str">
        <f t="shared" si="239"/>
        <v>Jan-07A</v>
      </c>
      <c r="R175" s="174" t="str">
        <f t="shared" si="239"/>
        <v>Apr-07A</v>
      </c>
      <c r="S175" s="54" t="str">
        <f t="shared" si="239"/>
        <v>FY2007</v>
      </c>
      <c r="T175" s="174" t="str">
        <f t="shared" si="239"/>
        <v>Jul-07 A</v>
      </c>
      <c r="U175" s="174" t="str">
        <f t="shared" si="239"/>
        <v>Oct-07 A</v>
      </c>
      <c r="V175" s="174" t="str">
        <f t="shared" si="239"/>
        <v>Jan-08 A</v>
      </c>
      <c r="W175" s="174" t="str">
        <f t="shared" si="239"/>
        <v>Apr-08 A</v>
      </c>
      <c r="X175" s="54" t="str">
        <f t="shared" si="239"/>
        <v>FY2008</v>
      </c>
      <c r="Y175" s="174" t="str">
        <f t="shared" si="239"/>
        <v>Jul-08A</v>
      </c>
      <c r="Z175" s="174" t="str">
        <f t="shared" si="239"/>
        <v>Oct-08</v>
      </c>
      <c r="AA175" s="174" t="str">
        <f t="shared" si="239"/>
        <v>Jan-09</v>
      </c>
      <c r="AB175" s="174" t="str">
        <f t="shared" si="239"/>
        <v>Apr-09</v>
      </c>
      <c r="AC175" s="54" t="str">
        <f t="shared" si="239"/>
        <v>FY2009</v>
      </c>
      <c r="AD175" s="174" t="str">
        <f t="shared" ref="AD175:BG175" si="240">+AD122</f>
        <v>Jul-09</v>
      </c>
      <c r="AE175" s="174" t="str">
        <f t="shared" si="240"/>
        <v>Oct-09</v>
      </c>
      <c r="AF175" s="174" t="str">
        <f t="shared" si="240"/>
        <v>Jan-10</v>
      </c>
      <c r="AG175" s="174" t="str">
        <f t="shared" si="240"/>
        <v>Apr-10</v>
      </c>
      <c r="AH175" s="54" t="str">
        <f t="shared" si="240"/>
        <v>FY2010</v>
      </c>
      <c r="AI175" s="174" t="str">
        <f t="shared" si="240"/>
        <v>Jul-10</v>
      </c>
      <c r="AJ175" s="174" t="str">
        <f t="shared" si="240"/>
        <v>Oct-10</v>
      </c>
      <c r="AK175" s="174" t="str">
        <f t="shared" si="240"/>
        <v>Jan-11</v>
      </c>
      <c r="AL175" s="174" t="str">
        <f t="shared" si="240"/>
        <v>Apr-11</v>
      </c>
      <c r="AM175" s="54" t="str">
        <f t="shared" si="240"/>
        <v>FY2011</v>
      </c>
      <c r="AN175" s="174" t="str">
        <f t="shared" si="240"/>
        <v>Jul-11</v>
      </c>
      <c r="AO175" s="174" t="str">
        <f t="shared" si="240"/>
        <v>Oct-11</v>
      </c>
      <c r="AP175" s="174" t="str">
        <f t="shared" si="240"/>
        <v>Jan-12</v>
      </c>
      <c r="AQ175" s="174" t="str">
        <f t="shared" si="240"/>
        <v>Apr-12</v>
      </c>
      <c r="AR175" s="54" t="str">
        <f t="shared" si="240"/>
        <v>FY2012</v>
      </c>
      <c r="AS175" s="174" t="str">
        <f t="shared" si="240"/>
        <v>Jul-12</v>
      </c>
      <c r="AT175" s="174" t="str">
        <f t="shared" si="240"/>
        <v>Oct-12</v>
      </c>
      <c r="AU175" s="174" t="str">
        <f t="shared" si="240"/>
        <v>Jan-13</v>
      </c>
      <c r="AV175" s="174" t="str">
        <f t="shared" si="240"/>
        <v>Apr-13</v>
      </c>
      <c r="AW175" s="54" t="str">
        <f t="shared" si="240"/>
        <v>FY2013</v>
      </c>
      <c r="AX175" s="174" t="str">
        <f t="shared" si="240"/>
        <v>Jul-13</v>
      </c>
      <c r="AY175" s="174" t="str">
        <f t="shared" si="240"/>
        <v>Oct-13</v>
      </c>
      <c r="AZ175" s="174" t="str">
        <f t="shared" si="240"/>
        <v>Jan-14</v>
      </c>
      <c r="BA175" s="174" t="str">
        <f t="shared" si="240"/>
        <v>Apr-14</v>
      </c>
      <c r="BB175" s="54" t="str">
        <f t="shared" si="240"/>
        <v>FY2014</v>
      </c>
      <c r="BC175" s="174" t="str">
        <f t="shared" si="240"/>
        <v>Jul-14</v>
      </c>
      <c r="BD175" s="174" t="str">
        <f t="shared" si="240"/>
        <v>Oct-14</v>
      </c>
      <c r="BE175" s="174" t="str">
        <f t="shared" si="240"/>
        <v>Jan-15</v>
      </c>
      <c r="BF175" s="174" t="str">
        <f t="shared" si="240"/>
        <v>Apr-15</v>
      </c>
      <c r="BG175" s="54" t="str">
        <f t="shared" si="240"/>
        <v>FY2015</v>
      </c>
      <c r="BH175" s="174" t="str">
        <f t="shared" ref="BH175:CA175" si="241">+BH122</f>
        <v xml:space="preserve"> Jul-15</v>
      </c>
      <c r="BI175" s="174" t="str">
        <f t="shared" si="241"/>
        <v>Oct-15</v>
      </c>
      <c r="BJ175" s="174" t="str">
        <f t="shared" si="241"/>
        <v>Jan-16</v>
      </c>
      <c r="BK175" s="174" t="str">
        <f t="shared" si="241"/>
        <v>Apr-16</v>
      </c>
      <c r="BL175" s="54" t="str">
        <f t="shared" si="241"/>
        <v>FY2016</v>
      </c>
      <c r="BM175" s="174" t="str">
        <f t="shared" si="241"/>
        <v>Jul-16</v>
      </c>
      <c r="BN175" s="174" t="str">
        <f t="shared" si="241"/>
        <v>Oct-16</v>
      </c>
      <c r="BO175" s="174" t="str">
        <f t="shared" si="241"/>
        <v>Jan-17</v>
      </c>
      <c r="BP175" s="174" t="str">
        <f t="shared" si="241"/>
        <v>Apr-17</v>
      </c>
      <c r="BQ175" s="54" t="str">
        <f t="shared" si="241"/>
        <v>FY2017</v>
      </c>
      <c r="BR175" s="174" t="str">
        <f t="shared" si="241"/>
        <v>Jul-17</v>
      </c>
      <c r="BS175" s="174" t="str">
        <f t="shared" si="241"/>
        <v>Oct-17</v>
      </c>
      <c r="BT175" s="174" t="str">
        <f t="shared" si="241"/>
        <v>Jan-18E</v>
      </c>
      <c r="BU175" s="174" t="str">
        <f t="shared" si="241"/>
        <v>Apr-18E</v>
      </c>
      <c r="BV175" s="54" t="str">
        <f t="shared" si="241"/>
        <v>FY2018E</v>
      </c>
      <c r="BW175" s="174" t="str">
        <f t="shared" si="241"/>
        <v>Jul-18E</v>
      </c>
      <c r="BX175" s="174" t="str">
        <f t="shared" si="241"/>
        <v>Oct-18E</v>
      </c>
      <c r="BY175" s="174" t="str">
        <f t="shared" si="241"/>
        <v>Jan-19E</v>
      </c>
      <c r="BZ175" s="174" t="str">
        <f t="shared" si="241"/>
        <v>Apr-19E</v>
      </c>
      <c r="CA175" s="54" t="str">
        <f t="shared" si="241"/>
        <v>FY2019E</v>
      </c>
      <c r="CB175" s="174" t="str">
        <f t="shared" ref="CB175:CK175" si="242">+CB122</f>
        <v>Jul-19E</v>
      </c>
      <c r="CC175" s="174" t="str">
        <f t="shared" si="242"/>
        <v>Oct-19E</v>
      </c>
      <c r="CD175" s="174" t="str">
        <f t="shared" si="242"/>
        <v>Jan-20E</v>
      </c>
      <c r="CE175" s="174" t="str">
        <f t="shared" si="242"/>
        <v>Apr-20E</v>
      </c>
      <c r="CF175" s="54" t="str">
        <f t="shared" si="242"/>
        <v>FY2020E</v>
      </c>
      <c r="CG175" s="174" t="str">
        <f t="shared" si="242"/>
        <v>Jul-20E</v>
      </c>
      <c r="CH175" s="174" t="str">
        <f t="shared" si="242"/>
        <v>Oct-20E</v>
      </c>
      <c r="CI175" s="174" t="str">
        <f t="shared" si="242"/>
        <v>Jan-21E</v>
      </c>
      <c r="CJ175" s="174" t="str">
        <f t="shared" si="242"/>
        <v>Apr-21E</v>
      </c>
      <c r="CK175" s="54" t="str">
        <f t="shared" si="242"/>
        <v>FY2021E</v>
      </c>
      <c r="CL175" s="174" t="str">
        <f>+CL122</f>
        <v>Jul-21E</v>
      </c>
      <c r="CM175" s="174" t="str">
        <f>+CM122</f>
        <v>Oct-21E</v>
      </c>
      <c r="CN175" s="174" t="str">
        <f>+CN122</f>
        <v>Jan-22E</v>
      </c>
      <c r="CO175" s="174" t="str">
        <f>+CO122</f>
        <v>Apr-22E</v>
      </c>
      <c r="CP175" s="54" t="str">
        <f>+CP122</f>
        <v>FY2022E</v>
      </c>
    </row>
    <row r="176" spans="1:109" x14ac:dyDescent="0.25">
      <c r="A176" s="52" t="s">
        <v>99</v>
      </c>
      <c r="C176" s="70">
        <v>0.1766912272110055</v>
      </c>
      <c r="D176" s="70">
        <v>0.18257115606646254</v>
      </c>
      <c r="E176" s="73">
        <v>0.17277707543194268</v>
      </c>
      <c r="F176" s="73">
        <v>0.17694543106231836</v>
      </c>
      <c r="G176" s="73">
        <v>0.21360521477519639</v>
      </c>
      <c r="H176" s="73">
        <v>0.19350985466852486</v>
      </c>
      <c r="I176" s="70">
        <v>0.18982958170053771</v>
      </c>
      <c r="J176" s="73">
        <f t="shared" ref="J176:AI176" si="243">J11/J4</f>
        <v>0.18025830258302583</v>
      </c>
      <c r="K176" s="73">
        <f t="shared" si="243"/>
        <v>0.17551330798479081</v>
      </c>
      <c r="L176" s="73">
        <f t="shared" si="243"/>
        <v>0.21159974506054813</v>
      </c>
      <c r="M176" s="73">
        <f t="shared" si="243"/>
        <v>0.20936592035549478</v>
      </c>
      <c r="N176" s="70">
        <f t="shared" si="243"/>
        <v>0.19417958709891386</v>
      </c>
      <c r="O176" s="73">
        <f t="shared" si="243"/>
        <v>0.20271550363119673</v>
      </c>
      <c r="P176" s="73">
        <f t="shared" si="243"/>
        <v>0.19939493949394943</v>
      </c>
      <c r="Q176" s="73">
        <f t="shared" si="243"/>
        <v>0.22880233174350822</v>
      </c>
      <c r="R176" s="73">
        <f t="shared" si="243"/>
        <v>0.20613781123335265</v>
      </c>
      <c r="S176" s="70">
        <f t="shared" si="243"/>
        <v>0.2097142042619913</v>
      </c>
      <c r="T176" s="73">
        <f t="shared" si="243"/>
        <v>0.20565552699228792</v>
      </c>
      <c r="U176" s="73">
        <f t="shared" si="243"/>
        <v>0.19901499888068055</v>
      </c>
      <c r="V176" s="73">
        <f t="shared" si="243"/>
        <v>0.23364485981308411</v>
      </c>
      <c r="W176" s="73">
        <f t="shared" si="243"/>
        <v>0.21481289654279426</v>
      </c>
      <c r="X176" s="70">
        <f t="shared" si="243"/>
        <v>0.21348485771738468</v>
      </c>
      <c r="Y176" s="23">
        <f t="shared" si="243"/>
        <v>0.22303797468354428</v>
      </c>
      <c r="Z176" s="23">
        <f t="shared" si="243"/>
        <v>0.21054883919974324</v>
      </c>
      <c r="AA176" s="23">
        <f t="shared" si="243"/>
        <v>0.24448412192322405</v>
      </c>
      <c r="AB176" s="23">
        <f t="shared" si="243"/>
        <v>0.21410800526854973</v>
      </c>
      <c r="AC176" s="70">
        <f t="shared" si="243"/>
        <v>0.22273738291406908</v>
      </c>
      <c r="AD176" s="23">
        <f t="shared" si="243"/>
        <v>0.22645344897682612</v>
      </c>
      <c r="AE176" s="23">
        <f t="shared" si="243"/>
        <v>0.21738156568484712</v>
      </c>
      <c r="AF176" s="23">
        <f t="shared" si="243"/>
        <v>0.26029940814668678</v>
      </c>
      <c r="AG176" s="23">
        <f t="shared" si="243"/>
        <v>0.23342428376534788</v>
      </c>
      <c r="AH176" s="70">
        <f>AH11/AH4</f>
        <v>0.23456828398697877</v>
      </c>
      <c r="AI176" s="23">
        <f t="shared" si="243"/>
        <v>0.2356020942408377</v>
      </c>
      <c r="AJ176" s="23">
        <f t="shared" ref="AJ176:AP176" si="244">AJ11/AJ4</f>
        <v>0.22888373633653528</v>
      </c>
      <c r="AK176" s="23">
        <f t="shared" si="244"/>
        <v>0.26433915211970077</v>
      </c>
      <c r="AL176" s="23">
        <f t="shared" si="244"/>
        <v>0.22823202325287503</v>
      </c>
      <c r="AM176" s="70">
        <f t="shared" si="244"/>
        <v>0.24022559703903887</v>
      </c>
      <c r="AN176" s="23">
        <f t="shared" si="244"/>
        <v>0.24098536237058193</v>
      </c>
      <c r="AO176" s="23">
        <f t="shared" si="244"/>
        <v>0.22961500493583414</v>
      </c>
      <c r="AP176" s="23">
        <f t="shared" si="244"/>
        <v>0.2684045881126173</v>
      </c>
      <c r="AQ176" s="23">
        <f t="shared" ref="AQ176:AW176" si="245">AQ11/AQ4</f>
        <v>0.24759765381255461</v>
      </c>
      <c r="AR176" s="70">
        <f t="shared" si="245"/>
        <v>0.24654084569404469</v>
      </c>
      <c r="AS176" s="23">
        <f t="shared" si="245"/>
        <v>0.24177200774399271</v>
      </c>
      <c r="AT176" s="23">
        <f t="shared" si="245"/>
        <v>0.23387255869007695</v>
      </c>
      <c r="AU176" s="23">
        <f t="shared" si="245"/>
        <v>0.27266530334014993</v>
      </c>
      <c r="AV176" s="23">
        <f t="shared" si="245"/>
        <v>0.23787528868360278</v>
      </c>
      <c r="AW176" s="70">
        <f t="shared" si="245"/>
        <v>0.24714648065948</v>
      </c>
      <c r="AX176" s="23">
        <f t="shared" ref="AX176:BC176" si="246">AX11/AX4</f>
        <v>0.234375</v>
      </c>
      <c r="AY176" s="23">
        <f t="shared" si="246"/>
        <v>0.22798887859128822</v>
      </c>
      <c r="AZ176" s="23">
        <f t="shared" si="246"/>
        <v>0.27458256029684602</v>
      </c>
      <c r="BA176" s="23">
        <f t="shared" si="246"/>
        <v>0.22844344904815231</v>
      </c>
      <c r="BB176" s="70">
        <f t="shared" si="246"/>
        <v>0.24227065382665991</v>
      </c>
      <c r="BC176" s="23">
        <f t="shared" si="246"/>
        <v>0.23452768729641693</v>
      </c>
      <c r="BD176" s="23">
        <f t="shared" ref="BD176:BK176" si="247">BD11/BD4</f>
        <v>0.22731277533039648</v>
      </c>
      <c r="BE176" s="23">
        <f t="shared" si="247"/>
        <v>0.25617566331198538</v>
      </c>
      <c r="BF176" s="23">
        <f t="shared" si="247"/>
        <v>0.21858500527983105</v>
      </c>
      <c r="BG176" s="70">
        <f t="shared" si="247"/>
        <v>0.234619140625</v>
      </c>
      <c r="BH176" s="23">
        <f t="shared" si="247"/>
        <v>0.22333333333333333</v>
      </c>
      <c r="BI176" s="23">
        <f t="shared" si="247"/>
        <v>0.2208029197080292</v>
      </c>
      <c r="BJ176" s="23">
        <f t="shared" si="247"/>
        <v>0.25300092336103419</v>
      </c>
      <c r="BK176" s="23">
        <f t="shared" si="247"/>
        <v>0.21864951768488747</v>
      </c>
      <c r="BL176" s="70">
        <f>BL11/BL4</f>
        <v>0.22956131605184446</v>
      </c>
      <c r="BM176" s="23">
        <f>BM11/BM4</f>
        <v>0.22780373831775702</v>
      </c>
      <c r="BN176" s="23">
        <f>BN11/BN4</f>
        <v>0.2132701421800948</v>
      </c>
      <c r="BO176" s="23">
        <f t="shared" ref="BO176:BP176" si="248">BO11/BO4</f>
        <v>0.23701605288007555</v>
      </c>
      <c r="BP176" s="23">
        <f t="shared" si="248"/>
        <v>0.21758737316798196</v>
      </c>
      <c r="BQ176" s="70">
        <f>BQ11/BQ4</f>
        <v>0.22400829660357791</v>
      </c>
      <c r="BR176" s="23">
        <f>BR11/BR4</f>
        <v>0.2217438105489774</v>
      </c>
      <c r="BS176" s="23">
        <f>BS11/BS4</f>
        <v>0.21612349914236706</v>
      </c>
      <c r="BT176" s="219">
        <f>BO176</f>
        <v>0.23701605288007555</v>
      </c>
      <c r="BU176" s="219">
        <f>BP176</f>
        <v>0.21758737316798196</v>
      </c>
      <c r="BV176" s="70">
        <f>BV11/BV4</f>
        <v>0.2234823345018242</v>
      </c>
      <c r="BW176" s="219">
        <f>BR176</f>
        <v>0.2217438105489774</v>
      </c>
      <c r="BX176" s="219">
        <f>BS176</f>
        <v>0.21612349914236706</v>
      </c>
      <c r="BY176" s="219">
        <f>BT176</f>
        <v>0.23701605288007555</v>
      </c>
      <c r="BZ176" s="219">
        <f>BU176</f>
        <v>0.21758737316798196</v>
      </c>
      <c r="CA176" s="70">
        <f>CA11/CA4</f>
        <v>0.22352761276543912</v>
      </c>
      <c r="CB176" s="219">
        <f>BW176</f>
        <v>0.2217438105489774</v>
      </c>
      <c r="CC176" s="219">
        <f>BX176</f>
        <v>0.21612349914236706</v>
      </c>
      <c r="CD176" s="219">
        <f>BY176</f>
        <v>0.23701605288007555</v>
      </c>
      <c r="CE176" s="219">
        <f>BZ176</f>
        <v>0.21758737316798196</v>
      </c>
      <c r="CF176" s="70">
        <f>CF11/CF4</f>
        <v>0.22352761276543912</v>
      </c>
      <c r="CG176" s="219">
        <f>CB176</f>
        <v>0.2217438105489774</v>
      </c>
      <c r="CH176" s="219">
        <f>CC176</f>
        <v>0.21612349914236706</v>
      </c>
      <c r="CI176" s="219">
        <f>CD176</f>
        <v>0.23701605288007555</v>
      </c>
      <c r="CJ176" s="219">
        <f>CE176</f>
        <v>0.21758737316798196</v>
      </c>
      <c r="CK176" s="70">
        <f>CK11/CK4</f>
        <v>0.22352761276543909</v>
      </c>
      <c r="CL176" s="219">
        <f>CG176</f>
        <v>0.2217438105489774</v>
      </c>
      <c r="CM176" s="219">
        <f>CH176</f>
        <v>0.21612349914236706</v>
      </c>
      <c r="CN176" s="219">
        <f>CI176</f>
        <v>0.23701605288007555</v>
      </c>
      <c r="CO176" s="219">
        <f>CJ176</f>
        <v>0.21758737316798196</v>
      </c>
      <c r="CP176" s="70">
        <f>CP11/CP4</f>
        <v>0.22352761276543914</v>
      </c>
    </row>
    <row r="177" spans="1:109" x14ac:dyDescent="0.25">
      <c r="A177" s="52" t="s">
        <v>100</v>
      </c>
      <c r="C177" s="70">
        <v>0</v>
      </c>
      <c r="D177" s="70">
        <v>0</v>
      </c>
      <c r="E177" s="220"/>
      <c r="F177" s="220"/>
      <c r="G177" s="220"/>
      <c r="H177" s="220"/>
      <c r="I177" s="70"/>
      <c r="J177" s="220"/>
      <c r="K177" s="220"/>
      <c r="L177" s="220"/>
      <c r="M177" s="220"/>
      <c r="N177" s="70"/>
      <c r="O177" s="220"/>
      <c r="P177" s="220"/>
      <c r="Q177" s="220"/>
      <c r="R177" s="220"/>
      <c r="S177" s="70"/>
      <c r="T177" s="220"/>
      <c r="U177" s="220"/>
      <c r="V177" s="220"/>
      <c r="W177" s="220"/>
      <c r="X177" s="70"/>
      <c r="Y177" s="220"/>
      <c r="Z177" s="220"/>
      <c r="AA177" s="220"/>
      <c r="AB177" s="220"/>
      <c r="AC177" s="70"/>
      <c r="AD177" s="220"/>
      <c r="AE177" s="220"/>
      <c r="AF177" s="220"/>
      <c r="AG177" s="220"/>
      <c r="AH177" s="70"/>
      <c r="AI177" s="220"/>
      <c r="AJ177" s="220"/>
      <c r="AK177" s="220"/>
      <c r="AL177" s="220"/>
      <c r="AM177" s="70"/>
      <c r="AN177" s="220"/>
      <c r="AO177" s="220"/>
      <c r="AP177" s="220"/>
      <c r="AQ177" s="220"/>
      <c r="AR177" s="70"/>
      <c r="AS177" s="220"/>
      <c r="AT177" s="220"/>
      <c r="AU177" s="220"/>
      <c r="AV177" s="220"/>
      <c r="AW177" s="70"/>
      <c r="AX177" s="220"/>
      <c r="AY177" s="220"/>
      <c r="AZ177" s="220"/>
      <c r="BA177" s="220"/>
      <c r="BB177" s="70"/>
      <c r="BC177" s="220"/>
      <c r="BD177" s="220"/>
      <c r="BE177" s="220"/>
      <c r="BF177" s="220"/>
      <c r="BG177" s="70"/>
      <c r="BH177" s="220"/>
      <c r="BI177" s="220"/>
      <c r="BJ177" s="220"/>
      <c r="BK177" s="220"/>
      <c r="BL177" s="70"/>
      <c r="BM177" s="220"/>
      <c r="BN177" s="220"/>
      <c r="BO177" s="220"/>
      <c r="BP177" s="220"/>
      <c r="BQ177" s="70"/>
      <c r="BR177" s="220"/>
      <c r="BS177" s="220"/>
      <c r="BT177" s="220"/>
      <c r="BU177" s="220"/>
      <c r="BV177" s="70"/>
      <c r="BW177" s="220"/>
      <c r="BX177" s="220"/>
      <c r="BY177" s="220"/>
      <c r="BZ177" s="220"/>
      <c r="CA177" s="70"/>
      <c r="CB177" s="220"/>
      <c r="CC177" s="220"/>
      <c r="CD177" s="220"/>
      <c r="CE177" s="220"/>
      <c r="CF177" s="70"/>
      <c r="CG177" s="220"/>
      <c r="CH177" s="220"/>
      <c r="CI177" s="220"/>
      <c r="CJ177" s="220"/>
      <c r="CK177" s="70"/>
      <c r="CL177" s="220"/>
      <c r="CM177" s="220"/>
      <c r="CN177" s="220"/>
      <c r="CO177" s="220"/>
      <c r="CP177" s="70"/>
    </row>
    <row r="178" spans="1:109" x14ac:dyDescent="0.25">
      <c r="A178" s="52" t="s">
        <v>101</v>
      </c>
      <c r="C178" s="70">
        <f t="shared" ref="C178:AH178" si="249">+C17/C4</f>
        <v>0.32562412190640871</v>
      </c>
      <c r="D178" s="120">
        <f t="shared" si="249"/>
        <v>0.30718318084485108</v>
      </c>
      <c r="E178" s="23">
        <f t="shared" si="249"/>
        <v>0.30313733638063578</v>
      </c>
      <c r="F178" s="23">
        <f t="shared" si="249"/>
        <v>0.2983099489795919</v>
      </c>
      <c r="G178" s="23">
        <f t="shared" si="249"/>
        <v>0.28675016479894522</v>
      </c>
      <c r="H178" s="23">
        <f t="shared" si="249"/>
        <v>0.2604614782948767</v>
      </c>
      <c r="I178" s="120">
        <f t="shared" si="249"/>
        <v>0.2875106660079938</v>
      </c>
      <c r="J178" s="23">
        <f t="shared" si="249"/>
        <v>0.26439114391143914</v>
      </c>
      <c r="K178" s="23">
        <f t="shared" si="249"/>
        <v>0.28669201520912563</v>
      </c>
      <c r="L178" s="23">
        <f t="shared" si="249"/>
        <v>0.26131293817718293</v>
      </c>
      <c r="M178" s="23">
        <f t="shared" si="249"/>
        <v>0.23859169372756797</v>
      </c>
      <c r="N178" s="120">
        <f t="shared" si="249"/>
        <v>0.26341099411325763</v>
      </c>
      <c r="O178" s="23">
        <f t="shared" si="249"/>
        <v>0.24644774234291128</v>
      </c>
      <c r="P178" s="23">
        <f t="shared" si="249"/>
        <v>0.27433993399339912</v>
      </c>
      <c r="Q178" s="23">
        <f t="shared" si="249"/>
        <v>0.25808161102278743</v>
      </c>
      <c r="R178" s="23">
        <f t="shared" si="249"/>
        <v>0.26997683844817599</v>
      </c>
      <c r="S178" s="120">
        <f t="shared" si="249"/>
        <v>0.2625971064072411</v>
      </c>
      <c r="T178" s="23">
        <f t="shared" si="249"/>
        <v>0.26532268975781359</v>
      </c>
      <c r="U178" s="23">
        <f t="shared" si="249"/>
        <v>0.27490485784642932</v>
      </c>
      <c r="V178" s="23">
        <f t="shared" si="249"/>
        <v>0.27330749943013444</v>
      </c>
      <c r="W178" s="23">
        <f t="shared" si="249"/>
        <v>0.26595882429107853</v>
      </c>
      <c r="X178" s="120">
        <f t="shared" si="249"/>
        <v>0.27021509962829809</v>
      </c>
      <c r="Y178" s="23">
        <f t="shared" si="249"/>
        <v>0.26708860759493669</v>
      </c>
      <c r="Z178" s="23">
        <f t="shared" si="249"/>
        <v>0.29014657109232911</v>
      </c>
      <c r="AA178" s="23">
        <f t="shared" si="249"/>
        <v>0.28287208264252012</v>
      </c>
      <c r="AB178" s="23">
        <f t="shared" si="249"/>
        <v>0.26108590662959158</v>
      </c>
      <c r="AC178" s="120">
        <f t="shared" si="249"/>
        <v>0.27643244259265076</v>
      </c>
      <c r="AD178" s="23">
        <f t="shared" si="249"/>
        <v>0.25843610245290688</v>
      </c>
      <c r="AE178" s="23">
        <f t="shared" si="249"/>
        <v>0.28648224885205509</v>
      </c>
      <c r="AF178" s="23">
        <f>+AF17/AF4</f>
        <v>0.2628525008703726</v>
      </c>
      <c r="AG178" s="23">
        <f t="shared" si="249"/>
        <v>0.2518417462482947</v>
      </c>
      <c r="AH178" s="120">
        <f t="shared" si="249"/>
        <v>0.26588125871957835</v>
      </c>
      <c r="AI178" s="23">
        <f t="shared" ref="AI178:BO178" si="250">+AI17/AI4</f>
        <v>0.25587327158007783</v>
      </c>
      <c r="AJ178" s="23">
        <f>+AJ17/AJ4</f>
        <v>0.26454675941260902</v>
      </c>
      <c r="AK178" s="23">
        <f t="shared" si="250"/>
        <v>0.25405236907730672</v>
      </c>
      <c r="AL178" s="23">
        <f t="shared" si="250"/>
        <v>0.23682547706306073</v>
      </c>
      <c r="AM178" s="120">
        <f t="shared" si="250"/>
        <v>0.25323855124401501</v>
      </c>
      <c r="AN178" s="23">
        <f t="shared" si="250"/>
        <v>0.25883612995358796</v>
      </c>
      <c r="AO178" s="23">
        <f>+AO17/AO4</f>
        <v>0.27492596248766044</v>
      </c>
      <c r="AP178" s="23">
        <f t="shared" si="250"/>
        <v>0.26141814389989576</v>
      </c>
      <c r="AQ178" s="23">
        <f>+AQ17/AQ4</f>
        <v>0.22600773742668157</v>
      </c>
      <c r="AR178" s="120">
        <f t="shared" si="250"/>
        <v>0.25675226920522481</v>
      </c>
      <c r="AS178" s="23">
        <f>+AS17/AS4</f>
        <v>0.22970048969365675</v>
      </c>
      <c r="AT178" s="23">
        <f>+AT17/AT4</f>
        <v>0.24876701519037284</v>
      </c>
      <c r="AU178" s="23">
        <f t="shared" si="250"/>
        <v>0.23390787807965724</v>
      </c>
      <c r="AV178" s="23">
        <f t="shared" si="250"/>
        <v>0.23094688221709006</v>
      </c>
      <c r="AW178" s="120">
        <f t="shared" si="250"/>
        <v>0.23623441132952869</v>
      </c>
      <c r="AX178" s="23">
        <f>+AX17/AX4</f>
        <v>0.23325892857142858</v>
      </c>
      <c r="AY178" s="23">
        <f t="shared" si="250"/>
        <v>0.23818350324374421</v>
      </c>
      <c r="AZ178" s="23">
        <f t="shared" si="250"/>
        <v>0.23191094619666047</v>
      </c>
      <c r="BA178" s="23">
        <f t="shared" si="250"/>
        <v>0.21948488241881298</v>
      </c>
      <c r="BB178" s="120">
        <f t="shared" si="250"/>
        <v>0.23112012164216927</v>
      </c>
      <c r="BC178" s="23">
        <f>+BC17/BC4</f>
        <v>0.2280130293159609</v>
      </c>
      <c r="BD178" s="23">
        <f t="shared" si="250"/>
        <v>0.23612334801762114</v>
      </c>
      <c r="BE178" s="23">
        <f t="shared" si="250"/>
        <v>0.23787740164684354</v>
      </c>
      <c r="BF178" s="23">
        <f t="shared" si="250"/>
        <v>0.2249208025343189</v>
      </c>
      <c r="BG178" s="120">
        <f t="shared" ref="BG178:BL178" si="251">+BG17/BG4</f>
        <v>0.232177734375</v>
      </c>
      <c r="BH178" s="23">
        <f t="shared" si="251"/>
        <v>0.2311111111111111</v>
      </c>
      <c r="BI178" s="23">
        <f t="shared" si="251"/>
        <v>0.24452554744525548</v>
      </c>
      <c r="BJ178" s="23">
        <f t="shared" si="251"/>
        <v>0.23453370267774701</v>
      </c>
      <c r="BK178" s="23">
        <f t="shared" si="251"/>
        <v>0.23151125401929259</v>
      </c>
      <c r="BL178" s="120">
        <f t="shared" si="251"/>
        <v>0.23579262213359919</v>
      </c>
      <c r="BM178" s="23">
        <f t="shared" si="250"/>
        <v>0.24299065420560748</v>
      </c>
      <c r="BN178" s="23">
        <f t="shared" si="250"/>
        <v>0.26350710900473934</v>
      </c>
      <c r="BO178" s="23">
        <f t="shared" si="250"/>
        <v>0.25684608120868746</v>
      </c>
      <c r="BP178" s="23">
        <f t="shared" ref="BP178:CA178" si="252">+BP17/BP4</f>
        <v>0.24126268320180383</v>
      </c>
      <c r="BQ178" s="120">
        <f t="shared" si="252"/>
        <v>0.25200933367902517</v>
      </c>
      <c r="BR178" s="23">
        <f t="shared" si="252"/>
        <v>0.24757804090419805</v>
      </c>
      <c r="BS178" s="23">
        <f t="shared" si="252"/>
        <v>0.26072041166380788</v>
      </c>
      <c r="BT178" s="23">
        <f t="shared" si="252"/>
        <v>0.25760906515580728</v>
      </c>
      <c r="BU178" s="23">
        <f t="shared" si="252"/>
        <v>0.24296732973078755</v>
      </c>
      <c r="BV178" s="120">
        <f t="shared" si="252"/>
        <v>0.25295666162280755</v>
      </c>
      <c r="BW178" s="23">
        <f t="shared" si="252"/>
        <v>0.2464106566200216</v>
      </c>
      <c r="BX178" s="23">
        <f t="shared" si="252"/>
        <v>0.25954459691252146</v>
      </c>
      <c r="BY178" s="23">
        <f t="shared" si="252"/>
        <v>0.25646458923512749</v>
      </c>
      <c r="BZ178" s="23">
        <f t="shared" si="252"/>
        <v>0.24199539990684463</v>
      </c>
      <c r="CA178" s="120">
        <f t="shared" si="252"/>
        <v>0.25177720329585596</v>
      </c>
      <c r="CB178" s="23">
        <f t="shared" ref="CB178:CK178" si="253">+CB17/CB4</f>
        <v>0.24524327233584503</v>
      </c>
      <c r="CC178" s="23">
        <f t="shared" si="253"/>
        <v>0.25836878216123504</v>
      </c>
      <c r="CD178" s="23">
        <f t="shared" si="253"/>
        <v>0.25532011331444771</v>
      </c>
      <c r="CE178" s="23">
        <f t="shared" si="253"/>
        <v>0.24082178096659662</v>
      </c>
      <c r="CF178" s="120">
        <f t="shared" si="253"/>
        <v>0.25061249471500419</v>
      </c>
      <c r="CG178" s="23">
        <f t="shared" si="253"/>
        <v>0.24407588805166858</v>
      </c>
      <c r="CH178" s="23">
        <f t="shared" si="253"/>
        <v>0.25719296740994874</v>
      </c>
      <c r="CI178" s="23">
        <f t="shared" si="253"/>
        <v>0.25417563739376775</v>
      </c>
      <c r="CJ178" s="23">
        <f t="shared" si="253"/>
        <v>0.23964816202634873</v>
      </c>
      <c r="CK178" s="120">
        <f t="shared" si="253"/>
        <v>0.24944778613415233</v>
      </c>
      <c r="CL178" s="23">
        <f>+CL17/CL4</f>
        <v>0.24329763186221759</v>
      </c>
      <c r="CM178" s="23">
        <f>+CM17/CM4</f>
        <v>0.25640909090909109</v>
      </c>
      <c r="CN178" s="23">
        <f>+CN17/CN4</f>
        <v>0.25341265344664793</v>
      </c>
      <c r="CO178" s="23">
        <f>+CO17/CO4</f>
        <v>0.23886574939951655</v>
      </c>
      <c r="CP178" s="120">
        <f>+CP17/CP4</f>
        <v>0.24867131374691778</v>
      </c>
    </row>
    <row r="179" spans="1:109" x14ac:dyDescent="0.25">
      <c r="A179" s="52" t="s">
        <v>102</v>
      </c>
      <c r="C179" s="70">
        <f t="shared" ref="C179:AH179" si="254">+C22/C4</f>
        <v>0.19080298281638389</v>
      </c>
      <c r="D179" s="120">
        <f t="shared" si="254"/>
        <v>0.18999416001557326</v>
      </c>
      <c r="E179" s="23">
        <f t="shared" si="254"/>
        <v>0.20008310824849365</v>
      </c>
      <c r="F179" s="23">
        <f t="shared" si="254"/>
        <v>0.16820790816326531</v>
      </c>
      <c r="G179" s="23">
        <f t="shared" si="254"/>
        <v>0.18012524719841794</v>
      </c>
      <c r="H179" s="23">
        <f t="shared" si="254"/>
        <v>0.23289010559249121</v>
      </c>
      <c r="I179" s="120">
        <f t="shared" si="254"/>
        <v>0.19320070058831459</v>
      </c>
      <c r="J179" s="23">
        <f t="shared" si="254"/>
        <v>0.19907749077490774</v>
      </c>
      <c r="K179" s="23">
        <f t="shared" si="254"/>
        <v>0.16319391634980987</v>
      </c>
      <c r="L179" s="23">
        <f t="shared" si="254"/>
        <v>0.18052899936265135</v>
      </c>
      <c r="M179" s="23">
        <f t="shared" si="254"/>
        <v>0.24064262519227483</v>
      </c>
      <c r="N179" s="120">
        <f t="shared" si="254"/>
        <v>0.19455269049000914</v>
      </c>
      <c r="O179" s="23">
        <f t="shared" si="254"/>
        <v>0.20192611304073257</v>
      </c>
      <c r="P179" s="23">
        <f t="shared" si="254"/>
        <v>0.16639163916391642</v>
      </c>
      <c r="Q179" s="23">
        <f t="shared" si="254"/>
        <v>0.17117117117117117</v>
      </c>
      <c r="R179" s="23">
        <f t="shared" si="254"/>
        <v>0.23002316155182401</v>
      </c>
      <c r="S179" s="120">
        <f t="shared" si="254"/>
        <v>0.19136198417789183</v>
      </c>
      <c r="T179" s="23">
        <f t="shared" si="254"/>
        <v>0.19537275064267354</v>
      </c>
      <c r="U179" s="23">
        <f t="shared" si="254"/>
        <v>0.16565927915827178</v>
      </c>
      <c r="V179" s="23">
        <f t="shared" si="254"/>
        <v>0.16480510599498521</v>
      </c>
      <c r="W179" s="23">
        <f t="shared" si="254"/>
        <v>0.20665544477534636</v>
      </c>
      <c r="X179" s="120">
        <f t="shared" si="254"/>
        <v>0.18176832612272259</v>
      </c>
      <c r="Y179" s="23">
        <f t="shared" si="254"/>
        <v>0.18430379746835446</v>
      </c>
      <c r="Z179" s="23">
        <f t="shared" si="254"/>
        <v>0.15106451267786455</v>
      </c>
      <c r="AA179" s="23">
        <f t="shared" si="254"/>
        <v>0.14589975768396887</v>
      </c>
      <c r="AB179" s="23">
        <f t="shared" si="254"/>
        <v>0.2040099517049612</v>
      </c>
      <c r="AC179" s="120">
        <f t="shared" si="254"/>
        <v>0.16935559662917826</v>
      </c>
      <c r="AD179" s="23">
        <f t="shared" si="254"/>
        <v>0.16059086597099878</v>
      </c>
      <c r="AE179" s="23">
        <f t="shared" si="254"/>
        <v>0.141561205062157</v>
      </c>
      <c r="AF179" s="23">
        <f>+AF22/AF4</f>
        <v>0.15411396077521181</v>
      </c>
      <c r="AG179" s="23">
        <f t="shared" si="254"/>
        <v>0.22605729877216915</v>
      </c>
      <c r="AH179" s="120">
        <f t="shared" si="254"/>
        <v>0.16847000465044179</v>
      </c>
      <c r="AI179" s="23">
        <f t="shared" ref="AI179:BO179" si="255">+AI22/AI4</f>
        <v>0.17707074775137605</v>
      </c>
      <c r="AJ179" s="23">
        <f>+AJ22/AJ4</f>
        <v>0.14817268411173679</v>
      </c>
      <c r="AK179" s="23">
        <f t="shared" si="255"/>
        <v>0.1492103075644223</v>
      </c>
      <c r="AL179" s="23">
        <f t="shared" si="255"/>
        <v>0.21256160748135983</v>
      </c>
      <c r="AM179" s="120">
        <f t="shared" si="255"/>
        <v>0.16975589695385249</v>
      </c>
      <c r="AN179" s="23">
        <f t="shared" si="255"/>
        <v>0.16696417945971678</v>
      </c>
      <c r="AO179" s="23">
        <f>+AO22/AO4</f>
        <v>0.14619940769990131</v>
      </c>
      <c r="AP179" s="23">
        <f t="shared" si="255"/>
        <v>0.15432742440041711</v>
      </c>
      <c r="AQ179" s="23">
        <f>+AQ22/AQ4</f>
        <v>0.21864470235866718</v>
      </c>
      <c r="AR179" s="120">
        <f t="shared" si="255"/>
        <v>0.16924950188177992</v>
      </c>
      <c r="AS179" s="23">
        <f>+AS22/AS4</f>
        <v>0.16911513495046121</v>
      </c>
      <c r="AT179" s="23">
        <f>+AT22/AT4</f>
        <v>0.15693430656934307</v>
      </c>
      <c r="AU179" s="23">
        <f t="shared" si="255"/>
        <v>0.15814587593728696</v>
      </c>
      <c r="AV179" s="23">
        <f t="shared" si="255"/>
        <v>0.20785219399538107</v>
      </c>
      <c r="AW179" s="120">
        <f t="shared" si="255"/>
        <v>0.17173958993870217</v>
      </c>
      <c r="AX179" s="23">
        <f>+AX22/AX4</f>
        <v>0.17410714285714285</v>
      </c>
      <c r="AY179" s="23">
        <f t="shared" si="255"/>
        <v>0.15013901760889714</v>
      </c>
      <c r="AZ179" s="23">
        <f t="shared" si="255"/>
        <v>0.14935064935064934</v>
      </c>
      <c r="BA179" s="23">
        <f t="shared" si="255"/>
        <v>0.23180291153415453</v>
      </c>
      <c r="BB179" s="120">
        <f t="shared" si="255"/>
        <v>0.17384693360364928</v>
      </c>
      <c r="BC179" s="23">
        <f>+BC22/BC4</f>
        <v>0.18458197611292074</v>
      </c>
      <c r="BD179" s="23">
        <f t="shared" si="255"/>
        <v>0.15682819383259911</v>
      </c>
      <c r="BE179" s="23">
        <f t="shared" si="255"/>
        <v>0.14913083257090576</v>
      </c>
      <c r="BF179" s="23">
        <f t="shared" si="255"/>
        <v>0.19640971488912354</v>
      </c>
      <c r="BG179" s="120">
        <f t="shared" ref="BG179:BL179" si="256">+BG22/BG4</f>
        <v>0.170166015625</v>
      </c>
      <c r="BH179" s="23">
        <f t="shared" si="256"/>
        <v>0.18777777777777777</v>
      </c>
      <c r="BI179" s="23">
        <f t="shared" si="256"/>
        <v>0.15602189781021897</v>
      </c>
      <c r="BJ179" s="23">
        <f t="shared" si="256"/>
        <v>0.15420129270544783</v>
      </c>
      <c r="BK179" s="23">
        <f t="shared" si="256"/>
        <v>0.19399785637727759</v>
      </c>
      <c r="BL179" s="120">
        <f t="shared" si="256"/>
        <v>0.17148554336989033</v>
      </c>
      <c r="BM179" s="23">
        <f t="shared" si="255"/>
        <v>0.19042056074766356</v>
      </c>
      <c r="BN179" s="23">
        <f t="shared" si="255"/>
        <v>0.15450236966824646</v>
      </c>
      <c r="BO179" s="23">
        <f t="shared" si="255"/>
        <v>0.15297450424929179</v>
      </c>
      <c r="BP179" s="23">
        <f t="shared" ref="BP179:CA179" si="257">+BP22/BP4</f>
        <v>0.19954904171364149</v>
      </c>
      <c r="BQ179" s="120">
        <f t="shared" si="257"/>
        <v>0.17241379310344829</v>
      </c>
      <c r="BR179" s="23">
        <f t="shared" si="257"/>
        <v>0.17330462863293863</v>
      </c>
      <c r="BS179" s="23">
        <f t="shared" si="257"/>
        <v>0.13979416809605488</v>
      </c>
      <c r="BT179" s="23">
        <f t="shared" si="257"/>
        <v>0.15144853635505195</v>
      </c>
      <c r="BU179" s="23">
        <f t="shared" si="257"/>
        <v>0.19310993507605015</v>
      </c>
      <c r="BV179" s="120">
        <f t="shared" si="257"/>
        <v>0.16243592439339069</v>
      </c>
      <c r="BW179" s="23">
        <f t="shared" si="257"/>
        <v>0.16552206673842842</v>
      </c>
      <c r="BX179" s="23">
        <f t="shared" si="257"/>
        <v>0.13195540308747855</v>
      </c>
      <c r="BY179" s="23">
        <f t="shared" si="257"/>
        <v>0.14381869688385268</v>
      </c>
      <c r="BZ179" s="23">
        <f t="shared" si="257"/>
        <v>0.18451442474706761</v>
      </c>
      <c r="CA179" s="120">
        <f t="shared" si="257"/>
        <v>0.15466172898300803</v>
      </c>
      <c r="CB179" s="23">
        <f t="shared" ref="CB179:CK179" si="258">+CB22/CB4</f>
        <v>0.16396555435952637</v>
      </c>
      <c r="CC179" s="23">
        <f t="shared" si="258"/>
        <v>0.13038765008576328</v>
      </c>
      <c r="CD179" s="23">
        <f t="shared" si="258"/>
        <v>0.14229272898961284</v>
      </c>
      <c r="CE179" s="23">
        <f t="shared" si="258"/>
        <v>0.18294959949340348</v>
      </c>
      <c r="CF179" s="120">
        <f t="shared" si="258"/>
        <v>0.15310878420853888</v>
      </c>
      <c r="CG179" s="23">
        <f t="shared" si="258"/>
        <v>0.16240904198062431</v>
      </c>
      <c r="CH179" s="23">
        <f t="shared" si="258"/>
        <v>0.12881989708404801</v>
      </c>
      <c r="CI179" s="23">
        <f t="shared" si="258"/>
        <v>0.14076676109537301</v>
      </c>
      <c r="CJ179" s="23">
        <f t="shared" si="258"/>
        <v>0.1813847742397395</v>
      </c>
      <c r="CK179" s="120">
        <f t="shared" si="258"/>
        <v>0.15155583943406978</v>
      </c>
      <c r="CL179" s="23">
        <f>+CL22/CL4</f>
        <v>0.1612416576964478</v>
      </c>
      <c r="CM179" s="23">
        <f>+CM22/CM4</f>
        <v>0.12764408233276156</v>
      </c>
      <c r="CN179" s="23">
        <f>+CN22/CN4</f>
        <v>0.13962228517469311</v>
      </c>
      <c r="CO179" s="23">
        <f>+CO22/CO4</f>
        <v>0.18021115529949144</v>
      </c>
      <c r="CP179" s="120">
        <f>+CP22/CP4</f>
        <v>0.15039113085321792</v>
      </c>
    </row>
    <row r="180" spans="1:109" x14ac:dyDescent="0.25">
      <c r="A180" s="52" t="s">
        <v>103</v>
      </c>
      <c r="C180" s="70">
        <f t="shared" ref="C180:AH180" si="259">+C25/C4</f>
        <v>0.13152491083972767</v>
      </c>
      <c r="D180" s="120">
        <f t="shared" si="259"/>
        <v>0.13621763675296863</v>
      </c>
      <c r="E180" s="23">
        <f t="shared" si="259"/>
        <v>0.12798670268024101</v>
      </c>
      <c r="F180" s="23">
        <f t="shared" si="259"/>
        <v>0.12994260204081631</v>
      </c>
      <c r="G180" s="23">
        <f t="shared" si="259"/>
        <v>0.12656558998022413</v>
      </c>
      <c r="H180" s="23">
        <f t="shared" si="259"/>
        <v>0.1476339460305045</v>
      </c>
      <c r="I180" s="120">
        <f t="shared" si="259"/>
        <v>0.13266268469034895</v>
      </c>
      <c r="J180" s="23">
        <f t="shared" si="259"/>
        <v>0.13265682656826566</v>
      </c>
      <c r="K180" s="23">
        <f t="shared" si="259"/>
        <v>0.13171102661596959</v>
      </c>
      <c r="L180" s="23">
        <f t="shared" si="259"/>
        <v>0.13495857233906947</v>
      </c>
      <c r="M180" s="23">
        <f t="shared" si="259"/>
        <v>0.13689967526918473</v>
      </c>
      <c r="N180" s="120">
        <f t="shared" si="259"/>
        <v>0.13402702926788823</v>
      </c>
      <c r="O180" s="23">
        <f t="shared" si="259"/>
        <v>0.1274076413009157</v>
      </c>
      <c r="P180" s="23">
        <f t="shared" si="259"/>
        <v>0.12692519251925191</v>
      </c>
      <c r="Q180" s="23">
        <f t="shared" si="259"/>
        <v>0.1248012718600954</v>
      </c>
      <c r="R180" s="23">
        <f t="shared" si="259"/>
        <v>0.13592935726693689</v>
      </c>
      <c r="S180" s="120">
        <f t="shared" si="259"/>
        <v>0.12867935286152093</v>
      </c>
      <c r="T180" s="23">
        <f t="shared" si="259"/>
        <v>0.12718170748207278</v>
      </c>
      <c r="U180" s="23">
        <f t="shared" si="259"/>
        <v>0.1260353704947392</v>
      </c>
      <c r="V180" s="23">
        <f t="shared" si="259"/>
        <v>0.1226350581262822</v>
      </c>
      <c r="W180" s="23">
        <f t="shared" si="259"/>
        <v>0.13077819500194227</v>
      </c>
      <c r="X180" s="120">
        <f t="shared" si="259"/>
        <v>0.12650051794528061</v>
      </c>
      <c r="Y180" s="23">
        <f t="shared" si="259"/>
        <v>0.12278481012658228</v>
      </c>
      <c r="Z180" s="23">
        <f t="shared" si="259"/>
        <v>0.11768481865839306</v>
      </c>
      <c r="AA180" s="23">
        <f t="shared" si="259"/>
        <v>0.11095523530161969</v>
      </c>
      <c r="AB180" s="23">
        <f t="shared" si="259"/>
        <v>0.13010390750768333</v>
      </c>
      <c r="AC180" s="120">
        <f t="shared" si="259"/>
        <v>0.119952382444159</v>
      </c>
      <c r="AD180" s="23">
        <f t="shared" si="259"/>
        <v>0.10299498577042961</v>
      </c>
      <c r="AE180" s="23">
        <f t="shared" si="259"/>
        <v>0.10314704894165079</v>
      </c>
      <c r="AF180" s="23">
        <f>+AF25/AF4</f>
        <v>0.1067656957177672</v>
      </c>
      <c r="AG180" s="23">
        <f t="shared" si="259"/>
        <v>0.12237380627557981</v>
      </c>
      <c r="AH180" s="120">
        <f t="shared" si="259"/>
        <v>0.10844830258874594</v>
      </c>
      <c r="AI180" s="23">
        <f t="shared" ref="AI180:BO180" si="260">+AI25/AI4</f>
        <v>0.10242985635655792</v>
      </c>
      <c r="AJ180" s="23">
        <f>+AJ25/AJ4</f>
        <v>0.10323506679916086</v>
      </c>
      <c r="AK180" s="23">
        <f t="shared" si="260"/>
        <v>0.10058187863674148</v>
      </c>
      <c r="AL180" s="23">
        <f t="shared" si="260"/>
        <v>0.12599519777581197</v>
      </c>
      <c r="AM180" s="120">
        <f t="shared" si="260"/>
        <v>0.10759921276033252</v>
      </c>
      <c r="AN180" s="23">
        <f t="shared" si="260"/>
        <v>0.10805664643579674</v>
      </c>
      <c r="AO180" s="23">
        <f>+AO25/AO4</f>
        <v>0.10533070088845015</v>
      </c>
      <c r="AP180" s="23">
        <f t="shared" si="260"/>
        <v>0.10302398331595411</v>
      </c>
      <c r="AQ180" s="23">
        <f>+AQ25/AQ4</f>
        <v>0.12305004367902159</v>
      </c>
      <c r="AR180" s="120">
        <f t="shared" si="260"/>
        <v>0.10928160283373919</v>
      </c>
      <c r="AS180" s="23">
        <f>+AS25/AS4</f>
        <v>0.10488554834301332</v>
      </c>
      <c r="AT180" s="23">
        <f>+AT25/AT4</f>
        <v>0.10514894456500296</v>
      </c>
      <c r="AU180" s="23">
        <f t="shared" si="260"/>
        <v>0.1076054143538806</v>
      </c>
      <c r="AV180" s="23">
        <f t="shared" si="260"/>
        <v>0.11431870669745958</v>
      </c>
      <c r="AW180" s="120">
        <f t="shared" si="260"/>
        <v>0.10785246248150496</v>
      </c>
      <c r="AX180" s="23">
        <f>+AX25/AX4</f>
        <v>0.11495535714285714</v>
      </c>
      <c r="AY180" s="23">
        <f t="shared" si="260"/>
        <v>0.10287303058387395</v>
      </c>
      <c r="AZ180" s="23">
        <f t="shared" si="260"/>
        <v>0.10760667903525047</v>
      </c>
      <c r="BA180" s="23">
        <f t="shared" si="260"/>
        <v>0.11870100783874581</v>
      </c>
      <c r="BB180" s="120">
        <f t="shared" si="260"/>
        <v>0.11049163710086163</v>
      </c>
      <c r="BC180" s="23">
        <f>+BC25/BC4</f>
        <v>0.10749185667752444</v>
      </c>
      <c r="BD180" s="23">
        <f t="shared" si="260"/>
        <v>0.10837004405286343</v>
      </c>
      <c r="BE180" s="23">
        <f t="shared" si="260"/>
        <v>0.10247026532479414</v>
      </c>
      <c r="BF180" s="23">
        <f t="shared" si="260"/>
        <v>0.10876451953537487</v>
      </c>
      <c r="BG180" s="120">
        <f t="shared" ref="BG180:BL180" si="261">+BG25/BG4</f>
        <v>0.106689453125</v>
      </c>
      <c r="BH180" s="23">
        <f t="shared" si="261"/>
        <v>0.10555555555555556</v>
      </c>
      <c r="BI180" s="23">
        <f t="shared" si="261"/>
        <v>0.10492700729927007</v>
      </c>
      <c r="BJ180" s="23">
        <f t="shared" si="261"/>
        <v>9.8799630655586335E-2</v>
      </c>
      <c r="BK180" s="23">
        <f t="shared" si="261"/>
        <v>0.1082529474812433</v>
      </c>
      <c r="BL180" s="120">
        <f t="shared" si="261"/>
        <v>0.10418743768693918</v>
      </c>
      <c r="BM180" s="23">
        <f t="shared" si="260"/>
        <v>9.5794392523364483E-2</v>
      </c>
      <c r="BN180" s="23">
        <f t="shared" si="260"/>
        <v>0.1014218009478673</v>
      </c>
      <c r="BO180" s="23">
        <f t="shared" si="260"/>
        <v>9.6317280453257784E-2</v>
      </c>
      <c r="BP180" s="23">
        <f t="shared" ref="BP180:CA180" si="262">+BP25/BP4</f>
        <v>0.10259301014656144</v>
      </c>
      <c r="BQ180" s="120">
        <f t="shared" si="262"/>
        <v>9.904070521130412E-2</v>
      </c>
      <c r="BR180" s="23">
        <f t="shared" si="262"/>
        <v>9.5801937567276646E-2</v>
      </c>
      <c r="BS180" s="23">
        <f t="shared" si="262"/>
        <v>9.5197255574614059E-2</v>
      </c>
      <c r="BT180" s="23">
        <f t="shared" si="262"/>
        <v>0.10013220018885742</v>
      </c>
      <c r="BU180" s="23">
        <f t="shared" si="262"/>
        <v>0.10760787032852194</v>
      </c>
      <c r="BV180" s="120">
        <f t="shared" si="262"/>
        <v>9.9496093186341839E-2</v>
      </c>
      <c r="BW180" s="23">
        <f t="shared" si="262"/>
        <v>9.5801937567276646E-2</v>
      </c>
      <c r="BX180" s="23">
        <f t="shared" si="262"/>
        <v>9.5197255574614059E-2</v>
      </c>
      <c r="BY180" s="23">
        <f t="shared" si="262"/>
        <v>0.10013220018885742</v>
      </c>
      <c r="BZ180" s="23">
        <f t="shared" si="262"/>
        <v>0.10750244849607732</v>
      </c>
      <c r="CA180" s="120">
        <f t="shared" si="262"/>
        <v>9.9490291630838223E-2</v>
      </c>
      <c r="CB180" s="23">
        <f t="shared" ref="CB180:CK180" si="263">+CB25/CB4</f>
        <v>9.5801937567276646E-2</v>
      </c>
      <c r="CC180" s="23">
        <f t="shared" si="263"/>
        <v>9.5197255574614059E-2</v>
      </c>
      <c r="CD180" s="23">
        <f t="shared" si="263"/>
        <v>0.10013220018885742</v>
      </c>
      <c r="CE180" s="23">
        <f t="shared" si="263"/>
        <v>0.10750244849607728</v>
      </c>
      <c r="CF180" s="120">
        <f t="shared" si="263"/>
        <v>9.949029163083821E-2</v>
      </c>
      <c r="CG180" s="23">
        <f t="shared" si="263"/>
        <v>9.5801937567276632E-2</v>
      </c>
      <c r="CH180" s="23">
        <f t="shared" si="263"/>
        <v>9.5197255574614059E-2</v>
      </c>
      <c r="CI180" s="23">
        <f t="shared" si="263"/>
        <v>0.10013220018885742</v>
      </c>
      <c r="CJ180" s="23">
        <f t="shared" si="263"/>
        <v>0.10750244849607728</v>
      </c>
      <c r="CK180" s="120">
        <f t="shared" si="263"/>
        <v>9.949029163083821E-2</v>
      </c>
      <c r="CL180" s="23">
        <f>+CL25/CL4</f>
        <v>9.5801937567276646E-2</v>
      </c>
      <c r="CM180" s="23">
        <f>+CM25/CM4</f>
        <v>9.5197255574614059E-2</v>
      </c>
      <c r="CN180" s="23">
        <f>+CN25/CN4</f>
        <v>0.10013220018885742</v>
      </c>
      <c r="CO180" s="23">
        <f>+CO25/CO4</f>
        <v>0.10750244849607726</v>
      </c>
      <c r="CP180" s="120">
        <f>+CP25/CP4</f>
        <v>9.949029163083821E-2</v>
      </c>
    </row>
    <row r="181" spans="1:109" x14ac:dyDescent="0.25">
      <c r="A181" s="52" t="s">
        <v>104</v>
      </c>
      <c r="C181" s="70">
        <f>C48</f>
        <v>0.33661299940369704</v>
      </c>
      <c r="D181" s="120">
        <f t="shared" ref="D181:V181" si="264">D48</f>
        <v>0.33178336980306339</v>
      </c>
      <c r="E181" s="23">
        <f t="shared" si="264"/>
        <v>0.34285714285714286</v>
      </c>
      <c r="F181" s="23">
        <f>F48</f>
        <v>0.32902298850574713</v>
      </c>
      <c r="G181" s="23">
        <f>G48</f>
        <v>0.3414505029115934</v>
      </c>
      <c r="H181" s="23">
        <f>H48</f>
        <v>0.27080890973036342</v>
      </c>
      <c r="I181" s="120">
        <f>I48</f>
        <v>0.32380634502941269</v>
      </c>
      <c r="J181" s="23">
        <f t="shared" si="264"/>
        <v>0.33155893536121672</v>
      </c>
      <c r="K181" s="23">
        <f>K48</f>
        <v>0.33</v>
      </c>
      <c r="L181" s="23">
        <f t="shared" si="264"/>
        <v>0.33</v>
      </c>
      <c r="M181" s="23">
        <f>M48</f>
        <v>0.26530612244897961</v>
      </c>
      <c r="N181" s="120">
        <f>N48</f>
        <v>0.31750575146221305</v>
      </c>
      <c r="O181" s="23">
        <f t="shared" si="264"/>
        <v>0.33002832861189813</v>
      </c>
      <c r="P181" s="23">
        <f t="shared" si="264"/>
        <v>0.33</v>
      </c>
      <c r="Q181" s="23">
        <f>Q48</f>
        <v>0.32892363199037877</v>
      </c>
      <c r="R181" s="23">
        <f t="shared" si="264"/>
        <v>0.29068577277379742</v>
      </c>
      <c r="S181" s="120">
        <f>S48</f>
        <v>0.32302414451971512</v>
      </c>
      <c r="T181" s="23">
        <f t="shared" si="264"/>
        <v>0.33887733887733884</v>
      </c>
      <c r="U181" s="23">
        <f t="shared" si="264"/>
        <v>0.3537924151696607</v>
      </c>
      <c r="V181" s="23">
        <f t="shared" si="264"/>
        <v>0.32811594202898553</v>
      </c>
      <c r="W181" s="23">
        <f t="shared" ref="W181:AC181" si="265">W48</f>
        <v>0.21845425867507889</v>
      </c>
      <c r="X181" s="120">
        <f t="shared" si="265"/>
        <v>0.31692546583850939</v>
      </c>
      <c r="Y181" s="23">
        <f t="shared" si="265"/>
        <v>0.32817537072856223</v>
      </c>
      <c r="Z181" s="23">
        <f t="shared" si="265"/>
        <v>0.33021515434985971</v>
      </c>
      <c r="AA181" s="23">
        <f t="shared" si="265"/>
        <v>0.30815913688469315</v>
      </c>
      <c r="AB181" s="23">
        <f t="shared" ca="1" si="265"/>
        <v>0.30634920634920626</v>
      </c>
      <c r="AC181" s="120">
        <f t="shared" ca="1" si="265"/>
        <v>0.31996268656716415</v>
      </c>
      <c r="AD181" s="23">
        <f t="shared" ref="AD181:BE181" si="266">AD48</f>
        <v>0.3434288804759329</v>
      </c>
      <c r="AE181" s="23">
        <f t="shared" si="266"/>
        <v>0.32493125572868931</v>
      </c>
      <c r="AF181" s="23">
        <f>AF48</f>
        <v>0.34186098654708524</v>
      </c>
      <c r="AG181" s="23">
        <f t="shared" si="266"/>
        <v>0.35204991087344029</v>
      </c>
      <c r="AH181" s="120">
        <f ca="1">AH48</f>
        <v>0.33860170102349724</v>
      </c>
      <c r="AI181" s="23">
        <f t="shared" si="266"/>
        <v>0.3309309309309309</v>
      </c>
      <c r="AJ181" s="23">
        <f>AJ48</f>
        <v>0.327217125382263</v>
      </c>
      <c r="AK181" s="23">
        <f t="shared" si="266"/>
        <v>0.35635864592863686</v>
      </c>
      <c r="AL181" s="23">
        <f t="shared" si="266"/>
        <v>0.28000000000000003</v>
      </c>
      <c r="AM181" s="120">
        <f t="shared" si="266"/>
        <v>0.32636000515397501</v>
      </c>
      <c r="AN181" s="23">
        <f t="shared" si="266"/>
        <v>0.33948545861297541</v>
      </c>
      <c r="AO181" s="23">
        <f>AO48</f>
        <v>0.34113712374581939</v>
      </c>
      <c r="AP181" s="23">
        <f t="shared" si="266"/>
        <v>0.33081950729009552</v>
      </c>
      <c r="AQ181" s="23">
        <f>AQ48</f>
        <v>0.27076064200976968</v>
      </c>
      <c r="AR181" s="120">
        <f t="shared" si="266"/>
        <v>0.32476164127889928</v>
      </c>
      <c r="AS181" s="23">
        <f>AS48</f>
        <v>0.32058959005066789</v>
      </c>
      <c r="AT181" s="23">
        <f>AT48</f>
        <v>0.32854368932038835</v>
      </c>
      <c r="AU181" s="23">
        <f t="shared" si="266"/>
        <v>0.31299040976460335</v>
      </c>
      <c r="AV181" s="23">
        <f>AV48</f>
        <v>0.29813664596273293</v>
      </c>
      <c r="AW181" s="120">
        <f t="shared" si="266"/>
        <v>0.31676300578034683</v>
      </c>
      <c r="AX181" s="23">
        <f>AX48</f>
        <v>0.32227488151658767</v>
      </c>
      <c r="AY181" s="23">
        <f t="shared" si="266"/>
        <v>0.32459016393442625</v>
      </c>
      <c r="AZ181" s="23">
        <f t="shared" si="266"/>
        <v>0.28915662650602408</v>
      </c>
      <c r="BA181" s="23">
        <f>BA48</f>
        <v>0.27390956159985902</v>
      </c>
      <c r="BB181" s="120">
        <f t="shared" si="266"/>
        <v>0.30499967189003407</v>
      </c>
      <c r="BC181" s="23">
        <f>BC48</f>
        <v>0.29830988394683822</v>
      </c>
      <c r="BD181" s="23">
        <f>BD48</f>
        <v>0.29729729729729731</v>
      </c>
      <c r="BE181" s="23">
        <f t="shared" si="266"/>
        <v>0.3007518796992481</v>
      </c>
      <c r="BF181" s="23">
        <f t="shared" ref="BF181:BL181" si="267">BF48</f>
        <v>0.38053097345132741</v>
      </c>
      <c r="BG181" s="120">
        <f t="shared" si="267"/>
        <v>0.31719369269928371</v>
      </c>
      <c r="BH181" s="23">
        <f t="shared" si="267"/>
        <v>0.28440366972477066</v>
      </c>
      <c r="BI181" s="23">
        <f t="shared" si="267"/>
        <v>0.31034482758620691</v>
      </c>
      <c r="BJ181" s="23">
        <f t="shared" si="267"/>
        <v>0.2857142857142857</v>
      </c>
      <c r="BK181" s="23">
        <f t="shared" si="267"/>
        <v>0.3</v>
      </c>
      <c r="BL181" s="120">
        <f t="shared" si="267"/>
        <v>0.2958167330677291</v>
      </c>
      <c r="BM181" s="23">
        <f t="shared" ref="BM181:CA181" si="268">BM48</f>
        <v>0.28217821782178215</v>
      </c>
      <c r="BN181" s="23">
        <f t="shared" si="268"/>
        <v>0.28623188405797101</v>
      </c>
      <c r="BO181" s="23">
        <f t="shared" si="268"/>
        <v>0.29457364341085274</v>
      </c>
      <c r="BP181" s="23">
        <f>BP48</f>
        <v>0.26633165829145727</v>
      </c>
      <c r="BQ181" s="120">
        <f t="shared" si="268"/>
        <v>0.28342245989304815</v>
      </c>
      <c r="BR181" s="23">
        <f t="shared" ref="BR181" si="269">BR48</f>
        <v>0.22270742358078602</v>
      </c>
      <c r="BS181" s="23">
        <f t="shared" si="268"/>
        <v>0.27794561933534745</v>
      </c>
      <c r="BT181" s="23">
        <f t="shared" si="268"/>
        <v>0.3</v>
      </c>
      <c r="BU181" s="23">
        <f ca="1">BU48</f>
        <v>0.29901612763418312</v>
      </c>
      <c r="BV181" s="120">
        <f t="shared" si="268"/>
        <v>0.27605000000000002</v>
      </c>
      <c r="BW181" s="23">
        <f t="shared" si="268"/>
        <v>0.28999999999999998</v>
      </c>
      <c r="BX181" s="23">
        <f t="shared" si="268"/>
        <v>0.28999999999999998</v>
      </c>
      <c r="BY181" s="23">
        <f t="shared" si="268"/>
        <v>0.28999999999999998</v>
      </c>
      <c r="BZ181" s="23">
        <f ca="1">BZ48</f>
        <v>0.29000000000000015</v>
      </c>
      <c r="CA181" s="120">
        <f t="shared" si="268"/>
        <v>0.28999999999999998</v>
      </c>
      <c r="CB181" s="23">
        <f t="shared" ref="CB181:CK181" si="270">CB48</f>
        <v>0.28999999999999998</v>
      </c>
      <c r="CC181" s="23">
        <f t="shared" si="270"/>
        <v>0.28999999999999998</v>
      </c>
      <c r="CD181" s="23">
        <f t="shared" si="270"/>
        <v>0.28999999999999998</v>
      </c>
      <c r="CE181" s="23">
        <f ca="1">CE48</f>
        <v>0.29000000000000004</v>
      </c>
      <c r="CF181" s="120">
        <f t="shared" si="270"/>
        <v>0.28999999999999998</v>
      </c>
      <c r="CG181" s="23">
        <f t="shared" si="270"/>
        <v>0.28999999999999998</v>
      </c>
      <c r="CH181" s="23">
        <f t="shared" si="270"/>
        <v>0.28999999999999998</v>
      </c>
      <c r="CI181" s="23">
        <f t="shared" si="270"/>
        <v>0.28999999999999998</v>
      </c>
      <c r="CJ181" s="23">
        <f ca="1">CJ48</f>
        <v>0.28999999999999998</v>
      </c>
      <c r="CK181" s="120">
        <f t="shared" si="270"/>
        <v>0.28999999999999998</v>
      </c>
      <c r="CL181" s="23">
        <f>CL48</f>
        <v>0.28999999999999998</v>
      </c>
      <c r="CM181" s="23">
        <f>CM48</f>
        <v>0.28999999999999998</v>
      </c>
      <c r="CN181" s="23">
        <f>CN48</f>
        <v>0.28999999999999998</v>
      </c>
      <c r="CO181" s="23">
        <f ca="1">CO48</f>
        <v>0.29000000000000026</v>
      </c>
      <c r="CP181" s="120">
        <f>CP48</f>
        <v>0.28999999999999998</v>
      </c>
    </row>
    <row r="182" spans="1:109" s="221" customFormat="1" x14ac:dyDescent="0.25">
      <c r="A182" s="221" t="s">
        <v>105</v>
      </c>
      <c r="C182" s="70">
        <f>+C82/C4</f>
        <v>3.8906300659245649E-2</v>
      </c>
      <c r="D182" s="120">
        <f>+D82/D4</f>
        <v>3.309324508467977E-2</v>
      </c>
      <c r="E182" s="73">
        <f>+E82/E4/4</f>
        <v>4.3631830459173071E-2</v>
      </c>
      <c r="F182" s="73">
        <f>+F82/F4/4</f>
        <v>3.4199617346938771E-2</v>
      </c>
      <c r="G182" s="73">
        <f>+G82/G4/4</f>
        <v>0.11927323665128545</v>
      </c>
      <c r="H182" s="73">
        <f>+H82/H4/4</f>
        <v>0.14416308173640985</v>
      </c>
      <c r="I182" s="120">
        <f>+I82/I4</f>
        <v>0.13243813715363542</v>
      </c>
      <c r="J182" s="73">
        <f>+J82/J4/4</f>
        <v>0.12237084870848709</v>
      </c>
      <c r="K182" s="73">
        <f>+K82/K4/4</f>
        <v>0.17182509505703422</v>
      </c>
      <c r="L182" s="73">
        <f>+L82/L4/4</f>
        <v>0.14587316762268959</v>
      </c>
      <c r="M182" s="73">
        <f>+M82/M4/4</f>
        <v>0.20295675952828576</v>
      </c>
      <c r="N182" s="120">
        <f>+N82/N4</f>
        <v>0.19691567863361248</v>
      </c>
      <c r="O182" s="73">
        <f>+O82/O4/4</f>
        <v>8.6793495421534583E-2</v>
      </c>
      <c r="P182" s="73">
        <f>+P82/P4/4</f>
        <v>7.6526402640264016E-2</v>
      </c>
      <c r="Q182" s="73">
        <f>+Q82/Q4/4</f>
        <v>8.4095124536301011E-2</v>
      </c>
      <c r="R182" s="73">
        <f>+R82/R4/4</f>
        <v>0.1024174869716271</v>
      </c>
      <c r="S182" s="120">
        <f>+S82/S4</f>
        <v>0.10084812201553703</v>
      </c>
      <c r="T182" s="73">
        <f>+T82/T4/4</f>
        <v>6.0817210120416722E-2</v>
      </c>
      <c r="U182" s="73">
        <f>+U82/U4/4</f>
        <v>5.3923214685471232E-2</v>
      </c>
      <c r="V182" s="73">
        <f>+V82/V4/4</f>
        <v>3.8921814451789376E-2</v>
      </c>
      <c r="W182" s="73">
        <f>+W82/W4/4</f>
        <v>3.8521300012948338E-2</v>
      </c>
      <c r="X182" s="120">
        <f>+X82/X4</f>
        <v>3.6256169642313082E-2</v>
      </c>
      <c r="Y182" s="73">
        <f>+Y82/Y4/4</f>
        <v>5.0696202531645564E-2</v>
      </c>
      <c r="Z182" s="73">
        <f>+Z82/Z4/4</f>
        <v>8.7407724403551934E-2</v>
      </c>
      <c r="AA182" s="73">
        <f>+AA82/AA4/4</f>
        <v>0.10671470475704629</v>
      </c>
      <c r="AB182" s="73">
        <f>+AB82/AB4/4</f>
        <v>0.12443289916581299</v>
      </c>
      <c r="AC182" s="120">
        <f>+AC82/AC4</f>
        <v>0.10654428119419818</v>
      </c>
      <c r="AD182" s="73">
        <f>+AD82/AD4/4</f>
        <v>9.7065998102723955E-2</v>
      </c>
      <c r="AE182" s="73">
        <f>+AE82/AE4/4</f>
        <v>8.1000111994624258E-2</v>
      </c>
      <c r="AF182" s="73">
        <f>+AF82/AF4/4</f>
        <v>7.0123012649413938E-2</v>
      </c>
      <c r="AG182" s="73">
        <f>+AG82/AG4/4</f>
        <v>7.9126875852660303E-2</v>
      </c>
      <c r="AH182" s="120">
        <f>+AH82/AH4</f>
        <v>7.1926833049139674E-2</v>
      </c>
      <c r="AI182" s="73">
        <f>+AI82/AI4/4</f>
        <v>8.7528527319103239E-2</v>
      </c>
      <c r="AJ182" s="73">
        <f>+AJ82/AJ4/4</f>
        <v>4.2977807220934076E-2</v>
      </c>
      <c r="AK182" s="73">
        <f>+AK82/AK4/4</f>
        <v>7.2371155444721544E-2</v>
      </c>
      <c r="AL182" s="73">
        <f>+AL82/AL4/4</f>
        <v>0.17913559964615192</v>
      </c>
      <c r="AM182" s="120">
        <f>+AM82/AM4</f>
        <v>0.16655406397791028</v>
      </c>
      <c r="AN182" s="73">
        <f>+AN82/AN4/4</f>
        <v>0.1643758181601809</v>
      </c>
      <c r="AO182" s="73">
        <f>+AO82/AO4/4</f>
        <v>9.380552813425469E-2</v>
      </c>
      <c r="AP182" s="73">
        <f>+AP82/AP4/4</f>
        <v>0.12901459854014599</v>
      </c>
      <c r="AQ182" s="73">
        <f>+AQ82/AQ4/4</f>
        <v>0.10545363783851243</v>
      </c>
      <c r="AR182" s="120">
        <f>+AR82/AR4</f>
        <v>9.3535532433030769E-2</v>
      </c>
      <c r="AS182" s="73">
        <f>+AS82/AS4/4</f>
        <v>0.10292107960368978</v>
      </c>
      <c r="AT182" s="73">
        <f>+AT82/AT4/4</f>
        <v>9.0870980469520621E-2</v>
      </c>
      <c r="AU182" s="73">
        <f>+AU82/AU4/4</f>
        <v>9.4166910117830363E-2</v>
      </c>
      <c r="AV182" s="73">
        <f>+AV82/AV4/4</f>
        <v>5.889145496535797E-2</v>
      </c>
      <c r="AW182" s="120">
        <f>+AW82/AW4</f>
        <v>5.3899809765377296E-2</v>
      </c>
      <c r="AX182" s="73">
        <f>+AX82/AX4/4</f>
        <v>6.0546875E-2</v>
      </c>
      <c r="AY182" s="73">
        <f>+AY82/AY4/4</f>
        <v>4.4485634847080631E-2</v>
      </c>
      <c r="AZ182" s="73">
        <f>+AZ82/AZ4/4</f>
        <v>6.6558441558441553E-2</v>
      </c>
      <c r="BA182" s="73">
        <f>+BA82/BA4/4</f>
        <v>0.12234042553191489</v>
      </c>
      <c r="BB182" s="120">
        <f>+BB82/BB4</f>
        <v>0.11074505828687278</v>
      </c>
      <c r="BC182" s="73">
        <f>+BC82/BC4/4</f>
        <v>0.1248642779587405</v>
      </c>
      <c r="BD182" s="73">
        <f>+BD82/BD4/4</f>
        <v>5.1762114537444934E-2</v>
      </c>
      <c r="BE182" s="73">
        <f>+BE82/BE4/4</f>
        <v>5.7182067703568158E-2</v>
      </c>
      <c r="BF182" s="73">
        <f>+BF82/BF4/4</f>
        <v>9.7676874340021119E-2</v>
      </c>
      <c r="BG182" s="120">
        <f>+BG82/BG4</f>
        <v>9.033203125E-2</v>
      </c>
      <c r="BH182" s="73">
        <f>+BH82/BH4/4</f>
        <v>0.13722222222222222</v>
      </c>
      <c r="BI182" s="73">
        <f>+BI82/BI4/4</f>
        <v>4.4479927007299268E-2</v>
      </c>
      <c r="BJ182" s="73">
        <f>+BJ82/BJ4/4</f>
        <v>7.3176361957525388E-2</v>
      </c>
      <c r="BK182" s="73">
        <f>+BK82/BK4/4</f>
        <v>7.0471596998928188E-2</v>
      </c>
      <c r="BL182" s="120">
        <f>+BL82/BL4</f>
        <v>6.5553339980059827E-2</v>
      </c>
      <c r="BM182" s="73">
        <f>+BM82/BM4/4</f>
        <v>0.13405373831775702</v>
      </c>
      <c r="BN182" s="73">
        <f>+BN82/BN4/4</f>
        <v>0.05</v>
      </c>
      <c r="BO182" s="73">
        <f>+BO82/BO4/4</f>
        <v>4.6506137865911235E-2</v>
      </c>
      <c r="BP182" s="73">
        <f>+BP82/BP4/4</f>
        <v>5.1296505073280721E-2</v>
      </c>
      <c r="BQ182" s="120">
        <f>+BQ82/BQ4</f>
        <v>4.7186932849364795E-2</v>
      </c>
      <c r="BR182" s="73">
        <f>+BR82/BR4/4</f>
        <v>6.4047362755651233E-2</v>
      </c>
      <c r="BS182" s="73">
        <f>+BS82/BS4/4</f>
        <v>4.5454545454545456E-2</v>
      </c>
      <c r="BT182" s="73">
        <f>+BT82/BT4/4</f>
        <v>4.5418945589128172E-2</v>
      </c>
      <c r="BU182" s="73">
        <f>+BU82/BU4/4</f>
        <v>5.5819571604839302E-2</v>
      </c>
      <c r="BV182" s="120">
        <f>+BV82/BV4</f>
        <v>5.0339534420481828E-2</v>
      </c>
      <c r="BW182" s="73">
        <f>+BW82/BW4/4</f>
        <v>5.3430627287795976E-2</v>
      </c>
      <c r="BX182" s="73">
        <f>+BX82/BX4/4</f>
        <v>4.402805120579046E-2</v>
      </c>
      <c r="BY182" s="73">
        <f>+BY82/BY4/4</f>
        <v>4.2963939324446872E-2</v>
      </c>
      <c r="BZ182" s="73">
        <f>+BZ82/BZ4/4</f>
        <v>5.2851715826514163E-2</v>
      </c>
      <c r="CA182" s="120">
        <f>+CA82/CA4</f>
        <v>4.7832674726925865E-2</v>
      </c>
      <c r="CB182" s="73">
        <f>+CB82/CB4/4</f>
        <v>5.0886311702662834E-2</v>
      </c>
      <c r="CC182" s="73">
        <f>+CC82/CC4/4</f>
        <v>4.1931477338848056E-2</v>
      </c>
      <c r="CD182" s="73">
        <f>+CD82/CD4/4</f>
        <v>4.0918037451854163E-2</v>
      </c>
      <c r="CE182" s="73">
        <f>+CE82/CE4/4</f>
        <v>5.0334967453823029E-2</v>
      </c>
      <c r="CF182" s="120">
        <f>+CF82/CF4</f>
        <v>4.5554928311357976E-2</v>
      </c>
      <c r="CG182" s="73">
        <f>+CG82/CG4/4</f>
        <v>4.8463154002536028E-2</v>
      </c>
      <c r="CH182" s="73">
        <f>+CH82/CH4/4</f>
        <v>3.993474032271243E-2</v>
      </c>
      <c r="CI182" s="73">
        <f>+CI82/CI4/4</f>
        <v>3.8969559477956342E-2</v>
      </c>
      <c r="CJ182" s="73">
        <f>+CJ82/CJ4/4</f>
        <v>4.7938064241736224E-2</v>
      </c>
      <c r="CK182" s="120">
        <f>+CK82/CK4</f>
        <v>4.3385646010817118E-2</v>
      </c>
      <c r="CL182" s="73">
        <f>+CL82/CL4/4</f>
        <v>4.6155384764320032E-2</v>
      </c>
      <c r="CM182" s="73">
        <f>+CM82/CM4/4</f>
        <v>3.8033086021630885E-2</v>
      </c>
      <c r="CN182" s="73">
        <f>+CN82/CN4/4</f>
        <v>3.7113866169482229E-2</v>
      </c>
      <c r="CO182" s="73">
        <f>+CO82/CO4/4</f>
        <v>4.5655299277844029E-2</v>
      </c>
      <c r="CP182" s="120">
        <f>+CP82/CP4</f>
        <v>4.1319662867444873E-2</v>
      </c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</row>
    <row r="183" spans="1:109" s="221" customFormat="1" x14ac:dyDescent="0.25">
      <c r="A183" s="221" t="s">
        <v>106</v>
      </c>
      <c r="C183" s="70">
        <f>+C84/C4</f>
        <v>0.17561871825353939</v>
      </c>
      <c r="D183" s="70">
        <f>C183+0.0035</f>
        <v>0.17911871825353939</v>
      </c>
      <c r="E183" s="73">
        <f>+E84/E4/4</f>
        <v>0.16845003116559318</v>
      </c>
      <c r="F183" s="73">
        <f>+F84/F4/4</f>
        <v>0.19479432397959182</v>
      </c>
      <c r="G183" s="73">
        <f>+G84/G4/4</f>
        <v>0.14712425840474622</v>
      </c>
      <c r="H183" s="73">
        <f>+H84/H4/4</f>
        <v>0.14465193586233868</v>
      </c>
      <c r="I183" s="70">
        <f>D183+0.0035</f>
        <v>0.1826187182535394</v>
      </c>
      <c r="J183" s="73">
        <f>+J84/J4/4</f>
        <v>0.14806273062730627</v>
      </c>
      <c r="K183" s="73">
        <f>+K84/K4/4</f>
        <v>0.15399239543726237</v>
      </c>
      <c r="L183" s="73">
        <f>+L84/L4/4</f>
        <v>0.12452198852772467</v>
      </c>
      <c r="M183" s="73">
        <f>+M84/M4/4</f>
        <v>0.1380105964792343</v>
      </c>
      <c r="N183" s="70">
        <f>N84/N4</f>
        <v>0.1339026614708565</v>
      </c>
      <c r="O183" s="73">
        <f>+O84/O4/4</f>
        <v>0.13072308178086517</v>
      </c>
      <c r="P183" s="73">
        <f>+P84/P4/4</f>
        <v>0.15184955995599558</v>
      </c>
      <c r="Q183" s="73">
        <f>+Q84/Q4/4</f>
        <v>0.16070482246952836</v>
      </c>
      <c r="R183" s="73">
        <f>+R84/R4/4</f>
        <v>0.14620729588882456</v>
      </c>
      <c r="S183" s="70">
        <f>S84/S4</f>
        <v>0.14396693036846983</v>
      </c>
      <c r="T183" s="73">
        <f>+T84/T4/4</f>
        <v>0.13320254363414963</v>
      </c>
      <c r="U183" s="73">
        <f>+U84/U4/4</f>
        <v>0.14973695992836356</v>
      </c>
      <c r="V183" s="73">
        <f>+V84/V4/4</f>
        <v>0.13480168680191476</v>
      </c>
      <c r="W183" s="73">
        <f>+W84/W4/4</f>
        <v>0.1466399067719798</v>
      </c>
      <c r="X183" s="70">
        <f>X84/X4</f>
        <v>0.1380171835963683</v>
      </c>
      <c r="Y183" s="73">
        <f>+Y84/Y4/4</f>
        <v>0.13569620253164558</v>
      </c>
      <c r="Z183" s="73">
        <f>+Z84/Z4/4</f>
        <v>0.14293356157055739</v>
      </c>
      <c r="AA183" s="73">
        <f>+AA84/AA4/4</f>
        <v>0.13183905114143604</v>
      </c>
      <c r="AB183" s="73">
        <f>+AB84/AB4/4</f>
        <v>0.13431142982584518</v>
      </c>
      <c r="AC183" s="70">
        <f>AC84/AC4</f>
        <v>0.11500266282384637</v>
      </c>
      <c r="AD183" s="73">
        <f>+AD84/AD4/4</f>
        <v>0.13301260333378509</v>
      </c>
      <c r="AE183" s="73">
        <f>+AE84/AE4/4</f>
        <v>0.14534102363086573</v>
      </c>
      <c r="AF183" s="73">
        <f>+AF84/AF4/4</f>
        <v>0.13171637460833235</v>
      </c>
      <c r="AG183" s="73">
        <f>+AG84/AG4/4</f>
        <v>0.14256480218281037</v>
      </c>
      <c r="AH183" s="70">
        <f>AH84/AH4</f>
        <v>0.1295923112695706</v>
      </c>
      <c r="AI183" s="73">
        <f>+AI84/AI4/4</f>
        <v>0.13813934756343135</v>
      </c>
      <c r="AJ183" s="73">
        <f>+AJ84/AJ4/4</f>
        <v>0.1501600971624158</v>
      </c>
      <c r="AK183" s="73">
        <f>+AK84/AK4/4</f>
        <v>0.1377545719035744</v>
      </c>
      <c r="AL183" s="73">
        <f>+AL84/AL4/4</f>
        <v>0.15670415771515228</v>
      </c>
      <c r="AM183" s="70">
        <f>AM84/AM4</f>
        <v>0.14569808771259876</v>
      </c>
      <c r="AN183" s="73">
        <f>+AN84/AN4/4</f>
        <v>0.15568844460311793</v>
      </c>
      <c r="AO183" s="73">
        <f>+AO84/AO4/4</f>
        <v>0.15841559723593288</v>
      </c>
      <c r="AP183" s="73">
        <f>+AP84/AP4/4</f>
        <v>0.14825338894681961</v>
      </c>
      <c r="AQ183" s="73">
        <f>+AQ84/AQ4/4</f>
        <v>0.14819668039435918</v>
      </c>
      <c r="AR183" s="70">
        <f>AR84/AR4</f>
        <v>0.13144786362630062</v>
      </c>
      <c r="AS183" s="73">
        <f>+AS84/AS4/4</f>
        <v>0.14944197699578635</v>
      </c>
      <c r="AT183" s="73">
        <f>+AT84/AT4/4</f>
        <v>0.16805582955217993</v>
      </c>
      <c r="AU183" s="73">
        <f>+AU84/AU4/4</f>
        <v>0.15429934755088126</v>
      </c>
      <c r="AV183" s="73">
        <f>+AV84/AV4/4</f>
        <v>0.15819861431870669</v>
      </c>
      <c r="AW183" s="70">
        <f>AW84/AW4</f>
        <v>0.14478968505601353</v>
      </c>
      <c r="AX183" s="73">
        <f>+AX84/AX4/4</f>
        <v>0.15122767857142858</v>
      </c>
      <c r="AY183" s="73">
        <f>+AY84/AY4/4</f>
        <v>0.16890639481000927</v>
      </c>
      <c r="AZ183" s="73">
        <f>+AZ84/AZ4/4</f>
        <v>0.15746753246753248</v>
      </c>
      <c r="BA183" s="73">
        <f>+BA84/BA4/4</f>
        <v>0.15929451287793953</v>
      </c>
      <c r="BB183" s="70">
        <f>BB84/BB4</f>
        <v>0.14419665484034466</v>
      </c>
      <c r="BC183" s="73">
        <f>+BC84/BC4/4</f>
        <v>0.1484799131378936</v>
      </c>
      <c r="BD183" s="73">
        <f>+BD84/BD4/4</f>
        <v>0.16762114537444933</v>
      </c>
      <c r="BE183" s="73">
        <f>+BE84/BE4/4</f>
        <v>0.14432753888380603</v>
      </c>
      <c r="BF183" s="73">
        <f>+BF84/BF4/4</f>
        <v>0.15390707497360084</v>
      </c>
      <c r="BG183" s="70">
        <f>BG84/BG4</f>
        <v>0.142333984375</v>
      </c>
      <c r="BH183" s="73">
        <f>+BH84/BH4/4</f>
        <v>0.14027777777777778</v>
      </c>
      <c r="BI183" s="73">
        <f>+BI84/BI4/4</f>
        <v>0.16583029197080293</v>
      </c>
      <c r="BJ183" s="73">
        <f>+BJ84/BJ4/4</f>
        <v>0.14542936288088643</v>
      </c>
      <c r="BK183" s="73">
        <f>+BK84/BK4/4</f>
        <v>0.14978563772775991</v>
      </c>
      <c r="BL183" s="70">
        <f>BL84/BL4</f>
        <v>0.13933200398803589</v>
      </c>
      <c r="BM183" s="73">
        <f>+BM84/BM4/4</f>
        <v>0.14632009345794392</v>
      </c>
      <c r="BN183" s="73">
        <f>+BN84/BN4/4</f>
        <v>0.15639810426540285</v>
      </c>
      <c r="BO183" s="73">
        <f>+BO84/BO4/4</f>
        <v>0.14423984891406988</v>
      </c>
      <c r="BP183" s="73">
        <f>+BP84/BP4/4</f>
        <v>0.15698985343855693</v>
      </c>
      <c r="BQ183" s="70">
        <f>BQ84/BQ4</f>
        <v>0.14441275602800105</v>
      </c>
      <c r="BR183" s="73">
        <f>+BR84/BR4/4</f>
        <v>0.155005382131324</v>
      </c>
      <c r="BS183" s="73">
        <f>+BS84/BS4/4</f>
        <v>0.16144939965694682</v>
      </c>
      <c r="BT183" s="219">
        <f t="shared" ref="BT183:BU184" si="271">BO183</f>
        <v>0.14423984891406988</v>
      </c>
      <c r="BU183" s="219">
        <f t="shared" si="271"/>
        <v>0.15698985343855693</v>
      </c>
      <c r="BV183" s="70">
        <f>BV84/BV4</f>
        <v>0.14157751311282898</v>
      </c>
      <c r="BW183" s="219">
        <f t="shared" ref="BW183:BZ184" si="272">BR183</f>
        <v>0.155005382131324</v>
      </c>
      <c r="BX183" s="219">
        <f t="shared" si="272"/>
        <v>0.16144939965694682</v>
      </c>
      <c r="BY183" s="219">
        <f t="shared" si="272"/>
        <v>0.14423984891406988</v>
      </c>
      <c r="BZ183" s="219">
        <f t="shared" si="272"/>
        <v>0.15698985343855693</v>
      </c>
      <c r="CA183" s="70">
        <f>CA84/CA4</f>
        <v>0.14208137763404627</v>
      </c>
      <c r="CB183" s="219">
        <f t="shared" ref="CB183:CE184" si="273">BW183</f>
        <v>0.155005382131324</v>
      </c>
      <c r="CC183" s="219">
        <f t="shared" si="273"/>
        <v>0.16144939965694682</v>
      </c>
      <c r="CD183" s="219">
        <f t="shared" si="273"/>
        <v>0.14423984891406988</v>
      </c>
      <c r="CE183" s="219">
        <f t="shared" si="273"/>
        <v>0.15698985343855693</v>
      </c>
      <c r="CF183" s="70">
        <f>CF84/CF4</f>
        <v>0.14208137763404621</v>
      </c>
      <c r="CG183" s="219">
        <f t="shared" ref="CG183:CJ184" si="274">CB183</f>
        <v>0.155005382131324</v>
      </c>
      <c r="CH183" s="219">
        <f t="shared" si="274"/>
        <v>0.16144939965694682</v>
      </c>
      <c r="CI183" s="219">
        <f t="shared" si="274"/>
        <v>0.14423984891406988</v>
      </c>
      <c r="CJ183" s="219">
        <f t="shared" si="274"/>
        <v>0.15698985343855693</v>
      </c>
      <c r="CK183" s="70">
        <f>CK84/CK4</f>
        <v>0.14208137763404619</v>
      </c>
      <c r="CL183" s="219">
        <f t="shared" ref="CL183:CO184" si="275">CG183</f>
        <v>0.155005382131324</v>
      </c>
      <c r="CM183" s="219">
        <f t="shared" si="275"/>
        <v>0.16144939965694682</v>
      </c>
      <c r="CN183" s="219">
        <f t="shared" si="275"/>
        <v>0.14423984891406988</v>
      </c>
      <c r="CO183" s="219">
        <f t="shared" si="275"/>
        <v>0.15698985343855693</v>
      </c>
      <c r="CP183" s="70">
        <f>CP84/CP4</f>
        <v>0.14208137763404621</v>
      </c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</row>
    <row r="184" spans="1:109" s="221" customFormat="1" x14ac:dyDescent="0.25">
      <c r="A184" s="221" t="s">
        <v>107</v>
      </c>
      <c r="C184" s="70">
        <f>+C86/C17</f>
        <v>0.97079322933952883</v>
      </c>
      <c r="D184" s="70">
        <f>+D86/D17</f>
        <v>0.88244613434727492</v>
      </c>
      <c r="E184" s="73">
        <f>+E86/E17/4</f>
        <v>0.99091843728581208</v>
      </c>
      <c r="F184" s="73">
        <f>+F86/F17/4</f>
        <v>0.80398182789951878</v>
      </c>
      <c r="G184" s="73">
        <f>+G86/G17/4</f>
        <v>0.82428160919540261</v>
      </c>
      <c r="H184" s="73">
        <f>+H86/H17/4</f>
        <v>0.88194444444444486</v>
      </c>
      <c r="I184" s="70">
        <f>+I86/I17</f>
        <v>0.73398937831927558</v>
      </c>
      <c r="J184" s="73">
        <f>+J86/J17/4</f>
        <v>0.85136078157711093</v>
      </c>
      <c r="K184" s="73">
        <f>+K86/K17/4</f>
        <v>0.69297082228116669</v>
      </c>
      <c r="L184" s="73">
        <f>+L86/L17/4</f>
        <v>0.79237804878048779</v>
      </c>
      <c r="M184" s="73">
        <f>+M86/M17/4</f>
        <v>0.91511461318051557</v>
      </c>
      <c r="N184" s="70">
        <f>+N86/N17</f>
        <v>0.80421781554926031</v>
      </c>
      <c r="O184" s="73">
        <f>+O86/O17/4</f>
        <v>0.87540038436899426</v>
      </c>
      <c r="P184" s="73">
        <f>+P86/P17/4</f>
        <v>0.74398496240601564</v>
      </c>
      <c r="Q184" s="73">
        <f>+Q86/Q17/4</f>
        <v>0.89912731006160185</v>
      </c>
      <c r="R184" s="73">
        <f>+R86/R17/4</f>
        <v>0.93029490616622001</v>
      </c>
      <c r="S184" s="70">
        <f>+S86/S17</f>
        <v>0.94178314560998799</v>
      </c>
      <c r="T184" s="73">
        <f>+T86/T17/4</f>
        <v>0.92401835798062193</v>
      </c>
      <c r="U184" s="73">
        <f>+U86/U17/4</f>
        <v>0.7467426710097721</v>
      </c>
      <c r="V184" s="73">
        <f>+V86/V17/4</f>
        <v>0.71153044203502935</v>
      </c>
      <c r="W184" s="73">
        <f>+W86/W17/4</f>
        <v>0.83373904576436242</v>
      </c>
      <c r="X184" s="70">
        <f>+X86/X17</f>
        <v>0.77235314015108802</v>
      </c>
      <c r="Y184" s="73">
        <f>+Y86/Y17/4</f>
        <v>0.84004739336492895</v>
      </c>
      <c r="Z184" s="73">
        <f>+Z86/Z17/4</f>
        <v>0.62960914454277273</v>
      </c>
      <c r="AA184" s="73">
        <f>+AA86/AA17/4</f>
        <v>0.72497745716862039</v>
      </c>
      <c r="AB184" s="73">
        <f>+AB86/AB17/4</f>
        <v>0.91367713004484341</v>
      </c>
      <c r="AC184" s="70">
        <f>+AC86/AC17</f>
        <v>0.73889392565729783</v>
      </c>
      <c r="AD184" s="73">
        <f>+AD86/AD17/4</f>
        <v>0.89853172522286329</v>
      </c>
      <c r="AE184" s="73">
        <f>+AE86/AE17/4</f>
        <v>0.67455043002345594</v>
      </c>
      <c r="AF184" s="73">
        <f>+AF86/AF17/4</f>
        <v>0.72660044150110348</v>
      </c>
      <c r="AG184" s="73">
        <f>+AG86/AG17/4</f>
        <v>0.88163596966413871</v>
      </c>
      <c r="AH184" s="70">
        <f>+AH86/AH17</f>
        <v>0.75909514925373134</v>
      </c>
      <c r="AI184" s="73">
        <f>+AI86/AI17/4</f>
        <v>0.88129590766002108</v>
      </c>
      <c r="AJ184" s="73">
        <f>+AJ86/AJ17/4</f>
        <v>0.72923622704507507</v>
      </c>
      <c r="AK184" s="73">
        <f>+AK86/AK17/4</f>
        <v>0.6922290388548058</v>
      </c>
      <c r="AL184" s="73">
        <f>+AL86/AL17/4</f>
        <v>0.86312700106723605</v>
      </c>
      <c r="AM184" s="70">
        <f>+AM86/AM17</f>
        <v>0.75049298225263872</v>
      </c>
      <c r="AN184" s="73">
        <f>+AN86/AN17/4</f>
        <v>0.78793103448275881</v>
      </c>
      <c r="AO184" s="73">
        <f>+AO86/AO17/4</f>
        <v>0.6234290843806104</v>
      </c>
      <c r="AP184" s="73">
        <f>+AP86/AP17/4</f>
        <v>0.68228958915037885</v>
      </c>
      <c r="AQ184" s="73">
        <f>+AQ86/AQ17/4</f>
        <v>0.9828823854224189</v>
      </c>
      <c r="AR184" s="70">
        <f>+AR86/AR17</f>
        <v>0.76740676870015045</v>
      </c>
      <c r="AS184" s="73">
        <f>+AS86/AS17/4</f>
        <v>0.94744670302429357</v>
      </c>
      <c r="AT184" s="73">
        <f>+AT86/AT17/4</f>
        <v>0.79054321966693109</v>
      </c>
      <c r="AU184" s="73">
        <f>+AU86/AU17/4</f>
        <v>0.83461698584512889</v>
      </c>
      <c r="AV184" s="73">
        <f>+AV86/AV17/4</f>
        <v>1.0337499999999999</v>
      </c>
      <c r="AW184" s="70">
        <f>+AW86/AW17</f>
        <v>0.92495246616709514</v>
      </c>
      <c r="AX184" s="73">
        <f>+AX86/AX17/4</f>
        <v>1.0454545454545454</v>
      </c>
      <c r="AY184" s="73">
        <f>+AY86/AY17/4</f>
        <v>0.87645914396887159</v>
      </c>
      <c r="AZ184" s="73">
        <f>+AZ86/AZ17/4</f>
        <v>0.873</v>
      </c>
      <c r="BA184" s="73">
        <f>+BA86/BA17/4</f>
        <v>1.125</v>
      </c>
      <c r="BB184" s="70">
        <f>+BB86/BB17</f>
        <v>0.96710526315789469</v>
      </c>
      <c r="BC184" s="73">
        <f>+BC86/BC17/4</f>
        <v>1.1297619047619047</v>
      </c>
      <c r="BD184" s="73">
        <f>+BD86/BD17/4</f>
        <v>0.90578358208955223</v>
      </c>
      <c r="BE184" s="73">
        <f>+BE86/BE17/4</f>
        <v>0.88461538461538458</v>
      </c>
      <c r="BF184" s="73">
        <f>+BF86/BF17/4</f>
        <v>1.1185446009389672</v>
      </c>
      <c r="BG184" s="70">
        <f>+BG86/BG17</f>
        <v>1.0021030494216614</v>
      </c>
      <c r="BH184" s="73">
        <f>+BH86/BH17/4</f>
        <v>1.2439903846153846</v>
      </c>
      <c r="BI184" s="73">
        <f>+BI86/BI17/4</f>
        <v>0.99533582089552242</v>
      </c>
      <c r="BJ184" s="73">
        <f>+BJ86/BJ17/4</f>
        <v>1.014763779527559</v>
      </c>
      <c r="BK184" s="73">
        <f>+BK86/BK17/4</f>
        <v>1.2199074074074074</v>
      </c>
      <c r="BL184" s="70">
        <f>+BL86/BL17</f>
        <v>1.1141649048625792</v>
      </c>
      <c r="BM184" s="73">
        <f>+BM86/BM17/4</f>
        <v>1.5168269230769231</v>
      </c>
      <c r="BN184" s="73">
        <f>+BN86/BN17/4</f>
        <v>1.1564748201438848</v>
      </c>
      <c r="BO184" s="73">
        <f>+BO86/BO17/4</f>
        <v>1.1378676470588236</v>
      </c>
      <c r="BP184" s="73">
        <f>+BP86/BP17/4</f>
        <v>1.483644859813084</v>
      </c>
      <c r="BQ184" s="70">
        <f>+BQ86/BQ17</f>
        <v>1.3065843621399178</v>
      </c>
      <c r="BR184" s="73">
        <f>+BR86/BR17/4</f>
        <v>1.4532608695652174</v>
      </c>
      <c r="BS184" s="73">
        <f>+BS86/BS17/4</f>
        <v>1.1175986842105263</v>
      </c>
      <c r="BT184" s="219">
        <f t="shared" si="271"/>
        <v>1.1378676470588236</v>
      </c>
      <c r="BU184" s="219">
        <f t="shared" si="271"/>
        <v>1.483644859813084</v>
      </c>
      <c r="BV184" s="70">
        <f>+BV86/BV17</f>
        <v>1.2851517482626733</v>
      </c>
      <c r="BW184" s="219">
        <f t="shared" si="272"/>
        <v>1.4532608695652174</v>
      </c>
      <c r="BX184" s="219">
        <f t="shared" si="272"/>
        <v>1.1175986842105263</v>
      </c>
      <c r="BY184" s="219">
        <f t="shared" si="272"/>
        <v>1.1378676470588236</v>
      </c>
      <c r="BZ184" s="219">
        <f t="shared" si="272"/>
        <v>1.483644859813084</v>
      </c>
      <c r="CA184" s="70">
        <f>+CA86/CA17</f>
        <v>1.2905838824083475</v>
      </c>
      <c r="CB184" s="219">
        <f t="shared" si="273"/>
        <v>1.4532608695652174</v>
      </c>
      <c r="CC184" s="219">
        <f t="shared" si="273"/>
        <v>1.1175986842105263</v>
      </c>
      <c r="CD184" s="219">
        <f t="shared" si="273"/>
        <v>1.1378676470588236</v>
      </c>
      <c r="CE184" s="219">
        <f t="shared" si="273"/>
        <v>1.483644859813084</v>
      </c>
      <c r="CF184" s="70">
        <f>+CF86/CF17</f>
        <v>1.2902936971371766</v>
      </c>
      <c r="CG184" s="219">
        <f t="shared" si="274"/>
        <v>1.4532608695652174</v>
      </c>
      <c r="CH184" s="219">
        <f t="shared" si="274"/>
        <v>1.1175986842105263</v>
      </c>
      <c r="CI184" s="219">
        <f t="shared" si="274"/>
        <v>1.1378676470588236</v>
      </c>
      <c r="CJ184" s="219">
        <f t="shared" si="274"/>
        <v>1.483644859813084</v>
      </c>
      <c r="CK184" s="70">
        <f>+CK86/CK17</f>
        <v>1.2900008020301688</v>
      </c>
      <c r="CL184" s="219">
        <f t="shared" si="275"/>
        <v>1.4532608695652174</v>
      </c>
      <c r="CM184" s="219">
        <f t="shared" si="275"/>
        <v>1.1175986842105263</v>
      </c>
      <c r="CN184" s="219">
        <f t="shared" si="275"/>
        <v>1.1378676470588236</v>
      </c>
      <c r="CO184" s="219">
        <f t="shared" si="275"/>
        <v>1.483644859813084</v>
      </c>
      <c r="CP184" s="70">
        <f>+CP86/CP17</f>
        <v>1.2898040143579825</v>
      </c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</row>
    <row r="185" spans="1:109" s="211" customFormat="1" x14ac:dyDescent="0.25">
      <c r="A185" s="211" t="s">
        <v>108</v>
      </c>
      <c r="C185" s="222">
        <f>+C86/C17*365</f>
        <v>354.33952870892801</v>
      </c>
      <c r="D185" s="222">
        <f>+D86/D17*365</f>
        <v>322.09283903675532</v>
      </c>
      <c r="E185" s="223">
        <f>+E86/E17*365/4</f>
        <v>361.68522960932142</v>
      </c>
      <c r="F185" s="223">
        <f>+F86/F17*365/4</f>
        <v>293.45336718332436</v>
      </c>
      <c r="G185" s="223">
        <f>+G86/G17*365/4</f>
        <v>300.86278735632197</v>
      </c>
      <c r="H185" s="224">
        <f>+H86/H17*365/4</f>
        <v>321.9097222222224</v>
      </c>
      <c r="I185" s="222">
        <f>+I86/I17*365</f>
        <v>267.90612308653556</v>
      </c>
      <c r="J185" s="223">
        <f>+J86/J17*365/4</f>
        <v>310.74668527564546</v>
      </c>
      <c r="K185" s="223">
        <f>+K86/K17*365/4</f>
        <v>252.93435013262584</v>
      </c>
      <c r="L185" s="223">
        <f>+L86/L17*365/4</f>
        <v>289.21798780487802</v>
      </c>
      <c r="M185" s="224">
        <f>+M86/M17*365/4</f>
        <v>334.01683381088816</v>
      </c>
      <c r="N185" s="222">
        <f>+N86/N17*365</f>
        <v>293.53950267548004</v>
      </c>
      <c r="O185" s="223">
        <f>+O86/O17*365/4</f>
        <v>319.52114029468288</v>
      </c>
      <c r="P185" s="223">
        <f>+P86/P17*365/4</f>
        <v>271.55451127819572</v>
      </c>
      <c r="Q185" s="223">
        <f>+Q86/Q17*365/4</f>
        <v>328.1814681724847</v>
      </c>
      <c r="R185" s="224">
        <f>+R86/R17*365/4</f>
        <v>339.55764075067032</v>
      </c>
      <c r="S185" s="222">
        <f>+S86/S17*365</f>
        <v>343.75084814764563</v>
      </c>
      <c r="T185" s="223">
        <f>+T86/T17*365/4</f>
        <v>337.26670066292701</v>
      </c>
      <c r="U185" s="223">
        <f>+U86/U17*365/4</f>
        <v>272.56107491856682</v>
      </c>
      <c r="V185" s="223">
        <f>+V86/V17*365/4</f>
        <v>259.70861134278573</v>
      </c>
      <c r="W185" s="224">
        <f>+W86/W17*365/4</f>
        <v>304.31475170399227</v>
      </c>
      <c r="X185" s="222">
        <f>+X86/X17*365</f>
        <v>281.90889615514715</v>
      </c>
      <c r="Y185" s="223">
        <f>+Y86/Y17*365/4</f>
        <v>306.61729857819904</v>
      </c>
      <c r="Z185" s="223">
        <f>+Z86/Z17*365/4</f>
        <v>229.80733775811206</v>
      </c>
      <c r="AA185" s="223">
        <f>+AA86/AA17*365/4</f>
        <v>264.61677186654646</v>
      </c>
      <c r="AB185" s="223">
        <f>+AB86/AB17*365/4</f>
        <v>333.49215246636783</v>
      </c>
      <c r="AC185" s="222">
        <f>+AC86/AC17*365</f>
        <v>269.69628286491371</v>
      </c>
      <c r="AD185" s="223">
        <f>+AD86/AD17*365/4</f>
        <v>327.9640797063451</v>
      </c>
      <c r="AE185" s="223">
        <f>+AE86/AE17*365/4</f>
        <v>246.21090695856142</v>
      </c>
      <c r="AF185" s="223">
        <f>+AF86/AF17*365/4</f>
        <v>265.20916114790276</v>
      </c>
      <c r="AG185" s="223">
        <f>+AG86/AG17*365/4</f>
        <v>321.79712892741065</v>
      </c>
      <c r="AH185" s="222">
        <f>+AH86/AH17*365</f>
        <v>277.06972947761193</v>
      </c>
      <c r="AI185" s="223">
        <f>+AI86/AI17*365/4</f>
        <v>321.67300629590767</v>
      </c>
      <c r="AJ185" s="223">
        <f>+AJ86/AJ17*365/4</f>
        <v>266.17122287145241</v>
      </c>
      <c r="AK185" s="223">
        <f>+AK86/AK17*365/4</f>
        <v>252.66359918200411</v>
      </c>
      <c r="AL185" s="223">
        <f>+AL86/AL17*365/4</f>
        <v>315.04135538954114</v>
      </c>
      <c r="AM185" s="222">
        <f>+AM86/AM17*365</f>
        <v>273.92993852221315</v>
      </c>
      <c r="AN185" s="223">
        <f>+AN86/AN17*365/4</f>
        <v>287.59482758620697</v>
      </c>
      <c r="AO185" s="223">
        <f>+AO86/AO17*365/4</f>
        <v>227.5516157989228</v>
      </c>
      <c r="AP185" s="223">
        <f>+AP86/AP17*365/4</f>
        <v>249.03570003988827</v>
      </c>
      <c r="AQ185" s="223">
        <f>+AQ86/AQ17*365/4</f>
        <v>358.75207067918291</v>
      </c>
      <c r="AR185" s="222">
        <f>+AR86/AR17*365</f>
        <v>280.10347057555492</v>
      </c>
      <c r="AS185" s="223">
        <f>+AS86/AS17*365/4</f>
        <v>345.81804660386717</v>
      </c>
      <c r="AT185" s="223">
        <f>+AT86/AT17*365/4</f>
        <v>288.54827517842983</v>
      </c>
      <c r="AU185" s="223">
        <f>+AU86/AU17*365/4</f>
        <v>304.63519983347203</v>
      </c>
      <c r="AV185" s="223">
        <f>+AV86/AV17*365/4</f>
        <v>377.31874999999997</v>
      </c>
      <c r="AW185" s="222">
        <f>+AW86/AW17*365</f>
        <v>337.60765015098974</v>
      </c>
      <c r="AX185" s="223">
        <f>+AX86/AX17*365/4</f>
        <v>381.59090909090907</v>
      </c>
      <c r="AY185" s="223">
        <f>+AY86/AY17*365/4</f>
        <v>319.90758754863811</v>
      </c>
      <c r="AZ185" s="223">
        <f>+AZ86/AZ17*365/4</f>
        <v>318.64499999999998</v>
      </c>
      <c r="BA185" s="223">
        <f>+BA86/BA17*365/4</f>
        <v>410.625</v>
      </c>
      <c r="BB185" s="222">
        <f>+BB86/BB17*365</f>
        <v>352.99342105263156</v>
      </c>
      <c r="BC185" s="223">
        <f>+BC86/BC17*365/4</f>
        <v>412.36309523809524</v>
      </c>
      <c r="BD185" s="223">
        <f>+BD86/BD17*365/4</f>
        <v>330.61100746268659</v>
      </c>
      <c r="BE185" s="223">
        <f>+BE86/BE17*365/4</f>
        <v>322.88461538461536</v>
      </c>
      <c r="BF185" s="223">
        <f>+BF86/BF17*365/4</f>
        <v>408.26877934272306</v>
      </c>
      <c r="BG185" s="222">
        <f>+BG86/BG17*365</f>
        <v>365.7676130389064</v>
      </c>
      <c r="BH185" s="223">
        <f>+BH86/BH17*365/4</f>
        <v>454.05649038461536</v>
      </c>
      <c r="BI185" s="223">
        <f>+BI86/BI17*365/4</f>
        <v>363.2975746268657</v>
      </c>
      <c r="BJ185" s="223">
        <f>+BJ86/BJ17*365/4</f>
        <v>370.38877952755905</v>
      </c>
      <c r="BK185" s="223">
        <f>+BK86/BK17*365/4</f>
        <v>445.2662037037037</v>
      </c>
      <c r="BL185" s="222">
        <f>+BL86/BL17*365</f>
        <v>406.67019027484145</v>
      </c>
      <c r="BM185" s="223">
        <f>+BM86/BM17*365/4</f>
        <v>553.64182692307691</v>
      </c>
      <c r="BN185" s="223">
        <f>+BN86/BN17*365/4</f>
        <v>422.11330935251794</v>
      </c>
      <c r="BO185" s="223">
        <f>+BO86/BO17*365/4</f>
        <v>415.32169117647061</v>
      </c>
      <c r="BP185" s="223">
        <f>+BP86/BP17*365/4</f>
        <v>541.53037383177571</v>
      </c>
      <c r="BQ185" s="222">
        <f>+BQ86/BQ17*365</f>
        <v>476.90329218107001</v>
      </c>
      <c r="BR185" s="223">
        <f>+BR86/BR17*365/4</f>
        <v>530.44021739130437</v>
      </c>
      <c r="BS185" s="223">
        <f>+BS86/BS17*365/4</f>
        <v>407.92351973684208</v>
      </c>
      <c r="BT185" s="223">
        <f>+BT86/BT17*365/4</f>
        <v>415.32169117647061</v>
      </c>
      <c r="BU185" s="223">
        <f>+BU86/BU17*365/4</f>
        <v>541.53037383177571</v>
      </c>
      <c r="BV185" s="222">
        <f>+BV86/BV17*365</f>
        <v>469.08038811587573</v>
      </c>
      <c r="BW185" s="223">
        <f>+BW86/BW17*365/4</f>
        <v>530.44021739130437</v>
      </c>
      <c r="BX185" s="223">
        <f>+BX86/BX17*365/4</f>
        <v>407.92351973684208</v>
      </c>
      <c r="BY185" s="223">
        <f>+BY86/BY17*365/4</f>
        <v>415.32169117647061</v>
      </c>
      <c r="BZ185" s="223">
        <f>+BZ86/BZ17*365/4</f>
        <v>541.53037383177571</v>
      </c>
      <c r="CA185" s="222">
        <f>+CA86/CA17*365</f>
        <v>471.06311707904683</v>
      </c>
      <c r="CB185" s="223">
        <f>+CB86/CB17*365/4</f>
        <v>530.44021739130437</v>
      </c>
      <c r="CC185" s="223">
        <f>+CC86/CC17*365/4</f>
        <v>407.92351973684208</v>
      </c>
      <c r="CD185" s="223">
        <f>+CD86/CD17*365/4</f>
        <v>415.32169117647061</v>
      </c>
      <c r="CE185" s="223">
        <f>+CE86/CE17*365/4</f>
        <v>541.53037383177571</v>
      </c>
      <c r="CF185" s="222">
        <f>+CF86/CF17*365</f>
        <v>470.95719945506943</v>
      </c>
      <c r="CG185" s="223">
        <f>+CG86/CG17*365/4</f>
        <v>530.44021739130437</v>
      </c>
      <c r="CH185" s="223">
        <f>+CH86/CH17*365/4</f>
        <v>407.92351973684208</v>
      </c>
      <c r="CI185" s="223">
        <f>+CI86/CI17*365/4</f>
        <v>415.32169117647061</v>
      </c>
      <c r="CJ185" s="223">
        <f>+CJ86/CJ17*365/4</f>
        <v>541.53037383177571</v>
      </c>
      <c r="CK185" s="222">
        <f>+CK86/CK17*365</f>
        <v>470.85029274101157</v>
      </c>
      <c r="CL185" s="223">
        <f>+CL86/CL17*365/4</f>
        <v>530.44021739130437</v>
      </c>
      <c r="CM185" s="223">
        <f>+CM86/CM17*365/4</f>
        <v>407.92351973684208</v>
      </c>
      <c r="CN185" s="223">
        <f>+CN86/CN17*365/4</f>
        <v>415.32169117647061</v>
      </c>
      <c r="CO185" s="223">
        <f>+CO86/CO17*365/4</f>
        <v>541.53037383177571</v>
      </c>
      <c r="CP185" s="222">
        <f>+CP86/CP17*365</f>
        <v>470.77846524066365</v>
      </c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</row>
    <row r="186" spans="1:109" s="221" customFormat="1" x14ac:dyDescent="0.25">
      <c r="A186" s="221" t="s">
        <v>109</v>
      </c>
      <c r="C186" s="70">
        <f>+C88/C4</f>
        <v>4.6471414676321196E-2</v>
      </c>
      <c r="D186" s="70">
        <f>+D88/D4</f>
        <v>5.3533190578158453E-2</v>
      </c>
      <c r="E186" s="73">
        <f>+E88/E4/4</f>
        <v>5.1630999376688136E-2</v>
      </c>
      <c r="F186" s="73">
        <f>+F88/F4/4</f>
        <v>3.9779974489795915E-2</v>
      </c>
      <c r="G186" s="73">
        <f>+G88/G4/4</f>
        <v>3.732696110744891E-2</v>
      </c>
      <c r="H186" s="73">
        <f>+H88/H4/4</f>
        <v>0.12441337504888542</v>
      </c>
      <c r="I186" s="70">
        <f>+I88/I4</f>
        <v>0.11429469618718284</v>
      </c>
      <c r="J186" s="73">
        <f>+J88/J4/4</f>
        <v>0.12269372693726938</v>
      </c>
      <c r="K186" s="73">
        <f>+K88/K4/4</f>
        <v>3.965779467680608E-2</v>
      </c>
      <c r="L186" s="73">
        <f>+L88/L4/4</f>
        <v>4.0431803696622054E-2</v>
      </c>
      <c r="M186" s="73">
        <f>+M88/M4/4</f>
        <v>5.981883438728422E-2</v>
      </c>
      <c r="N186" s="70">
        <f>+N88/N4</f>
        <v>5.8038305281485784E-2</v>
      </c>
      <c r="O186" s="73">
        <f>+O88/O4/4</f>
        <v>4.0456267761288286E-2</v>
      </c>
      <c r="P186" s="73">
        <f>+P88/P4/4</f>
        <v>3.705995599559956E-2</v>
      </c>
      <c r="Q186" s="73">
        <f>+Q88/Q4/4</f>
        <v>4.1302331743508218E-2</v>
      </c>
      <c r="R186" s="73">
        <f>+R88/R4/4</f>
        <v>6.0799073537927045E-2</v>
      </c>
      <c r="S186" s="70">
        <f>+S88/S4</f>
        <v>5.9867436390848836E-2</v>
      </c>
      <c r="T186" s="73">
        <f>+T88/T4/4</f>
        <v>3.9575158977134352E-2</v>
      </c>
      <c r="U186" s="73">
        <f>+U88/U4/4</f>
        <v>3.7441235728676969E-2</v>
      </c>
      <c r="V186" s="73">
        <f>+V88/V4/4</f>
        <v>4.3224299065420559E-2</v>
      </c>
      <c r="W186" s="73">
        <f>+W88/W4/4</f>
        <v>6.4417972290560663E-2</v>
      </c>
      <c r="X186" s="70">
        <f>+X88/X4</f>
        <v>6.063006520017062E-2</v>
      </c>
      <c r="Y186" s="73">
        <f>+Y88/Y4/4</f>
        <v>6.2151898734177216E-2</v>
      </c>
      <c r="Z186" s="73">
        <f>+Z88/Z4/4</f>
        <v>6.1196105702364396E-2</v>
      </c>
      <c r="AA186" s="73">
        <f>+AA88/AA4/4</f>
        <v>6.4755770947583211E-2</v>
      </c>
      <c r="AB186" s="73">
        <f>+AB88/AB4/4</f>
        <v>7.8516025171959616E-2</v>
      </c>
      <c r="AC186" s="70">
        <f>+AC88/AC4</f>
        <v>6.722847028601861E-2</v>
      </c>
      <c r="AD186" s="73">
        <f>+AD88/AD4/4</f>
        <v>5.9459276324705247E-2</v>
      </c>
      <c r="AE186" s="73">
        <f>+AE88/AE4/4</f>
        <v>5.2021502967857548E-2</v>
      </c>
      <c r="AF186" s="73">
        <f>+AF88/AF4/4</f>
        <v>5.6400139259603112E-2</v>
      </c>
      <c r="AG186" s="73">
        <f>+AG88/AG4/4</f>
        <v>7.7080491132332882E-2</v>
      </c>
      <c r="AH186" s="70">
        <f>+AH88/AH4</f>
        <v>7.0066656332351568E-2</v>
      </c>
      <c r="AI186" s="73">
        <f>+AI88/AI4/4</f>
        <v>6.7190226876090747E-2</v>
      </c>
      <c r="AJ186" s="73">
        <f>+AJ88/AJ4/4</f>
        <v>5.6613668985315224E-2</v>
      </c>
      <c r="AK186" s="73">
        <f>+AK88/AK4/4</f>
        <v>5.2161263507896925E-2</v>
      </c>
      <c r="AL186" s="73">
        <f>+AL88/AL4/4</f>
        <v>8.4038923290787312E-2</v>
      </c>
      <c r="AM186" s="70">
        <f>+AM88/AM4</f>
        <v>7.8136474458772726E-2</v>
      </c>
      <c r="AN186" s="73">
        <f>+AN88/AN4/4</f>
        <v>7.4467452100440326E-2</v>
      </c>
      <c r="AO186" s="73">
        <f>+AO88/AO4/4</f>
        <v>5.6539980256663375E-2</v>
      </c>
      <c r="AP186" s="73">
        <f>+AP88/AP4/4</f>
        <v>5.3519290928050058E-2</v>
      </c>
      <c r="AQ186" s="73">
        <f>+AQ88/AQ4/4</f>
        <v>6.9886434543866227E-2</v>
      </c>
      <c r="AR186" s="70">
        <f>+AR88/AR4</f>
        <v>6.1988045162718615E-2</v>
      </c>
      <c r="AS186" s="73">
        <f>+AS88/AS4/4</f>
        <v>5.6571005580230038E-2</v>
      </c>
      <c r="AT186" s="73">
        <f>+AT88/AT4/4</f>
        <v>5.1168869599526538E-2</v>
      </c>
      <c r="AU186" s="73">
        <f>+AU88/AU4/4</f>
        <v>5.4508715551660335E-2</v>
      </c>
      <c r="AV186" s="73">
        <f>+AV88/AV4/4</f>
        <v>6.9861431870669746E-2</v>
      </c>
      <c r="AW186" s="70">
        <f>+AW88/AW4</f>
        <v>6.3939970407947577E-2</v>
      </c>
      <c r="AX186" s="73">
        <f>+AX88/AX4/4</f>
        <v>6.3616071428571425E-2</v>
      </c>
      <c r="AY186" s="73">
        <f>+AY88/AY4/4</f>
        <v>4.8887859128822986E-2</v>
      </c>
      <c r="AZ186" s="73">
        <f>+AZ88/AZ4/4</f>
        <v>6.1224489795918366E-2</v>
      </c>
      <c r="BA186" s="73">
        <f>+BA88/BA4/4</f>
        <v>8.0907054871220602E-2</v>
      </c>
      <c r="BB186" s="70">
        <f>+BB88/BB4</f>
        <v>7.3238722757222499E-2</v>
      </c>
      <c r="BC186" s="73">
        <f>+BC88/BC4/4</f>
        <v>8.2247557003257324E-2</v>
      </c>
      <c r="BD186" s="73">
        <f>+BD88/BD4/4</f>
        <v>7.312775330396476E-2</v>
      </c>
      <c r="BE186" s="73">
        <f>+BE88/BE4/4</f>
        <v>9.3321134492223234E-2</v>
      </c>
      <c r="BF186" s="73">
        <f>+BF88/BF4/4</f>
        <v>9.1869060190073917E-2</v>
      </c>
      <c r="BG186" s="70">
        <f>+BG88/BG4</f>
        <v>8.49609375E-2</v>
      </c>
      <c r="BH186" s="73">
        <f>+BH88/BH4/4</f>
        <v>9.3611111111111117E-2</v>
      </c>
      <c r="BI186" s="73">
        <f>+BI88/BI4/4</f>
        <v>8.1888686131386862E-2</v>
      </c>
      <c r="BJ186" s="73">
        <f>+BJ88/BJ4/4</f>
        <v>9.8568790397045247E-2</v>
      </c>
      <c r="BK186" s="73">
        <f>+BK88/BK4/4</f>
        <v>9.5659163987138265E-2</v>
      </c>
      <c r="BL186" s="70">
        <f>+BL88/BL4</f>
        <v>8.8983050847457626E-2</v>
      </c>
      <c r="BM186" s="73">
        <f>+BM88/BM4/4</f>
        <v>9.9007009345794386E-2</v>
      </c>
      <c r="BN186" s="73">
        <f>+BN88/BN4/4</f>
        <v>8.8388625592417058E-2</v>
      </c>
      <c r="BO186" s="73">
        <f>+BO88/BO4/4</f>
        <v>7.8139754485363547E-2</v>
      </c>
      <c r="BP186" s="73">
        <f>+BP88/BP4/4</f>
        <v>9.6392333709131903E-2</v>
      </c>
      <c r="BQ186" s="70">
        <f>+BQ88/BQ4</f>
        <v>8.8669950738916259E-2</v>
      </c>
      <c r="BR186" s="73">
        <f>+BR88/BR4/4</f>
        <v>9.4725511302475779E-2</v>
      </c>
      <c r="BS186" s="73">
        <f>+BS88/BS4/4</f>
        <v>7.2255574614065177E-2</v>
      </c>
      <c r="BT186" s="219">
        <f>BO186</f>
        <v>7.8139754485363547E-2</v>
      </c>
      <c r="BU186" s="219">
        <f>BP186</f>
        <v>9.6392333709131903E-2</v>
      </c>
      <c r="BV186" s="70">
        <f>+BV88/BV4</f>
        <v>8.692910140859518E-2</v>
      </c>
      <c r="BW186" s="219">
        <f>BR186</f>
        <v>9.4725511302475779E-2</v>
      </c>
      <c r="BX186" s="219">
        <f>BS186</f>
        <v>7.2255574614065177E-2</v>
      </c>
      <c r="BY186" s="219">
        <f>BT186</f>
        <v>7.8139754485363547E-2</v>
      </c>
      <c r="BZ186" s="219">
        <f>BU186</f>
        <v>9.6392333709131903E-2</v>
      </c>
      <c r="CA186" s="70">
        <f>+CA88/CA4</f>
        <v>8.723847603383092E-2</v>
      </c>
      <c r="CB186" s="219">
        <f>BW186</f>
        <v>9.4725511302475779E-2</v>
      </c>
      <c r="CC186" s="219">
        <f>BX186</f>
        <v>7.2255574614065177E-2</v>
      </c>
      <c r="CD186" s="219">
        <f>BY186</f>
        <v>7.8139754485363547E-2</v>
      </c>
      <c r="CE186" s="219">
        <f>BZ186</f>
        <v>9.6392333709131903E-2</v>
      </c>
      <c r="CF186" s="70">
        <f>+CF88/CF4</f>
        <v>8.7238476033830892E-2</v>
      </c>
      <c r="CG186" s="219">
        <f>CB186</f>
        <v>9.4725511302475779E-2</v>
      </c>
      <c r="CH186" s="219">
        <f>CC186</f>
        <v>7.2255574614065177E-2</v>
      </c>
      <c r="CI186" s="219">
        <f>CD186</f>
        <v>7.8139754485363547E-2</v>
      </c>
      <c r="CJ186" s="219">
        <f>CE186</f>
        <v>9.6392333709131903E-2</v>
      </c>
      <c r="CK186" s="70">
        <f>+CK88/CK4</f>
        <v>8.7238476033830878E-2</v>
      </c>
      <c r="CL186" s="219">
        <f>CG186</f>
        <v>9.4725511302475779E-2</v>
      </c>
      <c r="CM186" s="219">
        <f>CH186</f>
        <v>7.2255574614065177E-2</v>
      </c>
      <c r="CN186" s="219">
        <f>CI186</f>
        <v>7.8139754485363547E-2</v>
      </c>
      <c r="CO186" s="219">
        <f>CJ186</f>
        <v>9.6392333709131903E-2</v>
      </c>
      <c r="CP186" s="70">
        <f>+CP88/CP4</f>
        <v>8.7238476033830878E-2</v>
      </c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</row>
    <row r="187" spans="1:109" s="225" customFormat="1" x14ac:dyDescent="0.25">
      <c r="A187" s="55" t="s">
        <v>110</v>
      </c>
      <c r="B187" s="55"/>
      <c r="C187" s="222">
        <f>C140</f>
        <v>-119</v>
      </c>
      <c r="D187" s="222">
        <f>D140</f>
        <v>-56</v>
      </c>
      <c r="E187" s="223">
        <f>E140</f>
        <v>-9.3000000000000007</v>
      </c>
      <c r="F187" s="223">
        <f>F140</f>
        <v>-12.2</v>
      </c>
      <c r="G187" s="223">
        <f>G140</f>
        <v>-10.700000000000003</v>
      </c>
      <c r="H187" s="224">
        <f>+H140+H141</f>
        <v>-16.799999999999997</v>
      </c>
      <c r="I187" s="222">
        <f t="shared" ref="I187:X187" si="276">I140</f>
        <v>-49</v>
      </c>
      <c r="J187" s="223">
        <f t="shared" si="276"/>
        <v>-8.6</v>
      </c>
      <c r="K187" s="223">
        <f t="shared" si="276"/>
        <v>-13.799999999999999</v>
      </c>
      <c r="L187" s="223">
        <f t="shared" si="276"/>
        <v>-11.200000000000001</v>
      </c>
      <c r="M187" s="224">
        <f>+M140+M141</f>
        <v>-206.9</v>
      </c>
      <c r="N187" s="222">
        <f t="shared" si="276"/>
        <v>-51</v>
      </c>
      <c r="O187" s="223">
        <f t="shared" si="276"/>
        <v>-11.5</v>
      </c>
      <c r="P187" s="223">
        <f t="shared" si="276"/>
        <v>-13</v>
      </c>
      <c r="Q187" s="223">
        <f t="shared" si="276"/>
        <v>-21</v>
      </c>
      <c r="R187" s="224">
        <f t="shared" si="276"/>
        <v>-12.5</v>
      </c>
      <c r="S187" s="222">
        <f t="shared" si="276"/>
        <v>-58</v>
      </c>
      <c r="T187" s="223">
        <f t="shared" si="276"/>
        <v>-11.4</v>
      </c>
      <c r="U187" s="223">
        <f t="shared" si="276"/>
        <v>-12.799999999999999</v>
      </c>
      <c r="V187" s="223">
        <f t="shared" si="276"/>
        <v>-7.4000000000000039</v>
      </c>
      <c r="W187" s="224">
        <f>W140</f>
        <v>-9.3999999999999968</v>
      </c>
      <c r="X187" s="222">
        <f t="shared" si="276"/>
        <v>-41</v>
      </c>
      <c r="Y187" s="223">
        <f t="shared" ref="Y187:AH187" si="277">Y140</f>
        <v>-13.2</v>
      </c>
      <c r="Z187" s="223">
        <f t="shared" si="277"/>
        <v>-13.100000000000001</v>
      </c>
      <c r="AA187" s="223">
        <f t="shared" si="277"/>
        <v>-10.8</v>
      </c>
      <c r="AB187" s="223">
        <f>AB140</f>
        <v>-11.899999999999999</v>
      </c>
      <c r="AC187" s="222">
        <f t="shared" si="277"/>
        <v>-49</v>
      </c>
      <c r="AD187" s="223">
        <f>AD140</f>
        <v>-6.8</v>
      </c>
      <c r="AE187" s="223">
        <f>AE140</f>
        <v>-5.6000000000000005</v>
      </c>
      <c r="AF187" s="223">
        <f>AF140</f>
        <v>-4.799999999999998</v>
      </c>
      <c r="AG187" s="223">
        <f t="shared" si="277"/>
        <v>-16.8</v>
      </c>
      <c r="AH187" s="222">
        <f t="shared" si="277"/>
        <v>-34</v>
      </c>
      <c r="AI187" s="223">
        <f>AI140</f>
        <v>-6.9</v>
      </c>
      <c r="AJ187" s="223">
        <f>AJ140</f>
        <v>-8.1999999999999993</v>
      </c>
      <c r="AK187" s="223">
        <f t="shared" ref="AK187:BF187" si="278">AK140</f>
        <v>-11.4</v>
      </c>
      <c r="AL187" s="223">
        <f t="shared" si="278"/>
        <v>-12.500000000000002</v>
      </c>
      <c r="AM187" s="222">
        <f t="shared" si="278"/>
        <v>-39</v>
      </c>
      <c r="AN187" s="223">
        <f t="shared" si="278"/>
        <v>-6.2</v>
      </c>
      <c r="AO187" s="223">
        <f>AO140</f>
        <v>-12.600000000000001</v>
      </c>
      <c r="AP187" s="223">
        <f t="shared" si="278"/>
        <v>-12.3</v>
      </c>
      <c r="AQ187" s="223">
        <f>AQ140</f>
        <v>-26.900000000000002</v>
      </c>
      <c r="AR187" s="222">
        <f t="shared" si="278"/>
        <v>-58</v>
      </c>
      <c r="AS187" s="223">
        <f>AS140</f>
        <v>-17.399999999999999</v>
      </c>
      <c r="AT187" s="223">
        <f>AT140</f>
        <v>-21.300000000000004</v>
      </c>
      <c r="AU187" s="223">
        <f t="shared" si="278"/>
        <v>-20.399999999999999</v>
      </c>
      <c r="AV187" s="223">
        <f t="shared" si="278"/>
        <v>-35.9</v>
      </c>
      <c r="AW187" s="222">
        <f t="shared" si="278"/>
        <v>-95</v>
      </c>
      <c r="AX187" s="223">
        <f>AX140</f>
        <v>-25</v>
      </c>
      <c r="AY187" s="223">
        <f t="shared" si="278"/>
        <v>-35</v>
      </c>
      <c r="AZ187" s="223">
        <f t="shared" si="278"/>
        <v>-27</v>
      </c>
      <c r="BA187" s="223">
        <f t="shared" si="278"/>
        <v>-39</v>
      </c>
      <c r="BB187" s="222">
        <f t="shared" si="278"/>
        <v>-126</v>
      </c>
      <c r="BC187" s="223">
        <f>BC140</f>
        <v>-31</v>
      </c>
      <c r="BD187" s="223">
        <f t="shared" si="278"/>
        <v>-28</v>
      </c>
      <c r="BE187" s="223">
        <f t="shared" si="278"/>
        <v>-33</v>
      </c>
      <c r="BF187" s="223">
        <f t="shared" si="278"/>
        <v>-28</v>
      </c>
      <c r="BG187" s="222">
        <f t="shared" ref="BG187:BL187" si="279">BG140</f>
        <v>-120</v>
      </c>
      <c r="BH187" s="223">
        <f t="shared" si="279"/>
        <v>-39</v>
      </c>
      <c r="BI187" s="223">
        <f t="shared" si="279"/>
        <v>-26</v>
      </c>
      <c r="BJ187" s="223">
        <f t="shared" si="279"/>
        <v>-23</v>
      </c>
      <c r="BK187" s="223">
        <f>BK140</f>
        <v>-20</v>
      </c>
      <c r="BL187" s="222">
        <f t="shared" si="279"/>
        <v>-108</v>
      </c>
      <c r="BM187" s="223">
        <f>BM140</f>
        <v>-16</v>
      </c>
      <c r="BN187" s="223">
        <f>BN140</f>
        <v>-20</v>
      </c>
      <c r="BO187" s="223">
        <f t="shared" ref="BO187" si="280">BO140</f>
        <v>-35</v>
      </c>
      <c r="BP187" s="223">
        <f>BP140</f>
        <v>-41</v>
      </c>
      <c r="BQ187" s="222">
        <f t="shared" ref="BQ187:CA187" si="281">BQ140</f>
        <v>-112</v>
      </c>
      <c r="BR187" s="223">
        <f>BR140</f>
        <v>-28</v>
      </c>
      <c r="BS187" s="223">
        <f t="shared" si="281"/>
        <v>-36</v>
      </c>
      <c r="BT187" s="223">
        <f t="shared" si="281"/>
        <v>-39.0625</v>
      </c>
      <c r="BU187" s="223">
        <f t="shared" si="281"/>
        <v>-21.9375</v>
      </c>
      <c r="BV187" s="222">
        <f t="shared" si="281"/>
        <v>-125</v>
      </c>
      <c r="BW187" s="223">
        <f t="shared" si="281"/>
        <v>-26.88</v>
      </c>
      <c r="BX187" s="223">
        <f t="shared" si="281"/>
        <v>-34.56</v>
      </c>
      <c r="BY187" s="223">
        <f t="shared" si="281"/>
        <v>-37.5</v>
      </c>
      <c r="BZ187" s="223">
        <f t="shared" si="281"/>
        <v>-21.06</v>
      </c>
      <c r="CA187" s="222">
        <f t="shared" si="281"/>
        <v>-120</v>
      </c>
      <c r="CB187" s="223">
        <f t="shared" ref="CB187:CK187" si="282">CB140</f>
        <v>-25.76</v>
      </c>
      <c r="CC187" s="223">
        <f t="shared" si="282"/>
        <v>-33.120000000000005</v>
      </c>
      <c r="CD187" s="223">
        <f t="shared" si="282"/>
        <v>-35.9375</v>
      </c>
      <c r="CE187" s="223">
        <f t="shared" si="282"/>
        <v>-20.182499999999994</v>
      </c>
      <c r="CF187" s="222">
        <f t="shared" si="282"/>
        <v>-115</v>
      </c>
      <c r="CG187" s="223">
        <f t="shared" si="282"/>
        <v>-25.76</v>
      </c>
      <c r="CH187" s="223">
        <f t="shared" si="282"/>
        <v>-33.120000000000005</v>
      </c>
      <c r="CI187" s="223">
        <f t="shared" si="282"/>
        <v>-35.9375</v>
      </c>
      <c r="CJ187" s="223">
        <f t="shared" si="282"/>
        <v>-20.182499999999994</v>
      </c>
      <c r="CK187" s="222">
        <f t="shared" si="282"/>
        <v>-115</v>
      </c>
      <c r="CL187" s="223">
        <f>CL140</f>
        <v>-25.76</v>
      </c>
      <c r="CM187" s="223">
        <f>CM140</f>
        <v>-33.120000000000005</v>
      </c>
      <c r="CN187" s="223">
        <f>CN140</f>
        <v>-35.9375</v>
      </c>
      <c r="CO187" s="223">
        <f>CO140</f>
        <v>-20.182499999999994</v>
      </c>
      <c r="CP187" s="222">
        <f>CP140</f>
        <v>-115</v>
      </c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</row>
    <row r="188" spans="1:109" s="225" customFormat="1" x14ac:dyDescent="0.25">
      <c r="A188" s="76" t="s">
        <v>245</v>
      </c>
      <c r="B188" s="76"/>
      <c r="C188" s="156">
        <f t="shared" ref="C188:AW188" si="283">-C140/C4</f>
        <v>6.4303469145142123E-2</v>
      </c>
      <c r="D188" s="156">
        <f t="shared" si="283"/>
        <v>2.7253260657971578E-2</v>
      </c>
      <c r="E188" s="22">
        <f t="shared" si="283"/>
        <v>1.9322667774776647E-2</v>
      </c>
      <c r="F188" s="22">
        <f t="shared" si="283"/>
        <v>1.9451530612244895E-2</v>
      </c>
      <c r="G188" s="22">
        <f t="shared" si="283"/>
        <v>1.7633487145682275E-2</v>
      </c>
      <c r="H188" s="60">
        <f t="shared" si="283"/>
        <v>3.2850997262416894E-2</v>
      </c>
      <c r="I188" s="156">
        <f t="shared" si="283"/>
        <v>2.2005658597925182E-2</v>
      </c>
      <c r="J188" s="22">
        <f t="shared" si="283"/>
        <v>1.5867158671586716E-2</v>
      </c>
      <c r="K188" s="22">
        <f t="shared" si="283"/>
        <v>2.0988593155893534E-2</v>
      </c>
      <c r="L188" s="22">
        <f t="shared" si="283"/>
        <v>1.7845761631612493E-2</v>
      </c>
      <c r="M188" s="60">
        <f t="shared" si="283"/>
        <v>2.9738506238249869E-2</v>
      </c>
      <c r="N188" s="156">
        <f t="shared" si="283"/>
        <v>2.1142525495398395E-2</v>
      </c>
      <c r="O188" s="22">
        <f t="shared" si="283"/>
        <v>1.815598358067572E-2</v>
      </c>
      <c r="P188" s="22">
        <f t="shared" si="283"/>
        <v>1.7876787678767877E-2</v>
      </c>
      <c r="Q188" s="22">
        <f t="shared" si="283"/>
        <v>2.7821939586645472E-2</v>
      </c>
      <c r="R188" s="60">
        <f t="shared" si="283"/>
        <v>1.8094962362478286E-2</v>
      </c>
      <c r="S188" s="156">
        <f t="shared" si="283"/>
        <v>2.0668519706364481E-2</v>
      </c>
      <c r="T188" s="22">
        <f t="shared" si="283"/>
        <v>1.5424164524421594E-2</v>
      </c>
      <c r="U188" s="22">
        <f t="shared" si="283"/>
        <v>1.4327289008282963E-2</v>
      </c>
      <c r="V188" s="22">
        <f t="shared" si="283"/>
        <v>8.4340095737406012E-3</v>
      </c>
      <c r="W188" s="60">
        <f t="shared" si="283"/>
        <v>1.217143597047779E-2</v>
      </c>
      <c r="X188" s="156">
        <f t="shared" si="283"/>
        <v>1.2491621473401987E-2</v>
      </c>
      <c r="Y188" s="22">
        <f t="shared" si="283"/>
        <v>1.6708860759493668E-2</v>
      </c>
      <c r="Z188" s="22">
        <f t="shared" si="283"/>
        <v>1.4015192040226812E-2</v>
      </c>
      <c r="AA188" s="22">
        <f t="shared" si="283"/>
        <v>1.3773753347787273E-2</v>
      </c>
      <c r="AB188" s="22">
        <f t="shared" si="283"/>
        <v>1.7415483682130833E-2</v>
      </c>
      <c r="AC188" s="156">
        <f t="shared" si="283"/>
        <v>1.5350396290843017E-2</v>
      </c>
      <c r="AD188" s="22">
        <f t="shared" si="283"/>
        <v>9.2153408320910686E-3</v>
      </c>
      <c r="AE188" s="22">
        <f t="shared" si="283"/>
        <v>6.2716989584499947E-3</v>
      </c>
      <c r="AF188" s="22">
        <f t="shared" si="283"/>
        <v>5.5703841244052425E-3</v>
      </c>
      <c r="AG188" s="22">
        <f t="shared" si="283"/>
        <v>2.2919508867667124E-2</v>
      </c>
      <c r="AH188" s="156">
        <f t="shared" si="283"/>
        <v>1.0541001395132537E-2</v>
      </c>
      <c r="AI188" s="22">
        <f>-AI140/AI4</f>
        <v>9.2629883205799443E-3</v>
      </c>
      <c r="AJ188" s="22">
        <f>-AJ140/AJ4</f>
        <v>9.0537705642044809E-3</v>
      </c>
      <c r="AK188" s="22">
        <f t="shared" si="283"/>
        <v>1.1845386533665837E-2</v>
      </c>
      <c r="AL188" s="22">
        <f t="shared" si="283"/>
        <v>1.5796790092253259E-2</v>
      </c>
      <c r="AM188" s="156">
        <f t="shared" si="283"/>
        <v>1.1456099638692242E-2</v>
      </c>
      <c r="AN188" s="22">
        <f t="shared" si="283"/>
        <v>7.3783172676425094E-3</v>
      </c>
      <c r="AO188" s="22">
        <f>-AO140/AO4</f>
        <v>1.2438302073050347E-2</v>
      </c>
      <c r="AP188" s="22">
        <f t="shared" si="283"/>
        <v>1.2825860271115746E-2</v>
      </c>
      <c r="AQ188" s="22">
        <f>-AQ140/AQ4</f>
        <v>3.3570448021964315E-2</v>
      </c>
      <c r="AR188" s="156">
        <f t="shared" si="283"/>
        <v>1.6050475979632498E-2</v>
      </c>
      <c r="AS188" s="22">
        <f>-AS140/AS4</f>
        <v>1.9815510761872223E-2</v>
      </c>
      <c r="AT188" s="22">
        <f>-AT140/AT4</f>
        <v>2.1010061156046561E-2</v>
      </c>
      <c r="AU188" s="22">
        <f>-AU140/AU4</f>
        <v>1.9865614957639496E-2</v>
      </c>
      <c r="AV188" s="22">
        <f>-AV140/AV4</f>
        <v>4.1454965357967666E-2</v>
      </c>
      <c r="AW188" s="156">
        <f t="shared" si="283"/>
        <v>2.5100401606425703E-2</v>
      </c>
      <c r="AX188" s="22">
        <f t="shared" ref="AX188:BF188" si="284">-AX140/AX4</f>
        <v>2.7901785714285716E-2</v>
      </c>
      <c r="AY188" s="22">
        <f t="shared" si="284"/>
        <v>3.2437442075996289E-2</v>
      </c>
      <c r="AZ188" s="22">
        <f t="shared" si="284"/>
        <v>2.5046382189239332E-2</v>
      </c>
      <c r="BA188" s="22">
        <f t="shared" si="284"/>
        <v>4.3673012318029114E-2</v>
      </c>
      <c r="BB188" s="156">
        <f t="shared" si="284"/>
        <v>3.1931069437404966E-2</v>
      </c>
      <c r="BC188" s="22">
        <f t="shared" si="284"/>
        <v>3.3659066232356136E-2</v>
      </c>
      <c r="BD188" s="22">
        <f t="shared" si="284"/>
        <v>2.4669603524229075E-2</v>
      </c>
      <c r="BE188" s="22">
        <f t="shared" si="284"/>
        <v>3.0192131747483988E-2</v>
      </c>
      <c r="BF188" s="22">
        <f t="shared" si="284"/>
        <v>2.9567053854276663E-2</v>
      </c>
      <c r="BG188" s="156">
        <f t="shared" ref="BG188:BL188" si="285">-BG140/BG4</f>
        <v>2.9296875E-2</v>
      </c>
      <c r="BH188" s="22">
        <f t="shared" si="285"/>
        <v>4.3333333333333335E-2</v>
      </c>
      <c r="BI188" s="22">
        <f t="shared" si="285"/>
        <v>2.3722627737226276E-2</v>
      </c>
      <c r="BJ188" s="22">
        <f t="shared" si="285"/>
        <v>2.1237303785780239E-2</v>
      </c>
      <c r="BK188" s="22">
        <f>-BK140/BK4</f>
        <v>2.1436227224008574E-2</v>
      </c>
      <c r="BL188" s="156">
        <f t="shared" si="285"/>
        <v>2.6919242273180457E-2</v>
      </c>
      <c r="BM188" s="22">
        <f>-BM140/BM4</f>
        <v>1.8691588785046728E-2</v>
      </c>
      <c r="BN188" s="22">
        <f>-BN140/BN4</f>
        <v>1.8957345971563982E-2</v>
      </c>
      <c r="BO188" s="22">
        <f t="shared" ref="BO188:BP188" si="286">-BO140/BO4</f>
        <v>3.3050047214353166E-2</v>
      </c>
      <c r="BP188" s="22">
        <f t="shared" si="286"/>
        <v>4.6223224351747465E-2</v>
      </c>
      <c r="BQ188" s="156">
        <f t="shared" ref="BQ188:CE188" si="287">-BQ140/BQ4</f>
        <v>2.9038112522686024E-2</v>
      </c>
      <c r="BR188" s="22">
        <f>-BR140/BR4</f>
        <v>3.0139935414424113E-2</v>
      </c>
      <c r="BS188" s="22">
        <f t="shared" si="287"/>
        <v>3.0874785591766724E-2</v>
      </c>
      <c r="BT188" s="22">
        <f t="shared" si="287"/>
        <v>3.3475048341043763E-2</v>
      </c>
      <c r="BU188" s="22">
        <f t="shared" si="287"/>
        <v>2.310456324681438E-2</v>
      </c>
      <c r="BV188" s="156">
        <f t="shared" si="287"/>
        <v>2.9681329257359567E-2</v>
      </c>
      <c r="BW188" s="22">
        <f t="shared" si="287"/>
        <v>2.7098401160301051E-2</v>
      </c>
      <c r="BX188" s="22">
        <f t="shared" si="287"/>
        <v>2.8709612257964496E-2</v>
      </c>
      <c r="BY188" s="22">
        <f t="shared" si="287"/>
        <v>3.0399013672957692E-2</v>
      </c>
      <c r="BZ188" s="22">
        <f t="shared" si="287"/>
        <v>2.1001078024648834E-2</v>
      </c>
      <c r="CA188" s="156">
        <f t="shared" si="287"/>
        <v>2.7075098902033509E-2</v>
      </c>
      <c r="CB188" s="22">
        <f t="shared" si="287"/>
        <v>2.4732667725671599E-2</v>
      </c>
      <c r="CC188" s="22">
        <f t="shared" si="287"/>
        <v>2.6203217537031091E-2</v>
      </c>
      <c r="CD188" s="22">
        <f t="shared" si="287"/>
        <v>2.7745131526905827E-2</v>
      </c>
      <c r="CE188" s="22">
        <f t="shared" si="287"/>
        <v>1.916765057805251E-2</v>
      </c>
      <c r="CF188" s="156">
        <f t="shared" ref="CF188:CK188" si="288">-CF140/CF4</f>
        <v>2.4711399791538524E-2</v>
      </c>
      <c r="CG188" s="22">
        <f t="shared" si="288"/>
        <v>2.3554921643496759E-2</v>
      </c>
      <c r="CH188" s="22">
        <f t="shared" si="288"/>
        <v>2.4955445273362943E-2</v>
      </c>
      <c r="CI188" s="22">
        <f t="shared" si="288"/>
        <v>2.6423934787529357E-2</v>
      </c>
      <c r="CJ188" s="22">
        <f t="shared" si="288"/>
        <v>1.8254905312430961E-2</v>
      </c>
      <c r="CK188" s="156">
        <f t="shared" si="288"/>
        <v>2.3534666468131928E-2</v>
      </c>
      <c r="CL188" s="22">
        <f>-CL140/CL4</f>
        <v>2.2433258708092152E-2</v>
      </c>
      <c r="CM188" s="22">
        <f>-CM140/CM4</f>
        <v>2.3767090736536135E-2</v>
      </c>
      <c r="CN188" s="22">
        <f>-CN140/CN4</f>
        <v>2.5165652178599389E-2</v>
      </c>
      <c r="CO188" s="22">
        <f>-CO140/CO4</f>
        <v>1.738562410707711E-2</v>
      </c>
      <c r="CP188" s="156">
        <f>-CP140/CP4</f>
        <v>2.241396806488755E-2</v>
      </c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</row>
    <row r="189" spans="1:109" s="225" customFormat="1" x14ac:dyDescent="0.25">
      <c r="A189" s="225" t="s">
        <v>111</v>
      </c>
      <c r="C189" s="70">
        <f t="shared" ref="C189:AH189" si="289">+C39/C91</f>
        <v>0.10869565217391304</v>
      </c>
      <c r="D189" s="70">
        <f t="shared" si="289"/>
        <v>0.1087378640776699</v>
      </c>
      <c r="E189" s="73">
        <f t="shared" si="289"/>
        <v>2.093114241001565E-2</v>
      </c>
      <c r="F189" s="73">
        <f t="shared" si="289"/>
        <v>2.1079590228526398E-2</v>
      </c>
      <c r="G189" s="73">
        <f t="shared" si="289"/>
        <v>2.3376623376623374E-2</v>
      </c>
      <c r="H189" s="73">
        <f t="shared" si="289"/>
        <v>2.703996171332855E-2</v>
      </c>
      <c r="I189" s="70">
        <f t="shared" si="289"/>
        <v>0.10624551328068915</v>
      </c>
      <c r="J189" s="73">
        <f t="shared" si="289"/>
        <v>2.4625784645098986E-2</v>
      </c>
      <c r="K189" s="73">
        <f t="shared" si="289"/>
        <v>2.6120297148334533E-2</v>
      </c>
      <c r="L189" s="73">
        <f t="shared" si="289"/>
        <v>2.5352786414733316E-2</v>
      </c>
      <c r="M189" s="73">
        <f t="shared" si="289"/>
        <v>2.6352941176470586E-2</v>
      </c>
      <c r="N189" s="70">
        <f t="shared" si="289"/>
        <v>0.10094117647058824</v>
      </c>
      <c r="O189" s="73">
        <f t="shared" si="289"/>
        <v>2.3261117445838083E-2</v>
      </c>
      <c r="P189" s="73">
        <f t="shared" si="289"/>
        <v>2.456140350877193E-2</v>
      </c>
      <c r="Q189" s="73">
        <f t="shared" si="289"/>
        <v>2.2347493456814981E-2</v>
      </c>
      <c r="R189" s="73">
        <f t="shared" si="289"/>
        <v>2.4110671936758886E-2</v>
      </c>
      <c r="S189" s="70">
        <f t="shared" si="289"/>
        <v>8.6956521739130432E-2</v>
      </c>
      <c r="T189" s="73">
        <f t="shared" si="289"/>
        <v>1.9809825673534072E-2</v>
      </c>
      <c r="U189" s="73">
        <f t="shared" si="289"/>
        <v>3.1015408929276966E-2</v>
      </c>
      <c r="V189" s="73">
        <f t="shared" si="289"/>
        <v>2.5293766182035448E-2</v>
      </c>
      <c r="W189" s="73">
        <f t="shared" si="289"/>
        <v>2.7145708582834327E-2</v>
      </c>
      <c r="X189" s="70">
        <f t="shared" si="289"/>
        <v>0.10379241516966067</v>
      </c>
      <c r="Y189" s="73">
        <f t="shared" si="289"/>
        <v>2.6300177971129129E-2</v>
      </c>
      <c r="Z189" s="73">
        <f t="shared" si="289"/>
        <v>2.7360625385723102E-2</v>
      </c>
      <c r="AA189" s="73">
        <f t="shared" si="289"/>
        <v>2.8154327424400417E-2</v>
      </c>
      <c r="AB189" s="73">
        <f t="shared" si="289"/>
        <v>3.0861640430820219E-2</v>
      </c>
      <c r="AC189" s="70">
        <f t="shared" si="289"/>
        <v>0.11391880695940347</v>
      </c>
      <c r="AD189" s="73">
        <f t="shared" si="289"/>
        <v>3.0018761726078799E-2</v>
      </c>
      <c r="AE189" s="73">
        <f>+AE39/AE91</f>
        <v>2.9964127453049171E-2</v>
      </c>
      <c r="AF189" s="73">
        <f>+AF39/AF91</f>
        <v>3.2744506678155955E-2</v>
      </c>
      <c r="AG189" s="73">
        <f t="shared" si="289"/>
        <v>3.2478632478632488E-2</v>
      </c>
      <c r="AH189" s="70">
        <f t="shared" si="289"/>
        <v>0.12606837606837606</v>
      </c>
      <c r="AI189" s="73">
        <f>+AI39/AI91</f>
        <v>3.2093846834882693E-2</v>
      </c>
      <c r="AJ189" s="73">
        <f>+AJ39/AJ91</f>
        <v>3.1590656284760842E-2</v>
      </c>
      <c r="AK189" s="73">
        <f t="shared" ref="AK189:BP189" si="290">+AK39/AK91</f>
        <v>3.1527531083481351E-2</v>
      </c>
      <c r="AL189" s="73">
        <f t="shared" si="290"/>
        <v>3.3333333333333326E-2</v>
      </c>
      <c r="AM189" s="70">
        <f t="shared" si="290"/>
        <v>0.14249363867684478</v>
      </c>
      <c r="AN189" s="73">
        <f t="shared" si="290"/>
        <v>3.3505154639175257E-2</v>
      </c>
      <c r="AO189" s="73">
        <f>+AO39/AO91</f>
        <v>3.3420365535248041E-2</v>
      </c>
      <c r="AP189" s="73">
        <f t="shared" si="290"/>
        <v>3.0885024656112123E-2</v>
      </c>
      <c r="AQ189" s="73">
        <f>+AQ39/AQ91</f>
        <v>2.8320802005012514E-2</v>
      </c>
      <c r="AR189" s="70">
        <f t="shared" si="290"/>
        <v>0.12280701754385964</v>
      </c>
      <c r="AS189" s="73">
        <f>+AS39/AS91</f>
        <v>2.8423133959466138E-2</v>
      </c>
      <c r="AT189" s="73">
        <f>+AT39/AT91</f>
        <v>3.438326520798269E-2</v>
      </c>
      <c r="AU189" s="73">
        <f t="shared" si="290"/>
        <v>2.4144397562119082E-2</v>
      </c>
      <c r="AV189" s="73">
        <f t="shared" si="290"/>
        <v>3.3111111111111119E-2</v>
      </c>
      <c r="AW189" s="70">
        <f t="shared" si="290"/>
        <v>0.11333333333333333</v>
      </c>
      <c r="AX189" s="73">
        <f>+AX39/AX91</f>
        <v>2.6143790849673203E-2</v>
      </c>
      <c r="AY189" s="73">
        <f t="shared" si="290"/>
        <v>2.4844720496894408E-2</v>
      </c>
      <c r="AZ189" s="73">
        <f t="shared" si="290"/>
        <v>2.4144869215291749E-2</v>
      </c>
      <c r="BA189" s="73">
        <f t="shared" si="290"/>
        <v>2.6615969581749048E-2</v>
      </c>
      <c r="BB189" s="70">
        <f t="shared" si="290"/>
        <v>9.5057034220532313E-2</v>
      </c>
      <c r="BC189" s="73">
        <f>+BC39/BC91</f>
        <v>2.4163568773234202E-2</v>
      </c>
      <c r="BD189" s="73">
        <f t="shared" si="290"/>
        <v>2.1582733812949641E-2</v>
      </c>
      <c r="BE189" s="73">
        <f t="shared" si="290"/>
        <v>1.9400352733686066E-2</v>
      </c>
      <c r="BF189" s="73">
        <f t="shared" si="290"/>
        <v>2.5597269624573378E-2</v>
      </c>
      <c r="BG189" s="70">
        <f t="shared" ref="BG189:BL189" si="291">+BG39/BG91</f>
        <v>8.7030716723549492E-2</v>
      </c>
      <c r="BH189" s="73">
        <f t="shared" si="291"/>
        <v>2.1381578947368422E-2</v>
      </c>
      <c r="BI189" s="73">
        <f t="shared" si="291"/>
        <v>2.2617124394184167E-2</v>
      </c>
      <c r="BJ189" s="73">
        <f t="shared" si="291"/>
        <v>2.0933977455716585E-2</v>
      </c>
      <c r="BK189" s="73">
        <f>+BK39/BK91</f>
        <v>2.5437201907790145E-2</v>
      </c>
      <c r="BL189" s="70">
        <f t="shared" si="291"/>
        <v>8.9030206677265494E-2</v>
      </c>
      <c r="BM189" s="73">
        <f t="shared" si="290"/>
        <v>2.3255813953488372E-2</v>
      </c>
      <c r="BN189" s="73">
        <f t="shared" si="290"/>
        <v>1.9969278033794162E-2</v>
      </c>
      <c r="BO189" s="73">
        <f t="shared" si="290"/>
        <v>2.0926756352765322E-2</v>
      </c>
      <c r="BP189" s="73">
        <f t="shared" si="290"/>
        <v>2.244039270687237E-2</v>
      </c>
      <c r="BQ189" s="70">
        <f t="shared" ref="BQ189:CA189" si="292">+BQ39/BQ91</f>
        <v>8.134642356241234E-2</v>
      </c>
      <c r="BR189" s="73">
        <f t="shared" si="292"/>
        <v>2.0862308762169681E-2</v>
      </c>
      <c r="BS189" s="73">
        <f t="shared" si="292"/>
        <v>2.0270270270270271E-2</v>
      </c>
      <c r="BT189" s="73">
        <f t="shared" si="292"/>
        <v>1.9631901840490799E-2</v>
      </c>
      <c r="BU189" s="73">
        <f t="shared" si="292"/>
        <v>1.9455252918287938E-2</v>
      </c>
      <c r="BV189" s="70">
        <f t="shared" si="292"/>
        <v>7.7821011673151752E-2</v>
      </c>
      <c r="BW189" s="73">
        <f t="shared" si="292"/>
        <v>1.9160024524831391E-2</v>
      </c>
      <c r="BX189" s="73">
        <f t="shared" si="292"/>
        <v>1.8692986391505906E-2</v>
      </c>
      <c r="BY189" s="73">
        <f t="shared" si="292"/>
        <v>1.8183140592043057E-2</v>
      </c>
      <c r="BZ189" s="73">
        <f t="shared" si="292"/>
        <v>1.8050541516245487E-2</v>
      </c>
      <c r="CA189" s="70">
        <f t="shared" si="292"/>
        <v>7.2202166064981949E-2</v>
      </c>
      <c r="CB189" s="73">
        <f t="shared" ref="CB189:CK189" si="293">+CB39/CB91</f>
        <v>1.7819806120509409E-2</v>
      </c>
      <c r="CC189" s="73">
        <f t="shared" si="293"/>
        <v>1.7444294552728289E-2</v>
      </c>
      <c r="CD189" s="73">
        <f t="shared" si="293"/>
        <v>1.7029634402132111E-2</v>
      </c>
      <c r="CE189" s="73">
        <f t="shared" si="293"/>
        <v>1.6930022573363433E-2</v>
      </c>
      <c r="CF189" s="70">
        <f t="shared" si="293"/>
        <v>6.772009029345373E-2</v>
      </c>
      <c r="CG189" s="73">
        <f t="shared" si="293"/>
        <v>1.6726883447076141E-2</v>
      </c>
      <c r="CH189" s="73">
        <f t="shared" si="293"/>
        <v>1.6395592864637987E-2</v>
      </c>
      <c r="CI189" s="73">
        <f t="shared" si="293"/>
        <v>1.602876629257307E-2</v>
      </c>
      <c r="CJ189" s="73">
        <f t="shared" si="293"/>
        <v>1.5940488841657812E-2</v>
      </c>
      <c r="CK189" s="70">
        <f t="shared" si="293"/>
        <v>6.3761955366631248E-2</v>
      </c>
      <c r="CL189" s="73">
        <f>+CL39/CL91</f>
        <v>1.576027569975624E-2</v>
      </c>
      <c r="CM189" s="73">
        <f>+CM39/CM91</f>
        <v>1.5465830824431889E-2</v>
      </c>
      <c r="CN189" s="73">
        <f>+CN39/CN91</f>
        <v>1.5139013996018439E-2</v>
      </c>
      <c r="CO189" s="73">
        <f>+CO39/CO91</f>
        <v>1.5060240963855422E-2</v>
      </c>
      <c r="CP189" s="70">
        <f>+CP39/CP91</f>
        <v>6.0240963855421686E-2</v>
      </c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</row>
    <row r="190" spans="1:109" s="225" customFormat="1" x14ac:dyDescent="0.25">
      <c r="A190" s="225" t="s">
        <v>112</v>
      </c>
      <c r="C190" s="70">
        <f>+C93/C4</f>
        <v>7.7812601318491298E-2</v>
      </c>
      <c r="D190" s="70">
        <f>+D93/D4</f>
        <v>0.10511971968074751</v>
      </c>
      <c r="E190" s="73">
        <f>+E93/E4/4</f>
        <v>0.23909204238520673</v>
      </c>
      <c r="F190" s="73">
        <f>+F93/F4/4</f>
        <v>0.18403220663265304</v>
      </c>
      <c r="G190" s="73">
        <f>+G93/G4/4</f>
        <v>0.21753460777851025</v>
      </c>
      <c r="H190" s="73">
        <f>+H93/H4/4</f>
        <v>0.190213140398905</v>
      </c>
      <c r="I190" s="70">
        <f>+I93/I4</f>
        <v>0.17474289307046303</v>
      </c>
      <c r="J190" s="73">
        <f>+J93/J4/4</f>
        <v>0.14861623616236161</v>
      </c>
      <c r="K190" s="73">
        <f>+K93/K4/4</f>
        <v>6.5171102661596966E-2</v>
      </c>
      <c r="L190" s="73">
        <f>+L93/L4/4</f>
        <v>7.4251115360101969E-2</v>
      </c>
      <c r="M190" s="73">
        <f>+M93/M4/4</f>
        <v>7.5628097761066479E-2</v>
      </c>
      <c r="N190" s="70">
        <f>+N93/N4</f>
        <v>7.3377000248735599E-2</v>
      </c>
      <c r="O190" s="73">
        <f>+O93/O4/4</f>
        <v>6.5203662772339757E-2</v>
      </c>
      <c r="P190" s="73">
        <f>+P93/P4/4</f>
        <v>6.0265401540154015E-2</v>
      </c>
      <c r="Q190" s="73">
        <f>+Q93/Q4/4</f>
        <v>5.6505034446210925E-2</v>
      </c>
      <c r="R190" s="73">
        <f>+R93/R4/4</f>
        <v>2.0266357845975681E-2</v>
      </c>
      <c r="S190" s="70">
        <f>+S93/S4</f>
        <v>1.9955812130282947E-2</v>
      </c>
      <c r="T190" s="73">
        <f>+T93/T4/4</f>
        <v>1.934785549993235E-2</v>
      </c>
      <c r="U190" s="73">
        <f>+U93/U4/4</f>
        <v>1.7405417506156259E-2</v>
      </c>
      <c r="V190" s="73">
        <f>+V93/V4/4</f>
        <v>1.7950763619785731E-2</v>
      </c>
      <c r="W190" s="73">
        <f>+W93/W4/4</f>
        <v>1.9746212611679401E-2</v>
      </c>
      <c r="X190" s="70">
        <f>+X93/X4</f>
        <v>1.8585095362866372E-2</v>
      </c>
      <c r="Y190" s="73">
        <f>+Y93/Y4/4</f>
        <v>1.9968354430379746E-2</v>
      </c>
      <c r="Z190" s="73">
        <f>+Z93/Z4/4</f>
        <v>1.6636353910345566E-2</v>
      </c>
      <c r="AA190" s="73">
        <f>+AA93/AA4/4</f>
        <v>2.1107001657951791E-2</v>
      </c>
      <c r="AB190" s="73">
        <f>+AB93/AB4/4</f>
        <v>2.0854675837845751E-2</v>
      </c>
      <c r="AC190" s="70">
        <f>+AC93/AC4</f>
        <v>1.7856583440368407E-2</v>
      </c>
      <c r="AD190" s="73">
        <f>+AD93/AD4/4</f>
        <v>1.9989158422550481E-2</v>
      </c>
      <c r="AE190" s="73">
        <f>+AE93/AE4/4</f>
        <v>1.5567252771866951E-2</v>
      </c>
      <c r="AF190" s="73">
        <f>+AF93/AF4/4</f>
        <v>1.601485435766508E-2</v>
      </c>
      <c r="AG190" s="73">
        <f>+AG93/AG4/4</f>
        <v>1.8076398362892224E-2</v>
      </c>
      <c r="AH190" s="70">
        <f>+AH93/AH4</f>
        <v>1.6431560998294837E-2</v>
      </c>
      <c r="AI190" s="73">
        <f>+AI93/AI4/4</f>
        <v>1.7754060947778226E-2</v>
      </c>
      <c r="AJ190" s="73">
        <f>+AJ93/AJ4/4</f>
        <v>1.3304626255934636E-2</v>
      </c>
      <c r="AK190" s="73">
        <f>+AK93/AK4/4</f>
        <v>1.3170199501246883E-2</v>
      </c>
      <c r="AL190" s="73">
        <f>+AL93/AL4/4</f>
        <v>1.5164918488563125E-2</v>
      </c>
      <c r="AM190" s="70">
        <f>+AM93/AM4</f>
        <v>1.4099814939928913E-2</v>
      </c>
      <c r="AN190" s="73">
        <f>+AN93/AN4/4</f>
        <v>1.5440913959300251E-2</v>
      </c>
      <c r="AO190" s="73">
        <f>+AO93/AO4/4</f>
        <v>1.2611056268509379E-2</v>
      </c>
      <c r="AP190" s="73">
        <f>+AP93/AP4/4</f>
        <v>1.399895724713243E-2</v>
      </c>
      <c r="AQ190" s="73">
        <f>+AQ93/AQ4/4</f>
        <v>1.3727692499688008E-2</v>
      </c>
      <c r="AR190" s="70">
        <f>+AR93/AR4</f>
        <v>1.2176223156962585E-2</v>
      </c>
      <c r="AS190" s="73">
        <f>+AS93/AS4/4</f>
        <v>1.4804691948525224E-2</v>
      </c>
      <c r="AT190" s="73">
        <f>+AT93/AT4/4</f>
        <v>1.2231209311501283E-2</v>
      </c>
      <c r="AU190" s="73">
        <f>+AU93/AU4/4</f>
        <v>1.7163307040607652E-2</v>
      </c>
      <c r="AV190" s="73">
        <f>+AV93/AV4/4</f>
        <v>2.0207852193995381E-2</v>
      </c>
      <c r="AW190" s="70">
        <f>+AW93/AW4</f>
        <v>1.8495032762629465E-2</v>
      </c>
      <c r="AX190" s="73">
        <f>+AX93/AX4/4</f>
        <v>2.2042410714285716E-2</v>
      </c>
      <c r="AY190" s="73">
        <f>+AY93/AY4/4</f>
        <v>1.7377201112140871E-2</v>
      </c>
      <c r="AZ190" s="73">
        <f>+AZ93/AZ4/4</f>
        <v>2.4118738404452691E-2</v>
      </c>
      <c r="BA190" s="73">
        <f>+BA93/BA4/4</f>
        <v>2.883538633818589E-2</v>
      </c>
      <c r="BB190" s="70">
        <f>+BB93/BB4</f>
        <v>2.6102382159148504E-2</v>
      </c>
      <c r="BC190" s="73">
        <f>+BC93/BC4/4</f>
        <v>2.9858849077090119E-2</v>
      </c>
      <c r="BD190" s="73">
        <f>+BD93/BD4/4</f>
        <v>2.7092511013215859E-2</v>
      </c>
      <c r="BE190" s="73">
        <f>+BE93/BE4/4</f>
        <v>3.6367795059469347E-2</v>
      </c>
      <c r="BF190" s="73">
        <f>+BF93/BF4/4</f>
        <v>3.4318901795142555E-2</v>
      </c>
      <c r="BG190" s="70">
        <f>+BG93/BG4</f>
        <v>3.173828125E-2</v>
      </c>
      <c r="BH190" s="73">
        <f>+BH93/BH4/4</f>
        <v>4.027777777777778E-2</v>
      </c>
      <c r="BI190" s="73">
        <f>+BI93/BI4/4</f>
        <v>3.1478102189781025E-2</v>
      </c>
      <c r="BJ190" s="73">
        <f>+BJ93/BJ4/4</f>
        <v>3.139427516158818E-2</v>
      </c>
      <c r="BK190" s="73">
        <f>+BK93/BK4/4</f>
        <v>3.6441586280814578E-2</v>
      </c>
      <c r="BL190" s="70">
        <f>+BL93/BL4</f>
        <v>3.3898305084745763E-2</v>
      </c>
      <c r="BM190" s="73">
        <f>+BM93/BM4/4</f>
        <v>4.2056074766355138E-2</v>
      </c>
      <c r="BN190" s="73">
        <f>+BN93/BN4/4</f>
        <v>3.6966824644549763E-2</v>
      </c>
      <c r="BO190" s="73">
        <f>+BO93/BO4/4</f>
        <v>4.0604343720491029E-2</v>
      </c>
      <c r="BP190" s="73">
        <f>+BP93/BP4/4</f>
        <v>4.7068771138669675E-2</v>
      </c>
      <c r="BQ190" s="70">
        <f>+BQ93/BQ4</f>
        <v>4.3297899922219343E-2</v>
      </c>
      <c r="BR190" s="73">
        <f>+BR93/BR4/4</f>
        <v>4.4133476856835309E-2</v>
      </c>
      <c r="BS190" s="73">
        <f>+BS93/BS4/4</f>
        <v>3.4734133790737566E-2</v>
      </c>
      <c r="BT190" s="219">
        <f>+BO190</f>
        <v>4.0604343720491029E-2</v>
      </c>
      <c r="BU190" s="219">
        <f>+BP190</f>
        <v>4.7068771138669675E-2</v>
      </c>
      <c r="BV190" s="70">
        <f>+BV93/BV4</f>
        <v>4.2447836067939761E-2</v>
      </c>
      <c r="BW190" s="219">
        <f>+BR190</f>
        <v>4.4133476856835309E-2</v>
      </c>
      <c r="BX190" s="219">
        <f>+BS190</f>
        <v>3.4734133790737566E-2</v>
      </c>
      <c r="BY190" s="219">
        <f>+BT190</f>
        <v>4.0604343720491029E-2</v>
      </c>
      <c r="BZ190" s="219">
        <f>+BU190</f>
        <v>4.7068771138669675E-2</v>
      </c>
      <c r="CA190" s="70">
        <f>+CA93/CA4</f>
        <v>4.2598904963888205E-2</v>
      </c>
      <c r="CB190" s="219">
        <f>+BW190</f>
        <v>4.4133476856835309E-2</v>
      </c>
      <c r="CC190" s="219">
        <f>+BX190</f>
        <v>3.4734133790737566E-2</v>
      </c>
      <c r="CD190" s="219">
        <f>+BY190</f>
        <v>4.0604343720491029E-2</v>
      </c>
      <c r="CE190" s="219">
        <f>+BZ190</f>
        <v>4.7068771138669675E-2</v>
      </c>
      <c r="CF190" s="70">
        <f>+CF93/CF4</f>
        <v>4.2598904963888184E-2</v>
      </c>
      <c r="CG190" s="219">
        <f>+CB190</f>
        <v>4.4133476856835309E-2</v>
      </c>
      <c r="CH190" s="219">
        <f>+CC190</f>
        <v>3.4734133790737566E-2</v>
      </c>
      <c r="CI190" s="219">
        <f>+CD190</f>
        <v>4.0604343720491029E-2</v>
      </c>
      <c r="CJ190" s="219">
        <f>+CE190</f>
        <v>4.7068771138669675E-2</v>
      </c>
      <c r="CK190" s="70">
        <f>+CK93/CK4</f>
        <v>4.2598904963888184E-2</v>
      </c>
      <c r="CL190" s="219">
        <f>+CG190</f>
        <v>4.4133476856835309E-2</v>
      </c>
      <c r="CM190" s="219">
        <f>+CH190</f>
        <v>3.4734133790737566E-2</v>
      </c>
      <c r="CN190" s="219">
        <f>+CI190</f>
        <v>4.0604343720491029E-2</v>
      </c>
      <c r="CO190" s="219">
        <f>+CJ190</f>
        <v>4.7068771138669675E-2</v>
      </c>
      <c r="CP190" s="70">
        <f>+CP93/CP4</f>
        <v>4.2598904963888178E-2</v>
      </c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</row>
    <row r="191" spans="1:109" s="226" customFormat="1" x14ac:dyDescent="0.25">
      <c r="A191" s="226" t="s">
        <v>113</v>
      </c>
      <c r="C191" s="222">
        <f>+C99/C17*365</f>
        <v>179.89545303684039</v>
      </c>
      <c r="D191" s="222">
        <f>+D99/D17*365</f>
        <v>156.70944233206589</v>
      </c>
      <c r="E191" s="223">
        <f>+E99/E17*365/4</f>
        <v>161.17289239204933</v>
      </c>
      <c r="F191" s="223">
        <f>+F99/F17*365/4</f>
        <v>168.21018172100474</v>
      </c>
      <c r="G191" s="223">
        <f>+G99/G17*365/4</f>
        <v>164.82686781609203</v>
      </c>
      <c r="H191" s="224">
        <f>+H99/H17*365/4</f>
        <v>180.99286786786797</v>
      </c>
      <c r="I191" s="222">
        <f>+I99/I17*365</f>
        <v>150.62949078413001</v>
      </c>
      <c r="J191" s="223">
        <f>+J99/J17*365/4</f>
        <v>144.61182833217026</v>
      </c>
      <c r="K191" s="223">
        <f>+K99/K17*365/4</f>
        <v>145.08023872679036</v>
      </c>
      <c r="L191" s="223">
        <f>+L99/L17*365/4</f>
        <v>145.33231707317071</v>
      </c>
      <c r="M191" s="224">
        <f>+M99/M17*365/4</f>
        <v>188.90580229226356</v>
      </c>
      <c r="N191" s="222">
        <f>+N99/N17*365</f>
        <v>166.01353478124017</v>
      </c>
      <c r="O191" s="223">
        <f>+O99/O17*365/4</f>
        <v>145.61418962203714</v>
      </c>
      <c r="P191" s="223">
        <f>+P99/P17*365/4</f>
        <v>156.38283208020061</v>
      </c>
      <c r="Q191" s="223">
        <f>+Q99/Q17*365/4</f>
        <v>170.41452772073924</v>
      </c>
      <c r="R191" s="224">
        <f>+R99/R17*365/4</f>
        <v>176.62868632707779</v>
      </c>
      <c r="S191" s="222">
        <f>+S99/S17*365</f>
        <v>178.80987922377531</v>
      </c>
      <c r="T191" s="223">
        <f>+T99/T17*365/4</f>
        <v>155.55775114737378</v>
      </c>
      <c r="U191" s="223">
        <f>+U99/U17*365/4</f>
        <v>157.5325732899023</v>
      </c>
      <c r="V191" s="223">
        <f>+V99/V17*365/4</f>
        <v>134.74405754795669</v>
      </c>
      <c r="W191" s="224">
        <f>+W99/W17*365/4</f>
        <v>168.81694255111981</v>
      </c>
      <c r="X191" s="222">
        <f>+X99/X17*365</f>
        <v>156.38741684519113</v>
      </c>
      <c r="Y191" s="223">
        <f>+Y99/Y17*365/4</f>
        <v>148.33530805687204</v>
      </c>
      <c r="Z191" s="223">
        <f>+Z99/Z17*365/4</f>
        <v>124.79581489675513</v>
      </c>
      <c r="AA191" s="223">
        <f>+AA99/AA17*365/4</f>
        <v>123.21629846708746</v>
      </c>
      <c r="AB191" s="223">
        <f>+AB99/AB17*365/4</f>
        <v>166.95067264573996</v>
      </c>
      <c r="AC191" s="222">
        <f>+AC99/AC17*365</f>
        <v>135.01359927470526</v>
      </c>
      <c r="AD191" s="223">
        <f>+AD99/AD17*365/4</f>
        <v>154.55558468799165</v>
      </c>
      <c r="AE191" s="223">
        <f>+AE99/AE17*365/4</f>
        <v>139.90715402658327</v>
      </c>
      <c r="AF191" s="223">
        <f>+AF99/AF17*365/4</f>
        <v>145.59713024282556</v>
      </c>
      <c r="AG191" s="223">
        <f>+AG99/AG17*365/4</f>
        <v>169.05471289274107</v>
      </c>
      <c r="AH191" s="222">
        <f>+AH99/AH17*365</f>
        <v>145.55736940298507</v>
      </c>
      <c r="AI191" s="223">
        <f>+AI99/AI17*365/4</f>
        <v>150.23216159496332</v>
      </c>
      <c r="AJ191" s="223">
        <f>+AJ99/AJ17*365/4</f>
        <v>145.3678005008347</v>
      </c>
      <c r="AK191" s="223">
        <f>+AK99/AK17*365/4</f>
        <v>138.79703476482618</v>
      </c>
      <c r="AL191" s="223">
        <f>+AL99/AL17*365/4</f>
        <v>200.61366061899685</v>
      </c>
      <c r="AM191" s="222">
        <f>+AM99/AM17*365</f>
        <v>174.43452035726708</v>
      </c>
      <c r="AN191" s="223">
        <f>+AN99/AN17*365/4</f>
        <v>169.49425287356325</v>
      </c>
      <c r="AO191" s="223">
        <f>+AO99/AO17*365/4</f>
        <v>148.52289048473966</v>
      </c>
      <c r="AP191" s="223">
        <f>+AP99/AP17*365/4</f>
        <v>142.24371759074589</v>
      </c>
      <c r="AQ191" s="223">
        <f>+AQ99/AQ17*365/4</f>
        <v>194.49199337382669</v>
      </c>
      <c r="AR191" s="222">
        <f>+AR99/AR17*365</f>
        <v>151.85384781202836</v>
      </c>
      <c r="AS191" s="223">
        <f>+AS99/AS17*365/4</f>
        <v>169.96839365394152</v>
      </c>
      <c r="AT191" s="223">
        <f>+AT99/AT17*365/4</f>
        <v>173.92496034892946</v>
      </c>
      <c r="AU191" s="223">
        <f>+AU99/AU17*365/4</f>
        <v>177.1815154038301</v>
      </c>
      <c r="AV191" s="223">
        <f>+AV99/AV17*365/4</f>
        <v>205.76874999999998</v>
      </c>
      <c r="AW191" s="222">
        <f>+AW99/AW17*365</f>
        <v>184.11251537859295</v>
      </c>
      <c r="AX191" s="223">
        <f>+AX99/AX17*365/4</f>
        <v>171.58492822966505</v>
      </c>
      <c r="AY191" s="223">
        <f>+AY99/AY17*365/4</f>
        <v>182.14494163424123</v>
      </c>
      <c r="AZ191" s="223">
        <f>+AZ99/AZ17*365/4</f>
        <v>164.98000000000002</v>
      </c>
      <c r="BA191" s="223">
        <f>+BA99/BA17*365/4</f>
        <v>220.67602040816325</v>
      </c>
      <c r="BB191" s="222">
        <f>+BB99/BB17*365</f>
        <v>189.70394736842104</v>
      </c>
      <c r="BC191" s="223">
        <f>+BC99/BC17*365/4</f>
        <v>185.54166666666666</v>
      </c>
      <c r="BD191" s="223">
        <f>+BD99/BD17*365/4</f>
        <v>182.15951492537312</v>
      </c>
      <c r="BE191" s="223">
        <f>+BE99/BE17*365/4</f>
        <v>179.34134615384613</v>
      </c>
      <c r="BF191" s="223">
        <f>+BF99/BF17*365/4</f>
        <v>212.91666666666669</v>
      </c>
      <c r="BG191" s="222">
        <f>+BG99/BG17*365</f>
        <v>190.75184016824394</v>
      </c>
      <c r="BH191" s="223">
        <f>+BH99/BH17*365/4</f>
        <v>192.15144230769232</v>
      </c>
      <c r="BI191" s="223">
        <f>+BI99/BI17*365/4</f>
        <v>186.92630597014926</v>
      </c>
      <c r="BJ191" s="223">
        <f>+BJ99/BJ17*365/4</f>
        <v>178.90748031496062</v>
      </c>
      <c r="BK191" s="223">
        <f>+BK99/BK17*365/4</f>
        <v>211.64930555555557</v>
      </c>
      <c r="BL191" s="222">
        <f>+BL99/BL17*365</f>
        <v>193.30338266384777</v>
      </c>
      <c r="BM191" s="223">
        <f>+BM99/BM17*365/4</f>
        <v>203.11899038461536</v>
      </c>
      <c r="BN191" s="223">
        <f>+BN99/BN17*365/4</f>
        <v>181.84352517985613</v>
      </c>
      <c r="BO191" s="223">
        <f>+BO99/BO17*365/4</f>
        <v>160.35845588235293</v>
      </c>
      <c r="BP191" s="223">
        <f>+BP99/BP17*365/4</f>
        <v>213.62733644859813</v>
      </c>
      <c r="BQ191" s="222">
        <f>+BQ99/BQ17*365</f>
        <v>188.13271604938271</v>
      </c>
      <c r="BR191" s="223">
        <f>+BR99/BR17*365/4</f>
        <v>180.11956521739131</v>
      </c>
      <c r="BS191" s="223">
        <f>+BS99/BS17*365/4</f>
        <v>166.89144736842104</v>
      </c>
      <c r="BT191" s="223">
        <f>+BT99/BT17*365/4</f>
        <v>160.35845588235293</v>
      </c>
      <c r="BU191" s="223">
        <f>+BU99/BU17*365/4</f>
        <v>213.62733644859813</v>
      </c>
      <c r="BV191" s="222">
        <f>+BV99/BV17*365</f>
        <v>185.04667279216829</v>
      </c>
      <c r="BW191" s="223">
        <f>+BW99/BW17*365/4</f>
        <v>180.11956521739131</v>
      </c>
      <c r="BX191" s="223">
        <f>+BX99/BX17*365/4</f>
        <v>166.89144736842104</v>
      </c>
      <c r="BY191" s="223">
        <f>+BY99/BY17*365/4</f>
        <v>160.35845588235293</v>
      </c>
      <c r="BZ191" s="223">
        <f>+BZ99/BZ17*365/4</f>
        <v>213.62733644859813</v>
      </c>
      <c r="CA191" s="222">
        <f>+CA99/CA17*365</f>
        <v>185.82883595008067</v>
      </c>
      <c r="CB191" s="223">
        <f>+CB99/CB17*365/4</f>
        <v>180.11956521739131</v>
      </c>
      <c r="CC191" s="223">
        <f>+CC99/CC17*365/4</f>
        <v>166.89144736842104</v>
      </c>
      <c r="CD191" s="223">
        <f>+CD99/CD17*365/4</f>
        <v>160.35845588235293</v>
      </c>
      <c r="CE191" s="223">
        <f>+CE99/CE17*365/4</f>
        <v>213.62733644859813</v>
      </c>
      <c r="CF191" s="222">
        <f>+CF99/CF17*365</f>
        <v>185.78705269841717</v>
      </c>
      <c r="CG191" s="223">
        <f>+CG99/CG17*365/4</f>
        <v>180.11956521739131</v>
      </c>
      <c r="CH191" s="223">
        <f>+CH99/CH17*365/4</f>
        <v>166.89144736842104</v>
      </c>
      <c r="CI191" s="223">
        <f>+CI99/CI17*365/4</f>
        <v>160.35845588235293</v>
      </c>
      <c r="CJ191" s="223">
        <f>+CJ99/CJ17*365/4</f>
        <v>213.62733644859813</v>
      </c>
      <c r="CK191" s="222">
        <f>+CK99/CK17*365</f>
        <v>185.74487926239905</v>
      </c>
      <c r="CL191" s="223">
        <f>+CL99/CL17*365/4</f>
        <v>180.11956521739131</v>
      </c>
      <c r="CM191" s="223">
        <f>+CM99/CM17*365/4</f>
        <v>166.89144736842104</v>
      </c>
      <c r="CN191" s="223">
        <f>+CN99/CN17*365/4</f>
        <v>160.35845588235293</v>
      </c>
      <c r="CO191" s="223">
        <f>+CO99/CO17*365/4</f>
        <v>213.62733644859813</v>
      </c>
      <c r="CP191" s="222">
        <f>+CP99/CP17*365</f>
        <v>185.71654416186809</v>
      </c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</row>
    <row r="192" spans="1:109" s="221" customFormat="1" x14ac:dyDescent="0.25">
      <c r="A192" s="221" t="s">
        <v>114</v>
      </c>
      <c r="C192" s="70">
        <f>+C99/C17</f>
        <v>0.4928642548954531</v>
      </c>
      <c r="D192" s="70">
        <f>+D99/D17</f>
        <v>0.42934093789607092</v>
      </c>
      <c r="E192" s="73">
        <f>+E99/E17/4</f>
        <v>0.44156956819739546</v>
      </c>
      <c r="F192" s="73">
        <f>+F99/F17/4</f>
        <v>0.46084981293425958</v>
      </c>
      <c r="G192" s="73">
        <f>+G99/G17/4</f>
        <v>0.45158045977011513</v>
      </c>
      <c r="H192" s="73">
        <f>+H99/H17/4</f>
        <v>0.49587087087087112</v>
      </c>
      <c r="I192" s="70">
        <f>+I99/I17</f>
        <v>0.41268353639487676</v>
      </c>
      <c r="J192" s="73">
        <f>+J99/J17/4</f>
        <v>0.39619678995115137</v>
      </c>
      <c r="K192" s="73">
        <f>+K99/K17/4</f>
        <v>0.39748010610079548</v>
      </c>
      <c r="L192" s="73">
        <f>+L99/L17/4</f>
        <v>0.39817073170731704</v>
      </c>
      <c r="M192" s="73">
        <f>+M99/M17/4</f>
        <v>0.51755014326647553</v>
      </c>
      <c r="N192" s="70">
        <f>+N99/N17</f>
        <v>0.45483160214038404</v>
      </c>
      <c r="O192" s="73">
        <f>+O99/O17/4</f>
        <v>0.3989429852658552</v>
      </c>
      <c r="P192" s="73">
        <f>+P99/P17/4</f>
        <v>0.42844611528822085</v>
      </c>
      <c r="Q192" s="73">
        <f>+Q99/Q17/4</f>
        <v>0.46688911704312125</v>
      </c>
      <c r="R192" s="73">
        <f>+R99/R17/4</f>
        <v>0.4839142091152816</v>
      </c>
      <c r="S192" s="70">
        <f>+S99/S17</f>
        <v>0.48989008006513785</v>
      </c>
      <c r="T192" s="73">
        <f>+T99/T17/4</f>
        <v>0.42618561958184598</v>
      </c>
      <c r="U192" s="73">
        <f>+U99/U17/4</f>
        <v>0.43159609120521181</v>
      </c>
      <c r="V192" s="73">
        <f>+V99/V17/4</f>
        <v>0.36916180150125116</v>
      </c>
      <c r="W192" s="73">
        <f>+W99/W17/4</f>
        <v>0.46251217137293099</v>
      </c>
      <c r="X192" s="70">
        <f>+X99/X17</f>
        <v>0.42845867628819484</v>
      </c>
      <c r="Y192" s="73">
        <f>+Y99/Y17/4</f>
        <v>0.40639810426540285</v>
      </c>
      <c r="Z192" s="73">
        <f>+Z99/Z17/4</f>
        <v>0.34190634218289079</v>
      </c>
      <c r="AA192" s="73">
        <f>+AA99/AA17/4</f>
        <v>0.33757889990982864</v>
      </c>
      <c r="AB192" s="73">
        <f>+AB99/AB17/4</f>
        <v>0.45739910313901361</v>
      </c>
      <c r="AC192" s="70">
        <f>+AC99/AC17</f>
        <v>0.36990027198549386</v>
      </c>
      <c r="AD192" s="73">
        <f>+AD99/AD17/4</f>
        <v>0.42343995804929219</v>
      </c>
      <c r="AE192" s="73">
        <f>+AE99/AE17/4</f>
        <v>0.38330727130570758</v>
      </c>
      <c r="AF192" s="73">
        <f>+AF99/AF17/4</f>
        <v>0.39889624724061795</v>
      </c>
      <c r="AG192" s="73">
        <f>+AG99/AG17/4</f>
        <v>0.4631635969664139</v>
      </c>
      <c r="AH192" s="70">
        <f>+AH99/AH17</f>
        <v>0.3987873134328358</v>
      </c>
      <c r="AI192" s="73">
        <f>+AI99/AI17/4</f>
        <v>0.41159496327387207</v>
      </c>
      <c r="AJ192" s="73">
        <f>+AJ99/AJ17/4</f>
        <v>0.39826794657762932</v>
      </c>
      <c r="AK192" s="73">
        <f>+AK99/AK17/4</f>
        <v>0.38026584867075669</v>
      </c>
      <c r="AL192" s="73">
        <f>+AL99/AL17/4</f>
        <v>0.54962646744930643</v>
      </c>
      <c r="AM192" s="70">
        <f>+AM99/AM17</f>
        <v>0.47790279549936188</v>
      </c>
      <c r="AN192" s="73">
        <f>+AN99/AN17/4</f>
        <v>0.46436781609195416</v>
      </c>
      <c r="AO192" s="73">
        <f>+AO99/AO17/4</f>
        <v>0.40691202872531418</v>
      </c>
      <c r="AP192" s="73">
        <f>+AP99/AP17/4</f>
        <v>0.38970881531711205</v>
      </c>
      <c r="AQ192" s="73">
        <f>+AQ99/AQ17/4</f>
        <v>0.53285477636664846</v>
      </c>
      <c r="AR192" s="70">
        <f>+AR99/AR17</f>
        <v>0.4160379392110366</v>
      </c>
      <c r="AS192" s="73">
        <f>+AS99/AS17/4</f>
        <v>0.46566683192860686</v>
      </c>
      <c r="AT192" s="73">
        <f>+AT99/AT17/4</f>
        <v>0.4765067406819985</v>
      </c>
      <c r="AU192" s="73">
        <f>+AU99/AU17/4</f>
        <v>0.48542880932556193</v>
      </c>
      <c r="AV192" s="73">
        <f>+AV99/AV17/4</f>
        <v>0.56374999999999997</v>
      </c>
      <c r="AW192" s="70">
        <f>+AW99/AW17</f>
        <v>0.50441785035230946</v>
      </c>
      <c r="AX192" s="73">
        <f>+AX99/AX17/4</f>
        <v>0.47009569377990429</v>
      </c>
      <c r="AY192" s="73">
        <f>+AY99/AY17/4</f>
        <v>0.49902723735408561</v>
      </c>
      <c r="AZ192" s="73">
        <f>+AZ99/AZ17/4</f>
        <v>0.45200000000000001</v>
      </c>
      <c r="BA192" s="73">
        <f>+BA99/BA17/4</f>
        <v>0.60459183673469385</v>
      </c>
      <c r="BB192" s="70">
        <f>+BB99/BB17</f>
        <v>0.51973684210526316</v>
      </c>
      <c r="BC192" s="73">
        <f>+BC99/BC17/4</f>
        <v>0.5083333333333333</v>
      </c>
      <c r="BD192" s="73">
        <f>+BD99/BD17/4</f>
        <v>0.49906716417910446</v>
      </c>
      <c r="BE192" s="73">
        <f>+BE99/BE17/4</f>
        <v>0.49134615384615382</v>
      </c>
      <c r="BF192" s="73">
        <f>+BF99/BF17/4</f>
        <v>0.58333333333333337</v>
      </c>
      <c r="BG192" s="70">
        <f>+BG99/BG17</f>
        <v>0.52260778128286012</v>
      </c>
      <c r="BH192" s="73">
        <f>+BH99/BH17/4</f>
        <v>0.52644230769230771</v>
      </c>
      <c r="BI192" s="73">
        <f>+BI99/BI17/4</f>
        <v>0.51212686567164178</v>
      </c>
      <c r="BJ192" s="73">
        <f>+BJ99/BJ17/4</f>
        <v>0.49015748031496065</v>
      </c>
      <c r="BK192" s="73">
        <f>+BK99/BK17/4</f>
        <v>0.57986111111111116</v>
      </c>
      <c r="BL192" s="70">
        <f>+BL99/BL17</f>
        <v>0.52959830866807611</v>
      </c>
      <c r="BM192" s="73">
        <f>+BM99/BM17/4</f>
        <v>0.55649038461538458</v>
      </c>
      <c r="BN192" s="73">
        <f>+BN99/BN17/4</f>
        <v>0.49820143884892087</v>
      </c>
      <c r="BO192" s="73">
        <f>+BO99/BO17/4</f>
        <v>0.43933823529411764</v>
      </c>
      <c r="BP192" s="73">
        <f>+BP99/BP17/4</f>
        <v>0.58528037383177567</v>
      </c>
      <c r="BQ192" s="70">
        <f>+BQ99/BQ17</f>
        <v>0.51543209876543206</v>
      </c>
      <c r="BR192" s="73">
        <f>+BR99/BR17/4</f>
        <v>0.4934782608695652</v>
      </c>
      <c r="BS192" s="73">
        <f>+BS99/BS17/4</f>
        <v>0.45723684210526316</v>
      </c>
      <c r="BT192" s="219">
        <f t="shared" ref="BT192:BU193" si="294">BO192</f>
        <v>0.43933823529411764</v>
      </c>
      <c r="BU192" s="219">
        <f t="shared" si="294"/>
        <v>0.58528037383177567</v>
      </c>
      <c r="BV192" s="70">
        <f>+BV99/BV17</f>
        <v>0.50697718573196793</v>
      </c>
      <c r="BW192" s="219">
        <f t="shared" ref="BW192:BZ193" si="295">BR192</f>
        <v>0.4934782608695652</v>
      </c>
      <c r="BX192" s="219">
        <f t="shared" si="295"/>
        <v>0.45723684210526316</v>
      </c>
      <c r="BY192" s="219">
        <f t="shared" si="295"/>
        <v>0.43933823529411764</v>
      </c>
      <c r="BZ192" s="219">
        <f t="shared" si="295"/>
        <v>0.58528037383177567</v>
      </c>
      <c r="CA192" s="70">
        <f>+CA99/CA17</f>
        <v>0.5091200984933717</v>
      </c>
      <c r="CB192" s="219">
        <f t="shared" ref="CB192:CE193" si="296">BW192</f>
        <v>0.4934782608695652</v>
      </c>
      <c r="CC192" s="219">
        <f t="shared" si="296"/>
        <v>0.45723684210526316</v>
      </c>
      <c r="CD192" s="219">
        <f t="shared" si="296"/>
        <v>0.43933823529411764</v>
      </c>
      <c r="CE192" s="219">
        <f t="shared" si="296"/>
        <v>0.58528037383177567</v>
      </c>
      <c r="CF192" s="70">
        <f>+CF99/CF17</f>
        <v>0.5090056238312799</v>
      </c>
      <c r="CG192" s="219">
        <f t="shared" ref="CG192:CJ193" si="297">CB192</f>
        <v>0.4934782608695652</v>
      </c>
      <c r="CH192" s="219">
        <f t="shared" si="297"/>
        <v>0.45723684210526316</v>
      </c>
      <c r="CI192" s="219">
        <f t="shared" si="297"/>
        <v>0.43933823529411764</v>
      </c>
      <c r="CJ192" s="219">
        <f t="shared" si="297"/>
        <v>0.58528037383177567</v>
      </c>
      <c r="CK192" s="70">
        <f>+CK99/CK17</f>
        <v>0.50889008017095627</v>
      </c>
      <c r="CL192" s="219">
        <f t="shared" ref="CL192:CO193" si="298">CG192</f>
        <v>0.4934782608695652</v>
      </c>
      <c r="CM192" s="219">
        <f t="shared" si="298"/>
        <v>0.45723684210526316</v>
      </c>
      <c r="CN192" s="219">
        <f t="shared" si="298"/>
        <v>0.43933823529411764</v>
      </c>
      <c r="CO192" s="219">
        <f t="shared" si="298"/>
        <v>0.58528037383177567</v>
      </c>
      <c r="CP192" s="70">
        <f>+CP99/CP17</f>
        <v>0.50881244975854267</v>
      </c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</row>
    <row r="193" spans="1:109" s="221" customFormat="1" x14ac:dyDescent="0.25">
      <c r="A193" s="221" t="s">
        <v>115</v>
      </c>
      <c r="C193" s="70">
        <f>+C107/C47</f>
        <v>0.69087688219663412</v>
      </c>
      <c r="D193" s="70">
        <f>+D107/D47</f>
        <v>1.0057708161582852</v>
      </c>
      <c r="E193" s="73">
        <f>+E107/E47/4</f>
        <v>0.87057602022390768</v>
      </c>
      <c r="F193" s="73">
        <f>+F107/F47/4</f>
        <v>0.54858078602620086</v>
      </c>
      <c r="G193" s="73">
        <f>+G107/G47/4</f>
        <v>0.71821235204815048</v>
      </c>
      <c r="H193" s="73">
        <f>+H107/H47/4</f>
        <v>1.7077922077922081</v>
      </c>
      <c r="I193" s="70">
        <f>+I107/I47</f>
        <v>1.1275527844205284</v>
      </c>
      <c r="J193" s="73">
        <f>+J107/J47/4</f>
        <v>0.98504154696815238</v>
      </c>
      <c r="K193" s="73">
        <f>+K107/K47/4</f>
        <v>0.69750367107195343</v>
      </c>
      <c r="L193" s="73">
        <f>+L107/L47/4</f>
        <v>0.80320622773452965</v>
      </c>
      <c r="M193" s="73">
        <f>+M107/M47/4</f>
        <v>1.2167662434652726</v>
      </c>
      <c r="N193" s="70">
        <f>+N107/N47</f>
        <v>0.80788823465452553</v>
      </c>
      <c r="O193" s="73">
        <f>+O107/O47/4</f>
        <v>0.69259656652360513</v>
      </c>
      <c r="P193" s="73">
        <f>+P107/P47/4</f>
        <v>0.5833999822269611</v>
      </c>
      <c r="Q193" s="73">
        <f>+Q107/Q47/4</f>
        <v>0.57815356489945158</v>
      </c>
      <c r="R193" s="73">
        <f>+R107/R47/4</f>
        <v>0.49295774647887325</v>
      </c>
      <c r="S193" s="70">
        <f>+S107/S47</f>
        <v>0.30113193342833317</v>
      </c>
      <c r="T193" s="73">
        <f>+T107/T47/4</f>
        <v>0.27096114519427406</v>
      </c>
      <c r="U193" s="73">
        <f>+U107/U47/4</f>
        <v>0.2175599435825106</v>
      </c>
      <c r="V193" s="73">
        <f>+V107/V47/4</f>
        <v>0.30786219081272087</v>
      </c>
      <c r="W193" s="73">
        <f>+W107/W47/4</f>
        <v>0.80324909747292417</v>
      </c>
      <c r="X193" s="70">
        <f>+X107/X47</f>
        <v>0.43606075453209214</v>
      </c>
      <c r="Y193" s="73">
        <f>+Y107/Y47/4</f>
        <v>0.40225933202357567</v>
      </c>
      <c r="Z193" s="73">
        <f>+Z107/Z47/4</f>
        <v>0.37393767705382436</v>
      </c>
      <c r="AA193" s="73">
        <f>+AA107/AA47/4</f>
        <v>0.5929978118161926</v>
      </c>
      <c r="AB193" s="73">
        <f>+AB107/AB47/4</f>
        <v>0.51554404145077726</v>
      </c>
      <c r="AC193" s="70">
        <f>+AC107/AC47</f>
        <v>0.38678328474246843</v>
      </c>
      <c r="AD193" s="73">
        <f>+AD107/AD47/4</f>
        <v>0.37401574803149606</v>
      </c>
      <c r="AE193" s="73">
        <f>+AE107/AE47/4</f>
        <v>0.3709449929478138</v>
      </c>
      <c r="AF193" s="73">
        <f>+AF107/AF47/4</f>
        <v>0.45008854200826393</v>
      </c>
      <c r="AG193" s="73">
        <f ca="1">+AG107/AG47/4</f>
        <v>0.51898734177215167</v>
      </c>
      <c r="AH193" s="70">
        <f ca="1">+AH107/AH47</f>
        <v>0.34910255100303117</v>
      </c>
      <c r="AI193" s="73">
        <f>+AI107/AI47/4</f>
        <v>0.36751361161524498</v>
      </c>
      <c r="AJ193" s="73">
        <f>+AJ107/AJ47/4</f>
        <v>0.32076101468624829</v>
      </c>
      <c r="AK193" s="73">
        <f>+AK107/AK47/4</f>
        <v>0.4916559691912708</v>
      </c>
      <c r="AL193" s="73">
        <f>+AL107/AL47/4</f>
        <v>0.82620957081166824</v>
      </c>
      <c r="AM193" s="70">
        <f>+AM107/AM47</f>
        <v>0.59221123780044849</v>
      </c>
      <c r="AN193" s="73">
        <f>+AN107/AN47/4</f>
        <v>0.63261943986820435</v>
      </c>
      <c r="AO193" s="73">
        <f>+AO107/AO47/4</f>
        <v>0.49724264705882371</v>
      </c>
      <c r="AP193" s="73">
        <f>+AP107/AP47/4</f>
        <v>0.65881458966565365</v>
      </c>
      <c r="AQ193" s="73">
        <f>+AQ107/AQ47/4</f>
        <v>1.0159144100163682</v>
      </c>
      <c r="AR193" s="70">
        <f>+AR107/AR47</f>
        <v>0.63972473194111401</v>
      </c>
      <c r="AS193" s="73">
        <f>+AS107/AS47/4</f>
        <v>0.61997126436781602</v>
      </c>
      <c r="AT193" s="73">
        <f>+AT107/AT47/4</f>
        <v>0.54728132387706852</v>
      </c>
      <c r="AU193" s="73">
        <f>+AU107/AU47/4</f>
        <v>0.67270194986072418</v>
      </c>
      <c r="AV193" s="73">
        <f>+AV107/AV47/4</f>
        <v>0.9375</v>
      </c>
      <c r="AW193" s="70">
        <f>+AW107/AW47</f>
        <v>0.65693430656934304</v>
      </c>
      <c r="AX193" s="73">
        <f>+AX107/AX47/4</f>
        <v>0.68014705882352944</v>
      </c>
      <c r="AY193" s="73">
        <f>+AY107/AY47/4</f>
        <v>0.50252525252525249</v>
      </c>
      <c r="AZ193" s="73">
        <f>+AZ107/AZ47/4</f>
        <v>0.33680555555555558</v>
      </c>
      <c r="BA193" s="73">
        <f>+BA107/BA47/4</f>
        <v>0.51</v>
      </c>
      <c r="BB193" s="70">
        <f>+BB107/BB47</f>
        <v>0.35294117647058826</v>
      </c>
      <c r="BC193" s="73">
        <f>+BC107/BC47/4</f>
        <v>0.41796875</v>
      </c>
      <c r="BD193" s="73">
        <f>+BD107/BD47/4</f>
        <v>0.32102272727272729</v>
      </c>
      <c r="BE193" s="73">
        <f>+BE107/BE47/4</f>
        <v>0.40312500000000001</v>
      </c>
      <c r="BF193" s="73">
        <f>+BF107/BF47/4</f>
        <v>0.31104651162790697</v>
      </c>
      <c r="BG193" s="70">
        <f>+BG107/BG47</f>
        <v>0.33647798742138363</v>
      </c>
      <c r="BH193" s="73">
        <f>+BH107/BH47/4</f>
        <v>0.45161290322580644</v>
      </c>
      <c r="BI193" s="73">
        <f>+BI107/BI47/4</f>
        <v>0.32222222222222224</v>
      </c>
      <c r="BJ193" s="73">
        <f>+BJ107/BJ47/4</f>
        <v>0.45394736842105265</v>
      </c>
      <c r="BK193" s="73">
        <f>+BK107/BK47/4</f>
        <v>0.36594202898550726</v>
      </c>
      <c r="BL193" s="70">
        <f>+BL107/BL47</f>
        <v>0.34006734006734007</v>
      </c>
      <c r="BM193" s="73">
        <f>+BM107/BM47/4</f>
        <v>0.53508771929824561</v>
      </c>
      <c r="BN193" s="73">
        <f>+BN107/BN47/4</f>
        <v>0.47468354430379744</v>
      </c>
      <c r="BO193" s="73">
        <f>+BO107/BO47/4</f>
        <v>0.49342105263157893</v>
      </c>
      <c r="BP193" s="73">
        <f>+BP107/BP47/4</f>
        <v>0.71698113207547165</v>
      </c>
      <c r="BQ193" s="70">
        <f>+BQ107/BQ47</f>
        <v>0.57358490566037734</v>
      </c>
      <c r="BR193" s="73">
        <f>+BR107/BR47/4</f>
        <v>0.66176470588235292</v>
      </c>
      <c r="BS193" s="73">
        <f>+BS107/BS47/4</f>
        <v>0.37771739130434784</v>
      </c>
      <c r="BT193" s="219">
        <f t="shared" si="294"/>
        <v>0.49342105263157893</v>
      </c>
      <c r="BU193" s="219">
        <f t="shared" si="294"/>
        <v>0.71698113207547165</v>
      </c>
      <c r="BV193" s="70">
        <f ca="1">+BV107/BV47</f>
        <v>0.62427909517590463</v>
      </c>
      <c r="BW193" s="219">
        <f t="shared" si="295"/>
        <v>0.66176470588235292</v>
      </c>
      <c r="BX193" s="219">
        <f t="shared" si="295"/>
        <v>0.37771739130434784</v>
      </c>
      <c r="BY193" s="219">
        <f t="shared" si="295"/>
        <v>0.49342105263157893</v>
      </c>
      <c r="BZ193" s="219">
        <f t="shared" si="295"/>
        <v>0.71698113207547165</v>
      </c>
      <c r="CA193" s="70">
        <f ca="1">+CA107/CA47</f>
        <v>0.58279504796915149</v>
      </c>
      <c r="CB193" s="219">
        <f t="shared" si="296"/>
        <v>0.66176470588235292</v>
      </c>
      <c r="CC193" s="219">
        <f t="shared" si="296"/>
        <v>0.37771739130434784</v>
      </c>
      <c r="CD193" s="219">
        <f t="shared" si="296"/>
        <v>0.49342105263157893</v>
      </c>
      <c r="CE193" s="219">
        <f t="shared" si="296"/>
        <v>0.71698113207547165</v>
      </c>
      <c r="CF193" s="70">
        <f ca="1">+CF107/CF47</f>
        <v>0.58338105709273946</v>
      </c>
      <c r="CG193" s="219">
        <f t="shared" si="297"/>
        <v>0.66176470588235292</v>
      </c>
      <c r="CH193" s="219">
        <f t="shared" si="297"/>
        <v>0.37771739130434784</v>
      </c>
      <c r="CI193" s="219">
        <f t="shared" si="297"/>
        <v>0.49342105263157893</v>
      </c>
      <c r="CJ193" s="219">
        <f t="shared" si="297"/>
        <v>0.71698113207547165</v>
      </c>
      <c r="CK193" s="70">
        <f ca="1">+CK107/CK47</f>
        <v>0.58531649345229297</v>
      </c>
      <c r="CL193" s="219">
        <f t="shared" si="298"/>
        <v>0.66176470588235292</v>
      </c>
      <c r="CM193" s="219">
        <f t="shared" si="298"/>
        <v>0.37771739130434784</v>
      </c>
      <c r="CN193" s="219">
        <f t="shared" si="298"/>
        <v>0.49342105263157893</v>
      </c>
      <c r="CO193" s="219">
        <f t="shared" si="298"/>
        <v>0.71698113207547165</v>
      </c>
      <c r="CP193" s="70">
        <f ca="1">+CP107/CP47</f>
        <v>0.58638867567725705</v>
      </c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</row>
    <row r="194" spans="1:109" s="198" customFormat="1" x14ac:dyDescent="0.25">
      <c r="A194" s="198" t="s">
        <v>116</v>
      </c>
      <c r="C194" s="137"/>
      <c r="D194" s="137"/>
      <c r="E194" s="138">
        <f>+E108-D108</f>
        <v>2.0999999999999943</v>
      </c>
      <c r="F194" s="138">
        <f>+F108-E108</f>
        <v>2.2000000000000171</v>
      </c>
      <c r="G194" s="138">
        <f>+G108-F108</f>
        <v>2.2999999999999829</v>
      </c>
      <c r="H194" s="138">
        <f>+H108-G108</f>
        <v>-66</v>
      </c>
      <c r="I194" s="137"/>
      <c r="J194" s="138">
        <f>+J108-I108</f>
        <v>1.8000000000000114</v>
      </c>
      <c r="K194" s="138">
        <f>+K108-J108</f>
        <v>1.0999999999999943</v>
      </c>
      <c r="L194" s="138">
        <f>+L108-K108</f>
        <v>-3</v>
      </c>
      <c r="M194" s="138">
        <f>+M108-L108</f>
        <v>0.5</v>
      </c>
      <c r="N194" s="137">
        <f>N108-H108</f>
        <v>0.40000000000000568</v>
      </c>
      <c r="O194" s="138">
        <f>+O108-N108</f>
        <v>1.5</v>
      </c>
      <c r="P194" s="138">
        <f>+P108-O108</f>
        <v>1.5</v>
      </c>
      <c r="Q194" s="138">
        <f>+Q108-P108</f>
        <v>1.0999999999999943</v>
      </c>
      <c r="R194" s="138">
        <f>+R108-Q108</f>
        <v>40.900000000000006</v>
      </c>
      <c r="S194" s="137">
        <f>S108-M108</f>
        <v>45</v>
      </c>
      <c r="T194" s="138">
        <f>+T108-S108</f>
        <v>1.9000000000000057</v>
      </c>
      <c r="U194" s="138">
        <f>+U108-T108</f>
        <v>2.6999999999999886</v>
      </c>
      <c r="V194" s="138">
        <f>+V108-U108</f>
        <v>2.4000000000000057</v>
      </c>
      <c r="W194" s="138">
        <f>+W108-V108</f>
        <v>-9</v>
      </c>
      <c r="X194" s="137">
        <f>X108-R108</f>
        <v>-2</v>
      </c>
      <c r="Y194" s="138">
        <f>+Y108-X108</f>
        <v>-5.5</v>
      </c>
      <c r="Z194" s="138">
        <f>+Z108-Y108</f>
        <v>2.4000000000000057</v>
      </c>
      <c r="AA194" s="138">
        <f>+AA108-Z108</f>
        <v>-2</v>
      </c>
      <c r="AB194" s="138">
        <f>+AB108-AA108</f>
        <v>59.699999999999989</v>
      </c>
      <c r="AC194" s="137">
        <f>AC108-W108</f>
        <v>54.599999999999994</v>
      </c>
      <c r="AD194" s="138">
        <f>+AD108-AC108</f>
        <v>-2.0999999999999943</v>
      </c>
      <c r="AE194" s="138">
        <f>+AE108-AD108</f>
        <v>-4.3000000000000114</v>
      </c>
      <c r="AF194" s="138">
        <f>+AF108-AE108</f>
        <v>2.2000000000000171</v>
      </c>
      <c r="AG194" s="138">
        <f>+AG108-AF108</f>
        <v>111.6</v>
      </c>
      <c r="AH194" s="137">
        <f>AH108-AB108</f>
        <v>107.4</v>
      </c>
      <c r="AI194" s="138">
        <f>+AI108-AH108</f>
        <v>-24.399999999999977</v>
      </c>
      <c r="AJ194" s="138">
        <f>+AJ108-AI108</f>
        <v>-4.6000000000000227</v>
      </c>
      <c r="AK194" s="138">
        <f>+AK108-AJ108</f>
        <v>-18.699999999999989</v>
      </c>
      <c r="AL194" s="138">
        <f>+AL108-AK108</f>
        <v>-32.300000000000011</v>
      </c>
      <c r="AM194" s="137">
        <f>AM108-AG108</f>
        <v>-80</v>
      </c>
      <c r="AN194" s="138">
        <f>+AN108-AM108</f>
        <v>-26.800000000000011</v>
      </c>
      <c r="AO194" s="138">
        <f>+AO108-AN108</f>
        <v>-5</v>
      </c>
      <c r="AP194" s="138">
        <f>+AP108-AO108</f>
        <v>2.3000000000000114</v>
      </c>
      <c r="AQ194" s="138">
        <f>+AQ108-AP108</f>
        <v>104.5</v>
      </c>
      <c r="AR194" s="137">
        <f>AR108-AL108</f>
        <v>75</v>
      </c>
      <c r="AS194" s="138">
        <f>+AS108-AR108</f>
        <v>-21.399999999999977</v>
      </c>
      <c r="AT194" s="138">
        <f>+AT108-AS108</f>
        <v>-13.500000000000028</v>
      </c>
      <c r="AU194" s="138">
        <f>+AU108-AT108</f>
        <v>3.4000000000000057</v>
      </c>
      <c r="AV194" s="138">
        <f>+AV108-AU108</f>
        <v>33.5</v>
      </c>
      <c r="AW194" s="137">
        <f>AW108-AQ108</f>
        <v>2</v>
      </c>
      <c r="AX194" s="138">
        <f>+AX108-AW108</f>
        <v>-14</v>
      </c>
      <c r="AY194" s="138">
        <f>+AY108-AX108</f>
        <v>-24</v>
      </c>
      <c r="AZ194" s="138">
        <f>+AZ108-AY108</f>
        <v>3</v>
      </c>
      <c r="BA194" s="138">
        <f>+BA108-AZ108</f>
        <v>-1</v>
      </c>
      <c r="BB194" s="137">
        <f>BB108-AV108</f>
        <v>-36</v>
      </c>
      <c r="BC194" s="138">
        <f>+BC108-BB108</f>
        <v>-3</v>
      </c>
      <c r="BD194" s="138">
        <f>+BD108-BC108</f>
        <v>-15</v>
      </c>
      <c r="BE194" s="138">
        <f>+BE108-BD108</f>
        <v>3</v>
      </c>
      <c r="BF194" s="138">
        <f>+BF108-BE108</f>
        <v>82</v>
      </c>
      <c r="BG194" s="137">
        <f>BG108-BA108</f>
        <v>67</v>
      </c>
      <c r="BH194" s="138">
        <f>+BH108-BG108</f>
        <v>-7</v>
      </c>
      <c r="BI194" s="138">
        <f>+BI108-BH108</f>
        <v>-4</v>
      </c>
      <c r="BJ194" s="138">
        <f>+BJ108-BI108</f>
        <v>5</v>
      </c>
      <c r="BK194" s="138">
        <f>+BK108-BJ108</f>
        <v>48</v>
      </c>
      <c r="BL194" s="137">
        <f>BL108-BF108</f>
        <v>42</v>
      </c>
      <c r="BM194" s="138">
        <f>+BM108-BL108</f>
        <v>-9</v>
      </c>
      <c r="BN194" s="138">
        <f>+BN108-BM108</f>
        <v>-9</v>
      </c>
      <c r="BO194" s="138">
        <f>+BO108-BN108</f>
        <v>1</v>
      </c>
      <c r="BP194" s="138">
        <f>+BP108-BO108</f>
        <v>-22</v>
      </c>
      <c r="BQ194" s="137">
        <f>BQ108-BK108</f>
        <v>-39</v>
      </c>
      <c r="BR194" s="138">
        <f>+BR108-BQ108</f>
        <v>-16</v>
      </c>
      <c r="BS194" s="138">
        <f>+BS108-BR108</f>
        <v>-11</v>
      </c>
      <c r="BT194" s="138">
        <f>+BT108-BS108</f>
        <v>0</v>
      </c>
      <c r="BU194" s="138">
        <f>+BU108-BT108</f>
        <v>0</v>
      </c>
      <c r="BV194" s="137">
        <f>BV108-BP108</f>
        <v>-27</v>
      </c>
      <c r="BW194" s="138">
        <f>+BW108-BV108</f>
        <v>0</v>
      </c>
      <c r="BX194" s="138">
        <f>+BX108-BW108</f>
        <v>0</v>
      </c>
      <c r="BY194" s="138">
        <f>+BY108-BX108</f>
        <v>0</v>
      </c>
      <c r="BZ194" s="138">
        <f>+BZ108-BY108</f>
        <v>0</v>
      </c>
      <c r="CA194" s="137">
        <f>CA108-BU108</f>
        <v>0</v>
      </c>
      <c r="CB194" s="138">
        <f>+CB108-CA108</f>
        <v>0</v>
      </c>
      <c r="CC194" s="138">
        <f>+CC108-CB108</f>
        <v>0</v>
      </c>
      <c r="CD194" s="138">
        <f>+CD108-CC108</f>
        <v>0</v>
      </c>
      <c r="CE194" s="138">
        <f>+CE108-CD108</f>
        <v>0</v>
      </c>
      <c r="CF194" s="137">
        <f>CF108-BZ108</f>
        <v>0</v>
      </c>
      <c r="CG194" s="138">
        <f>+CG108-CF108</f>
        <v>0</v>
      </c>
      <c r="CH194" s="138">
        <f>+CH108-CG108</f>
        <v>0</v>
      </c>
      <c r="CI194" s="138">
        <f>+CI108-CH108</f>
        <v>0</v>
      </c>
      <c r="CJ194" s="138">
        <f>+CJ108-CI108</f>
        <v>0</v>
      </c>
      <c r="CK194" s="137">
        <f>CK108-CE108</f>
        <v>0</v>
      </c>
      <c r="CL194" s="138">
        <f>+CL108-CK108</f>
        <v>0</v>
      </c>
      <c r="CM194" s="138">
        <f>+CM108-CL108</f>
        <v>0</v>
      </c>
      <c r="CN194" s="138">
        <f>+CN108-CM108</f>
        <v>0</v>
      </c>
      <c r="CO194" s="138">
        <f>+CO108-CN108</f>
        <v>0</v>
      </c>
      <c r="CP194" s="137">
        <f>CP108-CJ108</f>
        <v>0</v>
      </c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</row>
    <row r="195" spans="1:109" s="221" customFormat="1" x14ac:dyDescent="0.25">
      <c r="A195" s="221" t="s">
        <v>117</v>
      </c>
      <c r="C195" s="70">
        <f>+C109/C4</f>
        <v>1.4049497460283153E-2</v>
      </c>
      <c r="D195" s="70">
        <f>+D109/D4</f>
        <v>1.6059957173447537E-2</v>
      </c>
      <c r="E195" s="73">
        <f>+E109/E4/4</f>
        <v>1.646582173280698E-2</v>
      </c>
      <c r="F195" s="73">
        <f>+F109/F4/4</f>
        <v>1.3671874999999998E-2</v>
      </c>
      <c r="G195" s="73">
        <f>+G109/G4/4</f>
        <v>1.4090309822017141E-2</v>
      </c>
      <c r="H195" s="73">
        <f>+H109/H4/4</f>
        <v>5.5778255768478689E-2</v>
      </c>
      <c r="I195" s="70">
        <f>+I109/I4</f>
        <v>5.1241747878025788E-2</v>
      </c>
      <c r="J195" s="73">
        <f>+J109/J4/4</f>
        <v>4.7555350553505529E-2</v>
      </c>
      <c r="K195" s="73">
        <f>+K109/K4/4</f>
        <v>8.6311787072243344E-3</v>
      </c>
      <c r="L195" s="73">
        <f>+L109/L4/4</f>
        <v>1.0556086679413639E-2</v>
      </c>
      <c r="M195" s="73">
        <f>+M109/M4/4</f>
        <v>1.4527431208340455E-2</v>
      </c>
      <c r="N195" s="70">
        <f>+N109/N4</f>
        <v>1.4095016996932263E-2</v>
      </c>
      <c r="O195" s="73">
        <f>+O109/O4/4</f>
        <v>7.0650457846542468E-3</v>
      </c>
      <c r="P195" s="73">
        <f>+P109/P4/4</f>
        <v>6.6350385038503852E-3</v>
      </c>
      <c r="Q195" s="73">
        <f>+Q109/Q4/4</f>
        <v>8.6115527291997888E-3</v>
      </c>
      <c r="R195" s="73">
        <f>+R109/R4/4</f>
        <v>1.0856977417486972E-2</v>
      </c>
      <c r="S195" s="70">
        <f>+S109/S4</f>
        <v>1.0690613641223007E-2</v>
      </c>
      <c r="T195" s="73">
        <f>+T109/T4/4</f>
        <v>2.0464077932620756E-2</v>
      </c>
      <c r="U195" s="73">
        <f>+U109/U4/4</f>
        <v>1.8384822028206852E-2</v>
      </c>
      <c r="V195" s="73">
        <f>+V109/V4/4</f>
        <v>2.0629131524960112E-2</v>
      </c>
      <c r="W195" s="73">
        <f>+W109/W4/4</f>
        <v>2.2335879839440635E-2</v>
      </c>
      <c r="X195" s="70">
        <f>+X109/X4</f>
        <v>2.1022484918652124E-2</v>
      </c>
      <c r="Y195" s="73">
        <f>+Y109/Y4/4</f>
        <v>1.8354430379746836E-2</v>
      </c>
      <c r="Z195" s="73">
        <f>+Z109/Z4/4</f>
        <v>1.7732962447844225E-2</v>
      </c>
      <c r="AA195" s="73">
        <f>+AA109/AA4/4</f>
        <v>1.8269353398801171E-2</v>
      </c>
      <c r="AB195" s="73">
        <f>+AB109/AB4/4</f>
        <v>2.1513244548514561E-2</v>
      </c>
      <c r="AC195" s="70">
        <f>+AC109/AC4</f>
        <v>1.842047554901162E-2</v>
      </c>
      <c r="AD195" s="73">
        <f>+AD109/AD4/4</f>
        <v>1.7786963003116954E-2</v>
      </c>
      <c r="AE195" s="73">
        <f>+AE109/AE4/4</f>
        <v>1.6267219173479674E-2</v>
      </c>
      <c r="AF195" s="73">
        <f>+AF109/AF4/4</f>
        <v>1.8277822908204712E-2</v>
      </c>
      <c r="AG195" s="73">
        <f>+AG109/AG4/4</f>
        <v>2.3533424283765349E-2</v>
      </c>
      <c r="AH195" s="70">
        <f>+AH109/AH4</f>
        <v>2.1392032243063092E-2</v>
      </c>
      <c r="AI195" s="73">
        <f>+AI109/AI4/4</f>
        <v>1.976775406094778E-2</v>
      </c>
      <c r="AJ195" s="73">
        <f>+AJ109/AJ4/4</f>
        <v>1.7555481947664788E-2</v>
      </c>
      <c r="AK195" s="73">
        <f>+AK109/AK4/4</f>
        <v>1.724854530340815E-2</v>
      </c>
      <c r="AL195" s="73">
        <f>+AL109/AL4/4</f>
        <v>2.780235056236573E-2</v>
      </c>
      <c r="AM195" s="70">
        <f>+AM109/AM4</f>
        <v>2.5849660723203008E-2</v>
      </c>
      <c r="AN195" s="73">
        <f>+AN109/AN4/4</f>
        <v>2.2967987623467811E-2</v>
      </c>
      <c r="AO195" s="73">
        <f>+AO109/AO4/4</f>
        <v>1.9002961500493583E-2</v>
      </c>
      <c r="AP195" s="73">
        <f>+AP109/AP4/4</f>
        <v>1.7127215849843589E-2</v>
      </c>
      <c r="AQ195" s="73">
        <f>+AQ109/AQ4/4</f>
        <v>2.0279545738175465E-2</v>
      </c>
      <c r="AR195" s="70">
        <f>+AR109/AR4</f>
        <v>1.7987602390967455E-2</v>
      </c>
      <c r="AS195" s="73">
        <f>+AS109/AS4/4</f>
        <v>1.5203279808677826E-2</v>
      </c>
      <c r="AT195" s="73">
        <f>+AT109/AT4/4</f>
        <v>1.5658907082264747E-2</v>
      </c>
      <c r="AU195" s="73">
        <f>+AU109/AU4/4</f>
        <v>1.7017236342389715E-2</v>
      </c>
      <c r="AV195" s="73">
        <f>+AV109/AV4/4</f>
        <v>1.9630484988452657E-2</v>
      </c>
      <c r="AW195" s="70">
        <f>+AW109/AW4</f>
        <v>1.7966603255125765E-2</v>
      </c>
      <c r="AX195" s="73">
        <f>+AX109/AX4/4</f>
        <v>1.5904017857142856E-2</v>
      </c>
      <c r="AY195" s="73">
        <f>+AY109/AY4/4</f>
        <v>1.4828544949026877E-2</v>
      </c>
      <c r="AZ195" s="73">
        <f>+AZ109/AZ4/4</f>
        <v>3.7337662337662336E-2</v>
      </c>
      <c r="BA195" s="73">
        <f>+BA109/BA4/4</f>
        <v>4.6752519596864502E-2</v>
      </c>
      <c r="BB195" s="70">
        <f>+BB109/BB4</f>
        <v>4.2321338063862138E-2</v>
      </c>
      <c r="BC195" s="73">
        <f>+BC109/BC4/4</f>
        <v>4.1802388707926165E-2</v>
      </c>
      <c r="BD195" s="73">
        <f>+BD109/BD4/4</f>
        <v>3.3700440528634364E-2</v>
      </c>
      <c r="BE195" s="73">
        <f>+BE109/BE4/4</f>
        <v>3.5224153705397984E-2</v>
      </c>
      <c r="BF195" s="73">
        <f>+BF109/BF4/4</f>
        <v>4.3294614572333683E-2</v>
      </c>
      <c r="BG195" s="70">
        <f>+BG109/BG4</f>
        <v>4.00390625E-2</v>
      </c>
      <c r="BH195" s="73">
        <f>+BH109/BH4/4</f>
        <v>4.1388888888888892E-2</v>
      </c>
      <c r="BI195" s="73">
        <f>+BI109/BI4/4</f>
        <v>3.261861313868613E-2</v>
      </c>
      <c r="BJ195" s="73">
        <f>+BJ109/BJ4/4</f>
        <v>3.3240997229916899E-2</v>
      </c>
      <c r="BK195" s="73">
        <f>+BK109/BK4/4</f>
        <v>3.9121114683815648E-2</v>
      </c>
      <c r="BL195" s="70">
        <f>+BL109/BL4</f>
        <v>3.6390827517447655E-2</v>
      </c>
      <c r="BM195" s="73">
        <f>+BM109/BM4/4</f>
        <v>3.8551401869158876E-2</v>
      </c>
      <c r="BN195" s="73">
        <f>+BN109/BN4/4</f>
        <v>3.104265402843602E-2</v>
      </c>
      <c r="BO195" s="73">
        <f>+BO109/BO4/4</f>
        <v>3.0925401322001889E-2</v>
      </c>
      <c r="BP195" s="73">
        <f>+BP109/BP4/4</f>
        <v>3.6640360766629083E-2</v>
      </c>
      <c r="BQ195" s="70">
        <f>+BQ109/BQ4</f>
        <v>3.3704952035260569E-2</v>
      </c>
      <c r="BR195" s="73">
        <f>+BR109/BR4/4</f>
        <v>3.7674919268030141E-2</v>
      </c>
      <c r="BS195" s="73">
        <f>+BS109/BS4/4</f>
        <v>2.8730703259005147E-2</v>
      </c>
      <c r="BT195" s="219">
        <v>0.02</v>
      </c>
      <c r="BU195" s="73">
        <f>+BU109/BU4/4</f>
        <v>3.7374123643154136E-2</v>
      </c>
      <c r="BV195" s="227">
        <f>BQ195</f>
        <v>3.3704952035260569E-2</v>
      </c>
      <c r="BW195" s="219">
        <v>0.02</v>
      </c>
      <c r="BX195" s="219">
        <v>0.02</v>
      </c>
      <c r="BY195" s="219">
        <v>0.02</v>
      </c>
      <c r="BZ195" s="73">
        <f>+BZ109/BZ4/4</f>
        <v>3.7241583438174741E-2</v>
      </c>
      <c r="CA195" s="227">
        <f>BV195</f>
        <v>3.3704952035260569E-2</v>
      </c>
      <c r="CB195" s="219">
        <v>0.02</v>
      </c>
      <c r="CC195" s="219">
        <v>0.02</v>
      </c>
      <c r="CD195" s="219">
        <v>0.02</v>
      </c>
      <c r="CE195" s="73">
        <f>+CE109/CE4/4</f>
        <v>3.7241583438174748E-2</v>
      </c>
      <c r="CF195" s="227">
        <f>CA195</f>
        <v>3.3704952035260569E-2</v>
      </c>
      <c r="CG195" s="219">
        <v>0.02</v>
      </c>
      <c r="CH195" s="219">
        <v>0.02</v>
      </c>
      <c r="CI195" s="219">
        <v>0.02</v>
      </c>
      <c r="CJ195" s="73">
        <f>+CJ109/CJ4/4</f>
        <v>3.7241583438174748E-2</v>
      </c>
      <c r="CK195" s="227">
        <f>CF195</f>
        <v>3.3704952035260569E-2</v>
      </c>
      <c r="CL195" s="219">
        <v>0.02</v>
      </c>
      <c r="CM195" s="219">
        <v>0.02</v>
      </c>
      <c r="CN195" s="219">
        <v>0.02</v>
      </c>
      <c r="CO195" s="73">
        <f>+CO109/CO4/4</f>
        <v>3.7241583438174755E-2</v>
      </c>
      <c r="CP195" s="227">
        <f>CK195</f>
        <v>3.3704952035260569E-2</v>
      </c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</row>
    <row r="196" spans="1:109" s="221" customFormat="1" x14ac:dyDescent="0.25">
      <c r="A196" s="221" t="s">
        <v>118</v>
      </c>
      <c r="C196" s="228"/>
      <c r="D196" s="228"/>
      <c r="E196" s="229"/>
      <c r="F196" s="229"/>
      <c r="G196" s="229"/>
      <c r="H196" s="229"/>
      <c r="I196" s="228"/>
      <c r="J196" s="229"/>
      <c r="K196" s="229"/>
      <c r="L196" s="229"/>
      <c r="M196" s="229"/>
      <c r="N196" s="228"/>
      <c r="O196" s="229"/>
      <c r="P196" s="229"/>
      <c r="Q196" s="229"/>
      <c r="R196" s="229"/>
      <c r="S196" s="228"/>
      <c r="T196" s="229"/>
      <c r="U196" s="229"/>
      <c r="V196" s="229"/>
      <c r="W196" s="229"/>
      <c r="X196" s="228"/>
      <c r="Y196" s="229"/>
      <c r="Z196" s="229"/>
      <c r="AA196" s="229"/>
      <c r="AB196" s="229"/>
      <c r="AC196" s="228"/>
      <c r="AD196" s="229"/>
      <c r="AE196" s="229"/>
      <c r="AF196" s="229"/>
      <c r="AG196" s="229"/>
      <c r="AH196" s="228"/>
      <c r="AI196" s="229"/>
      <c r="AJ196" s="229"/>
      <c r="AK196" s="229"/>
      <c r="AL196" s="229"/>
      <c r="AM196" s="228"/>
      <c r="AN196" s="229"/>
      <c r="AO196" s="229"/>
      <c r="AP196" s="229"/>
      <c r="AQ196" s="229"/>
      <c r="AR196" s="228"/>
      <c r="AS196" s="229"/>
      <c r="AT196" s="229"/>
      <c r="AU196" s="229"/>
      <c r="AV196" s="229"/>
      <c r="AW196" s="228"/>
      <c r="AX196" s="229"/>
      <c r="AY196" s="229"/>
      <c r="AZ196" s="229"/>
      <c r="BA196" s="229"/>
      <c r="BB196" s="228"/>
      <c r="BC196" s="229"/>
      <c r="BD196" s="229"/>
      <c r="BE196" s="229"/>
      <c r="BF196" s="229"/>
      <c r="BG196" s="228"/>
      <c r="BH196" s="229"/>
      <c r="BI196" s="229"/>
      <c r="BJ196" s="229"/>
      <c r="BK196" s="229"/>
      <c r="BL196" s="228"/>
      <c r="BM196" s="229"/>
      <c r="BN196" s="229"/>
      <c r="BO196" s="229"/>
      <c r="BP196" s="229"/>
      <c r="BQ196" s="228"/>
      <c r="BR196" s="229"/>
      <c r="BS196" s="229"/>
      <c r="BT196" s="229"/>
      <c r="BU196" s="229"/>
      <c r="BV196" s="228"/>
      <c r="BW196" s="229"/>
      <c r="BX196" s="229"/>
      <c r="BY196" s="229"/>
      <c r="BZ196" s="229"/>
      <c r="CA196" s="228"/>
      <c r="CB196" s="229"/>
      <c r="CC196" s="229"/>
      <c r="CD196" s="229"/>
      <c r="CE196" s="229"/>
      <c r="CF196" s="228"/>
      <c r="CG196" s="229"/>
      <c r="CH196" s="229"/>
      <c r="CI196" s="229"/>
      <c r="CJ196" s="229"/>
      <c r="CK196" s="228"/>
      <c r="CL196" s="229"/>
      <c r="CM196" s="229"/>
      <c r="CN196" s="229"/>
      <c r="CO196" s="229"/>
      <c r="CP196" s="228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</row>
    <row r="197" spans="1:109" s="221" customFormat="1" x14ac:dyDescent="0.25">
      <c r="A197" s="221" t="s">
        <v>119</v>
      </c>
      <c r="C197" s="228"/>
      <c r="D197" s="228"/>
      <c r="E197" s="230"/>
      <c r="F197" s="230"/>
      <c r="G197" s="230"/>
      <c r="H197" s="230"/>
      <c r="I197" s="228">
        <f>-I44/((I106+H106+I98+H98+I97+H97)/2)</f>
        <v>5.8036984352773824E-2</v>
      </c>
      <c r="J197" s="230"/>
      <c r="K197" s="230"/>
      <c r="L197" s="230"/>
      <c r="M197" s="230"/>
      <c r="N197" s="228">
        <f>-N44/((N106+M106+N98+M98+N97+M97)/2)</f>
        <v>3.0555555555555558E-2</v>
      </c>
      <c r="O197" s="230"/>
      <c r="P197" s="230"/>
      <c r="Q197" s="230"/>
      <c r="R197" s="230"/>
      <c r="S197" s="228">
        <f>-S44/((S106+R106+S98+R98+S97+R97)/2)</f>
        <v>4.1798298906439858E-2</v>
      </c>
      <c r="T197" s="230"/>
      <c r="U197" s="230"/>
      <c r="V197" s="230"/>
      <c r="W197" s="230"/>
      <c r="X197" s="228">
        <f>-X44/((X106+W106+X98+W98+X97+W97)/2)</f>
        <v>4.8902195608782437E-2</v>
      </c>
      <c r="Y197" s="230"/>
      <c r="Z197" s="230"/>
      <c r="AA197" s="230"/>
      <c r="AB197" s="230"/>
      <c r="AC197" s="228">
        <f ca="1">-AC44/((AC106+AB106+AC98+AB98+AC97+AB97)/2)</f>
        <v>4.2203570161957665E-2</v>
      </c>
      <c r="AD197" s="230"/>
      <c r="AE197" s="230"/>
      <c r="AF197" s="230"/>
      <c r="AG197" s="230"/>
      <c r="AH197" s="228">
        <f ca="1">-AH44/((AH106+AG106+AH98+AG98+AH97+AG97)/2)</f>
        <v>4.2816091954022986E-2</v>
      </c>
      <c r="AI197" s="230"/>
      <c r="AJ197" s="230"/>
      <c r="AK197" s="230"/>
      <c r="AL197" s="230"/>
      <c r="AM197" s="228">
        <f>-AM44/((AM106+AL106+AM98+AL98+AM97+AL97)/2)</f>
        <v>5.7539682539682536E-2</v>
      </c>
      <c r="AN197" s="230"/>
      <c r="AO197" s="230"/>
      <c r="AP197" s="230"/>
      <c r="AQ197" s="230"/>
      <c r="AR197" s="228">
        <f>-AR44/((AR106+AQ106+AR98+AQ98+AR97+AQ97)/2)</f>
        <v>6.1630218687872766E-2</v>
      </c>
      <c r="AS197" s="230"/>
      <c r="AT197" s="230"/>
      <c r="AU197" s="230"/>
      <c r="AV197" s="230"/>
      <c r="AW197" s="228">
        <f>-AW44/((AW106+AV106+AW98+AV98+AW97+AV97)/2)</f>
        <v>3.5999999999999997E-2</v>
      </c>
      <c r="AX197" s="230"/>
      <c r="AY197" s="230"/>
      <c r="AZ197" s="230"/>
      <c r="BA197" s="230"/>
      <c r="BB197" s="228">
        <f>-BB44/((BB106+BA106+BB98+BA98+BB97+BA97)/2)</f>
        <v>2.6427457173155873E-2</v>
      </c>
      <c r="BC197" s="230"/>
      <c r="BD197" s="230"/>
      <c r="BE197" s="230"/>
      <c r="BF197" s="230"/>
      <c r="BG197" s="228">
        <f>-BG44/((BG106+BF106+BG98+BF98+BG97+BF97)/2)</f>
        <v>2.7867095391211148E-2</v>
      </c>
      <c r="BH197" s="230"/>
      <c r="BI197" s="230"/>
      <c r="BJ197" s="230"/>
      <c r="BK197" s="230"/>
      <c r="BL197" s="228">
        <f>-BL44/((BL106+BK106+BL98+BK98+BL97+BK97)/2)</f>
        <v>2.9313790806129246E-2</v>
      </c>
      <c r="BM197" s="230"/>
      <c r="BN197" s="230"/>
      <c r="BO197" s="230"/>
      <c r="BP197" s="230"/>
      <c r="BQ197" s="228">
        <f>-BQ44/((BQ106+BP106+BQ98+BP98+BQ97+BP97)/2)</f>
        <v>2.6058631921824105E-2</v>
      </c>
      <c r="BR197" s="230"/>
      <c r="BS197" s="230"/>
      <c r="BT197" s="230"/>
      <c r="BU197" s="230"/>
      <c r="BV197" s="228">
        <f ca="1">-BV44/((BV106+BU106+BV98+BU98+BV97+BU97)/2)</f>
        <v>2.7299884376176635E-2</v>
      </c>
      <c r="BW197" s="230"/>
      <c r="BX197" s="230"/>
      <c r="BY197" s="230"/>
      <c r="BZ197" s="230"/>
      <c r="CA197" s="228">
        <f ca="1">-CA44/((CA106+BZ106+CA98+BZ98+CA97+BZ97)/2)</f>
        <v>2.7406496992206063E-2</v>
      </c>
      <c r="CB197" s="230"/>
      <c r="CC197" s="230"/>
      <c r="CD197" s="230"/>
      <c r="CE197" s="230"/>
      <c r="CF197" s="228">
        <f ca="1">-CF44/((CF106+CE106+CF98+CE98+CF97+CE97)/2)</f>
        <v>2.7696712132651513E-2</v>
      </c>
      <c r="CG197" s="230"/>
      <c r="CH197" s="230"/>
      <c r="CI197" s="230"/>
      <c r="CJ197" s="230"/>
      <c r="CK197" s="228">
        <f ca="1">-CK44/((CK106+CJ106+CK98+CJ98+CK97+CJ97)/2)</f>
        <v>2.709673499594192E-2</v>
      </c>
      <c r="CL197" s="230"/>
      <c r="CM197" s="230"/>
      <c r="CN197" s="230"/>
      <c r="CO197" s="230"/>
      <c r="CP197" s="228">
        <f ca="1">-CP44/((CP106+CO106+CP98+CO98+CP97+CO97)/2)</f>
        <v>2.6263370024011874E-2</v>
      </c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</row>
    <row r="198" spans="1:109" s="221" customFormat="1" x14ac:dyDescent="0.25">
      <c r="A198" s="221" t="s">
        <v>81</v>
      </c>
      <c r="C198" s="231"/>
      <c r="D198" s="231"/>
      <c r="E198" s="232">
        <f>-E151/E56</f>
        <v>4.5136449534639286E-2</v>
      </c>
      <c r="F198" s="232">
        <f>-F151/F56</f>
        <v>4.4961075667595191E-2</v>
      </c>
      <c r="G198" s="232">
        <f>-G151/G56</f>
        <v>5.2078400635739659E-2</v>
      </c>
      <c r="H198" s="232">
        <f>-H151/H56</f>
        <v>5.1106548026465894E-2</v>
      </c>
      <c r="I198" s="231">
        <f>E198+F198+G198+H198</f>
        <v>0.19328247386444003</v>
      </c>
      <c r="J198" s="232">
        <f>-J151/J56</f>
        <v>5.2107329771649211E-2</v>
      </c>
      <c r="K198" s="232">
        <f>-K151/K56</f>
        <v>5.1757247258780816E-2</v>
      </c>
      <c r="L198" s="232">
        <f>-L151/L56</f>
        <v>5.9049191472830574E-2</v>
      </c>
      <c r="M198" s="232">
        <f>-M151/M56</f>
        <v>5.8595275217376112E-2</v>
      </c>
      <c r="N198" s="231">
        <f>J198+K198+L198+M198</f>
        <v>0.22150904372063673</v>
      </c>
      <c r="O198" s="232">
        <f>-O151/O56</f>
        <v>5.9151311936120013E-2</v>
      </c>
      <c r="P198" s="232">
        <f>-P151/P56</f>
        <v>5.9044232218476524E-2</v>
      </c>
      <c r="Q198" s="232">
        <f>-Q151/Q56</f>
        <v>6.4053234591751843E-2</v>
      </c>
      <c r="R198" s="232">
        <f>-R151/R56</f>
        <v>6.3363276345020758E-2</v>
      </c>
      <c r="S198" s="231">
        <f>O198+P198+Q198+R198</f>
        <v>0.24561205509136913</v>
      </c>
      <c r="T198" s="232">
        <f>-T151/T56</f>
        <v>0.41440308652921293</v>
      </c>
      <c r="U198" s="232">
        <f>-U151/U56</f>
        <v>6.4068179506533651E-2</v>
      </c>
      <c r="V198" s="232">
        <f>-V151/V56</f>
        <v>7.2100906853888078E-2</v>
      </c>
      <c r="W198" s="232">
        <f>-W151/W56</f>
        <v>7.3056360814328841E-2</v>
      </c>
      <c r="X198" s="231">
        <f>T198+U198+V198+W198</f>
        <v>0.62362853370396354</v>
      </c>
      <c r="Y198" s="232">
        <f>-Y151/Y56</f>
        <v>7.219836104450475E-2</v>
      </c>
      <c r="Z198" s="232">
        <f>-Z151/Z56</f>
        <v>7.2186948388966457E-2</v>
      </c>
      <c r="AA198" s="232">
        <f>-AA151/AA56</f>
        <v>7.6398699109708701E-2</v>
      </c>
      <c r="AB198" s="232">
        <f>-AB151/AB56</f>
        <v>7.6700466123224426E-2</v>
      </c>
      <c r="AC198" s="231">
        <f>Y198+Z198+AA198+AB198</f>
        <v>0.29748447466640437</v>
      </c>
      <c r="AD198" s="232">
        <f>-AD151/AD56</f>
        <v>7.6661498226537395E-2</v>
      </c>
      <c r="AE198" s="232">
        <f>-AE151/AE56</f>
        <v>7.6398509691043351E-2</v>
      </c>
      <c r="AF198" s="232">
        <f>-AF151/AF56</f>
        <v>7.9525378084432483E-2</v>
      </c>
      <c r="AG198" s="232">
        <f>-AG151/AG56</f>
        <v>7.9887398531029802E-2</v>
      </c>
      <c r="AH198" s="231">
        <f>AD198+AE198+AF198+AG198</f>
        <v>0.31247278453304306</v>
      </c>
      <c r="AI198" s="232">
        <f>-AI151/AI56</f>
        <v>7.961009148375571E-2</v>
      </c>
      <c r="AJ198" s="232">
        <f>-AJ151/AJ56</f>
        <v>7.9906805729991454E-2</v>
      </c>
      <c r="AK198" s="232">
        <f>-AK151/AK56</f>
        <v>0.3498584862594723</v>
      </c>
      <c r="AL198" s="232">
        <f>-AL151/AL56</f>
        <v>8.4933252053124367E-2</v>
      </c>
      <c r="AM198" s="231">
        <f>AI198+AJ198+AK198+AL198</f>
        <v>0.59430863552634394</v>
      </c>
      <c r="AN198" s="232">
        <f>-AN151/AN56</f>
        <v>8.482613156734102E-2</v>
      </c>
      <c r="AO198" s="232">
        <f>-AO151/AO56</f>
        <v>8.5076476354288041E-2</v>
      </c>
      <c r="AP198" s="232">
        <f>-AP151/AP56</f>
        <v>9.2494172494172494E-2</v>
      </c>
      <c r="AQ198" s="232">
        <f>-AQ151/AQ56</f>
        <v>9.3192519436464838E-2</v>
      </c>
      <c r="AR198" s="231">
        <f>AN198+AO198+AP198+AQ198</f>
        <v>0.35558929985226639</v>
      </c>
      <c r="AS198" s="232">
        <f>-AS151/AS55</f>
        <v>9.3447421751857676E-2</v>
      </c>
      <c r="AT198" s="232">
        <f>-AT151/AT55</f>
        <v>9.3212550873047126E-2</v>
      </c>
      <c r="AU198" s="232">
        <f>-AU151/AU55</f>
        <v>1.7024346595833391</v>
      </c>
      <c r="AV198" s="232">
        <f>-AV151/AV55</f>
        <v>0.10300541714852914</v>
      </c>
      <c r="AW198" s="231">
        <f>AS198+AT198+AU198+AV198</f>
        <v>1.9921000493567729</v>
      </c>
      <c r="AX198" s="232">
        <f>-AX151/AX55</f>
        <v>0.10107201849243597</v>
      </c>
      <c r="AY198" s="232">
        <f>-AY151/AY55</f>
        <v>0.10300252356182726</v>
      </c>
      <c r="AZ198" s="232">
        <f>-AZ151/AZ55</f>
        <v>0.11634944241406325</v>
      </c>
      <c r="BA198" s="232">
        <f>-BA151/BA55</f>
        <v>0.11627034731077938</v>
      </c>
      <c r="BB198" s="231">
        <f>AX198+AY198+AZ198+BA198</f>
        <v>0.43669433177910588</v>
      </c>
      <c r="BC198" s="232">
        <f>-BC151/BC55</f>
        <v>0.11618972657933696</v>
      </c>
      <c r="BD198" s="232">
        <f>-BD151/BD55</f>
        <v>0.11693314536015881</v>
      </c>
      <c r="BE198" s="232">
        <f>-BE151/BE55</f>
        <v>0.12504381269952539</v>
      </c>
      <c r="BF198" s="232">
        <f>-BF151/BF55</f>
        <v>0.12579755171280041</v>
      </c>
      <c r="BG198" s="231">
        <f>BC198+BD198+BE198+BF198</f>
        <v>0.48396423635182151</v>
      </c>
      <c r="BH198" s="232">
        <f>-BH151/BH55</f>
        <v>0.12544448357883461</v>
      </c>
      <c r="BI198" s="232">
        <f>-BI151/BI55</f>
        <v>0.12741662786993702</v>
      </c>
      <c r="BJ198" s="232">
        <f>-BJ151/BJ55</f>
        <v>0.13718921175850723</v>
      </c>
      <c r="BK198" s="232">
        <f>-BK151/BK55</f>
        <v>0.1344545909720766</v>
      </c>
      <c r="BL198" s="350">
        <f>BH198+BI198+BJ198+BK198</f>
        <v>0.52450491417935552</v>
      </c>
      <c r="BM198" s="232">
        <f>-BM151/BM55</f>
        <v>0.13638052201171449</v>
      </c>
      <c r="BN198" s="232">
        <f>-BN151/BN55</f>
        <v>0.1377714946664953</v>
      </c>
      <c r="BO198" s="232">
        <f>-BO151/BO55</f>
        <v>0.14355560178924373</v>
      </c>
      <c r="BP198" s="232">
        <f>-BP151/BP55</f>
        <v>0.1480091723994163</v>
      </c>
      <c r="BQ198" s="231">
        <f>BM198+BN198+BO198+BP198</f>
        <v>0.56571679086686988</v>
      </c>
      <c r="BR198" s="232">
        <f>-BR151/BR55</f>
        <v>0.14581890333769054</v>
      </c>
      <c r="BS198" s="232">
        <f>-BS151/BS55</f>
        <v>0.14578777465375403</v>
      </c>
      <c r="BT198" s="434">
        <v>0.158</v>
      </c>
      <c r="BU198" s="233">
        <f>BT198</f>
        <v>0.158</v>
      </c>
      <c r="BV198" s="231">
        <f>BR198+BS198+BT198+BU198</f>
        <v>0.60760667799144463</v>
      </c>
      <c r="BW198" s="233">
        <f>+BU198+0</f>
        <v>0.158</v>
      </c>
      <c r="BX198" s="233">
        <f>+BW198</f>
        <v>0.158</v>
      </c>
      <c r="BY198" s="233">
        <f>BX198+0.02</f>
        <v>0.17799999999999999</v>
      </c>
      <c r="BZ198" s="233">
        <f>BY198</f>
        <v>0.17799999999999999</v>
      </c>
      <c r="CA198" s="231">
        <f>BW198+BX198+BY198+BZ198</f>
        <v>0.67199999999999993</v>
      </c>
      <c r="CB198" s="233">
        <f>+BZ198+0</f>
        <v>0.17799999999999999</v>
      </c>
      <c r="CC198" s="233">
        <f>+CB198</f>
        <v>0.17799999999999999</v>
      </c>
      <c r="CD198" s="233">
        <f>CC198+0.02</f>
        <v>0.19799999999999998</v>
      </c>
      <c r="CE198" s="233">
        <f>CD198</f>
        <v>0.19799999999999998</v>
      </c>
      <c r="CF198" s="231">
        <f>CB198+CC198+CD198+CE198</f>
        <v>0.75199999999999989</v>
      </c>
      <c r="CG198" s="233">
        <f>+CE198+0</f>
        <v>0.19799999999999998</v>
      </c>
      <c r="CH198" s="233">
        <f>+CG198</f>
        <v>0.19799999999999998</v>
      </c>
      <c r="CI198" s="233">
        <f>CH198+0.02</f>
        <v>0.21799999999999997</v>
      </c>
      <c r="CJ198" s="233">
        <f>CI198</f>
        <v>0.21799999999999997</v>
      </c>
      <c r="CK198" s="231">
        <f>CG198+CH198+CI198+CJ198</f>
        <v>0.83199999999999985</v>
      </c>
      <c r="CL198" s="233">
        <f>+CJ198+0</f>
        <v>0.21799999999999997</v>
      </c>
      <c r="CM198" s="233">
        <f>+CL198</f>
        <v>0.21799999999999997</v>
      </c>
      <c r="CN198" s="233">
        <f>CM198+0.02</f>
        <v>0.23799999999999996</v>
      </c>
      <c r="CO198" s="233">
        <f>CN198</f>
        <v>0.23799999999999996</v>
      </c>
      <c r="CP198" s="231">
        <f>CL198+CM198+CN198+CO198</f>
        <v>0.91199999999999992</v>
      </c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</row>
    <row r="199" spans="1:109" s="221" customFormat="1" x14ac:dyDescent="0.25">
      <c r="A199" s="221" t="s">
        <v>120</v>
      </c>
      <c r="C199" s="137">
        <f>C128+C129+C131+C132+C133+C134+C135+C136</f>
        <v>-57</v>
      </c>
      <c r="D199" s="137">
        <f>D128+D129+D131+D132+D133+D134+D135+D136</f>
        <v>5.6999999999999318</v>
      </c>
      <c r="E199" s="230"/>
      <c r="F199" s="230"/>
      <c r="G199" s="230"/>
      <c r="H199" s="230"/>
      <c r="I199" s="137">
        <f>I128+I129+I131+I132+I133+I134+I135+I136</f>
        <v>59.349102321712152</v>
      </c>
      <c r="J199" s="230"/>
      <c r="K199" s="230"/>
      <c r="L199" s="230"/>
      <c r="M199" s="230"/>
      <c r="N199" s="137">
        <f>N128+N129+N131+N132+N133+N134+N135+N136</f>
        <v>-53.773267866842417</v>
      </c>
      <c r="O199" s="230"/>
      <c r="P199" s="230"/>
      <c r="Q199" s="230"/>
      <c r="R199" s="230"/>
      <c r="S199" s="137">
        <f>S128+S129+S131+S132+S133+S134+S135+S136</f>
        <v>-78.73500000000007</v>
      </c>
      <c r="T199" s="230"/>
      <c r="U199" s="230"/>
      <c r="V199" s="230"/>
      <c r="W199" s="230"/>
      <c r="X199" s="137">
        <f>X128+X129+X131+X132+X133+X134+X135+X136</f>
        <v>42.100000000000051</v>
      </c>
      <c r="Y199" s="230"/>
      <c r="Z199" s="230"/>
      <c r="AA199" s="230"/>
      <c r="AB199" s="230"/>
      <c r="AC199" s="137">
        <f ca="1">AC128+AC129+AC131+AC132+AC133+AC134+AC135+AC136</f>
        <v>-1.4000000000000306</v>
      </c>
      <c r="AD199" s="230"/>
      <c r="AE199" s="230"/>
      <c r="AF199" s="230"/>
      <c r="AG199" s="230"/>
      <c r="AH199" s="137">
        <f ca="1">AH128+AH129+AH131+AH132+AH133+AH134+AH135+AH136</f>
        <v>27.187999999999974</v>
      </c>
      <c r="AI199" s="230"/>
      <c r="AJ199" s="230"/>
      <c r="AK199" s="230"/>
      <c r="AL199" s="230"/>
      <c r="AM199" s="137">
        <f>AM128+AM129+AM131+AM132+AM133+AM134+AM135+AM136</f>
        <v>-51.811999999999898</v>
      </c>
      <c r="AN199" s="230"/>
      <c r="AO199" s="230"/>
      <c r="AP199" s="230"/>
      <c r="AQ199" s="230"/>
      <c r="AR199" s="137">
        <f>AR128+AR129+AR131+AR132+AR133+AR134+AR135+AR136</f>
        <v>-46.518771807397044</v>
      </c>
      <c r="AS199" s="230"/>
      <c r="AT199" s="230"/>
      <c r="AU199" s="230"/>
      <c r="AV199" s="230"/>
      <c r="AW199" s="137">
        <f>AW128+AW129+AW131+AW132+AW133+AW134+AW135+AW136</f>
        <v>-105.00000000000003</v>
      </c>
      <c r="AX199" s="230"/>
      <c r="AY199" s="331"/>
      <c r="AZ199" s="332"/>
      <c r="BA199" s="230"/>
      <c r="BB199" s="137">
        <f>BB128+BB129+BB131+BB132+BB133+BB134+BB135+BB136</f>
        <v>-59.54200294417808</v>
      </c>
      <c r="BC199" s="230"/>
      <c r="BD199" s="230"/>
      <c r="BE199" s="230"/>
      <c r="BF199" s="230"/>
      <c r="BG199" s="137">
        <f>BG128+BG129+BG131+BG132+BG133+BG134+BG135+BG136</f>
        <v>-127.54200294417811</v>
      </c>
      <c r="BH199" s="230"/>
      <c r="BI199" s="230"/>
      <c r="BJ199" s="230"/>
      <c r="BK199" s="230"/>
      <c r="BL199" s="137">
        <f>BL128+BL129+BL131+BL132+BL133+BL134+BL135+BL136</f>
        <v>-600</v>
      </c>
      <c r="BM199" s="230"/>
      <c r="BN199" s="230"/>
      <c r="BO199" s="230"/>
      <c r="BP199" s="230"/>
      <c r="BQ199" s="137">
        <f>BQ128+BQ129+BQ131+BQ132+BQ133+BQ134+BQ135+BQ136</f>
        <v>-89</v>
      </c>
      <c r="BR199" s="230"/>
      <c r="BS199" s="230"/>
      <c r="BT199" s="230"/>
      <c r="BU199" s="230"/>
      <c r="BV199" s="137">
        <f ca="1">BV128+BV129+BV131+BV132+BV133+BV134+BV135+BV136</f>
        <v>-99.759018594581477</v>
      </c>
      <c r="BW199" s="230"/>
      <c r="BX199" s="230"/>
      <c r="BY199" s="230"/>
      <c r="BZ199" s="230"/>
      <c r="CA199" s="137">
        <f ca="1">CA128+CA129+CA131+CA132+CA133+CA134+CA135+CA136</f>
        <v>-87.490735868717451</v>
      </c>
      <c r="CB199" s="230"/>
      <c r="CC199" s="230"/>
      <c r="CD199" s="230"/>
      <c r="CE199" s="230"/>
      <c r="CF199" s="137">
        <f ca="1">CF128+CF129+CF131+CF132+CF133+CF134+CF135+CF136</f>
        <v>-80.162309976176829</v>
      </c>
      <c r="CG199" s="230"/>
      <c r="CH199" s="230"/>
      <c r="CI199" s="230"/>
      <c r="CJ199" s="230"/>
      <c r="CK199" s="137">
        <f ca="1">CK128+CK129+CK131+CK132+CK133+CK134+CK135+CK136</f>
        <v>-82.811865671776673</v>
      </c>
      <c r="CL199" s="230"/>
      <c r="CM199" s="230"/>
      <c r="CN199" s="230"/>
      <c r="CO199" s="230"/>
      <c r="CP199" s="137">
        <f ca="1">CP128+CP129+CP131+CP132+CP133+CP134+CP135+CP136</f>
        <v>-88.980774582790815</v>
      </c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</row>
    <row r="200" spans="1:109" s="221" customFormat="1" x14ac:dyDescent="0.25">
      <c r="C200" s="228"/>
      <c r="D200" s="228"/>
      <c r="E200" s="230"/>
      <c r="F200" s="230"/>
      <c r="G200" s="230"/>
      <c r="H200" s="230"/>
      <c r="I200" s="228"/>
      <c r="J200" s="230"/>
      <c r="K200" s="230"/>
      <c r="L200" s="230"/>
      <c r="M200" s="230"/>
      <c r="N200" s="228"/>
      <c r="O200" s="230"/>
      <c r="P200" s="230"/>
      <c r="Q200" s="230"/>
      <c r="R200" s="230"/>
      <c r="S200" s="228"/>
      <c r="T200" s="230"/>
      <c r="U200" s="230"/>
      <c r="V200" s="230"/>
      <c r="W200" s="230"/>
      <c r="X200" s="228"/>
      <c r="Y200" s="230"/>
      <c r="Z200" s="234"/>
      <c r="AA200" s="230"/>
      <c r="AB200" s="230"/>
      <c r="AC200" s="228"/>
      <c r="AD200" s="230"/>
      <c r="AE200" s="230"/>
      <c r="AF200" s="230"/>
      <c r="AG200" s="230"/>
      <c r="AH200" s="228"/>
      <c r="AI200" s="230"/>
      <c r="AJ200" s="230"/>
      <c r="AK200" s="230"/>
      <c r="AL200" s="230"/>
      <c r="AM200" s="228"/>
      <c r="AN200" s="230"/>
      <c r="AO200" s="230"/>
      <c r="AP200" s="230"/>
      <c r="AQ200" s="230"/>
      <c r="AR200" s="295"/>
      <c r="AS200" s="234"/>
      <c r="AT200" s="230"/>
      <c r="AU200" s="234"/>
      <c r="AV200" s="230"/>
      <c r="AW200" s="228"/>
      <c r="AX200" s="230"/>
      <c r="AY200" s="230"/>
      <c r="AZ200" s="230"/>
      <c r="BA200" s="230"/>
      <c r="BB200" s="228"/>
      <c r="BC200" s="230"/>
      <c r="BD200" s="230"/>
      <c r="BE200" s="230"/>
      <c r="BF200" s="230"/>
      <c r="BG200" s="228"/>
      <c r="BH200" s="230"/>
      <c r="BI200" s="230"/>
      <c r="BJ200" s="230"/>
      <c r="BK200" s="230"/>
      <c r="BL200" s="228"/>
      <c r="BM200" s="230"/>
      <c r="BN200" s="230"/>
      <c r="BO200" s="230"/>
      <c r="BP200" s="230"/>
      <c r="BQ200" s="228"/>
      <c r="BR200" s="230"/>
      <c r="BS200" s="230"/>
      <c r="BT200" s="230"/>
      <c r="BU200" s="230"/>
      <c r="BV200" s="228"/>
      <c r="BW200" s="230"/>
      <c r="BX200" s="230"/>
      <c r="BY200" s="230"/>
      <c r="BZ200" s="230"/>
      <c r="CA200" s="228"/>
      <c r="CB200" s="230"/>
      <c r="CC200" s="230"/>
      <c r="CD200" s="230"/>
      <c r="CE200" s="230"/>
      <c r="CF200" s="228"/>
      <c r="CG200" s="230"/>
      <c r="CH200" s="230"/>
      <c r="CI200" s="230"/>
      <c r="CJ200" s="230"/>
      <c r="CK200" s="228"/>
      <c r="CL200" s="230"/>
      <c r="CM200" s="230"/>
      <c r="CN200" s="230"/>
      <c r="CO200" s="230"/>
      <c r="CP200" s="228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</row>
    <row r="201" spans="1:109" x14ac:dyDescent="0.25">
      <c r="A201" s="52" t="s">
        <v>121</v>
      </c>
      <c r="C201" s="137">
        <f>C81+C82+C83</f>
        <v>72</v>
      </c>
      <c r="D201" s="137">
        <f t="shared" ref="D201:AC201" si="299">D81+D82+D83</f>
        <v>68</v>
      </c>
      <c r="E201" s="138">
        <f t="shared" si="299"/>
        <v>84</v>
      </c>
      <c r="F201" s="138">
        <f t="shared" si="299"/>
        <v>85.8</v>
      </c>
      <c r="G201" s="138">
        <f t="shared" si="299"/>
        <v>289.5</v>
      </c>
      <c r="H201" s="138">
        <f t="shared" si="299"/>
        <v>294.89999999999998</v>
      </c>
      <c r="I201" s="137">
        <f t="shared" si="299"/>
        <v>294.89999999999998</v>
      </c>
      <c r="J201" s="138">
        <f t="shared" si="299"/>
        <v>265.3</v>
      </c>
      <c r="K201" s="138">
        <f t="shared" si="299"/>
        <v>451.9</v>
      </c>
      <c r="L201" s="138">
        <f t="shared" si="299"/>
        <v>595.9</v>
      </c>
      <c r="M201" s="138">
        <f>M81+M82+M83</f>
        <v>635</v>
      </c>
      <c r="N201" s="137">
        <f t="shared" si="299"/>
        <v>635</v>
      </c>
      <c r="O201" s="138">
        <f t="shared" si="299"/>
        <v>406.20000000000005</v>
      </c>
      <c r="P201" s="138">
        <f t="shared" si="299"/>
        <v>412.79999999999995</v>
      </c>
      <c r="Q201" s="138">
        <f t="shared" si="299"/>
        <v>403.70000000000005</v>
      </c>
      <c r="R201" s="138">
        <f t="shared" si="299"/>
        <v>369</v>
      </c>
      <c r="S201" s="137">
        <f t="shared" si="299"/>
        <v>369</v>
      </c>
      <c r="T201" s="138">
        <f t="shared" si="299"/>
        <v>179.8</v>
      </c>
      <c r="U201" s="138">
        <f t="shared" si="299"/>
        <v>192.7</v>
      </c>
      <c r="V201" s="138">
        <f t="shared" si="299"/>
        <v>136.6</v>
      </c>
      <c r="W201" s="138">
        <f t="shared" si="299"/>
        <v>119</v>
      </c>
      <c r="X201" s="137">
        <f t="shared" si="299"/>
        <v>119</v>
      </c>
      <c r="Y201" s="138">
        <f t="shared" si="299"/>
        <v>160.20000000000044</v>
      </c>
      <c r="Z201" s="138">
        <f t="shared" si="299"/>
        <v>326.8</v>
      </c>
      <c r="AA201" s="138">
        <f t="shared" si="299"/>
        <v>334.7</v>
      </c>
      <c r="AB201" s="138">
        <f t="shared" si="299"/>
        <v>340.1</v>
      </c>
      <c r="AC201" s="137">
        <f t="shared" si="299"/>
        <v>340.1</v>
      </c>
      <c r="AD201" s="138">
        <f t="shared" ref="AD201:AT201" si="300">AD81+AD82+AD83</f>
        <v>286.5</v>
      </c>
      <c r="AE201" s="138">
        <f t="shared" si="300"/>
        <v>289.3</v>
      </c>
      <c r="AF201" s="138">
        <f t="shared" si="300"/>
        <v>241.7</v>
      </c>
      <c r="AG201" s="138">
        <f t="shared" si="300"/>
        <v>232</v>
      </c>
      <c r="AH201" s="137">
        <f t="shared" si="300"/>
        <v>232</v>
      </c>
      <c r="AI201" s="138">
        <f t="shared" si="300"/>
        <v>260.8</v>
      </c>
      <c r="AJ201" s="138">
        <f t="shared" si="300"/>
        <v>155.69999999999999</v>
      </c>
      <c r="AK201" s="138">
        <f t="shared" si="300"/>
        <v>278.60000000000002</v>
      </c>
      <c r="AL201" s="138">
        <f t="shared" si="300"/>
        <v>567</v>
      </c>
      <c r="AM201" s="137">
        <f t="shared" si="300"/>
        <v>567</v>
      </c>
      <c r="AN201" s="138">
        <f t="shared" si="300"/>
        <v>552.5</v>
      </c>
      <c r="AO201" s="138">
        <f t="shared" si="300"/>
        <v>380.1</v>
      </c>
      <c r="AP201" s="138">
        <f t="shared" si="300"/>
        <v>494.9</v>
      </c>
      <c r="AQ201" s="138">
        <f t="shared" si="300"/>
        <v>338</v>
      </c>
      <c r="AR201" s="137">
        <f t="shared" si="300"/>
        <v>338</v>
      </c>
      <c r="AS201" s="138">
        <f t="shared" si="300"/>
        <v>361.5</v>
      </c>
      <c r="AT201" s="138">
        <f t="shared" si="300"/>
        <v>368.5</v>
      </c>
      <c r="AU201" s="138">
        <f t="shared" ref="AU201:CP201" si="301">AU81+AU82+AU83</f>
        <v>386.8</v>
      </c>
      <c r="AV201" s="138">
        <f t="shared" si="301"/>
        <v>204</v>
      </c>
      <c r="AW201" s="137">
        <f t="shared" si="301"/>
        <v>204</v>
      </c>
      <c r="AX201" s="138">
        <f t="shared" si="301"/>
        <v>217</v>
      </c>
      <c r="AY201" s="138">
        <f t="shared" si="301"/>
        <v>192</v>
      </c>
      <c r="AZ201" s="138">
        <f t="shared" si="301"/>
        <v>287</v>
      </c>
      <c r="BA201" s="138">
        <f t="shared" si="301"/>
        <v>437</v>
      </c>
      <c r="BB201" s="137">
        <f t="shared" si="301"/>
        <v>437</v>
      </c>
      <c r="BC201" s="138">
        <f t="shared" si="301"/>
        <v>460</v>
      </c>
      <c r="BD201" s="138">
        <f t="shared" si="301"/>
        <v>235</v>
      </c>
      <c r="BE201" s="138">
        <f t="shared" si="301"/>
        <v>250</v>
      </c>
      <c r="BF201" s="138">
        <f t="shared" si="301"/>
        <v>370</v>
      </c>
      <c r="BG201" s="137">
        <f t="shared" si="301"/>
        <v>370</v>
      </c>
      <c r="BH201" s="138">
        <f>BH81+BH82+BH83</f>
        <v>494</v>
      </c>
      <c r="BI201" s="138">
        <f>BI81+BI82+BI83</f>
        <v>195</v>
      </c>
      <c r="BJ201" s="138">
        <f t="shared" si="301"/>
        <v>317</v>
      </c>
      <c r="BK201" s="138">
        <f t="shared" si="301"/>
        <v>263</v>
      </c>
      <c r="BL201" s="137">
        <f t="shared" si="301"/>
        <v>263</v>
      </c>
      <c r="BM201" s="138">
        <f t="shared" si="301"/>
        <v>459</v>
      </c>
      <c r="BN201" s="138">
        <f t="shared" si="301"/>
        <v>211</v>
      </c>
      <c r="BO201" s="138">
        <f t="shared" si="301"/>
        <v>197</v>
      </c>
      <c r="BP201" s="138">
        <f t="shared" si="301"/>
        <v>182</v>
      </c>
      <c r="BQ201" s="137">
        <f t="shared" si="301"/>
        <v>182</v>
      </c>
      <c r="BR201" s="138">
        <f t="shared" si="301"/>
        <v>238</v>
      </c>
      <c r="BS201" s="138">
        <f t="shared" si="301"/>
        <v>212</v>
      </c>
      <c r="BT201" s="138">
        <f t="shared" ca="1" si="301"/>
        <v>212</v>
      </c>
      <c r="BU201" s="138">
        <f t="shared" ca="1" si="301"/>
        <v>212</v>
      </c>
      <c r="BV201" s="137">
        <f t="shared" ca="1" si="301"/>
        <v>212</v>
      </c>
      <c r="BW201" s="138">
        <f t="shared" ca="1" si="301"/>
        <v>212</v>
      </c>
      <c r="BX201" s="138">
        <f t="shared" ca="1" si="301"/>
        <v>212</v>
      </c>
      <c r="BY201" s="138">
        <f t="shared" ca="1" si="301"/>
        <v>212</v>
      </c>
      <c r="BZ201" s="138">
        <f t="shared" ca="1" si="301"/>
        <v>212</v>
      </c>
      <c r="CA201" s="137">
        <f t="shared" ca="1" si="301"/>
        <v>212</v>
      </c>
      <c r="CB201" s="138">
        <f t="shared" ca="1" si="301"/>
        <v>212</v>
      </c>
      <c r="CC201" s="138">
        <f t="shared" ca="1" si="301"/>
        <v>212</v>
      </c>
      <c r="CD201" s="138">
        <f t="shared" ca="1" si="301"/>
        <v>212</v>
      </c>
      <c r="CE201" s="138">
        <f t="shared" ca="1" si="301"/>
        <v>212</v>
      </c>
      <c r="CF201" s="137">
        <f t="shared" ca="1" si="301"/>
        <v>212</v>
      </c>
      <c r="CG201" s="138">
        <f t="shared" ca="1" si="301"/>
        <v>212</v>
      </c>
      <c r="CH201" s="138">
        <f t="shared" ca="1" si="301"/>
        <v>212</v>
      </c>
      <c r="CI201" s="138">
        <f t="shared" ca="1" si="301"/>
        <v>212</v>
      </c>
      <c r="CJ201" s="138">
        <f t="shared" ca="1" si="301"/>
        <v>212</v>
      </c>
      <c r="CK201" s="137">
        <f t="shared" ca="1" si="301"/>
        <v>212</v>
      </c>
      <c r="CL201" s="138">
        <f t="shared" ca="1" si="301"/>
        <v>212</v>
      </c>
      <c r="CM201" s="138">
        <f t="shared" ca="1" si="301"/>
        <v>212</v>
      </c>
      <c r="CN201" s="138">
        <f t="shared" ca="1" si="301"/>
        <v>212</v>
      </c>
      <c r="CO201" s="138">
        <f t="shared" ca="1" si="301"/>
        <v>212</v>
      </c>
      <c r="CP201" s="137">
        <f t="shared" ca="1" si="301"/>
        <v>212</v>
      </c>
    </row>
    <row r="202" spans="1:109" x14ac:dyDescent="0.25">
      <c r="A202" s="221" t="str">
        <f>A97</f>
        <v>Short term debt</v>
      </c>
      <c r="C202" s="137">
        <f>C97</f>
        <v>0</v>
      </c>
      <c r="D202" s="137">
        <f t="shared" ref="D202:X203" si="302">D97</f>
        <v>0</v>
      </c>
      <c r="E202" s="138">
        <f t="shared" si="302"/>
        <v>0</v>
      </c>
      <c r="F202" s="138">
        <f t="shared" si="302"/>
        <v>0</v>
      </c>
      <c r="G202" s="138">
        <f t="shared" si="302"/>
        <v>0</v>
      </c>
      <c r="H202" s="138">
        <f t="shared" si="302"/>
        <v>0</v>
      </c>
      <c r="I202" s="137">
        <f t="shared" si="302"/>
        <v>0</v>
      </c>
      <c r="J202" s="138">
        <f t="shared" si="302"/>
        <v>0</v>
      </c>
      <c r="K202" s="138">
        <f t="shared" si="302"/>
        <v>0</v>
      </c>
      <c r="L202" s="138">
        <f t="shared" si="302"/>
        <v>0</v>
      </c>
      <c r="M202" s="138">
        <f>M97</f>
        <v>0</v>
      </c>
      <c r="N202" s="137">
        <f t="shared" si="302"/>
        <v>0</v>
      </c>
      <c r="O202" s="138">
        <f t="shared" si="302"/>
        <v>0</v>
      </c>
      <c r="P202" s="138">
        <f t="shared" si="302"/>
        <v>0</v>
      </c>
      <c r="Q202" s="138">
        <f t="shared" si="302"/>
        <v>0</v>
      </c>
      <c r="R202" s="138">
        <f t="shared" si="302"/>
        <v>0</v>
      </c>
      <c r="S202" s="137">
        <f t="shared" si="302"/>
        <v>0</v>
      </c>
      <c r="T202" s="138">
        <f t="shared" si="302"/>
        <v>0</v>
      </c>
      <c r="U202" s="138">
        <f t="shared" si="302"/>
        <v>0</v>
      </c>
      <c r="V202" s="138">
        <f t="shared" si="302"/>
        <v>0</v>
      </c>
      <c r="W202" s="138">
        <f t="shared" si="302"/>
        <v>0</v>
      </c>
      <c r="X202" s="137">
        <f t="shared" si="302"/>
        <v>0</v>
      </c>
      <c r="Y202" s="138">
        <f t="shared" ref="Y202:AC203" si="303">Y97</f>
        <v>0</v>
      </c>
      <c r="Z202" s="138">
        <f t="shared" si="303"/>
        <v>0</v>
      </c>
      <c r="AA202" s="138">
        <f t="shared" si="303"/>
        <v>0</v>
      </c>
      <c r="AB202" s="138">
        <f t="shared" si="303"/>
        <v>0</v>
      </c>
      <c r="AC202" s="137">
        <f t="shared" si="303"/>
        <v>0</v>
      </c>
      <c r="AD202" s="138">
        <f t="shared" ref="AD202:AH203" si="304">AD97</f>
        <v>0</v>
      </c>
      <c r="AE202" s="138">
        <f t="shared" si="304"/>
        <v>0</v>
      </c>
      <c r="AF202" s="138">
        <f t="shared" si="304"/>
        <v>0</v>
      </c>
      <c r="AG202" s="138">
        <f t="shared" si="304"/>
        <v>0</v>
      </c>
      <c r="AH202" s="137">
        <f>AH97</f>
        <v>0</v>
      </c>
      <c r="AI202" s="138">
        <f t="shared" ref="AI202:AT202" si="305">AI97</f>
        <v>0</v>
      </c>
      <c r="AJ202" s="138">
        <f t="shared" si="305"/>
        <v>0</v>
      </c>
      <c r="AK202" s="138">
        <f t="shared" si="305"/>
        <v>0</v>
      </c>
      <c r="AL202" s="138">
        <f t="shared" si="305"/>
        <v>0</v>
      </c>
      <c r="AM202" s="137">
        <f t="shared" si="305"/>
        <v>0</v>
      </c>
      <c r="AN202" s="138">
        <f t="shared" si="305"/>
        <v>0</v>
      </c>
      <c r="AO202" s="138">
        <f t="shared" si="305"/>
        <v>0</v>
      </c>
      <c r="AP202" s="138">
        <f t="shared" si="305"/>
        <v>0</v>
      </c>
      <c r="AQ202" s="138">
        <f t="shared" si="305"/>
        <v>0</v>
      </c>
      <c r="AR202" s="137">
        <f t="shared" si="305"/>
        <v>0</v>
      </c>
      <c r="AS202" s="138">
        <f t="shared" si="305"/>
        <v>0</v>
      </c>
      <c r="AT202" s="138">
        <f t="shared" si="305"/>
        <v>0</v>
      </c>
      <c r="AU202" s="138">
        <f t="shared" ref="AU202:CP202" si="306">AU97</f>
        <v>0</v>
      </c>
      <c r="AV202" s="138">
        <f t="shared" si="306"/>
        <v>3</v>
      </c>
      <c r="AW202" s="137">
        <f t="shared" si="306"/>
        <v>3</v>
      </c>
      <c r="AX202" s="138">
        <f t="shared" si="306"/>
        <v>5</v>
      </c>
      <c r="AY202" s="138">
        <f t="shared" si="306"/>
        <v>6</v>
      </c>
      <c r="AZ202" s="138">
        <f t="shared" si="306"/>
        <v>9</v>
      </c>
      <c r="BA202" s="138">
        <f t="shared" si="306"/>
        <v>8</v>
      </c>
      <c r="BB202" s="137">
        <f t="shared" si="306"/>
        <v>8</v>
      </c>
      <c r="BC202" s="138">
        <f t="shared" si="306"/>
        <v>13</v>
      </c>
      <c r="BD202" s="138">
        <f t="shared" si="306"/>
        <v>124</v>
      </c>
      <c r="BE202" s="138">
        <f t="shared" si="306"/>
        <v>8</v>
      </c>
      <c r="BF202" s="138">
        <f t="shared" si="306"/>
        <v>190</v>
      </c>
      <c r="BG202" s="137">
        <f t="shared" si="306"/>
        <v>190</v>
      </c>
      <c r="BH202" s="138">
        <f>BH97</f>
        <v>13</v>
      </c>
      <c r="BI202" s="138">
        <f>BI97</f>
        <v>303</v>
      </c>
      <c r="BJ202" s="138">
        <f t="shared" si="306"/>
        <v>509</v>
      </c>
      <c r="BK202" s="138">
        <f t="shared" si="306"/>
        <v>271</v>
      </c>
      <c r="BL202" s="137">
        <f t="shared" si="306"/>
        <v>271</v>
      </c>
      <c r="BM202" s="138">
        <f t="shared" si="306"/>
        <v>288</v>
      </c>
      <c r="BN202" s="138">
        <f t="shared" si="306"/>
        <v>337</v>
      </c>
      <c r="BO202" s="138">
        <f t="shared" si="306"/>
        <v>557</v>
      </c>
      <c r="BP202" s="138">
        <f t="shared" si="306"/>
        <v>460</v>
      </c>
      <c r="BQ202" s="137">
        <f t="shared" si="306"/>
        <v>460</v>
      </c>
      <c r="BR202" s="138">
        <f t="shared" si="306"/>
        <v>508</v>
      </c>
      <c r="BS202" s="138">
        <f t="shared" si="306"/>
        <v>485</v>
      </c>
      <c r="BT202" s="138">
        <f t="shared" ca="1" si="306"/>
        <v>550.19124314604323</v>
      </c>
      <c r="BU202" s="138">
        <f t="shared" ca="1" si="306"/>
        <v>489.59437812332908</v>
      </c>
      <c r="BV202" s="137">
        <f t="shared" ca="1" si="306"/>
        <v>489.59437812332908</v>
      </c>
      <c r="BW202" s="138">
        <f t="shared" ca="1" si="306"/>
        <v>656.93204071355376</v>
      </c>
      <c r="BX202" s="138">
        <f t="shared" ca="1" si="306"/>
        <v>710.23585797698979</v>
      </c>
      <c r="BY202" s="138">
        <f t="shared" ca="1" si="306"/>
        <v>749.02968599313499</v>
      </c>
      <c r="BZ202" s="138">
        <f t="shared" ca="1" si="306"/>
        <v>641.62029233618796</v>
      </c>
      <c r="CA202" s="137">
        <f t="shared" ca="1" si="306"/>
        <v>641.62029233618796</v>
      </c>
      <c r="CB202" s="138">
        <f t="shared" ca="1" si="306"/>
        <v>802.32072932354276</v>
      </c>
      <c r="CC202" s="138">
        <f t="shared" ca="1" si="306"/>
        <v>850.95084346083331</v>
      </c>
      <c r="CD202" s="138">
        <f t="shared" ca="1" si="306"/>
        <v>883.66258197056595</v>
      </c>
      <c r="CE202" s="138">
        <f t="shared" ca="1" si="306"/>
        <v>763.86804537664375</v>
      </c>
      <c r="CF202" s="137">
        <f t="shared" ca="1" si="306"/>
        <v>763.86804537664375</v>
      </c>
      <c r="CG202" s="138">
        <f t="shared" ca="1" si="306"/>
        <v>929.27459556109443</v>
      </c>
      <c r="CH202" s="138">
        <f t="shared" ca="1" si="306"/>
        <v>973.0134140429509</v>
      </c>
      <c r="CI202" s="138">
        <f t="shared" ca="1" si="306"/>
        <v>999.26918509716052</v>
      </c>
      <c r="CJ202" s="138">
        <f t="shared" ca="1" si="306"/>
        <v>865.3096981210474</v>
      </c>
      <c r="CK202" s="137">
        <f t="shared" ca="1" si="306"/>
        <v>865.3096981210474</v>
      </c>
      <c r="CL202" s="138">
        <f t="shared" ca="1" si="306"/>
        <v>1037.4458666451992</v>
      </c>
      <c r="CM202" s="138">
        <f t="shared" ca="1" si="306"/>
        <v>1076.1391235118053</v>
      </c>
      <c r="CN202" s="138">
        <f t="shared" ca="1" si="306"/>
        <v>1095.9882316422863</v>
      </c>
      <c r="CO202" s="138">
        <f t="shared" ca="1" si="306"/>
        <v>947.31262375717688</v>
      </c>
      <c r="CP202" s="137">
        <f t="shared" ca="1" si="306"/>
        <v>947.31262375717688</v>
      </c>
    </row>
    <row r="203" spans="1:109" x14ac:dyDescent="0.25">
      <c r="A203" s="221" t="str">
        <f>A98</f>
        <v>Commercial Paper</v>
      </c>
      <c r="C203" s="137">
        <f>C98</f>
        <v>167</v>
      </c>
      <c r="D203" s="137">
        <f t="shared" si="302"/>
        <v>50</v>
      </c>
      <c r="E203" s="138">
        <f t="shared" si="302"/>
        <v>16.5</v>
      </c>
      <c r="F203" s="138">
        <f t="shared" si="302"/>
        <v>26.8</v>
      </c>
      <c r="G203" s="138">
        <f t="shared" si="302"/>
        <v>32.5</v>
      </c>
      <c r="H203" s="138">
        <f t="shared" si="302"/>
        <v>0</v>
      </c>
      <c r="I203" s="137">
        <f>I98</f>
        <v>0</v>
      </c>
      <c r="J203" s="138">
        <f t="shared" si="302"/>
        <v>0</v>
      </c>
      <c r="K203" s="138">
        <f t="shared" si="302"/>
        <v>0</v>
      </c>
      <c r="L203" s="138">
        <f t="shared" si="302"/>
        <v>0</v>
      </c>
      <c r="M203" s="138">
        <f>M98</f>
        <v>225</v>
      </c>
      <c r="N203" s="137">
        <f t="shared" si="302"/>
        <v>225</v>
      </c>
      <c r="O203" s="138">
        <f t="shared" si="302"/>
        <v>198.1</v>
      </c>
      <c r="P203" s="138">
        <f t="shared" si="302"/>
        <v>197.2</v>
      </c>
      <c r="Q203" s="138">
        <f t="shared" si="302"/>
        <v>875.8</v>
      </c>
      <c r="R203" s="138">
        <f t="shared" si="302"/>
        <v>401</v>
      </c>
      <c r="S203" s="137">
        <f t="shared" si="302"/>
        <v>401</v>
      </c>
      <c r="T203" s="138">
        <f t="shared" si="302"/>
        <v>342.8</v>
      </c>
      <c r="U203" s="138">
        <f t="shared" si="302"/>
        <v>345.1</v>
      </c>
      <c r="V203" s="138">
        <f t="shared" si="302"/>
        <v>243</v>
      </c>
      <c r="W203" s="138">
        <f t="shared" si="302"/>
        <v>585</v>
      </c>
      <c r="X203" s="137">
        <f t="shared" si="302"/>
        <v>585</v>
      </c>
      <c r="Y203" s="138">
        <f t="shared" si="303"/>
        <v>576.4</v>
      </c>
      <c r="Z203" s="138">
        <f t="shared" si="303"/>
        <v>783.9</v>
      </c>
      <c r="AA203" s="138">
        <f t="shared" si="303"/>
        <v>397.2</v>
      </c>
      <c r="AB203" s="138">
        <f t="shared" si="303"/>
        <v>336.6</v>
      </c>
      <c r="AC203" s="137">
        <f t="shared" si="303"/>
        <v>336.6</v>
      </c>
      <c r="AD203" s="138">
        <f t="shared" si="304"/>
        <v>253.3</v>
      </c>
      <c r="AE203" s="138">
        <f t="shared" si="304"/>
        <v>301.89999999999998</v>
      </c>
      <c r="AF203" s="138">
        <f t="shared" si="304"/>
        <v>105.3</v>
      </c>
      <c r="AG203" s="138">
        <f t="shared" si="304"/>
        <v>188</v>
      </c>
      <c r="AH203" s="137">
        <f t="shared" si="304"/>
        <v>188</v>
      </c>
      <c r="AI203" s="138">
        <f t="shared" ref="AI203:BG203" si="307">AI98</f>
        <v>208.8</v>
      </c>
      <c r="AJ203" s="138">
        <f t="shared" si="307"/>
        <v>129.19999999999999</v>
      </c>
      <c r="AK203" s="138">
        <f t="shared" si="307"/>
        <v>0.1</v>
      </c>
      <c r="AL203" s="138">
        <f t="shared" si="307"/>
        <v>0</v>
      </c>
      <c r="AM203" s="137">
        <f t="shared" si="307"/>
        <v>0</v>
      </c>
      <c r="AN203" s="138">
        <f t="shared" si="307"/>
        <v>0</v>
      </c>
      <c r="AO203" s="138">
        <f t="shared" si="307"/>
        <v>0</v>
      </c>
      <c r="AP203" s="138">
        <f t="shared" si="307"/>
        <v>0</v>
      </c>
      <c r="AQ203" s="138">
        <f t="shared" si="307"/>
        <v>0</v>
      </c>
      <c r="AR203" s="137">
        <f t="shared" si="307"/>
        <v>0</v>
      </c>
      <c r="AS203" s="138">
        <f t="shared" si="307"/>
        <v>0</v>
      </c>
      <c r="AT203" s="138">
        <f t="shared" si="307"/>
        <v>0</v>
      </c>
      <c r="AU203" s="138">
        <f t="shared" si="307"/>
        <v>0</v>
      </c>
      <c r="AV203" s="138">
        <f t="shared" si="307"/>
        <v>0</v>
      </c>
      <c r="AW203" s="137">
        <f t="shared" si="307"/>
        <v>0</v>
      </c>
      <c r="AX203" s="138">
        <f t="shared" si="307"/>
        <v>0</v>
      </c>
      <c r="AY203" s="138">
        <f t="shared" si="307"/>
        <v>0</v>
      </c>
      <c r="AZ203" s="138">
        <f t="shared" si="307"/>
        <v>0</v>
      </c>
      <c r="BA203" s="138">
        <f t="shared" si="307"/>
        <v>0</v>
      </c>
      <c r="BB203" s="137">
        <f t="shared" si="307"/>
        <v>0</v>
      </c>
      <c r="BC203" s="138">
        <f t="shared" si="307"/>
        <v>0</v>
      </c>
      <c r="BD203" s="138">
        <f t="shared" si="307"/>
        <v>0</v>
      </c>
      <c r="BE203" s="138">
        <f t="shared" si="307"/>
        <v>0</v>
      </c>
      <c r="BF203" s="138">
        <f t="shared" si="307"/>
        <v>0</v>
      </c>
      <c r="BG203" s="137">
        <f t="shared" si="307"/>
        <v>0</v>
      </c>
      <c r="BH203" s="138">
        <f>BH98</f>
        <v>0</v>
      </c>
      <c r="BI203" s="138">
        <f>BI98</f>
        <v>0</v>
      </c>
      <c r="BJ203" s="138">
        <f t="shared" ref="BJ203:CA203" si="308">BJ98</f>
        <v>0</v>
      </c>
      <c r="BK203" s="138">
        <f t="shared" si="308"/>
        <v>0</v>
      </c>
      <c r="BL203" s="137">
        <f t="shared" si="308"/>
        <v>0</v>
      </c>
      <c r="BM203" s="138">
        <f t="shared" si="308"/>
        <v>0</v>
      </c>
      <c r="BN203" s="138">
        <f t="shared" si="308"/>
        <v>0</v>
      </c>
      <c r="BO203" s="138">
        <f t="shared" si="308"/>
        <v>0</v>
      </c>
      <c r="BP203" s="138">
        <f t="shared" si="308"/>
        <v>0</v>
      </c>
      <c r="BQ203" s="137">
        <f t="shared" si="308"/>
        <v>0</v>
      </c>
      <c r="BR203" s="138">
        <f t="shared" si="308"/>
        <v>0</v>
      </c>
      <c r="BS203" s="138">
        <f t="shared" si="308"/>
        <v>0</v>
      </c>
      <c r="BT203" s="138">
        <f t="shared" si="308"/>
        <v>0</v>
      </c>
      <c r="BU203" s="138">
        <f t="shared" si="308"/>
        <v>0</v>
      </c>
      <c r="BV203" s="137">
        <f t="shared" si="308"/>
        <v>0</v>
      </c>
      <c r="BW203" s="138">
        <f t="shared" si="308"/>
        <v>0</v>
      </c>
      <c r="BX203" s="138">
        <f t="shared" si="308"/>
        <v>0</v>
      </c>
      <c r="BY203" s="138">
        <f t="shared" si="308"/>
        <v>0</v>
      </c>
      <c r="BZ203" s="138">
        <f t="shared" si="308"/>
        <v>0</v>
      </c>
      <c r="CA203" s="137">
        <f t="shared" si="308"/>
        <v>0</v>
      </c>
      <c r="CB203" s="138">
        <f t="shared" ref="CB203:CP203" si="309">CB98</f>
        <v>0</v>
      </c>
      <c r="CC203" s="138">
        <f t="shared" si="309"/>
        <v>0</v>
      </c>
      <c r="CD203" s="138">
        <f t="shared" si="309"/>
        <v>0</v>
      </c>
      <c r="CE203" s="138">
        <f t="shared" si="309"/>
        <v>0</v>
      </c>
      <c r="CF203" s="137">
        <f t="shared" si="309"/>
        <v>0</v>
      </c>
      <c r="CG203" s="138">
        <f t="shared" si="309"/>
        <v>0</v>
      </c>
      <c r="CH203" s="138">
        <f t="shared" si="309"/>
        <v>0</v>
      </c>
      <c r="CI203" s="138">
        <f t="shared" si="309"/>
        <v>0</v>
      </c>
      <c r="CJ203" s="138">
        <f t="shared" si="309"/>
        <v>0</v>
      </c>
      <c r="CK203" s="137">
        <f t="shared" si="309"/>
        <v>0</v>
      </c>
      <c r="CL203" s="138">
        <f t="shared" si="309"/>
        <v>0</v>
      </c>
      <c r="CM203" s="138">
        <f t="shared" si="309"/>
        <v>0</v>
      </c>
      <c r="CN203" s="138">
        <f t="shared" si="309"/>
        <v>0</v>
      </c>
      <c r="CO203" s="138">
        <f t="shared" si="309"/>
        <v>0</v>
      </c>
      <c r="CP203" s="137">
        <f t="shared" si="309"/>
        <v>0</v>
      </c>
    </row>
    <row r="204" spans="1:109" x14ac:dyDescent="0.25">
      <c r="A204" s="221" t="str">
        <f>A100</f>
        <v>Current Portion LTD</v>
      </c>
      <c r="C204" s="137">
        <f>C100</f>
        <v>40</v>
      </c>
      <c r="D204" s="137">
        <f t="shared" ref="D204:AC204" si="310">D100</f>
        <v>0</v>
      </c>
      <c r="E204" s="138">
        <f t="shared" si="310"/>
        <v>0</v>
      </c>
      <c r="F204" s="138">
        <f t="shared" si="310"/>
        <v>30</v>
      </c>
      <c r="G204" s="138">
        <f t="shared" si="310"/>
        <v>0</v>
      </c>
      <c r="H204" s="138">
        <f t="shared" si="310"/>
        <v>279.3</v>
      </c>
      <c r="I204" s="137">
        <f>I100</f>
        <v>279.3</v>
      </c>
      <c r="J204" s="138">
        <f t="shared" si="310"/>
        <v>249.3</v>
      </c>
      <c r="K204" s="138">
        <f t="shared" si="310"/>
        <v>249.7</v>
      </c>
      <c r="L204" s="138">
        <f t="shared" si="310"/>
        <v>249.5</v>
      </c>
      <c r="M204" s="138">
        <f>M100</f>
        <v>0</v>
      </c>
      <c r="N204" s="137">
        <f t="shared" si="310"/>
        <v>0</v>
      </c>
      <c r="O204" s="138">
        <f t="shared" si="310"/>
        <v>0</v>
      </c>
      <c r="P204" s="138">
        <f t="shared" si="310"/>
        <v>0</v>
      </c>
      <c r="Q204" s="138">
        <f t="shared" si="310"/>
        <v>0</v>
      </c>
      <c r="R204" s="138">
        <f t="shared" si="310"/>
        <v>354</v>
      </c>
      <c r="S204" s="137">
        <f t="shared" si="310"/>
        <v>354</v>
      </c>
      <c r="T204" s="138">
        <f t="shared" si="310"/>
        <v>354</v>
      </c>
      <c r="U204" s="138">
        <f t="shared" si="310"/>
        <v>354</v>
      </c>
      <c r="V204" s="138">
        <f t="shared" si="310"/>
        <v>354</v>
      </c>
      <c r="W204" s="138">
        <f t="shared" si="310"/>
        <v>4</v>
      </c>
      <c r="X204" s="137">
        <f t="shared" si="310"/>
        <v>4</v>
      </c>
      <c r="Y204" s="138">
        <f t="shared" si="310"/>
        <v>4.3</v>
      </c>
      <c r="Z204" s="138">
        <f t="shared" si="310"/>
        <v>3.2</v>
      </c>
      <c r="AA204" s="138">
        <f t="shared" si="310"/>
        <v>0</v>
      </c>
      <c r="AB204" s="138">
        <f t="shared" si="310"/>
        <v>152.9</v>
      </c>
      <c r="AC204" s="137">
        <f t="shared" si="310"/>
        <v>152.9</v>
      </c>
      <c r="AD204" s="138">
        <f t="shared" ref="AD204:BG204" si="311">AD100</f>
        <v>152.9</v>
      </c>
      <c r="AE204" s="138">
        <f t="shared" si="311"/>
        <v>152.80000000000001</v>
      </c>
      <c r="AF204" s="138">
        <f t="shared" si="311"/>
        <v>153.1</v>
      </c>
      <c r="AG204" s="138">
        <f t="shared" si="311"/>
        <v>3</v>
      </c>
      <c r="AH204" s="137">
        <f t="shared" si="311"/>
        <v>3</v>
      </c>
      <c r="AI204" s="138">
        <f t="shared" si="311"/>
        <v>0</v>
      </c>
      <c r="AJ204" s="138">
        <f t="shared" si="311"/>
        <v>0</v>
      </c>
      <c r="AK204" s="138">
        <f t="shared" si="311"/>
        <v>0</v>
      </c>
      <c r="AL204" s="138">
        <f t="shared" si="311"/>
        <v>255</v>
      </c>
      <c r="AM204" s="137">
        <f t="shared" si="311"/>
        <v>255</v>
      </c>
      <c r="AN204" s="138">
        <f t="shared" si="311"/>
        <v>254.4</v>
      </c>
      <c r="AO204" s="138">
        <f t="shared" si="311"/>
        <v>253.5</v>
      </c>
      <c r="AP204" s="138">
        <f t="shared" si="311"/>
        <v>253</v>
      </c>
      <c r="AQ204" s="138">
        <f t="shared" si="311"/>
        <v>3</v>
      </c>
      <c r="AR204" s="137">
        <f t="shared" si="311"/>
        <v>3</v>
      </c>
      <c r="AS204" s="138">
        <f t="shared" si="311"/>
        <v>0</v>
      </c>
      <c r="AT204" s="138">
        <f t="shared" si="311"/>
        <v>0</v>
      </c>
      <c r="AU204" s="138">
        <f t="shared" si="311"/>
        <v>253.7</v>
      </c>
      <c r="AV204" s="138">
        <f t="shared" si="311"/>
        <v>2</v>
      </c>
      <c r="AW204" s="137">
        <f t="shared" si="311"/>
        <v>2</v>
      </c>
      <c r="AX204" s="138">
        <f t="shared" si="311"/>
        <v>1</v>
      </c>
      <c r="AY204" s="138">
        <f t="shared" si="311"/>
        <v>1</v>
      </c>
      <c r="AZ204" s="138">
        <f t="shared" si="311"/>
        <v>0</v>
      </c>
      <c r="BA204" s="138">
        <f t="shared" si="311"/>
        <v>0</v>
      </c>
      <c r="BB204" s="137">
        <f t="shared" si="311"/>
        <v>0</v>
      </c>
      <c r="BC204" s="138">
        <f t="shared" si="311"/>
        <v>0</v>
      </c>
      <c r="BD204" s="138">
        <f t="shared" si="311"/>
        <v>0</v>
      </c>
      <c r="BE204" s="138">
        <f t="shared" si="311"/>
        <v>250</v>
      </c>
      <c r="BF204" s="138">
        <f t="shared" si="311"/>
        <v>250</v>
      </c>
      <c r="BG204" s="137">
        <f t="shared" si="311"/>
        <v>250</v>
      </c>
      <c r="BH204" s="138">
        <f>BH100</f>
        <v>250</v>
      </c>
      <c r="BI204" s="138">
        <f t="shared" ref="BI204:CA204" si="312">BI100</f>
        <v>250</v>
      </c>
      <c r="BJ204" s="138">
        <f t="shared" si="312"/>
        <v>0</v>
      </c>
      <c r="BK204" s="138">
        <f t="shared" si="312"/>
        <v>0</v>
      </c>
      <c r="BL204" s="137">
        <f t="shared" si="312"/>
        <v>0</v>
      </c>
      <c r="BM204" s="138">
        <f t="shared" si="312"/>
        <v>0</v>
      </c>
      <c r="BN204" s="138">
        <f t="shared" si="312"/>
        <v>0</v>
      </c>
      <c r="BO204" s="138">
        <f t="shared" si="312"/>
        <v>0</v>
      </c>
      <c r="BP204" s="138">
        <f t="shared" si="312"/>
        <v>0</v>
      </c>
      <c r="BQ204" s="137">
        <f t="shared" si="312"/>
        <v>0</v>
      </c>
      <c r="BR204" s="138">
        <f t="shared" si="312"/>
        <v>0</v>
      </c>
      <c r="BS204" s="138">
        <f t="shared" si="312"/>
        <v>0</v>
      </c>
      <c r="BT204" s="138">
        <f t="shared" si="312"/>
        <v>0</v>
      </c>
      <c r="BU204" s="138">
        <f t="shared" si="312"/>
        <v>0</v>
      </c>
      <c r="BV204" s="137">
        <f t="shared" si="312"/>
        <v>0</v>
      </c>
      <c r="BW204" s="138">
        <f t="shared" si="312"/>
        <v>0</v>
      </c>
      <c r="BX204" s="138">
        <f t="shared" si="312"/>
        <v>0</v>
      </c>
      <c r="BY204" s="138">
        <f t="shared" si="312"/>
        <v>0</v>
      </c>
      <c r="BZ204" s="138">
        <f t="shared" si="312"/>
        <v>0</v>
      </c>
      <c r="CA204" s="137">
        <f t="shared" si="312"/>
        <v>0</v>
      </c>
      <c r="CB204" s="138">
        <f t="shared" ref="CB204:CK204" si="313">CB100</f>
        <v>0</v>
      </c>
      <c r="CC204" s="138">
        <f t="shared" si="313"/>
        <v>0</v>
      </c>
      <c r="CD204" s="138">
        <f t="shared" si="313"/>
        <v>0</v>
      </c>
      <c r="CE204" s="138">
        <f t="shared" si="313"/>
        <v>0</v>
      </c>
      <c r="CF204" s="137">
        <f t="shared" si="313"/>
        <v>0</v>
      </c>
      <c r="CG204" s="138">
        <f t="shared" si="313"/>
        <v>0</v>
      </c>
      <c r="CH204" s="138">
        <f t="shared" si="313"/>
        <v>0</v>
      </c>
      <c r="CI204" s="138">
        <f t="shared" si="313"/>
        <v>0</v>
      </c>
      <c r="CJ204" s="138">
        <f t="shared" si="313"/>
        <v>0</v>
      </c>
      <c r="CK204" s="137">
        <f t="shared" si="313"/>
        <v>0</v>
      </c>
      <c r="CL204" s="138">
        <f>CL100</f>
        <v>0</v>
      </c>
      <c r="CM204" s="138">
        <f>CM100</f>
        <v>0</v>
      </c>
      <c r="CN204" s="138">
        <f>CN100</f>
        <v>0</v>
      </c>
      <c r="CO204" s="138">
        <f>CO100</f>
        <v>0</v>
      </c>
      <c r="CP204" s="137">
        <f>CP100</f>
        <v>0</v>
      </c>
    </row>
    <row r="205" spans="1:109" x14ac:dyDescent="0.25">
      <c r="A205" s="221" t="str">
        <f>A106</f>
        <v>Long-Term Debt</v>
      </c>
      <c r="C205" s="137">
        <f>C106</f>
        <v>629</v>
      </c>
      <c r="D205" s="137">
        <f t="shared" ref="D205:AC205" si="314">D106</f>
        <v>630</v>
      </c>
      <c r="E205" s="138">
        <f t="shared" si="314"/>
        <v>630.20000000000005</v>
      </c>
      <c r="F205" s="138">
        <f t="shared" si="314"/>
        <v>601.1</v>
      </c>
      <c r="G205" s="138">
        <f t="shared" si="314"/>
        <v>600.79999999999995</v>
      </c>
      <c r="H205" s="138">
        <f t="shared" si="314"/>
        <v>351.5</v>
      </c>
      <c r="I205" s="137">
        <f>I106</f>
        <v>351.5</v>
      </c>
      <c r="J205" s="138">
        <f t="shared" si="314"/>
        <v>351.6</v>
      </c>
      <c r="K205" s="138">
        <f t="shared" si="314"/>
        <v>351.8</v>
      </c>
      <c r="L205" s="138">
        <f t="shared" si="314"/>
        <v>351.9</v>
      </c>
      <c r="M205" s="138">
        <f>M106</f>
        <v>351</v>
      </c>
      <c r="N205" s="137">
        <f t="shared" si="314"/>
        <v>351</v>
      </c>
      <c r="O205" s="138">
        <f t="shared" si="314"/>
        <v>353.6</v>
      </c>
      <c r="P205" s="138">
        <f t="shared" si="314"/>
        <v>353.7</v>
      </c>
      <c r="Q205" s="138">
        <f>Q106</f>
        <v>369.3</v>
      </c>
      <c r="R205" s="138">
        <f t="shared" si="314"/>
        <v>422</v>
      </c>
      <c r="S205" s="137">
        <f t="shared" si="314"/>
        <v>422</v>
      </c>
      <c r="T205" s="138">
        <f t="shared" si="314"/>
        <v>421.4</v>
      </c>
      <c r="U205" s="138">
        <f t="shared" si="314"/>
        <v>418.2</v>
      </c>
      <c r="V205" s="138">
        <f t="shared" si="314"/>
        <v>417.3</v>
      </c>
      <c r="W205" s="138">
        <f t="shared" si="314"/>
        <v>417</v>
      </c>
      <c r="X205" s="137">
        <f t="shared" si="314"/>
        <v>417</v>
      </c>
      <c r="Y205" s="138">
        <f t="shared" si="314"/>
        <v>416.7</v>
      </c>
      <c r="Z205" s="138">
        <f t="shared" si="314"/>
        <v>412.3</v>
      </c>
      <c r="AA205" s="138">
        <f t="shared" si="314"/>
        <v>660.6</v>
      </c>
      <c r="AB205" s="138">
        <f t="shared" si="314"/>
        <v>509.3</v>
      </c>
      <c r="AC205" s="137">
        <f t="shared" si="314"/>
        <v>509.3</v>
      </c>
      <c r="AD205" s="138">
        <f t="shared" ref="AD205:BG205" si="315">AD106</f>
        <v>509.1</v>
      </c>
      <c r="AE205" s="138">
        <f t="shared" si="315"/>
        <v>508.5</v>
      </c>
      <c r="AF205" s="138">
        <f t="shared" si="315"/>
        <v>508.3</v>
      </c>
      <c r="AG205" s="138">
        <f t="shared" si="315"/>
        <v>508</v>
      </c>
      <c r="AH205" s="137">
        <f t="shared" si="315"/>
        <v>508</v>
      </c>
      <c r="AI205" s="138">
        <f t="shared" si="315"/>
        <v>508.8</v>
      </c>
      <c r="AJ205" s="138">
        <f t="shared" si="315"/>
        <v>508.5</v>
      </c>
      <c r="AK205" s="138">
        <f t="shared" si="315"/>
        <v>756.7</v>
      </c>
      <c r="AL205" s="138">
        <f t="shared" si="315"/>
        <v>504</v>
      </c>
      <c r="AM205" s="137">
        <f t="shared" si="315"/>
        <v>504</v>
      </c>
      <c r="AN205" s="138">
        <f t="shared" si="315"/>
        <v>505.1</v>
      </c>
      <c r="AO205" s="138">
        <f t="shared" si="315"/>
        <v>504.2</v>
      </c>
      <c r="AP205" s="138">
        <f t="shared" si="315"/>
        <v>503.5</v>
      </c>
      <c r="AQ205" s="138">
        <f t="shared" si="315"/>
        <v>503</v>
      </c>
      <c r="AR205" s="137">
        <f t="shared" si="315"/>
        <v>503</v>
      </c>
      <c r="AS205" s="138">
        <f t="shared" si="315"/>
        <v>502.1</v>
      </c>
      <c r="AT205" s="138">
        <f t="shared" si="315"/>
        <v>501.4</v>
      </c>
      <c r="AU205" s="138">
        <f>AU106</f>
        <v>996.6</v>
      </c>
      <c r="AV205" s="138">
        <f t="shared" si="315"/>
        <v>997</v>
      </c>
      <c r="AW205" s="137">
        <f t="shared" si="315"/>
        <v>997</v>
      </c>
      <c r="AX205" s="138">
        <f t="shared" si="315"/>
        <v>997</v>
      </c>
      <c r="AY205" s="138">
        <f t="shared" si="315"/>
        <v>997</v>
      </c>
      <c r="AZ205" s="138">
        <f t="shared" si="315"/>
        <v>997</v>
      </c>
      <c r="BA205" s="138">
        <f t="shared" si="315"/>
        <v>997</v>
      </c>
      <c r="BB205" s="137">
        <f t="shared" si="315"/>
        <v>997</v>
      </c>
      <c r="BC205" s="138">
        <f t="shared" si="315"/>
        <v>998</v>
      </c>
      <c r="BD205" s="138">
        <f t="shared" si="315"/>
        <v>998</v>
      </c>
      <c r="BE205" s="138">
        <f t="shared" si="315"/>
        <v>748</v>
      </c>
      <c r="BF205" s="138">
        <f t="shared" si="315"/>
        <v>743</v>
      </c>
      <c r="BG205" s="137">
        <f t="shared" si="315"/>
        <v>743</v>
      </c>
      <c r="BH205" s="138">
        <f>BH106</f>
        <v>1229</v>
      </c>
      <c r="BI205" s="138">
        <f t="shared" ref="BI205:CA205" si="316">BI106</f>
        <v>1229</v>
      </c>
      <c r="BJ205" s="138">
        <f t="shared" si="316"/>
        <v>1229</v>
      </c>
      <c r="BK205" s="138">
        <f t="shared" si="316"/>
        <v>1230</v>
      </c>
      <c r="BL205" s="137">
        <f t="shared" si="316"/>
        <v>1230</v>
      </c>
      <c r="BM205" s="138">
        <f t="shared" si="316"/>
        <v>1953</v>
      </c>
      <c r="BN205" s="138">
        <f t="shared" si="316"/>
        <v>1917</v>
      </c>
      <c r="BO205" s="138">
        <f t="shared" si="316"/>
        <v>1669</v>
      </c>
      <c r="BP205" s="138">
        <f t="shared" si="316"/>
        <v>1689</v>
      </c>
      <c r="BQ205" s="137">
        <f t="shared" si="316"/>
        <v>1689</v>
      </c>
      <c r="BR205" s="138">
        <f t="shared" si="316"/>
        <v>1720</v>
      </c>
      <c r="BS205" s="138">
        <f t="shared" si="316"/>
        <v>1719</v>
      </c>
      <c r="BT205" s="138">
        <f t="shared" si="316"/>
        <v>1719</v>
      </c>
      <c r="BU205" s="138">
        <f t="shared" si="316"/>
        <v>1719</v>
      </c>
      <c r="BV205" s="137">
        <f t="shared" si="316"/>
        <v>1719</v>
      </c>
      <c r="BW205" s="138">
        <f t="shared" si="316"/>
        <v>1719</v>
      </c>
      <c r="BX205" s="138">
        <f t="shared" si="316"/>
        <v>1719</v>
      </c>
      <c r="BY205" s="138">
        <f t="shared" si="316"/>
        <v>1719</v>
      </c>
      <c r="BZ205" s="138">
        <f t="shared" si="316"/>
        <v>1719</v>
      </c>
      <c r="CA205" s="137">
        <f t="shared" si="316"/>
        <v>1719</v>
      </c>
      <c r="CB205" s="138">
        <f t="shared" ref="CB205:CK205" si="317">CB106</f>
        <v>1719</v>
      </c>
      <c r="CC205" s="138">
        <f t="shared" si="317"/>
        <v>1719</v>
      </c>
      <c r="CD205" s="138">
        <f t="shared" si="317"/>
        <v>1719</v>
      </c>
      <c r="CE205" s="138">
        <f t="shared" si="317"/>
        <v>1719</v>
      </c>
      <c r="CF205" s="137">
        <f t="shared" si="317"/>
        <v>1719</v>
      </c>
      <c r="CG205" s="138">
        <f t="shared" si="317"/>
        <v>1719</v>
      </c>
      <c r="CH205" s="138">
        <f t="shared" si="317"/>
        <v>1719</v>
      </c>
      <c r="CI205" s="138">
        <f t="shared" si="317"/>
        <v>1719</v>
      </c>
      <c r="CJ205" s="138">
        <f t="shared" si="317"/>
        <v>1719</v>
      </c>
      <c r="CK205" s="137">
        <f t="shared" si="317"/>
        <v>1719</v>
      </c>
      <c r="CL205" s="138">
        <f>CL106</f>
        <v>1719</v>
      </c>
      <c r="CM205" s="138">
        <f>CM106</f>
        <v>1719</v>
      </c>
      <c r="CN205" s="138">
        <f>CN106</f>
        <v>1719</v>
      </c>
      <c r="CO205" s="138">
        <f>CO106</f>
        <v>1719</v>
      </c>
      <c r="CP205" s="137">
        <f>CP106</f>
        <v>1719</v>
      </c>
    </row>
    <row r="206" spans="1:109" s="38" customFormat="1" x14ac:dyDescent="0.25">
      <c r="A206" s="235" t="s">
        <v>122</v>
      </c>
      <c r="C206" s="144">
        <f>C202+C203+C204+C205-C201</f>
        <v>764</v>
      </c>
      <c r="D206" s="144">
        <f t="shared" ref="D206:AH206" si="318">D202+D203+D204+D205-D201</f>
        <v>612</v>
      </c>
      <c r="E206" s="145">
        <f t="shared" si="318"/>
        <v>562.70000000000005</v>
      </c>
      <c r="F206" s="145">
        <f t="shared" si="318"/>
        <v>572.1</v>
      </c>
      <c r="G206" s="145">
        <f t="shared" si="318"/>
        <v>343.79999999999995</v>
      </c>
      <c r="H206" s="145">
        <f t="shared" si="318"/>
        <v>335.9</v>
      </c>
      <c r="I206" s="144">
        <f t="shared" si="318"/>
        <v>335.9</v>
      </c>
      <c r="J206" s="145">
        <f t="shared" si="318"/>
        <v>335.60000000000008</v>
      </c>
      <c r="K206" s="145">
        <f t="shared" si="318"/>
        <v>149.60000000000002</v>
      </c>
      <c r="L206" s="145">
        <f t="shared" si="318"/>
        <v>5.5</v>
      </c>
      <c r="M206" s="145">
        <f t="shared" si="318"/>
        <v>-59</v>
      </c>
      <c r="N206" s="144">
        <f t="shared" si="318"/>
        <v>-59</v>
      </c>
      <c r="O206" s="145">
        <f t="shared" si="318"/>
        <v>145.5</v>
      </c>
      <c r="P206" s="145">
        <f t="shared" si="318"/>
        <v>138.10000000000002</v>
      </c>
      <c r="Q206" s="145">
        <f t="shared" si="318"/>
        <v>841.39999999999986</v>
      </c>
      <c r="R206" s="145">
        <f t="shared" si="318"/>
        <v>808</v>
      </c>
      <c r="S206" s="144">
        <f t="shared" si="318"/>
        <v>808</v>
      </c>
      <c r="T206" s="145">
        <f t="shared" si="318"/>
        <v>938.39999999999986</v>
      </c>
      <c r="U206" s="145">
        <f t="shared" si="318"/>
        <v>924.59999999999991</v>
      </c>
      <c r="V206" s="145">
        <f t="shared" si="318"/>
        <v>877.69999999999993</v>
      </c>
      <c r="W206" s="145">
        <f t="shared" si="318"/>
        <v>887</v>
      </c>
      <c r="X206" s="144">
        <f t="shared" si="318"/>
        <v>887</v>
      </c>
      <c r="Y206" s="145">
        <f t="shared" si="318"/>
        <v>837.19999999999936</v>
      </c>
      <c r="Z206" s="145">
        <f t="shared" si="318"/>
        <v>872.60000000000014</v>
      </c>
      <c r="AA206" s="145">
        <f t="shared" si="318"/>
        <v>723.09999999999991</v>
      </c>
      <c r="AB206" s="145">
        <f t="shared" si="318"/>
        <v>658.69999999999993</v>
      </c>
      <c r="AC206" s="144">
        <f t="shared" si="318"/>
        <v>658.69999999999993</v>
      </c>
      <c r="AD206" s="145">
        <f t="shared" si="318"/>
        <v>628.80000000000007</v>
      </c>
      <c r="AE206" s="145">
        <f t="shared" si="318"/>
        <v>673.90000000000009</v>
      </c>
      <c r="AF206" s="145">
        <f t="shared" si="318"/>
        <v>525</v>
      </c>
      <c r="AG206" s="145">
        <f t="shared" si="318"/>
        <v>467</v>
      </c>
      <c r="AH206" s="144">
        <f t="shared" si="318"/>
        <v>467</v>
      </c>
      <c r="AI206" s="145">
        <f t="shared" ref="AI206:AT206" si="319">AI202+AI203+AI204+AI205-AI201</f>
        <v>456.8</v>
      </c>
      <c r="AJ206" s="145">
        <f t="shared" si="319"/>
        <v>482.00000000000006</v>
      </c>
      <c r="AK206" s="145">
        <f t="shared" si="319"/>
        <v>478.20000000000005</v>
      </c>
      <c r="AL206" s="145">
        <f t="shared" si="319"/>
        <v>192</v>
      </c>
      <c r="AM206" s="144">
        <f t="shared" si="319"/>
        <v>192</v>
      </c>
      <c r="AN206" s="145">
        <f t="shared" si="319"/>
        <v>207</v>
      </c>
      <c r="AO206" s="145">
        <f t="shared" si="319"/>
        <v>377.6</v>
      </c>
      <c r="AP206" s="145">
        <f t="shared" si="319"/>
        <v>261.60000000000002</v>
      </c>
      <c r="AQ206" s="145">
        <f t="shared" si="319"/>
        <v>168</v>
      </c>
      <c r="AR206" s="144">
        <f t="shared" si="319"/>
        <v>168</v>
      </c>
      <c r="AS206" s="145">
        <f>AS202+AS203+AS204+AS205-AS201</f>
        <v>140.60000000000002</v>
      </c>
      <c r="AT206" s="145">
        <f t="shared" si="319"/>
        <v>132.89999999999998</v>
      </c>
      <c r="AU206" s="145">
        <f t="shared" ref="AU206:CP206" si="320">AU202+AU203+AU204+AU205-AU201</f>
        <v>863.5</v>
      </c>
      <c r="AV206" s="145">
        <f t="shared" si="320"/>
        <v>798</v>
      </c>
      <c r="AW206" s="144">
        <f t="shared" si="320"/>
        <v>798</v>
      </c>
      <c r="AX206" s="145">
        <f t="shared" si="320"/>
        <v>786</v>
      </c>
      <c r="AY206" s="145">
        <f t="shared" si="320"/>
        <v>812</v>
      </c>
      <c r="AZ206" s="145">
        <f t="shared" si="320"/>
        <v>719</v>
      </c>
      <c r="BA206" s="145">
        <f t="shared" si="320"/>
        <v>568</v>
      </c>
      <c r="BB206" s="144">
        <f t="shared" si="320"/>
        <v>568</v>
      </c>
      <c r="BC206" s="145">
        <f t="shared" si="320"/>
        <v>551</v>
      </c>
      <c r="BD206" s="145">
        <f t="shared" si="320"/>
        <v>887</v>
      </c>
      <c r="BE206" s="145">
        <f t="shared" si="320"/>
        <v>756</v>
      </c>
      <c r="BF206" s="145">
        <f t="shared" si="320"/>
        <v>813</v>
      </c>
      <c r="BG206" s="144">
        <f t="shared" si="320"/>
        <v>813</v>
      </c>
      <c r="BH206" s="145">
        <f>BH202+BH203+BH204+BH205-BH201</f>
        <v>998</v>
      </c>
      <c r="BI206" s="145">
        <f t="shared" si="320"/>
        <v>1587</v>
      </c>
      <c r="BJ206" s="145">
        <f t="shared" si="320"/>
        <v>1421</v>
      </c>
      <c r="BK206" s="145">
        <f t="shared" si="320"/>
        <v>1238</v>
      </c>
      <c r="BL206" s="144">
        <f t="shared" si="320"/>
        <v>1238</v>
      </c>
      <c r="BM206" s="145">
        <f t="shared" si="320"/>
        <v>1782</v>
      </c>
      <c r="BN206" s="145">
        <f t="shared" si="320"/>
        <v>2043</v>
      </c>
      <c r="BO206" s="145">
        <f>BO202+BO203+BO204+BO205-BO201</f>
        <v>2029</v>
      </c>
      <c r="BP206" s="145">
        <f t="shared" si="320"/>
        <v>1967</v>
      </c>
      <c r="BQ206" s="144">
        <f t="shared" si="320"/>
        <v>1967</v>
      </c>
      <c r="BR206" s="145">
        <f t="shared" si="320"/>
        <v>1990</v>
      </c>
      <c r="BS206" s="145">
        <f t="shared" si="320"/>
        <v>1992</v>
      </c>
      <c r="BT206" s="145">
        <f t="shared" ca="1" si="320"/>
        <v>2057.1912431460432</v>
      </c>
      <c r="BU206" s="145">
        <f t="shared" ca="1" si="320"/>
        <v>1996.5943781233291</v>
      </c>
      <c r="BV206" s="144">
        <f t="shared" ca="1" si="320"/>
        <v>1996.5943781233291</v>
      </c>
      <c r="BW206" s="145">
        <f t="shared" ca="1" si="320"/>
        <v>2163.9320407135538</v>
      </c>
      <c r="BX206" s="145">
        <f t="shared" ca="1" si="320"/>
        <v>2217.2358579769898</v>
      </c>
      <c r="BY206" s="145">
        <f t="shared" ca="1" si="320"/>
        <v>2256.029685993135</v>
      </c>
      <c r="BZ206" s="145">
        <f t="shared" ca="1" si="320"/>
        <v>2148.620292336188</v>
      </c>
      <c r="CA206" s="144">
        <f t="shared" ca="1" si="320"/>
        <v>2148.620292336188</v>
      </c>
      <c r="CB206" s="145">
        <f t="shared" ca="1" si="320"/>
        <v>2309.3207293235428</v>
      </c>
      <c r="CC206" s="145">
        <f t="shared" ca="1" si="320"/>
        <v>2357.9508434608333</v>
      </c>
      <c r="CD206" s="145">
        <f t="shared" ca="1" si="320"/>
        <v>2390.662581970566</v>
      </c>
      <c r="CE206" s="145">
        <f t="shared" ca="1" si="320"/>
        <v>2270.8680453766437</v>
      </c>
      <c r="CF206" s="144">
        <f t="shared" ca="1" si="320"/>
        <v>2270.8680453766437</v>
      </c>
      <c r="CG206" s="145">
        <f t="shared" ca="1" si="320"/>
        <v>2436.2745955610944</v>
      </c>
      <c r="CH206" s="145">
        <f t="shared" ca="1" si="320"/>
        <v>2480.0134140429509</v>
      </c>
      <c r="CI206" s="145">
        <f t="shared" ca="1" si="320"/>
        <v>2506.2691850971605</v>
      </c>
      <c r="CJ206" s="145">
        <f t="shared" ca="1" si="320"/>
        <v>2372.3096981210474</v>
      </c>
      <c r="CK206" s="144">
        <f t="shared" ca="1" si="320"/>
        <v>2372.3096981210474</v>
      </c>
      <c r="CL206" s="145">
        <f t="shared" ca="1" si="320"/>
        <v>2544.4458666451992</v>
      </c>
      <c r="CM206" s="145">
        <f t="shared" ca="1" si="320"/>
        <v>2583.1391235118053</v>
      </c>
      <c r="CN206" s="145">
        <f t="shared" ca="1" si="320"/>
        <v>2602.9882316422863</v>
      </c>
      <c r="CO206" s="145">
        <f t="shared" ca="1" si="320"/>
        <v>2454.3126237571769</v>
      </c>
      <c r="CP206" s="144">
        <f t="shared" ca="1" si="320"/>
        <v>2454.3126237571769</v>
      </c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</row>
    <row r="207" spans="1:109" s="38" customFormat="1" x14ac:dyDescent="0.25">
      <c r="A207" s="38" t="s">
        <v>123</v>
      </c>
      <c r="C207" s="144">
        <f>C118</f>
        <v>840</v>
      </c>
      <c r="D207" s="144">
        <f t="shared" ref="D207:J207" si="321">D118</f>
        <v>1085</v>
      </c>
      <c r="E207" s="145">
        <f t="shared" si="321"/>
        <v>1093.3000000000002</v>
      </c>
      <c r="F207" s="145">
        <f t="shared" si="321"/>
        <v>1202.8000000000002</v>
      </c>
      <c r="G207" s="145">
        <f t="shared" si="321"/>
        <v>1241.1999999999998</v>
      </c>
      <c r="H207" s="145">
        <f t="shared" si="321"/>
        <v>1310</v>
      </c>
      <c r="I207" s="144">
        <f t="shared" si="321"/>
        <v>1310</v>
      </c>
      <c r="J207" s="145">
        <f t="shared" si="321"/>
        <v>1262.2</v>
      </c>
      <c r="K207" s="145">
        <f t="shared" ref="K207:AC207" si="322">K118</f>
        <v>1400</v>
      </c>
      <c r="L207" s="145">
        <f t="shared" si="322"/>
        <v>1461.6</v>
      </c>
      <c r="M207" s="145">
        <f>M118</f>
        <v>1563</v>
      </c>
      <c r="N207" s="144">
        <f t="shared" si="322"/>
        <v>1563</v>
      </c>
      <c r="O207" s="145">
        <f t="shared" si="322"/>
        <v>1613.8</v>
      </c>
      <c r="P207" s="145">
        <f t="shared" si="322"/>
        <v>1749.6</v>
      </c>
      <c r="Q207" s="145">
        <f t="shared" si="322"/>
        <v>1789.2000000000003</v>
      </c>
      <c r="R207" s="145">
        <f t="shared" si="322"/>
        <v>1573</v>
      </c>
      <c r="S207" s="144">
        <f t="shared" si="322"/>
        <v>1573</v>
      </c>
      <c r="T207" s="145">
        <f t="shared" si="322"/>
        <v>1606.9</v>
      </c>
      <c r="U207" s="145">
        <f t="shared" si="322"/>
        <v>1750.0000000000002</v>
      </c>
      <c r="V207" s="145">
        <f t="shared" si="322"/>
        <v>1694.6000000000001</v>
      </c>
      <c r="W207" s="145">
        <f t="shared" si="322"/>
        <v>1725</v>
      </c>
      <c r="X207" s="144">
        <f t="shared" si="322"/>
        <v>1725</v>
      </c>
      <c r="Y207" s="145">
        <f t="shared" si="322"/>
        <v>1751.0000000000002</v>
      </c>
      <c r="Z207" s="145">
        <f t="shared" si="322"/>
        <v>1812.2000000000003</v>
      </c>
      <c r="AA207" s="145">
        <f t="shared" si="322"/>
        <v>1811.6</v>
      </c>
      <c r="AB207" s="145">
        <f t="shared" si="322"/>
        <v>1815.7999999999997</v>
      </c>
      <c r="AC207" s="144">
        <f t="shared" si="322"/>
        <v>1815.7999999999997</v>
      </c>
      <c r="AD207" s="145">
        <f t="shared" ref="AD207:AT207" si="323">AD118</f>
        <v>1803</v>
      </c>
      <c r="AE207" s="145">
        <f t="shared" si="323"/>
        <v>1874.2</v>
      </c>
      <c r="AF207" s="145">
        <f t="shared" si="323"/>
        <v>1881.8000000000002</v>
      </c>
      <c r="AG207" s="145">
        <f t="shared" si="323"/>
        <v>1895</v>
      </c>
      <c r="AH207" s="144">
        <f t="shared" si="323"/>
        <v>1895</v>
      </c>
      <c r="AI207" s="145">
        <f t="shared" si="323"/>
        <v>1866.9000000000003</v>
      </c>
      <c r="AJ207" s="145">
        <f t="shared" si="323"/>
        <v>1975.4000000000003</v>
      </c>
      <c r="AK207" s="145">
        <f t="shared" si="323"/>
        <v>1873.7</v>
      </c>
      <c r="AL207" s="145">
        <f t="shared" si="323"/>
        <v>2060</v>
      </c>
      <c r="AM207" s="144">
        <f t="shared" si="323"/>
        <v>2060</v>
      </c>
      <c r="AN207" s="145">
        <f t="shared" si="323"/>
        <v>2070.2000000000003</v>
      </c>
      <c r="AO207" s="145">
        <f t="shared" si="323"/>
        <v>2006.2</v>
      </c>
      <c r="AP207" s="145">
        <f t="shared" si="323"/>
        <v>2034.7</v>
      </c>
      <c r="AQ207" s="145">
        <f t="shared" si="323"/>
        <v>2069</v>
      </c>
      <c r="AR207" s="144">
        <f t="shared" si="323"/>
        <v>2069</v>
      </c>
      <c r="AS207" s="145">
        <f t="shared" si="323"/>
        <v>2122</v>
      </c>
      <c r="AT207" s="145">
        <f t="shared" si="323"/>
        <v>2304.8000000000002</v>
      </c>
      <c r="AU207" s="145">
        <f t="shared" ref="AU207:CP207" si="324">AU118</f>
        <v>1518.8</v>
      </c>
      <c r="AV207" s="145">
        <f t="shared" si="324"/>
        <v>1628</v>
      </c>
      <c r="AW207" s="144">
        <f t="shared" si="324"/>
        <v>1628</v>
      </c>
      <c r="AX207" s="145">
        <f t="shared" si="324"/>
        <v>1666</v>
      </c>
      <c r="AY207" s="145">
        <f t="shared" si="324"/>
        <v>1838</v>
      </c>
      <c r="AZ207" s="145">
        <f t="shared" si="324"/>
        <v>1889</v>
      </c>
      <c r="BA207" s="145">
        <f t="shared" si="324"/>
        <v>2032</v>
      </c>
      <c r="BB207" s="144">
        <f t="shared" si="324"/>
        <v>2032</v>
      </c>
      <c r="BC207" s="145">
        <f t="shared" si="324"/>
        <v>2054</v>
      </c>
      <c r="BD207" s="145">
        <f t="shared" si="324"/>
        <v>2075</v>
      </c>
      <c r="BE207" s="145">
        <f t="shared" si="324"/>
        <v>2041</v>
      </c>
      <c r="BF207" s="145">
        <f t="shared" si="324"/>
        <v>1905</v>
      </c>
      <c r="BG207" s="144">
        <f t="shared" si="324"/>
        <v>1905</v>
      </c>
      <c r="BH207" s="145">
        <f>BH118</f>
        <v>1707</v>
      </c>
      <c r="BI207" s="145">
        <f t="shared" si="324"/>
        <v>1401</v>
      </c>
      <c r="BJ207" s="145">
        <f t="shared" si="324"/>
        <v>1417</v>
      </c>
      <c r="BK207" s="145">
        <f t="shared" si="324"/>
        <v>1562</v>
      </c>
      <c r="BL207" s="144">
        <f t="shared" si="324"/>
        <v>1562</v>
      </c>
      <c r="BM207" s="145">
        <f t="shared" si="324"/>
        <v>1330</v>
      </c>
      <c r="BN207" s="145">
        <f t="shared" si="324"/>
        <v>1283</v>
      </c>
      <c r="BO207" s="145">
        <f>BO118</f>
        <v>1184</v>
      </c>
      <c r="BP207" s="145">
        <f t="shared" si="324"/>
        <v>1370</v>
      </c>
      <c r="BQ207" s="144">
        <f t="shared" si="324"/>
        <v>1370</v>
      </c>
      <c r="BR207" s="145">
        <f t="shared" si="324"/>
        <v>1420</v>
      </c>
      <c r="BS207" s="145">
        <f t="shared" si="324"/>
        <v>1647</v>
      </c>
      <c r="BT207" s="145">
        <f t="shared" ca="1" si="324"/>
        <v>1617.5783197417086</v>
      </c>
      <c r="BU207" s="145">
        <f t="shared" ca="1" si="324"/>
        <v>1540.1646404712519</v>
      </c>
      <c r="BV207" s="144">
        <f t="shared" ca="1" si="324"/>
        <v>1540.1646404712519</v>
      </c>
      <c r="BW207" s="145">
        <f t="shared" ca="1" si="324"/>
        <v>1520.1067917668415</v>
      </c>
      <c r="BX207" s="145">
        <f t="shared" ca="1" si="324"/>
        <v>1569.7449862728922</v>
      </c>
      <c r="BY207" s="145">
        <f t="shared" ca="1" si="324"/>
        <v>1578.9613287403131</v>
      </c>
      <c r="BZ207" s="145">
        <f t="shared" ca="1" si="324"/>
        <v>1535.6294621271109</v>
      </c>
      <c r="CA207" s="144">
        <f t="shared" ca="1" si="324"/>
        <v>1535.6294621271109</v>
      </c>
      <c r="CB207" s="145">
        <f t="shared" ca="1" si="324"/>
        <v>1518.4758395797144</v>
      </c>
      <c r="CC207" s="145">
        <f t="shared" ca="1" si="324"/>
        <v>1574.6889937730625</v>
      </c>
      <c r="CD207" s="145">
        <f t="shared" ca="1" si="324"/>
        <v>1589.495720264988</v>
      </c>
      <c r="CE207" s="145">
        <f t="shared" ca="1" si="324"/>
        <v>1548.5440190628328</v>
      </c>
      <c r="CF207" s="144">
        <f t="shared" ca="1" si="324"/>
        <v>1548.5440190628328</v>
      </c>
      <c r="CG207" s="145">
        <f t="shared" ca="1" si="324"/>
        <v>1535.2451570723124</v>
      </c>
      <c r="CH207" s="145">
        <f t="shared" ca="1" si="324"/>
        <v>1599.659252411584</v>
      </c>
      <c r="CI207" s="145">
        <f t="shared" ca="1" si="324"/>
        <v>1621.777238452024</v>
      </c>
      <c r="CJ207" s="145">
        <f t="shared" ca="1" si="324"/>
        <v>1584.9142319902044</v>
      </c>
      <c r="CK207" s="144">
        <f t="shared" ca="1" si="324"/>
        <v>1584.9142319902044</v>
      </c>
      <c r="CL207" s="145">
        <f t="shared" ca="1" si="324"/>
        <v>1576.4823513983001</v>
      </c>
      <c r="CM207" s="145">
        <f t="shared" ca="1" si="324"/>
        <v>1649.67679972525</v>
      </c>
      <c r="CN207" s="145">
        <f t="shared" ca="1" si="324"/>
        <v>1679.415152419072</v>
      </c>
      <c r="CO207" s="145">
        <f t="shared" ca="1" si="324"/>
        <v>1646.8920809368665</v>
      </c>
      <c r="CP207" s="144">
        <f t="shared" ca="1" si="324"/>
        <v>1646.8920809368665</v>
      </c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</row>
    <row r="208" spans="1:109" x14ac:dyDescent="0.25">
      <c r="A208" s="52" t="s">
        <v>124</v>
      </c>
      <c r="C208" s="156">
        <f>C206/(C206+C207)</f>
        <v>0.47630922693266831</v>
      </c>
      <c r="D208" s="156">
        <f t="shared" ref="D208:AH208" si="325">D206/(D206+D207)</f>
        <v>0.36063641720683559</v>
      </c>
      <c r="E208" s="60">
        <f t="shared" si="325"/>
        <v>0.33979468599033813</v>
      </c>
      <c r="F208" s="60">
        <f t="shared" si="325"/>
        <v>0.32232801847991438</v>
      </c>
      <c r="G208" s="60">
        <f t="shared" si="325"/>
        <v>0.21690851735015773</v>
      </c>
      <c r="H208" s="60">
        <f t="shared" si="325"/>
        <v>0.20408287259250255</v>
      </c>
      <c r="I208" s="156">
        <f t="shared" si="325"/>
        <v>0.20408287259250255</v>
      </c>
      <c r="J208" s="60">
        <f t="shared" si="325"/>
        <v>0.21003880335461261</v>
      </c>
      <c r="K208" s="60">
        <f t="shared" si="325"/>
        <v>9.6541042849767708E-2</v>
      </c>
      <c r="L208" s="60">
        <f t="shared" si="325"/>
        <v>3.7488923727080638E-3</v>
      </c>
      <c r="M208" s="60">
        <f t="shared" si="325"/>
        <v>-3.9228723404255317E-2</v>
      </c>
      <c r="N208" s="156">
        <f t="shared" si="325"/>
        <v>-3.9228723404255317E-2</v>
      </c>
      <c r="O208" s="60">
        <f t="shared" si="325"/>
        <v>8.2703347922469167E-2</v>
      </c>
      <c r="P208" s="60">
        <f t="shared" si="325"/>
        <v>7.3157811092864358E-2</v>
      </c>
      <c r="Q208" s="60">
        <f t="shared" si="325"/>
        <v>0.31985098456625854</v>
      </c>
      <c r="R208" s="60">
        <f t="shared" si="325"/>
        <v>0.33935321293574128</v>
      </c>
      <c r="S208" s="156">
        <f t="shared" si="325"/>
        <v>0.33935321293574128</v>
      </c>
      <c r="T208" s="60">
        <f t="shared" si="325"/>
        <v>0.36867952697128031</v>
      </c>
      <c r="U208" s="60">
        <f t="shared" si="325"/>
        <v>0.34569655275555217</v>
      </c>
      <c r="V208" s="60">
        <f t="shared" si="325"/>
        <v>0.34121214477316014</v>
      </c>
      <c r="W208" s="60">
        <f t="shared" si="325"/>
        <v>0.33958652373660031</v>
      </c>
      <c r="X208" s="156">
        <f t="shared" si="325"/>
        <v>0.33958652373660031</v>
      </c>
      <c r="Y208" s="73">
        <f t="shared" si="325"/>
        <v>0.32346804729155376</v>
      </c>
      <c r="Z208" s="73">
        <f t="shared" si="325"/>
        <v>0.32501489868891542</v>
      </c>
      <c r="AA208" s="73">
        <f t="shared" si="325"/>
        <v>0.2852803093068213</v>
      </c>
      <c r="AB208" s="73">
        <f t="shared" si="325"/>
        <v>0.26619519094766619</v>
      </c>
      <c r="AC208" s="156">
        <f t="shared" si="325"/>
        <v>0.26619519094766619</v>
      </c>
      <c r="AD208" s="73">
        <f t="shared" si="325"/>
        <v>0.25857389587959539</v>
      </c>
      <c r="AE208" s="73">
        <f t="shared" si="325"/>
        <v>0.26447156704995878</v>
      </c>
      <c r="AF208" s="73">
        <f t="shared" si="325"/>
        <v>0.21813195944823</v>
      </c>
      <c r="AG208" s="73">
        <f t="shared" si="325"/>
        <v>0.19771380186282811</v>
      </c>
      <c r="AH208" s="156">
        <f t="shared" si="325"/>
        <v>0.19771380186282811</v>
      </c>
      <c r="AI208" s="73">
        <f t="shared" ref="AI208:AT208" si="326">AI206/(AI206+AI207)</f>
        <v>0.19658303567586174</v>
      </c>
      <c r="AJ208" s="73">
        <f t="shared" si="326"/>
        <v>0.1961422641816554</v>
      </c>
      <c r="AK208" s="73">
        <f t="shared" si="326"/>
        <v>0.20332497129980018</v>
      </c>
      <c r="AL208" s="73">
        <f t="shared" si="326"/>
        <v>8.5257548845470696E-2</v>
      </c>
      <c r="AM208" s="156">
        <f t="shared" si="326"/>
        <v>8.5257548845470696E-2</v>
      </c>
      <c r="AN208" s="73">
        <f t="shared" si="326"/>
        <v>9.0901106622167563E-2</v>
      </c>
      <c r="AO208" s="73">
        <f t="shared" si="326"/>
        <v>0.15840255054954275</v>
      </c>
      <c r="AP208" s="73">
        <f t="shared" si="326"/>
        <v>0.11392239689935985</v>
      </c>
      <c r="AQ208" s="73">
        <f t="shared" si="326"/>
        <v>7.5100581135449263E-2</v>
      </c>
      <c r="AR208" s="156">
        <f t="shared" si="326"/>
        <v>7.5100581135449263E-2</v>
      </c>
      <c r="AS208" s="73">
        <f t="shared" si="326"/>
        <v>6.214089984973041E-2</v>
      </c>
      <c r="AT208" s="73">
        <f t="shared" si="326"/>
        <v>5.4518603601755741E-2</v>
      </c>
      <c r="AU208" s="73">
        <f t="shared" ref="AU208:CP208" si="327">AU206/(AU206+AU207)</f>
        <v>0.3624648448977878</v>
      </c>
      <c r="AV208" s="73">
        <f t="shared" si="327"/>
        <v>0.32893652102225884</v>
      </c>
      <c r="AW208" s="156">
        <f t="shared" si="327"/>
        <v>0.32893652102225884</v>
      </c>
      <c r="AX208" s="73">
        <f t="shared" si="327"/>
        <v>0.32055464926590538</v>
      </c>
      <c r="AY208" s="73">
        <f t="shared" si="327"/>
        <v>0.30641509433962266</v>
      </c>
      <c r="AZ208" s="73">
        <f t="shared" si="327"/>
        <v>0.27569018404907975</v>
      </c>
      <c r="BA208" s="73">
        <f t="shared" si="327"/>
        <v>0.21846153846153846</v>
      </c>
      <c r="BB208" s="156">
        <f t="shared" si="327"/>
        <v>0.21846153846153846</v>
      </c>
      <c r="BC208" s="73">
        <f t="shared" si="327"/>
        <v>0.21151631477927063</v>
      </c>
      <c r="BD208" s="73">
        <f t="shared" si="327"/>
        <v>0.29945982444294394</v>
      </c>
      <c r="BE208" s="73">
        <f t="shared" si="327"/>
        <v>0.27028959599570967</v>
      </c>
      <c r="BF208" s="73">
        <f t="shared" si="327"/>
        <v>0.29911699779249445</v>
      </c>
      <c r="BG208" s="156">
        <f t="shared" si="327"/>
        <v>0.29911699779249445</v>
      </c>
      <c r="BH208" s="73">
        <f>BH206/(BH206+BH207)</f>
        <v>0.36894639556377079</v>
      </c>
      <c r="BI208" s="73">
        <f t="shared" si="327"/>
        <v>0.53112449799196793</v>
      </c>
      <c r="BJ208" s="73">
        <f t="shared" si="327"/>
        <v>0.50070472163495416</v>
      </c>
      <c r="BK208" s="73">
        <f t="shared" si="327"/>
        <v>0.44214285714285712</v>
      </c>
      <c r="BL208" s="156">
        <f t="shared" si="327"/>
        <v>0.44214285714285712</v>
      </c>
      <c r="BM208" s="73">
        <f t="shared" si="327"/>
        <v>0.57262210796915169</v>
      </c>
      <c r="BN208" s="73">
        <f t="shared" si="327"/>
        <v>0.61425135297654843</v>
      </c>
      <c r="BO208" s="73">
        <f t="shared" si="327"/>
        <v>0.63149704326174916</v>
      </c>
      <c r="BP208" s="73">
        <f t="shared" si="327"/>
        <v>0.58945160323643997</v>
      </c>
      <c r="BQ208" s="156">
        <f t="shared" si="327"/>
        <v>0.58945160323643997</v>
      </c>
      <c r="BR208" s="73">
        <f t="shared" si="327"/>
        <v>0.58357771260997071</v>
      </c>
      <c r="BS208" s="73">
        <f t="shared" si="327"/>
        <v>0.54740313272877161</v>
      </c>
      <c r="BT208" s="73">
        <f t="shared" ca="1" si="327"/>
        <v>0.55981503273621225</v>
      </c>
      <c r="BU208" s="73">
        <f t="shared" ca="1" si="327"/>
        <v>0.56452655315960021</v>
      </c>
      <c r="BV208" s="156">
        <f t="shared" ca="1" si="327"/>
        <v>0.56452655315960021</v>
      </c>
      <c r="BW208" s="73">
        <f t="shared" ca="1" si="327"/>
        <v>0.58738035593849003</v>
      </c>
      <c r="BX208" s="73">
        <f t="shared" ca="1" si="327"/>
        <v>0.58548906085533048</v>
      </c>
      <c r="BY208" s="73">
        <f t="shared" ca="1" si="327"/>
        <v>0.58827509043067228</v>
      </c>
      <c r="BZ208" s="73">
        <f t="shared" ca="1" si="327"/>
        <v>0.58319072688631746</v>
      </c>
      <c r="CA208" s="156">
        <f t="shared" ca="1" si="327"/>
        <v>0.58319072688631746</v>
      </c>
      <c r="CB208" s="73">
        <f t="shared" ca="1" si="327"/>
        <v>0.60330288920897668</v>
      </c>
      <c r="CC208" s="73">
        <f t="shared" ca="1" si="327"/>
        <v>0.59958474232396197</v>
      </c>
      <c r="CD208" s="73">
        <f t="shared" ca="1" si="327"/>
        <v>0.60064510012774908</v>
      </c>
      <c r="CE208" s="73">
        <f t="shared" ca="1" si="327"/>
        <v>0.59455958327185843</v>
      </c>
      <c r="CF208" s="156">
        <f t="shared" ca="1" si="327"/>
        <v>0.59455958327185843</v>
      </c>
      <c r="CG208" s="73">
        <f t="shared" ca="1" si="327"/>
        <v>0.61343635366427851</v>
      </c>
      <c r="CH208" s="73">
        <f t="shared" ca="1" si="327"/>
        <v>0.60789519571878348</v>
      </c>
      <c r="CI208" s="73">
        <f t="shared" ca="1" si="327"/>
        <v>0.60713202516320952</v>
      </c>
      <c r="CJ208" s="73">
        <f t="shared" ca="1" si="327"/>
        <v>0.59948836356459445</v>
      </c>
      <c r="CK208" s="156">
        <f t="shared" ca="1" si="327"/>
        <v>0.59948836356459445</v>
      </c>
      <c r="CL208" s="73">
        <f t="shared" ca="1" si="327"/>
        <v>0.61744484058332627</v>
      </c>
      <c r="CM208" s="73">
        <f t="shared" ca="1" si="327"/>
        <v>0.61026493246045621</v>
      </c>
      <c r="CN208" s="73">
        <f t="shared" ca="1" si="327"/>
        <v>0.6078334986681373</v>
      </c>
      <c r="CO208" s="73">
        <f t="shared" ca="1" si="327"/>
        <v>0.59843699607290701</v>
      </c>
      <c r="CP208" s="156">
        <f t="shared" ca="1" si="327"/>
        <v>0.59843699607290701</v>
      </c>
    </row>
    <row r="209" spans="1:94" x14ac:dyDescent="0.25">
      <c r="A209" s="52" t="s">
        <v>133</v>
      </c>
      <c r="C209" s="94">
        <f t="shared" ref="C209:AH209" si="328">C34+C126+C127</f>
        <v>396.20000000000005</v>
      </c>
      <c r="D209" s="94">
        <f t="shared" si="328"/>
        <v>441.40000000000009</v>
      </c>
      <c r="E209" s="119">
        <f t="shared" si="328"/>
        <v>107.89999999999999</v>
      </c>
      <c r="F209" s="119">
        <f t="shared" si="328"/>
        <v>154.6</v>
      </c>
      <c r="G209" s="119">
        <f t="shared" si="328"/>
        <v>129.10000000000002</v>
      </c>
      <c r="H209" s="119">
        <f t="shared" si="328"/>
        <v>98.899999999999991</v>
      </c>
      <c r="I209" s="94">
        <f t="shared" si="328"/>
        <v>490.5</v>
      </c>
      <c r="J209" s="119">
        <f t="shared" si="328"/>
        <v>131.6</v>
      </c>
      <c r="K209" s="119">
        <f t="shared" si="328"/>
        <v>171.09999999999991</v>
      </c>
      <c r="L209" s="119">
        <f t="shared" si="328"/>
        <v>148.1</v>
      </c>
      <c r="M209" s="119">
        <f t="shared" si="328"/>
        <v>113.89999999999999</v>
      </c>
      <c r="N209" s="94">
        <f t="shared" si="328"/>
        <v>564.69999999999993</v>
      </c>
      <c r="O209" s="119">
        <f t="shared" si="328"/>
        <v>152.49999999999994</v>
      </c>
      <c r="P209" s="119">
        <f t="shared" si="328"/>
        <v>182.90000000000015</v>
      </c>
      <c r="Q209" s="119">
        <f t="shared" si="328"/>
        <v>179.90000000000003</v>
      </c>
      <c r="R209" s="119">
        <f t="shared" si="328"/>
        <v>120.79999999999995</v>
      </c>
      <c r="S209" s="94">
        <f t="shared" si="328"/>
        <v>636.10000000000014</v>
      </c>
      <c r="T209" s="119">
        <f t="shared" si="328"/>
        <v>165.4</v>
      </c>
      <c r="U209" s="119">
        <f t="shared" si="328"/>
        <v>228.29999999999995</v>
      </c>
      <c r="V209" s="119">
        <f t="shared" si="328"/>
        <v>194.29999999999998</v>
      </c>
      <c r="W209" s="119">
        <f t="shared" si="328"/>
        <v>148.99999999999997</v>
      </c>
      <c r="X209" s="94">
        <f t="shared" si="328"/>
        <v>737</v>
      </c>
      <c r="Y209" s="119">
        <f t="shared" si="328"/>
        <v>175.9</v>
      </c>
      <c r="Z209" s="119">
        <f t="shared" si="328"/>
        <v>234.99999999999997</v>
      </c>
      <c r="AA209" s="119">
        <f t="shared" si="328"/>
        <v>169.90000000000003</v>
      </c>
      <c r="AB209" s="119">
        <f t="shared" si="328"/>
        <v>148.40000000000003</v>
      </c>
      <c r="AC209" s="94">
        <f t="shared" si="328"/>
        <v>729.19999999999982</v>
      </c>
      <c r="AD209" s="119">
        <f t="shared" si="328"/>
        <v>206.40000000000003</v>
      </c>
      <c r="AE209" s="119">
        <f t="shared" si="328"/>
        <v>239.79999999999998</v>
      </c>
      <c r="AF209" s="119">
        <f t="shared" si="328"/>
        <v>200.69999999999996</v>
      </c>
      <c r="AG209" s="119">
        <f t="shared" si="328"/>
        <v>133.70000000000007</v>
      </c>
      <c r="AH209" s="94">
        <f t="shared" si="328"/>
        <v>780.59999999999991</v>
      </c>
      <c r="AI209" s="119">
        <f t="shared" ref="AI209:BN209" si="329">AI34+AI126+AI127</f>
        <v>187.20000000000002</v>
      </c>
      <c r="AJ209" s="119">
        <f t="shared" si="329"/>
        <v>249.2</v>
      </c>
      <c r="AK209" s="119">
        <f t="shared" si="329"/>
        <v>239.69999999999996</v>
      </c>
      <c r="AL209" s="119">
        <f t="shared" si="329"/>
        <v>181.99999999999997</v>
      </c>
      <c r="AM209" s="94">
        <f t="shared" si="329"/>
        <v>858.0999999999998</v>
      </c>
      <c r="AN209" s="119">
        <f t="shared" si="329"/>
        <v>198.89999999999998</v>
      </c>
      <c r="AO209" s="119">
        <f t="shared" si="329"/>
        <v>259.09999999999997</v>
      </c>
      <c r="AP209" s="119">
        <f t="shared" si="329"/>
        <v>218.09999999999997</v>
      </c>
      <c r="AQ209" s="119">
        <f t="shared" si="329"/>
        <v>161.40000000000006</v>
      </c>
      <c r="AR209" s="94">
        <f t="shared" si="329"/>
        <v>837.49999999999989</v>
      </c>
      <c r="AS209" s="119">
        <f t="shared" si="329"/>
        <v>233.20000000000002</v>
      </c>
      <c r="AT209" s="119">
        <f t="shared" si="329"/>
        <v>276.60000000000002</v>
      </c>
      <c r="AU209" s="119">
        <f t="shared" si="329"/>
        <v>247.3</v>
      </c>
      <c r="AV209" s="119">
        <f t="shared" si="329"/>
        <v>191.9</v>
      </c>
      <c r="AW209" s="94">
        <f t="shared" si="329"/>
        <v>949</v>
      </c>
      <c r="AX209" s="119">
        <f t="shared" si="329"/>
        <v>229</v>
      </c>
      <c r="AY209" s="119">
        <f t="shared" si="329"/>
        <v>323</v>
      </c>
      <c r="AZ209" s="119">
        <f t="shared" si="329"/>
        <v>267</v>
      </c>
      <c r="BA209" s="119">
        <f t="shared" si="329"/>
        <v>203</v>
      </c>
      <c r="BB209" s="94">
        <f t="shared" si="329"/>
        <v>1022</v>
      </c>
      <c r="BC209" s="119">
        <f t="shared" si="329"/>
        <v>234</v>
      </c>
      <c r="BD209" s="119">
        <f t="shared" si="329"/>
        <v>315</v>
      </c>
      <c r="BE209" s="119">
        <f t="shared" si="329"/>
        <v>283</v>
      </c>
      <c r="BF209" s="119">
        <f t="shared" si="329"/>
        <v>247</v>
      </c>
      <c r="BG209" s="94">
        <f t="shared" si="329"/>
        <v>1079</v>
      </c>
      <c r="BH209" s="119">
        <f>BH34+BH126+BH127</f>
        <v>240</v>
      </c>
      <c r="BI209" s="119">
        <f t="shared" si="329"/>
        <v>316</v>
      </c>
      <c r="BJ209" s="119">
        <f t="shared" si="329"/>
        <v>291</v>
      </c>
      <c r="BK209" s="119">
        <f t="shared" si="329"/>
        <v>257</v>
      </c>
      <c r="BL209" s="94">
        <f t="shared" si="329"/>
        <v>1104</v>
      </c>
      <c r="BM209" s="119">
        <f t="shared" si="329"/>
        <v>228</v>
      </c>
      <c r="BN209" s="119">
        <f t="shared" si="329"/>
        <v>304</v>
      </c>
      <c r="BO209" s="119">
        <f t="shared" ref="BO209:CA209" si="330">BO34+BO126+BO127</f>
        <v>287</v>
      </c>
      <c r="BP209" s="119">
        <f t="shared" si="330"/>
        <v>230</v>
      </c>
      <c r="BQ209" s="94">
        <f t="shared" si="330"/>
        <v>1049</v>
      </c>
      <c r="BR209" s="119">
        <f t="shared" si="330"/>
        <v>259</v>
      </c>
      <c r="BS209" s="119">
        <f t="shared" si="330"/>
        <v>361</v>
      </c>
      <c r="BT209" s="119">
        <f t="shared" si="330"/>
        <v>311.15592200120926</v>
      </c>
      <c r="BU209" s="119">
        <f t="shared" si="330"/>
        <v>241.66883131052151</v>
      </c>
      <c r="BV209" s="94">
        <f t="shared" si="330"/>
        <v>1172.8247533117308</v>
      </c>
      <c r="BW209" s="119">
        <f t="shared" si="330"/>
        <v>284.3412443318914</v>
      </c>
      <c r="BX209" s="119">
        <f t="shared" si="330"/>
        <v>382.73784141344265</v>
      </c>
      <c r="BY209" s="119">
        <f t="shared" si="330"/>
        <v>338.90252481159706</v>
      </c>
      <c r="BZ209" s="119">
        <f t="shared" si="330"/>
        <v>264.09728169209035</v>
      </c>
      <c r="CA209" s="94">
        <f t="shared" si="330"/>
        <v>1270.0788922490215</v>
      </c>
      <c r="CB209" s="119">
        <f t="shared" ref="CB209:CK209" si="331">CB34+CB126+CB127</f>
        <v>300.59534696883958</v>
      </c>
      <c r="CC209" s="119">
        <f t="shared" si="331"/>
        <v>404.09251234947737</v>
      </c>
      <c r="CD209" s="119">
        <f t="shared" si="331"/>
        <v>358.55660292290816</v>
      </c>
      <c r="CE209" s="119">
        <f t="shared" si="331"/>
        <v>279.43557949323576</v>
      </c>
      <c r="CF209" s="94">
        <f t="shared" si="331"/>
        <v>1342.6800417344607</v>
      </c>
      <c r="CG209" s="119">
        <f t="shared" si="331"/>
        <v>317.80400675865275</v>
      </c>
      <c r="CH209" s="119">
        <f t="shared" si="331"/>
        <v>426.68830577558197</v>
      </c>
      <c r="CI209" s="119">
        <f t="shared" si="331"/>
        <v>379.36633253332155</v>
      </c>
      <c r="CJ209" s="119">
        <f t="shared" si="331"/>
        <v>295.68496387026522</v>
      </c>
      <c r="CK209" s="94">
        <f t="shared" si="331"/>
        <v>1419.5436089378218</v>
      </c>
      <c r="CL209" s="119">
        <f>CL34+CL126+CL127</f>
        <v>335.12837642761377</v>
      </c>
      <c r="CM209" s="119">
        <f>CM34+CM126+CM127</f>
        <v>449.50359692083418</v>
      </c>
      <c r="CN209" s="119">
        <f>CN34+CN126+CN127</f>
        <v>400.30857375818846</v>
      </c>
      <c r="CO209" s="119">
        <f>CO34+CO126+CO127</f>
        <v>311.98991611555459</v>
      </c>
      <c r="CP209" s="94">
        <f>CP34+CP126+CP127</f>
        <v>1496.9304632221911</v>
      </c>
    </row>
    <row r="210" spans="1:94" x14ac:dyDescent="0.25">
      <c r="A210" s="38" t="s">
        <v>167</v>
      </c>
      <c r="C210" s="94">
        <f>+C206/C209</f>
        <v>1.9283190307925289</v>
      </c>
      <c r="D210" s="94">
        <f>+D206/D209</f>
        <v>1.3864975079293156</v>
      </c>
      <c r="E210" s="119" t="e">
        <f>+E206/(E209+C209+B209+A209)</f>
        <v>#VALUE!</v>
      </c>
      <c r="F210" s="119">
        <f>+F206/(F209+E209+C209+B209)</f>
        <v>0.86852892060118414</v>
      </c>
      <c r="G210" s="119">
        <f>+G206/(G209+F209+E209+C209)</f>
        <v>0.43640517897943631</v>
      </c>
      <c r="H210" s="119">
        <f>+I210</f>
        <v>0.6848114169215086</v>
      </c>
      <c r="I210" s="94">
        <f>+I206/I209</f>
        <v>0.6848114169215086</v>
      </c>
      <c r="J210" s="119">
        <f>+J206/(J209+H209+G209+F209)</f>
        <v>0.65266433294437975</v>
      </c>
      <c r="K210" s="119">
        <f>+K206/(K209+J209+H209+G209)</f>
        <v>0.28189184096476361</v>
      </c>
      <c r="L210" s="119">
        <f>+L206/(L209+K209+J209+H209)</f>
        <v>1.0005457522284884E-2</v>
      </c>
      <c r="M210" s="119">
        <f>+N210</f>
        <v>-0.10448025500265629</v>
      </c>
      <c r="N210" s="94">
        <f>+N206/N209</f>
        <v>-0.10448025500265629</v>
      </c>
      <c r="O210" s="119">
        <f>+O206/(O209+M209+L209+K209)</f>
        <v>0.24846311475409844</v>
      </c>
      <c r="P210" s="119">
        <f>+P206/(P209+O209+M209+L209)</f>
        <v>0.23116839638433212</v>
      </c>
      <c r="Q210" s="119">
        <f>+Q206/(Q209+P209+O209+M209)</f>
        <v>1.337253655435473</v>
      </c>
      <c r="R210" s="119">
        <f>+S210</f>
        <v>1.2702405282188332</v>
      </c>
      <c r="S210" s="94">
        <f>+S206/S209</f>
        <v>1.2702405282188332</v>
      </c>
      <c r="T210" s="119">
        <f>+T206/(T209+R209+Q209+P209)</f>
        <v>1.445916795069337</v>
      </c>
      <c r="U210" s="119">
        <f>+U206/(U209+T209+R209+Q209)</f>
        <v>1.3315092165898619</v>
      </c>
      <c r="V210" s="119">
        <f>+V206/(V209+U209+T209+R209)</f>
        <v>1.2382900677200905</v>
      </c>
      <c r="W210" s="119">
        <f>+X210</f>
        <v>1.2035278154681139</v>
      </c>
      <c r="X210" s="94">
        <f>+X206/X209</f>
        <v>1.2035278154681139</v>
      </c>
      <c r="Y210" s="119">
        <f>+Y206/(Y209+W209+V209+U209)</f>
        <v>1.1199999999999992</v>
      </c>
      <c r="Z210" s="119">
        <f>+Z206/(Z209+Y209+W209+V209)</f>
        <v>1.1569875364624771</v>
      </c>
      <c r="AA210" s="119">
        <f>+AA206/(AA209+Z209+Y209+W209)</f>
        <v>0.99081940257604817</v>
      </c>
      <c r="AB210" s="119">
        <f>+AC210</f>
        <v>0.90331870543060899</v>
      </c>
      <c r="AC210" s="94">
        <f>+AC206/AC209</f>
        <v>0.90331870543060899</v>
      </c>
      <c r="AD210" s="119">
        <f>+AD206/(AD209+AB209+AA209+Z209)</f>
        <v>0.82769514281953405</v>
      </c>
      <c r="AE210" s="119">
        <f>+AE206/(AE209+AD209+AB209+AA209)</f>
        <v>0.88149117069980365</v>
      </c>
      <c r="AF210" s="119">
        <f>+AF206/(AF209+AE209+AD209+AB209)</f>
        <v>0.66012825348924942</v>
      </c>
      <c r="AG210" s="119">
        <f>+AH210</f>
        <v>0.59825775044837315</v>
      </c>
      <c r="AH210" s="94">
        <f>+AH206/AH209</f>
        <v>0.59825775044837315</v>
      </c>
      <c r="AI210" s="119">
        <f>+AI206/(AI209+AG209+AF209+AE209)</f>
        <v>0.5999474651956922</v>
      </c>
      <c r="AJ210" s="119">
        <f>+AJ206/(AJ209+AI209+AG209+AF209)</f>
        <v>0.62532433834976664</v>
      </c>
      <c r="AK210" s="119">
        <f>+AK206/(AK209+AJ209+AI209+AG209)</f>
        <v>0.5905161768337861</v>
      </c>
      <c r="AL210" s="119">
        <f>+AM210</f>
        <v>0.22375014567066781</v>
      </c>
      <c r="AM210" s="94">
        <f>+AM206/AM209</f>
        <v>0.22375014567066781</v>
      </c>
      <c r="AN210" s="119">
        <f>+AN206/(AN209+AL209+AK209+AJ209)</f>
        <v>0.23798574384916074</v>
      </c>
      <c r="AO210" s="119">
        <f>+AO206/(AO209+AN209+AL209+AK209)</f>
        <v>0.42923723996817109</v>
      </c>
      <c r="AP210" s="119">
        <f>+AP206/(AP209+AO209+AN209+AL209)</f>
        <v>0.3048595734762849</v>
      </c>
      <c r="AQ210" s="119">
        <f>+AR210</f>
        <v>0.20059701492537316</v>
      </c>
      <c r="AR210" s="94">
        <f>+AR206/AR209</f>
        <v>0.20059701492537316</v>
      </c>
      <c r="AS210" s="119">
        <f>+AS206/(AS209+AQ209+AP209+AO209)</f>
        <v>0.16127552190869468</v>
      </c>
      <c r="AT210" s="119">
        <f>+AT206/(AT209+AS209+AQ209+AP209)</f>
        <v>0.14944338243562347</v>
      </c>
      <c r="AU210" s="119">
        <f>+AU206/(AU209+AT209+AS209+AQ209)</f>
        <v>0.94011976047904167</v>
      </c>
      <c r="AV210" s="119">
        <f>+AW210</f>
        <v>0.84088514225500521</v>
      </c>
      <c r="AW210" s="94">
        <f>+AW206/AW209</f>
        <v>0.84088514225500521</v>
      </c>
      <c r="AX210" s="119">
        <f>+AX206/(AX209+AV209+AU209+AT209)</f>
        <v>0.83192209991532595</v>
      </c>
      <c r="AY210" s="119">
        <f>+AY206/(AY209+AX209+AV209+AU209)</f>
        <v>0.8192090395480226</v>
      </c>
      <c r="AZ210" s="119">
        <f>+AZ206/(AZ209+AY209+AX209+AV209)</f>
        <v>0.71124740330398661</v>
      </c>
      <c r="BA210" s="119">
        <f>+BB210</f>
        <v>0.55577299412915848</v>
      </c>
      <c r="BB210" s="94">
        <f>+BB206/BB209</f>
        <v>0.55577299412915848</v>
      </c>
      <c r="BC210" s="119">
        <f>+BC206/(BC209+BA209+AZ209+AY209)</f>
        <v>0.5365141187925998</v>
      </c>
      <c r="BD210" s="119">
        <f>+BD206/(BD209+BC209+BA209+AZ209)</f>
        <v>0.87046123650637885</v>
      </c>
      <c r="BE210" s="119">
        <f>+BE206/(BE209+BD209+BC209+BA209)</f>
        <v>0.73043478260869565</v>
      </c>
      <c r="BF210" s="119">
        <f>+BG210</f>
        <v>0.75347544022242818</v>
      </c>
      <c r="BG210" s="94">
        <f>+BG206/BG209</f>
        <v>0.75347544022242818</v>
      </c>
      <c r="BH210" s="119">
        <f>+BH206/(BH209+BF209+BE209+BD209)</f>
        <v>0.91981566820276495</v>
      </c>
      <c r="BI210" s="119">
        <f>+BI206/(BI209+BH209+BF209+BE209)</f>
        <v>1.4613259668508287</v>
      </c>
      <c r="BJ210" s="119">
        <f>+BJ206/(BJ209+BI209+BH209+BF209)</f>
        <v>1.2989031078610602</v>
      </c>
      <c r="BK210" s="119">
        <f>+BL210</f>
        <v>1.1213768115942029</v>
      </c>
      <c r="BL210" s="94">
        <f>+BL206/BL209</f>
        <v>1.1213768115942029</v>
      </c>
      <c r="BM210" s="119">
        <f>+BM206/(BM209+BK209+BJ209+BI209)</f>
        <v>1.6318681318681318</v>
      </c>
      <c r="BN210" s="119">
        <f>+BN206/(BN209+BM209+BK209+BJ209)</f>
        <v>1.8916666666666666</v>
      </c>
      <c r="BO210" s="119">
        <f>+BO206/(BO209+BN209+BM209+BK209)</f>
        <v>1.8856877323420074</v>
      </c>
      <c r="BP210" s="119">
        <f>+BQ210</f>
        <v>1.8751191611058151</v>
      </c>
      <c r="BQ210" s="94">
        <f>+BQ206/BQ209</f>
        <v>1.8751191611058151</v>
      </c>
      <c r="BR210" s="119">
        <f>+BR206/(BR209+BP209+BO209+BN209)</f>
        <v>1.8425925925925926</v>
      </c>
      <c r="BS210" s="119">
        <f>+BS206/(BS209+BR209+BP209+BO209)</f>
        <v>1.7519788918205805</v>
      </c>
      <c r="BT210" s="119">
        <f ca="1">+BT206/(BT209+BS209+BR209+BP209)</f>
        <v>1.7716752799232598</v>
      </c>
      <c r="BU210" s="119">
        <f ca="1">+BV210</f>
        <v>1.7023808309685673</v>
      </c>
      <c r="BV210" s="94">
        <f ca="1">+BV206/BV209</f>
        <v>1.7023808309685673</v>
      </c>
      <c r="BW210" s="119">
        <f ca="1">+BW206/(BW209+BU209+BT209+BS209)</f>
        <v>1.8060369305832908</v>
      </c>
      <c r="BX210" s="119">
        <f ca="1">+BX206/(BX209+BW209+BU209+BT209)</f>
        <v>1.8175497010410437</v>
      </c>
      <c r="BY210" s="119">
        <f ca="1">+BY206/(BY209+BX209+BW209+BU209)</f>
        <v>1.8082225680266382</v>
      </c>
      <c r="BZ210" s="119">
        <f ca="1">+CA210</f>
        <v>1.6917219122754408</v>
      </c>
      <c r="CA210" s="94">
        <f ca="1">+CA206/CA209</f>
        <v>1.6917219122754408</v>
      </c>
      <c r="CB210" s="119">
        <f ca="1">+CB206/(CB209+BZ209+BY209+BX209)</f>
        <v>1.7952744262213833</v>
      </c>
      <c r="CC210" s="119">
        <f ca="1">+CC206/(CC209+CB209+BZ209+BY209)</f>
        <v>1.8031452808562207</v>
      </c>
      <c r="CD210" s="119">
        <f ca="1">+CD206/(CD209+CC209+CB209+BZ209)</f>
        <v>1.8010904824603111</v>
      </c>
      <c r="CE210" s="119">
        <f ca="1">+CF210</f>
        <v>1.6912950031216365</v>
      </c>
      <c r="CF210" s="94">
        <f ca="1">+CF206/CF209</f>
        <v>1.6912950031216365</v>
      </c>
      <c r="CG210" s="119">
        <f ca="1">+CG206/(CG209+CE209+CD209+CC209)</f>
        <v>1.7915249923249745</v>
      </c>
      <c r="CH210" s="119">
        <f ca="1">+CH206/(CH209+CG209+CE209+CD209)</f>
        <v>1.793881539432358</v>
      </c>
      <c r="CI210" s="119">
        <f ca="1">+CI206/(CI209+CH209+CG209+CE209)</f>
        <v>1.7859898097147668</v>
      </c>
      <c r="CJ210" s="119">
        <f ca="1">+CK210</f>
        <v>1.6711777526131346</v>
      </c>
      <c r="CK210" s="94">
        <f ca="1">+CK206/CK209</f>
        <v>1.6711777526131346</v>
      </c>
      <c r="CL210" s="119">
        <f ca="1">+CL206/(CL209+CJ209+CI209+CH209)</f>
        <v>1.7708278732137572</v>
      </c>
      <c r="CM210" s="119">
        <f ca="1">+CM206/(CM209+CL209+CJ209+CI209)</f>
        <v>1.7696572791100216</v>
      </c>
      <c r="CN210" s="119">
        <f ca="1">+CN206/(CN209+CM209+CL209+CJ209)</f>
        <v>1.7580328127163374</v>
      </c>
      <c r="CO210" s="119">
        <f ca="1">+CP210</f>
        <v>1.639563549581448</v>
      </c>
      <c r="CP210" s="94">
        <f ca="1">+CP206/CP209</f>
        <v>1.639563549581448</v>
      </c>
    </row>
    <row r="211" spans="1:94" x14ac:dyDescent="0.25">
      <c r="A211" s="221"/>
      <c r="C211" s="137"/>
      <c r="D211" s="137"/>
      <c r="E211" s="138"/>
      <c r="F211" s="138"/>
      <c r="G211" s="138"/>
      <c r="H211" s="138"/>
      <c r="I211" s="137"/>
      <c r="J211" s="138"/>
      <c r="K211" s="138"/>
      <c r="L211" s="138"/>
      <c r="M211" s="138"/>
      <c r="N211" s="137"/>
      <c r="O211" s="138"/>
      <c r="P211" s="138"/>
      <c r="Q211" s="138"/>
      <c r="R211" s="138"/>
      <c r="S211" s="137"/>
      <c r="T211" s="138"/>
      <c r="U211" s="138"/>
      <c r="V211" s="138"/>
      <c r="W211" s="138"/>
      <c r="X211" s="137"/>
      <c r="Y211" s="138"/>
      <c r="Z211" s="138"/>
      <c r="AA211" s="138"/>
      <c r="AB211" s="138"/>
      <c r="AC211" s="137"/>
      <c r="AD211" s="138"/>
      <c r="AE211" s="138"/>
      <c r="AF211" s="138"/>
      <c r="AG211" s="138"/>
      <c r="AH211" s="137"/>
      <c r="AI211" s="138"/>
      <c r="AJ211" s="138"/>
      <c r="AK211" s="138"/>
      <c r="AL211" s="138"/>
      <c r="AM211" s="137"/>
      <c r="AN211" s="138"/>
      <c r="AO211" s="138"/>
      <c r="AP211" s="138"/>
      <c r="AQ211" s="138"/>
      <c r="AR211" s="137"/>
      <c r="AS211" s="138"/>
      <c r="AT211" s="138"/>
      <c r="AU211" s="138"/>
      <c r="AV211" s="138"/>
      <c r="AW211" s="137"/>
      <c r="AX211" s="138"/>
      <c r="AY211" s="138"/>
      <c r="AZ211" s="138"/>
      <c r="BA211" s="138"/>
      <c r="BB211" s="137"/>
      <c r="BC211" s="138"/>
      <c r="BD211" s="138"/>
      <c r="BE211" s="138"/>
      <c r="BF211" s="138"/>
      <c r="BG211" s="137"/>
      <c r="BH211" s="138"/>
      <c r="BI211" s="138"/>
      <c r="BJ211" s="138"/>
      <c r="BK211" s="138"/>
      <c r="BL211" s="137"/>
      <c r="BM211" s="138"/>
      <c r="BN211" s="138"/>
      <c r="BO211" s="138"/>
      <c r="BP211" s="138"/>
      <c r="BQ211" s="137"/>
      <c r="BR211" s="138"/>
      <c r="BS211" s="138"/>
      <c r="BT211" s="138"/>
      <c r="BU211" s="138"/>
      <c r="BV211" s="137"/>
      <c r="BW211" s="138"/>
      <c r="BX211" s="138"/>
      <c r="BY211" s="138"/>
      <c r="BZ211" s="138"/>
      <c r="CA211" s="137"/>
      <c r="CB211" s="138"/>
      <c r="CC211" s="138"/>
      <c r="CD211" s="138"/>
      <c r="CE211" s="138"/>
      <c r="CF211" s="137"/>
      <c r="CG211" s="138"/>
      <c r="CH211" s="138"/>
      <c r="CI211" s="138"/>
      <c r="CJ211" s="138"/>
      <c r="CK211" s="137"/>
      <c r="CL211" s="138"/>
      <c r="CM211" s="138"/>
      <c r="CN211" s="138"/>
      <c r="CO211" s="138"/>
      <c r="CP211" s="137"/>
    </row>
    <row r="212" spans="1:94" x14ac:dyDescent="0.25">
      <c r="A212" s="52" t="s">
        <v>125</v>
      </c>
      <c r="C212" s="137">
        <f>C202+C203+C204+C205</f>
        <v>836</v>
      </c>
      <c r="D212" s="137">
        <f>D202+D203+D204+D205</f>
        <v>680</v>
      </c>
      <c r="E212" s="139">
        <f>E202+E203+E204+E205</f>
        <v>646.70000000000005</v>
      </c>
      <c r="F212" s="138">
        <f>F202+F203+F204+F205</f>
        <v>657.9</v>
      </c>
      <c r="G212" s="138">
        <f t="shared" ref="G212:AC212" si="332">G202+G203+G204+G205</f>
        <v>633.29999999999995</v>
      </c>
      <c r="H212" s="138">
        <f t="shared" si="332"/>
        <v>630.79999999999995</v>
      </c>
      <c r="I212" s="137">
        <f t="shared" si="332"/>
        <v>630.79999999999995</v>
      </c>
      <c r="J212" s="139">
        <f t="shared" si="332"/>
        <v>600.90000000000009</v>
      </c>
      <c r="K212" s="138">
        <f t="shared" si="332"/>
        <v>601.5</v>
      </c>
      <c r="L212" s="138">
        <f t="shared" si="332"/>
        <v>601.4</v>
      </c>
      <c r="M212" s="138">
        <f>M202+M203+M204+M205</f>
        <v>576</v>
      </c>
      <c r="N212" s="137">
        <f t="shared" si="332"/>
        <v>576</v>
      </c>
      <c r="O212" s="139">
        <f t="shared" si="332"/>
        <v>551.70000000000005</v>
      </c>
      <c r="P212" s="138">
        <f t="shared" si="332"/>
        <v>550.9</v>
      </c>
      <c r="Q212" s="138">
        <f>Q202+Q203+Q204+Q205</f>
        <v>1245.0999999999999</v>
      </c>
      <c r="R212" s="138">
        <f t="shared" si="332"/>
        <v>1177</v>
      </c>
      <c r="S212" s="137">
        <f t="shared" si="332"/>
        <v>1177</v>
      </c>
      <c r="T212" s="139">
        <f t="shared" si="332"/>
        <v>1118.1999999999998</v>
      </c>
      <c r="U212" s="138">
        <f t="shared" si="332"/>
        <v>1117.3</v>
      </c>
      <c r="V212" s="138">
        <f>V202+V203+V204+V205</f>
        <v>1014.3</v>
      </c>
      <c r="W212" s="138">
        <f t="shared" si="332"/>
        <v>1006</v>
      </c>
      <c r="X212" s="137">
        <f t="shared" si="332"/>
        <v>1006</v>
      </c>
      <c r="Y212" s="138">
        <f t="shared" si="332"/>
        <v>997.39999999999986</v>
      </c>
      <c r="Z212" s="138">
        <f t="shared" si="332"/>
        <v>1199.4000000000001</v>
      </c>
      <c r="AA212" s="138">
        <f t="shared" si="332"/>
        <v>1057.8</v>
      </c>
      <c r="AB212" s="138">
        <f t="shared" si="332"/>
        <v>998.8</v>
      </c>
      <c r="AC212" s="137">
        <f t="shared" si="332"/>
        <v>998.8</v>
      </c>
      <c r="AD212" s="138">
        <f t="shared" ref="AD212:AT212" si="333">AD202+AD203+AD204+AD205</f>
        <v>915.30000000000007</v>
      </c>
      <c r="AE212" s="138">
        <f t="shared" si="333"/>
        <v>963.2</v>
      </c>
      <c r="AF212" s="138">
        <f t="shared" si="333"/>
        <v>766.7</v>
      </c>
      <c r="AG212" s="138">
        <f t="shared" si="333"/>
        <v>699</v>
      </c>
      <c r="AH212" s="137">
        <f t="shared" si="333"/>
        <v>699</v>
      </c>
      <c r="AI212" s="138">
        <f t="shared" si="333"/>
        <v>717.6</v>
      </c>
      <c r="AJ212" s="138">
        <f t="shared" si="333"/>
        <v>637.70000000000005</v>
      </c>
      <c r="AK212" s="138">
        <f t="shared" si="333"/>
        <v>756.80000000000007</v>
      </c>
      <c r="AL212" s="138">
        <f t="shared" si="333"/>
        <v>759</v>
      </c>
      <c r="AM212" s="137">
        <f t="shared" si="333"/>
        <v>759</v>
      </c>
      <c r="AN212" s="139">
        <f t="shared" si="333"/>
        <v>759.5</v>
      </c>
      <c r="AO212" s="138">
        <f t="shared" si="333"/>
        <v>757.7</v>
      </c>
      <c r="AP212" s="138">
        <f t="shared" si="333"/>
        <v>756.5</v>
      </c>
      <c r="AQ212" s="138">
        <f t="shared" si="333"/>
        <v>506</v>
      </c>
      <c r="AR212" s="137">
        <f t="shared" si="333"/>
        <v>506</v>
      </c>
      <c r="AS212" s="138">
        <f t="shared" si="333"/>
        <v>502.1</v>
      </c>
      <c r="AT212" s="138">
        <f t="shared" si="333"/>
        <v>501.4</v>
      </c>
      <c r="AU212" s="138">
        <f>AU202+AU203+AU204+AU205</f>
        <v>1250.3</v>
      </c>
      <c r="AV212" s="138">
        <f t="shared" ref="AV212:CP212" si="334">AV202+AV203+AV204+AV205</f>
        <v>1002</v>
      </c>
      <c r="AW212" s="137">
        <f t="shared" si="334"/>
        <v>1002</v>
      </c>
      <c r="AX212" s="138">
        <f t="shared" si="334"/>
        <v>1003</v>
      </c>
      <c r="AY212" s="138">
        <f t="shared" si="334"/>
        <v>1004</v>
      </c>
      <c r="AZ212" s="138">
        <f t="shared" si="334"/>
        <v>1006</v>
      </c>
      <c r="BA212" s="138">
        <f t="shared" si="334"/>
        <v>1005</v>
      </c>
      <c r="BB212" s="137">
        <f t="shared" si="334"/>
        <v>1005</v>
      </c>
      <c r="BC212" s="138">
        <f>BC202+BC203+BC204+BC205</f>
        <v>1011</v>
      </c>
      <c r="BD212" s="138">
        <f t="shared" si="334"/>
        <v>1122</v>
      </c>
      <c r="BE212" s="138">
        <f t="shared" si="334"/>
        <v>1006</v>
      </c>
      <c r="BF212" s="138">
        <f t="shared" si="334"/>
        <v>1183</v>
      </c>
      <c r="BG212" s="137">
        <f t="shared" si="334"/>
        <v>1183</v>
      </c>
      <c r="BH212" s="138">
        <f t="shared" ref="BH212:BN212" si="335">BH202+BH203+BH204+BH205</f>
        <v>1492</v>
      </c>
      <c r="BI212" s="138">
        <f t="shared" si="335"/>
        <v>1782</v>
      </c>
      <c r="BJ212" s="138">
        <f t="shared" si="335"/>
        <v>1738</v>
      </c>
      <c r="BK212" s="138">
        <f t="shared" si="335"/>
        <v>1501</v>
      </c>
      <c r="BL212" s="137">
        <f t="shared" si="335"/>
        <v>1501</v>
      </c>
      <c r="BM212" s="138">
        <f t="shared" si="335"/>
        <v>2241</v>
      </c>
      <c r="BN212" s="138">
        <f t="shared" si="335"/>
        <v>2254</v>
      </c>
      <c r="BO212" s="138">
        <f t="shared" ref="BO212" si="336">BO202+BO203+BO204+BO205</f>
        <v>2226</v>
      </c>
      <c r="BP212" s="138">
        <f t="shared" si="334"/>
        <v>2149</v>
      </c>
      <c r="BQ212" s="137">
        <f t="shared" si="334"/>
        <v>2149</v>
      </c>
      <c r="BR212" s="138">
        <f t="shared" si="334"/>
        <v>2228</v>
      </c>
      <c r="BS212" s="138">
        <f t="shared" si="334"/>
        <v>2204</v>
      </c>
      <c r="BT212" s="138">
        <f t="shared" ca="1" si="334"/>
        <v>2269.1912431460432</v>
      </c>
      <c r="BU212" s="138">
        <f t="shared" ca="1" si="334"/>
        <v>2208.5943781233291</v>
      </c>
      <c r="BV212" s="137">
        <f t="shared" ca="1" si="334"/>
        <v>2208.5943781233291</v>
      </c>
      <c r="BW212" s="138">
        <f t="shared" ca="1" si="334"/>
        <v>2375.9320407135538</v>
      </c>
      <c r="BX212" s="138">
        <f t="shared" ca="1" si="334"/>
        <v>2429.2358579769898</v>
      </c>
      <c r="BY212" s="138">
        <f t="shared" ca="1" si="334"/>
        <v>2468.029685993135</v>
      </c>
      <c r="BZ212" s="138">
        <f t="shared" ca="1" si="334"/>
        <v>2360.620292336188</v>
      </c>
      <c r="CA212" s="137">
        <f t="shared" ca="1" si="334"/>
        <v>2360.620292336188</v>
      </c>
      <c r="CB212" s="138">
        <f t="shared" ca="1" si="334"/>
        <v>2521.3207293235428</v>
      </c>
      <c r="CC212" s="138">
        <f t="shared" ca="1" si="334"/>
        <v>2569.9508434608333</v>
      </c>
      <c r="CD212" s="138">
        <f t="shared" ca="1" si="334"/>
        <v>2602.662581970566</v>
      </c>
      <c r="CE212" s="138">
        <f t="shared" ca="1" si="334"/>
        <v>2482.8680453766437</v>
      </c>
      <c r="CF212" s="137">
        <f t="shared" ca="1" si="334"/>
        <v>2482.8680453766437</v>
      </c>
      <c r="CG212" s="138">
        <f t="shared" ca="1" si="334"/>
        <v>2648.2745955610944</v>
      </c>
      <c r="CH212" s="138">
        <f t="shared" ca="1" si="334"/>
        <v>2692.0134140429509</v>
      </c>
      <c r="CI212" s="138">
        <f t="shared" ca="1" si="334"/>
        <v>2718.2691850971605</v>
      </c>
      <c r="CJ212" s="138">
        <f t="shared" ca="1" si="334"/>
        <v>2584.3096981210474</v>
      </c>
      <c r="CK212" s="137">
        <f t="shared" ca="1" si="334"/>
        <v>2584.3096981210474</v>
      </c>
      <c r="CL212" s="138">
        <f t="shared" ca="1" si="334"/>
        <v>2756.4458666451992</v>
      </c>
      <c r="CM212" s="138">
        <f t="shared" ca="1" si="334"/>
        <v>2795.1391235118053</v>
      </c>
      <c r="CN212" s="138">
        <f t="shared" ca="1" si="334"/>
        <v>2814.9882316422863</v>
      </c>
      <c r="CO212" s="138">
        <f t="shared" ca="1" si="334"/>
        <v>2666.3126237571769</v>
      </c>
      <c r="CP212" s="137">
        <f t="shared" ca="1" si="334"/>
        <v>2666.3126237571769</v>
      </c>
    </row>
    <row r="213" spans="1:94" x14ac:dyDescent="0.25">
      <c r="A213" s="52" t="s">
        <v>126</v>
      </c>
      <c r="C213" s="156"/>
      <c r="D213" s="156">
        <f>-D44*2/(D212+C212)</f>
        <v>2.612137203166227E-2</v>
      </c>
      <c r="E213" s="22">
        <f>-E44/(E212+D212)*8</f>
        <v>3.1355996080500492E-2</v>
      </c>
      <c r="F213" s="22">
        <f>-F44/(F212+E212)*8</f>
        <v>3.1273953702284224E-2</v>
      </c>
      <c r="G213" s="22">
        <f>-G44/(G212+F212)*8</f>
        <v>3.0978934324659237E-2</v>
      </c>
      <c r="H213" s="22">
        <f>-H44/(H212+G212)*8</f>
        <v>3.2275927537378374E-2</v>
      </c>
      <c r="I213" s="156">
        <f>-I44*2/(I212+D212)</f>
        <v>3.1126029905401281E-2</v>
      </c>
      <c r="J213" s="22">
        <f>-J44/(J212+I212)*8</f>
        <v>2.9227896403344968E-2</v>
      </c>
      <c r="K213" s="22">
        <f>-K44/(K212+J212)*8</f>
        <v>2.9940119760479039E-2</v>
      </c>
      <c r="L213" s="22">
        <f>-L44/(L212+K212)*8</f>
        <v>2.8597555906559144E-2</v>
      </c>
      <c r="M213" s="22">
        <f>-M44/(M212+L212)*8</f>
        <v>2.9216918634278916E-2</v>
      </c>
      <c r="N213" s="156">
        <f>-N44*2/(N212+I212)</f>
        <v>2.9168047729532652E-2</v>
      </c>
      <c r="O213" s="22">
        <f>-O44/(O212+N212)*8</f>
        <v>4.1855103307617277E-2</v>
      </c>
      <c r="P213" s="22">
        <f>-P44/(P212+O212)*8</f>
        <v>4.1356793034645387E-2</v>
      </c>
      <c r="Q213" s="22">
        <f>-Q44/(Q212+P212)*8</f>
        <v>3.6080178173719377E-2</v>
      </c>
      <c r="R213" s="22">
        <f>-R44/(R212+Q212)*8</f>
        <v>4.8552908633004419E-2</v>
      </c>
      <c r="S213" s="156">
        <f>-S44*2/(S212+N212)</f>
        <v>3.9247005134055914E-2</v>
      </c>
      <c r="T213" s="22">
        <f>-T44/(T212+S212)*8</f>
        <v>4.5660508888114328E-2</v>
      </c>
      <c r="U213" s="22">
        <f>-U44/(U212+T212)*8</f>
        <v>5.153209572802505E-2</v>
      </c>
      <c r="V213" s="22">
        <f>-V44/(V212+U212)*8</f>
        <v>4.1283542878588854E-2</v>
      </c>
      <c r="W213" s="22">
        <f>-W44/(W212+V212)*8</f>
        <v>4.1577983467801817E-2</v>
      </c>
      <c r="X213" s="156">
        <f>-X44*2/(X212+S212)</f>
        <v>4.4892349977095743E-2</v>
      </c>
      <c r="Y213" s="22">
        <f>-Y44/(Y212+X212)*8</f>
        <v>3.6737546171508435E-2</v>
      </c>
      <c r="Z213" s="22">
        <f>-Z44/(Z212+Y212)*8</f>
        <v>3.4959941733430443E-2</v>
      </c>
      <c r="AA213" s="22">
        <f>-AA44/(AA212+Z212)*8</f>
        <v>3.3315612262980687E-2</v>
      </c>
      <c r="AB213" s="22">
        <f ca="1">-AB44/(AB212+AA212)*8</f>
        <v>2.91743654575513E-2</v>
      </c>
      <c r="AC213" s="156">
        <f ca="1">-AC44*2/(AC212+X212)</f>
        <v>3.5614525139664802E-2</v>
      </c>
      <c r="AD213" s="22">
        <f>-AD44/(AD212+AC212)*8</f>
        <v>3.3854030614910401E-2</v>
      </c>
      <c r="AE213" s="22">
        <f>-AE44/(AE212+AD212)*8</f>
        <v>3.3217993079584777E-2</v>
      </c>
      <c r="AF213" s="22">
        <f>-AF44/(AF212+AE212)*8</f>
        <v>3.5146540262442912E-2</v>
      </c>
      <c r="AG213" s="22">
        <f ca="1">-AG44/(AG212+AF212)*8</f>
        <v>3.4386300061404106E-2</v>
      </c>
      <c r="AH213" s="156">
        <f ca="1">-AH44*2/(AH212+AC212)</f>
        <v>3.510425256213924E-2</v>
      </c>
      <c r="AI213" s="22">
        <f>-AI44/(AI212+AH212)*8</f>
        <v>3.7837074685867576E-2</v>
      </c>
      <c r="AJ213" s="22">
        <f>-AJ44/(AJ212+AI212)*8</f>
        <v>3.9548439459898173E-2</v>
      </c>
      <c r="AK213" s="22">
        <f>-AK44/(AK212+AJ212)*8</f>
        <v>4.3026174256005738E-2</v>
      </c>
      <c r="AL213" s="22">
        <f>-AL44/(AL212+AK212)*8</f>
        <v>4.2749703127061618E-2</v>
      </c>
      <c r="AM213" s="156">
        <f>-AM44*2/(AM212+AH212)</f>
        <v>3.9780521262002745E-2</v>
      </c>
      <c r="AN213" s="23">
        <f>-AN44/(AN212+AM212)*8</f>
        <v>4.6888376687520585E-2</v>
      </c>
      <c r="AO213" s="23">
        <f>-AO44/(AO212+AN212)*8</f>
        <v>4.1128394410756657E-2</v>
      </c>
      <c r="AP213" s="23">
        <f>-AP44/(AP212+AO212)*8</f>
        <v>4.1738211596882839E-2</v>
      </c>
      <c r="AQ213" s="23">
        <f>-AQ44/(AQ212+AP212)*8</f>
        <v>4.0554455445544556E-2</v>
      </c>
      <c r="AR213" s="156">
        <f>-AR44*2/(AR212+AM212)</f>
        <v>4.9011857707509883E-2</v>
      </c>
      <c r="AS213" s="23">
        <f>-AS44/(AS212+AR212)*8</f>
        <v>4.1265747445689914E-2</v>
      </c>
      <c r="AT213" s="23">
        <f>-AT44/(AT212+AS212)*8</f>
        <v>4.3846537120079722E-2</v>
      </c>
      <c r="AU213" s="23">
        <f>-AU44/(AU212+AT212)*8</f>
        <v>3.7906034138265682E-2</v>
      </c>
      <c r="AV213" s="23">
        <f>-AV44/(AV212+AU212)*8</f>
        <v>6.0382719886338407E-2</v>
      </c>
      <c r="AW213" s="156">
        <f>-AW44/AVERAGE(AR212:AV212)</f>
        <v>4.784943378170025E-2</v>
      </c>
      <c r="AX213" s="23">
        <f>-AX44/(AX212+AW212)*8</f>
        <v>2.5935162094763091E-2</v>
      </c>
      <c r="AY213" s="23">
        <f>-AY44/(AY212+AX212)*8</f>
        <v>2.5979438026282161E-2</v>
      </c>
      <c r="AZ213" s="23">
        <f>-AZ44/(AZ212+AY212)*8</f>
        <v>2.6037822663395483E-2</v>
      </c>
      <c r="BA213" s="23">
        <f>-BA44/(BA212+AZ212)*8</f>
        <v>2.7846842366981601E-2</v>
      </c>
      <c r="BB213" s="156">
        <f>-BB44/AVERAGE(AW212:BA212)</f>
        <v>2.6453779341655034E-2</v>
      </c>
      <c r="BC213" s="23">
        <f>-BC44/(BC212+BB212)*8</f>
        <v>2.7777777777777776E-2</v>
      </c>
      <c r="BD213" s="23">
        <f>-BD44/(BD212+BC212)*8</f>
        <v>2.6254102203469291E-2</v>
      </c>
      <c r="BE213" s="23">
        <f>-BE44/(BE212+BD212)*8</f>
        <v>2.2556390977443608E-2</v>
      </c>
      <c r="BF213" s="23">
        <f>-BF44/(BF212+BE212)*8</f>
        <v>2.1927820922795799E-2</v>
      </c>
      <c r="BG213" s="156">
        <f>-BG44/AVERAGE(BB212:BF212)</f>
        <v>2.4403979725924535E-2</v>
      </c>
      <c r="BH213" s="23">
        <f>-BH44/(BH212+BG212)*8</f>
        <v>2.691588785046729E-2</v>
      </c>
      <c r="BI213" s="23">
        <f>-BI44/(BI212+BH212)*8</f>
        <v>2.9321930360415395E-2</v>
      </c>
      <c r="BJ213" s="23">
        <f>-BJ44/(BJ212+BI212)*8</f>
        <v>2.7272727272727271E-2</v>
      </c>
      <c r="BK213" s="23">
        <f>-BK44/(BK212+BJ212)*8</f>
        <v>2.7168879283729547E-2</v>
      </c>
      <c r="BL213" s="156">
        <f>-BL44/AVERAGE(BG212:BK212)</f>
        <v>2.8586278586278584E-2</v>
      </c>
      <c r="BM213" s="23">
        <f>-BM44/(BM212+BL212)*8</f>
        <v>2.3516835916622129E-2</v>
      </c>
      <c r="BN213" s="23">
        <f>-BN44/(BN212+BM212)*8</f>
        <v>2.6696329254727477E-2</v>
      </c>
      <c r="BO213" s="23">
        <f>-BO44/(BO212+BN212)*8</f>
        <v>2.6785714285714284E-2</v>
      </c>
      <c r="BP213" s="23">
        <f>-BP44/(BP212+BO212)*8</f>
        <v>2.7428571428571427E-2</v>
      </c>
      <c r="BQ213" s="156">
        <f>-BQ44/AVERAGE(BL212:BP212)</f>
        <v>2.6998360813807736E-2</v>
      </c>
      <c r="BR213" s="23">
        <f>-BR44/(BR212+BQ212)*8</f>
        <v>2.7416038382453736E-2</v>
      </c>
      <c r="BS213" s="23">
        <f>-BS44/(BS212+BR212)*8</f>
        <v>2.7075812274368231E-2</v>
      </c>
      <c r="BT213" s="219">
        <f>BS213</f>
        <v>2.7075812274368231E-2</v>
      </c>
      <c r="BU213" s="219">
        <f>BT213</f>
        <v>2.7075812274368231E-2</v>
      </c>
      <c r="BV213" s="156">
        <f ca="1">-BV44/AVERAGE(BQ212:BU212)</f>
        <v>2.7260846363038448E-2</v>
      </c>
      <c r="BW213" s="219">
        <f>BU213</f>
        <v>2.7075812274368231E-2</v>
      </c>
      <c r="BX213" s="219">
        <f>BW213</f>
        <v>2.7075812274368231E-2</v>
      </c>
      <c r="BY213" s="219">
        <f>BX213</f>
        <v>2.7075812274368231E-2</v>
      </c>
      <c r="BZ213" s="219">
        <f>BY213</f>
        <v>2.7075812274368231E-2</v>
      </c>
      <c r="CA213" s="156">
        <f ca="1">-CA44/AVERAGE(BV212:BZ212)</f>
        <v>2.7315521343024732E-2</v>
      </c>
      <c r="CB213" s="219">
        <f>BZ213</f>
        <v>2.7075812274368231E-2</v>
      </c>
      <c r="CC213" s="219">
        <f>CB213</f>
        <v>2.7075812274368231E-2</v>
      </c>
      <c r="CD213" s="219">
        <f>CC213</f>
        <v>2.7075812274368231E-2</v>
      </c>
      <c r="CE213" s="219">
        <f>CD213</f>
        <v>2.7075812274368231E-2</v>
      </c>
      <c r="CF213" s="156">
        <f ca="1">-CF44/AVERAGE(CA212:CE212)</f>
        <v>2.7424808232102738E-2</v>
      </c>
      <c r="CG213" s="219">
        <f>CE213</f>
        <v>2.7075812274368231E-2</v>
      </c>
      <c r="CH213" s="219">
        <f>CG213</f>
        <v>2.7075812274368231E-2</v>
      </c>
      <c r="CI213" s="219">
        <f>CH213</f>
        <v>2.7075812274368231E-2</v>
      </c>
      <c r="CJ213" s="219">
        <f>CI213</f>
        <v>2.7075812274368231E-2</v>
      </c>
      <c r="CK213" s="156">
        <f ca="1">-CK44/AVERAGE(CF212:CJ212)</f>
        <v>2.6675212994601901E-2</v>
      </c>
      <c r="CL213" s="219">
        <f>CJ213</f>
        <v>2.7075812274368231E-2</v>
      </c>
      <c r="CM213" s="219">
        <f>CL213</f>
        <v>2.7075812274368231E-2</v>
      </c>
      <c r="CN213" s="219">
        <f>CM213</f>
        <v>2.7075812274368231E-2</v>
      </c>
      <c r="CO213" s="219">
        <f>CN213</f>
        <v>2.7075812274368231E-2</v>
      </c>
      <c r="CP213" s="156">
        <f ca="1">-CP44/AVERAGE(CK212:CO212)</f>
        <v>2.5712473178789746E-2</v>
      </c>
    </row>
    <row r="214" spans="1:94" x14ac:dyDescent="0.25">
      <c r="A214" s="52" t="s">
        <v>21</v>
      </c>
      <c r="C214" s="124"/>
      <c r="D214" s="124"/>
      <c r="E214" s="125"/>
      <c r="F214" s="125"/>
      <c r="G214" s="125"/>
      <c r="H214" s="125"/>
      <c r="I214" s="124"/>
      <c r="J214" s="125"/>
      <c r="K214" s="125"/>
      <c r="L214" s="125"/>
      <c r="M214" s="125"/>
      <c r="N214" s="124">
        <f>SUM(J214:M214)</f>
        <v>0</v>
      </c>
      <c r="O214" s="125"/>
      <c r="P214" s="125"/>
      <c r="Q214" s="125"/>
      <c r="R214" s="125"/>
      <c r="S214" s="124"/>
      <c r="T214" s="125"/>
      <c r="U214" s="125"/>
      <c r="V214" s="125"/>
      <c r="W214" s="125"/>
      <c r="X214" s="124"/>
      <c r="Y214" s="125">
        <f>+Y44</f>
        <v>-9.1999999999999993</v>
      </c>
      <c r="Z214" s="125">
        <f>+Z44</f>
        <v>-9.6</v>
      </c>
      <c r="AA214" s="125">
        <f>+AA44</f>
        <v>-9.4</v>
      </c>
      <c r="AB214" s="125">
        <f ca="1">-AB213*(AB212+AA212)/8</f>
        <v>-7.5</v>
      </c>
      <c r="AC214" s="124">
        <f ca="1">SUM(Y214:AB214)</f>
        <v>-35.699999999999996</v>
      </c>
      <c r="AD214" s="125">
        <f>-AD213*(AD212+AC212)/8</f>
        <v>-8.1</v>
      </c>
      <c r="AE214" s="125">
        <f>-AE213*(AE212+AD212)/8</f>
        <v>-7.8000000000000007</v>
      </c>
      <c r="AF214" s="125">
        <f>-AF213*(AF212+AE212)/8</f>
        <v>-7.6</v>
      </c>
      <c r="AG214" s="125">
        <f ca="1">-AG213*(AG212+AF212)/8</f>
        <v>-6.3</v>
      </c>
      <c r="AH214" s="124">
        <f ca="1">SUM(AD214:AG214)</f>
        <v>-29.8</v>
      </c>
      <c r="AI214" s="125">
        <f>-AI213*(AI212+AH212)/8</f>
        <v>-6.7000000000000011</v>
      </c>
      <c r="AJ214" s="125">
        <f>-AJ213*(AJ212+AI212)/8</f>
        <v>-6.7</v>
      </c>
      <c r="AK214" s="125">
        <f>-AK213*(AK212+AJ212)/8</f>
        <v>-7.5</v>
      </c>
      <c r="AL214" s="125">
        <f>-AL213*(AL212+AK212)/8</f>
        <v>-8.1000000000000014</v>
      </c>
      <c r="AM214" s="124">
        <f>SUM(AI214:AL214)</f>
        <v>-29.000000000000004</v>
      </c>
      <c r="AN214" s="143">
        <f>-AN213*(AN212+AM212)/8</f>
        <v>-8.9</v>
      </c>
      <c r="AO214" s="125">
        <f>-AO213*(AO212+AN212)/8</f>
        <v>-7.8</v>
      </c>
      <c r="AP214" s="125">
        <f>-AP213*(AP212+AO212)/8</f>
        <v>-7.8999999999999995</v>
      </c>
      <c r="AQ214" s="125">
        <f>-AQ213*(AQ212+AP212)/8</f>
        <v>-6.4</v>
      </c>
      <c r="AR214" s="124">
        <f>SUM(AN214:AQ214)</f>
        <v>-31</v>
      </c>
      <c r="AS214" s="125">
        <f>-AS213*(AS212+AR212)/8</f>
        <v>-5.2</v>
      </c>
      <c r="AT214" s="125">
        <f>-AT213*(AT212+AS212)/8</f>
        <v>-5.5</v>
      </c>
      <c r="AU214" s="125">
        <f>-AU213*(AU212+AT212)/8</f>
        <v>-8.2999999999999989</v>
      </c>
      <c r="AV214" s="125">
        <f>-AV213*(AV212+AU212)/8</f>
        <v>-17</v>
      </c>
      <c r="AW214" s="124">
        <f>SUM(AS214:AV214)</f>
        <v>-36</v>
      </c>
      <c r="AX214" s="125">
        <f>-AX213*(AX212+AW212)/8</f>
        <v>-6.5</v>
      </c>
      <c r="AY214" s="125">
        <f>-AY213*(AY212+AX212)/8</f>
        <v>-6.517591514843537</v>
      </c>
      <c r="AZ214" s="125">
        <f>-AZ213*(AZ212+AY212)/8</f>
        <v>-6.5420029441781153</v>
      </c>
      <c r="BA214" s="125">
        <f>-BA213*(BA212+AZ212)/8</f>
        <v>-7</v>
      </c>
      <c r="BB214" s="124">
        <f>SUM(AX214:BA214)</f>
        <v>-26.559594459021653</v>
      </c>
      <c r="BC214" s="125">
        <f>-BC213*(BC212+BB212)/8</f>
        <v>-7</v>
      </c>
      <c r="BD214" s="125">
        <f>-BD213*(BD212+BC212)/8</f>
        <v>-7</v>
      </c>
      <c r="BE214" s="125">
        <f>-BE213*(BE212+BD212)/8</f>
        <v>-6</v>
      </c>
      <c r="BF214" s="125">
        <f>-BF213*(BF212+BE212)/8</f>
        <v>-6</v>
      </c>
      <c r="BG214" s="124">
        <f>SUM(BC214:BF214)</f>
        <v>-26</v>
      </c>
      <c r="BH214" s="125">
        <f>-BH213*(BH212+BG212)/8</f>
        <v>-9</v>
      </c>
      <c r="BI214" s="125">
        <f>-BI213*(BI212+BH212)/8</f>
        <v>-12</v>
      </c>
      <c r="BJ214" s="125">
        <f>-BJ213*(BJ212+BI212)/8</f>
        <v>-12</v>
      </c>
      <c r="BK214" s="125">
        <f>-BK213*(BK212+BJ212)/8</f>
        <v>-11</v>
      </c>
      <c r="BL214" s="124">
        <f>SUM(BH214:BK214)</f>
        <v>-44</v>
      </c>
      <c r="BM214" s="125">
        <f>-BM213*(BM212+BL212)/8</f>
        <v>-11</v>
      </c>
      <c r="BN214" s="125">
        <f>-BN213*(BN212+BM212)/8</f>
        <v>-15</v>
      </c>
      <c r="BO214" s="125">
        <f>-BO213*(BO212+BN212)/8</f>
        <v>-15</v>
      </c>
      <c r="BP214" s="125">
        <f>-BP213*(BP212+BO212)/8</f>
        <v>-15</v>
      </c>
      <c r="BQ214" s="124">
        <f>SUM(BM214:BP214)</f>
        <v>-56</v>
      </c>
      <c r="BR214" s="125">
        <f>-BR213*(BR212+BQ212)/8</f>
        <v>-15</v>
      </c>
      <c r="BS214" s="125">
        <f>-BS213*(BS212+BR212)/8</f>
        <v>-15</v>
      </c>
      <c r="BT214" s="125">
        <f ca="1">-BT213*(BT212+BS212)/8</f>
        <v>-15.139410795846265</v>
      </c>
      <c r="BU214" s="125">
        <f ca="1">-BU213*(BU212+BT212)/8</f>
        <v>-15.154960360794355</v>
      </c>
      <c r="BV214" s="124">
        <f ca="1">SUM(BR214:BU214)</f>
        <v>-60.294371156640622</v>
      </c>
      <c r="BW214" s="125">
        <f ca="1">-BW213*(BW212+BV212)/8</f>
        <v>-15.516222085413638</v>
      </c>
      <c r="BX214" s="125">
        <f ca="1">-BX213*(BX212+BW212)/8</f>
        <v>-16.262977996470703</v>
      </c>
      <c r="BY214" s="125">
        <f ca="1">-BY213*(BY212+BX212)/8</f>
        <v>-16.574680315783365</v>
      </c>
      <c r="BZ214" s="125">
        <f ca="1">-BZ213*(BZ212+BY212)/8</f>
        <v>-16.342452543984621</v>
      </c>
      <c r="CA214" s="124">
        <f ca="1">SUM(BW214:BZ214)</f>
        <v>-64.696332941652329</v>
      </c>
      <c r="CB214" s="125">
        <f ca="1">-CB213*(CB212+CA212)/8</f>
        <v>-16.52281482962454</v>
      </c>
      <c r="CC214" s="125">
        <f ca="1">-CC213*(CC212+CB212)/8</f>
        <v>-17.231289167817156</v>
      </c>
      <c r="CD214" s="125">
        <f ca="1">-CD213*(CD212+CC212)/8</f>
        <v>-17.506588759357172</v>
      </c>
      <c r="CE214" s="125">
        <f ca="1">-CE213*(CE212+CD212)/8</f>
        <v>-17.211859072700392</v>
      </c>
      <c r="CF214" s="124">
        <f ca="1">SUM(CB214:CE214)</f>
        <v>-68.472551829499253</v>
      </c>
      <c r="CG214" s="125">
        <f ca="1">-CG213*(CG212+CF212)/8</f>
        <v>-17.366231862379529</v>
      </c>
      <c r="CH214" s="125">
        <f ca="1">-CH213*(CH212+CG212)/8</f>
        <v>-18.074079454887336</v>
      </c>
      <c r="CI214" s="125">
        <f ca="1">-CI213*(CI212+CH212)/8</f>
        <v>-18.310974500699835</v>
      </c>
      <c r="CJ214" s="125">
        <f ca="1">-CJ213*(CJ212+CI212)/8</f>
        <v>-17.946453801505669</v>
      </c>
      <c r="CK214" s="124">
        <f ca="1">SUM(CG214:CJ214)</f>
        <v>-71.697739619472372</v>
      </c>
      <c r="CL214" s="125">
        <f ca="1">-CL213*(CL212+CK212)/8</f>
        <v>-18.075661884362297</v>
      </c>
      <c r="CM214" s="125">
        <f ca="1">-CM213*(CM212+CL212)/8</f>
        <v>-18.789209127336431</v>
      </c>
      <c r="CN214" s="125">
        <f ca="1">-CN213*(CN212+CM212)/8</f>
        <v>-18.987344387931266</v>
      </c>
      <c r="CO214" s="125">
        <f ca="1">-CO213*(CO212+CN212)/8</f>
        <v>-18.551334122516234</v>
      </c>
      <c r="CP214" s="124">
        <f ca="1">SUM(CL214:CO214)</f>
        <v>-74.403549522146221</v>
      </c>
    </row>
    <row r="215" spans="1:94" x14ac:dyDescent="0.25">
      <c r="A215" s="52" t="s">
        <v>127</v>
      </c>
      <c r="C215" s="137">
        <f>C201</f>
        <v>72</v>
      </c>
      <c r="D215" s="137">
        <f>D201</f>
        <v>68</v>
      </c>
      <c r="E215" s="138">
        <f>E201</f>
        <v>84</v>
      </c>
      <c r="F215" s="138">
        <f>F201</f>
        <v>85.8</v>
      </c>
      <c r="G215" s="138">
        <f t="shared" ref="G215:AC215" si="337">G201</f>
        <v>289.5</v>
      </c>
      <c r="H215" s="138">
        <f t="shared" si="337"/>
        <v>294.89999999999998</v>
      </c>
      <c r="I215" s="137">
        <f t="shared" si="337"/>
        <v>294.89999999999998</v>
      </c>
      <c r="J215" s="138">
        <f t="shared" si="337"/>
        <v>265.3</v>
      </c>
      <c r="K215" s="138">
        <f t="shared" si="337"/>
        <v>451.9</v>
      </c>
      <c r="L215" s="138">
        <f t="shared" si="337"/>
        <v>595.9</v>
      </c>
      <c r="M215" s="138">
        <f>M201</f>
        <v>635</v>
      </c>
      <c r="N215" s="137">
        <f t="shared" si="337"/>
        <v>635</v>
      </c>
      <c r="O215" s="138">
        <f>O201</f>
        <v>406.20000000000005</v>
      </c>
      <c r="P215" s="138">
        <f t="shared" si="337"/>
        <v>412.79999999999995</v>
      </c>
      <c r="Q215" s="138">
        <f>Q201</f>
        <v>403.70000000000005</v>
      </c>
      <c r="R215" s="138">
        <f t="shared" si="337"/>
        <v>369</v>
      </c>
      <c r="S215" s="137">
        <f t="shared" si="337"/>
        <v>369</v>
      </c>
      <c r="T215" s="138">
        <f t="shared" si="337"/>
        <v>179.8</v>
      </c>
      <c r="U215" s="138">
        <f t="shared" si="337"/>
        <v>192.7</v>
      </c>
      <c r="V215" s="138">
        <f>V201</f>
        <v>136.6</v>
      </c>
      <c r="W215" s="138">
        <f t="shared" si="337"/>
        <v>119</v>
      </c>
      <c r="X215" s="137">
        <f t="shared" si="337"/>
        <v>119</v>
      </c>
      <c r="Y215" s="138">
        <f t="shared" si="337"/>
        <v>160.20000000000044</v>
      </c>
      <c r="Z215" s="138">
        <f t="shared" si="337"/>
        <v>326.8</v>
      </c>
      <c r="AA215" s="138">
        <f t="shared" si="337"/>
        <v>334.7</v>
      </c>
      <c r="AB215" s="138">
        <f t="shared" si="337"/>
        <v>340.1</v>
      </c>
      <c r="AC215" s="137">
        <f t="shared" si="337"/>
        <v>340.1</v>
      </c>
      <c r="AD215" s="138">
        <f t="shared" ref="AD215:AT215" si="338">AD201</f>
        <v>286.5</v>
      </c>
      <c r="AE215" s="138">
        <f t="shared" si="338"/>
        <v>289.3</v>
      </c>
      <c r="AF215" s="138">
        <f t="shared" si="338"/>
        <v>241.7</v>
      </c>
      <c r="AG215" s="138">
        <f t="shared" si="338"/>
        <v>232</v>
      </c>
      <c r="AH215" s="137">
        <f t="shared" si="338"/>
        <v>232</v>
      </c>
      <c r="AI215" s="138">
        <f t="shared" si="338"/>
        <v>260.8</v>
      </c>
      <c r="AJ215" s="138">
        <f t="shared" si="338"/>
        <v>155.69999999999999</v>
      </c>
      <c r="AK215" s="138">
        <f t="shared" si="338"/>
        <v>278.60000000000002</v>
      </c>
      <c r="AL215" s="138">
        <f t="shared" si="338"/>
        <v>567</v>
      </c>
      <c r="AM215" s="137">
        <f t="shared" si="338"/>
        <v>567</v>
      </c>
      <c r="AN215" s="139">
        <f t="shared" si="338"/>
        <v>552.5</v>
      </c>
      <c r="AO215" s="138">
        <f t="shared" si="338"/>
        <v>380.1</v>
      </c>
      <c r="AP215" s="138">
        <f t="shared" si="338"/>
        <v>494.9</v>
      </c>
      <c r="AQ215" s="138">
        <f t="shared" si="338"/>
        <v>338</v>
      </c>
      <c r="AR215" s="137">
        <f t="shared" si="338"/>
        <v>338</v>
      </c>
      <c r="AS215" s="138">
        <f t="shared" si="338"/>
        <v>361.5</v>
      </c>
      <c r="AT215" s="138">
        <f t="shared" si="338"/>
        <v>368.5</v>
      </c>
      <c r="AU215" s="138">
        <f t="shared" ref="AU215:CP215" si="339">AU201</f>
        <v>386.8</v>
      </c>
      <c r="AV215" s="138">
        <f t="shared" si="339"/>
        <v>204</v>
      </c>
      <c r="AW215" s="137">
        <f t="shared" si="339"/>
        <v>204</v>
      </c>
      <c r="AX215" s="138">
        <f t="shared" si="339"/>
        <v>217</v>
      </c>
      <c r="AY215" s="138">
        <f t="shared" si="339"/>
        <v>192</v>
      </c>
      <c r="AZ215" s="138">
        <f t="shared" si="339"/>
        <v>287</v>
      </c>
      <c r="BA215" s="138">
        <f t="shared" si="339"/>
        <v>437</v>
      </c>
      <c r="BB215" s="137">
        <f t="shared" si="339"/>
        <v>437</v>
      </c>
      <c r="BC215" s="138">
        <f>BC201</f>
        <v>460</v>
      </c>
      <c r="BD215" s="138">
        <f t="shared" si="339"/>
        <v>235</v>
      </c>
      <c r="BE215" s="138">
        <f t="shared" si="339"/>
        <v>250</v>
      </c>
      <c r="BF215" s="138">
        <f t="shared" si="339"/>
        <v>370</v>
      </c>
      <c r="BG215" s="137">
        <f t="shared" si="339"/>
        <v>370</v>
      </c>
      <c r="BH215" s="138">
        <f>BH201</f>
        <v>494</v>
      </c>
      <c r="BI215" s="138">
        <f t="shared" si="339"/>
        <v>195</v>
      </c>
      <c r="BJ215" s="138">
        <f t="shared" si="339"/>
        <v>317</v>
      </c>
      <c r="BK215" s="138">
        <f t="shared" si="339"/>
        <v>263</v>
      </c>
      <c r="BL215" s="137">
        <f t="shared" si="339"/>
        <v>263</v>
      </c>
      <c r="BM215" s="138">
        <f t="shared" si="339"/>
        <v>459</v>
      </c>
      <c r="BN215" s="138">
        <f t="shared" si="339"/>
        <v>211</v>
      </c>
      <c r="BO215" s="138">
        <f t="shared" ref="BO215" si="340">BO201</f>
        <v>197</v>
      </c>
      <c r="BP215" s="138">
        <f t="shared" si="339"/>
        <v>182</v>
      </c>
      <c r="BQ215" s="137">
        <f t="shared" si="339"/>
        <v>182</v>
      </c>
      <c r="BR215" s="138">
        <f t="shared" ref="BR215:BS215" si="341">BR201</f>
        <v>238</v>
      </c>
      <c r="BS215" s="138">
        <f t="shared" si="341"/>
        <v>212</v>
      </c>
      <c r="BT215" s="138">
        <f t="shared" ca="1" si="339"/>
        <v>212</v>
      </c>
      <c r="BU215" s="138">
        <f t="shared" ca="1" si="339"/>
        <v>212</v>
      </c>
      <c r="BV215" s="137">
        <f t="shared" ca="1" si="339"/>
        <v>212</v>
      </c>
      <c r="BW215" s="138">
        <f t="shared" ca="1" si="339"/>
        <v>212</v>
      </c>
      <c r="BX215" s="138">
        <f t="shared" ca="1" si="339"/>
        <v>212</v>
      </c>
      <c r="BY215" s="138">
        <f t="shared" ca="1" si="339"/>
        <v>212</v>
      </c>
      <c r="BZ215" s="138">
        <f t="shared" ca="1" si="339"/>
        <v>212</v>
      </c>
      <c r="CA215" s="137">
        <f t="shared" ca="1" si="339"/>
        <v>212</v>
      </c>
      <c r="CB215" s="138">
        <f t="shared" ca="1" si="339"/>
        <v>212</v>
      </c>
      <c r="CC215" s="138">
        <f t="shared" ca="1" si="339"/>
        <v>212</v>
      </c>
      <c r="CD215" s="138">
        <f t="shared" ca="1" si="339"/>
        <v>212</v>
      </c>
      <c r="CE215" s="138">
        <f t="shared" ca="1" si="339"/>
        <v>212</v>
      </c>
      <c r="CF215" s="137">
        <f t="shared" ca="1" si="339"/>
        <v>212</v>
      </c>
      <c r="CG215" s="138">
        <f t="shared" ca="1" si="339"/>
        <v>212</v>
      </c>
      <c r="CH215" s="138">
        <f t="shared" ca="1" si="339"/>
        <v>212</v>
      </c>
      <c r="CI215" s="138">
        <f t="shared" ca="1" si="339"/>
        <v>212</v>
      </c>
      <c r="CJ215" s="138">
        <f t="shared" ca="1" si="339"/>
        <v>212</v>
      </c>
      <c r="CK215" s="137">
        <f t="shared" ca="1" si="339"/>
        <v>212</v>
      </c>
      <c r="CL215" s="138">
        <f t="shared" ca="1" si="339"/>
        <v>212</v>
      </c>
      <c r="CM215" s="138">
        <f t="shared" ca="1" si="339"/>
        <v>212</v>
      </c>
      <c r="CN215" s="138">
        <f t="shared" ca="1" si="339"/>
        <v>212</v>
      </c>
      <c r="CO215" s="138">
        <f t="shared" ca="1" si="339"/>
        <v>212</v>
      </c>
      <c r="CP215" s="137">
        <f t="shared" ca="1" si="339"/>
        <v>212</v>
      </c>
    </row>
    <row r="216" spans="1:94" x14ac:dyDescent="0.25">
      <c r="A216" s="52" t="s">
        <v>128</v>
      </c>
      <c r="C216" s="156"/>
      <c r="D216" s="156"/>
      <c r="E216" s="220"/>
      <c r="F216" s="220"/>
      <c r="G216" s="220"/>
      <c r="H216" s="220"/>
      <c r="I216" s="156"/>
      <c r="J216" s="220"/>
      <c r="K216" s="220"/>
      <c r="L216" s="220"/>
      <c r="M216" s="220"/>
      <c r="N216" s="156">
        <f>N43*2/(N215+I215)</f>
        <v>3.0755995268308418E-2</v>
      </c>
      <c r="O216" s="220"/>
      <c r="P216" s="220"/>
      <c r="Q216" s="220"/>
      <c r="R216" s="220"/>
      <c r="S216" s="156">
        <f>S43*2/(S215+N215)</f>
        <v>3.5856573705179286E-2</v>
      </c>
      <c r="T216" s="220"/>
      <c r="U216" s="220"/>
      <c r="V216" s="220"/>
      <c r="W216" s="220"/>
      <c r="X216" s="156">
        <f>X43*2/(X215+S215)</f>
        <v>3.2786885245901634E-2</v>
      </c>
      <c r="Y216" s="22">
        <f>Y43/(Y215+X215)*8</f>
        <v>4.8710601719197631E-2</v>
      </c>
      <c r="Z216" s="22">
        <f>Z43/(Z215+Y215)*8</f>
        <v>2.7926078028747407E-2</v>
      </c>
      <c r="AA216" s="22">
        <f>AA43/(AA215+Z215)*8</f>
        <v>1.5721844293272867E-2</v>
      </c>
      <c r="AB216" s="22">
        <f ca="1">AB43/(AB215+AA215)*8</f>
        <v>0</v>
      </c>
      <c r="AC216" s="156">
        <f ca="1">AC43*2/(AC215+X215)</f>
        <v>2.0474842082335003E-2</v>
      </c>
      <c r="AD216" s="22">
        <f>AD43/(AD215+AC215)*8</f>
        <v>1.2767315671879987E-2</v>
      </c>
      <c r="AE216" s="22">
        <f>AE43/(AE215+AD215)*8</f>
        <v>5.5574852379298373E-3</v>
      </c>
      <c r="AF216" s="22">
        <f>AF43/(AF215+AE215)*8</f>
        <v>7.5329566854990581E-3</v>
      </c>
      <c r="AG216" s="22">
        <f ca="1">AG43/(AG215+AF215)*8</f>
        <v>0</v>
      </c>
      <c r="AH216" s="156">
        <f ca="1">AH43*2/(AH215+AC215)</f>
        <v>6.6421954203810521E-3</v>
      </c>
      <c r="AI216" s="22">
        <f>AI43/(AI215+AH215)*8</f>
        <v>8.1168831168831161E-3</v>
      </c>
      <c r="AJ216" s="22">
        <f>AJ43/(AJ215+AI215)*8</f>
        <v>1.1524609843937574E-2</v>
      </c>
      <c r="AK216" s="22">
        <f>AK43/(AK215+AJ215)*8</f>
        <v>1.1052268017499424E-2</v>
      </c>
      <c r="AL216" s="22">
        <f>AL43/(AL215+AK215)*8</f>
        <v>1.2298959318826866E-2</v>
      </c>
      <c r="AM216" s="156">
        <f>AM43*2/(AM215+AH215)</f>
        <v>7.5093867334167707E-3</v>
      </c>
      <c r="AN216" s="23">
        <f>AN43/(AN215+AM215)*8</f>
        <v>1.2862885216614561E-2</v>
      </c>
      <c r="AO216" s="23">
        <f>AO43/(AO215+AN215)*8</f>
        <v>6.0047179927085565E-3</v>
      </c>
      <c r="AP216" s="23">
        <f>AP43/(AP215+AO215)*8</f>
        <v>5.4857142857142856E-3</v>
      </c>
      <c r="AQ216" s="23">
        <f>AQ43/(AQ215+AP215)*8</f>
        <v>-9.6049945971905478E-4</v>
      </c>
      <c r="AR216" s="156">
        <f>AR43*2/(AR215+AM215)</f>
        <v>6.6298342541436465E-3</v>
      </c>
      <c r="AS216" s="23">
        <f>AS43/(AS215+AR215)*8</f>
        <v>6.8620443173695493E-3</v>
      </c>
      <c r="AT216" s="23">
        <f>AT43/(AT215+AS215)*8</f>
        <v>7.6712328767123287E-3</v>
      </c>
      <c r="AU216" s="23">
        <f>AU43/(AU215+AT215)*8</f>
        <v>7.4142724745134385E-3</v>
      </c>
      <c r="AV216" s="23">
        <f>AV43/(AV215+AU215)*8</f>
        <v>1.3540961408259987E-2</v>
      </c>
      <c r="AW216" s="156">
        <f>AW43*2/(AW215+AR215)</f>
        <v>1.107011070110701E-2</v>
      </c>
      <c r="AX216" s="23">
        <f>AX43/(AX215+AW215)*8</f>
        <v>9.5011876484560574E-3</v>
      </c>
      <c r="AY216" s="23">
        <f>AY43/(AY215+AX215)*8</f>
        <v>1.0124039410142532E-2</v>
      </c>
      <c r="AZ216" s="23">
        <f>AZ43/(AZ215+AY215)*8</f>
        <v>9.0522412388829229E-3</v>
      </c>
      <c r="BA216" s="23">
        <f>BA43/(BA215+AZ215)*8</f>
        <v>5.9889828085979563E-3</v>
      </c>
      <c r="BB216" s="156">
        <f>BB43*2/(BB215+AW215)</f>
        <v>6.5572461878307857E-3</v>
      </c>
      <c r="BC216" s="23">
        <f>BC43/(BC215+BB215)*8</f>
        <v>4.8339170049330211E-3</v>
      </c>
      <c r="BD216" s="23">
        <f>BD43/(BD215+BC215)*8</f>
        <v>0</v>
      </c>
      <c r="BE216" s="23">
        <f>BE43/(BE215+BD215)*8</f>
        <v>0</v>
      </c>
      <c r="BF216" s="23">
        <f>BF43/(BF215+BE215)*8</f>
        <v>0</v>
      </c>
      <c r="BG216" s="156">
        <f>BG43*2/(BG215+BB215)</f>
        <v>1.3432538889172614E-3</v>
      </c>
      <c r="BH216" s="23">
        <f>BH43/(BH215+BG215)*8</f>
        <v>0</v>
      </c>
      <c r="BI216" s="23">
        <f>BI43/(BI215+BH215)*8</f>
        <v>0</v>
      </c>
      <c r="BJ216" s="23">
        <f>BJ43/(BJ215+BI215)*8</f>
        <v>0</v>
      </c>
      <c r="BK216" s="23">
        <f>BK43/(BK215+BJ215)*8</f>
        <v>0</v>
      </c>
      <c r="BL216" s="156">
        <f>BL43*2/(BL215+BG215)</f>
        <v>0</v>
      </c>
      <c r="BM216" s="23">
        <f>BM43/(BM215+BL215)*8</f>
        <v>0</v>
      </c>
      <c r="BN216" s="23">
        <f>BN43/(BN215+BM215)*8</f>
        <v>0</v>
      </c>
      <c r="BO216" s="23">
        <f>BO43/(BO215+BN215)*8</f>
        <v>0</v>
      </c>
      <c r="BP216" s="23">
        <f>BP43/(BP215+BO215)*8</f>
        <v>0</v>
      </c>
      <c r="BQ216" s="156">
        <f>BQ43*2/(BQ215+BL215)</f>
        <v>0</v>
      </c>
      <c r="BR216" s="23">
        <f>BR43/(BR215+BQ215)*8</f>
        <v>0</v>
      </c>
      <c r="BS216" s="23">
        <f>BS43/(BS215+BR215)*8</f>
        <v>0</v>
      </c>
      <c r="BT216" s="219">
        <f>BS216</f>
        <v>0</v>
      </c>
      <c r="BU216" s="219">
        <f>BT216</f>
        <v>0</v>
      </c>
      <c r="BV216" s="156">
        <f ca="1">BV43*2/(BV215+BQ215)</f>
        <v>0</v>
      </c>
      <c r="BW216" s="219">
        <f>BU216</f>
        <v>0</v>
      </c>
      <c r="BX216" s="219">
        <f>BW216</f>
        <v>0</v>
      </c>
      <c r="BY216" s="219">
        <f>BX216</f>
        <v>0</v>
      </c>
      <c r="BZ216" s="219">
        <f>BY216</f>
        <v>0</v>
      </c>
      <c r="CA216" s="156">
        <f ca="1">CA43*2/(CA215+BV215)</f>
        <v>0</v>
      </c>
      <c r="CB216" s="219">
        <f>BZ216</f>
        <v>0</v>
      </c>
      <c r="CC216" s="219">
        <f>CB216</f>
        <v>0</v>
      </c>
      <c r="CD216" s="219">
        <f>CC216</f>
        <v>0</v>
      </c>
      <c r="CE216" s="219">
        <f>CD216</f>
        <v>0</v>
      </c>
      <c r="CF216" s="156">
        <f ca="1">CF43*2/(CF215+CA215)</f>
        <v>0</v>
      </c>
      <c r="CG216" s="219">
        <f>CE216</f>
        <v>0</v>
      </c>
      <c r="CH216" s="219">
        <f>CG216</f>
        <v>0</v>
      </c>
      <c r="CI216" s="219">
        <f>CH216</f>
        <v>0</v>
      </c>
      <c r="CJ216" s="219">
        <f>CI216</f>
        <v>0</v>
      </c>
      <c r="CK216" s="156">
        <f ca="1">CK43*2/(CK215+CF215)</f>
        <v>0</v>
      </c>
      <c r="CL216" s="219">
        <f>CJ216</f>
        <v>0</v>
      </c>
      <c r="CM216" s="219">
        <f>CL216</f>
        <v>0</v>
      </c>
      <c r="CN216" s="219">
        <f>CM216</f>
        <v>0</v>
      </c>
      <c r="CO216" s="219">
        <f>CN216</f>
        <v>0</v>
      </c>
      <c r="CP216" s="156">
        <f ca="1">CP43*2/(CP215+CK215)</f>
        <v>0</v>
      </c>
    </row>
    <row r="217" spans="1:94" x14ac:dyDescent="0.25">
      <c r="A217" s="52" t="s">
        <v>20</v>
      </c>
      <c r="C217" s="124"/>
      <c r="D217" s="124"/>
      <c r="E217" s="125"/>
      <c r="F217" s="125"/>
      <c r="G217" s="125"/>
      <c r="H217" s="125"/>
      <c r="I217" s="124"/>
      <c r="J217" s="125"/>
      <c r="K217" s="125"/>
      <c r="L217" s="125"/>
      <c r="M217" s="125"/>
      <c r="N217" s="124">
        <f>SUM(J217:M217)</f>
        <v>0</v>
      </c>
      <c r="O217" s="125"/>
      <c r="P217" s="125"/>
      <c r="Q217" s="125"/>
      <c r="R217" s="125"/>
      <c r="S217" s="124"/>
      <c r="T217" s="125"/>
      <c r="U217" s="125"/>
      <c r="V217" s="125"/>
      <c r="W217" s="125"/>
      <c r="X217" s="124"/>
      <c r="Y217" s="125">
        <f>+Y43</f>
        <v>1.7</v>
      </c>
      <c r="Z217" s="125">
        <f>+Z43</f>
        <v>1.7</v>
      </c>
      <c r="AA217" s="125">
        <f>+AA43</f>
        <v>1.3</v>
      </c>
      <c r="AB217" s="125">
        <f ca="1">AB216*(AB215+AA215)/8</f>
        <v>0</v>
      </c>
      <c r="AC217" s="124">
        <f ca="1">SUM(Y217:AB217)</f>
        <v>4.7</v>
      </c>
      <c r="AD217" s="125">
        <f>AD216*(AD215+AC215)/8</f>
        <v>1</v>
      </c>
      <c r="AE217" s="125">
        <f>AE216*(AE215+AD215)/8</f>
        <v>0.4</v>
      </c>
      <c r="AF217" s="125">
        <f>AF216*(AF215+AE215)/8</f>
        <v>0.5</v>
      </c>
      <c r="AG217" s="125">
        <f ca="1">AG216*(AG215+AF215)/8</f>
        <v>0</v>
      </c>
      <c r="AH217" s="124">
        <f ca="1">SUM(AD217:AG217)</f>
        <v>1.9</v>
      </c>
      <c r="AI217" s="125">
        <f>AI216*(AI215+AH215)/8</f>
        <v>0.49999999999999994</v>
      </c>
      <c r="AJ217" s="125">
        <f>AJ216*(AJ215+AI215)/8</f>
        <v>0.6</v>
      </c>
      <c r="AK217" s="125">
        <f>AK216*(AK215+AJ215)/8</f>
        <v>0.6</v>
      </c>
      <c r="AL217" s="125">
        <f>AL216*(AL215+AK215)/8</f>
        <v>1.2999999999999998</v>
      </c>
      <c r="AM217" s="124">
        <f>SUM(AI217:AL217)</f>
        <v>2.9999999999999996</v>
      </c>
      <c r="AN217" s="143">
        <f>AN216*(AN215+AM215)/8</f>
        <v>1.8</v>
      </c>
      <c r="AO217" s="125">
        <f>AO216*(AO215+AN215)/8</f>
        <v>0.7</v>
      </c>
      <c r="AP217" s="125">
        <f>AP216*(AP215+AO215)/8</f>
        <v>0.6</v>
      </c>
      <c r="AQ217" s="125">
        <f>AQ216*(AQ215+AP215)/8</f>
        <v>-0.10000000000000009</v>
      </c>
      <c r="AR217" s="124">
        <f>SUM(AN217:AQ217)</f>
        <v>3</v>
      </c>
      <c r="AS217" s="125">
        <f>AS216*(AS215+AR215)/8</f>
        <v>0.6</v>
      </c>
      <c r="AT217" s="125">
        <f>AT216*(AT215+AS215)/8</f>
        <v>0.7</v>
      </c>
      <c r="AU217" s="125">
        <f>AU216*(AU215+AT215)/8</f>
        <v>0.7</v>
      </c>
      <c r="AV217" s="125">
        <f>AV216*(AV215+AU215)/8</f>
        <v>1</v>
      </c>
      <c r="AW217" s="124">
        <f>SUM(AS217:AV217)</f>
        <v>3</v>
      </c>
      <c r="AX217" s="125">
        <f>AX216*(AX215+AW215)/8</f>
        <v>0.5</v>
      </c>
      <c r="AY217" s="125">
        <f>AY216*(AY215+AX215)/8</f>
        <v>0.51759151484353694</v>
      </c>
      <c r="AZ217" s="125">
        <f>AZ216*(AZ215+AY215)/8</f>
        <v>0.54200294417811501</v>
      </c>
      <c r="BA217" s="125">
        <f>BA216*(BA215+AZ215)/8</f>
        <v>0.54200294417811501</v>
      </c>
      <c r="BB217" s="124">
        <f>SUM(AX217:BA217)</f>
        <v>2.1015974031997668</v>
      </c>
      <c r="BC217" s="125">
        <f>BC216*(BC215+BB215)/8</f>
        <v>0.54200294417811501</v>
      </c>
      <c r="BD217" s="125">
        <f>BD216*(BD215+BC215)/8</f>
        <v>0</v>
      </c>
      <c r="BE217" s="125">
        <f>BE216*(BE215+BD215)/8</f>
        <v>0</v>
      </c>
      <c r="BF217" s="125">
        <f>BF216*(BF215+BE215)/8</f>
        <v>0</v>
      </c>
      <c r="BG217" s="124">
        <f>SUM(BC217:BF217)</f>
        <v>0.54200294417811501</v>
      </c>
      <c r="BH217" s="125">
        <f>BH216*(BH215+BG215)/8</f>
        <v>0</v>
      </c>
      <c r="BI217" s="125">
        <f>BI216*(BI215+BH215)/8</f>
        <v>0</v>
      </c>
      <c r="BJ217" s="125">
        <f>BJ216*(BJ215+BI215)/8</f>
        <v>0</v>
      </c>
      <c r="BK217" s="125">
        <f>BK216*(BK215+BJ215)/8</f>
        <v>0</v>
      </c>
      <c r="BL217" s="124">
        <f>SUM(BH217:BK217)</f>
        <v>0</v>
      </c>
      <c r="BM217" s="125">
        <f>BM216*(BM215+BL215)/8</f>
        <v>0</v>
      </c>
      <c r="BN217" s="125">
        <f>BN216*(BN215+BM215)/8</f>
        <v>0</v>
      </c>
      <c r="BO217" s="125">
        <f>BO216*(BO215+BN215)/8</f>
        <v>0</v>
      </c>
      <c r="BP217" s="125">
        <f>BP216*(BP215+BO215)/8</f>
        <v>0</v>
      </c>
      <c r="BQ217" s="124">
        <f>SUM(BM217:BP217)</f>
        <v>0</v>
      </c>
      <c r="BR217" s="125">
        <f>BR216*(BR215+BQ215)/8</f>
        <v>0</v>
      </c>
      <c r="BS217" s="125">
        <f>BS216*(BS215+BR215)/8</f>
        <v>0</v>
      </c>
      <c r="BT217" s="125">
        <f ca="1">BT216*(BT215+BS215)/8</f>
        <v>0</v>
      </c>
      <c r="BU217" s="125">
        <f ca="1">BU216*(BU215+BT215)/8</f>
        <v>0</v>
      </c>
      <c r="BV217" s="124">
        <f ca="1">SUM(BR217:BU217)</f>
        <v>0</v>
      </c>
      <c r="BW217" s="125">
        <f ca="1">BW216*(BW215+BV215)/8</f>
        <v>0</v>
      </c>
      <c r="BX217" s="125">
        <f ca="1">BX216*(BX215+BW215)/8</f>
        <v>0</v>
      </c>
      <c r="BY217" s="125">
        <f ca="1">BY216*(BY215+BX215)/8</f>
        <v>0</v>
      </c>
      <c r="BZ217" s="125">
        <f ca="1">BZ216*(BZ215+BY215)/8</f>
        <v>0</v>
      </c>
      <c r="CA217" s="124">
        <f ca="1">SUM(BW217:BZ217)</f>
        <v>0</v>
      </c>
      <c r="CB217" s="125">
        <f ca="1">CB216*(CB215+CA215)/8</f>
        <v>0</v>
      </c>
      <c r="CC217" s="125">
        <f ca="1">CC216*(CC215+CB215)/8</f>
        <v>0</v>
      </c>
      <c r="CD217" s="125">
        <f ca="1">CD216*(CD215+CC215)/8</f>
        <v>0</v>
      </c>
      <c r="CE217" s="125">
        <f ca="1">CE216*(CE215+CD215)/8</f>
        <v>0</v>
      </c>
      <c r="CF217" s="124">
        <f ca="1">SUM(CB217:CE217)</f>
        <v>0</v>
      </c>
      <c r="CG217" s="125">
        <f ca="1">CG216*(CG215+CF215)/8</f>
        <v>0</v>
      </c>
      <c r="CH217" s="125">
        <f ca="1">CH216*(CH215+CG215)/8</f>
        <v>0</v>
      </c>
      <c r="CI217" s="125">
        <f ca="1">CI216*(CI215+CH215)/8</f>
        <v>0</v>
      </c>
      <c r="CJ217" s="125">
        <f ca="1">CJ216*(CJ215+CI215)/8</f>
        <v>0</v>
      </c>
      <c r="CK217" s="124">
        <f ca="1">SUM(CG217:CJ217)</f>
        <v>0</v>
      </c>
      <c r="CL217" s="125">
        <f ca="1">CL216*(CL215+CK215)/8</f>
        <v>0</v>
      </c>
      <c r="CM217" s="125">
        <f ca="1">CM216*(CM215+CL215)/8</f>
        <v>0</v>
      </c>
      <c r="CN217" s="125">
        <f ca="1">CN216*(CN215+CM215)/8</f>
        <v>0</v>
      </c>
      <c r="CO217" s="125">
        <f ca="1">CO216*(CO215+CN215)/8</f>
        <v>0</v>
      </c>
      <c r="CP217" s="124">
        <f ca="1">SUM(CL217:CO217)</f>
        <v>0</v>
      </c>
    </row>
    <row r="218" spans="1:94" x14ac:dyDescent="0.25">
      <c r="C218" s="156"/>
      <c r="D218" s="156"/>
      <c r="E218" s="22"/>
      <c r="F218" s="22"/>
      <c r="G218" s="22"/>
      <c r="H218" s="22"/>
      <c r="I218" s="156"/>
      <c r="J218" s="22"/>
      <c r="K218" s="22"/>
      <c r="L218" s="22"/>
      <c r="M218" s="22"/>
      <c r="N218" s="156"/>
      <c r="O218" s="22"/>
      <c r="P218" s="22"/>
      <c r="Q218" s="22"/>
      <c r="R218" s="22"/>
      <c r="S218" s="156"/>
      <c r="T218" s="22"/>
      <c r="U218" s="22"/>
      <c r="V218" s="22"/>
      <c r="W218" s="22"/>
      <c r="X218" s="156"/>
      <c r="Y218" s="118"/>
      <c r="Z218" s="118"/>
      <c r="AA218" s="118"/>
      <c r="AB218" s="118"/>
      <c r="AC218" s="156"/>
      <c r="AD218" s="118"/>
      <c r="AE218" s="118"/>
      <c r="AF218" s="118"/>
      <c r="AG218" s="118"/>
      <c r="AH218" s="156"/>
      <c r="AI218" s="118"/>
      <c r="AJ218" s="118"/>
      <c r="AK218" s="118"/>
      <c r="AL218" s="118"/>
      <c r="AM218" s="156"/>
      <c r="AN218" s="118"/>
      <c r="AO218" s="118"/>
      <c r="AP218" s="118"/>
      <c r="AQ218" s="118"/>
      <c r="AR218" s="156"/>
      <c r="AS218" s="118"/>
      <c r="AT218" s="118"/>
      <c r="AU218" s="118"/>
      <c r="AV218" s="118"/>
      <c r="AW218" s="156"/>
      <c r="AX218" s="118"/>
      <c r="AY218" s="118"/>
      <c r="AZ218" s="118"/>
      <c r="BA218" s="118"/>
      <c r="BB218" s="156"/>
      <c r="BC218" s="118"/>
      <c r="BD218" s="118"/>
      <c r="BE218" s="118"/>
      <c r="BF218" s="118"/>
      <c r="BG218" s="156"/>
      <c r="BH218" s="118"/>
      <c r="BI218" s="118"/>
      <c r="BJ218" s="118"/>
      <c r="BK218" s="118"/>
      <c r="BL218" s="156"/>
      <c r="BM218" s="118"/>
      <c r="BN218" s="118"/>
      <c r="BO218" s="118"/>
      <c r="BP218" s="118"/>
      <c r="BQ218" s="156"/>
      <c r="BR218" s="118"/>
      <c r="BS218" s="118"/>
      <c r="BT218" s="118"/>
      <c r="BU218" s="118"/>
      <c r="BV218" s="156"/>
      <c r="BW218" s="118"/>
      <c r="BX218" s="118"/>
      <c r="BY218" s="118"/>
      <c r="BZ218" s="118"/>
      <c r="CA218" s="156"/>
      <c r="CB218" s="118"/>
      <c r="CC218" s="118"/>
      <c r="CD218" s="118"/>
      <c r="CE218" s="118"/>
      <c r="CF218" s="156"/>
      <c r="CG218" s="118"/>
      <c r="CH218" s="118"/>
      <c r="CI218" s="118"/>
      <c r="CJ218" s="118"/>
      <c r="CK218" s="156"/>
      <c r="CL218" s="118"/>
      <c r="CM218" s="118"/>
      <c r="CN218" s="118"/>
      <c r="CO218" s="118"/>
      <c r="CP218" s="156"/>
    </row>
    <row r="219" spans="1:94" x14ac:dyDescent="0.25">
      <c r="A219" s="38" t="s">
        <v>129</v>
      </c>
      <c r="C219" s="98"/>
      <c r="D219" s="98"/>
      <c r="E219" s="118"/>
      <c r="F219" s="118"/>
      <c r="G219" s="118"/>
      <c r="H219" s="118"/>
      <c r="I219" s="98"/>
      <c r="J219" s="118"/>
      <c r="K219" s="118"/>
      <c r="L219" s="118"/>
      <c r="M219" s="118"/>
      <c r="N219" s="98"/>
      <c r="O219" s="118"/>
      <c r="P219" s="118"/>
      <c r="Q219" s="118"/>
      <c r="R219" s="118"/>
      <c r="S219" s="98"/>
      <c r="T219" s="118"/>
      <c r="U219" s="118"/>
      <c r="V219" s="118"/>
      <c r="W219" s="118"/>
      <c r="X219" s="98"/>
      <c r="Y219" s="118"/>
      <c r="Z219" s="118"/>
      <c r="AA219" s="118"/>
      <c r="AB219" s="118"/>
      <c r="AC219" s="98"/>
      <c r="AD219" s="118"/>
      <c r="AE219" s="118"/>
      <c r="AF219" s="118"/>
      <c r="AG219" s="118"/>
      <c r="AH219" s="98"/>
      <c r="AI219" s="118"/>
      <c r="AJ219" s="118"/>
      <c r="AK219" s="118"/>
      <c r="AL219" s="118"/>
      <c r="AM219" s="98"/>
      <c r="AN219" s="118"/>
      <c r="AO219" s="118"/>
      <c r="AP219" s="118"/>
      <c r="AQ219" s="118"/>
      <c r="AR219" s="98"/>
      <c r="AS219" s="118"/>
      <c r="AT219" s="118"/>
      <c r="AU219" s="118"/>
      <c r="AV219" s="118"/>
      <c r="AW219" s="98"/>
      <c r="AX219" s="118"/>
      <c r="AY219" s="118"/>
      <c r="AZ219" s="118"/>
      <c r="BA219" s="118"/>
      <c r="BB219" s="98"/>
      <c r="BC219" s="118"/>
      <c r="BD219" s="118"/>
      <c r="BE219" s="118"/>
      <c r="BF219" s="118"/>
      <c r="BG219" s="98"/>
      <c r="BH219" s="118"/>
      <c r="BI219" s="118"/>
      <c r="BJ219" s="118"/>
      <c r="BK219" s="118"/>
      <c r="BL219" s="98"/>
      <c r="BM219" s="118"/>
      <c r="BN219" s="118"/>
      <c r="BO219" s="118"/>
      <c r="BP219" s="118"/>
      <c r="BQ219" s="98"/>
      <c r="BR219" s="118"/>
      <c r="BS219" s="118"/>
      <c r="BT219" s="118"/>
      <c r="BU219" s="118"/>
      <c r="BV219" s="98"/>
      <c r="BW219" s="118"/>
      <c r="BX219" s="118"/>
      <c r="BY219" s="118"/>
      <c r="BZ219" s="118"/>
      <c r="CA219" s="98"/>
      <c r="CB219" s="118"/>
      <c r="CC219" s="118"/>
      <c r="CD219" s="118"/>
      <c r="CE219" s="118"/>
      <c r="CF219" s="98"/>
      <c r="CG219" s="118"/>
      <c r="CH219" s="118"/>
      <c r="CI219" s="118"/>
      <c r="CJ219" s="118"/>
      <c r="CK219" s="98"/>
      <c r="CL219" s="118"/>
      <c r="CM219" s="118"/>
      <c r="CN219" s="118"/>
      <c r="CO219" s="118"/>
      <c r="CP219" s="98"/>
    </row>
    <row r="220" spans="1:94" x14ac:dyDescent="0.25">
      <c r="A220" s="52" t="s">
        <v>130</v>
      </c>
      <c r="C220" s="94">
        <f>C34</f>
        <v>341.20000000000005</v>
      </c>
      <c r="D220" s="94">
        <f>D34</f>
        <v>385.40000000000009</v>
      </c>
      <c r="E220" s="118"/>
      <c r="F220" s="118"/>
      <c r="G220" s="119"/>
      <c r="H220" s="118"/>
      <c r="I220" s="94">
        <f>I34</f>
        <v>446.1</v>
      </c>
      <c r="J220" s="118"/>
      <c r="K220" s="118"/>
      <c r="L220" s="119">
        <f>H34+J34+K34+L34</f>
        <v>506.69999999999993</v>
      </c>
      <c r="M220" s="118"/>
      <c r="N220" s="94">
        <f>N34</f>
        <v>521.79999999999995</v>
      </c>
      <c r="O220" s="118"/>
      <c r="P220" s="118"/>
      <c r="Q220" s="119">
        <f>M34+O34+P34+Q34</f>
        <v>586.20000000000016</v>
      </c>
      <c r="R220" s="118"/>
      <c r="S220" s="94">
        <f>S34</f>
        <v>592.10000000000014</v>
      </c>
      <c r="T220" s="118"/>
      <c r="U220" s="118"/>
      <c r="V220" s="119">
        <f>R34+T34+U34+V34</f>
        <v>658.19999999999993</v>
      </c>
      <c r="W220" s="118"/>
      <c r="X220" s="94">
        <f>X34</f>
        <v>685</v>
      </c>
      <c r="Y220" s="118"/>
      <c r="Z220" s="118"/>
      <c r="AA220" s="119">
        <f>W34+Y34+Z34+AA34</f>
        <v>676.09999999999991</v>
      </c>
      <c r="AB220" s="118"/>
      <c r="AC220" s="94">
        <f>AC34</f>
        <v>674.19999999999982</v>
      </c>
      <c r="AD220" s="119"/>
      <c r="AE220" s="119"/>
      <c r="AF220" s="119">
        <f>AB34+AD34+AE34+AF34</f>
        <v>736.6</v>
      </c>
      <c r="AG220" s="118"/>
      <c r="AH220" s="94">
        <f>AH34</f>
        <v>721.59999999999991</v>
      </c>
      <c r="AI220" s="119"/>
      <c r="AJ220" s="119"/>
      <c r="AK220" s="119">
        <f>AG34+AI34+AJ34+AK34</f>
        <v>751.7</v>
      </c>
      <c r="AL220" s="118"/>
      <c r="AM220" s="94">
        <f>AM34</f>
        <v>802.0999999999998</v>
      </c>
      <c r="AN220" s="119"/>
      <c r="AO220" s="119"/>
      <c r="AP220" s="119">
        <f>AL34+AN34+AO34+AP34</f>
        <v>807.29999999999984</v>
      </c>
      <c r="AQ220" s="118"/>
      <c r="AR220" s="94">
        <f>AR34</f>
        <v>788.49999999999989</v>
      </c>
      <c r="AS220" s="119"/>
      <c r="AT220" s="119"/>
      <c r="AU220" s="119">
        <f>AQ34+AS34+AT34+AU34</f>
        <v>871.10000000000014</v>
      </c>
      <c r="AV220" s="118"/>
      <c r="AW220" s="94">
        <f>AW34</f>
        <v>898</v>
      </c>
      <c r="AX220" s="119"/>
      <c r="AY220" s="119"/>
      <c r="AZ220" s="119">
        <f>AV34+AX34+AY34+AZ34</f>
        <v>960</v>
      </c>
      <c r="BA220" s="118"/>
      <c r="BB220" s="94">
        <f>BB34</f>
        <v>972</v>
      </c>
      <c r="BC220" s="119"/>
      <c r="BD220" s="119"/>
      <c r="BE220" s="119">
        <f>BA34+BC34+BD34+BE34</f>
        <v>985</v>
      </c>
      <c r="BF220" s="118"/>
      <c r="BG220" s="94">
        <f>BG34</f>
        <v>1028</v>
      </c>
      <c r="BH220" s="119"/>
      <c r="BI220" s="119"/>
      <c r="BJ220" s="119">
        <f>BF34+BH34+BI34+BJ34</f>
        <v>1039</v>
      </c>
      <c r="BK220" s="118"/>
      <c r="BL220" s="94">
        <f>BL34</f>
        <v>1048</v>
      </c>
      <c r="BM220" s="119"/>
      <c r="BN220" s="119"/>
      <c r="BO220" s="119">
        <f>BK34+BM34+BN34+BO34</f>
        <v>1018</v>
      </c>
      <c r="BP220" s="118"/>
      <c r="BQ220" s="94">
        <f>BQ34</f>
        <v>991</v>
      </c>
      <c r="BR220" s="119"/>
      <c r="BS220" s="119"/>
      <c r="BT220" s="119">
        <f>BP34+BR34+BS34+BT34</f>
        <v>1100.1559220012093</v>
      </c>
      <c r="BU220" s="118"/>
      <c r="BV220" s="94">
        <f>BV34</f>
        <v>1112.8247533117308</v>
      </c>
      <c r="BW220" s="119"/>
      <c r="BX220" s="119"/>
      <c r="BY220" s="119">
        <f>BU34+BW34+BX34+BY34</f>
        <v>1187.6504418674526</v>
      </c>
      <c r="BZ220" s="118"/>
      <c r="CA220" s="94">
        <f>CA34</f>
        <v>1210.0788922490215</v>
      </c>
      <c r="CB220" s="119"/>
      <c r="CC220" s="119"/>
      <c r="CD220" s="119">
        <f>BZ34+CB34+CC34+CD34</f>
        <v>1267.3417439333155</v>
      </c>
      <c r="CE220" s="118"/>
      <c r="CF220" s="94">
        <f>CF34</f>
        <v>1282.6800417344607</v>
      </c>
      <c r="CG220" s="119"/>
      <c r="CH220" s="119"/>
      <c r="CI220" s="119">
        <f>CE34+CG34+CH34+CI34</f>
        <v>1343.2942245607921</v>
      </c>
      <c r="CJ220" s="118"/>
      <c r="CK220" s="94">
        <f>CK34</f>
        <v>1359.5436089378218</v>
      </c>
      <c r="CL220" s="119"/>
      <c r="CM220" s="119"/>
      <c r="CN220" s="119">
        <f>CJ34+CL34+CM34+CN34</f>
        <v>1420.6255109769015</v>
      </c>
      <c r="CO220" s="118"/>
      <c r="CP220" s="94">
        <f>CP34</f>
        <v>1436.9304632221911</v>
      </c>
    </row>
    <row r="221" spans="1:94" x14ac:dyDescent="0.25">
      <c r="A221" s="52" t="s">
        <v>131</v>
      </c>
      <c r="C221" s="70">
        <f>C48</f>
        <v>0.33661299940369704</v>
      </c>
      <c r="D221" s="70">
        <f>D48</f>
        <v>0.33178336980306339</v>
      </c>
      <c r="E221" s="118"/>
      <c r="F221" s="118"/>
      <c r="G221" s="103"/>
      <c r="H221" s="118"/>
      <c r="I221" s="70">
        <f>I48</f>
        <v>0.32380634502941269</v>
      </c>
      <c r="J221" s="118"/>
      <c r="K221" s="118"/>
      <c r="L221" s="103">
        <f>L48</f>
        <v>0.33</v>
      </c>
      <c r="M221" s="118"/>
      <c r="N221" s="70">
        <f>N48</f>
        <v>0.31750575146221305</v>
      </c>
      <c r="O221" s="118"/>
      <c r="P221" s="118"/>
      <c r="Q221" s="103">
        <f>Q48</f>
        <v>0.32892363199037877</v>
      </c>
      <c r="R221" s="118"/>
      <c r="S221" s="70">
        <f>S48</f>
        <v>0.32302414451971512</v>
      </c>
      <c r="T221" s="118"/>
      <c r="U221" s="118"/>
      <c r="V221" s="103">
        <f>V48</f>
        <v>0.32811594202898553</v>
      </c>
      <c r="W221" s="118"/>
      <c r="X221" s="70">
        <f>X48</f>
        <v>0.31692546583850939</v>
      </c>
      <c r="Y221" s="118"/>
      <c r="Z221" s="118"/>
      <c r="AA221" s="103">
        <f>AA48</f>
        <v>0.30815913688469315</v>
      </c>
      <c r="AB221" s="118"/>
      <c r="AC221" s="70">
        <f ca="1">AC48</f>
        <v>0.31996268656716415</v>
      </c>
      <c r="AD221" s="103"/>
      <c r="AE221" s="103"/>
      <c r="AF221" s="103">
        <f>AF48</f>
        <v>0.34186098654708524</v>
      </c>
      <c r="AG221" s="118"/>
      <c r="AH221" s="70">
        <f ca="1">AH48</f>
        <v>0.33860170102349724</v>
      </c>
      <c r="AI221" s="103"/>
      <c r="AJ221" s="103"/>
      <c r="AK221" s="103">
        <f>AK48</f>
        <v>0.35635864592863686</v>
      </c>
      <c r="AL221" s="118"/>
      <c r="AM221" s="70">
        <f>AM48</f>
        <v>0.32636000515397501</v>
      </c>
      <c r="AN221" s="103"/>
      <c r="AO221" s="103"/>
      <c r="AP221" s="103">
        <f>AP48</f>
        <v>0.33081950729009552</v>
      </c>
      <c r="AQ221" s="118"/>
      <c r="AR221" s="70">
        <f>AR48</f>
        <v>0.32476164127889928</v>
      </c>
      <c r="AS221" s="103"/>
      <c r="AT221" s="103"/>
      <c r="AU221" s="103">
        <f>AU48</f>
        <v>0.31299040976460335</v>
      </c>
      <c r="AV221" s="118"/>
      <c r="AW221" s="70">
        <f>AW48</f>
        <v>0.31676300578034683</v>
      </c>
      <c r="AX221" s="103"/>
      <c r="AY221" s="103"/>
      <c r="AZ221" s="103">
        <f>AZ48</f>
        <v>0.28915662650602408</v>
      </c>
      <c r="BA221" s="118"/>
      <c r="BB221" s="70">
        <f>BB48</f>
        <v>0.30499967189003407</v>
      </c>
      <c r="BC221" s="103"/>
      <c r="BD221" s="103"/>
      <c r="BE221" s="103">
        <f>BE48</f>
        <v>0.3007518796992481</v>
      </c>
      <c r="BF221" s="118"/>
      <c r="BG221" s="70">
        <f>BG48</f>
        <v>0.31719369269928371</v>
      </c>
      <c r="BH221" s="103"/>
      <c r="BI221" s="103"/>
      <c r="BJ221" s="103">
        <f>BJ48</f>
        <v>0.2857142857142857</v>
      </c>
      <c r="BK221" s="118"/>
      <c r="BL221" s="70">
        <f>BL48</f>
        <v>0.2958167330677291</v>
      </c>
      <c r="BM221" s="103"/>
      <c r="BN221" s="103"/>
      <c r="BO221" s="103">
        <f>BO48</f>
        <v>0.29457364341085274</v>
      </c>
      <c r="BP221" s="118"/>
      <c r="BQ221" s="70">
        <f>BQ48</f>
        <v>0.28342245989304815</v>
      </c>
      <c r="BR221" s="103"/>
      <c r="BS221" s="103"/>
      <c r="BT221" s="103">
        <f>BT48</f>
        <v>0.3</v>
      </c>
      <c r="BU221" s="118"/>
      <c r="BV221" s="70">
        <f>BV48</f>
        <v>0.27605000000000002</v>
      </c>
      <c r="BW221" s="103"/>
      <c r="BX221" s="103"/>
      <c r="BY221" s="103">
        <f>BY48</f>
        <v>0.28999999999999998</v>
      </c>
      <c r="BZ221" s="118"/>
      <c r="CA221" s="70">
        <f>CA48</f>
        <v>0.28999999999999998</v>
      </c>
      <c r="CB221" s="103"/>
      <c r="CC221" s="103"/>
      <c r="CD221" s="103">
        <f>CD48</f>
        <v>0.28999999999999998</v>
      </c>
      <c r="CE221" s="118"/>
      <c r="CF221" s="70">
        <f>CF48</f>
        <v>0.28999999999999998</v>
      </c>
      <c r="CG221" s="103"/>
      <c r="CH221" s="103"/>
      <c r="CI221" s="103">
        <f>CI48</f>
        <v>0.28999999999999998</v>
      </c>
      <c r="CJ221" s="118"/>
      <c r="CK221" s="70">
        <f>CK48</f>
        <v>0.28999999999999998</v>
      </c>
      <c r="CL221" s="103"/>
      <c r="CM221" s="103"/>
      <c r="CN221" s="103">
        <f>CN48</f>
        <v>0.28999999999999998</v>
      </c>
      <c r="CO221" s="118"/>
      <c r="CP221" s="70">
        <f>CP48</f>
        <v>0.28999999999999998</v>
      </c>
    </row>
    <row r="222" spans="1:94" x14ac:dyDescent="0.25">
      <c r="A222" s="52" t="s">
        <v>132</v>
      </c>
      <c r="C222" s="137">
        <f>C220*(1-C221)</f>
        <v>226.3476446034586</v>
      </c>
      <c r="D222" s="137">
        <f>D220*(1-D221)</f>
        <v>257.5306892778994</v>
      </c>
      <c r="E222" s="118"/>
      <c r="F222" s="118"/>
      <c r="G222" s="138"/>
      <c r="H222" s="118"/>
      <c r="I222" s="137">
        <f>I220*(1-I221)</f>
        <v>301.64998948237906</v>
      </c>
      <c r="J222" s="118"/>
      <c r="K222" s="118"/>
      <c r="L222" s="138">
        <f>L220*(1-L221)</f>
        <v>339.48899999999992</v>
      </c>
      <c r="M222" s="118"/>
      <c r="N222" s="137">
        <f>N220*(1-N221)</f>
        <v>356.12549888701722</v>
      </c>
      <c r="O222" s="118"/>
      <c r="P222" s="118"/>
      <c r="Q222" s="138">
        <f>Q220*(1-Q221)</f>
        <v>393.38496692724004</v>
      </c>
      <c r="R222" s="118"/>
      <c r="S222" s="137">
        <f>S220*(1-S221)</f>
        <v>400.83740402987678</v>
      </c>
      <c r="T222" s="118"/>
      <c r="U222" s="118"/>
      <c r="V222" s="138">
        <f>V220*(1-V221)</f>
        <v>442.23408695652165</v>
      </c>
      <c r="W222" s="118"/>
      <c r="X222" s="137">
        <f>X220*(1-X221)</f>
        <v>467.90605590062103</v>
      </c>
      <c r="Y222" s="118"/>
      <c r="Z222" s="118"/>
      <c r="AA222" s="138">
        <f>AA220*(1-AA221)</f>
        <v>467.75360755225887</v>
      </c>
      <c r="AB222" s="118"/>
      <c r="AC222" s="137">
        <f ca="1">AC220*(1-AC221)</f>
        <v>458.48115671641784</v>
      </c>
      <c r="AD222" s="138"/>
      <c r="AE222" s="138"/>
      <c r="AF222" s="138">
        <f>AF220*(1-AF221)</f>
        <v>484.78519730941707</v>
      </c>
      <c r="AG222" s="118"/>
      <c r="AH222" s="137">
        <f ca="1">AH220*(1-AH221)</f>
        <v>477.26501254144438</v>
      </c>
      <c r="AI222" s="138"/>
      <c r="AJ222" s="138"/>
      <c r="AK222" s="138">
        <f>AK220*(1-AK221)</f>
        <v>483.8252058554437</v>
      </c>
      <c r="AL222" s="118"/>
      <c r="AM222" s="137">
        <f>AM220*(1-AM221)</f>
        <v>540.32663986599653</v>
      </c>
      <c r="AN222" s="138"/>
      <c r="AO222" s="138"/>
      <c r="AP222" s="138">
        <f>AP220*(1-AP221)</f>
        <v>540.22941176470579</v>
      </c>
      <c r="AQ222" s="118"/>
      <c r="AR222" s="137">
        <f>AR220*(1-AR221)</f>
        <v>532.42544585158782</v>
      </c>
      <c r="AS222" s="138"/>
      <c r="AT222" s="138"/>
      <c r="AU222" s="138">
        <f>AU220*(1-AU221)</f>
        <v>598.45405405405415</v>
      </c>
      <c r="AV222" s="118"/>
      <c r="AW222" s="137">
        <f>AW220*(1-AW221)</f>
        <v>613.54682080924863</v>
      </c>
      <c r="AX222" s="138"/>
      <c r="AY222" s="138"/>
      <c r="AZ222" s="138">
        <f>AZ220*(1-AZ221)</f>
        <v>682.40963855421683</v>
      </c>
      <c r="BA222" s="118"/>
      <c r="BB222" s="137">
        <f>BB220*(1-BB221)</f>
        <v>675.54031892288685</v>
      </c>
      <c r="BC222" s="138"/>
      <c r="BD222" s="138"/>
      <c r="BE222" s="138">
        <f>BE220*(1-BE221)</f>
        <v>688.75939849624058</v>
      </c>
      <c r="BF222" s="118"/>
      <c r="BG222" s="137">
        <f>BG220*(1-BG221)</f>
        <v>701.92488390513631</v>
      </c>
      <c r="BH222" s="138"/>
      <c r="BI222" s="138"/>
      <c r="BJ222" s="138">
        <f>BJ220*(1-BJ221)</f>
        <v>742.14285714285711</v>
      </c>
      <c r="BK222" s="118"/>
      <c r="BL222" s="137">
        <f>BL220*(1-BL221)</f>
        <v>737.98406374501997</v>
      </c>
      <c r="BM222" s="138"/>
      <c r="BN222" s="138"/>
      <c r="BO222" s="138">
        <f>BO220*(1-BO221)</f>
        <v>718.12403100775191</v>
      </c>
      <c r="BP222" s="118"/>
      <c r="BQ222" s="137">
        <f>BQ220*(1-BQ221)</f>
        <v>710.1283422459893</v>
      </c>
      <c r="BR222" s="138"/>
      <c r="BS222" s="138"/>
      <c r="BT222" s="138">
        <f>BT220*(1-BT221)</f>
        <v>770.1091454008465</v>
      </c>
      <c r="BU222" s="118"/>
      <c r="BV222" s="137">
        <f>BV220*(1-BV221)</f>
        <v>805.62948016002747</v>
      </c>
      <c r="BW222" s="138"/>
      <c r="BX222" s="138"/>
      <c r="BY222" s="138">
        <f>BY220*(1-BY221)</f>
        <v>843.23181372589136</v>
      </c>
      <c r="BZ222" s="118"/>
      <c r="CA222" s="137">
        <f>CA220*(1-CA221)</f>
        <v>859.15601349680514</v>
      </c>
      <c r="CB222" s="138"/>
      <c r="CC222" s="138"/>
      <c r="CD222" s="138">
        <f>CD220*(1-CD221)</f>
        <v>899.81263819265394</v>
      </c>
      <c r="CE222" s="118"/>
      <c r="CF222" s="137">
        <f>CF220*(1-CF221)</f>
        <v>910.70282963146701</v>
      </c>
      <c r="CG222" s="138"/>
      <c r="CH222" s="138"/>
      <c r="CI222" s="138">
        <f>CI220*(1-CI221)</f>
        <v>953.73889943816232</v>
      </c>
      <c r="CJ222" s="118"/>
      <c r="CK222" s="137">
        <f>CK220*(1-CK221)</f>
        <v>965.27596234585337</v>
      </c>
      <c r="CL222" s="138"/>
      <c r="CM222" s="138"/>
      <c r="CN222" s="138">
        <f>CN220*(1-CN221)</f>
        <v>1008.6441127936</v>
      </c>
      <c r="CO222" s="118"/>
      <c r="CP222" s="137">
        <f>CP220*(1-CP221)</f>
        <v>1020.2206288877557</v>
      </c>
    </row>
    <row r="223" spans="1:94" x14ac:dyDescent="0.25">
      <c r="A223" s="52" t="s">
        <v>129</v>
      </c>
      <c r="C223" s="156"/>
      <c r="D223" s="156">
        <f>D222/((D207+D212+C207+C212)/2)</f>
        <v>0.14968363224521905</v>
      </c>
      <c r="E223" s="118"/>
      <c r="F223" s="118"/>
      <c r="G223" s="22"/>
      <c r="H223" s="118"/>
      <c r="I223" s="156">
        <f>I222/(AVERAGE(E212,F212,G212,H212)+AVERAGE(E207,F207,G207,H207))</f>
        <v>0.16270225969923358</v>
      </c>
      <c r="J223" s="118"/>
      <c r="K223" s="118"/>
      <c r="L223" s="22">
        <f>L222/(AVERAGE(H212,J212,K212,L212)+AVERAGE(H207,J207,K207,L207))</f>
        <v>0.17258349855116667</v>
      </c>
      <c r="M223" s="118"/>
      <c r="N223" s="156">
        <f>N222/(AVERAGE(J212,K212,L212,M212)+AVERAGE(J207,K207,L207,M207))</f>
        <v>0.17659261591600786</v>
      </c>
      <c r="O223" s="118"/>
      <c r="P223" s="118"/>
      <c r="Q223" s="22">
        <f>Q222/(AVERAGE(M212,O212,P212,Q212)+AVERAGE(M207,O207,P207,Q207))</f>
        <v>0.16324213041496377</v>
      </c>
      <c r="R223" s="118"/>
      <c r="S223" s="156">
        <f>S222/(AVERAGE(O212,P212,Q212,R212)+AVERAGE(O207,P207,Q207,R207))</f>
        <v>0.15641977465240112</v>
      </c>
      <c r="T223" s="118"/>
      <c r="U223" s="118"/>
      <c r="V223" s="22">
        <f>V222/(AVERAGE(R212,T212,U212,V212)+AVERAGE(R207,T207,U207,V207))</f>
        <v>0.16006590607675897</v>
      </c>
      <c r="W223" s="118"/>
      <c r="X223" s="156">
        <f>X222/(AVERAGE(T212,U212,V212,W212)+AVERAGE(T207,U207,V207,W207))</f>
        <v>0.16964950405649629</v>
      </c>
      <c r="Y223" s="118"/>
      <c r="Z223" s="118"/>
      <c r="AA223" s="22">
        <f>AA222/(AVERAGE(W212,Y212,Z212,AA212)+AVERAGE(W207,Y207,Z207,AA207))</f>
        <v>0.16469617532912884</v>
      </c>
      <c r="AB223" s="118"/>
      <c r="AC223" s="156">
        <f ca="1">AC222/(AVERAGE(Y212,Z212,AA212,AB212)+AVERAGE(Y207,Z207,AA207,AB207))</f>
        <v>0.1602520645635854</v>
      </c>
      <c r="AD223" s="22"/>
      <c r="AE223" s="22"/>
      <c r="AF223" s="22">
        <f>AF222/(AVERAGE(AB212,AD212,AE212,AF212)+AVERAGE(AB207,AD207,AE207,AF207))</f>
        <v>0.17598475235394676</v>
      </c>
      <c r="AG223" s="118"/>
      <c r="AH223" s="156">
        <f ca="1">AH222/(AVERAGE(AD212,AE212,AF212,AG212)+AVERAGE(AD207,AE207,AF207,AG207))</f>
        <v>0.17679428517398987</v>
      </c>
      <c r="AI223" s="22"/>
      <c r="AJ223" s="22"/>
      <c r="AK223" s="22">
        <f>AK222/(AVERAGE(AG212,AI212,AJ212,AK212)+AVERAGE(AG207,AI207,AJ207,AK207))</f>
        <v>0.18569202208976832</v>
      </c>
      <c r="AL223" s="118"/>
      <c r="AM223" s="156">
        <f>AM222/(AVERAGE(AI212,AJ212,AK212,AL212)+AVERAGE(AI207,AJ207,AK207,AL207))</f>
        <v>0.20299485864357297</v>
      </c>
      <c r="AN223" s="22"/>
      <c r="AO223" s="22"/>
      <c r="AP223" s="22">
        <f>AP222/(AVERAGE(AL212,AN212,AO212,AP212)+AVERAGE(AL207,AN207,AO207,AP207))</f>
        <v>0.19287363636077254</v>
      </c>
      <c r="AQ223" s="118"/>
      <c r="AR223" s="156">
        <f>AR222/(AVERAGE(AN212,AO212,AP212,AQ212)+AVERAGE(AN207,AO207,AP207,AQ207))</f>
        <v>0.19431940212470589</v>
      </c>
      <c r="AS223" s="22"/>
      <c r="AT223" s="22"/>
      <c r="AU223" s="22">
        <f>AU222/(AVERAGE(AQ206,AS206,AT206,AU206)+AVERAGE(AQ207,AS207,AT207,AU207))</f>
        <v>0.25685825745914165</v>
      </c>
      <c r="AV223" s="118"/>
      <c r="AW223" s="156">
        <f>AW222/(AVERAGE(AS206,AT206,AU206,AV206)+AVERAGE(AS207,AT207,AU207,AV207))</f>
        <v>0.25810185339976383</v>
      </c>
      <c r="AX223" s="22"/>
      <c r="AY223" s="22"/>
      <c r="AZ223" s="22">
        <f>AZ222/(AVERAGE(AV206,AX206,AY206,AZ206)+AVERAGE(AV207,AX207,AY207,AZ207))</f>
        <v>0.26930135696693641</v>
      </c>
      <c r="BA223" s="118"/>
      <c r="BB223" s="156">
        <f>BB222/(AVERAGE(AX206,AY206,AZ206,BA206)+AVERAGE(AX207,AY207,AZ207,BA207))</f>
        <v>0.26209129735126552</v>
      </c>
      <c r="BC223" s="22"/>
      <c r="BD223" s="22"/>
      <c r="BE223" s="22">
        <f>BE222/(AVERAGE(BA206,BC206,BD206,BE206)+AVERAGE(BA207,BC207,BD207,BE207))</f>
        <v>0.2512803350953085</v>
      </c>
      <c r="BF223" s="118"/>
      <c r="BG223" s="156">
        <f>BG222/(AVERAGE(BC206,BD206,BE206,BF206)+AVERAGE(BC207,BD207,BE207,BF207))</f>
        <v>0.25335675289844301</v>
      </c>
      <c r="BH223" s="22"/>
      <c r="BI223" s="22"/>
      <c r="BJ223" s="22">
        <f>BJ222/(AVERAGE(BF206,BH206,BI206,BJ206)+AVERAGE(BF207,BH207,BI207,BJ207))</f>
        <v>0.26389647333731253</v>
      </c>
      <c r="BK223" s="118"/>
      <c r="BL223" s="156">
        <f>BL222/(AVERAGE(BH206,BI206,BJ206,BK206)+AVERAGE(BH207,BI207,BJ207,BK207))</f>
        <v>0.26051859985703646</v>
      </c>
      <c r="BM223" s="22"/>
      <c r="BN223" s="22"/>
      <c r="BO223" s="22">
        <f>BO222/(AVERAGE(BK206,BM206,BN206,BO206)+AVERAGE(BK207,BM207,BN207,BO207))</f>
        <v>0.23070404979768755</v>
      </c>
      <c r="BP223" s="118"/>
      <c r="BQ223" s="156">
        <f>BQ222/(AVERAGE(BM206,BN206,BO206,BP206)+AVERAGE(BM207,BN207,BO207,BP207))</f>
        <v>0.21870290799075739</v>
      </c>
      <c r="BR223" s="22"/>
      <c r="BS223" s="22"/>
      <c r="BT223" s="22">
        <f ca="1">BT222/(AVERAGE(BP206,BR206,BS206,BT206)+AVERAGE(BP207,BR207,BS207,BT207))</f>
        <v>0.21908022657123588</v>
      </c>
      <c r="BU223" s="118"/>
      <c r="BV223" s="156">
        <f ca="1">BV222/(AVERAGE(BR206,BS206,BT206,BU206)+AVERAGE(BR207,BS207,BT207,BU207))</f>
        <v>0.22597464758947527</v>
      </c>
      <c r="BW223" s="22"/>
      <c r="BX223" s="22"/>
      <c r="BY223" s="22">
        <f ca="1">BY222/(AVERAGE(BU206,BW206,BX206,BY206)+AVERAGE(BU207,BW207,BX207,BY207))</f>
        <v>0.22724379080124629</v>
      </c>
      <c r="BZ223" s="118"/>
      <c r="CA223" s="156">
        <f ca="1">CA222/(AVERAGE(BW206,BX206,BY206,BZ206)+AVERAGE(BW207,BX207,BY207,BZ207))</f>
        <v>0.22925712774530074</v>
      </c>
      <c r="CB223" s="22"/>
      <c r="CC223" s="22"/>
      <c r="CD223" s="22">
        <f ca="1">CD222/(AVERAGE(BZ206,CB206,CC206,CD206)+AVERAGE(BZ207,CB207,CC207,CD207))</f>
        <v>0.23334112453726871</v>
      </c>
      <c r="CE223" s="118"/>
      <c r="CF223" s="156">
        <f ca="1">CF222/(AVERAGE(CB206,CC206,CD206,CE206)+AVERAGE(CB207,CC207,CD207,CE207))</f>
        <v>0.2341137360486828</v>
      </c>
      <c r="CG223" s="22"/>
      <c r="CH223" s="22"/>
      <c r="CI223" s="22">
        <f ca="1">CI222/(AVERAGE(CE206,CG206,CH206,CI206)+AVERAGE(CE207,CG207,CH207,CI207))</f>
        <v>0.23845483096735356</v>
      </c>
      <c r="CJ223" s="118"/>
      <c r="CK223" s="156">
        <f ca="1">CK222/(AVERAGE(CG206,CH206,CI206,CJ206)+AVERAGE(CG207,CH207,CI207,CJ207))</f>
        <v>0.23927820512833411</v>
      </c>
      <c r="CL223" s="22"/>
      <c r="CM223" s="22"/>
      <c r="CN223" s="22">
        <f ca="1">CN222/(AVERAGE(CJ206,CL206,CM206,CN206)+AVERAGE(CJ207,CL207,CM207,CN207))</f>
        <v>0.24314386392215045</v>
      </c>
      <c r="CO223" s="118"/>
      <c r="CP223" s="156">
        <f ca="1">CP222/(AVERAGE(CL206,CM206,CN206,CO206)+AVERAGE(CL207,CM207,CN207,CO207))</f>
        <v>0.24381888242918673</v>
      </c>
    </row>
    <row r="224" spans="1:94" x14ac:dyDescent="0.25">
      <c r="C224" s="156"/>
      <c r="D224" s="156"/>
      <c r="E224" s="60"/>
      <c r="F224" s="60"/>
      <c r="G224" s="60"/>
      <c r="H224" s="60"/>
      <c r="I224" s="156"/>
      <c r="J224" s="60"/>
      <c r="K224" s="60"/>
      <c r="L224" s="60"/>
      <c r="M224" s="60"/>
      <c r="N224" s="156"/>
      <c r="O224" s="60"/>
      <c r="P224" s="60"/>
      <c r="Q224" s="60"/>
      <c r="R224" s="60"/>
      <c r="S224" s="156"/>
      <c r="T224" s="60"/>
      <c r="U224" s="60"/>
      <c r="V224" s="60"/>
      <c r="W224" s="60"/>
      <c r="X224" s="156"/>
      <c r="Y224" s="60"/>
      <c r="Z224" s="60"/>
      <c r="AA224" s="60"/>
      <c r="AB224" s="60"/>
      <c r="AC224" s="156"/>
      <c r="AD224" s="60"/>
      <c r="AE224" s="60"/>
      <c r="AF224" s="60"/>
      <c r="AG224" s="60"/>
      <c r="AH224" s="156"/>
      <c r="AI224" s="60"/>
      <c r="AJ224" s="60"/>
      <c r="AK224" s="60"/>
      <c r="AL224" s="60"/>
      <c r="AM224" s="156"/>
      <c r="AN224" s="60"/>
      <c r="AO224" s="60"/>
      <c r="AP224" s="60"/>
      <c r="AQ224" s="60"/>
      <c r="AR224" s="156"/>
      <c r="AS224" s="60"/>
      <c r="AT224" s="60"/>
      <c r="AU224" s="60"/>
      <c r="AV224" s="60"/>
      <c r="AW224" s="156"/>
      <c r="AX224" s="60"/>
      <c r="AY224" s="60"/>
      <c r="AZ224" s="60"/>
      <c r="BA224" s="60"/>
      <c r="BB224" s="156"/>
      <c r="BC224" s="60"/>
      <c r="BD224" s="60"/>
      <c r="BE224" s="60"/>
      <c r="BF224" s="60"/>
      <c r="BG224" s="156"/>
      <c r="BH224" s="60"/>
      <c r="BI224" s="60"/>
      <c r="BJ224" s="60"/>
      <c r="BK224" s="60"/>
      <c r="BL224" s="156"/>
      <c r="BM224" s="60"/>
      <c r="BN224" s="60"/>
      <c r="BO224" s="60"/>
      <c r="BP224" s="60"/>
      <c r="BQ224" s="156"/>
      <c r="BR224" s="60"/>
      <c r="BS224" s="60"/>
      <c r="BT224" s="60"/>
      <c r="BU224" s="60"/>
      <c r="BV224" s="156"/>
      <c r="BW224" s="60"/>
      <c r="BX224" s="60"/>
      <c r="BY224" s="60"/>
      <c r="BZ224" s="60"/>
      <c r="CA224" s="156"/>
      <c r="CB224" s="60"/>
      <c r="CC224" s="60"/>
      <c r="CD224" s="60"/>
      <c r="CE224" s="60"/>
      <c r="CF224" s="156"/>
      <c r="CG224" s="60"/>
      <c r="CH224" s="60"/>
      <c r="CI224" s="60"/>
      <c r="CJ224" s="60"/>
      <c r="CK224" s="156"/>
      <c r="CL224" s="60"/>
      <c r="CM224" s="60"/>
      <c r="CN224" s="60"/>
      <c r="CO224" s="60"/>
      <c r="CP224" s="156"/>
    </row>
    <row r="225" spans="1:94" x14ac:dyDescent="0.25">
      <c r="A225" s="38" t="s">
        <v>137</v>
      </c>
      <c r="C225" s="98"/>
      <c r="D225" s="98"/>
      <c r="E225" s="118"/>
      <c r="F225" s="118"/>
      <c r="G225" s="118"/>
      <c r="H225" s="118"/>
      <c r="I225" s="98"/>
      <c r="J225" s="118"/>
      <c r="K225" s="118"/>
      <c r="L225" s="118"/>
      <c r="M225" s="118"/>
      <c r="N225" s="98"/>
      <c r="O225" s="118"/>
      <c r="P225" s="118"/>
      <c r="Q225" s="118"/>
      <c r="R225" s="118"/>
      <c r="S225" s="98"/>
      <c r="T225" s="118"/>
      <c r="U225" s="118"/>
      <c r="V225" s="118"/>
      <c r="W225" s="118"/>
      <c r="X225" s="98"/>
      <c r="Y225" s="118"/>
      <c r="Z225" s="118"/>
      <c r="AA225" s="118"/>
      <c r="AB225" s="118"/>
      <c r="AC225" s="98"/>
      <c r="AD225" s="118"/>
      <c r="AE225" s="118"/>
      <c r="AF225" s="118"/>
      <c r="AG225" s="118"/>
      <c r="AH225" s="98"/>
      <c r="AI225" s="118"/>
      <c r="AJ225" s="118"/>
      <c r="AK225" s="118"/>
      <c r="AL225" s="118"/>
      <c r="AM225" s="98"/>
      <c r="AN225" s="118"/>
      <c r="AO225" s="118"/>
      <c r="AP225" s="118"/>
      <c r="AQ225" s="118"/>
      <c r="AR225" s="98"/>
      <c r="AS225" s="118"/>
      <c r="AT225" s="118"/>
      <c r="AU225" s="118"/>
      <c r="AV225" s="118"/>
      <c r="AW225" s="98"/>
      <c r="AX225" s="118"/>
      <c r="AY225" s="118"/>
      <c r="AZ225" s="118"/>
      <c r="BA225" s="118"/>
      <c r="BB225" s="98"/>
      <c r="BC225" s="118"/>
      <c r="BD225" s="118"/>
      <c r="BE225" s="118"/>
      <c r="BF225" s="118"/>
      <c r="BG225" s="98"/>
      <c r="BH225" s="118"/>
      <c r="BI225" s="118"/>
      <c r="BJ225" s="118"/>
      <c r="BK225" s="118"/>
      <c r="BL225" s="98"/>
      <c r="BM225" s="118"/>
      <c r="BN225" s="118"/>
      <c r="BO225" s="118"/>
      <c r="BP225" s="118"/>
      <c r="BQ225" s="98"/>
      <c r="BR225" s="118"/>
      <c r="BS225" s="118"/>
      <c r="BT225" s="118"/>
      <c r="BU225" s="118"/>
      <c r="BV225" s="98"/>
      <c r="BW225" s="118"/>
      <c r="BX225" s="118"/>
      <c r="BY225" s="118"/>
      <c r="BZ225" s="118"/>
      <c r="CA225" s="98"/>
      <c r="CB225" s="118"/>
      <c r="CC225" s="118"/>
      <c r="CD225" s="118"/>
      <c r="CE225" s="118"/>
      <c r="CF225" s="98"/>
      <c r="CG225" s="118"/>
      <c r="CH225" s="118"/>
      <c r="CI225" s="118"/>
      <c r="CJ225" s="118"/>
      <c r="CK225" s="98"/>
      <c r="CL225" s="118"/>
      <c r="CM225" s="118"/>
      <c r="CN225" s="118"/>
      <c r="CO225" s="118"/>
      <c r="CP225" s="98"/>
    </row>
    <row r="226" spans="1:94" x14ac:dyDescent="0.25">
      <c r="A226" s="52" t="s">
        <v>134</v>
      </c>
      <c r="C226" s="144">
        <f>C86*365/(C17)</f>
        <v>354.33952870892801</v>
      </c>
      <c r="D226" s="144">
        <f>D86*365/(D17)</f>
        <v>322.09283903675538</v>
      </c>
      <c r="E226" s="199">
        <f>E86*365/(E17)/4</f>
        <v>361.68522960932137</v>
      </c>
      <c r="F226" s="199">
        <f>F86*365/(F17)/4</f>
        <v>293.45336718332436</v>
      </c>
      <c r="G226" s="199">
        <f>G86*365/(G17)/4</f>
        <v>300.86278735632197</v>
      </c>
      <c r="H226" s="199">
        <f>H86*365/(H17)/4</f>
        <v>321.9097222222224</v>
      </c>
      <c r="I226" s="144">
        <f>I86*365/(I17)</f>
        <v>267.90612308653556</v>
      </c>
      <c r="J226" s="199">
        <f>J86*365/(J17)/4</f>
        <v>310.74668527564546</v>
      </c>
      <c r="K226" s="199">
        <f>K86*365/(K17)/4</f>
        <v>252.93435013262584</v>
      </c>
      <c r="L226" s="199">
        <f>L86*365/(L17)/4</f>
        <v>289.21798780487802</v>
      </c>
      <c r="M226" s="199">
        <f>M86*365/(M17)/4</f>
        <v>334.01683381088822</v>
      </c>
      <c r="N226" s="144">
        <f>N86*365/(N17)</f>
        <v>293.53950267548004</v>
      </c>
      <c r="O226" s="199">
        <f>O86*365/(O17)/4</f>
        <v>319.52114029468288</v>
      </c>
      <c r="P226" s="199">
        <f>P86*365/(P17)/4</f>
        <v>271.55451127819572</v>
      </c>
      <c r="Q226" s="199">
        <f>Q86*365/(Q17)/4</f>
        <v>328.1814681724847</v>
      </c>
      <c r="R226" s="199">
        <f>R86*365/(R17)/4</f>
        <v>339.55764075067032</v>
      </c>
      <c r="S226" s="144">
        <f>S86*365/(S17)</f>
        <v>343.75084814764563</v>
      </c>
      <c r="T226" s="199">
        <f>T86*365/(T17)/4</f>
        <v>337.26670066292706</v>
      </c>
      <c r="U226" s="199">
        <f>U86*365/(U17)/4</f>
        <v>272.56107491856682</v>
      </c>
      <c r="V226" s="199">
        <f>V86*365/(V17)/4</f>
        <v>259.70861134278573</v>
      </c>
      <c r="W226" s="199">
        <f>W86*365/(W17)/4</f>
        <v>304.31475170399227</v>
      </c>
      <c r="X226" s="144">
        <f>X86*365/(X17)</f>
        <v>281.90889615514715</v>
      </c>
      <c r="Y226" s="199">
        <f>Y86*365/(Y17)/4</f>
        <v>306.61729857819904</v>
      </c>
      <c r="Z226" s="199">
        <f>Z86*365/(Z17)/4</f>
        <v>229.80733775811206</v>
      </c>
      <c r="AA226" s="199">
        <f>AA86*365/(AA17)/4</f>
        <v>264.61677186654646</v>
      </c>
      <c r="AB226" s="199">
        <f>AB86*365/(AB17)/4</f>
        <v>333.49215246636788</v>
      </c>
      <c r="AC226" s="144">
        <f>AC86*365/(AC17)</f>
        <v>269.69628286491371</v>
      </c>
      <c r="AD226" s="199">
        <f>AD86*365/(AD17)/4</f>
        <v>327.9640797063451</v>
      </c>
      <c r="AE226" s="199">
        <f>AE86*365/(AE17)/4</f>
        <v>246.21090695856142</v>
      </c>
      <c r="AF226" s="199">
        <f>AF86*365/(AF17)/4</f>
        <v>265.20916114790276</v>
      </c>
      <c r="AG226" s="199">
        <f>AG86*365/(AG17)/4</f>
        <v>321.79712892741065</v>
      </c>
      <c r="AH226" s="144">
        <f>AH86*365/(AH17)</f>
        <v>277.06972947761193</v>
      </c>
      <c r="AI226" s="199">
        <f>AI86*365/(AI17)/4</f>
        <v>321.67300629590773</v>
      </c>
      <c r="AJ226" s="199">
        <f>AJ86*365/(AJ17)/4</f>
        <v>266.17122287145241</v>
      </c>
      <c r="AK226" s="199">
        <f>AK86*365/(AK17)/4</f>
        <v>252.66359918200411</v>
      </c>
      <c r="AL226" s="199">
        <f>AL86*365/(AL17)/4</f>
        <v>315.0413553895412</v>
      </c>
      <c r="AM226" s="144">
        <f>AM86*365/(AM17)</f>
        <v>273.92993852221315</v>
      </c>
      <c r="AN226" s="199">
        <f>AN86*365/(AN17)/4</f>
        <v>287.59482758620697</v>
      </c>
      <c r="AO226" s="199">
        <f>AO86*365/(AO17)/4</f>
        <v>227.5516157989228</v>
      </c>
      <c r="AP226" s="199">
        <f>AP86*365/(AP17)/4</f>
        <v>249.0357000398883</v>
      </c>
      <c r="AQ226" s="199">
        <f>AQ86*365/(AQ17)/4</f>
        <v>358.75207067918291</v>
      </c>
      <c r="AR226" s="144">
        <f>AR86*365/(AR17)</f>
        <v>280.10347057555492</v>
      </c>
      <c r="AS226" s="199">
        <f>AS86*365/(AS17)/4</f>
        <v>345.81804660386717</v>
      </c>
      <c r="AT226" s="199">
        <f>AT86*365/(AT17)/4</f>
        <v>288.54827517842989</v>
      </c>
      <c r="AU226" s="199">
        <f>AU86*365/(AU17)/4</f>
        <v>304.63519983347203</v>
      </c>
      <c r="AV226" s="199">
        <f>AV86*365/(AV17)/4</f>
        <v>377.31875000000002</v>
      </c>
      <c r="AW226" s="144">
        <f>AW86*365/(AW17)</f>
        <v>337.60765015098974</v>
      </c>
      <c r="AX226" s="199">
        <f>AX86*365/(AX17)/4</f>
        <v>381.59090909090907</v>
      </c>
      <c r="AY226" s="199">
        <f>AY86*365/(AY17)/4</f>
        <v>319.90758754863811</v>
      </c>
      <c r="AZ226" s="199">
        <f>AZ86*365/(AZ17)/4</f>
        <v>318.64499999999998</v>
      </c>
      <c r="BA226" s="199">
        <f>BA86*365/(BA17)/4</f>
        <v>410.625</v>
      </c>
      <c r="BB226" s="144">
        <f>BB86*365/(BB17)</f>
        <v>352.99342105263156</v>
      </c>
      <c r="BC226" s="199">
        <f>BC86*365/(BC17)/4</f>
        <v>412.36309523809524</v>
      </c>
      <c r="BD226" s="199">
        <f>BD86*365/(BD17)/4</f>
        <v>330.61100746268659</v>
      </c>
      <c r="BE226" s="199">
        <f>BE86*365/(BE17)/4</f>
        <v>322.88461538461536</v>
      </c>
      <c r="BF226" s="199">
        <f>BF86*365/(BF17)/4</f>
        <v>408.26877934272301</v>
      </c>
      <c r="BG226" s="144">
        <f>BG86*365/(BG17)</f>
        <v>365.7676130389064</v>
      </c>
      <c r="BH226" s="199">
        <f>BH86*365/(BH17)/4</f>
        <v>454.05649038461536</v>
      </c>
      <c r="BI226" s="199">
        <f>BI86*365/(BI17)/4</f>
        <v>363.2975746268657</v>
      </c>
      <c r="BJ226" s="199">
        <f>BJ86*365/(BJ17)/4</f>
        <v>370.38877952755905</v>
      </c>
      <c r="BK226" s="199">
        <f>BK86*365/(BK17)/4</f>
        <v>445.2662037037037</v>
      </c>
      <c r="BL226" s="144">
        <f>BL86*365/(BL17)</f>
        <v>406.67019027484145</v>
      </c>
      <c r="BM226" s="199">
        <f>BM86*365/(BM17)/4</f>
        <v>553.64182692307691</v>
      </c>
      <c r="BN226" s="199">
        <f>BN86*365/(BN17)/4</f>
        <v>422.113309352518</v>
      </c>
      <c r="BO226" s="199">
        <f>BO86*365/(BO17)/4</f>
        <v>415.32169117647061</v>
      </c>
      <c r="BP226" s="199">
        <f>BP86*365/(BP17)/4</f>
        <v>541.53037383177571</v>
      </c>
      <c r="BQ226" s="144">
        <f>BQ86*365/(BQ17)</f>
        <v>476.90329218106996</v>
      </c>
      <c r="BR226" s="199">
        <f>BR86*365/(BR17)/4</f>
        <v>530.44021739130437</v>
      </c>
      <c r="BS226" s="199">
        <f>BS86*365/(BS17)/4</f>
        <v>407.92351973684208</v>
      </c>
      <c r="BT226" s="199">
        <f>BT86*365/(BT17)/4</f>
        <v>415.32169117647061</v>
      </c>
      <c r="BU226" s="199">
        <f>BU86*365/(BU17)/4</f>
        <v>541.53037383177571</v>
      </c>
      <c r="BV226" s="144">
        <f>BV86*365/(BV17)</f>
        <v>469.08038811587573</v>
      </c>
      <c r="BW226" s="199">
        <f>BW86*365/(BW17)/4</f>
        <v>530.44021739130437</v>
      </c>
      <c r="BX226" s="199">
        <f>BX86*365/(BX17)/4</f>
        <v>407.92351973684214</v>
      </c>
      <c r="BY226" s="199">
        <f>BY86*365/(BY17)/4</f>
        <v>415.32169117647055</v>
      </c>
      <c r="BZ226" s="199">
        <f>BZ86*365/(BZ17)/4</f>
        <v>541.53037383177571</v>
      </c>
      <c r="CA226" s="144">
        <f>CA86*365/(CA17)</f>
        <v>471.06311707904683</v>
      </c>
      <c r="CB226" s="199">
        <f>CB86*365/(CB17)/4</f>
        <v>530.44021739130437</v>
      </c>
      <c r="CC226" s="199">
        <f>CC86*365/(CC17)/4</f>
        <v>407.92351973684214</v>
      </c>
      <c r="CD226" s="199">
        <f>CD86*365/(CD17)/4</f>
        <v>415.32169117647055</v>
      </c>
      <c r="CE226" s="199">
        <f>CE86*365/(CE17)/4</f>
        <v>541.53037383177571</v>
      </c>
      <c r="CF226" s="144">
        <f>CF86*365/(CF17)</f>
        <v>470.95719945506949</v>
      </c>
      <c r="CG226" s="199">
        <f>CG86*365/(CG17)/4</f>
        <v>530.44021739130437</v>
      </c>
      <c r="CH226" s="199">
        <f>CH86*365/(CH17)/4</f>
        <v>407.92351973684214</v>
      </c>
      <c r="CI226" s="199">
        <f>CI86*365/(CI17)/4</f>
        <v>415.32169117647061</v>
      </c>
      <c r="CJ226" s="199">
        <f>CJ86*365/(CJ17)/4</f>
        <v>541.53037383177571</v>
      </c>
      <c r="CK226" s="144">
        <f>CK86*365/(CK17)</f>
        <v>470.85029274101163</v>
      </c>
      <c r="CL226" s="199">
        <f>CL86*365/(CL17)/4</f>
        <v>530.44021739130437</v>
      </c>
      <c r="CM226" s="199">
        <f>CM86*365/(CM17)/4</f>
        <v>407.92351973684208</v>
      </c>
      <c r="CN226" s="199">
        <f>CN86*365/(CN17)/4</f>
        <v>415.32169117647061</v>
      </c>
      <c r="CO226" s="199">
        <f>CO86*365/(CO17)/4</f>
        <v>541.53037383177571</v>
      </c>
      <c r="CP226" s="144">
        <f>CP86*365/(CP17)</f>
        <v>470.77846524066365</v>
      </c>
    </row>
    <row r="227" spans="1:94" x14ac:dyDescent="0.25">
      <c r="A227" s="52" t="s">
        <v>135</v>
      </c>
      <c r="C227" s="144">
        <f>C84*365/C4</f>
        <v>64.100832162541877</v>
      </c>
      <c r="D227" s="144">
        <f>D84*365/D4</f>
        <v>61.816235156706242</v>
      </c>
      <c r="E227" s="199">
        <f>E84*365/E4/4</f>
        <v>61.484261375441513</v>
      </c>
      <c r="F227" s="199">
        <f>F84*365/F4/4</f>
        <v>71.09992825255101</v>
      </c>
      <c r="G227" s="199">
        <f>G84*365/G4/4</f>
        <v>53.700354317732376</v>
      </c>
      <c r="H227" s="199">
        <f>H84*365/H4/4</f>
        <v>52.797956589753611</v>
      </c>
      <c r="I227" s="144">
        <f>I84*365/I4</f>
        <v>48.503839762877796</v>
      </c>
      <c r="J227" s="199">
        <f>J84*365/J4/4</f>
        <v>54.042896678966791</v>
      </c>
      <c r="K227" s="199">
        <f>K84*365/K4/4</f>
        <v>56.20722433460076</v>
      </c>
      <c r="L227" s="199">
        <f>L84*365/L4/4</f>
        <v>45.45052581261951</v>
      </c>
      <c r="M227" s="199">
        <f>M84*365/M4/4</f>
        <v>50.373867714920522</v>
      </c>
      <c r="N227" s="144">
        <f>N84*365/N4</f>
        <v>48.874471436862621</v>
      </c>
      <c r="O227" s="199">
        <f>O84*365/O4/4</f>
        <v>47.713924850015786</v>
      </c>
      <c r="P227" s="199">
        <f>P84*365/P4/4</f>
        <v>55.425089383938392</v>
      </c>
      <c r="Q227" s="199">
        <f>Q84*365/Q4/4</f>
        <v>58.657260201377852</v>
      </c>
      <c r="R227" s="199">
        <f>R84*365/R4/4</f>
        <v>53.365662999420962</v>
      </c>
      <c r="S227" s="144">
        <f>S84*365/S4</f>
        <v>52.547929584491484</v>
      </c>
      <c r="T227" s="199">
        <f>T84*365/T4/4</f>
        <v>48.61892842646462</v>
      </c>
      <c r="U227" s="199">
        <f>U84*365/U4/4</f>
        <v>54.6539903738527</v>
      </c>
      <c r="V227" s="199">
        <f>V84*365/V4/4</f>
        <v>49.202615682698884</v>
      </c>
      <c r="W227" s="199">
        <f>W84*365/W4/4</f>
        <v>53.523565971772634</v>
      </c>
      <c r="X227" s="144">
        <f>X84*365/X4</f>
        <v>50.376272012674427</v>
      </c>
      <c r="Y227" s="199">
        <f>Y84*365/Y4/4</f>
        <v>49.529113924050634</v>
      </c>
      <c r="Z227" s="199">
        <f>Z84*365/Z4/4</f>
        <v>52.17074997325345</v>
      </c>
      <c r="AA227" s="199">
        <f>AA84*365/AA4/4</f>
        <v>48.121253666624156</v>
      </c>
      <c r="AB227" s="199">
        <f>AB84*365/AB4/4</f>
        <v>49.02367188643349</v>
      </c>
      <c r="AC227" s="144">
        <f>AC84*365/AC4</f>
        <v>41.975971930703921</v>
      </c>
      <c r="AD227" s="199">
        <f>AD84*365/AD4/4</f>
        <v>48.54960021683155</v>
      </c>
      <c r="AE227" s="199">
        <f>AE84*365/AE4/4</f>
        <v>53.049473625265989</v>
      </c>
      <c r="AF227" s="199">
        <f>AF84*365/AF4/4</f>
        <v>48.076476732041314</v>
      </c>
      <c r="AG227" s="199">
        <f>AG84*365/AG4/4</f>
        <v>52.036152796725787</v>
      </c>
      <c r="AH227" s="144">
        <f>AH84*365/AH4</f>
        <v>47.301193613393274</v>
      </c>
      <c r="AI227" s="199">
        <f>AI84*365/AI4/4</f>
        <v>50.420861860652437</v>
      </c>
      <c r="AJ227" s="199">
        <f>AJ84*365/AJ4/4</f>
        <v>54.808435464281771</v>
      </c>
      <c r="AK227" s="199">
        <f>AK84*365/AK4/4</f>
        <v>50.280418744804649</v>
      </c>
      <c r="AL227" s="199">
        <f>AL84*365/AL4/4</f>
        <v>57.197017566030588</v>
      </c>
      <c r="AM227" s="144">
        <f>AM84*365/AM4</f>
        <v>53.179802015098552</v>
      </c>
      <c r="AN227" s="199">
        <f>AN84*365/AN4/4</f>
        <v>56.826282280138038</v>
      </c>
      <c r="AO227" s="199">
        <f>AO84*365/AO4/4</f>
        <v>57.821692991115498</v>
      </c>
      <c r="AP227" s="199">
        <f>AP84*365/AP4/4</f>
        <v>54.112486965589163</v>
      </c>
      <c r="AQ227" s="199">
        <f>AQ84*365/AQ4/4</f>
        <v>54.091788343941097</v>
      </c>
      <c r="AR227" s="144">
        <f>AR84*365/AR4</f>
        <v>47.978470223599729</v>
      </c>
      <c r="AS227" s="199">
        <f>AS84*365/AS4/4</f>
        <v>54.546321603462019</v>
      </c>
      <c r="AT227" s="199">
        <f>AT84*365/AT4/4</f>
        <v>61.340377786545673</v>
      </c>
      <c r="AU227" s="199">
        <f>AU84*365/AU4/4</f>
        <v>56.319261856071662</v>
      </c>
      <c r="AV227" s="199">
        <f>AV84*365/AV4/4</f>
        <v>57.742494226327942</v>
      </c>
      <c r="AW227" s="144">
        <f>AW84*365/AW4</f>
        <v>52.848235045444937</v>
      </c>
      <c r="AX227" s="199">
        <f>AX84*365/AX4/4</f>
        <v>55.198102678571431</v>
      </c>
      <c r="AY227" s="199">
        <f>AY84*365/AY4/4</f>
        <v>61.650834105653381</v>
      </c>
      <c r="AZ227" s="199">
        <f>AZ84*365/AZ4/4</f>
        <v>57.475649350649348</v>
      </c>
      <c r="BA227" s="199">
        <f>BA84*365/BA4/4</f>
        <v>58.142497200447927</v>
      </c>
      <c r="BB227" s="144">
        <f>BB84*365/BB4</f>
        <v>52.631779016725801</v>
      </c>
      <c r="BC227" s="199">
        <f>BC84*365/BC4/4</f>
        <v>54.195168295331165</v>
      </c>
      <c r="BD227" s="199">
        <f>BD84*365/BD4/4</f>
        <v>61.181718061674012</v>
      </c>
      <c r="BE227" s="199">
        <f>BE84*365/BE4/4</f>
        <v>52.679551692589207</v>
      </c>
      <c r="BF227" s="199">
        <f>BF84*365/BF4/4</f>
        <v>56.176082365364309</v>
      </c>
      <c r="BG227" s="144">
        <f>BG84*365/BG4</f>
        <v>51.951904296875</v>
      </c>
      <c r="BH227" s="199">
        <f>BH84*365/BH4/4</f>
        <v>51.201388888888886</v>
      </c>
      <c r="BI227" s="199">
        <f>BI84*365/BI4/4</f>
        <v>60.528056569343065</v>
      </c>
      <c r="BJ227" s="199">
        <f>BJ84*365/BJ4/4</f>
        <v>53.081717451523545</v>
      </c>
      <c r="BK227" s="199">
        <f>BK84*365/BK4/4</f>
        <v>54.671757770632368</v>
      </c>
      <c r="BL227" s="144">
        <f>BL84*365/BL4</f>
        <v>50.856181455633099</v>
      </c>
      <c r="BM227" s="199">
        <f>BM84*365/BM4/4</f>
        <v>53.406834112149532</v>
      </c>
      <c r="BN227" s="199">
        <f>BN84*365/BN4/4</f>
        <v>57.085308056872037</v>
      </c>
      <c r="BO227" s="199">
        <f>BO84*365/BO4/4</f>
        <v>52.647544853635502</v>
      </c>
      <c r="BP227" s="199">
        <f>BP84*365/BP4/4</f>
        <v>57.301296505073282</v>
      </c>
      <c r="BQ227" s="144">
        <f>BQ84*365/BQ4</f>
        <v>52.710655950220378</v>
      </c>
      <c r="BR227" s="199">
        <f>BR84*365/BR4/4</f>
        <v>56.576964477933259</v>
      </c>
      <c r="BS227" s="199">
        <f>BS84*365/BS4/4</f>
        <v>58.929030874785589</v>
      </c>
      <c r="BT227" s="199">
        <f>BT84*365/BT4/4</f>
        <v>52.647544853635502</v>
      </c>
      <c r="BU227" s="199">
        <f>BU84*365/BU4/4</f>
        <v>57.301296505073275</v>
      </c>
      <c r="BV227" s="144">
        <f>BV84*365/BV4</f>
        <v>51.675792286182585</v>
      </c>
      <c r="BW227" s="199">
        <f>BW84*365/BW4/4</f>
        <v>56.576964477933259</v>
      </c>
      <c r="BX227" s="199">
        <f>BX84*365/BX4/4</f>
        <v>58.929030874785596</v>
      </c>
      <c r="BY227" s="199">
        <f>BY84*365/BY4/4</f>
        <v>52.647544853635509</v>
      </c>
      <c r="BZ227" s="199">
        <f>BZ84*365/BZ4/4</f>
        <v>57.301296505073282</v>
      </c>
      <c r="CA227" s="144">
        <f>CA84*365/CA4</f>
        <v>51.859702836426884</v>
      </c>
      <c r="CB227" s="199">
        <f>CB84*365/CB4/4</f>
        <v>56.576964477933267</v>
      </c>
      <c r="CC227" s="199">
        <f>CC84*365/CC4/4</f>
        <v>58.929030874785596</v>
      </c>
      <c r="CD227" s="199">
        <f>CD84*365/CD4/4</f>
        <v>52.647544853635495</v>
      </c>
      <c r="CE227" s="199">
        <f>CE84*365/CE4/4</f>
        <v>57.301296505073282</v>
      </c>
      <c r="CF227" s="144">
        <f>CF84*365/CF4</f>
        <v>51.85970283642687</v>
      </c>
      <c r="CG227" s="199">
        <f>CG84*365/CG4/4</f>
        <v>56.576964477933267</v>
      </c>
      <c r="CH227" s="199">
        <f>CH84*365/CH4/4</f>
        <v>58.929030874785589</v>
      </c>
      <c r="CI227" s="199">
        <f>CI84*365/CI4/4</f>
        <v>52.647544853635509</v>
      </c>
      <c r="CJ227" s="199">
        <f>CJ84*365/CJ4/4</f>
        <v>57.301296505073275</v>
      </c>
      <c r="CK227" s="144">
        <f>CK84*365/CK4</f>
        <v>51.859702836426862</v>
      </c>
      <c r="CL227" s="199">
        <f>CL84*365/CL4/4</f>
        <v>56.576964477933259</v>
      </c>
      <c r="CM227" s="199">
        <f>CM84*365/CM4/4</f>
        <v>58.929030874785589</v>
      </c>
      <c r="CN227" s="199">
        <f>CN84*365/CN4/4</f>
        <v>52.647544853635509</v>
      </c>
      <c r="CO227" s="199">
        <f>CO84*365/CO4/4</f>
        <v>57.301296505073275</v>
      </c>
      <c r="CP227" s="144">
        <f>CP84*365/CP4</f>
        <v>51.859702836426862</v>
      </c>
    </row>
    <row r="228" spans="1:94" x14ac:dyDescent="0.25">
      <c r="A228" s="52" t="s">
        <v>136</v>
      </c>
      <c r="C228" s="144">
        <f>C99*365/C17</f>
        <v>179.89545303684039</v>
      </c>
      <c r="D228" s="144">
        <f>D99*365/D17</f>
        <v>156.70944233206589</v>
      </c>
      <c r="E228" s="199">
        <f>E99*365/E17/4</f>
        <v>161.17289239204933</v>
      </c>
      <c r="F228" s="199">
        <f>F99*365/F17/4</f>
        <v>168.21018172100474</v>
      </c>
      <c r="G228" s="199">
        <f>G99*365/G17/4</f>
        <v>164.826867816092</v>
      </c>
      <c r="H228" s="199">
        <f>H99*365/H17/4</f>
        <v>180.99286786786797</v>
      </c>
      <c r="I228" s="144">
        <f>I99*365/I17</f>
        <v>150.62949078413004</v>
      </c>
      <c r="J228" s="199">
        <f>J99*365/J17/4</f>
        <v>144.61182833217026</v>
      </c>
      <c r="K228" s="199">
        <f>K99*365/K17/4</f>
        <v>145.08023872679036</v>
      </c>
      <c r="L228" s="199">
        <f>L99*365/L17/4</f>
        <v>145.33231707317074</v>
      </c>
      <c r="M228" s="199">
        <f>M99*365/M17/4</f>
        <v>188.90580229226359</v>
      </c>
      <c r="N228" s="144">
        <f>N99*365/N17</f>
        <v>166.01353478124017</v>
      </c>
      <c r="O228" s="199">
        <f>O99*365/O17/4</f>
        <v>145.61418962203717</v>
      </c>
      <c r="P228" s="199">
        <f>P99*365/P17/4</f>
        <v>156.38283208020059</v>
      </c>
      <c r="Q228" s="199">
        <f>Q99*365/Q17/4</f>
        <v>170.41452772073927</v>
      </c>
      <c r="R228" s="199">
        <f>R99*365/R17/4</f>
        <v>176.62868632707779</v>
      </c>
      <c r="S228" s="144">
        <f>S99*365/S17</f>
        <v>178.80987922377531</v>
      </c>
      <c r="T228" s="199">
        <f>T99*365/T17/4</f>
        <v>155.55775114737378</v>
      </c>
      <c r="U228" s="199">
        <f>U99*365/U17/4</f>
        <v>157.5325732899023</v>
      </c>
      <c r="V228" s="199">
        <f>V99*365/V17/4</f>
        <v>134.74405754795666</v>
      </c>
      <c r="W228" s="199">
        <f>W99*365/W17/4</f>
        <v>168.81694255111981</v>
      </c>
      <c r="X228" s="144">
        <f>X99*365/X17</f>
        <v>156.38741684519113</v>
      </c>
      <c r="Y228" s="199">
        <f>Y99*365/Y17/4</f>
        <v>148.33530805687204</v>
      </c>
      <c r="Z228" s="199">
        <f>Z99*365/Z17/4</f>
        <v>124.79581489675515</v>
      </c>
      <c r="AA228" s="199">
        <f>AA99*365/AA17/4</f>
        <v>123.21629846708746</v>
      </c>
      <c r="AB228" s="199">
        <f>AB99*365/AB17/4</f>
        <v>166.95067264573996</v>
      </c>
      <c r="AC228" s="144">
        <f>AC99*365/AC17</f>
        <v>135.01359927470526</v>
      </c>
      <c r="AD228" s="199">
        <f>AD99*365/AD17/4</f>
        <v>154.55558468799165</v>
      </c>
      <c r="AE228" s="199">
        <f>AE99*365/AE17/4</f>
        <v>139.90715402658327</v>
      </c>
      <c r="AF228" s="199">
        <f>AF99*365/AF17/4</f>
        <v>145.59713024282556</v>
      </c>
      <c r="AG228" s="199">
        <f>AG99*365/AG17/4</f>
        <v>169.05471289274107</v>
      </c>
      <c r="AH228" s="144">
        <f>AH99*365/AH17</f>
        <v>145.55736940298507</v>
      </c>
      <c r="AI228" s="199">
        <f>AI99*365/AI17/4</f>
        <v>150.23216159496329</v>
      </c>
      <c r="AJ228" s="199">
        <f>AJ99*365/AJ17/4</f>
        <v>145.3678005008347</v>
      </c>
      <c r="AK228" s="199">
        <f>AK99*365/AK17/4</f>
        <v>138.79703476482618</v>
      </c>
      <c r="AL228" s="199">
        <f>AL99*365/AL17/4</f>
        <v>200.61366061899685</v>
      </c>
      <c r="AM228" s="144">
        <f>AM99*365/AM17</f>
        <v>174.43452035726708</v>
      </c>
      <c r="AN228" s="199">
        <f>AN99*365/AN17/4</f>
        <v>169.49425287356325</v>
      </c>
      <c r="AO228" s="199">
        <f>AO99*365/AO17/4</f>
        <v>148.52289048473969</v>
      </c>
      <c r="AP228" s="199">
        <f>AP99*365/AP17/4</f>
        <v>142.24371759074589</v>
      </c>
      <c r="AQ228" s="199">
        <f>AQ99*365/AQ17/4</f>
        <v>194.49199337382669</v>
      </c>
      <c r="AR228" s="144">
        <f>AR99*365/AR17</f>
        <v>151.85384781202836</v>
      </c>
      <c r="AS228" s="199">
        <f>AS99*365/AS17/4</f>
        <v>169.96839365394152</v>
      </c>
      <c r="AT228" s="199">
        <f>AT99*365/AT17/4</f>
        <v>173.92496034892946</v>
      </c>
      <c r="AU228" s="199">
        <f>AU99*365/AU17/4</f>
        <v>177.1815154038301</v>
      </c>
      <c r="AV228" s="199">
        <f>AV99*365/AV17/4</f>
        <v>205.76875000000001</v>
      </c>
      <c r="AW228" s="144">
        <f>AW99*365/AW17</f>
        <v>184.11251537859295</v>
      </c>
      <c r="AX228" s="199">
        <f>AX99*365/AX17/4</f>
        <v>171.58492822966508</v>
      </c>
      <c r="AY228" s="199">
        <f>AY99*365/AY17/4</f>
        <v>182.14494163424123</v>
      </c>
      <c r="AZ228" s="199">
        <f>AZ99*365/AZ17/4</f>
        <v>164.98</v>
      </c>
      <c r="BA228" s="199">
        <f>BA99*365/BA17/4</f>
        <v>220.67602040816325</v>
      </c>
      <c r="BB228" s="144">
        <f>BB99*365/BB17</f>
        <v>189.70394736842104</v>
      </c>
      <c r="BC228" s="199">
        <f>BC99*365/BC17/4</f>
        <v>185.54166666666666</v>
      </c>
      <c r="BD228" s="199">
        <f>BD99*365/BD17/4</f>
        <v>182.15951492537314</v>
      </c>
      <c r="BE228" s="199">
        <f>BE99*365/BE17/4</f>
        <v>179.34134615384616</v>
      </c>
      <c r="BF228" s="199">
        <f>BF99*365/BF17/4</f>
        <v>212.91666666666666</v>
      </c>
      <c r="BG228" s="144">
        <f>BG99*365/BG17</f>
        <v>190.75184016824394</v>
      </c>
      <c r="BH228" s="199">
        <f>BH99*365/BH17/4</f>
        <v>192.15144230769232</v>
      </c>
      <c r="BI228" s="199">
        <f>BI99*365/BI17/4</f>
        <v>186.92630597014926</v>
      </c>
      <c r="BJ228" s="199">
        <f>BJ99*365/BJ17/4</f>
        <v>178.90748031496062</v>
      </c>
      <c r="BK228" s="199">
        <f>BK99*365/BK17/4</f>
        <v>211.64930555555554</v>
      </c>
      <c r="BL228" s="144">
        <f>BL99*365/BL17</f>
        <v>193.30338266384777</v>
      </c>
      <c r="BM228" s="199">
        <f>BM99*365/BM17/4</f>
        <v>203.11899038461539</v>
      </c>
      <c r="BN228" s="199">
        <f>BN99*365/BN17/4</f>
        <v>181.8435251798561</v>
      </c>
      <c r="BO228" s="199">
        <f>BO99*365/BO17/4</f>
        <v>160.35845588235293</v>
      </c>
      <c r="BP228" s="199">
        <f>BP99*365/BP17/4</f>
        <v>213.62733644859813</v>
      </c>
      <c r="BQ228" s="144">
        <f>BQ99*365/BQ17</f>
        <v>188.13271604938271</v>
      </c>
      <c r="BR228" s="199">
        <f>BR99*365/BR17/4</f>
        <v>180.11956521739131</v>
      </c>
      <c r="BS228" s="199">
        <f>BS99*365/BS17/4</f>
        <v>166.89144736842104</v>
      </c>
      <c r="BT228" s="199">
        <f>BT99*365/BT17/4</f>
        <v>160.35845588235293</v>
      </c>
      <c r="BU228" s="199">
        <f>BU99*365/BU17/4</f>
        <v>213.6273364485981</v>
      </c>
      <c r="BV228" s="144">
        <f>BV99*365/BV17</f>
        <v>185.04667279216829</v>
      </c>
      <c r="BW228" s="199">
        <f>BW99*365/BW17/4</f>
        <v>180.11956521739128</v>
      </c>
      <c r="BX228" s="199">
        <f>BX99*365/BX17/4</f>
        <v>166.89144736842104</v>
      </c>
      <c r="BY228" s="199">
        <f>BY99*365/BY17/4</f>
        <v>160.35845588235293</v>
      </c>
      <c r="BZ228" s="199">
        <f>BZ99*365/BZ17/4</f>
        <v>213.6273364485981</v>
      </c>
      <c r="CA228" s="144">
        <f>CA99*365/CA17</f>
        <v>185.82883595008067</v>
      </c>
      <c r="CB228" s="199">
        <f>CB99*365/CB17/4</f>
        <v>180.11956521739128</v>
      </c>
      <c r="CC228" s="199">
        <f>CC99*365/CC17/4</f>
        <v>166.89144736842104</v>
      </c>
      <c r="CD228" s="199">
        <f>CD99*365/CD17/4</f>
        <v>160.35845588235293</v>
      </c>
      <c r="CE228" s="199">
        <f>CE99*365/CE17/4</f>
        <v>213.62733644859813</v>
      </c>
      <c r="CF228" s="144">
        <f>CF99*365/CF17</f>
        <v>185.78705269841717</v>
      </c>
      <c r="CG228" s="199">
        <f>CG99*365/CG17/4</f>
        <v>180.11956521739131</v>
      </c>
      <c r="CH228" s="199">
        <f>CH99*365/CH17/4</f>
        <v>166.89144736842104</v>
      </c>
      <c r="CI228" s="199">
        <f>CI99*365/CI17/4</f>
        <v>160.35845588235293</v>
      </c>
      <c r="CJ228" s="199">
        <f>CJ99*365/CJ17/4</f>
        <v>213.62733644859813</v>
      </c>
      <c r="CK228" s="144">
        <f>CK99*365/CK17</f>
        <v>185.74487926239905</v>
      </c>
      <c r="CL228" s="199">
        <f>CL99*365/CL17/4</f>
        <v>180.11956521739131</v>
      </c>
      <c r="CM228" s="199">
        <f>CM99*365/CM17/4</f>
        <v>166.89144736842107</v>
      </c>
      <c r="CN228" s="199">
        <f>CN99*365/CN17/4</f>
        <v>160.35845588235293</v>
      </c>
      <c r="CO228" s="199">
        <f>CO99*365/CO17/4</f>
        <v>213.6273364485981</v>
      </c>
      <c r="CP228" s="144">
        <f>CP99*365/CP17</f>
        <v>185.71654416186809</v>
      </c>
    </row>
    <row r="229" spans="1:94" x14ac:dyDescent="0.25">
      <c r="A229" s="52" t="s">
        <v>137</v>
      </c>
      <c r="C229" s="144">
        <f>C226+C227-C228</f>
        <v>238.54490783462953</v>
      </c>
      <c r="D229" s="144">
        <f t="shared" ref="D229:AH229" si="342">D226+D227-D228</f>
        <v>227.19963186139572</v>
      </c>
      <c r="E229" s="199">
        <f t="shared" si="342"/>
        <v>261.99659859271355</v>
      </c>
      <c r="F229" s="199">
        <f t="shared" si="342"/>
        <v>196.34311371487064</v>
      </c>
      <c r="G229" s="199">
        <f t="shared" si="342"/>
        <v>189.73627385796235</v>
      </c>
      <c r="H229" s="199">
        <f>H226+H227-H228</f>
        <v>193.71481094410802</v>
      </c>
      <c r="I229" s="144">
        <f t="shared" si="342"/>
        <v>165.78047206528333</v>
      </c>
      <c r="J229" s="199">
        <f t="shared" si="342"/>
        <v>220.17775362244197</v>
      </c>
      <c r="K229" s="199">
        <f t="shared" si="342"/>
        <v>164.06133574043622</v>
      </c>
      <c r="L229" s="199">
        <f t="shared" si="342"/>
        <v>189.33619654432678</v>
      </c>
      <c r="M229" s="199">
        <f t="shared" si="342"/>
        <v>195.48489923354512</v>
      </c>
      <c r="N229" s="144">
        <f t="shared" si="342"/>
        <v>176.40043933110249</v>
      </c>
      <c r="O229" s="199">
        <f t="shared" si="342"/>
        <v>221.62087552266146</v>
      </c>
      <c r="P229" s="199">
        <f t="shared" si="342"/>
        <v>170.5967685819335</v>
      </c>
      <c r="Q229" s="199">
        <f t="shared" si="342"/>
        <v>216.42420065312325</v>
      </c>
      <c r="R229" s="199">
        <f t="shared" si="342"/>
        <v>216.29461742301351</v>
      </c>
      <c r="S229" s="144">
        <f t="shared" si="342"/>
        <v>217.48889850836181</v>
      </c>
      <c r="T229" s="199">
        <f t="shared" si="342"/>
        <v>230.32787794201789</v>
      </c>
      <c r="U229" s="199">
        <f t="shared" si="342"/>
        <v>169.68249200251722</v>
      </c>
      <c r="V229" s="199">
        <f t="shared" si="342"/>
        <v>174.16716947752795</v>
      </c>
      <c r="W229" s="199">
        <f t="shared" si="342"/>
        <v>189.02137512464512</v>
      </c>
      <c r="X229" s="144">
        <f t="shared" si="342"/>
        <v>175.89775132263043</v>
      </c>
      <c r="Y229" s="199">
        <f t="shared" si="342"/>
        <v>207.81110444537765</v>
      </c>
      <c r="Z229" s="199">
        <f t="shared" si="342"/>
        <v>157.18227283461039</v>
      </c>
      <c r="AA229" s="199">
        <f t="shared" si="342"/>
        <v>189.52172706608317</v>
      </c>
      <c r="AB229" s="199">
        <f t="shared" si="342"/>
        <v>215.5651517070614</v>
      </c>
      <c r="AC229" s="144">
        <f t="shared" si="342"/>
        <v>176.65865552091236</v>
      </c>
      <c r="AD229" s="199">
        <f t="shared" si="342"/>
        <v>221.958095235185</v>
      </c>
      <c r="AE229" s="199">
        <f t="shared" si="342"/>
        <v>159.35322655724417</v>
      </c>
      <c r="AF229" s="199">
        <f t="shared" si="342"/>
        <v>167.68850763711853</v>
      </c>
      <c r="AG229" s="199">
        <f t="shared" si="342"/>
        <v>204.77856883139538</v>
      </c>
      <c r="AH229" s="144">
        <f t="shared" si="342"/>
        <v>178.81355368802011</v>
      </c>
      <c r="AI229" s="199">
        <f t="shared" ref="AI229:BG229" si="343">AI226+AI227-AI228</f>
        <v>221.86170656159689</v>
      </c>
      <c r="AJ229" s="199">
        <f t="shared" si="343"/>
        <v>175.6118578348995</v>
      </c>
      <c r="AK229" s="199">
        <f t="shared" si="343"/>
        <v>164.1469831619826</v>
      </c>
      <c r="AL229" s="199">
        <f t="shared" si="343"/>
        <v>171.62471233657493</v>
      </c>
      <c r="AM229" s="144">
        <f t="shared" si="343"/>
        <v>152.67522018004465</v>
      </c>
      <c r="AN229" s="199">
        <f t="shared" si="343"/>
        <v>174.92685699278178</v>
      </c>
      <c r="AO229" s="199">
        <f t="shared" si="343"/>
        <v>136.85041830529863</v>
      </c>
      <c r="AP229" s="199">
        <f t="shared" si="343"/>
        <v>160.90446941473155</v>
      </c>
      <c r="AQ229" s="199">
        <f t="shared" si="343"/>
        <v>218.35186564929734</v>
      </c>
      <c r="AR229" s="144">
        <f t="shared" si="343"/>
        <v>176.2280929871263</v>
      </c>
      <c r="AS229" s="199">
        <f t="shared" si="343"/>
        <v>230.3959745533877</v>
      </c>
      <c r="AT229" s="199">
        <f t="shared" si="343"/>
        <v>175.9636926160461</v>
      </c>
      <c r="AU229" s="199">
        <f t="shared" si="343"/>
        <v>183.77294628571357</v>
      </c>
      <c r="AV229" s="199">
        <f t="shared" si="343"/>
        <v>229.29249422632796</v>
      </c>
      <c r="AW229" s="144">
        <f t="shared" si="343"/>
        <v>206.34336981784173</v>
      </c>
      <c r="AX229" s="199">
        <f t="shared" si="343"/>
        <v>265.20408353981543</v>
      </c>
      <c r="AY229" s="199">
        <f t="shared" si="343"/>
        <v>199.41348002005023</v>
      </c>
      <c r="AZ229" s="199">
        <f t="shared" si="343"/>
        <v>211.14064935064934</v>
      </c>
      <c r="BA229" s="199">
        <f t="shared" si="343"/>
        <v>248.09147679228465</v>
      </c>
      <c r="BB229" s="144">
        <f t="shared" si="343"/>
        <v>215.92125270093629</v>
      </c>
      <c r="BC229" s="199">
        <f t="shared" si="343"/>
        <v>281.01659686675976</v>
      </c>
      <c r="BD229" s="199">
        <f t="shared" si="343"/>
        <v>209.63321059898746</v>
      </c>
      <c r="BE229" s="199">
        <f t="shared" si="343"/>
        <v>196.2228209233584</v>
      </c>
      <c r="BF229" s="199">
        <f t="shared" si="343"/>
        <v>251.52819504142067</v>
      </c>
      <c r="BG229" s="144">
        <f t="shared" si="343"/>
        <v>226.96767716753746</v>
      </c>
      <c r="BH229" s="199">
        <f t="shared" ref="BH229:CA229" si="344">BH226+BH227-BH228</f>
        <v>313.10643696581195</v>
      </c>
      <c r="BI229" s="199">
        <f t="shared" si="344"/>
        <v>236.89932522605949</v>
      </c>
      <c r="BJ229" s="199">
        <f t="shared" si="344"/>
        <v>244.56301666412199</v>
      </c>
      <c r="BK229" s="199">
        <f t="shared" si="344"/>
        <v>288.28865591878053</v>
      </c>
      <c r="BL229" s="144">
        <f t="shared" si="344"/>
        <v>264.22298906662672</v>
      </c>
      <c r="BM229" s="199">
        <f t="shared" si="344"/>
        <v>403.92967065061111</v>
      </c>
      <c r="BN229" s="199">
        <f t="shared" si="344"/>
        <v>297.35509222953397</v>
      </c>
      <c r="BO229" s="199">
        <f t="shared" si="344"/>
        <v>307.61078014775319</v>
      </c>
      <c r="BP229" s="199">
        <f t="shared" si="344"/>
        <v>385.20433388825086</v>
      </c>
      <c r="BQ229" s="144">
        <f t="shared" si="344"/>
        <v>341.48123208190771</v>
      </c>
      <c r="BR229" s="199">
        <f t="shared" si="344"/>
        <v>406.89761665184636</v>
      </c>
      <c r="BS229" s="199">
        <f t="shared" si="344"/>
        <v>299.96110324320665</v>
      </c>
      <c r="BT229" s="199">
        <f t="shared" si="344"/>
        <v>307.61078014775319</v>
      </c>
      <c r="BU229" s="199">
        <f t="shared" si="344"/>
        <v>385.20433388825091</v>
      </c>
      <c r="BV229" s="144">
        <f t="shared" si="344"/>
        <v>335.70950760989007</v>
      </c>
      <c r="BW229" s="199">
        <f t="shared" si="344"/>
        <v>406.89761665184642</v>
      </c>
      <c r="BX229" s="199">
        <f t="shared" si="344"/>
        <v>299.96110324320671</v>
      </c>
      <c r="BY229" s="199">
        <f t="shared" si="344"/>
        <v>307.61078014775313</v>
      </c>
      <c r="BZ229" s="199">
        <f t="shared" si="344"/>
        <v>385.20433388825091</v>
      </c>
      <c r="CA229" s="144">
        <f t="shared" si="344"/>
        <v>337.09398396539302</v>
      </c>
      <c r="CB229" s="199">
        <f t="shared" ref="CB229:CK229" si="345">CB226+CB227-CB228</f>
        <v>406.89761665184642</v>
      </c>
      <c r="CC229" s="199">
        <f t="shared" si="345"/>
        <v>299.96110324320671</v>
      </c>
      <c r="CD229" s="199">
        <f t="shared" si="345"/>
        <v>307.61078014775313</v>
      </c>
      <c r="CE229" s="199">
        <f t="shared" si="345"/>
        <v>385.20433388825086</v>
      </c>
      <c r="CF229" s="144">
        <f t="shared" si="345"/>
        <v>337.02984959307923</v>
      </c>
      <c r="CG229" s="199">
        <f t="shared" si="345"/>
        <v>406.89761665184636</v>
      </c>
      <c r="CH229" s="199">
        <f t="shared" si="345"/>
        <v>299.96110324320671</v>
      </c>
      <c r="CI229" s="199">
        <f t="shared" si="345"/>
        <v>307.61078014775319</v>
      </c>
      <c r="CJ229" s="199">
        <f t="shared" si="345"/>
        <v>385.20433388825086</v>
      </c>
      <c r="CK229" s="144">
        <f t="shared" si="345"/>
        <v>336.96511631503938</v>
      </c>
      <c r="CL229" s="199">
        <f>CL226+CL227-CL228</f>
        <v>406.89761665184636</v>
      </c>
      <c r="CM229" s="199">
        <f>CM226+CM227-CM228</f>
        <v>299.96110324320659</v>
      </c>
      <c r="CN229" s="199">
        <f>CN226+CN227-CN228</f>
        <v>307.61078014775319</v>
      </c>
      <c r="CO229" s="199">
        <f>CO226+CO227-CO228</f>
        <v>385.20433388825091</v>
      </c>
      <c r="CP229" s="144">
        <f>CP226+CP227-CP228</f>
        <v>336.92162391522243</v>
      </c>
    </row>
    <row r="233" spans="1:94" customFormat="1" hidden="1" outlineLevel="1" x14ac:dyDescent="0.25"/>
    <row r="234" spans="1:94" hidden="1" outlineLevel="1" x14ac:dyDescent="0.25">
      <c r="A234" s="20" t="s">
        <v>194</v>
      </c>
      <c r="E234" s="236" t="s">
        <v>219</v>
      </c>
      <c r="F234" s="236" t="s">
        <v>219</v>
      </c>
      <c r="G234" s="236" t="s">
        <v>219</v>
      </c>
      <c r="H234" s="236" t="s">
        <v>219</v>
      </c>
      <c r="I234" s="236" t="s">
        <v>219</v>
      </c>
      <c r="J234" s="236" t="s">
        <v>219</v>
      </c>
      <c r="K234" s="236" t="s">
        <v>219</v>
      </c>
      <c r="L234" s="236" t="s">
        <v>219</v>
      </c>
      <c r="M234" s="236" t="s">
        <v>219</v>
      </c>
      <c r="N234" s="236" t="s">
        <v>219</v>
      </c>
      <c r="O234" s="236" t="s">
        <v>219</v>
      </c>
      <c r="P234" s="236" t="s">
        <v>219</v>
      </c>
      <c r="Q234" s="236" t="s">
        <v>219</v>
      </c>
      <c r="R234" s="236" t="s">
        <v>219</v>
      </c>
      <c r="S234" s="236" t="s">
        <v>219</v>
      </c>
      <c r="T234" s="236" t="s">
        <v>219</v>
      </c>
      <c r="U234" s="237">
        <f t="shared" ref="U234:AZ234" si="346">U5</f>
        <v>6.8547854785478451E-2</v>
      </c>
      <c r="V234" s="237">
        <f t="shared" si="346"/>
        <v>4.2427133015368372E-2</v>
      </c>
      <c r="W234" s="237">
        <f t="shared" si="346"/>
        <v>6.7979154603358391E-2</v>
      </c>
      <c r="X234" s="237">
        <f t="shared" si="346"/>
        <v>5.9624403107405001E-2</v>
      </c>
      <c r="Y234" s="237">
        <f t="shared" si="346"/>
        <v>3.8867541604654249E-2</v>
      </c>
      <c r="Z234" s="237">
        <f t="shared" si="346"/>
        <v>5.6227893440788032E-2</v>
      </c>
      <c r="AA234" s="237">
        <f t="shared" si="346"/>
        <v>1.366309550945978E-2</v>
      </c>
      <c r="AB234" s="237">
        <f t="shared" si="346"/>
        <v>4.7598083646250844E-3</v>
      </c>
      <c r="AC234" s="237">
        <f t="shared" si="346"/>
        <v>3.2548900127963139E-2</v>
      </c>
      <c r="AD234" s="237">
        <f t="shared" si="346"/>
        <v>2.4050632911392346E-2</v>
      </c>
      <c r="AE234" s="237">
        <f t="shared" si="346"/>
        <v>-1.4720231090189412E-2</v>
      </c>
      <c r="AF234" s="237">
        <f t="shared" si="346"/>
        <v>1.8966968498916062E-2</v>
      </c>
      <c r="AG234" s="237">
        <f t="shared" si="346"/>
        <v>3.2735255378311151E-2</v>
      </c>
      <c r="AH234" s="237">
        <f t="shared" si="346"/>
        <v>1.0463331349268357E-2</v>
      </c>
      <c r="AI234" s="237">
        <f t="shared" si="346"/>
        <v>2.9486380268329157E-2</v>
      </c>
      <c r="AJ234" s="237">
        <f t="shared" si="346"/>
        <v>2.4335311905028682E-2</v>
      </c>
      <c r="AK234" s="237">
        <f t="shared" si="346"/>
        <v>6.6862016943251709E-2</v>
      </c>
      <c r="AL234" s="237">
        <f t="shared" si="346"/>
        <v>2.9536152796725765E-2</v>
      </c>
      <c r="AM234" s="237">
        <f t="shared" si="346"/>
        <v>3.5433266160285207E-2</v>
      </c>
      <c r="AN234" s="237">
        <f t="shared" si="346"/>
        <v>6.8070881997583543E-2</v>
      </c>
      <c r="AO234" s="237">
        <f t="shared" si="346"/>
        <v>9.8471900187700162E-2</v>
      </c>
      <c r="AP234" s="237">
        <f t="shared" si="346"/>
        <v>6.6467165419783869E-2</v>
      </c>
      <c r="AQ234" s="237">
        <f t="shared" si="346"/>
        <v>0.10263743207380252</v>
      </c>
      <c r="AR234" s="237">
        <f t="shared" si="346"/>
        <v>9.1481068060981857E-2</v>
      </c>
      <c r="AS234" s="237">
        <f t="shared" si="346"/>
        <v>0.1</v>
      </c>
      <c r="AT234" s="237">
        <f t="shared" si="346"/>
        <v>0.06</v>
      </c>
      <c r="AU234" s="237">
        <f t="shared" si="346"/>
        <v>0.08</v>
      </c>
      <c r="AV234" s="237">
        <f t="shared" si="346"/>
        <v>7.0000000000000007E-2</v>
      </c>
      <c r="AW234" s="237">
        <f t="shared" si="346"/>
        <v>6.7376577374363519E-2</v>
      </c>
      <c r="AX234" s="237">
        <f t="shared" si="346"/>
        <v>0.05</v>
      </c>
      <c r="AY234" s="237">
        <f t="shared" si="346"/>
        <v>0.08</v>
      </c>
      <c r="AZ234" s="237">
        <f t="shared" si="346"/>
        <v>0.08</v>
      </c>
      <c r="BA234" s="237">
        <f t="shared" ref="BA234:CA234" si="347">BA5</f>
        <v>0.03</v>
      </c>
      <c r="BB234" s="237">
        <f t="shared" si="347"/>
        <v>6.2591418304798183E-2</v>
      </c>
      <c r="BC234" s="237">
        <f t="shared" si="347"/>
        <v>0.03</v>
      </c>
      <c r="BD234" s="237">
        <f t="shared" si="347"/>
        <v>7.0000000000000007E-2</v>
      </c>
      <c r="BE234" s="237">
        <f t="shared" si="347"/>
        <v>0.05</v>
      </c>
      <c r="BF234" s="237">
        <f t="shared" si="347"/>
        <v>0.1</v>
      </c>
      <c r="BG234" s="237">
        <f t="shared" si="347"/>
        <v>5.8013177901672576E-2</v>
      </c>
      <c r="BH234" s="237">
        <f t="shared" si="347"/>
        <v>7.0000000000000007E-2</v>
      </c>
      <c r="BI234" s="237">
        <f t="shared" si="347"/>
        <v>0.05</v>
      </c>
      <c r="BJ234" s="237">
        <f t="shared" si="347"/>
        <v>0.04</v>
      </c>
      <c r="BK234" s="237">
        <f t="shared" si="347"/>
        <v>0.04</v>
      </c>
      <c r="BL234" s="237">
        <f t="shared" si="347"/>
        <v>4.94921875E-2</v>
      </c>
      <c r="BM234" s="237">
        <f t="shared" si="347"/>
        <v>0.02</v>
      </c>
      <c r="BN234" s="237">
        <f t="shared" si="347"/>
        <v>0.03</v>
      </c>
      <c r="BO234" s="237">
        <f t="shared" si="347"/>
        <v>0.04</v>
      </c>
      <c r="BP234" s="237">
        <f t="shared" si="347"/>
        <v>0.04</v>
      </c>
      <c r="BQ234" s="237">
        <f t="shared" si="347"/>
        <v>0.03</v>
      </c>
      <c r="BR234" s="237">
        <f t="shared" si="347"/>
        <v>0.06</v>
      </c>
      <c r="BS234" s="237">
        <f t="shared" si="347"/>
        <v>0.08</v>
      </c>
      <c r="BT234" s="237">
        <f t="shared" si="347"/>
        <v>6.5000000000000002E-2</v>
      </c>
      <c r="BU234" s="237">
        <f t="shared" si="347"/>
        <v>6.2855129650507352E-2</v>
      </c>
      <c r="BV234" s="237">
        <f t="shared" si="347"/>
        <v>6.7500000000000004E-2</v>
      </c>
      <c r="BW234" s="237">
        <f t="shared" si="347"/>
        <v>5.5E-2</v>
      </c>
      <c r="BX234" s="237">
        <f t="shared" si="347"/>
        <v>3.5000000000000003E-2</v>
      </c>
      <c r="BY234" s="237">
        <f t="shared" si="347"/>
        <v>5.6000000000000001E-2</v>
      </c>
      <c r="BZ234" s="237">
        <f t="shared" si="347"/>
        <v>5.6154388403720751E-2</v>
      </c>
      <c r="CA234" s="237">
        <f t="shared" si="347"/>
        <v>0.05</v>
      </c>
      <c r="CB234" s="237">
        <f t="shared" ref="CB234:CK234" si="348">CB5</f>
        <v>0.05</v>
      </c>
      <c r="CC234" s="237">
        <f t="shared" si="348"/>
        <v>0.05</v>
      </c>
      <c r="CD234" s="237">
        <f t="shared" si="348"/>
        <v>0.05</v>
      </c>
      <c r="CE234" s="237">
        <f t="shared" si="348"/>
        <v>4.9999999999999996E-2</v>
      </c>
      <c r="CF234" s="237">
        <f t="shared" si="348"/>
        <v>0.05</v>
      </c>
      <c r="CG234" s="237">
        <f t="shared" si="348"/>
        <v>0.05</v>
      </c>
      <c r="CH234" s="237">
        <f t="shared" si="348"/>
        <v>0.05</v>
      </c>
      <c r="CI234" s="237">
        <f t="shared" si="348"/>
        <v>0.05</v>
      </c>
      <c r="CJ234" s="237">
        <f t="shared" si="348"/>
        <v>5.000000000000001E-2</v>
      </c>
      <c r="CK234" s="237">
        <f t="shared" si="348"/>
        <v>0.05</v>
      </c>
      <c r="CL234" s="237">
        <f>CL5</f>
        <v>0.05</v>
      </c>
      <c r="CM234" s="237">
        <f>CM5</f>
        <v>0.05</v>
      </c>
      <c r="CN234" s="237">
        <f>CN5</f>
        <v>0.05</v>
      </c>
      <c r="CO234" s="237">
        <f>CO5</f>
        <v>5.0000000000000024E-2</v>
      </c>
      <c r="CP234" s="237">
        <f>CP5</f>
        <v>0.05</v>
      </c>
    </row>
    <row r="235" spans="1:94" hidden="1" outlineLevel="1" x14ac:dyDescent="0.25">
      <c r="A235" s="238" t="s">
        <v>214</v>
      </c>
      <c r="E235" s="236" t="s">
        <v>219</v>
      </c>
      <c r="F235" s="236" t="s">
        <v>219</v>
      </c>
      <c r="G235" s="236" t="s">
        <v>219</v>
      </c>
      <c r="H235" s="236" t="s">
        <v>219</v>
      </c>
      <c r="I235" s="236" t="s">
        <v>219</v>
      </c>
      <c r="J235" s="236" t="s">
        <v>219</v>
      </c>
      <c r="K235" s="236" t="s">
        <v>219</v>
      </c>
      <c r="L235" s="236" t="s">
        <v>219</v>
      </c>
      <c r="M235" s="236" t="s">
        <v>219</v>
      </c>
      <c r="N235" s="236" t="s">
        <v>219</v>
      </c>
      <c r="O235" s="236" t="s">
        <v>219</v>
      </c>
      <c r="P235" s="236" t="s">
        <v>219</v>
      </c>
      <c r="Q235" s="236" t="s">
        <v>219</v>
      </c>
      <c r="R235" s="236" t="s">
        <v>219</v>
      </c>
      <c r="S235" s="236" t="s">
        <v>219</v>
      </c>
      <c r="T235" s="236" t="s">
        <v>219</v>
      </c>
      <c r="U235" s="237">
        <f>U8</f>
        <v>0.05</v>
      </c>
      <c r="V235" s="237">
        <f t="shared" ref="V235:AM235" si="349">V8</f>
        <v>0.04</v>
      </c>
      <c r="W235" s="237">
        <f t="shared" si="349"/>
        <v>0.05</v>
      </c>
      <c r="X235" s="237">
        <f t="shared" si="349"/>
        <v>0.04</v>
      </c>
      <c r="Y235" s="237">
        <f t="shared" si="349"/>
        <v>0.05</v>
      </c>
      <c r="Z235" s="237">
        <f t="shared" si="349"/>
        <v>-0.03</v>
      </c>
      <c r="AA235" s="237">
        <f t="shared" si="349"/>
        <v>-0.1</v>
      </c>
      <c r="AB235" s="237">
        <f t="shared" si="349"/>
        <v>-0.1</v>
      </c>
      <c r="AC235" s="237">
        <f t="shared" si="349"/>
        <v>-0.05</v>
      </c>
      <c r="AD235" s="237">
        <f t="shared" si="349"/>
        <v>-0.08</v>
      </c>
      <c r="AE235" s="237">
        <f t="shared" si="349"/>
        <v>0</v>
      </c>
      <c r="AF235" s="237">
        <f t="shared" si="349"/>
        <v>0.05</v>
      </c>
      <c r="AG235" s="237">
        <f t="shared" si="349"/>
        <v>0.02</v>
      </c>
      <c r="AH235" s="237">
        <f t="shared" si="349"/>
        <v>0</v>
      </c>
      <c r="AI235" s="237">
        <f t="shared" si="349"/>
        <v>-0.01</v>
      </c>
      <c r="AJ235" s="237">
        <f t="shared" si="349"/>
        <v>0</v>
      </c>
      <c r="AK235" s="237">
        <f t="shared" si="349"/>
        <v>0.02</v>
      </c>
      <c r="AL235" s="237">
        <f t="shared" si="349"/>
        <v>0.06</v>
      </c>
      <c r="AM235" s="237">
        <f t="shared" si="349"/>
        <v>0.02</v>
      </c>
      <c r="AN235" s="237">
        <f t="shared" ref="AN235:CA235" si="350">AN8</f>
        <v>7.0000000000000007E-2</v>
      </c>
      <c r="AO235" s="237">
        <f t="shared" si="350"/>
        <v>0</v>
      </c>
      <c r="AP235" s="237">
        <f t="shared" si="350"/>
        <v>-0.02</v>
      </c>
      <c r="AQ235" s="237">
        <f t="shared" si="350"/>
        <v>-0.03</v>
      </c>
      <c r="AR235" s="237">
        <f t="shared" si="350"/>
        <v>0</v>
      </c>
      <c r="AS235" s="237">
        <f t="shared" si="350"/>
        <v>-0.06</v>
      </c>
      <c r="AT235" s="237">
        <f t="shared" si="350"/>
        <v>-0.01</v>
      </c>
      <c r="AU235" s="237">
        <f t="shared" si="350"/>
        <v>0.02</v>
      </c>
      <c r="AV235" s="237">
        <f t="shared" si="350"/>
        <v>-0.01</v>
      </c>
      <c r="AW235" s="237">
        <f t="shared" si="350"/>
        <v>-0.01</v>
      </c>
      <c r="AX235" s="237">
        <f t="shared" si="350"/>
        <v>-0.01</v>
      </c>
      <c r="AY235" s="237">
        <f t="shared" si="350"/>
        <v>-0.01</v>
      </c>
      <c r="AZ235" s="237">
        <f t="shared" si="350"/>
        <v>-2.5000000000000001E-2</v>
      </c>
      <c r="BA235" s="237">
        <f t="shared" si="350"/>
        <v>-0.01</v>
      </c>
      <c r="BB235" s="237">
        <f t="shared" si="350"/>
        <v>-0.01</v>
      </c>
      <c r="BC235" s="237">
        <f t="shared" si="350"/>
        <v>0.01</v>
      </c>
      <c r="BD235" s="237">
        <f t="shared" si="350"/>
        <v>-0.03</v>
      </c>
      <c r="BE235" s="237">
        <f t="shared" si="350"/>
        <v>-0.05</v>
      </c>
      <c r="BF235" s="237">
        <f t="shared" si="350"/>
        <v>-0.06</v>
      </c>
      <c r="BG235" s="237">
        <f t="shared" si="350"/>
        <v>-0.03</v>
      </c>
      <c r="BH235" s="237">
        <f t="shared" si="350"/>
        <v>-0.09</v>
      </c>
      <c r="BI235" s="237">
        <f t="shared" si="350"/>
        <v>-0.08</v>
      </c>
      <c r="BJ235" s="237">
        <f t="shared" si="350"/>
        <v>-0.06</v>
      </c>
      <c r="BK235" s="237">
        <f t="shared" si="350"/>
        <v>-0.03</v>
      </c>
      <c r="BL235" s="237">
        <f t="shared" si="350"/>
        <v>-0.06</v>
      </c>
      <c r="BM235" s="237">
        <f t="shared" si="350"/>
        <v>-0.02</v>
      </c>
      <c r="BN235" s="237">
        <f t="shared" si="350"/>
        <v>-0.03</v>
      </c>
      <c r="BO235" s="237">
        <f t="shared" si="350"/>
        <v>-0.01</v>
      </c>
      <c r="BP235" s="237">
        <f t="shared" si="350"/>
        <v>-0.03</v>
      </c>
      <c r="BQ235" s="237">
        <f t="shared" si="350"/>
        <v>-0.02</v>
      </c>
      <c r="BR235" s="237">
        <f t="shared" si="350"/>
        <v>0.01</v>
      </c>
      <c r="BS235" s="237">
        <f t="shared" si="350"/>
        <v>0.01</v>
      </c>
      <c r="BT235" s="237">
        <f t="shared" si="350"/>
        <v>3.6901721935681482E-2</v>
      </c>
      <c r="BU235" s="237">
        <f t="shared" si="350"/>
        <v>3.3279661635088387E-2</v>
      </c>
      <c r="BV235" s="237">
        <f t="shared" si="350"/>
        <v>2.2739949027796236E-2</v>
      </c>
      <c r="BW235" s="237">
        <f t="shared" si="350"/>
        <v>1.2750743916055461E-2</v>
      </c>
      <c r="BX235" s="237">
        <f t="shared" si="350"/>
        <v>-2.6003318410017227E-3</v>
      </c>
      <c r="BY235" s="237">
        <f t="shared" si="350"/>
        <v>1.1410886264888018E-3</v>
      </c>
      <c r="BZ235" s="237">
        <f t="shared" si="350"/>
        <v>0</v>
      </c>
      <c r="CA235" s="237">
        <f t="shared" si="350"/>
        <v>2.4089381969017009E-3</v>
      </c>
      <c r="CB235" s="237">
        <f t="shared" ref="CB235:CK235" si="351">CB8</f>
        <v>0</v>
      </c>
      <c r="CC235" s="237">
        <f t="shared" si="351"/>
        <v>0</v>
      </c>
      <c r="CD235" s="237">
        <f t="shared" si="351"/>
        <v>0</v>
      </c>
      <c r="CE235" s="237">
        <f t="shared" si="351"/>
        <v>0</v>
      </c>
      <c r="CF235" s="237">
        <f t="shared" si="351"/>
        <v>0</v>
      </c>
      <c r="CG235" s="237">
        <f t="shared" si="351"/>
        <v>0</v>
      </c>
      <c r="CH235" s="237">
        <f t="shared" si="351"/>
        <v>0</v>
      </c>
      <c r="CI235" s="237">
        <f t="shared" si="351"/>
        <v>0</v>
      </c>
      <c r="CJ235" s="237">
        <f t="shared" si="351"/>
        <v>0</v>
      </c>
      <c r="CK235" s="237">
        <f t="shared" si="351"/>
        <v>0</v>
      </c>
      <c r="CL235" s="237">
        <f>CL8</f>
        <v>0</v>
      </c>
      <c r="CM235" s="237">
        <f>CM8</f>
        <v>0</v>
      </c>
      <c r="CN235" s="237">
        <f>CN8</f>
        <v>0</v>
      </c>
      <c r="CO235" s="237">
        <f>CO8</f>
        <v>0</v>
      </c>
      <c r="CP235" s="237">
        <f>CP8</f>
        <v>0</v>
      </c>
    </row>
    <row r="236" spans="1:94" hidden="1" outlineLevel="1" x14ac:dyDescent="0.25">
      <c r="A236" s="20" t="s">
        <v>215</v>
      </c>
      <c r="E236" s="239">
        <v>0</v>
      </c>
      <c r="F236" s="239">
        <v>0</v>
      </c>
      <c r="G236" s="239">
        <v>0</v>
      </c>
      <c r="H236" s="239">
        <v>0</v>
      </c>
      <c r="I236" s="239">
        <v>0</v>
      </c>
      <c r="J236" s="239">
        <v>0</v>
      </c>
      <c r="K236" s="239">
        <v>0</v>
      </c>
      <c r="L236" s="239">
        <v>0</v>
      </c>
      <c r="M236" s="239">
        <v>0</v>
      </c>
      <c r="N236" s="239">
        <v>0</v>
      </c>
      <c r="O236" s="239">
        <v>0</v>
      </c>
      <c r="P236" s="239">
        <v>0</v>
      </c>
      <c r="Q236" s="239">
        <v>0</v>
      </c>
      <c r="R236" s="239">
        <v>0</v>
      </c>
      <c r="S236" s="239">
        <v>0</v>
      </c>
      <c r="T236" s="239">
        <v>0</v>
      </c>
      <c r="U236" s="239">
        <v>0</v>
      </c>
      <c r="V236" s="239">
        <v>0</v>
      </c>
      <c r="W236" s="239">
        <v>0</v>
      </c>
      <c r="X236" s="239">
        <v>0</v>
      </c>
      <c r="Y236" s="239">
        <v>0</v>
      </c>
      <c r="Z236" s="239">
        <v>0</v>
      </c>
      <c r="AA236" s="239">
        <v>0</v>
      </c>
      <c r="AB236" s="239">
        <v>0</v>
      </c>
      <c r="AC236" s="239">
        <v>0</v>
      </c>
      <c r="AD236" s="239">
        <v>0</v>
      </c>
      <c r="AE236" s="239">
        <v>0</v>
      </c>
      <c r="AF236" s="239">
        <v>0</v>
      </c>
      <c r="AG236" s="239">
        <v>0</v>
      </c>
      <c r="AH236" s="239">
        <v>0</v>
      </c>
      <c r="AI236" s="239">
        <v>0</v>
      </c>
      <c r="AJ236" s="239">
        <v>0</v>
      </c>
      <c r="AK236" s="239">
        <v>0</v>
      </c>
      <c r="AL236" s="239">
        <v>0</v>
      </c>
      <c r="AM236" s="239">
        <v>0</v>
      </c>
      <c r="AN236" s="239">
        <v>0</v>
      </c>
      <c r="AO236" s="239">
        <v>0</v>
      </c>
      <c r="AP236" s="239">
        <v>0</v>
      </c>
      <c r="AQ236" s="239">
        <v>0</v>
      </c>
      <c r="AR236" s="239">
        <v>0</v>
      </c>
      <c r="AS236" s="239">
        <v>0</v>
      </c>
      <c r="AT236" s="239">
        <v>0</v>
      </c>
      <c r="AU236" s="239">
        <v>0</v>
      </c>
      <c r="AV236" s="239">
        <v>0</v>
      </c>
      <c r="AW236" s="239">
        <v>0</v>
      </c>
      <c r="AX236" s="239">
        <v>0</v>
      </c>
      <c r="AY236" s="239">
        <v>0</v>
      </c>
      <c r="AZ236" s="239">
        <v>0</v>
      </c>
      <c r="BA236" s="239">
        <v>0</v>
      </c>
      <c r="BB236" s="239">
        <v>0</v>
      </c>
      <c r="BC236" s="239">
        <v>0</v>
      </c>
      <c r="BD236" s="239">
        <v>0</v>
      </c>
      <c r="BE236" s="239">
        <v>0</v>
      </c>
      <c r="BF236" s="239">
        <v>0</v>
      </c>
      <c r="BG236" s="239">
        <v>0</v>
      </c>
      <c r="BH236" s="239">
        <v>0</v>
      </c>
      <c r="BI236" s="239">
        <v>0</v>
      </c>
      <c r="BJ236" s="239">
        <v>0</v>
      </c>
      <c r="BK236" s="239">
        <v>0</v>
      </c>
      <c r="BL236" s="239">
        <v>0</v>
      </c>
      <c r="BM236" s="239">
        <v>0</v>
      </c>
      <c r="BN236" s="239">
        <v>0</v>
      </c>
      <c r="BO236" s="239">
        <v>0</v>
      </c>
      <c r="BP236" s="239">
        <v>0</v>
      </c>
      <c r="BQ236" s="239">
        <v>0</v>
      </c>
      <c r="BR236" s="239">
        <v>0</v>
      </c>
      <c r="BS236" s="239">
        <v>0</v>
      </c>
      <c r="BT236" s="239">
        <v>0</v>
      </c>
      <c r="BU236" s="239">
        <v>0</v>
      </c>
      <c r="BV236" s="239">
        <v>0</v>
      </c>
      <c r="BW236" s="239">
        <v>0</v>
      </c>
      <c r="BX236" s="239">
        <v>0</v>
      </c>
      <c r="BY236" s="239">
        <v>0</v>
      </c>
      <c r="BZ236" s="239">
        <v>0</v>
      </c>
      <c r="CA236" s="239">
        <v>0</v>
      </c>
      <c r="CB236" s="239">
        <v>0</v>
      </c>
      <c r="CC236" s="239">
        <v>0</v>
      </c>
      <c r="CD236" s="239">
        <v>0</v>
      </c>
      <c r="CE236" s="239">
        <v>0</v>
      </c>
      <c r="CF236" s="239">
        <v>0</v>
      </c>
      <c r="CG236" s="239">
        <v>0</v>
      </c>
      <c r="CH236" s="239">
        <v>0</v>
      </c>
      <c r="CI236" s="239">
        <v>0</v>
      </c>
      <c r="CJ236" s="239">
        <v>0</v>
      </c>
      <c r="CK236" s="239">
        <v>0</v>
      </c>
      <c r="CL236" s="239">
        <v>0</v>
      </c>
      <c r="CM236" s="239">
        <v>0</v>
      </c>
      <c r="CN236" s="239">
        <v>0</v>
      </c>
      <c r="CO236" s="239">
        <v>0</v>
      </c>
      <c r="CP236" s="239">
        <v>0</v>
      </c>
    </row>
    <row r="237" spans="1:94" hidden="1" outlineLevel="1" x14ac:dyDescent="0.25">
      <c r="A237" s="20" t="s">
        <v>216</v>
      </c>
      <c r="E237" s="236" t="s">
        <v>219</v>
      </c>
      <c r="F237" s="236" t="s">
        <v>219</v>
      </c>
      <c r="G237" s="236" t="s">
        <v>219</v>
      </c>
      <c r="H237" s="236" t="s">
        <v>219</v>
      </c>
      <c r="I237" s="236" t="s">
        <v>219</v>
      </c>
      <c r="J237" s="236" t="s">
        <v>219</v>
      </c>
      <c r="K237" s="236" t="s">
        <v>219</v>
      </c>
      <c r="L237" s="236" t="s">
        <v>219</v>
      </c>
      <c r="M237" s="236" t="s">
        <v>219</v>
      </c>
      <c r="N237" s="236" t="s">
        <v>219</v>
      </c>
      <c r="O237" s="236" t="s">
        <v>219</v>
      </c>
      <c r="P237" s="236" t="s">
        <v>219</v>
      </c>
      <c r="Q237" s="236" t="s">
        <v>219</v>
      </c>
      <c r="R237" s="236" t="s">
        <v>219</v>
      </c>
      <c r="S237" s="236" t="s">
        <v>219</v>
      </c>
      <c r="T237" s="236" t="s">
        <v>219</v>
      </c>
      <c r="U237" s="236" t="s">
        <v>219</v>
      </c>
      <c r="V237" s="236" t="s">
        <v>219</v>
      </c>
      <c r="W237" s="236" t="s">
        <v>219</v>
      </c>
      <c r="X237" s="236" t="s">
        <v>219</v>
      </c>
      <c r="Y237" s="236" t="s">
        <v>219</v>
      </c>
      <c r="Z237" s="236" t="s">
        <v>219</v>
      </c>
      <c r="AA237" s="236" t="s">
        <v>219</v>
      </c>
      <c r="AB237" s="236" t="s">
        <v>219</v>
      </c>
      <c r="AC237" s="236" t="s">
        <v>219</v>
      </c>
      <c r="AD237" s="236" t="s">
        <v>219</v>
      </c>
      <c r="AE237" s="236" t="s">
        <v>219</v>
      </c>
      <c r="AF237" s="236" t="s">
        <v>219</v>
      </c>
      <c r="AG237" s="236" t="s">
        <v>219</v>
      </c>
      <c r="AH237" s="236" t="s">
        <v>219</v>
      </c>
      <c r="AI237" s="236" t="s">
        <v>219</v>
      </c>
      <c r="AJ237" s="236" t="s">
        <v>219</v>
      </c>
      <c r="AK237" s="236" t="s">
        <v>219</v>
      </c>
      <c r="AL237" s="236" t="s">
        <v>219</v>
      </c>
      <c r="AM237" s="236" t="s">
        <v>219</v>
      </c>
      <c r="AN237" s="236" t="s">
        <v>219</v>
      </c>
      <c r="AO237" s="236" t="s">
        <v>219</v>
      </c>
      <c r="AP237" s="236" t="s">
        <v>219</v>
      </c>
      <c r="AQ237" s="236" t="s">
        <v>219</v>
      </c>
      <c r="AR237" s="236" t="s">
        <v>219</v>
      </c>
      <c r="AS237" s="236" t="s">
        <v>219</v>
      </c>
      <c r="AT237" s="236" t="s">
        <v>219</v>
      </c>
      <c r="AU237" s="236" t="s">
        <v>219</v>
      </c>
      <c r="AV237" s="236" t="s">
        <v>219</v>
      </c>
      <c r="AW237" s="236" t="s">
        <v>219</v>
      </c>
      <c r="AX237" s="236" t="s">
        <v>219</v>
      </c>
      <c r="AY237" s="236" t="s">
        <v>219</v>
      </c>
      <c r="AZ237" s="236" t="s">
        <v>219</v>
      </c>
      <c r="BA237" s="236" t="s">
        <v>219</v>
      </c>
      <c r="BB237" s="236" t="s">
        <v>219</v>
      </c>
      <c r="BC237" s="236" t="s">
        <v>219</v>
      </c>
      <c r="BD237" s="236" t="s">
        <v>219</v>
      </c>
      <c r="BE237" s="236" t="s">
        <v>219</v>
      </c>
      <c r="BF237" s="236" t="s">
        <v>219</v>
      </c>
      <c r="BG237" s="236" t="s">
        <v>219</v>
      </c>
      <c r="BH237" s="236" t="s">
        <v>219</v>
      </c>
      <c r="BI237" s="236" t="s">
        <v>219</v>
      </c>
      <c r="BJ237" s="236" t="s">
        <v>219</v>
      </c>
      <c r="BK237" s="236" t="s">
        <v>219</v>
      </c>
      <c r="BL237" s="236" t="s">
        <v>219</v>
      </c>
      <c r="BM237" s="236" t="s">
        <v>219</v>
      </c>
      <c r="BN237" s="236" t="s">
        <v>219</v>
      </c>
      <c r="BO237" s="236" t="s">
        <v>219</v>
      </c>
      <c r="BP237" s="236" t="s">
        <v>219</v>
      </c>
      <c r="BQ237" s="236" t="s">
        <v>219</v>
      </c>
      <c r="BR237" s="236" t="s">
        <v>219</v>
      </c>
      <c r="BS237" s="236" t="s">
        <v>219</v>
      </c>
      <c r="BT237" s="236" t="s">
        <v>219</v>
      </c>
      <c r="BU237" s="236" t="s">
        <v>219</v>
      </c>
      <c r="BV237" s="236" t="s">
        <v>219</v>
      </c>
      <c r="BW237" s="236" t="s">
        <v>219</v>
      </c>
      <c r="BX237" s="236" t="s">
        <v>219</v>
      </c>
      <c r="BY237" s="236" t="s">
        <v>219</v>
      </c>
      <c r="BZ237" s="236" t="s">
        <v>219</v>
      </c>
      <c r="CA237" s="236" t="s">
        <v>219</v>
      </c>
      <c r="CB237" s="236" t="s">
        <v>219</v>
      </c>
      <c r="CC237" s="236" t="s">
        <v>219</v>
      </c>
      <c r="CD237" s="236" t="s">
        <v>219</v>
      </c>
      <c r="CE237" s="236" t="s">
        <v>219</v>
      </c>
      <c r="CF237" s="236" t="s">
        <v>219</v>
      </c>
      <c r="CG237" s="236" t="s">
        <v>219</v>
      </c>
      <c r="CH237" s="236" t="s">
        <v>219</v>
      </c>
      <c r="CI237" s="236" t="s">
        <v>219</v>
      </c>
      <c r="CJ237" s="236" t="s">
        <v>219</v>
      </c>
      <c r="CK237" s="236" t="s">
        <v>219</v>
      </c>
      <c r="CL237" s="236" t="s">
        <v>219</v>
      </c>
      <c r="CM237" s="236" t="s">
        <v>219</v>
      </c>
      <c r="CN237" s="236" t="s">
        <v>219</v>
      </c>
      <c r="CO237" s="236" t="s">
        <v>219</v>
      </c>
      <c r="CP237" s="236" t="s">
        <v>219</v>
      </c>
    </row>
    <row r="238" spans="1:94" hidden="1" outlineLevel="1" x14ac:dyDescent="0.25">
      <c r="A238" s="20" t="s">
        <v>217</v>
      </c>
      <c r="E238" s="236" t="s">
        <v>219</v>
      </c>
      <c r="F238" s="236" t="s">
        <v>219</v>
      </c>
      <c r="G238" s="236" t="s">
        <v>219</v>
      </c>
      <c r="H238" s="236" t="s">
        <v>219</v>
      </c>
      <c r="I238" s="236" t="s">
        <v>219</v>
      </c>
      <c r="J238" s="236" t="s">
        <v>219</v>
      </c>
      <c r="K238" s="236" t="s">
        <v>219</v>
      </c>
      <c r="L238" s="236" t="s">
        <v>219</v>
      </c>
      <c r="M238" s="236" t="s">
        <v>219</v>
      </c>
      <c r="N238" s="236" t="s">
        <v>219</v>
      </c>
      <c r="O238" s="236" t="s">
        <v>219</v>
      </c>
      <c r="P238" s="236" t="s">
        <v>219</v>
      </c>
      <c r="Q238" s="236" t="s">
        <v>219</v>
      </c>
      <c r="R238" s="236" t="s">
        <v>219</v>
      </c>
      <c r="S238" s="236" t="s">
        <v>219</v>
      </c>
      <c r="T238" s="236" t="s">
        <v>219</v>
      </c>
      <c r="U238" s="236" t="s">
        <v>219</v>
      </c>
      <c r="V238" s="236" t="s">
        <v>219</v>
      </c>
      <c r="W238" s="236" t="s">
        <v>219</v>
      </c>
      <c r="X238" s="236" t="s">
        <v>219</v>
      </c>
      <c r="Y238" s="236" t="s">
        <v>219</v>
      </c>
      <c r="Z238" s="236" t="s">
        <v>219</v>
      </c>
      <c r="AA238" s="236" t="s">
        <v>219</v>
      </c>
      <c r="AB238" s="236" t="s">
        <v>219</v>
      </c>
      <c r="AC238" s="236" t="s">
        <v>219</v>
      </c>
      <c r="AD238" s="236" t="s">
        <v>219</v>
      </c>
      <c r="AE238" s="236" t="s">
        <v>219</v>
      </c>
      <c r="AF238" s="236" t="s">
        <v>219</v>
      </c>
      <c r="AG238" s="236" t="s">
        <v>219</v>
      </c>
      <c r="AH238" s="236" t="s">
        <v>219</v>
      </c>
      <c r="AI238" s="236" t="s">
        <v>219</v>
      </c>
      <c r="AJ238" s="236" t="s">
        <v>219</v>
      </c>
      <c r="AK238" s="236" t="s">
        <v>219</v>
      </c>
      <c r="AL238" s="236" t="s">
        <v>219</v>
      </c>
      <c r="AM238" s="236" t="s">
        <v>219</v>
      </c>
      <c r="AN238" s="236" t="s">
        <v>219</v>
      </c>
      <c r="AO238" s="236" t="s">
        <v>219</v>
      </c>
      <c r="AP238" s="236" t="s">
        <v>219</v>
      </c>
      <c r="AQ238" s="236" t="s">
        <v>219</v>
      </c>
      <c r="AR238" s="236" t="s">
        <v>219</v>
      </c>
      <c r="AS238" s="236" t="s">
        <v>219</v>
      </c>
      <c r="AT238" s="236" t="s">
        <v>219</v>
      </c>
      <c r="AU238" s="236" t="s">
        <v>219</v>
      </c>
      <c r="AV238" s="236" t="s">
        <v>219</v>
      </c>
      <c r="AW238" s="236" t="s">
        <v>219</v>
      </c>
      <c r="AX238" s="236" t="s">
        <v>219</v>
      </c>
      <c r="AY238" s="236" t="s">
        <v>219</v>
      </c>
      <c r="AZ238" s="236" t="s">
        <v>219</v>
      </c>
      <c r="BA238" s="236" t="s">
        <v>219</v>
      </c>
      <c r="BB238" s="236" t="s">
        <v>219</v>
      </c>
      <c r="BC238" s="236" t="s">
        <v>219</v>
      </c>
      <c r="BD238" s="236" t="s">
        <v>219</v>
      </c>
      <c r="BE238" s="236" t="s">
        <v>219</v>
      </c>
      <c r="BF238" s="236" t="s">
        <v>219</v>
      </c>
      <c r="BG238" s="236" t="s">
        <v>219</v>
      </c>
      <c r="BH238" s="236" t="s">
        <v>219</v>
      </c>
      <c r="BI238" s="236" t="s">
        <v>219</v>
      </c>
      <c r="BJ238" s="236" t="s">
        <v>219</v>
      </c>
      <c r="BK238" s="236" t="s">
        <v>219</v>
      </c>
      <c r="BL238" s="236" t="s">
        <v>219</v>
      </c>
      <c r="BM238" s="236" t="s">
        <v>219</v>
      </c>
      <c r="BN238" s="236" t="s">
        <v>219</v>
      </c>
      <c r="BO238" s="236" t="s">
        <v>219</v>
      </c>
      <c r="BP238" s="236" t="s">
        <v>219</v>
      </c>
      <c r="BQ238" s="236" t="s">
        <v>219</v>
      </c>
      <c r="BR238" s="236" t="s">
        <v>219</v>
      </c>
      <c r="BS238" s="236" t="s">
        <v>219</v>
      </c>
      <c r="BT238" s="236" t="s">
        <v>219</v>
      </c>
      <c r="BU238" s="236" t="s">
        <v>219</v>
      </c>
      <c r="BV238" s="236" t="s">
        <v>219</v>
      </c>
      <c r="BW238" s="236" t="s">
        <v>219</v>
      </c>
      <c r="BX238" s="236" t="s">
        <v>219</v>
      </c>
      <c r="BY238" s="236" t="s">
        <v>219</v>
      </c>
      <c r="BZ238" s="236" t="s">
        <v>219</v>
      </c>
      <c r="CA238" s="236" t="s">
        <v>219</v>
      </c>
      <c r="CB238" s="236" t="s">
        <v>219</v>
      </c>
      <c r="CC238" s="236" t="s">
        <v>219</v>
      </c>
      <c r="CD238" s="236" t="s">
        <v>219</v>
      </c>
      <c r="CE238" s="236" t="s">
        <v>219</v>
      </c>
      <c r="CF238" s="236" t="s">
        <v>219</v>
      </c>
      <c r="CG238" s="236" t="s">
        <v>219</v>
      </c>
      <c r="CH238" s="236" t="s">
        <v>219</v>
      </c>
      <c r="CI238" s="236" t="s">
        <v>219</v>
      </c>
      <c r="CJ238" s="236" t="s">
        <v>219</v>
      </c>
      <c r="CK238" s="236" t="s">
        <v>219</v>
      </c>
      <c r="CL238" s="236" t="s">
        <v>219</v>
      </c>
      <c r="CM238" s="236" t="s">
        <v>219</v>
      </c>
      <c r="CN238" s="236" t="s">
        <v>219</v>
      </c>
      <c r="CO238" s="236" t="s">
        <v>219</v>
      </c>
      <c r="CP238" s="236" t="s">
        <v>219</v>
      </c>
    </row>
    <row r="239" spans="1:94" hidden="1" outlineLevel="1" x14ac:dyDescent="0.25">
      <c r="A239" s="20" t="s">
        <v>218</v>
      </c>
      <c r="E239" s="199">
        <f t="shared" ref="E239:N239" si="352">E142</f>
        <v>-0.4</v>
      </c>
      <c r="F239" s="199">
        <f t="shared" si="352"/>
        <v>-1.2999999999999998</v>
      </c>
      <c r="G239" s="199">
        <f t="shared" si="352"/>
        <v>37.4</v>
      </c>
      <c r="H239" s="199">
        <f t="shared" si="352"/>
        <v>-2.7000000000000028</v>
      </c>
      <c r="I239" s="199">
        <f t="shared" si="352"/>
        <v>33</v>
      </c>
      <c r="J239" s="199">
        <f t="shared" si="352"/>
        <v>-0.5</v>
      </c>
      <c r="K239" s="199">
        <f t="shared" si="352"/>
        <v>-0.19999999999999996</v>
      </c>
      <c r="L239" s="199">
        <f t="shared" si="352"/>
        <v>-224.1</v>
      </c>
      <c r="M239" s="199">
        <f t="shared" si="352"/>
        <v>265.8</v>
      </c>
      <c r="N239" s="199">
        <f t="shared" si="352"/>
        <v>41</v>
      </c>
      <c r="O239" s="199">
        <f>O142</f>
        <v>-276.5</v>
      </c>
      <c r="P239" s="199">
        <f t="shared" ref="P239:AL239" si="353">P142</f>
        <v>-4.3999999999999773</v>
      </c>
      <c r="Q239" s="199">
        <f t="shared" si="353"/>
        <v>-780.00000000000011</v>
      </c>
      <c r="R239" s="199">
        <f t="shared" si="353"/>
        <v>66.900000000000091</v>
      </c>
      <c r="S239" s="199">
        <f t="shared" si="353"/>
        <v>-994</v>
      </c>
      <c r="T239" s="199">
        <f t="shared" si="353"/>
        <v>71.8</v>
      </c>
      <c r="U239" s="199">
        <f t="shared" si="353"/>
        <v>0.39999999999999147</v>
      </c>
      <c r="V239" s="199">
        <f t="shared" si="353"/>
        <v>-7.9000000000000057</v>
      </c>
      <c r="W239" s="199">
        <f t="shared" si="353"/>
        <v>-1.2999999999999829</v>
      </c>
      <c r="X239" s="199">
        <f t="shared" si="353"/>
        <v>63</v>
      </c>
      <c r="Y239" s="199">
        <f t="shared" si="353"/>
        <v>-1</v>
      </c>
      <c r="Z239" s="199">
        <f t="shared" si="353"/>
        <v>-0.89999999999999991</v>
      </c>
      <c r="AA239" s="199">
        <f t="shared" si="353"/>
        <v>16.2</v>
      </c>
      <c r="AB239" s="199">
        <f t="shared" si="353"/>
        <v>-2.3000000000000007</v>
      </c>
      <c r="AC239" s="199">
        <f t="shared" si="353"/>
        <v>11.999999999999998</v>
      </c>
      <c r="AD239" s="199">
        <f t="shared" si="353"/>
        <v>-1.2</v>
      </c>
      <c r="AE239" s="199">
        <f t="shared" si="353"/>
        <v>-0.60000000000000009</v>
      </c>
      <c r="AF239" s="199">
        <f t="shared" si="353"/>
        <v>-0.40000000000000013</v>
      </c>
      <c r="AG239" s="199">
        <f t="shared" si="353"/>
        <v>1.2000000000000002</v>
      </c>
      <c r="AH239" s="199">
        <f t="shared" si="353"/>
        <v>-1</v>
      </c>
      <c r="AI239" s="199">
        <f t="shared" si="353"/>
        <v>-0.6</v>
      </c>
      <c r="AJ239" s="199">
        <f t="shared" si="353"/>
        <v>-0.70000000000000007</v>
      </c>
      <c r="AK239" s="199">
        <f t="shared" si="353"/>
        <v>-1.0999999999999996</v>
      </c>
      <c r="AL239" s="199">
        <f t="shared" si="353"/>
        <v>10.399999999999999</v>
      </c>
      <c r="AM239" s="199">
        <f>AM142</f>
        <v>7.9999999999999991</v>
      </c>
      <c r="AN239" s="199">
        <f t="shared" ref="AN239:CA239" si="354">AN142</f>
        <v>-7.5</v>
      </c>
      <c r="AO239" s="199">
        <f t="shared" si="354"/>
        <v>-0.40000000000000036</v>
      </c>
      <c r="AP239" s="199">
        <f t="shared" si="354"/>
        <v>-1.9000000000000004</v>
      </c>
      <c r="AQ239" s="199">
        <f t="shared" si="354"/>
        <v>-0.19999999999999929</v>
      </c>
      <c r="AR239" s="199">
        <f t="shared" si="354"/>
        <v>-10</v>
      </c>
      <c r="AS239" s="199">
        <f t="shared" si="354"/>
        <v>-0.1</v>
      </c>
      <c r="AT239" s="199">
        <f t="shared" si="354"/>
        <v>-0.19999999999999998</v>
      </c>
      <c r="AU239" s="199">
        <f t="shared" si="354"/>
        <v>0</v>
      </c>
      <c r="AV239" s="199">
        <f t="shared" si="354"/>
        <v>-1.7</v>
      </c>
      <c r="AW239" s="199">
        <f t="shared" si="354"/>
        <v>-2</v>
      </c>
      <c r="AX239" s="199">
        <f t="shared" si="354"/>
        <v>0</v>
      </c>
      <c r="AY239" s="199">
        <f t="shared" si="354"/>
        <v>0</v>
      </c>
      <c r="AZ239" s="199">
        <f t="shared" si="354"/>
        <v>-2</v>
      </c>
      <c r="BA239" s="199">
        <f t="shared" si="354"/>
        <v>1</v>
      </c>
      <c r="BB239" s="199">
        <f t="shared" si="354"/>
        <v>-1</v>
      </c>
      <c r="BC239" s="199">
        <f t="shared" si="354"/>
        <v>0</v>
      </c>
      <c r="BD239" s="199">
        <f t="shared" si="354"/>
        <v>-4</v>
      </c>
      <c r="BE239" s="199">
        <f t="shared" si="354"/>
        <v>0</v>
      </c>
      <c r="BF239" s="199">
        <f t="shared" si="354"/>
        <v>-1</v>
      </c>
      <c r="BG239" s="199">
        <f t="shared" si="354"/>
        <v>-5</v>
      </c>
      <c r="BH239" s="199">
        <f t="shared" si="354"/>
        <v>0</v>
      </c>
      <c r="BI239" s="199">
        <f t="shared" si="354"/>
        <v>-1</v>
      </c>
      <c r="BJ239" s="199">
        <f t="shared" si="354"/>
        <v>-1</v>
      </c>
      <c r="BK239" s="199">
        <f t="shared" si="354"/>
        <v>0</v>
      </c>
      <c r="BL239" s="199">
        <f t="shared" si="354"/>
        <v>-2</v>
      </c>
      <c r="BM239" s="199">
        <f t="shared" si="354"/>
        <v>-308</v>
      </c>
      <c r="BN239" s="199">
        <f t="shared" si="354"/>
        <v>0</v>
      </c>
      <c r="BO239" s="199">
        <f t="shared" si="354"/>
        <v>-1</v>
      </c>
      <c r="BP239" s="199">
        <f t="shared" si="354"/>
        <v>-1</v>
      </c>
      <c r="BQ239" s="199">
        <f t="shared" si="354"/>
        <v>-310</v>
      </c>
      <c r="BR239" s="199">
        <f t="shared" si="354"/>
        <v>0</v>
      </c>
      <c r="BS239" s="199">
        <f t="shared" si="354"/>
        <v>-1</v>
      </c>
      <c r="BT239" s="199">
        <f t="shared" si="354"/>
        <v>0</v>
      </c>
      <c r="BU239" s="199">
        <f t="shared" si="354"/>
        <v>0</v>
      </c>
      <c r="BV239" s="199">
        <f t="shared" si="354"/>
        <v>-1</v>
      </c>
      <c r="BW239" s="199">
        <f t="shared" si="354"/>
        <v>0</v>
      </c>
      <c r="BX239" s="199">
        <f t="shared" si="354"/>
        <v>0</v>
      </c>
      <c r="BY239" s="199">
        <f t="shared" si="354"/>
        <v>0</v>
      </c>
      <c r="BZ239" s="199">
        <f t="shared" si="354"/>
        <v>0</v>
      </c>
      <c r="CA239" s="199">
        <f t="shared" si="354"/>
        <v>0</v>
      </c>
      <c r="CB239" s="199">
        <f t="shared" ref="CB239:CK239" si="355">CB142</f>
        <v>0</v>
      </c>
      <c r="CC239" s="199">
        <f t="shared" si="355"/>
        <v>0</v>
      </c>
      <c r="CD239" s="199">
        <f t="shared" si="355"/>
        <v>0</v>
      </c>
      <c r="CE239" s="199">
        <f t="shared" si="355"/>
        <v>0</v>
      </c>
      <c r="CF239" s="199">
        <f t="shared" si="355"/>
        <v>0</v>
      </c>
      <c r="CG239" s="199">
        <f t="shared" si="355"/>
        <v>0</v>
      </c>
      <c r="CH239" s="199">
        <f t="shared" si="355"/>
        <v>0</v>
      </c>
      <c r="CI239" s="199">
        <f t="shared" si="355"/>
        <v>0</v>
      </c>
      <c r="CJ239" s="199">
        <f t="shared" si="355"/>
        <v>0</v>
      </c>
      <c r="CK239" s="199">
        <f t="shared" si="355"/>
        <v>0</v>
      </c>
      <c r="CL239" s="199">
        <f>CL142</f>
        <v>0</v>
      </c>
      <c r="CM239" s="199">
        <f>CM142</f>
        <v>0</v>
      </c>
      <c r="CN239" s="199">
        <f>CN142</f>
        <v>0</v>
      </c>
      <c r="CO239" s="199">
        <f>CO142</f>
        <v>0</v>
      </c>
      <c r="CP239" s="199">
        <f>CP142</f>
        <v>0</v>
      </c>
    </row>
    <row r="240" spans="1:94" collapsed="1" x14ac:dyDescent="0.25"/>
    <row r="241" spans="1:94" x14ac:dyDescent="0.25">
      <c r="AQ241" s="270"/>
    </row>
    <row r="242" spans="1:94" x14ac:dyDescent="0.25">
      <c r="AQ242" s="271"/>
    </row>
    <row r="243" spans="1:94" x14ac:dyDescent="0.25">
      <c r="AQ243" s="270"/>
    </row>
    <row r="244" spans="1:94" x14ac:dyDescent="0.25">
      <c r="AQ244" s="130"/>
    </row>
    <row r="245" spans="1:94" ht="13.8" hidden="1" outlineLevel="1" x14ac:dyDescent="0.25">
      <c r="A245" s="240" t="s">
        <v>246</v>
      </c>
      <c r="B245" s="241"/>
    </row>
    <row r="246" spans="1:94" ht="13.8" hidden="1" outlineLevel="1" x14ac:dyDescent="0.25">
      <c r="A246" s="241" t="s">
        <v>247</v>
      </c>
      <c r="B246" s="241"/>
      <c r="AD246" s="242">
        <f t="shared" ref="AD246:AO246" si="356">(AD94-AD81-AD82-AD83)-AD99-AD101-AD102-AD103</f>
        <v>2752.7999999999997</v>
      </c>
      <c r="AE246" s="242">
        <f t="shared" si="356"/>
        <v>2880.6</v>
      </c>
      <c r="AF246" s="242">
        <f t="shared" si="356"/>
        <v>2751.0000000000005</v>
      </c>
      <c r="AG246" s="242">
        <f t="shared" si="356"/>
        <v>2796</v>
      </c>
      <c r="AH246" s="242">
        <f t="shared" si="356"/>
        <v>2796</v>
      </c>
      <c r="AI246" s="242">
        <f t="shared" si="356"/>
        <v>2722.2</v>
      </c>
      <c r="AJ246" s="242">
        <f t="shared" si="356"/>
        <v>2871.1</v>
      </c>
      <c r="AK246" s="242">
        <f t="shared" si="356"/>
        <v>2806.7999999999997</v>
      </c>
      <c r="AL246" s="242">
        <f t="shared" si="356"/>
        <v>2693</v>
      </c>
      <c r="AM246" s="242">
        <f t="shared" si="356"/>
        <v>2693</v>
      </c>
      <c r="AN246" s="242">
        <f t="shared" si="356"/>
        <v>2684.2000000000003</v>
      </c>
      <c r="AO246" s="242">
        <f t="shared" si="356"/>
        <v>2794.2999999999997</v>
      </c>
      <c r="AP246" s="242">
        <f t="shared" ref="AP246:BB246" si="357">(AP94-AP81-AP82-AP83)-AP99-AP101-AP102-AP103</f>
        <v>2708.9</v>
      </c>
      <c r="AQ246" s="242">
        <f t="shared" si="357"/>
        <v>2738</v>
      </c>
      <c r="AR246" s="242">
        <f t="shared" si="357"/>
        <v>2738</v>
      </c>
      <c r="AS246" s="242">
        <f t="shared" si="357"/>
        <v>2745.2</v>
      </c>
      <c r="AT246" s="242">
        <f t="shared" si="357"/>
        <v>2929.5000000000005</v>
      </c>
      <c r="AU246" s="242">
        <f t="shared" si="357"/>
        <v>2891.9</v>
      </c>
      <c r="AV246" s="242">
        <f t="shared" si="357"/>
        <v>2954</v>
      </c>
      <c r="AW246" s="242">
        <f t="shared" si="357"/>
        <v>2954</v>
      </c>
      <c r="AX246" s="242">
        <f t="shared" si="357"/>
        <v>2960</v>
      </c>
      <c r="AY246" s="242">
        <f t="shared" si="357"/>
        <v>3155</v>
      </c>
      <c r="AZ246" s="242">
        <f t="shared" si="357"/>
        <v>3111</v>
      </c>
      <c r="BA246" s="242">
        <f t="shared" si="357"/>
        <v>3113</v>
      </c>
      <c r="BB246" s="242">
        <f t="shared" si="357"/>
        <v>3113</v>
      </c>
      <c r="BC246" s="242">
        <f t="shared" ref="BC246:CF246" si="358">(BC94-BC81-BC82-BC83)-BC99-BC101-BC102-BC103</f>
        <v>3107</v>
      </c>
      <c r="BD246" s="242">
        <f t="shared" si="358"/>
        <v>3454</v>
      </c>
      <c r="BE246" s="242">
        <f t="shared" si="358"/>
        <v>3309</v>
      </c>
      <c r="BF246" s="242">
        <f t="shared" si="358"/>
        <v>3300</v>
      </c>
      <c r="BG246" s="242">
        <f t="shared" si="358"/>
        <v>3300</v>
      </c>
      <c r="BH246" s="242">
        <f t="shared" si="358"/>
        <v>3270</v>
      </c>
      <c r="BI246" s="242">
        <f t="shared" si="358"/>
        <v>3547</v>
      </c>
      <c r="BJ246" s="242">
        <f t="shared" si="358"/>
        <v>3425</v>
      </c>
      <c r="BK246" s="242">
        <f t="shared" si="358"/>
        <v>3400</v>
      </c>
      <c r="BL246" s="242">
        <f t="shared" si="358"/>
        <v>3400</v>
      </c>
      <c r="BM246" s="242">
        <f t="shared" si="358"/>
        <v>3710</v>
      </c>
      <c r="BN246" s="242">
        <f t="shared" si="358"/>
        <v>3942</v>
      </c>
      <c r="BO246" s="242">
        <f t="shared" si="358"/>
        <v>3830</v>
      </c>
      <c r="BP246" s="242">
        <f t="shared" si="358"/>
        <v>3933</v>
      </c>
      <c r="BQ246" s="242">
        <f t="shared" si="358"/>
        <v>3933</v>
      </c>
      <c r="BR246" s="242">
        <f t="shared" si="358"/>
        <v>3983</v>
      </c>
      <c r="BS246" s="242">
        <f t="shared" si="358"/>
        <v>4199</v>
      </c>
      <c r="BT246" s="242">
        <f t="shared" ca="1" si="358"/>
        <v>4221.5140320891078</v>
      </c>
      <c r="BU246" s="242">
        <f t="shared" ca="1" si="358"/>
        <v>4147.0890332048039</v>
      </c>
      <c r="BV246" s="242">
        <f ca="1">(BV94-BV81-BV82-BV83)-BV99-BV101-BV102-BV103</f>
        <v>4147.0890332048039</v>
      </c>
      <c r="BW246" s="242">
        <f t="shared" ca="1" si="358"/>
        <v>4245.2420995515622</v>
      </c>
      <c r="BX246" s="242">
        <f t="shared" ca="1" si="358"/>
        <v>4324.2825607776895</v>
      </c>
      <c r="BY246" s="242">
        <f t="shared" ca="1" si="358"/>
        <v>4396.5831802693292</v>
      </c>
      <c r="BZ246" s="242">
        <f t="shared" ca="1" si="358"/>
        <v>4314.2157899863105</v>
      </c>
      <c r="CA246" s="242">
        <f ca="1">(CA94-CA81-CA82-CA83)-CA99-CA101-CA102-CA103</f>
        <v>4314.2157899863105</v>
      </c>
      <c r="CB246" s="242">
        <f t="shared" ca="1" si="358"/>
        <v>4404.6723038623586</v>
      </c>
      <c r="CC246" s="242">
        <f t="shared" ca="1" si="358"/>
        <v>4483.6889936630687</v>
      </c>
      <c r="CD246" s="242">
        <f t="shared" ca="1" si="358"/>
        <v>4557.4008170846519</v>
      </c>
      <c r="CE246" s="242">
        <f t="shared" ca="1" si="358"/>
        <v>4468.635937573702</v>
      </c>
      <c r="CF246" s="242">
        <f t="shared" ca="1" si="358"/>
        <v>4468.635937573702</v>
      </c>
      <c r="CK246" s="242">
        <f t="shared" ref="CK246" ca="1" si="359">(CK94-CK81-CK82-CK83)-CK99-CK101-CK102-CK103</f>
        <v>4627.805060444869</v>
      </c>
    </row>
    <row r="247" spans="1:94" ht="13.8" hidden="1" outlineLevel="1" x14ac:dyDescent="0.25">
      <c r="A247" s="241"/>
      <c r="B247" s="241"/>
    </row>
    <row r="248" spans="1:94" ht="13.8" hidden="1" outlineLevel="1" x14ac:dyDescent="0.25">
      <c r="A248" s="241"/>
      <c r="B248" s="241" t="s">
        <v>130</v>
      </c>
      <c r="AD248" s="242">
        <f>AD34</f>
        <v>192.00000000000003</v>
      </c>
      <c r="AE248" s="242">
        <f t="shared" ref="AE248:AP248" si="360">AE34</f>
        <v>225.6</v>
      </c>
      <c r="AF248" s="242">
        <f t="shared" si="360"/>
        <v>185.49999999999997</v>
      </c>
      <c r="AG248" s="242">
        <f t="shared" si="360"/>
        <v>118.50000000000006</v>
      </c>
      <c r="AH248" s="242">
        <f t="shared" si="360"/>
        <v>721.59999999999991</v>
      </c>
      <c r="AI248" s="242">
        <f t="shared" si="360"/>
        <v>172.70000000000002</v>
      </c>
      <c r="AJ248" s="242">
        <f t="shared" si="360"/>
        <v>235</v>
      </c>
      <c r="AK248" s="242">
        <f t="shared" si="360"/>
        <v>225.49999999999997</v>
      </c>
      <c r="AL248" s="242">
        <f t="shared" si="360"/>
        <v>168.89999999999998</v>
      </c>
      <c r="AM248" s="242">
        <f t="shared" si="360"/>
        <v>802.0999999999998</v>
      </c>
      <c r="AN248" s="242">
        <f t="shared" si="360"/>
        <v>185.89999999999998</v>
      </c>
      <c r="AO248" s="242">
        <f t="shared" si="360"/>
        <v>246.29999999999995</v>
      </c>
      <c r="AP248" s="242">
        <f t="shared" si="360"/>
        <v>206.19999999999996</v>
      </c>
      <c r="AQ248" s="242">
        <f t="shared" ref="AQ248:AW248" si="361">AQ34</f>
        <v>150.10000000000008</v>
      </c>
      <c r="AR248" s="242">
        <f t="shared" si="361"/>
        <v>788.49999999999989</v>
      </c>
      <c r="AS248" s="242">
        <f t="shared" si="361"/>
        <v>221.70000000000002</v>
      </c>
      <c r="AT248" s="242">
        <f t="shared" si="361"/>
        <v>262.3</v>
      </c>
      <c r="AU248" s="242">
        <f t="shared" si="361"/>
        <v>237</v>
      </c>
      <c r="AV248" s="242">
        <f t="shared" si="361"/>
        <v>177</v>
      </c>
      <c r="AW248" s="242">
        <f t="shared" si="361"/>
        <v>898</v>
      </c>
      <c r="BB248" s="242">
        <f t="shared" ref="BB248" si="362">BB34</f>
        <v>972</v>
      </c>
      <c r="BG248" s="242">
        <f t="shared" ref="BG248" si="363">BG34</f>
        <v>1028</v>
      </c>
      <c r="BL248" s="242">
        <f t="shared" ref="BL248" si="364">BL34</f>
        <v>1048</v>
      </c>
      <c r="BQ248" s="242">
        <f>BQ34</f>
        <v>991</v>
      </c>
      <c r="BV248" s="242">
        <f>BV34</f>
        <v>1112.8247533117308</v>
      </c>
      <c r="CA248" s="242">
        <f>CA34</f>
        <v>1210.0788922490215</v>
      </c>
    </row>
    <row r="249" spans="1:94" ht="13.8" hidden="1" outlineLevel="1" x14ac:dyDescent="0.25">
      <c r="A249" s="241"/>
      <c r="B249" s="241" t="s">
        <v>131</v>
      </c>
      <c r="AD249" s="243">
        <f>AD48</f>
        <v>0.3434288804759329</v>
      </c>
      <c r="AE249" s="243">
        <f t="shared" ref="AE249:AP249" si="365">AE48</f>
        <v>0.32493125572868931</v>
      </c>
      <c r="AF249" s="243">
        <f t="shared" si="365"/>
        <v>0.34186098654708524</v>
      </c>
      <c r="AG249" s="243">
        <f t="shared" si="365"/>
        <v>0.35204991087344029</v>
      </c>
      <c r="AH249" s="243">
        <f ca="1">AH48</f>
        <v>0.33860170102349724</v>
      </c>
      <c r="AI249" s="243">
        <f t="shared" si="365"/>
        <v>0.3309309309309309</v>
      </c>
      <c r="AJ249" s="243">
        <f t="shared" si="365"/>
        <v>0.327217125382263</v>
      </c>
      <c r="AK249" s="243">
        <f t="shared" si="365"/>
        <v>0.35635864592863686</v>
      </c>
      <c r="AL249" s="243">
        <f t="shared" si="365"/>
        <v>0.28000000000000003</v>
      </c>
      <c r="AM249" s="243">
        <f t="shared" si="365"/>
        <v>0.32636000515397501</v>
      </c>
      <c r="AN249" s="243">
        <f t="shared" si="365"/>
        <v>0.33948545861297541</v>
      </c>
      <c r="AO249" s="243">
        <f t="shared" si="365"/>
        <v>0.34113712374581939</v>
      </c>
      <c r="AP249" s="243">
        <f t="shared" si="365"/>
        <v>0.33081950729009552</v>
      </c>
      <c r="AQ249" s="243">
        <f t="shared" ref="AQ249:AW249" si="366">AQ48</f>
        <v>0.27076064200976968</v>
      </c>
      <c r="AR249" s="243">
        <f t="shared" si="366"/>
        <v>0.32476164127889928</v>
      </c>
      <c r="AS249" s="243">
        <f t="shared" si="366"/>
        <v>0.32058959005066789</v>
      </c>
      <c r="AT249" s="243">
        <f t="shared" si="366"/>
        <v>0.32854368932038835</v>
      </c>
      <c r="AU249" s="243">
        <f t="shared" si="366"/>
        <v>0.31299040976460335</v>
      </c>
      <c r="AV249" s="243">
        <f>AV48</f>
        <v>0.29813664596273293</v>
      </c>
      <c r="AW249" s="243">
        <f t="shared" si="366"/>
        <v>0.31676300578034683</v>
      </c>
      <c r="BB249" s="243">
        <f t="shared" ref="BB249" si="367">BB48</f>
        <v>0.30499967189003407</v>
      </c>
      <c r="BG249" s="243">
        <f t="shared" ref="BG249" si="368">BG48</f>
        <v>0.31719369269928371</v>
      </c>
      <c r="BL249" s="243">
        <f t="shared" ref="BL249" si="369">BL48</f>
        <v>0.2958167330677291</v>
      </c>
      <c r="BQ249" s="243">
        <f>BQ48</f>
        <v>0.28342245989304815</v>
      </c>
      <c r="BV249" s="243">
        <f>BV48</f>
        <v>0.27605000000000002</v>
      </c>
      <c r="CA249" s="243">
        <f>CA48</f>
        <v>0.28999999999999998</v>
      </c>
    </row>
    <row r="250" spans="1:94" ht="13.8" hidden="1" outlineLevel="1" x14ac:dyDescent="0.25">
      <c r="A250" s="241"/>
      <c r="B250" s="241" t="s">
        <v>132</v>
      </c>
      <c r="AD250" s="244">
        <f>AD248*(1-AD249)</f>
        <v>126.0616549486209</v>
      </c>
      <c r="AE250" s="244">
        <f t="shared" ref="AE250:AP250" si="370">AE248*(1-AE249)</f>
        <v>152.29550870760769</v>
      </c>
      <c r="AF250" s="244">
        <f t="shared" si="370"/>
        <v>122.08478699551569</v>
      </c>
      <c r="AG250" s="244">
        <f t="shared" si="370"/>
        <v>76.782085561497368</v>
      </c>
      <c r="AH250" s="244">
        <f ca="1">AH248*(1-AH249)</f>
        <v>477.26501254144438</v>
      </c>
      <c r="AI250" s="244">
        <f t="shared" si="370"/>
        <v>115.54822822822824</v>
      </c>
      <c r="AJ250" s="244">
        <f t="shared" si="370"/>
        <v>158.10397553516819</v>
      </c>
      <c r="AK250" s="244">
        <f t="shared" si="370"/>
        <v>145.14112534309237</v>
      </c>
      <c r="AL250" s="244">
        <f t="shared" si="370"/>
        <v>121.60799999999998</v>
      </c>
      <c r="AM250" s="244">
        <f t="shared" si="370"/>
        <v>540.32663986599653</v>
      </c>
      <c r="AN250" s="244">
        <f t="shared" si="370"/>
        <v>122.78965324384785</v>
      </c>
      <c r="AO250" s="244">
        <f t="shared" si="370"/>
        <v>162.27792642140466</v>
      </c>
      <c r="AP250" s="244">
        <f t="shared" si="370"/>
        <v>137.98501759678228</v>
      </c>
      <c r="AQ250" s="244">
        <f t="shared" ref="AQ250:AW250" si="371">AQ248*(1-AQ249)</f>
        <v>109.45882763433363</v>
      </c>
      <c r="AR250" s="244">
        <f t="shared" si="371"/>
        <v>532.42544585158782</v>
      </c>
      <c r="AS250" s="244">
        <f t="shared" si="371"/>
        <v>150.62528788576694</v>
      </c>
      <c r="AT250" s="244">
        <f t="shared" si="371"/>
        <v>176.12299029126214</v>
      </c>
      <c r="AU250" s="244">
        <f t="shared" si="371"/>
        <v>162.821272885789</v>
      </c>
      <c r="AV250" s="244">
        <f>AV248*(1-AV249)</f>
        <v>124.22981366459628</v>
      </c>
      <c r="AW250" s="244">
        <f t="shared" si="371"/>
        <v>613.54682080924863</v>
      </c>
      <c r="BB250" s="244">
        <f t="shared" ref="BB250" si="372">BB248*(1-BB249)</f>
        <v>675.54031892288685</v>
      </c>
      <c r="BG250" s="244">
        <f t="shared" ref="BG250" si="373">BG248*(1-BG249)</f>
        <v>701.92488390513631</v>
      </c>
      <c r="BL250" s="244">
        <f t="shared" ref="BL250" si="374">BL248*(1-BL249)</f>
        <v>737.98406374501997</v>
      </c>
      <c r="BQ250" s="244">
        <f>BQ248*(1-BQ249)</f>
        <v>710.1283422459893</v>
      </c>
      <c r="BV250" s="244">
        <f>BV248*(1-BV249)</f>
        <v>805.62948016002747</v>
      </c>
      <c r="CA250" s="244">
        <f>CA248*(1-CA249)</f>
        <v>859.15601349680514</v>
      </c>
    </row>
    <row r="251" spans="1:94" ht="13.8" hidden="1" outlineLevel="1" x14ac:dyDescent="0.25">
      <c r="A251" s="241"/>
      <c r="B251" s="241" t="s">
        <v>129</v>
      </c>
      <c r="AG251" s="245">
        <f>SUM(AD250:AG250)/AVERAGE(AD246:AG246)</f>
        <v>0.17073594369190428</v>
      </c>
      <c r="AH251" s="246">
        <f ca="1">AH250/AVERAGE(AD246,AE246,AF246,AG246)</f>
        <v>0.17075060374993539</v>
      </c>
      <c r="AI251" s="245">
        <f>(AE250+AF250+AG250+AI250)/AVERAGE(AE246,AF246,AG246,AI246)</f>
        <v>0.16743281834395199</v>
      </c>
      <c r="AJ251" s="245">
        <f>(AF250+AG250+AI250+AJ250)/AVERAGE(AF246,AG246,AI246,AJ246)</f>
        <v>0.16966116758809346</v>
      </c>
      <c r="AK251" s="245">
        <f>(AG250+AI250+AJ250+AK250)/AVERAGE(AG246,AI246,AJ246,AK246)</f>
        <v>0.17705287186359045</v>
      </c>
      <c r="AL251" s="245">
        <f>SUM(AI250:AL250)/AVERAGE(AI246:AL246)</f>
        <v>0.19486034710098668</v>
      </c>
      <c r="AM251" s="246">
        <f>AM250/AVERAGE(AI246,AJ246,AK246,AL246)</f>
        <v>0.19483341531798923</v>
      </c>
      <c r="AN251" s="245">
        <f>(AJ250+AK250+AL250+AN250)/AVERAGE(AJ246,AK246,AL246,AN246)</f>
        <v>0.1981502669798042</v>
      </c>
      <c r="AO251" s="245">
        <f>(AK250+AL250+AN250+AO250)/AVERAGE(AK246,AL246,AN246,AO246)</f>
        <v>0.2010572511257098</v>
      </c>
      <c r="AP251" s="245">
        <f t="shared" ref="AP251:AW251" si="375">(AL250+AN250+AO250+AP250)/AVERAGE(AL246,AN246,AO246,AP246)</f>
        <v>0.20023550504100393</v>
      </c>
      <c r="AQ251" s="245">
        <f t="shared" si="375"/>
        <v>0.34755113735564275</v>
      </c>
      <c r="AR251" s="245">
        <f t="shared" si="375"/>
        <v>0.33219270936013157</v>
      </c>
      <c r="AS251" s="245">
        <f t="shared" si="375"/>
        <v>0.34670690855361741</v>
      </c>
      <c r="AT251" s="245">
        <f t="shared" si="375"/>
        <v>0.35863859215415023</v>
      </c>
      <c r="AU251" s="245">
        <f t="shared" si="375"/>
        <v>0.21195915952697189</v>
      </c>
      <c r="AV251" s="245">
        <f t="shared" si="375"/>
        <v>0.3458924462602655</v>
      </c>
      <c r="AW251" s="245">
        <f t="shared" si="375"/>
        <v>0.36421449627821356</v>
      </c>
      <c r="BB251" s="245">
        <f>+BB250/AVERAGE(BB246,AW246)</f>
        <v>0.22269336374580084</v>
      </c>
      <c r="BG251" s="245">
        <f>+BG250/AVERAGE(BG246,BB246)</f>
        <v>0.21890687163734174</v>
      </c>
      <c r="BL251" s="245">
        <f>+BL250/AVERAGE(BL246,BG246)</f>
        <v>0.22029375037164775</v>
      </c>
      <c r="BQ251" s="245">
        <f>+BQ250/AVERAGE(BQ246,BL246)</f>
        <v>0.19368016971116578</v>
      </c>
      <c r="BV251" s="245">
        <f ca="1">+BV250/AVERAGE(BV246,BQ246)</f>
        <v>0.19941104036089832</v>
      </c>
      <c r="CA251" s="245">
        <f ca="1">+CA250/AVERAGE(CA246,BV246)</f>
        <v>0.20307884692724762</v>
      </c>
    </row>
    <row r="252" spans="1:94" collapsed="1" x14ac:dyDescent="0.2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</row>
    <row r="253" spans="1:94" x14ac:dyDescent="0.2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</row>
    <row r="254" spans="1:94" x14ac:dyDescent="0.25">
      <c r="A254" s="217" t="s">
        <v>292</v>
      </c>
      <c r="B254" s="218"/>
      <c r="C254" s="54" t="str">
        <f t="shared" ref="C254:AH254" si="376">+C122</f>
        <v>FY2003</v>
      </c>
      <c r="D254" s="54" t="str">
        <f t="shared" si="376"/>
        <v>FY2004</v>
      </c>
      <c r="E254" s="174" t="str">
        <f t="shared" si="376"/>
        <v>Jul-04A</v>
      </c>
      <c r="F254" s="174" t="str">
        <f t="shared" si="376"/>
        <v>Oct-04A</v>
      </c>
      <c r="G254" s="174" t="str">
        <f t="shared" si="376"/>
        <v>Jan-05A</v>
      </c>
      <c r="H254" s="174" t="str">
        <f t="shared" si="376"/>
        <v>Apr-05A</v>
      </c>
      <c r="I254" s="54" t="str">
        <f t="shared" si="376"/>
        <v>FY2005</v>
      </c>
      <c r="J254" s="174" t="str">
        <f t="shared" si="376"/>
        <v>Jul-05A</v>
      </c>
      <c r="K254" s="174" t="str">
        <f t="shared" si="376"/>
        <v>Oct-05A</v>
      </c>
      <c r="L254" s="174" t="str">
        <f t="shared" si="376"/>
        <v>Jan-06A</v>
      </c>
      <c r="M254" s="174" t="str">
        <f t="shared" si="376"/>
        <v>Apr-06A</v>
      </c>
      <c r="N254" s="54" t="str">
        <f t="shared" si="376"/>
        <v>FY2006</v>
      </c>
      <c r="O254" s="174" t="str">
        <f t="shared" si="376"/>
        <v>Jul-06A</v>
      </c>
      <c r="P254" s="174" t="str">
        <f t="shared" si="376"/>
        <v>Oct-06A</v>
      </c>
      <c r="Q254" s="174" t="str">
        <f t="shared" si="376"/>
        <v>Jan-07A</v>
      </c>
      <c r="R254" s="174" t="str">
        <f t="shared" si="376"/>
        <v>Apr-07A</v>
      </c>
      <c r="S254" s="54" t="str">
        <f t="shared" si="376"/>
        <v>FY2007</v>
      </c>
      <c r="T254" s="174" t="str">
        <f t="shared" si="376"/>
        <v>Jul-07 A</v>
      </c>
      <c r="U254" s="174" t="str">
        <f t="shared" si="376"/>
        <v>Oct-07 A</v>
      </c>
      <c r="V254" s="174" t="str">
        <f t="shared" si="376"/>
        <v>Jan-08 A</v>
      </c>
      <c r="W254" s="174" t="str">
        <f t="shared" si="376"/>
        <v>Apr-08 A</v>
      </c>
      <c r="X254" s="54" t="str">
        <f t="shared" si="376"/>
        <v>FY2008</v>
      </c>
      <c r="Y254" s="174" t="str">
        <f t="shared" si="376"/>
        <v>Jul-08A</v>
      </c>
      <c r="Z254" s="174" t="str">
        <f t="shared" si="376"/>
        <v>Oct-08</v>
      </c>
      <c r="AA254" s="174" t="str">
        <f t="shared" si="376"/>
        <v>Jan-09</v>
      </c>
      <c r="AB254" s="174" t="str">
        <f t="shared" si="376"/>
        <v>Apr-09</v>
      </c>
      <c r="AC254" s="54" t="str">
        <f t="shared" si="376"/>
        <v>FY2009</v>
      </c>
      <c r="AD254" s="174" t="str">
        <f t="shared" si="376"/>
        <v>Jul-09</v>
      </c>
      <c r="AE254" s="174" t="str">
        <f t="shared" si="376"/>
        <v>Oct-09</v>
      </c>
      <c r="AF254" s="174" t="str">
        <f t="shared" si="376"/>
        <v>Jan-10</v>
      </c>
      <c r="AG254" s="174" t="str">
        <f t="shared" si="376"/>
        <v>Apr-10</v>
      </c>
      <c r="AH254" s="54" t="str">
        <f t="shared" si="376"/>
        <v>FY2010</v>
      </c>
      <c r="AI254" s="174" t="str">
        <f t="shared" ref="AI254:BN254" si="377">+AI122</f>
        <v>Jul-10</v>
      </c>
      <c r="AJ254" s="174" t="str">
        <f t="shared" si="377"/>
        <v>Oct-10</v>
      </c>
      <c r="AK254" s="174" t="str">
        <f t="shared" si="377"/>
        <v>Jan-11</v>
      </c>
      <c r="AL254" s="174" t="str">
        <f t="shared" si="377"/>
        <v>Apr-11</v>
      </c>
      <c r="AM254" s="54" t="str">
        <f t="shared" si="377"/>
        <v>FY2011</v>
      </c>
      <c r="AN254" s="174" t="str">
        <f t="shared" si="377"/>
        <v>Jul-11</v>
      </c>
      <c r="AO254" s="174" t="str">
        <f t="shared" si="377"/>
        <v>Oct-11</v>
      </c>
      <c r="AP254" s="174" t="str">
        <f t="shared" si="377"/>
        <v>Jan-12</v>
      </c>
      <c r="AQ254" s="174" t="str">
        <f t="shared" si="377"/>
        <v>Apr-12</v>
      </c>
      <c r="AR254" s="54" t="str">
        <f t="shared" si="377"/>
        <v>FY2012</v>
      </c>
      <c r="AS254" s="174" t="str">
        <f t="shared" si="377"/>
        <v>Jul-12</v>
      </c>
      <c r="AT254" s="174" t="str">
        <f t="shared" si="377"/>
        <v>Oct-12</v>
      </c>
      <c r="AU254" s="174" t="str">
        <f t="shared" si="377"/>
        <v>Jan-13</v>
      </c>
      <c r="AV254" s="174" t="str">
        <f t="shared" si="377"/>
        <v>Apr-13</v>
      </c>
      <c r="AW254" s="54" t="str">
        <f t="shared" si="377"/>
        <v>FY2013</v>
      </c>
      <c r="AX254" s="174" t="str">
        <f t="shared" si="377"/>
        <v>Jul-13</v>
      </c>
      <c r="AY254" s="174" t="str">
        <f t="shared" si="377"/>
        <v>Oct-13</v>
      </c>
      <c r="AZ254" s="174" t="str">
        <f t="shared" si="377"/>
        <v>Jan-14</v>
      </c>
      <c r="BA254" s="174" t="str">
        <f t="shared" si="377"/>
        <v>Apr-14</v>
      </c>
      <c r="BB254" s="54" t="str">
        <f t="shared" si="377"/>
        <v>FY2014</v>
      </c>
      <c r="BC254" s="174" t="str">
        <f t="shared" si="377"/>
        <v>Jul-14</v>
      </c>
      <c r="BD254" s="174" t="str">
        <f t="shared" si="377"/>
        <v>Oct-14</v>
      </c>
      <c r="BE254" s="174" t="str">
        <f t="shared" si="377"/>
        <v>Jan-15</v>
      </c>
      <c r="BF254" s="174" t="str">
        <f t="shared" si="377"/>
        <v>Apr-15</v>
      </c>
      <c r="BG254" s="346" t="str">
        <f t="shared" si="377"/>
        <v>FY2015</v>
      </c>
      <c r="BH254" s="174" t="str">
        <f t="shared" si="377"/>
        <v xml:space="preserve"> Jul-15</v>
      </c>
      <c r="BI254" s="174" t="str">
        <f t="shared" si="377"/>
        <v>Oct-15</v>
      </c>
      <c r="BJ254" s="174" t="str">
        <f t="shared" si="377"/>
        <v>Jan-16</v>
      </c>
      <c r="BK254" s="174" t="str">
        <f t="shared" si="377"/>
        <v>Apr-16</v>
      </c>
      <c r="BL254" s="54" t="str">
        <f t="shared" si="377"/>
        <v>FY2016</v>
      </c>
      <c r="BM254" s="174" t="str">
        <f t="shared" si="377"/>
        <v>Jul-16</v>
      </c>
      <c r="BN254" s="174" t="str">
        <f t="shared" si="377"/>
        <v>Oct-16</v>
      </c>
      <c r="BO254" s="174" t="str">
        <f t="shared" ref="BO254:CP254" si="378">+BO122</f>
        <v>Jan-17</v>
      </c>
      <c r="BP254" s="174" t="str">
        <f t="shared" si="378"/>
        <v>Apr-17</v>
      </c>
      <c r="BQ254" s="54" t="str">
        <f t="shared" si="378"/>
        <v>FY2017</v>
      </c>
      <c r="BR254" s="174" t="str">
        <f t="shared" si="378"/>
        <v>Jul-17</v>
      </c>
      <c r="BS254" s="174" t="str">
        <f t="shared" si="378"/>
        <v>Oct-17</v>
      </c>
      <c r="BT254" s="174" t="str">
        <f t="shared" si="378"/>
        <v>Jan-18E</v>
      </c>
      <c r="BU254" s="174" t="str">
        <f t="shared" si="378"/>
        <v>Apr-18E</v>
      </c>
      <c r="BV254" s="54" t="str">
        <f t="shared" si="378"/>
        <v>FY2018E</v>
      </c>
      <c r="BW254" s="174" t="str">
        <f t="shared" si="378"/>
        <v>Jul-18E</v>
      </c>
      <c r="BX254" s="174" t="str">
        <f t="shared" si="378"/>
        <v>Oct-18E</v>
      </c>
      <c r="BY254" s="174" t="str">
        <f t="shared" si="378"/>
        <v>Jan-19E</v>
      </c>
      <c r="BZ254" s="174" t="str">
        <f t="shared" si="378"/>
        <v>Apr-19E</v>
      </c>
      <c r="CA254" s="54" t="str">
        <f t="shared" si="378"/>
        <v>FY2019E</v>
      </c>
      <c r="CB254" s="174" t="str">
        <f t="shared" si="378"/>
        <v>Jul-19E</v>
      </c>
      <c r="CC254" s="174" t="str">
        <f t="shared" si="378"/>
        <v>Oct-19E</v>
      </c>
      <c r="CD254" s="174" t="str">
        <f t="shared" si="378"/>
        <v>Jan-20E</v>
      </c>
      <c r="CE254" s="174" t="str">
        <f t="shared" si="378"/>
        <v>Apr-20E</v>
      </c>
      <c r="CF254" s="54" t="str">
        <f t="shared" si="378"/>
        <v>FY2020E</v>
      </c>
      <c r="CG254" s="174" t="str">
        <f t="shared" si="378"/>
        <v>Jul-20E</v>
      </c>
      <c r="CH254" s="174" t="str">
        <f t="shared" si="378"/>
        <v>Oct-20E</v>
      </c>
      <c r="CI254" s="174" t="str">
        <f t="shared" si="378"/>
        <v>Jan-21E</v>
      </c>
      <c r="CJ254" s="174" t="str">
        <f t="shared" si="378"/>
        <v>Apr-21E</v>
      </c>
      <c r="CK254" s="54" t="str">
        <f t="shared" si="378"/>
        <v>FY2021E</v>
      </c>
      <c r="CL254" s="174" t="str">
        <f t="shared" si="378"/>
        <v>Jul-21E</v>
      </c>
      <c r="CM254" s="174" t="str">
        <f t="shared" si="378"/>
        <v>Oct-21E</v>
      </c>
      <c r="CN254" s="174" t="str">
        <f t="shared" si="378"/>
        <v>Jan-22E</v>
      </c>
      <c r="CO254" s="174" t="str">
        <f t="shared" si="378"/>
        <v>Apr-22E</v>
      </c>
      <c r="CP254" s="54" t="str">
        <f t="shared" si="378"/>
        <v>FY2022E</v>
      </c>
    </row>
    <row r="255" spans="1:94" x14ac:dyDescent="0.25">
      <c r="A255" s="208" t="s">
        <v>276</v>
      </c>
      <c r="AM255" s="77"/>
      <c r="AR255" s="77"/>
      <c r="AW255" s="77"/>
      <c r="BB255" s="77"/>
      <c r="BG255" s="347"/>
      <c r="BL255" s="347"/>
      <c r="BQ255" s="347"/>
    </row>
    <row r="256" spans="1:94" x14ac:dyDescent="0.25">
      <c r="A256" s="52" t="s">
        <v>291</v>
      </c>
      <c r="B256" s="123"/>
      <c r="C256" s="154"/>
      <c r="D256" s="154"/>
      <c r="E256" s="154"/>
      <c r="F256" s="154"/>
      <c r="G256" s="154"/>
      <c r="H256" s="154"/>
      <c r="I256" s="154"/>
      <c r="J256" s="154"/>
      <c r="K256" s="154"/>
      <c r="L256" s="154"/>
      <c r="M256" s="154"/>
      <c r="N256" s="154"/>
      <c r="O256" s="154"/>
      <c r="P256" s="154"/>
      <c r="Q256" s="154"/>
      <c r="R256" s="154"/>
      <c r="S256" s="154"/>
      <c r="T256" s="154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154"/>
      <c r="AI256" s="154">
        <v>0.04</v>
      </c>
      <c r="AJ256" s="154">
        <v>0.04</v>
      </c>
      <c r="AK256" s="154">
        <v>0.06</v>
      </c>
      <c r="AL256" s="154">
        <v>0.05</v>
      </c>
      <c r="AM256" s="155">
        <v>0.05</v>
      </c>
      <c r="AN256" s="154">
        <v>0.15</v>
      </c>
      <c r="AO256" s="316">
        <v>0.14000000000000001</v>
      </c>
      <c r="AP256" s="154">
        <v>0.13</v>
      </c>
      <c r="AQ256" s="154">
        <f>AR256</f>
        <v>0.12</v>
      </c>
      <c r="AR256" s="155">
        <v>0.12</v>
      </c>
      <c r="AS256" s="154">
        <v>0.12</v>
      </c>
      <c r="AT256" s="154">
        <v>0.06</v>
      </c>
      <c r="AU256" s="154">
        <v>0.06</v>
      </c>
      <c r="AV256" s="154">
        <f>AW256</f>
        <v>0.06</v>
      </c>
      <c r="AW256" s="155">
        <v>0.06</v>
      </c>
      <c r="AX256" s="154">
        <v>0.04</v>
      </c>
      <c r="AY256" s="154">
        <v>0.06</v>
      </c>
      <c r="AZ256" s="154">
        <v>0.06</v>
      </c>
      <c r="BA256" s="154">
        <f>BB256</f>
        <v>0.05</v>
      </c>
      <c r="BB256" s="155">
        <v>0.05</v>
      </c>
      <c r="BC256" s="154">
        <v>0.03</v>
      </c>
      <c r="BD256" s="154">
        <v>0.05</v>
      </c>
      <c r="BE256" s="154">
        <v>0.06</v>
      </c>
      <c r="BF256" s="154">
        <v>0.08</v>
      </c>
      <c r="BG256" s="348">
        <v>0.08</v>
      </c>
      <c r="BH256" s="154">
        <v>0.06</v>
      </c>
      <c r="BI256" s="154">
        <v>0.06</v>
      </c>
      <c r="BJ256" s="154">
        <v>0.05</v>
      </c>
      <c r="BK256" s="154">
        <v>0.05</v>
      </c>
      <c r="BL256" s="348">
        <v>0.05</v>
      </c>
      <c r="BM256" s="154">
        <v>0.03</v>
      </c>
      <c r="BN256" s="154">
        <v>0.02</v>
      </c>
      <c r="BO256" s="154">
        <v>0.03</v>
      </c>
      <c r="BP256" s="154">
        <v>0.03</v>
      </c>
      <c r="BQ256" s="348">
        <v>0.03</v>
      </c>
      <c r="BR256" s="154">
        <v>0.06</v>
      </c>
      <c r="BS256" s="154">
        <v>0.08</v>
      </c>
      <c r="BT256" s="154"/>
      <c r="BU256" s="154"/>
      <c r="BV256" s="154"/>
      <c r="BW256" s="154"/>
      <c r="BX256" s="154"/>
      <c r="BY256" s="154"/>
      <c r="BZ256" s="154"/>
      <c r="CA256" s="154"/>
      <c r="CB256" s="154"/>
      <c r="CC256" s="154"/>
      <c r="CD256" s="154"/>
      <c r="CE256" s="154"/>
      <c r="CF256" s="154"/>
      <c r="CG256" s="154"/>
      <c r="CH256" s="154"/>
      <c r="CI256" s="154"/>
      <c r="CJ256" s="154"/>
      <c r="CK256" s="154"/>
      <c r="CL256" s="154"/>
      <c r="CM256" s="154"/>
      <c r="CN256" s="154"/>
      <c r="CO256" s="154"/>
      <c r="CP256" s="154"/>
    </row>
    <row r="257" spans="1:94" x14ac:dyDescent="0.25">
      <c r="A257" s="52" t="s">
        <v>321</v>
      </c>
      <c r="B257" s="123"/>
      <c r="C257" s="154"/>
      <c r="D257" s="154"/>
      <c r="E257" s="154"/>
      <c r="F257" s="154"/>
      <c r="G257" s="154"/>
      <c r="H257" s="154"/>
      <c r="I257" s="154"/>
      <c r="J257" s="154"/>
      <c r="K257" s="154"/>
      <c r="L257" s="154"/>
      <c r="M257" s="154"/>
      <c r="N257" s="154"/>
      <c r="O257" s="154"/>
      <c r="P257" s="154"/>
      <c r="Q257" s="154"/>
      <c r="R257" s="154"/>
      <c r="S257" s="154"/>
      <c r="T257" s="154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154"/>
      <c r="AI257" s="154"/>
      <c r="AJ257" s="154"/>
      <c r="AK257" s="154"/>
      <c r="AL257" s="154"/>
      <c r="AM257" s="155"/>
      <c r="AN257" s="154"/>
      <c r="AO257" s="316"/>
      <c r="AP257" s="154"/>
      <c r="AQ257" s="154"/>
      <c r="AR257" s="155"/>
      <c r="AS257" s="154"/>
      <c r="AT257" s="154"/>
      <c r="AU257" s="154"/>
      <c r="AV257" s="154"/>
      <c r="AW257" s="155"/>
      <c r="AX257" s="154"/>
      <c r="AY257" s="154"/>
      <c r="AZ257" s="154"/>
      <c r="BA257" s="154"/>
      <c r="BB257" s="155"/>
      <c r="BC257" s="154">
        <v>0</v>
      </c>
      <c r="BD257" s="154">
        <v>0.02</v>
      </c>
      <c r="BE257" s="154">
        <v>0.04</v>
      </c>
      <c r="BF257" s="154">
        <v>0.04</v>
      </c>
      <c r="BG257" s="348">
        <v>0.04</v>
      </c>
      <c r="BH257" s="154">
        <v>0.03</v>
      </c>
      <c r="BI257" s="154">
        <v>0.03</v>
      </c>
      <c r="BJ257" s="154">
        <v>0.02</v>
      </c>
      <c r="BK257" s="154">
        <v>0.03</v>
      </c>
      <c r="BL257" s="348">
        <v>0.03</v>
      </c>
      <c r="BM257" s="154">
        <v>0.02</v>
      </c>
      <c r="BN257" s="154">
        <v>0</v>
      </c>
      <c r="BO257" s="154">
        <v>0.01</v>
      </c>
      <c r="BP257" s="154">
        <v>0.01</v>
      </c>
      <c r="BQ257" s="348">
        <v>0.01</v>
      </c>
      <c r="BR257" s="154">
        <v>0.04</v>
      </c>
      <c r="BS257" s="154">
        <v>7.0000000000000007E-2</v>
      </c>
      <c r="BT257" s="154"/>
      <c r="BU257" s="154"/>
      <c r="BV257" s="154"/>
      <c r="BW257" s="154"/>
      <c r="BX257" s="154"/>
      <c r="BY257" s="154"/>
      <c r="BZ257" s="154"/>
      <c r="CA257" s="154"/>
      <c r="CB257" s="154"/>
      <c r="CC257" s="154"/>
      <c r="CD257" s="154"/>
      <c r="CE257" s="154"/>
      <c r="CF257" s="154"/>
      <c r="CG257" s="154"/>
      <c r="CH257" s="154"/>
      <c r="CI257" s="154"/>
      <c r="CJ257" s="154"/>
      <c r="CK257" s="154"/>
      <c r="CL257" s="154"/>
      <c r="CM257" s="154"/>
      <c r="CN257" s="154"/>
      <c r="CO257" s="154"/>
      <c r="CP257" s="154"/>
    </row>
    <row r="258" spans="1:94" x14ac:dyDescent="0.25">
      <c r="A258" s="52" t="s">
        <v>322</v>
      </c>
      <c r="B258" s="123"/>
      <c r="C258" s="154"/>
      <c r="D258" s="154"/>
      <c r="E258" s="154"/>
      <c r="F258" s="154"/>
      <c r="G258" s="154"/>
      <c r="H258" s="154"/>
      <c r="I258" s="154"/>
      <c r="J258" s="154"/>
      <c r="K258" s="154"/>
      <c r="L258" s="154"/>
      <c r="M258" s="154"/>
      <c r="N258" s="154"/>
      <c r="O258" s="154"/>
      <c r="P258" s="154"/>
      <c r="Q258" s="154"/>
      <c r="R258" s="154"/>
      <c r="S258" s="154"/>
      <c r="T258" s="154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4"/>
      <c r="AJ258" s="154"/>
      <c r="AK258" s="154"/>
      <c r="AL258" s="154"/>
      <c r="AM258" s="155"/>
      <c r="AN258" s="154"/>
      <c r="AO258" s="316"/>
      <c r="AP258" s="154"/>
      <c r="AQ258" s="154"/>
      <c r="AR258" s="155"/>
      <c r="AS258" s="154"/>
      <c r="AT258" s="154"/>
      <c r="AU258" s="154"/>
      <c r="AV258" s="154"/>
      <c r="AW258" s="155"/>
      <c r="AX258" s="154"/>
      <c r="AY258" s="154"/>
      <c r="AZ258" s="154"/>
      <c r="BA258" s="154"/>
      <c r="BB258" s="155"/>
      <c r="BC258" s="154">
        <v>0.31</v>
      </c>
      <c r="BD258" s="154">
        <v>0.32</v>
      </c>
      <c r="BE258" s="154">
        <v>0.31</v>
      </c>
      <c r="BF258" s="154">
        <v>0.28999999999999998</v>
      </c>
      <c r="BG258" s="348">
        <v>0.28999999999999998</v>
      </c>
      <c r="BH258" s="154">
        <v>0.14000000000000001</v>
      </c>
      <c r="BI258" s="154">
        <v>0.12</v>
      </c>
      <c r="BJ258" s="154">
        <v>0.1</v>
      </c>
      <c r="BK258" s="154">
        <v>0.08</v>
      </c>
      <c r="BL258" s="348">
        <v>0.08</v>
      </c>
      <c r="BM258" s="154">
        <v>0.06</v>
      </c>
      <c r="BN258" s="154">
        <v>0.04</v>
      </c>
      <c r="BO258" s="154">
        <v>0.05</v>
      </c>
      <c r="BP258" s="154">
        <v>0.06</v>
      </c>
      <c r="BQ258" s="348">
        <v>0.06</v>
      </c>
      <c r="BR258" s="154">
        <v>0.05</v>
      </c>
      <c r="BS258" s="154">
        <v>0.09</v>
      </c>
      <c r="BT258" s="154"/>
      <c r="BU258" s="154"/>
      <c r="BV258" s="154"/>
      <c r="BW258" s="154"/>
      <c r="BX258" s="154"/>
      <c r="BY258" s="154"/>
      <c r="BZ258" s="154"/>
      <c r="CA258" s="154"/>
      <c r="CB258" s="154"/>
      <c r="CC258" s="154"/>
      <c r="CD258" s="154"/>
      <c r="CE258" s="154"/>
      <c r="CF258" s="154"/>
      <c r="CG258" s="154"/>
      <c r="CH258" s="154"/>
      <c r="CI258" s="154"/>
      <c r="CJ258" s="154"/>
      <c r="CK258" s="154"/>
      <c r="CL258" s="154"/>
      <c r="CM258" s="154"/>
      <c r="CN258" s="154"/>
      <c r="CO258" s="154"/>
      <c r="CP258" s="154"/>
    </row>
    <row r="259" spans="1:94" x14ac:dyDescent="0.25">
      <c r="A259" s="52" t="s">
        <v>323</v>
      </c>
      <c r="B259" s="123"/>
      <c r="C259" s="154"/>
      <c r="D259" s="154"/>
      <c r="E259" s="154"/>
      <c r="F259" s="154"/>
      <c r="G259" s="154"/>
      <c r="H259" s="154"/>
      <c r="I259" s="154"/>
      <c r="J259" s="154"/>
      <c r="K259" s="154"/>
      <c r="L259" s="154"/>
      <c r="M259" s="154"/>
      <c r="N259" s="154"/>
      <c r="O259" s="154"/>
      <c r="P259" s="154"/>
      <c r="Q259" s="154"/>
      <c r="R259" s="154"/>
      <c r="S259" s="154"/>
      <c r="T259" s="154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  <c r="AI259" s="154"/>
      <c r="AJ259" s="154"/>
      <c r="AK259" s="154"/>
      <c r="AL259" s="154"/>
      <c r="AM259" s="155"/>
      <c r="AN259" s="154"/>
      <c r="AO259" s="316"/>
      <c r="AP259" s="154"/>
      <c r="AQ259" s="154"/>
      <c r="AR259" s="155"/>
      <c r="AS259" s="154"/>
      <c r="AT259" s="154"/>
      <c r="AU259" s="154"/>
      <c r="AV259" s="154"/>
      <c r="AW259" s="155"/>
      <c r="AX259" s="154"/>
      <c r="AY259" s="154"/>
      <c r="AZ259" s="154"/>
      <c r="BA259" s="154"/>
      <c r="BB259" s="155"/>
      <c r="BC259" s="154">
        <v>7.0000000000000007E-2</v>
      </c>
      <c r="BD259" s="154">
        <v>0.18</v>
      </c>
      <c r="BE259" s="154">
        <v>0.22</v>
      </c>
      <c r="BF259" s="154">
        <v>0.38</v>
      </c>
      <c r="BG259" s="348">
        <v>0.38</v>
      </c>
      <c r="BH259" s="154">
        <v>0.63</v>
      </c>
      <c r="BI259" s="154">
        <v>0.5</v>
      </c>
      <c r="BJ259" s="154">
        <v>0.45</v>
      </c>
      <c r="BK259" s="154">
        <v>0.3</v>
      </c>
      <c r="BL259" s="348">
        <v>0.3</v>
      </c>
      <c r="BM259" s="154">
        <v>0.04</v>
      </c>
      <c r="BN259" s="154">
        <v>0.08</v>
      </c>
      <c r="BO259" s="154">
        <v>0.09</v>
      </c>
      <c r="BP259" s="154">
        <v>0.09</v>
      </c>
      <c r="BQ259" s="348">
        <v>0.09</v>
      </c>
      <c r="BR259" s="154"/>
      <c r="BS259" s="154"/>
      <c r="BT259" s="154"/>
      <c r="BU259" s="154"/>
      <c r="BV259" s="154"/>
      <c r="BW259" s="154"/>
      <c r="BX259" s="154"/>
      <c r="BY259" s="154"/>
      <c r="BZ259" s="154"/>
      <c r="CA259" s="154"/>
      <c r="CB259" s="154"/>
      <c r="CC259" s="154"/>
      <c r="CD259" s="154"/>
      <c r="CE259" s="154"/>
      <c r="CF259" s="154"/>
      <c r="CG259" s="154"/>
      <c r="CH259" s="154"/>
      <c r="CI259" s="154"/>
      <c r="CJ259" s="154"/>
      <c r="CK259" s="154"/>
      <c r="CL259" s="154"/>
      <c r="CM259" s="154"/>
      <c r="CN259" s="154"/>
      <c r="CO259" s="154"/>
      <c r="CP259" s="154"/>
    </row>
    <row r="260" spans="1:94" x14ac:dyDescent="0.25">
      <c r="A260" s="52" t="s">
        <v>277</v>
      </c>
      <c r="B260" s="123"/>
      <c r="C260" s="154"/>
      <c r="D260" s="154"/>
      <c r="E260" s="154"/>
      <c r="F260" s="154"/>
      <c r="G260" s="154"/>
      <c r="H260" s="154"/>
      <c r="I260" s="154"/>
      <c r="J260" s="154"/>
      <c r="K260" s="154"/>
      <c r="L260" s="154"/>
      <c r="M260" s="154"/>
      <c r="N260" s="154"/>
      <c r="O260" s="154"/>
      <c r="P260" s="154"/>
      <c r="Q260" s="154"/>
      <c r="R260" s="154"/>
      <c r="S260" s="154"/>
      <c r="T260" s="154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>
        <v>0.03</v>
      </c>
      <c r="AJ260" s="154">
        <v>0.03</v>
      </c>
      <c r="AK260" s="154">
        <v>0.05</v>
      </c>
      <c r="AL260" s="154">
        <v>0.04</v>
      </c>
      <c r="AM260" s="155">
        <v>0.04</v>
      </c>
      <c r="AN260" s="154">
        <v>0.15</v>
      </c>
      <c r="AO260" s="316">
        <v>0.14000000000000001</v>
      </c>
      <c r="AP260" s="154">
        <v>0.13</v>
      </c>
      <c r="AQ260" s="154">
        <f t="shared" ref="AQ260:AQ284" si="379">AR260</f>
        <v>0.12</v>
      </c>
      <c r="AR260" s="155">
        <v>0.12</v>
      </c>
      <c r="AS260" s="154">
        <v>0.12</v>
      </c>
      <c r="AT260" s="154">
        <v>7.0000000000000007E-2</v>
      </c>
      <c r="AU260" s="154">
        <v>0.06</v>
      </c>
      <c r="AV260" s="154">
        <f t="shared" ref="AV260:AV284" si="380">AW260</f>
        <v>0.06</v>
      </c>
      <c r="AW260" s="155">
        <v>0.06</v>
      </c>
      <c r="AX260" s="154">
        <v>0.04</v>
      </c>
      <c r="AY260" s="154">
        <v>7.0000000000000007E-2</v>
      </c>
      <c r="AZ260" s="154">
        <v>7.0000000000000007E-2</v>
      </c>
      <c r="BA260" s="154">
        <f>BB260</f>
        <v>0.06</v>
      </c>
      <c r="BB260" s="155">
        <v>0.06</v>
      </c>
      <c r="BC260" s="154"/>
      <c r="BD260" s="154"/>
      <c r="BE260" s="154"/>
      <c r="BF260" s="154"/>
      <c r="BG260" s="348"/>
      <c r="BH260" s="154"/>
      <c r="BI260" s="154"/>
      <c r="BJ260" s="154"/>
      <c r="BK260" s="154"/>
      <c r="BL260" s="348"/>
      <c r="BM260" s="154"/>
      <c r="BN260" s="154"/>
      <c r="BO260" s="154"/>
      <c r="BP260" s="154"/>
      <c r="BQ260" s="348"/>
      <c r="BR260" s="154"/>
      <c r="BS260" s="154"/>
      <c r="BT260" s="154"/>
      <c r="BU260" s="154"/>
      <c r="BV260" s="154"/>
      <c r="BW260" s="154"/>
      <c r="BX260" s="154"/>
      <c r="BY260" s="154"/>
      <c r="BZ260" s="154"/>
      <c r="CA260" s="154"/>
      <c r="CB260" s="154"/>
      <c r="CC260" s="154"/>
      <c r="CD260" s="154"/>
      <c r="CE260" s="154"/>
      <c r="CF260" s="154"/>
      <c r="CG260" s="154"/>
      <c r="CH260" s="154"/>
      <c r="CI260" s="154"/>
      <c r="CJ260" s="154"/>
      <c r="CK260" s="154"/>
      <c r="CL260" s="154"/>
      <c r="CM260" s="154"/>
      <c r="CN260" s="154"/>
      <c r="CO260" s="154"/>
      <c r="CP260" s="154"/>
    </row>
    <row r="261" spans="1:94" x14ac:dyDescent="0.25">
      <c r="A261" s="52" t="s">
        <v>278</v>
      </c>
      <c r="B261" s="123"/>
      <c r="C261" s="154"/>
      <c r="D261" s="154"/>
      <c r="E261" s="154"/>
      <c r="F261" s="154"/>
      <c r="G261" s="154"/>
      <c r="H261" s="154"/>
      <c r="I261" s="154"/>
      <c r="J261" s="154"/>
      <c r="K261" s="154"/>
      <c r="L261" s="154"/>
      <c r="M261" s="154"/>
      <c r="N261" s="154"/>
      <c r="O261" s="154"/>
      <c r="P261" s="154"/>
      <c r="Q261" s="154"/>
      <c r="R261" s="154"/>
      <c r="S261" s="154"/>
      <c r="T261" s="154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>
        <v>0.19</v>
      </c>
      <c r="AJ261" s="154">
        <v>0.18</v>
      </c>
      <c r="AK261" s="154">
        <v>0.21</v>
      </c>
      <c r="AL261" s="154">
        <v>0.17</v>
      </c>
      <c r="AM261" s="155">
        <v>0.17</v>
      </c>
      <c r="AN261" s="154">
        <v>0.11</v>
      </c>
      <c r="AO261" s="316">
        <v>0.15</v>
      </c>
      <c r="AP261" s="154">
        <v>0.08</v>
      </c>
      <c r="AQ261" s="154">
        <f t="shared" si="379"/>
        <v>0.13</v>
      </c>
      <c r="AR261" s="155">
        <v>0.13</v>
      </c>
      <c r="AS261" s="154">
        <v>0.05</v>
      </c>
      <c r="AT261" s="154">
        <v>0.05</v>
      </c>
      <c r="AU261" s="154">
        <v>0.06</v>
      </c>
      <c r="AV261" s="154">
        <f t="shared" si="380"/>
        <v>0.05</v>
      </c>
      <c r="AW261" s="155">
        <v>0.05</v>
      </c>
      <c r="AX261" s="154">
        <v>0.01</v>
      </c>
      <c r="AY261" s="154">
        <v>0</v>
      </c>
      <c r="AZ261" s="154">
        <v>0.04</v>
      </c>
      <c r="BA261" s="154">
        <f t="shared" ref="BA261:BA284" si="381">BB261</f>
        <v>0.03</v>
      </c>
      <c r="BB261" s="155">
        <v>0.03</v>
      </c>
      <c r="BC261" s="154">
        <v>0.06</v>
      </c>
      <c r="BD261" s="154">
        <v>0.05</v>
      </c>
      <c r="BE261" s="154">
        <v>0.02</v>
      </c>
      <c r="BF261" s="154">
        <v>0.03</v>
      </c>
      <c r="BG261" s="348">
        <v>0.03</v>
      </c>
      <c r="BH261" s="154">
        <v>-0.04</v>
      </c>
      <c r="BI261" s="154">
        <v>0.03</v>
      </c>
      <c r="BJ261" s="154">
        <v>0.04</v>
      </c>
      <c r="BK261" s="154">
        <v>0.04</v>
      </c>
      <c r="BL261" s="348">
        <v>0.04</v>
      </c>
      <c r="BM261" s="154">
        <v>0.1</v>
      </c>
      <c r="BN261" s="154">
        <v>0.08</v>
      </c>
      <c r="BO261" s="154">
        <v>7.0000000000000007E-2</v>
      </c>
      <c r="BP261" s="154">
        <v>0.08</v>
      </c>
      <c r="BQ261" s="348">
        <v>0.08</v>
      </c>
      <c r="BR261" s="154">
        <v>0.17</v>
      </c>
      <c r="BS261" s="154">
        <v>0.11</v>
      </c>
      <c r="BT261" s="154"/>
      <c r="BU261" s="154"/>
      <c r="BV261" s="154"/>
      <c r="BW261" s="154"/>
      <c r="BX261" s="154"/>
      <c r="BY261" s="154"/>
      <c r="BZ261" s="154"/>
      <c r="CA261" s="154"/>
      <c r="CB261" s="154"/>
      <c r="CC261" s="154"/>
      <c r="CD261" s="154"/>
      <c r="CE261" s="154"/>
      <c r="CF261" s="154"/>
      <c r="CG261" s="154"/>
      <c r="CH261" s="154"/>
      <c r="CI261" s="154"/>
      <c r="CJ261" s="154"/>
      <c r="CK261" s="154"/>
      <c r="CL261" s="154"/>
      <c r="CM261" s="154"/>
      <c r="CN261" s="154"/>
      <c r="CO261" s="154"/>
      <c r="CP261" s="154"/>
    </row>
    <row r="262" spans="1:94" x14ac:dyDescent="0.25">
      <c r="A262" s="52" t="s">
        <v>351</v>
      </c>
      <c r="B262" s="123"/>
      <c r="C262" s="154"/>
      <c r="D262" s="154"/>
      <c r="E262" s="154"/>
      <c r="F262" s="154"/>
      <c r="G262" s="154"/>
      <c r="H262" s="154"/>
      <c r="I262" s="154"/>
      <c r="J262" s="154"/>
      <c r="K262" s="154"/>
      <c r="L262" s="154"/>
      <c r="M262" s="154"/>
      <c r="N262" s="154"/>
      <c r="O262" s="154"/>
      <c r="P262" s="154"/>
      <c r="Q262" s="154"/>
      <c r="R262" s="154"/>
      <c r="S262" s="154"/>
      <c r="T262" s="154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5"/>
      <c r="AN262" s="154"/>
      <c r="AO262" s="316"/>
      <c r="AP262" s="154"/>
      <c r="AQ262" s="154"/>
      <c r="AR262" s="155"/>
      <c r="AS262" s="154"/>
      <c r="AT262" s="154"/>
      <c r="AU262" s="154"/>
      <c r="AV262" s="154"/>
      <c r="AW262" s="155"/>
      <c r="AX262" s="154"/>
      <c r="AY262" s="154"/>
      <c r="AZ262" s="154"/>
      <c r="BA262" s="154"/>
      <c r="BB262" s="155"/>
      <c r="BC262" s="154"/>
      <c r="BD262" s="154"/>
      <c r="BE262" s="154"/>
      <c r="BF262" s="154"/>
      <c r="BG262" s="348"/>
      <c r="BH262" s="154"/>
      <c r="BI262" s="154"/>
      <c r="BJ262" s="154"/>
      <c r="BK262" s="154"/>
      <c r="BL262" s="348"/>
      <c r="BM262" s="154"/>
      <c r="BN262" s="154"/>
      <c r="BO262" s="154"/>
      <c r="BP262" s="154"/>
      <c r="BQ262" s="348"/>
      <c r="BR262" s="154">
        <v>0.08</v>
      </c>
      <c r="BS262" s="154">
        <v>0.09</v>
      </c>
      <c r="BT262" s="154"/>
      <c r="BU262" s="154"/>
      <c r="BV262" s="154"/>
      <c r="BW262" s="154"/>
      <c r="BX262" s="154"/>
      <c r="BY262" s="154"/>
      <c r="BZ262" s="154"/>
      <c r="CA262" s="154"/>
      <c r="CB262" s="154"/>
      <c r="CC262" s="154"/>
      <c r="CD262" s="154"/>
      <c r="CE262" s="154"/>
      <c r="CF262" s="154"/>
      <c r="CG262" s="154"/>
      <c r="CH262" s="154"/>
      <c r="CI262" s="154"/>
      <c r="CJ262" s="154"/>
      <c r="CK262" s="154"/>
      <c r="CL262" s="154"/>
      <c r="CM262" s="154"/>
      <c r="CN262" s="154"/>
      <c r="CO262" s="154"/>
      <c r="CP262" s="154"/>
    </row>
    <row r="263" spans="1:94" x14ac:dyDescent="0.25">
      <c r="A263" s="52" t="s">
        <v>352</v>
      </c>
      <c r="B263" s="123"/>
      <c r="C263" s="154"/>
      <c r="D263" s="154"/>
      <c r="E263" s="154"/>
      <c r="F263" s="154"/>
      <c r="G263" s="154"/>
      <c r="H263" s="154"/>
      <c r="I263" s="154"/>
      <c r="J263" s="154"/>
      <c r="K263" s="154"/>
      <c r="L263" s="154"/>
      <c r="M263" s="154"/>
      <c r="N263" s="154"/>
      <c r="O263" s="154"/>
      <c r="P263" s="154"/>
      <c r="Q263" s="154"/>
      <c r="R263" s="154"/>
      <c r="S263" s="154"/>
      <c r="T263" s="154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5"/>
      <c r="AN263" s="154"/>
      <c r="AO263" s="316"/>
      <c r="AP263" s="154"/>
      <c r="AQ263" s="154"/>
      <c r="AR263" s="155"/>
      <c r="AS263" s="154"/>
      <c r="AT263" s="154"/>
      <c r="AU263" s="154"/>
      <c r="AV263" s="154"/>
      <c r="AW263" s="155"/>
      <c r="AX263" s="154"/>
      <c r="AY263" s="154"/>
      <c r="AZ263" s="154"/>
      <c r="BA263" s="154"/>
      <c r="BB263" s="155"/>
      <c r="BC263" s="154"/>
      <c r="BD263" s="154"/>
      <c r="BE263" s="154"/>
      <c r="BF263" s="154"/>
      <c r="BG263" s="348"/>
      <c r="BH263" s="154"/>
      <c r="BI263" s="154"/>
      <c r="BJ263" s="154"/>
      <c r="BK263" s="154"/>
      <c r="BL263" s="348"/>
      <c r="BM263" s="154"/>
      <c r="BN263" s="154"/>
      <c r="BO263" s="154"/>
      <c r="BP263" s="154"/>
      <c r="BQ263" s="348"/>
      <c r="BR263" s="154">
        <v>0.19</v>
      </c>
      <c r="BS263" s="154">
        <v>0.15</v>
      </c>
      <c r="BT263" s="154"/>
      <c r="BU263" s="154"/>
      <c r="BV263" s="154"/>
      <c r="BW263" s="154"/>
      <c r="BX263" s="154"/>
      <c r="BY263" s="154"/>
      <c r="BZ263" s="154"/>
      <c r="CA263" s="154"/>
      <c r="CB263" s="154"/>
      <c r="CC263" s="154"/>
      <c r="CD263" s="154"/>
      <c r="CE263" s="154"/>
      <c r="CF263" s="154"/>
      <c r="CG263" s="154"/>
      <c r="CH263" s="154"/>
      <c r="CI263" s="154"/>
      <c r="CJ263" s="154"/>
      <c r="CK263" s="154"/>
      <c r="CL263" s="154"/>
      <c r="CM263" s="154"/>
      <c r="CN263" s="154"/>
      <c r="CO263" s="154"/>
      <c r="CP263" s="154"/>
    </row>
    <row r="264" spans="1:94" x14ac:dyDescent="0.25">
      <c r="A264" s="52" t="s">
        <v>281</v>
      </c>
      <c r="B264" s="123"/>
      <c r="C264" s="154"/>
      <c r="D264" s="154"/>
      <c r="E264" s="154"/>
      <c r="F264" s="154"/>
      <c r="G264" s="154"/>
      <c r="H264" s="154"/>
      <c r="I264" s="154"/>
      <c r="J264" s="154"/>
      <c r="K264" s="154"/>
      <c r="L264" s="154"/>
      <c r="M264" s="154"/>
      <c r="N264" s="154"/>
      <c r="O264" s="154"/>
      <c r="P264" s="154"/>
      <c r="Q264" s="154"/>
      <c r="R264" s="154"/>
      <c r="S264" s="154"/>
      <c r="T264" s="154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5">
        <f>AM276</f>
        <v>-0.04</v>
      </c>
      <c r="AN264" s="154">
        <f t="shared" ref="AN264:BB264" si="382">AN276</f>
        <v>-0.04</v>
      </c>
      <c r="AO264" s="316">
        <f t="shared" si="382"/>
        <v>-0.04</v>
      </c>
      <c r="AP264" s="154">
        <f t="shared" si="382"/>
        <v>-0.04</v>
      </c>
      <c r="AQ264" s="154">
        <f t="shared" si="382"/>
        <v>-0.03</v>
      </c>
      <c r="AR264" s="155">
        <f t="shared" si="382"/>
        <v>-0.03</v>
      </c>
      <c r="AS264" s="154">
        <f t="shared" si="382"/>
        <v>0</v>
      </c>
      <c r="AT264" s="154">
        <f t="shared" si="382"/>
        <v>-0.02</v>
      </c>
      <c r="AU264" s="154">
        <f t="shared" si="382"/>
        <v>-0.01</v>
      </c>
      <c r="AV264" s="154">
        <f t="shared" si="382"/>
        <v>-0.03</v>
      </c>
      <c r="AW264" s="155">
        <f t="shared" si="382"/>
        <v>-0.03</v>
      </c>
      <c r="AX264" s="154">
        <f t="shared" si="382"/>
        <v>-0.04</v>
      </c>
      <c r="AY264" s="154">
        <f t="shared" si="382"/>
        <v>-0.05</v>
      </c>
      <c r="AZ264" s="154">
        <f t="shared" si="382"/>
        <v>-0.05</v>
      </c>
      <c r="BA264" s="154">
        <f t="shared" si="382"/>
        <v>-0.04</v>
      </c>
      <c r="BB264" s="155">
        <f t="shared" si="382"/>
        <v>-0.04</v>
      </c>
      <c r="BC264" s="154">
        <v>-0.04</v>
      </c>
      <c r="BD264" s="154">
        <v>-0.03</v>
      </c>
      <c r="BE264" s="154">
        <v>-0.04</v>
      </c>
      <c r="BF264" s="154">
        <v>-0.04</v>
      </c>
      <c r="BG264" s="348">
        <v>-0.04</v>
      </c>
      <c r="BH264" s="154">
        <v>-0.04</v>
      </c>
      <c r="BI264" s="154">
        <v>-7.0000000000000007E-2</v>
      </c>
      <c r="BJ264" s="154">
        <v>-7.0000000000000007E-2</v>
      </c>
      <c r="BK264" s="154">
        <v>-0.1</v>
      </c>
      <c r="BL264" s="348">
        <v>-0.1</v>
      </c>
      <c r="BM264" s="154"/>
      <c r="BN264" s="154"/>
      <c r="BO264" s="154"/>
      <c r="BP264" s="154"/>
      <c r="BQ264" s="348"/>
      <c r="BR264" s="154"/>
      <c r="BS264" s="154"/>
      <c r="BT264" s="154"/>
      <c r="BU264" s="154"/>
      <c r="BV264" s="154"/>
      <c r="BW264" s="154"/>
      <c r="BX264" s="154"/>
      <c r="BY264" s="154"/>
      <c r="BZ264" s="154"/>
      <c r="CA264" s="154"/>
      <c r="CB264" s="154"/>
      <c r="CC264" s="154"/>
      <c r="CD264" s="154"/>
      <c r="CE264" s="154"/>
      <c r="CF264" s="154"/>
      <c r="CG264" s="154"/>
      <c r="CH264" s="154"/>
      <c r="CI264" s="154"/>
      <c r="CJ264" s="154"/>
      <c r="CK264" s="154"/>
      <c r="CL264" s="154"/>
      <c r="CM264" s="154"/>
      <c r="CN264" s="154"/>
      <c r="CO264" s="154"/>
      <c r="CP264" s="154"/>
    </row>
    <row r="265" spans="1:94" x14ac:dyDescent="0.25">
      <c r="A265" s="52" t="s">
        <v>324</v>
      </c>
      <c r="B265" s="123"/>
      <c r="C265" s="154"/>
      <c r="D265" s="154"/>
      <c r="E265" s="154"/>
      <c r="F265" s="154"/>
      <c r="G265" s="154"/>
      <c r="H265" s="154"/>
      <c r="I265" s="154"/>
      <c r="J265" s="154"/>
      <c r="K265" s="154"/>
      <c r="L265" s="154"/>
      <c r="M265" s="154"/>
      <c r="N265" s="154"/>
      <c r="O265" s="154"/>
      <c r="P265" s="154"/>
      <c r="Q265" s="154"/>
      <c r="R265" s="154"/>
      <c r="S265" s="154"/>
      <c r="T265" s="154"/>
      <c r="U265" s="154"/>
      <c r="V265" s="154"/>
      <c r="W265" s="154"/>
      <c r="X265" s="154"/>
      <c r="Y265" s="154"/>
      <c r="Z265" s="154"/>
      <c r="AA265" s="154"/>
      <c r="AB265" s="154"/>
      <c r="AC265" s="154"/>
      <c r="AD265" s="154"/>
      <c r="AE265" s="154"/>
      <c r="AF265" s="154"/>
      <c r="AG265" s="154"/>
      <c r="AH265" s="154"/>
      <c r="AI265" s="154"/>
      <c r="AJ265" s="154"/>
      <c r="AK265" s="154"/>
      <c r="AL265" s="154"/>
      <c r="AM265" s="155">
        <f>AM273</f>
        <v>-0.02</v>
      </c>
      <c r="AN265" s="154">
        <f t="shared" ref="AN265:BB265" si="383">AN273</f>
        <v>-0.01</v>
      </c>
      <c r="AO265" s="316">
        <f t="shared" si="383"/>
        <v>0.03</v>
      </c>
      <c r="AP265" s="154">
        <f t="shared" si="383"/>
        <v>0.09</v>
      </c>
      <c r="AQ265" s="154">
        <f t="shared" si="383"/>
        <v>7.0000000000000007E-2</v>
      </c>
      <c r="AR265" s="155">
        <f t="shared" si="383"/>
        <v>7.0000000000000007E-2</v>
      </c>
      <c r="AS265" s="154">
        <f t="shared" si="383"/>
        <v>0.09</v>
      </c>
      <c r="AT265" s="154">
        <f>AT273</f>
        <v>0.08</v>
      </c>
      <c r="AU265" s="154">
        <f t="shared" si="383"/>
        <v>0.06</v>
      </c>
      <c r="AV265" s="154">
        <f t="shared" si="383"/>
        <v>0.05</v>
      </c>
      <c r="AW265" s="155">
        <f t="shared" si="383"/>
        <v>0.05</v>
      </c>
      <c r="AX265" s="154">
        <f t="shared" si="383"/>
        <v>0.03</v>
      </c>
      <c r="AY265" s="154">
        <f t="shared" si="383"/>
        <v>0.03</v>
      </c>
      <c r="AZ265" s="154">
        <f t="shared" si="383"/>
        <v>0.06</v>
      </c>
      <c r="BA265" s="154">
        <f t="shared" si="383"/>
        <v>0.03</v>
      </c>
      <c r="BB265" s="155">
        <f t="shared" si="383"/>
        <v>0.03</v>
      </c>
      <c r="BC265" s="154">
        <v>-0.14000000000000001</v>
      </c>
      <c r="BD265" s="154">
        <v>-7.0000000000000007E-2</v>
      </c>
      <c r="BE265" s="154">
        <v>-0.08</v>
      </c>
      <c r="BF265" s="154">
        <v>-0.05</v>
      </c>
      <c r="BG265" s="348">
        <v>-0.05</v>
      </c>
      <c r="BH265" s="154">
        <v>0.01</v>
      </c>
      <c r="BI265" s="154">
        <v>-0.04</v>
      </c>
      <c r="BJ265" s="154">
        <v>-0.1</v>
      </c>
      <c r="BK265" s="154">
        <v>-0.09</v>
      </c>
      <c r="BL265" s="348">
        <v>-0.09</v>
      </c>
      <c r="BM265" s="154">
        <v>-0.01</v>
      </c>
      <c r="BN265" s="154">
        <v>-0.02</v>
      </c>
      <c r="BO265" s="154">
        <v>0.01</v>
      </c>
      <c r="BP265" s="154">
        <v>0</v>
      </c>
      <c r="BQ265" s="348">
        <v>0</v>
      </c>
      <c r="BR265" s="154">
        <v>0.06</v>
      </c>
      <c r="BS265" s="154">
        <v>0.05</v>
      </c>
      <c r="BT265" s="154"/>
      <c r="BU265" s="154"/>
      <c r="BV265" s="154"/>
      <c r="BW265" s="154"/>
      <c r="BX265" s="154"/>
      <c r="BY265" s="154"/>
      <c r="BZ265" s="154"/>
      <c r="CA265" s="154"/>
      <c r="CB265" s="154"/>
      <c r="CC265" s="154"/>
      <c r="CD265" s="154"/>
      <c r="CE265" s="154"/>
      <c r="CF265" s="154"/>
      <c r="CG265" s="154"/>
      <c r="CH265" s="154"/>
      <c r="CI265" s="154"/>
      <c r="CJ265" s="154"/>
      <c r="CK265" s="154"/>
      <c r="CL265" s="154"/>
      <c r="CM265" s="154"/>
      <c r="CN265" s="154"/>
      <c r="CO265" s="154"/>
      <c r="CP265" s="154"/>
    </row>
    <row r="266" spans="1:94" x14ac:dyDescent="0.25">
      <c r="A266" s="312" t="s">
        <v>283</v>
      </c>
      <c r="B266" s="123"/>
      <c r="C266" s="154"/>
      <c r="D266" s="154"/>
      <c r="E266" s="154"/>
      <c r="F266" s="154"/>
      <c r="G266" s="154"/>
      <c r="H266" s="154"/>
      <c r="I266" s="154"/>
      <c r="J266" s="154"/>
      <c r="K266" s="154"/>
      <c r="L266" s="154"/>
      <c r="M266" s="154"/>
      <c r="N266" s="154"/>
      <c r="O266" s="154"/>
      <c r="P266" s="154"/>
      <c r="Q266" s="154"/>
      <c r="R266" s="154"/>
      <c r="S266" s="154"/>
      <c r="T266" s="154"/>
      <c r="U266" s="154"/>
      <c r="V266" s="154"/>
      <c r="W266" s="154"/>
      <c r="X266" s="154"/>
      <c r="Y266" s="154"/>
      <c r="Z266" s="154"/>
      <c r="AA266" s="154"/>
      <c r="AB266" s="154"/>
      <c r="AC266" s="154"/>
      <c r="AD266" s="154"/>
      <c r="AE266" s="154"/>
      <c r="AF266" s="154"/>
      <c r="AG266" s="154"/>
      <c r="AH266" s="154"/>
      <c r="AI266" s="154"/>
      <c r="AJ266" s="154"/>
      <c r="AK266" s="154"/>
      <c r="AL266" s="154"/>
      <c r="AM266" s="155">
        <f>AM271</f>
        <v>0.08</v>
      </c>
      <c r="AN266" s="154">
        <f t="shared" ref="AN266:BB266" si="384">AN271</f>
        <v>-0.06</v>
      </c>
      <c r="AO266" s="316">
        <f t="shared" si="384"/>
        <v>0.04</v>
      </c>
      <c r="AP266" s="154">
        <f t="shared" si="384"/>
        <v>-0.01</v>
      </c>
      <c r="AQ266" s="154">
        <f t="shared" si="384"/>
        <v>0.01</v>
      </c>
      <c r="AR266" s="155">
        <f t="shared" si="384"/>
        <v>0.01</v>
      </c>
      <c r="AS266" s="154">
        <f t="shared" si="384"/>
        <v>0.01</v>
      </c>
      <c r="AT266" s="154">
        <f>AT271</f>
        <v>-0.02</v>
      </c>
      <c r="AU266" s="154">
        <f t="shared" si="384"/>
        <v>-0.01</v>
      </c>
      <c r="AV266" s="154">
        <f>AV271</f>
        <v>0</v>
      </c>
      <c r="AW266" s="155">
        <f t="shared" si="384"/>
        <v>0</v>
      </c>
      <c r="AX266" s="154">
        <f t="shared" si="384"/>
        <v>-0.01</v>
      </c>
      <c r="AY266" s="154">
        <f t="shared" si="384"/>
        <v>-0.03</v>
      </c>
      <c r="AZ266" s="154">
        <f t="shared" si="384"/>
        <v>-0.03</v>
      </c>
      <c r="BA266" s="154">
        <f t="shared" si="384"/>
        <v>-0.03</v>
      </c>
      <c r="BB266" s="155">
        <f t="shared" si="384"/>
        <v>-0.03</v>
      </c>
      <c r="BC266" s="154">
        <v>0.09</v>
      </c>
      <c r="BD266" s="154">
        <v>-0.01</v>
      </c>
      <c r="BE266" s="154">
        <v>-0.03</v>
      </c>
      <c r="BF266" s="154">
        <v>-0.01</v>
      </c>
      <c r="BG266" s="348">
        <v>-0.01</v>
      </c>
      <c r="BH266" s="154">
        <v>0.06</v>
      </c>
      <c r="BI266" s="154">
        <v>0</v>
      </c>
      <c r="BJ266" s="154">
        <v>-0.04</v>
      </c>
      <c r="BK266" s="154">
        <v>-0.04</v>
      </c>
      <c r="BL266" s="348">
        <v>-0.04</v>
      </c>
      <c r="BM266" s="154">
        <v>0.11</v>
      </c>
      <c r="BN266" s="154">
        <v>0.06</v>
      </c>
      <c r="BO266" s="154">
        <v>0.02</v>
      </c>
      <c r="BP266" s="154">
        <v>0.04</v>
      </c>
      <c r="BQ266" s="348">
        <v>0.04</v>
      </c>
      <c r="BR266" s="154">
        <v>0.11</v>
      </c>
      <c r="BS266" s="154">
        <v>0.08</v>
      </c>
      <c r="BT266" s="154"/>
      <c r="BU266" s="154"/>
      <c r="BV266" s="154"/>
      <c r="BW266" s="154"/>
      <c r="BX266" s="154"/>
      <c r="BY266" s="154"/>
      <c r="BZ266" s="154"/>
      <c r="CA266" s="154"/>
      <c r="CB266" s="154"/>
      <c r="CC266" s="154"/>
      <c r="CD266" s="154"/>
      <c r="CE266" s="154"/>
      <c r="CF266" s="154"/>
      <c r="CG266" s="154"/>
      <c r="CH266" s="154"/>
      <c r="CI266" s="154"/>
      <c r="CJ266" s="154"/>
      <c r="CK266" s="154"/>
      <c r="CL266" s="154"/>
      <c r="CM266" s="154"/>
      <c r="CN266" s="154"/>
      <c r="CO266" s="154"/>
      <c r="CP266" s="154"/>
    </row>
    <row r="267" spans="1:94" x14ac:dyDescent="0.25">
      <c r="A267" s="312" t="s">
        <v>284</v>
      </c>
      <c r="B267" s="123"/>
      <c r="C267" s="154"/>
      <c r="D267" s="154"/>
      <c r="E267" s="154"/>
      <c r="F267" s="154"/>
      <c r="G267" s="154"/>
      <c r="H267" s="154"/>
      <c r="I267" s="154"/>
      <c r="J267" s="154"/>
      <c r="K267" s="154"/>
      <c r="L267" s="154"/>
      <c r="M267" s="154"/>
      <c r="N267" s="154"/>
      <c r="O267" s="154"/>
      <c r="P267" s="154"/>
      <c r="Q267" s="154"/>
      <c r="R267" s="154"/>
      <c r="S267" s="154"/>
      <c r="T267" s="154"/>
      <c r="U267" s="154"/>
      <c r="V267" s="154"/>
      <c r="W267" s="154"/>
      <c r="X267" s="154"/>
      <c r="Y267" s="154"/>
      <c r="Z267" s="154"/>
      <c r="AA267" s="154"/>
      <c r="AB267" s="154"/>
      <c r="AC267" s="154"/>
      <c r="AD267" s="154"/>
      <c r="AE267" s="154"/>
      <c r="AF267" s="154"/>
      <c r="AG267" s="154"/>
      <c r="AH267" s="154"/>
      <c r="AI267" s="154"/>
      <c r="AJ267" s="154"/>
      <c r="AK267" s="154"/>
      <c r="AL267" s="154"/>
      <c r="AM267" s="155">
        <f>AM272</f>
        <v>0.04</v>
      </c>
      <c r="AN267" s="154">
        <f t="shared" ref="AN267:BB267" si="385">AN272</f>
        <v>0.08</v>
      </c>
      <c r="AO267" s="316">
        <f t="shared" si="385"/>
        <v>0.13</v>
      </c>
      <c r="AP267" s="154">
        <f t="shared" si="385"/>
        <v>0.09</v>
      </c>
      <c r="AQ267" s="154">
        <f t="shared" si="385"/>
        <v>0.1</v>
      </c>
      <c r="AR267" s="155">
        <f t="shared" si="385"/>
        <v>0.1</v>
      </c>
      <c r="AS267" s="154">
        <f t="shared" si="385"/>
        <v>-0.05</v>
      </c>
      <c r="AT267" s="154">
        <f>AT272</f>
        <v>0</v>
      </c>
      <c r="AU267" s="154">
        <f t="shared" si="385"/>
        <v>0.06</v>
      </c>
      <c r="AV267" s="154">
        <f t="shared" si="385"/>
        <v>0.06</v>
      </c>
      <c r="AW267" s="155">
        <f t="shared" si="385"/>
        <v>0.06</v>
      </c>
      <c r="AX267" s="154">
        <f t="shared" si="385"/>
        <v>-0.44</v>
      </c>
      <c r="AY267" s="154">
        <f t="shared" si="385"/>
        <v>-0.2</v>
      </c>
      <c r="AZ267" s="154">
        <f t="shared" si="385"/>
        <v>-0.12</v>
      </c>
      <c r="BA267" s="154">
        <f t="shared" si="385"/>
        <v>-0.13</v>
      </c>
      <c r="BB267" s="155">
        <f t="shared" si="385"/>
        <v>-0.13</v>
      </c>
      <c r="BC267" s="154">
        <v>0.62</v>
      </c>
      <c r="BD267" s="154">
        <v>0.13</v>
      </c>
      <c r="BE267" s="154">
        <v>0.04</v>
      </c>
      <c r="BF267" s="154">
        <v>0.04</v>
      </c>
      <c r="BG267" s="348">
        <v>0.04</v>
      </c>
      <c r="BH267" s="154">
        <v>0.43</v>
      </c>
      <c r="BI267" s="154">
        <v>0.22</v>
      </c>
      <c r="BJ267" s="154">
        <v>0.17</v>
      </c>
      <c r="BK267" s="154">
        <v>0.14000000000000001</v>
      </c>
      <c r="BL267" s="348">
        <v>0.14000000000000001</v>
      </c>
      <c r="BM267" s="154">
        <v>0.02</v>
      </c>
      <c r="BN267" s="154">
        <v>0.1</v>
      </c>
      <c r="BO267" s="154">
        <v>0.08</v>
      </c>
      <c r="BP267" s="154">
        <v>7.0000000000000007E-2</v>
      </c>
      <c r="BQ267" s="348">
        <v>7.0000000000000007E-2</v>
      </c>
      <c r="BR267" s="154"/>
      <c r="BS267" s="154"/>
      <c r="BT267" s="154"/>
      <c r="BU267" s="154"/>
      <c r="BV267" s="154"/>
      <c r="BW267" s="154"/>
      <c r="BX267" s="154"/>
      <c r="BY267" s="154"/>
      <c r="BZ267" s="154"/>
      <c r="CA267" s="154"/>
      <c r="CB267" s="154"/>
      <c r="CC267" s="154"/>
      <c r="CD267" s="154"/>
      <c r="CE267" s="154"/>
      <c r="CF267" s="154"/>
      <c r="CG267" s="154"/>
      <c r="CH267" s="154"/>
      <c r="CI267" s="154"/>
      <c r="CJ267" s="154"/>
      <c r="CK267" s="154"/>
      <c r="CL267" s="154"/>
      <c r="CM267" s="154"/>
      <c r="CN267" s="154"/>
      <c r="CO267" s="154"/>
      <c r="CP267" s="154"/>
    </row>
    <row r="268" spans="1:94" x14ac:dyDescent="0.25">
      <c r="A268" s="312" t="s">
        <v>325</v>
      </c>
      <c r="B268" s="123"/>
      <c r="C268" s="154"/>
      <c r="D268" s="154"/>
      <c r="E268" s="154"/>
      <c r="F268" s="154"/>
      <c r="G268" s="154"/>
      <c r="H268" s="154"/>
      <c r="I268" s="154"/>
      <c r="J268" s="154"/>
      <c r="K268" s="154"/>
      <c r="L268" s="154"/>
      <c r="M268" s="154"/>
      <c r="N268" s="154"/>
      <c r="O268" s="154"/>
      <c r="P268" s="154"/>
      <c r="Q268" s="154"/>
      <c r="R268" s="154"/>
      <c r="S268" s="154"/>
      <c r="T268" s="154"/>
      <c r="U268" s="154"/>
      <c r="V268" s="154"/>
      <c r="W268" s="154"/>
      <c r="X268" s="154"/>
      <c r="Y268" s="154"/>
      <c r="Z268" s="154"/>
      <c r="AA268" s="154"/>
      <c r="AB268" s="154"/>
      <c r="AC268" s="154"/>
      <c r="AD268" s="154"/>
      <c r="AE268" s="154"/>
      <c r="AF268" s="154"/>
      <c r="AG268" s="154"/>
      <c r="AH268" s="154"/>
      <c r="AI268" s="154"/>
      <c r="AJ268" s="154"/>
      <c r="AK268" s="154"/>
      <c r="AL268" s="154"/>
      <c r="AM268" s="155"/>
      <c r="AN268" s="154"/>
      <c r="AO268" s="316"/>
      <c r="AP268" s="154"/>
      <c r="AQ268" s="154"/>
      <c r="AR268" s="155"/>
      <c r="AS268" s="154"/>
      <c r="AT268" s="154"/>
      <c r="AU268" s="154"/>
      <c r="AV268" s="154"/>
      <c r="AW268" s="155"/>
      <c r="AX268" s="154"/>
      <c r="AY268" s="154"/>
      <c r="AZ268" s="154"/>
      <c r="BA268" s="154"/>
      <c r="BB268" s="155"/>
      <c r="BC268" s="154">
        <v>0.19</v>
      </c>
      <c r="BD268" s="154">
        <v>0.12</v>
      </c>
      <c r="BE268" s="154">
        <v>0.11</v>
      </c>
      <c r="BF268" s="154">
        <v>0.18</v>
      </c>
      <c r="BG268" s="348">
        <v>0.18</v>
      </c>
      <c r="BH268" s="154">
        <v>0.21</v>
      </c>
      <c r="BI268" s="154">
        <v>0.05</v>
      </c>
      <c r="BJ268" s="154">
        <v>0.06</v>
      </c>
      <c r="BK268" s="154">
        <v>0.06</v>
      </c>
      <c r="BL268" s="348">
        <v>0.06</v>
      </c>
      <c r="BM268" s="154">
        <v>0.15</v>
      </c>
      <c r="BN268" s="154">
        <v>0.16</v>
      </c>
      <c r="BO268" s="154">
        <v>0.14000000000000001</v>
      </c>
      <c r="BP268" s="154">
        <v>0.12</v>
      </c>
      <c r="BQ268" s="348">
        <v>0.12</v>
      </c>
      <c r="BR268" s="154">
        <v>0.13</v>
      </c>
      <c r="BS268" s="154">
        <v>0.13</v>
      </c>
      <c r="BT268" s="154"/>
      <c r="BU268" s="154"/>
      <c r="BV268" s="154"/>
      <c r="BW268" s="154"/>
      <c r="BX268" s="154"/>
      <c r="BY268" s="154"/>
      <c r="BZ268" s="154"/>
      <c r="CA268" s="154"/>
      <c r="CB268" s="154"/>
      <c r="CC268" s="154"/>
      <c r="CD268" s="154"/>
      <c r="CE268" s="154"/>
      <c r="CF268" s="154"/>
      <c r="CG268" s="154"/>
      <c r="CH268" s="154"/>
      <c r="CI268" s="154"/>
      <c r="CJ268" s="154"/>
      <c r="CK268" s="154"/>
      <c r="CL268" s="154"/>
      <c r="CM268" s="154"/>
      <c r="CN268" s="154"/>
      <c r="CO268" s="154"/>
      <c r="CP268" s="154"/>
    </row>
    <row r="269" spans="1:94" x14ac:dyDescent="0.25">
      <c r="A269" s="210" t="s">
        <v>326</v>
      </c>
      <c r="B269" s="123"/>
      <c r="C269" s="154"/>
      <c r="D269" s="154"/>
      <c r="E269" s="154"/>
      <c r="F269" s="154"/>
      <c r="G269" s="154"/>
      <c r="H269" s="154"/>
      <c r="I269" s="154"/>
      <c r="J269" s="154"/>
      <c r="K269" s="154"/>
      <c r="L269" s="154"/>
      <c r="M269" s="154"/>
      <c r="N269" s="154"/>
      <c r="O269" s="154"/>
      <c r="P269" s="154"/>
      <c r="Q269" s="154"/>
      <c r="R269" s="154"/>
      <c r="S269" s="154"/>
      <c r="T269" s="154"/>
      <c r="U269" s="154"/>
      <c r="V269" s="154"/>
      <c r="W269" s="154"/>
      <c r="X269" s="154"/>
      <c r="Y269" s="154"/>
      <c r="Z269" s="154"/>
      <c r="AA269" s="154"/>
      <c r="AB269" s="154"/>
      <c r="AC269" s="154"/>
      <c r="AD269" s="154"/>
      <c r="AE269" s="154"/>
      <c r="AF269" s="154"/>
      <c r="AG269" s="154"/>
      <c r="AH269" s="154"/>
      <c r="AI269" s="154"/>
      <c r="AJ269" s="154"/>
      <c r="AK269" s="154"/>
      <c r="AL269" s="154"/>
      <c r="AM269" s="155"/>
      <c r="AN269" s="154"/>
      <c r="AO269" s="316"/>
      <c r="AP269" s="154"/>
      <c r="AQ269" s="154"/>
      <c r="AR269" s="155"/>
      <c r="AS269" s="154"/>
      <c r="AT269" s="154"/>
      <c r="AU269" s="154"/>
      <c r="AV269" s="154"/>
      <c r="AW269" s="155"/>
      <c r="AX269" s="154"/>
      <c r="AY269" s="154"/>
      <c r="AZ269" s="154"/>
      <c r="BA269" s="154"/>
      <c r="BB269" s="155"/>
      <c r="BC269" s="154">
        <v>0.26</v>
      </c>
      <c r="BD269" s="154">
        <v>0.3</v>
      </c>
      <c r="BE269" s="154">
        <v>0.3</v>
      </c>
      <c r="BF269" s="154">
        <v>0.3</v>
      </c>
      <c r="BG269" s="348">
        <v>0.3</v>
      </c>
      <c r="BH269" s="154">
        <v>0.26</v>
      </c>
      <c r="BI269" s="154">
        <v>0.26</v>
      </c>
      <c r="BJ269" s="154">
        <v>0.27</v>
      </c>
      <c r="BK269" s="154">
        <v>0.26</v>
      </c>
      <c r="BL269" s="348">
        <v>0.26</v>
      </c>
      <c r="BM269" s="154">
        <v>0.26</v>
      </c>
      <c r="BN269" s="154">
        <v>0.2</v>
      </c>
      <c r="BO269" s="154">
        <v>0.19</v>
      </c>
      <c r="BP269" s="154">
        <v>0.18</v>
      </c>
      <c r="BQ269" s="348">
        <v>0.18</v>
      </c>
      <c r="BR269" s="154">
        <v>0.16</v>
      </c>
      <c r="BS269" s="154">
        <v>0.2</v>
      </c>
      <c r="BT269" s="154"/>
      <c r="BU269" s="154"/>
      <c r="BV269" s="154"/>
      <c r="BW269" s="154"/>
      <c r="BX269" s="154"/>
      <c r="BY269" s="154"/>
      <c r="BZ269" s="154"/>
      <c r="CA269" s="154"/>
      <c r="CB269" s="154"/>
      <c r="CC269" s="154"/>
      <c r="CD269" s="154"/>
      <c r="CE269" s="154"/>
      <c r="CF269" s="154"/>
      <c r="CG269" s="154"/>
      <c r="CH269" s="154"/>
      <c r="CI269" s="154"/>
      <c r="CJ269" s="154"/>
      <c r="CK269" s="154"/>
      <c r="CL269" s="154"/>
      <c r="CM269" s="154"/>
      <c r="CN269" s="154"/>
      <c r="CO269" s="154"/>
      <c r="CP269" s="154"/>
    </row>
    <row r="270" spans="1:94" x14ac:dyDescent="0.25">
      <c r="A270" s="52" t="s">
        <v>282</v>
      </c>
      <c r="B270" s="123"/>
      <c r="C270" s="154"/>
      <c r="D270" s="154"/>
      <c r="E270" s="154"/>
      <c r="F270" s="154"/>
      <c r="G270" s="154"/>
      <c r="H270" s="154"/>
      <c r="I270" s="154"/>
      <c r="J270" s="154"/>
      <c r="K270" s="154"/>
      <c r="L270" s="154"/>
      <c r="M270" s="154"/>
      <c r="N270" s="154"/>
      <c r="O270" s="154"/>
      <c r="P270" s="154"/>
      <c r="Q270" s="154"/>
      <c r="R270" s="154"/>
      <c r="S270" s="154"/>
      <c r="T270" s="154"/>
      <c r="U270" s="154"/>
      <c r="V270" s="154"/>
      <c r="W270" s="154"/>
      <c r="X270" s="154"/>
      <c r="Y270" s="154"/>
      <c r="Z270" s="154"/>
      <c r="AA270" s="154"/>
      <c r="AB270" s="154"/>
      <c r="AC270" s="154"/>
      <c r="AD270" s="154"/>
      <c r="AE270" s="154"/>
      <c r="AF270" s="154"/>
      <c r="AG270" s="154"/>
      <c r="AH270" s="154"/>
      <c r="AI270" s="154">
        <v>0.17</v>
      </c>
      <c r="AJ270" s="154">
        <v>7.0000000000000007E-2</v>
      </c>
      <c r="AK270" s="154">
        <v>0.08</v>
      </c>
      <c r="AL270" s="154">
        <v>7.0000000000000007E-2</v>
      </c>
      <c r="AM270" s="155">
        <v>7.0000000000000007E-2</v>
      </c>
      <c r="AN270" s="154">
        <v>-0.02</v>
      </c>
      <c r="AO270" s="316">
        <v>0.06</v>
      </c>
      <c r="AP270" s="154">
        <v>0.02</v>
      </c>
      <c r="AQ270" s="154">
        <f t="shared" si="379"/>
        <v>0.04</v>
      </c>
      <c r="AR270" s="155">
        <v>0.04</v>
      </c>
      <c r="AS270" s="154">
        <v>-0.01</v>
      </c>
      <c r="AT270" s="154">
        <v>-0.01</v>
      </c>
      <c r="AU270" s="154">
        <v>0.01</v>
      </c>
      <c r="AV270" s="154">
        <f t="shared" si="380"/>
        <v>0.02</v>
      </c>
      <c r="AW270" s="155">
        <v>0.02</v>
      </c>
      <c r="AX270" s="154">
        <v>-0.14000000000000001</v>
      </c>
      <c r="AY270" s="154">
        <v>-0.08</v>
      </c>
      <c r="AZ270" s="154">
        <v>-0.1</v>
      </c>
      <c r="BA270" s="154">
        <f t="shared" si="381"/>
        <v>-0.11</v>
      </c>
      <c r="BB270" s="155">
        <v>-0.11</v>
      </c>
      <c r="BC270" s="154"/>
      <c r="BD270" s="154"/>
      <c r="BE270" s="154"/>
      <c r="BF270" s="154"/>
      <c r="BG270" s="348"/>
      <c r="BH270" s="154"/>
      <c r="BI270" s="154"/>
      <c r="BJ270" s="154"/>
      <c r="BK270" s="154"/>
      <c r="BL270" s="348"/>
      <c r="BM270" s="154"/>
      <c r="BN270" s="154"/>
      <c r="BO270" s="154"/>
      <c r="BP270" s="154"/>
      <c r="BQ270" s="348"/>
      <c r="BR270" s="154"/>
      <c r="BS270" s="154"/>
      <c r="BT270" s="154"/>
      <c r="BU270" s="154"/>
      <c r="BV270" s="154"/>
      <c r="BW270" s="154"/>
      <c r="BX270" s="154"/>
      <c r="BY270" s="154"/>
      <c r="BZ270" s="154"/>
      <c r="CA270" s="154"/>
      <c r="CB270" s="154"/>
      <c r="CC270" s="154"/>
      <c r="CD270" s="154"/>
      <c r="CE270" s="154"/>
      <c r="CF270" s="154"/>
      <c r="CG270" s="154"/>
      <c r="CH270" s="154"/>
      <c r="CI270" s="154"/>
      <c r="CJ270" s="154"/>
      <c r="CK270" s="154"/>
      <c r="CL270" s="154"/>
      <c r="CM270" s="154"/>
      <c r="CN270" s="154"/>
      <c r="CO270" s="154"/>
      <c r="CP270" s="154"/>
    </row>
    <row r="271" spans="1:94" x14ac:dyDescent="0.25">
      <c r="A271" s="312" t="s">
        <v>283</v>
      </c>
      <c r="B271" s="123"/>
      <c r="C271" s="154"/>
      <c r="D271" s="154"/>
      <c r="E271" s="154"/>
      <c r="F271" s="154"/>
      <c r="G271" s="154"/>
      <c r="H271" s="154"/>
      <c r="I271" s="154"/>
      <c r="J271" s="154"/>
      <c r="K271" s="154"/>
      <c r="L271" s="154"/>
      <c r="M271" s="154"/>
      <c r="N271" s="154"/>
      <c r="O271" s="154"/>
      <c r="P271" s="154"/>
      <c r="Q271" s="154"/>
      <c r="R271" s="154"/>
      <c r="S271" s="154"/>
      <c r="T271" s="154"/>
      <c r="U271" s="154"/>
      <c r="V271" s="154"/>
      <c r="W271" s="154"/>
      <c r="X271" s="154"/>
      <c r="Y271" s="154"/>
      <c r="Z271" s="154"/>
      <c r="AA271" s="154"/>
      <c r="AB271" s="154"/>
      <c r="AC271" s="154"/>
      <c r="AD271" s="154"/>
      <c r="AE271" s="154"/>
      <c r="AF271" s="154"/>
      <c r="AG271" s="154"/>
      <c r="AH271" s="154"/>
      <c r="AI271" s="154">
        <v>0.17</v>
      </c>
      <c r="AJ271" s="154">
        <v>0.09</v>
      </c>
      <c r="AK271" s="154">
        <v>0.1</v>
      </c>
      <c r="AL271" s="154">
        <v>0.08</v>
      </c>
      <c r="AM271" s="155">
        <v>0.08</v>
      </c>
      <c r="AN271" s="154">
        <v>-0.06</v>
      </c>
      <c r="AO271" s="316">
        <v>0.04</v>
      </c>
      <c r="AP271" s="154">
        <v>-0.01</v>
      </c>
      <c r="AQ271" s="154">
        <f t="shared" si="379"/>
        <v>0.01</v>
      </c>
      <c r="AR271" s="155">
        <v>0.01</v>
      </c>
      <c r="AS271" s="154">
        <v>0.01</v>
      </c>
      <c r="AT271" s="154">
        <v>-0.02</v>
      </c>
      <c r="AU271" s="154">
        <v>-0.01</v>
      </c>
      <c r="AV271" s="154">
        <f t="shared" si="380"/>
        <v>0</v>
      </c>
      <c r="AW271" s="155">
        <v>0</v>
      </c>
      <c r="AX271" s="154">
        <v>-0.01</v>
      </c>
      <c r="AY271" s="154">
        <v>-0.03</v>
      </c>
      <c r="AZ271" s="154">
        <v>-0.03</v>
      </c>
      <c r="BA271" s="154">
        <f t="shared" si="381"/>
        <v>-0.03</v>
      </c>
      <c r="BB271" s="155">
        <v>-0.03</v>
      </c>
      <c r="BC271" s="154"/>
      <c r="BD271" s="154"/>
      <c r="BE271" s="154"/>
      <c r="BF271" s="154"/>
      <c r="BG271" s="348"/>
      <c r="BH271" s="154"/>
      <c r="BI271" s="154"/>
      <c r="BJ271" s="154"/>
      <c r="BK271" s="154"/>
      <c r="BL271" s="348"/>
      <c r="BM271" s="154"/>
      <c r="BN271" s="154"/>
      <c r="BO271" s="154"/>
      <c r="BP271" s="154"/>
      <c r="BQ271" s="348"/>
      <c r="BR271" s="154"/>
      <c r="BS271" s="154"/>
      <c r="BT271" s="154"/>
      <c r="BU271" s="154"/>
      <c r="BV271" s="154"/>
      <c r="BW271" s="154"/>
      <c r="BX271" s="154"/>
      <c r="BY271" s="154"/>
      <c r="BZ271" s="154"/>
      <c r="CA271" s="154"/>
      <c r="CB271" s="154"/>
      <c r="CC271" s="154"/>
      <c r="CD271" s="154"/>
      <c r="CE271" s="154"/>
      <c r="CF271" s="154"/>
      <c r="CG271" s="154"/>
      <c r="CH271" s="154"/>
      <c r="CI271" s="154"/>
      <c r="CJ271" s="154"/>
      <c r="CK271" s="154"/>
      <c r="CL271" s="154"/>
      <c r="CM271" s="154"/>
      <c r="CN271" s="154"/>
      <c r="CO271" s="154"/>
      <c r="CP271" s="154"/>
    </row>
    <row r="272" spans="1:94" x14ac:dyDescent="0.25">
      <c r="A272" s="312" t="s">
        <v>284</v>
      </c>
      <c r="B272" s="123"/>
      <c r="C272" s="154"/>
      <c r="D272" s="154"/>
      <c r="E272" s="154"/>
      <c r="F272" s="154"/>
      <c r="G272" s="154"/>
      <c r="H272" s="154"/>
      <c r="I272" s="154"/>
      <c r="J272" s="154"/>
      <c r="K272" s="154"/>
      <c r="L272" s="154"/>
      <c r="M272" s="154"/>
      <c r="N272" s="154"/>
      <c r="O272" s="154"/>
      <c r="P272" s="154"/>
      <c r="Q272" s="154"/>
      <c r="R272" s="154"/>
      <c r="S272" s="154"/>
      <c r="T272" s="154"/>
      <c r="U272" s="154"/>
      <c r="V272" s="154"/>
      <c r="W272" s="154"/>
      <c r="X272" s="154"/>
      <c r="Y272" s="154"/>
      <c r="Z272" s="154"/>
      <c r="AA272" s="154"/>
      <c r="AB272" s="154"/>
      <c r="AC272" s="154"/>
      <c r="AD272" s="154"/>
      <c r="AE272" s="154"/>
      <c r="AF272" s="154"/>
      <c r="AG272" s="154"/>
      <c r="AH272" s="154"/>
      <c r="AI272" s="154">
        <v>0.16</v>
      </c>
      <c r="AJ272" s="154">
        <v>0.01</v>
      </c>
      <c r="AK272" s="154">
        <v>0.03</v>
      </c>
      <c r="AL272" s="154">
        <v>0.04</v>
      </c>
      <c r="AM272" s="155">
        <v>0.04</v>
      </c>
      <c r="AN272" s="154">
        <v>0.08</v>
      </c>
      <c r="AO272" s="316">
        <v>0.13</v>
      </c>
      <c r="AP272" s="154">
        <v>0.09</v>
      </c>
      <c r="AQ272" s="154">
        <f t="shared" si="379"/>
        <v>0.1</v>
      </c>
      <c r="AR272" s="155">
        <v>0.1</v>
      </c>
      <c r="AS272" s="154">
        <v>-0.05</v>
      </c>
      <c r="AT272" s="154">
        <v>0</v>
      </c>
      <c r="AU272" s="154">
        <v>0.06</v>
      </c>
      <c r="AV272" s="154">
        <f t="shared" si="380"/>
        <v>0.06</v>
      </c>
      <c r="AW272" s="155">
        <v>0.06</v>
      </c>
      <c r="AX272" s="154">
        <v>-0.44</v>
      </c>
      <c r="AY272" s="154">
        <v>-0.2</v>
      </c>
      <c r="AZ272" s="154">
        <v>-0.12</v>
      </c>
      <c r="BA272" s="154">
        <f t="shared" si="381"/>
        <v>-0.13</v>
      </c>
      <c r="BB272" s="155">
        <v>-0.13</v>
      </c>
      <c r="BC272" s="154"/>
      <c r="BD272" s="154"/>
      <c r="BE272" s="154"/>
      <c r="BF272" s="154"/>
      <c r="BG272" s="348"/>
      <c r="BH272" s="154"/>
      <c r="BI272" s="154"/>
      <c r="BJ272" s="154"/>
      <c r="BK272" s="154"/>
      <c r="BL272" s="348"/>
      <c r="BM272" s="154"/>
      <c r="BN272" s="154"/>
      <c r="BO272" s="154"/>
      <c r="BP272" s="154"/>
      <c r="BQ272" s="348"/>
      <c r="BR272" s="154"/>
      <c r="BS272" s="154"/>
      <c r="BT272" s="154"/>
      <c r="BU272" s="154"/>
      <c r="BV272" s="154"/>
      <c r="BW272" s="154"/>
      <c r="BX272" s="154"/>
      <c r="BY272" s="154"/>
      <c r="BZ272" s="154"/>
      <c r="CA272" s="154"/>
      <c r="CB272" s="154"/>
      <c r="CC272" s="154"/>
      <c r="CD272" s="154"/>
      <c r="CE272" s="154"/>
      <c r="CF272" s="154"/>
      <c r="CG272" s="154"/>
      <c r="CH272" s="154"/>
      <c r="CI272" s="154"/>
      <c r="CJ272" s="154"/>
      <c r="CK272" s="154"/>
      <c r="CL272" s="154"/>
      <c r="CM272" s="154"/>
      <c r="CN272" s="154"/>
      <c r="CO272" s="154"/>
      <c r="CP272" s="154"/>
    </row>
    <row r="273" spans="1:109" x14ac:dyDescent="0.25">
      <c r="A273" s="52" t="s">
        <v>168</v>
      </c>
      <c r="B273" s="123"/>
      <c r="C273" s="154"/>
      <c r="D273" s="154"/>
      <c r="E273" s="154"/>
      <c r="F273" s="154"/>
      <c r="G273" s="154"/>
      <c r="H273" s="154"/>
      <c r="I273" s="154"/>
      <c r="J273" s="154"/>
      <c r="K273" s="154"/>
      <c r="L273" s="154"/>
      <c r="M273" s="154"/>
      <c r="N273" s="154"/>
      <c r="O273" s="154"/>
      <c r="P273" s="154"/>
      <c r="Q273" s="154"/>
      <c r="R273" s="154"/>
      <c r="S273" s="154"/>
      <c r="T273" s="154"/>
      <c r="U273" s="154"/>
      <c r="V273" s="154"/>
      <c r="W273" s="154"/>
      <c r="X273" s="154"/>
      <c r="Y273" s="154"/>
      <c r="Z273" s="154"/>
      <c r="AA273" s="154"/>
      <c r="AB273" s="154"/>
      <c r="AC273" s="154"/>
      <c r="AD273" s="154"/>
      <c r="AE273" s="154"/>
      <c r="AF273" s="154"/>
      <c r="AG273" s="154"/>
      <c r="AH273" s="154"/>
      <c r="AI273" s="154">
        <v>0.03</v>
      </c>
      <c r="AJ273" s="154">
        <v>0</v>
      </c>
      <c r="AK273" s="154">
        <v>-0.02</v>
      </c>
      <c r="AL273" s="154">
        <v>-0.02</v>
      </c>
      <c r="AM273" s="155">
        <v>-0.02</v>
      </c>
      <c r="AN273" s="154">
        <v>-0.01</v>
      </c>
      <c r="AO273" s="316">
        <v>0.03</v>
      </c>
      <c r="AP273" s="154">
        <v>0.09</v>
      </c>
      <c r="AQ273" s="154">
        <f t="shared" si="379"/>
        <v>7.0000000000000007E-2</v>
      </c>
      <c r="AR273" s="155">
        <v>7.0000000000000007E-2</v>
      </c>
      <c r="AS273" s="154">
        <v>0.09</v>
      </c>
      <c r="AT273" s="154">
        <v>0.08</v>
      </c>
      <c r="AU273" s="154">
        <v>0.06</v>
      </c>
      <c r="AV273" s="154">
        <f t="shared" si="380"/>
        <v>0.05</v>
      </c>
      <c r="AW273" s="155">
        <v>0.05</v>
      </c>
      <c r="AX273" s="154">
        <v>0.03</v>
      </c>
      <c r="AY273" s="154">
        <v>0.03</v>
      </c>
      <c r="AZ273" s="154">
        <v>0.06</v>
      </c>
      <c r="BA273" s="154">
        <f t="shared" si="381"/>
        <v>0.03</v>
      </c>
      <c r="BB273" s="155">
        <v>0.03</v>
      </c>
      <c r="BC273" s="154"/>
      <c r="BD273" s="154"/>
      <c r="BE273" s="154"/>
      <c r="BF273" s="154"/>
      <c r="BG273" s="348"/>
      <c r="BH273" s="154"/>
      <c r="BI273" s="154"/>
      <c r="BJ273" s="154"/>
      <c r="BK273" s="154"/>
      <c r="BL273" s="348"/>
      <c r="BM273" s="154"/>
      <c r="BN273" s="154"/>
      <c r="BO273" s="154"/>
      <c r="BP273" s="154"/>
      <c r="BQ273" s="348"/>
      <c r="BR273" s="154"/>
      <c r="BS273" s="154"/>
      <c r="BT273" s="154"/>
      <c r="BU273" s="154"/>
      <c r="BV273" s="154"/>
      <c r="BW273" s="154"/>
      <c r="BX273" s="154"/>
      <c r="BY273" s="154"/>
      <c r="BZ273" s="154"/>
      <c r="CA273" s="154"/>
      <c r="CB273" s="154"/>
      <c r="CC273" s="154"/>
      <c r="CD273" s="154"/>
      <c r="CE273" s="154"/>
      <c r="CF273" s="154"/>
      <c r="CG273" s="154"/>
      <c r="CH273" s="154"/>
      <c r="CI273" s="154"/>
      <c r="CJ273" s="154"/>
      <c r="CK273" s="154"/>
      <c r="CL273" s="154"/>
      <c r="CM273" s="154"/>
      <c r="CN273" s="154"/>
      <c r="CO273" s="154"/>
      <c r="CP273" s="154"/>
    </row>
    <row r="274" spans="1:109" x14ac:dyDescent="0.25">
      <c r="A274" s="312" t="s">
        <v>168</v>
      </c>
      <c r="B274" s="123"/>
      <c r="C274" s="154"/>
      <c r="D274" s="154"/>
      <c r="E274" s="154"/>
      <c r="F274" s="154"/>
      <c r="G274" s="154"/>
      <c r="H274" s="154"/>
      <c r="I274" s="154"/>
      <c r="J274" s="154"/>
      <c r="K274" s="154"/>
      <c r="L274" s="154"/>
      <c r="M274" s="154"/>
      <c r="N274" s="154"/>
      <c r="O274" s="154"/>
      <c r="P274" s="154"/>
      <c r="Q274" s="154"/>
      <c r="R274" s="154"/>
      <c r="S274" s="154"/>
      <c r="T274" s="154"/>
      <c r="U274" s="154"/>
      <c r="V274" s="154"/>
      <c r="W274" s="154"/>
      <c r="X274" s="154"/>
      <c r="Y274" s="154"/>
      <c r="Z274" s="154"/>
      <c r="AA274" s="154"/>
      <c r="AB274" s="154"/>
      <c r="AC274" s="154"/>
      <c r="AD274" s="154"/>
      <c r="AE274" s="154"/>
      <c r="AF274" s="154"/>
      <c r="AG274" s="154"/>
      <c r="AH274" s="154"/>
      <c r="AI274" s="318" t="s">
        <v>259</v>
      </c>
      <c r="AJ274" s="318" t="s">
        <v>259</v>
      </c>
      <c r="AK274" s="318" t="s">
        <v>259</v>
      </c>
      <c r="AL274" s="318">
        <v>-0.02</v>
      </c>
      <c r="AM274" s="326">
        <v>-0.02</v>
      </c>
      <c r="AN274" s="318">
        <v>-0.01</v>
      </c>
      <c r="AO274" s="319">
        <v>0.03</v>
      </c>
      <c r="AP274" s="318">
        <v>0.08</v>
      </c>
      <c r="AQ274" s="154">
        <f t="shared" si="379"/>
        <v>7.0000000000000007E-2</v>
      </c>
      <c r="AR274" s="326">
        <v>7.0000000000000007E-2</v>
      </c>
      <c r="AS274" s="318">
        <v>0.08</v>
      </c>
      <c r="AT274" s="154">
        <v>7.0000000000000007E-2</v>
      </c>
      <c r="AU274" s="154">
        <v>0.06</v>
      </c>
      <c r="AV274" s="154">
        <f t="shared" si="380"/>
        <v>0.05</v>
      </c>
      <c r="AW274" s="155">
        <v>0.05</v>
      </c>
      <c r="AX274" s="154">
        <v>0.03</v>
      </c>
      <c r="AY274" s="154">
        <v>0.03</v>
      </c>
      <c r="AZ274" s="154">
        <v>0.06</v>
      </c>
      <c r="BA274" s="154">
        <f t="shared" si="381"/>
        <v>0.03</v>
      </c>
      <c r="BB274" s="155">
        <v>0.03</v>
      </c>
      <c r="BC274" s="154"/>
      <c r="BD274" s="154"/>
      <c r="BE274" s="154"/>
      <c r="BF274" s="154"/>
      <c r="BG274" s="348"/>
      <c r="BH274" s="154"/>
      <c r="BI274" s="154"/>
      <c r="BJ274" s="154"/>
      <c r="BK274" s="154"/>
      <c r="BL274" s="348"/>
      <c r="BM274" s="154"/>
      <c r="BN274" s="154"/>
      <c r="BO274" s="154"/>
      <c r="BP274" s="154"/>
      <c r="BQ274" s="348"/>
      <c r="BR274" s="154"/>
      <c r="BS274" s="154"/>
      <c r="BT274" s="154"/>
      <c r="BU274" s="154"/>
      <c r="BV274" s="154"/>
      <c r="BW274" s="154"/>
      <c r="BX274" s="154"/>
      <c r="BY274" s="154"/>
      <c r="BZ274" s="154"/>
      <c r="CA274" s="154"/>
      <c r="CB274" s="154"/>
      <c r="CC274" s="154"/>
      <c r="CD274" s="154"/>
      <c r="CE274" s="154"/>
      <c r="CF274" s="154"/>
      <c r="CG274" s="154"/>
      <c r="CH274" s="154"/>
      <c r="CI274" s="154"/>
      <c r="CJ274" s="154"/>
      <c r="CK274" s="154"/>
      <c r="CL274" s="154"/>
      <c r="CM274" s="154"/>
      <c r="CN274" s="154"/>
      <c r="CO274" s="154"/>
      <c r="CP274" s="154"/>
    </row>
    <row r="275" spans="1:109" x14ac:dyDescent="0.25">
      <c r="A275" s="312" t="s">
        <v>294</v>
      </c>
      <c r="B275" s="123"/>
      <c r="C275" s="154"/>
      <c r="D275" s="154"/>
      <c r="E275" s="154"/>
      <c r="F275" s="154"/>
      <c r="G275" s="154"/>
      <c r="H275" s="154"/>
      <c r="I275" s="154"/>
      <c r="J275" s="154"/>
      <c r="K275" s="154"/>
      <c r="L275" s="154"/>
      <c r="M275" s="154"/>
      <c r="N275" s="154"/>
      <c r="O275" s="154"/>
      <c r="P275" s="154"/>
      <c r="Q275" s="154"/>
      <c r="R275" s="154"/>
      <c r="S275" s="154"/>
      <c r="T275" s="154"/>
      <c r="U275" s="154"/>
      <c r="V275" s="154"/>
      <c r="W275" s="154"/>
      <c r="X275" s="154"/>
      <c r="Y275" s="154"/>
      <c r="Z275" s="154"/>
      <c r="AA275" s="154"/>
      <c r="AB275" s="154"/>
      <c r="AC275" s="154"/>
      <c r="AD275" s="154"/>
      <c r="AE275" s="154"/>
      <c r="AF275" s="154"/>
      <c r="AG275" s="154"/>
      <c r="AH275" s="154"/>
      <c r="AI275" s="318" t="s">
        <v>259</v>
      </c>
      <c r="AJ275" s="318" t="s">
        <v>259</v>
      </c>
      <c r="AK275" s="318" t="s">
        <v>259</v>
      </c>
      <c r="AL275" s="318" t="s">
        <v>259</v>
      </c>
      <c r="AM275" s="326" t="s">
        <v>259</v>
      </c>
      <c r="AN275" s="318" t="s">
        <v>259</v>
      </c>
      <c r="AO275" s="319" t="s">
        <v>259</v>
      </c>
      <c r="AP275" s="318" t="s">
        <v>259</v>
      </c>
      <c r="AQ275" s="154">
        <f t="shared" si="379"/>
        <v>4.28</v>
      </c>
      <c r="AR275" s="326">
        <v>4.28</v>
      </c>
      <c r="AS275" s="318">
        <v>0.5</v>
      </c>
      <c r="AT275" s="154">
        <v>0.69</v>
      </c>
      <c r="AU275" s="154">
        <v>0.64</v>
      </c>
      <c r="AV275" s="154">
        <f t="shared" si="380"/>
        <v>0.26</v>
      </c>
      <c r="AW275" s="155">
        <v>0.26</v>
      </c>
      <c r="AX275" s="154">
        <v>0.14000000000000001</v>
      </c>
      <c r="AY275" s="154">
        <v>-7.0000000000000007E-2</v>
      </c>
      <c r="AZ275" s="154">
        <v>-0.05</v>
      </c>
      <c r="BA275" s="154">
        <f t="shared" si="381"/>
        <v>-7.0000000000000007E-2</v>
      </c>
      <c r="BB275" s="155">
        <v>-7.0000000000000007E-2</v>
      </c>
      <c r="BC275" s="154"/>
      <c r="BD275" s="154"/>
      <c r="BE275" s="154"/>
      <c r="BF275" s="154"/>
      <c r="BG275" s="348"/>
      <c r="BH275" s="154"/>
      <c r="BI275" s="154"/>
      <c r="BJ275" s="154"/>
      <c r="BK275" s="154"/>
      <c r="BL275" s="348"/>
      <c r="BM275" s="154"/>
      <c r="BN275" s="154"/>
      <c r="BO275" s="154"/>
      <c r="BP275" s="154"/>
      <c r="BQ275" s="348"/>
      <c r="BR275" s="154"/>
      <c r="BS275" s="154"/>
      <c r="BT275" s="154"/>
      <c r="BU275" s="154"/>
      <c r="BV275" s="154"/>
      <c r="BW275" s="154"/>
      <c r="BX275" s="154"/>
      <c r="BY275" s="154"/>
      <c r="BZ275" s="154"/>
      <c r="CA275" s="154"/>
      <c r="CB275" s="154"/>
      <c r="CC275" s="154"/>
      <c r="CD275" s="154"/>
      <c r="CE275" s="154"/>
      <c r="CF275" s="154"/>
      <c r="CG275" s="154"/>
      <c r="CH275" s="154"/>
      <c r="CI275" s="154"/>
      <c r="CJ275" s="154"/>
      <c r="CK275" s="154"/>
      <c r="CL275" s="154"/>
      <c r="CM275" s="154"/>
      <c r="CN275" s="154"/>
      <c r="CO275" s="154"/>
      <c r="CP275" s="154"/>
    </row>
    <row r="276" spans="1:109" x14ac:dyDescent="0.25">
      <c r="A276" s="52" t="s">
        <v>281</v>
      </c>
      <c r="B276" s="123"/>
      <c r="C276" s="154"/>
      <c r="D276" s="154"/>
      <c r="E276" s="154"/>
      <c r="F276" s="154"/>
      <c r="G276" s="154"/>
      <c r="H276" s="154"/>
      <c r="I276" s="154"/>
      <c r="J276" s="154"/>
      <c r="K276" s="154"/>
      <c r="L276" s="154"/>
      <c r="M276" s="154"/>
      <c r="N276" s="154"/>
      <c r="O276" s="154"/>
      <c r="P276" s="154"/>
      <c r="Q276" s="154"/>
      <c r="R276" s="154"/>
      <c r="S276" s="154"/>
      <c r="T276" s="154"/>
      <c r="U276" s="154"/>
      <c r="V276" s="154"/>
      <c r="W276" s="154"/>
      <c r="X276" s="154"/>
      <c r="Y276" s="154"/>
      <c r="Z276" s="154"/>
      <c r="AA276" s="154"/>
      <c r="AB276" s="154"/>
      <c r="AC276" s="154"/>
      <c r="AD276" s="154"/>
      <c r="AE276" s="154"/>
      <c r="AF276" s="154"/>
      <c r="AG276" s="154"/>
      <c r="AH276" s="154"/>
      <c r="AI276" s="318">
        <v>-0.06</v>
      </c>
      <c r="AJ276" s="318">
        <v>-0.03</v>
      </c>
      <c r="AK276" s="318">
        <v>-0.02</v>
      </c>
      <c r="AL276" s="318">
        <v>-0.04</v>
      </c>
      <c r="AM276" s="326">
        <v>-0.04</v>
      </c>
      <c r="AN276" s="318">
        <v>-0.04</v>
      </c>
      <c r="AO276" s="319">
        <v>-0.04</v>
      </c>
      <c r="AP276" s="318">
        <v>-0.04</v>
      </c>
      <c r="AQ276" s="154">
        <f t="shared" si="379"/>
        <v>-0.03</v>
      </c>
      <c r="AR276" s="326">
        <v>-0.03</v>
      </c>
      <c r="AS276" s="318">
        <v>0</v>
      </c>
      <c r="AT276" s="154">
        <v>-0.02</v>
      </c>
      <c r="AU276" s="154">
        <v>-0.01</v>
      </c>
      <c r="AV276" s="154">
        <f t="shared" si="380"/>
        <v>-0.03</v>
      </c>
      <c r="AW276" s="155">
        <v>-0.03</v>
      </c>
      <c r="AX276" s="154">
        <v>-0.04</v>
      </c>
      <c r="AY276" s="154">
        <v>-0.05</v>
      </c>
      <c r="AZ276" s="154">
        <v>-0.05</v>
      </c>
      <c r="BA276" s="154">
        <f t="shared" si="381"/>
        <v>-0.04</v>
      </c>
      <c r="BB276" s="155">
        <v>-0.04</v>
      </c>
      <c r="BC276" s="154"/>
      <c r="BD276" s="154"/>
      <c r="BE276" s="154"/>
      <c r="BF276" s="154"/>
      <c r="BG276" s="348"/>
      <c r="BH276" s="154"/>
      <c r="BI276" s="154"/>
      <c r="BJ276" s="154"/>
      <c r="BK276" s="154"/>
      <c r="BL276" s="348"/>
      <c r="BM276" s="154"/>
      <c r="BN276" s="154"/>
      <c r="BO276" s="154"/>
      <c r="BP276" s="154"/>
      <c r="BQ276" s="348"/>
      <c r="BR276" s="154"/>
      <c r="BS276" s="154"/>
      <c r="BT276" s="154"/>
      <c r="BU276" s="154"/>
      <c r="BV276" s="154"/>
      <c r="BW276" s="154"/>
      <c r="BX276" s="154"/>
      <c r="BY276" s="154"/>
      <c r="BZ276" s="154"/>
      <c r="CA276" s="154"/>
      <c r="CB276" s="154"/>
      <c r="CC276" s="154"/>
      <c r="CD276" s="154"/>
      <c r="CE276" s="154"/>
      <c r="CF276" s="154"/>
      <c r="CG276" s="154"/>
      <c r="CH276" s="154"/>
      <c r="CI276" s="154"/>
      <c r="CJ276" s="154"/>
      <c r="CK276" s="154"/>
      <c r="CL276" s="154"/>
      <c r="CM276" s="154"/>
      <c r="CN276" s="154"/>
      <c r="CO276" s="154"/>
      <c r="CP276" s="154"/>
    </row>
    <row r="277" spans="1:109" x14ac:dyDescent="0.25">
      <c r="A277" s="52" t="s">
        <v>279</v>
      </c>
      <c r="B277" s="123"/>
      <c r="C277" s="154"/>
      <c r="D277" s="154"/>
      <c r="E277" s="154"/>
      <c r="F277" s="154"/>
      <c r="G277" s="154"/>
      <c r="H277" s="154"/>
      <c r="I277" s="154"/>
      <c r="J277" s="154"/>
      <c r="K277" s="154"/>
      <c r="L277" s="154"/>
      <c r="M277" s="154"/>
      <c r="N277" s="154"/>
      <c r="O277" s="154"/>
      <c r="P277" s="154"/>
      <c r="Q277" s="154"/>
      <c r="R277" s="154"/>
      <c r="S277" s="154"/>
      <c r="T277" s="154"/>
      <c r="U277" s="154"/>
      <c r="V277" s="154"/>
      <c r="W277" s="154"/>
      <c r="X277" s="154"/>
      <c r="Y277" s="154"/>
      <c r="Z277" s="154"/>
      <c r="AA277" s="154"/>
      <c r="AB277" s="154"/>
      <c r="AC277" s="154"/>
      <c r="AD277" s="154"/>
      <c r="AE277" s="154"/>
      <c r="AF277" s="154"/>
      <c r="AG277" s="154"/>
      <c r="AH277" s="154"/>
      <c r="AI277" s="318">
        <v>-0.06</v>
      </c>
      <c r="AJ277" s="318">
        <v>-0.03</v>
      </c>
      <c r="AK277" s="318">
        <v>-0.02</v>
      </c>
      <c r="AL277" s="318">
        <v>-0.04</v>
      </c>
      <c r="AM277" s="326">
        <v>-0.04</v>
      </c>
      <c r="AN277" s="318">
        <v>-0.04</v>
      </c>
      <c r="AO277" s="319">
        <v>-0.04</v>
      </c>
      <c r="AP277" s="318">
        <v>-0.04</v>
      </c>
      <c r="AQ277" s="154">
        <f t="shared" si="379"/>
        <v>-0.03</v>
      </c>
      <c r="AR277" s="326">
        <v>-0.03</v>
      </c>
      <c r="AS277" s="318">
        <v>-0.04</v>
      </c>
      <c r="AT277" s="154">
        <v>-0.02</v>
      </c>
      <c r="AU277" s="154">
        <v>-0.01</v>
      </c>
      <c r="AV277" s="154">
        <f t="shared" si="380"/>
        <v>-0.02</v>
      </c>
      <c r="AW277" s="155">
        <v>-0.02</v>
      </c>
      <c r="AX277" s="154">
        <v>-0.05</v>
      </c>
      <c r="AY277" s="154">
        <v>-0.05</v>
      </c>
      <c r="AZ277" s="154">
        <v>-0.06</v>
      </c>
      <c r="BA277" s="154">
        <f t="shared" si="381"/>
        <v>-0.05</v>
      </c>
      <c r="BB277" s="155">
        <v>-0.05</v>
      </c>
      <c r="BC277" s="154"/>
      <c r="BD277" s="154"/>
      <c r="BE277" s="154"/>
      <c r="BF277" s="154"/>
      <c r="BG277" s="348"/>
      <c r="BH277" s="154"/>
      <c r="BI277" s="154"/>
      <c r="BJ277" s="154"/>
      <c r="BK277" s="154"/>
      <c r="BL277" s="348"/>
      <c r="BM277" s="154"/>
      <c r="BN277" s="154"/>
      <c r="BO277" s="154"/>
      <c r="BP277" s="154"/>
      <c r="BQ277" s="348"/>
      <c r="BR277" s="154"/>
      <c r="BS277" s="154"/>
      <c r="BT277" s="154"/>
      <c r="BU277" s="154"/>
      <c r="BV277" s="154"/>
      <c r="BW277" s="154"/>
      <c r="BX277" s="154"/>
      <c r="BY277" s="154"/>
      <c r="BZ277" s="154"/>
      <c r="CA277" s="154"/>
      <c r="CB277" s="154"/>
      <c r="CC277" s="154"/>
      <c r="CD277" s="154"/>
      <c r="CE277" s="154"/>
      <c r="CF277" s="154"/>
      <c r="CG277" s="154"/>
      <c r="CH277" s="154"/>
      <c r="CI277" s="154"/>
      <c r="CJ277" s="154"/>
      <c r="CK277" s="154"/>
      <c r="CL277" s="154"/>
      <c r="CM277" s="154"/>
      <c r="CN277" s="154"/>
      <c r="CO277" s="154"/>
      <c r="CP277" s="154"/>
    </row>
    <row r="278" spans="1:109" x14ac:dyDescent="0.25">
      <c r="A278" s="52" t="s">
        <v>280</v>
      </c>
      <c r="B278" s="123"/>
      <c r="C278" s="154"/>
      <c r="D278" s="154"/>
      <c r="E278" s="154"/>
      <c r="F278" s="154"/>
      <c r="G278" s="154"/>
      <c r="H278" s="154"/>
      <c r="I278" s="154"/>
      <c r="J278" s="154"/>
      <c r="K278" s="154"/>
      <c r="L278" s="154"/>
      <c r="M278" s="154"/>
      <c r="N278" s="154"/>
      <c r="O278" s="154"/>
      <c r="P278" s="154"/>
      <c r="Q278" s="154"/>
      <c r="R278" s="154"/>
      <c r="S278" s="154"/>
      <c r="T278" s="154"/>
      <c r="U278" s="154"/>
      <c r="V278" s="154"/>
      <c r="W278" s="154"/>
      <c r="X278" s="154"/>
      <c r="Y278" s="154"/>
      <c r="Z278" s="154"/>
      <c r="AA278" s="154"/>
      <c r="AB278" s="154"/>
      <c r="AC278" s="154"/>
      <c r="AD278" s="154"/>
      <c r="AE278" s="154"/>
      <c r="AF278" s="154"/>
      <c r="AG278" s="154"/>
      <c r="AH278" s="154"/>
      <c r="AI278" s="318">
        <v>0.16</v>
      </c>
      <c r="AJ278" s="318">
        <v>0</v>
      </c>
      <c r="AK278" s="318">
        <v>0</v>
      </c>
      <c r="AL278" s="318">
        <v>0.03</v>
      </c>
      <c r="AM278" s="326">
        <v>0.03</v>
      </c>
      <c r="AN278" s="318">
        <v>-0.15</v>
      </c>
      <c r="AO278" s="319">
        <v>-0.02</v>
      </c>
      <c r="AP278" s="318">
        <v>0.02</v>
      </c>
      <c r="AQ278" s="154">
        <f t="shared" si="379"/>
        <v>0.01</v>
      </c>
      <c r="AR278" s="326">
        <v>0.01</v>
      </c>
      <c r="AS278" s="318">
        <v>-0.16</v>
      </c>
      <c r="AT278" s="154">
        <v>-0.14000000000000001</v>
      </c>
      <c r="AU278" s="154">
        <v>-0.16</v>
      </c>
      <c r="AV278" s="154">
        <f t="shared" si="380"/>
        <v>-0.19</v>
      </c>
      <c r="AW278" s="155">
        <v>-0.19</v>
      </c>
      <c r="AX278" s="154">
        <v>-0.01</v>
      </c>
      <c r="AY278" s="154">
        <v>-0.02</v>
      </c>
      <c r="AZ278" s="154">
        <v>0.03</v>
      </c>
      <c r="BA278" s="154">
        <f t="shared" si="381"/>
        <v>0.04</v>
      </c>
      <c r="BB278" s="155">
        <v>0.04</v>
      </c>
      <c r="BC278" s="154"/>
      <c r="BD278" s="154"/>
      <c r="BE278" s="154"/>
      <c r="BF278" s="154"/>
      <c r="BG278" s="348"/>
      <c r="BH278" s="154"/>
      <c r="BI278" s="154"/>
      <c r="BJ278" s="154"/>
      <c r="BK278" s="154"/>
      <c r="BL278" s="348"/>
      <c r="BM278" s="154"/>
      <c r="BN278" s="154"/>
      <c r="BO278" s="154"/>
      <c r="BP278" s="154"/>
      <c r="BQ278" s="348"/>
      <c r="BR278" s="154"/>
      <c r="BS278" s="154"/>
      <c r="BT278" s="154"/>
      <c r="BU278" s="154"/>
      <c r="BV278" s="154"/>
      <c r="BW278" s="154"/>
      <c r="BX278" s="154"/>
      <c r="BY278" s="154"/>
      <c r="BZ278" s="154"/>
      <c r="CA278" s="154"/>
      <c r="CB278" s="154"/>
      <c r="CC278" s="154"/>
      <c r="CD278" s="154"/>
      <c r="CE278" s="154"/>
      <c r="CF278" s="154"/>
      <c r="CG278" s="154"/>
      <c r="CH278" s="154"/>
      <c r="CI278" s="154"/>
      <c r="CJ278" s="154"/>
      <c r="CK278" s="154"/>
      <c r="CL278" s="154"/>
      <c r="CM278" s="154"/>
      <c r="CN278" s="154"/>
      <c r="CO278" s="154"/>
      <c r="CP278" s="154"/>
    </row>
    <row r="279" spans="1:109" x14ac:dyDescent="0.25">
      <c r="A279" s="52" t="s">
        <v>285</v>
      </c>
      <c r="B279" s="123"/>
      <c r="C279" s="154"/>
      <c r="D279" s="154"/>
      <c r="E279" s="154"/>
      <c r="F279" s="154"/>
      <c r="G279" s="154"/>
      <c r="H279" s="154"/>
      <c r="I279" s="154"/>
      <c r="J279" s="154"/>
      <c r="K279" s="154"/>
      <c r="L279" s="154"/>
      <c r="M279" s="154"/>
      <c r="N279" s="154"/>
      <c r="O279" s="154"/>
      <c r="P279" s="154"/>
      <c r="Q279" s="154"/>
      <c r="R279" s="154"/>
      <c r="S279" s="154"/>
      <c r="T279" s="154"/>
      <c r="U279" s="154"/>
      <c r="V279" s="154"/>
      <c r="W279" s="154"/>
      <c r="X279" s="154"/>
      <c r="Y279" s="154"/>
      <c r="Z279" s="154"/>
      <c r="AA279" s="154"/>
      <c r="AB279" s="154"/>
      <c r="AC279" s="154"/>
      <c r="AD279" s="154"/>
      <c r="AE279" s="154"/>
      <c r="AF279" s="154"/>
      <c r="AG279" s="154"/>
      <c r="AH279" s="154"/>
      <c r="AI279" s="318"/>
      <c r="AJ279" s="318"/>
      <c r="AK279" s="318"/>
      <c r="AL279" s="318"/>
      <c r="AM279" s="326"/>
      <c r="AN279" s="318"/>
      <c r="AO279" s="319"/>
      <c r="AP279" s="318"/>
      <c r="AQ279" s="154">
        <f t="shared" si="379"/>
        <v>0</v>
      </c>
      <c r="AR279" s="326"/>
      <c r="AS279" s="318"/>
      <c r="AT279" s="154">
        <v>0</v>
      </c>
      <c r="AU279" s="154"/>
      <c r="AV279" s="154">
        <f t="shared" si="380"/>
        <v>0</v>
      </c>
      <c r="AW279" s="155"/>
      <c r="AX279" s="154"/>
      <c r="AY279" s="154"/>
      <c r="AZ279" s="154"/>
      <c r="BA279" s="154">
        <f t="shared" si="381"/>
        <v>0</v>
      </c>
      <c r="BB279" s="155"/>
      <c r="BC279" s="154"/>
      <c r="BD279" s="154"/>
      <c r="BE279" s="154"/>
      <c r="BF279" s="154"/>
      <c r="BG279" s="348"/>
      <c r="BH279" s="154"/>
      <c r="BI279" s="154"/>
      <c r="BJ279" s="154"/>
      <c r="BK279" s="154"/>
      <c r="BL279" s="348"/>
      <c r="BM279" s="154"/>
      <c r="BN279" s="154"/>
      <c r="BO279" s="154"/>
      <c r="BP279" s="154"/>
      <c r="BQ279" s="348"/>
      <c r="BR279" s="154"/>
      <c r="BS279" s="154"/>
      <c r="BT279" s="154"/>
      <c r="BU279" s="154"/>
      <c r="BV279" s="154"/>
      <c r="BW279" s="154"/>
      <c r="BX279" s="154"/>
      <c r="BY279" s="154"/>
      <c r="BZ279" s="154"/>
      <c r="CA279" s="154"/>
      <c r="CB279" s="154"/>
      <c r="CC279" s="154"/>
      <c r="CD279" s="154"/>
      <c r="CE279" s="154"/>
      <c r="CF279" s="154"/>
      <c r="CG279" s="154"/>
      <c r="CH279" s="154"/>
      <c r="CI279" s="154"/>
      <c r="CJ279" s="154"/>
      <c r="CK279" s="154"/>
      <c r="CL279" s="154"/>
      <c r="CM279" s="154"/>
      <c r="CN279" s="154"/>
      <c r="CO279" s="154"/>
      <c r="CP279" s="154"/>
    </row>
    <row r="280" spans="1:109" x14ac:dyDescent="0.25">
      <c r="A280" s="52" t="s">
        <v>286</v>
      </c>
      <c r="B280" s="123"/>
      <c r="C280" s="154"/>
      <c r="D280" s="154"/>
      <c r="E280" s="154"/>
      <c r="F280" s="154"/>
      <c r="G280" s="154"/>
      <c r="H280" s="154"/>
      <c r="I280" s="154"/>
      <c r="J280" s="154"/>
      <c r="K280" s="154"/>
      <c r="L280" s="154"/>
      <c r="M280" s="154"/>
      <c r="N280" s="154"/>
      <c r="O280" s="154"/>
      <c r="P280" s="154"/>
      <c r="Q280" s="154"/>
      <c r="R280" s="154"/>
      <c r="S280" s="154"/>
      <c r="T280" s="154"/>
      <c r="U280" s="154"/>
      <c r="V280" s="154"/>
      <c r="W280" s="154"/>
      <c r="X280" s="154"/>
      <c r="Y280" s="154"/>
      <c r="Z280" s="154"/>
      <c r="AA280" s="154"/>
      <c r="AB280" s="154"/>
      <c r="AC280" s="154"/>
      <c r="AD280" s="154"/>
      <c r="AE280" s="154"/>
      <c r="AF280" s="154"/>
      <c r="AG280" s="154"/>
      <c r="AH280" s="154"/>
      <c r="AI280" s="318">
        <v>-0.08</v>
      </c>
      <c r="AJ280" s="318">
        <v>-0.04</v>
      </c>
      <c r="AK280" s="318">
        <v>-0.05</v>
      </c>
      <c r="AL280" s="318">
        <v>-0.06</v>
      </c>
      <c r="AM280" s="326">
        <v>-0.06</v>
      </c>
      <c r="AN280" s="318">
        <v>-0.02</v>
      </c>
      <c r="AO280" s="319">
        <v>-0.14000000000000001</v>
      </c>
      <c r="AP280" s="318">
        <v>-0.04</v>
      </c>
      <c r="AQ280" s="154">
        <f t="shared" si="379"/>
        <v>-0.04</v>
      </c>
      <c r="AR280" s="326">
        <v>-0.04</v>
      </c>
      <c r="AS280" s="318">
        <v>-0.03</v>
      </c>
      <c r="AT280" s="154">
        <v>-0.02</v>
      </c>
      <c r="AU280" s="154">
        <v>-0.02</v>
      </c>
      <c r="AV280" s="154">
        <f t="shared" si="380"/>
        <v>-0.03</v>
      </c>
      <c r="AW280" s="155">
        <v>-0.03</v>
      </c>
      <c r="AX280" s="154">
        <v>0.05</v>
      </c>
      <c r="AY280" s="154">
        <v>0.01</v>
      </c>
      <c r="AZ280" s="154">
        <v>-0.02</v>
      </c>
      <c r="BA280" s="154">
        <f t="shared" si="381"/>
        <v>-0.01</v>
      </c>
      <c r="BB280" s="155">
        <v>-0.01</v>
      </c>
      <c r="BC280" s="154">
        <v>-7.0000000000000007E-2</v>
      </c>
      <c r="BD280" s="154">
        <v>-0.05</v>
      </c>
      <c r="BE280" s="154">
        <v>-0.05</v>
      </c>
      <c r="BF280" s="154">
        <v>-0.05</v>
      </c>
      <c r="BG280" s="348">
        <v>-0.05</v>
      </c>
      <c r="BH280" s="154">
        <v>-0.06</v>
      </c>
      <c r="BI280" s="154">
        <v>-0.08</v>
      </c>
      <c r="BJ280" s="154">
        <v>-0.11</v>
      </c>
      <c r="BK280" s="154">
        <v>-0.11</v>
      </c>
      <c r="BL280" s="348">
        <v>-0.11</v>
      </c>
      <c r="BM280" s="154">
        <v>-0.15</v>
      </c>
      <c r="BN280" s="154">
        <v>-0.11</v>
      </c>
      <c r="BO280" s="154">
        <v>-0.08</v>
      </c>
      <c r="BP280" s="154">
        <v>-7.0000000000000007E-2</v>
      </c>
      <c r="BQ280" s="348">
        <v>-7.0000000000000007E-2</v>
      </c>
      <c r="BR280" s="154"/>
      <c r="BS280" s="154"/>
      <c r="BT280" s="154"/>
      <c r="BU280" s="154"/>
      <c r="BV280" s="154"/>
      <c r="BW280" s="154"/>
      <c r="BX280" s="154"/>
      <c r="BY280" s="154"/>
      <c r="BZ280" s="154"/>
      <c r="CA280" s="154"/>
      <c r="CB280" s="154"/>
      <c r="CC280" s="154"/>
      <c r="CD280" s="154"/>
      <c r="CE280" s="154"/>
      <c r="CF280" s="154"/>
      <c r="CG280" s="154"/>
      <c r="CH280" s="154"/>
      <c r="CI280" s="154"/>
      <c r="CJ280" s="154"/>
      <c r="CK280" s="154"/>
      <c r="CL280" s="154"/>
      <c r="CM280" s="154"/>
      <c r="CN280" s="154"/>
      <c r="CO280" s="154"/>
      <c r="CP280" s="154"/>
    </row>
    <row r="281" spans="1:109" x14ac:dyDescent="0.25">
      <c r="A281" s="52" t="s">
        <v>287</v>
      </c>
      <c r="B281" s="123"/>
      <c r="C281" s="154"/>
      <c r="D281" s="154"/>
      <c r="E281" s="154"/>
      <c r="F281" s="154"/>
      <c r="G281" s="154"/>
      <c r="H281" s="154"/>
      <c r="I281" s="154"/>
      <c r="J281" s="154"/>
      <c r="K281" s="154"/>
      <c r="L281" s="154"/>
      <c r="M281" s="154"/>
      <c r="N281" s="154"/>
      <c r="O281" s="154"/>
      <c r="P281" s="154"/>
      <c r="Q281" s="154"/>
      <c r="R281" s="154"/>
      <c r="S281" s="154"/>
      <c r="T281" s="154"/>
      <c r="U281" s="154"/>
      <c r="V281" s="154"/>
      <c r="W281" s="154"/>
      <c r="X281" s="154"/>
      <c r="Y281" s="154"/>
      <c r="Z281" s="154"/>
      <c r="AA281" s="154"/>
      <c r="AB281" s="154"/>
      <c r="AC281" s="154"/>
      <c r="AD281" s="154"/>
      <c r="AE281" s="154"/>
      <c r="AF281" s="154"/>
      <c r="AG281" s="154"/>
      <c r="AH281" s="154"/>
      <c r="AI281" s="318">
        <v>0</v>
      </c>
      <c r="AJ281" s="318">
        <v>0.03</v>
      </c>
      <c r="AK281" s="318">
        <v>0.03</v>
      </c>
      <c r="AL281" s="318">
        <v>0.02</v>
      </c>
      <c r="AM281" s="326">
        <v>0.02</v>
      </c>
      <c r="AN281" s="318">
        <v>-0.14000000000000001</v>
      </c>
      <c r="AO281" s="319">
        <v>-0.06</v>
      </c>
      <c r="AP281" s="318">
        <v>-0.03</v>
      </c>
      <c r="AQ281" s="154">
        <f t="shared" si="379"/>
        <v>-0.03</v>
      </c>
      <c r="AR281" s="326">
        <v>-0.03</v>
      </c>
      <c r="AS281" s="318">
        <v>7.0000000000000007E-2</v>
      </c>
      <c r="AT281" s="154">
        <v>0.04</v>
      </c>
      <c r="AU281" s="154">
        <v>0.02</v>
      </c>
      <c r="AV281" s="154">
        <f t="shared" si="380"/>
        <v>0.04</v>
      </c>
      <c r="AW281" s="155">
        <v>0.04</v>
      </c>
      <c r="AX281" s="154">
        <v>0.24</v>
      </c>
      <c r="AY281" s="154">
        <v>0.04</v>
      </c>
      <c r="AZ281" s="154">
        <v>-0.02</v>
      </c>
      <c r="BA281" s="154">
        <f t="shared" si="381"/>
        <v>-0.02</v>
      </c>
      <c r="BB281" s="155">
        <v>-0.02</v>
      </c>
      <c r="BC281" s="154"/>
      <c r="BD281" s="154"/>
      <c r="BE281" s="154"/>
      <c r="BF281" s="154"/>
      <c r="BG281" s="348"/>
      <c r="BH281" s="154"/>
      <c r="BI281" s="154"/>
      <c r="BJ281" s="154"/>
      <c r="BK281" s="154"/>
      <c r="BL281" s="348"/>
      <c r="BM281" s="154"/>
      <c r="BN281" s="154"/>
      <c r="BO281" s="154"/>
      <c r="BP281" s="154"/>
      <c r="BQ281" s="348"/>
      <c r="BR281" s="154"/>
      <c r="BS281" s="154"/>
      <c r="BT281" s="154"/>
      <c r="BU281" s="154"/>
      <c r="BV281" s="154"/>
      <c r="BW281" s="154"/>
      <c r="BX281" s="154"/>
      <c r="BY281" s="154"/>
      <c r="BZ281" s="154"/>
      <c r="CA281" s="154"/>
      <c r="CB281" s="154"/>
      <c r="CC281" s="154"/>
      <c r="CD281" s="154"/>
      <c r="CE281" s="154"/>
      <c r="CF281" s="154"/>
      <c r="CG281" s="154"/>
      <c r="CH281" s="154"/>
      <c r="CI281" s="154"/>
      <c r="CJ281" s="154"/>
      <c r="CK281" s="154"/>
      <c r="CL281" s="154"/>
      <c r="CM281" s="154"/>
      <c r="CN281" s="154"/>
      <c r="CO281" s="154"/>
      <c r="CP281" s="154"/>
    </row>
    <row r="282" spans="1:109" x14ac:dyDescent="0.25">
      <c r="A282" s="52" t="s">
        <v>288</v>
      </c>
      <c r="B282" s="123"/>
      <c r="C282" s="154"/>
      <c r="D282" s="154"/>
      <c r="E282" s="154"/>
      <c r="F282" s="154"/>
      <c r="G282" s="154"/>
      <c r="H282" s="154"/>
      <c r="I282" s="154"/>
      <c r="J282" s="154"/>
      <c r="K282" s="154"/>
      <c r="L282" s="154"/>
      <c r="M282" s="154"/>
      <c r="N282" s="154"/>
      <c r="O282" s="154"/>
      <c r="P282" s="154"/>
      <c r="Q282" s="154"/>
      <c r="R282" s="154"/>
      <c r="S282" s="154"/>
      <c r="T282" s="154"/>
      <c r="U282" s="154"/>
      <c r="V282" s="154"/>
      <c r="W282" s="154"/>
      <c r="X282" s="154"/>
      <c r="Y282" s="154"/>
      <c r="Z282" s="154"/>
      <c r="AA282" s="154"/>
      <c r="AB282" s="154"/>
      <c r="AC282" s="154"/>
      <c r="AD282" s="154"/>
      <c r="AE282" s="154"/>
      <c r="AF282" s="154"/>
      <c r="AG282" s="154"/>
      <c r="AH282" s="154"/>
      <c r="AI282" s="318">
        <v>0.08</v>
      </c>
      <c r="AJ282" s="318">
        <v>0.1</v>
      </c>
      <c r="AK282" s="318">
        <v>0.11</v>
      </c>
      <c r="AL282" s="318">
        <v>0.11</v>
      </c>
      <c r="AM282" s="326">
        <v>0.11</v>
      </c>
      <c r="AN282" s="318">
        <v>0.13</v>
      </c>
      <c r="AO282" s="319">
        <v>0.11</v>
      </c>
      <c r="AP282" s="318">
        <v>0.08</v>
      </c>
      <c r="AQ282" s="154">
        <f t="shared" si="379"/>
        <v>0.09</v>
      </c>
      <c r="AR282" s="326">
        <v>0.09</v>
      </c>
      <c r="AS282" s="318">
        <v>0.12</v>
      </c>
      <c r="AT282" s="154">
        <v>0.09</v>
      </c>
      <c r="AU282" s="154">
        <v>0.09</v>
      </c>
      <c r="AV282" s="154">
        <f t="shared" si="380"/>
        <v>0.06</v>
      </c>
      <c r="AW282" s="155">
        <v>0.06</v>
      </c>
      <c r="AX282" s="154">
        <v>0</v>
      </c>
      <c r="AY282" s="154">
        <v>0.04</v>
      </c>
      <c r="AZ282" s="154">
        <v>0.04</v>
      </c>
      <c r="BA282" s="154">
        <f t="shared" si="381"/>
        <v>0.04</v>
      </c>
      <c r="BB282" s="155">
        <v>0.04</v>
      </c>
      <c r="BC282" s="154"/>
      <c r="BD282" s="154"/>
      <c r="BE282" s="154"/>
      <c r="BF282" s="154"/>
      <c r="BG282" s="348"/>
      <c r="BH282" s="154"/>
      <c r="BI282" s="154"/>
      <c r="BJ282" s="154"/>
      <c r="BK282" s="154"/>
      <c r="BL282" s="348"/>
      <c r="BM282" s="154"/>
      <c r="BN282" s="154"/>
      <c r="BO282" s="154"/>
      <c r="BP282" s="154"/>
      <c r="BQ282" s="348"/>
      <c r="BR282" s="154"/>
      <c r="BS282" s="154"/>
      <c r="BT282" s="154"/>
      <c r="BU282" s="154"/>
      <c r="BV282" s="154"/>
      <c r="BW282" s="154"/>
      <c r="BX282" s="154"/>
      <c r="BY282" s="154"/>
      <c r="BZ282" s="154"/>
      <c r="CA282" s="154"/>
      <c r="CB282" s="154"/>
      <c r="CC282" s="154"/>
      <c r="CD282" s="154"/>
      <c r="CE282" s="154"/>
      <c r="CF282" s="154"/>
      <c r="CG282" s="154"/>
      <c r="CH282" s="154"/>
      <c r="CI282" s="154"/>
      <c r="CJ282" s="154"/>
      <c r="CK282" s="154"/>
      <c r="CL282" s="154"/>
      <c r="CM282" s="154"/>
      <c r="CN282" s="154"/>
      <c r="CO282" s="154"/>
      <c r="CP282" s="154"/>
    </row>
    <row r="283" spans="1:109" x14ac:dyDescent="0.25">
      <c r="A283" s="52" t="s">
        <v>289</v>
      </c>
      <c r="B283" s="123"/>
      <c r="C283" s="154"/>
      <c r="D283" s="154"/>
      <c r="E283" s="154"/>
      <c r="F283" s="154"/>
      <c r="G283" s="154"/>
      <c r="H283" s="154"/>
      <c r="I283" s="154"/>
      <c r="J283" s="154"/>
      <c r="K283" s="154"/>
      <c r="L283" s="154"/>
      <c r="M283" s="154"/>
      <c r="N283" s="154"/>
      <c r="O283" s="154"/>
      <c r="P283" s="154"/>
      <c r="Q283" s="154"/>
      <c r="R283" s="154"/>
      <c r="S283" s="154"/>
      <c r="T283" s="154"/>
      <c r="U283" s="154"/>
      <c r="V283" s="154"/>
      <c r="W283" s="154"/>
      <c r="X283" s="154"/>
      <c r="Y283" s="154"/>
      <c r="Z283" s="154"/>
      <c r="AA283" s="154"/>
      <c r="AB283" s="154"/>
      <c r="AC283" s="154"/>
      <c r="AD283" s="154"/>
      <c r="AE283" s="154"/>
      <c r="AF283" s="154"/>
      <c r="AG283" s="154"/>
      <c r="AH283" s="154"/>
      <c r="AI283" s="318">
        <v>-0.14000000000000001</v>
      </c>
      <c r="AJ283" s="318">
        <v>-0.09</v>
      </c>
      <c r="AK283" s="318">
        <v>-0.09</v>
      </c>
      <c r="AL283" s="318">
        <v>-0.06</v>
      </c>
      <c r="AM283" s="326">
        <v>-0.06</v>
      </c>
      <c r="AN283" s="318">
        <v>-0.02</v>
      </c>
      <c r="AO283" s="319">
        <v>0.06</v>
      </c>
      <c r="AP283" s="318">
        <v>0.11</v>
      </c>
      <c r="AQ283" s="154">
        <f t="shared" si="379"/>
        <v>0.15</v>
      </c>
      <c r="AR283" s="326">
        <v>0.15</v>
      </c>
      <c r="AS283" s="318">
        <v>0.31</v>
      </c>
      <c r="AT283" s="154">
        <v>0.17</v>
      </c>
      <c r="AU283" s="154">
        <v>0.1</v>
      </c>
      <c r="AV283" s="154">
        <f t="shared" si="380"/>
        <v>0.06</v>
      </c>
      <c r="AW283" s="155">
        <v>0.06</v>
      </c>
      <c r="AX283" s="154">
        <v>-0.1</v>
      </c>
      <c r="AY283" s="154">
        <v>-0.04</v>
      </c>
      <c r="AZ283" s="154">
        <v>-0.03</v>
      </c>
      <c r="BA283" s="154">
        <f t="shared" si="381"/>
        <v>-0.03</v>
      </c>
      <c r="BB283" s="155">
        <v>-0.03</v>
      </c>
      <c r="BC283" s="154">
        <v>-0.05</v>
      </c>
      <c r="BD283" s="154">
        <v>0.02</v>
      </c>
      <c r="BE283" s="154">
        <v>0.02</v>
      </c>
      <c r="BF283" s="154">
        <v>0.03</v>
      </c>
      <c r="BG283" s="348">
        <v>0.03</v>
      </c>
      <c r="BH283" s="154">
        <v>7.0000000000000007E-2</v>
      </c>
      <c r="BI283" s="154">
        <v>-0.01</v>
      </c>
      <c r="BJ283" s="154">
        <v>-0.02</v>
      </c>
      <c r="BK283" s="154">
        <v>-0.02</v>
      </c>
      <c r="BL283" s="348">
        <v>-0.02</v>
      </c>
      <c r="BM283" s="154">
        <v>-0.04</v>
      </c>
      <c r="BN283" s="154">
        <v>-0.01</v>
      </c>
      <c r="BO283" s="154">
        <v>-0.02</v>
      </c>
      <c r="BP283" s="154">
        <v>-0.03</v>
      </c>
      <c r="BQ283" s="348">
        <v>-0.03</v>
      </c>
      <c r="BR283" s="154">
        <v>-0.03</v>
      </c>
      <c r="BS283" s="154">
        <v>0.01</v>
      </c>
      <c r="BT283" s="154"/>
      <c r="BU283" s="154"/>
      <c r="BV283" s="154"/>
      <c r="BW283" s="154"/>
      <c r="BX283" s="154"/>
      <c r="BY283" s="154"/>
      <c r="BZ283" s="154"/>
      <c r="CA283" s="154"/>
      <c r="CB283" s="154"/>
      <c r="CC283" s="154"/>
      <c r="CD283" s="154"/>
      <c r="CE283" s="154"/>
      <c r="CF283" s="154"/>
      <c r="CG283" s="154"/>
      <c r="CH283" s="154"/>
      <c r="CI283" s="154"/>
      <c r="CJ283" s="154"/>
      <c r="CK283" s="154"/>
      <c r="CL283" s="154"/>
      <c r="CM283" s="154"/>
      <c r="CN283" s="154"/>
      <c r="CO283" s="154"/>
      <c r="CP283" s="154"/>
    </row>
    <row r="284" spans="1:109" s="38" customFormat="1" x14ac:dyDescent="0.25">
      <c r="A284" s="38" t="s">
        <v>290</v>
      </c>
      <c r="B284" s="313"/>
      <c r="C284" s="314"/>
      <c r="D284" s="314"/>
      <c r="E284" s="314"/>
      <c r="F284" s="314"/>
      <c r="G284" s="314"/>
      <c r="H284" s="314"/>
      <c r="I284" s="314"/>
      <c r="J284" s="314"/>
      <c r="K284" s="314"/>
      <c r="L284" s="314"/>
      <c r="M284" s="314"/>
      <c r="N284" s="314"/>
      <c r="O284" s="314"/>
      <c r="P284" s="314"/>
      <c r="Q284" s="314"/>
      <c r="R284" s="314"/>
      <c r="S284" s="314"/>
      <c r="T284" s="314"/>
      <c r="U284" s="314"/>
      <c r="V284" s="314"/>
      <c r="W284" s="314"/>
      <c r="X284" s="314"/>
      <c r="Y284" s="314"/>
      <c r="Z284" s="314"/>
      <c r="AA284" s="314"/>
      <c r="AB284" s="314"/>
      <c r="AC284" s="314"/>
      <c r="AD284" s="314"/>
      <c r="AE284" s="314"/>
      <c r="AF284" s="314"/>
      <c r="AG284" s="314"/>
      <c r="AH284" s="314"/>
      <c r="AI284" s="320">
        <v>0</v>
      </c>
      <c r="AJ284" s="320">
        <v>0</v>
      </c>
      <c r="AK284" s="320">
        <v>0.01</v>
      </c>
      <c r="AL284" s="320">
        <v>0</v>
      </c>
      <c r="AM284" s="327">
        <v>0</v>
      </c>
      <c r="AN284" s="320">
        <v>0.04</v>
      </c>
      <c r="AO284" s="321">
        <v>0.05</v>
      </c>
      <c r="AP284" s="320">
        <v>7.0000000000000007E-2</v>
      </c>
      <c r="AQ284" s="314">
        <f t="shared" si="379"/>
        <v>0.08</v>
      </c>
      <c r="AR284" s="327">
        <v>0.08</v>
      </c>
      <c r="AS284" s="320">
        <v>0.05</v>
      </c>
      <c r="AT284" s="314">
        <v>0.05</v>
      </c>
      <c r="AU284" s="314">
        <v>0.04</v>
      </c>
      <c r="AV284" s="314">
        <f t="shared" si="380"/>
        <v>0.04</v>
      </c>
      <c r="AW284" s="328">
        <v>0.04</v>
      </c>
      <c r="AX284" s="314">
        <v>0.01</v>
      </c>
      <c r="AY284" s="314">
        <v>0.03</v>
      </c>
      <c r="AZ284" s="314">
        <v>0.01</v>
      </c>
      <c r="BA284" s="314">
        <f t="shared" si="381"/>
        <v>0</v>
      </c>
      <c r="BB284" s="328">
        <v>0</v>
      </c>
      <c r="BC284" s="314">
        <v>0</v>
      </c>
      <c r="BD284" s="314">
        <v>0.02</v>
      </c>
      <c r="BE284" s="314">
        <v>0.02</v>
      </c>
      <c r="BF284" s="314">
        <v>0.04</v>
      </c>
      <c r="BG284" s="349">
        <v>0.04</v>
      </c>
      <c r="BH284" s="314">
        <v>0.05</v>
      </c>
      <c r="BI284" s="314">
        <v>0.03</v>
      </c>
      <c r="BJ284" s="314">
        <v>0.01</v>
      </c>
      <c r="BK284" s="314">
        <v>0</v>
      </c>
      <c r="BL284" s="349">
        <v>0</v>
      </c>
      <c r="BM284" s="314">
        <v>0.01</v>
      </c>
      <c r="BN284" s="314">
        <v>0.01</v>
      </c>
      <c r="BO284" s="314">
        <v>0.02</v>
      </c>
      <c r="BP284" s="314">
        <v>0.02</v>
      </c>
      <c r="BQ284" s="349">
        <v>0.02</v>
      </c>
      <c r="BR284" s="314">
        <v>0.04</v>
      </c>
      <c r="BS284" s="314">
        <v>0.06</v>
      </c>
      <c r="BT284" s="314"/>
      <c r="BU284" s="314"/>
      <c r="BV284" s="314"/>
      <c r="BW284" s="314"/>
      <c r="BX284" s="314"/>
      <c r="BY284" s="314"/>
      <c r="BZ284" s="314"/>
      <c r="CA284" s="314"/>
      <c r="CB284" s="314"/>
      <c r="CC284" s="314"/>
      <c r="CD284" s="314"/>
      <c r="CE284" s="314"/>
      <c r="CF284" s="314"/>
      <c r="CG284" s="314"/>
      <c r="CH284" s="314"/>
      <c r="CI284" s="314"/>
      <c r="CJ284" s="314"/>
      <c r="CK284" s="314"/>
      <c r="CL284" s="314"/>
      <c r="CM284" s="314"/>
      <c r="CN284" s="314"/>
      <c r="CO284" s="314"/>
      <c r="CP284" s="31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</row>
    <row r="285" spans="1:109" x14ac:dyDescent="0.25">
      <c r="B285" s="123"/>
      <c r="C285" s="154"/>
      <c r="D285" s="154"/>
      <c r="E285" s="154"/>
      <c r="F285" s="154"/>
      <c r="G285" s="154"/>
      <c r="H285" s="154"/>
      <c r="I285" s="154"/>
      <c r="J285" s="154"/>
      <c r="K285" s="154"/>
      <c r="L285" s="154"/>
      <c r="M285" s="154"/>
      <c r="N285" s="154"/>
      <c r="O285" s="154"/>
      <c r="P285" s="154"/>
      <c r="Q285" s="154"/>
      <c r="R285" s="154"/>
      <c r="S285" s="154"/>
      <c r="T285" s="154"/>
      <c r="U285" s="154"/>
      <c r="V285" s="154"/>
      <c r="W285" s="154"/>
      <c r="X285" s="154"/>
      <c r="Y285" s="154"/>
      <c r="Z285" s="154"/>
      <c r="AA285" s="154"/>
      <c r="AB285" s="154"/>
      <c r="AC285" s="154"/>
      <c r="AD285" s="154"/>
      <c r="AE285" s="154"/>
      <c r="AF285" s="154"/>
      <c r="AG285" s="154"/>
      <c r="AH285" s="154"/>
      <c r="AI285" s="318"/>
      <c r="AJ285" s="318"/>
      <c r="AK285" s="318"/>
      <c r="AL285" s="318"/>
      <c r="AM285" s="326"/>
      <c r="AN285" s="318"/>
      <c r="AO285" s="319"/>
      <c r="AP285" s="318"/>
      <c r="AQ285" s="154"/>
      <c r="AR285" s="326"/>
      <c r="AS285" s="318"/>
      <c r="AT285" s="52"/>
      <c r="AU285" s="154"/>
      <c r="AV285" s="154"/>
      <c r="AW285" s="155"/>
      <c r="AX285" s="154"/>
      <c r="AY285" s="154"/>
      <c r="AZ285" s="154"/>
      <c r="BA285" s="154"/>
      <c r="BB285" s="155"/>
      <c r="BC285" s="154"/>
      <c r="BD285" s="154"/>
      <c r="BE285" s="154"/>
      <c r="BF285" s="154"/>
      <c r="BG285" s="348"/>
      <c r="BH285" s="154"/>
      <c r="BI285" s="154"/>
      <c r="BJ285" s="154"/>
      <c r="BK285" s="154"/>
      <c r="BL285" s="348"/>
      <c r="BM285" s="154"/>
      <c r="BN285" s="154"/>
      <c r="BO285" s="154"/>
      <c r="BP285" s="154"/>
      <c r="BQ285" s="348"/>
      <c r="BR285" s="154"/>
      <c r="BS285" s="154"/>
      <c r="BT285" s="154"/>
      <c r="BU285" s="154"/>
      <c r="BV285" s="154"/>
      <c r="BW285" s="154"/>
      <c r="BX285" s="154"/>
      <c r="BY285" s="154"/>
      <c r="BZ285" s="154"/>
      <c r="CA285" s="154"/>
      <c r="CB285" s="154"/>
      <c r="CC285" s="154"/>
      <c r="CD285" s="154"/>
      <c r="CE285" s="154"/>
      <c r="CF285" s="154"/>
      <c r="CG285" s="154"/>
      <c r="CH285" s="154"/>
      <c r="CI285" s="154"/>
      <c r="CJ285" s="154"/>
      <c r="CK285" s="154"/>
      <c r="CL285" s="154"/>
      <c r="CM285" s="154"/>
      <c r="CN285" s="154"/>
      <c r="CO285" s="154"/>
      <c r="CP285" s="154"/>
    </row>
    <row r="286" spans="1:109" x14ac:dyDescent="0.25">
      <c r="A286" s="38" t="s">
        <v>293</v>
      </c>
      <c r="B286" s="123"/>
      <c r="C286" s="154"/>
      <c r="D286" s="154"/>
      <c r="E286" s="154"/>
      <c r="F286" s="154"/>
      <c r="G286" s="154"/>
      <c r="H286" s="154"/>
      <c r="I286" s="154"/>
      <c r="J286" s="154"/>
      <c r="K286" s="154"/>
      <c r="L286" s="154"/>
      <c r="M286" s="154"/>
      <c r="N286" s="154"/>
      <c r="O286" s="154"/>
      <c r="P286" s="154"/>
      <c r="Q286" s="154"/>
      <c r="R286" s="154"/>
      <c r="S286" s="154"/>
      <c r="T286" s="154"/>
      <c r="U286" s="154"/>
      <c r="V286" s="154"/>
      <c r="W286" s="154"/>
      <c r="X286" s="154"/>
      <c r="Y286" s="154"/>
      <c r="Z286" s="154"/>
      <c r="AA286" s="154"/>
      <c r="AB286" s="154"/>
      <c r="AC286" s="154"/>
      <c r="AD286" s="154"/>
      <c r="AE286" s="154"/>
      <c r="AF286" s="154"/>
      <c r="AG286" s="154"/>
      <c r="AH286" s="154"/>
      <c r="AI286" s="318"/>
      <c r="AJ286" s="318"/>
      <c r="AK286" s="318"/>
      <c r="AL286" s="318"/>
      <c r="AM286" s="326"/>
      <c r="AN286" s="318"/>
      <c r="AO286" s="319"/>
      <c r="AP286" s="318"/>
      <c r="AQ286" s="154"/>
      <c r="AR286" s="326"/>
      <c r="AS286" s="318"/>
      <c r="AT286" s="52"/>
      <c r="AU286" s="154"/>
      <c r="AV286" s="154"/>
      <c r="AW286" s="155"/>
      <c r="AX286" s="154"/>
      <c r="AY286" s="154"/>
      <c r="AZ286" s="154"/>
      <c r="BA286" s="154"/>
      <c r="BB286" s="155"/>
      <c r="BC286" s="154"/>
      <c r="BD286" s="154"/>
      <c r="BE286" s="154"/>
      <c r="BF286" s="154"/>
      <c r="BG286" s="348"/>
      <c r="BH286" s="154"/>
      <c r="BI286" s="154"/>
      <c r="BJ286" s="154"/>
      <c r="BK286" s="154"/>
      <c r="BL286" s="348"/>
      <c r="BM286" s="154"/>
      <c r="BN286" s="154"/>
      <c r="BO286" s="154"/>
      <c r="BP286" s="154"/>
      <c r="BQ286" s="348"/>
      <c r="BR286" s="154"/>
      <c r="BS286" s="154"/>
      <c r="BT286" s="154"/>
      <c r="BU286" s="154"/>
      <c r="BV286" s="154"/>
      <c r="BW286" s="154"/>
      <c r="BX286" s="154"/>
      <c r="BY286" s="154"/>
      <c r="BZ286" s="154"/>
      <c r="CA286" s="154"/>
      <c r="CB286" s="154"/>
      <c r="CC286" s="154"/>
      <c r="CD286" s="154"/>
      <c r="CE286" s="154"/>
      <c r="CF286" s="154"/>
      <c r="CG286" s="154"/>
      <c r="CH286" s="154"/>
      <c r="CI286" s="154"/>
      <c r="CJ286" s="154"/>
      <c r="CK286" s="154"/>
      <c r="CL286" s="154"/>
      <c r="CM286" s="154"/>
      <c r="CN286" s="154"/>
      <c r="CO286" s="154"/>
      <c r="CP286" s="154"/>
    </row>
    <row r="287" spans="1:109" x14ac:dyDescent="0.25">
      <c r="A287" s="52" t="s">
        <v>291</v>
      </c>
      <c r="B287" s="123"/>
      <c r="C287" s="154"/>
      <c r="D287" s="154"/>
      <c r="E287" s="154"/>
      <c r="F287" s="154"/>
      <c r="G287" s="154"/>
      <c r="H287" s="154"/>
      <c r="I287" s="154"/>
      <c r="J287" s="154"/>
      <c r="K287" s="154"/>
      <c r="L287" s="154"/>
      <c r="M287" s="154"/>
      <c r="N287" s="154"/>
      <c r="O287" s="154"/>
      <c r="P287" s="154"/>
      <c r="Q287" s="154"/>
      <c r="R287" s="154"/>
      <c r="S287" s="154"/>
      <c r="T287" s="154"/>
      <c r="U287" s="154"/>
      <c r="V287" s="154"/>
      <c r="W287" s="154"/>
      <c r="X287" s="154"/>
      <c r="Y287" s="154"/>
      <c r="Z287" s="154"/>
      <c r="AA287" s="154"/>
      <c r="AB287" s="154"/>
      <c r="AC287" s="154"/>
      <c r="AD287" s="154"/>
      <c r="AE287" s="154"/>
      <c r="AF287" s="154"/>
      <c r="AG287" s="154"/>
      <c r="AH287" s="154"/>
      <c r="AI287" s="318">
        <v>0.02</v>
      </c>
      <c r="AJ287" s="318">
        <v>0.05</v>
      </c>
      <c r="AK287" s="318">
        <v>0.09</v>
      </c>
      <c r="AL287" s="318">
        <v>0.1</v>
      </c>
      <c r="AM287" s="326">
        <v>0.1</v>
      </c>
      <c r="AN287" s="318">
        <v>0.24</v>
      </c>
      <c r="AO287" s="319">
        <v>0.2</v>
      </c>
      <c r="AP287" s="322">
        <v>0.14000000000000001</v>
      </c>
      <c r="AQ287" s="154">
        <f t="shared" ref="AQ287:AQ315" si="386">AR287</f>
        <v>0.13</v>
      </c>
      <c r="AR287" s="326">
        <v>0.13</v>
      </c>
      <c r="AS287" s="318">
        <v>0.08</v>
      </c>
      <c r="AT287" s="154">
        <v>0.06</v>
      </c>
      <c r="AU287" s="154">
        <v>0.09</v>
      </c>
      <c r="AV287" s="154">
        <f t="shared" ref="AV287:AV315" si="387">AW287</f>
        <v>0.09</v>
      </c>
      <c r="AW287" s="155">
        <v>0.09</v>
      </c>
      <c r="AX287" s="154">
        <v>0.03</v>
      </c>
      <c r="AY287" s="154">
        <v>7.0000000000000007E-2</v>
      </c>
      <c r="AZ287" s="154">
        <v>0.06</v>
      </c>
      <c r="BA287" s="154">
        <f t="shared" ref="BA287:BA315" si="388">BB287</f>
        <v>0.06</v>
      </c>
      <c r="BB287" s="155">
        <v>0.06</v>
      </c>
      <c r="BC287" s="154">
        <v>0.04</v>
      </c>
      <c r="BD287" s="154">
        <v>0.05</v>
      </c>
      <c r="BE287" s="154">
        <v>0.05</v>
      </c>
      <c r="BF287" s="154">
        <v>0.05</v>
      </c>
      <c r="BG287" s="348">
        <v>0.05</v>
      </c>
      <c r="BH287" s="154">
        <v>-0.03</v>
      </c>
      <c r="BI287" s="154">
        <v>-0.02</v>
      </c>
      <c r="BJ287" s="154">
        <v>-0.01</v>
      </c>
      <c r="BK287" s="154">
        <v>-0.01</v>
      </c>
      <c r="BL287" s="348">
        <v>-0.01</v>
      </c>
      <c r="BM287" s="154">
        <v>-0.03</v>
      </c>
      <c r="BN287" s="154">
        <v>-0.01</v>
      </c>
      <c r="BO287" s="154">
        <v>0.01</v>
      </c>
      <c r="BP287" s="154">
        <v>0</v>
      </c>
      <c r="BQ287" s="348">
        <v>0</v>
      </c>
      <c r="BR287" s="154">
        <v>0.1</v>
      </c>
      <c r="BS287" s="154">
        <v>0.1</v>
      </c>
      <c r="BT287" s="154"/>
      <c r="BU287" s="154"/>
      <c r="BV287" s="154"/>
      <c r="BW287" s="154"/>
      <c r="BX287" s="154"/>
      <c r="BY287" s="154"/>
      <c r="BZ287" s="154"/>
      <c r="CA287" s="154"/>
      <c r="CB287" s="154"/>
      <c r="CC287" s="154"/>
      <c r="CD287" s="154"/>
      <c r="CE287" s="154"/>
      <c r="CF287" s="154"/>
      <c r="CG287" s="154"/>
      <c r="CH287" s="154"/>
      <c r="CI287" s="154"/>
      <c r="CJ287" s="154"/>
      <c r="CK287" s="154"/>
      <c r="CL287" s="154"/>
      <c r="CM287" s="154"/>
      <c r="CN287" s="154"/>
      <c r="CO287" s="154"/>
      <c r="CP287" s="154"/>
    </row>
    <row r="288" spans="1:109" x14ac:dyDescent="0.25">
      <c r="A288" s="52" t="s">
        <v>321</v>
      </c>
      <c r="B288" s="123"/>
      <c r="C288" s="154"/>
      <c r="D288" s="154"/>
      <c r="E288" s="154"/>
      <c r="F288" s="154"/>
      <c r="G288" s="154"/>
      <c r="H288" s="154"/>
      <c r="I288" s="154"/>
      <c r="J288" s="154"/>
      <c r="K288" s="154"/>
      <c r="L288" s="154"/>
      <c r="M288" s="154"/>
      <c r="N288" s="154"/>
      <c r="O288" s="154"/>
      <c r="P288" s="154"/>
      <c r="Q288" s="154"/>
      <c r="R288" s="154"/>
      <c r="S288" s="154"/>
      <c r="T288" s="154"/>
      <c r="U288" s="154"/>
      <c r="V288" s="154"/>
      <c r="W288" s="154"/>
      <c r="X288" s="154"/>
      <c r="Y288" s="154"/>
      <c r="Z288" s="154"/>
      <c r="AA288" s="154"/>
      <c r="AB288" s="154"/>
      <c r="AC288" s="154"/>
      <c r="AD288" s="154"/>
      <c r="AE288" s="154"/>
      <c r="AF288" s="154"/>
      <c r="AG288" s="154"/>
      <c r="AH288" s="154"/>
      <c r="AI288" s="318"/>
      <c r="AJ288" s="318"/>
      <c r="AK288" s="318"/>
      <c r="AL288" s="318"/>
      <c r="AM288" s="326"/>
      <c r="AN288" s="318"/>
      <c r="AO288" s="319"/>
      <c r="AP288" s="322"/>
      <c r="AQ288" s="154"/>
      <c r="AR288" s="326"/>
      <c r="AS288" s="318"/>
      <c r="AT288" s="154"/>
      <c r="AU288" s="154"/>
      <c r="AV288" s="154"/>
      <c r="AW288" s="155"/>
      <c r="AX288" s="154"/>
      <c r="AY288" s="154"/>
      <c r="AZ288" s="154"/>
      <c r="BA288" s="154"/>
      <c r="BB288" s="155"/>
      <c r="BC288" s="154">
        <v>0.01</v>
      </c>
      <c r="BD288" s="154">
        <v>0.02</v>
      </c>
      <c r="BE288" s="154">
        <v>0.04</v>
      </c>
      <c r="BF288" s="154">
        <v>0.03</v>
      </c>
      <c r="BG288" s="348">
        <v>0.03</v>
      </c>
      <c r="BH288" s="154">
        <v>-0.04</v>
      </c>
      <c r="BI288" s="154">
        <v>-0.03</v>
      </c>
      <c r="BJ288" s="154">
        <v>-0.03</v>
      </c>
      <c r="BK288" s="154">
        <v>-0.01</v>
      </c>
      <c r="BL288" s="348">
        <v>-0.01</v>
      </c>
      <c r="BM288" s="154">
        <v>-0.05</v>
      </c>
      <c r="BN288" s="154">
        <v>-0.02</v>
      </c>
      <c r="BO288" s="154">
        <v>0</v>
      </c>
      <c r="BP288" s="154">
        <v>-0.01</v>
      </c>
      <c r="BQ288" s="348">
        <v>-0.01</v>
      </c>
      <c r="BR288" s="154">
        <v>0.09</v>
      </c>
      <c r="BS288" s="154">
        <v>0.09</v>
      </c>
      <c r="BT288" s="154"/>
      <c r="BU288" s="154"/>
      <c r="BV288" s="154"/>
      <c r="BW288" s="154"/>
      <c r="BX288" s="154"/>
      <c r="BY288" s="154"/>
      <c r="BZ288" s="154"/>
      <c r="CA288" s="154"/>
      <c r="CB288" s="154"/>
      <c r="CC288" s="154"/>
      <c r="CD288" s="154"/>
      <c r="CE288" s="154"/>
      <c r="CF288" s="154"/>
      <c r="CG288" s="154"/>
      <c r="CH288" s="154"/>
      <c r="CI288" s="154"/>
      <c r="CJ288" s="154"/>
      <c r="CK288" s="154"/>
      <c r="CL288" s="154"/>
      <c r="CM288" s="154"/>
      <c r="CN288" s="154"/>
      <c r="CO288" s="154"/>
      <c r="CP288" s="154"/>
    </row>
    <row r="289" spans="1:94" x14ac:dyDescent="0.25">
      <c r="A289" s="52" t="s">
        <v>322</v>
      </c>
      <c r="B289" s="123"/>
      <c r="C289" s="154"/>
      <c r="D289" s="154"/>
      <c r="E289" s="154"/>
      <c r="F289" s="154"/>
      <c r="G289" s="154"/>
      <c r="H289" s="154"/>
      <c r="I289" s="154"/>
      <c r="J289" s="154"/>
      <c r="K289" s="154"/>
      <c r="L289" s="154"/>
      <c r="M289" s="154"/>
      <c r="N289" s="154"/>
      <c r="O289" s="154"/>
      <c r="P289" s="154"/>
      <c r="Q289" s="154"/>
      <c r="R289" s="154"/>
      <c r="S289" s="154"/>
      <c r="T289" s="154"/>
      <c r="U289" s="154"/>
      <c r="V289" s="154"/>
      <c r="W289" s="154"/>
      <c r="X289" s="154"/>
      <c r="Y289" s="154"/>
      <c r="Z289" s="154"/>
      <c r="AA289" s="154"/>
      <c r="AB289" s="154"/>
      <c r="AC289" s="154"/>
      <c r="AD289" s="154"/>
      <c r="AE289" s="154"/>
      <c r="AF289" s="154"/>
      <c r="AG289" s="154"/>
      <c r="AH289" s="154"/>
      <c r="AI289" s="318"/>
      <c r="AJ289" s="318"/>
      <c r="AK289" s="318"/>
      <c r="AL289" s="318"/>
      <c r="AM289" s="326"/>
      <c r="AN289" s="318"/>
      <c r="AO289" s="319"/>
      <c r="AP289" s="322"/>
      <c r="AQ289" s="154"/>
      <c r="AR289" s="326"/>
      <c r="AS289" s="318"/>
      <c r="AT289" s="154"/>
      <c r="AU289" s="154"/>
      <c r="AV289" s="154"/>
      <c r="AW289" s="155"/>
      <c r="AX289" s="154"/>
      <c r="AY289" s="154"/>
      <c r="AZ289" s="154"/>
      <c r="BA289" s="154"/>
      <c r="BB289" s="155"/>
      <c r="BC289" s="154">
        <v>0.35</v>
      </c>
      <c r="BD289" s="154">
        <v>0.39</v>
      </c>
      <c r="BE289" s="154">
        <v>0.3</v>
      </c>
      <c r="BF289" s="154">
        <v>0.27</v>
      </c>
      <c r="BG289" s="348">
        <v>0.27</v>
      </c>
      <c r="BH289" s="154">
        <v>0.04</v>
      </c>
      <c r="BI289" s="154">
        <v>0.01</v>
      </c>
      <c r="BJ289" s="154">
        <v>0.02</v>
      </c>
      <c r="BK289" s="154">
        <v>0</v>
      </c>
      <c r="BL289" s="348">
        <v>0</v>
      </c>
      <c r="BM289" s="154">
        <v>-0.01</v>
      </c>
      <c r="BN289" s="154">
        <v>0</v>
      </c>
      <c r="BO289" s="154">
        <v>0.01</v>
      </c>
      <c r="BP289" s="154">
        <v>0.03</v>
      </c>
      <c r="BQ289" s="348">
        <v>0.03</v>
      </c>
      <c r="BR289" s="154">
        <v>0.03</v>
      </c>
      <c r="BS289" s="154">
        <v>0.1</v>
      </c>
      <c r="BT289" s="154"/>
      <c r="BU289" s="154"/>
      <c r="BV289" s="154"/>
      <c r="BW289" s="154"/>
      <c r="BX289" s="154"/>
      <c r="BY289" s="154"/>
      <c r="BZ289" s="154"/>
      <c r="CA289" s="154"/>
      <c r="CB289" s="154"/>
      <c r="CC289" s="154"/>
      <c r="CD289" s="154"/>
      <c r="CE289" s="154"/>
      <c r="CF289" s="154"/>
      <c r="CG289" s="154"/>
      <c r="CH289" s="154"/>
      <c r="CI289" s="154"/>
      <c r="CJ289" s="154"/>
      <c r="CK289" s="154"/>
      <c r="CL289" s="154"/>
      <c r="CM289" s="154"/>
      <c r="CN289" s="154"/>
      <c r="CO289" s="154"/>
      <c r="CP289" s="154"/>
    </row>
    <row r="290" spans="1:94" x14ac:dyDescent="0.25">
      <c r="A290" s="52" t="s">
        <v>323</v>
      </c>
      <c r="B290" s="123"/>
      <c r="C290" s="154"/>
      <c r="D290" s="154"/>
      <c r="E290" s="154"/>
      <c r="F290" s="154"/>
      <c r="G290" s="154"/>
      <c r="H290" s="154"/>
      <c r="I290" s="154"/>
      <c r="J290" s="154"/>
      <c r="K290" s="154"/>
      <c r="L290" s="154"/>
      <c r="M290" s="154"/>
      <c r="N290" s="154"/>
      <c r="O290" s="154"/>
      <c r="P290" s="154"/>
      <c r="Q290" s="154"/>
      <c r="R290" s="154"/>
      <c r="S290" s="154"/>
      <c r="T290" s="154"/>
      <c r="U290" s="154"/>
      <c r="V290" s="154"/>
      <c r="W290" s="154"/>
      <c r="X290" s="154"/>
      <c r="Y290" s="154"/>
      <c r="Z290" s="154"/>
      <c r="AA290" s="154"/>
      <c r="AB290" s="154"/>
      <c r="AC290" s="154"/>
      <c r="AD290" s="154"/>
      <c r="AE290" s="154"/>
      <c r="AF290" s="154"/>
      <c r="AG290" s="154"/>
      <c r="AH290" s="154"/>
      <c r="AI290" s="318"/>
      <c r="AJ290" s="318"/>
      <c r="AK290" s="318"/>
      <c r="AL290" s="318"/>
      <c r="AM290" s="326"/>
      <c r="AN290" s="318"/>
      <c r="AO290" s="319"/>
      <c r="AP290" s="322"/>
      <c r="AQ290" s="154"/>
      <c r="AR290" s="326"/>
      <c r="AS290" s="318"/>
      <c r="AT290" s="154"/>
      <c r="AU290" s="154"/>
      <c r="AV290" s="154"/>
      <c r="AW290" s="155"/>
      <c r="AX290" s="154"/>
      <c r="AY290" s="154"/>
      <c r="AZ290" s="154"/>
      <c r="BA290" s="154"/>
      <c r="BB290" s="155"/>
      <c r="BC290" s="154">
        <v>0.1</v>
      </c>
      <c r="BD290" s="154">
        <v>0.23</v>
      </c>
      <c r="BE290" s="154">
        <v>0.17</v>
      </c>
      <c r="BF290" s="154">
        <v>0.35</v>
      </c>
      <c r="BG290" s="348">
        <v>0.35</v>
      </c>
      <c r="BH290" s="154">
        <v>0.21</v>
      </c>
      <c r="BI290" s="154">
        <v>0.17</v>
      </c>
      <c r="BJ290" s="154">
        <v>0.25</v>
      </c>
      <c r="BK290" s="154">
        <v>0.11</v>
      </c>
      <c r="BL290" s="348">
        <v>0.11</v>
      </c>
      <c r="BM290" s="154">
        <v>0.13</v>
      </c>
      <c r="BN290" s="154">
        <v>0.06</v>
      </c>
      <c r="BO290" s="154">
        <v>0.05</v>
      </c>
      <c r="BP290" s="154">
        <v>0.03</v>
      </c>
      <c r="BQ290" s="348">
        <v>0.03</v>
      </c>
      <c r="BR290" s="154"/>
      <c r="BS290" s="154"/>
      <c r="BT290" s="154"/>
      <c r="BU290" s="154"/>
      <c r="BV290" s="154"/>
      <c r="BW290" s="154"/>
      <c r="BX290" s="154"/>
      <c r="BY290" s="154"/>
      <c r="BZ290" s="154"/>
      <c r="CA290" s="154"/>
      <c r="CB290" s="154"/>
      <c r="CC290" s="154"/>
      <c r="CD290" s="154"/>
      <c r="CE290" s="154"/>
      <c r="CF290" s="154"/>
      <c r="CG290" s="154"/>
      <c r="CH290" s="154"/>
      <c r="CI290" s="154"/>
      <c r="CJ290" s="154"/>
      <c r="CK290" s="154"/>
      <c r="CL290" s="154"/>
      <c r="CM290" s="154"/>
      <c r="CN290" s="154"/>
      <c r="CO290" s="154"/>
      <c r="CP290" s="154"/>
    </row>
    <row r="291" spans="1:94" x14ac:dyDescent="0.25">
      <c r="A291" s="52" t="s">
        <v>277</v>
      </c>
      <c r="B291" s="123"/>
      <c r="C291" s="154"/>
      <c r="D291" s="154"/>
      <c r="E291" s="154"/>
      <c r="F291" s="154"/>
      <c r="G291" s="154"/>
      <c r="H291" s="154"/>
      <c r="I291" s="154"/>
      <c r="J291" s="154"/>
      <c r="K291" s="154"/>
      <c r="L291" s="154"/>
      <c r="M291" s="154"/>
      <c r="N291" s="154"/>
      <c r="O291" s="154"/>
      <c r="P291" s="154"/>
      <c r="Q291" s="154"/>
      <c r="R291" s="154"/>
      <c r="S291" s="154"/>
      <c r="T291" s="154"/>
      <c r="U291" s="154"/>
      <c r="V291" s="154"/>
      <c r="W291" s="154"/>
      <c r="X291" s="154"/>
      <c r="Y291" s="154"/>
      <c r="Z291" s="154"/>
      <c r="AA291" s="154"/>
      <c r="AB291" s="154"/>
      <c r="AC291" s="154"/>
      <c r="AD291" s="154"/>
      <c r="AE291" s="154"/>
      <c r="AF291" s="154"/>
      <c r="AG291" s="154"/>
      <c r="AH291" s="154"/>
      <c r="AI291" s="318">
        <v>-0.01</v>
      </c>
      <c r="AJ291" s="318">
        <v>0.02</v>
      </c>
      <c r="AK291" s="318">
        <v>0.06</v>
      </c>
      <c r="AL291" s="318">
        <v>7.0000000000000007E-2</v>
      </c>
      <c r="AM291" s="326">
        <v>7.0000000000000007E-2</v>
      </c>
      <c r="AN291" s="318">
        <v>0.23</v>
      </c>
      <c r="AO291" s="319">
        <v>0.19</v>
      </c>
      <c r="AP291" s="322">
        <v>0.14000000000000001</v>
      </c>
      <c r="AQ291" s="154">
        <f t="shared" si="386"/>
        <v>0.12</v>
      </c>
      <c r="AR291" s="326">
        <v>0.12</v>
      </c>
      <c r="AS291" s="318">
        <v>0.11</v>
      </c>
      <c r="AT291" s="154">
        <v>7.0000000000000007E-2</v>
      </c>
      <c r="AU291" s="154">
        <v>0.09</v>
      </c>
      <c r="AV291" s="154">
        <f t="shared" si="387"/>
        <v>0.1</v>
      </c>
      <c r="AW291" s="155">
        <v>0.1</v>
      </c>
      <c r="AX291" s="154">
        <v>0.04</v>
      </c>
      <c r="AY291" s="154">
        <v>0.08</v>
      </c>
      <c r="AZ291" s="154">
        <v>7.0000000000000007E-2</v>
      </c>
      <c r="BA291" s="154">
        <f t="shared" si="388"/>
        <v>0.08</v>
      </c>
      <c r="BB291" s="155">
        <v>0.08</v>
      </c>
      <c r="BC291" s="154"/>
      <c r="BD291" s="154"/>
      <c r="BE291" s="154"/>
      <c r="BF291" s="154"/>
      <c r="BG291" s="348"/>
      <c r="BH291" s="154"/>
      <c r="BI291" s="154"/>
      <c r="BJ291" s="154"/>
      <c r="BK291" s="154"/>
      <c r="BL291" s="348"/>
      <c r="BM291" s="154"/>
      <c r="BN291" s="154"/>
      <c r="BO291" s="154"/>
      <c r="BP291" s="154"/>
      <c r="BQ291" s="348"/>
      <c r="BR291" s="154"/>
      <c r="BS291" s="154"/>
      <c r="BT291" s="154"/>
      <c r="BU291" s="154"/>
      <c r="BV291" s="154"/>
      <c r="BW291" s="154"/>
      <c r="BX291" s="154"/>
      <c r="BY291" s="154"/>
      <c r="BZ291" s="154"/>
      <c r="CA291" s="154"/>
      <c r="CB291" s="154"/>
      <c r="CC291" s="154"/>
      <c r="CD291" s="154"/>
      <c r="CE291" s="154"/>
      <c r="CF291" s="154"/>
      <c r="CG291" s="154"/>
      <c r="CH291" s="154"/>
      <c r="CI291" s="154"/>
      <c r="CJ291" s="154"/>
      <c r="CK291" s="154"/>
      <c r="CL291" s="154"/>
      <c r="CM291" s="154"/>
      <c r="CN291" s="154"/>
      <c r="CO291" s="154"/>
      <c r="CP291" s="154"/>
    </row>
    <row r="292" spans="1:94" x14ac:dyDescent="0.25">
      <c r="A292" s="52" t="s">
        <v>278</v>
      </c>
      <c r="B292" s="123"/>
      <c r="C292" s="154"/>
      <c r="D292" s="154"/>
      <c r="E292" s="154"/>
      <c r="F292" s="154"/>
      <c r="G292" s="154"/>
      <c r="H292" s="154"/>
      <c r="I292" s="154"/>
      <c r="J292" s="154"/>
      <c r="K292" s="154"/>
      <c r="L292" s="154"/>
      <c r="M292" s="154"/>
      <c r="N292" s="154"/>
      <c r="O292" s="154"/>
      <c r="P292" s="154"/>
      <c r="Q292" s="154"/>
      <c r="R292" s="154"/>
      <c r="S292" s="154"/>
      <c r="T292" s="154"/>
      <c r="U292" s="154"/>
      <c r="V292" s="154"/>
      <c r="W292" s="154"/>
      <c r="X292" s="154"/>
      <c r="Y292" s="154"/>
      <c r="Z292" s="154"/>
      <c r="AA292" s="154"/>
      <c r="AB292" s="154"/>
      <c r="AC292" s="154"/>
      <c r="AD292" s="154"/>
      <c r="AE292" s="154"/>
      <c r="AF292" s="154"/>
      <c r="AG292" s="154"/>
      <c r="AH292" s="154"/>
      <c r="AI292" s="318">
        <v>0.27</v>
      </c>
      <c r="AJ292" s="318">
        <v>0.26</v>
      </c>
      <c r="AK292" s="318">
        <v>0.32</v>
      </c>
      <c r="AL292" s="318">
        <v>0.28999999999999998</v>
      </c>
      <c r="AM292" s="326">
        <v>0.28999999999999998</v>
      </c>
      <c r="AN292" s="318">
        <v>0.28999999999999998</v>
      </c>
      <c r="AO292" s="319">
        <v>0.25</v>
      </c>
      <c r="AP292" s="322">
        <v>0.15</v>
      </c>
      <c r="AQ292" s="154">
        <f t="shared" si="386"/>
        <v>0.17</v>
      </c>
      <c r="AR292" s="326">
        <v>0.17</v>
      </c>
      <c r="AS292" s="318">
        <v>-0.06</v>
      </c>
      <c r="AT292" s="154">
        <v>0.01</v>
      </c>
      <c r="AU292" s="154">
        <v>0.05</v>
      </c>
      <c r="AV292" s="154">
        <f t="shared" si="387"/>
        <v>0.05</v>
      </c>
      <c r="AW292" s="155">
        <v>0.05</v>
      </c>
      <c r="AX292" s="154">
        <v>0</v>
      </c>
      <c r="AY292" s="154">
        <v>0.02</v>
      </c>
      <c r="AZ292" s="154">
        <v>0.01</v>
      </c>
      <c r="BA292" s="154">
        <f t="shared" si="388"/>
        <v>-0.01</v>
      </c>
      <c r="BB292" s="155">
        <v>-0.01</v>
      </c>
      <c r="BC292" s="154">
        <v>0.06</v>
      </c>
      <c r="BD292" s="154">
        <v>0.02</v>
      </c>
      <c r="BE292" s="154">
        <v>-0.03</v>
      </c>
      <c r="BF292" s="154">
        <v>-0.04</v>
      </c>
      <c r="BG292" s="348">
        <v>-0.04</v>
      </c>
      <c r="BH292" s="154">
        <v>-0.16</v>
      </c>
      <c r="BI292" s="154">
        <v>-0.1</v>
      </c>
      <c r="BJ292" s="154">
        <v>-0.09</v>
      </c>
      <c r="BK292" s="154">
        <v>-7.0000000000000007E-2</v>
      </c>
      <c r="BL292" s="348">
        <v>-7.0000000000000007E-2</v>
      </c>
      <c r="BM292" s="154">
        <v>-0.03</v>
      </c>
      <c r="BN292" s="154">
        <v>0</v>
      </c>
      <c r="BO292" s="154">
        <v>0.02</v>
      </c>
      <c r="BP292" s="154">
        <v>0.03</v>
      </c>
      <c r="BQ292" s="348">
        <v>0.03</v>
      </c>
      <c r="BR292" s="154">
        <v>0.24</v>
      </c>
      <c r="BS292" s="154">
        <v>0.14000000000000001</v>
      </c>
      <c r="BT292" s="154"/>
      <c r="BU292" s="154"/>
      <c r="BV292" s="154"/>
      <c r="BW292" s="154"/>
      <c r="BX292" s="154"/>
      <c r="BY292" s="154"/>
      <c r="BZ292" s="154"/>
      <c r="CA292" s="154"/>
      <c r="CB292" s="154"/>
      <c r="CC292" s="154"/>
      <c r="CD292" s="154"/>
      <c r="CE292" s="154"/>
      <c r="CF292" s="154"/>
      <c r="CG292" s="154"/>
      <c r="CH292" s="154"/>
      <c r="CI292" s="154"/>
      <c r="CJ292" s="154"/>
      <c r="CK292" s="154"/>
      <c r="CL292" s="154"/>
      <c r="CM292" s="154"/>
      <c r="CN292" s="154"/>
      <c r="CO292" s="154"/>
      <c r="CP292" s="154"/>
    </row>
    <row r="293" spans="1:94" x14ac:dyDescent="0.25">
      <c r="A293" s="52" t="s">
        <v>351</v>
      </c>
      <c r="B293" s="123"/>
      <c r="C293" s="154"/>
      <c r="D293" s="154"/>
      <c r="E293" s="154"/>
      <c r="F293" s="154"/>
      <c r="G293" s="154"/>
      <c r="H293" s="154"/>
      <c r="I293" s="154"/>
      <c r="J293" s="154"/>
      <c r="K293" s="154"/>
      <c r="L293" s="154"/>
      <c r="M293" s="154"/>
      <c r="N293" s="154"/>
      <c r="O293" s="154"/>
      <c r="P293" s="154"/>
      <c r="Q293" s="154"/>
      <c r="R293" s="154"/>
      <c r="S293" s="154"/>
      <c r="T293" s="154"/>
      <c r="U293" s="154"/>
      <c r="V293" s="154"/>
      <c r="W293" s="154"/>
      <c r="X293" s="154"/>
      <c r="Y293" s="154"/>
      <c r="Z293" s="154"/>
      <c r="AA293" s="154"/>
      <c r="AB293" s="154"/>
      <c r="AC293" s="154"/>
      <c r="AD293" s="154"/>
      <c r="AE293" s="154"/>
      <c r="AF293" s="154"/>
      <c r="AG293" s="154"/>
      <c r="AH293" s="154"/>
      <c r="AI293" s="318"/>
      <c r="AJ293" s="318"/>
      <c r="AK293" s="318"/>
      <c r="AL293" s="318"/>
      <c r="AM293" s="326"/>
      <c r="AN293" s="318"/>
      <c r="AO293" s="319"/>
      <c r="AP293" s="322"/>
      <c r="AQ293" s="154"/>
      <c r="AR293" s="326"/>
      <c r="AS293" s="318"/>
      <c r="AT293" s="154"/>
      <c r="AU293" s="154"/>
      <c r="AV293" s="154"/>
      <c r="AW293" s="155"/>
      <c r="AX293" s="154"/>
      <c r="AY293" s="154"/>
      <c r="AZ293" s="154"/>
      <c r="BA293" s="154"/>
      <c r="BB293" s="155"/>
      <c r="BC293" s="154"/>
      <c r="BD293" s="154"/>
      <c r="BE293" s="154"/>
      <c r="BF293" s="154"/>
      <c r="BG293" s="348"/>
      <c r="BH293" s="154"/>
      <c r="BI293" s="154"/>
      <c r="BJ293" s="154"/>
      <c r="BK293" s="154"/>
      <c r="BL293" s="348"/>
      <c r="BM293" s="154"/>
      <c r="BN293" s="154"/>
      <c r="BO293" s="154"/>
      <c r="BP293" s="154"/>
      <c r="BQ293" s="348"/>
      <c r="BR293" s="154">
        <v>7.0000000000000007E-2</v>
      </c>
      <c r="BS293" s="154">
        <v>0.11</v>
      </c>
      <c r="BT293" s="154"/>
      <c r="BU293" s="154"/>
      <c r="BV293" s="154"/>
      <c r="BW293" s="154"/>
      <c r="BX293" s="154"/>
      <c r="BY293" s="154"/>
      <c r="BZ293" s="154"/>
      <c r="CA293" s="154"/>
      <c r="CB293" s="154"/>
      <c r="CC293" s="154"/>
      <c r="CD293" s="154"/>
      <c r="CE293" s="154"/>
      <c r="CF293" s="154"/>
      <c r="CG293" s="154"/>
      <c r="CH293" s="154"/>
      <c r="CI293" s="154"/>
      <c r="CJ293" s="154"/>
      <c r="CK293" s="154"/>
      <c r="CL293" s="154"/>
      <c r="CM293" s="154"/>
      <c r="CN293" s="154"/>
      <c r="CO293" s="154"/>
      <c r="CP293" s="154"/>
    </row>
    <row r="294" spans="1:94" x14ac:dyDescent="0.25">
      <c r="A294" s="52" t="s">
        <v>352</v>
      </c>
      <c r="B294" s="123"/>
      <c r="C294" s="154"/>
      <c r="D294" s="154"/>
      <c r="E294" s="154"/>
      <c r="F294" s="154"/>
      <c r="G294" s="154"/>
      <c r="H294" s="154"/>
      <c r="I294" s="154"/>
      <c r="J294" s="154"/>
      <c r="K294" s="154"/>
      <c r="L294" s="154"/>
      <c r="M294" s="154"/>
      <c r="N294" s="154"/>
      <c r="O294" s="154"/>
      <c r="P294" s="154"/>
      <c r="Q294" s="154"/>
      <c r="R294" s="154"/>
      <c r="S294" s="154"/>
      <c r="T294" s="154"/>
      <c r="U294" s="154"/>
      <c r="V294" s="154"/>
      <c r="W294" s="154"/>
      <c r="X294" s="154"/>
      <c r="Y294" s="154"/>
      <c r="Z294" s="154"/>
      <c r="AA294" s="154"/>
      <c r="AB294" s="154"/>
      <c r="AC294" s="154"/>
      <c r="AD294" s="154"/>
      <c r="AE294" s="154"/>
      <c r="AF294" s="154"/>
      <c r="AG294" s="154"/>
      <c r="AH294" s="154"/>
      <c r="AI294" s="318"/>
      <c r="AJ294" s="318"/>
      <c r="AK294" s="318"/>
      <c r="AL294" s="318"/>
      <c r="AM294" s="326"/>
      <c r="AN294" s="318"/>
      <c r="AO294" s="319"/>
      <c r="AP294" s="322"/>
      <c r="AQ294" s="154"/>
      <c r="AR294" s="326"/>
      <c r="AS294" s="318"/>
      <c r="AT294" s="154"/>
      <c r="AU294" s="154"/>
      <c r="AV294" s="154"/>
      <c r="AW294" s="155"/>
      <c r="AX294" s="154"/>
      <c r="AY294" s="154"/>
      <c r="AZ294" s="154"/>
      <c r="BA294" s="154"/>
      <c r="BB294" s="155"/>
      <c r="BC294" s="154"/>
      <c r="BD294" s="154"/>
      <c r="BE294" s="154"/>
      <c r="BF294" s="154"/>
      <c r="BG294" s="348"/>
      <c r="BH294" s="154"/>
      <c r="BI294" s="154"/>
      <c r="BJ294" s="154"/>
      <c r="BK294" s="154"/>
      <c r="BL294" s="348"/>
      <c r="BM294" s="154"/>
      <c r="BN294" s="154"/>
      <c r="BO294" s="154"/>
      <c r="BP294" s="154"/>
      <c r="BQ294" s="348"/>
      <c r="BR294" s="154">
        <v>0.21</v>
      </c>
      <c r="BS294" s="154">
        <v>0.22</v>
      </c>
      <c r="BT294" s="154"/>
      <c r="BU294" s="154"/>
      <c r="BV294" s="154"/>
      <c r="BW294" s="154"/>
      <c r="BX294" s="154"/>
      <c r="BY294" s="154"/>
      <c r="BZ294" s="154"/>
      <c r="CA294" s="154"/>
      <c r="CB294" s="154"/>
      <c r="CC294" s="154"/>
      <c r="CD294" s="154"/>
      <c r="CE294" s="154"/>
      <c r="CF294" s="154"/>
      <c r="CG294" s="154"/>
      <c r="CH294" s="154"/>
      <c r="CI294" s="154"/>
      <c r="CJ294" s="154"/>
      <c r="CK294" s="154"/>
      <c r="CL294" s="154"/>
      <c r="CM294" s="154"/>
      <c r="CN294" s="154"/>
      <c r="CO294" s="154"/>
      <c r="CP294" s="154"/>
    </row>
    <row r="295" spans="1:94" x14ac:dyDescent="0.25">
      <c r="A295" s="52" t="s">
        <v>281</v>
      </c>
      <c r="B295" s="123"/>
      <c r="C295" s="154"/>
      <c r="D295" s="154"/>
      <c r="E295" s="154"/>
      <c r="F295" s="154"/>
      <c r="G295" s="154"/>
      <c r="H295" s="154"/>
      <c r="I295" s="154"/>
      <c r="J295" s="154"/>
      <c r="K295" s="154"/>
      <c r="L295" s="154"/>
      <c r="M295" s="154"/>
      <c r="N295" s="154"/>
      <c r="O295" s="154"/>
      <c r="P295" s="154"/>
      <c r="Q295" s="154"/>
      <c r="R295" s="154"/>
      <c r="S295" s="154"/>
      <c r="T295" s="154"/>
      <c r="U295" s="154"/>
      <c r="V295" s="154"/>
      <c r="W295" s="154"/>
      <c r="X295" s="154"/>
      <c r="Y295" s="154"/>
      <c r="Z295" s="154"/>
      <c r="AA295" s="154"/>
      <c r="AB295" s="154"/>
      <c r="AC295" s="154"/>
      <c r="AD295" s="154"/>
      <c r="AE295" s="154"/>
      <c r="AF295" s="154"/>
      <c r="AG295" s="154"/>
      <c r="AH295" s="154"/>
      <c r="AI295" s="318"/>
      <c r="AJ295" s="318"/>
      <c r="AK295" s="318"/>
      <c r="AL295" s="318"/>
      <c r="AM295" s="326">
        <f>AM307</f>
        <v>-0.01</v>
      </c>
      <c r="AN295" s="318">
        <f t="shared" ref="AN295:BB295" si="389">AN307</f>
        <v>-0.06</v>
      </c>
      <c r="AO295" s="319">
        <f t="shared" si="389"/>
        <v>-0.05</v>
      </c>
      <c r="AP295" s="322">
        <f t="shared" si="389"/>
        <v>-0.05</v>
      </c>
      <c r="AQ295" s="154">
        <f t="shared" si="389"/>
        <v>-7.0000000000000007E-2</v>
      </c>
      <c r="AR295" s="326">
        <f t="shared" si="389"/>
        <v>-7.0000000000000007E-2</v>
      </c>
      <c r="AS295" s="318">
        <f t="shared" si="389"/>
        <v>-0.05</v>
      </c>
      <c r="AT295" s="154">
        <f t="shared" si="389"/>
        <v>-7.0000000000000007E-2</v>
      </c>
      <c r="AU295" s="154">
        <f t="shared" si="389"/>
        <v>-0.04</v>
      </c>
      <c r="AV295" s="154">
        <f t="shared" si="389"/>
        <v>-0.05</v>
      </c>
      <c r="AW295" s="155">
        <f t="shared" si="389"/>
        <v>-0.05</v>
      </c>
      <c r="AX295" s="154">
        <f t="shared" si="389"/>
        <v>-0.05</v>
      </c>
      <c r="AY295" s="154">
        <f t="shared" si="389"/>
        <v>-0.06</v>
      </c>
      <c r="AZ295" s="154">
        <f t="shared" si="389"/>
        <v>-7.0000000000000007E-2</v>
      </c>
      <c r="BA295" s="154">
        <f t="shared" si="389"/>
        <v>-0.05</v>
      </c>
      <c r="BB295" s="155">
        <f t="shared" si="389"/>
        <v>-0.05</v>
      </c>
      <c r="BC295" s="154">
        <v>-0.08</v>
      </c>
      <c r="BD295" s="154">
        <v>-0.04</v>
      </c>
      <c r="BE295" s="154">
        <v>-0.06</v>
      </c>
      <c r="BF295" s="154">
        <v>-7.0000000000000007E-2</v>
      </c>
      <c r="BG295" s="348">
        <v>-7.0000000000000007E-2</v>
      </c>
      <c r="BH295" s="154">
        <v>-0.06</v>
      </c>
      <c r="BI295" s="154">
        <v>-0.11</v>
      </c>
      <c r="BJ295" s="154">
        <v>-0.1</v>
      </c>
      <c r="BK295" s="154">
        <v>-0.17</v>
      </c>
      <c r="BL295" s="348">
        <v>-0.17</v>
      </c>
      <c r="BM295" s="154"/>
      <c r="BN295" s="154"/>
      <c r="BO295" s="154"/>
      <c r="BP295" s="154"/>
      <c r="BQ295" s="348"/>
      <c r="BR295" s="154"/>
      <c r="BS295" s="154"/>
      <c r="BT295" s="154"/>
      <c r="BU295" s="154"/>
      <c r="BV295" s="154"/>
      <c r="BW295" s="154"/>
      <c r="BX295" s="154"/>
      <c r="BY295" s="154"/>
      <c r="BZ295" s="154"/>
      <c r="CA295" s="154"/>
      <c r="CB295" s="154"/>
      <c r="CC295" s="154"/>
      <c r="CD295" s="154"/>
      <c r="CE295" s="154"/>
      <c r="CF295" s="154"/>
      <c r="CG295" s="154"/>
      <c r="CH295" s="154"/>
      <c r="CI295" s="154"/>
      <c r="CJ295" s="154"/>
      <c r="CK295" s="154"/>
      <c r="CL295" s="154"/>
      <c r="CM295" s="154"/>
      <c r="CN295" s="154"/>
      <c r="CO295" s="154"/>
      <c r="CP295" s="154"/>
    </row>
    <row r="296" spans="1:94" x14ac:dyDescent="0.25">
      <c r="A296" s="52" t="s">
        <v>324</v>
      </c>
      <c r="B296" s="123"/>
      <c r="C296" s="154"/>
      <c r="D296" s="154"/>
      <c r="E296" s="154"/>
      <c r="F296" s="154"/>
      <c r="G296" s="154"/>
      <c r="H296" s="154"/>
      <c r="I296" s="154"/>
      <c r="J296" s="154"/>
      <c r="K296" s="154"/>
      <c r="L296" s="154"/>
      <c r="M296" s="154"/>
      <c r="N296" s="154"/>
      <c r="O296" s="154"/>
      <c r="P296" s="154"/>
      <c r="Q296" s="154"/>
      <c r="R296" s="154"/>
      <c r="S296" s="154"/>
      <c r="T296" s="154"/>
      <c r="U296" s="154"/>
      <c r="V296" s="154"/>
      <c r="W296" s="154"/>
      <c r="X296" s="154"/>
      <c r="Y296" s="154"/>
      <c r="Z296" s="154"/>
      <c r="AA296" s="154"/>
      <c r="AB296" s="154"/>
      <c r="AC296" s="154"/>
      <c r="AD296" s="154"/>
      <c r="AE296" s="154"/>
      <c r="AF296" s="154"/>
      <c r="AG296" s="154"/>
      <c r="AH296" s="154"/>
      <c r="AI296" s="318"/>
      <c r="AJ296" s="318"/>
      <c r="AK296" s="318"/>
      <c r="AL296" s="318"/>
      <c r="AM296" s="155">
        <f>AM304</f>
        <v>-0.02</v>
      </c>
      <c r="AN296" s="318">
        <f t="shared" ref="AN296:BB296" si="390">AN304</f>
        <v>0.11</v>
      </c>
      <c r="AO296" s="319">
        <f t="shared" si="390"/>
        <v>0.14000000000000001</v>
      </c>
      <c r="AP296" s="322">
        <f t="shared" si="390"/>
        <v>0.1</v>
      </c>
      <c r="AQ296" s="154">
        <f t="shared" si="390"/>
        <v>0.09</v>
      </c>
      <c r="AR296" s="326">
        <f t="shared" si="390"/>
        <v>0.09</v>
      </c>
      <c r="AS296" s="318">
        <f t="shared" si="390"/>
        <v>0.04</v>
      </c>
      <c r="AT296" s="154">
        <f t="shared" si="390"/>
        <v>0.01</v>
      </c>
      <c r="AU296" s="154">
        <f t="shared" si="390"/>
        <v>0.02</v>
      </c>
      <c r="AV296" s="154">
        <f t="shared" si="390"/>
        <v>0.03</v>
      </c>
      <c r="AW296" s="155">
        <f t="shared" si="390"/>
        <v>0.03</v>
      </c>
      <c r="AX296" s="154">
        <f t="shared" si="390"/>
        <v>-0.05</v>
      </c>
      <c r="AY296" s="154">
        <f t="shared" si="390"/>
        <v>-0.01</v>
      </c>
      <c r="AZ296" s="154">
        <f t="shared" si="390"/>
        <v>7.0000000000000007E-2</v>
      </c>
      <c r="BA296" s="154">
        <f t="shared" si="390"/>
        <v>0.02</v>
      </c>
      <c r="BB296" s="155">
        <f t="shared" si="390"/>
        <v>0.02</v>
      </c>
      <c r="BC296" s="154">
        <v>-0.1</v>
      </c>
      <c r="BD296" s="154">
        <v>-7.0000000000000007E-2</v>
      </c>
      <c r="BE296" s="154">
        <v>-0.13</v>
      </c>
      <c r="BF296" s="154">
        <v>-0.11</v>
      </c>
      <c r="BG296" s="348">
        <v>-0.11</v>
      </c>
      <c r="BH296" s="154">
        <v>-0.18</v>
      </c>
      <c r="BI296" s="154">
        <v>-0.15</v>
      </c>
      <c r="BJ296" s="154">
        <v>-0.17</v>
      </c>
      <c r="BK296" s="154">
        <v>-0.16</v>
      </c>
      <c r="BL296" s="348">
        <v>-0.16</v>
      </c>
      <c r="BM296" s="154">
        <v>-0.1</v>
      </c>
      <c r="BN296" s="154">
        <v>-0.17</v>
      </c>
      <c r="BO296" s="154">
        <v>-0.1</v>
      </c>
      <c r="BP296" s="154">
        <v>-0.1</v>
      </c>
      <c r="BQ296" s="348">
        <v>-0.1</v>
      </c>
      <c r="BR296" s="154">
        <v>0.17</v>
      </c>
      <c r="BS296" s="154">
        <v>0.18</v>
      </c>
      <c r="BT296" s="154"/>
      <c r="BU296" s="154"/>
      <c r="BV296" s="154"/>
      <c r="BW296" s="154"/>
      <c r="BX296" s="154"/>
      <c r="BY296" s="154"/>
      <c r="BZ296" s="154"/>
      <c r="CA296" s="154"/>
      <c r="CB296" s="154"/>
      <c r="CC296" s="154"/>
      <c r="CD296" s="154"/>
      <c r="CE296" s="154"/>
      <c r="CF296" s="154"/>
      <c r="CG296" s="154"/>
      <c r="CH296" s="154"/>
      <c r="CI296" s="154"/>
      <c r="CJ296" s="154"/>
      <c r="CK296" s="154"/>
      <c r="CL296" s="154"/>
      <c r="CM296" s="154"/>
      <c r="CN296" s="154"/>
      <c r="CO296" s="154"/>
      <c r="CP296" s="154"/>
    </row>
    <row r="297" spans="1:94" x14ac:dyDescent="0.25">
      <c r="A297" s="312" t="s">
        <v>283</v>
      </c>
      <c r="B297" s="123"/>
      <c r="C297" s="154"/>
      <c r="D297" s="154"/>
      <c r="E297" s="154"/>
      <c r="F297" s="154"/>
      <c r="G297" s="154"/>
      <c r="H297" s="154"/>
      <c r="I297" s="154"/>
      <c r="J297" s="154"/>
      <c r="K297" s="154"/>
      <c r="L297" s="154"/>
      <c r="M297" s="154"/>
      <c r="N297" s="154"/>
      <c r="O297" s="154"/>
      <c r="P297" s="154"/>
      <c r="Q297" s="154"/>
      <c r="R297" s="154"/>
      <c r="S297" s="154"/>
      <c r="T297" s="154"/>
      <c r="U297" s="154"/>
      <c r="V297" s="154"/>
      <c r="W297" s="154"/>
      <c r="X297" s="154"/>
      <c r="Y297" s="154"/>
      <c r="Z297" s="154"/>
      <c r="AA297" s="154"/>
      <c r="AB297" s="154"/>
      <c r="AC297" s="154"/>
      <c r="AD297" s="154"/>
      <c r="AE297" s="154"/>
      <c r="AF297" s="154"/>
      <c r="AG297" s="154"/>
      <c r="AH297" s="154"/>
      <c r="AI297" s="318"/>
      <c r="AJ297" s="318"/>
      <c r="AK297" s="318"/>
      <c r="AL297" s="318"/>
      <c r="AM297" s="155">
        <f>AM302</f>
        <v>0.16</v>
      </c>
      <c r="AN297" s="318">
        <f t="shared" ref="AN297:BB297" si="391">AN302</f>
        <v>-7.0000000000000007E-2</v>
      </c>
      <c r="AO297" s="319">
        <f t="shared" si="391"/>
        <v>0.01</v>
      </c>
      <c r="AP297" s="322">
        <f t="shared" si="391"/>
        <v>-0.06</v>
      </c>
      <c r="AQ297" s="154">
        <f t="shared" si="391"/>
        <v>-0.03</v>
      </c>
      <c r="AR297" s="326">
        <f t="shared" si="391"/>
        <v>-0.03</v>
      </c>
      <c r="AS297" s="318">
        <f t="shared" si="391"/>
        <v>0.16</v>
      </c>
      <c r="AT297" s="154">
        <f t="shared" si="391"/>
        <v>0.02</v>
      </c>
      <c r="AU297" s="154">
        <f t="shared" si="391"/>
        <v>0.02</v>
      </c>
      <c r="AV297" s="154">
        <f t="shared" si="391"/>
        <v>0.02</v>
      </c>
      <c r="AW297" s="155">
        <f t="shared" si="391"/>
        <v>0.02</v>
      </c>
      <c r="AX297" s="154">
        <f t="shared" si="391"/>
        <v>0.08</v>
      </c>
      <c r="AY297" s="154">
        <f t="shared" si="391"/>
        <v>-0.03</v>
      </c>
      <c r="AZ297" s="154">
        <f t="shared" si="391"/>
        <v>-0.02</v>
      </c>
      <c r="BA297" s="154">
        <f t="shared" si="391"/>
        <v>0</v>
      </c>
      <c r="BB297" s="155">
        <f t="shared" si="391"/>
        <v>0</v>
      </c>
      <c r="BC297" s="154">
        <v>0.2</v>
      </c>
      <c r="BD297" s="154">
        <v>0.09</v>
      </c>
      <c r="BE297" s="154">
        <v>0.03</v>
      </c>
      <c r="BF297" s="154">
        <v>0.06</v>
      </c>
      <c r="BG297" s="348">
        <v>0.06</v>
      </c>
      <c r="BH297" s="154">
        <v>-0.05</v>
      </c>
      <c r="BI297" s="154">
        <v>-0.06</v>
      </c>
      <c r="BJ297" s="154">
        <v>-7.0000000000000007E-2</v>
      </c>
      <c r="BK297" s="154">
        <v>-0.05</v>
      </c>
      <c r="BL297" s="348">
        <v>-0.05</v>
      </c>
      <c r="BM297" s="154">
        <v>0.09</v>
      </c>
      <c r="BN297" s="154">
        <v>0.03</v>
      </c>
      <c r="BO297" s="154">
        <v>0</v>
      </c>
      <c r="BP297" s="154">
        <v>0</v>
      </c>
      <c r="BQ297" s="348">
        <v>0</v>
      </c>
      <c r="BR297" s="154">
        <v>0.19</v>
      </c>
      <c r="BS297" s="154">
        <v>0.15</v>
      </c>
      <c r="BT297" s="154"/>
      <c r="BU297" s="154"/>
      <c r="BV297" s="154"/>
      <c r="BW297" s="154"/>
      <c r="BX297" s="154"/>
      <c r="BY297" s="154"/>
      <c r="BZ297" s="154"/>
      <c r="CA297" s="154"/>
      <c r="CB297" s="154"/>
      <c r="CC297" s="154"/>
      <c r="CD297" s="154"/>
      <c r="CE297" s="154"/>
      <c r="CF297" s="154"/>
      <c r="CG297" s="154"/>
      <c r="CH297" s="154"/>
      <c r="CI297" s="154"/>
      <c r="CJ297" s="154"/>
      <c r="CK297" s="154"/>
      <c r="CL297" s="154"/>
      <c r="CM297" s="154"/>
      <c r="CN297" s="154"/>
      <c r="CO297" s="154"/>
      <c r="CP297" s="154"/>
    </row>
    <row r="298" spans="1:94" x14ac:dyDescent="0.25">
      <c r="A298" s="312" t="s">
        <v>284</v>
      </c>
      <c r="B298" s="123"/>
      <c r="C298" s="154"/>
      <c r="D298" s="154"/>
      <c r="E298" s="154"/>
      <c r="F298" s="154"/>
      <c r="G298" s="154"/>
      <c r="H298" s="154"/>
      <c r="I298" s="154"/>
      <c r="J298" s="154"/>
      <c r="K298" s="154"/>
      <c r="L298" s="154"/>
      <c r="M298" s="154"/>
      <c r="N298" s="154"/>
      <c r="O298" s="154"/>
      <c r="P298" s="154"/>
      <c r="Q298" s="154"/>
      <c r="R298" s="154"/>
      <c r="S298" s="154"/>
      <c r="T298" s="154"/>
      <c r="U298" s="154"/>
      <c r="V298" s="154"/>
      <c r="W298" s="154"/>
      <c r="X298" s="154"/>
      <c r="Y298" s="154"/>
      <c r="Z298" s="154"/>
      <c r="AA298" s="154"/>
      <c r="AB298" s="154"/>
      <c r="AC298" s="154"/>
      <c r="AD298" s="154"/>
      <c r="AE298" s="154"/>
      <c r="AF298" s="154"/>
      <c r="AG298" s="154"/>
      <c r="AH298" s="154"/>
      <c r="AI298" s="318"/>
      <c r="AJ298" s="318"/>
      <c r="AK298" s="318"/>
      <c r="AL298" s="318"/>
      <c r="AM298" s="155">
        <f>AM303</f>
        <v>0.11</v>
      </c>
      <c r="AN298" s="318">
        <f t="shared" ref="AN298:BB298" si="392">AN303</f>
        <v>0.1</v>
      </c>
      <c r="AO298" s="319">
        <f t="shared" si="392"/>
        <v>0.13</v>
      </c>
      <c r="AP298" s="322">
        <f t="shared" si="392"/>
        <v>0.05</v>
      </c>
      <c r="AQ298" s="154">
        <f t="shared" si="392"/>
        <v>0.05</v>
      </c>
      <c r="AR298" s="326">
        <f t="shared" si="392"/>
        <v>0.05</v>
      </c>
      <c r="AS298" s="318">
        <f t="shared" si="392"/>
        <v>-0.05</v>
      </c>
      <c r="AT298" s="154">
        <f t="shared" si="392"/>
        <v>0</v>
      </c>
      <c r="AU298" s="154">
        <f t="shared" si="392"/>
        <v>0.13</v>
      </c>
      <c r="AV298" s="154">
        <f t="shared" si="392"/>
        <v>0.13</v>
      </c>
      <c r="AW298" s="155">
        <f t="shared" si="392"/>
        <v>0.13</v>
      </c>
      <c r="AX298" s="154">
        <f t="shared" si="392"/>
        <v>-0.33</v>
      </c>
      <c r="AY298" s="154">
        <f t="shared" si="392"/>
        <v>-0.13</v>
      </c>
      <c r="AZ298" s="154">
        <f t="shared" si="392"/>
        <v>-0.09</v>
      </c>
      <c r="BA298" s="154">
        <f t="shared" si="392"/>
        <v>-0.1</v>
      </c>
      <c r="BB298" s="155">
        <f t="shared" si="392"/>
        <v>-0.1</v>
      </c>
      <c r="BC298" s="154">
        <v>0.63</v>
      </c>
      <c r="BD298" s="154">
        <v>0.09</v>
      </c>
      <c r="BE298" s="154">
        <v>0.01</v>
      </c>
      <c r="BF298" s="154">
        <v>-0.03</v>
      </c>
      <c r="BG298" s="348">
        <v>-0.03</v>
      </c>
      <c r="BH298" s="154">
        <v>0.28000000000000003</v>
      </c>
      <c r="BI298" s="154">
        <v>0.08</v>
      </c>
      <c r="BJ298" s="154">
        <v>0.04</v>
      </c>
      <c r="BK298" s="154">
        <v>0.02</v>
      </c>
      <c r="BL298" s="348">
        <v>0.02</v>
      </c>
      <c r="BM298" s="154">
        <v>-0.1</v>
      </c>
      <c r="BN298" s="154">
        <v>0.03</v>
      </c>
      <c r="BO298" s="154">
        <v>0</v>
      </c>
      <c r="BP298" s="154">
        <v>0.02</v>
      </c>
      <c r="BQ298" s="348">
        <v>0.02</v>
      </c>
      <c r="BR298" s="154"/>
      <c r="BS298" s="154"/>
      <c r="BT298" s="154"/>
      <c r="BU298" s="154"/>
      <c r="BV298" s="154"/>
      <c r="BW298" s="154"/>
      <c r="BX298" s="154"/>
      <c r="BY298" s="154"/>
      <c r="BZ298" s="154"/>
      <c r="CA298" s="154"/>
      <c r="CB298" s="154"/>
      <c r="CC298" s="154"/>
      <c r="CD298" s="154"/>
      <c r="CE298" s="154"/>
      <c r="CF298" s="154"/>
      <c r="CG298" s="154"/>
      <c r="CH298" s="154"/>
      <c r="CI298" s="154"/>
      <c r="CJ298" s="154"/>
      <c r="CK298" s="154"/>
      <c r="CL298" s="154"/>
      <c r="CM298" s="154"/>
      <c r="CN298" s="154"/>
      <c r="CO298" s="154"/>
      <c r="CP298" s="154"/>
    </row>
    <row r="299" spans="1:94" x14ac:dyDescent="0.25">
      <c r="A299" s="312" t="s">
        <v>325</v>
      </c>
      <c r="B299" s="123"/>
      <c r="C299" s="154"/>
      <c r="D299" s="154"/>
      <c r="E299" s="154"/>
      <c r="F299" s="154"/>
      <c r="G299" s="154"/>
      <c r="H299" s="154"/>
      <c r="I299" s="154"/>
      <c r="J299" s="154"/>
      <c r="K299" s="154"/>
      <c r="L299" s="154"/>
      <c r="M299" s="154"/>
      <c r="N299" s="154"/>
      <c r="O299" s="154"/>
      <c r="P299" s="154"/>
      <c r="Q299" s="154"/>
      <c r="R299" s="154"/>
      <c r="S299" s="154"/>
      <c r="T299" s="154"/>
      <c r="U299" s="154"/>
      <c r="V299" s="154"/>
      <c r="W299" s="154"/>
      <c r="X299" s="154"/>
      <c r="Y299" s="154"/>
      <c r="Z299" s="154"/>
      <c r="AA299" s="154"/>
      <c r="AB299" s="154"/>
      <c r="AC299" s="154"/>
      <c r="AD299" s="154"/>
      <c r="AE299" s="154"/>
      <c r="AF299" s="154"/>
      <c r="AG299" s="154"/>
      <c r="AH299" s="154"/>
      <c r="AI299" s="318"/>
      <c r="AJ299" s="318"/>
      <c r="AK299" s="318"/>
      <c r="AL299" s="318"/>
      <c r="AM299" s="326"/>
      <c r="AN299" s="318"/>
      <c r="AO299" s="319"/>
      <c r="AP299" s="322"/>
      <c r="AQ299" s="154"/>
      <c r="AR299" s="326"/>
      <c r="AS299" s="318"/>
      <c r="AT299" s="154"/>
      <c r="AU299" s="154"/>
      <c r="AV299" s="154"/>
      <c r="AW299" s="155"/>
      <c r="AX299" s="154"/>
      <c r="AY299" s="154"/>
      <c r="AZ299" s="154"/>
      <c r="BA299" s="154"/>
      <c r="BB299" s="155"/>
      <c r="BC299" s="154">
        <v>0.25</v>
      </c>
      <c r="BD299" s="154">
        <v>0.2</v>
      </c>
      <c r="BE299" s="154">
        <v>0.17</v>
      </c>
      <c r="BF299" s="154">
        <v>0.24</v>
      </c>
      <c r="BG299" s="348">
        <v>0.24</v>
      </c>
      <c r="BH299" s="154">
        <v>0.14000000000000001</v>
      </c>
      <c r="BI299" s="154">
        <v>-0.02</v>
      </c>
      <c r="BJ299" s="154">
        <v>0</v>
      </c>
      <c r="BK299" s="154">
        <v>0</v>
      </c>
      <c r="BL299" s="348">
        <v>0</v>
      </c>
      <c r="BM299" s="154">
        <v>0.16</v>
      </c>
      <c r="BN299" s="154">
        <v>0.12</v>
      </c>
      <c r="BO299" s="154">
        <v>0.11</v>
      </c>
      <c r="BP299" s="154">
        <v>0.09</v>
      </c>
      <c r="BQ299" s="348">
        <v>0.09</v>
      </c>
      <c r="BR299" s="154">
        <v>0.11</v>
      </c>
      <c r="BS299" s="154">
        <v>0.15</v>
      </c>
      <c r="BT299" s="154"/>
      <c r="BU299" s="154"/>
      <c r="BV299" s="154"/>
      <c r="BW299" s="154"/>
      <c r="BX299" s="154"/>
      <c r="BY299" s="154"/>
      <c r="BZ299" s="154"/>
      <c r="CA299" s="154"/>
      <c r="CB299" s="154"/>
      <c r="CC299" s="154"/>
      <c r="CD299" s="154"/>
      <c r="CE299" s="154"/>
      <c r="CF299" s="154"/>
      <c r="CG299" s="154"/>
      <c r="CH299" s="154"/>
      <c r="CI299" s="154"/>
      <c r="CJ299" s="154"/>
      <c r="CK299" s="154"/>
      <c r="CL299" s="154"/>
      <c r="CM299" s="154"/>
      <c r="CN299" s="154"/>
      <c r="CO299" s="154"/>
      <c r="CP299" s="154"/>
    </row>
    <row r="300" spans="1:94" x14ac:dyDescent="0.25">
      <c r="A300" s="210" t="s">
        <v>326</v>
      </c>
      <c r="B300" s="123"/>
      <c r="C300" s="154"/>
      <c r="D300" s="154"/>
      <c r="E300" s="154"/>
      <c r="F300" s="154"/>
      <c r="G300" s="154"/>
      <c r="H300" s="154"/>
      <c r="I300" s="154"/>
      <c r="J300" s="154"/>
      <c r="K300" s="154"/>
      <c r="L300" s="154"/>
      <c r="M300" s="154"/>
      <c r="N300" s="154"/>
      <c r="O300" s="154"/>
      <c r="P300" s="154"/>
      <c r="Q300" s="154"/>
      <c r="R300" s="154"/>
      <c r="S300" s="154"/>
      <c r="T300" s="154"/>
      <c r="U300" s="154"/>
      <c r="V300" s="154"/>
      <c r="W300" s="154"/>
      <c r="X300" s="154"/>
      <c r="Y300" s="154"/>
      <c r="Z300" s="154"/>
      <c r="AA300" s="154"/>
      <c r="AB300" s="154"/>
      <c r="AC300" s="154"/>
      <c r="AD300" s="154"/>
      <c r="AE300" s="154"/>
      <c r="AF300" s="154"/>
      <c r="AG300" s="154"/>
      <c r="AH300" s="154"/>
      <c r="AI300" s="318"/>
      <c r="AJ300" s="318"/>
      <c r="AK300" s="318"/>
      <c r="AL300" s="318"/>
      <c r="AM300" s="326"/>
      <c r="AN300" s="318"/>
      <c r="AO300" s="319"/>
      <c r="AP300" s="322"/>
      <c r="AQ300" s="154"/>
      <c r="AR300" s="326"/>
      <c r="AS300" s="318"/>
      <c r="AT300" s="154"/>
      <c r="AU300" s="154"/>
      <c r="AV300" s="154"/>
      <c r="AW300" s="155"/>
      <c r="AX300" s="154"/>
      <c r="AY300" s="154"/>
      <c r="AZ300" s="154"/>
      <c r="BA300" s="154"/>
      <c r="BB300" s="155"/>
      <c r="BC300" s="154">
        <v>0.35</v>
      </c>
      <c r="BD300" s="154">
        <v>0.34</v>
      </c>
      <c r="BE300" s="154">
        <v>0.3</v>
      </c>
      <c r="BF300" s="154">
        <v>0.33</v>
      </c>
      <c r="BG300" s="348">
        <v>0.33</v>
      </c>
      <c r="BH300" s="154">
        <v>0.26</v>
      </c>
      <c r="BI300" s="154">
        <v>0.28999999999999998</v>
      </c>
      <c r="BJ300" s="154">
        <v>0.3</v>
      </c>
      <c r="BK300" s="154">
        <v>0.28999999999999998</v>
      </c>
      <c r="BL300" s="348">
        <v>0.28999999999999998</v>
      </c>
      <c r="BM300" s="154">
        <v>0.19</v>
      </c>
      <c r="BN300" s="154">
        <v>0.12</v>
      </c>
      <c r="BO300" s="154">
        <v>0.15</v>
      </c>
      <c r="BP300" s="154">
        <v>0.14000000000000001</v>
      </c>
      <c r="BQ300" s="348">
        <v>0.14000000000000001</v>
      </c>
      <c r="BR300" s="154">
        <v>0.16</v>
      </c>
      <c r="BS300" s="154">
        <v>0.23</v>
      </c>
      <c r="BT300" s="154"/>
      <c r="BU300" s="154"/>
      <c r="BV300" s="154"/>
      <c r="BW300" s="154"/>
      <c r="BX300" s="154"/>
      <c r="BY300" s="154"/>
      <c r="BZ300" s="154"/>
      <c r="CA300" s="154"/>
      <c r="CB300" s="154"/>
      <c r="CC300" s="154"/>
      <c r="CD300" s="154"/>
      <c r="CE300" s="154"/>
      <c r="CF300" s="154"/>
      <c r="CG300" s="154"/>
      <c r="CH300" s="154"/>
      <c r="CI300" s="154"/>
      <c r="CJ300" s="154"/>
      <c r="CK300" s="154"/>
      <c r="CL300" s="154"/>
      <c r="CM300" s="154"/>
      <c r="CN300" s="154"/>
      <c r="CO300" s="154"/>
      <c r="CP300" s="154"/>
    </row>
    <row r="301" spans="1:94" x14ac:dyDescent="0.25">
      <c r="A301" s="52" t="s">
        <v>282</v>
      </c>
      <c r="B301" s="123"/>
      <c r="C301" s="154"/>
      <c r="D301" s="154"/>
      <c r="E301" s="154"/>
      <c r="F301" s="154"/>
      <c r="G301" s="154"/>
      <c r="H301" s="154"/>
      <c r="I301" s="154"/>
      <c r="J301" s="154"/>
      <c r="K301" s="154"/>
      <c r="L301" s="154"/>
      <c r="M301" s="154"/>
      <c r="N301" s="154"/>
      <c r="O301" s="154"/>
      <c r="P301" s="154"/>
      <c r="Q301" s="154"/>
      <c r="R301" s="154"/>
      <c r="S301" s="154"/>
      <c r="T301" s="154"/>
      <c r="U301" s="154"/>
      <c r="V301" s="154"/>
      <c r="W301" s="154"/>
      <c r="X301" s="154"/>
      <c r="Y301" s="154"/>
      <c r="Z301" s="154"/>
      <c r="AA301" s="154"/>
      <c r="AB301" s="154"/>
      <c r="AC301" s="154"/>
      <c r="AD301" s="154"/>
      <c r="AE301" s="154"/>
      <c r="AF301" s="154"/>
      <c r="AG301" s="154"/>
      <c r="AH301" s="154"/>
      <c r="AI301" s="318">
        <v>0.34</v>
      </c>
      <c r="AJ301" s="318">
        <v>0.18</v>
      </c>
      <c r="AK301" s="318">
        <v>0.18</v>
      </c>
      <c r="AL301" s="318">
        <v>0.14000000000000001</v>
      </c>
      <c r="AM301" s="326">
        <v>0.14000000000000001</v>
      </c>
      <c r="AN301" s="318">
        <v>0</v>
      </c>
      <c r="AO301" s="319">
        <v>0.06</v>
      </c>
      <c r="AP301" s="322">
        <v>-0.02</v>
      </c>
      <c r="AQ301" s="154">
        <f t="shared" si="386"/>
        <v>0</v>
      </c>
      <c r="AR301" s="326">
        <v>0</v>
      </c>
      <c r="AS301" s="318">
        <v>0.01</v>
      </c>
      <c r="AT301" s="154">
        <v>0.01</v>
      </c>
      <c r="AU301" s="154">
        <v>0.06</v>
      </c>
      <c r="AV301" s="154">
        <f t="shared" si="387"/>
        <v>0.06</v>
      </c>
      <c r="AW301" s="155">
        <v>0.06</v>
      </c>
      <c r="AX301" s="154">
        <v>-0.17</v>
      </c>
      <c r="AY301" s="154">
        <v>-7.0000000000000007E-2</v>
      </c>
      <c r="AZ301" s="154">
        <v>-0.04</v>
      </c>
      <c r="BA301" s="154">
        <f t="shared" si="388"/>
        <v>-0.04</v>
      </c>
      <c r="BB301" s="155">
        <v>-0.04</v>
      </c>
      <c r="BC301" s="154"/>
      <c r="BD301" s="154"/>
      <c r="BE301" s="154"/>
      <c r="BF301" s="154"/>
      <c r="BG301" s="348"/>
      <c r="BH301" s="154"/>
      <c r="BI301" s="154"/>
      <c r="BJ301" s="154"/>
      <c r="BK301" s="154"/>
      <c r="BL301" s="348"/>
      <c r="BM301" s="154"/>
      <c r="BN301" s="154"/>
      <c r="BO301" s="154"/>
      <c r="BP301" s="154"/>
      <c r="BQ301" s="348"/>
      <c r="BR301" s="154"/>
      <c r="BS301" s="154"/>
      <c r="BT301" s="154"/>
      <c r="BU301" s="154"/>
      <c r="BV301" s="154"/>
      <c r="BW301" s="154"/>
      <c r="BX301" s="154"/>
      <c r="BY301" s="154"/>
      <c r="BZ301" s="154"/>
      <c r="CA301" s="154"/>
      <c r="CB301" s="154"/>
      <c r="CC301" s="154"/>
      <c r="CD301" s="154"/>
      <c r="CE301" s="154"/>
      <c r="CF301" s="154"/>
      <c r="CG301" s="154"/>
      <c r="CH301" s="154"/>
      <c r="CI301" s="154"/>
      <c r="CJ301" s="154"/>
      <c r="CK301" s="154"/>
      <c r="CL301" s="154"/>
      <c r="CM301" s="154"/>
      <c r="CN301" s="154"/>
      <c r="CO301" s="154"/>
      <c r="CP301" s="154"/>
    </row>
    <row r="302" spans="1:94" x14ac:dyDescent="0.25">
      <c r="A302" s="312" t="s">
        <v>283</v>
      </c>
      <c r="B302" s="123"/>
      <c r="C302" s="154"/>
      <c r="D302" s="154"/>
      <c r="E302" s="154"/>
      <c r="F302" s="154"/>
      <c r="G302" s="154"/>
      <c r="H302" s="154"/>
      <c r="I302" s="154"/>
      <c r="J302" s="154"/>
      <c r="K302" s="154"/>
      <c r="L302" s="154"/>
      <c r="M302" s="154"/>
      <c r="N302" s="154"/>
      <c r="O302" s="154"/>
      <c r="P302" s="154"/>
      <c r="Q302" s="154"/>
      <c r="R302" s="154"/>
      <c r="S302" s="154"/>
      <c r="T302" s="154"/>
      <c r="U302" s="154"/>
      <c r="V302" s="154"/>
      <c r="W302" s="154"/>
      <c r="X302" s="154"/>
      <c r="Y302" s="154"/>
      <c r="Z302" s="154"/>
      <c r="AA302" s="154"/>
      <c r="AB302" s="154"/>
      <c r="AC302" s="154"/>
      <c r="AD302" s="154"/>
      <c r="AE302" s="154"/>
      <c r="AF302" s="154"/>
      <c r="AG302" s="154"/>
      <c r="AH302" s="154"/>
      <c r="AI302" s="318">
        <v>0.3</v>
      </c>
      <c r="AJ302" s="318">
        <v>0.21</v>
      </c>
      <c r="AK302" s="318">
        <v>0.2</v>
      </c>
      <c r="AL302" s="318">
        <v>0.16</v>
      </c>
      <c r="AM302" s="326">
        <v>0.16</v>
      </c>
      <c r="AN302" s="318">
        <v>-7.0000000000000007E-2</v>
      </c>
      <c r="AO302" s="319">
        <v>0.01</v>
      </c>
      <c r="AP302" s="322">
        <v>-0.06</v>
      </c>
      <c r="AQ302" s="154">
        <f t="shared" si="386"/>
        <v>-0.03</v>
      </c>
      <c r="AR302" s="326">
        <v>-0.03</v>
      </c>
      <c r="AS302" s="318">
        <v>0.16</v>
      </c>
      <c r="AT302" s="154">
        <v>0.02</v>
      </c>
      <c r="AU302" s="154">
        <v>0.02</v>
      </c>
      <c r="AV302" s="154">
        <f t="shared" si="387"/>
        <v>0.02</v>
      </c>
      <c r="AW302" s="155">
        <v>0.02</v>
      </c>
      <c r="AX302" s="154">
        <v>0.08</v>
      </c>
      <c r="AY302" s="154">
        <v>-0.03</v>
      </c>
      <c r="AZ302" s="154">
        <v>-0.02</v>
      </c>
      <c r="BA302" s="154">
        <f t="shared" si="388"/>
        <v>0</v>
      </c>
      <c r="BB302" s="155">
        <v>0</v>
      </c>
      <c r="BC302" s="154"/>
      <c r="BD302" s="154"/>
      <c r="BE302" s="154"/>
      <c r="BF302" s="154"/>
      <c r="BG302" s="348"/>
      <c r="BH302" s="154"/>
      <c r="BI302" s="154"/>
      <c r="BJ302" s="154"/>
      <c r="BK302" s="154"/>
      <c r="BL302" s="348"/>
      <c r="BM302" s="154"/>
      <c r="BN302" s="154"/>
      <c r="BO302" s="154"/>
      <c r="BP302" s="154"/>
      <c r="BQ302" s="348"/>
      <c r="BR302" s="154"/>
      <c r="BS302" s="154"/>
      <c r="BT302" s="154"/>
      <c r="BU302" s="154"/>
      <c r="BV302" s="154"/>
      <c r="BW302" s="154"/>
      <c r="BX302" s="154"/>
      <c r="BY302" s="154"/>
      <c r="BZ302" s="154"/>
      <c r="CA302" s="154"/>
      <c r="CB302" s="154"/>
      <c r="CC302" s="154"/>
      <c r="CD302" s="154"/>
      <c r="CE302" s="154"/>
      <c r="CF302" s="154"/>
      <c r="CG302" s="154"/>
      <c r="CH302" s="154"/>
      <c r="CI302" s="154"/>
      <c r="CJ302" s="154"/>
      <c r="CK302" s="154"/>
      <c r="CL302" s="154"/>
      <c r="CM302" s="154"/>
      <c r="CN302" s="154"/>
      <c r="CO302" s="154"/>
      <c r="CP302" s="154"/>
    </row>
    <row r="303" spans="1:94" x14ac:dyDescent="0.25">
      <c r="A303" s="312" t="s">
        <v>284</v>
      </c>
      <c r="B303" s="123"/>
      <c r="C303" s="154"/>
      <c r="D303" s="154"/>
      <c r="E303" s="154"/>
      <c r="F303" s="154"/>
      <c r="G303" s="154"/>
      <c r="H303" s="154"/>
      <c r="I303" s="154"/>
      <c r="J303" s="154"/>
      <c r="K303" s="154"/>
      <c r="L303" s="154"/>
      <c r="M303" s="154"/>
      <c r="N303" s="154"/>
      <c r="O303" s="154"/>
      <c r="P303" s="154"/>
      <c r="Q303" s="154"/>
      <c r="R303" s="154"/>
      <c r="S303" s="154"/>
      <c r="T303" s="154"/>
      <c r="U303" s="154"/>
      <c r="V303" s="154"/>
      <c r="W303" s="154"/>
      <c r="X303" s="154"/>
      <c r="Y303" s="154"/>
      <c r="Z303" s="154"/>
      <c r="AA303" s="154"/>
      <c r="AB303" s="154"/>
      <c r="AC303" s="154"/>
      <c r="AD303" s="154"/>
      <c r="AE303" s="154"/>
      <c r="AF303" s="154"/>
      <c r="AG303" s="154"/>
      <c r="AH303" s="154"/>
      <c r="AI303" s="318">
        <v>0.4</v>
      </c>
      <c r="AJ303" s="318">
        <v>0.14000000000000001</v>
      </c>
      <c r="AK303" s="318">
        <v>0.14000000000000001</v>
      </c>
      <c r="AL303" s="318">
        <v>0.11</v>
      </c>
      <c r="AM303" s="326">
        <v>0.11</v>
      </c>
      <c r="AN303" s="318">
        <v>0.1</v>
      </c>
      <c r="AO303" s="319">
        <v>0.13</v>
      </c>
      <c r="AP303" s="322">
        <v>0.05</v>
      </c>
      <c r="AQ303" s="154">
        <f t="shared" si="386"/>
        <v>0.05</v>
      </c>
      <c r="AR303" s="326">
        <v>0.05</v>
      </c>
      <c r="AS303" s="318">
        <v>-0.05</v>
      </c>
      <c r="AT303" s="154">
        <v>0</v>
      </c>
      <c r="AU303" s="154">
        <v>0.13</v>
      </c>
      <c r="AV303" s="154">
        <f t="shared" si="387"/>
        <v>0.13</v>
      </c>
      <c r="AW303" s="155">
        <v>0.13</v>
      </c>
      <c r="AX303" s="154">
        <v>-0.33</v>
      </c>
      <c r="AY303" s="154">
        <v>-0.13</v>
      </c>
      <c r="AZ303" s="154">
        <v>-0.09</v>
      </c>
      <c r="BA303" s="154">
        <f t="shared" si="388"/>
        <v>-0.1</v>
      </c>
      <c r="BB303" s="155">
        <v>-0.1</v>
      </c>
      <c r="BC303" s="154"/>
      <c r="BD303" s="154"/>
      <c r="BE303" s="154"/>
      <c r="BF303" s="154"/>
      <c r="BG303" s="348"/>
      <c r="BH303" s="154"/>
      <c r="BI303" s="154"/>
      <c r="BJ303" s="154"/>
      <c r="BK303" s="154"/>
      <c r="BL303" s="348"/>
      <c r="BM303" s="154"/>
      <c r="BN303" s="154"/>
      <c r="BO303" s="154"/>
      <c r="BP303" s="154"/>
      <c r="BQ303" s="348"/>
      <c r="BR303" s="154"/>
      <c r="BS303" s="154"/>
      <c r="BT303" s="154"/>
      <c r="BU303" s="154"/>
      <c r="BV303" s="154"/>
      <c r="BW303" s="154"/>
      <c r="BX303" s="154"/>
      <c r="BY303" s="154"/>
      <c r="BZ303" s="154"/>
      <c r="CA303" s="154"/>
      <c r="CB303" s="154"/>
      <c r="CC303" s="154"/>
      <c r="CD303" s="154"/>
      <c r="CE303" s="154"/>
      <c r="CF303" s="154"/>
      <c r="CG303" s="154"/>
      <c r="CH303" s="154"/>
      <c r="CI303" s="154"/>
      <c r="CJ303" s="154"/>
      <c r="CK303" s="154"/>
      <c r="CL303" s="154"/>
      <c r="CM303" s="154"/>
      <c r="CN303" s="154"/>
      <c r="CO303" s="154"/>
      <c r="CP303" s="154"/>
    </row>
    <row r="304" spans="1:94" x14ac:dyDescent="0.25">
      <c r="A304" s="52" t="s">
        <v>168</v>
      </c>
      <c r="B304" s="123"/>
      <c r="C304" s="154"/>
      <c r="D304" s="154"/>
      <c r="E304" s="154"/>
      <c r="F304" s="154"/>
      <c r="G304" s="154"/>
      <c r="H304" s="154"/>
      <c r="I304" s="154"/>
      <c r="J304" s="154"/>
      <c r="K304" s="154"/>
      <c r="L304" s="154"/>
      <c r="M304" s="154"/>
      <c r="N304" s="154"/>
      <c r="O304" s="154"/>
      <c r="P304" s="154"/>
      <c r="Q304" s="154"/>
      <c r="R304" s="154"/>
      <c r="S304" s="154"/>
      <c r="T304" s="154"/>
      <c r="U304" s="154"/>
      <c r="V304" s="154"/>
      <c r="W304" s="154"/>
      <c r="X304" s="154"/>
      <c r="Y304" s="154"/>
      <c r="Z304" s="154"/>
      <c r="AA304" s="154"/>
      <c r="AB304" s="154"/>
      <c r="AC304" s="154"/>
      <c r="AD304" s="154"/>
      <c r="AE304" s="154"/>
      <c r="AF304" s="154"/>
      <c r="AG304" s="154"/>
      <c r="AH304" s="154"/>
      <c r="AI304" s="318">
        <v>0</v>
      </c>
      <c r="AJ304" s="318">
        <v>-0.03</v>
      </c>
      <c r="AK304" s="318">
        <v>-0.01</v>
      </c>
      <c r="AL304" s="318">
        <v>-0.02</v>
      </c>
      <c r="AM304" s="326">
        <v>-0.02</v>
      </c>
      <c r="AN304" s="318">
        <v>0.11</v>
      </c>
      <c r="AO304" s="319">
        <v>0.14000000000000001</v>
      </c>
      <c r="AP304" s="322">
        <v>0.1</v>
      </c>
      <c r="AQ304" s="154">
        <f t="shared" si="386"/>
        <v>0.09</v>
      </c>
      <c r="AR304" s="326">
        <v>0.09</v>
      </c>
      <c r="AS304" s="318">
        <v>0.04</v>
      </c>
      <c r="AT304" s="154">
        <v>0.01</v>
      </c>
      <c r="AU304" s="154">
        <v>0.02</v>
      </c>
      <c r="AV304" s="154">
        <f t="shared" si="387"/>
        <v>0.03</v>
      </c>
      <c r="AW304" s="155">
        <v>0.03</v>
      </c>
      <c r="AX304" s="154">
        <v>-0.05</v>
      </c>
      <c r="AY304" s="154">
        <v>-0.01</v>
      </c>
      <c r="AZ304" s="154">
        <v>7.0000000000000007E-2</v>
      </c>
      <c r="BA304" s="154">
        <f t="shared" si="388"/>
        <v>0.02</v>
      </c>
      <c r="BB304" s="155">
        <v>0.02</v>
      </c>
      <c r="BC304" s="154"/>
      <c r="BD304" s="154"/>
      <c r="BE304" s="154"/>
      <c r="BF304" s="154"/>
      <c r="BG304" s="348"/>
      <c r="BH304" s="154"/>
      <c r="BI304" s="154"/>
      <c r="BJ304" s="154"/>
      <c r="BK304" s="154"/>
      <c r="BL304" s="348"/>
      <c r="BM304" s="154"/>
      <c r="BN304" s="154"/>
      <c r="BO304" s="154"/>
      <c r="BP304" s="154"/>
      <c r="BQ304" s="348"/>
      <c r="BR304" s="154"/>
      <c r="BS304" s="154"/>
      <c r="BT304" s="154"/>
      <c r="BU304" s="154"/>
      <c r="BV304" s="154"/>
      <c r="BW304" s="154"/>
      <c r="BX304" s="154"/>
      <c r="BY304" s="154"/>
      <c r="BZ304" s="154"/>
      <c r="CA304" s="154"/>
      <c r="CB304" s="154"/>
      <c r="CC304" s="154"/>
      <c r="CD304" s="154"/>
      <c r="CE304" s="154"/>
      <c r="CF304" s="154"/>
      <c r="CG304" s="154"/>
      <c r="CH304" s="154"/>
      <c r="CI304" s="154"/>
      <c r="CJ304" s="154"/>
      <c r="CK304" s="154"/>
      <c r="CL304" s="154"/>
      <c r="CM304" s="154"/>
      <c r="CN304" s="154"/>
      <c r="CO304" s="154"/>
      <c r="CP304" s="154"/>
    </row>
    <row r="305" spans="1:109" x14ac:dyDescent="0.25">
      <c r="A305" s="312" t="s">
        <v>168</v>
      </c>
      <c r="B305" s="123"/>
      <c r="C305" s="154"/>
      <c r="D305" s="154"/>
      <c r="E305" s="154"/>
      <c r="F305" s="154"/>
      <c r="G305" s="154"/>
      <c r="H305" s="154"/>
      <c r="I305" s="154"/>
      <c r="J305" s="154"/>
      <c r="K305" s="154"/>
      <c r="L305" s="154"/>
      <c r="M305" s="154"/>
      <c r="N305" s="154"/>
      <c r="O305" s="154"/>
      <c r="P305" s="154"/>
      <c r="Q305" s="154"/>
      <c r="R305" s="154"/>
      <c r="S305" s="154"/>
      <c r="T305" s="154"/>
      <c r="U305" s="154"/>
      <c r="V305" s="154"/>
      <c r="W305" s="154"/>
      <c r="X305" s="154"/>
      <c r="Y305" s="154"/>
      <c r="Z305" s="154"/>
      <c r="AA305" s="154"/>
      <c r="AB305" s="154"/>
      <c r="AC305" s="154"/>
      <c r="AD305" s="154"/>
      <c r="AE305" s="154"/>
      <c r="AF305" s="154"/>
      <c r="AG305" s="154"/>
      <c r="AH305" s="154"/>
      <c r="AI305" s="318" t="s">
        <v>259</v>
      </c>
      <c r="AJ305" s="318" t="s">
        <v>259</v>
      </c>
      <c r="AK305" s="318" t="s">
        <v>259</v>
      </c>
      <c r="AL305" s="318">
        <v>-0.02</v>
      </c>
      <c r="AM305" s="326">
        <v>-0.02</v>
      </c>
      <c r="AN305" s="318">
        <v>0.09</v>
      </c>
      <c r="AO305" s="319">
        <v>0.12</v>
      </c>
      <c r="AP305" s="322">
        <v>0.09</v>
      </c>
      <c r="AQ305" s="154">
        <f t="shared" si="386"/>
        <v>0.08</v>
      </c>
      <c r="AR305" s="326">
        <v>0.08</v>
      </c>
      <c r="AS305" s="318">
        <v>0.03</v>
      </c>
      <c r="AT305" s="154">
        <v>-0.01</v>
      </c>
      <c r="AU305" s="154">
        <v>0.01</v>
      </c>
      <c r="AV305" s="154">
        <f t="shared" si="387"/>
        <v>0.02</v>
      </c>
      <c r="AW305" s="155">
        <v>0.02</v>
      </c>
      <c r="AX305" s="154">
        <v>-0.05</v>
      </c>
      <c r="AY305" s="154">
        <v>-0.01</v>
      </c>
      <c r="AZ305" s="154">
        <v>7.0000000000000007E-2</v>
      </c>
      <c r="BA305" s="154">
        <f t="shared" si="388"/>
        <v>0.03</v>
      </c>
      <c r="BB305" s="155">
        <v>0.03</v>
      </c>
      <c r="BC305" s="154"/>
      <c r="BD305" s="154"/>
      <c r="BE305" s="154"/>
      <c r="BF305" s="154"/>
      <c r="BG305" s="348"/>
      <c r="BH305" s="154"/>
      <c r="BI305" s="154"/>
      <c r="BJ305" s="154"/>
      <c r="BK305" s="154"/>
      <c r="BL305" s="348"/>
      <c r="BM305" s="154"/>
      <c r="BN305" s="154"/>
      <c r="BO305" s="154"/>
      <c r="BP305" s="154"/>
      <c r="BQ305" s="348"/>
      <c r="BR305" s="154"/>
      <c r="BS305" s="154"/>
      <c r="BT305" s="154"/>
      <c r="BU305" s="154"/>
      <c r="BV305" s="154"/>
      <c r="BW305" s="154"/>
      <c r="BX305" s="154"/>
      <c r="BY305" s="154"/>
      <c r="BZ305" s="154"/>
      <c r="CA305" s="154"/>
      <c r="CB305" s="154"/>
      <c r="CC305" s="154"/>
      <c r="CD305" s="154"/>
      <c r="CE305" s="154"/>
      <c r="CF305" s="154"/>
      <c r="CG305" s="154"/>
      <c r="CH305" s="154"/>
      <c r="CI305" s="154"/>
      <c r="CJ305" s="154"/>
      <c r="CK305" s="154"/>
      <c r="CL305" s="154"/>
      <c r="CM305" s="154"/>
      <c r="CN305" s="154"/>
      <c r="CO305" s="154"/>
      <c r="CP305" s="154"/>
    </row>
    <row r="306" spans="1:109" x14ac:dyDescent="0.25">
      <c r="A306" s="312" t="s">
        <v>294</v>
      </c>
      <c r="B306" s="123"/>
      <c r="C306" s="154"/>
      <c r="D306" s="154"/>
      <c r="E306" s="154"/>
      <c r="F306" s="154"/>
      <c r="G306" s="154"/>
      <c r="H306" s="154"/>
      <c r="I306" s="154"/>
      <c r="J306" s="154"/>
      <c r="K306" s="154"/>
      <c r="L306" s="154"/>
      <c r="M306" s="154"/>
      <c r="N306" s="154"/>
      <c r="O306" s="154"/>
      <c r="P306" s="154"/>
      <c r="Q306" s="154"/>
      <c r="R306" s="154"/>
      <c r="S306" s="154"/>
      <c r="T306" s="154"/>
      <c r="U306" s="154"/>
      <c r="V306" s="154"/>
      <c r="W306" s="154"/>
      <c r="X306" s="154"/>
      <c r="Y306" s="154"/>
      <c r="Z306" s="154"/>
      <c r="AA306" s="154"/>
      <c r="AB306" s="154"/>
      <c r="AC306" s="154"/>
      <c r="AD306" s="154"/>
      <c r="AE306" s="154"/>
      <c r="AF306" s="154"/>
      <c r="AG306" s="154"/>
      <c r="AH306" s="154"/>
      <c r="AI306" s="318" t="s">
        <v>259</v>
      </c>
      <c r="AJ306" s="318" t="s">
        <v>259</v>
      </c>
      <c r="AK306" s="318" t="s">
        <v>259</v>
      </c>
      <c r="AL306" s="318" t="s">
        <v>259</v>
      </c>
      <c r="AM306" s="326" t="s">
        <v>259</v>
      </c>
      <c r="AN306" s="318" t="s">
        <v>259</v>
      </c>
      <c r="AO306" s="319" t="s">
        <v>259</v>
      </c>
      <c r="AP306" s="322" t="s">
        <v>259</v>
      </c>
      <c r="AQ306" s="154">
        <f t="shared" si="386"/>
        <v>4.07</v>
      </c>
      <c r="AR306" s="326">
        <v>4.07</v>
      </c>
      <c r="AS306" s="318">
        <v>0.43</v>
      </c>
      <c r="AT306" s="154">
        <v>0.69</v>
      </c>
      <c r="AU306" s="154">
        <v>0.69</v>
      </c>
      <c r="AV306" s="154">
        <f t="shared" si="387"/>
        <v>0.24</v>
      </c>
      <c r="AW306" s="155">
        <v>0.24</v>
      </c>
      <c r="AX306" s="154">
        <v>0.18</v>
      </c>
      <c r="AY306" s="154">
        <v>-0.04</v>
      </c>
      <c r="AZ306" s="154">
        <v>-0.05</v>
      </c>
      <c r="BA306" s="154">
        <f t="shared" si="388"/>
        <v>-0.03</v>
      </c>
      <c r="BB306" s="155">
        <v>-0.03</v>
      </c>
      <c r="BC306" s="154"/>
      <c r="BD306" s="154"/>
      <c r="BE306" s="154"/>
      <c r="BF306" s="154"/>
      <c r="BG306" s="348"/>
      <c r="BH306" s="154"/>
      <c r="BI306" s="154"/>
      <c r="BJ306" s="154"/>
      <c r="BK306" s="154"/>
      <c r="BL306" s="348"/>
      <c r="BM306" s="154"/>
      <c r="BN306" s="154"/>
      <c r="BO306" s="154"/>
      <c r="BP306" s="154"/>
      <c r="BQ306" s="348"/>
      <c r="BR306" s="154"/>
      <c r="BS306" s="154"/>
      <c r="BT306" s="154"/>
      <c r="BU306" s="154"/>
      <c r="BV306" s="154"/>
      <c r="BW306" s="154"/>
      <c r="BX306" s="154"/>
      <c r="BY306" s="154"/>
      <c r="BZ306" s="154"/>
      <c r="CA306" s="154"/>
      <c r="CB306" s="154"/>
      <c r="CC306" s="154"/>
      <c r="CD306" s="154"/>
      <c r="CE306" s="154"/>
      <c r="CF306" s="154"/>
      <c r="CG306" s="154"/>
      <c r="CH306" s="154"/>
      <c r="CI306" s="154"/>
      <c r="CJ306" s="154"/>
      <c r="CK306" s="154"/>
      <c r="CL306" s="154"/>
      <c r="CM306" s="154"/>
      <c r="CN306" s="154"/>
      <c r="CO306" s="154"/>
      <c r="CP306" s="154"/>
    </row>
    <row r="307" spans="1:109" x14ac:dyDescent="0.25">
      <c r="A307" s="52" t="s">
        <v>281</v>
      </c>
      <c r="B307" s="123"/>
      <c r="C307" s="154"/>
      <c r="D307" s="154"/>
      <c r="E307" s="154"/>
      <c r="F307" s="154"/>
      <c r="G307" s="154"/>
      <c r="H307" s="154"/>
      <c r="I307" s="154"/>
      <c r="J307" s="154"/>
      <c r="K307" s="154"/>
      <c r="L307" s="154"/>
      <c r="M307" s="154"/>
      <c r="N307" s="154"/>
      <c r="O307" s="154"/>
      <c r="P307" s="154"/>
      <c r="Q307" s="154"/>
      <c r="R307" s="154"/>
      <c r="S307" s="154"/>
      <c r="T307" s="154"/>
      <c r="U307" s="154"/>
      <c r="V307" s="154"/>
      <c r="W307" s="154"/>
      <c r="X307" s="154"/>
      <c r="Y307" s="154"/>
      <c r="Z307" s="154"/>
      <c r="AA307" s="154"/>
      <c r="AB307" s="154"/>
      <c r="AC307" s="154"/>
      <c r="AD307" s="154"/>
      <c r="AE307" s="154"/>
      <c r="AF307" s="154"/>
      <c r="AG307" s="154"/>
      <c r="AH307" s="154"/>
      <c r="AI307" s="318">
        <v>-0.05</v>
      </c>
      <c r="AJ307" s="318">
        <v>-0.03</v>
      </c>
      <c r="AK307" s="318">
        <v>-0.02</v>
      </c>
      <c r="AL307" s="318">
        <v>-0.01</v>
      </c>
      <c r="AM307" s="326">
        <v>-0.01</v>
      </c>
      <c r="AN307" s="318">
        <v>-0.06</v>
      </c>
      <c r="AO307" s="319">
        <v>-0.05</v>
      </c>
      <c r="AP307" s="322">
        <v>-0.05</v>
      </c>
      <c r="AQ307" s="154">
        <f t="shared" si="386"/>
        <v>-7.0000000000000007E-2</v>
      </c>
      <c r="AR307" s="326">
        <v>-7.0000000000000007E-2</v>
      </c>
      <c r="AS307" s="318">
        <v>-0.05</v>
      </c>
      <c r="AT307" s="154">
        <v>-7.0000000000000007E-2</v>
      </c>
      <c r="AU307" s="154">
        <v>-0.04</v>
      </c>
      <c r="AV307" s="154">
        <f t="shared" si="387"/>
        <v>-0.05</v>
      </c>
      <c r="AW307" s="155">
        <v>-0.05</v>
      </c>
      <c r="AX307" s="154">
        <v>-0.05</v>
      </c>
      <c r="AY307" s="154">
        <v>-0.06</v>
      </c>
      <c r="AZ307" s="154">
        <v>-7.0000000000000007E-2</v>
      </c>
      <c r="BA307" s="154">
        <f t="shared" si="388"/>
        <v>-0.05</v>
      </c>
      <c r="BB307" s="155">
        <v>-0.05</v>
      </c>
      <c r="BC307" s="154"/>
      <c r="BD307" s="154"/>
      <c r="BE307" s="154"/>
      <c r="BF307" s="154"/>
      <c r="BG307" s="348"/>
      <c r="BH307" s="154"/>
      <c r="BI307" s="154"/>
      <c r="BJ307" s="154"/>
      <c r="BK307" s="154"/>
      <c r="BL307" s="348"/>
      <c r="BM307" s="154"/>
      <c r="BN307" s="154"/>
      <c r="BO307" s="154"/>
      <c r="BP307" s="154"/>
      <c r="BQ307" s="348"/>
      <c r="BR307" s="154"/>
      <c r="BS307" s="154"/>
      <c r="BT307" s="154"/>
      <c r="BU307" s="154"/>
      <c r="BV307" s="154"/>
      <c r="BW307" s="154"/>
      <c r="BX307" s="154"/>
      <c r="BY307" s="154"/>
      <c r="BZ307" s="154"/>
      <c r="CA307" s="154"/>
      <c r="CB307" s="154"/>
      <c r="CC307" s="154"/>
      <c r="CD307" s="154"/>
      <c r="CE307" s="154"/>
      <c r="CF307" s="154"/>
      <c r="CG307" s="154"/>
      <c r="CH307" s="154"/>
      <c r="CI307" s="154"/>
      <c r="CJ307" s="154"/>
      <c r="CK307" s="154"/>
      <c r="CL307" s="154"/>
      <c r="CM307" s="154"/>
      <c r="CN307" s="154"/>
      <c r="CO307" s="154"/>
      <c r="CP307" s="154"/>
    </row>
    <row r="308" spans="1:109" x14ac:dyDescent="0.25">
      <c r="A308" s="52" t="s">
        <v>279</v>
      </c>
      <c r="B308" s="123"/>
      <c r="C308" s="154"/>
      <c r="D308" s="154"/>
      <c r="E308" s="154"/>
      <c r="F308" s="154"/>
      <c r="G308" s="154"/>
      <c r="H308" s="154"/>
      <c r="I308" s="154"/>
      <c r="J308" s="154"/>
      <c r="K308" s="154"/>
      <c r="L308" s="154"/>
      <c r="M308" s="154"/>
      <c r="N308" s="154"/>
      <c r="O308" s="154"/>
      <c r="P308" s="154"/>
      <c r="Q308" s="154"/>
      <c r="R308" s="154"/>
      <c r="S308" s="154"/>
      <c r="T308" s="154"/>
      <c r="U308" s="154"/>
      <c r="V308" s="154"/>
      <c r="W308" s="154"/>
      <c r="X308" s="154"/>
      <c r="Y308" s="154"/>
      <c r="Z308" s="154"/>
      <c r="AA308" s="154"/>
      <c r="AB308" s="154"/>
      <c r="AC308" s="154"/>
      <c r="AD308" s="154"/>
      <c r="AE308" s="154"/>
      <c r="AF308" s="154"/>
      <c r="AG308" s="154"/>
      <c r="AH308" s="154"/>
      <c r="AI308" s="318">
        <v>-0.02</v>
      </c>
      <c r="AJ308" s="318">
        <v>-0.02</v>
      </c>
      <c r="AK308" s="318">
        <v>-0.02</v>
      </c>
      <c r="AL308" s="318">
        <v>-0.01</v>
      </c>
      <c r="AM308" s="326">
        <v>-0.01</v>
      </c>
      <c r="AN308" s="318">
        <v>-0.05</v>
      </c>
      <c r="AO308" s="319">
        <v>-0.05</v>
      </c>
      <c r="AP308" s="322">
        <v>-0.05</v>
      </c>
      <c r="AQ308" s="154">
        <f t="shared" si="386"/>
        <v>-7.0000000000000007E-2</v>
      </c>
      <c r="AR308" s="326">
        <v>-7.0000000000000007E-2</v>
      </c>
      <c r="AS308" s="318">
        <v>-0.04</v>
      </c>
      <c r="AT308" s="154">
        <v>-0.06</v>
      </c>
      <c r="AU308" s="154">
        <v>-0.04</v>
      </c>
      <c r="AV308" s="154">
        <f t="shared" si="387"/>
        <v>-0.04</v>
      </c>
      <c r="AW308" s="155">
        <v>-0.04</v>
      </c>
      <c r="AX308" s="154">
        <v>-0.05</v>
      </c>
      <c r="AY308" s="154">
        <v>-0.06</v>
      </c>
      <c r="AZ308" s="154">
        <v>-7.0000000000000007E-2</v>
      </c>
      <c r="BA308" s="154">
        <f t="shared" si="388"/>
        <v>-0.05</v>
      </c>
      <c r="BB308" s="155">
        <v>-0.05</v>
      </c>
      <c r="BC308" s="154"/>
      <c r="BD308" s="154"/>
      <c r="BE308" s="154"/>
      <c r="BF308" s="154"/>
      <c r="BG308" s="348"/>
      <c r="BH308" s="154"/>
      <c r="BI308" s="154"/>
      <c r="BJ308" s="154"/>
      <c r="BK308" s="154"/>
      <c r="BL308" s="348"/>
      <c r="BM308" s="154"/>
      <c r="BN308" s="154"/>
      <c r="BO308" s="154"/>
      <c r="BP308" s="154"/>
      <c r="BQ308" s="348"/>
      <c r="BR308" s="154"/>
      <c r="BS308" s="154"/>
      <c r="BT308" s="154"/>
      <c r="BU308" s="154"/>
      <c r="BV308" s="154"/>
      <c r="BW308" s="154"/>
      <c r="BX308" s="154"/>
      <c r="BY308" s="154"/>
      <c r="BZ308" s="154"/>
      <c r="CA308" s="154"/>
      <c r="CB308" s="154"/>
      <c r="CC308" s="154"/>
      <c r="CD308" s="154"/>
      <c r="CE308" s="154"/>
      <c r="CF308" s="154"/>
      <c r="CG308" s="154"/>
      <c r="CH308" s="154"/>
      <c r="CI308" s="154"/>
      <c r="CJ308" s="154"/>
      <c r="CK308" s="154"/>
      <c r="CL308" s="154"/>
      <c r="CM308" s="154"/>
      <c r="CN308" s="154"/>
      <c r="CO308" s="154"/>
      <c r="CP308" s="154"/>
    </row>
    <row r="309" spans="1:109" x14ac:dyDescent="0.25">
      <c r="A309" s="52" t="s">
        <v>280</v>
      </c>
      <c r="B309" s="123"/>
      <c r="C309" s="154"/>
      <c r="D309" s="154"/>
      <c r="E309" s="154"/>
      <c r="F309" s="154"/>
      <c r="G309" s="154"/>
      <c r="H309" s="154"/>
      <c r="I309" s="154"/>
      <c r="J309" s="154"/>
      <c r="K309" s="154"/>
      <c r="L309" s="154"/>
      <c r="M309" s="154"/>
      <c r="N309" s="154"/>
      <c r="O309" s="154"/>
      <c r="P309" s="154"/>
      <c r="Q309" s="154"/>
      <c r="R309" s="154"/>
      <c r="S309" s="154"/>
      <c r="T309" s="154"/>
      <c r="U309" s="154"/>
      <c r="V309" s="154"/>
      <c r="W309" s="154"/>
      <c r="X309" s="154"/>
      <c r="Y309" s="154"/>
      <c r="Z309" s="154"/>
      <c r="AA309" s="154"/>
      <c r="AB309" s="154"/>
      <c r="AC309" s="154"/>
      <c r="AD309" s="154"/>
      <c r="AE309" s="154"/>
      <c r="AF309" s="154"/>
      <c r="AG309" s="154"/>
      <c r="AH309" s="154"/>
      <c r="AI309" s="318">
        <v>-0.22</v>
      </c>
      <c r="AJ309" s="318">
        <v>-0.17</v>
      </c>
      <c r="AK309" s="318">
        <v>-0.1</v>
      </c>
      <c r="AL309" s="318">
        <v>-7.0000000000000007E-2</v>
      </c>
      <c r="AM309" s="326">
        <v>-7.0000000000000007E-2</v>
      </c>
      <c r="AN309" s="318">
        <v>-0.14000000000000001</v>
      </c>
      <c r="AO309" s="319">
        <v>-0.02</v>
      </c>
      <c r="AP309" s="322">
        <v>0.01</v>
      </c>
      <c r="AQ309" s="154">
        <f t="shared" si="386"/>
        <v>0</v>
      </c>
      <c r="AR309" s="326">
        <v>0</v>
      </c>
      <c r="AS309" s="318">
        <v>-0.18</v>
      </c>
      <c r="AT309" s="154">
        <v>-0.17</v>
      </c>
      <c r="AU309" s="154">
        <v>-0.14000000000000001</v>
      </c>
      <c r="AV309" s="154">
        <f t="shared" si="387"/>
        <v>-0.15</v>
      </c>
      <c r="AW309" s="155">
        <v>-0.15</v>
      </c>
      <c r="AX309" s="154">
        <v>-0.12</v>
      </c>
      <c r="AY309" s="154">
        <v>-0.05</v>
      </c>
      <c r="AZ309" s="154">
        <v>-0.06</v>
      </c>
      <c r="BA309" s="154">
        <f t="shared" si="388"/>
        <v>-0.06</v>
      </c>
      <c r="BB309" s="155">
        <v>-0.06</v>
      </c>
      <c r="BC309" s="154"/>
      <c r="BD309" s="154"/>
      <c r="BE309" s="154"/>
      <c r="BF309" s="154"/>
      <c r="BG309" s="348"/>
      <c r="BH309" s="154"/>
      <c r="BI309" s="154"/>
      <c r="BJ309" s="154"/>
      <c r="BK309" s="154"/>
      <c r="BL309" s="348"/>
      <c r="BM309" s="154"/>
      <c r="BN309" s="154"/>
      <c r="BO309" s="154"/>
      <c r="BP309" s="154"/>
      <c r="BQ309" s="348"/>
      <c r="BR309" s="154"/>
      <c r="BS309" s="154"/>
      <c r="BT309" s="154"/>
      <c r="BU309" s="154"/>
      <c r="BV309" s="154"/>
      <c r="BW309" s="154"/>
      <c r="BX309" s="154"/>
      <c r="BY309" s="154"/>
      <c r="BZ309" s="154"/>
      <c r="CA309" s="154"/>
      <c r="CB309" s="154"/>
      <c r="CC309" s="154"/>
      <c r="CD309" s="154"/>
      <c r="CE309" s="154"/>
      <c r="CF309" s="154"/>
      <c r="CG309" s="154"/>
      <c r="CH309" s="154"/>
      <c r="CI309" s="154"/>
      <c r="CJ309" s="154"/>
      <c r="CK309" s="154"/>
      <c r="CL309" s="154"/>
      <c r="CM309" s="154"/>
      <c r="CN309" s="154"/>
      <c r="CO309" s="154"/>
      <c r="CP309" s="154"/>
    </row>
    <row r="310" spans="1:109" x14ac:dyDescent="0.25">
      <c r="A310" s="52" t="s">
        <v>285</v>
      </c>
      <c r="B310" s="123"/>
      <c r="C310" s="154"/>
      <c r="D310" s="154"/>
      <c r="E310" s="154"/>
      <c r="F310" s="154"/>
      <c r="G310" s="154"/>
      <c r="H310" s="154"/>
      <c r="I310" s="154"/>
      <c r="J310" s="154"/>
      <c r="K310" s="154"/>
      <c r="L310" s="154"/>
      <c r="M310" s="154"/>
      <c r="N310" s="154"/>
      <c r="O310" s="154"/>
      <c r="P310" s="154"/>
      <c r="Q310" s="154"/>
      <c r="R310" s="154"/>
      <c r="S310" s="154"/>
      <c r="T310" s="154"/>
      <c r="U310" s="154"/>
      <c r="V310" s="154"/>
      <c r="W310" s="154"/>
      <c r="X310" s="154"/>
      <c r="Y310" s="154"/>
      <c r="Z310" s="154"/>
      <c r="AA310" s="154"/>
      <c r="AB310" s="154"/>
      <c r="AC310" s="154"/>
      <c r="AD310" s="154"/>
      <c r="AE310" s="154"/>
      <c r="AF310" s="154"/>
      <c r="AG310" s="154"/>
      <c r="AH310" s="154"/>
      <c r="AI310" s="318"/>
      <c r="AJ310" s="318"/>
      <c r="AK310" s="318"/>
      <c r="AL310" s="318"/>
      <c r="AM310" s="326"/>
      <c r="AN310" s="318"/>
      <c r="AO310" s="319"/>
      <c r="AP310" s="322"/>
      <c r="AQ310" s="154">
        <f t="shared" si="386"/>
        <v>0</v>
      </c>
      <c r="AR310" s="326"/>
      <c r="AS310" s="318"/>
      <c r="AT310" s="154">
        <v>0</v>
      </c>
      <c r="AU310" s="154"/>
      <c r="AV310" s="154">
        <f t="shared" si="387"/>
        <v>0</v>
      </c>
      <c r="AW310" s="155"/>
      <c r="AX310" s="154"/>
      <c r="AY310" s="154"/>
      <c r="AZ310" s="154"/>
      <c r="BA310" s="154">
        <f t="shared" si="388"/>
        <v>0</v>
      </c>
      <c r="BB310" s="155"/>
      <c r="BC310" s="154"/>
      <c r="BD310" s="154"/>
      <c r="BE310" s="154"/>
      <c r="BF310" s="154"/>
      <c r="BG310" s="348"/>
      <c r="BH310" s="154"/>
      <c r="BI310" s="154"/>
      <c r="BJ310" s="154"/>
      <c r="BK310" s="154"/>
      <c r="BL310" s="348"/>
      <c r="BM310" s="154"/>
      <c r="BN310" s="154"/>
      <c r="BO310" s="154"/>
      <c r="BP310" s="154"/>
      <c r="BQ310" s="348"/>
      <c r="BR310" s="154"/>
      <c r="BS310" s="154"/>
      <c r="BT310" s="154"/>
      <c r="BU310" s="154"/>
      <c r="BV310" s="154"/>
      <c r="BW310" s="154"/>
      <c r="BX310" s="154"/>
      <c r="BY310" s="154"/>
      <c r="BZ310" s="154"/>
      <c r="CA310" s="154"/>
      <c r="CB310" s="154"/>
      <c r="CC310" s="154"/>
      <c r="CD310" s="154"/>
      <c r="CE310" s="154"/>
      <c r="CF310" s="154"/>
      <c r="CG310" s="154"/>
      <c r="CH310" s="154"/>
      <c r="CI310" s="154"/>
      <c r="CJ310" s="154"/>
      <c r="CK310" s="154"/>
      <c r="CL310" s="154"/>
      <c r="CM310" s="154"/>
      <c r="CN310" s="154"/>
      <c r="CO310" s="154"/>
      <c r="CP310" s="154"/>
    </row>
    <row r="311" spans="1:109" x14ac:dyDescent="0.25">
      <c r="A311" s="52" t="s">
        <v>286</v>
      </c>
      <c r="B311" s="123"/>
      <c r="C311" s="154"/>
      <c r="D311" s="154"/>
      <c r="E311" s="154"/>
      <c r="F311" s="154"/>
      <c r="G311" s="154"/>
      <c r="H311" s="154"/>
      <c r="I311" s="154"/>
      <c r="J311" s="154"/>
      <c r="K311" s="154"/>
      <c r="L311" s="154"/>
      <c r="M311" s="154"/>
      <c r="N311" s="154"/>
      <c r="O311" s="154"/>
      <c r="P311" s="154"/>
      <c r="Q311" s="154"/>
      <c r="R311" s="154"/>
      <c r="S311" s="154"/>
      <c r="T311" s="154"/>
      <c r="U311" s="154"/>
      <c r="V311" s="154"/>
      <c r="W311" s="154"/>
      <c r="X311" s="154"/>
      <c r="Y311" s="154"/>
      <c r="Z311" s="154"/>
      <c r="AA311" s="154"/>
      <c r="AB311" s="154"/>
      <c r="AC311" s="154"/>
      <c r="AD311" s="154"/>
      <c r="AE311" s="154"/>
      <c r="AF311" s="154"/>
      <c r="AG311" s="154"/>
      <c r="AH311" s="154"/>
      <c r="AI311" s="318">
        <v>-0.12</v>
      </c>
      <c r="AJ311" s="318">
        <v>-7.0000000000000007E-2</v>
      </c>
      <c r="AK311" s="318">
        <v>-0.06</v>
      </c>
      <c r="AL311" s="318">
        <v>-0.08</v>
      </c>
      <c r="AM311" s="326">
        <v>-0.08</v>
      </c>
      <c r="AN311" s="318">
        <v>-0.06</v>
      </c>
      <c r="AO311" s="319">
        <v>-0.09</v>
      </c>
      <c r="AP311" s="322">
        <v>-0.06</v>
      </c>
      <c r="AQ311" s="154">
        <f t="shared" si="386"/>
        <v>-0.06</v>
      </c>
      <c r="AR311" s="326">
        <v>-0.06</v>
      </c>
      <c r="AS311" s="318">
        <v>-0.02</v>
      </c>
      <c r="AT311" s="154">
        <v>0.04</v>
      </c>
      <c r="AU311" s="154">
        <v>-0.01</v>
      </c>
      <c r="AV311" s="154">
        <f t="shared" si="387"/>
        <v>-0.01</v>
      </c>
      <c r="AW311" s="155">
        <v>-0.01</v>
      </c>
      <c r="AX311" s="154">
        <v>0.03</v>
      </c>
      <c r="AY311" s="154">
        <v>-0.01</v>
      </c>
      <c r="AZ311" s="154">
        <v>-0.01</v>
      </c>
      <c r="BA311" s="154">
        <f t="shared" si="388"/>
        <v>-0.01</v>
      </c>
      <c r="BB311" s="155">
        <v>-0.01</v>
      </c>
      <c r="BC311" s="154">
        <v>-0.08</v>
      </c>
      <c r="BD311" s="154">
        <v>-0.06</v>
      </c>
      <c r="BE311" s="154">
        <v>-0.05</v>
      </c>
      <c r="BF311" s="154">
        <v>-0.06</v>
      </c>
      <c r="BG311" s="348">
        <v>-0.06</v>
      </c>
      <c r="BH311" s="154">
        <v>-0.03</v>
      </c>
      <c r="BI311" s="154">
        <v>-0.1</v>
      </c>
      <c r="BJ311" s="154">
        <v>-0.11</v>
      </c>
      <c r="BK311" s="154">
        <v>-0.1</v>
      </c>
      <c r="BL311" s="348">
        <v>-0.1</v>
      </c>
      <c r="BM311" s="154">
        <v>-0.17</v>
      </c>
      <c r="BN311" s="154">
        <v>-0.14000000000000001</v>
      </c>
      <c r="BO311" s="154">
        <v>-0.11</v>
      </c>
      <c r="BP311" s="154">
        <v>-0.13</v>
      </c>
      <c r="BQ311" s="348">
        <v>-0.13</v>
      </c>
      <c r="BR311" s="154"/>
      <c r="BS311" s="154"/>
      <c r="BT311" s="154"/>
      <c r="BU311" s="154"/>
      <c r="BV311" s="154"/>
      <c r="BW311" s="154"/>
      <c r="BX311" s="154"/>
      <c r="BY311" s="154"/>
      <c r="BZ311" s="154"/>
      <c r="CA311" s="154"/>
      <c r="CB311" s="154"/>
      <c r="CC311" s="154"/>
      <c r="CD311" s="154"/>
      <c r="CE311" s="154"/>
      <c r="CF311" s="154"/>
      <c r="CG311" s="154"/>
      <c r="CH311" s="154"/>
      <c r="CI311" s="154"/>
      <c r="CJ311" s="154"/>
      <c r="CK311" s="154"/>
      <c r="CL311" s="154"/>
      <c r="CM311" s="154"/>
      <c r="CN311" s="154"/>
      <c r="CO311" s="154"/>
      <c r="CP311" s="154"/>
    </row>
    <row r="312" spans="1:109" x14ac:dyDescent="0.25">
      <c r="A312" s="52" t="s">
        <v>287</v>
      </c>
      <c r="B312" s="123"/>
      <c r="C312" s="154"/>
      <c r="D312" s="154"/>
      <c r="E312" s="154"/>
      <c r="F312" s="154"/>
      <c r="G312" s="154"/>
      <c r="H312" s="154"/>
      <c r="I312" s="154"/>
      <c r="J312" s="154"/>
      <c r="K312" s="154"/>
      <c r="L312" s="154"/>
      <c r="M312" s="154"/>
      <c r="N312" s="154"/>
      <c r="O312" s="154"/>
      <c r="P312" s="154"/>
      <c r="Q312" s="154"/>
      <c r="R312" s="154"/>
      <c r="S312" s="154"/>
      <c r="T312" s="154"/>
      <c r="U312" s="154"/>
      <c r="V312" s="154"/>
      <c r="W312" s="154"/>
      <c r="X312" s="154"/>
      <c r="Y312" s="154"/>
      <c r="Z312" s="154"/>
      <c r="AA312" s="154"/>
      <c r="AB312" s="154"/>
      <c r="AC312" s="154"/>
      <c r="AD312" s="154"/>
      <c r="AE312" s="154"/>
      <c r="AF312" s="154"/>
      <c r="AG312" s="154"/>
      <c r="AH312" s="154"/>
      <c r="AI312" s="318">
        <v>0.05</v>
      </c>
      <c r="AJ312" s="318">
        <v>-0.02</v>
      </c>
      <c r="AK312" s="318">
        <v>0</v>
      </c>
      <c r="AL312" s="318">
        <v>0</v>
      </c>
      <c r="AM312" s="326">
        <v>0</v>
      </c>
      <c r="AN312" s="318">
        <v>-0.22</v>
      </c>
      <c r="AO312" s="319">
        <v>-0.03</v>
      </c>
      <c r="AP312" s="322">
        <v>-0.04</v>
      </c>
      <c r="AQ312" s="154">
        <f t="shared" si="386"/>
        <v>-0.03</v>
      </c>
      <c r="AR312" s="326">
        <v>-0.03</v>
      </c>
      <c r="AS312" s="318">
        <v>0.14000000000000001</v>
      </c>
      <c r="AT312" s="154">
        <v>0.13</v>
      </c>
      <c r="AU312" s="154">
        <v>0.04</v>
      </c>
      <c r="AV312" s="154">
        <f t="shared" si="387"/>
        <v>0.06</v>
      </c>
      <c r="AW312" s="155">
        <v>0.06</v>
      </c>
      <c r="AX312" s="154">
        <v>0.45</v>
      </c>
      <c r="AY312" s="154">
        <v>0.03</v>
      </c>
      <c r="AZ312" s="154">
        <v>0.03</v>
      </c>
      <c r="BA312" s="154">
        <f t="shared" si="388"/>
        <v>0.03</v>
      </c>
      <c r="BB312" s="155">
        <v>0.03</v>
      </c>
      <c r="BC312" s="154"/>
      <c r="BD312" s="154"/>
      <c r="BE312" s="154"/>
      <c r="BF312" s="154"/>
      <c r="BG312" s="348"/>
      <c r="BH312" s="154"/>
      <c r="BI312" s="154"/>
      <c r="BJ312" s="154"/>
      <c r="BK312" s="154"/>
      <c r="BL312" s="348"/>
      <c r="BM312" s="154"/>
      <c r="BN312" s="154"/>
      <c r="BO312" s="154"/>
      <c r="BP312" s="154"/>
      <c r="BQ312" s="348"/>
      <c r="BR312" s="154"/>
      <c r="BS312" s="154"/>
      <c r="BT312" s="154"/>
      <c r="BU312" s="154"/>
      <c r="BV312" s="154"/>
      <c r="BW312" s="154"/>
      <c r="BX312" s="154"/>
      <c r="BY312" s="154"/>
      <c r="BZ312" s="154"/>
      <c r="CA312" s="154"/>
      <c r="CB312" s="154"/>
      <c r="CC312" s="154"/>
      <c r="CD312" s="154"/>
      <c r="CE312" s="154"/>
      <c r="CF312" s="154"/>
      <c r="CG312" s="154"/>
      <c r="CH312" s="154"/>
      <c r="CI312" s="154"/>
      <c r="CJ312" s="154"/>
      <c r="CK312" s="154"/>
      <c r="CL312" s="154"/>
      <c r="CM312" s="154"/>
      <c r="CN312" s="154"/>
      <c r="CO312" s="154"/>
      <c r="CP312" s="154"/>
    </row>
    <row r="313" spans="1:109" x14ac:dyDescent="0.25">
      <c r="A313" s="52" t="s">
        <v>288</v>
      </c>
      <c r="B313" s="123"/>
      <c r="C313" s="154"/>
      <c r="D313" s="154"/>
      <c r="E313" s="154"/>
      <c r="F313" s="154"/>
      <c r="G313" s="154"/>
      <c r="H313" s="154"/>
      <c r="I313" s="154"/>
      <c r="J313" s="154"/>
      <c r="K313" s="154"/>
      <c r="L313" s="154"/>
      <c r="M313" s="154"/>
      <c r="N313" s="154"/>
      <c r="O313" s="154"/>
      <c r="P313" s="154"/>
      <c r="Q313" s="154"/>
      <c r="R313" s="154"/>
      <c r="S313" s="154"/>
      <c r="T313" s="154"/>
      <c r="U313" s="154"/>
      <c r="V313" s="154"/>
      <c r="W313" s="154"/>
      <c r="X313" s="154"/>
      <c r="Y313" s="154"/>
      <c r="Z313" s="154"/>
      <c r="AA313" s="154"/>
      <c r="AB313" s="154"/>
      <c r="AC313" s="154"/>
      <c r="AD313" s="154"/>
      <c r="AE313" s="154"/>
      <c r="AF313" s="154"/>
      <c r="AG313" s="154"/>
      <c r="AH313" s="154"/>
      <c r="AI313" s="318">
        <v>7.0000000000000007E-2</v>
      </c>
      <c r="AJ313" s="318">
        <v>0.04</v>
      </c>
      <c r="AK313" s="318">
        <v>0.13</v>
      </c>
      <c r="AL313" s="318">
        <v>0.15</v>
      </c>
      <c r="AM313" s="326">
        <v>0.15</v>
      </c>
      <c r="AN313" s="318">
        <v>0.08</v>
      </c>
      <c r="AO313" s="319">
        <v>0.1</v>
      </c>
      <c r="AP313" s="322">
        <v>0.06</v>
      </c>
      <c r="AQ313" s="154">
        <f t="shared" si="386"/>
        <v>7.0000000000000007E-2</v>
      </c>
      <c r="AR313" s="326">
        <v>7.0000000000000007E-2</v>
      </c>
      <c r="AS313" s="318">
        <v>0.17</v>
      </c>
      <c r="AT313" s="154">
        <v>0.15</v>
      </c>
      <c r="AU313" s="154">
        <v>0.14000000000000001</v>
      </c>
      <c r="AV313" s="154">
        <f t="shared" si="387"/>
        <v>0.1</v>
      </c>
      <c r="AW313" s="155">
        <v>0.1</v>
      </c>
      <c r="AX313" s="154">
        <v>0.03</v>
      </c>
      <c r="AY313" s="154">
        <v>0.06</v>
      </c>
      <c r="AZ313" s="154">
        <v>7.0000000000000007E-2</v>
      </c>
      <c r="BA313" s="154">
        <f t="shared" si="388"/>
        <v>0.08</v>
      </c>
      <c r="BB313" s="155">
        <v>0.08</v>
      </c>
      <c r="BC313" s="154"/>
      <c r="BD313" s="154"/>
      <c r="BE313" s="154"/>
      <c r="BF313" s="154"/>
      <c r="BG313" s="348"/>
      <c r="BH313" s="154"/>
      <c r="BI313" s="154"/>
      <c r="BJ313" s="154"/>
      <c r="BK313" s="154"/>
      <c r="BL313" s="348"/>
      <c r="BM313" s="154"/>
      <c r="BN313" s="154"/>
      <c r="BO313" s="154"/>
      <c r="BP313" s="154"/>
      <c r="BQ313" s="348"/>
      <c r="BR313" s="154"/>
      <c r="BS313" s="154"/>
      <c r="BT313" s="154"/>
      <c r="BU313" s="154"/>
      <c r="BV313" s="154"/>
      <c r="BW313" s="154"/>
      <c r="BX313" s="154"/>
      <c r="BY313" s="154"/>
      <c r="BZ313" s="154"/>
      <c r="CA313" s="154"/>
      <c r="CB313" s="154"/>
      <c r="CC313" s="154"/>
      <c r="CD313" s="154"/>
      <c r="CE313" s="154"/>
      <c r="CF313" s="154"/>
      <c r="CG313" s="154"/>
      <c r="CH313" s="154"/>
      <c r="CI313" s="154"/>
      <c r="CJ313" s="154"/>
      <c r="CK313" s="154"/>
      <c r="CL313" s="154"/>
      <c r="CM313" s="154"/>
      <c r="CN313" s="154"/>
      <c r="CO313" s="154"/>
      <c r="CP313" s="154"/>
    </row>
    <row r="314" spans="1:109" x14ac:dyDescent="0.25">
      <c r="A314" s="52" t="s">
        <v>289</v>
      </c>
      <c r="B314" s="123"/>
      <c r="C314" s="154"/>
      <c r="D314" s="154"/>
      <c r="E314" s="154"/>
      <c r="F314" s="154"/>
      <c r="G314" s="154"/>
      <c r="H314" s="154"/>
      <c r="I314" s="154"/>
      <c r="J314" s="154"/>
      <c r="K314" s="154"/>
      <c r="L314" s="154"/>
      <c r="M314" s="154"/>
      <c r="N314" s="154"/>
      <c r="O314" s="154"/>
      <c r="P314" s="154"/>
      <c r="Q314" s="154"/>
      <c r="R314" s="154"/>
      <c r="S314" s="154"/>
      <c r="T314" s="154"/>
      <c r="U314" s="154"/>
      <c r="V314" s="154"/>
      <c r="W314" s="154"/>
      <c r="X314" s="154"/>
      <c r="Y314" s="154"/>
      <c r="Z314" s="154"/>
      <c r="AA314" s="154"/>
      <c r="AB314" s="154"/>
      <c r="AC314" s="154"/>
      <c r="AD314" s="154"/>
      <c r="AE314" s="154"/>
      <c r="AF314" s="154"/>
      <c r="AG314" s="154"/>
      <c r="AH314" s="154"/>
      <c r="AI314" s="318">
        <v>-0.06</v>
      </c>
      <c r="AJ314" s="318">
        <v>-0.1</v>
      </c>
      <c r="AK314" s="318">
        <v>-0.09</v>
      </c>
      <c r="AL314" s="318">
        <v>-0.02</v>
      </c>
      <c r="AM314" s="326">
        <v>-0.02</v>
      </c>
      <c r="AN314" s="318">
        <v>0</v>
      </c>
      <c r="AO314" s="319">
        <v>0.1</v>
      </c>
      <c r="AP314" s="322">
        <v>0.09</v>
      </c>
      <c r="AQ314" s="154">
        <f t="shared" si="386"/>
        <v>0.1</v>
      </c>
      <c r="AR314" s="326">
        <v>0.1</v>
      </c>
      <c r="AS314" s="318">
        <v>0.21</v>
      </c>
      <c r="AT314" s="154">
        <v>0.13</v>
      </c>
      <c r="AU314" s="154">
        <v>0.06</v>
      </c>
      <c r="AV314" s="154">
        <f t="shared" si="387"/>
        <v>0.05</v>
      </c>
      <c r="AW314" s="155">
        <v>0.05</v>
      </c>
      <c r="AX314" s="154">
        <v>-0.03</v>
      </c>
      <c r="AY314" s="154">
        <v>-0.02</v>
      </c>
      <c r="AZ314" s="154">
        <v>0.01</v>
      </c>
      <c r="BA314" s="154">
        <f t="shared" si="388"/>
        <v>-0.01</v>
      </c>
      <c r="BB314" s="155">
        <v>-0.01</v>
      </c>
      <c r="BC314" s="154">
        <v>-0.04</v>
      </c>
      <c r="BD314" s="154">
        <v>0.02</v>
      </c>
      <c r="BE314" s="154">
        <v>0.02</v>
      </c>
      <c r="BF314" s="154">
        <v>0.04</v>
      </c>
      <c r="BG314" s="348">
        <v>0.04</v>
      </c>
      <c r="BH314" s="154">
        <v>-0.02</v>
      </c>
      <c r="BI314" s="154">
        <v>-0.01</v>
      </c>
      <c r="BJ314" s="154">
        <v>-0.02</v>
      </c>
      <c r="BK314" s="154">
        <v>-0.01</v>
      </c>
      <c r="BL314" s="348">
        <v>-0.01</v>
      </c>
      <c r="BM314" s="154">
        <v>-0.05</v>
      </c>
      <c r="BN314" s="154">
        <v>-0.01</v>
      </c>
      <c r="BO314" s="154">
        <v>-0.02</v>
      </c>
      <c r="BP314" s="154">
        <v>-0.04</v>
      </c>
      <c r="BQ314" s="348">
        <v>-0.04</v>
      </c>
      <c r="BR314" s="154">
        <v>7.0000000000000007E-2</v>
      </c>
      <c r="BS314" s="154">
        <v>0.03</v>
      </c>
      <c r="BT314" s="154"/>
      <c r="BU314" s="154"/>
      <c r="BV314" s="154"/>
      <c r="BW314" s="154"/>
      <c r="BX314" s="154"/>
      <c r="BY314" s="154"/>
      <c r="BZ314" s="154"/>
      <c r="CA314" s="154"/>
      <c r="CB314" s="154"/>
      <c r="CC314" s="154"/>
      <c r="CD314" s="154"/>
      <c r="CE314" s="154"/>
      <c r="CF314" s="154"/>
      <c r="CG314" s="154"/>
      <c r="CH314" s="154"/>
      <c r="CI314" s="154"/>
      <c r="CJ314" s="154"/>
      <c r="CK314" s="154"/>
      <c r="CL314" s="154"/>
      <c r="CM314" s="154"/>
      <c r="CN314" s="154"/>
      <c r="CO314" s="154"/>
      <c r="CP314" s="154"/>
    </row>
    <row r="315" spans="1:109" s="38" customFormat="1" x14ac:dyDescent="0.25">
      <c r="A315" s="38" t="s">
        <v>290</v>
      </c>
      <c r="B315" s="313"/>
      <c r="C315" s="314"/>
      <c r="D315" s="314"/>
      <c r="E315" s="314"/>
      <c r="F315" s="314"/>
      <c r="G315" s="314"/>
      <c r="H315" s="314"/>
      <c r="I315" s="314"/>
      <c r="J315" s="314"/>
      <c r="K315" s="314"/>
      <c r="L315" s="314"/>
      <c r="M315" s="314"/>
      <c r="N315" s="314"/>
      <c r="O315" s="314"/>
      <c r="P315" s="314"/>
      <c r="Q315" s="314"/>
      <c r="R315" s="314"/>
      <c r="S315" s="314"/>
      <c r="T315" s="314"/>
      <c r="U315" s="314"/>
      <c r="V315" s="314"/>
      <c r="W315" s="314"/>
      <c r="X315" s="314"/>
      <c r="Y315" s="314"/>
      <c r="Z315" s="314"/>
      <c r="AA315" s="314"/>
      <c r="AB315" s="314"/>
      <c r="AC315" s="314"/>
      <c r="AD315" s="314"/>
      <c r="AE315" s="314"/>
      <c r="AF315" s="314"/>
      <c r="AG315" s="314"/>
      <c r="AH315" s="314"/>
      <c r="AI315" s="320">
        <v>0.01</v>
      </c>
      <c r="AJ315" s="320">
        <v>0.02</v>
      </c>
      <c r="AK315" s="320">
        <v>0.05</v>
      </c>
      <c r="AL315" s="320">
        <v>0.06</v>
      </c>
      <c r="AM315" s="327">
        <v>0.06</v>
      </c>
      <c r="AN315" s="320">
        <v>0.13</v>
      </c>
      <c r="AO315" s="321">
        <v>0.12</v>
      </c>
      <c r="AP315" s="315">
        <v>0.09</v>
      </c>
      <c r="AQ315" s="314">
        <f t="shared" si="386"/>
        <v>0.08</v>
      </c>
      <c r="AR315" s="327">
        <v>0.08</v>
      </c>
      <c r="AS315" s="320">
        <v>0.08</v>
      </c>
      <c r="AT315" s="314">
        <v>0.06</v>
      </c>
      <c r="AU315" s="314">
        <v>7.0000000000000007E-2</v>
      </c>
      <c r="AV315" s="314">
        <f t="shared" si="387"/>
        <v>7.0000000000000007E-2</v>
      </c>
      <c r="AW315" s="328">
        <v>7.0000000000000007E-2</v>
      </c>
      <c r="AX315" s="314">
        <v>0.02</v>
      </c>
      <c r="AY315" s="314">
        <v>0.04</v>
      </c>
      <c r="AZ315" s="314">
        <v>0.05</v>
      </c>
      <c r="BA315" s="314">
        <f t="shared" si="388"/>
        <v>0.04</v>
      </c>
      <c r="BB315" s="328">
        <v>0.04</v>
      </c>
      <c r="BC315" s="314">
        <v>0.03</v>
      </c>
      <c r="BD315" s="314">
        <v>0.04</v>
      </c>
      <c r="BE315" s="314">
        <v>0.03</v>
      </c>
      <c r="BF315" s="314">
        <v>0.04</v>
      </c>
      <c r="BG315" s="349">
        <v>0.04</v>
      </c>
      <c r="BH315" s="314">
        <v>-0.02</v>
      </c>
      <c r="BI315" s="314">
        <v>-0.03</v>
      </c>
      <c r="BJ315" s="314">
        <v>-0.02</v>
      </c>
      <c r="BK315" s="314">
        <v>-0.02</v>
      </c>
      <c r="BL315" s="349">
        <v>-0.02</v>
      </c>
      <c r="BM315" s="314">
        <v>-0.05</v>
      </c>
      <c r="BN315" s="314">
        <v>-0.04</v>
      </c>
      <c r="BO315" s="314">
        <v>-0.03</v>
      </c>
      <c r="BP315" s="314">
        <v>-0.03</v>
      </c>
      <c r="BQ315" s="349">
        <v>-0.03</v>
      </c>
      <c r="BR315" s="314">
        <v>0.1</v>
      </c>
      <c r="BS315" s="314">
        <v>0.1</v>
      </c>
      <c r="BT315" s="314"/>
      <c r="BU315" s="314"/>
      <c r="BV315" s="314"/>
      <c r="BW315" s="314"/>
      <c r="BX315" s="314"/>
      <c r="BY315" s="314"/>
      <c r="BZ315" s="314"/>
      <c r="CA315" s="314"/>
      <c r="CB315" s="314"/>
      <c r="CC315" s="314"/>
      <c r="CD315" s="314"/>
      <c r="CE315" s="314"/>
      <c r="CF315" s="314"/>
      <c r="CG315" s="314"/>
      <c r="CH315" s="314"/>
      <c r="CI315" s="314"/>
      <c r="CJ315" s="314"/>
      <c r="CK315" s="314"/>
      <c r="CL315" s="314"/>
      <c r="CM315" s="314"/>
      <c r="CN315" s="314"/>
      <c r="CO315" s="314"/>
      <c r="CP315" s="314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</row>
    <row r="316" spans="1:109" x14ac:dyDescent="0.25">
      <c r="B316" s="123"/>
      <c r="C316" s="154"/>
      <c r="D316" s="154"/>
      <c r="E316" s="154"/>
      <c r="F316" s="154"/>
      <c r="G316" s="154"/>
      <c r="H316" s="154"/>
      <c r="I316" s="154"/>
      <c r="J316" s="154"/>
      <c r="K316" s="154"/>
      <c r="L316" s="154"/>
      <c r="M316" s="154"/>
      <c r="N316" s="154"/>
      <c r="O316" s="154"/>
      <c r="P316" s="154"/>
      <c r="Q316" s="154"/>
      <c r="R316" s="154"/>
      <c r="S316" s="154"/>
      <c r="T316" s="154"/>
      <c r="U316" s="154"/>
      <c r="V316" s="154"/>
      <c r="W316" s="154"/>
      <c r="X316" s="154"/>
      <c r="Y316" s="154"/>
      <c r="Z316" s="154"/>
      <c r="AA316" s="154"/>
      <c r="AB316" s="154"/>
      <c r="AC316" s="154"/>
      <c r="AD316" s="154"/>
      <c r="AE316" s="154"/>
      <c r="AF316" s="154"/>
      <c r="AG316" s="154"/>
      <c r="AH316" s="154"/>
      <c r="AI316" s="318"/>
      <c r="AJ316" s="318"/>
      <c r="AK316" s="318"/>
      <c r="AL316" s="318"/>
      <c r="AM316" s="326"/>
      <c r="AN316" s="318"/>
      <c r="AO316" s="319"/>
      <c r="AP316" s="318"/>
      <c r="AQ316" s="154"/>
      <c r="AR316" s="326"/>
      <c r="AS316" s="318"/>
      <c r="AT316" s="52"/>
      <c r="AU316" s="154"/>
      <c r="AV316" s="154"/>
      <c r="AW316" s="155"/>
      <c r="AX316" s="154"/>
      <c r="AY316" s="154"/>
      <c r="AZ316" s="154"/>
      <c r="BA316" s="154"/>
      <c r="BB316" s="155"/>
      <c r="BC316" s="154"/>
      <c r="BD316" s="154"/>
      <c r="BE316" s="154"/>
      <c r="BF316" s="154"/>
      <c r="BG316" s="348"/>
      <c r="BH316" s="154"/>
      <c r="BI316" s="154"/>
      <c r="BJ316" s="154"/>
      <c r="BK316" s="154"/>
      <c r="BL316" s="348"/>
      <c r="BM316" s="154"/>
      <c r="BN316" s="154"/>
      <c r="BO316" s="154"/>
      <c r="BP316" s="154"/>
      <c r="BQ316" s="348"/>
      <c r="BR316" s="154"/>
      <c r="BS316" s="154"/>
      <c r="BT316" s="154"/>
      <c r="BU316" s="154"/>
      <c r="BV316" s="154"/>
      <c r="BW316" s="154"/>
      <c r="BX316" s="154"/>
      <c r="BY316" s="154"/>
      <c r="BZ316" s="154"/>
      <c r="CA316" s="154"/>
      <c r="CB316" s="154"/>
      <c r="CC316" s="154"/>
      <c r="CD316" s="154"/>
      <c r="CE316" s="154"/>
      <c r="CF316" s="154"/>
      <c r="CG316" s="154"/>
      <c r="CH316" s="154"/>
      <c r="CI316" s="154"/>
      <c r="CJ316" s="154"/>
      <c r="CK316" s="154"/>
      <c r="CL316" s="154"/>
      <c r="CM316" s="154"/>
      <c r="CN316" s="154"/>
      <c r="CO316" s="154"/>
      <c r="CP316" s="154"/>
    </row>
    <row r="317" spans="1:109" x14ac:dyDescent="0.25">
      <c r="A317" s="38" t="s">
        <v>308</v>
      </c>
      <c r="B317" s="123"/>
      <c r="C317" s="154"/>
      <c r="D317" s="154"/>
      <c r="E317" s="154"/>
      <c r="F317" s="154"/>
      <c r="G317" s="154"/>
      <c r="H317" s="154"/>
      <c r="I317" s="154"/>
      <c r="J317" s="154"/>
      <c r="K317" s="154"/>
      <c r="L317" s="154"/>
      <c r="M317" s="154"/>
      <c r="N317" s="154"/>
      <c r="O317" s="154"/>
      <c r="P317" s="154"/>
      <c r="Q317" s="154"/>
      <c r="R317" s="154"/>
      <c r="S317" s="154"/>
      <c r="T317" s="154"/>
      <c r="U317" s="154"/>
      <c r="V317" s="154"/>
      <c r="W317" s="154"/>
      <c r="X317" s="154"/>
      <c r="Y317" s="154"/>
      <c r="Z317" s="154"/>
      <c r="AA317" s="154"/>
      <c r="AB317" s="154"/>
      <c r="AC317" s="154"/>
      <c r="AD317" s="154"/>
      <c r="AE317" s="154"/>
      <c r="AF317" s="154"/>
      <c r="AG317" s="154"/>
      <c r="AH317" s="154"/>
      <c r="AI317" s="154"/>
      <c r="AJ317" s="154"/>
      <c r="AK317" s="154"/>
      <c r="AL317" s="154"/>
      <c r="AM317" s="155"/>
      <c r="AN317" s="154"/>
      <c r="AO317" s="316"/>
      <c r="AP317" s="154"/>
      <c r="AQ317" s="154"/>
      <c r="AR317" s="155"/>
      <c r="AS317" s="154"/>
      <c r="AT317" s="52"/>
      <c r="AU317" s="154"/>
      <c r="AV317" s="154"/>
      <c r="AW317" s="155"/>
      <c r="AX317" s="154"/>
      <c r="AY317" s="154"/>
      <c r="AZ317" s="154"/>
      <c r="BA317" s="154"/>
      <c r="BB317" s="155"/>
      <c r="BC317" s="154"/>
      <c r="BD317" s="154"/>
      <c r="BE317" s="154"/>
      <c r="BF317" s="154"/>
      <c r="BG317" s="348"/>
      <c r="BH317" s="154"/>
      <c r="BI317" s="154"/>
      <c r="BJ317" s="154"/>
      <c r="BK317" s="154"/>
      <c r="BL317" s="348"/>
      <c r="BM317" s="154"/>
      <c r="BN317" s="154"/>
      <c r="BO317" s="154"/>
      <c r="BP317" s="154"/>
      <c r="BQ317" s="348"/>
      <c r="BR317" s="154"/>
      <c r="BS317" s="154"/>
      <c r="BT317" s="154"/>
      <c r="BU317" s="154"/>
      <c r="BV317" s="154"/>
      <c r="BW317" s="154"/>
      <c r="BX317" s="154"/>
      <c r="BY317" s="154"/>
      <c r="BZ317" s="154"/>
      <c r="CA317" s="154"/>
      <c r="CB317" s="154"/>
      <c r="CC317" s="154"/>
      <c r="CD317" s="154"/>
      <c r="CE317" s="154"/>
      <c r="CF317" s="154"/>
      <c r="CG317" s="154"/>
      <c r="CH317" s="154"/>
      <c r="CI317" s="154"/>
      <c r="CJ317" s="154"/>
      <c r="CK317" s="154"/>
      <c r="CL317" s="154"/>
      <c r="CM317" s="154"/>
      <c r="CN317" s="154"/>
      <c r="CO317" s="154"/>
      <c r="CP317" s="154"/>
    </row>
    <row r="318" spans="1:109" x14ac:dyDescent="0.25">
      <c r="A318" s="52" t="s">
        <v>291</v>
      </c>
      <c r="B318" s="123"/>
      <c r="C318" s="154"/>
      <c r="D318" s="154"/>
      <c r="E318" s="154"/>
      <c r="F318" s="154"/>
      <c r="G318" s="154"/>
      <c r="H318" s="154"/>
      <c r="I318" s="154"/>
      <c r="J318" s="154"/>
      <c r="K318" s="154"/>
      <c r="L318" s="154"/>
      <c r="M318" s="154"/>
      <c r="N318" s="154"/>
      <c r="O318" s="154"/>
      <c r="P318" s="154"/>
      <c r="Q318" s="154"/>
      <c r="R318" s="154"/>
      <c r="S318" s="154"/>
      <c r="T318" s="154"/>
      <c r="U318" s="154"/>
      <c r="V318" s="154"/>
      <c r="W318" s="154"/>
      <c r="X318" s="154"/>
      <c r="Y318" s="154"/>
      <c r="Z318" s="154"/>
      <c r="AA318" s="154"/>
      <c r="AB318" s="154"/>
      <c r="AC318" s="154"/>
      <c r="AD318" s="154"/>
      <c r="AE318" s="154"/>
      <c r="AF318" s="154"/>
      <c r="AG318" s="154"/>
      <c r="AH318" s="154"/>
      <c r="AI318" s="154">
        <v>0.04</v>
      </c>
      <c r="AJ318" s="154">
        <v>0.05</v>
      </c>
      <c r="AK318" s="154">
        <v>0.09</v>
      </c>
      <c r="AL318" s="154">
        <v>0.08</v>
      </c>
      <c r="AM318" s="155">
        <v>0.08</v>
      </c>
      <c r="AN318" s="154">
        <v>0.15</v>
      </c>
      <c r="AO318" s="316">
        <v>0.16</v>
      </c>
      <c r="AP318" s="316">
        <v>0.12</v>
      </c>
      <c r="AQ318" s="154">
        <f t="shared" ref="AQ318:AQ346" si="393">AR318</f>
        <v>0.12</v>
      </c>
      <c r="AR318" s="155">
        <v>0.12</v>
      </c>
      <c r="AS318" s="154">
        <v>0.15</v>
      </c>
      <c r="AT318" s="154">
        <v>0.09</v>
      </c>
      <c r="AU318" s="154">
        <v>0.1</v>
      </c>
      <c r="AV318" s="154">
        <f t="shared" ref="AV318:AV346" si="394">AW318</f>
        <v>0.11</v>
      </c>
      <c r="AW318" s="155">
        <v>0.11</v>
      </c>
      <c r="AX318" s="154">
        <v>0.04</v>
      </c>
      <c r="AY318" s="154">
        <v>0.1</v>
      </c>
      <c r="AZ318" s="154">
        <v>0.1</v>
      </c>
      <c r="BA318" s="154">
        <f t="shared" ref="BA318:BA346" si="395">BB318</f>
        <v>0.08</v>
      </c>
      <c r="BB318" s="155">
        <v>0.08</v>
      </c>
      <c r="BC318" s="154">
        <v>0.05</v>
      </c>
      <c r="BD318" s="154">
        <v>7.0000000000000007E-2</v>
      </c>
      <c r="BE318" s="154">
        <v>0.08</v>
      </c>
      <c r="BF318" s="154">
        <v>0.08</v>
      </c>
      <c r="BG318" s="348">
        <v>0.08</v>
      </c>
      <c r="BH318" s="154">
        <v>0.06</v>
      </c>
      <c r="BI318" s="154">
        <v>7.0000000000000007E-2</v>
      </c>
      <c r="BJ318" s="154">
        <v>7.0000000000000007E-2</v>
      </c>
      <c r="BK318" s="154">
        <v>0.06</v>
      </c>
      <c r="BL318" s="348">
        <v>0.06</v>
      </c>
      <c r="BM318" s="154">
        <v>0.03</v>
      </c>
      <c r="BN318" s="154">
        <v>0.02</v>
      </c>
      <c r="BO318" s="154">
        <v>0.03</v>
      </c>
      <c r="BP318" s="154">
        <v>0.03</v>
      </c>
      <c r="BQ318" s="348">
        <v>0.03</v>
      </c>
      <c r="BR318" s="154">
        <v>0.06</v>
      </c>
      <c r="BS318" s="154">
        <v>7.0000000000000007E-2</v>
      </c>
      <c r="BT318" s="154"/>
      <c r="BU318" s="154"/>
      <c r="BV318" s="154"/>
      <c r="BW318" s="154"/>
      <c r="BX318" s="154"/>
      <c r="BY318" s="154"/>
      <c r="BZ318" s="154"/>
      <c r="CA318" s="154"/>
      <c r="CB318" s="154"/>
      <c r="CC318" s="154"/>
      <c r="CD318" s="154"/>
      <c r="CE318" s="154"/>
      <c r="CF318" s="154"/>
      <c r="CG318" s="154"/>
      <c r="CH318" s="154"/>
      <c r="CI318" s="154"/>
      <c r="CJ318" s="154"/>
      <c r="CK318" s="154"/>
      <c r="CL318" s="154"/>
      <c r="CM318" s="154"/>
      <c r="CN318" s="154"/>
      <c r="CO318" s="154"/>
      <c r="CP318" s="154"/>
    </row>
    <row r="319" spans="1:109" x14ac:dyDescent="0.25">
      <c r="A319" s="52" t="s">
        <v>321</v>
      </c>
      <c r="B319" s="123"/>
      <c r="C319" s="154"/>
      <c r="D319" s="154"/>
      <c r="E319" s="154"/>
      <c r="F319" s="154"/>
      <c r="G319" s="154"/>
      <c r="H319" s="154"/>
      <c r="I319" s="154"/>
      <c r="J319" s="154"/>
      <c r="K319" s="154"/>
      <c r="L319" s="154"/>
      <c r="M319" s="154"/>
      <c r="N319" s="154"/>
      <c r="O319" s="154"/>
      <c r="P319" s="154"/>
      <c r="Q319" s="154"/>
      <c r="R319" s="154"/>
      <c r="S319" s="154"/>
      <c r="T319" s="154"/>
      <c r="U319" s="154"/>
      <c r="V319" s="154"/>
      <c r="W319" s="154"/>
      <c r="X319" s="154"/>
      <c r="Y319" s="154"/>
      <c r="Z319" s="154"/>
      <c r="AA319" s="154"/>
      <c r="AB319" s="154"/>
      <c r="AC319" s="154"/>
      <c r="AD319" s="154"/>
      <c r="AE319" s="154"/>
      <c r="AF319" s="154"/>
      <c r="AG319" s="154"/>
      <c r="AH319" s="154"/>
      <c r="AI319" s="154"/>
      <c r="AJ319" s="154"/>
      <c r="AK319" s="154"/>
      <c r="AL319" s="154"/>
      <c r="AM319" s="155"/>
      <c r="AN319" s="154"/>
      <c r="AO319" s="316"/>
      <c r="AP319" s="316"/>
      <c r="AQ319" s="154"/>
      <c r="AR319" s="155"/>
      <c r="AS319" s="154"/>
      <c r="AT319" s="154"/>
      <c r="AU319" s="154"/>
      <c r="AV319" s="154"/>
      <c r="AW319" s="155"/>
      <c r="AX319" s="154"/>
      <c r="AY319" s="154"/>
      <c r="AZ319" s="154"/>
      <c r="BA319" s="154"/>
      <c r="BB319" s="155"/>
      <c r="BC319" s="154">
        <v>0.02</v>
      </c>
      <c r="BD319" s="154">
        <v>0.04</v>
      </c>
      <c r="BE319" s="154">
        <v>0.06</v>
      </c>
      <c r="BF319" s="154">
        <v>0.06</v>
      </c>
      <c r="BG319" s="348">
        <v>0.06</v>
      </c>
      <c r="BH319" s="154">
        <v>0.04</v>
      </c>
      <c r="BI319" s="154">
        <v>0.04</v>
      </c>
      <c r="BJ319" s="154">
        <v>0.04</v>
      </c>
      <c r="BK319" s="154">
        <v>0.04</v>
      </c>
      <c r="BL319" s="348">
        <v>0.04</v>
      </c>
      <c r="BM319" s="154">
        <v>0.02</v>
      </c>
      <c r="BN319" s="154">
        <v>0.02</v>
      </c>
      <c r="BO319" s="154">
        <v>0.02</v>
      </c>
      <c r="BP319" s="154">
        <v>0.03</v>
      </c>
      <c r="BQ319" s="348">
        <v>0.03</v>
      </c>
      <c r="BR319" s="154">
        <v>0.04</v>
      </c>
      <c r="BS319" s="154">
        <v>0.06</v>
      </c>
      <c r="BT319" s="154"/>
      <c r="BU319" s="154"/>
      <c r="BV319" s="154"/>
      <c r="BW319" s="154"/>
      <c r="BX319" s="154"/>
      <c r="BY319" s="154"/>
      <c r="BZ319" s="154"/>
      <c r="CA319" s="154"/>
      <c r="CB319" s="154"/>
      <c r="CC319" s="154"/>
      <c r="CD319" s="154"/>
      <c r="CE319" s="154"/>
      <c r="CF319" s="154"/>
      <c r="CG319" s="154"/>
      <c r="CH319" s="154"/>
      <c r="CI319" s="154"/>
      <c r="CJ319" s="154"/>
      <c r="CK319" s="154"/>
      <c r="CL319" s="154"/>
      <c r="CM319" s="154"/>
      <c r="CN319" s="154"/>
      <c r="CO319" s="154"/>
      <c r="CP319" s="154"/>
    </row>
    <row r="320" spans="1:109" x14ac:dyDescent="0.25">
      <c r="A320" s="52" t="s">
        <v>322</v>
      </c>
      <c r="B320" s="123"/>
      <c r="C320" s="154"/>
      <c r="D320" s="154"/>
      <c r="E320" s="154"/>
      <c r="F320" s="154"/>
      <c r="G320" s="154"/>
      <c r="H320" s="154"/>
      <c r="I320" s="154"/>
      <c r="J320" s="154"/>
      <c r="K320" s="154"/>
      <c r="L320" s="154"/>
      <c r="M320" s="154"/>
      <c r="N320" s="154"/>
      <c r="O320" s="154"/>
      <c r="P320" s="154"/>
      <c r="Q320" s="154"/>
      <c r="R320" s="154"/>
      <c r="S320" s="154"/>
      <c r="T320" s="154"/>
      <c r="U320" s="154"/>
      <c r="V320" s="154"/>
      <c r="W320" s="154"/>
      <c r="X320" s="154"/>
      <c r="Y320" s="154"/>
      <c r="Z320" s="154"/>
      <c r="AA320" s="154"/>
      <c r="AB320" s="154"/>
      <c r="AC320" s="154"/>
      <c r="AD320" s="154"/>
      <c r="AE320" s="154"/>
      <c r="AF320" s="154"/>
      <c r="AG320" s="154"/>
      <c r="AH320" s="154"/>
      <c r="AI320" s="154"/>
      <c r="AJ320" s="154"/>
      <c r="AK320" s="154"/>
      <c r="AL320" s="154"/>
      <c r="AM320" s="155"/>
      <c r="AN320" s="154"/>
      <c r="AO320" s="316"/>
      <c r="AP320" s="316"/>
      <c r="AQ320" s="154"/>
      <c r="AR320" s="155"/>
      <c r="AS320" s="154"/>
      <c r="AT320" s="154"/>
      <c r="AU320" s="154"/>
      <c r="AV320" s="154"/>
      <c r="AW320" s="155"/>
      <c r="AX320" s="154"/>
      <c r="AY320" s="154"/>
      <c r="AZ320" s="154"/>
      <c r="BA320" s="154"/>
      <c r="BB320" s="155"/>
      <c r="BC320" s="154">
        <v>0.28999999999999998</v>
      </c>
      <c r="BD320" s="154">
        <v>0.32</v>
      </c>
      <c r="BE320" s="154">
        <v>0.32</v>
      </c>
      <c r="BF320" s="154">
        <v>0.28000000000000003</v>
      </c>
      <c r="BG320" s="348">
        <v>0.28000000000000003</v>
      </c>
      <c r="BH320" s="154">
        <v>0.18</v>
      </c>
      <c r="BI320" s="154">
        <v>0.14000000000000001</v>
      </c>
      <c r="BJ320" s="154">
        <v>0.11</v>
      </c>
      <c r="BK320" s="154">
        <v>0.09</v>
      </c>
      <c r="BL320" s="348">
        <v>0.09</v>
      </c>
      <c r="BM320" s="154">
        <v>0.05</v>
      </c>
      <c r="BN320" s="154">
        <v>0.02</v>
      </c>
      <c r="BO320" s="154">
        <v>0.03</v>
      </c>
      <c r="BP320" s="154">
        <v>0.04</v>
      </c>
      <c r="BQ320" s="348">
        <v>0.04</v>
      </c>
      <c r="BR320" s="154">
        <v>0.03</v>
      </c>
      <c r="BS320" s="154">
        <v>0.08</v>
      </c>
      <c r="BT320" s="154"/>
      <c r="BU320" s="154"/>
      <c r="BV320" s="154"/>
      <c r="BW320" s="154"/>
      <c r="BX320" s="154"/>
      <c r="BY320" s="154"/>
      <c r="BZ320" s="154"/>
      <c r="CA320" s="154"/>
      <c r="CB320" s="154"/>
      <c r="CC320" s="154"/>
      <c r="CD320" s="154"/>
      <c r="CE320" s="154"/>
      <c r="CF320" s="154"/>
      <c r="CG320" s="154"/>
      <c r="CH320" s="154"/>
      <c r="CI320" s="154"/>
      <c r="CJ320" s="154"/>
      <c r="CK320" s="154"/>
      <c r="CL320" s="154"/>
      <c r="CM320" s="154"/>
      <c r="CN320" s="154"/>
      <c r="CO320" s="154"/>
      <c r="CP320" s="154"/>
    </row>
    <row r="321" spans="1:94" x14ac:dyDescent="0.25">
      <c r="A321" s="52" t="s">
        <v>323</v>
      </c>
      <c r="B321" s="123"/>
      <c r="C321" s="154"/>
      <c r="D321" s="154"/>
      <c r="E321" s="154"/>
      <c r="F321" s="154"/>
      <c r="G321" s="154"/>
      <c r="H321" s="154"/>
      <c r="I321" s="154"/>
      <c r="J321" s="154"/>
      <c r="K321" s="154"/>
      <c r="L321" s="154"/>
      <c r="M321" s="154"/>
      <c r="N321" s="154"/>
      <c r="O321" s="154"/>
      <c r="P321" s="154"/>
      <c r="Q321" s="154"/>
      <c r="R321" s="154"/>
      <c r="S321" s="154"/>
      <c r="T321" s="154"/>
      <c r="U321" s="154"/>
      <c r="V321" s="154"/>
      <c r="W321" s="154"/>
      <c r="X321" s="154"/>
      <c r="Y321" s="154"/>
      <c r="Z321" s="154"/>
      <c r="AA321" s="154"/>
      <c r="AB321" s="154"/>
      <c r="AC321" s="154"/>
      <c r="AD321" s="154"/>
      <c r="AE321" s="154"/>
      <c r="AF321" s="154"/>
      <c r="AG321" s="154"/>
      <c r="AH321" s="154"/>
      <c r="AI321" s="154"/>
      <c r="AJ321" s="154"/>
      <c r="AK321" s="154"/>
      <c r="AL321" s="154"/>
      <c r="AM321" s="155"/>
      <c r="AN321" s="154"/>
      <c r="AO321" s="316"/>
      <c r="AP321" s="316"/>
      <c r="AQ321" s="154"/>
      <c r="AR321" s="155"/>
      <c r="AS321" s="154"/>
      <c r="AT321" s="154"/>
      <c r="AU321" s="154"/>
      <c r="AV321" s="154"/>
      <c r="AW321" s="155"/>
      <c r="AX321" s="154"/>
      <c r="AY321" s="154"/>
      <c r="AZ321" s="154"/>
      <c r="BA321" s="154"/>
      <c r="BB321" s="155"/>
      <c r="BC321" s="154">
        <v>0.09</v>
      </c>
      <c r="BD321" s="154">
        <v>0.18</v>
      </c>
      <c r="BE321" s="154">
        <v>0.18</v>
      </c>
      <c r="BF321" s="154">
        <v>0.27</v>
      </c>
      <c r="BG321" s="348">
        <v>0.27</v>
      </c>
      <c r="BH321" s="154">
        <v>0.45</v>
      </c>
      <c r="BI321" s="154">
        <v>0.39</v>
      </c>
      <c r="BJ321" s="154">
        <v>0.38</v>
      </c>
      <c r="BK321" s="154">
        <v>0.28000000000000003</v>
      </c>
      <c r="BL321" s="348">
        <v>0.28000000000000003</v>
      </c>
      <c r="BM321" s="154">
        <v>0.04</v>
      </c>
      <c r="BN321" s="154">
        <v>0.05</v>
      </c>
      <c r="BO321" s="154">
        <v>0.04</v>
      </c>
      <c r="BP321" s="154">
        <v>0.05</v>
      </c>
      <c r="BQ321" s="348">
        <v>0.05</v>
      </c>
      <c r="BR321" s="154"/>
      <c r="BS321" s="154"/>
      <c r="BT321" s="154"/>
      <c r="BU321" s="154"/>
      <c r="BV321" s="154"/>
      <c r="BW321" s="154"/>
      <c r="BX321" s="154"/>
      <c r="BY321" s="154"/>
      <c r="BZ321" s="154"/>
      <c r="CA321" s="154"/>
      <c r="CB321" s="154"/>
      <c r="CC321" s="154"/>
      <c r="CD321" s="154"/>
      <c r="CE321" s="154"/>
      <c r="CF321" s="154"/>
      <c r="CG321" s="154"/>
      <c r="CH321" s="154"/>
      <c r="CI321" s="154"/>
      <c r="CJ321" s="154"/>
      <c r="CK321" s="154"/>
      <c r="CL321" s="154"/>
      <c r="CM321" s="154"/>
      <c r="CN321" s="154"/>
      <c r="CO321" s="154"/>
      <c r="CP321" s="154"/>
    </row>
    <row r="322" spans="1:94" x14ac:dyDescent="0.25">
      <c r="A322" s="52" t="s">
        <v>277</v>
      </c>
      <c r="B322" s="123"/>
      <c r="C322" s="154"/>
      <c r="D322" s="154"/>
      <c r="E322" s="154"/>
      <c r="F322" s="154"/>
      <c r="G322" s="154"/>
      <c r="H322" s="154"/>
      <c r="I322" s="154"/>
      <c r="J322" s="154"/>
      <c r="K322" s="154"/>
      <c r="L322" s="154"/>
      <c r="M322" s="154"/>
      <c r="N322" s="154"/>
      <c r="O322" s="154"/>
      <c r="P322" s="154"/>
      <c r="Q322" s="154"/>
      <c r="R322" s="154"/>
      <c r="S322" s="154"/>
      <c r="T322" s="154"/>
      <c r="U322" s="154"/>
      <c r="V322" s="154"/>
      <c r="W322" s="154"/>
      <c r="X322" s="154"/>
      <c r="Y322" s="154"/>
      <c r="Z322" s="154"/>
      <c r="AA322" s="154"/>
      <c r="AB322" s="154"/>
      <c r="AC322" s="154"/>
      <c r="AD322" s="154"/>
      <c r="AE322" s="154"/>
      <c r="AF322" s="154"/>
      <c r="AG322" s="154"/>
      <c r="AH322" s="154"/>
      <c r="AI322" s="154">
        <v>0.02</v>
      </c>
      <c r="AJ322" s="154">
        <v>0.03</v>
      </c>
      <c r="AK322" s="154">
        <v>7.0000000000000007E-2</v>
      </c>
      <c r="AL322" s="154">
        <v>0.06</v>
      </c>
      <c r="AM322" s="155">
        <v>0.06</v>
      </c>
      <c r="AN322" s="154">
        <v>0.16</v>
      </c>
      <c r="AO322" s="316">
        <v>0.16</v>
      </c>
      <c r="AP322" s="316">
        <v>0.13</v>
      </c>
      <c r="AQ322" s="154">
        <f t="shared" si="393"/>
        <v>0.12</v>
      </c>
      <c r="AR322" s="155">
        <v>0.12</v>
      </c>
      <c r="AS322" s="154">
        <v>0.18</v>
      </c>
      <c r="AT322" s="154">
        <v>0.1</v>
      </c>
      <c r="AU322" s="154">
        <v>0.11</v>
      </c>
      <c r="AV322" s="154">
        <f t="shared" si="394"/>
        <v>0.12</v>
      </c>
      <c r="AW322" s="155">
        <v>0.12</v>
      </c>
      <c r="AX322" s="154">
        <v>0.04</v>
      </c>
      <c r="AY322" s="154">
        <v>0.11</v>
      </c>
      <c r="AZ322" s="154">
        <v>0.1</v>
      </c>
      <c r="BA322" s="154">
        <f t="shared" si="395"/>
        <v>0.09</v>
      </c>
      <c r="BB322" s="155">
        <v>0.09</v>
      </c>
      <c r="BC322" s="154"/>
      <c r="BD322" s="154"/>
      <c r="BE322" s="154"/>
      <c r="BF322" s="154"/>
      <c r="BG322" s="348"/>
      <c r="BH322" s="154"/>
      <c r="BI322" s="154"/>
      <c r="BJ322" s="154"/>
      <c r="BK322" s="154"/>
      <c r="BL322" s="348"/>
      <c r="BM322" s="154"/>
      <c r="BN322" s="154"/>
      <c r="BO322" s="154"/>
      <c r="BP322" s="154"/>
      <c r="BQ322" s="348"/>
      <c r="BR322" s="154"/>
      <c r="BS322" s="154"/>
      <c r="BT322" s="154"/>
      <c r="BU322" s="154"/>
      <c r="BV322" s="154"/>
      <c r="BW322" s="154"/>
      <c r="BX322" s="154"/>
      <c r="BY322" s="154"/>
      <c r="BZ322" s="154"/>
      <c r="CA322" s="154"/>
      <c r="CB322" s="154"/>
      <c r="CC322" s="154"/>
      <c r="CD322" s="154"/>
      <c r="CE322" s="154"/>
      <c r="CF322" s="154"/>
      <c r="CG322" s="154"/>
      <c r="CH322" s="154"/>
      <c r="CI322" s="154"/>
      <c r="CJ322" s="154"/>
      <c r="CK322" s="154"/>
      <c r="CL322" s="154"/>
      <c r="CM322" s="154"/>
      <c r="CN322" s="154"/>
      <c r="CO322" s="154"/>
      <c r="CP322" s="154"/>
    </row>
    <row r="323" spans="1:94" x14ac:dyDescent="0.25">
      <c r="A323" s="52" t="s">
        <v>278</v>
      </c>
      <c r="B323" s="123"/>
      <c r="C323" s="154"/>
      <c r="D323" s="154"/>
      <c r="E323" s="154"/>
      <c r="F323" s="154"/>
      <c r="G323" s="154"/>
      <c r="H323" s="154"/>
      <c r="I323" s="154"/>
      <c r="J323" s="154"/>
      <c r="K323" s="154"/>
      <c r="L323" s="154"/>
      <c r="M323" s="154"/>
      <c r="N323" s="154"/>
      <c r="O323" s="154"/>
      <c r="P323" s="154"/>
      <c r="Q323" s="154"/>
      <c r="R323" s="154"/>
      <c r="S323" s="154"/>
      <c r="T323" s="154"/>
      <c r="U323" s="154"/>
      <c r="V323" s="154"/>
      <c r="W323" s="154"/>
      <c r="X323" s="154"/>
      <c r="Y323" s="154"/>
      <c r="Z323" s="154"/>
      <c r="AA323" s="154"/>
      <c r="AB323" s="154"/>
      <c r="AC323" s="154"/>
      <c r="AD323" s="154"/>
      <c r="AE323" s="154"/>
      <c r="AF323" s="154"/>
      <c r="AG323" s="154"/>
      <c r="AH323" s="154"/>
      <c r="AI323" s="154">
        <v>0.19</v>
      </c>
      <c r="AJ323" s="154">
        <v>0.18</v>
      </c>
      <c r="AK323" s="154">
        <v>0.22</v>
      </c>
      <c r="AL323" s="154">
        <v>0.18</v>
      </c>
      <c r="AM323" s="155">
        <v>0.18</v>
      </c>
      <c r="AN323" s="154">
        <v>0.1</v>
      </c>
      <c r="AO323" s="316">
        <v>0.13</v>
      </c>
      <c r="AP323" s="316">
        <v>7.0000000000000007E-2</v>
      </c>
      <c r="AQ323" s="154">
        <f t="shared" si="393"/>
        <v>0.11</v>
      </c>
      <c r="AR323" s="155">
        <v>0.11</v>
      </c>
      <c r="AS323" s="154">
        <v>0.01</v>
      </c>
      <c r="AT323" s="154">
        <v>0.05</v>
      </c>
      <c r="AU323" s="154">
        <v>7.0000000000000007E-2</v>
      </c>
      <c r="AV323" s="154">
        <f t="shared" si="394"/>
        <v>7.0000000000000007E-2</v>
      </c>
      <c r="AW323" s="155">
        <v>7.0000000000000007E-2</v>
      </c>
      <c r="AX323" s="154">
        <v>7.0000000000000007E-2</v>
      </c>
      <c r="AY323" s="154">
        <v>0.04</v>
      </c>
      <c r="AZ323" s="154">
        <v>7.0000000000000007E-2</v>
      </c>
      <c r="BA323" s="154">
        <f t="shared" si="395"/>
        <v>0.05</v>
      </c>
      <c r="BB323" s="155">
        <v>0.05</v>
      </c>
      <c r="BC323" s="154">
        <v>0.03</v>
      </c>
      <c r="BD323" s="154">
        <v>0.03</v>
      </c>
      <c r="BE323" s="154">
        <v>0.01</v>
      </c>
      <c r="BF323" s="154">
        <v>0.02</v>
      </c>
      <c r="BG323" s="348">
        <v>0.02</v>
      </c>
      <c r="BH323" s="154">
        <v>-0.04</v>
      </c>
      <c r="BI323" s="154">
        <v>0.04</v>
      </c>
      <c r="BJ323" s="154">
        <v>0.04</v>
      </c>
      <c r="BK323" s="154">
        <v>0.04</v>
      </c>
      <c r="BL323" s="348">
        <v>0.04</v>
      </c>
      <c r="BM323" s="154">
        <v>7.0000000000000007E-2</v>
      </c>
      <c r="BN323" s="154">
        <v>0.05</v>
      </c>
      <c r="BO323" s="154">
        <v>0.05</v>
      </c>
      <c r="BP323" s="154">
        <v>0.06</v>
      </c>
      <c r="BQ323" s="348">
        <v>0.06</v>
      </c>
      <c r="BR323" s="154">
        <v>0.22</v>
      </c>
      <c r="BS323" s="154">
        <v>0.15</v>
      </c>
      <c r="BT323" s="154"/>
      <c r="BU323" s="154"/>
      <c r="BV323" s="154"/>
      <c r="BW323" s="154"/>
      <c r="BX323" s="154"/>
      <c r="BY323" s="154"/>
      <c r="BZ323" s="154"/>
      <c r="CA323" s="154"/>
      <c r="CB323" s="154"/>
      <c r="CC323" s="154"/>
      <c r="CD323" s="154"/>
      <c r="CE323" s="154"/>
      <c r="CF323" s="154"/>
      <c r="CG323" s="154"/>
      <c r="CH323" s="154"/>
      <c r="CI323" s="154"/>
      <c r="CJ323" s="154"/>
      <c r="CK323" s="154"/>
      <c r="CL323" s="154"/>
      <c r="CM323" s="154"/>
      <c r="CN323" s="154"/>
      <c r="CO323" s="154"/>
      <c r="CP323" s="154"/>
    </row>
    <row r="324" spans="1:94" x14ac:dyDescent="0.25">
      <c r="A324" s="52" t="s">
        <v>351</v>
      </c>
      <c r="B324" s="123"/>
      <c r="C324" s="154"/>
      <c r="D324" s="154"/>
      <c r="E324" s="154"/>
      <c r="F324" s="154"/>
      <c r="G324" s="154"/>
      <c r="H324" s="154"/>
      <c r="I324" s="154"/>
      <c r="J324" s="154"/>
      <c r="K324" s="154"/>
      <c r="L324" s="154"/>
      <c r="M324" s="154"/>
      <c r="N324" s="154"/>
      <c r="O324" s="154"/>
      <c r="P324" s="154"/>
      <c r="Q324" s="154"/>
      <c r="R324" s="154"/>
      <c r="S324" s="154"/>
      <c r="T324" s="154"/>
      <c r="U324" s="154"/>
      <c r="V324" s="154"/>
      <c r="W324" s="154"/>
      <c r="X324" s="154"/>
      <c r="Y324" s="154"/>
      <c r="Z324" s="154"/>
      <c r="AA324" s="154"/>
      <c r="AB324" s="154"/>
      <c r="AC324" s="154"/>
      <c r="AD324" s="154"/>
      <c r="AE324" s="154"/>
      <c r="AF324" s="154"/>
      <c r="AG324" s="154"/>
      <c r="AH324" s="154"/>
      <c r="AI324" s="154"/>
      <c r="AJ324" s="154"/>
      <c r="AK324" s="154"/>
      <c r="AL324" s="154"/>
      <c r="AM324" s="155"/>
      <c r="AN324" s="154"/>
      <c r="AO324" s="316"/>
      <c r="AP324" s="316"/>
      <c r="AQ324" s="154"/>
      <c r="AR324" s="155"/>
      <c r="AS324" s="154"/>
      <c r="AT324" s="154"/>
      <c r="AU324" s="154"/>
      <c r="AV324" s="154"/>
      <c r="AW324" s="155"/>
      <c r="AX324" s="154"/>
      <c r="AY324" s="154"/>
      <c r="AZ324" s="154"/>
      <c r="BA324" s="154"/>
      <c r="BB324" s="155"/>
      <c r="BC324" s="154"/>
      <c r="BD324" s="154"/>
      <c r="BE324" s="154"/>
      <c r="BF324" s="154"/>
      <c r="BG324" s="348"/>
      <c r="BH324" s="154"/>
      <c r="BI324" s="154"/>
      <c r="BJ324" s="154"/>
      <c r="BK324" s="154"/>
      <c r="BL324" s="348"/>
      <c r="BM324" s="154"/>
      <c r="BN324" s="154"/>
      <c r="BO324" s="154"/>
      <c r="BP324" s="154"/>
      <c r="BQ324" s="348"/>
      <c r="BR324" s="154">
        <v>0.08</v>
      </c>
      <c r="BS324" s="154">
        <v>0.09</v>
      </c>
      <c r="BT324" s="154"/>
      <c r="BU324" s="154"/>
      <c r="BV324" s="154"/>
      <c r="BW324" s="154"/>
      <c r="BX324" s="154"/>
      <c r="BY324" s="154"/>
      <c r="BZ324" s="154"/>
      <c r="CA324" s="154"/>
      <c r="CB324" s="154"/>
      <c r="CC324" s="154"/>
      <c r="CD324" s="154"/>
      <c r="CE324" s="154"/>
      <c r="CF324" s="154"/>
      <c r="CG324" s="154"/>
      <c r="CH324" s="154"/>
      <c r="CI324" s="154"/>
      <c r="CJ324" s="154"/>
      <c r="CK324" s="154"/>
      <c r="CL324" s="154"/>
      <c r="CM324" s="154"/>
      <c r="CN324" s="154"/>
      <c r="CO324" s="154"/>
      <c r="CP324" s="154"/>
    </row>
    <row r="325" spans="1:94" x14ac:dyDescent="0.25">
      <c r="A325" s="52" t="s">
        <v>352</v>
      </c>
      <c r="B325" s="123"/>
      <c r="C325" s="154"/>
      <c r="D325" s="154"/>
      <c r="E325" s="154"/>
      <c r="F325" s="154"/>
      <c r="G325" s="154"/>
      <c r="H325" s="154"/>
      <c r="I325" s="154"/>
      <c r="J325" s="154"/>
      <c r="K325" s="154"/>
      <c r="L325" s="154"/>
      <c r="M325" s="154"/>
      <c r="N325" s="154"/>
      <c r="O325" s="154"/>
      <c r="P325" s="154"/>
      <c r="Q325" s="154"/>
      <c r="R325" s="154"/>
      <c r="S325" s="154"/>
      <c r="T325" s="154"/>
      <c r="U325" s="154"/>
      <c r="V325" s="154"/>
      <c r="W325" s="154"/>
      <c r="X325" s="154"/>
      <c r="Y325" s="154"/>
      <c r="Z325" s="154"/>
      <c r="AA325" s="154"/>
      <c r="AB325" s="154"/>
      <c r="AC325" s="154"/>
      <c r="AD325" s="154"/>
      <c r="AE325" s="154"/>
      <c r="AF325" s="154"/>
      <c r="AG325" s="154"/>
      <c r="AH325" s="154"/>
      <c r="AI325" s="154"/>
      <c r="AJ325" s="154"/>
      <c r="AK325" s="154"/>
      <c r="AL325" s="154"/>
      <c r="AM325" s="155"/>
      <c r="AN325" s="154"/>
      <c r="AO325" s="316"/>
      <c r="AP325" s="316"/>
      <c r="AQ325" s="154"/>
      <c r="AR325" s="155"/>
      <c r="AS325" s="154"/>
      <c r="AT325" s="154"/>
      <c r="AU325" s="154"/>
      <c r="AV325" s="154"/>
      <c r="AW325" s="155"/>
      <c r="AX325" s="154"/>
      <c r="AY325" s="154"/>
      <c r="AZ325" s="154"/>
      <c r="BA325" s="154"/>
      <c r="BB325" s="155"/>
      <c r="BC325" s="154"/>
      <c r="BD325" s="154"/>
      <c r="BE325" s="154"/>
      <c r="BF325" s="154"/>
      <c r="BG325" s="348"/>
      <c r="BH325" s="154"/>
      <c r="BI325" s="154"/>
      <c r="BJ325" s="154"/>
      <c r="BK325" s="154"/>
      <c r="BL325" s="348"/>
      <c r="BM325" s="154"/>
      <c r="BN325" s="154"/>
      <c r="BO325" s="154"/>
      <c r="BP325" s="154"/>
      <c r="BQ325" s="348"/>
      <c r="BR325" s="154">
        <v>0.14000000000000001</v>
      </c>
      <c r="BS325" s="154">
        <v>0.14000000000000001</v>
      </c>
      <c r="BT325" s="154"/>
      <c r="BU325" s="154"/>
      <c r="BV325" s="154"/>
      <c r="BW325" s="154"/>
      <c r="BX325" s="154"/>
      <c r="BY325" s="154"/>
      <c r="BZ325" s="154"/>
      <c r="CA325" s="154"/>
      <c r="CB325" s="154"/>
      <c r="CC325" s="154"/>
      <c r="CD325" s="154"/>
      <c r="CE325" s="154"/>
      <c r="CF325" s="154"/>
      <c r="CG325" s="154"/>
      <c r="CH325" s="154"/>
      <c r="CI325" s="154"/>
      <c r="CJ325" s="154"/>
      <c r="CK325" s="154"/>
      <c r="CL325" s="154"/>
      <c r="CM325" s="154"/>
      <c r="CN325" s="154"/>
      <c r="CO325" s="154"/>
      <c r="CP325" s="154"/>
    </row>
    <row r="326" spans="1:94" x14ac:dyDescent="0.25">
      <c r="A326" s="52" t="s">
        <v>281</v>
      </c>
      <c r="B326" s="123"/>
      <c r="C326" s="154"/>
      <c r="D326" s="154"/>
      <c r="E326" s="154"/>
      <c r="F326" s="154"/>
      <c r="G326" s="154"/>
      <c r="H326" s="154"/>
      <c r="I326" s="154"/>
      <c r="J326" s="154"/>
      <c r="K326" s="154"/>
      <c r="L326" s="154"/>
      <c r="M326" s="154"/>
      <c r="N326" s="154"/>
      <c r="O326" s="154"/>
      <c r="P326" s="154"/>
      <c r="Q326" s="154"/>
      <c r="R326" s="154"/>
      <c r="S326" s="154"/>
      <c r="T326" s="154"/>
      <c r="U326" s="154"/>
      <c r="V326" s="154"/>
      <c r="W326" s="154"/>
      <c r="X326" s="154"/>
      <c r="Y326" s="154"/>
      <c r="Z326" s="154"/>
      <c r="AA326" s="154"/>
      <c r="AB326" s="154"/>
      <c r="AC326" s="154"/>
      <c r="AD326" s="154"/>
      <c r="AE326" s="154"/>
      <c r="AF326" s="154"/>
      <c r="AG326" s="154"/>
      <c r="AH326" s="154"/>
      <c r="AI326" s="154"/>
      <c r="AJ326" s="154"/>
      <c r="AK326" s="154"/>
      <c r="AL326" s="154"/>
      <c r="AM326" s="155">
        <f>AM338</f>
        <v>-0.03</v>
      </c>
      <c r="AN326" s="154">
        <f t="shared" ref="AN326:BB326" si="396">AN338</f>
        <v>-0.11</v>
      </c>
      <c r="AO326" s="316">
        <f t="shared" si="396"/>
        <v>-7.0000000000000007E-2</v>
      </c>
      <c r="AP326" s="316">
        <f t="shared" si="396"/>
        <v>-0.06</v>
      </c>
      <c r="AQ326" s="154">
        <f t="shared" si="396"/>
        <v>-7.0000000000000007E-2</v>
      </c>
      <c r="AR326" s="155">
        <f t="shared" si="396"/>
        <v>-7.0000000000000007E-2</v>
      </c>
      <c r="AS326" s="154">
        <f t="shared" si="396"/>
        <v>-0.01</v>
      </c>
      <c r="AT326" s="154">
        <f t="shared" si="396"/>
        <v>-0.05</v>
      </c>
      <c r="AU326" s="154">
        <f t="shared" si="396"/>
        <v>-0.04</v>
      </c>
      <c r="AV326" s="154">
        <f t="shared" si="396"/>
        <v>-0.04</v>
      </c>
      <c r="AW326" s="155">
        <f t="shared" si="396"/>
        <v>-0.04</v>
      </c>
      <c r="AX326" s="154">
        <f t="shared" si="396"/>
        <v>-0.04</v>
      </c>
      <c r="AY326" s="154">
        <f t="shared" si="396"/>
        <v>-0.04</v>
      </c>
      <c r="AZ326" s="154">
        <f t="shared" si="396"/>
        <v>-0.04</v>
      </c>
      <c r="BA326" s="154">
        <f t="shared" si="396"/>
        <v>-0.02</v>
      </c>
      <c r="BB326" s="155">
        <f t="shared" si="396"/>
        <v>-0.02</v>
      </c>
      <c r="BC326" s="154">
        <v>-7.0000000000000007E-2</v>
      </c>
      <c r="BD326" s="154">
        <v>-0.04</v>
      </c>
      <c r="BE326" s="154">
        <v>-0.05</v>
      </c>
      <c r="BF326" s="154">
        <v>-0.05</v>
      </c>
      <c r="BG326" s="348">
        <v>-0.05</v>
      </c>
      <c r="BH326" s="154">
        <v>-0.04</v>
      </c>
      <c r="BI326" s="154">
        <v>-7.0000000000000007E-2</v>
      </c>
      <c r="BJ326" s="154">
        <v>-0.06</v>
      </c>
      <c r="BK326" s="154">
        <v>-0.06</v>
      </c>
      <c r="BL326" s="348">
        <v>-0.06</v>
      </c>
      <c r="BM326" s="154"/>
      <c r="BN326" s="154"/>
      <c r="BO326" s="154"/>
      <c r="BP326" s="154"/>
      <c r="BQ326" s="348"/>
      <c r="BR326" s="154"/>
      <c r="BS326" s="154"/>
      <c r="BT326" s="154"/>
      <c r="BU326" s="154"/>
      <c r="BV326" s="154"/>
      <c r="BW326" s="154"/>
      <c r="BX326" s="154"/>
      <c r="BY326" s="154"/>
      <c r="BZ326" s="154"/>
      <c r="CA326" s="154"/>
      <c r="CB326" s="154"/>
      <c r="CC326" s="154"/>
      <c r="CD326" s="154"/>
      <c r="CE326" s="154"/>
      <c r="CF326" s="154"/>
      <c r="CG326" s="154"/>
      <c r="CH326" s="154"/>
      <c r="CI326" s="154"/>
      <c r="CJ326" s="154"/>
      <c r="CK326" s="154"/>
      <c r="CL326" s="154"/>
      <c r="CM326" s="154"/>
      <c r="CN326" s="154"/>
      <c r="CO326" s="154"/>
      <c r="CP326" s="154"/>
    </row>
    <row r="327" spans="1:94" x14ac:dyDescent="0.25">
      <c r="A327" s="52" t="s">
        <v>324</v>
      </c>
      <c r="B327" s="123"/>
      <c r="C327" s="154"/>
      <c r="D327" s="154"/>
      <c r="E327" s="154"/>
      <c r="F327" s="154"/>
      <c r="G327" s="154"/>
      <c r="H327" s="154"/>
      <c r="I327" s="154"/>
      <c r="J327" s="154"/>
      <c r="K327" s="154"/>
      <c r="L327" s="154"/>
      <c r="M327" s="154"/>
      <c r="N327" s="154"/>
      <c r="O327" s="154"/>
      <c r="P327" s="154"/>
      <c r="Q327" s="154"/>
      <c r="R327" s="154"/>
      <c r="S327" s="154"/>
      <c r="T327" s="154"/>
      <c r="U327" s="154"/>
      <c r="V327" s="154"/>
      <c r="W327" s="154"/>
      <c r="X327" s="154"/>
      <c r="Y327" s="154"/>
      <c r="Z327" s="154"/>
      <c r="AA327" s="154"/>
      <c r="AB327" s="154"/>
      <c r="AC327" s="154"/>
      <c r="AD327" s="154"/>
      <c r="AE327" s="154"/>
      <c r="AF327" s="154"/>
      <c r="AG327" s="154"/>
      <c r="AH327" s="154"/>
      <c r="AI327" s="154"/>
      <c r="AJ327" s="154"/>
      <c r="AK327" s="154"/>
      <c r="AL327" s="154"/>
      <c r="AM327" s="155">
        <f>AM335</f>
        <v>-0.02</v>
      </c>
      <c r="AN327" s="154">
        <f t="shared" ref="AN327:BB327" si="397">AN335</f>
        <v>0</v>
      </c>
      <c r="AO327" s="316">
        <f t="shared" si="397"/>
        <v>0.09</v>
      </c>
      <c r="AP327" s="316">
        <f t="shared" si="397"/>
        <v>0.1</v>
      </c>
      <c r="AQ327" s="154">
        <f t="shared" si="397"/>
        <v>0.1</v>
      </c>
      <c r="AR327" s="155">
        <f t="shared" si="397"/>
        <v>0.1</v>
      </c>
      <c r="AS327" s="154">
        <f t="shared" si="397"/>
        <v>0.2</v>
      </c>
      <c r="AT327" s="154">
        <f t="shared" si="397"/>
        <v>0.09</v>
      </c>
      <c r="AU327" s="154">
        <f t="shared" si="397"/>
        <v>0.05</v>
      </c>
      <c r="AV327" s="154">
        <f t="shared" si="397"/>
        <v>0.06</v>
      </c>
      <c r="AW327" s="155">
        <f t="shared" si="397"/>
        <v>0.06</v>
      </c>
      <c r="AX327" s="154">
        <f t="shared" si="397"/>
        <v>-7.0000000000000007E-2</v>
      </c>
      <c r="AY327" s="154">
        <f t="shared" si="397"/>
        <v>0.01</v>
      </c>
      <c r="AZ327" s="154">
        <f t="shared" si="397"/>
        <v>0.09</v>
      </c>
      <c r="BA327" s="154">
        <f t="shared" si="397"/>
        <v>0.04</v>
      </c>
      <c r="BB327" s="155">
        <f t="shared" si="397"/>
        <v>0.04</v>
      </c>
      <c r="BC327" s="154">
        <v>-0.13</v>
      </c>
      <c r="BD327" s="154">
        <v>-0.06</v>
      </c>
      <c r="BE327" s="154">
        <v>-0.09</v>
      </c>
      <c r="BF327" s="154">
        <v>-0.05</v>
      </c>
      <c r="BG327" s="348">
        <v>-0.05</v>
      </c>
      <c r="BH327" s="154">
        <v>0.03</v>
      </c>
      <c r="BI327" s="154">
        <v>-0.02</v>
      </c>
      <c r="BJ327" s="154">
        <v>-0.05</v>
      </c>
      <c r="BK327" s="154">
        <v>-0.05</v>
      </c>
      <c r="BL327" s="348">
        <v>-0.05</v>
      </c>
      <c r="BM327" s="154">
        <v>-0.04</v>
      </c>
      <c r="BN327" s="154">
        <v>-0.04</v>
      </c>
      <c r="BO327" s="154">
        <v>-0.01</v>
      </c>
      <c r="BP327" s="154">
        <v>-0.01</v>
      </c>
      <c r="BQ327" s="348">
        <v>-0.01</v>
      </c>
      <c r="BR327" s="154">
        <v>0.06</v>
      </c>
      <c r="BS327" s="154">
        <v>0.08</v>
      </c>
      <c r="BT327" s="154"/>
      <c r="BU327" s="154"/>
      <c r="BV327" s="154"/>
      <c r="BW327" s="154"/>
      <c r="BX327" s="154"/>
      <c r="BY327" s="154"/>
      <c r="BZ327" s="154"/>
      <c r="CA327" s="154"/>
      <c r="CB327" s="154"/>
      <c r="CC327" s="154"/>
      <c r="CD327" s="154"/>
      <c r="CE327" s="154"/>
      <c r="CF327" s="154"/>
      <c r="CG327" s="154"/>
      <c r="CH327" s="154"/>
      <c r="CI327" s="154"/>
      <c r="CJ327" s="154"/>
      <c r="CK327" s="154"/>
      <c r="CL327" s="154"/>
      <c r="CM327" s="154"/>
      <c r="CN327" s="154"/>
      <c r="CO327" s="154"/>
      <c r="CP327" s="154"/>
    </row>
    <row r="328" spans="1:94" x14ac:dyDescent="0.25">
      <c r="A328" s="312" t="s">
        <v>283</v>
      </c>
      <c r="B328" s="123"/>
      <c r="C328" s="154"/>
      <c r="D328" s="154"/>
      <c r="E328" s="154"/>
      <c r="F328" s="154"/>
      <c r="G328" s="154"/>
      <c r="H328" s="154"/>
      <c r="I328" s="154"/>
      <c r="J328" s="154"/>
      <c r="K328" s="154"/>
      <c r="L328" s="154"/>
      <c r="M328" s="154"/>
      <c r="N328" s="154"/>
      <c r="O328" s="154"/>
      <c r="P328" s="154"/>
      <c r="Q328" s="154"/>
      <c r="R328" s="154"/>
      <c r="S328" s="154"/>
      <c r="T328" s="154"/>
      <c r="U328" s="154"/>
      <c r="V328" s="154"/>
      <c r="W328" s="154"/>
      <c r="X328" s="154"/>
      <c r="Y328" s="154"/>
      <c r="Z328" s="154"/>
      <c r="AA328" s="154"/>
      <c r="AB328" s="154"/>
      <c r="AC328" s="154"/>
      <c r="AD328" s="154"/>
      <c r="AE328" s="154"/>
      <c r="AF328" s="154"/>
      <c r="AG328" s="154"/>
      <c r="AH328" s="154"/>
      <c r="AI328" s="154"/>
      <c r="AJ328" s="154"/>
      <c r="AK328" s="154"/>
      <c r="AL328" s="154"/>
      <c r="AM328" s="155">
        <f>AM333</f>
        <v>0.11</v>
      </c>
      <c r="AN328" s="154">
        <f t="shared" ref="AN328:BB328" si="398">AN333</f>
        <v>-0.12</v>
      </c>
      <c r="AO328" s="316">
        <f t="shared" si="398"/>
        <v>0</v>
      </c>
      <c r="AP328" s="316">
        <f t="shared" si="398"/>
        <v>-0.04</v>
      </c>
      <c r="AQ328" s="154">
        <f t="shared" si="398"/>
        <v>-0.02</v>
      </c>
      <c r="AR328" s="155">
        <f t="shared" si="398"/>
        <v>-0.02</v>
      </c>
      <c r="AS328" s="154">
        <f t="shared" si="398"/>
        <v>0.24</v>
      </c>
      <c r="AT328" s="154">
        <f t="shared" si="398"/>
        <v>0.05</v>
      </c>
      <c r="AU328" s="154">
        <f t="shared" si="398"/>
        <v>0.03</v>
      </c>
      <c r="AV328" s="154">
        <f t="shared" si="398"/>
        <v>0.02</v>
      </c>
      <c r="AW328" s="155">
        <f t="shared" si="398"/>
        <v>0.02</v>
      </c>
      <c r="AX328" s="154">
        <f t="shared" si="398"/>
        <v>-0.1</v>
      </c>
      <c r="AY328" s="154">
        <f t="shared" si="398"/>
        <v>0.02</v>
      </c>
      <c r="AZ328" s="154">
        <f t="shared" si="398"/>
        <v>0.01</v>
      </c>
      <c r="BA328" s="154">
        <f t="shared" si="398"/>
        <v>0.03</v>
      </c>
      <c r="BB328" s="155">
        <f t="shared" si="398"/>
        <v>0.03</v>
      </c>
      <c r="BC328" s="154">
        <v>0.15</v>
      </c>
      <c r="BD328" s="154">
        <v>0.04</v>
      </c>
      <c r="BE328" s="154">
        <v>0.04</v>
      </c>
      <c r="BF328" s="154">
        <v>0.06</v>
      </c>
      <c r="BG328" s="348">
        <v>0.06</v>
      </c>
      <c r="BH328" s="154">
        <v>0.11</v>
      </c>
      <c r="BI328" s="154">
        <v>0.08</v>
      </c>
      <c r="BJ328" s="154">
        <v>0.04</v>
      </c>
      <c r="BK328" s="154">
        <v>0.05</v>
      </c>
      <c r="BL328" s="348">
        <v>0.05</v>
      </c>
      <c r="BM328" s="154">
        <v>0.1</v>
      </c>
      <c r="BN328" s="154">
        <v>0.09</v>
      </c>
      <c r="BO328" s="154">
        <v>7.0000000000000007E-2</v>
      </c>
      <c r="BP328" s="154">
        <v>0.08</v>
      </c>
      <c r="BQ328" s="348">
        <v>0.08</v>
      </c>
      <c r="BR328" s="154">
        <v>0.13</v>
      </c>
      <c r="BS328" s="154">
        <v>0.1</v>
      </c>
      <c r="BT328" s="154"/>
      <c r="BU328" s="154"/>
      <c r="BV328" s="154"/>
      <c r="BW328" s="154"/>
      <c r="BX328" s="154"/>
      <c r="BY328" s="154"/>
      <c r="BZ328" s="154"/>
      <c r="CA328" s="154"/>
      <c r="CB328" s="154"/>
      <c r="CC328" s="154"/>
      <c r="CD328" s="154"/>
      <c r="CE328" s="154"/>
      <c r="CF328" s="154"/>
      <c r="CG328" s="154"/>
      <c r="CH328" s="154"/>
      <c r="CI328" s="154"/>
      <c r="CJ328" s="154"/>
      <c r="CK328" s="154"/>
      <c r="CL328" s="154"/>
      <c r="CM328" s="154"/>
      <c r="CN328" s="154"/>
      <c r="CO328" s="154"/>
      <c r="CP328" s="154"/>
    </row>
    <row r="329" spans="1:94" x14ac:dyDescent="0.25">
      <c r="A329" s="312" t="s">
        <v>284</v>
      </c>
      <c r="B329" s="123"/>
      <c r="C329" s="154"/>
      <c r="D329" s="154"/>
      <c r="E329" s="154"/>
      <c r="F329" s="154"/>
      <c r="G329" s="154"/>
      <c r="H329" s="154"/>
      <c r="I329" s="154"/>
      <c r="J329" s="154"/>
      <c r="K329" s="154"/>
      <c r="L329" s="154"/>
      <c r="M329" s="154"/>
      <c r="N329" s="154"/>
      <c r="O329" s="154"/>
      <c r="P329" s="154"/>
      <c r="Q329" s="154"/>
      <c r="R329" s="154"/>
      <c r="S329" s="154"/>
      <c r="T329" s="154"/>
      <c r="U329" s="154"/>
      <c r="V329" s="154"/>
      <c r="W329" s="154"/>
      <c r="X329" s="154"/>
      <c r="Y329" s="154"/>
      <c r="Z329" s="154"/>
      <c r="AA329" s="154"/>
      <c r="AB329" s="154"/>
      <c r="AC329" s="154"/>
      <c r="AD329" s="154"/>
      <c r="AE329" s="154"/>
      <c r="AF329" s="154"/>
      <c r="AG329" s="154"/>
      <c r="AH329" s="154"/>
      <c r="AI329" s="154"/>
      <c r="AJ329" s="154"/>
      <c r="AK329" s="154"/>
      <c r="AL329" s="154"/>
      <c r="AM329" s="155">
        <f>AM334</f>
        <v>0.05</v>
      </c>
      <c r="AN329" s="154">
        <f t="shared" ref="AN329:BB329" si="399">AN334</f>
        <v>0.03</v>
      </c>
      <c r="AO329" s="316">
        <f t="shared" si="399"/>
        <v>0.12</v>
      </c>
      <c r="AP329" s="316">
        <f t="shared" si="399"/>
        <v>7.0000000000000007E-2</v>
      </c>
      <c r="AQ329" s="154">
        <f t="shared" si="399"/>
        <v>0.09</v>
      </c>
      <c r="AR329" s="155">
        <f t="shared" si="399"/>
        <v>0.09</v>
      </c>
      <c r="AS329" s="154">
        <f t="shared" si="399"/>
        <v>-0.19</v>
      </c>
      <c r="AT329" s="154">
        <f t="shared" si="399"/>
        <v>7.0000000000000007E-2</v>
      </c>
      <c r="AU329" s="154">
        <f t="shared" si="399"/>
        <v>0.15</v>
      </c>
      <c r="AV329" s="154">
        <f t="shared" si="399"/>
        <v>0.13</v>
      </c>
      <c r="AW329" s="155">
        <f t="shared" si="399"/>
        <v>0.13</v>
      </c>
      <c r="AX329" s="154">
        <f t="shared" si="399"/>
        <v>-0.38</v>
      </c>
      <c r="AY329" s="154">
        <f t="shared" si="399"/>
        <v>-0.15</v>
      </c>
      <c r="AZ329" s="154">
        <f t="shared" si="399"/>
        <v>-0.1</v>
      </c>
      <c r="BA329" s="154">
        <f t="shared" si="399"/>
        <v>-0.09</v>
      </c>
      <c r="BB329" s="155">
        <f t="shared" si="399"/>
        <v>-0.09</v>
      </c>
      <c r="BC329" s="154">
        <v>0.67</v>
      </c>
      <c r="BD329" s="154">
        <v>0.12</v>
      </c>
      <c r="BE329" s="154">
        <v>0.05</v>
      </c>
      <c r="BF329" s="154">
        <v>0.04</v>
      </c>
      <c r="BG329" s="348">
        <v>0.04</v>
      </c>
      <c r="BH329" s="154">
        <v>0.51</v>
      </c>
      <c r="BI329" s="154">
        <v>0.31</v>
      </c>
      <c r="BJ329" s="154">
        <v>0.25</v>
      </c>
      <c r="BK329" s="154">
        <v>0.23</v>
      </c>
      <c r="BL329" s="348">
        <v>0.23</v>
      </c>
      <c r="BM329" s="154">
        <v>0.06</v>
      </c>
      <c r="BN329" s="154">
        <v>0.18</v>
      </c>
      <c r="BO329" s="154">
        <v>0.16</v>
      </c>
      <c r="BP329" s="154">
        <v>0.17</v>
      </c>
      <c r="BQ329" s="348">
        <v>0.17</v>
      </c>
      <c r="BR329" s="154"/>
      <c r="BS329" s="154"/>
      <c r="BT329" s="154"/>
      <c r="BU329" s="154"/>
      <c r="BV329" s="154"/>
      <c r="BW329" s="154"/>
      <c r="BX329" s="154"/>
      <c r="BY329" s="154"/>
      <c r="BZ329" s="154"/>
      <c r="CA329" s="154"/>
      <c r="CB329" s="154"/>
      <c r="CC329" s="154"/>
      <c r="CD329" s="154"/>
      <c r="CE329" s="154"/>
      <c r="CF329" s="154"/>
      <c r="CG329" s="154"/>
      <c r="CH329" s="154"/>
      <c r="CI329" s="154"/>
      <c r="CJ329" s="154"/>
      <c r="CK329" s="154"/>
      <c r="CL329" s="154"/>
      <c r="CM329" s="154"/>
      <c r="CN329" s="154"/>
      <c r="CO329" s="154"/>
      <c r="CP329" s="154"/>
    </row>
    <row r="330" spans="1:94" x14ac:dyDescent="0.25">
      <c r="A330" s="312" t="s">
        <v>325</v>
      </c>
      <c r="B330" s="123"/>
      <c r="C330" s="154"/>
      <c r="D330" s="154"/>
      <c r="E330" s="154"/>
      <c r="F330" s="154"/>
      <c r="G330" s="154"/>
      <c r="H330" s="154"/>
      <c r="I330" s="154"/>
      <c r="J330" s="154"/>
      <c r="K330" s="154"/>
      <c r="L330" s="154"/>
      <c r="M330" s="154"/>
      <c r="N330" s="154"/>
      <c r="O330" s="154"/>
      <c r="P330" s="154"/>
      <c r="Q330" s="154"/>
      <c r="R330" s="154"/>
      <c r="S330" s="154"/>
      <c r="T330" s="154"/>
      <c r="U330" s="154"/>
      <c r="V330" s="154"/>
      <c r="W330" s="154"/>
      <c r="X330" s="154"/>
      <c r="Y330" s="154"/>
      <c r="Z330" s="154"/>
      <c r="AA330" s="154"/>
      <c r="AB330" s="154"/>
      <c r="AC330" s="154"/>
      <c r="AD330" s="154"/>
      <c r="AE330" s="154"/>
      <c r="AF330" s="154"/>
      <c r="AG330" s="154"/>
      <c r="AH330" s="154"/>
      <c r="AI330" s="154"/>
      <c r="AJ330" s="154"/>
      <c r="AK330" s="154"/>
      <c r="AL330" s="154"/>
      <c r="AM330" s="155"/>
      <c r="AN330" s="154"/>
      <c r="AO330" s="316"/>
      <c r="AP330" s="316"/>
      <c r="AQ330" s="154"/>
      <c r="AR330" s="155"/>
      <c r="AS330" s="154"/>
      <c r="AT330" s="154"/>
      <c r="AU330" s="154"/>
      <c r="AV330" s="154"/>
      <c r="AW330" s="155"/>
      <c r="AX330" s="154"/>
      <c r="AY330" s="154"/>
      <c r="AZ330" s="154"/>
      <c r="BA330" s="154"/>
      <c r="BB330" s="155"/>
      <c r="BC330" s="154">
        <v>0.2</v>
      </c>
      <c r="BD330" s="154">
        <v>0.19</v>
      </c>
      <c r="BE330" s="154">
        <v>0.19</v>
      </c>
      <c r="BF330" s="154">
        <v>0.25</v>
      </c>
      <c r="BG330" s="348">
        <v>0.25</v>
      </c>
      <c r="BH330" s="154">
        <v>0.28000000000000003</v>
      </c>
      <c r="BI330" s="154">
        <v>7.0000000000000007E-2</v>
      </c>
      <c r="BJ330" s="154">
        <v>0.12</v>
      </c>
      <c r="BK330" s="154">
        <v>0.13</v>
      </c>
      <c r="BL330" s="348">
        <v>0.13</v>
      </c>
      <c r="BM330" s="154">
        <v>0.18</v>
      </c>
      <c r="BN330" s="154">
        <v>0.16</v>
      </c>
      <c r="BO330" s="154">
        <v>0.18</v>
      </c>
      <c r="BP330" s="154">
        <v>0.14000000000000001</v>
      </c>
      <c r="BQ330" s="348">
        <v>0.14000000000000001</v>
      </c>
      <c r="BR330" s="154">
        <v>0.18</v>
      </c>
      <c r="BS330" s="154">
        <v>0.19</v>
      </c>
      <c r="BT330" s="154"/>
      <c r="BU330" s="154"/>
      <c r="BV330" s="154"/>
      <c r="BW330" s="154"/>
      <c r="BX330" s="154"/>
      <c r="BY330" s="154"/>
      <c r="BZ330" s="154"/>
      <c r="CA330" s="154"/>
      <c r="CB330" s="154"/>
      <c r="CC330" s="154"/>
      <c r="CD330" s="154"/>
      <c r="CE330" s="154"/>
      <c r="CF330" s="154"/>
      <c r="CG330" s="154"/>
      <c r="CH330" s="154"/>
      <c r="CI330" s="154"/>
      <c r="CJ330" s="154"/>
      <c r="CK330" s="154"/>
      <c r="CL330" s="154"/>
      <c r="CM330" s="154"/>
      <c r="CN330" s="154"/>
      <c r="CO330" s="154"/>
      <c r="CP330" s="154"/>
    </row>
    <row r="331" spans="1:94" x14ac:dyDescent="0.25">
      <c r="A331" s="210" t="s">
        <v>326</v>
      </c>
      <c r="B331" s="123"/>
      <c r="C331" s="154"/>
      <c r="D331" s="154"/>
      <c r="E331" s="154"/>
      <c r="F331" s="154"/>
      <c r="G331" s="154"/>
      <c r="H331" s="154"/>
      <c r="I331" s="154"/>
      <c r="J331" s="154"/>
      <c r="K331" s="154"/>
      <c r="L331" s="154"/>
      <c r="M331" s="154"/>
      <c r="N331" s="154"/>
      <c r="O331" s="154"/>
      <c r="P331" s="154"/>
      <c r="Q331" s="154"/>
      <c r="R331" s="154"/>
      <c r="S331" s="154"/>
      <c r="T331" s="154"/>
      <c r="U331" s="154"/>
      <c r="V331" s="154"/>
      <c r="W331" s="154"/>
      <c r="X331" s="154"/>
      <c r="Y331" s="154"/>
      <c r="Z331" s="154"/>
      <c r="AA331" s="154"/>
      <c r="AB331" s="154"/>
      <c r="AC331" s="154"/>
      <c r="AD331" s="154"/>
      <c r="AE331" s="154"/>
      <c r="AF331" s="154"/>
      <c r="AG331" s="154"/>
      <c r="AH331" s="154"/>
      <c r="AI331" s="154"/>
      <c r="AJ331" s="154"/>
      <c r="AK331" s="154"/>
      <c r="AL331" s="154"/>
      <c r="AM331" s="155"/>
      <c r="AN331" s="154"/>
      <c r="AO331" s="316"/>
      <c r="AP331" s="316"/>
      <c r="AQ331" s="154"/>
      <c r="AR331" s="155"/>
      <c r="AS331" s="154"/>
      <c r="AT331" s="154"/>
      <c r="AU331" s="154"/>
      <c r="AV331" s="154"/>
      <c r="AW331" s="155"/>
      <c r="AX331" s="154"/>
      <c r="AY331" s="154"/>
      <c r="AZ331" s="154"/>
      <c r="BA331" s="154"/>
      <c r="BB331" s="155"/>
      <c r="BC331" s="154">
        <v>0.28999999999999998</v>
      </c>
      <c r="BD331" s="154">
        <v>0.33</v>
      </c>
      <c r="BE331" s="154">
        <v>0.32</v>
      </c>
      <c r="BF331" s="154">
        <v>0.32</v>
      </c>
      <c r="BG331" s="348">
        <v>0.32</v>
      </c>
      <c r="BH331" s="154">
        <v>0.28000000000000003</v>
      </c>
      <c r="BI331" s="154">
        <v>0.28000000000000003</v>
      </c>
      <c r="BJ331" s="154">
        <v>0.28999999999999998</v>
      </c>
      <c r="BK331" s="154">
        <v>0.28000000000000003</v>
      </c>
      <c r="BL331" s="348">
        <v>0.28000000000000003</v>
      </c>
      <c r="BM331" s="154">
        <v>0.24</v>
      </c>
      <c r="BN331" s="154">
        <v>0.19</v>
      </c>
      <c r="BO331" s="154">
        <v>0.2</v>
      </c>
      <c r="BP331" s="154">
        <v>0.19</v>
      </c>
      <c r="BQ331" s="348">
        <v>0.19</v>
      </c>
      <c r="BR331" s="154">
        <v>0.16</v>
      </c>
      <c r="BS331" s="154">
        <v>0.21</v>
      </c>
      <c r="BT331" s="154"/>
      <c r="BU331" s="154"/>
      <c r="BV331" s="154"/>
      <c r="BW331" s="154"/>
      <c r="BX331" s="154"/>
      <c r="BY331" s="154"/>
      <c r="BZ331" s="154"/>
      <c r="CA331" s="154"/>
      <c r="CB331" s="154"/>
      <c r="CC331" s="154"/>
      <c r="CD331" s="154"/>
      <c r="CE331" s="154"/>
      <c r="CF331" s="154"/>
      <c r="CG331" s="154"/>
      <c r="CH331" s="154"/>
      <c r="CI331" s="154"/>
      <c r="CJ331" s="154"/>
      <c r="CK331" s="154"/>
      <c r="CL331" s="154"/>
      <c r="CM331" s="154"/>
      <c r="CN331" s="154"/>
      <c r="CO331" s="154"/>
      <c r="CP331" s="154"/>
    </row>
    <row r="332" spans="1:94" x14ac:dyDescent="0.25">
      <c r="A332" s="52" t="s">
        <v>282</v>
      </c>
      <c r="B332" s="123"/>
      <c r="C332" s="154"/>
      <c r="D332" s="154"/>
      <c r="E332" s="154"/>
      <c r="F332" s="154"/>
      <c r="G332" s="154"/>
      <c r="H332" s="154"/>
      <c r="I332" s="154"/>
      <c r="J332" s="154"/>
      <c r="K332" s="154"/>
      <c r="L332" s="154"/>
      <c r="M332" s="154"/>
      <c r="N332" s="154"/>
      <c r="O332" s="154"/>
      <c r="P332" s="154"/>
      <c r="Q332" s="154"/>
      <c r="R332" s="154"/>
      <c r="S332" s="154"/>
      <c r="T332" s="154"/>
      <c r="U332" s="154"/>
      <c r="V332" s="154"/>
      <c r="W332" s="154"/>
      <c r="X332" s="154"/>
      <c r="Y332" s="154"/>
      <c r="Z332" s="154"/>
      <c r="AA332" s="154"/>
      <c r="AB332" s="154"/>
      <c r="AC332" s="154"/>
      <c r="AD332" s="154"/>
      <c r="AE332" s="154"/>
      <c r="AF332" s="154"/>
      <c r="AG332" s="154"/>
      <c r="AH332" s="154"/>
      <c r="AI332" s="154">
        <v>0.28000000000000003</v>
      </c>
      <c r="AJ332" s="154">
        <v>0.14000000000000001</v>
      </c>
      <c r="AK332" s="154">
        <v>0.13</v>
      </c>
      <c r="AL332" s="154">
        <v>0.09</v>
      </c>
      <c r="AM332" s="155">
        <v>0.09</v>
      </c>
      <c r="AN332" s="154">
        <v>-0.06</v>
      </c>
      <c r="AO332" s="316">
        <v>0.04</v>
      </c>
      <c r="AP332" s="316">
        <v>0</v>
      </c>
      <c r="AQ332" s="154">
        <f t="shared" si="393"/>
        <v>0.03</v>
      </c>
      <c r="AR332" s="155">
        <v>0.03</v>
      </c>
      <c r="AS332" s="154">
        <v>0.11</v>
      </c>
      <c r="AT332" s="154">
        <v>0.06</v>
      </c>
      <c r="AU332" s="154">
        <v>7.0000000000000007E-2</v>
      </c>
      <c r="AV332" s="154">
        <f t="shared" si="394"/>
        <v>7.0000000000000007E-2</v>
      </c>
      <c r="AW332" s="155">
        <v>7.0000000000000007E-2</v>
      </c>
      <c r="AX332" s="154">
        <v>-0.2</v>
      </c>
      <c r="AY332" s="154">
        <v>-0.05</v>
      </c>
      <c r="AZ332" s="154">
        <v>-0.03</v>
      </c>
      <c r="BA332" s="154">
        <f t="shared" si="395"/>
        <v>-0.02</v>
      </c>
      <c r="BB332" s="155">
        <v>-0.02</v>
      </c>
      <c r="BC332" s="154"/>
      <c r="BD332" s="154"/>
      <c r="BE332" s="154"/>
      <c r="BF332" s="154"/>
      <c r="BG332" s="348"/>
      <c r="BH332" s="154"/>
      <c r="BI332" s="154"/>
      <c r="BJ332" s="154"/>
      <c r="BK332" s="154"/>
      <c r="BL332" s="348"/>
      <c r="BM332" s="154"/>
      <c r="BN332" s="154"/>
      <c r="BO332" s="154"/>
      <c r="BP332" s="154"/>
      <c r="BQ332" s="348"/>
      <c r="BR332" s="154"/>
      <c r="BS332" s="154"/>
      <c r="BT332" s="154"/>
      <c r="BU332" s="154"/>
      <c r="BV332" s="154"/>
      <c r="BW332" s="154"/>
      <c r="BX332" s="154"/>
      <c r="BY332" s="154"/>
      <c r="BZ332" s="154"/>
      <c r="CA332" s="154"/>
      <c r="CB332" s="154"/>
      <c r="CC332" s="154"/>
      <c r="CD332" s="154"/>
      <c r="CE332" s="154"/>
      <c r="CF332" s="154"/>
      <c r="CG332" s="154"/>
      <c r="CH332" s="154"/>
      <c r="CI332" s="154"/>
      <c r="CJ332" s="154"/>
      <c r="CK332" s="154"/>
      <c r="CL332" s="154"/>
      <c r="CM332" s="154"/>
      <c r="CN332" s="154"/>
      <c r="CO332" s="154"/>
      <c r="CP332" s="154"/>
    </row>
    <row r="333" spans="1:94" x14ac:dyDescent="0.25">
      <c r="A333" s="312" t="s">
        <v>283</v>
      </c>
      <c r="B333" s="123"/>
      <c r="C333" s="154"/>
      <c r="D333" s="154"/>
      <c r="E333" s="154"/>
      <c r="F333" s="154"/>
      <c r="G333" s="154"/>
      <c r="H333" s="154"/>
      <c r="I333" s="154"/>
      <c r="J333" s="154"/>
      <c r="K333" s="154"/>
      <c r="L333" s="154"/>
      <c r="M333" s="154"/>
      <c r="N333" s="154"/>
      <c r="O333" s="154"/>
      <c r="P333" s="154"/>
      <c r="Q333" s="154"/>
      <c r="R333" s="154"/>
      <c r="S333" s="154"/>
      <c r="T333" s="154"/>
      <c r="U333" s="154"/>
      <c r="V333" s="154"/>
      <c r="W333" s="154"/>
      <c r="X333" s="154"/>
      <c r="Y333" s="154"/>
      <c r="Z333" s="154"/>
      <c r="AA333" s="154"/>
      <c r="AB333" s="154"/>
      <c r="AC333" s="154"/>
      <c r="AD333" s="154"/>
      <c r="AE333" s="154"/>
      <c r="AF333" s="154"/>
      <c r="AG333" s="154"/>
      <c r="AH333" s="154"/>
      <c r="AI333" s="154">
        <v>0.25</v>
      </c>
      <c r="AJ333" s="154">
        <v>0.17</v>
      </c>
      <c r="AK333" s="154">
        <v>0.15</v>
      </c>
      <c r="AL333" s="154">
        <v>0.11</v>
      </c>
      <c r="AM333" s="155">
        <v>0.11</v>
      </c>
      <c r="AN333" s="154">
        <v>-0.12</v>
      </c>
      <c r="AO333" s="316">
        <v>0</v>
      </c>
      <c r="AP333" s="316">
        <v>-0.04</v>
      </c>
      <c r="AQ333" s="154">
        <f t="shared" si="393"/>
        <v>-0.02</v>
      </c>
      <c r="AR333" s="155">
        <v>-0.02</v>
      </c>
      <c r="AS333" s="154">
        <v>0.24</v>
      </c>
      <c r="AT333" s="154">
        <v>0.05</v>
      </c>
      <c r="AU333" s="154">
        <v>0.03</v>
      </c>
      <c r="AV333" s="154">
        <f t="shared" si="394"/>
        <v>0.02</v>
      </c>
      <c r="AW333" s="155">
        <v>0.02</v>
      </c>
      <c r="AX333" s="154">
        <v>-0.1</v>
      </c>
      <c r="AY333" s="154">
        <v>0.02</v>
      </c>
      <c r="AZ333" s="154">
        <v>0.01</v>
      </c>
      <c r="BA333" s="154">
        <f t="shared" si="395"/>
        <v>0.03</v>
      </c>
      <c r="BB333" s="155">
        <v>0.03</v>
      </c>
      <c r="BC333" s="154"/>
      <c r="BD333" s="154"/>
      <c r="BE333" s="154"/>
      <c r="BF333" s="154"/>
      <c r="BG333" s="348"/>
      <c r="BH333" s="154"/>
      <c r="BI333" s="154"/>
      <c r="BJ333" s="154"/>
      <c r="BK333" s="154"/>
      <c r="BL333" s="348"/>
      <c r="BM333" s="154"/>
      <c r="BN333" s="154"/>
      <c r="BO333" s="154"/>
      <c r="BP333" s="154"/>
      <c r="BQ333" s="348"/>
      <c r="BR333" s="154"/>
      <c r="BS333" s="154"/>
      <c r="BT333" s="154"/>
      <c r="BU333" s="154"/>
      <c r="BV333" s="154"/>
      <c r="BW333" s="154"/>
      <c r="BX333" s="154"/>
      <c r="BY333" s="154"/>
      <c r="BZ333" s="154"/>
      <c r="CA333" s="154"/>
      <c r="CB333" s="154"/>
      <c r="CC333" s="154"/>
      <c r="CD333" s="154"/>
      <c r="CE333" s="154"/>
      <c r="CF333" s="154"/>
      <c r="CG333" s="154"/>
      <c r="CH333" s="154"/>
      <c r="CI333" s="154"/>
      <c r="CJ333" s="154"/>
      <c r="CK333" s="154"/>
      <c r="CL333" s="154"/>
      <c r="CM333" s="154"/>
      <c r="CN333" s="154"/>
      <c r="CO333" s="154"/>
      <c r="CP333" s="154"/>
    </row>
    <row r="334" spans="1:94" x14ac:dyDescent="0.25">
      <c r="A334" s="312" t="s">
        <v>284</v>
      </c>
      <c r="B334" s="123"/>
      <c r="C334" s="154"/>
      <c r="D334" s="154"/>
      <c r="E334" s="154"/>
      <c r="F334" s="154"/>
      <c r="G334" s="154"/>
      <c r="H334" s="154"/>
      <c r="I334" s="154"/>
      <c r="J334" s="154"/>
      <c r="K334" s="154"/>
      <c r="L334" s="154"/>
      <c r="M334" s="154"/>
      <c r="N334" s="154"/>
      <c r="O334" s="154"/>
      <c r="P334" s="154"/>
      <c r="Q334" s="154"/>
      <c r="R334" s="154"/>
      <c r="S334" s="154"/>
      <c r="T334" s="154"/>
      <c r="U334" s="154"/>
      <c r="V334" s="154"/>
      <c r="W334" s="154"/>
      <c r="X334" s="154"/>
      <c r="Y334" s="154"/>
      <c r="Z334" s="154"/>
      <c r="AA334" s="154"/>
      <c r="AB334" s="154"/>
      <c r="AC334" s="154"/>
      <c r="AD334" s="154"/>
      <c r="AE334" s="154"/>
      <c r="AF334" s="154"/>
      <c r="AG334" s="154"/>
      <c r="AH334" s="154"/>
      <c r="AI334" s="154">
        <v>0.33</v>
      </c>
      <c r="AJ334" s="154">
        <v>0.08</v>
      </c>
      <c r="AK334" s="154">
        <v>0.08</v>
      </c>
      <c r="AL334" s="154">
        <v>0.05</v>
      </c>
      <c r="AM334" s="155">
        <v>0.05</v>
      </c>
      <c r="AN334" s="154">
        <v>0.03</v>
      </c>
      <c r="AO334" s="316">
        <v>0.12</v>
      </c>
      <c r="AP334" s="316">
        <v>7.0000000000000007E-2</v>
      </c>
      <c r="AQ334" s="154">
        <f t="shared" si="393"/>
        <v>0.09</v>
      </c>
      <c r="AR334" s="155">
        <v>0.09</v>
      </c>
      <c r="AS334" s="154">
        <v>-0.19</v>
      </c>
      <c r="AT334" s="154">
        <v>7.0000000000000007E-2</v>
      </c>
      <c r="AU334" s="154">
        <v>0.15</v>
      </c>
      <c r="AV334" s="154">
        <f t="shared" si="394"/>
        <v>0.13</v>
      </c>
      <c r="AW334" s="155">
        <v>0.13</v>
      </c>
      <c r="AX334" s="154">
        <v>-0.38</v>
      </c>
      <c r="AY334" s="154">
        <v>-0.15</v>
      </c>
      <c r="AZ334" s="154">
        <v>-0.1</v>
      </c>
      <c r="BA334" s="154">
        <f t="shared" si="395"/>
        <v>-0.09</v>
      </c>
      <c r="BB334" s="155">
        <v>-0.09</v>
      </c>
      <c r="BC334" s="154"/>
      <c r="BD334" s="154"/>
      <c r="BE334" s="154"/>
      <c r="BF334" s="154"/>
      <c r="BG334" s="348"/>
      <c r="BH334" s="154"/>
      <c r="BI334" s="154"/>
      <c r="BJ334" s="154"/>
      <c r="BK334" s="154"/>
      <c r="BL334" s="348"/>
      <c r="BM334" s="154"/>
      <c r="BN334" s="154"/>
      <c r="BO334" s="154"/>
      <c r="BP334" s="154"/>
      <c r="BQ334" s="348"/>
      <c r="BR334" s="154"/>
      <c r="BS334" s="154"/>
      <c r="BT334" s="154"/>
      <c r="BU334" s="154"/>
      <c r="BV334" s="154"/>
      <c r="BW334" s="154"/>
      <c r="BX334" s="154"/>
      <c r="BY334" s="154"/>
      <c r="BZ334" s="154"/>
      <c r="CA334" s="154"/>
      <c r="CB334" s="154"/>
      <c r="CC334" s="154"/>
      <c r="CD334" s="154"/>
      <c r="CE334" s="154"/>
      <c r="CF334" s="154"/>
      <c r="CG334" s="154"/>
      <c r="CH334" s="154"/>
      <c r="CI334" s="154"/>
      <c r="CJ334" s="154"/>
      <c r="CK334" s="154"/>
      <c r="CL334" s="154"/>
      <c r="CM334" s="154"/>
      <c r="CN334" s="154"/>
      <c r="CO334" s="154"/>
      <c r="CP334" s="154"/>
    </row>
    <row r="335" spans="1:94" x14ac:dyDescent="0.25">
      <c r="A335" s="52" t="s">
        <v>168</v>
      </c>
      <c r="B335" s="123"/>
      <c r="C335" s="154"/>
      <c r="D335" s="154"/>
      <c r="E335" s="154"/>
      <c r="F335" s="154"/>
      <c r="G335" s="154"/>
      <c r="H335" s="154"/>
      <c r="I335" s="154"/>
      <c r="J335" s="154"/>
      <c r="K335" s="154"/>
      <c r="L335" s="154"/>
      <c r="M335" s="154"/>
      <c r="N335" s="154"/>
      <c r="O335" s="154"/>
      <c r="P335" s="154"/>
      <c r="Q335" s="154"/>
      <c r="R335" s="154"/>
      <c r="S335" s="154"/>
      <c r="T335" s="154"/>
      <c r="U335" s="154"/>
      <c r="V335" s="154"/>
      <c r="W335" s="154"/>
      <c r="X335" s="154"/>
      <c r="Y335" s="154"/>
      <c r="Z335" s="154"/>
      <c r="AA335" s="154"/>
      <c r="AB335" s="154"/>
      <c r="AC335" s="154"/>
      <c r="AD335" s="154"/>
      <c r="AE335" s="154"/>
      <c r="AF335" s="154"/>
      <c r="AG335" s="154"/>
      <c r="AH335" s="154"/>
      <c r="AI335" s="154">
        <v>0.01</v>
      </c>
      <c r="AJ335" s="154">
        <v>-0.02</v>
      </c>
      <c r="AK335" s="154">
        <v>0.01</v>
      </c>
      <c r="AL335" s="154">
        <v>-0.02</v>
      </c>
      <c r="AM335" s="155">
        <v>-0.02</v>
      </c>
      <c r="AN335" s="154">
        <v>0</v>
      </c>
      <c r="AO335" s="316">
        <v>0.09</v>
      </c>
      <c r="AP335" s="316">
        <v>0.1</v>
      </c>
      <c r="AQ335" s="154">
        <f t="shared" si="393"/>
        <v>0.1</v>
      </c>
      <c r="AR335" s="155">
        <v>0.1</v>
      </c>
      <c r="AS335" s="154">
        <v>0.2</v>
      </c>
      <c r="AT335" s="154">
        <v>0.09</v>
      </c>
      <c r="AU335" s="154">
        <v>0.05</v>
      </c>
      <c r="AV335" s="154">
        <f t="shared" si="394"/>
        <v>0.06</v>
      </c>
      <c r="AW335" s="155">
        <v>0.06</v>
      </c>
      <c r="AX335" s="154">
        <v>-7.0000000000000007E-2</v>
      </c>
      <c r="AY335" s="154">
        <v>0.01</v>
      </c>
      <c r="AZ335" s="154">
        <v>0.09</v>
      </c>
      <c r="BA335" s="154">
        <f t="shared" si="395"/>
        <v>0.04</v>
      </c>
      <c r="BB335" s="155">
        <v>0.04</v>
      </c>
      <c r="BC335" s="154"/>
      <c r="BD335" s="154"/>
      <c r="BE335" s="154"/>
      <c r="BF335" s="154"/>
      <c r="BG335" s="348"/>
      <c r="BH335" s="154"/>
      <c r="BI335" s="154"/>
      <c r="BJ335" s="154"/>
      <c r="BK335" s="154"/>
      <c r="BL335" s="348"/>
      <c r="BM335" s="154"/>
      <c r="BN335" s="154"/>
      <c r="BO335" s="154"/>
      <c r="BP335" s="154"/>
      <c r="BQ335" s="348"/>
      <c r="BR335" s="154"/>
      <c r="BS335" s="154"/>
      <c r="BT335" s="154"/>
      <c r="BU335" s="154"/>
      <c r="BV335" s="154"/>
      <c r="BW335" s="154"/>
      <c r="BX335" s="154"/>
      <c r="BY335" s="154"/>
      <c r="BZ335" s="154"/>
      <c r="CA335" s="154"/>
      <c r="CB335" s="154"/>
      <c r="CC335" s="154"/>
      <c r="CD335" s="154"/>
      <c r="CE335" s="154"/>
      <c r="CF335" s="154"/>
      <c r="CG335" s="154"/>
      <c r="CH335" s="154"/>
      <c r="CI335" s="154"/>
      <c r="CJ335" s="154"/>
      <c r="CK335" s="154"/>
      <c r="CL335" s="154"/>
      <c r="CM335" s="154"/>
      <c r="CN335" s="154"/>
      <c r="CO335" s="154"/>
      <c r="CP335" s="154"/>
    </row>
    <row r="336" spans="1:94" x14ac:dyDescent="0.25">
      <c r="A336" s="312" t="s">
        <v>168</v>
      </c>
      <c r="B336" s="123"/>
      <c r="C336" s="154"/>
      <c r="D336" s="154"/>
      <c r="E336" s="154"/>
      <c r="F336" s="154"/>
      <c r="G336" s="154"/>
      <c r="H336" s="154"/>
      <c r="I336" s="154"/>
      <c r="J336" s="154"/>
      <c r="K336" s="154"/>
      <c r="L336" s="154"/>
      <c r="M336" s="154"/>
      <c r="N336" s="154"/>
      <c r="O336" s="154"/>
      <c r="P336" s="154"/>
      <c r="Q336" s="154"/>
      <c r="R336" s="154"/>
      <c r="S336" s="154"/>
      <c r="T336" s="154"/>
      <c r="U336" s="154"/>
      <c r="V336" s="154"/>
      <c r="W336" s="154"/>
      <c r="X336" s="154"/>
      <c r="Y336" s="154"/>
      <c r="Z336" s="154"/>
      <c r="AA336" s="154"/>
      <c r="AB336" s="154"/>
      <c r="AC336" s="154"/>
      <c r="AD336" s="154"/>
      <c r="AE336" s="154"/>
      <c r="AF336" s="154"/>
      <c r="AG336" s="154"/>
      <c r="AH336" s="318"/>
      <c r="AI336" s="318" t="s">
        <v>259</v>
      </c>
      <c r="AJ336" s="318" t="s">
        <v>259</v>
      </c>
      <c r="AK336" s="318" t="s">
        <v>259</v>
      </c>
      <c r="AL336" s="318">
        <v>-0.02</v>
      </c>
      <c r="AM336" s="326">
        <v>-0.02</v>
      </c>
      <c r="AN336" s="318">
        <v>-0.01</v>
      </c>
      <c r="AO336" s="319">
        <v>7.0000000000000007E-2</v>
      </c>
      <c r="AP336" s="319">
        <v>0.09</v>
      </c>
      <c r="AQ336" s="154">
        <f t="shared" si="393"/>
        <v>0.09</v>
      </c>
      <c r="AR336" s="326">
        <v>0.09</v>
      </c>
      <c r="AS336" s="318">
        <v>0.18</v>
      </c>
      <c r="AT336" s="154">
        <v>0.08</v>
      </c>
      <c r="AU336" s="154">
        <v>0.04</v>
      </c>
      <c r="AV336" s="154">
        <f t="shared" si="394"/>
        <v>0.05</v>
      </c>
      <c r="AW336" s="155">
        <v>0.05</v>
      </c>
      <c r="AX336" s="154">
        <v>-7.0000000000000007E-2</v>
      </c>
      <c r="AY336" s="154">
        <v>0.02</v>
      </c>
      <c r="AZ336" s="154">
        <v>0.09</v>
      </c>
      <c r="BA336" s="154">
        <f t="shared" si="395"/>
        <v>0.04</v>
      </c>
      <c r="BB336" s="155">
        <v>0.04</v>
      </c>
      <c r="BC336" s="154"/>
      <c r="BD336" s="154"/>
      <c r="BE336" s="154"/>
      <c r="BF336" s="154"/>
      <c r="BG336" s="348"/>
      <c r="BH336" s="154"/>
      <c r="BI336" s="154"/>
      <c r="BJ336" s="154"/>
      <c r="BK336" s="154"/>
      <c r="BL336" s="348"/>
      <c r="BM336" s="154"/>
      <c r="BN336" s="154"/>
      <c r="BO336" s="154"/>
      <c r="BP336" s="154"/>
      <c r="BQ336" s="348"/>
      <c r="BR336" s="154"/>
      <c r="BS336" s="154"/>
      <c r="BT336" s="154"/>
      <c r="BU336" s="154"/>
      <c r="BV336" s="154"/>
      <c r="BW336" s="154"/>
      <c r="BX336" s="154"/>
      <c r="BY336" s="154"/>
      <c r="BZ336" s="154"/>
      <c r="CA336" s="154"/>
      <c r="CB336" s="154"/>
      <c r="CC336" s="154"/>
      <c r="CD336" s="154"/>
      <c r="CE336" s="154"/>
      <c r="CF336" s="154"/>
      <c r="CG336" s="154"/>
      <c r="CH336" s="154"/>
      <c r="CI336" s="154"/>
      <c r="CJ336" s="154"/>
      <c r="CK336" s="154"/>
      <c r="CL336" s="154"/>
      <c r="CM336" s="154"/>
      <c r="CN336" s="154"/>
      <c r="CO336" s="154"/>
      <c r="CP336" s="154"/>
    </row>
    <row r="337" spans="1:109" x14ac:dyDescent="0.25">
      <c r="A337" s="312" t="s">
        <v>294</v>
      </c>
      <c r="B337" s="123"/>
      <c r="C337" s="154"/>
      <c r="D337" s="154"/>
      <c r="E337" s="154"/>
      <c r="F337" s="154"/>
      <c r="G337" s="154"/>
      <c r="H337" s="154"/>
      <c r="I337" s="154"/>
      <c r="J337" s="154"/>
      <c r="K337" s="154"/>
      <c r="L337" s="154"/>
      <c r="M337" s="154"/>
      <c r="N337" s="154"/>
      <c r="O337" s="154"/>
      <c r="P337" s="154"/>
      <c r="Q337" s="154"/>
      <c r="R337" s="154"/>
      <c r="S337" s="154"/>
      <c r="T337" s="154"/>
      <c r="U337" s="154"/>
      <c r="V337" s="154"/>
      <c r="W337" s="154"/>
      <c r="X337" s="154"/>
      <c r="Y337" s="154"/>
      <c r="Z337" s="154"/>
      <c r="AA337" s="154"/>
      <c r="AB337" s="154"/>
      <c r="AC337" s="154"/>
      <c r="AD337" s="154"/>
      <c r="AE337" s="154"/>
      <c r="AF337" s="154"/>
      <c r="AG337" s="154"/>
      <c r="AH337" s="318"/>
      <c r="AI337" s="318" t="s">
        <v>259</v>
      </c>
      <c r="AJ337" s="318" t="s">
        <v>259</v>
      </c>
      <c r="AK337" s="318" t="s">
        <v>259</v>
      </c>
      <c r="AL337" s="318" t="s">
        <v>259</v>
      </c>
      <c r="AM337" s="326" t="s">
        <v>259</v>
      </c>
      <c r="AN337" s="318" t="s">
        <v>259</v>
      </c>
      <c r="AO337" s="319" t="s">
        <v>259</v>
      </c>
      <c r="AP337" s="319" t="s">
        <v>259</v>
      </c>
      <c r="AQ337" s="154">
        <f t="shared" si="393"/>
        <v>4.2699999999999996</v>
      </c>
      <c r="AR337" s="326">
        <v>4.2699999999999996</v>
      </c>
      <c r="AS337" s="318">
        <v>0.72</v>
      </c>
      <c r="AT337" s="154">
        <v>0.88</v>
      </c>
      <c r="AU337" s="154">
        <v>0.79</v>
      </c>
      <c r="AV337" s="154">
        <f t="shared" si="394"/>
        <v>0.3</v>
      </c>
      <c r="AW337" s="155">
        <v>0.3</v>
      </c>
      <c r="AX337" s="154">
        <v>0.12</v>
      </c>
      <c r="AY337" s="154">
        <v>-0.08</v>
      </c>
      <c r="AZ337" s="154">
        <v>-7.0000000000000007E-2</v>
      </c>
      <c r="BA337" s="154">
        <f t="shared" si="395"/>
        <v>-0.04</v>
      </c>
      <c r="BB337" s="155">
        <v>-0.04</v>
      </c>
      <c r="BC337" s="154"/>
      <c r="BD337" s="154"/>
      <c r="BE337" s="154"/>
      <c r="BF337" s="154"/>
      <c r="BG337" s="348"/>
      <c r="BH337" s="154"/>
      <c r="BI337" s="154"/>
      <c r="BJ337" s="154"/>
      <c r="BK337" s="154"/>
      <c r="BL337" s="348"/>
      <c r="BM337" s="154"/>
      <c r="BN337" s="154"/>
      <c r="BO337" s="154"/>
      <c r="BP337" s="154"/>
      <c r="BQ337" s="348"/>
      <c r="BR337" s="154"/>
      <c r="BS337" s="154"/>
      <c r="BT337" s="154"/>
      <c r="BU337" s="154"/>
      <c r="BV337" s="154"/>
      <c r="BW337" s="154"/>
      <c r="BX337" s="154"/>
      <c r="BY337" s="154"/>
      <c r="BZ337" s="154"/>
      <c r="CA337" s="154"/>
      <c r="CB337" s="154"/>
      <c r="CC337" s="154"/>
      <c r="CD337" s="154"/>
      <c r="CE337" s="154"/>
      <c r="CF337" s="154"/>
      <c r="CG337" s="154"/>
      <c r="CH337" s="154"/>
      <c r="CI337" s="154"/>
      <c r="CJ337" s="154"/>
      <c r="CK337" s="154"/>
      <c r="CL337" s="154"/>
      <c r="CM337" s="154"/>
      <c r="CN337" s="154"/>
      <c r="CO337" s="154"/>
      <c r="CP337" s="154"/>
    </row>
    <row r="338" spans="1:109" x14ac:dyDescent="0.25">
      <c r="A338" s="52" t="s">
        <v>281</v>
      </c>
      <c r="B338" s="123"/>
      <c r="C338" s="154"/>
      <c r="D338" s="154"/>
      <c r="E338" s="154"/>
      <c r="F338" s="154"/>
      <c r="G338" s="154"/>
      <c r="H338" s="154"/>
      <c r="I338" s="154"/>
      <c r="J338" s="154"/>
      <c r="K338" s="154"/>
      <c r="L338" s="154"/>
      <c r="M338" s="154"/>
      <c r="N338" s="154"/>
      <c r="O338" s="154"/>
      <c r="P338" s="154"/>
      <c r="Q338" s="154"/>
      <c r="R338" s="154"/>
      <c r="S338" s="154"/>
      <c r="T338" s="154"/>
      <c r="U338" s="154"/>
      <c r="V338" s="154"/>
      <c r="W338" s="154"/>
      <c r="X338" s="154"/>
      <c r="Y338" s="154"/>
      <c r="Z338" s="154"/>
      <c r="AA338" s="154"/>
      <c r="AB338" s="154"/>
      <c r="AC338" s="154"/>
      <c r="AD338" s="154"/>
      <c r="AE338" s="154"/>
      <c r="AF338" s="154"/>
      <c r="AG338" s="154"/>
      <c r="AH338" s="318"/>
      <c r="AI338" s="318">
        <v>-0.03</v>
      </c>
      <c r="AJ338" s="318">
        <v>-0.03</v>
      </c>
      <c r="AK338" s="318">
        <v>-0.03</v>
      </c>
      <c r="AL338" s="318">
        <v>-0.03</v>
      </c>
      <c r="AM338" s="326">
        <v>-0.03</v>
      </c>
      <c r="AN338" s="318">
        <v>-0.11</v>
      </c>
      <c r="AO338" s="319">
        <v>-7.0000000000000007E-2</v>
      </c>
      <c r="AP338" s="319">
        <v>-0.06</v>
      </c>
      <c r="AQ338" s="154">
        <f t="shared" si="393"/>
        <v>-7.0000000000000007E-2</v>
      </c>
      <c r="AR338" s="326">
        <v>-7.0000000000000007E-2</v>
      </c>
      <c r="AS338" s="318">
        <v>-0.01</v>
      </c>
      <c r="AT338" s="154">
        <v>-0.05</v>
      </c>
      <c r="AU338" s="154">
        <v>-0.04</v>
      </c>
      <c r="AV338" s="154">
        <f t="shared" si="394"/>
        <v>-0.04</v>
      </c>
      <c r="AW338" s="155">
        <v>-0.04</v>
      </c>
      <c r="AX338" s="154">
        <v>-0.04</v>
      </c>
      <c r="AY338" s="154">
        <v>-0.04</v>
      </c>
      <c r="AZ338" s="154">
        <v>-0.04</v>
      </c>
      <c r="BA338" s="154">
        <f t="shared" si="395"/>
        <v>-0.02</v>
      </c>
      <c r="BB338" s="155">
        <v>-0.02</v>
      </c>
      <c r="BC338" s="154"/>
      <c r="BD338" s="154"/>
      <c r="BE338" s="154"/>
      <c r="BF338" s="154"/>
      <c r="BG338" s="348"/>
      <c r="BH338" s="154"/>
      <c r="BI338" s="154"/>
      <c r="BJ338" s="154"/>
      <c r="BK338" s="154"/>
      <c r="BL338" s="348"/>
      <c r="BM338" s="154"/>
      <c r="BN338" s="154"/>
      <c r="BO338" s="154"/>
      <c r="BP338" s="154"/>
      <c r="BQ338" s="348"/>
      <c r="BR338" s="154"/>
      <c r="BS338" s="154"/>
      <c r="BT338" s="154"/>
      <c r="BU338" s="154"/>
      <c r="BV338" s="154"/>
      <c r="BW338" s="154"/>
      <c r="BX338" s="154"/>
      <c r="BY338" s="154"/>
      <c r="BZ338" s="154"/>
      <c r="CA338" s="154"/>
      <c r="CB338" s="154"/>
      <c r="CC338" s="154"/>
      <c r="CD338" s="154"/>
      <c r="CE338" s="154"/>
      <c r="CF338" s="154"/>
      <c r="CG338" s="154"/>
      <c r="CH338" s="154"/>
      <c r="CI338" s="154"/>
      <c r="CJ338" s="154"/>
      <c r="CK338" s="154"/>
      <c r="CL338" s="154"/>
      <c r="CM338" s="154"/>
      <c r="CN338" s="154"/>
      <c r="CO338" s="154"/>
      <c r="CP338" s="154"/>
    </row>
    <row r="339" spans="1:109" x14ac:dyDescent="0.25">
      <c r="A339" s="52" t="s">
        <v>279</v>
      </c>
      <c r="B339" s="123"/>
      <c r="C339" s="154"/>
      <c r="D339" s="154"/>
      <c r="E339" s="154"/>
      <c r="F339" s="154"/>
      <c r="G339" s="154"/>
      <c r="H339" s="154"/>
      <c r="I339" s="154"/>
      <c r="J339" s="154"/>
      <c r="K339" s="154"/>
      <c r="L339" s="154"/>
      <c r="M339" s="154"/>
      <c r="N339" s="154"/>
      <c r="O339" s="154"/>
      <c r="P339" s="154"/>
      <c r="Q339" s="154"/>
      <c r="R339" s="154"/>
      <c r="S339" s="154"/>
      <c r="T339" s="154"/>
      <c r="U339" s="154"/>
      <c r="V339" s="154"/>
      <c r="W339" s="154"/>
      <c r="X339" s="154"/>
      <c r="Y339" s="154"/>
      <c r="Z339" s="154"/>
      <c r="AA339" s="154"/>
      <c r="AB339" s="154"/>
      <c r="AC339" s="154"/>
      <c r="AD339" s="154"/>
      <c r="AE339" s="154"/>
      <c r="AF339" s="154"/>
      <c r="AG339" s="154"/>
      <c r="AH339" s="318"/>
      <c r="AI339" s="318">
        <v>0</v>
      </c>
      <c r="AJ339" s="318">
        <v>-0.01</v>
      </c>
      <c r="AK339" s="318">
        <v>-0.01</v>
      </c>
      <c r="AL339" s="318">
        <v>-0.02</v>
      </c>
      <c r="AM339" s="326">
        <v>-0.02</v>
      </c>
      <c r="AN339" s="318">
        <v>-0.09</v>
      </c>
      <c r="AO339" s="319">
        <v>-0.06</v>
      </c>
      <c r="AP339" s="319">
        <v>-0.06</v>
      </c>
      <c r="AQ339" s="154">
        <f t="shared" si="393"/>
        <v>-7.0000000000000007E-2</v>
      </c>
      <c r="AR339" s="326">
        <v>-7.0000000000000007E-2</v>
      </c>
      <c r="AS339" s="318">
        <v>0</v>
      </c>
      <c r="AT339" s="154">
        <v>-0.04</v>
      </c>
      <c r="AU339" s="154">
        <v>-0.04</v>
      </c>
      <c r="AV339" s="154">
        <f t="shared" si="394"/>
        <v>-0.03</v>
      </c>
      <c r="AW339" s="155">
        <v>-0.03</v>
      </c>
      <c r="AX339" s="154">
        <v>-0.04</v>
      </c>
      <c r="AY339" s="154">
        <v>-0.04</v>
      </c>
      <c r="AZ339" s="154">
        <v>-0.05</v>
      </c>
      <c r="BA339" s="154">
        <f t="shared" si="395"/>
        <v>-0.03</v>
      </c>
      <c r="BB339" s="155">
        <v>-0.03</v>
      </c>
      <c r="BC339" s="154"/>
      <c r="BD339" s="154"/>
      <c r="BE339" s="154"/>
      <c r="BF339" s="154"/>
      <c r="BG339" s="348"/>
      <c r="BH339" s="154"/>
      <c r="BI339" s="154"/>
      <c r="BJ339" s="154"/>
      <c r="BK339" s="154"/>
      <c r="BL339" s="348"/>
      <c r="BM339" s="154"/>
      <c r="BN339" s="154"/>
      <c r="BO339" s="154"/>
      <c r="BP339" s="154"/>
      <c r="BQ339" s="348"/>
      <c r="BR339" s="154"/>
      <c r="BS339" s="154"/>
      <c r="BT339" s="154"/>
      <c r="BU339" s="154"/>
      <c r="BV339" s="154"/>
      <c r="BW339" s="154"/>
      <c r="BX339" s="154"/>
      <c r="BY339" s="154"/>
      <c r="BZ339" s="154"/>
      <c r="CA339" s="154"/>
      <c r="CB339" s="154"/>
      <c r="CC339" s="154"/>
      <c r="CD339" s="154"/>
      <c r="CE339" s="154"/>
      <c r="CF339" s="154"/>
      <c r="CG339" s="154"/>
      <c r="CH339" s="154"/>
      <c r="CI339" s="154"/>
      <c r="CJ339" s="154"/>
      <c r="CK339" s="154"/>
      <c r="CL339" s="154"/>
      <c r="CM339" s="154"/>
      <c r="CN339" s="154"/>
      <c r="CO339" s="154"/>
      <c r="CP339" s="154"/>
    </row>
    <row r="340" spans="1:109" x14ac:dyDescent="0.25">
      <c r="A340" s="52" t="s">
        <v>280</v>
      </c>
      <c r="B340" s="123"/>
      <c r="C340" s="154"/>
      <c r="D340" s="154"/>
      <c r="E340" s="154"/>
      <c r="F340" s="154"/>
      <c r="G340" s="154"/>
      <c r="H340" s="154"/>
      <c r="I340" s="154"/>
      <c r="J340" s="154"/>
      <c r="K340" s="154"/>
      <c r="L340" s="154"/>
      <c r="M340" s="154"/>
      <c r="N340" s="154"/>
      <c r="O340" s="154"/>
      <c r="P340" s="154"/>
      <c r="Q340" s="154"/>
      <c r="R340" s="154"/>
      <c r="S340" s="154"/>
      <c r="T340" s="154"/>
      <c r="U340" s="154"/>
      <c r="V340" s="154"/>
      <c r="W340" s="154"/>
      <c r="X340" s="154"/>
      <c r="Y340" s="154"/>
      <c r="Z340" s="154"/>
      <c r="AA340" s="154"/>
      <c r="AB340" s="154"/>
      <c r="AC340" s="154"/>
      <c r="AD340" s="154"/>
      <c r="AE340" s="154"/>
      <c r="AF340" s="154"/>
      <c r="AG340" s="154"/>
      <c r="AH340" s="154"/>
      <c r="AI340" s="154">
        <v>-0.26</v>
      </c>
      <c r="AJ340" s="154">
        <v>-0.22</v>
      </c>
      <c r="AK340" s="154">
        <v>-0.16</v>
      </c>
      <c r="AL340" s="154">
        <v>-0.16</v>
      </c>
      <c r="AM340" s="155">
        <v>-0.16</v>
      </c>
      <c r="AN340" s="154">
        <v>-0.27</v>
      </c>
      <c r="AO340" s="316">
        <v>-0.1</v>
      </c>
      <c r="AP340" s="316">
        <v>-0.05</v>
      </c>
      <c r="AQ340" s="154">
        <f t="shared" si="393"/>
        <v>-0.04</v>
      </c>
      <c r="AR340" s="155">
        <v>-0.04</v>
      </c>
      <c r="AS340" s="154">
        <v>-0.14000000000000001</v>
      </c>
      <c r="AT340" s="154">
        <v>-0.16</v>
      </c>
      <c r="AU340" s="154">
        <v>-0.15</v>
      </c>
      <c r="AV340" s="154">
        <f t="shared" si="394"/>
        <v>-0.15</v>
      </c>
      <c r="AW340" s="155">
        <v>-0.15</v>
      </c>
      <c r="AX340" s="154">
        <v>0.02</v>
      </c>
      <c r="AY340" s="154">
        <v>-0.02</v>
      </c>
      <c r="AZ340" s="154">
        <v>0.02</v>
      </c>
      <c r="BA340" s="154">
        <f t="shared" si="395"/>
        <v>0.02</v>
      </c>
      <c r="BB340" s="155">
        <v>0.02</v>
      </c>
      <c r="BC340" s="154"/>
      <c r="BD340" s="154"/>
      <c r="BE340" s="154"/>
      <c r="BF340" s="154"/>
      <c r="BG340" s="348"/>
      <c r="BH340" s="154"/>
      <c r="BI340" s="154"/>
      <c r="BJ340" s="154"/>
      <c r="BK340" s="154"/>
      <c r="BL340" s="348"/>
      <c r="BM340" s="154"/>
      <c r="BN340" s="154"/>
      <c r="BO340" s="154"/>
      <c r="BP340" s="154"/>
      <c r="BQ340" s="348"/>
      <c r="BR340" s="154"/>
      <c r="BS340" s="154"/>
      <c r="BT340" s="154"/>
      <c r="BU340" s="154"/>
      <c r="BV340" s="154"/>
      <c r="BW340" s="154"/>
      <c r="BX340" s="154"/>
      <c r="BY340" s="154"/>
      <c r="BZ340" s="154"/>
      <c r="CA340" s="154"/>
      <c r="CB340" s="154"/>
      <c r="CC340" s="154"/>
      <c r="CD340" s="154"/>
      <c r="CE340" s="154"/>
      <c r="CF340" s="154"/>
      <c r="CG340" s="154"/>
      <c r="CH340" s="154"/>
      <c r="CI340" s="154"/>
      <c r="CJ340" s="154"/>
      <c r="CK340" s="154"/>
      <c r="CL340" s="154"/>
      <c r="CM340" s="154"/>
      <c r="CN340" s="154"/>
      <c r="CO340" s="154"/>
      <c r="CP340" s="154"/>
    </row>
    <row r="341" spans="1:109" x14ac:dyDescent="0.25">
      <c r="A341" s="52" t="s">
        <v>285</v>
      </c>
      <c r="B341" s="123"/>
      <c r="C341" s="154"/>
      <c r="D341" s="154"/>
      <c r="E341" s="154"/>
      <c r="F341" s="154"/>
      <c r="G341" s="154"/>
      <c r="H341" s="154"/>
      <c r="I341" s="154"/>
      <c r="J341" s="154"/>
      <c r="K341" s="154"/>
      <c r="L341" s="154"/>
      <c r="M341" s="154"/>
      <c r="N341" s="154"/>
      <c r="O341" s="154"/>
      <c r="P341" s="154"/>
      <c r="Q341" s="154"/>
      <c r="R341" s="154"/>
      <c r="S341" s="154"/>
      <c r="T341" s="154"/>
      <c r="U341" s="154"/>
      <c r="V341" s="154"/>
      <c r="W341" s="154"/>
      <c r="X341" s="154"/>
      <c r="Y341" s="154"/>
      <c r="Z341" s="154"/>
      <c r="AA341" s="154"/>
      <c r="AB341" s="154"/>
      <c r="AC341" s="154"/>
      <c r="AD341" s="154"/>
      <c r="AE341" s="154"/>
      <c r="AF341" s="154"/>
      <c r="AG341" s="154"/>
      <c r="AH341" s="154"/>
      <c r="AI341" s="154"/>
      <c r="AJ341" s="154"/>
      <c r="AK341" s="154"/>
      <c r="AL341" s="154"/>
      <c r="AM341" s="155"/>
      <c r="AN341" s="154"/>
      <c r="AO341" s="316"/>
      <c r="AP341" s="316"/>
      <c r="AQ341" s="154">
        <f t="shared" si="393"/>
        <v>0</v>
      </c>
      <c r="AR341" s="155"/>
      <c r="AS341" s="154"/>
      <c r="AT341" s="154"/>
      <c r="AU341" s="154"/>
      <c r="AV341" s="154">
        <f t="shared" si="394"/>
        <v>0</v>
      </c>
      <c r="AW341" s="155"/>
      <c r="AX341" s="154"/>
      <c r="AY341" s="154"/>
      <c r="AZ341" s="154"/>
      <c r="BA341" s="154">
        <f t="shared" si="395"/>
        <v>0</v>
      </c>
      <c r="BB341" s="155"/>
      <c r="BC341" s="154"/>
      <c r="BD341" s="154"/>
      <c r="BE341" s="154"/>
      <c r="BF341" s="154"/>
      <c r="BG341" s="348"/>
      <c r="BH341" s="154"/>
      <c r="BI341" s="154"/>
      <c r="BJ341" s="154"/>
      <c r="BK341" s="154"/>
      <c r="BL341" s="348"/>
      <c r="BM341" s="154"/>
      <c r="BN341" s="154"/>
      <c r="BO341" s="154"/>
      <c r="BP341" s="154"/>
      <c r="BQ341" s="348"/>
      <c r="BR341" s="154"/>
      <c r="BS341" s="154"/>
      <c r="BT341" s="154"/>
      <c r="BU341" s="154"/>
      <c r="BV341" s="154"/>
      <c r="BW341" s="154"/>
      <c r="BX341" s="154"/>
      <c r="BY341" s="154"/>
      <c r="BZ341" s="154"/>
      <c r="CA341" s="154"/>
      <c r="CB341" s="154"/>
      <c r="CC341" s="154"/>
      <c r="CD341" s="154"/>
      <c r="CE341" s="154"/>
      <c r="CF341" s="154"/>
      <c r="CG341" s="154"/>
      <c r="CH341" s="154"/>
      <c r="CI341" s="154"/>
      <c r="CJ341" s="154"/>
      <c r="CK341" s="154"/>
      <c r="CL341" s="154"/>
      <c r="CM341" s="154"/>
      <c r="CN341" s="154"/>
      <c r="CO341" s="154"/>
      <c r="CP341" s="154"/>
    </row>
    <row r="342" spans="1:109" x14ac:dyDescent="0.25">
      <c r="A342" s="52" t="s">
        <v>286</v>
      </c>
      <c r="B342" s="123"/>
      <c r="C342" s="154"/>
      <c r="D342" s="154"/>
      <c r="E342" s="154"/>
      <c r="F342" s="154"/>
      <c r="G342" s="154"/>
      <c r="H342" s="154"/>
      <c r="I342" s="154"/>
      <c r="J342" s="154"/>
      <c r="K342" s="154"/>
      <c r="L342" s="154"/>
      <c r="M342" s="154"/>
      <c r="N342" s="154"/>
      <c r="O342" s="154"/>
      <c r="P342" s="154"/>
      <c r="Q342" s="154"/>
      <c r="R342" s="154"/>
      <c r="S342" s="154"/>
      <c r="T342" s="154"/>
      <c r="U342" s="154"/>
      <c r="V342" s="154"/>
      <c r="W342" s="154"/>
      <c r="X342" s="154"/>
      <c r="Y342" s="154"/>
      <c r="Z342" s="154"/>
      <c r="AA342" s="154"/>
      <c r="AB342" s="154"/>
      <c r="AC342" s="154"/>
      <c r="AD342" s="154"/>
      <c r="AE342" s="154"/>
      <c r="AF342" s="154"/>
      <c r="AG342" s="154"/>
      <c r="AH342" s="154"/>
      <c r="AI342" s="154">
        <v>-0.12</v>
      </c>
      <c r="AJ342" s="154">
        <v>-7.0000000000000007E-2</v>
      </c>
      <c r="AK342" s="154">
        <v>-0.06</v>
      </c>
      <c r="AL342" s="154">
        <v>-0.08</v>
      </c>
      <c r="AM342" s="155">
        <v>-0.08</v>
      </c>
      <c r="AN342" s="154">
        <v>-0.06</v>
      </c>
      <c r="AO342" s="316">
        <v>-0.09</v>
      </c>
      <c r="AP342" s="316">
        <v>-0.06</v>
      </c>
      <c r="AQ342" s="154">
        <f t="shared" si="393"/>
        <v>-0.06</v>
      </c>
      <c r="AR342" s="155">
        <v>-0.06</v>
      </c>
      <c r="AS342" s="154">
        <v>-0.01</v>
      </c>
      <c r="AT342" s="154">
        <v>0.04</v>
      </c>
      <c r="AU342" s="154">
        <v>-0.01</v>
      </c>
      <c r="AV342" s="154">
        <f t="shared" si="394"/>
        <v>-0.01</v>
      </c>
      <c r="AW342" s="155">
        <v>-0.01</v>
      </c>
      <c r="AX342" s="154">
        <v>0.03</v>
      </c>
      <c r="AY342" s="154">
        <v>0.01</v>
      </c>
      <c r="AZ342" s="154">
        <v>-0.02</v>
      </c>
      <c r="BA342" s="154">
        <f t="shared" si="395"/>
        <v>-0.01</v>
      </c>
      <c r="BB342" s="155">
        <v>-0.01</v>
      </c>
      <c r="BC342" s="154">
        <v>-7.0000000000000007E-2</v>
      </c>
      <c r="BD342" s="154">
        <v>-0.06</v>
      </c>
      <c r="BE342" s="154">
        <v>-0.05</v>
      </c>
      <c r="BF342" s="154">
        <v>-0.06</v>
      </c>
      <c r="BG342" s="348">
        <v>-0.06</v>
      </c>
      <c r="BH342" s="154">
        <v>-0.05</v>
      </c>
      <c r="BI342" s="154">
        <v>-0.08</v>
      </c>
      <c r="BJ342" s="154">
        <v>-0.1</v>
      </c>
      <c r="BK342" s="154">
        <v>-0.11</v>
      </c>
      <c r="BL342" s="348">
        <v>-0.11</v>
      </c>
      <c r="BM342" s="154">
        <v>-0.17</v>
      </c>
      <c r="BN342" s="154">
        <v>-0.14000000000000001</v>
      </c>
      <c r="BO342" s="154">
        <v>-0.12</v>
      </c>
      <c r="BP342" s="154">
        <v>-0.12</v>
      </c>
      <c r="BQ342" s="348">
        <v>-0.12</v>
      </c>
      <c r="BR342" s="154"/>
      <c r="BS342" s="154"/>
      <c r="BT342" s="154"/>
      <c r="BU342" s="154"/>
      <c r="BV342" s="154"/>
      <c r="BW342" s="154"/>
      <c r="BX342" s="154"/>
      <c r="BY342" s="154"/>
      <c r="BZ342" s="154"/>
      <c r="CA342" s="154"/>
      <c r="CB342" s="154"/>
      <c r="CC342" s="154"/>
      <c r="CD342" s="154"/>
      <c r="CE342" s="154"/>
      <c r="CF342" s="154"/>
      <c r="CG342" s="154"/>
      <c r="CH342" s="154"/>
      <c r="CI342" s="154"/>
      <c r="CJ342" s="154"/>
      <c r="CK342" s="154"/>
      <c r="CL342" s="154"/>
      <c r="CM342" s="154"/>
      <c r="CN342" s="154"/>
      <c r="CO342" s="154"/>
      <c r="CP342" s="154"/>
    </row>
    <row r="343" spans="1:109" x14ac:dyDescent="0.25">
      <c r="A343" s="52" t="s">
        <v>287</v>
      </c>
      <c r="B343" s="123"/>
      <c r="C343" s="154"/>
      <c r="D343" s="154"/>
      <c r="E343" s="154"/>
      <c r="F343" s="154"/>
      <c r="G343" s="154"/>
      <c r="H343" s="154"/>
      <c r="I343" s="154"/>
      <c r="J343" s="154"/>
      <c r="K343" s="154"/>
      <c r="L343" s="154"/>
      <c r="M343" s="154"/>
      <c r="N343" s="154"/>
      <c r="O343" s="154"/>
      <c r="P343" s="154"/>
      <c r="Q343" s="154"/>
      <c r="R343" s="154"/>
      <c r="S343" s="154"/>
      <c r="T343" s="154"/>
      <c r="U343" s="154"/>
      <c r="V343" s="154"/>
      <c r="W343" s="154"/>
      <c r="X343" s="154"/>
      <c r="Y343" s="154"/>
      <c r="Z343" s="154"/>
      <c r="AA343" s="154"/>
      <c r="AB343" s="154"/>
      <c r="AC343" s="154"/>
      <c r="AD343" s="154"/>
      <c r="AE343" s="154"/>
      <c r="AF343" s="154"/>
      <c r="AG343" s="154"/>
      <c r="AH343" s="154"/>
      <c r="AI343" s="154">
        <v>0.05</v>
      </c>
      <c r="AJ343" s="154">
        <v>-0.02</v>
      </c>
      <c r="AK343" s="154">
        <v>0</v>
      </c>
      <c r="AL343" s="154">
        <v>0</v>
      </c>
      <c r="AM343" s="155">
        <v>0</v>
      </c>
      <c r="AN343" s="154">
        <v>-0.22</v>
      </c>
      <c r="AO343" s="316">
        <v>-0.03</v>
      </c>
      <c r="AP343" s="316">
        <v>-0.04</v>
      </c>
      <c r="AQ343" s="154">
        <f t="shared" si="393"/>
        <v>-0.03</v>
      </c>
      <c r="AR343" s="155">
        <v>-0.03</v>
      </c>
      <c r="AS343" s="154">
        <v>0.14000000000000001</v>
      </c>
      <c r="AT343" s="154">
        <v>0.13</v>
      </c>
      <c r="AU343" s="154">
        <v>0.04</v>
      </c>
      <c r="AV343" s="154">
        <f t="shared" si="394"/>
        <v>0.06</v>
      </c>
      <c r="AW343" s="155">
        <v>0.06</v>
      </c>
      <c r="AX343" s="154">
        <v>0.45</v>
      </c>
      <c r="AY343" s="154">
        <v>0.08</v>
      </c>
      <c r="AZ343" s="154">
        <v>0.03</v>
      </c>
      <c r="BA343" s="154">
        <f t="shared" si="395"/>
        <v>0.04</v>
      </c>
      <c r="BB343" s="155">
        <v>0.04</v>
      </c>
      <c r="BC343" s="154"/>
      <c r="BD343" s="154"/>
      <c r="BE343" s="154"/>
      <c r="BF343" s="154"/>
      <c r="BG343" s="348"/>
      <c r="BH343" s="154"/>
      <c r="BI343" s="154"/>
      <c r="BJ343" s="154"/>
      <c r="BK343" s="154"/>
      <c r="BL343" s="348"/>
      <c r="BM343" s="154"/>
      <c r="BN343" s="154"/>
      <c r="BO343" s="154"/>
      <c r="BP343" s="154"/>
      <c r="BQ343" s="348"/>
      <c r="BR343" s="154"/>
      <c r="BS343" s="154"/>
      <c r="BT343" s="154"/>
      <c r="BU343" s="154"/>
      <c r="BV343" s="154"/>
      <c r="BW343" s="154"/>
      <c r="BX343" s="154"/>
      <c r="BY343" s="154"/>
      <c r="BZ343" s="154"/>
      <c r="CA343" s="154"/>
      <c r="CB343" s="154"/>
      <c r="CC343" s="154"/>
      <c r="CD343" s="154"/>
      <c r="CE343" s="154"/>
      <c r="CF343" s="154"/>
      <c r="CG343" s="154"/>
      <c r="CH343" s="154"/>
      <c r="CI343" s="154"/>
      <c r="CJ343" s="154"/>
      <c r="CK343" s="154"/>
      <c r="CL343" s="154"/>
      <c r="CM343" s="154"/>
      <c r="CN343" s="154"/>
      <c r="CO343" s="154"/>
      <c r="CP343" s="154"/>
    </row>
    <row r="344" spans="1:109" x14ac:dyDescent="0.25">
      <c r="A344" s="52" t="s">
        <v>288</v>
      </c>
      <c r="B344" s="123"/>
      <c r="C344" s="154"/>
      <c r="D344" s="154"/>
      <c r="E344" s="154"/>
      <c r="F344" s="154"/>
      <c r="G344" s="154"/>
      <c r="H344" s="154"/>
      <c r="I344" s="154"/>
      <c r="J344" s="154"/>
      <c r="K344" s="154"/>
      <c r="L344" s="154"/>
      <c r="M344" s="154"/>
      <c r="N344" s="154"/>
      <c r="O344" s="154"/>
      <c r="P344" s="154"/>
      <c r="Q344" s="154"/>
      <c r="R344" s="154"/>
      <c r="S344" s="154"/>
      <c r="T344" s="154"/>
      <c r="U344" s="154"/>
      <c r="V344" s="154"/>
      <c r="W344" s="154"/>
      <c r="X344" s="154"/>
      <c r="Y344" s="154"/>
      <c r="Z344" s="154"/>
      <c r="AA344" s="154"/>
      <c r="AB344" s="154"/>
      <c r="AC344" s="154"/>
      <c r="AD344" s="154"/>
      <c r="AE344" s="154"/>
      <c r="AF344" s="154"/>
      <c r="AG344" s="154"/>
      <c r="AH344" s="154"/>
      <c r="AI344" s="154">
        <v>0.06</v>
      </c>
      <c r="AJ344" s="154">
        <v>0.03</v>
      </c>
      <c r="AK344" s="154">
        <v>0.12</v>
      </c>
      <c r="AL344" s="154">
        <v>0.13</v>
      </c>
      <c r="AM344" s="155">
        <v>0.13</v>
      </c>
      <c r="AN344" s="154">
        <v>0.06</v>
      </c>
      <c r="AO344" s="316">
        <v>0.09</v>
      </c>
      <c r="AP344" s="316">
        <v>0.06</v>
      </c>
      <c r="AQ344" s="154">
        <f t="shared" si="393"/>
        <v>0.08</v>
      </c>
      <c r="AR344" s="155">
        <v>0.08</v>
      </c>
      <c r="AS344" s="154">
        <v>0.2</v>
      </c>
      <c r="AT344" s="154">
        <v>0.17</v>
      </c>
      <c r="AU344" s="154">
        <v>0.14000000000000001</v>
      </c>
      <c r="AV344" s="154">
        <f t="shared" si="394"/>
        <v>0.1</v>
      </c>
      <c r="AW344" s="155">
        <v>0.1</v>
      </c>
      <c r="AX344" s="154">
        <v>0.03</v>
      </c>
      <c r="AY344" s="154">
        <v>0.08</v>
      </c>
      <c r="AZ344" s="154">
        <v>0.08</v>
      </c>
      <c r="BA344" s="154">
        <f t="shared" si="395"/>
        <v>0.08</v>
      </c>
      <c r="BB344" s="155">
        <v>0.08</v>
      </c>
      <c r="BC344" s="154"/>
      <c r="BD344" s="154"/>
      <c r="BE344" s="154"/>
      <c r="BF344" s="154"/>
      <c r="BG344" s="348"/>
      <c r="BH344" s="154"/>
      <c r="BI344" s="154"/>
      <c r="BJ344" s="154"/>
      <c r="BK344" s="154"/>
      <c r="BL344" s="348"/>
      <c r="BM344" s="154"/>
      <c r="BN344" s="154"/>
      <c r="BO344" s="154"/>
      <c r="BP344" s="154"/>
      <c r="BQ344" s="348"/>
      <c r="BR344" s="154"/>
      <c r="BS344" s="154"/>
      <c r="BT344" s="154"/>
      <c r="BU344" s="154"/>
      <c r="BV344" s="154"/>
      <c r="BW344" s="154"/>
      <c r="BX344" s="154"/>
      <c r="BY344" s="154"/>
      <c r="BZ344" s="154"/>
      <c r="CA344" s="154"/>
      <c r="CB344" s="154"/>
      <c r="CC344" s="154"/>
      <c r="CD344" s="154"/>
      <c r="CE344" s="154"/>
      <c r="CF344" s="154"/>
      <c r="CG344" s="154"/>
      <c r="CH344" s="154"/>
      <c r="CI344" s="154"/>
      <c r="CJ344" s="154"/>
      <c r="CK344" s="154"/>
      <c r="CL344" s="154"/>
      <c r="CM344" s="154"/>
      <c r="CN344" s="154"/>
      <c r="CO344" s="154"/>
      <c r="CP344" s="154"/>
    </row>
    <row r="345" spans="1:109" x14ac:dyDescent="0.25">
      <c r="A345" s="52" t="s">
        <v>289</v>
      </c>
      <c r="AC345" s="154"/>
      <c r="AD345" s="154"/>
      <c r="AE345" s="154"/>
      <c r="AF345" s="154"/>
      <c r="AG345" s="154"/>
      <c r="AH345" s="154"/>
      <c r="AI345" s="154">
        <v>-0.08</v>
      </c>
      <c r="AJ345" s="154">
        <v>-0.12</v>
      </c>
      <c r="AK345" s="154">
        <v>-0.1</v>
      </c>
      <c r="AL345" s="154">
        <v>-0.04</v>
      </c>
      <c r="AM345" s="155">
        <v>-0.04</v>
      </c>
      <c r="AN345" s="154">
        <v>-0.05</v>
      </c>
      <c r="AO345" s="316">
        <v>7.0000000000000007E-2</v>
      </c>
      <c r="AP345" s="316">
        <v>0.09</v>
      </c>
      <c r="AQ345" s="154">
        <f t="shared" si="393"/>
        <v>0.44</v>
      </c>
      <c r="AR345" s="155">
        <v>0.44</v>
      </c>
      <c r="AS345" s="154">
        <v>0.33</v>
      </c>
      <c r="AT345" s="154">
        <v>0.19</v>
      </c>
      <c r="AU345" s="154">
        <v>0.1</v>
      </c>
      <c r="AV345" s="154">
        <f t="shared" si="394"/>
        <v>0.08</v>
      </c>
      <c r="AW345" s="155">
        <v>0.08</v>
      </c>
      <c r="AX345" s="154">
        <v>-0.03</v>
      </c>
      <c r="AY345" s="154">
        <v>0.01</v>
      </c>
      <c r="AZ345" s="154">
        <v>0.05</v>
      </c>
      <c r="BA345" s="154">
        <f t="shared" si="395"/>
        <v>0.05</v>
      </c>
      <c r="BB345" s="155">
        <v>0.05</v>
      </c>
      <c r="BC345" s="154">
        <v>0.01</v>
      </c>
      <c r="BD345" s="154">
        <v>0.06</v>
      </c>
      <c r="BE345" s="154">
        <v>0.04</v>
      </c>
      <c r="BF345" s="154">
        <v>0.05</v>
      </c>
      <c r="BG345" s="348">
        <v>0.05</v>
      </c>
      <c r="BH345" s="154">
        <v>0.11</v>
      </c>
      <c r="BI345" s="154">
        <v>0.04</v>
      </c>
      <c r="BJ345" s="154">
        <v>0.03</v>
      </c>
      <c r="BK345" s="154">
        <v>0.03</v>
      </c>
      <c r="BL345" s="348">
        <v>0.03</v>
      </c>
      <c r="BM345" s="154">
        <v>0.02</v>
      </c>
      <c r="BN345" s="154">
        <v>0.04</v>
      </c>
      <c r="BO345" s="154">
        <v>0.02</v>
      </c>
      <c r="BP345" s="154">
        <v>0.01</v>
      </c>
      <c r="BQ345" s="348">
        <v>0.01</v>
      </c>
      <c r="BR345" s="154">
        <v>0.01</v>
      </c>
      <c r="BS345" s="154">
        <v>0.01</v>
      </c>
      <c r="BT345" s="154"/>
      <c r="BU345" s="154"/>
      <c r="BV345" s="154"/>
      <c r="BW345" s="154"/>
      <c r="BX345" s="154"/>
      <c r="BY345" s="154"/>
      <c r="BZ345" s="154"/>
      <c r="CA345" s="154"/>
      <c r="CB345" s="154"/>
      <c r="CC345" s="154"/>
      <c r="CD345" s="154"/>
      <c r="CE345" s="154"/>
      <c r="CF345" s="154"/>
      <c r="CG345" s="154"/>
      <c r="CH345" s="154"/>
      <c r="CI345" s="154"/>
      <c r="CJ345" s="154"/>
      <c r="CK345" s="154"/>
      <c r="CL345" s="154"/>
      <c r="CM345" s="154"/>
      <c r="CN345" s="154"/>
      <c r="CO345" s="154"/>
      <c r="CP345" s="154"/>
    </row>
    <row r="346" spans="1:109" s="38" customFormat="1" x14ac:dyDescent="0.25">
      <c r="A346" s="38" t="s">
        <v>290</v>
      </c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314"/>
      <c r="AD346" s="314"/>
      <c r="AE346" s="314"/>
      <c r="AF346" s="314"/>
      <c r="AG346" s="314"/>
      <c r="AH346" s="314"/>
      <c r="AI346" s="314">
        <v>0.02</v>
      </c>
      <c r="AJ346" s="314">
        <v>0.02</v>
      </c>
      <c r="AK346" s="314">
        <v>0.04</v>
      </c>
      <c r="AL346" s="314">
        <v>0.04</v>
      </c>
      <c r="AM346" s="328">
        <v>0.04</v>
      </c>
      <c r="AN346" s="314">
        <v>0.06</v>
      </c>
      <c r="AO346" s="317">
        <v>0.09</v>
      </c>
      <c r="AP346" s="317">
        <v>0.08</v>
      </c>
      <c r="AQ346" s="314">
        <f t="shared" si="393"/>
        <v>0.08</v>
      </c>
      <c r="AR346" s="328">
        <v>0.08</v>
      </c>
      <c r="AS346" s="314">
        <v>0.14000000000000001</v>
      </c>
      <c r="AT346" s="314">
        <v>0.09</v>
      </c>
      <c r="AU346" s="314">
        <v>0.08</v>
      </c>
      <c r="AV346" s="314">
        <f t="shared" si="394"/>
        <v>0.08</v>
      </c>
      <c r="AW346" s="328">
        <v>0.08</v>
      </c>
      <c r="AX346" s="314">
        <v>0.02</v>
      </c>
      <c r="AY346" s="314">
        <v>7.0000000000000007E-2</v>
      </c>
      <c r="AZ346" s="314">
        <v>7.0000000000000007E-2</v>
      </c>
      <c r="BA346" s="314">
        <f t="shared" si="395"/>
        <v>0.06</v>
      </c>
      <c r="BB346" s="328">
        <v>0.06</v>
      </c>
      <c r="BC346" s="314">
        <v>0.03</v>
      </c>
      <c r="BD346" s="314">
        <v>0.05</v>
      </c>
      <c r="BE346" s="314">
        <v>0.05</v>
      </c>
      <c r="BF346" s="314">
        <v>0.06</v>
      </c>
      <c r="BG346" s="349">
        <v>0.06</v>
      </c>
      <c r="BH346" s="314">
        <v>7.0000000000000007E-2</v>
      </c>
      <c r="BI346" s="314">
        <v>0.06</v>
      </c>
      <c r="BJ346" s="314">
        <v>0.05</v>
      </c>
      <c r="BK346" s="314">
        <v>0.05</v>
      </c>
      <c r="BL346" s="349">
        <v>0.05</v>
      </c>
      <c r="BM346" s="314">
        <v>0.02</v>
      </c>
      <c r="BN346" s="314">
        <v>0.02</v>
      </c>
      <c r="BO346" s="314">
        <v>0.03</v>
      </c>
      <c r="BP346" s="314">
        <v>0.03</v>
      </c>
      <c r="BQ346" s="349">
        <v>0.03</v>
      </c>
      <c r="BR346" s="314">
        <v>0.06</v>
      </c>
      <c r="BS346" s="314">
        <v>7.0000000000000007E-2</v>
      </c>
      <c r="BT346" s="314"/>
      <c r="BU346" s="314"/>
      <c r="BV346" s="314"/>
      <c r="BW346" s="314"/>
      <c r="BX346" s="314"/>
      <c r="BY346" s="314"/>
      <c r="BZ346" s="314"/>
      <c r="CA346" s="314"/>
      <c r="CB346" s="314"/>
      <c r="CC346" s="314"/>
      <c r="CD346" s="314"/>
      <c r="CE346" s="314"/>
      <c r="CF346" s="314"/>
      <c r="CG346" s="314"/>
      <c r="CH346" s="314"/>
      <c r="CI346" s="314"/>
      <c r="CJ346" s="314"/>
      <c r="CK346" s="314"/>
      <c r="CL346" s="314"/>
      <c r="CM346" s="314"/>
      <c r="CN346" s="314"/>
      <c r="CO346" s="314"/>
      <c r="CP346" s="314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</row>
    <row r="347" spans="1:109" x14ac:dyDescent="0.25">
      <c r="AC347" s="154"/>
      <c r="AD347" s="154"/>
      <c r="AE347" s="154"/>
      <c r="AF347" s="154"/>
      <c r="AG347" s="154"/>
      <c r="AH347" s="154"/>
      <c r="AI347" s="154"/>
      <c r="AJ347" s="154"/>
      <c r="AK347" s="154"/>
      <c r="AL347" s="154"/>
      <c r="AM347" s="154"/>
      <c r="AN347" s="154"/>
      <c r="AO347" s="154"/>
      <c r="AP347" s="154"/>
      <c r="AQ347" s="154"/>
      <c r="AR347" s="154"/>
      <c r="AS347" s="154"/>
      <c r="AT347" s="154"/>
      <c r="AU347" s="154"/>
      <c r="AV347" s="154"/>
      <c r="AW347" s="154"/>
      <c r="AX347" s="154"/>
      <c r="AY347" s="154"/>
      <c r="AZ347" s="154"/>
      <c r="BA347" s="154"/>
      <c r="BB347" s="154"/>
      <c r="BC347" s="154"/>
      <c r="BD347" s="154"/>
      <c r="BE347" s="154"/>
      <c r="BF347" s="154"/>
      <c r="BG347" s="154"/>
      <c r="BH347" s="154"/>
      <c r="BI347" s="154"/>
      <c r="BJ347" s="154"/>
      <c r="BK347" s="154"/>
      <c r="BL347" s="154"/>
      <c r="BM347" s="154"/>
      <c r="BN347" s="154"/>
      <c r="BO347" s="154"/>
      <c r="BP347" s="154"/>
      <c r="BQ347" s="154"/>
      <c r="BR347" s="154"/>
      <c r="BS347" s="154"/>
      <c r="BT347" s="154"/>
      <c r="BU347" s="154"/>
      <c r="BV347" s="154"/>
      <c r="BW347" s="154"/>
      <c r="BX347" s="154"/>
      <c r="BY347" s="154"/>
      <c r="BZ347" s="154"/>
      <c r="CA347" s="154"/>
      <c r="CB347" s="154"/>
      <c r="CC347" s="154"/>
      <c r="CD347" s="154"/>
      <c r="CE347" s="154"/>
      <c r="CF347" s="154"/>
      <c r="CG347" s="154"/>
      <c r="CH347" s="154"/>
      <c r="CI347" s="154"/>
      <c r="CJ347" s="154"/>
      <c r="CK347" s="154"/>
      <c r="CL347" s="154"/>
      <c r="CM347" s="154"/>
      <c r="CN347" s="154"/>
      <c r="CO347" s="154"/>
      <c r="CP347" s="154"/>
    </row>
    <row r="348" spans="1:109" hidden="1" x14ac:dyDescent="0.25"/>
    <row r="349" spans="1:109" hidden="1" x14ac:dyDescent="0.25">
      <c r="AI349" s="242">
        <f t="shared" ref="AI349:BR349" si="400">AI4</f>
        <v>744.9</v>
      </c>
      <c r="AJ349" s="242">
        <f t="shared" si="400"/>
        <v>905.7</v>
      </c>
      <c r="AK349" s="242">
        <f t="shared" si="400"/>
        <v>962.4</v>
      </c>
      <c r="AL349" s="242">
        <f t="shared" si="400"/>
        <v>791.3</v>
      </c>
      <c r="AM349" s="242">
        <f t="shared" si="400"/>
        <v>3404.3</v>
      </c>
      <c r="AN349" s="242">
        <f t="shared" si="400"/>
        <v>840.3</v>
      </c>
      <c r="AO349" s="242">
        <f t="shared" si="400"/>
        <v>1013</v>
      </c>
      <c r="AP349" s="242">
        <f t="shared" si="400"/>
        <v>959</v>
      </c>
      <c r="AQ349" s="242">
        <f t="shared" si="400"/>
        <v>801.3</v>
      </c>
      <c r="AR349" s="242">
        <f t="shared" si="400"/>
        <v>3613.6000000000004</v>
      </c>
      <c r="AS349" s="242">
        <f t="shared" si="400"/>
        <v>878.1</v>
      </c>
      <c r="AT349" s="242">
        <f t="shared" si="400"/>
        <v>1013.8</v>
      </c>
      <c r="AU349" s="242">
        <f t="shared" si="400"/>
        <v>1026.9000000000001</v>
      </c>
      <c r="AV349" s="242">
        <f t="shared" si="400"/>
        <v>866</v>
      </c>
      <c r="AW349" s="242">
        <f t="shared" si="400"/>
        <v>3784.8</v>
      </c>
      <c r="AX349" s="242">
        <f t="shared" si="400"/>
        <v>896</v>
      </c>
      <c r="AY349" s="242">
        <f t="shared" si="400"/>
        <v>1079</v>
      </c>
      <c r="AZ349" s="242">
        <f t="shared" si="400"/>
        <v>1078</v>
      </c>
      <c r="BA349" s="242">
        <f t="shared" si="400"/>
        <v>893</v>
      </c>
      <c r="BB349" s="242">
        <f t="shared" si="400"/>
        <v>3946</v>
      </c>
      <c r="BC349" s="242">
        <f t="shared" si="400"/>
        <v>921</v>
      </c>
      <c r="BD349" s="242">
        <f t="shared" si="400"/>
        <v>1135</v>
      </c>
      <c r="BE349" s="242">
        <f t="shared" si="400"/>
        <v>1093</v>
      </c>
      <c r="BF349" s="242">
        <f t="shared" si="400"/>
        <v>947</v>
      </c>
      <c r="BG349" s="242">
        <f t="shared" si="400"/>
        <v>4096</v>
      </c>
      <c r="BH349" s="242">
        <f t="shared" si="400"/>
        <v>900</v>
      </c>
      <c r="BI349" s="242">
        <f t="shared" si="400"/>
        <v>1096</v>
      </c>
      <c r="BJ349" s="242">
        <f t="shared" si="400"/>
        <v>1083</v>
      </c>
      <c r="BK349" s="242">
        <f t="shared" si="400"/>
        <v>933</v>
      </c>
      <c r="BL349" s="242">
        <f t="shared" si="400"/>
        <v>4012</v>
      </c>
      <c r="BM349" s="242">
        <f t="shared" si="400"/>
        <v>856</v>
      </c>
      <c r="BN349" s="242">
        <f t="shared" si="400"/>
        <v>1055</v>
      </c>
      <c r="BO349" s="242">
        <f t="shared" si="400"/>
        <v>1059</v>
      </c>
      <c r="BP349" s="242">
        <f t="shared" si="400"/>
        <v>887</v>
      </c>
      <c r="BQ349" s="242">
        <f t="shared" si="400"/>
        <v>3857</v>
      </c>
      <c r="BR349" s="242">
        <f t="shared" si="400"/>
        <v>929</v>
      </c>
      <c r="BS349" s="242">
        <f t="shared" ref="BS349" si="401">BS4</f>
        <v>1166</v>
      </c>
    </row>
    <row r="350" spans="1:109" hidden="1" x14ac:dyDescent="0.25">
      <c r="AI350" s="154">
        <f>AI349/AI349</f>
        <v>1</v>
      </c>
      <c r="AJ350" s="154">
        <v>0</v>
      </c>
      <c r="AK350" s="154">
        <v>0</v>
      </c>
      <c r="AL350" s="154">
        <v>0</v>
      </c>
      <c r="AM350" s="154"/>
      <c r="AN350" s="154">
        <f>AN349/AN349</f>
        <v>1</v>
      </c>
      <c r="AO350" s="154">
        <v>0</v>
      </c>
      <c r="AP350" s="154">
        <v>0</v>
      </c>
      <c r="AQ350" s="154">
        <v>0</v>
      </c>
      <c r="AR350" s="154"/>
      <c r="AS350" s="154">
        <f>AS349/AS349</f>
        <v>1</v>
      </c>
      <c r="AT350" s="154">
        <v>0</v>
      </c>
      <c r="AU350" s="154">
        <v>0</v>
      </c>
      <c r="AV350" s="154">
        <v>0</v>
      </c>
      <c r="AX350" s="154">
        <f>AX349/AX349</f>
        <v>1</v>
      </c>
      <c r="AY350" s="154">
        <v>0</v>
      </c>
      <c r="AZ350" s="154">
        <v>0</v>
      </c>
      <c r="BA350" s="154">
        <v>0</v>
      </c>
      <c r="BC350" s="154">
        <f>BC349/BC349</f>
        <v>1</v>
      </c>
      <c r="BD350" s="154">
        <v>0</v>
      </c>
      <c r="BE350" s="154">
        <v>0</v>
      </c>
      <c r="BF350" s="154">
        <v>0</v>
      </c>
      <c r="BH350" s="154">
        <f>BH349/BH349</f>
        <v>1</v>
      </c>
      <c r="BI350" s="154">
        <v>0</v>
      </c>
      <c r="BJ350" s="154">
        <v>0</v>
      </c>
      <c r="BK350" s="154">
        <v>0</v>
      </c>
      <c r="BM350" s="154">
        <f>BM349/BM349</f>
        <v>1</v>
      </c>
      <c r="BN350" s="154">
        <v>0</v>
      </c>
      <c r="BO350" s="154">
        <v>0</v>
      </c>
      <c r="BP350" s="154">
        <v>0</v>
      </c>
      <c r="BR350" s="154">
        <f>BR349/BR349</f>
        <v>1</v>
      </c>
      <c r="BS350" s="154">
        <v>0</v>
      </c>
    </row>
    <row r="351" spans="1:109" hidden="1" x14ac:dyDescent="0.25">
      <c r="AI351" s="154">
        <f>AI349/SUM(AI349:AJ349)</f>
        <v>0.45129043984005818</v>
      </c>
      <c r="AJ351" s="154">
        <f>AJ349/SUM(AI349:AJ349)</f>
        <v>0.54870956015994188</v>
      </c>
      <c r="AK351" s="154">
        <v>0</v>
      </c>
      <c r="AL351" s="154">
        <v>0</v>
      </c>
      <c r="AN351" s="154">
        <f>AN349/SUM(AN349:AO349)</f>
        <v>0.45340743538552852</v>
      </c>
      <c r="AO351" s="154">
        <f>AO349/SUM(AN349:AO349)</f>
        <v>0.54659256461447148</v>
      </c>
      <c r="AP351" s="154">
        <v>0</v>
      </c>
      <c r="AQ351" s="154">
        <v>0</v>
      </c>
      <c r="AS351" s="154">
        <f>AS349/SUM(AS349:AT349)</f>
        <v>0.46413658227179028</v>
      </c>
      <c r="AT351" s="154">
        <f>AT349/SUM(AS349:AT349)</f>
        <v>0.53586341772820967</v>
      </c>
      <c r="AU351" s="154">
        <v>0</v>
      </c>
      <c r="AV351" s="154">
        <v>0</v>
      </c>
      <c r="AX351" s="154">
        <f>AX349/SUM(AX349:AY349)</f>
        <v>0.45367088607594935</v>
      </c>
      <c r="AY351" s="154">
        <f>AY349/SUM(AX349:AY349)</f>
        <v>0.54632911392405059</v>
      </c>
      <c r="AZ351" s="154">
        <v>0</v>
      </c>
      <c r="BA351" s="154">
        <v>0</v>
      </c>
      <c r="BC351" s="154">
        <f>BC349/SUM(BC349:BD349)</f>
        <v>0.44795719844357978</v>
      </c>
      <c r="BD351" s="154">
        <f>BD349/SUM(BC349:BD349)</f>
        <v>0.55204280155642027</v>
      </c>
      <c r="BE351" s="154">
        <v>0</v>
      </c>
      <c r="BF351" s="154">
        <v>0</v>
      </c>
      <c r="BH351" s="154">
        <f>BH349/SUM(BH349:BI349)</f>
        <v>0.45090180360721444</v>
      </c>
      <c r="BI351" s="154">
        <f>BI349/SUM(BH349:BI349)</f>
        <v>0.54909819639278556</v>
      </c>
      <c r="BJ351" s="154">
        <v>0</v>
      </c>
      <c r="BK351" s="154">
        <v>0</v>
      </c>
      <c r="BM351" s="154">
        <f>BM349/SUM(BM349:BN349)</f>
        <v>0.4479330193615908</v>
      </c>
      <c r="BN351" s="154">
        <f>BN349/SUM(BM349:BN349)</f>
        <v>0.5520669806384092</v>
      </c>
      <c r="BO351" s="154">
        <v>0</v>
      </c>
      <c r="BP351" s="154">
        <v>0</v>
      </c>
      <c r="BR351" s="154">
        <f>BR349/SUM(BR349:BS349)</f>
        <v>0.44343675417661099</v>
      </c>
      <c r="BS351" s="154">
        <f>BS349/SUM(BR349:BS349)</f>
        <v>0.55656324582338901</v>
      </c>
    </row>
    <row r="352" spans="1:109" hidden="1" x14ac:dyDescent="0.25">
      <c r="AI352" s="154">
        <f>AI349/SUM(AI349:AK349)</f>
        <v>0.28507462686567164</v>
      </c>
      <c r="AJ352" s="154">
        <f>AJ349/SUM(AI349:AK349)</f>
        <v>0.34661308840413318</v>
      </c>
      <c r="AK352" s="154">
        <f>AK349/SUM(AI349:AK349)</f>
        <v>0.36831228473019517</v>
      </c>
      <c r="AL352" s="154">
        <v>0</v>
      </c>
      <c r="AN352" s="154">
        <f>AN349/SUM(AN349:AP349)</f>
        <v>0.29879458094797851</v>
      </c>
      <c r="AO352" s="154">
        <f>AO349/SUM(AN349:AP349)</f>
        <v>0.36020339224122599</v>
      </c>
      <c r="AP352" s="154">
        <f>AP349/SUM(AN349:AP349)</f>
        <v>0.34100202681079539</v>
      </c>
      <c r="AQ352" s="154">
        <v>0</v>
      </c>
      <c r="AS352" s="154">
        <f>AS349/SUM(AS349:AU349)</f>
        <v>0.30084281211456759</v>
      </c>
      <c r="AT352" s="154">
        <f>AT349/SUM(AS349:AU349)</f>
        <v>0.34733452103604218</v>
      </c>
      <c r="AU352" s="154">
        <f>AU349/SUM(AS349:AU349)</f>
        <v>0.35182266684939018</v>
      </c>
      <c r="AV352" s="154">
        <v>0</v>
      </c>
      <c r="AX352" s="154">
        <f>AX349/SUM(AX349:AZ349)</f>
        <v>0.29348182115951521</v>
      </c>
      <c r="AY352" s="154">
        <f>AY349/SUM(AX349:AZ349)</f>
        <v>0.35342286275794299</v>
      </c>
      <c r="AZ352" s="154">
        <f>AZ349/SUM(AX349:AZ349)</f>
        <v>0.35309531608254174</v>
      </c>
      <c r="BA352" s="154">
        <v>0</v>
      </c>
      <c r="BC352" s="154">
        <f>BC349/SUM(BC349:BE349)</f>
        <v>0.29247380120673228</v>
      </c>
      <c r="BD352" s="154">
        <f>BD349/SUM(BC349:BE349)</f>
        <v>0.36043188313750396</v>
      </c>
      <c r="BE352" s="154">
        <f>BE349/SUM(BC349:BE349)</f>
        <v>0.34709431565576371</v>
      </c>
      <c r="BF352" s="154">
        <v>0</v>
      </c>
      <c r="BH352" s="154">
        <f>BH349/SUM(BH349:BJ349)</f>
        <v>0.29230269568041573</v>
      </c>
      <c r="BI352" s="154">
        <f>BI349/SUM(BH349:BJ349)</f>
        <v>0.3559597271841507</v>
      </c>
      <c r="BJ352" s="154">
        <f>BJ349/SUM(BH349:BJ349)</f>
        <v>0.35173757713543358</v>
      </c>
      <c r="BK352" s="154">
        <v>0</v>
      </c>
      <c r="BM352" s="154">
        <f>BM349/SUM(BM349:BO349)</f>
        <v>0.2882154882154882</v>
      </c>
      <c r="BN352" s="154">
        <f>BN349/SUM(BM349:BO349)</f>
        <v>0.35521885521885521</v>
      </c>
      <c r="BO352" s="154">
        <f>BO349/SUM(BM349:BO349)</f>
        <v>0.35656565656565659</v>
      </c>
      <c r="BP352" s="154">
        <f>BP349/SUM(BN349:BP349)</f>
        <v>0.29556814395201597</v>
      </c>
      <c r="BR352" s="154">
        <f>BR349/SUM(BR349:BT349)</f>
        <v>0.44343675417661099</v>
      </c>
      <c r="BS352" s="154">
        <f>BS349/SUM(BR349:BT349)</f>
        <v>0.55656324582338901</v>
      </c>
    </row>
    <row r="353" spans="1:94" hidden="1" x14ac:dyDescent="0.25">
      <c r="AI353" s="154">
        <f>AI349/SUM(AI349:AL349)</f>
        <v>0.21881150309902181</v>
      </c>
      <c r="AJ353" s="154">
        <f>AJ349/SUM(AI349:AL349)</f>
        <v>0.26604588314778366</v>
      </c>
      <c r="AK353" s="154">
        <f>AK349/SUM(AI349:AL349)</f>
        <v>0.28270128954557472</v>
      </c>
      <c r="AL353" s="154">
        <f>AL349/SUM(AI349:AL349)</f>
        <v>0.23244132420761976</v>
      </c>
      <c r="AN353" s="154">
        <f>AN349/SUM(AN349:AQ349)</f>
        <v>0.23253818906353771</v>
      </c>
      <c r="AO353" s="154">
        <f>AO349/SUM(AN349:AQ349)</f>
        <v>0.28032986495461587</v>
      </c>
      <c r="AP353" s="154">
        <f>AP349/SUM(AN349:AQ349)</f>
        <v>0.26538631835288906</v>
      </c>
      <c r="AQ353" s="154">
        <f>AQ349/SUM(AN349:AQ349)</f>
        <v>0.22174562762895725</v>
      </c>
      <c r="AS353" s="154">
        <f>AS349/SUM(AS349:AV349)</f>
        <v>0.23200697526949904</v>
      </c>
      <c r="AT353" s="154">
        <f>AT349/SUM(AS349:AV349)</f>
        <v>0.26786091735362499</v>
      </c>
      <c r="AU353" s="154">
        <f>AU349/SUM(AS349:AV349)</f>
        <v>0.27132213062777427</v>
      </c>
      <c r="AV353" s="154">
        <f>AV349/SUM(AS349:AV349)</f>
        <v>0.22880997674910167</v>
      </c>
      <c r="AX353" s="154">
        <f>AX349/SUM(AX349:BA349)</f>
        <v>0.22706538266599088</v>
      </c>
      <c r="AY353" s="154">
        <f>AY349/SUM(AX349:BA349)</f>
        <v>0.2734414597060314</v>
      </c>
      <c r="AZ353" s="154">
        <f>AZ349/SUM(AX349:BA349)</f>
        <v>0.27318803852002027</v>
      </c>
      <c r="BA353" s="154">
        <f>BA349/SUM(AX349:BA349)</f>
        <v>0.22630511910795742</v>
      </c>
      <c r="BC353" s="154">
        <f>BC349/SUM(BC349:BF349)</f>
        <v>0.224853515625</v>
      </c>
      <c r="BD353" s="154">
        <f>BD349/SUM(BC349:BF349)</f>
        <v>0.277099609375</v>
      </c>
      <c r="BE353" s="154">
        <f>BE349/SUM(BC349:BF349)</f>
        <v>0.266845703125</v>
      </c>
      <c r="BF353" s="154">
        <f>BF349/SUM(BC349:BF349)</f>
        <v>0.231201171875</v>
      </c>
      <c r="BH353" s="154">
        <f>BH349/SUM(BH349:BK349)</f>
        <v>0.22432701894317048</v>
      </c>
      <c r="BI353" s="154">
        <f>BI349/SUM(BH349:BK349)</f>
        <v>0.2731804586241276</v>
      </c>
      <c r="BJ353" s="154">
        <f>BJ349/SUM(BH349:BK349)</f>
        <v>0.26994017946161514</v>
      </c>
      <c r="BK353" s="154">
        <f>BK349/SUM(BH349:BK349)</f>
        <v>0.23255234297108673</v>
      </c>
      <c r="BM353" s="154">
        <f>BM349/SUM(BM349:BP349)</f>
        <v>0.22193414570910033</v>
      </c>
      <c r="BN353" s="154">
        <f>BN349/SUM(BM349:BP349)</f>
        <v>0.27352864920922998</v>
      </c>
      <c r="BO353" s="154">
        <f>BO349/SUM(BM349:BP349)</f>
        <v>0.27456572465646878</v>
      </c>
      <c r="BP353" s="154">
        <f>BP349/SUM(BM349:BP349)</f>
        <v>0.22997148042520094</v>
      </c>
      <c r="BR353" s="154">
        <f>BR349/SUM(BR349:BU349)</f>
        <v>0.44343675417661099</v>
      </c>
      <c r="BS353" s="154">
        <f>BS349/SUM(BR349:BU349)</f>
        <v>0.55656324582338901</v>
      </c>
    </row>
    <row r="354" spans="1:94" hidden="1" x14ac:dyDescent="0.25"/>
    <row r="355" spans="1:94" hidden="1" x14ac:dyDescent="0.25">
      <c r="A355" s="52" t="s">
        <v>302</v>
      </c>
      <c r="AI355" s="271">
        <f>AI256</f>
        <v>0.04</v>
      </c>
      <c r="AJ355" s="271">
        <f>AJ256</f>
        <v>0.04</v>
      </c>
      <c r="AK355" s="271">
        <f>AK256</f>
        <v>0.06</v>
      </c>
      <c r="AL355" s="271">
        <f>AL256</f>
        <v>0.05</v>
      </c>
      <c r="AN355" s="271">
        <f>AN256</f>
        <v>0.15</v>
      </c>
      <c r="AO355" s="271">
        <f>AO256</f>
        <v>0.14000000000000001</v>
      </c>
      <c r="AP355" s="271">
        <f>AP256</f>
        <v>0.13</v>
      </c>
      <c r="AQ355" s="271">
        <f>AQ256</f>
        <v>0.12</v>
      </c>
      <c r="AS355" s="271">
        <f>AS256</f>
        <v>0.12</v>
      </c>
      <c r="AT355" s="271">
        <f>AT256</f>
        <v>0.06</v>
      </c>
      <c r="AU355" s="271">
        <f>AU256</f>
        <v>0.06</v>
      </c>
      <c r="AV355" s="271">
        <f>AV256</f>
        <v>0.06</v>
      </c>
      <c r="AX355" s="271">
        <f>AX256</f>
        <v>0.04</v>
      </c>
      <c r="AY355" s="271">
        <f>AY256</f>
        <v>0.06</v>
      </c>
      <c r="AZ355" s="271">
        <f>AZ256</f>
        <v>0.06</v>
      </c>
      <c r="BA355" s="271">
        <f>BA256</f>
        <v>0.05</v>
      </c>
      <c r="BC355" s="271">
        <f>BC256</f>
        <v>0.03</v>
      </c>
      <c r="BD355" s="271">
        <f>BD256</f>
        <v>0.05</v>
      </c>
      <c r="BE355" s="271">
        <f>BE256</f>
        <v>0.06</v>
      </c>
      <c r="BF355" s="271">
        <f>BF256</f>
        <v>0.08</v>
      </c>
      <c r="BH355" s="271">
        <f>BH256</f>
        <v>0.06</v>
      </c>
      <c r="BI355" s="271">
        <f>BI256</f>
        <v>0.06</v>
      </c>
      <c r="BJ355" s="271">
        <f>BJ256</f>
        <v>0.05</v>
      </c>
      <c r="BK355" s="271">
        <f>BK256</f>
        <v>0.05</v>
      </c>
      <c r="BM355" s="271">
        <f>BM256</f>
        <v>0.03</v>
      </c>
      <c r="BN355" s="271">
        <f>BN256</f>
        <v>0.02</v>
      </c>
      <c r="BO355" s="271">
        <f>BO256</f>
        <v>0.03</v>
      </c>
      <c r="BP355" s="271">
        <f>BP256</f>
        <v>0.03</v>
      </c>
      <c r="BR355" s="271">
        <f>BR256</f>
        <v>0.06</v>
      </c>
      <c r="BS355" s="271">
        <f>BS256</f>
        <v>0.08</v>
      </c>
    </row>
    <row r="356" spans="1:94" hidden="1" x14ac:dyDescent="0.25"/>
    <row r="357" spans="1:94" hidden="1" x14ac:dyDescent="0.25">
      <c r="A357" s="52" t="s">
        <v>303</v>
      </c>
      <c r="AI357" s="154">
        <f>AI$355*AI350</f>
        <v>0.04</v>
      </c>
      <c r="AJ357" s="154">
        <f>(AJ355-(AI351*AI357))/AJ351</f>
        <v>0.04</v>
      </c>
      <c r="AK357" s="316">
        <f>(AK355-(AI357*AI352)-(AJ352*AJ357))/AK352</f>
        <v>9.4301745635910234E-2</v>
      </c>
      <c r="AL357" s="316">
        <f>(AL355-(AI357*AI353)-(AJ357*AJ353)-(AK353*AK357))/AL353</f>
        <v>1.6978389991153794E-2</v>
      </c>
      <c r="AN357" s="154">
        <f>AN$355*AN350</f>
        <v>0.15</v>
      </c>
      <c r="AO357" s="154">
        <f>(AO355-(AN351*AN357))/AO351</f>
        <v>0.13170483711747288</v>
      </c>
      <c r="AP357" s="316">
        <f>(AP355-(AN357*AN352)-(AO352*AO357))/AP352</f>
        <v>0.11067466110531808</v>
      </c>
      <c r="AQ357" s="316">
        <f>(AQ355-(AN357*AN353)-(AO357*AO353)-(AP353*AP357))/AQ353</f>
        <v>8.490328216647941E-2</v>
      </c>
      <c r="AS357" s="154">
        <f>AS$355*AS350</f>
        <v>0.12</v>
      </c>
      <c r="AT357" s="154">
        <f>(AT355-(AS351*AS357))/AT351</f>
        <v>8.0311698559873673E-3</v>
      </c>
      <c r="AU357" s="316">
        <f>(AU355-(AS357*AS352)-(AT352*AT357))/AU352</f>
        <v>6.0000000000000026E-2</v>
      </c>
      <c r="AV357" s="316">
        <f>(AV355-(AS357*AS353)-(AT357*AT353)-(AU353*AU357))/AV353</f>
        <v>5.9999999999999963E-2</v>
      </c>
      <c r="AX357" s="154">
        <f>AX$355*AX350</f>
        <v>0.04</v>
      </c>
      <c r="AY357" s="154">
        <f>(AY355-(AX351*AX357))/AY351</f>
        <v>7.6607970342910101E-2</v>
      </c>
      <c r="AZ357" s="316">
        <f>(AZ355-(AX357*AX352)-(AY352*AY357))/AZ352</f>
        <v>6.0000000000000012E-2</v>
      </c>
      <c r="BA357" s="316">
        <f>(BA355-(AX357*AX353)-(AY357*AY353)-(AZ353*AZ357))/BA353</f>
        <v>1.5811870100783883E-2</v>
      </c>
      <c r="BC357" s="154">
        <f>BC$355*BC350</f>
        <v>0.03</v>
      </c>
      <c r="BD357" s="154">
        <f>(BD355-(BC351*BC357))/BD351</f>
        <v>6.6229074889867831E-2</v>
      </c>
      <c r="BE357" s="316">
        <f>(BE355-(BC357*BC352)-(BD352*BD357))/BE352</f>
        <v>7.8810612991765797E-2</v>
      </c>
      <c r="BF357" s="316">
        <f>(BF355-(BC357*BC353)-(BD357*BD353)-(BE353*BE357))/BF353</f>
        <v>0.14650475184794087</v>
      </c>
      <c r="BH357" s="154">
        <f>BH$355*BH350</f>
        <v>0.06</v>
      </c>
      <c r="BI357" s="154">
        <f>(BI355-(BH351*BH357))/BI351</f>
        <v>0.06</v>
      </c>
      <c r="BJ357" s="316">
        <f>(BJ355-(BH357*BH352)-(BI352*BI357))/BJ352</f>
        <v>3.1569713758079425E-2</v>
      </c>
      <c r="BK357" s="316">
        <f>(BK355-(BH357*BH353)-(BI357*BI353)-(BJ353*BJ357))/BK353</f>
        <v>0.05</v>
      </c>
      <c r="BM357" s="154">
        <f>BM$355*BM350</f>
        <v>0.03</v>
      </c>
      <c r="BN357" s="154">
        <f>(BN355-(BM351*BM357))/BN351</f>
        <v>1.1886255924170619E-2</v>
      </c>
      <c r="BO357" s="316">
        <f>(BO355-(BM357*BM352)-(BN352*BN357))/BO352</f>
        <v>4.8045325779036821E-2</v>
      </c>
      <c r="BP357" s="316">
        <f>(BP355-(BM357*BM353)-(BN357*BN353)-(BO353*BO357))/BP353</f>
        <v>2.9999999999999985E-2</v>
      </c>
      <c r="BR357" s="154">
        <f>BR$355*BR350</f>
        <v>0.06</v>
      </c>
      <c r="BS357" s="154">
        <f>(BS355-(BR351*BR357))/BS351</f>
        <v>9.593481989708405E-2</v>
      </c>
    </row>
    <row r="358" spans="1:94" hidden="1" x14ac:dyDescent="0.25">
      <c r="AI358" s="154"/>
      <c r="AJ358" s="154"/>
    </row>
    <row r="359" spans="1:94" hidden="1" x14ac:dyDescent="0.25">
      <c r="AI359" s="154"/>
    </row>
    <row r="360" spans="1:94" hidden="1" outlineLevel="1" x14ac:dyDescent="0.25">
      <c r="A360" s="334" t="s">
        <v>311</v>
      </c>
    </row>
    <row r="361" spans="1:94" hidden="1" outlineLevel="1" x14ac:dyDescent="0.25">
      <c r="A361" s="335" t="s">
        <v>312</v>
      </c>
      <c r="AC361" s="137">
        <f t="shared" ref="AC361:BH361" si="402">AC4</f>
        <v>3192.1000000000004</v>
      </c>
      <c r="AD361" s="138">
        <f t="shared" si="402"/>
        <v>737.9</v>
      </c>
      <c r="AE361" s="138">
        <f t="shared" si="402"/>
        <v>892.9</v>
      </c>
      <c r="AF361" s="138">
        <f t="shared" si="402"/>
        <v>861.7</v>
      </c>
      <c r="AG361" s="138">
        <f t="shared" si="402"/>
        <v>733</v>
      </c>
      <c r="AH361" s="137">
        <f t="shared" si="402"/>
        <v>3225.5</v>
      </c>
      <c r="AI361" s="138">
        <f t="shared" si="402"/>
        <v>744.9</v>
      </c>
      <c r="AJ361" s="138">
        <f t="shared" si="402"/>
        <v>905.7</v>
      </c>
      <c r="AK361" s="138">
        <f t="shared" si="402"/>
        <v>962.4</v>
      </c>
      <c r="AL361" s="138">
        <f t="shared" si="402"/>
        <v>791.3</v>
      </c>
      <c r="AM361" s="137">
        <f t="shared" si="402"/>
        <v>3404.3</v>
      </c>
      <c r="AN361" s="139">
        <f t="shared" si="402"/>
        <v>840.3</v>
      </c>
      <c r="AO361" s="138">
        <f t="shared" si="402"/>
        <v>1013</v>
      </c>
      <c r="AP361" s="138">
        <f t="shared" si="402"/>
        <v>959</v>
      </c>
      <c r="AQ361" s="138">
        <f t="shared" si="402"/>
        <v>801.3</v>
      </c>
      <c r="AR361" s="137">
        <f t="shared" si="402"/>
        <v>3613.6000000000004</v>
      </c>
      <c r="AS361" s="138">
        <f t="shared" si="402"/>
        <v>878.1</v>
      </c>
      <c r="AT361" s="138">
        <f t="shared" si="402"/>
        <v>1013.8</v>
      </c>
      <c r="AU361" s="138">
        <f t="shared" si="402"/>
        <v>1026.9000000000001</v>
      </c>
      <c r="AV361" s="138">
        <f t="shared" si="402"/>
        <v>866</v>
      </c>
      <c r="AW361" s="137">
        <f t="shared" si="402"/>
        <v>3784.8</v>
      </c>
      <c r="AX361" s="138">
        <f t="shared" si="402"/>
        <v>896</v>
      </c>
      <c r="AY361" s="138">
        <f t="shared" si="402"/>
        <v>1079</v>
      </c>
      <c r="AZ361" s="138">
        <f t="shared" si="402"/>
        <v>1078</v>
      </c>
      <c r="BA361" s="138">
        <f t="shared" si="402"/>
        <v>893</v>
      </c>
      <c r="BB361" s="137">
        <f t="shared" si="402"/>
        <v>3946</v>
      </c>
      <c r="BC361" s="138">
        <f t="shared" si="402"/>
        <v>921</v>
      </c>
      <c r="BD361" s="138">
        <f t="shared" si="402"/>
        <v>1135</v>
      </c>
      <c r="BE361" s="138">
        <f t="shared" si="402"/>
        <v>1093</v>
      </c>
      <c r="BF361" s="138">
        <f t="shared" si="402"/>
        <v>947</v>
      </c>
      <c r="BG361" s="137">
        <f t="shared" si="402"/>
        <v>4096</v>
      </c>
      <c r="BH361" s="138">
        <f t="shared" si="402"/>
        <v>900</v>
      </c>
      <c r="BI361" s="138">
        <f t="shared" ref="BI361:CP361" si="403">BI4</f>
        <v>1096</v>
      </c>
      <c r="BJ361" s="138">
        <f t="shared" si="403"/>
        <v>1083</v>
      </c>
      <c r="BK361" s="138">
        <f t="shared" si="403"/>
        <v>933</v>
      </c>
      <c r="BL361" s="137">
        <f t="shared" si="403"/>
        <v>4012</v>
      </c>
      <c r="BM361" s="138">
        <f t="shared" si="403"/>
        <v>856</v>
      </c>
      <c r="BN361" s="138">
        <f t="shared" si="403"/>
        <v>1055</v>
      </c>
      <c r="BO361" s="138">
        <f t="shared" si="403"/>
        <v>1059</v>
      </c>
      <c r="BP361" s="138">
        <f t="shared" si="403"/>
        <v>887</v>
      </c>
      <c r="BQ361" s="137">
        <f t="shared" si="403"/>
        <v>3857</v>
      </c>
      <c r="BR361" s="138">
        <f t="shared" si="403"/>
        <v>929</v>
      </c>
      <c r="BS361" s="138">
        <f t="shared" si="403"/>
        <v>1166</v>
      </c>
      <c r="BT361" s="138">
        <f t="shared" si="403"/>
        <v>1166.9139235298867</v>
      </c>
      <c r="BU361" s="138">
        <f t="shared" si="403"/>
        <v>949.48775987032377</v>
      </c>
      <c r="BV361" s="137">
        <f t="shared" si="403"/>
        <v>4211.4016834002105</v>
      </c>
      <c r="BW361" s="138">
        <f t="shared" si="403"/>
        <v>991.94044109801541</v>
      </c>
      <c r="BX361" s="138">
        <f t="shared" si="403"/>
        <v>1203.778013073392</v>
      </c>
      <c r="BY361" s="138">
        <f t="shared" si="403"/>
        <v>1233.5926554537916</v>
      </c>
      <c r="BZ361" s="138">
        <f t="shared" si="403"/>
        <v>1002.8056643226604</v>
      </c>
      <c r="CA361" s="137">
        <f t="shared" si="403"/>
        <v>4432.1167739478597</v>
      </c>
      <c r="CB361" s="138">
        <f t="shared" si="403"/>
        <v>1041.5374631529162</v>
      </c>
      <c r="CC361" s="138">
        <f t="shared" si="403"/>
        <v>1263.9669137270616</v>
      </c>
      <c r="CD361" s="138">
        <f t="shared" si="403"/>
        <v>1295.2722882264814</v>
      </c>
      <c r="CE361" s="138">
        <f t="shared" si="403"/>
        <v>1052.945947538793</v>
      </c>
      <c r="CF361" s="137">
        <f t="shared" si="403"/>
        <v>4653.7226126452524</v>
      </c>
      <c r="CG361" s="138">
        <f t="shared" si="403"/>
        <v>1093.6143363105621</v>
      </c>
      <c r="CH361" s="138">
        <f t="shared" si="403"/>
        <v>1327.1652594134148</v>
      </c>
      <c r="CI361" s="138">
        <f t="shared" si="403"/>
        <v>1360.0359026378055</v>
      </c>
      <c r="CJ361" s="138">
        <f t="shared" si="403"/>
        <v>1105.5932449157326</v>
      </c>
      <c r="CK361" s="137">
        <f t="shared" si="403"/>
        <v>4886.408743277515</v>
      </c>
      <c r="CL361" s="138">
        <f t="shared" si="403"/>
        <v>1148.2950531260901</v>
      </c>
      <c r="CM361" s="138">
        <f t="shared" si="403"/>
        <v>1393.5235223840855</v>
      </c>
      <c r="CN361" s="138">
        <f t="shared" si="403"/>
        <v>1428.0376977696958</v>
      </c>
      <c r="CO361" s="138">
        <f t="shared" si="403"/>
        <v>1160.8729071615192</v>
      </c>
      <c r="CP361" s="137">
        <f t="shared" si="403"/>
        <v>5130.7291804413908</v>
      </c>
    </row>
    <row r="362" spans="1:94" hidden="1" outlineLevel="1" x14ac:dyDescent="0.25">
      <c r="A362" s="335" t="s">
        <v>14</v>
      </c>
      <c r="AC362" s="137">
        <f t="shared" ref="AC362:BH362" si="404">AC34</f>
        <v>674.19999999999982</v>
      </c>
      <c r="AD362" s="138">
        <f t="shared" si="404"/>
        <v>192.00000000000003</v>
      </c>
      <c r="AE362" s="138">
        <f t="shared" si="404"/>
        <v>225.6</v>
      </c>
      <c r="AF362" s="138">
        <f t="shared" si="404"/>
        <v>185.49999999999997</v>
      </c>
      <c r="AG362" s="138">
        <f t="shared" si="404"/>
        <v>118.50000000000006</v>
      </c>
      <c r="AH362" s="137">
        <f t="shared" si="404"/>
        <v>721.59999999999991</v>
      </c>
      <c r="AI362" s="138">
        <f t="shared" si="404"/>
        <v>172.70000000000002</v>
      </c>
      <c r="AJ362" s="138">
        <f t="shared" si="404"/>
        <v>235</v>
      </c>
      <c r="AK362" s="138">
        <f t="shared" si="404"/>
        <v>225.49999999999997</v>
      </c>
      <c r="AL362" s="138">
        <f t="shared" si="404"/>
        <v>168.89999999999998</v>
      </c>
      <c r="AM362" s="137">
        <f t="shared" si="404"/>
        <v>802.0999999999998</v>
      </c>
      <c r="AN362" s="139">
        <f t="shared" si="404"/>
        <v>185.89999999999998</v>
      </c>
      <c r="AO362" s="138">
        <f t="shared" si="404"/>
        <v>246.29999999999995</v>
      </c>
      <c r="AP362" s="138">
        <f t="shared" si="404"/>
        <v>206.19999999999996</v>
      </c>
      <c r="AQ362" s="138">
        <f t="shared" si="404"/>
        <v>150.10000000000008</v>
      </c>
      <c r="AR362" s="137">
        <f t="shared" si="404"/>
        <v>788.49999999999989</v>
      </c>
      <c r="AS362" s="138">
        <f t="shared" si="404"/>
        <v>221.70000000000002</v>
      </c>
      <c r="AT362" s="138">
        <f t="shared" si="404"/>
        <v>262.3</v>
      </c>
      <c r="AU362" s="138">
        <f t="shared" si="404"/>
        <v>237</v>
      </c>
      <c r="AV362" s="138">
        <f t="shared" si="404"/>
        <v>177</v>
      </c>
      <c r="AW362" s="137">
        <f t="shared" si="404"/>
        <v>898</v>
      </c>
      <c r="AX362" s="138">
        <f t="shared" si="404"/>
        <v>217</v>
      </c>
      <c r="AY362" s="138">
        <f t="shared" si="404"/>
        <v>311</v>
      </c>
      <c r="AZ362" s="138">
        <f t="shared" si="404"/>
        <v>255</v>
      </c>
      <c r="BA362" s="138">
        <f t="shared" si="404"/>
        <v>189</v>
      </c>
      <c r="BB362" s="137">
        <f t="shared" si="404"/>
        <v>972</v>
      </c>
      <c r="BC362" s="138">
        <f t="shared" si="404"/>
        <v>221</v>
      </c>
      <c r="BD362" s="138">
        <f t="shared" si="404"/>
        <v>303</v>
      </c>
      <c r="BE362" s="138">
        <f t="shared" si="404"/>
        <v>272</v>
      </c>
      <c r="BF362" s="138">
        <f t="shared" si="404"/>
        <v>232</v>
      </c>
      <c r="BG362" s="137">
        <f t="shared" si="404"/>
        <v>1028</v>
      </c>
      <c r="BH362" s="138">
        <f t="shared" si="404"/>
        <v>227</v>
      </c>
      <c r="BI362" s="138">
        <f t="shared" ref="BI362:CP362" si="405">BI34</f>
        <v>302</v>
      </c>
      <c r="BJ362" s="138">
        <f t="shared" si="405"/>
        <v>278</v>
      </c>
      <c r="BK362" s="138">
        <f t="shared" si="405"/>
        <v>241</v>
      </c>
      <c r="BL362" s="137">
        <f t="shared" si="405"/>
        <v>1048</v>
      </c>
      <c r="BM362" s="138">
        <f t="shared" si="405"/>
        <v>213</v>
      </c>
      <c r="BN362" s="138">
        <f t="shared" si="405"/>
        <v>291</v>
      </c>
      <c r="BO362" s="138">
        <f t="shared" si="405"/>
        <v>273</v>
      </c>
      <c r="BP362" s="138">
        <f t="shared" si="405"/>
        <v>214</v>
      </c>
      <c r="BQ362" s="137">
        <f t="shared" si="405"/>
        <v>991</v>
      </c>
      <c r="BR362" s="138">
        <f t="shared" si="405"/>
        <v>244</v>
      </c>
      <c r="BS362" s="138">
        <f t="shared" si="405"/>
        <v>346</v>
      </c>
      <c r="BT362" s="138">
        <f t="shared" si="405"/>
        <v>296.15592200120926</v>
      </c>
      <c r="BU362" s="138">
        <f t="shared" si="405"/>
        <v>226.66883131052151</v>
      </c>
      <c r="BV362" s="137">
        <f t="shared" si="405"/>
        <v>1112.8247533117308</v>
      </c>
      <c r="BW362" s="138">
        <f t="shared" si="405"/>
        <v>269.3412443318914</v>
      </c>
      <c r="BX362" s="138">
        <f t="shared" si="405"/>
        <v>367.73784141344265</v>
      </c>
      <c r="BY362" s="138">
        <f t="shared" si="405"/>
        <v>323.90252481159706</v>
      </c>
      <c r="BZ362" s="138">
        <f t="shared" si="405"/>
        <v>249.09728169209035</v>
      </c>
      <c r="CA362" s="137">
        <f t="shared" si="405"/>
        <v>1210.0788922490215</v>
      </c>
      <c r="CB362" s="138">
        <f t="shared" si="405"/>
        <v>285.59534696883958</v>
      </c>
      <c r="CC362" s="138">
        <f t="shared" si="405"/>
        <v>389.09251234947737</v>
      </c>
      <c r="CD362" s="138">
        <f t="shared" si="405"/>
        <v>343.55660292290816</v>
      </c>
      <c r="CE362" s="138">
        <f t="shared" si="405"/>
        <v>264.43557949323576</v>
      </c>
      <c r="CF362" s="137">
        <f t="shared" si="405"/>
        <v>1282.6800417344607</v>
      </c>
      <c r="CG362" s="138">
        <f t="shared" si="405"/>
        <v>302.80400675865275</v>
      </c>
      <c r="CH362" s="138">
        <f t="shared" si="405"/>
        <v>411.68830577558197</v>
      </c>
      <c r="CI362" s="138">
        <f t="shared" si="405"/>
        <v>364.36633253332155</v>
      </c>
      <c r="CJ362" s="138">
        <f t="shared" si="405"/>
        <v>280.68496387026522</v>
      </c>
      <c r="CK362" s="137">
        <f t="shared" si="405"/>
        <v>1359.5436089378218</v>
      </c>
      <c r="CL362" s="138">
        <f t="shared" si="405"/>
        <v>320.12837642761377</v>
      </c>
      <c r="CM362" s="138">
        <f t="shared" si="405"/>
        <v>434.50359692083418</v>
      </c>
      <c r="CN362" s="138">
        <f t="shared" si="405"/>
        <v>385.30857375818846</v>
      </c>
      <c r="CO362" s="138">
        <f t="shared" si="405"/>
        <v>296.98991611555459</v>
      </c>
      <c r="CP362" s="137">
        <f t="shared" si="405"/>
        <v>1436.9304632221911</v>
      </c>
    </row>
    <row r="363" spans="1:94" hidden="1" outlineLevel="1" x14ac:dyDescent="0.25">
      <c r="A363" s="335" t="s">
        <v>313</v>
      </c>
      <c r="AC363" s="137"/>
      <c r="AD363" s="138"/>
      <c r="AE363" s="138"/>
      <c r="AF363" s="138"/>
      <c r="AG363" s="138"/>
      <c r="AH363" s="137"/>
      <c r="AI363" s="138"/>
      <c r="AJ363" s="138"/>
      <c r="AK363" s="138"/>
      <c r="AL363" s="138"/>
      <c r="AM363" s="137"/>
      <c r="AN363" s="139"/>
      <c r="AO363" s="138"/>
      <c r="AP363" s="138"/>
      <c r="AQ363" s="138"/>
      <c r="AR363" s="137"/>
      <c r="AS363" s="138"/>
      <c r="AT363" s="138"/>
      <c r="AU363" s="138"/>
      <c r="AV363" s="138"/>
      <c r="AW363" s="137"/>
      <c r="AX363" s="138"/>
      <c r="AY363" s="138"/>
      <c r="AZ363" s="138"/>
      <c r="BA363" s="138"/>
      <c r="BB363" s="137"/>
      <c r="BC363" s="138"/>
      <c r="BD363" s="138"/>
      <c r="BE363" s="138"/>
      <c r="BF363" s="138"/>
      <c r="BG363" s="137"/>
      <c r="BH363" s="138"/>
      <c r="BI363" s="138"/>
      <c r="BJ363" s="138"/>
      <c r="BK363" s="138"/>
      <c r="BL363" s="137"/>
      <c r="BM363" s="138"/>
      <c r="BN363" s="138"/>
      <c r="BO363" s="138"/>
      <c r="BP363" s="138"/>
      <c r="BQ363" s="137"/>
      <c r="BR363" s="138"/>
      <c r="BS363" s="138"/>
      <c r="BT363" s="138"/>
      <c r="BU363" s="138"/>
      <c r="BV363" s="137"/>
      <c r="BW363" s="138"/>
      <c r="BX363" s="138"/>
      <c r="BY363" s="138"/>
      <c r="BZ363" s="138"/>
      <c r="CA363" s="137"/>
      <c r="CB363" s="138"/>
      <c r="CC363" s="138"/>
      <c r="CD363" s="138"/>
      <c r="CE363" s="138"/>
      <c r="CF363" s="137"/>
      <c r="CG363" s="138"/>
      <c r="CH363" s="138"/>
      <c r="CI363" s="138"/>
      <c r="CJ363" s="138"/>
      <c r="CK363" s="137"/>
      <c r="CL363" s="138"/>
      <c r="CM363" s="138"/>
      <c r="CN363" s="138"/>
      <c r="CO363" s="138"/>
      <c r="CP363" s="137"/>
    </row>
    <row r="364" spans="1:94" hidden="1" outlineLevel="1" x14ac:dyDescent="0.25">
      <c r="A364" s="335" t="s">
        <v>314</v>
      </c>
      <c r="AC364" s="137">
        <f t="shared" ref="AC364:BH364" si="406">AC209</f>
        <v>729.19999999999982</v>
      </c>
      <c r="AD364" s="138">
        <f t="shared" si="406"/>
        <v>206.40000000000003</v>
      </c>
      <c r="AE364" s="138">
        <f t="shared" si="406"/>
        <v>239.79999999999998</v>
      </c>
      <c r="AF364" s="138">
        <f t="shared" si="406"/>
        <v>200.69999999999996</v>
      </c>
      <c r="AG364" s="138">
        <f t="shared" si="406"/>
        <v>133.70000000000007</v>
      </c>
      <c r="AH364" s="137">
        <f t="shared" si="406"/>
        <v>780.59999999999991</v>
      </c>
      <c r="AI364" s="138">
        <f t="shared" si="406"/>
        <v>187.20000000000002</v>
      </c>
      <c r="AJ364" s="138">
        <f t="shared" si="406"/>
        <v>249.2</v>
      </c>
      <c r="AK364" s="138">
        <f t="shared" si="406"/>
        <v>239.69999999999996</v>
      </c>
      <c r="AL364" s="138">
        <f t="shared" si="406"/>
        <v>181.99999999999997</v>
      </c>
      <c r="AM364" s="137">
        <f t="shared" si="406"/>
        <v>858.0999999999998</v>
      </c>
      <c r="AN364" s="139">
        <f t="shared" si="406"/>
        <v>198.89999999999998</v>
      </c>
      <c r="AO364" s="138">
        <f t="shared" si="406"/>
        <v>259.09999999999997</v>
      </c>
      <c r="AP364" s="138">
        <f t="shared" si="406"/>
        <v>218.09999999999997</v>
      </c>
      <c r="AQ364" s="138">
        <f t="shared" si="406"/>
        <v>161.40000000000006</v>
      </c>
      <c r="AR364" s="137">
        <f t="shared" si="406"/>
        <v>837.49999999999989</v>
      </c>
      <c r="AS364" s="138">
        <f t="shared" si="406"/>
        <v>233.20000000000002</v>
      </c>
      <c r="AT364" s="138">
        <f t="shared" si="406"/>
        <v>276.60000000000002</v>
      </c>
      <c r="AU364" s="138">
        <f t="shared" si="406"/>
        <v>247.3</v>
      </c>
      <c r="AV364" s="138">
        <f t="shared" si="406"/>
        <v>191.9</v>
      </c>
      <c r="AW364" s="137">
        <f t="shared" si="406"/>
        <v>949</v>
      </c>
      <c r="AX364" s="138">
        <f t="shared" si="406"/>
        <v>229</v>
      </c>
      <c r="AY364" s="138">
        <f t="shared" si="406"/>
        <v>323</v>
      </c>
      <c r="AZ364" s="138">
        <f t="shared" si="406"/>
        <v>267</v>
      </c>
      <c r="BA364" s="138">
        <f t="shared" si="406"/>
        <v>203</v>
      </c>
      <c r="BB364" s="137">
        <f t="shared" si="406"/>
        <v>1022</v>
      </c>
      <c r="BC364" s="138">
        <f t="shared" si="406"/>
        <v>234</v>
      </c>
      <c r="BD364" s="138">
        <f t="shared" si="406"/>
        <v>315</v>
      </c>
      <c r="BE364" s="138">
        <f t="shared" si="406"/>
        <v>283</v>
      </c>
      <c r="BF364" s="138">
        <f t="shared" si="406"/>
        <v>247</v>
      </c>
      <c r="BG364" s="137">
        <f t="shared" si="406"/>
        <v>1079</v>
      </c>
      <c r="BH364" s="138">
        <f t="shared" si="406"/>
        <v>240</v>
      </c>
      <c r="BI364" s="138">
        <f t="shared" ref="BI364:CP364" si="407">BI209</f>
        <v>316</v>
      </c>
      <c r="BJ364" s="138">
        <f t="shared" si="407"/>
        <v>291</v>
      </c>
      <c r="BK364" s="138">
        <f t="shared" si="407"/>
        <v>257</v>
      </c>
      <c r="BL364" s="137">
        <f t="shared" si="407"/>
        <v>1104</v>
      </c>
      <c r="BM364" s="138">
        <f t="shared" si="407"/>
        <v>228</v>
      </c>
      <c r="BN364" s="138">
        <f t="shared" si="407"/>
        <v>304</v>
      </c>
      <c r="BO364" s="138">
        <f t="shared" si="407"/>
        <v>287</v>
      </c>
      <c r="BP364" s="138">
        <f t="shared" si="407"/>
        <v>230</v>
      </c>
      <c r="BQ364" s="137">
        <f t="shared" si="407"/>
        <v>1049</v>
      </c>
      <c r="BR364" s="138">
        <f t="shared" si="407"/>
        <v>259</v>
      </c>
      <c r="BS364" s="138">
        <f t="shared" si="407"/>
        <v>361</v>
      </c>
      <c r="BT364" s="138">
        <f t="shared" si="407"/>
        <v>311.15592200120926</v>
      </c>
      <c r="BU364" s="138">
        <f t="shared" si="407"/>
        <v>241.66883131052151</v>
      </c>
      <c r="BV364" s="137">
        <f t="shared" si="407"/>
        <v>1172.8247533117308</v>
      </c>
      <c r="BW364" s="138">
        <f t="shared" si="407"/>
        <v>284.3412443318914</v>
      </c>
      <c r="BX364" s="138">
        <f t="shared" si="407"/>
        <v>382.73784141344265</v>
      </c>
      <c r="BY364" s="138">
        <f t="shared" si="407"/>
        <v>338.90252481159706</v>
      </c>
      <c r="BZ364" s="138">
        <f t="shared" si="407"/>
        <v>264.09728169209035</v>
      </c>
      <c r="CA364" s="137">
        <f t="shared" si="407"/>
        <v>1270.0788922490215</v>
      </c>
      <c r="CB364" s="138">
        <f t="shared" si="407"/>
        <v>300.59534696883958</v>
      </c>
      <c r="CC364" s="138">
        <f t="shared" si="407"/>
        <v>404.09251234947737</v>
      </c>
      <c r="CD364" s="138">
        <f t="shared" si="407"/>
        <v>358.55660292290816</v>
      </c>
      <c r="CE364" s="138">
        <f t="shared" si="407"/>
        <v>279.43557949323576</v>
      </c>
      <c r="CF364" s="137">
        <f t="shared" si="407"/>
        <v>1342.6800417344607</v>
      </c>
      <c r="CG364" s="138">
        <f t="shared" si="407"/>
        <v>317.80400675865275</v>
      </c>
      <c r="CH364" s="138">
        <f t="shared" si="407"/>
        <v>426.68830577558197</v>
      </c>
      <c r="CI364" s="138">
        <f t="shared" si="407"/>
        <v>379.36633253332155</v>
      </c>
      <c r="CJ364" s="138">
        <f t="shared" si="407"/>
        <v>295.68496387026522</v>
      </c>
      <c r="CK364" s="137">
        <f t="shared" si="407"/>
        <v>1419.5436089378218</v>
      </c>
      <c r="CL364" s="138">
        <f t="shared" si="407"/>
        <v>335.12837642761377</v>
      </c>
      <c r="CM364" s="138">
        <f t="shared" si="407"/>
        <v>449.50359692083418</v>
      </c>
      <c r="CN364" s="138">
        <f t="shared" si="407"/>
        <v>400.30857375818846</v>
      </c>
      <c r="CO364" s="138">
        <f t="shared" si="407"/>
        <v>311.98991611555459</v>
      </c>
      <c r="CP364" s="137">
        <f t="shared" si="407"/>
        <v>1496.9304632221911</v>
      </c>
    </row>
    <row r="365" spans="1:94" hidden="1" outlineLevel="1" x14ac:dyDescent="0.25">
      <c r="A365" s="335" t="s">
        <v>315</v>
      </c>
      <c r="AC365" s="137">
        <f t="shared" ref="AC365:BH365" ca="1" si="408">SUM(AC126:AC129)</f>
        <v>29.100000000000037</v>
      </c>
      <c r="AD365" s="138">
        <f t="shared" si="408"/>
        <v>25.899999999999892</v>
      </c>
      <c r="AE365" s="138">
        <f t="shared" si="408"/>
        <v>7.4000000000000909</v>
      </c>
      <c r="AF365" s="138">
        <f t="shared" si="408"/>
        <v>38.887999999999934</v>
      </c>
      <c r="AG365" s="138">
        <f t="shared" ca="1" si="408"/>
        <v>45.499999999999986</v>
      </c>
      <c r="AH365" s="137">
        <f t="shared" ca="1" si="408"/>
        <v>117.6879999999999</v>
      </c>
      <c r="AI365" s="138">
        <f t="shared" si="408"/>
        <v>16.199999999999942</v>
      </c>
      <c r="AJ365" s="138">
        <f t="shared" si="408"/>
        <v>18.900000000000031</v>
      </c>
      <c r="AK365" s="138">
        <f t="shared" si="408"/>
        <v>48.100000000000023</v>
      </c>
      <c r="AL365" s="138">
        <f t="shared" si="408"/>
        <v>-82.011999999999915</v>
      </c>
      <c r="AM365" s="137">
        <f t="shared" si="408"/>
        <v>1.1880000000000877</v>
      </c>
      <c r="AN365" s="139">
        <f t="shared" si="408"/>
        <v>46.799999999999983</v>
      </c>
      <c r="AO365" s="138">
        <f t="shared" si="408"/>
        <v>-8.7999999999999687</v>
      </c>
      <c r="AP365" s="138">
        <f t="shared" si="408"/>
        <v>19.600000000000151</v>
      </c>
      <c r="AQ365" s="138">
        <f t="shared" si="408"/>
        <v>27.881228192602791</v>
      </c>
      <c r="AR365" s="137">
        <f t="shared" si="408"/>
        <v>85.481228192602956</v>
      </c>
      <c r="AS365" s="138">
        <f t="shared" si="408"/>
        <v>38.999999999999936</v>
      </c>
      <c r="AT365" s="138">
        <f t="shared" si="408"/>
        <v>-12.399999999999949</v>
      </c>
      <c r="AU365" s="138">
        <f t="shared" si="408"/>
        <v>25.900000000000009</v>
      </c>
      <c r="AV365" s="138">
        <f t="shared" si="408"/>
        <v>75.999999999999972</v>
      </c>
      <c r="AW365" s="137">
        <f t="shared" si="408"/>
        <v>128.49999999999997</v>
      </c>
      <c r="AX365" s="138">
        <f t="shared" si="408"/>
        <v>56</v>
      </c>
      <c r="AY365" s="138">
        <f t="shared" si="408"/>
        <v>-28</v>
      </c>
      <c r="AZ365" s="138">
        <f t="shared" si="408"/>
        <v>-123</v>
      </c>
      <c r="BA365" s="138">
        <f t="shared" si="408"/>
        <v>25.45799705582192</v>
      </c>
      <c r="BB365" s="137">
        <f t="shared" si="408"/>
        <v>-69.54200294417808</v>
      </c>
      <c r="BC365" s="138">
        <f t="shared" si="408"/>
        <v>23.457997055821892</v>
      </c>
      <c r="BD365" s="138">
        <f t="shared" si="408"/>
        <v>24</v>
      </c>
      <c r="BE365" s="138">
        <f t="shared" si="408"/>
        <v>33</v>
      </c>
      <c r="BF365" s="138">
        <f t="shared" si="408"/>
        <v>26</v>
      </c>
      <c r="BG365" s="137">
        <f t="shared" si="408"/>
        <v>106.45799705582189</v>
      </c>
      <c r="BH365" s="138">
        <f t="shared" si="408"/>
        <v>16</v>
      </c>
      <c r="BI365" s="138">
        <f t="shared" ref="BI365:CP365" si="409">SUM(BI126:BI129)</f>
        <v>23</v>
      </c>
      <c r="BJ365" s="138">
        <f t="shared" si="409"/>
        <v>81</v>
      </c>
      <c r="BK365" s="138">
        <f t="shared" si="409"/>
        <v>-571</v>
      </c>
      <c r="BL365" s="137">
        <f t="shared" si="409"/>
        <v>-451</v>
      </c>
      <c r="BM365" s="138">
        <f t="shared" si="409"/>
        <v>130</v>
      </c>
      <c r="BN365" s="138">
        <f t="shared" si="409"/>
        <v>14</v>
      </c>
      <c r="BO365" s="138">
        <f t="shared" si="409"/>
        <v>19</v>
      </c>
      <c r="BP365" s="138">
        <f t="shared" si="409"/>
        <v>31</v>
      </c>
      <c r="BQ365" s="137">
        <f t="shared" si="409"/>
        <v>194</v>
      </c>
      <c r="BR365" s="138">
        <f t="shared" si="409"/>
        <v>9</v>
      </c>
      <c r="BS365" s="138">
        <f t="shared" si="409"/>
        <v>7</v>
      </c>
      <c r="BT365" s="138">
        <f t="shared" ca="1" si="409"/>
        <v>14.864259146027706</v>
      </c>
      <c r="BU365" s="138">
        <f t="shared" ca="1" si="409"/>
        <v>40.755775450757824</v>
      </c>
      <c r="BV365" s="137">
        <f t="shared" ca="1" si="409"/>
        <v>71.62003459678553</v>
      </c>
      <c r="BW365" s="138">
        <f t="shared" ca="1" si="409"/>
        <v>32.116875184306934</v>
      </c>
      <c r="BX365" s="138">
        <f t="shared" ca="1" si="409"/>
        <v>-17.986180540913921</v>
      </c>
      <c r="BY365" s="138">
        <f t="shared" ca="1" si="409"/>
        <v>3.7971430869229152</v>
      </c>
      <c r="BZ365" s="138">
        <f t="shared" ca="1" si="409"/>
        <v>44.230558673063513</v>
      </c>
      <c r="CA365" s="137">
        <f t="shared" ca="1" si="409"/>
        <v>62.158396403379442</v>
      </c>
      <c r="CB365" s="138">
        <f t="shared" ca="1" si="409"/>
        <v>32.907628804358239</v>
      </c>
      <c r="CC365" s="138">
        <f t="shared" ca="1" si="409"/>
        <v>-20.365440027360989</v>
      </c>
      <c r="CD365" s="138">
        <f t="shared" ca="1" si="409"/>
        <v>3.925387202717701</v>
      </c>
      <c r="CE365" s="138">
        <f t="shared" ca="1" si="409"/>
        <v>45.880881405358281</v>
      </c>
      <c r="CF365" s="137">
        <f t="shared" ca="1" si="409"/>
        <v>62.348457385073232</v>
      </c>
      <c r="CG365" s="138">
        <f t="shared" ca="1" si="409"/>
        <v>33.820823424406115</v>
      </c>
      <c r="CH365" s="138">
        <f t="shared" ca="1" si="409"/>
        <v>-22.627878313747203</v>
      </c>
      <c r="CI365" s="138">
        <f t="shared" ca="1" si="409"/>
        <v>4.318269323072343</v>
      </c>
      <c r="CJ365" s="138">
        <f t="shared" ca="1" si="409"/>
        <v>48.091193528209686</v>
      </c>
      <c r="CK365" s="137">
        <f t="shared" ca="1" si="409"/>
        <v>63.602407961940941</v>
      </c>
      <c r="CL365" s="138">
        <f t="shared" ca="1" si="409"/>
        <v>33.864416284441575</v>
      </c>
      <c r="CM365" s="138">
        <f t="shared" ca="1" si="409"/>
        <v>-25.496896858549235</v>
      </c>
      <c r="CN365" s="138">
        <f t="shared" ca="1" si="409"/>
        <v>4.4832915364955852</v>
      </c>
      <c r="CO365" s="138">
        <f t="shared" ca="1" si="409"/>
        <v>50.302203972479077</v>
      </c>
      <c r="CP365" s="137">
        <f t="shared" ca="1" si="409"/>
        <v>63.153014934867002</v>
      </c>
    </row>
    <row r="366" spans="1:94" hidden="1" outlineLevel="1" x14ac:dyDescent="0.25">
      <c r="A366" s="335" t="s">
        <v>316</v>
      </c>
      <c r="AC366" s="137">
        <f t="shared" ref="AC366:BH366" si="410">SUM(AC131:AC136)</f>
        <v>24.499999999999929</v>
      </c>
      <c r="AD366" s="138">
        <f t="shared" si="410"/>
        <v>-29.499999999999929</v>
      </c>
      <c r="AE366" s="138">
        <f t="shared" si="410"/>
        <v>-66.800000000000097</v>
      </c>
      <c r="AF366" s="138">
        <f t="shared" si="410"/>
        <v>62.500000000000107</v>
      </c>
      <c r="AG366" s="138">
        <f t="shared" si="410"/>
        <v>2.2999999999999829</v>
      </c>
      <c r="AH366" s="137">
        <f t="shared" si="410"/>
        <v>-31.499999999999929</v>
      </c>
      <c r="AI366" s="138">
        <f t="shared" si="410"/>
        <v>-30.999999999999979</v>
      </c>
      <c r="AJ366" s="138">
        <f t="shared" si="410"/>
        <v>-91.7</v>
      </c>
      <c r="AK366" s="138">
        <f t="shared" si="410"/>
        <v>32.9</v>
      </c>
      <c r="AL366" s="138">
        <f t="shared" si="410"/>
        <v>92.799999999999983</v>
      </c>
      <c r="AM366" s="137">
        <f t="shared" si="410"/>
        <v>3</v>
      </c>
      <c r="AN366" s="139">
        <f t="shared" si="410"/>
        <v>-100.89999999999996</v>
      </c>
      <c r="AO366" s="138">
        <f t="shared" si="410"/>
        <v>-57.3</v>
      </c>
      <c r="AP366" s="138">
        <f t="shared" si="410"/>
        <v>33.499999999999872</v>
      </c>
      <c r="AQ366" s="138">
        <f t="shared" si="410"/>
        <v>41.700000000000088</v>
      </c>
      <c r="AR366" s="137">
        <f t="shared" si="410"/>
        <v>-83</v>
      </c>
      <c r="AS366" s="138">
        <f t="shared" si="410"/>
        <v>-98.899999999999949</v>
      </c>
      <c r="AT366" s="138">
        <f t="shared" si="410"/>
        <v>-83.400000000000063</v>
      </c>
      <c r="AU366" s="138">
        <f t="shared" si="410"/>
        <v>19.000000000000057</v>
      </c>
      <c r="AV366" s="138">
        <f t="shared" si="410"/>
        <v>-19.200000000000045</v>
      </c>
      <c r="AW366" s="137">
        <f t="shared" si="410"/>
        <v>-182.5</v>
      </c>
      <c r="AX366" s="138">
        <f t="shared" si="410"/>
        <v>-106</v>
      </c>
      <c r="AY366" s="138">
        <f t="shared" si="410"/>
        <v>-70</v>
      </c>
      <c r="AZ366" s="138">
        <f t="shared" si="410"/>
        <v>135</v>
      </c>
      <c r="BA366" s="138">
        <f t="shared" si="410"/>
        <v>101</v>
      </c>
      <c r="BB366" s="137">
        <f t="shared" si="410"/>
        <v>60</v>
      </c>
      <c r="BC366" s="138">
        <f t="shared" si="410"/>
        <v>-62</v>
      </c>
      <c r="BD366" s="138">
        <f t="shared" si="410"/>
        <v>-274</v>
      </c>
      <c r="BE366" s="138">
        <f t="shared" si="410"/>
        <v>86</v>
      </c>
      <c r="BF366" s="138">
        <f t="shared" si="410"/>
        <v>67</v>
      </c>
      <c r="BG366" s="137">
        <f t="shared" si="410"/>
        <v>-183</v>
      </c>
      <c r="BH366" s="138">
        <f t="shared" si="410"/>
        <v>-25</v>
      </c>
      <c r="BI366" s="138">
        <f t="shared" ref="BI366:CP366" si="411">SUM(BI131:BI136)</f>
        <v>-209</v>
      </c>
      <c r="BJ366" s="138">
        <f t="shared" si="411"/>
        <v>16</v>
      </c>
      <c r="BK366" s="138">
        <f t="shared" si="411"/>
        <v>125</v>
      </c>
      <c r="BL366" s="137">
        <f t="shared" si="411"/>
        <v>-93</v>
      </c>
      <c r="BM366" s="138">
        <f t="shared" si="411"/>
        <v>-147</v>
      </c>
      <c r="BN366" s="138">
        <f t="shared" si="411"/>
        <v>-170</v>
      </c>
      <c r="BO366" s="138">
        <f t="shared" si="411"/>
        <v>75</v>
      </c>
      <c r="BP366" s="138">
        <f t="shared" si="411"/>
        <v>17</v>
      </c>
      <c r="BQ366" s="137">
        <f t="shared" si="411"/>
        <v>-225</v>
      </c>
      <c r="BR366" s="138">
        <f t="shared" si="411"/>
        <v>-85</v>
      </c>
      <c r="BS366" s="138">
        <f t="shared" si="411"/>
        <v>-134</v>
      </c>
      <c r="BT366" s="138">
        <f t="shared" si="411"/>
        <v>-11.571322033779524</v>
      </c>
      <c r="BU366" s="138">
        <f t="shared" si="411"/>
        <v>119.19226884241252</v>
      </c>
      <c r="BV366" s="137">
        <f t="shared" si="411"/>
        <v>-111.37905319136701</v>
      </c>
      <c r="BW366" s="138">
        <f t="shared" si="411"/>
        <v>-152.51668907012015</v>
      </c>
      <c r="BX366" s="138">
        <f t="shared" si="411"/>
        <v>-50.395831228572987</v>
      </c>
      <c r="BY366" s="138">
        <f t="shared" si="411"/>
        <v>-14.307313570489924</v>
      </c>
      <c r="BZ366" s="138">
        <f t="shared" si="411"/>
        <v>127.57070159708618</v>
      </c>
      <c r="CA366" s="137">
        <f t="shared" si="411"/>
        <v>-89.649132272096892</v>
      </c>
      <c r="CB366" s="138">
        <f t="shared" si="411"/>
        <v>-150.69444324431714</v>
      </c>
      <c r="CC366" s="138">
        <f t="shared" si="411"/>
        <v>-51.357828303277188</v>
      </c>
      <c r="CD366" s="138">
        <f t="shared" si="411"/>
        <v>-15.506352204375119</v>
      </c>
      <c r="CE366" s="138">
        <f t="shared" si="411"/>
        <v>135.0478563907194</v>
      </c>
      <c r="CF366" s="137">
        <f t="shared" si="411"/>
        <v>-82.510767361250061</v>
      </c>
      <c r="CG366" s="138">
        <f t="shared" si="411"/>
        <v>-160.16851161833696</v>
      </c>
      <c r="CH366" s="138">
        <f t="shared" si="411"/>
        <v>-52.405035507380589</v>
      </c>
      <c r="CI366" s="138">
        <f t="shared" si="411"/>
        <v>-16.754526417721621</v>
      </c>
      <c r="CJ366" s="138">
        <f t="shared" si="411"/>
        <v>142.91379990972155</v>
      </c>
      <c r="CK366" s="137">
        <f t="shared" si="411"/>
        <v>-86.414273633717613</v>
      </c>
      <c r="CL366" s="138">
        <f t="shared" si="411"/>
        <v>-171.80870421668831</v>
      </c>
      <c r="CM366" s="138">
        <f t="shared" si="411"/>
        <v>-53.270808335006649</v>
      </c>
      <c r="CN366" s="138">
        <f t="shared" si="411"/>
        <v>-18.133252360798295</v>
      </c>
      <c r="CO366" s="138">
        <f t="shared" si="411"/>
        <v>151.07897539483542</v>
      </c>
      <c r="CP366" s="137">
        <f t="shared" si="411"/>
        <v>-92.133789517657817</v>
      </c>
    </row>
    <row r="367" spans="1:94" hidden="1" outlineLevel="1" x14ac:dyDescent="0.25">
      <c r="A367" s="335" t="s">
        <v>185</v>
      </c>
      <c r="AC367" s="137">
        <f t="shared" ref="AC367:BH367" si="412">AC140</f>
        <v>-49</v>
      </c>
      <c r="AD367" s="138">
        <f t="shared" si="412"/>
        <v>-6.8</v>
      </c>
      <c r="AE367" s="138">
        <f t="shared" si="412"/>
        <v>-5.6000000000000005</v>
      </c>
      <c r="AF367" s="138">
        <f t="shared" si="412"/>
        <v>-4.799999999999998</v>
      </c>
      <c r="AG367" s="138">
        <f t="shared" si="412"/>
        <v>-16.8</v>
      </c>
      <c r="AH367" s="137">
        <f t="shared" si="412"/>
        <v>-34</v>
      </c>
      <c r="AI367" s="138">
        <f t="shared" si="412"/>
        <v>-6.9</v>
      </c>
      <c r="AJ367" s="138">
        <f t="shared" si="412"/>
        <v>-8.1999999999999993</v>
      </c>
      <c r="AK367" s="138">
        <f t="shared" si="412"/>
        <v>-11.4</v>
      </c>
      <c r="AL367" s="138">
        <f t="shared" si="412"/>
        <v>-12.500000000000002</v>
      </c>
      <c r="AM367" s="137">
        <f t="shared" si="412"/>
        <v>-39</v>
      </c>
      <c r="AN367" s="139">
        <f t="shared" si="412"/>
        <v>-6.2</v>
      </c>
      <c r="AO367" s="138">
        <f t="shared" si="412"/>
        <v>-12.600000000000001</v>
      </c>
      <c r="AP367" s="138">
        <f t="shared" si="412"/>
        <v>-12.3</v>
      </c>
      <c r="AQ367" s="138">
        <f t="shared" si="412"/>
        <v>-26.900000000000002</v>
      </c>
      <c r="AR367" s="137">
        <f t="shared" si="412"/>
        <v>-58</v>
      </c>
      <c r="AS367" s="138">
        <f t="shared" si="412"/>
        <v>-17.399999999999999</v>
      </c>
      <c r="AT367" s="138">
        <f t="shared" si="412"/>
        <v>-21.300000000000004</v>
      </c>
      <c r="AU367" s="138">
        <f t="shared" si="412"/>
        <v>-20.399999999999999</v>
      </c>
      <c r="AV367" s="138">
        <f t="shared" si="412"/>
        <v>-35.9</v>
      </c>
      <c r="AW367" s="137">
        <f t="shared" si="412"/>
        <v>-95</v>
      </c>
      <c r="AX367" s="138">
        <f t="shared" si="412"/>
        <v>-25</v>
      </c>
      <c r="AY367" s="138">
        <f t="shared" si="412"/>
        <v>-35</v>
      </c>
      <c r="AZ367" s="138">
        <f t="shared" si="412"/>
        <v>-27</v>
      </c>
      <c r="BA367" s="138">
        <f t="shared" si="412"/>
        <v>-39</v>
      </c>
      <c r="BB367" s="137">
        <f t="shared" si="412"/>
        <v>-126</v>
      </c>
      <c r="BC367" s="138">
        <f t="shared" si="412"/>
        <v>-31</v>
      </c>
      <c r="BD367" s="138">
        <f t="shared" si="412"/>
        <v>-28</v>
      </c>
      <c r="BE367" s="138">
        <f t="shared" si="412"/>
        <v>-33</v>
      </c>
      <c r="BF367" s="138">
        <f t="shared" si="412"/>
        <v>-28</v>
      </c>
      <c r="BG367" s="137">
        <f t="shared" si="412"/>
        <v>-120</v>
      </c>
      <c r="BH367" s="138">
        <f t="shared" si="412"/>
        <v>-39</v>
      </c>
      <c r="BI367" s="138">
        <f t="shared" ref="BI367:CP367" si="413">BI140</f>
        <v>-26</v>
      </c>
      <c r="BJ367" s="138">
        <f t="shared" si="413"/>
        <v>-23</v>
      </c>
      <c r="BK367" s="138">
        <f t="shared" si="413"/>
        <v>-20</v>
      </c>
      <c r="BL367" s="137">
        <f t="shared" si="413"/>
        <v>-108</v>
      </c>
      <c r="BM367" s="138">
        <f t="shared" si="413"/>
        <v>-16</v>
      </c>
      <c r="BN367" s="138">
        <f t="shared" si="413"/>
        <v>-20</v>
      </c>
      <c r="BO367" s="138">
        <f t="shared" si="413"/>
        <v>-35</v>
      </c>
      <c r="BP367" s="138">
        <f t="shared" si="413"/>
        <v>-41</v>
      </c>
      <c r="BQ367" s="137">
        <f t="shared" si="413"/>
        <v>-112</v>
      </c>
      <c r="BR367" s="138">
        <f t="shared" si="413"/>
        <v>-28</v>
      </c>
      <c r="BS367" s="138">
        <f t="shared" si="413"/>
        <v>-36</v>
      </c>
      <c r="BT367" s="138">
        <f t="shared" si="413"/>
        <v>-39.0625</v>
      </c>
      <c r="BU367" s="138">
        <f t="shared" si="413"/>
        <v>-21.9375</v>
      </c>
      <c r="BV367" s="137">
        <f t="shared" si="413"/>
        <v>-125</v>
      </c>
      <c r="BW367" s="138">
        <f t="shared" si="413"/>
        <v>-26.88</v>
      </c>
      <c r="BX367" s="138">
        <f t="shared" si="413"/>
        <v>-34.56</v>
      </c>
      <c r="BY367" s="138">
        <f t="shared" si="413"/>
        <v>-37.5</v>
      </c>
      <c r="BZ367" s="138">
        <f t="shared" si="413"/>
        <v>-21.06</v>
      </c>
      <c r="CA367" s="137">
        <f t="shared" si="413"/>
        <v>-120</v>
      </c>
      <c r="CB367" s="138">
        <f t="shared" si="413"/>
        <v>-25.76</v>
      </c>
      <c r="CC367" s="138">
        <f t="shared" si="413"/>
        <v>-33.120000000000005</v>
      </c>
      <c r="CD367" s="138">
        <f t="shared" si="413"/>
        <v>-35.9375</v>
      </c>
      <c r="CE367" s="138">
        <f t="shared" si="413"/>
        <v>-20.182499999999994</v>
      </c>
      <c r="CF367" s="137">
        <f t="shared" si="413"/>
        <v>-115</v>
      </c>
      <c r="CG367" s="138">
        <f t="shared" si="413"/>
        <v>-25.76</v>
      </c>
      <c r="CH367" s="138">
        <f t="shared" si="413"/>
        <v>-33.120000000000005</v>
      </c>
      <c r="CI367" s="138">
        <f t="shared" si="413"/>
        <v>-35.9375</v>
      </c>
      <c r="CJ367" s="138">
        <f t="shared" si="413"/>
        <v>-20.182499999999994</v>
      </c>
      <c r="CK367" s="137">
        <f t="shared" si="413"/>
        <v>-115</v>
      </c>
      <c r="CL367" s="138">
        <f t="shared" si="413"/>
        <v>-25.76</v>
      </c>
      <c r="CM367" s="138">
        <f t="shared" si="413"/>
        <v>-33.120000000000005</v>
      </c>
      <c r="CN367" s="138">
        <f t="shared" si="413"/>
        <v>-35.9375</v>
      </c>
      <c r="CO367" s="138">
        <f t="shared" si="413"/>
        <v>-20.182499999999994</v>
      </c>
      <c r="CP367" s="137">
        <f t="shared" si="413"/>
        <v>-115</v>
      </c>
    </row>
    <row r="368" spans="1:94" hidden="1" outlineLevel="1" x14ac:dyDescent="0.25">
      <c r="A368" s="335" t="s">
        <v>186</v>
      </c>
      <c r="AC368" s="137">
        <f t="shared" ref="AC368:BH368" si="414">AC206</f>
        <v>658.69999999999993</v>
      </c>
      <c r="AD368" s="138">
        <f t="shared" si="414"/>
        <v>628.80000000000007</v>
      </c>
      <c r="AE368" s="138">
        <f t="shared" si="414"/>
        <v>673.90000000000009</v>
      </c>
      <c r="AF368" s="138">
        <f t="shared" si="414"/>
        <v>525</v>
      </c>
      <c r="AG368" s="138">
        <f t="shared" si="414"/>
        <v>467</v>
      </c>
      <c r="AH368" s="137">
        <f t="shared" si="414"/>
        <v>467</v>
      </c>
      <c r="AI368" s="138">
        <f t="shared" si="414"/>
        <v>456.8</v>
      </c>
      <c r="AJ368" s="138">
        <f t="shared" si="414"/>
        <v>482.00000000000006</v>
      </c>
      <c r="AK368" s="138">
        <f t="shared" si="414"/>
        <v>478.20000000000005</v>
      </c>
      <c r="AL368" s="138">
        <f t="shared" si="414"/>
        <v>192</v>
      </c>
      <c r="AM368" s="137">
        <f t="shared" si="414"/>
        <v>192</v>
      </c>
      <c r="AN368" s="139">
        <f t="shared" si="414"/>
        <v>207</v>
      </c>
      <c r="AO368" s="138">
        <f t="shared" si="414"/>
        <v>377.6</v>
      </c>
      <c r="AP368" s="138">
        <f t="shared" si="414"/>
        <v>261.60000000000002</v>
      </c>
      <c r="AQ368" s="138">
        <f t="shared" si="414"/>
        <v>168</v>
      </c>
      <c r="AR368" s="137">
        <f t="shared" si="414"/>
        <v>168</v>
      </c>
      <c r="AS368" s="138">
        <f t="shared" si="414"/>
        <v>140.60000000000002</v>
      </c>
      <c r="AT368" s="138">
        <f t="shared" si="414"/>
        <v>132.89999999999998</v>
      </c>
      <c r="AU368" s="138">
        <f t="shared" si="414"/>
        <v>863.5</v>
      </c>
      <c r="AV368" s="138">
        <f t="shared" si="414"/>
        <v>798</v>
      </c>
      <c r="AW368" s="137">
        <f t="shared" si="414"/>
        <v>798</v>
      </c>
      <c r="AX368" s="138">
        <f t="shared" si="414"/>
        <v>786</v>
      </c>
      <c r="AY368" s="138">
        <f t="shared" si="414"/>
        <v>812</v>
      </c>
      <c r="AZ368" s="138">
        <f t="shared" si="414"/>
        <v>719</v>
      </c>
      <c r="BA368" s="138">
        <f t="shared" si="414"/>
        <v>568</v>
      </c>
      <c r="BB368" s="137">
        <f t="shared" si="414"/>
        <v>568</v>
      </c>
      <c r="BC368" s="138">
        <f t="shared" si="414"/>
        <v>551</v>
      </c>
      <c r="BD368" s="138">
        <f t="shared" si="414"/>
        <v>887</v>
      </c>
      <c r="BE368" s="138">
        <f t="shared" si="414"/>
        <v>756</v>
      </c>
      <c r="BF368" s="138">
        <f t="shared" si="414"/>
        <v>813</v>
      </c>
      <c r="BG368" s="137">
        <f t="shared" si="414"/>
        <v>813</v>
      </c>
      <c r="BH368" s="138">
        <f t="shared" si="414"/>
        <v>998</v>
      </c>
      <c r="BI368" s="138">
        <f t="shared" ref="BI368:CP368" si="415">BI206</f>
        <v>1587</v>
      </c>
      <c r="BJ368" s="138">
        <f t="shared" si="415"/>
        <v>1421</v>
      </c>
      <c r="BK368" s="138">
        <f t="shared" si="415"/>
        <v>1238</v>
      </c>
      <c r="BL368" s="137">
        <f t="shared" si="415"/>
        <v>1238</v>
      </c>
      <c r="BM368" s="138">
        <f t="shared" si="415"/>
        <v>1782</v>
      </c>
      <c r="BN368" s="138">
        <f t="shared" si="415"/>
        <v>2043</v>
      </c>
      <c r="BO368" s="138">
        <f t="shared" si="415"/>
        <v>2029</v>
      </c>
      <c r="BP368" s="138">
        <f t="shared" si="415"/>
        <v>1967</v>
      </c>
      <c r="BQ368" s="137">
        <f t="shared" si="415"/>
        <v>1967</v>
      </c>
      <c r="BR368" s="138">
        <f t="shared" si="415"/>
        <v>1990</v>
      </c>
      <c r="BS368" s="138">
        <f t="shared" si="415"/>
        <v>1992</v>
      </c>
      <c r="BT368" s="138">
        <f t="shared" ca="1" si="415"/>
        <v>2057.1912431460432</v>
      </c>
      <c r="BU368" s="138">
        <f t="shared" ca="1" si="415"/>
        <v>1996.5943781233291</v>
      </c>
      <c r="BV368" s="137">
        <f t="shared" ca="1" si="415"/>
        <v>1996.5943781233291</v>
      </c>
      <c r="BW368" s="138">
        <f t="shared" ca="1" si="415"/>
        <v>2163.9320407135538</v>
      </c>
      <c r="BX368" s="138">
        <f t="shared" ca="1" si="415"/>
        <v>2217.2358579769898</v>
      </c>
      <c r="BY368" s="138">
        <f t="shared" ca="1" si="415"/>
        <v>2256.029685993135</v>
      </c>
      <c r="BZ368" s="138">
        <f t="shared" ca="1" si="415"/>
        <v>2148.620292336188</v>
      </c>
      <c r="CA368" s="137">
        <f t="shared" ca="1" si="415"/>
        <v>2148.620292336188</v>
      </c>
      <c r="CB368" s="138">
        <f t="shared" ca="1" si="415"/>
        <v>2309.3207293235428</v>
      </c>
      <c r="CC368" s="138">
        <f t="shared" ca="1" si="415"/>
        <v>2357.9508434608333</v>
      </c>
      <c r="CD368" s="138">
        <f t="shared" ca="1" si="415"/>
        <v>2390.662581970566</v>
      </c>
      <c r="CE368" s="138">
        <f t="shared" ca="1" si="415"/>
        <v>2270.8680453766437</v>
      </c>
      <c r="CF368" s="137">
        <f t="shared" ca="1" si="415"/>
        <v>2270.8680453766437</v>
      </c>
      <c r="CG368" s="138">
        <f t="shared" ca="1" si="415"/>
        <v>2436.2745955610944</v>
      </c>
      <c r="CH368" s="138">
        <f t="shared" ca="1" si="415"/>
        <v>2480.0134140429509</v>
      </c>
      <c r="CI368" s="138">
        <f t="shared" ca="1" si="415"/>
        <v>2506.2691850971605</v>
      </c>
      <c r="CJ368" s="138">
        <f t="shared" ca="1" si="415"/>
        <v>2372.3096981210474</v>
      </c>
      <c r="CK368" s="137">
        <f t="shared" ca="1" si="415"/>
        <v>2372.3096981210474</v>
      </c>
      <c r="CL368" s="138">
        <f t="shared" ca="1" si="415"/>
        <v>2544.4458666451992</v>
      </c>
      <c r="CM368" s="138">
        <f t="shared" ca="1" si="415"/>
        <v>2583.1391235118053</v>
      </c>
      <c r="CN368" s="138">
        <f t="shared" ca="1" si="415"/>
        <v>2602.9882316422863</v>
      </c>
      <c r="CO368" s="138">
        <f t="shared" ca="1" si="415"/>
        <v>2454.3126237571769</v>
      </c>
      <c r="CP368" s="137">
        <f t="shared" ca="1" si="415"/>
        <v>2454.3126237571769</v>
      </c>
    </row>
    <row r="369" spans="1:94" hidden="1" outlineLevel="1" x14ac:dyDescent="0.25">
      <c r="A369" s="335" t="s">
        <v>170</v>
      </c>
      <c r="AC369" s="137">
        <f t="shared" ref="AC369:BH369" si="416">AC56</f>
        <v>568.125</v>
      </c>
      <c r="AD369" s="138">
        <f t="shared" si="416"/>
        <v>563.51625000000001</v>
      </c>
      <c r="AE369" s="138">
        <f t="shared" si="416"/>
        <v>557.60249999999996</v>
      </c>
      <c r="AF369" s="138">
        <f t="shared" si="416"/>
        <v>553.28250000000003</v>
      </c>
      <c r="AG369" s="138">
        <f t="shared" si="416"/>
        <v>553.27874999999995</v>
      </c>
      <c r="AH369" s="137">
        <f t="shared" si="416"/>
        <v>556.91999999999996</v>
      </c>
      <c r="AI369" s="138">
        <f t="shared" si="416"/>
        <v>552.69374999999991</v>
      </c>
      <c r="AJ369" s="138">
        <f t="shared" si="416"/>
        <v>549.39</v>
      </c>
      <c r="AK369" s="138">
        <f t="shared" si="416"/>
        <v>547.65</v>
      </c>
      <c r="AL369" s="138">
        <f t="shared" si="416"/>
        <v>547.4887500000001</v>
      </c>
      <c r="AM369" s="137">
        <f t="shared" si="416"/>
        <v>549.42750000000001</v>
      </c>
      <c r="AN369" s="139">
        <f t="shared" si="416"/>
        <v>547.00125000000003</v>
      </c>
      <c r="AO369" s="138">
        <f t="shared" si="416"/>
        <v>540.69000000000005</v>
      </c>
      <c r="AP369" s="138">
        <f t="shared" si="416"/>
        <v>536.25</v>
      </c>
      <c r="AQ369" s="138">
        <f t="shared" si="416"/>
        <v>536.52375000000006</v>
      </c>
      <c r="AR369" s="137">
        <f t="shared" si="416"/>
        <v>540.20625000000007</v>
      </c>
      <c r="AS369" s="138">
        <f t="shared" si="416"/>
        <v>536.995</v>
      </c>
      <c r="AT369" s="138">
        <f t="shared" si="416"/>
        <v>537.22749999999996</v>
      </c>
      <c r="AU369" s="138">
        <f t="shared" si="416"/>
        <v>537.62749999999994</v>
      </c>
      <c r="AV369" s="138">
        <f t="shared" si="416"/>
        <v>538.03</v>
      </c>
      <c r="AW369" s="137">
        <f t="shared" si="416"/>
        <v>537.46499999999992</v>
      </c>
      <c r="AX369" s="138">
        <f t="shared" si="416"/>
        <v>538.29999999999995</v>
      </c>
      <c r="AY369" s="138">
        <f t="shared" si="416"/>
        <v>538.01</v>
      </c>
      <c r="AZ369" s="138">
        <f t="shared" si="416"/>
        <v>536.98</v>
      </c>
      <c r="BA369" s="138">
        <f t="shared" si="416"/>
        <v>537.34500000000003</v>
      </c>
      <c r="BB369" s="137">
        <f t="shared" si="416"/>
        <v>537.70499999999993</v>
      </c>
      <c r="BC369" s="138">
        <f t="shared" si="416"/>
        <v>537.54750000000001</v>
      </c>
      <c r="BD369" s="138">
        <f t="shared" si="416"/>
        <v>533.92250000000001</v>
      </c>
      <c r="BE369" s="138">
        <f t="shared" si="416"/>
        <v>531.51499999999999</v>
      </c>
      <c r="BF369" s="138">
        <f t="shared" si="416"/>
        <v>528.21</v>
      </c>
      <c r="BG369" s="137">
        <f t="shared" si="416"/>
        <v>532.70749999999998</v>
      </c>
      <c r="BH369" s="138">
        <f t="shared" si="416"/>
        <v>521.59500000000003</v>
      </c>
      <c r="BI369" s="138">
        <f t="shared" ref="BI369:CP369" si="417">BI56</f>
        <v>513.57749999999999</v>
      </c>
      <c r="BJ369" s="138">
        <f t="shared" si="417"/>
        <v>505.97499999999997</v>
      </c>
      <c r="BK369" s="138">
        <f t="shared" si="417"/>
        <v>501.26499999999999</v>
      </c>
      <c r="BL369" s="137">
        <f t="shared" si="417"/>
        <v>510.7</v>
      </c>
      <c r="BM369" s="138">
        <f t="shared" si="417"/>
        <v>495.01125000000002</v>
      </c>
      <c r="BN369" s="138">
        <f t="shared" si="417"/>
        <v>489.81</v>
      </c>
      <c r="BO369" s="138">
        <f t="shared" si="417"/>
        <v>483.95749999999998</v>
      </c>
      <c r="BP369" s="138">
        <f t="shared" si="417"/>
        <v>482.92374999999998</v>
      </c>
      <c r="BQ369" s="137">
        <f t="shared" si="417"/>
        <v>488.07625000000002</v>
      </c>
      <c r="BR369" s="138">
        <f t="shared" si="417"/>
        <v>482.98374999999999</v>
      </c>
      <c r="BS369" s="138">
        <f t="shared" si="417"/>
        <v>483.28375</v>
      </c>
      <c r="BT369" s="138">
        <f t="shared" si="417"/>
        <v>481.85593735471872</v>
      </c>
      <c r="BU369" s="138">
        <f t="shared" si="417"/>
        <v>478.99678220177117</v>
      </c>
      <c r="BV369" s="137">
        <f t="shared" si="417"/>
        <v>481.78005488912243</v>
      </c>
      <c r="BW369" s="138">
        <f t="shared" si="417"/>
        <v>476.4152816418337</v>
      </c>
      <c r="BX369" s="138">
        <f t="shared" si="417"/>
        <v>474.10733240505891</v>
      </c>
      <c r="BY369" s="138">
        <f t="shared" si="417"/>
        <v>471.83386025060099</v>
      </c>
      <c r="BZ369" s="138">
        <f t="shared" si="417"/>
        <v>469.59435566492817</v>
      </c>
      <c r="CA369" s="137">
        <f t="shared" si="417"/>
        <v>472.98770749060543</v>
      </c>
      <c r="CB369" s="138">
        <f t="shared" si="417"/>
        <v>467.38831666426529</v>
      </c>
      <c r="CC369" s="138">
        <f t="shared" si="417"/>
        <v>465.21524868331659</v>
      </c>
      <c r="CD369" s="138">
        <f t="shared" si="417"/>
        <v>463.07466446563313</v>
      </c>
      <c r="CE369" s="138">
        <f t="shared" si="417"/>
        <v>460.9660839556002</v>
      </c>
      <c r="CF369" s="137">
        <f t="shared" si="417"/>
        <v>464.1610784422038</v>
      </c>
      <c r="CG369" s="138">
        <f t="shared" si="417"/>
        <v>458.88903419202097</v>
      </c>
      <c r="CH369" s="138">
        <f t="shared" si="417"/>
        <v>456.84304920327298</v>
      </c>
      <c r="CI369" s="138">
        <f t="shared" si="417"/>
        <v>454.82766990401387</v>
      </c>
      <c r="CJ369" s="138">
        <f t="shared" si="417"/>
        <v>452.84244399341378</v>
      </c>
      <c r="CK369" s="137">
        <f t="shared" si="417"/>
        <v>455.85054932318042</v>
      </c>
      <c r="CL369" s="138">
        <f t="shared" si="417"/>
        <v>450.88692585489144</v>
      </c>
      <c r="CM369" s="138">
        <f t="shared" si="417"/>
        <v>448.96067645733251</v>
      </c>
      <c r="CN369" s="138">
        <f t="shared" si="417"/>
        <v>447.06326325776706</v>
      </c>
      <c r="CO369" s="138">
        <f t="shared" si="417"/>
        <v>445.19426010548585</v>
      </c>
      <c r="CP369" s="137">
        <f t="shared" si="417"/>
        <v>448.02628141886925</v>
      </c>
    </row>
    <row r="370" spans="1:94" hidden="1" outlineLevel="1" x14ac:dyDescent="0.25">
      <c r="A370" s="336" t="s">
        <v>317</v>
      </c>
      <c r="AC370" s="137">
        <f>SUM(X81:X82)</f>
        <v>119</v>
      </c>
      <c r="AD370" s="138"/>
      <c r="AE370" s="138"/>
      <c r="AF370" s="138"/>
      <c r="AG370" s="138"/>
      <c r="AH370" s="137">
        <f>SUM(AC81:AC82)</f>
        <v>340.1</v>
      </c>
      <c r="AI370" s="138"/>
      <c r="AJ370" s="138"/>
      <c r="AK370" s="138"/>
      <c r="AL370" s="138"/>
      <c r="AM370" s="137">
        <f>SUM(AH81:AH82)</f>
        <v>232</v>
      </c>
      <c r="AN370" s="139"/>
      <c r="AO370" s="138"/>
      <c r="AP370" s="138"/>
      <c r="AQ370" s="138"/>
      <c r="AR370" s="137">
        <f>SUM(AM81:AM82)</f>
        <v>567</v>
      </c>
      <c r="AS370" s="138"/>
      <c r="AT370" s="138"/>
      <c r="AU370" s="138"/>
      <c r="AV370" s="138"/>
      <c r="AW370" s="137">
        <f>SUM(AR81:AR82)</f>
        <v>338</v>
      </c>
      <c r="AX370" s="138"/>
      <c r="AY370" s="138"/>
      <c r="AZ370" s="138"/>
      <c r="BA370" s="138"/>
      <c r="BB370" s="137">
        <f>SUM(AW81:AW82)</f>
        <v>204</v>
      </c>
      <c r="BC370" s="138"/>
      <c r="BD370" s="138"/>
      <c r="BE370" s="138"/>
      <c r="BF370" s="138"/>
      <c r="BG370" s="137">
        <f>SUM(BB81:BB82)</f>
        <v>437</v>
      </c>
      <c r="BH370" s="138"/>
      <c r="BI370" s="138"/>
      <c r="BJ370" s="138"/>
      <c r="BK370" s="138"/>
      <c r="BL370" s="137">
        <f>SUM(BG81:BG82)</f>
        <v>370</v>
      </c>
      <c r="BM370" s="138"/>
      <c r="BN370" s="138"/>
      <c r="BO370" s="138"/>
      <c r="BP370" s="138"/>
      <c r="BQ370" s="137">
        <f>SUM(BL81:BL82)</f>
        <v>263</v>
      </c>
      <c r="BR370" s="138"/>
      <c r="BS370" s="138"/>
      <c r="BT370" s="138"/>
      <c r="BU370" s="138"/>
      <c r="BV370" s="137">
        <f>SUM(BQ81:BQ82)</f>
        <v>182</v>
      </c>
      <c r="BW370" s="138"/>
      <c r="BX370" s="138"/>
      <c r="BY370" s="138"/>
      <c r="BZ370" s="138"/>
      <c r="CA370" s="137">
        <f ca="1">SUM(BV81:BV82)</f>
        <v>212</v>
      </c>
      <c r="CB370" s="138"/>
      <c r="CC370" s="138"/>
      <c r="CD370" s="138"/>
      <c r="CE370" s="138"/>
      <c r="CF370" s="137">
        <f ca="1">SUM(CA81:CA82)</f>
        <v>212</v>
      </c>
      <c r="CG370" s="138"/>
      <c r="CH370" s="138"/>
      <c r="CI370" s="138"/>
      <c r="CJ370" s="138"/>
      <c r="CK370" s="137">
        <f ca="1">SUM(CF81:CF82)</f>
        <v>212</v>
      </c>
      <c r="CL370" s="138"/>
      <c r="CM370" s="138"/>
      <c r="CN370" s="138"/>
      <c r="CO370" s="138"/>
      <c r="CP370" s="137">
        <f ca="1">SUM(CK81:CK82)</f>
        <v>212</v>
      </c>
    </row>
    <row r="371" spans="1:94" hidden="1" outlineLevel="1" x14ac:dyDescent="0.25"/>
    <row r="372" spans="1:94" hidden="1" collapsed="1" x14ac:dyDescent="0.25"/>
    <row r="373" spans="1:94" x14ac:dyDescent="0.25">
      <c r="A373" s="208" t="s">
        <v>340</v>
      </c>
    </row>
    <row r="374" spans="1:94" x14ac:dyDescent="0.25">
      <c r="A374" s="52" t="s">
        <v>171</v>
      </c>
      <c r="AS374" s="271">
        <v>0.1</v>
      </c>
      <c r="AT374" s="271">
        <v>0.08</v>
      </c>
      <c r="AU374" s="271">
        <v>0.06</v>
      </c>
      <c r="AV374" s="271"/>
      <c r="AW374" s="271">
        <v>0.08</v>
      </c>
      <c r="AX374" s="271"/>
      <c r="AY374" s="271"/>
      <c r="AZ374" s="271"/>
      <c r="BA374" s="271"/>
      <c r="BB374" s="271">
        <v>0.04</v>
      </c>
      <c r="BC374" s="271">
        <v>0</v>
      </c>
      <c r="BD374" s="271">
        <v>0.05</v>
      </c>
      <c r="BE374" s="271">
        <v>7.0000000000000007E-2</v>
      </c>
      <c r="BF374" s="271">
        <v>0.08</v>
      </c>
      <c r="BG374" s="271">
        <f>+BF374</f>
        <v>0.08</v>
      </c>
      <c r="BH374" s="154">
        <v>0.1</v>
      </c>
      <c r="BI374" s="271">
        <v>7.0000000000000007E-2</v>
      </c>
      <c r="BJ374" s="271">
        <v>7.0000000000000007E-2</v>
      </c>
      <c r="BK374" s="271">
        <v>0.06</v>
      </c>
      <c r="BM374" s="154">
        <v>0.05</v>
      </c>
      <c r="BN374" s="154">
        <v>0.05</v>
      </c>
      <c r="BO374" s="154">
        <v>0.04</v>
      </c>
      <c r="BP374" s="154">
        <v>0.04</v>
      </c>
      <c r="BR374" s="154">
        <v>0.05</v>
      </c>
      <c r="BS374" s="154">
        <v>0.06</v>
      </c>
    </row>
    <row r="375" spans="1:94" x14ac:dyDescent="0.25">
      <c r="A375" s="52" t="s">
        <v>331</v>
      </c>
      <c r="AM375" s="271"/>
      <c r="AN375" s="271"/>
      <c r="AO375" s="271"/>
      <c r="AP375" s="271"/>
      <c r="AQ375" s="271"/>
      <c r="AR375" s="271"/>
      <c r="AS375" s="271">
        <v>0.13</v>
      </c>
      <c r="AT375" s="271">
        <v>0.12</v>
      </c>
      <c r="AU375" s="271">
        <v>0.12</v>
      </c>
      <c r="AV375" s="271"/>
      <c r="AW375" s="271">
        <v>0.12</v>
      </c>
      <c r="AX375" s="271">
        <v>0.05</v>
      </c>
      <c r="AY375" s="271">
        <v>7.0000000000000007E-2</v>
      </c>
      <c r="AZ375" s="271"/>
      <c r="BA375" s="271"/>
      <c r="BB375" s="271">
        <v>0.09</v>
      </c>
      <c r="BC375" s="271">
        <v>0.15</v>
      </c>
      <c r="BD375" s="271">
        <v>0.08</v>
      </c>
      <c r="BE375" s="271">
        <v>0.06</v>
      </c>
      <c r="BF375" s="271">
        <v>0.09</v>
      </c>
      <c r="BG375" s="271">
        <f>+BF375</f>
        <v>0.09</v>
      </c>
      <c r="BH375" s="154">
        <v>0.11</v>
      </c>
      <c r="BI375" s="271">
        <v>0.08</v>
      </c>
      <c r="BJ375" s="271">
        <v>0.05</v>
      </c>
      <c r="BK375" s="271">
        <v>0.04</v>
      </c>
      <c r="BM375" s="154">
        <v>-0.05</v>
      </c>
      <c r="BN375" s="154">
        <v>-0.01</v>
      </c>
      <c r="BO375" s="154">
        <v>0.01</v>
      </c>
      <c r="BP375" s="154">
        <v>0.04</v>
      </c>
      <c r="BR375" s="154">
        <v>0.19</v>
      </c>
      <c r="BS375" s="154">
        <v>0.15</v>
      </c>
    </row>
    <row r="376" spans="1:94" x14ac:dyDescent="0.25">
      <c r="A376" s="52" t="s">
        <v>332</v>
      </c>
      <c r="AS376" s="271"/>
      <c r="AT376" s="271"/>
      <c r="AU376" s="271">
        <v>0.06</v>
      </c>
      <c r="AV376" s="271"/>
      <c r="AW376" s="271">
        <v>0.06</v>
      </c>
      <c r="AX376" s="271">
        <v>0.04</v>
      </c>
      <c r="AY376" s="271">
        <v>7.0000000000000007E-2</v>
      </c>
      <c r="AZ376" s="271"/>
      <c r="BA376" s="271"/>
      <c r="BB376" s="271">
        <v>0.06</v>
      </c>
      <c r="BC376" s="271">
        <v>-0.01</v>
      </c>
      <c r="BD376" s="271">
        <v>0.04</v>
      </c>
      <c r="BE376" s="271">
        <v>0.04</v>
      </c>
      <c r="BF376" s="271">
        <v>0.04</v>
      </c>
      <c r="BG376" s="271">
        <f>+BF376</f>
        <v>0.04</v>
      </c>
      <c r="BH376" s="154">
        <v>0.05</v>
      </c>
      <c r="BI376" s="271">
        <v>0.06</v>
      </c>
      <c r="BJ376" s="271">
        <v>0.05</v>
      </c>
      <c r="BK376" s="271">
        <v>0.06</v>
      </c>
      <c r="BM376" s="154">
        <v>0.05</v>
      </c>
      <c r="BN376" s="154">
        <v>0.02</v>
      </c>
      <c r="BO376" s="154">
        <v>0.03</v>
      </c>
      <c r="BP376" s="154">
        <v>0.04</v>
      </c>
      <c r="BR376" s="154">
        <v>0</v>
      </c>
      <c r="BS376" s="154">
        <v>0.05</v>
      </c>
    </row>
    <row r="378" spans="1:94" x14ac:dyDescent="0.25">
      <c r="A378" s="52" t="s">
        <v>334</v>
      </c>
      <c r="AY378" s="106" t="s">
        <v>335</v>
      </c>
      <c r="BB378" s="271">
        <v>0.13</v>
      </c>
      <c r="BC378" s="351">
        <v>0.22</v>
      </c>
      <c r="BD378" s="352" t="s">
        <v>296</v>
      </c>
      <c r="BE378" s="352" t="s">
        <v>297</v>
      </c>
      <c r="BF378" s="351">
        <v>0.05</v>
      </c>
      <c r="BG378" s="271">
        <f>+BF378</f>
        <v>0.05</v>
      </c>
      <c r="BH378" s="271">
        <v>-0.18</v>
      </c>
      <c r="BI378" s="271">
        <v>-0.14000000000000001</v>
      </c>
      <c r="BJ378" s="271">
        <v>-0.13</v>
      </c>
      <c r="BK378" s="271">
        <v>-0.12</v>
      </c>
      <c r="BM378" s="271">
        <v>0.12</v>
      </c>
      <c r="BN378" s="271">
        <v>0.04</v>
      </c>
      <c r="BO378" s="271">
        <v>7.0000000000000007E-2</v>
      </c>
      <c r="BP378" s="271">
        <v>7.0000000000000007E-2</v>
      </c>
      <c r="BR378" s="271">
        <v>0.12</v>
      </c>
      <c r="BS378" s="271">
        <v>0.11</v>
      </c>
    </row>
    <row r="379" spans="1:94" x14ac:dyDescent="0.25">
      <c r="A379" s="208" t="s">
        <v>341</v>
      </c>
    </row>
    <row r="380" spans="1:94" x14ac:dyDescent="0.25">
      <c r="A380" s="52" t="str">
        <f>+A374</f>
        <v>US</v>
      </c>
      <c r="BB380" s="271">
        <f t="shared" ref="BB380:BB382" si="418">+BB374</f>
        <v>0.04</v>
      </c>
      <c r="BC380" s="154">
        <f>BC$350*BC374</f>
        <v>0</v>
      </c>
      <c r="BD380" s="154">
        <f>(BD374-(BC$351*BC380))/BD$351</f>
        <v>9.0572687224669601E-2</v>
      </c>
      <c r="BE380" s="316">
        <f>(BE374-(BC380*BC$352)-(BD$352*BD380))/BE$352</f>
        <v>0.10762122598353159</v>
      </c>
      <c r="BF380" s="316">
        <f>(BF374-(BC380*BC$353)-(BD380*BD$353)-(BE$353*BE380))/BF$353</f>
        <v>0.1132523759239704</v>
      </c>
      <c r="BH380" s="316">
        <f>BH$350*BH374</f>
        <v>0.1</v>
      </c>
      <c r="BI380" s="154">
        <f>(BI374-(BH$351*BH380))/BI$351</f>
        <v>4.5364963503649644E-2</v>
      </c>
      <c r="BJ380" s="316">
        <f>(BJ374-(BH380*BH$352)-(BI$352*BI380))/BJ$352</f>
        <v>6.9999999999999993E-2</v>
      </c>
      <c r="BK380" s="316">
        <f>(BK374-(BH380*BH$353)-(BI380*BI$353)-(BJ$353*BJ380))/BK$353</f>
        <v>2.6998928188638797E-2</v>
      </c>
      <c r="BM380" s="316">
        <f>BM$350*BM374</f>
        <v>0.05</v>
      </c>
      <c r="BN380" s="271">
        <v>0.06</v>
      </c>
      <c r="BO380" s="316">
        <v>0.03</v>
      </c>
      <c r="BP380" s="316">
        <v>0.01</v>
      </c>
      <c r="BR380" s="316">
        <v>0.05</v>
      </c>
      <c r="BS380" s="154">
        <f>(BS374-(BR$351*BR380))/BS$351</f>
        <v>6.7967409948542015E-2</v>
      </c>
    </row>
    <row r="381" spans="1:94" x14ac:dyDescent="0.25">
      <c r="A381" s="52" t="str">
        <f>+A375</f>
        <v>EM</v>
      </c>
      <c r="BB381" s="271">
        <f t="shared" si="418"/>
        <v>0.09</v>
      </c>
      <c r="BC381" s="154">
        <f>BC$350*BC375</f>
        <v>0.15</v>
      </c>
      <c r="BD381" s="154">
        <f>(BD375-(BC$351*BC381))/BD$351</f>
        <v>2.3198237885462561E-2</v>
      </c>
      <c r="BE381" s="316">
        <f>(BE375-(BC381*BC$352)-(BD$352*BD381))/BE$352</f>
        <v>2.2378774016468445E-2</v>
      </c>
      <c r="BF381" s="316">
        <f>(BF375-(BC381*BC$353)-(BD381*BD$353)-(BE$353*BE381))/BF$353</f>
        <v>0.18975712777191125</v>
      </c>
      <c r="BH381" s="316">
        <f>BH$350*BH375</f>
        <v>0.11</v>
      </c>
      <c r="BI381" s="154">
        <f>(BI375-(BH$351*BH381))/BI$351</f>
        <v>5.5364963503649639E-2</v>
      </c>
      <c r="BJ381" s="363">
        <v>0.01</v>
      </c>
      <c r="BK381" s="363">
        <v>0.01</v>
      </c>
      <c r="BM381" s="316">
        <f>BM$350*BM375</f>
        <v>-0.05</v>
      </c>
      <c r="BN381" s="271">
        <v>0.03</v>
      </c>
      <c r="BO381" s="316">
        <v>0.05</v>
      </c>
      <c r="BP381" s="316">
        <v>0.12</v>
      </c>
      <c r="BR381" s="316">
        <v>0.19</v>
      </c>
      <c r="BS381" s="154">
        <f>(BS375-(BR$351*BR381))/BS$351</f>
        <v>0.1181303602058319</v>
      </c>
    </row>
    <row r="382" spans="1:94" x14ac:dyDescent="0.25">
      <c r="A382" s="52" t="str">
        <f>+A376</f>
        <v>Developed Markets (ex US)</v>
      </c>
      <c r="BB382" s="271">
        <f t="shared" si="418"/>
        <v>0.06</v>
      </c>
      <c r="BC382" s="154">
        <f>BC$350*BC376</f>
        <v>-0.01</v>
      </c>
      <c r="BD382" s="154">
        <f>(BD376-(BC$351*BC382))/BD$351</f>
        <v>8.0572687224669606E-2</v>
      </c>
      <c r="BE382" s="316">
        <f>(BE376-(BC382*BC$352)-(BD$352*BD382))/BE$352</f>
        <v>0.04</v>
      </c>
      <c r="BF382" s="316">
        <f>(BF376-(BC382*BC$353)-(BD382*BD$353)-(BE$353*BE382))/BF$353</f>
        <v>4.0000000000000008E-2</v>
      </c>
      <c r="BH382" s="316">
        <f>BH$350*BH376</f>
        <v>0.05</v>
      </c>
      <c r="BI382" s="154">
        <f>(BI376-(BH$351*BH382))/BI$351</f>
        <v>6.8211678832116776E-2</v>
      </c>
      <c r="BJ382" s="316">
        <f>(BJ376-(BH382*BH$352)-(BI$352*BI382))/BJ$352</f>
        <v>3.1569713758079425E-2</v>
      </c>
      <c r="BK382" s="316">
        <f>(BK376-(BH382*BH$353)-(BI382*BI$353)-(BJ$353*BJ382))/BK$353</f>
        <v>9.3001071811361205E-2</v>
      </c>
      <c r="BM382" s="316">
        <f>BM$350*BM376</f>
        <v>0.05</v>
      </c>
      <c r="BN382" s="271">
        <v>0</v>
      </c>
      <c r="BO382" s="316">
        <v>0.04</v>
      </c>
      <c r="BP382" s="316">
        <v>7.0000000000000007E-2</v>
      </c>
      <c r="BR382" s="316">
        <v>0</v>
      </c>
      <c r="BS382" s="154">
        <f>(BS376-(BR$351*BR382))/BS$351</f>
        <v>8.9837049742710132E-2</v>
      </c>
    </row>
    <row r="383" spans="1:94" x14ac:dyDescent="0.25">
      <c r="A383" s="52" t="s">
        <v>334</v>
      </c>
      <c r="BM383" s="271">
        <f>+BM378</f>
        <v>0.12</v>
      </c>
      <c r="BN383" s="271">
        <f>+BN378*2-BM378</f>
        <v>-3.9999999999999994E-2</v>
      </c>
      <c r="BO383" s="316">
        <v>0.13</v>
      </c>
      <c r="BP383" s="316">
        <v>0.1</v>
      </c>
      <c r="BR383" s="271">
        <v>0.12</v>
      </c>
      <c r="BS383" s="154">
        <f>(BS378-(BR$351*BR383))/BS$351</f>
        <v>0.10203259005145798</v>
      </c>
    </row>
    <row r="385" spans="1:7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</row>
    <row r="386" spans="1:7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</row>
    <row r="387" spans="1:7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</row>
    <row r="388" spans="1:7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</row>
    <row r="389" spans="1:7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</row>
    <row r="390" spans="1:7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</row>
    <row r="391" spans="1:7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</row>
    <row r="392" spans="1:7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</row>
    <row r="393" spans="1:7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</row>
    <row r="394" spans="1:7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</row>
    <row r="395" spans="1:7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</row>
    <row r="396" spans="1:7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</row>
    <row r="397" spans="1:7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</row>
    <row r="398" spans="1:7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</row>
    <row r="399" spans="1:71" ht="14.4" x14ac:dyDescent="0.3">
      <c r="BE399"/>
      <c r="BF399"/>
      <c r="BG399" s="359"/>
      <c r="BH399"/>
      <c r="BI399"/>
      <c r="BJ399"/>
    </row>
    <row r="400" spans="1:71" x14ac:dyDescent="0.25">
      <c r="BE400"/>
      <c r="BF400"/>
      <c r="BG400" s="357"/>
      <c r="BH400"/>
      <c r="BI400"/>
      <c r="BJ400"/>
    </row>
    <row r="401" spans="57:62" x14ac:dyDescent="0.25">
      <c r="BE401"/>
      <c r="BF401"/>
      <c r="BG401"/>
      <c r="BH401"/>
      <c r="BI401"/>
      <c r="BJ401"/>
    </row>
    <row r="402" spans="57:62" ht="14.4" x14ac:dyDescent="0.3">
      <c r="BE402"/>
      <c r="BF402"/>
      <c r="BG402" s="358"/>
      <c r="BH402"/>
      <c r="BI402"/>
      <c r="BJ402"/>
    </row>
    <row r="403" spans="57:62" x14ac:dyDescent="0.25">
      <c r="BE403"/>
      <c r="BF403"/>
      <c r="BG403" s="357"/>
      <c r="BH403"/>
      <c r="BI403"/>
      <c r="BJ403"/>
    </row>
    <row r="404" spans="57:62" x14ac:dyDescent="0.25">
      <c r="BE404"/>
      <c r="BF404"/>
      <c r="BG404"/>
      <c r="BH404"/>
      <c r="BI404"/>
      <c r="BJ404"/>
    </row>
    <row r="405" spans="57:62" x14ac:dyDescent="0.25">
      <c r="BE405"/>
      <c r="BF405"/>
      <c r="BG405" s="360"/>
      <c r="BH405"/>
      <c r="BI405"/>
      <c r="BJ405"/>
    </row>
    <row r="407" spans="57:62" x14ac:dyDescent="0.25">
      <c r="BG407" s="244"/>
    </row>
    <row r="408" spans="57:62" x14ac:dyDescent="0.25">
      <c r="BG408" s="21"/>
    </row>
    <row r="409" spans="57:62" x14ac:dyDescent="0.25">
      <c r="BG409" s="361"/>
    </row>
    <row r="410" spans="57:62" x14ac:dyDescent="0.25">
      <c r="BG410" s="130"/>
    </row>
    <row r="412" spans="57:62" x14ac:dyDescent="0.25">
      <c r="BG412" s="361"/>
    </row>
    <row r="413" spans="57:62" x14ac:dyDescent="0.25">
      <c r="BG413" s="130"/>
    </row>
  </sheetData>
  <phoneticPr fontId="3" type="noConversion"/>
  <pageMargins left="0.75" right="0.75" top="1" bottom="1" header="0.5" footer="0.5"/>
  <pageSetup scale="66" fitToHeight="99" orientation="landscape" r:id="rId1"/>
  <headerFooter alignWithMargins="0"/>
  <rowBreaks count="2" manualBreakCount="2">
    <brk id="77" max="48" man="1"/>
    <brk id="121" max="48" man="1"/>
  </rowBreaks>
  <ignoredErrors>
    <ignoredError sqref="S214:AC217 AH226:AH228 AH131:AH135 AH129 AH136 S129:AC135 X136:AC136 S226:AC228 AM43:AM45 AM36 AM213:AM217 AR172 AM37:AM42 AR143:AR145 AR127:AR136 AM143:AM145 AR31:AR32 AN104:AN105 AM11:AM12 AP194 AM226:AW228 S213:AC213 S218:AC225 AM154:AM156 BA110:BA112 BG147 AS34 AR14:AR15 AN194 AV12 AL182 AU191 AS12 AQ20 AL194 AO127 BB49:BB50 AL191 AW155:AW156 AN127 AN130:AN136 AL185 AL187:AL189 AS150 AR63:AW63 AQ45 BB127:BB135 AP34 BB11 AU34 AR17 AP45 AS114 AQ12 AT85 AS130:AS136 AN45 AV110:AV112 AQ143:AQ145 BG143 AO152 AT110:AT112 BA46 AM117 AQ34 AV114 AO12 AN12 AP12 AN187:AN189 AR11:AR12 AV27 AV194 AM182:AM194 AV29 AP191 AN191 AN155:AN156 AO143:AO145 AN152 AQ147 AP155:AP156 AN182 AO155:AO156 AP182 AR38:AR45 AQ29 AP29 AS29 AU29 AV24 AN85 AN29 AM82:AM85 AO45 AM99 AX101 AN101 AO194 AO85 AP85 AQ150 AS87 AY217 AM50:AV50 AT150 BB226:BB228 AM127:AM136 AO104:AO105 AQ24 AO130:AO136 AN147 AN150 AN143:AN145 AP152 AO29 AP104:AP105 AR154:AR156 AP130:AP136 AO147 AO150 AQ130 BB100:BB101 AV155:AV156 AV87 AP143:AP145 AP147 AP150 AQ152 AP187:AP189 AQ27 BB144:BB145 AS45 AU104:AU105 AX89:AX90 AM98 AM100:AM101 AQ85 AM102 AY89:AY90 AQ155:AQ156 AQ132:AQ135 BB90:BB93 AM103:AM107 AV104:AV105 AX85 AU89:AU90 AS101 AS89:AS90 AV135:AV136 AU194 AU87 AT89:AT90 AV85 AS110:AS112 AT87 AS155:AS156 AQ104:AQ105 AR182:AR194 AS147 AT152 AW182:AW194 AQ194 AM86 AS85 AR82:AR85 AM108 AX104:AX105 AZ89:AZ90 AT104:AT105 AS105 AV89:AV90 AR117 AR98:AR107 AT147 AU85 AT45 AW100:AW101 AY104:AY105 AM109 AR86:AR97 AR108 AW176:AW181 AU182:AV182 AR176:AR181 AP177:AP181 AN177:AN181 AM176:AM181 AU177:AU181 AL177:AL181 AH195:AH198 AH182:AH194 AM195:AM198 AH214:AH217 AH213 AR214:AR217 AR47 AR36 AS17 AM146:AM152 AV20 AU12 BB155:BB156 AU187 AT155:AT156 AW140 BB102 AT12 AT29 AS144:AS145 AT114 AR146:AR152 AT130:AT136 AS152 AT143:AT145 AU110:AU112 AU45 BA90 AY85 BG127:BG128 AW146:AW147 BA38:BA42 AV144:AV145 AV150 AV177:AV181 AU185 AV187 AU189 AV191 BB137 AV45 AV130:AV133 AX217 AZ104:AZ105 AW149:AW152 AW143:AW145 AW130:AW136 AV147 AV185 AV189 BA87 BB45:BB46 BB37:BB43 AZ110:AZ112 BB34 AW214:AW217 AW103:AW105 AX214:AX215 AW83:AW85 AX114 AW86 AW87:AW93 AZ85 AX87 AW99 AW102 AZ217 AZ87 BA104:BA105 AW111:AW117 BA217 AY214:AY215 AW171 AX110:AX112 AY114 BA85 AY87 BB99 BB108 BB147:BB152 AZ214:AZ215 AY110:AY112 BB103:BB107 BB110:BB117 BB214:BB217 BA214:BA215 BB171 BG156 BG150 BG152:BG153 BG130 BG132:BG134 BG136 BA114 AZ114 AN31:AN34 AO31:AO34 AP31:AP32 AQ31:AQ32 AS31:AS32 AT31:AT34 AU31:AU32 AV31:AV34 AS36:AS42 AP36:AP42 AU36:AU42 AQ36:AQ42 AN36:AN42 AO36:AO42 AT36:AT42 AV36:AV42 BQ103:BQ104 BQ115:BQ117 BR97 BR113 AM14:AM16 AV14:AV17 AS14:AS15 AQ14:AQ17 AO14:AO17 AN14:AN17 AP14:AP17 AU14:AU17 AT14:AT17" formula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3"/>
  <sheetViews>
    <sheetView workbookViewId="0">
      <selection activeCell="B42" sqref="B42"/>
    </sheetView>
  </sheetViews>
  <sheetFormatPr defaultRowHeight="13.2" x14ac:dyDescent="0.25"/>
  <cols>
    <col min="1" max="1" width="29.5546875" style="366" bestFit="1" customWidth="1"/>
    <col min="2" max="2" width="19.88671875" style="456" customWidth="1"/>
    <col min="3" max="3" width="12" style="366" bestFit="1" customWidth="1"/>
    <col min="4" max="256" width="8.88671875" style="366"/>
    <col min="257" max="257" width="29.5546875" style="366" bestFit="1" customWidth="1"/>
    <col min="258" max="258" width="19.88671875" style="366" customWidth="1"/>
    <col min="259" max="259" width="12" style="366" bestFit="1" customWidth="1"/>
    <col min="260" max="512" width="8.88671875" style="366"/>
    <col min="513" max="513" width="29.5546875" style="366" bestFit="1" customWidth="1"/>
    <col min="514" max="514" width="19.88671875" style="366" customWidth="1"/>
    <col min="515" max="515" width="12" style="366" bestFit="1" customWidth="1"/>
    <col min="516" max="768" width="8.88671875" style="366"/>
    <col min="769" max="769" width="29.5546875" style="366" bestFit="1" customWidth="1"/>
    <col min="770" max="770" width="19.88671875" style="366" customWidth="1"/>
    <col min="771" max="771" width="12" style="366" bestFit="1" customWidth="1"/>
    <col min="772" max="1024" width="8.88671875" style="366"/>
    <col min="1025" max="1025" width="29.5546875" style="366" bestFit="1" customWidth="1"/>
    <col min="1026" max="1026" width="19.88671875" style="366" customWidth="1"/>
    <col min="1027" max="1027" width="12" style="366" bestFit="1" customWidth="1"/>
    <col min="1028" max="1280" width="8.88671875" style="366"/>
    <col min="1281" max="1281" width="29.5546875" style="366" bestFit="1" customWidth="1"/>
    <col min="1282" max="1282" width="19.88671875" style="366" customWidth="1"/>
    <col min="1283" max="1283" width="12" style="366" bestFit="1" customWidth="1"/>
    <col min="1284" max="1536" width="8.88671875" style="366"/>
    <col min="1537" max="1537" width="29.5546875" style="366" bestFit="1" customWidth="1"/>
    <col min="1538" max="1538" width="19.88671875" style="366" customWidth="1"/>
    <col min="1539" max="1539" width="12" style="366" bestFit="1" customWidth="1"/>
    <col min="1540" max="1792" width="8.88671875" style="366"/>
    <col min="1793" max="1793" width="29.5546875" style="366" bestFit="1" customWidth="1"/>
    <col min="1794" max="1794" width="19.88671875" style="366" customWidth="1"/>
    <col min="1795" max="1795" width="12" style="366" bestFit="1" customWidth="1"/>
    <col min="1796" max="2048" width="8.88671875" style="366"/>
    <col min="2049" max="2049" width="29.5546875" style="366" bestFit="1" customWidth="1"/>
    <col min="2050" max="2050" width="19.88671875" style="366" customWidth="1"/>
    <col min="2051" max="2051" width="12" style="366" bestFit="1" customWidth="1"/>
    <col min="2052" max="2304" width="8.88671875" style="366"/>
    <col min="2305" max="2305" width="29.5546875" style="366" bestFit="1" customWidth="1"/>
    <col min="2306" max="2306" width="19.88671875" style="366" customWidth="1"/>
    <col min="2307" max="2307" width="12" style="366" bestFit="1" customWidth="1"/>
    <col min="2308" max="2560" width="8.88671875" style="366"/>
    <col min="2561" max="2561" width="29.5546875" style="366" bestFit="1" customWidth="1"/>
    <col min="2562" max="2562" width="19.88671875" style="366" customWidth="1"/>
    <col min="2563" max="2563" width="12" style="366" bestFit="1" customWidth="1"/>
    <col min="2564" max="2816" width="8.88671875" style="366"/>
    <col min="2817" max="2817" width="29.5546875" style="366" bestFit="1" customWidth="1"/>
    <col min="2818" max="2818" width="19.88671875" style="366" customWidth="1"/>
    <col min="2819" max="2819" width="12" style="366" bestFit="1" customWidth="1"/>
    <col min="2820" max="3072" width="8.88671875" style="366"/>
    <col min="3073" max="3073" width="29.5546875" style="366" bestFit="1" customWidth="1"/>
    <col min="3074" max="3074" width="19.88671875" style="366" customWidth="1"/>
    <col min="3075" max="3075" width="12" style="366" bestFit="1" customWidth="1"/>
    <col min="3076" max="3328" width="8.88671875" style="366"/>
    <col min="3329" max="3329" width="29.5546875" style="366" bestFit="1" customWidth="1"/>
    <col min="3330" max="3330" width="19.88671875" style="366" customWidth="1"/>
    <col min="3331" max="3331" width="12" style="366" bestFit="1" customWidth="1"/>
    <col min="3332" max="3584" width="8.88671875" style="366"/>
    <col min="3585" max="3585" width="29.5546875" style="366" bestFit="1" customWidth="1"/>
    <col min="3586" max="3586" width="19.88671875" style="366" customWidth="1"/>
    <col min="3587" max="3587" width="12" style="366" bestFit="1" customWidth="1"/>
    <col min="3588" max="3840" width="8.88671875" style="366"/>
    <col min="3841" max="3841" width="29.5546875" style="366" bestFit="1" customWidth="1"/>
    <col min="3842" max="3842" width="19.88671875" style="366" customWidth="1"/>
    <col min="3843" max="3843" width="12" style="366" bestFit="1" customWidth="1"/>
    <col min="3844" max="4096" width="8.88671875" style="366"/>
    <col min="4097" max="4097" width="29.5546875" style="366" bestFit="1" customWidth="1"/>
    <col min="4098" max="4098" width="19.88671875" style="366" customWidth="1"/>
    <col min="4099" max="4099" width="12" style="366" bestFit="1" customWidth="1"/>
    <col min="4100" max="4352" width="8.88671875" style="366"/>
    <col min="4353" max="4353" width="29.5546875" style="366" bestFit="1" customWidth="1"/>
    <col min="4354" max="4354" width="19.88671875" style="366" customWidth="1"/>
    <col min="4355" max="4355" width="12" style="366" bestFit="1" customWidth="1"/>
    <col min="4356" max="4608" width="8.88671875" style="366"/>
    <col min="4609" max="4609" width="29.5546875" style="366" bestFit="1" customWidth="1"/>
    <col min="4610" max="4610" width="19.88671875" style="366" customWidth="1"/>
    <col min="4611" max="4611" width="12" style="366" bestFit="1" customWidth="1"/>
    <col min="4612" max="4864" width="8.88671875" style="366"/>
    <col min="4865" max="4865" width="29.5546875" style="366" bestFit="1" customWidth="1"/>
    <col min="4866" max="4866" width="19.88671875" style="366" customWidth="1"/>
    <col min="4867" max="4867" width="12" style="366" bestFit="1" customWidth="1"/>
    <col min="4868" max="5120" width="8.88671875" style="366"/>
    <col min="5121" max="5121" width="29.5546875" style="366" bestFit="1" customWidth="1"/>
    <col min="5122" max="5122" width="19.88671875" style="366" customWidth="1"/>
    <col min="5123" max="5123" width="12" style="366" bestFit="1" customWidth="1"/>
    <col min="5124" max="5376" width="8.88671875" style="366"/>
    <col min="5377" max="5377" width="29.5546875" style="366" bestFit="1" customWidth="1"/>
    <col min="5378" max="5378" width="19.88671875" style="366" customWidth="1"/>
    <col min="5379" max="5379" width="12" style="366" bestFit="1" customWidth="1"/>
    <col min="5380" max="5632" width="8.88671875" style="366"/>
    <col min="5633" max="5633" width="29.5546875" style="366" bestFit="1" customWidth="1"/>
    <col min="5634" max="5634" width="19.88671875" style="366" customWidth="1"/>
    <col min="5635" max="5635" width="12" style="366" bestFit="1" customWidth="1"/>
    <col min="5636" max="5888" width="8.88671875" style="366"/>
    <col min="5889" max="5889" width="29.5546875" style="366" bestFit="1" customWidth="1"/>
    <col min="5890" max="5890" width="19.88671875" style="366" customWidth="1"/>
    <col min="5891" max="5891" width="12" style="366" bestFit="1" customWidth="1"/>
    <col min="5892" max="6144" width="8.88671875" style="366"/>
    <col min="6145" max="6145" width="29.5546875" style="366" bestFit="1" customWidth="1"/>
    <col min="6146" max="6146" width="19.88671875" style="366" customWidth="1"/>
    <col min="6147" max="6147" width="12" style="366" bestFit="1" customWidth="1"/>
    <col min="6148" max="6400" width="8.88671875" style="366"/>
    <col min="6401" max="6401" width="29.5546875" style="366" bestFit="1" customWidth="1"/>
    <col min="6402" max="6402" width="19.88671875" style="366" customWidth="1"/>
    <col min="6403" max="6403" width="12" style="366" bestFit="1" customWidth="1"/>
    <col min="6404" max="6656" width="8.88671875" style="366"/>
    <col min="6657" max="6657" width="29.5546875" style="366" bestFit="1" customWidth="1"/>
    <col min="6658" max="6658" width="19.88671875" style="366" customWidth="1"/>
    <col min="6659" max="6659" width="12" style="366" bestFit="1" customWidth="1"/>
    <col min="6660" max="6912" width="8.88671875" style="366"/>
    <col min="6913" max="6913" width="29.5546875" style="366" bestFit="1" customWidth="1"/>
    <col min="6914" max="6914" width="19.88671875" style="366" customWidth="1"/>
    <col min="6915" max="6915" width="12" style="366" bestFit="1" customWidth="1"/>
    <col min="6916" max="7168" width="8.88671875" style="366"/>
    <col min="7169" max="7169" width="29.5546875" style="366" bestFit="1" customWidth="1"/>
    <col min="7170" max="7170" width="19.88671875" style="366" customWidth="1"/>
    <col min="7171" max="7171" width="12" style="366" bestFit="1" customWidth="1"/>
    <col min="7172" max="7424" width="8.88671875" style="366"/>
    <col min="7425" max="7425" width="29.5546875" style="366" bestFit="1" customWidth="1"/>
    <col min="7426" max="7426" width="19.88671875" style="366" customWidth="1"/>
    <col min="7427" max="7427" width="12" style="366" bestFit="1" customWidth="1"/>
    <col min="7428" max="7680" width="8.88671875" style="366"/>
    <col min="7681" max="7681" width="29.5546875" style="366" bestFit="1" customWidth="1"/>
    <col min="7682" max="7682" width="19.88671875" style="366" customWidth="1"/>
    <col min="7683" max="7683" width="12" style="366" bestFit="1" customWidth="1"/>
    <col min="7684" max="7936" width="8.88671875" style="366"/>
    <col min="7937" max="7937" width="29.5546875" style="366" bestFit="1" customWidth="1"/>
    <col min="7938" max="7938" width="19.88671875" style="366" customWidth="1"/>
    <col min="7939" max="7939" width="12" style="366" bestFit="1" customWidth="1"/>
    <col min="7940" max="8192" width="8.88671875" style="366"/>
    <col min="8193" max="8193" width="29.5546875" style="366" bestFit="1" customWidth="1"/>
    <col min="8194" max="8194" width="19.88671875" style="366" customWidth="1"/>
    <col min="8195" max="8195" width="12" style="366" bestFit="1" customWidth="1"/>
    <col min="8196" max="8448" width="8.88671875" style="366"/>
    <col min="8449" max="8449" width="29.5546875" style="366" bestFit="1" customWidth="1"/>
    <col min="8450" max="8450" width="19.88671875" style="366" customWidth="1"/>
    <col min="8451" max="8451" width="12" style="366" bestFit="1" customWidth="1"/>
    <col min="8452" max="8704" width="8.88671875" style="366"/>
    <col min="8705" max="8705" width="29.5546875" style="366" bestFit="1" customWidth="1"/>
    <col min="8706" max="8706" width="19.88671875" style="366" customWidth="1"/>
    <col min="8707" max="8707" width="12" style="366" bestFit="1" customWidth="1"/>
    <col min="8708" max="8960" width="8.88671875" style="366"/>
    <col min="8961" max="8961" width="29.5546875" style="366" bestFit="1" customWidth="1"/>
    <col min="8962" max="8962" width="19.88671875" style="366" customWidth="1"/>
    <col min="8963" max="8963" width="12" style="366" bestFit="1" customWidth="1"/>
    <col min="8964" max="9216" width="8.88671875" style="366"/>
    <col min="9217" max="9217" width="29.5546875" style="366" bestFit="1" customWidth="1"/>
    <col min="9218" max="9218" width="19.88671875" style="366" customWidth="1"/>
    <col min="9219" max="9219" width="12" style="366" bestFit="1" customWidth="1"/>
    <col min="9220" max="9472" width="8.88671875" style="366"/>
    <col min="9473" max="9473" width="29.5546875" style="366" bestFit="1" customWidth="1"/>
    <col min="9474" max="9474" width="19.88671875" style="366" customWidth="1"/>
    <col min="9475" max="9475" width="12" style="366" bestFit="1" customWidth="1"/>
    <col min="9476" max="9728" width="8.88671875" style="366"/>
    <col min="9729" max="9729" width="29.5546875" style="366" bestFit="1" customWidth="1"/>
    <col min="9730" max="9730" width="19.88671875" style="366" customWidth="1"/>
    <col min="9731" max="9731" width="12" style="366" bestFit="1" customWidth="1"/>
    <col min="9732" max="9984" width="8.88671875" style="366"/>
    <col min="9985" max="9985" width="29.5546875" style="366" bestFit="1" customWidth="1"/>
    <col min="9986" max="9986" width="19.88671875" style="366" customWidth="1"/>
    <col min="9987" max="9987" width="12" style="366" bestFit="1" customWidth="1"/>
    <col min="9988" max="10240" width="8.88671875" style="366"/>
    <col min="10241" max="10241" width="29.5546875" style="366" bestFit="1" customWidth="1"/>
    <col min="10242" max="10242" width="19.88671875" style="366" customWidth="1"/>
    <col min="10243" max="10243" width="12" style="366" bestFit="1" customWidth="1"/>
    <col min="10244" max="10496" width="8.88671875" style="366"/>
    <col min="10497" max="10497" width="29.5546875" style="366" bestFit="1" customWidth="1"/>
    <col min="10498" max="10498" width="19.88671875" style="366" customWidth="1"/>
    <col min="10499" max="10499" width="12" style="366" bestFit="1" customWidth="1"/>
    <col min="10500" max="10752" width="8.88671875" style="366"/>
    <col min="10753" max="10753" width="29.5546875" style="366" bestFit="1" customWidth="1"/>
    <col min="10754" max="10754" width="19.88671875" style="366" customWidth="1"/>
    <col min="10755" max="10755" width="12" style="366" bestFit="1" customWidth="1"/>
    <col min="10756" max="11008" width="8.88671875" style="366"/>
    <col min="11009" max="11009" width="29.5546875" style="366" bestFit="1" customWidth="1"/>
    <col min="11010" max="11010" width="19.88671875" style="366" customWidth="1"/>
    <col min="11011" max="11011" width="12" style="366" bestFit="1" customWidth="1"/>
    <col min="11012" max="11264" width="8.88671875" style="366"/>
    <col min="11265" max="11265" width="29.5546875" style="366" bestFit="1" customWidth="1"/>
    <col min="11266" max="11266" width="19.88671875" style="366" customWidth="1"/>
    <col min="11267" max="11267" width="12" style="366" bestFit="1" customWidth="1"/>
    <col min="11268" max="11520" width="8.88671875" style="366"/>
    <col min="11521" max="11521" width="29.5546875" style="366" bestFit="1" customWidth="1"/>
    <col min="11522" max="11522" width="19.88671875" style="366" customWidth="1"/>
    <col min="11523" max="11523" width="12" style="366" bestFit="1" customWidth="1"/>
    <col min="11524" max="11776" width="8.88671875" style="366"/>
    <col min="11777" max="11777" width="29.5546875" style="366" bestFit="1" customWidth="1"/>
    <col min="11778" max="11778" width="19.88671875" style="366" customWidth="1"/>
    <col min="11779" max="11779" width="12" style="366" bestFit="1" customWidth="1"/>
    <col min="11780" max="12032" width="8.88671875" style="366"/>
    <col min="12033" max="12033" width="29.5546875" style="366" bestFit="1" customWidth="1"/>
    <col min="12034" max="12034" width="19.88671875" style="366" customWidth="1"/>
    <col min="12035" max="12035" width="12" style="366" bestFit="1" customWidth="1"/>
    <col min="12036" max="12288" width="8.88671875" style="366"/>
    <col min="12289" max="12289" width="29.5546875" style="366" bestFit="1" customWidth="1"/>
    <col min="12290" max="12290" width="19.88671875" style="366" customWidth="1"/>
    <col min="12291" max="12291" width="12" style="366" bestFit="1" customWidth="1"/>
    <col min="12292" max="12544" width="8.88671875" style="366"/>
    <col min="12545" max="12545" width="29.5546875" style="366" bestFit="1" customWidth="1"/>
    <col min="12546" max="12546" width="19.88671875" style="366" customWidth="1"/>
    <col min="12547" max="12547" width="12" style="366" bestFit="1" customWidth="1"/>
    <col min="12548" max="12800" width="8.88671875" style="366"/>
    <col min="12801" max="12801" width="29.5546875" style="366" bestFit="1" customWidth="1"/>
    <col min="12802" max="12802" width="19.88671875" style="366" customWidth="1"/>
    <col min="12803" max="12803" width="12" style="366" bestFit="1" customWidth="1"/>
    <col min="12804" max="13056" width="8.88671875" style="366"/>
    <col min="13057" max="13057" width="29.5546875" style="366" bestFit="1" customWidth="1"/>
    <col min="13058" max="13058" width="19.88671875" style="366" customWidth="1"/>
    <col min="13059" max="13059" width="12" style="366" bestFit="1" customWidth="1"/>
    <col min="13060" max="13312" width="8.88671875" style="366"/>
    <col min="13313" max="13313" width="29.5546875" style="366" bestFit="1" customWidth="1"/>
    <col min="13314" max="13314" width="19.88671875" style="366" customWidth="1"/>
    <col min="13315" max="13315" width="12" style="366" bestFit="1" customWidth="1"/>
    <col min="13316" max="13568" width="8.88671875" style="366"/>
    <col min="13569" max="13569" width="29.5546875" style="366" bestFit="1" customWidth="1"/>
    <col min="13570" max="13570" width="19.88671875" style="366" customWidth="1"/>
    <col min="13571" max="13571" width="12" style="366" bestFit="1" customWidth="1"/>
    <col min="13572" max="13824" width="8.88671875" style="366"/>
    <col min="13825" max="13825" width="29.5546875" style="366" bestFit="1" customWidth="1"/>
    <col min="13826" max="13826" width="19.88671875" style="366" customWidth="1"/>
    <col min="13827" max="13827" width="12" style="366" bestFit="1" customWidth="1"/>
    <col min="13828" max="14080" width="8.88671875" style="366"/>
    <col min="14081" max="14081" width="29.5546875" style="366" bestFit="1" customWidth="1"/>
    <col min="14082" max="14082" width="19.88671875" style="366" customWidth="1"/>
    <col min="14083" max="14083" width="12" style="366" bestFit="1" customWidth="1"/>
    <col min="14084" max="14336" width="8.88671875" style="366"/>
    <col min="14337" max="14337" width="29.5546875" style="366" bestFit="1" customWidth="1"/>
    <col min="14338" max="14338" width="19.88671875" style="366" customWidth="1"/>
    <col min="14339" max="14339" width="12" style="366" bestFit="1" customWidth="1"/>
    <col min="14340" max="14592" width="8.88671875" style="366"/>
    <col min="14593" max="14593" width="29.5546875" style="366" bestFit="1" customWidth="1"/>
    <col min="14594" max="14594" width="19.88671875" style="366" customWidth="1"/>
    <col min="14595" max="14595" width="12" style="366" bestFit="1" customWidth="1"/>
    <col min="14596" max="14848" width="8.88671875" style="366"/>
    <col min="14849" max="14849" width="29.5546875" style="366" bestFit="1" customWidth="1"/>
    <col min="14850" max="14850" width="19.88671875" style="366" customWidth="1"/>
    <col min="14851" max="14851" width="12" style="366" bestFit="1" customWidth="1"/>
    <col min="14852" max="15104" width="8.88671875" style="366"/>
    <col min="15105" max="15105" width="29.5546875" style="366" bestFit="1" customWidth="1"/>
    <col min="15106" max="15106" width="19.88671875" style="366" customWidth="1"/>
    <col min="15107" max="15107" width="12" style="366" bestFit="1" customWidth="1"/>
    <col min="15108" max="15360" width="8.88671875" style="366"/>
    <col min="15361" max="15361" width="29.5546875" style="366" bestFit="1" customWidth="1"/>
    <col min="15362" max="15362" width="19.88671875" style="366" customWidth="1"/>
    <col min="15363" max="15363" width="12" style="366" bestFit="1" customWidth="1"/>
    <col min="15364" max="15616" width="8.88671875" style="366"/>
    <col min="15617" max="15617" width="29.5546875" style="366" bestFit="1" customWidth="1"/>
    <col min="15618" max="15618" width="19.88671875" style="366" customWidth="1"/>
    <col min="15619" max="15619" width="12" style="366" bestFit="1" customWidth="1"/>
    <col min="15620" max="15872" width="8.88671875" style="366"/>
    <col min="15873" max="15873" width="29.5546875" style="366" bestFit="1" customWidth="1"/>
    <col min="15874" max="15874" width="19.88671875" style="366" customWidth="1"/>
    <col min="15875" max="15875" width="12" style="366" bestFit="1" customWidth="1"/>
    <col min="15876" max="16128" width="8.88671875" style="366"/>
    <col min="16129" max="16129" width="29.5546875" style="366" bestFit="1" customWidth="1"/>
    <col min="16130" max="16130" width="19.88671875" style="366" customWidth="1"/>
    <col min="16131" max="16131" width="12" style="366" bestFit="1" customWidth="1"/>
    <col min="16132" max="16384" width="8.88671875" style="366"/>
  </cols>
  <sheetData>
    <row r="1" spans="1:2" x14ac:dyDescent="0.25">
      <c r="A1" s="366" t="s">
        <v>654</v>
      </c>
      <c r="B1" s="455">
        <v>6.1</v>
      </c>
    </row>
    <row r="2" spans="1:2" x14ac:dyDescent="0.25">
      <c r="A2" s="366" t="s">
        <v>655</v>
      </c>
      <c r="B2" s="459">
        <v>43159.862245370372</v>
      </c>
    </row>
    <row r="3" spans="1:2" x14ac:dyDescent="0.25">
      <c r="A3" s="366" t="s">
        <v>656</v>
      </c>
      <c r="B3" s="456" t="s">
        <v>358</v>
      </c>
    </row>
    <row r="4" spans="1:2" x14ac:dyDescent="0.25">
      <c r="A4" s="366" t="s">
        <v>657</v>
      </c>
      <c r="B4" s="456" t="s">
        <v>658</v>
      </c>
    </row>
    <row r="5" spans="1:2" x14ac:dyDescent="0.25">
      <c r="A5" s="366" t="s">
        <v>659</v>
      </c>
      <c r="B5" s="456" t="s">
        <v>660</v>
      </c>
    </row>
    <row r="6" spans="1:2" x14ac:dyDescent="0.25">
      <c r="A6" s="366" t="s">
        <v>661</v>
      </c>
    </row>
    <row r="7" spans="1:2" x14ac:dyDescent="0.25">
      <c r="A7" s="366" t="s">
        <v>662</v>
      </c>
      <c r="B7" s="456" t="s">
        <v>197</v>
      </c>
    </row>
    <row r="8" spans="1:2" x14ac:dyDescent="0.25">
      <c r="A8" s="366" t="s">
        <v>663</v>
      </c>
      <c r="B8" s="456" t="s">
        <v>664</v>
      </c>
    </row>
    <row r="9" spans="1:2" x14ac:dyDescent="0.25">
      <c r="A9" s="366" t="s">
        <v>665</v>
      </c>
      <c r="B9" s="456" t="s">
        <v>702</v>
      </c>
    </row>
    <row r="10" spans="1:2" x14ac:dyDescent="0.25">
      <c r="A10" s="366" t="s">
        <v>666</v>
      </c>
    </row>
    <row r="11" spans="1:2" x14ac:dyDescent="0.25">
      <c r="A11" s="366" t="s">
        <v>667</v>
      </c>
    </row>
    <row r="12" spans="1:2" x14ac:dyDescent="0.25">
      <c r="A12" s="366" t="s">
        <v>668</v>
      </c>
    </row>
    <row r="13" spans="1:2" x14ac:dyDescent="0.25">
      <c r="A13" s="366" t="s">
        <v>669</v>
      </c>
    </row>
    <row r="14" spans="1:2" x14ac:dyDescent="0.25">
      <c r="A14" s="366" t="s">
        <v>670</v>
      </c>
    </row>
    <row r="15" spans="1:2" x14ac:dyDescent="0.25">
      <c r="A15" s="366" t="s">
        <v>671</v>
      </c>
    </row>
    <row r="16" spans="1:2" x14ac:dyDescent="0.25">
      <c r="A16" s="366" t="s">
        <v>672</v>
      </c>
    </row>
    <row r="17" spans="1:4" x14ac:dyDescent="0.25">
      <c r="A17" s="366" t="s">
        <v>673</v>
      </c>
      <c r="B17" s="456" t="s">
        <v>703</v>
      </c>
    </row>
    <row r="18" spans="1:4" x14ac:dyDescent="0.25">
      <c r="A18" s="366" t="s">
        <v>674</v>
      </c>
      <c r="B18" s="456" t="s">
        <v>359</v>
      </c>
    </row>
    <row r="19" spans="1:4" x14ac:dyDescent="0.25">
      <c r="A19" s="366" t="s">
        <v>675</v>
      </c>
      <c r="B19" s="456" t="s">
        <v>196</v>
      </c>
    </row>
    <row r="20" spans="1:4" x14ac:dyDescent="0.25">
      <c r="A20" s="366" t="s">
        <v>676</v>
      </c>
      <c r="B20" s="457">
        <v>115637209</v>
      </c>
    </row>
    <row r="21" spans="1:4" x14ac:dyDescent="0.25">
      <c r="A21" s="366" t="s">
        <v>677</v>
      </c>
      <c r="B21" s="456" t="s">
        <v>196</v>
      </c>
    </row>
    <row r="22" spans="1:4" x14ac:dyDescent="0.25">
      <c r="A22" s="366" t="s">
        <v>678</v>
      </c>
      <c r="B22" s="457">
        <v>2146838</v>
      </c>
    </row>
    <row r="23" spans="1:4" x14ac:dyDescent="0.25">
      <c r="A23" s="366" t="s">
        <v>226</v>
      </c>
      <c r="B23" s="455">
        <v>55.81</v>
      </c>
    </row>
    <row r="24" spans="1:4" x14ac:dyDescent="0.25">
      <c r="A24" s="366" t="s">
        <v>225</v>
      </c>
      <c r="B24" s="456" t="s">
        <v>195</v>
      </c>
      <c r="D24" s="366" t="s">
        <v>231</v>
      </c>
    </row>
    <row r="25" spans="1:4" x14ac:dyDescent="0.25">
      <c r="A25" s="366" t="s">
        <v>679</v>
      </c>
      <c r="B25" s="456" t="s">
        <v>706</v>
      </c>
    </row>
    <row r="26" spans="1:4" x14ac:dyDescent="0.25">
      <c r="A26" s="366" t="s">
        <v>680</v>
      </c>
      <c r="B26" s="456">
        <v>0</v>
      </c>
    </row>
    <row r="27" spans="1:4" x14ac:dyDescent="0.25">
      <c r="A27" s="366" t="s">
        <v>681</v>
      </c>
      <c r="B27" s="456" t="s">
        <v>682</v>
      </c>
    </row>
    <row r="28" spans="1:4" x14ac:dyDescent="0.25">
      <c r="A28" s="366" t="s">
        <v>683</v>
      </c>
      <c r="B28" s="456" t="s">
        <v>684</v>
      </c>
    </row>
    <row r="29" spans="1:4" x14ac:dyDescent="0.25">
      <c r="A29" s="366" t="s">
        <v>685</v>
      </c>
    </row>
    <row r="30" spans="1:4" x14ac:dyDescent="0.25">
      <c r="A30" s="366" t="s">
        <v>686</v>
      </c>
    </row>
    <row r="31" spans="1:4" x14ac:dyDescent="0.25">
      <c r="A31" s="366" t="s">
        <v>687</v>
      </c>
    </row>
    <row r="32" spans="1:4" x14ac:dyDescent="0.25">
      <c r="A32" s="366" t="s">
        <v>688</v>
      </c>
      <c r="B32" s="455"/>
    </row>
    <row r="33" spans="1:2" x14ac:dyDescent="0.25">
      <c r="A33" s="366" t="s">
        <v>689</v>
      </c>
      <c r="B33" s="455"/>
    </row>
    <row r="34" spans="1:2" x14ac:dyDescent="0.25">
      <c r="A34" s="366" t="s">
        <v>690</v>
      </c>
      <c r="B34" s="455"/>
    </row>
    <row r="35" spans="1:2" x14ac:dyDescent="0.25">
      <c r="A35" s="366" t="s">
        <v>691</v>
      </c>
      <c r="B35" s="456">
        <v>1000000</v>
      </c>
    </row>
    <row r="36" spans="1:2" x14ac:dyDescent="0.25">
      <c r="A36" s="366" t="s">
        <v>692</v>
      </c>
      <c r="B36" s="456" t="s">
        <v>704</v>
      </c>
    </row>
    <row r="37" spans="1:2" x14ac:dyDescent="0.25">
      <c r="A37" s="366" t="s">
        <v>693</v>
      </c>
      <c r="B37" s="456" t="s">
        <v>694</v>
      </c>
    </row>
    <row r="38" spans="1:2" x14ac:dyDescent="0.25">
      <c r="A38" s="366" t="s">
        <v>695</v>
      </c>
      <c r="B38" s="456" t="s">
        <v>696</v>
      </c>
    </row>
    <row r="39" spans="1:2" x14ac:dyDescent="0.25">
      <c r="A39" s="366" t="s">
        <v>697</v>
      </c>
      <c r="B39" s="456" t="s">
        <v>705</v>
      </c>
    </row>
    <row r="40" spans="1:2" x14ac:dyDescent="0.25">
      <c r="A40" s="366" t="s">
        <v>698</v>
      </c>
      <c r="B40" s="456">
        <v>1500000239</v>
      </c>
    </row>
    <row r="41" spans="1:2" x14ac:dyDescent="0.25">
      <c r="A41" s="366" t="s">
        <v>699</v>
      </c>
      <c r="B41" s="456">
        <v>1</v>
      </c>
    </row>
    <row r="42" spans="1:2" x14ac:dyDescent="0.25">
      <c r="A42" s="458" t="s">
        <v>700</v>
      </c>
    </row>
    <row r="43" spans="1:2" x14ac:dyDescent="0.25">
      <c r="A43" s="366" t="s">
        <v>701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3.2" x14ac:dyDescent="0.25"/>
  <cols>
    <col min="1" max="1" width="28.5546875" style="366" bestFit="1" customWidth="1"/>
    <col min="2" max="256" width="8.88671875" style="366"/>
    <col min="257" max="257" width="28.5546875" style="366" bestFit="1" customWidth="1"/>
    <col min="258" max="512" width="8.88671875" style="366"/>
    <col min="513" max="513" width="28.5546875" style="366" bestFit="1" customWidth="1"/>
    <col min="514" max="768" width="8.88671875" style="366"/>
    <col min="769" max="769" width="28.5546875" style="366" bestFit="1" customWidth="1"/>
    <col min="770" max="1024" width="8.88671875" style="366"/>
    <col min="1025" max="1025" width="28.5546875" style="366" bestFit="1" customWidth="1"/>
    <col min="1026" max="1280" width="8.88671875" style="366"/>
    <col min="1281" max="1281" width="28.5546875" style="366" bestFit="1" customWidth="1"/>
    <col min="1282" max="1536" width="8.88671875" style="366"/>
    <col min="1537" max="1537" width="28.5546875" style="366" bestFit="1" customWidth="1"/>
    <col min="1538" max="1792" width="8.88671875" style="366"/>
    <col min="1793" max="1793" width="28.5546875" style="366" bestFit="1" customWidth="1"/>
    <col min="1794" max="2048" width="8.88671875" style="366"/>
    <col min="2049" max="2049" width="28.5546875" style="366" bestFit="1" customWidth="1"/>
    <col min="2050" max="2304" width="8.88671875" style="366"/>
    <col min="2305" max="2305" width="28.5546875" style="366" bestFit="1" customWidth="1"/>
    <col min="2306" max="2560" width="8.88671875" style="366"/>
    <col min="2561" max="2561" width="28.5546875" style="366" bestFit="1" customWidth="1"/>
    <col min="2562" max="2816" width="8.88671875" style="366"/>
    <col min="2817" max="2817" width="28.5546875" style="366" bestFit="1" customWidth="1"/>
    <col min="2818" max="3072" width="8.88671875" style="366"/>
    <col min="3073" max="3073" width="28.5546875" style="366" bestFit="1" customWidth="1"/>
    <col min="3074" max="3328" width="8.88671875" style="366"/>
    <col min="3329" max="3329" width="28.5546875" style="366" bestFit="1" customWidth="1"/>
    <col min="3330" max="3584" width="8.88671875" style="366"/>
    <col min="3585" max="3585" width="28.5546875" style="366" bestFit="1" customWidth="1"/>
    <col min="3586" max="3840" width="8.88671875" style="366"/>
    <col min="3841" max="3841" width="28.5546875" style="366" bestFit="1" customWidth="1"/>
    <col min="3842" max="4096" width="8.88671875" style="366"/>
    <col min="4097" max="4097" width="28.5546875" style="366" bestFit="1" customWidth="1"/>
    <col min="4098" max="4352" width="8.88671875" style="366"/>
    <col min="4353" max="4353" width="28.5546875" style="366" bestFit="1" customWidth="1"/>
    <col min="4354" max="4608" width="8.88671875" style="366"/>
    <col min="4609" max="4609" width="28.5546875" style="366" bestFit="1" customWidth="1"/>
    <col min="4610" max="4864" width="8.88671875" style="366"/>
    <col min="4865" max="4865" width="28.5546875" style="366" bestFit="1" customWidth="1"/>
    <col min="4866" max="5120" width="8.88671875" style="366"/>
    <col min="5121" max="5121" width="28.5546875" style="366" bestFit="1" customWidth="1"/>
    <col min="5122" max="5376" width="8.88671875" style="366"/>
    <col min="5377" max="5377" width="28.5546875" style="366" bestFit="1" customWidth="1"/>
    <col min="5378" max="5632" width="8.88671875" style="366"/>
    <col min="5633" max="5633" width="28.5546875" style="366" bestFit="1" customWidth="1"/>
    <col min="5634" max="5888" width="8.88671875" style="366"/>
    <col min="5889" max="5889" width="28.5546875" style="366" bestFit="1" customWidth="1"/>
    <col min="5890" max="6144" width="8.88671875" style="366"/>
    <col min="6145" max="6145" width="28.5546875" style="366" bestFit="1" customWidth="1"/>
    <col min="6146" max="6400" width="8.88671875" style="366"/>
    <col min="6401" max="6401" width="28.5546875" style="366" bestFit="1" customWidth="1"/>
    <col min="6402" max="6656" width="8.88671875" style="366"/>
    <col min="6657" max="6657" width="28.5546875" style="366" bestFit="1" customWidth="1"/>
    <col min="6658" max="6912" width="8.88671875" style="366"/>
    <col min="6913" max="6913" width="28.5546875" style="366" bestFit="1" customWidth="1"/>
    <col min="6914" max="7168" width="8.88671875" style="366"/>
    <col min="7169" max="7169" width="28.5546875" style="366" bestFit="1" customWidth="1"/>
    <col min="7170" max="7424" width="8.88671875" style="366"/>
    <col min="7425" max="7425" width="28.5546875" style="366" bestFit="1" customWidth="1"/>
    <col min="7426" max="7680" width="8.88671875" style="366"/>
    <col min="7681" max="7681" width="28.5546875" style="366" bestFit="1" customWidth="1"/>
    <col min="7682" max="7936" width="8.88671875" style="366"/>
    <col min="7937" max="7937" width="28.5546875" style="366" bestFit="1" customWidth="1"/>
    <col min="7938" max="8192" width="8.88671875" style="366"/>
    <col min="8193" max="8193" width="28.5546875" style="366" bestFit="1" customWidth="1"/>
    <col min="8194" max="8448" width="8.88671875" style="366"/>
    <col min="8449" max="8449" width="28.5546875" style="366" bestFit="1" customWidth="1"/>
    <col min="8450" max="8704" width="8.88671875" style="366"/>
    <col min="8705" max="8705" width="28.5546875" style="366" bestFit="1" customWidth="1"/>
    <col min="8706" max="8960" width="8.88671875" style="366"/>
    <col min="8961" max="8961" width="28.5546875" style="366" bestFit="1" customWidth="1"/>
    <col min="8962" max="9216" width="8.88671875" style="366"/>
    <col min="9217" max="9217" width="28.5546875" style="366" bestFit="1" customWidth="1"/>
    <col min="9218" max="9472" width="8.88671875" style="366"/>
    <col min="9473" max="9473" width="28.5546875" style="366" bestFit="1" customWidth="1"/>
    <col min="9474" max="9728" width="8.88671875" style="366"/>
    <col min="9729" max="9729" width="28.5546875" style="366" bestFit="1" customWidth="1"/>
    <col min="9730" max="9984" width="8.88671875" style="366"/>
    <col min="9985" max="9985" width="28.5546875" style="366" bestFit="1" customWidth="1"/>
    <col min="9986" max="10240" width="8.88671875" style="366"/>
    <col min="10241" max="10241" width="28.5546875" style="366" bestFit="1" customWidth="1"/>
    <col min="10242" max="10496" width="8.88671875" style="366"/>
    <col min="10497" max="10497" width="28.5546875" style="366" bestFit="1" customWidth="1"/>
    <col min="10498" max="10752" width="8.88671875" style="366"/>
    <col min="10753" max="10753" width="28.5546875" style="366" bestFit="1" customWidth="1"/>
    <col min="10754" max="11008" width="8.88671875" style="366"/>
    <col min="11009" max="11009" width="28.5546875" style="366" bestFit="1" customWidth="1"/>
    <col min="11010" max="11264" width="8.88671875" style="366"/>
    <col min="11265" max="11265" width="28.5546875" style="366" bestFit="1" customWidth="1"/>
    <col min="11266" max="11520" width="8.88671875" style="366"/>
    <col min="11521" max="11521" width="28.5546875" style="366" bestFit="1" customWidth="1"/>
    <col min="11522" max="11776" width="8.88671875" style="366"/>
    <col min="11777" max="11777" width="28.5546875" style="366" bestFit="1" customWidth="1"/>
    <col min="11778" max="12032" width="8.88671875" style="366"/>
    <col min="12033" max="12033" width="28.5546875" style="366" bestFit="1" customWidth="1"/>
    <col min="12034" max="12288" width="8.88671875" style="366"/>
    <col min="12289" max="12289" width="28.5546875" style="366" bestFit="1" customWidth="1"/>
    <col min="12290" max="12544" width="8.88671875" style="366"/>
    <col min="12545" max="12545" width="28.5546875" style="366" bestFit="1" customWidth="1"/>
    <col min="12546" max="12800" width="8.88671875" style="366"/>
    <col min="12801" max="12801" width="28.5546875" style="366" bestFit="1" customWidth="1"/>
    <col min="12802" max="13056" width="8.88671875" style="366"/>
    <col min="13057" max="13057" width="28.5546875" style="366" bestFit="1" customWidth="1"/>
    <col min="13058" max="13312" width="8.88671875" style="366"/>
    <col min="13313" max="13313" width="28.5546875" style="366" bestFit="1" customWidth="1"/>
    <col min="13314" max="13568" width="8.88671875" style="366"/>
    <col min="13569" max="13569" width="28.5546875" style="366" bestFit="1" customWidth="1"/>
    <col min="13570" max="13824" width="8.88671875" style="366"/>
    <col min="13825" max="13825" width="28.5546875" style="366" bestFit="1" customWidth="1"/>
    <col min="13826" max="14080" width="8.88671875" style="366"/>
    <col min="14081" max="14081" width="28.5546875" style="366" bestFit="1" customWidth="1"/>
    <col min="14082" max="14336" width="8.88671875" style="366"/>
    <col min="14337" max="14337" width="28.5546875" style="366" bestFit="1" customWidth="1"/>
    <col min="14338" max="14592" width="8.88671875" style="366"/>
    <col min="14593" max="14593" width="28.5546875" style="366" bestFit="1" customWidth="1"/>
    <col min="14594" max="14848" width="8.88671875" style="366"/>
    <col min="14849" max="14849" width="28.5546875" style="366" bestFit="1" customWidth="1"/>
    <col min="14850" max="15104" width="8.88671875" style="366"/>
    <col min="15105" max="15105" width="28.5546875" style="366" bestFit="1" customWidth="1"/>
    <col min="15106" max="15360" width="8.88671875" style="366"/>
    <col min="15361" max="15361" width="28.5546875" style="366" bestFit="1" customWidth="1"/>
    <col min="15362" max="15616" width="8.88671875" style="366"/>
    <col min="15617" max="15617" width="28.5546875" style="366" bestFit="1" customWidth="1"/>
    <col min="15618" max="15872" width="8.88671875" style="366"/>
    <col min="15873" max="15873" width="28.5546875" style="366" bestFit="1" customWidth="1"/>
    <col min="15874" max="16128" width="8.88671875" style="366"/>
    <col min="16129" max="16129" width="28.5546875" style="366" bestFit="1" customWidth="1"/>
    <col min="16130" max="16384" width="8.88671875" style="366"/>
  </cols>
  <sheetData>
    <row r="1" spans="1:1" x14ac:dyDescent="0.25">
      <c r="A1" s="460" t="s">
        <v>707</v>
      </c>
    </row>
    <row r="2" spans="1:1" x14ac:dyDescent="0.25">
      <c r="A2" s="460" t="s">
        <v>712</v>
      </c>
    </row>
    <row r="3" spans="1:1" x14ac:dyDescent="0.25">
      <c r="A3" s="460" t="s">
        <v>713</v>
      </c>
    </row>
    <row r="4" spans="1:1" x14ac:dyDescent="0.25">
      <c r="A4" s="460" t="s">
        <v>714</v>
      </c>
    </row>
    <row r="5" spans="1:1" x14ac:dyDescent="0.25">
      <c r="A5" s="460" t="s">
        <v>715</v>
      </c>
    </row>
    <row r="6" spans="1:1" x14ac:dyDescent="0.25">
      <c r="A6" s="460" t="s">
        <v>708</v>
      </c>
    </row>
    <row r="7" spans="1:1" x14ac:dyDescent="0.25">
      <c r="A7" s="460" t="s">
        <v>716</v>
      </c>
    </row>
    <row r="8" spans="1:1" x14ac:dyDescent="0.25">
      <c r="A8" s="460" t="s">
        <v>717</v>
      </c>
    </row>
    <row r="9" spans="1:1" x14ac:dyDescent="0.25">
      <c r="A9" s="460" t="s">
        <v>718</v>
      </c>
    </row>
    <row r="10" spans="1:1" x14ac:dyDescent="0.25">
      <c r="A10" s="460" t="s">
        <v>709</v>
      </c>
    </row>
    <row r="11" spans="1:1" x14ac:dyDescent="0.25">
      <c r="A11" s="460" t="s">
        <v>719</v>
      </c>
    </row>
    <row r="12" spans="1:1" x14ac:dyDescent="0.25">
      <c r="A12" s="460" t="s">
        <v>710</v>
      </c>
    </row>
    <row r="13" spans="1:1" x14ac:dyDescent="0.25">
      <c r="A13" s="460" t="s">
        <v>711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"/>
  <sheetViews>
    <sheetView workbookViewId="0"/>
  </sheetViews>
  <sheetFormatPr defaultRowHeight="13.2" x14ac:dyDescent="0.25"/>
  <sheetData>
    <row r="1" spans="1:14" x14ac:dyDescent="0.25">
      <c r="A1" t="s">
        <v>266</v>
      </c>
    </row>
    <row r="2" spans="1:14" x14ac:dyDescent="0.25">
      <c r="A2" s="19" t="s">
        <v>228</v>
      </c>
      <c r="B2" s="19" t="s">
        <v>195</v>
      </c>
      <c r="C2" s="19" t="s">
        <v>230</v>
      </c>
      <c r="D2" s="19" t="s">
        <v>237</v>
      </c>
      <c r="E2" s="19" t="s">
        <v>265</v>
      </c>
      <c r="F2" s="19" t="s">
        <v>259</v>
      </c>
      <c r="G2" s="19" t="s">
        <v>264</v>
      </c>
      <c r="H2" s="19" t="s">
        <v>259</v>
      </c>
      <c r="I2" s="19" t="s">
        <v>229</v>
      </c>
      <c r="J2" s="19" t="s">
        <v>356</v>
      </c>
      <c r="K2" s="19" t="s">
        <v>263</v>
      </c>
      <c r="L2" s="19" t="s">
        <v>259</v>
      </c>
      <c r="M2" s="19" t="s">
        <v>262</v>
      </c>
      <c r="N2" s="19" t="s">
        <v>259</v>
      </c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cba04bc0-848c-4311-b40b-c7cd8011586c</GUID>
    <SOURCE_ALTADDRESS>$B$10:$C$17</SOURCE_ALTADDRESS>
    <SOURCETYPE>Table</SOURCETYPE>
    <SOURCE_OBJECTNAME>Linking_Range_9</SOURCE_OBJECTNAME>
    <OBJECTTYPE>Native</OBJECTTYPE>
    <SOURCE_SHEETCODE>Sheet11</SOURCE_SHEETCODE>
    <SOURCE_SHEETNAME>Guidance</SOURCE_SHEETNAME>
    <SOURCEAPPLICATION>EXCEL_SOURCE</SOURCEAPPLICATION>
    <UPDATEDAT>3/8/2015 8:07:16 AM</UPDATEDAT>
    <SOURCE_ISOUTOFDATE>False</SOURCE_ISOUTOFDATE>
    <SOURCE_WORKBOOKNAME>BFB_model.xls</SOURCE_WORKBOOKNAME>
    <SOURCE_WORKBOOKPATH>\\MSAD\ROOT\NA\NY\LIB\ER\CONSUMER\STAPLES\BFB\Model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/MSResearch/Content/ExternalAssets/2015-02/Images/1Z73kLkGBkeVp7eeB7VP6g--.png</TARGET_BINARYFULLNAME>
    <TARGET_STORYFULLNAME>/MSResearch/Content/ExternalAssets/2015-02/Sections/20150217_062056_Linking_Range_9.xml</TARGET_STORYFULLNAME>
    <TARGET_UUID>9fbf4e50-b6fb-11e4-8ffc-fa1973025087</TARGET_UUID>
    <LINKSTATUS>Unknown</LINKSTATUS>
  </Link>
  <Link>
    <GUID>2a12ae4e-d67a-4c30-a11d-a134d7fea8be</GUID>
    <SOURCE_ALTADDRESS>$B$2:$K$57</SOURCE_ALTADDRESS>
    <SOURCETYPE>Table</SOURCETYPE>
    <SOURCE_OBJECTNAME>Linking_Range_1</SOURCE_OBJECTNAME>
    <OBJECTTYPE>Native</OBJECTTYPE>
    <SOURCE_SHEETCODE>Sheet14</SOURCE_SHEETCODE>
    <SOURCE_SHEETNAME>Quarterly Review</SOURCE_SHEETNAME>
    <SOURCEAPPLICATION>EXCEL_SOURCE</SOURCEAPPLICATION>
    <UPDATEDAT>3/8/2015 8:07:28 AM</UPDATEDAT>
    <SOURCE_ISOUTOFDATE>False</SOURCE_ISOUTOFDATE>
    <SOURCE_WORKBOOKNAME>BFB_model.xls</SOURCE_WORKBOOKNAME>
    <SOURCE_WORKBOOKPATH>\\MSAD\ROOT\NA\NY\LIB\ER\CONSUMER\STAPLES\BFB\Model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/MSResearch/Content/ExternalAssets/2015-03/Images/rydFocQwjE_w7ATiGlMNw--.png</TARGET_BINARYFULLNAME>
    <TARGET_STORYFULLNAME>/MSResearch/Content/ExternalAssets/2015-03/Sections/20150304_091703_Linking_Range_1.xml</TARGET_STORYFULLNAME>
    <TARGET_UUID>219e8c96-c279-11e4-88af-319e7ae7f514</TARGET_UUID>
    <LINKSTATUS>Unknown</LINKSTATUS>
    <TRANSPARENTBACKGROUND>False</TRANSPARENTBACKGROUND>
    <TRANSPARENTPLOTAREA>False</TRANSPARENTPLOTAREA>
  </Link>
  <Link>
    <GUID>850814bb-9101-4589-ae9c-296403afd602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3/8/2015 9:10:35 AM</UPDATEDAT>
    <SOURCE_ISOUTOFDATE>False</SOURCE_ISOUTOFDATE>
    <SOURCE_WORKBOOKNAME>BFB_model.xls</SOURCE_WORKBOOKNAME>
    <SOURCE_WORKBOOKPATH>\\MSAD\ROOT\NA\NY\LIB\ER\CONSUMER\STAPLES\BFB\Model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/MSResearch/Content/ExternalAssets/2015-01/Images/Ju3COFwaRE2eZdn2QD9A--.png</TARGET_BINARYFULLNAME>
    <TARGET_STORYFULLNAME>/MSResearch/Content/ExternalAssets/2015-01/Sections/20150104_030555_MWA_Risk_Reward.xml</TARGET_STORYFULLNAME>
    <TARGET_UUID>178b3196-944d-11e4-823d-b49a3c77dd58</TARGET_UUID>
    <LINKSTATUS>Unknown</LINKSTATUS>
    <HIDEGRIDLINES>False</HIDEGRIDLINES>
    <EXTRACTSOURCEMODE>CopyToClipboard</EXTRACTSOURCEMODE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6A3C415C-4E24-48BE-9D9E-05CEDB7A20C3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A35C6BC5-592D-4251-B5A1-6A35ED1D8C2C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80</vt:i4>
      </vt:variant>
    </vt:vector>
  </HeadingPairs>
  <TitlesOfParts>
    <vt:vector size="82" baseType="lpstr">
      <vt:lpstr>ImportantDisclosures</vt:lpstr>
      <vt:lpstr>CircularReferenceAlert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CircularReferenceAlert!Buttons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Linking_Range_3</vt:lpstr>
      <vt:lpstr>Linking_Range_4</vt:lpstr>
      <vt:lpstr>Linking_Range_5</vt:lpstr>
      <vt:lpstr>Linking_Range_6</vt:lpstr>
      <vt:lpstr>Linking_Range_7</vt:lpstr>
      <vt:lpstr>Linking_Range_8</vt:lpstr>
      <vt:lpstr>IndexInformation!MacroVersion</vt:lpstr>
      <vt:lpstr>CircularReferenceAlert!MaxChange</vt:lpstr>
      <vt:lpstr>CircularReferenceAlert!MaxIterations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CoverSheet!Print_Area</vt:lpstr>
      <vt:lpstr>Financials!Print_Area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2009-05-01T19:09:28Z</dcterms:created>
  <dc:creator>Amitava</dc:creator>
  <cp:lastModifiedBy>Rotondi, Scott (Research)</cp:lastModifiedBy>
  <cp:lastPrinted>2017-08-28T15:47:04Z</cp:lastPrinted>
  <dcterms:modified xsi:type="dcterms:W3CDTF">2018-03-01T01:41:39Z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2</vt:lpwstr>
  </property>
  <property fmtid="{D5CDD505-2E9C-101B-9397-08002B2CF9AE}" name="LinkingAutoNameNumberLinking_Range_" pid="3">
    <vt:lpwstr>9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753587</vt:lpwstr>
  </property>
  <property fmtid="{D5CDD505-2E9C-101B-9397-08002B2CF9AE}" name="ERModPubCompanyName" pid="7">
    <vt:lpwstr>Brown-Forman Corporation</vt:lpwstr>
  </property>
  <property fmtid="{D5CDD505-2E9C-101B-9397-08002B2CF9AE}" name="ERModPubMaxIterations" pid="8">
    <vt:i4>100</vt:i4>
  </property>
  <property fmtid="{D5CDD505-2E9C-101B-9397-08002B2CF9AE}" name="ERModPubMaxChange" pid="9">
    <vt:r8>0.001</vt:r8>
  </property>
  <property fmtid="{D5CDD505-2E9C-101B-9397-08002B2CF9AE}" name="MSDH34TAG" pid="10">
    <vt:lpwstr>.TEZUF76X5TAHATHESADREYAK-00-INB160+*94600-06=b413d06a/-1cf1/-11e8/-a36b/-97f10757d665,MD=20180228204457/-0500,ZZ=000Z-3508.</vt:lpwstr>
  </property>
</Properties>
</file>